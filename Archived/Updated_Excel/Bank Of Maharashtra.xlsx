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67AE0F5-792E-4AF1-B461-38432B2136C9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E123" i="1" l="1"/>
  <c r="AE122" i="1"/>
  <c r="AE121" i="1"/>
  <c r="AE45" i="1"/>
  <c r="AE44" i="1"/>
  <c r="AE43" i="1"/>
  <c r="AD123" i="1"/>
  <c r="AD122" i="1"/>
  <c r="AD121" i="1"/>
  <c r="AD45" i="1"/>
  <c r="AD44" i="1"/>
  <c r="AD43" i="1"/>
  <c r="AC123" i="1"/>
  <c r="AC122" i="1"/>
  <c r="AC121" i="1"/>
  <c r="AC45" i="1"/>
  <c r="AC44" i="1"/>
  <c r="AC43" i="1"/>
  <c r="E93" i="125" a="1"/>
  <c r="W88" i="125" a="1"/>
  <c r="K86" i="125" a="1"/>
  <c r="AC83" i="125" a="1"/>
  <c r="Q81" i="125" a="1"/>
  <c r="E79" i="125" a="1"/>
  <c r="W76" i="125" a="1"/>
  <c r="K74" i="125" a="1"/>
  <c r="AC71" i="125" a="1"/>
  <c r="Q69" i="125" a="1"/>
  <c r="E67" i="125" a="1"/>
  <c r="W64" i="125" a="1"/>
  <c r="K62" i="125" a="1"/>
  <c r="AC59" i="125" a="1"/>
  <c r="Q53" i="125" a="1"/>
  <c r="E51" i="125" a="1"/>
  <c r="W48" i="125" a="1"/>
  <c r="K46" i="125" a="1"/>
  <c r="AC43" i="125" a="1"/>
  <c r="Q41" i="125" a="1"/>
  <c r="E39" i="125" a="1"/>
  <c r="AB93" i="125" a="1"/>
  <c r="AA73" i="1" s="1"/>
  <c r="P91" i="125" a="1"/>
  <c r="D87" i="125" a="1"/>
  <c r="V84" i="125" a="1"/>
  <c r="J82" i="125" a="1"/>
  <c r="AB79" i="125" a="1"/>
  <c r="P77" i="125" a="1"/>
  <c r="D75" i="125" a="1"/>
  <c r="V72" i="125" a="1"/>
  <c r="U94" i="125" a="1"/>
  <c r="I92" i="125" a="1"/>
  <c r="AA87" i="125" a="1"/>
  <c r="O85" i="125" a="1"/>
  <c r="C83" i="125" a="1"/>
  <c r="U80" i="125" a="1"/>
  <c r="I78" i="125" a="1"/>
  <c r="AA75" i="125" a="1"/>
  <c r="O73" i="125" a="1"/>
  <c r="C71" i="125" a="1"/>
  <c r="U68" i="125" a="1"/>
  <c r="I66" i="125" a="1"/>
  <c r="AA63" i="125" a="1"/>
  <c r="O61" i="125" a="1"/>
  <c r="C59" i="125" a="1"/>
  <c r="U52" i="125" a="1"/>
  <c r="I50" i="125" a="1"/>
  <c r="AA47" i="125" a="1"/>
  <c r="O45" i="125" a="1"/>
  <c r="C43" i="125" a="1"/>
  <c r="AF94" i="125" a="1"/>
  <c r="T92" i="125" a="1"/>
  <c r="H88" i="125" a="1"/>
  <c r="Z85" i="125" a="1"/>
  <c r="N83" i="125" a="1"/>
  <c r="AF80" i="125" a="1"/>
  <c r="T78" i="125" a="1"/>
  <c r="H76" i="125" a="1"/>
  <c r="Z73" i="125" a="1"/>
  <c r="N71" i="125" a="1"/>
  <c r="AF68" i="125" a="1"/>
  <c r="T66" i="125" a="1"/>
  <c r="H64" i="125" a="1"/>
  <c r="Z61" i="125" a="1"/>
  <c r="N59" i="125" a="1"/>
  <c r="AF52" i="125" a="1"/>
  <c r="T50" i="125" a="1"/>
  <c r="H48" i="125" a="1"/>
  <c r="Z45" i="125" a="1"/>
  <c r="N43" i="125" a="1"/>
  <c r="AF40" i="125" a="1"/>
  <c r="T38" i="125" a="1"/>
  <c r="AE92" i="125" a="1"/>
  <c r="S88" i="125" a="1"/>
  <c r="G86" i="125" a="1"/>
  <c r="Y83" i="125" a="1"/>
  <c r="M81" i="125" a="1"/>
  <c r="W92" i="125" a="1"/>
  <c r="K88" i="125" a="1"/>
  <c r="AC85" i="125" a="1"/>
  <c r="Q83" i="125" a="1"/>
  <c r="E81" i="125" a="1"/>
  <c r="W78" i="125" a="1"/>
  <c r="K76" i="125" a="1"/>
  <c r="AC73" i="125" a="1"/>
  <c r="Q71" i="125" a="1"/>
  <c r="E69" i="125" a="1"/>
  <c r="W66" i="125" a="1"/>
  <c r="K64" i="125" a="1"/>
  <c r="AC61" i="125" a="1"/>
  <c r="Q59" i="125" a="1"/>
  <c r="E53" i="125" a="1"/>
  <c r="W50" i="125" a="1"/>
  <c r="K48" i="125" a="1"/>
  <c r="AC45" i="125" a="1"/>
  <c r="Q43" i="125" a="1"/>
  <c r="E41" i="125" a="1"/>
  <c r="W38" i="125" a="1"/>
  <c r="P93" i="125" a="1"/>
  <c r="D91" i="125" a="1"/>
  <c r="V86" i="125" a="1"/>
  <c r="J84" i="125" a="1"/>
  <c r="AB81" i="125" a="1"/>
  <c r="P79" i="125" a="1"/>
  <c r="D77" i="125" a="1"/>
  <c r="V74" i="125" a="1"/>
  <c r="J72" i="125" a="1"/>
  <c r="I94" i="125" a="1"/>
  <c r="AA91" i="125" a="1"/>
  <c r="O87" i="125" a="1"/>
  <c r="C85" i="125" a="1"/>
  <c r="U82" i="125" a="1"/>
  <c r="I80" i="125" a="1"/>
  <c r="AA77" i="125" a="1"/>
  <c r="O75" i="125" a="1"/>
  <c r="C73" i="125" a="1"/>
  <c r="U70" i="125" a="1"/>
  <c r="I68" i="125" a="1"/>
  <c r="AA65" i="125" a="1"/>
  <c r="O63" i="125" a="1"/>
  <c r="C61" i="125" a="1"/>
  <c r="U54" i="125" a="1"/>
  <c r="I52" i="125" a="1"/>
  <c r="AA49" i="125" a="1"/>
  <c r="O47" i="125" a="1"/>
  <c r="C45" i="125" a="1"/>
  <c r="U42" i="125" a="1"/>
  <c r="T94" i="125" a="1"/>
  <c r="H92" i="125" a="1"/>
  <c r="Z87" i="125" a="1"/>
  <c r="N85" i="125" a="1"/>
  <c r="AF82" i="125" a="1"/>
  <c r="T80" i="125" a="1"/>
  <c r="H78" i="125" a="1"/>
  <c r="Z75" i="125" a="1"/>
  <c r="N73" i="125" a="1"/>
  <c r="AF70" i="125" a="1"/>
  <c r="T68" i="125" a="1"/>
  <c r="H66" i="125" a="1"/>
  <c r="Z63" i="125" a="1"/>
  <c r="N61" i="125" a="1"/>
  <c r="AF54" i="125" a="1"/>
  <c r="T52" i="125" a="1"/>
  <c r="H50" i="125" a="1"/>
  <c r="Z47" i="125" a="1"/>
  <c r="N45" i="125" a="1"/>
  <c r="AF42" i="125" a="1"/>
  <c r="T40" i="125" a="1"/>
  <c r="AE94" i="125" a="1"/>
  <c r="S92" i="125" a="1"/>
  <c r="G88" i="125" a="1"/>
  <c r="Y85" i="125" a="1"/>
  <c r="M83" i="125" a="1"/>
  <c r="AE80" i="125" a="1"/>
  <c r="S78" i="125" a="1"/>
  <c r="G76" i="125" a="1"/>
  <c r="Y73" i="125" a="1"/>
  <c r="L93" i="125" a="1"/>
  <c r="AD88" i="125" a="1"/>
  <c r="R86" i="125" a="1"/>
  <c r="F84" i="125" a="1"/>
  <c r="X81" i="125" a="1"/>
  <c r="W94" i="125" a="1"/>
  <c r="K92" i="125" a="1"/>
  <c r="AC87" i="125" a="1"/>
  <c r="Q85" i="125" a="1"/>
  <c r="E83" i="125" a="1"/>
  <c r="W80" i="125" a="1"/>
  <c r="K78" i="125" a="1"/>
  <c r="AC75" i="125" a="1"/>
  <c r="Q73" i="125" a="1"/>
  <c r="E71" i="125" a="1"/>
  <c r="W68" i="125" a="1"/>
  <c r="K66" i="125" a="1"/>
  <c r="AC63" i="125" a="1"/>
  <c r="Q61" i="125" a="1"/>
  <c r="E59" i="125" a="1"/>
  <c r="W52" i="125" a="1"/>
  <c r="K50" i="125" a="1"/>
  <c r="AC47" i="125" a="1"/>
  <c r="Q45" i="125" a="1"/>
  <c r="E43" i="125" a="1"/>
  <c r="W40" i="125" a="1"/>
  <c r="K38" i="125" a="1"/>
  <c r="D93" i="125" a="1"/>
  <c r="V88" i="125" a="1"/>
  <c r="J86" i="125" a="1"/>
  <c r="AB83" i="125" a="1"/>
  <c r="P81" i="125" a="1"/>
  <c r="D79" i="125" a="1"/>
  <c r="V76" i="125" a="1"/>
  <c r="J74" i="125" a="1"/>
  <c r="AB71" i="125" a="1"/>
  <c r="AA122" i="1" s="1"/>
  <c r="AA93" i="125" a="1"/>
  <c r="O91" i="125" a="1"/>
  <c r="C87" i="125" a="1"/>
  <c r="U84" i="125" a="1"/>
  <c r="I82" i="125" a="1"/>
  <c r="AA79" i="125" a="1"/>
  <c r="O77" i="125" a="1"/>
  <c r="C75" i="125" a="1"/>
  <c r="U72" i="125" a="1"/>
  <c r="I70" i="125" a="1"/>
  <c r="AA67" i="125" a="1"/>
  <c r="O65" i="125" a="1"/>
  <c r="C63" i="125" a="1"/>
  <c r="U60" i="125" a="1"/>
  <c r="I54" i="125" a="1"/>
  <c r="AA51" i="125" a="1"/>
  <c r="O49" i="125" a="1"/>
  <c r="C47" i="125" a="1"/>
  <c r="U44" i="125" a="1"/>
  <c r="I42" i="125" a="1"/>
  <c r="H94" i="125" a="1"/>
  <c r="Z91" i="125" a="1"/>
  <c r="N87" i="125" a="1"/>
  <c r="AF84" i="125" a="1"/>
  <c r="T82" i="125" a="1"/>
  <c r="H80" i="125" a="1"/>
  <c r="Z77" i="125" a="1"/>
  <c r="N75" i="125" a="1"/>
  <c r="AF72" i="125" a="1"/>
  <c r="T70" i="125" a="1"/>
  <c r="H68" i="125" a="1"/>
  <c r="Z65" i="125" a="1"/>
  <c r="N63" i="125" a="1"/>
  <c r="AF60" i="125" a="1"/>
  <c r="T54" i="125" a="1"/>
  <c r="H52" i="125" a="1"/>
  <c r="Z49" i="125" a="1"/>
  <c r="N47" i="125" a="1"/>
  <c r="AF44" i="125" a="1"/>
  <c r="T42" i="125" a="1"/>
  <c r="H40" i="125" a="1"/>
  <c r="S94" i="125" a="1"/>
  <c r="G92" i="125" a="1"/>
  <c r="Y87" i="125" a="1"/>
  <c r="M85" i="125" a="1"/>
  <c r="AE82" i="125" a="1"/>
  <c r="S80" i="125" a="1"/>
  <c r="G78" i="125" a="1"/>
  <c r="Y75" i="125" a="1"/>
  <c r="M73" i="125" a="1"/>
  <c r="AD92" i="125" a="1"/>
  <c r="R88" i="125" a="1"/>
  <c r="F86" i="125" a="1"/>
  <c r="X83" i="125" a="1"/>
  <c r="L81" i="125" a="1"/>
  <c r="AD78" i="125" a="1"/>
  <c r="R76" i="125" a="1"/>
  <c r="F74" i="125" a="1"/>
  <c r="X71" i="125" a="1"/>
  <c r="L69" i="125" a="1"/>
  <c r="AD66" i="125" a="1"/>
  <c r="R64" i="125" a="1"/>
  <c r="F62" i="125" a="1"/>
  <c r="K93" i="125" a="1"/>
  <c r="D94" i="125" a="1"/>
  <c r="V91" i="125" a="1"/>
  <c r="J87" i="125" a="1"/>
  <c r="Y94" i="125" a="1"/>
  <c r="M92" i="125" a="1"/>
  <c r="AE87" i="125" a="1"/>
  <c r="N88" i="125" a="1"/>
  <c r="AB82" i="125" a="1"/>
  <c r="D78" i="125" a="1"/>
  <c r="J73" i="125" a="1"/>
  <c r="M69" i="125" a="1"/>
  <c r="Y65" i="125" a="1"/>
  <c r="G62" i="125" a="1"/>
  <c r="AC54" i="125" a="1"/>
  <c r="W51" i="125" a="1"/>
  <c r="Q48" i="125" a="1"/>
  <c r="K45" i="125" a="1"/>
  <c r="E42" i="125" a="1"/>
  <c r="F39" i="125" a="1"/>
  <c r="S34" i="125" a="1"/>
  <c r="K94" i="125" a="1"/>
  <c r="AC91" i="125" a="1"/>
  <c r="Q87" i="125" a="1"/>
  <c r="E85" i="125" a="1"/>
  <c r="W82" i="125" a="1"/>
  <c r="K80" i="125" a="1"/>
  <c r="AC77" i="125" a="1"/>
  <c r="Q75" i="125" a="1"/>
  <c r="E73" i="125" a="1"/>
  <c r="W70" i="125" a="1"/>
  <c r="K68" i="125" a="1"/>
  <c r="AC65" i="125" a="1"/>
  <c r="Q63" i="125" a="1"/>
  <c r="E61" i="125" a="1"/>
  <c r="W54" i="125" a="1"/>
  <c r="K52" i="125" a="1"/>
  <c r="AC49" i="125" a="1"/>
  <c r="Q47" i="125" a="1"/>
  <c r="E45" i="125" a="1"/>
  <c r="W42" i="125" a="1"/>
  <c r="K40" i="125" a="1"/>
  <c r="L1" i="133"/>
  <c r="V92" i="125" a="1"/>
  <c r="J88" i="125" a="1"/>
  <c r="AB85" i="125" a="1"/>
  <c r="P83" i="125" a="1"/>
  <c r="D81" i="125" a="1"/>
  <c r="V78" i="125" a="1"/>
  <c r="J76" i="125" a="1"/>
  <c r="AB73" i="125" a="1"/>
  <c r="AA118" i="1" s="1"/>
  <c r="P71" i="125" a="1"/>
  <c r="O93" i="125" a="1"/>
  <c r="C91" i="125" a="1"/>
  <c r="U86" i="125" a="1"/>
  <c r="I84" i="125" a="1"/>
  <c r="AA81" i="125" a="1"/>
  <c r="O79" i="125" a="1"/>
  <c r="C77" i="125" a="1"/>
  <c r="U74" i="125" a="1"/>
  <c r="I72" i="125" a="1"/>
  <c r="AA69" i="125" a="1"/>
  <c r="O67" i="125" a="1"/>
  <c r="C65" i="125" a="1"/>
  <c r="U62" i="125" a="1"/>
  <c r="I60" i="125" a="1"/>
  <c r="AA53" i="125" a="1"/>
  <c r="O51" i="125" a="1"/>
  <c r="C49" i="125" a="1"/>
  <c r="U46" i="125" a="1"/>
  <c r="I44" i="125" a="1"/>
  <c r="AA41" i="125" a="1"/>
  <c r="Z93" i="125" a="1"/>
  <c r="N91" i="125" a="1"/>
  <c r="AF86" i="125" a="1"/>
  <c r="T84" i="125" a="1"/>
  <c r="H82" i="125" a="1"/>
  <c r="Z79" i="125" a="1"/>
  <c r="N77" i="125" a="1"/>
  <c r="AF74" i="125" a="1"/>
  <c r="T72" i="125" a="1"/>
  <c r="H70" i="125" a="1"/>
  <c r="Z67" i="125" a="1"/>
  <c r="N65" i="125" a="1"/>
  <c r="AF62" i="125" a="1"/>
  <c r="T60" i="125" a="1"/>
  <c r="H54" i="125" a="1"/>
  <c r="Z51" i="125" a="1"/>
  <c r="N49" i="125" a="1"/>
  <c r="AF46" i="125" a="1"/>
  <c r="T44" i="125" a="1"/>
  <c r="H42" i="125" a="1"/>
  <c r="Z39" i="125" a="1"/>
  <c r="G94" i="125" a="1"/>
  <c r="Y91" i="125" a="1"/>
  <c r="M87" i="125" a="1"/>
  <c r="AE84" i="125" a="1"/>
  <c r="S82" i="125" a="1"/>
  <c r="G80" i="125" a="1"/>
  <c r="Y77" i="125" a="1"/>
  <c r="M75" i="125" a="1"/>
  <c r="AD94" i="125" a="1"/>
  <c r="R92" i="125" a="1"/>
  <c r="F88" i="125" a="1"/>
  <c r="X85" i="125" a="1"/>
  <c r="L83" i="125" a="1"/>
  <c r="AD80" i="125" a="1"/>
  <c r="R78" i="125" a="1"/>
  <c r="F76" i="125" a="1"/>
  <c r="X73" i="125" a="1"/>
  <c r="L71" i="125" a="1"/>
  <c r="AD68" i="125" a="1"/>
  <c r="R66" i="125" a="1"/>
  <c r="F64" i="125" a="1"/>
  <c r="X61" i="125" a="1"/>
  <c r="AC92" i="125" a="1"/>
  <c r="AC93" i="125" a="1"/>
  <c r="Q91" i="125" a="1"/>
  <c r="E87" i="125" a="1"/>
  <c r="W84" i="125" a="1"/>
  <c r="K82" i="125" a="1"/>
  <c r="AC79" i="125" a="1"/>
  <c r="Q77" i="125" a="1"/>
  <c r="E75" i="125" a="1"/>
  <c r="W72" i="125" a="1"/>
  <c r="K70" i="125" a="1"/>
  <c r="AC67" i="125" a="1"/>
  <c r="Q65" i="125" a="1"/>
  <c r="E63" i="125" a="1"/>
  <c r="W60" i="125" a="1"/>
  <c r="K54" i="125" a="1"/>
  <c r="AC51" i="125" a="1"/>
  <c r="Q49" i="125" a="1"/>
  <c r="E47" i="125" a="1"/>
  <c r="W44" i="125" a="1"/>
  <c r="K42" i="125" a="1"/>
  <c r="AC39" i="125" a="1"/>
  <c r="V94" i="125" a="1"/>
  <c r="J92" i="125" a="1"/>
  <c r="AB87" i="125" a="1"/>
  <c r="P85" i="125" a="1"/>
  <c r="D83" i="125" a="1"/>
  <c r="V80" i="125" a="1"/>
  <c r="J78" i="125" a="1"/>
  <c r="AB75" i="125" a="1"/>
  <c r="P73" i="125" a="1"/>
  <c r="D71" i="125" a="1"/>
  <c r="C93" i="125" a="1"/>
  <c r="U88" i="125" a="1"/>
  <c r="I86" i="125" a="1"/>
  <c r="AA83" i="125" a="1"/>
  <c r="O81" i="125" a="1"/>
  <c r="C79" i="125" a="1"/>
  <c r="U76" i="125" a="1"/>
  <c r="I74" i="125" a="1"/>
  <c r="AA71" i="125" a="1"/>
  <c r="O69" i="125" a="1"/>
  <c r="C67" i="125" a="1"/>
  <c r="U64" i="125" a="1"/>
  <c r="I62" i="125" a="1"/>
  <c r="AA59" i="125" a="1"/>
  <c r="O53" i="125" a="1"/>
  <c r="C51" i="125" a="1"/>
  <c r="U48" i="125" a="1"/>
  <c r="I46" i="125" a="1"/>
  <c r="AA43" i="125" a="1"/>
  <c r="O41" i="125" a="1"/>
  <c r="N93" i="125" a="1"/>
  <c r="AF88" i="125" a="1"/>
  <c r="T86" i="125" a="1"/>
  <c r="H84" i="125" a="1"/>
  <c r="Z81" i="125" a="1"/>
  <c r="N79" i="125" a="1"/>
  <c r="AF76" i="125" a="1"/>
  <c r="T74" i="125" a="1"/>
  <c r="H72" i="125" a="1"/>
  <c r="Z69" i="125" a="1"/>
  <c r="N67" i="125" a="1"/>
  <c r="AF64" i="125" a="1"/>
  <c r="T62" i="125" a="1"/>
  <c r="H60" i="125" a="1"/>
  <c r="Z53" i="125" a="1"/>
  <c r="N51" i="125" a="1"/>
  <c r="AF48" i="125" a="1"/>
  <c r="T46" i="125" a="1"/>
  <c r="H44" i="125" a="1"/>
  <c r="Z41" i="125" a="1"/>
  <c r="N39" i="125" a="1"/>
  <c r="Y93" i="125" a="1"/>
  <c r="M91" i="125" a="1"/>
  <c r="AE86" i="125" a="1"/>
  <c r="S84" i="125" a="1"/>
  <c r="G82" i="125" a="1"/>
  <c r="Y79" i="125" a="1"/>
  <c r="M77" i="125" a="1"/>
  <c r="AE74" i="125" a="1"/>
  <c r="R94" i="125" a="1"/>
  <c r="F92" i="125" a="1"/>
  <c r="X87" i="125" a="1"/>
  <c r="L85" i="125" a="1"/>
  <c r="AD82" i="125" a="1"/>
  <c r="R80" i="125" a="1"/>
  <c r="Q93" i="125" a="1"/>
  <c r="E91" i="125" a="1"/>
  <c r="W86" i="125" a="1"/>
  <c r="K84" i="125" a="1"/>
  <c r="AC81" i="125" a="1"/>
  <c r="Q79" i="125" a="1"/>
  <c r="E77" i="125" a="1"/>
  <c r="W74" i="125" a="1"/>
  <c r="K72" i="125" a="1"/>
  <c r="AC69" i="125" a="1"/>
  <c r="Q67" i="125" a="1"/>
  <c r="E65" i="125" a="1"/>
  <c r="Q51" i="125" a="1"/>
  <c r="J94" i="125" a="1"/>
  <c r="AB77" i="125" a="1"/>
  <c r="AA85" i="125" a="1"/>
  <c r="O71" i="125" a="1"/>
  <c r="C53" i="125" a="1"/>
  <c r="AF92" i="125" a="1"/>
  <c r="T76" i="125" a="1"/>
  <c r="H62" i="125" a="1"/>
  <c r="Z43" i="125" a="1"/>
  <c r="G84" i="125" a="1"/>
  <c r="S74" i="125" a="1"/>
  <c r="L87" i="125" a="1"/>
  <c r="F80" i="125" a="1"/>
  <c r="AD76" i="125" a="1"/>
  <c r="AD72" i="125" a="1"/>
  <c r="X69" i="125" a="1"/>
  <c r="X65" i="125" a="1"/>
  <c r="R62" i="125" a="1"/>
  <c r="E92" i="125" a="1"/>
  <c r="P92" i="125" a="1"/>
  <c r="V87" i="125" a="1"/>
  <c r="M94" i="125" a="1"/>
  <c r="S91" i="125" a="1"/>
  <c r="AA94" i="125" a="1"/>
  <c r="P84" i="125" a="1"/>
  <c r="AB78" i="125" a="1"/>
  <c r="AA121" i="1" s="1"/>
  <c r="S72" i="125" a="1"/>
  <c r="G68" i="125" a="1"/>
  <c r="AF63" i="125" a="1"/>
  <c r="AF59" i="125" a="1"/>
  <c r="J52" i="125" a="1"/>
  <c r="AF47" i="125" a="1"/>
  <c r="J44" i="125" a="1"/>
  <c r="R40" i="125" a="1"/>
  <c r="M35" i="125" a="1"/>
  <c r="S32" i="125" a="1"/>
  <c r="G30" i="125" a="1"/>
  <c r="Y27" i="125" a="1"/>
  <c r="M25" i="125" a="1"/>
  <c r="AE22" i="125" a="1"/>
  <c r="S20" i="125" a="1"/>
  <c r="G18" i="125" a="1"/>
  <c r="AA92" i="125" a="1"/>
  <c r="O84" i="125" a="1"/>
  <c r="U79" i="125" a="1"/>
  <c r="AA74" i="125" a="1"/>
  <c r="Q70" i="125" a="1"/>
  <c r="AC66" i="125" a="1"/>
  <c r="K63" i="125" a="1"/>
  <c r="AE59" i="125" a="1"/>
  <c r="Y52" i="125" a="1"/>
  <c r="E88" i="125" a="1"/>
  <c r="Z82" i="125" a="1"/>
  <c r="AF77" i="125" a="1"/>
  <c r="H73" i="125" a="1"/>
  <c r="J69" i="125" a="1"/>
  <c r="V65" i="125" a="1"/>
  <c r="D62" i="125" a="1"/>
  <c r="AA54" i="125" a="1"/>
  <c r="U51" i="125" a="1"/>
  <c r="O48" i="125" a="1"/>
  <c r="I45" i="125" a="1"/>
  <c r="C42" i="125" a="1"/>
  <c r="C39" i="125" a="1"/>
  <c r="Q34" i="125" a="1"/>
  <c r="X92" i="125" a="1"/>
  <c r="M84" i="125" a="1"/>
  <c r="S79" i="125" a="1"/>
  <c r="Y74" i="125" a="1"/>
  <c r="O70" i="125" a="1"/>
  <c r="H91" i="125" a="1"/>
  <c r="R83" i="125" a="1"/>
  <c r="X78" i="125" a="1"/>
  <c r="AD73" i="125" a="1"/>
  <c r="Y69" i="125" a="1"/>
  <c r="G66" i="125" a="1"/>
  <c r="S62" i="125" a="1"/>
  <c r="J59" i="125" a="1"/>
  <c r="D52" i="125" a="1"/>
  <c r="AB48" i="125" a="1"/>
  <c r="V45" i="125" a="1"/>
  <c r="P42" i="125" a="1"/>
  <c r="O39" i="125" a="1"/>
  <c r="AF93" i="125" a="1"/>
  <c r="AC84" i="125" a="1"/>
  <c r="E80" i="125" a="1"/>
  <c r="K75" i="125" a="1"/>
  <c r="AC70" i="125" a="1"/>
  <c r="K67" i="125" a="1"/>
  <c r="W63" i="125" a="1"/>
  <c r="L60" i="125" a="1"/>
  <c r="F53" i="125" a="1"/>
  <c r="AD49" i="125" a="1"/>
  <c r="X46" i="125" a="1"/>
  <c r="R43" i="125" a="1"/>
  <c r="M40" i="125" a="1"/>
  <c r="T35" i="125" a="1"/>
  <c r="H33" i="125" a="1"/>
  <c r="AC88" i="125" a="1"/>
  <c r="J83" i="125" a="1"/>
  <c r="P78" i="125" a="1"/>
  <c r="V73" i="125" a="1"/>
  <c r="V69" i="125" a="1"/>
  <c r="D66" i="125" a="1"/>
  <c r="P62" i="125" a="1"/>
  <c r="H59" i="125" a="1"/>
  <c r="AF51" i="125" a="1"/>
  <c r="Z48" i="125" a="1"/>
  <c r="T45" i="125" a="1"/>
  <c r="N42" i="125" a="1"/>
  <c r="L39" i="125" a="1"/>
  <c r="R87" i="125" a="1"/>
  <c r="M82" i="125" a="1"/>
  <c r="S77" i="125" a="1"/>
  <c r="Z72" i="125" a="1"/>
  <c r="AC68" i="125" a="1"/>
  <c r="K65" i="125" a="1"/>
  <c r="W61" i="125" a="1"/>
  <c r="Q54" i="125" a="1"/>
  <c r="K51" i="125" a="1"/>
  <c r="E48" i="125" a="1"/>
  <c r="AC44" i="125" a="1"/>
  <c r="I93" i="125" a="1"/>
  <c r="X84" i="125" a="1"/>
  <c r="E49" i="125" a="1"/>
  <c r="AB91" i="125" a="1"/>
  <c r="P75" i="125" a="1"/>
  <c r="O83" i="125" a="1"/>
  <c r="C69" i="125" a="1"/>
  <c r="U50" i="125" a="1"/>
  <c r="T88" i="125" a="1"/>
  <c r="H74" i="125" a="1"/>
  <c r="Z59" i="125" a="1"/>
  <c r="N41" i="125" a="1"/>
  <c r="Y81" i="125" a="1"/>
  <c r="G74" i="125" a="1"/>
  <c r="AD86" i="125" a="1"/>
  <c r="X79" i="125" a="1"/>
  <c r="X75" i="125" a="1"/>
  <c r="R72" i="125" a="1"/>
  <c r="R68" i="125" a="1"/>
  <c r="L65" i="125" a="1"/>
  <c r="AC94" i="125" a="1"/>
  <c r="AB94" i="125" a="1"/>
  <c r="AA74" i="1" s="1"/>
  <c r="D92" i="125" a="1"/>
  <c r="AB86" i="125" a="1"/>
  <c r="AE93" i="125" a="1"/>
  <c r="G91" i="125" a="1"/>
  <c r="F93" i="125" a="1"/>
  <c r="V83" i="125" a="1"/>
  <c r="J77" i="125" a="1"/>
  <c r="AE71" i="125" a="1"/>
  <c r="T67" i="125" a="1"/>
  <c r="M63" i="125" a="1"/>
  <c r="P59" i="125" a="1"/>
  <c r="H51" i="125" a="1"/>
  <c r="P47" i="125" a="1"/>
  <c r="W43" i="125" a="1"/>
  <c r="D40" i="125" a="1"/>
  <c r="AE34" i="125" a="1"/>
  <c r="G32" i="125" a="1"/>
  <c r="Y29" i="125" a="1"/>
  <c r="M27" i="125" a="1"/>
  <c r="AE24" i="125" a="1"/>
  <c r="S22" i="125" a="1"/>
  <c r="G20" i="125" a="1"/>
  <c r="Y17" i="125" a="1"/>
  <c r="R91" i="125" a="1"/>
  <c r="U83" i="125" a="1"/>
  <c r="AA78" i="125" a="1"/>
  <c r="C74" i="125" a="1"/>
  <c r="AE69" i="125" a="1"/>
  <c r="M66" i="125" a="1"/>
  <c r="Y62" i="125" a="1"/>
  <c r="M59" i="125" a="1"/>
  <c r="G52" i="125" a="1"/>
  <c r="AC86" i="125" a="1"/>
  <c r="AF81" i="125" a="1"/>
  <c r="H77" i="125" a="1"/>
  <c r="P72" i="125" a="1"/>
  <c r="X68" i="125" a="1"/>
  <c r="F65" i="125" a="1"/>
  <c r="R61" i="125" a="1"/>
  <c r="L54" i="125" a="1"/>
  <c r="F51" i="125" a="1"/>
  <c r="AD47" i="125" a="1"/>
  <c r="X44" i="125" a="1"/>
  <c r="R41" i="125" a="1"/>
  <c r="R38" i="125" a="1"/>
  <c r="E34" i="125" a="1"/>
  <c r="I91" i="125" a="1"/>
  <c r="S83" i="125" a="1"/>
  <c r="Y78" i="125" a="1"/>
  <c r="AE73" i="125" a="1"/>
  <c r="AB69" i="125" a="1"/>
  <c r="AA123" i="1" s="1"/>
  <c r="AF87" i="125" a="1"/>
  <c r="X82" i="125" a="1"/>
  <c r="AD77" i="125" a="1"/>
  <c r="F73" i="125" a="1"/>
  <c r="H69" i="125" a="1"/>
  <c r="T65" i="125" a="1"/>
  <c r="AF61" i="125" a="1"/>
  <c r="Y54" i="125" a="1"/>
  <c r="S51" i="125" a="1"/>
  <c r="M48" i="125" a="1"/>
  <c r="G45" i="125" a="1"/>
  <c r="AE41" i="125" a="1"/>
  <c r="AD38" i="125" a="1"/>
  <c r="N92" i="125" a="1"/>
  <c r="E84" i="125" a="1"/>
  <c r="K79" i="125" a="1"/>
  <c r="Q74" i="125" a="1"/>
  <c r="M70" i="125" a="1"/>
  <c r="Y66" i="125" a="1"/>
  <c r="G63" i="125" a="1"/>
  <c r="X59" i="125" a="1"/>
  <c r="R52" i="125" a="1"/>
  <c r="L49" i="125" a="1"/>
  <c r="F46" i="125" a="1"/>
  <c r="AD42" i="125" a="1"/>
  <c r="AB39" i="125" a="1"/>
  <c r="H35" i="125" a="1"/>
  <c r="Z32" i="125" a="1"/>
  <c r="W87" i="125" a="1"/>
  <c r="P82" i="125" a="1"/>
  <c r="V77" i="125" a="1"/>
  <c r="AC72" i="125" a="1"/>
  <c r="F69" i="125" a="1"/>
  <c r="R65" i="125" a="1"/>
  <c r="AD61" i="125" a="1"/>
  <c r="V54" i="125" a="1"/>
  <c r="P51" i="125" a="1"/>
  <c r="J48" i="125" a="1"/>
  <c r="D45" i="125" a="1"/>
  <c r="AB41" i="125" a="1"/>
  <c r="AB38" i="125" a="1"/>
  <c r="AA62" i="1" s="1"/>
  <c r="AA64" i="1" s="1"/>
  <c r="N86" i="125" a="1"/>
  <c r="S81" i="125" a="1"/>
  <c r="Y76" i="125" a="1"/>
  <c r="D72" i="125" a="1"/>
  <c r="M68" i="125" a="1"/>
  <c r="Y64" i="125" a="1"/>
  <c r="H61" i="125" a="1"/>
  <c r="AF53" i="125" a="1"/>
  <c r="Z50" i="125" a="1"/>
  <c r="T47" i="125" a="1"/>
  <c r="N44" i="125" a="1"/>
  <c r="W91" i="125" a="1"/>
  <c r="AD83" i="125" a="1"/>
  <c r="F79" i="125" a="1"/>
  <c r="L74" i="125" a="1"/>
  <c r="W62" i="125" a="1"/>
  <c r="K44" i="125" a="1"/>
  <c r="D85" i="125" a="1"/>
  <c r="A1" i="133"/>
  <c r="U78" i="125" a="1"/>
  <c r="I64" i="125" a="1"/>
  <c r="AA45" i="125" a="1"/>
  <c r="Z83" i="125" a="1"/>
  <c r="N69" i="125" a="1"/>
  <c r="AF50" i="125" a="1"/>
  <c r="M93" i="125" a="1"/>
  <c r="AE78" i="125" a="1"/>
  <c r="X93" i="125" a="1"/>
  <c r="R84" i="125" a="1"/>
  <c r="F78" i="125" a="1"/>
  <c r="AD74" i="125" a="1"/>
  <c r="AD70" i="125" a="1"/>
  <c r="X67" i="125" a="1"/>
  <c r="X63" i="125" a="1"/>
  <c r="E94" i="125" a="1"/>
  <c r="V93" i="125" a="1"/>
  <c r="AB88" i="125" a="1"/>
  <c r="D86" i="125" a="1"/>
  <c r="G93" i="125" a="1"/>
  <c r="M88" i="125" a="1"/>
  <c r="K60" i="125" a="1"/>
  <c r="AC41" i="125" a="1"/>
  <c r="V82" i="125" a="1"/>
  <c r="U92" i="125" a="1"/>
  <c r="I76" i="125" a="1"/>
  <c r="AA61" i="125" a="1"/>
  <c r="O43" i="125" a="1"/>
  <c r="N81" i="125" a="1"/>
  <c r="AF66" i="125" a="1"/>
  <c r="T48" i="125" a="1"/>
  <c r="AE88" i="125" a="1"/>
  <c r="D73" i="125" a="1"/>
  <c r="I48" i="125" a="1"/>
  <c r="N53" i="125" a="1"/>
  <c r="S76" i="125" a="1"/>
  <c r="F82" i="125" a="1"/>
  <c r="L73" i="125" a="1"/>
  <c r="F66" i="125" a="1"/>
  <c r="Q92" i="125" a="1"/>
  <c r="D88" i="125" a="1"/>
  <c r="AE91" i="125" a="1"/>
  <c r="E86" i="125" a="1"/>
  <c r="P76" i="125" a="1"/>
  <c r="AF69" i="125" a="1"/>
  <c r="Z62" i="125" a="1"/>
  <c r="K53" i="125" a="1"/>
  <c r="AC46" i="125" a="1"/>
  <c r="T41" i="125" a="1"/>
  <c r="G34" i="125" a="1"/>
  <c r="AE30" i="125" a="1"/>
  <c r="AE26" i="125" a="1"/>
  <c r="Y23" i="125" a="1"/>
  <c r="Y19" i="125" a="1"/>
  <c r="S16" i="125" a="1"/>
  <c r="AA82" i="125" a="1"/>
  <c r="O76" i="125" a="1"/>
  <c r="K69" i="125" a="1"/>
  <c r="Q64" i="125" a="1"/>
  <c r="AB54" i="125" a="1"/>
  <c r="AA83" i="1" s="1"/>
  <c r="Z92" i="125" a="1"/>
  <c r="H81" i="125" a="1"/>
  <c r="Z74" i="125" a="1"/>
  <c r="D68" i="125" a="1"/>
  <c r="J63" i="125" a="1"/>
  <c r="X53" i="125" a="1"/>
  <c r="R49" i="125" a="1"/>
  <c r="F44" i="125" a="1"/>
  <c r="AF39" i="125" a="1"/>
  <c r="W33" i="125" a="1"/>
  <c r="AE85" i="125" a="1"/>
  <c r="AE77" i="125" a="1"/>
  <c r="W71" i="125" a="1"/>
  <c r="Z86" i="125" a="1"/>
  <c r="L80" i="125" a="1"/>
  <c r="N72" i="125" a="1"/>
  <c r="M67" i="125" a="1"/>
  <c r="M61" i="125" a="1"/>
  <c r="G53" i="125" a="1"/>
  <c r="Y47" i="125" a="1"/>
  <c r="S43" i="125" a="1"/>
  <c r="P38" i="125" a="1"/>
  <c r="Y86" i="125" a="1"/>
  <c r="Q78" i="125" a="1"/>
  <c r="M72" i="125" a="1"/>
  <c r="E66" i="125" a="1"/>
  <c r="L61" i="125" a="1"/>
  <c r="C52" i="125" a="1"/>
  <c r="X47" i="125" a="1"/>
  <c r="O42" i="125" a="1"/>
  <c r="O38" i="125" a="1"/>
  <c r="N32" i="125" a="1"/>
  <c r="AB84" i="125" a="1"/>
  <c r="AB76" i="125" a="1"/>
  <c r="AB70" i="125" a="1"/>
  <c r="AB64" i="125" a="1"/>
  <c r="J60" i="125" a="1"/>
  <c r="AC50" i="125" a="1"/>
  <c r="V46" i="125" a="1"/>
  <c r="K41" i="125" a="1"/>
  <c r="AD91" i="125" a="1"/>
  <c r="Y80" i="125" a="1"/>
  <c r="M74" i="125" a="1"/>
  <c r="W67" i="125" a="1"/>
  <c r="AC62" i="125" a="1"/>
  <c r="P53" i="125" a="1"/>
  <c r="H49" i="125" a="1"/>
  <c r="AB43" i="125" a="1"/>
  <c r="M86" i="125" a="1"/>
  <c r="AD79" i="125" a="1"/>
  <c r="R73" i="125" a="1"/>
  <c r="R69" i="125" a="1"/>
  <c r="AC53" i="125" a="1"/>
  <c r="I88" i="125" a="1"/>
  <c r="C41" i="125" a="1"/>
  <c r="H46" i="125" a="1"/>
  <c r="F94" i="125" a="1"/>
  <c r="L79" i="125" a="1"/>
  <c r="F72" i="125" a="1"/>
  <c r="AD64" i="125" a="1"/>
  <c r="P94" i="125" a="1"/>
  <c r="P86" i="125" a="1"/>
  <c r="Y88" i="125" a="1"/>
  <c r="J85" i="125" a="1"/>
  <c r="V75" i="125" a="1"/>
  <c r="Z68" i="125" a="1"/>
  <c r="T61" i="125" a="1"/>
  <c r="Z52" i="125" a="1"/>
  <c r="N46" i="125" a="1"/>
  <c r="D41" i="125" a="1"/>
  <c r="Y33" i="125" a="1"/>
  <c r="S30" i="125" a="1"/>
  <c r="S26" i="125" a="1"/>
  <c r="M23" i="125" a="1"/>
  <c r="M19" i="125" a="1"/>
  <c r="X94" i="125" a="1"/>
  <c r="C82" i="125" a="1"/>
  <c r="U75" i="125" a="1"/>
  <c r="Y68" i="125" a="1"/>
  <c r="AE63" i="125" a="1"/>
  <c r="M54" i="125" a="1"/>
  <c r="K91" i="125" a="1"/>
  <c r="N80" i="125" a="1"/>
  <c r="AF73" i="125" a="1"/>
  <c r="R67" i="125" a="1"/>
  <c r="X62" i="125" a="1"/>
  <c r="I53" i="125" a="1"/>
  <c r="AD48" i="125" a="1"/>
  <c r="U43" i="125" a="1"/>
  <c r="R39" i="125" a="1"/>
  <c r="K33" i="125" a="1"/>
  <c r="G85" i="125" a="1"/>
  <c r="G77" i="125" a="1"/>
  <c r="F71" i="125" a="1"/>
  <c r="AD85" i="125" a="1"/>
  <c r="R79" i="125" a="1"/>
  <c r="V71" i="125" a="1"/>
  <c r="Z66" i="125" a="1"/>
  <c r="AB60" i="125" a="1"/>
  <c r="S52" i="125" a="1"/>
  <c r="J47" i="125" a="1"/>
  <c r="AE42" i="125" a="1"/>
  <c r="C38" i="125" a="1"/>
  <c r="W85" i="125" a="1"/>
  <c r="W77" i="125" a="1"/>
  <c r="U71" i="125" a="1"/>
  <c r="S65" i="125" a="1"/>
  <c r="AA60" i="125" a="1"/>
  <c r="R51" i="125" a="1"/>
  <c r="I47" i="125" a="1"/>
  <c r="AD41" i="125" a="1"/>
  <c r="AF35" i="125" a="1"/>
  <c r="AF31" i="125" a="1"/>
  <c r="D84" i="125" a="1"/>
  <c r="D76" i="125" a="1"/>
  <c r="L70" i="125" a="1"/>
  <c r="L64" i="125" a="1"/>
  <c r="W59" i="125" a="1"/>
  <c r="N50" i="125" a="1"/>
  <c r="E46" i="125" a="1"/>
  <c r="Z40" i="125" a="1"/>
  <c r="X88" i="125" a="1"/>
  <c r="AE79" i="125" a="1"/>
  <c r="S73" i="125" a="1"/>
  <c r="G67" i="125" a="1"/>
  <c r="M62" i="125" a="1"/>
  <c r="AC52" i="125" a="1"/>
  <c r="V48" i="125" a="1"/>
  <c r="K43" i="125" a="1"/>
  <c r="R85" i="125" a="1"/>
  <c r="L78" i="125" a="1"/>
  <c r="Y72" i="125" a="1"/>
  <c r="AB68" i="125" a="1"/>
  <c r="AA114" i="1" s="1"/>
  <c r="J65" i="125" a="1"/>
  <c r="V61" i="125" a="1"/>
  <c r="P54" i="125" a="1"/>
  <c r="J51" i="125" a="1"/>
  <c r="D48" i="125" a="1"/>
  <c r="I83" i="125" a="1"/>
  <c r="V66" i="125" a="1"/>
  <c r="P52" i="125" a="1"/>
  <c r="AB44" i="125" a="1"/>
  <c r="H39" i="125" a="1"/>
  <c r="Q33" i="125" a="1"/>
  <c r="V30" i="125" a="1"/>
  <c r="C28" i="125" a="1"/>
  <c r="H83" i="125" a="1"/>
  <c r="S66" i="125" a="1"/>
  <c r="O52" i="125" a="1"/>
  <c r="AA44" i="125" a="1"/>
  <c r="G39" i="125" a="1"/>
  <c r="P33" i="125" a="1"/>
  <c r="U30" i="125" a="1"/>
  <c r="AF27" i="125" a="1"/>
  <c r="N25" i="125" a="1"/>
  <c r="Y22" i="125" a="1"/>
  <c r="F20" i="125" a="1"/>
  <c r="R17" i="125" a="1"/>
  <c r="C15" i="125" a="1"/>
  <c r="U12" i="125" a="1"/>
  <c r="I10" i="125" a="1"/>
  <c r="AA7" i="125" a="1"/>
  <c r="N5" i="125" a="1"/>
  <c r="FL6" i="132" a="1"/>
  <c r="GD7" i="132" a="1"/>
  <c r="GV8" i="132" a="1"/>
  <c r="FL11" i="132" a="1"/>
  <c r="L86" i="125" a="1"/>
  <c r="U85" i="125" a="1"/>
  <c r="C68" i="125" a="1"/>
  <c r="W53" i="125" a="1"/>
  <c r="W45" i="125" a="1"/>
  <c r="X39" i="125" a="1"/>
  <c r="AC33" i="125" a="1"/>
  <c r="AF30" i="125" a="1"/>
  <c r="AA72" i="125" a="1"/>
  <c r="Y60" i="125" a="1"/>
  <c r="E82" i="125" a="1"/>
  <c r="AF65" i="125" a="1"/>
  <c r="AD51" i="125" a="1"/>
  <c r="O44" i="125" a="1"/>
  <c r="Z38" i="125" a="1"/>
  <c r="J33" i="125" a="1"/>
  <c r="P30" i="125" a="1"/>
  <c r="AB27" i="125" a="1"/>
  <c r="O78" i="125" a="1"/>
  <c r="C64" i="125" a="1"/>
  <c r="M50" i="125" a="1"/>
  <c r="Q39" i="125" a="1"/>
  <c r="AA73" i="125" a="1"/>
  <c r="AF78" i="125" a="1"/>
  <c r="S86" i="125" a="1"/>
  <c r="L91" i="125" a="1"/>
  <c r="L77" i="125" a="1"/>
  <c r="F70" i="125" a="1"/>
  <c r="AD62" i="125" a="1"/>
  <c r="AB92" i="125" a="1"/>
  <c r="AA72" i="1" s="1"/>
  <c r="N94" i="125" a="1"/>
  <c r="G87" i="125" a="1"/>
  <c r="J81" i="125" a="1"/>
  <c r="D74" i="125" a="1"/>
  <c r="N66" i="125" a="1"/>
  <c r="Q60" i="125" a="1"/>
  <c r="E50" i="125" a="1"/>
  <c r="Z44" i="125" a="1"/>
  <c r="U38" i="125" a="1"/>
  <c r="AE32" i="125" a="1"/>
  <c r="AE28" i="125" a="1"/>
  <c r="Y25" i="125" a="1"/>
  <c r="Y21" i="125" a="1"/>
  <c r="S18" i="125" a="1"/>
  <c r="F87" i="125" a="1"/>
  <c r="O80" i="125" a="1"/>
  <c r="Q72" i="125" a="1"/>
  <c r="S67" i="125" a="1"/>
  <c r="S61" i="125" a="1"/>
  <c r="J53" i="125" a="1"/>
  <c r="H85" i="125" a="1"/>
  <c r="Z78" i="125" a="1"/>
  <c r="G71" i="125" a="1"/>
  <c r="L66" i="125" a="1"/>
  <c r="O60" i="125" a="1"/>
  <c r="F52" i="125" a="1"/>
  <c r="AA46" i="125" a="1"/>
  <c r="R42" i="125" a="1"/>
  <c r="W35" i="125" a="1"/>
  <c r="L94" i="125" a="1"/>
  <c r="AE81" i="125" a="1"/>
  <c r="S75" i="125" a="1"/>
  <c r="V68" i="125" a="1"/>
  <c r="L84" i="125" a="1"/>
  <c r="L76" i="125" a="1"/>
  <c r="N70" i="125" a="1"/>
  <c r="N64" i="125" a="1"/>
  <c r="P87" i="125" a="1"/>
  <c r="U66" i="125" a="1"/>
  <c r="Z71" i="125" a="1"/>
  <c r="M79" i="125" a="1"/>
  <c r="AD84" i="125" a="1"/>
  <c r="L75" i="125" a="1"/>
  <c r="F68" i="125" a="1"/>
  <c r="Q94" i="125" a="1"/>
  <c r="J91" i="125" a="1"/>
  <c r="S93" i="125" a="1"/>
  <c r="T91" i="125" a="1"/>
  <c r="P80" i="125" a="1"/>
  <c r="I71" i="125" a="1"/>
  <c r="H65" i="125" a="1"/>
  <c r="N54" i="125" a="1"/>
  <c r="T49" i="125" a="1"/>
  <c r="H43" i="125" a="1"/>
  <c r="G38" i="125" a="1"/>
  <c r="Y31" i="125" a="1"/>
  <c r="S28" i="125" a="1"/>
  <c r="S24" i="125" a="1"/>
  <c r="M21" i="125" a="1"/>
  <c r="M17" i="125" a="1"/>
  <c r="C86" i="125" a="1"/>
  <c r="C78" i="125" a="1"/>
  <c r="AD71" i="125" a="1"/>
  <c r="J80" i="125" a="1"/>
  <c r="O59" i="125" a="1"/>
  <c r="T64" i="125" a="1"/>
  <c r="AE76" i="125" a="1"/>
  <c r="R82" i="125" a="1"/>
  <c r="R74" i="125" a="1"/>
  <c r="L67" i="125" a="1"/>
  <c r="W93" i="125" a="1"/>
  <c r="P88" i="125" a="1"/>
  <c r="Y92" i="125" a="1"/>
  <c r="H87" i="125" a="1"/>
  <c r="V79" i="125" a="1"/>
  <c r="S70" i="125" a="1"/>
  <c r="S64" i="125" a="1"/>
  <c r="AB53" i="125" a="1"/>
  <c r="AA77" i="1" s="1"/>
  <c r="D49" i="125" a="1"/>
  <c r="V42" i="125" a="1"/>
  <c r="Y35" i="125" a="1"/>
  <c r="M31" i="125" a="1"/>
  <c r="G28" i="125" a="1"/>
  <c r="G24" i="125" a="1"/>
  <c r="AE20" i="125" a="1"/>
  <c r="AE16" i="125" a="1"/>
  <c r="I85" i="125" a="1"/>
  <c r="I77" i="125" a="1"/>
  <c r="H71" i="125" a="1"/>
  <c r="G65" i="125" a="1"/>
  <c r="P60" i="125" a="1"/>
  <c r="O94" i="125" a="1"/>
  <c r="T83" i="125" a="1"/>
  <c r="T75" i="125" a="1"/>
  <c r="AD69" i="125" a="1"/>
  <c r="AD63" i="125" a="1"/>
  <c r="L59" i="125" a="1"/>
  <c r="C50" i="125" a="1"/>
  <c r="X45" i="125" a="1"/>
  <c r="P40" i="125" a="1"/>
  <c r="AC34" i="125" a="1"/>
  <c r="AA86" i="125" a="1"/>
  <c r="M80" i="125" a="1"/>
  <c r="O72" i="125" a="1"/>
  <c r="O92" i="125" a="1"/>
  <c r="F81" i="125" a="1"/>
  <c r="X74" i="125" a="1"/>
  <c r="AF67" i="125" a="1"/>
  <c r="H63" i="125" a="1"/>
  <c r="V53" i="125" a="1"/>
  <c r="M49" i="125" a="1"/>
  <c r="D44" i="125" a="1"/>
  <c r="AD39" i="125" a="1"/>
  <c r="AD87" i="125" a="1"/>
  <c r="AC80" i="125" a="1"/>
  <c r="AE72" i="125" a="1"/>
  <c r="AE67" i="125" a="1"/>
  <c r="AE61" i="125" a="1"/>
  <c r="U53" i="125" a="1"/>
  <c r="L48" i="125" a="1"/>
  <c r="C44" i="125" a="1"/>
  <c r="AC38" i="125" a="1"/>
  <c r="T33" i="125" a="1"/>
  <c r="V85" i="125" a="1"/>
  <c r="J79" i="125" a="1"/>
  <c r="T71" i="125" a="1"/>
  <c r="X66" i="125" a="1"/>
  <c r="Z60" i="125" a="1"/>
  <c r="Q52" i="125" a="1"/>
  <c r="H47" i="125" a="1"/>
  <c r="AC42" i="125" a="1"/>
  <c r="R93" i="125" a="1"/>
  <c r="G83" i="125" a="1"/>
  <c r="G75" i="125" a="1"/>
  <c r="S69" i="125" a="1"/>
  <c r="S63" i="125" a="1"/>
  <c r="D59" i="125" a="1"/>
  <c r="W49" i="125" a="1"/>
  <c r="P45" i="125" a="1"/>
  <c r="K87" i="125" a="1"/>
  <c r="X80" i="125" a="1"/>
  <c r="F75" i="125" a="1"/>
  <c r="D70" i="125" a="1"/>
  <c r="P66" i="125" a="1"/>
  <c r="AB62" i="125" a="1"/>
  <c r="S59" i="125" a="1"/>
  <c r="M52" i="125" a="1"/>
  <c r="G49" i="125" a="1"/>
  <c r="U93" i="125" a="1"/>
  <c r="AA70" i="125" a="1"/>
  <c r="V59" i="125" a="1"/>
  <c r="G47" i="125" a="1"/>
  <c r="Y40" i="125" a="1"/>
  <c r="T34" i="125" a="1"/>
  <c r="R31" i="125" a="1"/>
  <c r="AC28" i="125" a="1"/>
  <c r="T93" i="125" a="1"/>
  <c r="Z70" i="125" a="1"/>
  <c r="U59" i="125" a="1"/>
  <c r="F47" i="125" a="1"/>
  <c r="X40" i="125" a="1"/>
  <c r="R34" i="125" a="1"/>
  <c r="Q31" i="125" a="1"/>
  <c r="AB28" i="125" a="1"/>
  <c r="J26" i="125" a="1"/>
  <c r="U23" i="125" a="1"/>
  <c r="C21" i="125" a="1"/>
  <c r="N18" i="125" a="1"/>
  <c r="AA15" i="125" a="1"/>
  <c r="O13" i="125" a="1"/>
  <c r="C11" i="125" a="1"/>
  <c r="U8" i="125" a="1"/>
  <c r="I6" i="125" a="1"/>
  <c r="GP5" i="132" a="1"/>
  <c r="HH6" i="132" a="1"/>
  <c r="FX8" i="132" a="1"/>
  <c r="GP9" i="132" a="1"/>
  <c r="HH11" i="132" a="1"/>
  <c r="K73" i="125" a="1"/>
  <c r="AB72" i="125" a="1"/>
  <c r="AC60" i="125" a="1"/>
  <c r="F48" i="125" a="1"/>
  <c r="S41" i="125" a="1"/>
  <c r="AF34" i="125" a="1"/>
  <c r="AB31" i="125" a="1"/>
  <c r="H79" i="125" a="1"/>
  <c r="J64" i="125" a="1"/>
  <c r="U91" i="125" a="1"/>
  <c r="C70" i="125" a="1"/>
  <c r="F59" i="125" a="1"/>
  <c r="W46" i="125" a="1"/>
  <c r="R70" i="125" a="1"/>
  <c r="AB74" i="125" a="1"/>
  <c r="AA119" i="1" s="1"/>
  <c r="M33" i="125" a="1"/>
  <c r="I81" i="125" a="1"/>
  <c r="Y53" i="125" a="1"/>
  <c r="Y71" i="125" a="1"/>
  <c r="X52" i="125" a="1"/>
  <c r="E38" i="125" a="1"/>
  <c r="M76" i="125" a="1"/>
  <c r="F77" i="125" a="1"/>
  <c r="M60" i="125" a="1"/>
  <c r="Y46" i="125" a="1"/>
  <c r="U35" i="125" a="1"/>
  <c r="AC76" i="125" a="1"/>
  <c r="AC64" i="125" a="1"/>
  <c r="AD50" i="125" a="1"/>
  <c r="L41" i="125" a="1"/>
  <c r="AD93" i="125" a="1"/>
  <c r="J75" i="125" a="1"/>
  <c r="V63" i="125" a="1"/>
  <c r="AB49" i="125" a="1"/>
  <c r="L40" i="125" a="1"/>
  <c r="G79" i="125" a="1"/>
  <c r="Q66" i="125" a="1"/>
  <c r="N52" i="125" a="1"/>
  <c r="Z42" i="125" a="1"/>
  <c r="R77" i="125" a="1"/>
  <c r="L68" i="125" a="1"/>
  <c r="R63" i="125" a="1"/>
  <c r="AE53" i="125" a="1"/>
  <c r="V49" i="125" a="1"/>
  <c r="C80" i="125" a="1"/>
  <c r="J61" i="125" a="1"/>
  <c r="Y43" i="125" a="1"/>
  <c r="E35" i="125" a="1"/>
  <c r="I30" i="125" a="1"/>
  <c r="X26" i="125" a="1"/>
  <c r="Z64" i="125" a="1"/>
  <c r="N48" i="125" a="1"/>
  <c r="J38" i="125" a="1"/>
  <c r="AD31" i="125" a="1"/>
  <c r="S27" i="125" a="1"/>
  <c r="D24" i="125" a="1"/>
  <c r="W19" i="125" a="1"/>
  <c r="I16" i="125" a="1"/>
  <c r="I12" i="125" a="1"/>
  <c r="C9" i="125" a="1"/>
  <c r="AF5" i="125" a="1"/>
  <c r="GV6" i="132" a="1"/>
  <c r="HH8" i="132" a="1"/>
  <c r="GV11" i="132" a="1"/>
  <c r="O82" i="125" a="1"/>
  <c r="V62" i="125" a="1"/>
  <c r="V44" i="125" a="1"/>
  <c r="R35" i="125" a="1"/>
  <c r="AF91" i="125" a="1"/>
  <c r="C66" i="125" a="1"/>
  <c r="AC78" i="125" a="1"/>
  <c r="X60" i="125" a="1"/>
  <c r="R45" i="125" a="1"/>
  <c r="D38" i="125" a="1"/>
  <c r="J32" i="125" a="1"/>
  <c r="G29" i="125" a="1"/>
  <c r="AA84" i="125" a="1"/>
  <c r="AB65" i="125" a="1"/>
  <c r="AA108" i="1" s="1"/>
  <c r="F49" i="125" a="1"/>
  <c r="G42" i="125" a="1"/>
  <c r="O35" i="125" a="1"/>
  <c r="I32" i="125" a="1"/>
  <c r="S29" i="125" a="1"/>
  <c r="AD26" i="125" a="1"/>
  <c r="L24" i="125" a="1"/>
  <c r="W21" i="125" a="1"/>
  <c r="E19" i="125" a="1"/>
  <c r="P16" i="125" a="1"/>
  <c r="D14" i="125" a="1"/>
  <c r="V11" i="125" a="1"/>
  <c r="J9" i="125" a="1"/>
  <c r="AB6" i="125" a="1"/>
  <c r="FW5" i="132" a="1"/>
  <c r="E72" i="125" a="1"/>
  <c r="N60" i="125" a="1"/>
  <c r="V47" i="125" a="1"/>
  <c r="O74" i="125" a="1"/>
  <c r="K77" i="125" a="1"/>
  <c r="I63" i="125" a="1"/>
  <c r="Y49" i="125" a="1"/>
  <c r="AA42" i="125" a="1"/>
  <c r="Z35" i="125" a="1"/>
  <c r="Q32" i="125" a="1"/>
  <c r="AA29" i="125" a="1"/>
  <c r="H27" i="125" a="1"/>
  <c r="T24" i="125" a="1"/>
  <c r="AE21" i="125" a="1"/>
  <c r="L19" i="125" a="1"/>
  <c r="X16" i="125" a="1"/>
  <c r="K14" i="125" a="1"/>
  <c r="AC11" i="125" a="1"/>
  <c r="Q9" i="125" a="1"/>
  <c r="E7" i="125" a="1"/>
  <c r="FP5" i="132" a="1"/>
  <c r="C81" i="125" a="1"/>
  <c r="L63" i="125" a="1"/>
  <c r="AE66" i="125" a="1"/>
  <c r="M29" i="125" a="1"/>
  <c r="I73" i="125" a="1"/>
  <c r="V51" i="125" a="1"/>
  <c r="P70" i="125" a="1"/>
  <c r="R50" i="125" a="1"/>
  <c r="K35" i="125" a="1"/>
  <c r="G73" i="125" a="1"/>
  <c r="R75" i="125" a="1"/>
  <c r="Y59" i="125" a="1"/>
  <c r="G46" i="125" a="1"/>
  <c r="I35" i="125" a="1"/>
  <c r="E76" i="125" a="1"/>
  <c r="M64" i="125" a="1"/>
  <c r="O50" i="125" a="1"/>
  <c r="AA40" i="125" a="1"/>
  <c r="L92" i="125" a="1"/>
  <c r="P74" i="125" a="1"/>
  <c r="F63" i="125" a="1"/>
  <c r="K49" i="125" a="1"/>
  <c r="AA39" i="125" a="1"/>
  <c r="M78" i="125" a="1"/>
  <c r="AE65" i="125" a="1"/>
  <c r="AB51" i="125" a="1"/>
  <c r="J42" i="125" a="1"/>
  <c r="X76" i="125" a="1"/>
  <c r="V67" i="125" a="1"/>
  <c r="L62" i="125" a="1"/>
  <c r="M53" i="125" a="1"/>
  <c r="S48" i="125" a="1"/>
  <c r="AA76" i="125" a="1"/>
  <c r="D54" i="125" a="1"/>
  <c r="Y42" i="125" a="1"/>
  <c r="C34" i="125" a="1"/>
  <c r="Z29" i="125" a="1"/>
  <c r="O86" i="125" a="1"/>
  <c r="AE62" i="125" a="1"/>
  <c r="AD45" i="125" a="1"/>
  <c r="V35" i="125" a="1"/>
  <c r="D31" i="125" a="1"/>
  <c r="F27" i="125" a="1"/>
  <c r="H23" i="125" a="1"/>
  <c r="J19" i="125" a="1"/>
  <c r="O15" i="125" a="1"/>
  <c r="AA11" i="125" a="1"/>
  <c r="I8" i="125" a="1"/>
  <c r="FR5" i="132" a="1"/>
  <c r="FR7" i="132" a="1"/>
  <c r="FR9" i="132" a="1"/>
  <c r="H93" i="125" a="1"/>
  <c r="I79" i="125" a="1"/>
  <c r="K59" i="125" a="1"/>
  <c r="T43" i="125" a="1"/>
  <c r="O34" i="125" a="1"/>
  <c r="T85" i="125" a="1"/>
  <c r="O62" i="125" a="1"/>
  <c r="W75" i="125" a="1"/>
  <c r="R53" i="125" a="1"/>
  <c r="L43" i="125" a="1"/>
  <c r="P35" i="125" a="1"/>
  <c r="Z31" i="125" a="1"/>
  <c r="X28" i="125" a="1"/>
  <c r="U81" i="125" a="1"/>
  <c r="J62" i="125" a="1"/>
  <c r="AB47" i="125" a="1"/>
  <c r="AA95" i="1" s="1"/>
  <c r="I41" i="125" a="1"/>
  <c r="AA34" i="125" a="1"/>
  <c r="X31" i="125" a="1"/>
  <c r="F29" i="125" a="1"/>
  <c r="Q26" i="125" a="1"/>
  <c r="AC23" i="125" a="1"/>
  <c r="J21" i="125" a="1"/>
  <c r="V18" i="125" a="1"/>
  <c r="D16" i="125" a="1"/>
  <c r="V13" i="125" a="1"/>
  <c r="J11" i="125" a="1"/>
  <c r="AB8" i="125" a="1"/>
  <c r="AA37" i="1" s="1"/>
  <c r="P6" i="125" a="1"/>
  <c r="Z88" i="125" a="1"/>
  <c r="T69" i="125" a="1"/>
  <c r="Z54" i="125" a="1"/>
  <c r="O46" i="125" a="1"/>
  <c r="S71" i="125" a="1"/>
  <c r="E74" i="125" a="1"/>
  <c r="P61" i="125" a="1"/>
  <c r="R48" i="125" a="1"/>
  <c r="X41" i="125" a="1"/>
  <c r="F35" i="125" a="1"/>
  <c r="C32" i="125" a="1"/>
  <c r="N29" i="125" a="1"/>
  <c r="Y26" i="125" a="1"/>
  <c r="F24" i="125" a="1"/>
  <c r="R21" i="125" a="1"/>
  <c r="AC18" i="125" a="1"/>
  <c r="K16" i="125" a="1"/>
  <c r="AC13" i="125" a="1"/>
  <c r="Q11" i="125" a="1"/>
  <c r="E9" i="125" a="1"/>
  <c r="W6" i="125" a="1"/>
  <c r="GB5" i="132" a="1"/>
  <c r="GT6" i="132" a="1"/>
  <c r="FJ8" i="132" a="1"/>
  <c r="GB9" i="132" a="1"/>
  <c r="GT11" i="132" a="1"/>
  <c r="S54" i="125" a="1"/>
  <c r="H86" i="125" a="1"/>
  <c r="J93" i="125" a="1"/>
  <c r="D61" i="125" a="1"/>
  <c r="G26" i="125" a="1"/>
  <c r="E68" i="125" a="1"/>
  <c r="AF85" i="125" a="1"/>
  <c r="AB66" i="125" a="1"/>
  <c r="AA111" i="1" s="1"/>
  <c r="L47" i="125" a="1"/>
  <c r="AC32" i="125" a="1"/>
  <c r="I69" i="125" a="1"/>
  <c r="AE70" i="125" a="1"/>
  <c r="G54" i="125" a="1"/>
  <c r="S44" i="125" a="1"/>
  <c r="F91" i="125" a="1"/>
  <c r="W73" i="125" a="1"/>
  <c r="Q62" i="125" a="1"/>
  <c r="AA48" i="125" a="1"/>
  <c r="M39" i="125" a="1"/>
  <c r="X86" i="125" a="1"/>
  <c r="L72" i="125" a="1"/>
  <c r="K61" i="125" a="1"/>
  <c r="W47" i="125" a="1"/>
  <c r="N38" i="125" a="1"/>
  <c r="AE75" i="125" a="1"/>
  <c r="E64" i="125" a="1"/>
  <c r="J50" i="125" a="1"/>
  <c r="Q88" i="125" a="1"/>
  <c r="AD75" i="125" a="1"/>
  <c r="F67" i="125" a="1"/>
  <c r="G61" i="125" a="1"/>
  <c r="AB52" i="125" a="1"/>
  <c r="AA76" i="1" s="1"/>
  <c r="AA80" i="1" s="1"/>
  <c r="S47" i="125" a="1"/>
  <c r="U73" i="125" a="1"/>
  <c r="D51" i="125" a="1"/>
  <c r="W41" i="125" a="1"/>
  <c r="AF32" i="125" a="1"/>
  <c r="L29" i="125" a="1"/>
  <c r="AF79" i="125" a="1"/>
  <c r="I61" i="125" a="1"/>
  <c r="X43" i="125" a="1"/>
  <c r="D35" i="125" a="1"/>
  <c r="H30" i="125" a="1"/>
  <c r="W26" i="125" a="1"/>
  <c r="L22" i="125" a="1"/>
  <c r="AA18" i="125" a="1"/>
  <c r="U14" i="125" a="1"/>
  <c r="O11" i="125" a="1"/>
  <c r="O7" i="125" a="1"/>
  <c r="GD5" i="132" a="1"/>
  <c r="GP7" i="132" a="1"/>
  <c r="GD9" i="132" a="1"/>
  <c r="AC82" i="125" a="1"/>
  <c r="C76" i="125" a="1"/>
  <c r="E52" i="125" a="1"/>
  <c r="Q42" i="125" a="1"/>
  <c r="N33" i="125" a="1"/>
  <c r="N82" i="125" a="1"/>
  <c r="G59" i="125" a="1"/>
  <c r="X72" i="125" a="1"/>
  <c r="Q50" i="125" a="1"/>
  <c r="L42" i="125" a="1"/>
  <c r="AB34" i="125" a="1"/>
  <c r="L31" i="125" a="1"/>
  <c r="K28" i="125" a="1"/>
  <c r="I75" i="125" a="1"/>
  <c r="R60" i="125" a="1"/>
  <c r="R46" i="125" a="1"/>
  <c r="O40" i="125" a="1"/>
  <c r="K34" i="125" a="1"/>
  <c r="K31" i="125" a="1"/>
  <c r="W28" i="125" a="1"/>
  <c r="D26" i="125" a="1"/>
  <c r="P23" i="125" a="1"/>
  <c r="AA20" i="125" a="1"/>
  <c r="I18" i="125" a="1"/>
  <c r="V15" i="125" a="1"/>
  <c r="J13" i="125" a="1"/>
  <c r="AB10" i="125" a="1"/>
  <c r="AA35" i="1" s="1"/>
  <c r="P8" i="125" a="1"/>
  <c r="D6" i="125" a="1"/>
  <c r="Z84" i="125" a="1"/>
  <c r="P67" i="125" a="1"/>
  <c r="H53" i="125" a="1"/>
  <c r="U87" i="125" a="1"/>
  <c r="T87" i="125" a="1"/>
  <c r="J71" i="125" a="1"/>
  <c r="AB59" i="125" a="1"/>
  <c r="K47" i="125" a="1"/>
  <c r="AC40" i="125" a="1"/>
  <c r="U34" i="125" a="1"/>
  <c r="S31" i="125" a="1"/>
  <c r="AD28" i="125" a="1"/>
  <c r="L26" i="125" a="1"/>
  <c r="W23" i="125" a="1"/>
  <c r="E21" i="125" a="1"/>
  <c r="P18" i="125" a="1"/>
  <c r="AC15" i="125" a="1"/>
  <c r="Q13" i="125" a="1"/>
  <c r="E11" i="125" a="1"/>
  <c r="W8" i="125" a="1"/>
  <c r="K6" i="125" a="1"/>
  <c r="GN5" i="132" a="1"/>
  <c r="HF6" i="132" a="1"/>
  <c r="FV8" i="132" a="1"/>
  <c r="GN9" i="132" a="1"/>
  <c r="HF11" i="132" a="1"/>
  <c r="S50" i="125" a="1"/>
  <c r="AA35" i="125" a="1"/>
  <c r="AD29" i="125" a="1"/>
  <c r="W25" i="125" a="1"/>
  <c r="I22" i="125" a="1"/>
  <c r="X18" i="125" a="1"/>
  <c r="L15" i="125" a="1"/>
  <c r="F12" i="125" a="1"/>
  <c r="AD8" i="125" a="1"/>
  <c r="W5" i="125" a="1"/>
  <c r="FU6" i="132" a="1"/>
  <c r="HC7" i="132" a="1"/>
  <c r="GG9" i="132" a="1"/>
  <c r="FK12" i="132" a="1"/>
  <c r="GD13" i="132" a="1"/>
  <c r="GV14" i="132" a="1"/>
  <c r="AF38" i="125" a="1"/>
  <c r="Z94" i="125" a="1"/>
  <c r="V50" i="125" a="1"/>
  <c r="G22" i="125" a="1"/>
  <c r="W65" i="125" a="1"/>
  <c r="N84" i="125" a="1"/>
  <c r="P64" i="125" a="1"/>
  <c r="L46" i="125" a="1"/>
  <c r="C88" i="125" a="1"/>
  <c r="C94" i="125" a="1"/>
  <c r="S68" i="125" a="1"/>
  <c r="AE50" i="125" a="1"/>
  <c r="M41" i="125" a="1"/>
  <c r="K83" i="125" a="1"/>
  <c r="W69" i="125" a="1"/>
  <c r="I59" i="125" a="1"/>
  <c r="U45" i="125" a="1"/>
  <c r="Z34" i="125" a="1"/>
  <c r="V81" i="125" a="1"/>
  <c r="P68" i="125" a="1"/>
  <c r="E54" i="125" a="1"/>
  <c r="Q44" i="125" a="1"/>
  <c r="S85" i="125" a="1"/>
  <c r="M71" i="125" a="1"/>
  <c r="V60" i="125" a="1"/>
  <c r="D47" i="125" a="1"/>
  <c r="F83" i="125" a="1"/>
  <c r="C72" i="125" a="1"/>
  <c r="AD65" i="125" a="1"/>
  <c r="S60" i="125" a="1"/>
  <c r="Y51" i="125" a="1"/>
  <c r="AE46" i="125" a="1"/>
  <c r="O68" i="125" a="1"/>
  <c r="X49" i="125" a="1"/>
  <c r="C40" i="125" a="1"/>
  <c r="P32" i="125" a="1"/>
  <c r="P28" i="125" a="1"/>
  <c r="Z76" i="125" a="1"/>
  <c r="C54" i="125" a="1"/>
  <c r="X42" i="125" a="1"/>
  <c r="AE33" i="125" a="1"/>
  <c r="X29" i="125" a="1"/>
  <c r="AA25" i="125" a="1"/>
  <c r="AC21" i="125" a="1"/>
  <c r="AE17" i="125" a="1"/>
  <c r="I14" i="125" a="1"/>
  <c r="U10" i="125" a="1"/>
  <c r="C7" i="125" a="1"/>
  <c r="HB5" i="132" a="1"/>
  <c r="HB7" i="132" a="1"/>
  <c r="HB9" i="132" a="1"/>
  <c r="W79" i="125" a="1"/>
  <c r="J70" i="125" a="1"/>
  <c r="X50" i="125" a="1"/>
  <c r="U40" i="125" a="1"/>
  <c r="AA32" i="125" a="1"/>
  <c r="AF75" i="125" a="1"/>
  <c r="S53" i="125" a="1"/>
  <c r="Y67" i="125" a="1"/>
  <c r="I49" i="125" a="1"/>
  <c r="J41" i="125" a="1"/>
  <c r="L34" i="125" a="1"/>
  <c r="AC30" i="125" a="1"/>
  <c r="O27" i="125" a="1"/>
  <c r="G72" i="125" a="1"/>
  <c r="AD54" i="125" a="1"/>
  <c r="M45" i="125" a="1"/>
  <c r="U39" i="125" a="1"/>
  <c r="Z33" i="125" a="1"/>
  <c r="AB30" i="125" a="1"/>
  <c r="J28" i="125" a="1"/>
  <c r="U25" i="125" a="1"/>
  <c r="C23" i="125" a="1"/>
  <c r="N20" i="125" a="1"/>
  <c r="Z17" i="125" a="1"/>
  <c r="J15" i="125" a="1"/>
  <c r="AB12" i="125" a="1"/>
  <c r="AA40" i="1" s="1"/>
  <c r="AA46" i="1" s="1"/>
  <c r="P10" i="125" a="1"/>
  <c r="D8" i="125" a="1"/>
  <c r="U5" i="125" a="1"/>
  <c r="T81" i="125" a="1"/>
  <c r="U65" i="125" a="1"/>
  <c r="T51" i="125" a="1"/>
  <c r="C84" i="125" a="1"/>
  <c r="I87" i="125" a="1"/>
  <c r="AA68" i="125" a="1"/>
  <c r="J54" i="125" a="1"/>
  <c r="C46" i="125" a="1"/>
  <c r="E40" i="125" a="1"/>
  <c r="D34" i="125" a="1"/>
  <c r="F31" i="125" a="1"/>
  <c r="Q28" i="125" a="1"/>
  <c r="AC25" i="125" a="1"/>
  <c r="J23" i="125" a="1"/>
  <c r="V20" i="125" a="1"/>
  <c r="C18" i="125" a="1"/>
  <c r="Q15" i="125" a="1"/>
  <c r="E13" i="125" a="1"/>
  <c r="W10" i="125" a="1"/>
  <c r="K8" i="125" a="1"/>
  <c r="AB5" i="125" a="1"/>
  <c r="GZ5" i="132" a="1"/>
  <c r="FP7" i="132" a="1"/>
  <c r="GH8" i="132" a="1"/>
  <c r="GZ9" i="132" a="1"/>
  <c r="FP12" i="132" a="1"/>
  <c r="R47" i="125" a="1"/>
  <c r="V34" i="125" a="1"/>
  <c r="H29" i="125" a="1"/>
  <c r="F25" i="125" a="1"/>
  <c r="U21" i="125" a="1"/>
  <c r="F18" i="125" a="1"/>
  <c r="Z14" i="125" a="1"/>
  <c r="T11" i="125" a="1"/>
  <c r="N8" i="125" a="1"/>
  <c r="G5" i="125" a="1"/>
  <c r="GK6" i="132" a="1"/>
  <c r="FO8" i="132" a="1"/>
  <c r="GU9" i="132" a="1"/>
  <c r="FX12" i="132" a="1"/>
  <c r="GP13" i="132" a="1"/>
  <c r="HH14" i="132" a="1"/>
  <c r="FX16" i="132" a="1"/>
  <c r="FP8" i="132" a="1"/>
  <c r="GV9" i="132" a="1"/>
  <c r="GK12" i="132" a="1"/>
  <c r="GE15" i="132" a="1"/>
  <c r="X91" i="125" a="1"/>
  <c r="S87" i="125" a="1"/>
  <c r="AB45" i="125" a="1"/>
  <c r="AA93" i="1" s="1"/>
  <c r="AE18" i="125" a="1"/>
  <c r="E62" i="125" a="1"/>
  <c r="T79" i="125" a="1"/>
  <c r="AD60" i="125" a="1"/>
  <c r="F43" i="125" a="1"/>
  <c r="Y82" i="125" a="1"/>
  <c r="F85" i="125" a="1"/>
  <c r="AE64" i="125" a="1"/>
  <c r="P50" i="125" a="1"/>
  <c r="AB40" i="125" a="1"/>
  <c r="Q82" i="125" a="1"/>
  <c r="G69" i="125" a="1"/>
  <c r="X54" i="125" a="1"/>
  <c r="F45" i="125" a="1"/>
  <c r="N34" i="125" a="1"/>
  <c r="AB80" i="125" a="1"/>
  <c r="AD67" i="125" a="1"/>
  <c r="T53" i="125" a="1"/>
  <c r="AF43" i="125" a="1"/>
  <c r="Y84" i="125" a="1"/>
  <c r="Y70" i="125" a="1"/>
  <c r="E60" i="125" a="1"/>
  <c r="Q46" i="125" a="1"/>
  <c r="L82" i="125" a="1"/>
  <c r="K71" i="125" a="1"/>
  <c r="X64" i="125" a="1"/>
  <c r="D60" i="125" a="1"/>
  <c r="Y50" i="125" a="1"/>
  <c r="P46" i="125" a="1"/>
  <c r="AA64" i="125" a="1"/>
  <c r="P48" i="125" a="1"/>
  <c r="X77" i="125" a="1"/>
  <c r="AD59" i="125" a="1"/>
  <c r="N40" i="125" a="1"/>
  <c r="D80" i="125" a="1"/>
  <c r="T59" i="125" a="1"/>
  <c r="G50" i="125" a="1"/>
  <c r="AE31" i="125" a="1"/>
  <c r="AB50" i="125" a="1"/>
  <c r="AA63" i="1" s="1"/>
  <c r="K29" i="125" a="1"/>
  <c r="E17" i="125" a="1"/>
  <c r="U6" i="125" a="1"/>
  <c r="FX11" i="132" a="1"/>
  <c r="P49" i="125" a="1"/>
  <c r="G70" i="125" a="1"/>
  <c r="AE47" i="125" a="1"/>
  <c r="C30" i="125" a="1"/>
  <c r="L53" i="125" a="1"/>
  <c r="I33" i="125" a="1"/>
  <c r="H25" i="125" a="1"/>
  <c r="L17" i="125" a="1"/>
  <c r="D10" i="125" a="1"/>
  <c r="N78" i="125" a="1"/>
  <c r="AA80" i="125" a="1"/>
  <c r="V52" i="125" a="1"/>
  <c r="R33" i="125" a="1"/>
  <c r="P25" i="125" a="1"/>
  <c r="T17" i="125" a="1"/>
  <c r="K10" i="125" a="1"/>
  <c r="FJ6" i="132" a="1"/>
  <c r="GT8" i="132" a="1"/>
  <c r="O88" i="125" a="1"/>
  <c r="J39" i="125" a="1"/>
  <c r="W27" i="125" a="1"/>
  <c r="Z22" i="125" a="1"/>
  <c r="AF16" i="125" a="1"/>
  <c r="V12" i="125" a="1"/>
  <c r="L7" i="125" a="1"/>
  <c r="FG6" i="132" a="1"/>
  <c r="GQ8" i="132" a="1"/>
  <c r="GY11" i="132" a="1"/>
  <c r="FL14" i="132" a="1"/>
  <c r="HB15" i="132" a="1"/>
  <c r="FE12" i="132" a="1"/>
  <c r="FH11" i="132" a="1"/>
  <c r="FM14" i="132" a="1"/>
  <c r="GK16" i="132" a="1"/>
  <c r="M47" i="125" a="1"/>
  <c r="P34" i="125" a="1"/>
  <c r="E29" i="125" a="1"/>
  <c r="E25" i="125" a="1"/>
  <c r="T21" i="125" a="1"/>
  <c r="E18" i="125" a="1"/>
  <c r="Y14" i="125" a="1"/>
  <c r="S11" i="125" a="1"/>
  <c r="M8" i="125" a="1"/>
  <c r="F5" i="125" a="1"/>
  <c r="GL6" i="132" a="1"/>
  <c r="GL11" i="132" a="1"/>
  <c r="GK14" i="132" a="1"/>
  <c r="AF83" i="125" a="1"/>
  <c r="P44" i="125" a="1"/>
  <c r="L33" i="125" a="1"/>
  <c r="L28" i="125" a="1"/>
  <c r="O24" i="125" a="1"/>
  <c r="AD20" i="125" a="1"/>
  <c r="P17" i="125" a="1"/>
  <c r="G14" i="125" a="1"/>
  <c r="AE10" i="125" a="1"/>
  <c r="Y7" i="125" a="1"/>
  <c r="FT5" i="132" a="1"/>
  <c r="HA6" i="132" a="1"/>
  <c r="GE8" i="132" a="1"/>
  <c r="FI11" i="132" a="1"/>
  <c r="GL12" i="132" a="1"/>
  <c r="Z46" i="125" a="1"/>
  <c r="J34" i="125" a="1"/>
  <c r="C29" i="125" a="1"/>
  <c r="AF24" i="125" a="1"/>
  <c r="Q21" i="125" a="1"/>
  <c r="S49" i="125" a="1"/>
  <c r="D82" i="125" a="1"/>
  <c r="AD40" i="125" a="1"/>
  <c r="W81" i="125" a="1"/>
  <c r="J67" i="125" a="1"/>
  <c r="AF45" i="125" a="1"/>
  <c r="Q86" i="125" a="1"/>
  <c r="E31" i="125" a="1"/>
  <c r="U49" i="125" a="1"/>
  <c r="O28" i="125" a="1"/>
  <c r="V16" i="125" a="1"/>
  <c r="Z5" i="125" a="1"/>
  <c r="GJ11" i="132" a="1"/>
  <c r="AB46" i="125" a="1"/>
  <c r="AA94" i="1" s="1"/>
  <c r="AB67" i="125" a="1"/>
  <c r="AA113" i="1" s="1"/>
  <c r="S46" i="125" a="1"/>
  <c r="T29" i="125" a="1"/>
  <c r="X51" i="125" a="1"/>
  <c r="W32" i="125" a="1"/>
  <c r="Y24" i="125" a="1"/>
  <c r="AC16" i="125" a="1"/>
  <c r="V9" i="125" a="1"/>
  <c r="H75" i="125" a="1"/>
  <c r="U77" i="125" a="1"/>
  <c r="G51" i="125" a="1"/>
  <c r="C33" i="125" a="1"/>
  <c r="C25" i="125" a="1"/>
  <c r="G17" i="125" a="1"/>
  <c r="AC9" i="125" a="1"/>
  <c r="FV6" i="132" a="1"/>
  <c r="HF8" i="132" a="1"/>
  <c r="P69" i="125" a="1"/>
  <c r="S33" i="125" a="1"/>
  <c r="AC26" i="125" a="1"/>
  <c r="D21" i="125" a="1"/>
  <c r="N16" i="125" a="1"/>
  <c r="D11" i="125" a="1"/>
  <c r="Z6" i="125" a="1"/>
  <c r="GY6" i="132" a="1"/>
  <c r="HE8" i="132" a="1"/>
  <c r="GJ12" i="132" a="1"/>
  <c r="FX14" i="132" a="1"/>
  <c r="FL16" i="132" a="1"/>
  <c r="GD8" i="132" a="1"/>
  <c r="FW11" i="132" a="1"/>
  <c r="FY14" i="132" a="1"/>
  <c r="Q84" i="125" a="1"/>
  <c r="Y44" i="125" a="1"/>
  <c r="O33" i="125" a="1"/>
  <c r="M28" i="125" a="1"/>
  <c r="P24" i="125" a="1"/>
  <c r="AF20" i="125" a="1"/>
  <c r="Q17" i="125" a="1"/>
  <c r="H14" i="125" a="1"/>
  <c r="AF10" i="125" a="1"/>
  <c r="Z7" i="125" a="1"/>
  <c r="FS5" i="132" a="1"/>
  <c r="GZ6" i="132" a="1"/>
  <c r="GW12" i="132" a="1"/>
  <c r="FG15" i="132" a="1"/>
  <c r="AE68" i="125" a="1"/>
  <c r="M42" i="125" a="1"/>
  <c r="K32" i="125" a="1"/>
  <c r="R27" i="125" a="1"/>
  <c r="AB23" i="125" a="1"/>
  <c r="M20" i="125" a="1"/>
  <c r="AB16" i="125" a="1"/>
  <c r="U13" i="125" a="1"/>
  <c r="O10" i="125" a="1"/>
  <c r="I7" i="125" a="1"/>
  <c r="GI5" i="132" a="1"/>
  <c r="FM7" i="132" a="1"/>
  <c r="GS8" i="132" a="1"/>
  <c r="FY11" i="132" a="1"/>
  <c r="K81" i="125" a="1"/>
  <c r="L44" i="125" a="1"/>
  <c r="G33" i="125" a="1"/>
  <c r="I28" i="125" a="1"/>
  <c r="N24" i="125" a="1"/>
  <c r="AC20" i="125" a="1"/>
  <c r="M46" i="125" a="1"/>
  <c r="I34" i="125" a="1"/>
  <c r="Y61" i="125" a="1"/>
  <c r="G40" i="125" a="1"/>
  <c r="H31" i="125" a="1"/>
  <c r="T39" i="125" a="1"/>
  <c r="G81" i="125" a="1"/>
  <c r="Q68" i="125" a="1"/>
  <c r="D53" i="125" a="1"/>
  <c r="R81" i="125" a="1"/>
  <c r="D63" i="125" a="1"/>
  <c r="T27" i="125" a="1"/>
  <c r="V41" i="125" a="1"/>
  <c r="AD24" i="125" a="1"/>
  <c r="AA13" i="125" a="1"/>
  <c r="FX6" i="132" a="1"/>
  <c r="Q76" i="125" a="1"/>
  <c r="AE38" i="125" a="1"/>
  <c r="AE51" i="125" a="1"/>
  <c r="Q40" i="125" a="1"/>
  <c r="AF26" i="125" a="1"/>
  <c r="M44" i="125" a="1"/>
  <c r="O30" i="125" a="1"/>
  <c r="T22" i="125" a="1"/>
  <c r="AB14" i="125" a="1"/>
  <c r="AA43" i="1" s="1"/>
  <c r="V7" i="125" a="1"/>
  <c r="AB63" i="125" a="1"/>
  <c r="AA107" i="1" s="1"/>
  <c r="AA109" i="1" s="1"/>
  <c r="W83" i="125" a="1"/>
  <c r="AD44" i="125" a="1"/>
  <c r="W30" i="125" a="1"/>
  <c r="AA22" i="125" a="1"/>
  <c r="E15" i="125" a="1"/>
  <c r="AC7" i="125" a="1"/>
  <c r="GH6" i="132" a="1"/>
  <c r="FP9" i="132" a="1"/>
  <c r="U63" i="125" a="1"/>
  <c r="R32" i="125" a="1"/>
  <c r="K26" i="125" a="1"/>
  <c r="P20" i="125" a="1"/>
  <c r="AB15" i="125" a="1"/>
  <c r="AA44" i="1" s="1"/>
  <c r="R10" i="125" a="1"/>
  <c r="J6" i="125" a="1"/>
  <c r="FK7" i="132" a="1"/>
  <c r="FS9" i="132" a="1"/>
  <c r="GV12" i="132" a="1"/>
  <c r="GJ14" i="132" a="1"/>
  <c r="GJ16" i="132" a="1"/>
  <c r="GR8" i="132" a="1"/>
  <c r="GZ11" i="132" a="1"/>
  <c r="GW14" i="132" a="1"/>
  <c r="D69" i="125" a="1"/>
  <c r="S42" i="125" a="1"/>
  <c r="M32" i="125" a="1"/>
  <c r="V27" i="125" a="1"/>
  <c r="AD23" i="125" a="1"/>
  <c r="O20" i="125" a="1"/>
  <c r="AD16" i="125" a="1"/>
  <c r="W13" i="125" a="1"/>
  <c r="Q10" i="125" a="1"/>
  <c r="K7" i="125" a="1"/>
  <c r="GH5" i="132" a="1"/>
  <c r="FL7" i="132" a="1"/>
  <c r="FG13" i="132" a="1"/>
  <c r="HC15" i="132" a="1"/>
  <c r="P63" i="125" a="1"/>
  <c r="S40" i="125" a="1"/>
  <c r="N31" i="125" a="1"/>
  <c r="AA26" i="125" a="1"/>
  <c r="K23" i="125" a="1"/>
  <c r="AA19" i="125" a="1"/>
  <c r="L16" i="125" a="1"/>
  <c r="F13" i="125" a="1"/>
  <c r="AD9" i="125" a="1"/>
  <c r="X6" i="125" a="1"/>
  <c r="GW5" i="132" a="1"/>
  <c r="GA7" i="132" a="1"/>
  <c r="FG9" i="132" a="1"/>
  <c r="GM11" i="132" a="1"/>
  <c r="J68" i="125" a="1"/>
  <c r="F42" i="125" a="1"/>
  <c r="H32" i="125" a="1"/>
  <c r="Q27" i="125" a="1"/>
  <c r="AA23" i="125" a="1"/>
  <c r="Z80" i="125" a="1"/>
  <c r="G44" i="125" a="1"/>
  <c r="F33" i="125" a="1"/>
  <c r="AD52" i="125" a="1"/>
  <c r="S38" i="125" a="1"/>
  <c r="M30" i="125" a="1"/>
  <c r="C26" i="125" a="1"/>
  <c r="R22" i="125" a="1"/>
  <c r="D19" i="125" a="1"/>
  <c r="U15" i="125" a="1"/>
  <c r="O12" i="125" a="1"/>
  <c r="I9" i="125" a="1"/>
  <c r="C6" i="125" a="1"/>
  <c r="FN6" i="132" a="1"/>
  <c r="GT7" i="132" a="1"/>
  <c r="FX9" i="132" a="1"/>
  <c r="HD11" i="132" a="1"/>
  <c r="FW13" i="132" a="1"/>
  <c r="AC48" i="125" a="1"/>
  <c r="G35" i="125" a="1"/>
  <c r="R29" i="125" a="1"/>
  <c r="O25" i="125" a="1"/>
  <c r="AD21" i="125" a="1"/>
  <c r="O18" i="125" a="1"/>
  <c r="D15" i="125" a="1"/>
  <c r="AB11" i="125" a="1"/>
  <c r="AA41" i="1" s="1"/>
  <c r="V8" i="125" a="1"/>
  <c r="O5" i="125" a="1"/>
  <c r="GC6" i="132" a="1"/>
  <c r="FG8" i="132" a="1"/>
  <c r="GM9" i="132" a="1"/>
  <c r="FR12" i="132" a="1"/>
  <c r="GJ13" i="132" a="1"/>
  <c r="HB14" i="132" a="1"/>
  <c r="FR16" i="132" a="1"/>
  <c r="AC74" i="125" a="1"/>
  <c r="V43" i="125" a="1"/>
  <c r="AB32" i="125" a="1"/>
  <c r="AE27" i="125" a="1"/>
  <c r="AA50" i="125" a="1"/>
  <c r="AB35" i="125" a="1"/>
  <c r="AE29" i="125" a="1"/>
  <c r="X25" i="125" a="1"/>
  <c r="J22" i="125" a="1"/>
  <c r="Y18" i="125" a="1"/>
  <c r="M15" i="125" a="1"/>
  <c r="G12" i="125" a="1"/>
  <c r="AE8" i="125" a="1"/>
  <c r="X5" i="125" a="1"/>
  <c r="FT6" i="132" a="1"/>
  <c r="HA7" i="132" a="1"/>
  <c r="GF9" i="132" a="1"/>
  <c r="FJ12" i="132" a="1"/>
  <c r="GC13" i="132" a="1"/>
  <c r="GU14" i="132" a="1"/>
  <c r="Y32" i="125" a="1"/>
  <c r="X21" i="125" a="1"/>
  <c r="T14" i="125" a="1"/>
  <c r="H8" i="125" a="1"/>
  <c r="GO6" i="132" a="1"/>
  <c r="GY9" i="132" a="1"/>
  <c r="GL13" i="132" a="1"/>
  <c r="L88" i="125" a="1"/>
  <c r="AD81" i="125" a="1"/>
  <c r="F54" i="125" a="1"/>
  <c r="P43" i="125" a="1"/>
  <c r="X70" i="125" a="1"/>
  <c r="AE45" i="125" a="1"/>
  <c r="G27" i="125" a="1"/>
  <c r="AE39" i="125" a="1"/>
  <c r="Q24" i="125" a="1"/>
  <c r="C13" i="125" a="1"/>
  <c r="GJ6" i="132" a="1"/>
  <c r="C92" i="125" a="1"/>
  <c r="H38" i="125" a="1"/>
  <c r="K85" i="125" a="1"/>
  <c r="V39" i="125" a="1"/>
  <c r="AA88" i="125" a="1"/>
  <c r="J43" i="125" a="1"/>
  <c r="AF29" i="125" a="1"/>
  <c r="F22" i="125" a="1"/>
  <c r="P14" i="125" a="1"/>
  <c r="J7" i="125" a="1"/>
  <c r="C62" i="125" a="1"/>
  <c r="Q80" i="125" a="1"/>
  <c r="AD43" i="125" a="1"/>
  <c r="J30" i="125" a="1"/>
  <c r="N22" i="125" a="1"/>
  <c r="W14" i="125" a="1"/>
  <c r="Q7" i="125" a="1"/>
  <c r="GB7" i="132" a="1"/>
  <c r="FJ11" i="132" a="1"/>
  <c r="AE44" i="125" a="1"/>
  <c r="T31" i="125" a="1"/>
  <c r="R24" i="125" a="1"/>
  <c r="AC19" i="125" a="1"/>
  <c r="J14" i="125" a="1"/>
  <c r="AF9" i="125" a="1"/>
  <c r="FQ5" i="132" a="1"/>
  <c r="FY7" i="132" a="1"/>
  <c r="FG11" i="132" a="1"/>
  <c r="HH12" i="132" a="1"/>
  <c r="FR15" i="132" a="1"/>
  <c r="GV16" i="132" a="1"/>
  <c r="HG8" i="132" a="1"/>
  <c r="FL12" i="132" a="1"/>
  <c r="FS15" i="132" a="1"/>
  <c r="T63" i="125" a="1"/>
  <c r="V40" i="125" a="1"/>
  <c r="P31" i="125" a="1"/>
  <c r="AB26" i="125" a="1"/>
  <c r="AA54" i="1" s="1"/>
  <c r="L23" i="125" a="1"/>
  <c r="AB19" i="125" a="1"/>
  <c r="AA49" i="1" s="1"/>
  <c r="M16" i="125" a="1"/>
  <c r="G13" i="125" a="1"/>
  <c r="AE9" i="125" a="1"/>
  <c r="Y6" i="125" a="1"/>
  <c r="GV5" i="132" a="1"/>
  <c r="FZ7" i="132" a="1"/>
  <c r="FS13" i="132" a="1"/>
  <c r="FY16" i="132" a="1"/>
  <c r="O54" i="125" a="1"/>
  <c r="AA38" i="125" a="1"/>
  <c r="R30" i="125" a="1"/>
  <c r="H26" i="125" a="1"/>
  <c r="W22" i="125" a="1"/>
  <c r="H19" i="125" a="1"/>
  <c r="Y15" i="125" a="1"/>
  <c r="S12" i="125" a="1"/>
  <c r="M9" i="125" a="1"/>
  <c r="G6" i="125" a="1"/>
  <c r="FI6" i="132" a="1"/>
  <c r="GQ7" i="132" a="1"/>
  <c r="FU9" i="132" a="1"/>
  <c r="HA11" i="132" a="1"/>
  <c r="AA62" i="125" a="1"/>
  <c r="J40" i="125" a="1"/>
  <c r="J31" i="125" a="1"/>
  <c r="Z26" i="125" a="1"/>
  <c r="I23" i="125" a="1"/>
  <c r="I67" i="125" a="1"/>
  <c r="D42" i="125" a="1"/>
  <c r="F32" i="125" a="1"/>
  <c r="J49" i="125" a="1"/>
  <c r="J35" i="125" a="1"/>
  <c r="U29" i="125" a="1"/>
  <c r="Q25" i="125" a="1"/>
  <c r="AF21" i="125" a="1"/>
  <c r="Q18" i="125" a="1"/>
  <c r="F15" i="125" a="1"/>
  <c r="AD11" i="125" a="1"/>
  <c r="X8" i="125" a="1"/>
  <c r="Q5" i="125" a="1"/>
  <c r="GB6" i="132" a="1"/>
  <c r="HH7" i="132" a="1"/>
  <c r="GL9" i="132" a="1"/>
  <c r="AE60" i="125" a="1"/>
  <c r="Y63" i="125" a="1"/>
  <c r="R44" i="125" a="1"/>
  <c r="AE83" i="125" a="1"/>
  <c r="D64" i="125" a="1"/>
  <c r="L38" i="125" a="1"/>
  <c r="T73" i="125" a="1"/>
  <c r="AD32" i="125" a="1"/>
  <c r="P21" i="125" a="1"/>
  <c r="AA9" i="125" a="1"/>
  <c r="FL8" i="132" a="1"/>
  <c r="J66" i="125" a="1"/>
  <c r="L32" i="125" a="1"/>
  <c r="G64" i="125" a="1"/>
  <c r="AA33" i="125" a="1"/>
  <c r="U69" i="125" a="1"/>
  <c r="Y38" i="125" a="1"/>
  <c r="AA27" i="125" a="1"/>
  <c r="AE19" i="125" a="1"/>
  <c r="P12" i="125" a="1"/>
  <c r="I5" i="125" a="1"/>
  <c r="L50" i="125" a="1"/>
  <c r="AA66" i="125" a="1"/>
  <c r="I39" i="125" a="1"/>
  <c r="D28" i="125" a="1"/>
  <c r="I20" i="125" a="1"/>
  <c r="W12" i="125" a="1"/>
  <c r="P5" i="125" a="1"/>
  <c r="GN7" i="132" a="1"/>
  <c r="FV11" i="132" a="1"/>
  <c r="AB42" i="125" a="1"/>
  <c r="X30" i="125" a="1"/>
  <c r="AE23" i="125" a="1"/>
  <c r="K19" i="125" a="1"/>
  <c r="X13" i="125" a="1"/>
  <c r="P9" i="125" a="1"/>
  <c r="GG5" i="132" a="1"/>
  <c r="GM7" i="132" a="1"/>
  <c r="FU11" i="132" a="1"/>
  <c r="FR13" i="132" a="1"/>
  <c r="GD15" i="132" a="1"/>
  <c r="HH16" i="132" a="1"/>
  <c r="FT9" i="132" a="1"/>
  <c r="FY12" i="132" a="1"/>
  <c r="GQ15" i="132" a="1"/>
  <c r="R54" i="125" a="1"/>
  <c r="D39" i="125" a="1"/>
  <c r="T30" i="125" a="1"/>
  <c r="I26" i="125" a="1"/>
  <c r="X22" i="125" a="1"/>
  <c r="I19" i="125" a="1"/>
  <c r="Z15" i="125" a="1"/>
  <c r="T12" i="125" a="1"/>
  <c r="N9" i="125" a="1"/>
  <c r="H6" i="125" a="1"/>
  <c r="FH6" i="132" a="1"/>
  <c r="GO7" i="132" a="1"/>
  <c r="GE13" i="132" a="1"/>
  <c r="GW16" i="132" a="1"/>
  <c r="D50" i="125" a="1"/>
  <c r="Q35" i="125" a="1"/>
  <c r="AB29" i="125" a="1"/>
  <c r="T25" i="125" a="1"/>
  <c r="E22" i="125" a="1"/>
  <c r="U18" i="125" a="1"/>
  <c r="I15" i="125" a="1"/>
  <c r="C12" i="125" a="1"/>
  <c r="AA8" i="125" a="1"/>
  <c r="T5" i="125" a="1"/>
  <c r="FY6" i="132" a="1"/>
  <c r="HE7" i="132" a="1"/>
  <c r="GI9" i="132" a="1"/>
  <c r="FM12" i="132" a="1"/>
  <c r="AD53" i="125" a="1"/>
  <c r="X38" i="125" a="1"/>
  <c r="Q30" i="125" a="1"/>
  <c r="F26" i="125" a="1"/>
  <c r="V22" i="125" a="1"/>
  <c r="AB61" i="125" a="1"/>
  <c r="I40" i="125" a="1"/>
  <c r="I31" i="125" a="1"/>
  <c r="J46" i="125" a="1"/>
  <c r="H34" i="125" a="1"/>
  <c r="AA28" i="125" a="1"/>
  <c r="AB24" i="125" a="1"/>
  <c r="N21" i="125" a="1"/>
  <c r="AC17" i="125" a="1"/>
  <c r="S14" i="125" a="1"/>
  <c r="M11" i="125" a="1"/>
  <c r="G8" i="125" a="1"/>
  <c r="FH5" i="132" a="1"/>
  <c r="GP6" i="132" a="1"/>
  <c r="FT8" i="132" a="1"/>
  <c r="HA9" i="132" a="1"/>
  <c r="GC12" i="132" a="1"/>
  <c r="T77" i="125" a="1"/>
  <c r="AE43" i="125" a="1"/>
  <c r="D33" i="125" a="1"/>
  <c r="E28" i="125" a="1"/>
  <c r="J24" i="125" a="1"/>
  <c r="Y20" i="125" a="1"/>
  <c r="J17" i="125" a="1"/>
  <c r="AF13" i="125" a="1"/>
  <c r="Z10" i="125" a="1"/>
  <c r="T7" i="125" a="1"/>
  <c r="FY5" i="132" a="1"/>
  <c r="HE6" i="132" a="1"/>
  <c r="GK8" i="132" a="1"/>
  <c r="FO11" i="132" a="1"/>
  <c r="GP12" i="132" a="1"/>
  <c r="HH13" i="132" a="1"/>
  <c r="FX15" i="132" a="1"/>
  <c r="GP16" i="132" a="1"/>
  <c r="F61" i="125" a="1"/>
  <c r="Y39" i="125" a="1"/>
  <c r="C31" i="125" a="1"/>
  <c r="R26" i="125" a="1"/>
  <c r="H45" i="125" a="1"/>
  <c r="U33" i="125" a="1"/>
  <c r="R28" i="125" a="1"/>
  <c r="U24" i="125" a="1"/>
  <c r="F21" i="125" a="1"/>
  <c r="U17" i="125" a="1"/>
  <c r="L14" i="125" a="1"/>
  <c r="F11" i="125" a="1"/>
  <c r="AD7" i="125" a="1"/>
  <c r="FO5" i="132" a="1"/>
  <c r="N76" i="125" a="1"/>
  <c r="AE49" i="125" a="1"/>
  <c r="AF33" i="125" a="1"/>
  <c r="E70" i="125" a="1"/>
  <c r="AE54" i="125" a="1"/>
  <c r="X35" i="125" a="1"/>
  <c r="N68" i="125" a="1"/>
  <c r="O32" i="125" a="1"/>
  <c r="T20" i="125" a="1"/>
  <c r="O9" i="125" a="1"/>
  <c r="GJ8" i="132" a="1"/>
  <c r="O64" i="125" a="1"/>
  <c r="O31" i="125" a="1"/>
  <c r="N62" i="125" a="1"/>
  <c r="X32" i="125" a="1"/>
  <c r="U67" i="125" a="1"/>
  <c r="AE35" i="125" a="1"/>
  <c r="N27" i="125" a="1"/>
  <c r="R19" i="125" a="1"/>
  <c r="D12" i="125" a="1"/>
  <c r="FK5" i="132" a="1"/>
  <c r="AE48" i="125" a="1"/>
  <c r="D65" i="125" a="1"/>
  <c r="M38" i="125" a="1"/>
  <c r="U27" i="125" a="1"/>
  <c r="Z19" i="125" a="1"/>
  <c r="K12" i="125" a="1"/>
  <c r="D5" i="125" a="1"/>
  <c r="GZ7" i="132" a="1"/>
  <c r="GH11" i="132" a="1"/>
  <c r="AE40" i="125" a="1"/>
  <c r="N28" i="125" a="1"/>
  <c r="N23" i="125" a="1"/>
  <c r="S17" i="125" a="1"/>
  <c r="H13" i="125" a="1"/>
  <c r="AB7" i="125" a="1"/>
  <c r="AA34" i="1" s="1"/>
  <c r="GU5" i="132" a="1"/>
  <c r="GC8" i="132" a="1"/>
  <c r="GK11" i="132" a="1"/>
  <c r="HB13" i="132" a="1"/>
  <c r="GP15" i="132" a="1"/>
  <c r="FD5" i="132" a="1"/>
  <c r="GH9" i="132" a="1"/>
  <c r="GQ13" i="132" a="1"/>
  <c r="FM16" i="132" a="1"/>
  <c r="F50" i="125" a="1"/>
  <c r="S35" i="125" a="1"/>
  <c r="AC29" i="125" a="1"/>
  <c r="V25" i="125" a="1"/>
  <c r="H22" i="125" a="1"/>
  <c r="W18" i="125" a="1"/>
  <c r="K15" i="125" a="1"/>
  <c r="E12" i="125" a="1"/>
  <c r="AC8" i="125" a="1"/>
  <c r="V5" i="125" a="1"/>
  <c r="FW6" i="132" a="1"/>
  <c r="HD7" i="132" a="1"/>
  <c r="HC13" i="132" a="1"/>
  <c r="FD7" i="132" a="1"/>
  <c r="AD46" i="125" a="1"/>
  <c r="M34" i="125" a="1"/>
  <c r="D29" i="125" a="1"/>
  <c r="D25" i="125" a="1"/>
  <c r="S21" i="125" a="1"/>
  <c r="D18" i="125" a="1"/>
  <c r="X14" i="125" a="1"/>
  <c r="R11" i="125" a="1"/>
  <c r="L8" i="125" a="1"/>
  <c r="E5" i="125" a="1"/>
  <c r="GM6" i="132" a="1"/>
  <c r="FQ8" i="132" a="1"/>
  <c r="GW9" i="132" a="1"/>
  <c r="FZ12" i="132" a="1"/>
  <c r="AF49" i="125" a="1"/>
  <c r="N35" i="125" a="1"/>
  <c r="W29" i="125" a="1"/>
  <c r="S25" i="125" a="1"/>
  <c r="D22" i="125" a="1"/>
  <c r="AE52" i="125" a="1"/>
  <c r="V38" i="125" a="1"/>
  <c r="E78" i="125" a="1"/>
  <c r="E44" i="125" a="1"/>
  <c r="E33" i="125" a="1"/>
  <c r="F28" i="125" a="1"/>
  <c r="K24" i="125" a="1"/>
  <c r="Z20" i="125" a="1"/>
  <c r="K17" i="125" a="1"/>
  <c r="C14" i="125" a="1"/>
  <c r="AA10" i="125" a="1"/>
  <c r="U7" i="125" a="1"/>
  <c r="FX5" i="132" a="1"/>
  <c r="HD6" i="132" a="1"/>
  <c r="GI8" i="132" a="1"/>
  <c r="FN11" i="132" a="1"/>
  <c r="GO12" i="132" a="1"/>
  <c r="D67" i="125" a="1"/>
  <c r="Y41" i="125" a="1"/>
  <c r="D32" i="125" a="1"/>
  <c r="K27" i="125" a="1"/>
  <c r="V23" i="125" a="1"/>
  <c r="H20" i="125" a="1"/>
  <c r="W16" i="125" a="1"/>
  <c r="P13" i="125" a="1"/>
  <c r="J10" i="125" a="1"/>
  <c r="D7" i="125" a="1"/>
  <c r="GM5" i="132" a="1"/>
  <c r="FS7" i="132" a="1"/>
  <c r="GY8" i="132" a="1"/>
  <c r="GC11" i="132" a="1"/>
  <c r="HB12" i="132" a="1"/>
  <c r="FR14" i="132" a="1"/>
  <c r="GJ15" i="132" a="1"/>
  <c r="HB16" i="132" a="1"/>
  <c r="L52" i="125" a="1"/>
  <c r="L35" i="125" a="1"/>
  <c r="X23" i="125" a="1"/>
  <c r="R13" i="125" a="1"/>
  <c r="GL5" i="132" a="1"/>
  <c r="GB11" i="132" a="1"/>
  <c r="U61" i="125" a="1"/>
  <c r="G31" i="125" a="1"/>
  <c r="E23" i="125" a="1"/>
  <c r="F16" i="125" a="1"/>
  <c r="X9" i="125" a="1"/>
  <c r="HC5" i="132" a="1"/>
  <c r="FK9" i="132" a="1"/>
  <c r="FL13" i="132" a="1"/>
  <c r="GV15" i="132" a="1"/>
  <c r="Y48" i="125" a="1"/>
  <c r="AC31" i="125" a="1"/>
  <c r="V64" i="125" a="1"/>
  <c r="W34" i="125" a="1"/>
  <c r="C27" i="125" a="1"/>
  <c r="V21" i="125" a="1"/>
  <c r="O16" i="125" a="1"/>
  <c r="U11" i="125" a="1"/>
  <c r="AA6" i="125" a="1"/>
  <c r="GI6" i="132" a="1"/>
  <c r="GB8" i="132" a="1"/>
  <c r="FT11" i="132" a="1"/>
  <c r="HG12" i="132" a="1"/>
  <c r="GI14" i="132" a="1"/>
  <c r="D30" i="125" a="1"/>
  <c r="F19" i="125" a="1"/>
  <c r="N11" i="125" a="1"/>
  <c r="GK5" i="132" a="1"/>
  <c r="FW9" i="132" a="1"/>
  <c r="HE13" i="132" a="1"/>
  <c r="GZ15" i="132" a="1"/>
  <c r="Q14" i="125" a="1"/>
  <c r="FP6" i="132" a="1"/>
  <c r="HG11" i="132" a="1"/>
  <c r="GN14" i="132" a="1"/>
  <c r="R71" i="125" a="1"/>
  <c r="FQ6" i="132" a="1"/>
  <c r="GH12" i="132" a="1"/>
  <c r="N26" i="125" a="1"/>
  <c r="X10" i="125" a="1"/>
  <c r="FZ16" i="132" a="1"/>
  <c r="GG14" i="132" a="1"/>
  <c r="V32" i="125" a="1"/>
  <c r="O21" i="125" a="1"/>
  <c r="H10" i="125" a="1"/>
  <c r="FP11" i="132" a="1"/>
  <c r="AD34" i="125" a="1"/>
  <c r="M22" i="125" a="1"/>
  <c r="GA6" i="132" a="1"/>
  <c r="D17" i="125" a="1"/>
  <c r="G19" i="125" a="1"/>
  <c r="FN16" i="132" a="1"/>
  <c r="M6" i="125" a="1"/>
  <c r="FV9" i="132" a="1"/>
  <c r="FE16" i="132" a="1"/>
  <c r="GW11" i="132" a="1"/>
  <c r="H67" i="125" a="1"/>
  <c r="F23" i="125" a="1"/>
  <c r="AE12" i="125" a="1"/>
  <c r="HA5" i="132" a="1"/>
  <c r="GP11" i="132" a="1"/>
  <c r="AA52" i="125" a="1"/>
  <c r="L30" i="125" a="1"/>
  <c r="Q22" i="125" a="1"/>
  <c r="T15" i="125" a="1"/>
  <c r="H9" i="125" a="1"/>
  <c r="FO6" i="132" a="1"/>
  <c r="FY9" i="132" a="1"/>
  <c r="FX13" i="132" a="1"/>
  <c r="HH15" i="132" a="1"/>
  <c r="Y45" i="125" a="1"/>
  <c r="K30" i="125" a="1"/>
  <c r="R59" i="125" a="1"/>
  <c r="T32" i="125" a="1"/>
  <c r="M26" i="125" a="1"/>
  <c r="Q20" i="125" a="1"/>
  <c r="AD15" i="125" a="1"/>
  <c r="S10" i="125" a="1"/>
  <c r="L6" i="125" a="1"/>
  <c r="GX6" i="132" a="1"/>
  <c r="GP8" i="132" a="1"/>
  <c r="GI11" i="132" a="1"/>
  <c r="FQ13" i="132" a="1"/>
  <c r="HG14" i="132" a="1"/>
  <c r="Z27" i="125" a="1"/>
  <c r="AD17" i="125" a="1"/>
  <c r="M10" i="125" a="1"/>
  <c r="FM6" i="132" a="1"/>
  <c r="GA11" i="132" a="1"/>
  <c r="FT14" i="132" a="1"/>
  <c r="FO16" i="132" a="1"/>
  <c r="N13" i="125" a="1"/>
  <c r="GR6" i="132" a="1"/>
  <c r="GE12" i="132" a="1"/>
  <c r="HE14" i="132" a="1"/>
  <c r="P39" i="125" a="1"/>
  <c r="HC12" i="132" a="1"/>
  <c r="FZ15" i="132" a="1"/>
  <c r="Z24" i="125" a="1"/>
  <c r="L5" i="125" a="1"/>
  <c r="K18" i="125" a="1"/>
  <c r="HF16" i="132" a="1"/>
  <c r="V29" i="125" a="1"/>
  <c r="E20" i="125" a="1"/>
  <c r="G9" i="125" a="1"/>
  <c r="FT13" i="132" a="1"/>
  <c r="P29" i="125" a="1"/>
  <c r="M13" i="125" a="1"/>
  <c r="GW7" i="132" a="1"/>
  <c r="HF14" i="132" a="1"/>
  <c r="GS13" i="132" a="1"/>
  <c r="FI13" i="132" a="1"/>
  <c r="GE6" i="132" a="1"/>
  <c r="FK8" i="132" a="1"/>
  <c r="FO9" i="132" a="1"/>
  <c r="AC22" i="125" a="1"/>
  <c r="AE6" i="125" a="1"/>
  <c r="GF12" i="132" a="1"/>
  <c r="GQ14" i="132" a="1"/>
  <c r="FY13" i="132" a="1"/>
  <c r="GD6" i="132" a="1"/>
  <c r="FH16" i="132" a="1"/>
  <c r="FJ13" i="132" a="1"/>
  <c r="P7" i="125" a="1"/>
  <c r="AA21" i="125" a="1"/>
  <c r="E27" i="125" a="1"/>
  <c r="AB18" i="125" a="1"/>
  <c r="AA51" i="1" s="1"/>
  <c r="J12" i="125" a="1"/>
  <c r="AA5" i="125" a="1"/>
  <c r="GX7" i="132" a="1"/>
  <c r="FH12" i="132" a="1"/>
  <c r="FY15" i="132" a="1"/>
  <c r="Z11" i="125" a="1"/>
  <c r="N6" i="125" a="1"/>
  <c r="GE5" i="132" a="1"/>
  <c r="GB16" i="132" a="1"/>
  <c r="D27" i="125" a="1"/>
  <c r="Z18" i="125" a="1"/>
  <c r="H12" i="125" a="1"/>
  <c r="Y5" i="125" a="1"/>
  <c r="GY7" i="132" a="1"/>
  <c r="FI12" i="132" a="1"/>
  <c r="T28" i="125" a="1"/>
  <c r="GR12" i="132" a="1"/>
  <c r="FM13" i="132" a="1"/>
  <c r="J45" i="125" a="1"/>
  <c r="Z23" i="125" a="1"/>
  <c r="J16" i="125" a="1"/>
  <c r="AB9" i="125" a="1"/>
  <c r="GX5" i="132" a="1"/>
  <c r="FH9" i="132" a="1"/>
  <c r="HF12" i="132" a="1"/>
  <c r="FJ15" i="132" a="1"/>
  <c r="HA16" i="132" a="1"/>
  <c r="FK15" i="132" a="1"/>
  <c r="K22" i="125" a="1"/>
  <c r="AE13" i="125" a="1"/>
  <c r="GB13" i="132" a="1"/>
  <c r="L18" i="125" a="1"/>
  <c r="FT12" i="132" a="1"/>
  <c r="AE25" i="125" a="1"/>
  <c r="FQ14" i="132" a="1"/>
  <c r="AD30" i="125" a="1"/>
  <c r="AB20" i="125" a="1"/>
  <c r="E14" i="125" a="1"/>
  <c r="W7" i="125" a="1"/>
  <c r="HC6" i="132" a="1"/>
  <c r="FM11" i="132" a="1"/>
  <c r="GU13" i="132" a="1"/>
  <c r="I43" i="125" a="1"/>
  <c r="AE15" i="125" a="1"/>
  <c r="M51" i="125" a="1"/>
  <c r="X24" i="125" a="1"/>
  <c r="GC5" i="132" a="1"/>
  <c r="Q8" i="125" a="1"/>
  <c r="AD25" i="125" a="1"/>
  <c r="AF17" i="125" a="1"/>
  <c r="P11" i="125" a="1"/>
  <c r="C5" i="125" a="1"/>
  <c r="FR8" i="132" a="1"/>
  <c r="GA12" i="132" a="1"/>
  <c r="GL14" i="132" a="1"/>
  <c r="GC16" i="132" a="1"/>
  <c r="O19" i="125" a="1"/>
  <c r="GG6" i="132" a="1"/>
  <c r="GH15" i="132" a="1"/>
  <c r="V28" i="125" a="1"/>
  <c r="V19" i="125" a="1"/>
  <c r="AF12" i="125" a="1"/>
  <c r="T6" i="125" a="1"/>
  <c r="GE7" i="132" a="1"/>
  <c r="GO11" i="132" a="1"/>
  <c r="GS15" i="132" a="1"/>
  <c r="AA30" i="125" a="1"/>
  <c r="J5" i="125" a="1"/>
  <c r="P41" i="125" a="1"/>
  <c r="Q23" i="125" a="1"/>
  <c r="GJ7" i="132" a="1"/>
  <c r="I51" i="125" a="1"/>
  <c r="V24" i="125" a="1"/>
  <c r="AA16" i="125" a="1"/>
  <c r="N10" i="125" a="1"/>
  <c r="GJ5" i="132" a="1"/>
  <c r="GU8" i="132" a="1"/>
  <c r="GX12" i="132" a="1"/>
  <c r="HC14" i="132" a="1"/>
  <c r="GS16" i="132" a="1"/>
  <c r="FO13" i="132" a="1"/>
  <c r="W11" i="125" a="1"/>
  <c r="AF41" i="125" a="1"/>
  <c r="J20" i="125" a="1"/>
  <c r="L10" i="125" a="1"/>
  <c r="FQ7" i="132" a="1"/>
  <c r="FQ12" i="132" a="1"/>
  <c r="D46" i="125" a="1"/>
  <c r="Z28" i="125" a="1"/>
  <c r="L21" i="125" a="1"/>
  <c r="R14" i="125" a="1"/>
  <c r="F8" i="125" a="1"/>
  <c r="GQ6" i="132" a="1"/>
  <c r="HC9" i="132" a="1"/>
  <c r="GV13" i="132" a="1"/>
  <c r="GD16" i="132" a="1"/>
  <c r="U41" i="125" a="1"/>
  <c r="Q29" i="125" a="1"/>
  <c r="U47" i="125" a="1"/>
  <c r="U31" i="125" a="1"/>
  <c r="G25" i="125" a="1"/>
  <c r="AD19" i="125" a="1"/>
  <c r="AA14" i="125" a="1"/>
  <c r="C10" i="125" a="1"/>
  <c r="H5" i="125" a="1"/>
  <c r="FJ7" i="132" a="1"/>
  <c r="HD8" i="132" a="1"/>
  <c r="GX11" i="132" a="1"/>
  <c r="GO13" i="132" a="1"/>
  <c r="FQ15" i="132" a="1"/>
  <c r="AB25" i="125" a="1"/>
  <c r="AA53" i="1" s="1"/>
  <c r="Z16" i="125" a="1"/>
  <c r="K9" i="125" a="1"/>
  <c r="FO7" i="132" a="1"/>
  <c r="HC11" i="132" a="1"/>
  <c r="GM14" i="132" a="1"/>
  <c r="GE16" i="132" a="1"/>
  <c r="M12" i="125" a="1"/>
  <c r="GV7" i="132" a="1"/>
  <c r="GZ12" i="132" a="1"/>
  <c r="GL15" i="132" a="1"/>
  <c r="U32" i="125" a="1"/>
  <c r="FD16" i="132" a="1"/>
  <c r="FE13" i="132" a="1"/>
  <c r="Q19" i="125" a="1"/>
  <c r="FG7" i="132" a="1"/>
  <c r="GN8" i="132" a="1"/>
  <c r="G23" i="125" a="1"/>
  <c r="P27" i="125" a="1"/>
  <c r="AA17" i="125" a="1"/>
  <c r="AF6" i="125" a="1"/>
  <c r="FV15" i="132" a="1"/>
  <c r="I27" i="125" a="1"/>
  <c r="L12" i="125" a="1"/>
  <c r="FY8" i="132" a="1"/>
  <c r="FW15" i="132" a="1"/>
  <c r="FT16" i="132" a="1"/>
  <c r="GE14" i="132" a="1"/>
  <c r="FM9" i="132" a="1"/>
  <c r="FO15" i="132" a="1"/>
  <c r="GT12" i="132" a="1"/>
  <c r="AD18" i="125" a="1"/>
  <c r="GS6" i="132" a="1"/>
  <c r="HG13" i="132" a="1"/>
  <c r="FH15" i="132" a="1"/>
  <c r="FH14" i="132" a="1"/>
  <c r="GH7" i="132" a="1"/>
  <c r="G43" i="125" a="1"/>
  <c r="GF14" i="132" a="1"/>
  <c r="K5" i="125" a="1"/>
  <c r="P65" i="125" a="1"/>
  <c r="L25" i="125" a="1"/>
  <c r="W17" i="125" a="1"/>
  <c r="H11" i="125" a="1"/>
  <c r="FM5" i="132" a="1"/>
  <c r="FZ8" i="132" a="1"/>
  <c r="GG12" i="132" a="1"/>
  <c r="GA14" i="132" a="1"/>
  <c r="GQ12" i="132" a="1"/>
  <c r="GF6" i="132" a="1"/>
  <c r="HG5" i="132" a="1"/>
  <c r="M65" i="125" a="1"/>
  <c r="K25" i="125" a="1"/>
  <c r="V17" i="125" a="1"/>
  <c r="G11" i="125" a="1"/>
  <c r="FN5" i="132" a="1"/>
  <c r="GA8" i="132" a="1"/>
  <c r="HE12" i="132" a="1"/>
  <c r="R23" i="125" a="1"/>
  <c r="GF15" i="132" a="1"/>
  <c r="FP14" i="132" a="1"/>
  <c r="AC35" i="125" a="1"/>
  <c r="O22" i="125" a="1"/>
  <c r="H15" i="125" a="1"/>
  <c r="Z8" i="125" a="1"/>
  <c r="FZ6" i="132" a="1"/>
  <c r="GJ9" i="132" a="1"/>
  <c r="FZ13" i="132" a="1"/>
  <c r="GA15" i="132" a="1"/>
  <c r="FD12" i="132" a="1"/>
  <c r="GB15" i="132" a="1"/>
  <c r="S19" i="125" a="1"/>
  <c r="Y10" i="125" a="1"/>
  <c r="GT15" i="132" a="1"/>
  <c r="AE14" i="125" a="1"/>
  <c r="GX13" i="132" a="1"/>
  <c r="J18" i="125" a="1"/>
  <c r="E32" i="125" a="1"/>
  <c r="U19" i="125" a="1"/>
  <c r="Y9" i="125" a="1"/>
  <c r="GF7" i="132" a="1"/>
  <c r="HA12" i="132" a="1"/>
  <c r="F40" i="125" a="1"/>
  <c r="T26" i="125" a="1"/>
  <c r="T19" i="125" a="1"/>
  <c r="AD12" i="125" a="1"/>
  <c r="R6" i="125" a="1"/>
  <c r="GG7" i="132" a="1"/>
  <c r="GQ11" i="132" a="1"/>
  <c r="GD14" i="132" a="1"/>
  <c r="FE5" i="132" a="1"/>
  <c r="I38" i="125" a="1"/>
  <c r="Y28" i="125" a="1"/>
  <c r="D43" i="125" a="1"/>
  <c r="Y30" i="125" a="1"/>
  <c r="AF23" i="125" a="1"/>
  <c r="N19" i="125" a="1"/>
  <c r="Y13" i="125" a="1"/>
  <c r="R9" i="125" a="1"/>
  <c r="GF5" i="132" a="1"/>
  <c r="FX7" i="132" a="1"/>
  <c r="FQ9" i="132" a="1"/>
  <c r="FW12" i="132" a="1"/>
  <c r="HA13" i="132" a="1"/>
  <c r="N74" i="125" a="1"/>
  <c r="M24" i="125" a="1"/>
  <c r="W15" i="125" a="1"/>
  <c r="G7" i="125" a="1"/>
  <c r="GS7" i="132" a="1"/>
  <c r="GB12" i="132" a="1"/>
  <c r="HD14" i="132" a="1"/>
  <c r="GT16" i="132" a="1"/>
  <c r="E8" i="125" a="1"/>
  <c r="FW8" i="132" a="1"/>
  <c r="GM13" i="132" a="1"/>
  <c r="HA15" i="132" a="1"/>
  <c r="K21" i="125" a="1"/>
  <c r="HE15" i="132" a="1"/>
  <c r="W9" i="125" a="1"/>
  <c r="H17" i="125" a="1"/>
  <c r="GQ9" i="132" a="1"/>
  <c r="FU12" i="132" a="1"/>
  <c r="AF71" i="125" a="1"/>
  <c r="Z25" i="125" a="1"/>
  <c r="U16" i="125" a="1"/>
  <c r="GO5" i="132" a="1"/>
  <c r="FP16" i="132" a="1"/>
  <c r="H24" i="125" a="1"/>
  <c r="G10" i="125" a="1"/>
  <c r="GA9" i="132" a="1"/>
  <c r="GM15" i="132" a="1"/>
  <c r="GZ16" i="132" a="1"/>
  <c r="FM15" i="132" a="1"/>
  <c r="GF13" i="132" a="1"/>
  <c r="FD13" i="132" a="1"/>
  <c r="HA14" i="132" a="1"/>
  <c r="T16" i="125" a="1"/>
  <c r="HA8" i="132" a="1"/>
  <c r="GO14" i="132" a="1"/>
  <c r="GN15" i="132" a="1"/>
  <c r="GR14" i="132" a="1"/>
  <c r="FH8" i="132" a="1"/>
  <c r="O6" i="125" a="1"/>
  <c r="FN15" i="132" a="1"/>
  <c r="FH7" i="132" a="1"/>
  <c r="S45" i="125" a="1"/>
  <c r="E24" i="125" a="1"/>
  <c r="R16" i="125" a="1"/>
  <c r="F10" i="125" a="1"/>
  <c r="GR5" i="132" a="1"/>
  <c r="HB8" i="132" a="1"/>
  <c r="HD12" i="132" a="1"/>
  <c r="FI15" i="132" a="1"/>
  <c r="FW16" i="132" a="1"/>
  <c r="FR11" i="132" a="1"/>
  <c r="FS11" i="132" a="1"/>
  <c r="L45" i="125" a="1"/>
  <c r="C24" i="125" a="1"/>
  <c r="Q16" i="125" a="1"/>
  <c r="E10" i="125" a="1"/>
  <c r="GS5" i="132" a="1"/>
  <c r="HC8" i="132" a="1"/>
  <c r="FL9" i="132" a="1"/>
  <c r="W20" i="125" a="1"/>
  <c r="GO16" i="132" a="1"/>
  <c r="GZ14" i="132" a="1"/>
  <c r="V31" i="125" a="1"/>
  <c r="G21" i="125" a="1"/>
  <c r="F14" i="125" a="1"/>
  <c r="X7" i="125" a="1"/>
  <c r="HB6" i="132" a="1"/>
  <c r="FK11" i="132" a="1"/>
  <c r="GT13" i="132" a="1"/>
  <c r="GR15" i="132" a="1"/>
  <c r="FE7" i="132" a="1"/>
  <c r="FE11" i="132" a="1"/>
  <c r="M18" i="125" a="1"/>
  <c r="S7" i="125" a="1"/>
  <c r="GN16" i="132" a="1"/>
  <c r="Y11" i="125" a="1"/>
  <c r="FD6" i="132" a="1"/>
  <c r="Z13" i="125" a="1"/>
  <c r="FD11" i="132" a="1"/>
  <c r="P26" i="125" a="1"/>
  <c r="R18" i="125" a="1"/>
  <c r="AE11" i="125" a="1"/>
  <c r="R5" i="125" a="1"/>
  <c r="HG7" i="132" a="1"/>
  <c r="FO12" i="132" a="1"/>
  <c r="FG16" i="132" a="1"/>
  <c r="U28" i="125" a="1"/>
  <c r="FI7" i="132" a="1"/>
  <c r="AB33" i="125" a="1"/>
  <c r="AB21" i="125" a="1"/>
  <c r="FN9" i="132" a="1"/>
  <c r="G41" i="125" a="1"/>
  <c r="D23" i="125" a="1"/>
  <c r="X15" i="125" a="1"/>
  <c r="L9" i="125" a="1"/>
  <c r="FK6" i="132" a="1"/>
  <c r="FT15" i="132" a="1"/>
  <c r="L27" i="125" a="1"/>
  <c r="Y16" i="125" a="1"/>
  <c r="F7" i="125" a="1"/>
  <c r="GX8" i="132" a="1"/>
  <c r="FK13" i="132" a="1"/>
  <c r="Q38" i="125" a="1"/>
  <c r="AF25" i="125" a="1"/>
  <c r="C19" i="125" a="1"/>
  <c r="N12" i="125" a="1"/>
  <c r="AE5" i="125" a="1"/>
  <c r="GU7" i="132" a="1"/>
  <c r="HE11" i="132" a="1"/>
  <c r="GP14" i="132" a="1"/>
  <c r="FE8" i="132" a="1"/>
  <c r="C35" i="125" a="1"/>
  <c r="J27" i="125" a="1"/>
  <c r="F41" i="125" a="1"/>
  <c r="I29" i="125" a="1"/>
  <c r="O23" i="125" a="1"/>
  <c r="H18" i="125" a="1"/>
  <c r="I13" i="125" a="1"/>
  <c r="O8" i="125" a="1"/>
  <c r="GT5" i="132" a="1"/>
  <c r="GL7" i="132" a="1"/>
  <c r="GT9" i="132" a="1"/>
  <c r="GI12" i="132" a="1"/>
  <c r="FK14" i="132" a="1"/>
  <c r="X48" i="125" a="1"/>
  <c r="AF22" i="125" a="1"/>
  <c r="S13" i="125" a="1"/>
  <c r="E6" i="125" a="1"/>
  <c r="FS8" i="132" a="1"/>
  <c r="GY12" i="132" a="1"/>
  <c r="FU15" i="132" a="1"/>
  <c r="FD15" i="132" a="1"/>
  <c r="AD5" i="125" a="1"/>
  <c r="FZ9" i="132" a="1"/>
  <c r="HF13" i="132" a="1"/>
  <c r="GU16" i="132" a="1"/>
  <c r="FL5" i="132" a="1"/>
  <c r="GH16" i="132" a="1"/>
  <c r="HD5" i="132" a="1"/>
  <c r="C16" i="125" a="1"/>
  <c r="FO14" i="132" a="1"/>
  <c r="GS12" i="132" a="1"/>
  <c r="G48" i="125" a="1"/>
  <c r="I24" i="125" a="1"/>
  <c r="S15" i="125" a="1"/>
  <c r="FT7" i="132" a="1"/>
  <c r="GF16" i="132" a="1"/>
  <c r="D20" i="125" a="1"/>
  <c r="C8" i="125" a="1"/>
  <c r="FU13" i="132" a="1"/>
  <c r="HD15" i="132" a="1"/>
  <c r="AC12" i="125" a="1"/>
  <c r="HD16" i="132" a="1"/>
  <c r="GY14" i="132" a="1"/>
  <c r="F30" i="125" a="1"/>
  <c r="FK16" i="132" a="1"/>
  <c r="R15" i="125" a="1"/>
  <c r="HE9" i="132" a="1"/>
  <c r="GG16" i="132" a="1"/>
  <c r="FS16" i="132" a="1"/>
  <c r="GO15" i="132" a="1"/>
  <c r="GR11" i="132" a="1"/>
  <c r="GI7" i="132" a="1"/>
  <c r="FI16" i="132" a="1"/>
  <c r="GR9" i="132" a="1"/>
  <c r="F38" i="125" a="1"/>
  <c r="U22" i="125" a="1"/>
  <c r="P15" i="125" a="1"/>
  <c r="D9" i="125" a="1"/>
  <c r="FR6" i="132" a="1"/>
  <c r="GC9" i="132" a="1"/>
  <c r="FV13" i="132" a="1"/>
  <c r="HF15" i="132" a="1"/>
  <c r="C60" i="125" a="1"/>
  <c r="GW15" i="132" a="1"/>
  <c r="GH13" i="132" a="1"/>
  <c r="AD35" i="125" a="1"/>
  <c r="P22" i="125" a="1"/>
  <c r="N15" i="125" a="1"/>
  <c r="AF8" i="125" a="1"/>
  <c r="FS6" i="132" a="1"/>
  <c r="GE9" i="132" a="1"/>
  <c r="FS12" i="132" a="1"/>
  <c r="AA12" i="125" a="1"/>
  <c r="HE16" i="132" a="1"/>
  <c r="GA16" i="132" a="1"/>
  <c r="AF28" i="125" a="1"/>
  <c r="X19" i="125" a="1"/>
  <c r="D13" i="125" a="1"/>
  <c r="V6" i="125" a="1"/>
  <c r="GC7" i="132" a="1"/>
  <c r="GN11" i="132" a="1"/>
  <c r="FI14" i="132" a="1"/>
  <c r="HG15" i="132" a="1"/>
  <c r="FJ14" i="132" a="1"/>
  <c r="F60" i="125" a="1"/>
  <c r="I17" i="125" a="1"/>
  <c r="Q6" i="125" a="1"/>
  <c r="FE6" i="132" a="1"/>
  <c r="R7" i="125" a="1"/>
  <c r="P19" i="125" a="1"/>
  <c r="N7" i="125" a="1"/>
  <c r="G60" i="125" a="1"/>
  <c r="I25" i="125" a="1"/>
  <c r="N17" i="125" a="1"/>
  <c r="AC10" i="125" a="1"/>
  <c r="FV5" i="132" a="1"/>
  <c r="GG8" i="132" a="1"/>
  <c r="GN12" i="132" a="1"/>
  <c r="FV16" i="132" a="1"/>
  <c r="O26" i="125" a="1"/>
  <c r="GS9" i="132" a="1"/>
  <c r="N30" i="125" a="1"/>
  <c r="AB13" i="125" a="1"/>
  <c r="AA45" i="1" s="1"/>
  <c r="GG15" i="132" a="1"/>
  <c r="V33" i="125" a="1"/>
  <c r="Z21" i="125" a="1"/>
  <c r="V14" i="125" a="1"/>
  <c r="J8" i="125" a="1"/>
  <c r="GN6" i="132" a="1"/>
  <c r="GX9" i="132" a="1"/>
  <c r="GK13" i="132" a="1"/>
  <c r="GI15" i="132" a="1"/>
  <c r="GY13" i="132" a="1"/>
  <c r="T10" i="125" a="1"/>
  <c r="FP15" i="132" a="1"/>
  <c r="HF9" i="132" a="1"/>
  <c r="GR13" i="132" a="1"/>
  <c r="GI16" i="132" a="1"/>
  <c r="GH14" i="132" a="1"/>
  <c r="W31" i="125" a="1"/>
  <c r="M14" i="125" a="1"/>
  <c r="AE7" i="125" a="1"/>
  <c r="HG9" i="132" a="1"/>
  <c r="FN12" i="132" a="1"/>
  <c r="GB14" i="132" a="1"/>
  <c r="E16" i="125" a="1"/>
  <c r="GL8" i="132" a="1"/>
  <c r="Z30" i="125" a="1"/>
  <c r="FM8" i="132" a="1"/>
  <c r="T23" i="125" a="1"/>
  <c r="FI9" i="132" a="1"/>
  <c r="FN13" i="132" a="1"/>
  <c r="Z12" i="125" a="1"/>
  <c r="FN7" i="132" a="1"/>
  <c r="GY15" i="132" a="1"/>
  <c r="FJ16" i="132" a="1"/>
  <c r="S9" i="125" a="1"/>
  <c r="HG16" i="132" a="1"/>
  <c r="HD9" i="132" a="1"/>
  <c r="FU7" i="132" a="1"/>
  <c r="GX16" i="132" a="1"/>
  <c r="HG6" i="132" a="1"/>
  <c r="GK7" i="132" a="1"/>
  <c r="F9" i="125" a="1"/>
  <c r="FQ11" i="132" a="1"/>
  <c r="O29" i="125" a="1"/>
  <c r="C20" i="125" a="1"/>
  <c r="L13" i="125" a="1"/>
  <c r="GF11" i="132" a="1"/>
  <c r="AD14" i="125" a="1"/>
  <c r="J29" i="125" a="1"/>
  <c r="AF19" i="125" a="1"/>
  <c r="K13" i="125" a="1"/>
  <c r="AC6" i="125" a="1"/>
  <c r="FW7" i="132" a="1"/>
  <c r="GG11" i="132" a="1"/>
  <c r="GC15" i="132" a="1"/>
  <c r="GA5" i="132" a="1"/>
  <c r="HF5" i="132" a="1"/>
  <c r="I65" i="125" a="1"/>
  <c r="J25" i="125" a="1"/>
  <c r="O17" i="125" a="1"/>
  <c r="AD10" i="125" a="1"/>
  <c r="FU5" i="132" a="1"/>
  <c r="GF8" i="132" a="1"/>
  <c r="GM12" i="132" a="1"/>
  <c r="GS14" i="132" a="1"/>
  <c r="GL16" i="132" a="1"/>
  <c r="GT14" i="132" a="1"/>
  <c r="AC24" i="125" a="1"/>
  <c r="AF14" i="125" a="1"/>
  <c r="C22" i="125" a="1"/>
  <c r="GM8" i="132" a="1"/>
  <c r="GQ16" i="132" a="1"/>
  <c r="FV12" i="132" a="1"/>
  <c r="G15" i="125" a="1"/>
  <c r="Y8" i="125" a="1"/>
  <c r="GK9" i="132" a="1"/>
  <c r="GA13" i="132" a="1"/>
  <c r="HC16" i="132" a="1"/>
  <c r="X20" i="125" a="1"/>
  <c r="GZ13" i="132" a="1"/>
  <c r="E26" i="125" a="1"/>
  <c r="R8" i="125" a="1"/>
  <c r="AC27" i="125" a="1"/>
  <c r="R12" i="125" a="1"/>
  <c r="F6" i="125" a="1"/>
  <c r="GR7" i="132" a="1"/>
  <c r="HB11" i="132" a="1"/>
  <c r="FS14" i="132" a="1"/>
  <c r="H41" i="125" a="1"/>
  <c r="AC14" i="125" a="1"/>
  <c r="GO8" i="132" a="1"/>
  <c r="U26" i="125" a="1"/>
  <c r="G16" i="125" a="1"/>
  <c r="S6" i="125" a="1"/>
  <c r="FJ9" i="132" a="1"/>
  <c r="GI13" i="132" a="1"/>
  <c r="F34" i="125" a="1"/>
  <c r="AA24" i="125" a="1"/>
  <c r="AB17" i="125" a="1"/>
  <c r="AA42" i="1" s="1"/>
  <c r="L11" i="125" a="1"/>
  <c r="FI5" i="132" a="1"/>
  <c r="FU8" i="132" a="1"/>
  <c r="GD12" i="132" a="1"/>
  <c r="FL15" i="132" a="1"/>
  <c r="O66" i="125" a="1"/>
  <c r="AD33" i="125" a="1"/>
  <c r="V70" i="125" a="1"/>
  <c r="K39" i="125" a="1"/>
  <c r="X27" i="125" a="1"/>
  <c r="AB22" i="125" a="1"/>
  <c r="AA59" i="1" s="1"/>
  <c r="C17" i="125" a="1"/>
  <c r="X12" i="125" a="1"/>
  <c r="M7" i="125" a="1"/>
  <c r="HH5" i="132" a="1"/>
  <c r="FN8" i="132" a="1"/>
  <c r="HH9" i="132" a="1"/>
  <c r="GU12" i="132" a="1"/>
  <c r="FW14" i="132" a="1"/>
  <c r="W39" i="125" a="1"/>
  <c r="K20" i="125" a="1"/>
  <c r="Q12" i="125" a="1"/>
  <c r="FG5" i="132" a="1"/>
  <c r="GW8" i="132" a="1"/>
  <c r="FP13" i="132" a="1"/>
  <c r="GK15" i="132" a="1"/>
  <c r="AF18" i="125" a="1"/>
  <c r="FJ5" i="132" a="1"/>
  <c r="GD11" i="132" a="1"/>
  <c r="FU14" i="132" a="1"/>
  <c r="FD9" i="132" a="1"/>
  <c r="GQ5" i="132" a="1"/>
  <c r="FE9" i="132" a="1"/>
  <c r="GO9" i="132" a="1"/>
  <c r="AD13" i="125" a="1"/>
  <c r="GU15" i="132" a="1"/>
  <c r="GG13" i="132" a="1"/>
  <c r="S39" i="125" a="1"/>
  <c r="AD22" i="125" a="1"/>
  <c r="K11" i="125" a="1"/>
  <c r="GZ8" i="132" a="1"/>
  <c r="FD8" i="132" a="1"/>
  <c r="X17" i="125" a="1"/>
  <c r="AC5" i="125" a="1"/>
  <c r="GN13" i="132" a="1"/>
  <c r="FQ16" i="132" a="1"/>
  <c r="M5" i="125" a="1"/>
  <c r="X34" i="125" a="1"/>
  <c r="AF15" i="125" a="1"/>
  <c r="R20" i="125" a="1"/>
  <c r="GR16" i="132" a="1"/>
  <c r="I11" i="125" a="1"/>
  <c r="GE11" i="132" a="1"/>
  <c r="FE14" i="132" a="1"/>
  <c r="GY16" i="132" a="1"/>
  <c r="T8" i="125" a="1"/>
  <c r="GW13" i="132" a="1"/>
  <c r="FI8" i="132" a="1"/>
  <c r="U20" i="125" a="1"/>
  <c r="GU11" i="132" a="1"/>
  <c r="AA31" i="125" a="1"/>
  <c r="I21" i="125" a="1"/>
  <c r="N14" i="125" a="1"/>
  <c r="AF7" i="125" a="1"/>
  <c r="GU6" i="132" a="1"/>
  <c r="GS11" i="132" a="1"/>
  <c r="AD27" i="125" a="1"/>
  <c r="H21" i="125" a="1"/>
  <c r="GW6" i="132" a="1"/>
  <c r="FN14" i="132" a="1"/>
  <c r="S8" i="125" a="1"/>
  <c r="F17" i="125" a="1"/>
  <c r="X33" i="125" a="1"/>
  <c r="V26" i="125" a="1"/>
  <c r="T18" i="125" a="1"/>
  <c r="AF11" i="125" a="1"/>
  <c r="S5" i="125" a="1"/>
  <c r="HF7" i="132" a="1"/>
  <c r="FU16" i="132" a="1"/>
  <c r="GC14" i="132" a="1"/>
  <c r="Y34" i="125" a="1"/>
  <c r="HE5" i="132" a="1"/>
  <c r="V10" i="125" a="1"/>
  <c r="M43" i="125" a="1"/>
  <c r="H16" i="125" a="1"/>
  <c r="Z9" i="125" a="1"/>
  <c r="GY5" i="132" a="1"/>
  <c r="FH13" i="132" a="1"/>
  <c r="GM16" i="132" a="1"/>
  <c r="S23" i="125" a="1"/>
  <c r="H28" i="125" a="1"/>
  <c r="W24" i="125" a="1"/>
  <c r="E30" i="125" a="1"/>
  <c r="L20" i="125" a="1"/>
  <c r="T13" i="125" a="1"/>
  <c r="H7" i="125" a="1"/>
  <c r="FZ11" i="132" a="1"/>
  <c r="HD13" i="132" a="1"/>
  <c r="C48" i="125" a="1"/>
  <c r="O14" i="125" a="1"/>
  <c r="FV14" i="132" a="1"/>
  <c r="U9" i="125" a="1"/>
  <c r="X11" i="125" a="1"/>
  <c r="R25" i="125" a="1"/>
  <c r="FG12" i="132" a="1"/>
  <c r="FG14" i="132" a="1"/>
  <c r="FE15" i="132" a="1"/>
  <c r="FZ5" i="132" a="1"/>
  <c r="GX14" i="132" a="1"/>
  <c r="T9" i="125" a="1"/>
  <c r="L51" i="125" a="1"/>
  <c r="AD6" i="125" a="1"/>
  <c r="FV7" i="132" a="1"/>
  <c r="FZ14" i="132" a="1"/>
  <c r="FD14" i="132" a="1"/>
  <c r="Y12" i="125" a="1"/>
  <c r="GX15" i="132" a="1"/>
  <c r="KA16" i="132" s="1"/>
  <c r="JU16" i="132" s="1"/>
  <c r="JX8" i="132"/>
  <c r="KH7" i="132"/>
  <c r="JX14" i="132"/>
  <c r="KA21" i="132"/>
  <c r="JV7" i="132"/>
  <c r="JU14" i="132"/>
  <c r="JV14" i="132"/>
  <c r="JV19" i="132" s="1"/>
  <c r="A1" i="130"/>
  <c r="JQ8" i="132" l="1"/>
  <c r="JR8" i="132"/>
  <c r="KC14" i="132"/>
  <c r="JW15" i="132"/>
  <c r="KD8" i="132"/>
  <c r="JY7" i="132"/>
  <c r="AA85" i="1"/>
  <c r="AA115" i="1"/>
  <c r="AA116" i="1" s="1"/>
  <c r="AA36" i="1"/>
  <c r="AA125" i="1"/>
  <c r="AA128" i="1" s="1"/>
  <c r="AA81" i="1"/>
  <c r="AA38" i="1"/>
  <c r="AA78" i="1"/>
  <c r="AA69" i="1"/>
  <c r="AA70" i="1" s="1"/>
  <c r="AA129" i="1"/>
  <c r="KA14" i="132"/>
  <c r="KA19" i="132" s="1"/>
  <c r="JW14" i="132"/>
  <c r="KE14" i="132"/>
  <c r="KC15" i="132"/>
  <c r="KC20" i="132" s="1"/>
  <c r="JX7" i="132"/>
  <c r="JX19" i="132" s="1"/>
  <c r="JW7" i="132"/>
  <c r="JW19" i="132" s="1"/>
  <c r="JZ8" i="132"/>
  <c r="KB14" i="132"/>
  <c r="KD14" i="132"/>
  <c r="KD19" i="132" s="1"/>
  <c r="JS7" i="132"/>
  <c r="JU15" i="132"/>
  <c r="JY15" i="132"/>
  <c r="JY20" i="132" s="1"/>
  <c r="KA8" i="132"/>
  <c r="KC7" i="132"/>
  <c r="KC19" i="132" s="1"/>
  <c r="JT15" i="132"/>
  <c r="JT20" i="132" s="1"/>
  <c r="KG8" i="132"/>
  <c r="JQ14" i="132"/>
  <c r="JT14" i="132"/>
  <c r="KH15" i="132"/>
  <c r="KF8" i="132"/>
  <c r="KD15" i="132"/>
  <c r="KD20" i="132" s="1"/>
  <c r="KF15" i="132"/>
  <c r="JS8" i="132"/>
  <c r="KE8" i="132"/>
  <c r="JV8" i="132"/>
  <c r="KB7" i="132"/>
  <c r="KB19" i="132" s="1"/>
  <c r="JZ15" i="132"/>
  <c r="JW8" i="132"/>
  <c r="JW20" i="132" s="1"/>
  <c r="KG15" i="132"/>
  <c r="KG20" i="132" s="1"/>
  <c r="JT7" i="132"/>
  <c r="KH8" i="132"/>
  <c r="JU7" i="132"/>
  <c r="JU19" i="132" s="1"/>
  <c r="JQ7" i="132"/>
  <c r="JV15" i="132"/>
  <c r="JV20" i="132" s="1"/>
  <c r="JY14" i="132"/>
  <c r="JY19" i="132" s="1"/>
  <c r="KG7" i="132"/>
  <c r="KH14" i="132"/>
  <c r="KH19" i="132" s="1"/>
  <c r="KG14" i="132"/>
  <c r="JU8" i="132"/>
  <c r="JU20" i="132" s="1"/>
  <c r="KE15" i="132"/>
  <c r="AB44" i="1"/>
  <c r="AB45" i="1"/>
  <c r="AB43" i="1"/>
  <c r="BC12" i="130" a="1"/>
  <c r="AZ11" i="130" a="1"/>
  <c r="AW46" i="130" a="1"/>
  <c r="AV6" i="130" a="1"/>
  <c r="BI12" i="130" a="1"/>
  <c r="AZ44" i="130" a="1"/>
  <c r="AY22" i="130" a="1"/>
  <c r="BC26" i="130" a="1"/>
  <c r="BF36" i="130" a="1"/>
  <c r="BH30" i="130" a="1"/>
  <c r="BA16" i="130" a="1"/>
  <c r="AW8" i="130" a="1"/>
  <c r="AT43" i="130" a="1"/>
  <c r="AY38" i="130" a="1"/>
  <c r="BJ46" i="130" a="1"/>
  <c r="AT9" i="130" a="1"/>
  <c r="AZ37" i="130" a="1"/>
  <c r="AS21" i="130" a="1"/>
  <c r="AW25" i="130" a="1"/>
  <c r="BA29" i="130" a="1"/>
  <c r="AY13" i="130" a="1"/>
  <c r="BH48" i="130" a="1"/>
  <c r="BC43" i="130" a="1"/>
  <c r="BF9" i="130" a="1"/>
  <c r="BI43" i="130" a="1"/>
  <c r="AU36" i="130" a="1"/>
  <c r="AV32" i="130" a="1"/>
  <c r="AU40" i="130" a="1"/>
  <c r="V12" i="130" a="1"/>
  <c r="AX47" i="130" a="1"/>
  <c r="BF42" i="130" a="1"/>
  <c r="BC5" i="130" a="1"/>
  <c r="AX10" i="130" a="1"/>
  <c r="AV41" i="130" a="1"/>
  <c r="BF21" i="130" a="1"/>
  <c r="AS26" i="130" a="1"/>
  <c r="BD33" i="130" a="1"/>
  <c r="AW16" i="130" a="1"/>
  <c r="AU15" i="130" a="1"/>
  <c r="BJ9" i="130" a="1"/>
  <c r="BH6" i="130" a="1"/>
  <c r="AU16" i="130" a="1"/>
  <c r="AY48" i="130" a="1"/>
  <c r="AT23" i="130" a="1"/>
  <c r="AX27" i="130" a="1"/>
  <c r="BD40" i="130" a="1"/>
  <c r="AU35" i="130" a="1"/>
  <c r="AS31" i="130" a="1"/>
  <c r="AU25" i="130" a="1"/>
  <c r="AS47" i="130" a="1"/>
  <c r="AZ42" i="130" a="1"/>
  <c r="BB5" i="130" a="1"/>
  <c r="AS10" i="130" a="1"/>
  <c r="BH40" i="130" a="1"/>
  <c r="BE21" i="130" a="1"/>
  <c r="BI25" i="130" a="1"/>
  <c r="AX33" i="130" a="1"/>
  <c r="BH16" i="130" a="1"/>
  <c r="AU13" i="130" a="1"/>
  <c r="BB48" i="130" a="1"/>
  <c r="BA13" i="130" a="1"/>
  <c r="BI48" i="130" a="1"/>
  <c r="AU41" i="130" a="1"/>
  <c r="AS36" i="130" a="1"/>
  <c r="AZ12" i="130" a="1"/>
  <c r="AW13" i="130" a="1"/>
  <c r="AS12" i="130" a="1"/>
  <c r="BH46" i="130" a="1"/>
  <c r="AX6" i="130" a="1"/>
  <c r="AZ13" i="130" a="1"/>
  <c r="AT45" i="130" a="1"/>
  <c r="BA22" i="130" a="1"/>
  <c r="BE26" i="130" a="1"/>
  <c r="AY37" i="130" a="1"/>
  <c r="AZ19" i="130" a="1"/>
  <c r="BF33" i="130" a="1"/>
  <c r="BD9" i="130" a="1"/>
  <c r="BD47" i="130" a="1"/>
  <c r="AU43" i="130" a="1"/>
  <c r="BD5" i="130" a="1"/>
  <c r="BC10" i="130" a="1"/>
  <c r="BA41" i="130" a="1"/>
  <c r="BG21" i="130" a="1"/>
  <c r="AT26" i="130" a="1"/>
  <c r="AS34" i="130" a="1"/>
  <c r="BB17" i="130" a="1"/>
  <c r="AZ16" i="130" a="1"/>
  <c r="BJ13" i="130" a="1"/>
  <c r="AU7" i="130" a="1"/>
  <c r="AU17" i="130" a="1"/>
  <c r="AT19" i="130" a="1"/>
  <c r="AX23" i="130" a="1"/>
  <c r="BB27" i="130" a="1"/>
  <c r="BH41" i="130" a="1"/>
  <c r="BB41" i="130" a="1"/>
  <c r="BD44" i="130" a="1"/>
  <c r="BG39" i="130" a="1"/>
  <c r="BG6" i="130" a="1"/>
  <c r="BF12" i="130" a="1"/>
  <c r="BA32" i="130" a="1"/>
  <c r="BD31" i="130" a="1"/>
  <c r="BJ26" i="130" a="1"/>
  <c r="BH7" i="130" a="1"/>
  <c r="AZ31" i="130" a="1"/>
  <c r="BG19" i="130" a="1"/>
  <c r="AT24" i="130" a="1"/>
  <c r="AX28" i="130" a="1"/>
  <c r="BB46" i="130" a="1"/>
  <c r="BI41" i="130" a="1"/>
  <c r="BD36" i="130" a="1"/>
  <c r="BB43" i="130" a="1"/>
  <c r="BH35" i="130" a="1"/>
  <c r="AT42" i="130" a="1"/>
  <c r="BA37" i="130" a="1"/>
  <c r="AY5" i="130" a="1"/>
  <c r="AW22" i="130" a="1"/>
  <c r="BJ44" i="130" a="1"/>
  <c r="AV20" i="130" a="1"/>
  <c r="AU18" i="130" a="1"/>
  <c r="AT17" i="130" a="1"/>
  <c r="BJ15" i="130" a="1"/>
  <c r="AW7" i="130" a="1"/>
  <c r="BC17" i="130" a="1"/>
  <c r="AV19" i="130" a="1"/>
  <c r="AZ23" i="130" a="1"/>
  <c r="BD27" i="130" a="1"/>
  <c r="BC42" i="130" a="1"/>
  <c r="AS37" i="130" a="1"/>
  <c r="AW33" i="130" a="1"/>
  <c r="BF46" i="130" a="1"/>
  <c r="AX5" i="130" a="1"/>
  <c r="BE43" i="130" a="1"/>
  <c r="BB14" i="130" a="1"/>
  <c r="BE18" i="130" a="1"/>
  <c r="AS23" i="130" a="1"/>
  <c r="BC30" i="130" a="1"/>
  <c r="BA18" i="130" a="1"/>
  <c r="AZ17" i="130" a="1"/>
  <c r="BJ16" i="130" a="1"/>
  <c r="AX7" i="130" a="1"/>
  <c r="BH17" i="130" a="1"/>
  <c r="AW19" i="130" a="1"/>
  <c r="BA23" i="130" a="1"/>
  <c r="BE27" i="130" a="1"/>
  <c r="AS43" i="130" a="1"/>
  <c r="AW37" i="130" a="1"/>
  <c r="BC33" i="130" a="1"/>
  <c r="BB11" i="130" a="1"/>
  <c r="BE45" i="130" a="1"/>
  <c r="BJ6" i="130" a="1"/>
  <c r="BD39" i="130" a="1"/>
  <c r="BE25" i="130" a="1"/>
  <c r="BI47" i="130" a="1"/>
  <c r="BD15" i="130" a="1"/>
  <c r="BD23" i="130" a="1"/>
  <c r="AV38" i="130" a="1"/>
  <c r="AY29" i="130" a="1"/>
  <c r="AT15" i="130" a="1"/>
  <c r="BH13" i="130" a="1"/>
  <c r="BJ5" i="130" a="1"/>
  <c r="BD6" i="130" a="1"/>
  <c r="AS15" i="130" a="1"/>
  <c r="AU47" i="130" a="1"/>
  <c r="BG22" i="130" a="1"/>
  <c r="AT27" i="130" a="1"/>
  <c r="AV39" i="130" a="1"/>
  <c r="BB37" i="130" a="1"/>
  <c r="BC9" i="130" a="1"/>
  <c r="BA26" i="130" a="1"/>
  <c r="BH27" i="130" a="1"/>
  <c r="BC34" i="130" a="1"/>
  <c r="BA44" i="130" a="1"/>
  <c r="BF18" i="130" a="1"/>
  <c r="BE17" i="130" a="1"/>
  <c r="BJ17" i="130" a="1"/>
  <c r="AY7" i="130" a="1"/>
  <c r="AV18" i="130" a="1"/>
  <c r="AX19" i="130" a="1"/>
  <c r="BB23" i="130" a="1"/>
  <c r="BF27" i="130" a="1"/>
  <c r="AY43" i="130" a="1"/>
  <c r="BC36" i="130" a="1"/>
  <c r="AX29" i="130" a="1"/>
  <c r="BG24" i="130" a="1"/>
  <c r="AX11" i="130" a="1"/>
  <c r="AS18" i="130" a="1"/>
  <c r="BG8" i="130" a="1"/>
  <c r="BJ20" i="130" a="1"/>
  <c r="BB12" i="130" a="1"/>
  <c r="BE8" i="130" a="1"/>
  <c r="BD20" i="130" a="1"/>
  <c r="AU29" i="130" a="1"/>
  <c r="AY41" i="130" a="1"/>
  <c r="AV8" i="130" a="1"/>
  <c r="BJ32" i="130" a="1"/>
  <c r="BB33" i="130" a="1"/>
  <c r="BJ29" i="130" a="1"/>
  <c r="AZ32" i="130" a="1"/>
  <c r="AW24" i="130" a="1"/>
  <c r="BE29" i="130" a="1"/>
  <c r="AV44" i="130" a="1"/>
  <c r="BA12" i="130" a="1"/>
  <c r="BC18" i="130" a="1"/>
  <c r="AU37" i="130" a="1"/>
  <c r="BA34" i="130" a="1"/>
  <c r="BF43" i="130" a="1"/>
  <c r="BJ48" i="130" a="1"/>
  <c r="BG13" i="130" a="1"/>
  <c r="BF47" i="130" a="1"/>
  <c r="BI13" i="130" a="1"/>
  <c r="BG26" i="130" a="1"/>
  <c r="AT38" i="130" a="1"/>
  <c r="AV36" i="130" a="1"/>
  <c r="AV40" i="130" a="1"/>
  <c r="BF16" i="130" a="1"/>
  <c r="AU19" i="130" a="1"/>
  <c r="AX36" i="130" a="1"/>
  <c r="AY33" i="130" a="1"/>
  <c r="AZ14" i="130" a="1"/>
  <c r="BA46" i="130" a="1"/>
  <c r="BC38" i="130" a="1"/>
  <c r="AW15" i="130" a="1"/>
  <c r="BE14" i="130" a="1"/>
  <c r="BA11" i="130" a="1"/>
  <c r="AU22" i="130" a="1"/>
  <c r="AV34" i="130" a="1"/>
  <c r="BE30" i="130" a="1"/>
  <c r="BG29" i="130" a="1"/>
  <c r="BJ21" i="130" a="1"/>
  <c r="BC7" i="130" a="1"/>
  <c r="AS30" i="130" a="1"/>
  <c r="BB19" i="130" a="1"/>
  <c r="BF23" i="130" a="1"/>
  <c r="AS28" i="130" a="1"/>
  <c r="BH44" i="130" a="1"/>
  <c r="AT40" i="130" a="1"/>
  <c r="AV35" i="130" a="1"/>
  <c r="BH12" i="130" a="1"/>
  <c r="BE11" i="130" a="1"/>
  <c r="BC46" i="130" a="1"/>
  <c r="AW6" i="130" a="1"/>
  <c r="AV13" i="130" a="1"/>
  <c r="BG44" i="130" a="1"/>
  <c r="AZ22" i="130" a="1"/>
  <c r="BD26" i="130" a="1"/>
  <c r="AT37" i="130" a="1"/>
  <c r="AW31" i="130" a="1"/>
  <c r="BE16" i="130" a="1"/>
  <c r="BC31" i="130" a="1"/>
  <c r="AS17" i="130" a="1"/>
  <c r="AZ10" i="130" a="1"/>
  <c r="AX45" i="130" a="1"/>
  <c r="BE39" i="130" a="1"/>
  <c r="BD43" i="130" a="1"/>
  <c r="BI16" i="130" a="1"/>
  <c r="BF15" i="130" a="1"/>
  <c r="BJ11" i="130" a="1"/>
  <c r="AS7" i="130" a="1"/>
  <c r="BB16" i="130" a="1"/>
  <c r="BI18" i="130" a="1"/>
  <c r="AV23" i="130" a="1"/>
  <c r="AZ27" i="130" a="1"/>
  <c r="AW41" i="130" a="1"/>
  <c r="AT25" i="130" a="1"/>
  <c r="AS48" i="130" a="1"/>
  <c r="BB13" i="130" a="1"/>
  <c r="AX12" i="130" a="1"/>
  <c r="AY47" i="130" a="1"/>
  <c r="AY6" i="130" a="1"/>
  <c r="BE13" i="130" a="1"/>
  <c r="AZ45" i="130" a="1"/>
  <c r="BB22" i="130" a="1"/>
  <c r="BF26" i="130" a="1"/>
  <c r="BE37" i="130" a="1"/>
  <c r="AU32" i="130" a="1"/>
  <c r="AX31" i="130" a="1"/>
  <c r="BJ25" i="130" a="1"/>
  <c r="BG7" i="130" a="1"/>
  <c r="AV31" i="130" a="1"/>
  <c r="BF19" i="130" a="1"/>
  <c r="AS24" i="130" a="1"/>
  <c r="AW28" i="130" a="1"/>
  <c r="AV46" i="130" a="1"/>
  <c r="BC45" i="130" a="1"/>
  <c r="BD18" i="130" a="1"/>
  <c r="AV12" i="130" a="1"/>
  <c r="BH9" i="130" a="1"/>
  <c r="AS44" i="130" a="1"/>
  <c r="AW40" i="130" a="1"/>
  <c r="BI35" i="130" a="1"/>
  <c r="BJ38" i="130" a="1"/>
  <c r="BC8" i="130" a="1"/>
  <c r="AY35" i="130" a="1"/>
  <c r="BB20" i="130" a="1"/>
  <c r="BF24" i="130" a="1"/>
  <c r="AS29" i="130" a="1"/>
  <c r="AS11" i="130" a="1"/>
  <c r="AS46" i="130" a="1"/>
  <c r="AZ40" i="130" a="1"/>
  <c r="AY19" i="130" a="1"/>
  <c r="BA39" i="130" a="1"/>
  <c r="AT30" i="130" a="1"/>
  <c r="AZ41" i="130" a="1"/>
  <c r="AT6" i="130" a="1"/>
  <c r="AX48" i="130" a="1"/>
  <c r="AU6" i="130" a="1"/>
  <c r="AX22" i="130" a="1"/>
  <c r="BG32" i="130" a="1"/>
  <c r="BI31" i="130" a="1"/>
  <c r="BJ27" i="130" a="1"/>
  <c r="BI7" i="130" a="1"/>
  <c r="BF31" i="130" a="1"/>
  <c r="BH19" i="130" a="1"/>
  <c r="AU24" i="130" a="1"/>
  <c r="AY28" i="130" a="1"/>
  <c r="BI46" i="130" a="1"/>
  <c r="AX42" i="130" a="1"/>
  <c r="BI36" i="130" a="1"/>
  <c r="BG33" i="130" a="1"/>
  <c r="AU8" i="130" a="1"/>
  <c r="BE15" i="130" a="1"/>
  <c r="BJ7" i="130" a="1"/>
  <c r="BJ8" i="130" a="1"/>
  <c r="BG25" i="130" a="1"/>
  <c r="BF39" i="130" a="1"/>
  <c r="AV33" i="130" a="1"/>
  <c r="AX32" i="130" a="1"/>
  <c r="BJ28" i="130" a="1"/>
  <c r="AS8" i="130" a="1"/>
  <c r="AT32" i="130" a="1"/>
  <c r="BI19" i="130" a="1"/>
  <c r="AV24" i="130" a="1"/>
  <c r="AZ28" i="130" a="1"/>
  <c r="AW47" i="130" a="1"/>
  <c r="BD42" i="130" a="1"/>
  <c r="AX37" i="130" a="1"/>
  <c r="BG18" i="130" a="1"/>
  <c r="BA10" i="130" a="1"/>
  <c r="BJ30" i="130" a="1"/>
  <c r="AZ47" i="130" a="1"/>
  <c r="AZ26" i="130" a="1"/>
  <c r="BH29" i="130" a="1"/>
  <c r="BF6" i="130" a="1"/>
  <c r="BF11" i="130" a="1"/>
  <c r="AV27" i="130" a="1"/>
  <c r="BI40" i="130" a="1"/>
  <c r="BJ40" i="130" a="1"/>
  <c r="BD11" i="130" a="1"/>
  <c r="BE46" i="130" a="1"/>
  <c r="BF20" i="130" a="1"/>
  <c r="BI37" i="130" a="1"/>
  <c r="AS16" i="130" a="1"/>
  <c r="BG34" i="130" a="1"/>
  <c r="BD32" i="130" a="1"/>
  <c r="AS20" i="130" a="1"/>
  <c r="BC47" i="130" a="1"/>
  <c r="BG43" i="130" a="1"/>
  <c r="BH18" i="130" a="1"/>
  <c r="BG47" i="130" a="1"/>
  <c r="BE40" i="130" a="1"/>
  <c r="AX39" i="130" a="1"/>
  <c r="BB31" i="130" a="1"/>
  <c r="BI38" i="130" a="1"/>
  <c r="AV9" i="130" a="1"/>
  <c r="AY32" i="130" a="1"/>
  <c r="AY23" i="130" a="1"/>
  <c r="BH32" i="130" a="1"/>
  <c r="AX34" i="130" a="1"/>
  <c r="BG20" i="130" a="1"/>
  <c r="BH45" i="130" a="1"/>
  <c r="AX13" i="130" a="1"/>
  <c r="BI26" i="130" a="1"/>
  <c r="AU33" i="130" a="1"/>
  <c r="BJ42" i="130" a="1"/>
  <c r="BC13" i="130" a="1"/>
  <c r="BC6" i="130" a="1"/>
  <c r="AS27" i="130" a="1"/>
  <c r="BI5" i="130" a="1"/>
  <c r="BH33" i="130" a="1"/>
  <c r="BG42" i="130" a="1"/>
  <c r="BB38" i="130" a="1"/>
  <c r="AU34" i="130" a="1"/>
  <c r="BJ33" i="130" a="1"/>
  <c r="AX8" i="130" a="1"/>
  <c r="BE33" i="130" a="1"/>
  <c r="AW20" i="130" a="1"/>
  <c r="BA24" i="130" a="1"/>
  <c r="BE28" i="130" a="1"/>
  <c r="AS38" i="130" a="1"/>
  <c r="AY44" i="130" a="1"/>
  <c r="BF38" i="130" a="1"/>
  <c r="BD16" i="130" a="1"/>
  <c r="BA15" i="130" a="1"/>
  <c r="BJ10" i="130" a="1"/>
  <c r="BI6" i="130" a="1"/>
  <c r="AY16" i="130" a="1"/>
  <c r="BD48" i="130" a="1"/>
  <c r="AU23" i="130" a="1"/>
  <c r="AY27" i="130" a="1"/>
  <c r="AS41" i="130" a="1"/>
  <c r="BA35" i="130" a="1"/>
  <c r="BA31" i="130" a="1"/>
  <c r="BG35" i="130" a="1"/>
  <c r="BG31" i="130" a="1"/>
  <c r="AS14" i="130" a="1"/>
  <c r="AU10" i="130" a="1"/>
  <c r="AX44" i="130" a="1"/>
  <c r="AZ30" i="130" a="1"/>
  <c r="AY31" i="130" a="1"/>
  <c r="BA30" i="130" a="1"/>
  <c r="BJ23" i="130" a="1"/>
  <c r="BE7" i="130" a="1"/>
  <c r="BB30" i="130" a="1"/>
  <c r="BD19" i="130" a="1"/>
  <c r="BH23" i="130" a="1"/>
  <c r="AU28" i="130" a="1"/>
  <c r="BA45" i="130" a="1"/>
  <c r="BG15" i="130" a="1"/>
  <c r="BC32" i="130" a="1"/>
  <c r="AW17" i="130" a="1"/>
  <c r="AT16" i="130" a="1"/>
  <c r="BJ12" i="130" a="1"/>
  <c r="AT7" i="130" a="1"/>
  <c r="BG16" i="130" a="1"/>
  <c r="AS19" i="130" a="1"/>
  <c r="AW23" i="130" a="1"/>
  <c r="BA27" i="130" a="1"/>
  <c r="BC41" i="130" a="1"/>
  <c r="BH39" i="130" a="1"/>
  <c r="BD35" i="130" a="1"/>
  <c r="BJ37" i="130" a="1"/>
  <c r="BB8" i="130" a="1"/>
  <c r="AT35" i="130" a="1"/>
  <c r="BA20" i="130" a="1"/>
  <c r="BE24" i="130" a="1"/>
  <c r="BI28" i="130" a="1"/>
  <c r="BE10" i="130" a="1"/>
  <c r="AY10" i="130" a="1"/>
  <c r="AY24" i="130" a="1"/>
  <c r="BB34" i="130" a="1"/>
  <c r="BH36" i="130" a="1"/>
  <c r="AZ38" i="130" a="1"/>
  <c r="BB44" i="130" a="1"/>
  <c r="BC39" i="130" a="1"/>
  <c r="AT5" i="130" a="1"/>
  <c r="AX9" i="130" a="1"/>
  <c r="BA38" i="130" a="1"/>
  <c r="AW21" i="130" a="1"/>
  <c r="BA25" i="130" a="1"/>
  <c r="AY30" i="130" a="1"/>
  <c r="BC14" i="130" a="1"/>
  <c r="BD10" i="130" a="1"/>
  <c r="BD45" i="130" a="1"/>
  <c r="BA21" i="130" a="1"/>
  <c r="AW12" i="130" a="1"/>
  <c r="AS42" i="130" a="1"/>
  <c r="BB45" i="130" a="1"/>
  <c r="BA7" i="130" a="1"/>
  <c r="AX46" i="130" a="1"/>
  <c r="BB7" i="130" a="1"/>
  <c r="BB26" i="130" a="1"/>
  <c r="BB40" i="130" a="1"/>
  <c r="AW36" i="130" a="1"/>
  <c r="BJ39" i="130" a="1"/>
  <c r="BD8" i="130" a="1"/>
  <c r="BB35" i="130" a="1"/>
  <c r="BC20" i="130" a="1"/>
  <c r="AT29" i="130" a="1"/>
  <c r="AY46" i="130" a="1"/>
  <c r="BF40" i="130" a="1"/>
  <c r="BF29" i="130" a="1"/>
  <c r="AW27" i="130" a="1"/>
  <c r="BB36" i="130" a="1"/>
  <c r="BF35" i="130" a="1"/>
  <c r="BH24" i="130" a="1"/>
  <c r="BI33" i="130" a="1"/>
  <c r="AV14" i="130" a="1"/>
  <c r="BE6" i="130" a="1"/>
  <c r="AU27" i="130" a="1"/>
  <c r="AT8" i="130" a="1"/>
  <c r="BA28" i="130" a="1"/>
  <c r="AW35" i="130" a="1"/>
  <c r="BE41" i="130" a="1"/>
  <c r="AX24" i="130" a="1"/>
  <c r="BH11" i="130" a="1"/>
  <c r="AZ33" i="130" a="1"/>
  <c r="AW5" i="130" a="1"/>
  <c r="AZ15" i="130" a="1"/>
  <c r="BH47" i="130" a="1"/>
  <c r="AY25" i="130" a="1"/>
  <c r="AZ6" i="130" a="1"/>
  <c r="BF45" i="130" a="1"/>
  <c r="AY36" i="130" a="1"/>
  <c r="BJ14" i="130" a="1"/>
  <c r="AX17" i="130" a="1"/>
  <c r="AW42" i="130" a="1"/>
  <c r="AX40" i="130" a="1"/>
  <c r="BB6" i="130" a="1"/>
  <c r="BE22" i="130" a="1"/>
  <c r="BI45" i="130" a="1"/>
  <c r="BH20" i="130" a="1"/>
  <c r="BG46" i="130" a="1"/>
  <c r="BA33" i="130" a="1"/>
  <c r="BI42" i="130" a="1"/>
  <c r="AW45" i="130" a="1"/>
  <c r="AS25" i="130" a="1"/>
  <c r="BH31" i="130" a="1"/>
  <c r="BE47" i="130" a="1"/>
  <c r="BC21" i="130" a="1"/>
  <c r="BI44" i="130" a="1"/>
  <c r="AW43" i="130" a="1"/>
  <c r="BC35" i="130" a="1"/>
  <c r="BE42" i="130" a="1"/>
  <c r="AU38" i="130" a="1"/>
  <c r="BJ45" i="130" a="1"/>
  <c r="AS9" i="130" a="1"/>
  <c r="AV37" i="130" a="1"/>
  <c r="BI20" i="130" a="1"/>
  <c r="AV25" i="130" a="1"/>
  <c r="AZ29" i="130" a="1"/>
  <c r="AT13" i="130" a="1"/>
  <c r="BC48" i="130" a="1"/>
  <c r="AV43" i="130" a="1"/>
  <c r="AU31" i="130" a="1"/>
  <c r="AU30" i="130" a="1"/>
  <c r="BJ22" i="130" a="1"/>
  <c r="BD7" i="130" a="1"/>
  <c r="AW30" i="130" a="1"/>
  <c r="BC19" i="130" a="1"/>
  <c r="BG23" i="130" a="1"/>
  <c r="AT28" i="130" a="1"/>
  <c r="AV45" i="130" a="1"/>
  <c r="BA40" i="130" a="1"/>
  <c r="AZ35" i="130" a="1"/>
  <c r="BG40" i="130" a="1"/>
  <c r="BE35" i="130" a="1"/>
  <c r="BA17" i="130" a="1"/>
  <c r="BF13" i="130" a="1"/>
  <c r="AZ36" i="130" a="1"/>
  <c r="BD29" i="130" a="1"/>
  <c r="AU39" i="130" a="1"/>
  <c r="AS35" i="130" a="1"/>
  <c r="BJ35" i="130" a="1"/>
  <c r="AZ8" i="130" a="1"/>
  <c r="AZ34" i="130" a="1"/>
  <c r="AY20" i="130" a="1"/>
  <c r="BC24" i="130" a="1"/>
  <c r="BG28" i="130" a="1"/>
  <c r="AW10" i="130" a="1"/>
  <c r="BA42" i="130" a="1"/>
  <c r="AX16" i="130" a="1"/>
  <c r="BE31" i="130" a="1"/>
  <c r="BI30" i="130" a="1"/>
  <c r="BJ24" i="130" a="1"/>
  <c r="BF7" i="130" a="1"/>
  <c r="BG30" i="130" a="1"/>
  <c r="BE19" i="130" a="1"/>
  <c r="BI23" i="130" a="1"/>
  <c r="AV28" i="130" a="1"/>
  <c r="BG45" i="130" a="1"/>
  <c r="AT44" i="130" a="1"/>
  <c r="AW39" i="130" a="1"/>
  <c r="AS5" i="130" a="1"/>
  <c r="AW9" i="130" a="1"/>
  <c r="AW38" i="130" a="1"/>
  <c r="AV21" i="130" a="1"/>
  <c r="AZ25" i="130" a="1"/>
  <c r="BI29" i="130" a="1"/>
  <c r="AX14" i="130" a="1"/>
  <c r="AT14" i="130" a="1"/>
  <c r="BF25" i="130" a="1"/>
  <c r="BB47" i="130" a="1"/>
  <c r="BA19" i="130" a="1"/>
  <c r="BB10" i="130" a="1"/>
  <c r="BA48" i="130" a="1"/>
  <c r="BH43" i="130" a="1"/>
  <c r="BF5" i="130" a="1"/>
  <c r="AT11" i="130" a="1"/>
  <c r="AV42" i="130" a="1"/>
  <c r="BI21" i="130" a="1"/>
  <c r="AV26" i="130" a="1"/>
  <c r="BE34" i="130" a="1"/>
  <c r="AT18" i="130" a="1"/>
  <c r="AY14" i="130" a="1"/>
  <c r="AS6" i="130" a="1"/>
  <c r="AV22" i="130" a="1"/>
  <c r="AW34" i="130" a="1"/>
  <c r="BF10" i="130" a="1"/>
  <c r="BJ19" i="130" a="1"/>
  <c r="BH8" i="130" a="1"/>
  <c r="BH14" i="130" a="1"/>
  <c r="BI8" i="130" a="1"/>
  <c r="BI27" i="130" a="1"/>
  <c r="BF44" i="130" a="1"/>
  <c r="AS40" i="130" a="1"/>
  <c r="AU5" i="130" a="1"/>
  <c r="AY9" i="130" a="1"/>
  <c r="BE38" i="130" a="1"/>
  <c r="AX21" i="130" a="1"/>
  <c r="BB25" i="130" a="1"/>
  <c r="BF30" i="130" a="1"/>
  <c r="BG14" i="130" a="1"/>
  <c r="BI10" i="130" a="1"/>
  <c r="AT46" i="130" a="1"/>
  <c r="AT41" i="130" a="1"/>
  <c r="AU12" i="130" a="1"/>
  <c r="AV47" i="130" a="1"/>
  <c r="AW32" i="130" a="1"/>
  <c r="BD12" i="130" a="1"/>
  <c r="BD28" i="130" a="1"/>
  <c r="BH34" i="130" a="1"/>
  <c r="AU45" i="130" a="1"/>
  <c r="AY40" i="130" a="1"/>
  <c r="AV5" i="130" a="1"/>
  <c r="AZ9" i="130" a="1"/>
  <c r="AS39" i="130" a="1"/>
  <c r="AY21" i="130" a="1"/>
  <c r="BC25" i="130" a="1"/>
  <c r="AT31" i="130" a="1"/>
  <c r="AV15" i="130" a="1"/>
  <c r="AW11" i="130" a="1"/>
  <c r="AZ46" i="130" a="1"/>
  <c r="BC37" i="130" a="1"/>
  <c r="AS33" i="130" a="1"/>
  <c r="AZ7" i="130" a="1"/>
  <c r="BH22" i="130" a="1"/>
  <c r="BG27" i="130" a="1"/>
  <c r="BA47" i="130" a="1"/>
  <c r="AT33" i="130" a="1"/>
  <c r="AY39" i="130" a="1"/>
  <c r="AZ5" i="130" a="1"/>
  <c r="AV48" i="130" a="1"/>
  <c r="AX41" i="130" a="1"/>
  <c r="BG36" i="130" a="1"/>
  <c r="BJ41" i="130" a="1"/>
  <c r="BF8" i="130" a="1"/>
  <c r="AT36" i="130" a="1"/>
  <c r="BE20" i="130" a="1"/>
  <c r="BI24" i="130" a="1"/>
  <c r="AV29" i="130" a="1"/>
  <c r="BI11" i="130" a="1"/>
  <c r="BD41" i="130" a="1"/>
  <c r="AU20" i="130" a="1"/>
  <c r="BI14" i="130" a="1"/>
  <c r="AX15" i="130" a="1"/>
  <c r="AW29" i="130" a="1"/>
  <c r="BI39" i="130" a="1"/>
  <c r="AY45" i="130" a="1"/>
  <c r="BA9" i="130" a="1"/>
  <c r="AZ21" i="130" a="1"/>
  <c r="BB15" i="130" a="1"/>
  <c r="AV17" i="130" a="1"/>
  <c r="BG37" i="130" a="1"/>
  <c r="BC29" i="130" a="1"/>
  <c r="BC22" i="130" a="1"/>
  <c r="BF37" i="130" a="1"/>
  <c r="BG17" i="130" a="1"/>
  <c r="AV7" i="130" a="1"/>
  <c r="BC27" i="130" a="1"/>
  <c r="BE36" i="130" a="1"/>
  <c r="BB28" i="130" a="1"/>
  <c r="BJ43" i="130" a="1"/>
  <c r="AZ48" i="130" a="1"/>
  <c r="BA14" i="130" a="1"/>
  <c r="AW18" i="130" a="1"/>
  <c r="AT20" i="130" a="1"/>
  <c r="AY42" i="130" a="1"/>
  <c r="BE48" i="130" a="1"/>
  <c r="BF48" i="130" a="1"/>
  <c r="BF14" i="130" a="1"/>
  <c r="BF22" i="130" a="1"/>
  <c r="BH38" i="130" a="1"/>
  <c r="BB18" i="130" a="1"/>
  <c r="AY15" i="130" a="1"/>
  <c r="BE32" i="130" a="1"/>
  <c r="BH37" i="130" a="1"/>
  <c r="AV30" i="130" a="1"/>
  <c r="AT10" i="130" a="1"/>
  <c r="BG11" i="130" a="1"/>
  <c r="AY26" i="130" a="1"/>
  <c r="BI22" i="130" a="1"/>
  <c r="BD46" i="130" a="1"/>
  <c r="AU42" i="130" a="1"/>
  <c r="BA5" i="130" a="1"/>
  <c r="BI9" i="130" a="1"/>
  <c r="BC40" i="130" a="1"/>
  <c r="BD21" i="130" a="1"/>
  <c r="BH25" i="130" a="1"/>
  <c r="BI32" i="130" a="1"/>
  <c r="BC16" i="130" a="1"/>
  <c r="BG12" i="130" a="1"/>
  <c r="AW48" i="130" a="1"/>
  <c r="BG38" i="130" a="1"/>
  <c r="BD34" i="130" a="1"/>
  <c r="BJ34" i="130" a="1"/>
  <c r="AY8" i="130" a="1"/>
  <c r="AT34" i="130" a="1"/>
  <c r="AX20" i="130" a="1"/>
  <c r="BB24" i="130" a="1"/>
  <c r="BF28" i="130" a="1"/>
  <c r="BG9" i="130" a="1"/>
  <c r="BE44" i="130" a="1"/>
  <c r="AT39" i="130" a="1"/>
  <c r="AS45" i="130" a="1"/>
  <c r="AZ39" i="130" a="1"/>
  <c r="AS32" i="130" a="1"/>
  <c r="AY17" i="130" a="1"/>
  <c r="BB32" i="130" a="1"/>
  <c r="BE23" i="130" a="1"/>
  <c r="AZ43" i="130" a="1"/>
  <c r="BD38" i="130" a="1"/>
  <c r="BJ47" i="130" a="1"/>
  <c r="AU9" i="130" a="1"/>
  <c r="BD37" i="130" a="1"/>
  <c r="AT21" i="130" a="1"/>
  <c r="AX25" i="130" a="1"/>
  <c r="BB29" i="130" a="1"/>
  <c r="BD13" i="130" a="1"/>
  <c r="AY12" i="130" a="1"/>
  <c r="AV16" i="130" a="1"/>
  <c r="BB39" i="130" a="1"/>
  <c r="AX35" i="130" a="1"/>
  <c r="BJ36" i="130" a="1"/>
  <c r="BA8" i="130" a="1"/>
  <c r="BF34" i="130" a="1"/>
  <c r="AZ20" i="130" a="1"/>
  <c r="BD24" i="130" a="1"/>
  <c r="BH28" i="130" a="1"/>
  <c r="AV10" i="130" a="1"/>
  <c r="AU48" i="130" a="1"/>
  <c r="BA43" i="130" a="1"/>
  <c r="BE5" i="130" a="1"/>
  <c r="BG10" i="130" a="1"/>
  <c r="BG41" i="130" a="1"/>
  <c r="BH21" i="130" a="1"/>
  <c r="AU26" i="130" a="1"/>
  <c r="AY34" i="130" a="1"/>
  <c r="BF17" i="130" a="1"/>
  <c r="BD17" i="130" a="1"/>
  <c r="BC28" i="130" a="1"/>
  <c r="BI15" i="130" a="1"/>
  <c r="AZ24" i="130" a="1"/>
  <c r="AU14" i="130" a="1"/>
  <c r="AS13" i="130" a="1"/>
  <c r="AT48" i="130" a="1"/>
  <c r="BA6" i="130" a="1"/>
  <c r="AW14" i="130" a="1"/>
  <c r="AU46" i="130" a="1"/>
  <c r="BD22" i="130" a="1"/>
  <c r="BH26" i="130" a="1"/>
  <c r="AX38" i="130" a="1"/>
  <c r="BF32" i="130" a="1"/>
  <c r="BI17" i="130" a="1"/>
  <c r="BB9" i="130" a="1"/>
  <c r="BC23" i="130" a="1"/>
  <c r="AX43" i="130" a="1"/>
  <c r="AX18" i="130" a="1"/>
  <c r="BJ31" i="130" a="1"/>
  <c r="BC15" i="130" a="1"/>
  <c r="BF41" i="130" a="1"/>
  <c r="BH15" i="130" a="1"/>
  <c r="BH10" i="130" a="1"/>
  <c r="BG48" i="130" a="1"/>
  <c r="AW44" i="130" a="1"/>
  <c r="BG5" i="130" a="1"/>
  <c r="AY11" i="130" a="1"/>
  <c r="BB42" i="130" a="1"/>
  <c r="AS22" i="130" a="1"/>
  <c r="AW26" i="130" a="1"/>
  <c r="BI34" i="130" a="1"/>
  <c r="AY18" i="130" a="1"/>
  <c r="BD14" i="130" a="1"/>
  <c r="AT47" i="130" a="1"/>
  <c r="BJ18" i="130" a="1"/>
  <c r="AZ18" i="130" a="1"/>
  <c r="AT12" i="130" a="1"/>
  <c r="AX30" i="130" a="1"/>
  <c r="AU44" i="130" a="1"/>
  <c r="BA36" i="130" a="1"/>
  <c r="AV11" i="130" a="1"/>
  <c r="BE9" i="130" a="1"/>
  <c r="BC44" i="130" a="1"/>
  <c r="BH5" i="130" a="1"/>
  <c r="BC11" i="130" a="1"/>
  <c r="BH42" i="130" a="1"/>
  <c r="AT22" i="130" a="1"/>
  <c r="AX26" i="130" a="1"/>
  <c r="BD30" i="130" a="1"/>
  <c r="BD25" i="130" a="1"/>
  <c r="BB21" i="130" a="1"/>
  <c r="AU11" i="130" a="1"/>
  <c r="AU21" i="130" a="1"/>
  <c r="BE12" i="130" a="1"/>
  <c r="AA136" i="1" l="1"/>
  <c r="KE19" i="132"/>
  <c r="JZ20" i="132"/>
  <c r="AA47" i="1"/>
  <c r="AA101" i="1"/>
  <c r="AA102" i="1"/>
  <c r="AA103" i="1"/>
  <c r="KG19" i="132"/>
  <c r="JT19" i="132"/>
  <c r="KF20" i="132"/>
  <c r="KH20" i="132"/>
  <c r="JQ19" i="132"/>
  <c r="BX94" i="1" s="1"/>
  <c r="KE20" i="132"/>
  <c r="BX51" i="1" s="1"/>
  <c r="BY72" i="1" s="1"/>
  <c r="BX55" i="1" s="1"/>
  <c r="BI51" i="130" s="1"/>
  <c r="AW51" i="130" s="1"/>
  <c r="BJ51" i="130" s="1"/>
  <c r="BY55" i="1" s="1"/>
  <c r="AZ51" i="130" s="1"/>
  <c r="BH51" i="130" s="1"/>
  <c r="AV51" i="130" s="1"/>
  <c r="BY44" i="1" s="1"/>
  <c r="BY51" i="1" s="1"/>
  <c r="AX51" i="130" l="1"/>
  <c r="BY77" i="1" s="1"/>
  <c r="BX49" i="1" s="1"/>
  <c r="BX73" i="1" s="1"/>
  <c r="BY62" i="1" s="1"/>
  <c r="BG51" i="130" s="1"/>
  <c r="AU51" i="130" s="1"/>
  <c r="BX76" i="1" s="1"/>
  <c r="BY34" i="1" s="1"/>
  <c r="AA50" i="1"/>
  <c r="AA52" i="1" s="1"/>
  <c r="AA56" i="1" s="1"/>
  <c r="BX64" i="1"/>
  <c r="BX78" i="1" s="1"/>
  <c r="BY36" i="1"/>
  <c r="BY64" i="1"/>
  <c r="BY78" i="1" s="1"/>
  <c r="BY46" i="1"/>
  <c r="BY41" i="1"/>
  <c r="S72" i="1"/>
  <c r="J72" i="1"/>
  <c r="B72" i="1"/>
  <c r="Z42" i="1"/>
  <c r="B42" i="1"/>
  <c r="G74" i="1"/>
  <c r="C74" i="1"/>
  <c r="X42" i="1"/>
  <c r="I42" i="1"/>
  <c r="O73" i="1"/>
  <c r="Q72" i="1"/>
  <c r="W74" i="1"/>
  <c r="I74" i="1"/>
  <c r="B73" i="1"/>
  <c r="D42" i="1"/>
  <c r="Q42" i="1"/>
  <c r="V42" i="1"/>
  <c r="W72" i="1"/>
  <c r="X73" i="1"/>
  <c r="Y74" i="1"/>
  <c r="F42" i="1"/>
  <c r="G72" i="1"/>
  <c r="M42" i="1"/>
  <c r="N42" i="1"/>
  <c r="V73" i="1"/>
  <c r="D72" i="1"/>
  <c r="E74" i="1"/>
  <c r="K42" i="1"/>
  <c r="F72" i="1"/>
  <c r="V72" i="1"/>
  <c r="V74" i="1"/>
  <c r="Y42" i="1"/>
  <c r="E72" i="1"/>
  <c r="H72" i="1"/>
  <c r="K73" i="1"/>
  <c r="T42" i="1"/>
  <c r="E42" i="1"/>
  <c r="D74" i="1"/>
  <c r="P42" i="1"/>
  <c r="C73" i="1"/>
  <c r="Y73" i="1"/>
  <c r="I73" i="1"/>
  <c r="P73" i="1"/>
  <c r="R72" i="1"/>
  <c r="J73" i="1"/>
  <c r="O74" i="1"/>
  <c r="R74" i="1"/>
  <c r="P74" i="1"/>
  <c r="Y72" i="1"/>
  <c r="Z73" i="1"/>
  <c r="H42" i="1"/>
  <c r="U42" i="1"/>
  <c r="C72" i="1"/>
  <c r="N72" i="1"/>
  <c r="I72" i="1"/>
  <c r="L73" i="1"/>
  <c r="O72" i="1"/>
  <c r="X72" i="1"/>
  <c r="U72" i="1"/>
  <c r="E73" i="1"/>
  <c r="O42" i="1"/>
  <c r="D73" i="1"/>
  <c r="E44" i="1"/>
  <c r="C42" i="1"/>
  <c r="K72" i="1"/>
  <c r="Z72" i="1"/>
  <c r="N73" i="1"/>
  <c r="M73" i="1"/>
  <c r="L74" i="1"/>
  <c r="Q74" i="1"/>
  <c r="P72" i="1"/>
  <c r="L72" i="1"/>
  <c r="K74" i="1"/>
  <c r="G73" i="1"/>
  <c r="J74" i="1"/>
  <c r="W73" i="1"/>
  <c r="F73" i="1"/>
  <c r="J42" i="1"/>
  <c r="T74" i="1"/>
  <c r="U73" i="1"/>
  <c r="P44" i="1"/>
  <c r="F74" i="1"/>
  <c r="T73" i="1"/>
  <c r="M72" i="1"/>
  <c r="R42" i="1"/>
  <c r="L42" i="1"/>
  <c r="Z74" i="1"/>
  <c r="Q73" i="1"/>
  <c r="X74" i="1"/>
  <c r="N44" i="1"/>
  <c r="H74" i="1"/>
  <c r="G42" i="1"/>
  <c r="T72" i="1"/>
  <c r="W42" i="1"/>
  <c r="S74" i="1"/>
  <c r="N74" i="1"/>
  <c r="R73" i="1"/>
  <c r="B74" i="1"/>
  <c r="M74" i="1"/>
  <c r="S73" i="1"/>
  <c r="U74" i="1"/>
  <c r="H73" i="1"/>
  <c r="S42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4" i="1"/>
  <c r="AY51" i="130" l="1"/>
  <c r="BY63" i="1" s="1"/>
  <c r="BX34" i="1" s="1"/>
  <c r="BY49" i="1" s="1"/>
  <c r="AA60" i="1"/>
  <c r="AA65" i="1"/>
  <c r="AA66" i="1" s="1"/>
  <c r="AA87" i="1"/>
  <c r="BX41" i="1"/>
  <c r="BX46" i="1" s="1"/>
  <c r="BX36" i="1"/>
  <c r="Z44" i="1"/>
  <c r="I44" i="1"/>
  <c r="B44" i="1"/>
  <c r="C44" i="1"/>
  <c r="R44" i="1"/>
  <c r="G44" i="1"/>
  <c r="T44" i="1"/>
  <c r="W44" i="1"/>
  <c r="F44" i="1"/>
  <c r="K44" i="1"/>
  <c r="Y44" i="1"/>
  <c r="S44" i="1"/>
  <c r="Q44" i="1"/>
  <c r="O44" i="1"/>
  <c r="M44" i="1"/>
  <c r="J44" i="1"/>
  <c r="U44" i="1"/>
  <c r="X44" i="1"/>
  <c r="L44" i="1"/>
  <c r="V44" i="1"/>
  <c r="H44" i="1"/>
  <c r="D44" i="1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4" i="1"/>
  <c r="CB54" i="1" s="1"/>
  <c r="CC54" i="1" s="1"/>
  <c r="CD54" i="1" s="1"/>
  <c r="AS55" i="130" a="1"/>
  <c r="AU82" i="130" a="1"/>
  <c r="AW55" i="130" a="1"/>
  <c r="AZ67" i="130" a="1"/>
  <c r="BB79" i="130" a="1"/>
  <c r="BD83" i="130" a="1"/>
  <c r="BG76" i="130" a="1"/>
  <c r="BI68" i="130" a="1"/>
  <c r="Q6" i="132" a="1"/>
  <c r="DK13" i="132" a="1"/>
  <c r="AR40" i="130" a="1"/>
  <c r="EJ6" i="132" a="1"/>
  <c r="Q7" i="132" a="1"/>
  <c r="O15" i="132" a="1"/>
  <c r="DP11" i="132" a="1"/>
  <c r="BW13" i="132" a="1"/>
  <c r="AX14" i="132" a="1"/>
  <c r="DJ9" i="132" a="1"/>
  <c r="AS75" i="130" a="1"/>
  <c r="AV75" i="130" a="1"/>
  <c r="AX59" i="130" a="1"/>
  <c r="AZ73" i="130" a="1"/>
  <c r="BC83" i="130" a="1"/>
  <c r="BE56" i="130" a="1"/>
  <c r="BG64" i="130" a="1"/>
  <c r="BI7" i="132" a="1"/>
  <c r="AS83" i="130" a="1"/>
  <c r="AU72" i="130" a="1"/>
  <c r="AW71" i="130" a="1"/>
  <c r="AZ54" i="130" a="1"/>
  <c r="BB70" i="130" a="1"/>
  <c r="BD68" i="130" a="1"/>
  <c r="BG58" i="130" a="1"/>
  <c r="BI59" i="130" a="1"/>
  <c r="CC8" i="132" a="1"/>
  <c r="DT16" i="132" a="1"/>
  <c r="DS12" i="132" a="1"/>
  <c r="E6" i="132" a="1"/>
  <c r="DA12" i="132" a="1"/>
  <c r="EB13" i="132" a="1"/>
  <c r="DR7" i="132" a="1"/>
  <c r="DU9" i="132" a="1"/>
  <c r="DE13" i="132" a="1"/>
  <c r="FB8" i="132" a="1"/>
  <c r="BQ11" i="132" a="1"/>
  <c r="CD7" i="132" a="1"/>
  <c r="H14" i="132" a="1"/>
  <c r="AS58" i="130" a="1"/>
  <c r="AU55" i="130" a="1"/>
  <c r="AS57" i="130" a="1"/>
  <c r="AU61" i="130" a="1"/>
  <c r="AX62" i="130" a="1"/>
  <c r="AZ79" i="130" a="1"/>
  <c r="BB58" i="130" a="1"/>
  <c r="BE77" i="130" a="1"/>
  <c r="BG73" i="130" a="1"/>
  <c r="BI78" i="130" a="1"/>
  <c r="FC16" i="132" a="1"/>
  <c r="U48" i="130" a="1"/>
  <c r="DP13" i="132" a="1"/>
  <c r="AA11" i="132" a="1"/>
  <c r="N12" i="132" a="1"/>
  <c r="DF9" i="132" a="1"/>
  <c r="CT5" i="132" a="1"/>
  <c r="Y7" i="132" a="1"/>
  <c r="EM7" i="132" a="1"/>
  <c r="CC9" i="132" a="1"/>
  <c r="AL7" i="132" a="1"/>
  <c r="CG6" i="132" a="1"/>
  <c r="R14" i="132" a="1"/>
  <c r="AS80" i="130" a="1"/>
  <c r="AU58" i="130" a="1"/>
  <c r="AX83" i="130" a="1"/>
  <c r="AZ77" i="130" a="1"/>
  <c r="BB81" i="130" a="1"/>
  <c r="BE76" i="130" a="1"/>
  <c r="BG71" i="130" a="1"/>
  <c r="BI76" i="130" a="1"/>
  <c r="CG15" i="132" a="1"/>
  <c r="C7" i="132" a="1"/>
  <c r="AK48" i="130" a="1"/>
  <c r="BJ59" i="130" a="1"/>
  <c r="AT54" i="130" a="1"/>
  <c r="AV53" i="130" a="1"/>
  <c r="AY75" i="130" a="1"/>
  <c r="BA69" i="130" a="1"/>
  <c r="BC76" i="130" a="1"/>
  <c r="BF67" i="130" a="1"/>
  <c r="BH79" i="130" a="1"/>
  <c r="AJ14" i="132" a="1"/>
  <c r="AF48" i="130" a="1"/>
  <c r="T6" i="132" a="1"/>
  <c r="BO7" i="132" a="1"/>
  <c r="DX9" i="132" a="1"/>
  <c r="DH13" i="132" a="1"/>
  <c r="EA14" i="132" a="1"/>
  <c r="EC6" i="132" a="1"/>
  <c r="BJ61" i="130" a="1"/>
  <c r="AU70" i="130" a="1"/>
  <c r="AS65" i="130" a="1"/>
  <c r="AU67" i="130" a="1"/>
  <c r="AX60" i="130" a="1"/>
  <c r="AZ69" i="130" a="1"/>
  <c r="BB60" i="130" a="1"/>
  <c r="BE74" i="130" a="1"/>
  <c r="BG79" i="130" a="1"/>
  <c r="BI81" i="130" a="1"/>
  <c r="BU16" i="132" a="1"/>
  <c r="DZ15" i="132" a="1"/>
  <c r="EZ16" i="132" a="1"/>
  <c r="AR26" i="130" a="1"/>
  <c r="BA11" i="132" a="1"/>
  <c r="CC13" i="132" a="1"/>
  <c r="BP6" i="132" a="1"/>
  <c r="BH11" i="132" a="1"/>
  <c r="BB16" i="132" a="1"/>
  <c r="CH6" i="132" a="1"/>
  <c r="AT55" i="130" a="1"/>
  <c r="AV58" i="130" a="1"/>
  <c r="AX54" i="130" a="1"/>
  <c r="BA77" i="130" a="1"/>
  <c r="BC67" i="130" a="1"/>
  <c r="BE64" i="130" a="1"/>
  <c r="BH56" i="130" a="1"/>
  <c r="Z14" i="132" a="1"/>
  <c r="AS61" i="130" a="1"/>
  <c r="AU60" i="130" a="1"/>
  <c r="AX76" i="130" a="1"/>
  <c r="AZ57" i="130" a="1"/>
  <c r="BB74" i="130" a="1"/>
  <c r="BE59" i="130" a="1"/>
  <c r="BG61" i="130" a="1"/>
  <c r="BI65" i="130" a="1"/>
  <c r="T14" i="132" a="1"/>
  <c r="AE5" i="132" a="1"/>
  <c r="AC15" i="132" a="1"/>
  <c r="BS5" i="132" a="1"/>
  <c r="AD12" i="132" a="1"/>
  <c r="BN15" i="132" a="1"/>
  <c r="BS8" i="132" a="1"/>
  <c r="AE48" i="130" a="1"/>
  <c r="BW16" i="132" a="1"/>
  <c r="CB13" i="132" a="1"/>
  <c r="S7" i="132" a="1"/>
  <c r="CW8" i="132" a="1"/>
  <c r="BF11" i="132" a="1"/>
  <c r="AS73" i="130" a="1"/>
  <c r="AV69" i="130" a="1"/>
  <c r="AS59" i="130" a="1"/>
  <c r="AV65" i="130" a="1"/>
  <c r="AX79" i="130" a="1"/>
  <c r="AZ60" i="130" a="1"/>
  <c r="BC70" i="130" a="1"/>
  <c r="BE61" i="130" a="1"/>
  <c r="BG81" i="130" a="1"/>
  <c r="AU8" i="132" a="1"/>
  <c r="AY13" i="132" a="1"/>
  <c r="DX14" i="132" a="1"/>
  <c r="K48" i="130" a="1"/>
  <c r="CW12" i="132" a="1"/>
  <c r="AU6" i="132" a="1"/>
  <c r="F16" i="132" a="1"/>
  <c r="AV7" i="132" a="1"/>
  <c r="AP9" i="132" a="1"/>
  <c r="BL15" i="132" a="1"/>
  <c r="DA6" i="132" a="1"/>
  <c r="CW6" i="132" a="1"/>
  <c r="BP11" i="132" a="1"/>
  <c r="BD13" i="132" a="1"/>
  <c r="AT77" i="130" a="1"/>
  <c r="AV60" i="130" a="1"/>
  <c r="AX70" i="130" a="1"/>
  <c r="AZ59" i="130" a="1"/>
  <c r="BC66" i="130" a="1"/>
  <c r="BE53" i="130" a="1"/>
  <c r="BG54" i="130" a="1"/>
  <c r="AI14" i="132" a="1"/>
  <c r="AR22" i="130" a="1"/>
  <c r="N9" i="132" a="1"/>
  <c r="EU5" i="132" a="1"/>
  <c r="BJ66" i="130" a="1"/>
  <c r="AT69" i="130" a="1"/>
  <c r="AW83" i="130" a="1"/>
  <c r="AY63" i="130" a="1"/>
  <c r="BA57" i="130" a="1"/>
  <c r="BD57" i="130" a="1"/>
  <c r="BF64" i="130" a="1"/>
  <c r="BH55" i="130" a="1"/>
  <c r="BG16" i="132" a="1"/>
  <c r="L48" i="130" a="1"/>
  <c r="BW15" i="132" a="1"/>
  <c r="C5" i="132" a="1"/>
  <c r="AJ12" i="132" a="1"/>
  <c r="CS15" i="132" a="1"/>
  <c r="W48" i="130" a="1"/>
  <c r="ED8" i="132" a="1"/>
  <c r="AS79" i="130" a="1"/>
  <c r="AU62" i="130" a="1"/>
  <c r="AW54" i="130" a="1"/>
  <c r="AZ74" i="130" a="1"/>
  <c r="BB66" i="130" a="1"/>
  <c r="BD59" i="130" a="1"/>
  <c r="BG82" i="130" a="1"/>
  <c r="BI54" i="130" a="1"/>
  <c r="AK15" i="132" a="1"/>
  <c r="AR33" i="130" a="1"/>
  <c r="EY14" i="132" a="1"/>
  <c r="AR6" i="130" a="1"/>
  <c r="AC12" i="132" a="1"/>
  <c r="AR15" i="130" a="1"/>
  <c r="CU11" i="132" a="1"/>
  <c r="AZ14" i="132" a="1"/>
  <c r="BI8" i="132" a="1"/>
  <c r="FF16" i="132" a="1"/>
  <c r="CC6" i="132" a="1"/>
  <c r="AV73" i="130" a="1"/>
  <c r="BB53" i="130" a="1"/>
  <c r="BG75" i="130" a="1"/>
  <c r="R12" i="132" a="1"/>
  <c r="EO9" i="132" a="1"/>
  <c r="E11" i="132" a="1"/>
  <c r="CL12" i="132" a="1"/>
  <c r="ET11" i="132" a="1"/>
  <c r="CR7" i="132" a="1"/>
  <c r="AR14" i="130" a="1"/>
  <c r="AD6" i="132" a="1"/>
  <c r="CE9" i="132" a="1"/>
  <c r="CH15" i="132" a="1"/>
  <c r="BZ16" i="132" a="1"/>
  <c r="AP5" i="132" a="1"/>
  <c r="P8" i="132" a="1"/>
  <c r="CC7" i="132" a="1"/>
  <c r="BO8" i="132" a="1"/>
  <c r="BB14" i="132" a="1"/>
  <c r="CX16" i="132" a="1"/>
  <c r="AW62" i="130" a="1"/>
  <c r="BC60" i="130" a="1"/>
  <c r="BH58" i="130" a="1"/>
  <c r="I48" i="130" a="1"/>
  <c r="EZ13" i="132" a="1"/>
  <c r="DB12" i="132" a="1"/>
  <c r="AG13" i="132" a="1"/>
  <c r="DE7" i="132" a="1"/>
  <c r="EL13" i="132" a="1"/>
  <c r="AK13" i="132" a="1"/>
  <c r="CP7" i="132" a="1"/>
  <c r="DQ9" i="132" a="1"/>
  <c r="BC7" i="132" a="1"/>
  <c r="EE6" i="132" a="1"/>
  <c r="DQ11" i="132" a="1"/>
  <c r="DS13" i="132" a="1"/>
  <c r="DC9" i="132" a="1"/>
  <c r="EI5" i="132" a="1"/>
  <c r="DH9" i="132" a="1"/>
  <c r="O6" i="132" a="1"/>
  <c r="CT14" i="132" a="1"/>
  <c r="AV62" i="130" a="1"/>
  <c r="BB68" i="130" a="1"/>
  <c r="BG60" i="130" a="1"/>
  <c r="DE8" i="132" a="1"/>
  <c r="EQ14" i="132" a="1"/>
  <c r="CC5" i="132" a="1"/>
  <c r="AT6" i="132" a="1"/>
  <c r="EE14" i="132" a="1"/>
  <c r="DO11" i="132" a="1"/>
  <c r="CA8" i="132" a="1"/>
  <c r="BH14" i="132" a="1"/>
  <c r="AR6" i="132" a="1"/>
  <c r="EV16" i="132" a="1"/>
  <c r="Q13" i="132" a="1"/>
  <c r="DK6" i="132" a="1"/>
  <c r="EW11" i="132" a="1"/>
  <c r="DK9" i="132" a="1"/>
  <c r="CI16" i="132" a="1"/>
  <c r="EI12" i="132" a="1"/>
  <c r="DG15" i="132" a="1"/>
  <c r="BS15" i="132" a="1"/>
  <c r="AV78" i="130" a="1"/>
  <c r="BB67" i="130" a="1"/>
  <c r="BG53" i="130" a="1"/>
  <c r="CC15" i="132" a="1"/>
  <c r="EC15" i="132" a="1"/>
  <c r="DM5" i="132" a="1"/>
  <c r="BQ6" i="132" a="1"/>
  <c r="U15" i="132" a="1"/>
  <c r="ED15" i="132" a="1"/>
  <c r="P15" i="132" a="1"/>
  <c r="I12" i="132" a="1"/>
  <c r="EQ15" i="132" a="1"/>
  <c r="CN14" i="132" a="1"/>
  <c r="AV72" i="130" a="1"/>
  <c r="BB65" i="130" a="1"/>
  <c r="BH77" i="130" a="1"/>
  <c r="AS66" i="130" a="1"/>
  <c r="AY62" i="130" a="1"/>
  <c r="BE75" i="130" a="1"/>
  <c r="AT9" i="132" a="1"/>
  <c r="EQ6" i="132" a="1"/>
  <c r="EG15" i="132" a="1"/>
  <c r="BQ12" i="132" a="1"/>
  <c r="DX7" i="132" a="1"/>
  <c r="ET15" i="132" a="1"/>
  <c r="J15" i="132" a="1"/>
  <c r="AH13" i="132" a="1"/>
  <c r="BE9" i="132" a="1"/>
  <c r="C13" i="132" a="1"/>
  <c r="DR15" i="132" a="1"/>
  <c r="CK14" i="132" a="1"/>
  <c r="FB12" i="132" a="1"/>
  <c r="AX77" i="130" a="1"/>
  <c r="BC71" i="130" a="1"/>
  <c r="BI57" i="130" a="1"/>
  <c r="X11" i="132" a="1"/>
  <c r="AI16" i="132" a="1"/>
  <c r="BZ6" i="132" a="1"/>
  <c r="BK9" i="132" a="1"/>
  <c r="AP13" i="132" a="1"/>
  <c r="BJ75" i="130" a="1"/>
  <c r="AX64" i="130" a="1"/>
  <c r="BD65" i="130" a="1"/>
  <c r="EE11" i="132" a="1"/>
  <c r="DX5" i="132" a="1"/>
  <c r="AO6" i="132" a="1"/>
  <c r="DC14" i="132" a="1"/>
  <c r="AU59" i="130" a="1"/>
  <c r="BA59" i="130" a="1"/>
  <c r="BF57" i="130" a="1"/>
  <c r="BP12" i="132" a="1"/>
  <c r="ET14" i="132" a="1"/>
  <c r="L12" i="132" a="1"/>
  <c r="AQ15" i="132" a="1"/>
  <c r="BG14" i="132" a="1"/>
  <c r="CZ16" i="132" a="1"/>
  <c r="AY55" i="130" a="1"/>
  <c r="AW5" i="132" a="1"/>
  <c r="BS12" i="132" a="1"/>
  <c r="DT11" i="132" a="1"/>
  <c r="AR23" i="130" a="1"/>
  <c r="DF12" i="132" a="1"/>
  <c r="BG6" i="132" a="1"/>
  <c r="DS15" i="132" a="1"/>
  <c r="FA13" i="132" a="1"/>
  <c r="DL13" i="132" a="1"/>
  <c r="EV11" i="132" a="1"/>
  <c r="N5" i="132" a="1"/>
  <c r="BJ14" i="132" a="1"/>
  <c r="DO8" i="132" a="1"/>
  <c r="CR15" i="132" a="1"/>
  <c r="ET8" i="132" a="1"/>
  <c r="EG5" i="132" a="1"/>
  <c r="AS56" i="130" a="1"/>
  <c r="AV82" i="130" a="1"/>
  <c r="AX68" i="130" a="1"/>
  <c r="AZ75" i="130" a="1"/>
  <c r="BC55" i="130" a="1"/>
  <c r="BE62" i="130" a="1"/>
  <c r="BG70" i="130" a="1"/>
  <c r="EG14" i="132" a="1"/>
  <c r="AJ8" i="132" a="1"/>
  <c r="BO9" i="132" a="1"/>
  <c r="CJ12" i="132" a="1"/>
  <c r="BH15" i="132" a="1"/>
  <c r="AJ6" i="132" a="1"/>
  <c r="CW11" i="132" a="1"/>
  <c r="EC14" i="132" a="1"/>
  <c r="DP14" i="132" a="1"/>
  <c r="CA14" i="132" a="1"/>
  <c r="BJ73" i="130" a="1"/>
  <c r="AT63" i="130" a="1"/>
  <c r="AV55" i="130" a="1"/>
  <c r="AY56" i="130" a="1"/>
  <c r="BA78" i="130" a="1"/>
  <c r="BC57" i="130" a="1"/>
  <c r="BF74" i="130" a="1"/>
  <c r="BH83" i="130" a="1"/>
  <c r="AG48" i="130" a="1"/>
  <c r="AS74" i="130" a="1"/>
  <c r="AV61" i="130" a="1"/>
  <c r="AX53" i="130" a="1"/>
  <c r="AZ71" i="130" a="1"/>
  <c r="BC81" i="130" a="1"/>
  <c r="BE81" i="130" a="1"/>
  <c r="BG62" i="130" a="1"/>
  <c r="AX15" i="132" a="1"/>
  <c r="AR10" i="130" a="1"/>
  <c r="AU5" i="132" a="1"/>
  <c r="AE16" i="132" a="1"/>
  <c r="AB16" i="132" a="1"/>
  <c r="EE9" i="132" a="1"/>
  <c r="CG7" i="132" a="1"/>
  <c r="AB48" i="130" a="1"/>
  <c r="S13" i="132" a="1"/>
  <c r="V14" i="132" a="1"/>
  <c r="CH16" i="132" a="1"/>
  <c r="CF5" i="132" a="1"/>
  <c r="EC12" i="132" a="1"/>
  <c r="BJ83" i="130" a="1"/>
  <c r="AT79" i="130" a="1"/>
  <c r="BJ78" i="130" a="1"/>
  <c r="AT74" i="130" a="1"/>
  <c r="AV68" i="130" a="1"/>
  <c r="AY82" i="130" a="1"/>
  <c r="BA63" i="130" a="1"/>
  <c r="BC68" i="130" a="1"/>
  <c r="BE58" i="130" a="1"/>
  <c r="BH66" i="130" a="1"/>
  <c r="N8" i="132" a="1"/>
  <c r="BA16" i="132" a="1"/>
  <c r="BX8" i="132" a="1"/>
  <c r="EF11" i="132" a="1"/>
  <c r="AN16" i="132" a="1"/>
  <c r="DI15" i="132" a="1"/>
  <c r="CQ16" i="132" a="1"/>
  <c r="CW9" i="132" a="1"/>
  <c r="DV7" i="132" a="1"/>
  <c r="DS11" i="132" a="1"/>
  <c r="DZ8" i="132" a="1"/>
  <c r="EU14" i="132" a="1"/>
  <c r="CW13" i="132" a="1"/>
  <c r="BJ70" i="130" a="1"/>
  <c r="AT72" i="130" a="1"/>
  <c r="AV66" i="130" a="1"/>
  <c r="AY78" i="130" a="1"/>
  <c r="BA60" i="130" a="1"/>
  <c r="BC82" i="130" a="1"/>
  <c r="BF83" i="130" a="1"/>
  <c r="BH62" i="130" a="1"/>
  <c r="CJ13" i="132" a="1"/>
  <c r="BL5" i="132" a="1"/>
  <c r="V7" i="132" a="1"/>
  <c r="BC9" i="132" a="1"/>
  <c r="BJ68" i="130" a="1"/>
  <c r="AU54" i="130" a="1"/>
  <c r="AW67" i="130" a="1"/>
  <c r="AY80" i="130" a="1"/>
  <c r="BB75" i="130" a="1"/>
  <c r="BD72" i="130" a="1"/>
  <c r="BF66" i="130" a="1"/>
  <c r="BI55" i="130" a="1"/>
  <c r="I15" i="132" a="1"/>
  <c r="DW14" i="132" a="1"/>
  <c r="EK15" i="132" a="1"/>
  <c r="X48" i="130" a="1"/>
  <c r="K16" i="132" a="1"/>
  <c r="BF13" i="132" a="1"/>
  <c r="DG7" i="132" a="1"/>
  <c r="AH14" i="132" a="1"/>
  <c r="AS53" i="130" a="1"/>
  <c r="AV71" i="130" a="1"/>
  <c r="AX71" i="130" a="1"/>
  <c r="AZ66" i="130" a="1"/>
  <c r="BC75" i="130" a="1"/>
  <c r="BE83" i="130" a="1"/>
  <c r="BG83" i="130" a="1"/>
  <c r="BI62" i="130" a="1"/>
  <c r="EG16" i="132" a="1"/>
  <c r="EU7" i="132" a="1"/>
  <c r="CU8" i="132" a="1"/>
  <c r="AB15" i="132" a="1"/>
  <c r="BB15" i="132" a="1"/>
  <c r="O11" i="132" a="1"/>
  <c r="Q16" i="132" a="1"/>
  <c r="DC5" i="132" a="1"/>
  <c r="DE6" i="132" a="1"/>
  <c r="AY8" i="132" a="1"/>
  <c r="O14" i="132" a="1"/>
  <c r="AW76" i="130" a="1"/>
  <c r="BC64" i="130" a="1"/>
  <c r="BH73" i="130" a="1"/>
  <c r="AU15" i="132" a="1"/>
  <c r="BR13" i="132" a="1"/>
  <c r="BF6" i="132" a="1"/>
  <c r="AW13" i="132" a="1"/>
  <c r="BA5" i="132" a="1"/>
  <c r="EI13" i="132" a="1"/>
  <c r="DU13" i="132" a="1"/>
  <c r="D6" i="132" a="1"/>
  <c r="DD12" i="132" a="1"/>
  <c r="CO15" i="132" a="1"/>
  <c r="BI16" i="132" a="1"/>
  <c r="BV13" i="132" a="1"/>
  <c r="CU12" i="132" a="1"/>
  <c r="AZ16" i="132" a="1"/>
  <c r="CF11" i="132" a="1"/>
  <c r="CJ9" i="132" a="1"/>
  <c r="BJ65" i="130" a="1"/>
  <c r="AX74" i="130" a="1"/>
  <c r="BD70" i="130" a="1"/>
  <c r="BI56" i="130" a="1"/>
  <c r="EO15" i="132" a="1"/>
  <c r="DG13" i="132" a="1"/>
  <c r="CK9" i="132" a="1"/>
  <c r="CM5" i="132" a="1"/>
  <c r="ER5" i="132" a="1"/>
  <c r="H16" i="132" a="1"/>
  <c r="H48" i="130" a="1"/>
  <c r="CX11" i="132" a="1"/>
  <c r="L11" i="132" a="1"/>
  <c r="AO9" i="132" a="1"/>
  <c r="FF15" i="132" a="1"/>
  <c r="BJ8" i="132" a="1"/>
  <c r="ED14" i="132" a="1"/>
  <c r="W5" i="132" a="1"/>
  <c r="BB9" i="132" a="1"/>
  <c r="E15" i="132" a="1"/>
  <c r="CI7" i="132" a="1"/>
  <c r="BC13" i="132" a="1"/>
  <c r="AW64" i="130" a="1"/>
  <c r="BC79" i="130" a="1"/>
  <c r="BH80" i="130" a="1"/>
  <c r="CS9" i="132" a="1"/>
  <c r="BH12" i="132" a="1"/>
  <c r="EK13" i="132" a="1"/>
  <c r="CB14" i="132" a="1"/>
  <c r="BG8" i="132" a="1"/>
  <c r="X16" i="132" a="1"/>
  <c r="DZ12" i="132" a="1"/>
  <c r="FF11" i="132" a="1"/>
  <c r="R48" i="130" a="1"/>
  <c r="FB16" i="132" a="1"/>
  <c r="EY15" i="132" a="1"/>
  <c r="CH13" i="132" a="1"/>
  <c r="BG7" i="132" a="1"/>
  <c r="L7" i="132" a="1"/>
  <c r="BY5" i="132" a="1"/>
  <c r="DK11" i="132" a="1"/>
  <c r="CP5" i="132" a="1"/>
  <c r="AR21" i="130" a="1"/>
  <c r="AW56" i="130" a="1"/>
  <c r="BC62" i="130" a="1"/>
  <c r="BH76" i="130" a="1"/>
  <c r="BM8" i="132" a="1"/>
  <c r="DU8" i="132" a="1"/>
  <c r="BR15" i="132" a="1"/>
  <c r="EB14" i="132" a="1"/>
  <c r="CH5" i="132" a="1"/>
  <c r="AL12" i="132" a="1"/>
  <c r="BV6" i="132" a="1"/>
  <c r="DY16" i="132" a="1"/>
  <c r="EF6" i="132" a="1"/>
  <c r="DE5" i="132" a="1"/>
  <c r="AW70" i="130" a="1"/>
  <c r="BC73" i="130" a="1"/>
  <c r="BH64" i="130" a="1"/>
  <c r="AT71" i="130" a="1"/>
  <c r="AZ64" i="130" a="1"/>
  <c r="BF82" i="130" a="1"/>
  <c r="BS14" i="132" a="1"/>
  <c r="BO16" i="132" a="1"/>
  <c r="W6" i="132" a="1"/>
  <c r="CI14" i="132" a="1"/>
  <c r="AJ13" i="132" a="1"/>
  <c r="AK7" i="132" a="1"/>
  <c r="AI11" i="132" a="1"/>
  <c r="BW5" i="132" a="1"/>
  <c r="EU6" i="132" a="1"/>
  <c r="BI9" i="132" a="1"/>
  <c r="L8" i="132" a="1"/>
  <c r="CL16" i="132" a="1"/>
  <c r="BJ56" i="130" a="1"/>
  <c r="AX61" i="130" a="1"/>
  <c r="BD75" i="130" a="1"/>
  <c r="I6" i="132" a="1"/>
  <c r="CN12" i="132" a="1"/>
  <c r="ES14" i="132" a="1"/>
  <c r="CA12" i="132" a="1"/>
  <c r="CP6" i="132" a="1"/>
  <c r="FA15" i="132" a="1"/>
  <c r="AS70" i="130" a="1"/>
  <c r="AY69" i="130" a="1"/>
  <c r="BE69" i="130" a="1"/>
  <c r="CO12" i="132" a="1"/>
  <c r="DY6" i="132" a="1"/>
  <c r="BU6" i="132" a="1"/>
  <c r="CB7" i="132" a="1"/>
  <c r="AV77" i="130" a="1"/>
  <c r="BB73" i="130" a="1"/>
  <c r="BG78" i="130" a="1"/>
  <c r="W11" i="132" a="1"/>
  <c r="AR38" i="130" a="1"/>
  <c r="AR46" i="130" a="1"/>
  <c r="EH14" i="132" a="1"/>
  <c r="BL14" i="132" a="1"/>
  <c r="AH12" i="132" a="1"/>
  <c r="BB62" i="130" a="1"/>
  <c r="AW15" i="132" a="1"/>
  <c r="EN5" i="132" a="1"/>
  <c r="DR14" i="132" a="1"/>
  <c r="DF15" i="132" a="1"/>
  <c r="BD7" i="132" a="1"/>
  <c r="AR29" i="130" a="1"/>
  <c r="DB13" i="132" a="1"/>
  <c r="BA15" i="132" a="1"/>
  <c r="DX8" i="132" a="1"/>
  <c r="EK8" i="132" a="1"/>
  <c r="EL14" i="132" a="1"/>
  <c r="AI12" i="132" a="1"/>
  <c r="CI13" i="132" a="1"/>
  <c r="BH16" i="132" a="1"/>
  <c r="EP7" i="132" a="1"/>
  <c r="BX15" i="132" a="1"/>
  <c r="AN9" i="132" a="1"/>
  <c r="AU63" i="130" a="1"/>
  <c r="AT58" i="130" a="1"/>
  <c r="AV59" i="130" a="1"/>
  <c r="AX56" i="130" a="1"/>
  <c r="BA82" i="130" a="1"/>
  <c r="BC61" i="130" a="1"/>
  <c r="BE65" i="130" a="1"/>
  <c r="BH63" i="130" a="1"/>
  <c r="M15" i="132" a="1"/>
  <c r="EH11" i="132" a="1"/>
  <c r="V13" i="132" a="1"/>
  <c r="EH8" i="132" a="1"/>
  <c r="BR11" i="132" a="1"/>
  <c r="BJ16" i="132" a="1"/>
  <c r="AR27" i="130" a="1"/>
  <c r="BK5" i="132" a="1"/>
  <c r="AR15" i="132" a="1"/>
  <c r="CJ6" i="132" a="1"/>
  <c r="BJ63" i="130" a="1"/>
  <c r="AU81" i="130" a="1"/>
  <c r="AW75" i="130" a="1"/>
  <c r="AY68" i="130" a="1"/>
  <c r="BB83" i="130" a="1"/>
  <c r="BD64" i="130" a="1"/>
  <c r="BF70" i="130" a="1"/>
  <c r="BH57" i="130" a="1"/>
  <c r="BB13" i="132" a="1"/>
  <c r="AT82" i="130" a="1"/>
  <c r="AV76" i="130" a="1"/>
  <c r="AX81" i="130" a="1"/>
  <c r="BA65" i="130" a="1"/>
  <c r="BC58" i="130" a="1"/>
  <c r="BE63" i="130" a="1"/>
  <c r="BH81" i="130" a="1"/>
  <c r="M5" i="132" a="1"/>
  <c r="BX9" i="132" a="1"/>
  <c r="CU14" i="132" a="1"/>
  <c r="BG12" i="132" a="1"/>
  <c r="AU7" i="132" a="1"/>
  <c r="AQ14" i="132" a="1"/>
  <c r="AD5" i="132" a="1"/>
  <c r="EL7" i="132" a="1"/>
  <c r="BK6" i="132" a="1"/>
  <c r="DQ16" i="132" a="1"/>
  <c r="BM15" i="132" a="1"/>
  <c r="DK7" i="132" a="1"/>
  <c r="AH5" i="132" a="1"/>
  <c r="BJ64" i="130" a="1"/>
  <c r="AT78" i="130" a="1"/>
  <c r="BJ60" i="130" a="1"/>
  <c r="AT80" i="130" a="1"/>
  <c r="AW69" i="130" a="1"/>
  <c r="AY73" i="130" a="1"/>
  <c r="BA61" i="130" a="1"/>
  <c r="BD80" i="130" a="1"/>
  <c r="BF55" i="130" a="1"/>
  <c r="BH72" i="130" a="1"/>
  <c r="O48" i="130" a="1"/>
  <c r="EM12" i="132" a="1"/>
  <c r="E8" i="132" a="1"/>
  <c r="AG15" i="132" a="1"/>
  <c r="AR31" i="130" a="1"/>
  <c r="CJ8" i="132" a="1"/>
  <c r="J12" i="132" a="1"/>
  <c r="CB9" i="132" a="1"/>
  <c r="CK12" i="132" a="1"/>
  <c r="DL8" i="132" a="1"/>
  <c r="BE5" i="132" a="1"/>
  <c r="AA48" i="130" a="1"/>
  <c r="DE9" i="132" a="1"/>
  <c r="BJ54" i="130" a="1"/>
  <c r="AT76" i="130" a="1"/>
  <c r="AW61" i="130" a="1"/>
  <c r="AY71" i="130" a="1"/>
  <c r="BA73" i="130" a="1"/>
  <c r="BD78" i="130" a="1"/>
  <c r="BF81" i="130" a="1"/>
  <c r="BH59" i="130" a="1"/>
  <c r="ES11" i="132" a="1"/>
  <c r="EF8" i="132" a="1"/>
  <c r="CO7" i="132" a="1"/>
  <c r="AA15" i="132" a="1"/>
  <c r="AS81" i="130" a="1"/>
  <c r="AU68" i="130" a="1"/>
  <c r="AW65" i="130" a="1"/>
  <c r="AZ76" i="130" a="1"/>
  <c r="BB82" i="130" a="1"/>
  <c r="BD66" i="130" a="1"/>
  <c r="BG56" i="130" a="1"/>
  <c r="BI69" i="130" a="1"/>
  <c r="CU16" i="132" a="1"/>
  <c r="X13" i="132" a="1"/>
  <c r="DW16" i="132" a="1"/>
  <c r="FC15" i="132" a="1"/>
  <c r="S14" i="132" a="1"/>
  <c r="AJ9" i="132" a="1"/>
  <c r="R8" i="132" a="1"/>
  <c r="BP7" i="132" a="1"/>
  <c r="AT68" i="130" a="1"/>
  <c r="AV54" i="130" a="1"/>
  <c r="AX75" i="130" a="1"/>
  <c r="BA68" i="130" a="1"/>
  <c r="BC80" i="130" a="1"/>
  <c r="BE55" i="130" a="1"/>
  <c r="BH78" i="130" a="1"/>
  <c r="EW15" i="132" a="1"/>
  <c r="CR12" i="132" a="1"/>
  <c r="W13" i="132" a="1"/>
  <c r="DM9" i="132" a="1"/>
  <c r="BK12" i="132" a="1"/>
  <c r="O7" i="132" a="1"/>
  <c r="AO48" i="130" a="1"/>
  <c r="AC7" i="132" a="1"/>
  <c r="EH6" i="132" a="1"/>
  <c r="AZ13" i="132" a="1"/>
  <c r="DS14" i="132" a="1"/>
  <c r="BZ9" i="132" a="1"/>
  <c r="AX55" i="130" a="1"/>
  <c r="BD81" i="130" a="1"/>
  <c r="BI83" i="130" a="1"/>
  <c r="DO15" i="132" a="1"/>
  <c r="AJ7" i="132" a="1"/>
  <c r="BX7" i="132" a="1"/>
  <c r="EX12" i="132" a="1"/>
  <c r="DU12" i="132" a="1"/>
  <c r="L16" i="132" a="1"/>
  <c r="CZ5" i="132" a="1"/>
  <c r="BO12" i="132" a="1"/>
  <c r="M11" i="132" a="1"/>
  <c r="BB8" i="132" a="1"/>
  <c r="AB8" i="132" a="1"/>
  <c r="F6" i="132" a="1"/>
  <c r="AG14" i="132" a="1"/>
  <c r="DO12" i="132" a="1"/>
  <c r="CE14" i="132" a="1"/>
  <c r="EK9" i="132" a="1"/>
  <c r="AS62" i="130" a="1"/>
  <c r="AY64" i="130" a="1"/>
  <c r="BE82" i="130" a="1"/>
  <c r="AC13" i="132" a="1"/>
  <c r="DS9" i="132" a="1"/>
  <c r="CL15" i="132" a="1"/>
  <c r="E13" i="132" a="1"/>
  <c r="D13" i="132" a="1"/>
  <c r="DN15" i="132" a="1"/>
  <c r="D16" i="132" a="1"/>
  <c r="BF14" i="132" a="1"/>
  <c r="S8" i="132" a="1"/>
  <c r="DD8" i="132" a="1"/>
  <c r="H13" i="132" a="1"/>
  <c r="BZ13" i="132" a="1"/>
  <c r="DW5" i="132" a="1"/>
  <c r="ER7" i="132" a="1"/>
  <c r="FC9" i="132" a="1"/>
  <c r="D14" i="132" a="1"/>
  <c r="CM16" i="132" a="1"/>
  <c r="DN7" i="132" a="1"/>
  <c r="BJ79" i="130" a="1"/>
  <c r="AX82" i="130" a="1"/>
  <c r="BD63" i="130" a="1"/>
  <c r="BI53" i="130" a="1"/>
  <c r="CX6" i="132" a="1"/>
  <c r="F13" i="132" a="1"/>
  <c r="CR14" i="132" a="1"/>
  <c r="AI5" i="132" a="1"/>
  <c r="EF12" i="132" a="1"/>
  <c r="EJ7" i="132" a="1"/>
  <c r="AK5" i="132" a="1"/>
  <c r="AW9" i="132" a="1"/>
  <c r="AE11" i="132" a="1"/>
  <c r="E14" i="132" a="1"/>
  <c r="EM6" i="132" a="1"/>
  <c r="CV15" i="132" a="1"/>
  <c r="R6" i="132" a="1"/>
  <c r="EQ8" i="132" a="1"/>
  <c r="BJ15" i="132" a="1"/>
  <c r="AP16" i="132" a="1"/>
  <c r="CV9" i="132" a="1"/>
  <c r="BJ74" i="130" a="1"/>
  <c r="AX67" i="130" a="1"/>
  <c r="BD62" i="130" a="1"/>
  <c r="BI63" i="130" a="1"/>
  <c r="ER14" i="132" a="1"/>
  <c r="DM8" i="132" a="1"/>
  <c r="AP11" i="132" a="1"/>
  <c r="EA11" i="132" a="1"/>
  <c r="BV5" i="132" a="1"/>
  <c r="DE11" i="132" a="1"/>
  <c r="EM15" i="132" a="1"/>
  <c r="G16" i="132" a="1"/>
  <c r="CP12" i="132" a="1"/>
  <c r="BJ80" i="130" a="1"/>
  <c r="AX69" i="130" a="1"/>
  <c r="BD76" i="130" a="1"/>
  <c r="BI67" i="130" a="1"/>
  <c r="AU53" i="130" a="1"/>
  <c r="BA80" i="130" a="1"/>
  <c r="BG65" i="130" a="1"/>
  <c r="AW14" i="132" a="1"/>
  <c r="G7" i="132" a="1"/>
  <c r="EI9" i="132" a="1"/>
  <c r="DE12" i="132" a="1"/>
  <c r="AQ48" i="130" a="1"/>
  <c r="BJ12" i="132" a="1"/>
  <c r="BP9" i="132" a="1"/>
  <c r="EA6" i="132" a="1"/>
  <c r="AP6" i="132" a="1"/>
  <c r="FA11" i="132" a="1"/>
  <c r="BN11" i="132" a="1"/>
  <c r="CA5" i="132" a="1"/>
  <c r="AS72" i="130" a="1"/>
  <c r="AY67" i="130" a="1"/>
  <c r="BJ77" i="130" a="1"/>
  <c r="AT67" i="130" a="1"/>
  <c r="AV57" i="130" a="1"/>
  <c r="AY59" i="130" a="1"/>
  <c r="BA79" i="130" a="1"/>
  <c r="BC77" i="130" a="1"/>
  <c r="BF78" i="130" a="1"/>
  <c r="BH54" i="130" a="1"/>
  <c r="DN8" i="132" a="1"/>
  <c r="K9" i="132" a="1"/>
  <c r="CF12" i="132" a="1"/>
  <c r="CI5" i="132" a="1"/>
  <c r="L5" i="132" a="1"/>
  <c r="DB5" i="132" a="1"/>
  <c r="EJ5" i="132" a="1"/>
  <c r="ET5" i="132" a="1"/>
  <c r="J16" i="132" a="1"/>
  <c r="U16" i="132" a="1"/>
  <c r="AS54" i="130" a="1"/>
  <c r="AU73" i="130" a="1"/>
  <c r="AW82" i="130" a="1"/>
  <c r="AZ56" i="130" a="1"/>
  <c r="BB78" i="130" a="1"/>
  <c r="BD73" i="130" a="1"/>
  <c r="BG68" i="130" a="1"/>
  <c r="BI60" i="130" a="1"/>
  <c r="BJ69" i="130" a="1"/>
  <c r="AT81" i="130" a="1"/>
  <c r="AW74" i="130" a="1"/>
  <c r="AY81" i="130" a="1"/>
  <c r="BA75" i="130" a="1"/>
  <c r="BC53" i="130" a="1"/>
  <c r="BF73" i="130" a="1"/>
  <c r="BH75" i="130" a="1"/>
  <c r="AS6" i="132" a="1"/>
  <c r="Y13" i="132" a="1"/>
  <c r="FF14" i="132" a="1"/>
  <c r="J13" i="132" a="1"/>
  <c r="CB12" i="132" a="1"/>
  <c r="AR17" i="130" a="1"/>
  <c r="BH8" i="132" a="1"/>
  <c r="CJ5" i="132" a="1"/>
  <c r="CC12" i="132" a="1"/>
  <c r="AZ12" i="132" a="1"/>
  <c r="AQ6" i="132" a="1"/>
  <c r="AV11" i="132" a="1"/>
  <c r="AR14" i="132" a="1"/>
  <c r="BJ53" i="130" a="1"/>
  <c r="AU66" i="130" a="1"/>
  <c r="BJ81" i="130" a="1"/>
  <c r="AU79" i="130" a="1"/>
  <c r="AW79" i="130" a="1"/>
  <c r="AY54" i="130" a="1"/>
  <c r="BB63" i="130" a="1"/>
  <c r="BD53" i="130" a="1"/>
  <c r="BF54" i="130" a="1"/>
  <c r="BI64" i="130" a="1"/>
  <c r="ET12" i="132" a="1"/>
  <c r="DS5" i="132" a="1"/>
  <c r="BO11" i="132" a="1"/>
  <c r="DD7" i="132" a="1"/>
  <c r="EJ9" i="132" a="1"/>
  <c r="AM14" i="132" a="1"/>
  <c r="DU15" i="132" a="1"/>
  <c r="EZ5" i="132" a="1"/>
  <c r="BO6" i="132" a="1"/>
  <c r="AR44" i="130" a="1"/>
  <c r="EO5" i="132" a="1"/>
  <c r="CO13" i="132" a="1"/>
  <c r="BX16" i="132" a="1"/>
  <c r="BJ76" i="130" a="1"/>
  <c r="AU74" i="130" a="1"/>
  <c r="AW78" i="130" a="1"/>
  <c r="AY53" i="130" a="1"/>
  <c r="BB61" i="130" a="1"/>
  <c r="BD82" i="130" a="1"/>
  <c r="BF79" i="130" a="1"/>
  <c r="BI61" i="130" a="1"/>
  <c r="Q15" i="132" a="1"/>
  <c r="BF8" i="132" a="1"/>
  <c r="DX13" i="132" a="1"/>
  <c r="CO8" i="132" a="1"/>
  <c r="AS64" i="130" a="1"/>
  <c r="AV80" i="130" a="1"/>
  <c r="AX78" i="130" a="1"/>
  <c r="AZ68" i="130" a="1"/>
  <c r="BB55" i="130" a="1"/>
  <c r="BE57" i="130" a="1"/>
  <c r="BG63" i="130" a="1"/>
  <c r="BI66" i="130" a="1"/>
  <c r="E5" i="132" a="1"/>
  <c r="BF7" i="132" a="1"/>
  <c r="CC14" i="132" a="1"/>
  <c r="AX9" i="132" a="1"/>
  <c r="DB11" i="132" a="1"/>
  <c r="BZ5" i="132" a="1"/>
  <c r="AI7" i="132" a="1"/>
  <c r="BJ55" i="130" a="1"/>
  <c r="AT64" i="130" a="1"/>
  <c r="AV79" i="130" a="1"/>
  <c r="AY66" i="130" a="1"/>
  <c r="BA66" i="130" a="1"/>
  <c r="BC65" i="130" a="1"/>
  <c r="BF65" i="130" a="1"/>
  <c r="BH74" i="130" a="1"/>
  <c r="DZ16" i="132" a="1"/>
  <c r="AF11" i="132" a="1"/>
  <c r="AL13" i="132" a="1"/>
  <c r="BE8" i="132" a="1"/>
  <c r="DJ11" i="132" a="1"/>
  <c r="EA8" i="132" a="1"/>
  <c r="Z5" i="132" a="1"/>
  <c r="BK8" i="132" a="1"/>
  <c r="AA6" i="132" a="1"/>
  <c r="DD14" i="132" a="1"/>
  <c r="EB8" i="132" a="1"/>
  <c r="AS60" i="130" a="1"/>
  <c r="AY57" i="130" a="1"/>
  <c r="BD56" i="130" a="1"/>
  <c r="EL16" i="132" a="1"/>
  <c r="F7" i="132" a="1"/>
  <c r="BC15" i="132" a="1"/>
  <c r="BP14" i="132" a="1"/>
  <c r="FC8" i="132" a="1"/>
  <c r="CQ15" i="132" a="1"/>
  <c r="CK16" i="132" a="1"/>
  <c r="BL9" i="132" a="1"/>
  <c r="BT12" i="132" a="1"/>
  <c r="EM16" i="132" a="1"/>
  <c r="DV13" i="132" a="1"/>
  <c r="BM16" i="132" a="1"/>
  <c r="CM15" i="132" a="1"/>
  <c r="DE16" i="132" a="1"/>
  <c r="DQ14" i="132" a="1"/>
  <c r="CG12" i="132" a="1"/>
  <c r="DH8" i="132" a="1"/>
  <c r="AT61" i="130" a="1"/>
  <c r="AZ70" i="130" a="1"/>
  <c r="BE60" i="130" a="1"/>
  <c r="CF15" i="132" a="1"/>
  <c r="DO14" i="132" a="1"/>
  <c r="DL11" i="132" a="1"/>
  <c r="CN8" i="132" a="1"/>
  <c r="EZ11" i="132" a="1"/>
  <c r="Q14" i="132" a="1"/>
  <c r="EC9" i="132" a="1"/>
  <c r="S9" i="132" a="1"/>
  <c r="BK14" i="132" a="1"/>
  <c r="AV8" i="132" a="1"/>
  <c r="BM14" i="132" a="1"/>
  <c r="N15" i="132" a="1"/>
  <c r="AZ5" i="132" a="1"/>
  <c r="BD12" i="132" a="1"/>
  <c r="DP7" i="132" a="1"/>
  <c r="DZ13" i="132" a="1"/>
  <c r="AW6" i="132" a="1"/>
  <c r="FB9" i="132" a="1"/>
  <c r="AS78" i="130" a="1"/>
  <c r="AY58" i="130" a="1"/>
  <c r="BE79" i="130" a="1"/>
  <c r="AR39" i="130" a="1"/>
  <c r="EP12" i="132" a="1"/>
  <c r="AK14" i="132" a="1"/>
  <c r="BS9" i="132" a="1"/>
  <c r="DB8" i="132" a="1"/>
  <c r="AZ8" i="132" a="1"/>
  <c r="DC12" i="132" a="1"/>
  <c r="AU11" i="132" a="1"/>
  <c r="CR8" i="132" a="1"/>
  <c r="DV11" i="132" a="1"/>
  <c r="BM6" i="132" a="1"/>
  <c r="CW16" i="132" a="1"/>
  <c r="CN7" i="132" a="1"/>
  <c r="DW13" i="132" a="1"/>
  <c r="DT13" i="132" a="1"/>
  <c r="Z8" i="132" a="1"/>
  <c r="DF5" i="132" a="1"/>
  <c r="BL16" i="132" a="1"/>
  <c r="AS68" i="130" a="1"/>
  <c r="AY83" i="130" a="1"/>
  <c r="BE54" i="130" a="1"/>
  <c r="EG7" i="132" a="1"/>
  <c r="AY5" i="132" a="1"/>
  <c r="DG8" i="132" a="1"/>
  <c r="AA16" i="132" a="1"/>
  <c r="CH11" i="132" a="1"/>
  <c r="BY16" i="132" a="1"/>
  <c r="CZ14" i="132" a="1"/>
  <c r="FB13" i="132" a="1"/>
  <c r="AF14" i="132" a="1"/>
  <c r="DJ6" i="132" a="1"/>
  <c r="AS67" i="130" a="1"/>
  <c r="AY77" i="130" a="1"/>
  <c r="BE72" i="130" a="1"/>
  <c r="BW7" i="132" a="1"/>
  <c r="AV63" i="130" a="1"/>
  <c r="BB54" i="130" a="1"/>
  <c r="BH71" i="130" a="1"/>
  <c r="CN16" i="132" a="1"/>
  <c r="AJ48" i="130" a="1"/>
  <c r="BN12" i="132" a="1"/>
  <c r="BD5" i="132" a="1"/>
  <c r="CM12" i="132" a="1"/>
  <c r="O13" i="132" a="1"/>
  <c r="BQ13" i="132" a="1"/>
  <c r="CA13" i="132" a="1"/>
  <c r="CO6" i="132" a="1"/>
  <c r="FF6" i="132" a="1"/>
  <c r="CT16" i="132" a="1"/>
  <c r="K12" i="132" a="1"/>
  <c r="AT62" i="130" a="1"/>
  <c r="AZ55" i="130" a="1"/>
  <c r="BF63" i="130" a="1"/>
  <c r="N14" i="132" a="1"/>
  <c r="DR8" i="132" a="1"/>
  <c r="AD11" i="132" a="1"/>
  <c r="AL9" i="132" a="1"/>
  <c r="AS8" i="132" a="1"/>
  <c r="AU83" i="130" a="1"/>
  <c r="BH60" i="130" a="1"/>
  <c r="BY14" i="132" a="1"/>
  <c r="AU65" i="130" a="1"/>
  <c r="BI74" i="130" a="1"/>
  <c r="BD60" i="130" a="1"/>
  <c r="DU11" i="132" a="1"/>
  <c r="CU15" i="132" a="1"/>
  <c r="AS76" i="130" a="1"/>
  <c r="BG69" i="130" a="1"/>
  <c r="AG16" i="132" a="1"/>
  <c r="DF14" i="132" a="1"/>
  <c r="AZ58" i="130" a="1"/>
  <c r="D5" i="132" a="1"/>
  <c r="BA71" i="130" a="1"/>
  <c r="CN13" i="132" a="1"/>
  <c r="BJ62" i="130" a="1"/>
  <c r="BA53" i="130" a="1"/>
  <c r="BH53" i="130" a="1"/>
  <c r="M16" i="132" a="1"/>
  <c r="BF16" i="132" a="1"/>
  <c r="CQ14" i="132" a="1"/>
  <c r="AT65" i="130" a="1"/>
  <c r="AQ16" i="132" a="1"/>
  <c r="AB7" i="132" a="1"/>
  <c r="AY16" i="132" a="1"/>
  <c r="AG11" i="132" a="1"/>
  <c r="AO12" i="132" a="1"/>
  <c r="EE5" i="132" a="1"/>
  <c r="BA64" i="130" a="1"/>
  <c r="AR11" i="130" a="1"/>
  <c r="EP6" i="132" a="1"/>
  <c r="EY7" i="132" a="1"/>
  <c r="DS6" i="132" a="1"/>
  <c r="EV15" i="132" a="1"/>
  <c r="CK5" i="132" a="1"/>
  <c r="AZ65" i="130" a="1"/>
  <c r="AS15" i="132" a="1"/>
  <c r="EU16" i="132" a="1"/>
  <c r="EB15" i="132" a="1"/>
  <c r="CI8" i="132" a="1"/>
  <c r="DU14" i="132" a="1"/>
  <c r="R13" i="132" a="1"/>
  <c r="AZ83" i="130" a="1"/>
  <c r="BX5" i="132" a="1"/>
  <c r="DK16" i="132" a="1"/>
  <c r="BQ14" i="132" a="1"/>
  <c r="AT70" i="130" a="1"/>
  <c r="K7" i="132" a="1"/>
  <c r="BI73" i="130" a="1"/>
  <c r="EX16" i="132" a="1"/>
  <c r="DV12" i="132" a="1"/>
  <c r="CR6" i="132" a="1"/>
  <c r="DL6" i="132" a="1"/>
  <c r="BE80" i="130" a="1"/>
  <c r="AR28" i="130" a="1"/>
  <c r="CV16" i="132" a="1"/>
  <c r="BF12" i="132" a="1"/>
  <c r="AW53" i="130" a="1"/>
  <c r="BF76" i="130" a="1"/>
  <c r="AS11" i="132" a="1"/>
  <c r="CG16" i="132" a="1"/>
  <c r="AS82" i="130" a="1"/>
  <c r="BC69" i="130" a="1"/>
  <c r="EW12" i="132" a="1"/>
  <c r="BP8" i="132" a="1"/>
  <c r="BM11" i="132" a="1"/>
  <c r="AZ11" i="132" a="1"/>
  <c r="EV12" i="132" a="1"/>
  <c r="ES8" i="132" a="1"/>
  <c r="N48" i="130" a="1"/>
  <c r="CY6" i="132" a="1"/>
  <c r="EH16" i="132" a="1"/>
  <c r="ER15" i="132" a="1"/>
  <c r="DU7" i="132" a="1"/>
  <c r="E12" i="132" a="1"/>
  <c r="BJ11" i="132" a="1"/>
  <c r="BI5" i="132" a="1"/>
  <c r="BB11" i="132" a="1"/>
  <c r="CF14" i="132" a="1"/>
  <c r="EX6" i="132" a="1"/>
  <c r="BF77" i="130" a="1"/>
  <c r="CK6" i="132" a="1"/>
  <c r="DA16" i="132" a="1"/>
  <c r="EZ9" i="132" a="1"/>
  <c r="EU13" i="132" a="1"/>
  <c r="CX9" i="132" a="1"/>
  <c r="BX14" i="132" a="1"/>
  <c r="DA11" i="132" a="1"/>
  <c r="BI11" i="132" a="1"/>
  <c r="FC14" i="132" a="1"/>
  <c r="EH13" i="132" a="1"/>
  <c r="BW6" i="132" a="1"/>
  <c r="DJ14" i="132" a="1"/>
  <c r="CY14" i="132" a="1"/>
  <c r="AR11" i="132" a="1"/>
  <c r="DM6" i="132" a="1"/>
  <c r="DN14" i="132" a="1"/>
  <c r="BC78" i="130" a="1"/>
  <c r="Q12" i="132" a="1"/>
  <c r="CN9" i="132" a="1"/>
  <c r="T48" i="130" a="1"/>
  <c r="BD14" i="132" a="1"/>
  <c r="ED9" i="132" a="1"/>
  <c r="BG77" i="130" a="1"/>
  <c r="AK12" i="132" a="1"/>
  <c r="P12" i="132" a="1"/>
  <c r="AR7" i="130" a="1"/>
  <c r="AD15" i="132" a="1"/>
  <c r="Y5" i="132" a="1"/>
  <c r="DZ6" i="132" a="1"/>
  <c r="AR42" i="130" a="1"/>
  <c r="P7" i="132" a="1"/>
  <c r="AL5" i="132" a="1"/>
  <c r="CD14" i="132" a="1"/>
  <c r="DK5" i="132" a="1"/>
  <c r="AF9" i="132" a="1"/>
  <c r="S48" i="130" a="1"/>
  <c r="C14" i="132" a="1"/>
  <c r="AO14" i="132" a="1"/>
  <c r="AV81" i="130" a="1"/>
  <c r="BR9" i="132" a="1"/>
  <c r="AN15" i="132" a="1"/>
  <c r="DM12" i="132" a="1"/>
  <c r="ER9" i="132" a="1"/>
  <c r="AJ16" i="132" a="1"/>
  <c r="G13" i="132" a="1"/>
  <c r="AC48" i="130" a="1"/>
  <c r="N13" i="132" a="1"/>
  <c r="EM9" i="132" a="1"/>
  <c r="Y8" i="132" a="1"/>
  <c r="EZ8" i="132" a="1"/>
  <c r="BJ57" i="130" a="1"/>
  <c r="AW57" i="130" a="1"/>
  <c r="BC6" i="132" a="1"/>
  <c r="AK9" i="132" a="1"/>
  <c r="AX57" i="130" a="1"/>
  <c r="BJ58" i="130" a="1"/>
  <c r="BF59" i="130" a="1"/>
  <c r="DD5" i="132" a="1"/>
  <c r="Y12" i="132" a="1"/>
  <c r="AU75" i="130" a="1"/>
  <c r="BI80" i="130" a="1"/>
  <c r="AT13" i="132" a="1"/>
  <c r="EN15" i="132" a="1"/>
  <c r="BB56" i="130" a="1"/>
  <c r="CZ7" i="132" a="1"/>
  <c r="BC54" i="130" a="1"/>
  <c r="AR30" i="130" a="1"/>
  <c r="AT66" i="130" a="1"/>
  <c r="BB71" i="130" a="1"/>
  <c r="BI79" i="130" a="1"/>
  <c r="AR24" i="130" a="1"/>
  <c r="AV5" i="132" a="1"/>
  <c r="DG6" i="132" a="1"/>
  <c r="AU56" i="130" a="1"/>
  <c r="C15" i="132" a="1"/>
  <c r="AR36" i="130" a="1"/>
  <c r="BT13" i="132" a="1"/>
  <c r="CQ5" i="132" a="1"/>
  <c r="CA11" i="132" a="1"/>
  <c r="U11" i="132" a="1"/>
  <c r="BB69" i="130" a="1"/>
  <c r="J48" i="130" a="1"/>
  <c r="DX16" i="132" a="1"/>
  <c r="EN14" i="132" a="1"/>
  <c r="CE13" i="132" a="1"/>
  <c r="BN13" i="132" a="1"/>
  <c r="CP8" i="132" a="1"/>
  <c r="BA55" i="130" a="1"/>
  <c r="X7" i="132" a="1"/>
  <c r="AM5" i="132" a="1"/>
  <c r="BA9" i="132" a="1"/>
  <c r="CD9" i="132" a="1"/>
  <c r="G15" i="132" a="1"/>
  <c r="BH9" i="132" a="1"/>
  <c r="BA83" i="130" a="1"/>
  <c r="AE13" i="132" a="1"/>
  <c r="BU11" i="132" a="1"/>
  <c r="ED7" i="132" a="1"/>
  <c r="AU77" i="130" a="1"/>
  <c r="BJ82" i="130" a="1"/>
  <c r="A3" i="3"/>
  <c r="N6" i="132" a="1"/>
  <c r="P48" i="130" a="1"/>
  <c r="DD9" i="132" a="1"/>
  <c r="DV5" i="132" a="1"/>
  <c r="BG59" i="130" a="1"/>
  <c r="V12" i="132" a="1"/>
  <c r="AH8" i="132" a="1"/>
  <c r="EY9" i="132" a="1"/>
  <c r="AX73" i="130" a="1"/>
  <c r="BG57" i="130" a="1"/>
  <c r="DW7" i="132" a="1"/>
  <c r="BP13" i="132" a="1"/>
  <c r="AT57" i="130" a="1"/>
  <c r="BC56" i="130" a="1"/>
  <c r="DO9" i="132" a="1"/>
  <c r="AK8" i="132" a="1"/>
  <c r="CB15" i="132" a="1"/>
  <c r="AA8" i="132" a="1"/>
  <c r="AU64" i="130" a="1"/>
  <c r="EM5" i="132" a="1"/>
  <c r="EH12" i="132" a="1"/>
  <c r="EX5" i="132" a="1"/>
  <c r="EF16" i="132" a="1"/>
  <c r="BV7" i="132" a="1"/>
  <c r="O8" i="132" a="1"/>
  <c r="DV8" i="132" a="1"/>
  <c r="W14" i="132" a="1"/>
  <c r="DN11" i="132" a="1"/>
  <c r="AC8" i="132" a="1"/>
  <c r="BT15" i="132" a="1"/>
  <c r="E16" i="132" a="1"/>
  <c r="W7" i="132" a="1"/>
  <c r="EQ13" i="132" a="1"/>
  <c r="CS13" i="132" a="1"/>
  <c r="BN5" i="132" a="1"/>
  <c r="DW6" i="132" a="1"/>
  <c r="DX15" i="132" a="1"/>
  <c r="J5" i="132" a="1"/>
  <c r="EP16" i="132" a="1"/>
  <c r="AF5" i="132" a="1"/>
  <c r="AD13" i="132" a="1"/>
  <c r="CF9" i="132" a="1"/>
  <c r="AG12" i="132" a="1"/>
  <c r="AO11" i="132" a="1"/>
  <c r="DJ5" i="132" a="1"/>
  <c r="AC6" i="132" a="1"/>
  <c r="AR37" i="130" a="1"/>
  <c r="EY12" i="132" a="1"/>
  <c r="BG55" i="130" a="1"/>
  <c r="BP15" i="132" a="1"/>
  <c r="DS8" i="132" a="1"/>
  <c r="EX7" i="132" a="1"/>
  <c r="R5" i="132" a="1"/>
  <c r="C48" i="130" a="1"/>
  <c r="EN6" i="132" a="1"/>
  <c r="EW5" i="132" a="1"/>
  <c r="CN6" i="132" a="1"/>
  <c r="E9" i="132" a="1"/>
  <c r="DR16" i="132" a="1"/>
  <c r="EI8" i="132" a="1"/>
  <c r="AC14" i="132" a="1"/>
  <c r="BE12" i="132" a="1"/>
  <c r="CG8" i="132" a="1"/>
  <c r="DA8" i="132" a="1"/>
  <c r="O9" i="132" a="1"/>
  <c r="ED11" i="132" a="1"/>
  <c r="CE5" i="132" a="1"/>
  <c r="EP11" i="132" a="1"/>
  <c r="BL7" i="132" a="1"/>
  <c r="DM7" i="132" a="1"/>
  <c r="AZ80" i="130" a="1"/>
  <c r="FA16" i="132" a="1"/>
  <c r="CD15" i="132" a="1"/>
  <c r="AN12" i="132" a="1"/>
  <c r="CI6" i="132" a="1"/>
  <c r="EN9" i="132" a="1"/>
  <c r="AX6" i="132" a="1"/>
  <c r="AI8" i="132" a="1"/>
  <c r="AI15" i="132" a="1"/>
  <c r="AF16" i="132" a="1"/>
  <c r="AR16" i="132" a="1"/>
  <c r="DC16" i="132" a="1"/>
  <c r="CU5" i="132" a="1"/>
  <c r="AO13" i="132" a="1"/>
  <c r="AX13" i="132" a="1"/>
  <c r="AT11" i="132" a="1"/>
  <c r="AX65" i="130" a="1"/>
  <c r="CS8" i="132" a="1"/>
  <c r="AE7" i="132" a="1"/>
  <c r="BH61" i="130" a="1"/>
  <c r="CT9" i="132" a="1"/>
  <c r="AQ9" i="132" a="1"/>
  <c r="AR5" i="130" a="1"/>
  <c r="BC14" i="132" a="1"/>
  <c r="AR9" i="130" a="1"/>
  <c r="BJ6" i="132" a="1"/>
  <c r="DA14" i="132" a="1"/>
  <c r="DJ12" i="132" a="1"/>
  <c r="BV16" i="132" a="1"/>
  <c r="EM13" i="132" a="1"/>
  <c r="AR5" i="132" a="1"/>
  <c r="CO14" i="132" a="1"/>
  <c r="BA62" i="130" a="1"/>
  <c r="D48" i="130" a="1"/>
  <c r="AO16" i="132" a="1"/>
  <c r="EX8" i="132" a="1"/>
  <c r="CP11" i="132" a="1"/>
  <c r="BJ72" i="130" a="1"/>
  <c r="S6" i="132" a="1"/>
  <c r="EY16" i="132" a="1"/>
  <c r="CQ8" i="132" a="1"/>
  <c r="BL6" i="132" a="1"/>
  <c r="AC11" i="132" a="1"/>
  <c r="CB16" i="132" a="1"/>
  <c r="S16" i="132" a="1"/>
  <c r="BU9" i="132" a="1"/>
  <c r="CT6" i="132" a="1"/>
  <c r="Z7" i="132" a="1"/>
  <c r="AU14" i="132" a="1"/>
  <c r="ED6" i="132" a="1"/>
  <c r="X9" i="132" a="1"/>
  <c r="BG13" i="132" a="1"/>
  <c r="CD12" i="132" a="1"/>
  <c r="DG5" i="132" a="1"/>
  <c r="S12" i="132" a="1"/>
  <c r="AF6" i="132" a="1"/>
  <c r="EJ8" i="132" a="1"/>
  <c r="CS16" i="132" a="1"/>
  <c r="CV14" i="132" a="1"/>
  <c r="BA70" i="130" a="1"/>
  <c r="EO16" i="132" a="1"/>
  <c r="BX13" i="132" a="1"/>
  <c r="CA15" i="132" a="1"/>
  <c r="DT15" i="132" a="1"/>
  <c r="AN48" i="130" a="1"/>
  <c r="AM12" i="132" a="1"/>
  <c r="BG5" i="132" a="1"/>
  <c r="EK7" i="132" a="1"/>
  <c r="BU7" i="132" a="1"/>
  <c r="DC13" i="132" a="1"/>
  <c r="AE12" i="132" a="1"/>
  <c r="AR12" i="130" a="1"/>
  <c r="CD16" i="132" a="1"/>
  <c r="BI58" i="130" a="1"/>
  <c r="C11" i="132" a="1"/>
  <c r="DP5" i="132" a="1"/>
  <c r="EF7" i="132" a="1"/>
  <c r="DH7" i="132" a="1"/>
  <c r="FC12" i="132" a="1"/>
  <c r="DB7" i="132" a="1"/>
  <c r="AY76" i="130" a="1"/>
  <c r="D7" i="132" a="1"/>
  <c r="DH14" i="132" a="1"/>
  <c r="AG9" i="132" a="1"/>
  <c r="AL14" i="132" a="1"/>
  <c r="F12" i="132" a="1"/>
  <c r="AR34" i="130" a="1"/>
  <c r="AH9" i="132" a="1"/>
  <c r="FB5" i="132" a="1"/>
  <c r="EI6" i="132" a="1"/>
  <c r="EV14" i="132" a="1"/>
  <c r="K5" i="132" a="1"/>
  <c r="CQ9" i="132" a="1"/>
  <c r="EE8" i="132" a="1"/>
  <c r="G12" i="132" a="1"/>
  <c r="EI11" i="132" a="1"/>
  <c r="EC7" i="132" a="1"/>
  <c r="AI6" i="132" a="1"/>
  <c r="CI11" i="132" a="1"/>
  <c r="CZ11" i="132" a="1"/>
  <c r="P9" i="132" a="1"/>
  <c r="BA8" i="132" a="1"/>
  <c r="FB7" i="132" a="1"/>
  <c r="BI15" i="132" a="1"/>
  <c r="F8" i="132" a="1"/>
  <c r="FF5" i="132" a="1"/>
  <c r="EE7" i="132" a="1"/>
  <c r="AW8" i="132" a="1"/>
  <c r="DL14" i="132" a="1"/>
  <c r="AG6" i="132" a="1"/>
  <c r="BK7" i="132" a="1"/>
  <c r="AQ7" i="132" a="1"/>
  <c r="AZ6" i="132" a="1"/>
  <c r="BM7" i="132" a="1"/>
  <c r="BN14" i="132" a="1"/>
  <c r="BH7" i="132" a="1"/>
  <c r="BN8" i="132" a="1"/>
  <c r="S15" i="132" a="1"/>
  <c r="DB14" i="132" a="1"/>
  <c r="AO7" i="132" a="1"/>
  <c r="EP9" i="132" a="1"/>
  <c r="DJ13" i="132" a="1"/>
  <c r="BA12" i="132" a="1"/>
  <c r="AN11" i="132" a="1"/>
  <c r="N16" i="132" a="1"/>
  <c r="FA5" i="132" a="1"/>
  <c r="BE11" i="132" a="1"/>
  <c r="CO16" i="132" a="1"/>
  <c r="AX16" i="132" a="1"/>
  <c r="BC59" i="130" a="1"/>
  <c r="DW8" i="132" a="1"/>
  <c r="BU14" i="132" a="1"/>
  <c r="BW11" i="132" a="1"/>
  <c r="U5" i="132" a="1"/>
  <c r="DY12" i="132" a="1"/>
  <c r="AY72" i="130" a="1"/>
  <c r="CY11" i="132" a="1"/>
  <c r="AC16" i="132" a="1"/>
  <c r="AZ63" i="130" a="1"/>
  <c r="AU78" i="130" a="1"/>
  <c r="BI75" i="130" a="1"/>
  <c r="CM13" i="132" a="1"/>
  <c r="BT6" i="132" a="1"/>
  <c r="AW59" i="130" a="1"/>
  <c r="EX15" i="132" a="1"/>
  <c r="DR11" i="132" a="1"/>
  <c r="CZ15" i="132" a="1"/>
  <c r="BD74" i="130" a="1"/>
  <c r="DZ14" i="132" a="1"/>
  <c r="BE67" i="130" a="1"/>
  <c r="M48" i="130" a="1"/>
  <c r="AW81" i="130" a="1"/>
  <c r="BD77" i="130" a="1"/>
  <c r="EJ12" i="132" a="1"/>
  <c r="AM11" i="132" a="1"/>
  <c r="ES15" i="132" a="1"/>
  <c r="V48" i="130" a="1"/>
  <c r="AZ53" i="130" a="1"/>
  <c r="M8" i="132" a="1"/>
  <c r="CN11" i="132" a="1"/>
  <c r="DY11" i="132" a="1"/>
  <c r="DI13" i="132" a="1"/>
  <c r="BI12" i="132" a="1"/>
  <c r="DA7" i="132" a="1"/>
  <c r="BF75" i="130" a="1"/>
  <c r="FF7" i="132" a="1"/>
  <c r="S5" i="132" a="1"/>
  <c r="EM8" i="132" a="1"/>
  <c r="ES5" i="132" a="1"/>
  <c r="CG13" i="132" a="1"/>
  <c r="BY13" i="132" a="1"/>
  <c r="BF72" i="130" a="1"/>
  <c r="CR16" i="132" a="1"/>
  <c r="EV13" i="132" a="1"/>
  <c r="AJ5" i="132" a="1"/>
  <c r="DR6" i="132" a="1"/>
  <c r="DI5" i="132" a="1"/>
  <c r="EB16" i="132" a="1"/>
  <c r="BF62" i="130" a="1"/>
  <c r="CY15" i="132" a="1"/>
  <c r="AR35" i="130" a="1"/>
  <c r="C3" i="125" a="1"/>
  <c r="AZ72" i="130" a="1"/>
  <c r="AW77" i="130" a="1"/>
  <c r="CV5" i="132" a="1"/>
  <c r="U14" i="132" a="1"/>
  <c r="CV6" i="132" a="1"/>
  <c r="ER13" i="132" a="1"/>
  <c r="AV67" i="130" a="1"/>
  <c r="BH69" i="130" a="1"/>
  <c r="DC7" i="132" a="1"/>
  <c r="AR18" i="130" a="1"/>
  <c r="K11" i="132" a="1"/>
  <c r="AZ78" i="130" a="1"/>
  <c r="BH70" i="130" a="1"/>
  <c r="S11" i="132" a="1"/>
  <c r="R11" i="132" a="1"/>
  <c r="AW80" i="130" a="1"/>
  <c r="BD69" i="130" a="1"/>
  <c r="EG9" i="132" a="1"/>
  <c r="AA9" i="132" a="1"/>
  <c r="EU15" i="132" a="1"/>
  <c r="DC15" i="132" a="1"/>
  <c r="BF56" i="130" a="1"/>
  <c r="T11" i="132" a="1"/>
  <c r="DW15" i="132" a="1"/>
  <c r="DD16" i="132" a="1"/>
  <c r="DX6" i="132" a="1"/>
  <c r="AV15" i="132" a="1"/>
  <c r="DH16" i="132" a="1"/>
  <c r="CW5" i="132" a="1"/>
  <c r="FF8" i="132" a="1"/>
  <c r="EL6" i="132" a="1"/>
  <c r="EW8" i="132" a="1"/>
  <c r="Z6" i="132" a="1"/>
  <c r="R9" i="132" a="1"/>
  <c r="CM7" i="132" a="1"/>
  <c r="R15" i="132" a="1"/>
  <c r="DN6" i="132" a="1"/>
  <c r="BC12" i="132" a="1"/>
  <c r="BF9" i="132" a="1"/>
  <c r="BR7" i="132" a="1"/>
  <c r="AB5" i="132" a="1"/>
  <c r="G14" i="132" a="1"/>
  <c r="BT7" i="132" a="1"/>
  <c r="AL16" i="132" a="1"/>
  <c r="BK15" i="132" a="1"/>
  <c r="AH48" i="130" a="1"/>
  <c r="AM7" i="132" a="1"/>
  <c r="CW14" i="132" a="1"/>
  <c r="ED5" i="132" a="1"/>
  <c r="FC7" i="132" a="1"/>
  <c r="BJ5" i="132" a="1"/>
  <c r="DI12" i="132" a="1"/>
  <c r="CB6" i="132" a="1"/>
  <c r="I14" i="132" a="1"/>
  <c r="BA54" i="130" a="1"/>
  <c r="AO5" i="132" a="1"/>
  <c r="BC8" i="132" a="1"/>
  <c r="BB80" i="130" a="1"/>
  <c r="AW73" i="130" a="1"/>
  <c r="G8" i="132" a="1"/>
  <c r="BV8" i="132" a="1"/>
  <c r="CH14" i="132" a="1"/>
  <c r="AZ61" i="130" a="1"/>
  <c r="AB12" i="132" a="1"/>
  <c r="AE14" i="132" a="1"/>
  <c r="AS71" i="130" a="1"/>
  <c r="BG67" i="130" a="1"/>
  <c r="AT73" i="130" a="1"/>
  <c r="BH82" i="130" a="1"/>
  <c r="AP12" i="132" a="1"/>
  <c r="AW66" i="130" a="1"/>
  <c r="BD67" i="130" a="1"/>
  <c r="CS14" i="132" a="1"/>
  <c r="AB11" i="132" a="1"/>
  <c r="BV9" i="132" a="1"/>
  <c r="Y48" i="130" a="1"/>
  <c r="BA58" i="130" a="1"/>
  <c r="BS11" i="132" a="1"/>
  <c r="DE14" i="132" a="1"/>
  <c r="AN5" i="132" a="1"/>
  <c r="EQ11" i="132" a="1"/>
  <c r="T7" i="132" a="1"/>
  <c r="EH9" i="132" a="1"/>
  <c r="BG72" i="130" a="1"/>
  <c r="AU13" i="132" a="1"/>
  <c r="DX12" i="132" a="1"/>
  <c r="DR13" i="132" a="1"/>
  <c r="AL8" i="132" a="1"/>
  <c r="BH6" i="132" a="1"/>
  <c r="AY11" i="132" a="1"/>
  <c r="BF71" i="130" a="1"/>
  <c r="BR6" i="132" a="1"/>
  <c r="EW7" i="132" a="1"/>
  <c r="Z11" i="132" a="1"/>
  <c r="AD14" i="132" a="1"/>
  <c r="AR8" i="130" a="1"/>
  <c r="DV6" i="132" a="1"/>
  <c r="BF61" i="130" a="1"/>
  <c r="CV11" i="132" a="1"/>
  <c r="BU12" i="132" a="1"/>
  <c r="AU9" i="132" a="1"/>
  <c r="BA81" i="130" a="1"/>
  <c r="AX63" i="130" a="1"/>
  <c r="BU8" i="132" a="1"/>
  <c r="DO5" i="132" a="1"/>
  <c r="AV9" i="132" a="1"/>
  <c r="FF12" i="132" a="1"/>
  <c r="AW72" i="130" a="1"/>
  <c r="T8" i="132" a="1"/>
  <c r="DM15" i="132" a="1"/>
  <c r="DN16" i="132" a="1"/>
  <c r="M14" i="132" a="1"/>
  <c r="BA56" i="130" a="1"/>
  <c r="BI77" i="130" a="1"/>
  <c r="EN7" i="132" a="1"/>
  <c r="F5" i="132" a="1"/>
  <c r="AX58" i="130" a="1"/>
  <c r="BE70" i="130" a="1"/>
  <c r="F48" i="130" a="1"/>
  <c r="ED13" i="132" a="1"/>
  <c r="CK11" i="132" a="1"/>
  <c r="DP6" i="132" a="1"/>
  <c r="ER12" i="132" a="1"/>
  <c r="CA9" i="132" a="1"/>
  <c r="EL15" i="132" a="1"/>
  <c r="DZ7" i="132" a="1"/>
  <c r="DT12" i="132" a="1"/>
  <c r="BB7" i="132" a="1"/>
  <c r="DC6" i="132" a="1"/>
  <c r="ED16" i="132" a="1"/>
  <c r="EA9" i="132" a="1"/>
  <c r="AV12" i="132" a="1"/>
  <c r="BC16" i="132" a="1"/>
  <c r="BD8" i="132" a="1"/>
  <c r="AL15" i="132" a="1"/>
  <c r="K13" i="132" a="1"/>
  <c r="DM14" i="132" a="1"/>
  <c r="CY5" i="132" a="1"/>
  <c r="H15" i="132" a="1"/>
  <c r="K8" i="132" a="1"/>
  <c r="EK12" i="132" a="1"/>
  <c r="EZ12" i="132" a="1"/>
  <c r="I5" i="132" a="1"/>
  <c r="J7" i="132" a="1"/>
  <c r="AX5" i="132" a="1"/>
  <c r="CL8" i="132" a="1"/>
  <c r="CQ7" i="132" a="1"/>
  <c r="AI13" i="132" a="1"/>
  <c r="AN6" i="132" a="1"/>
  <c r="AU12" i="132" a="1"/>
  <c r="CQ13" i="132" a="1"/>
  <c r="AX12" i="132" a="1"/>
  <c r="EG11" i="132" a="1"/>
  <c r="F15" i="132" a="1"/>
  <c r="AS9" i="132" a="1"/>
  <c r="BV14" i="132" a="1"/>
  <c r="AK16" i="132" a="1"/>
  <c r="AV83" i="130" a="1"/>
  <c r="AR32" i="130" a="1"/>
  <c r="M6" i="132" a="1"/>
  <c r="EZ6" i="132" a="1"/>
  <c r="CV8" i="132" a="1"/>
  <c r="AF15" i="132" a="1"/>
  <c r="AH16" i="132" a="1"/>
  <c r="CP13" i="132" a="1"/>
  <c r="AT16" i="132" a="1"/>
  <c r="DQ6" i="132" a="1"/>
  <c r="BT14" i="132" a="1"/>
  <c r="M7" i="132" a="1"/>
  <c r="BV11" i="132" a="1"/>
  <c r="CG11" i="132" a="1"/>
  <c r="EB9" i="132" a="1"/>
  <c r="BY8" i="132" a="1"/>
  <c r="F9" i="132" a="1"/>
  <c r="BG66" i="130" a="1"/>
  <c r="DJ7" i="132" a="1"/>
  <c r="EI14" i="132" a="1"/>
  <c r="DB15" i="132" a="1"/>
  <c r="EY13" i="132" a="1"/>
  <c r="W8" i="132" a="1"/>
  <c r="AT14" i="132" a="1"/>
  <c r="DR12" i="132" a="1"/>
  <c r="EL5" i="132" a="1"/>
  <c r="R16" i="132" a="1"/>
  <c r="W9" i="132" a="1"/>
  <c r="Z9" i="132" a="1"/>
  <c r="Q11" i="132" a="1"/>
  <c r="BZ15" i="132" a="1"/>
  <c r="CX12" i="132" a="1"/>
  <c r="EO6" i="132" a="1"/>
  <c r="T16" i="132" a="1"/>
  <c r="EU8" i="132" a="1"/>
  <c r="BJ71" i="130" a="1"/>
  <c r="DT8" i="132" a="1"/>
  <c r="Z48" i="130" a="1"/>
  <c r="U13" i="132" a="1"/>
  <c r="AV6" i="132" a="1"/>
  <c r="AY15" i="132" a="1"/>
  <c r="EL9" i="132" a="1"/>
  <c r="BT8" i="132" a="1"/>
  <c r="BL8" i="132" a="1"/>
  <c r="FB15" i="132" a="1"/>
  <c r="W12" i="132" a="1"/>
  <c r="AX7" i="132" a="1"/>
  <c r="ES6" i="132" a="1"/>
  <c r="EQ5" i="132" a="1"/>
  <c r="AN13" i="132" a="1"/>
  <c r="CA7" i="132" a="1"/>
  <c r="EJ16" i="132" a="1"/>
  <c r="DW9" i="132" a="1"/>
  <c r="AR41" i="130" a="1"/>
  <c r="BA74" i="130" a="1"/>
  <c r="EG6" i="132" a="1"/>
  <c r="DP15" i="132" a="1"/>
  <c r="Y16" i="132" a="1"/>
  <c r="J6" i="132" a="1"/>
  <c r="DY9" i="132" a="1"/>
  <c r="EO8" i="132" a="1"/>
  <c r="DV14" i="132" a="1"/>
  <c r="DL5" i="132" a="1"/>
  <c r="DD6" i="132" a="1"/>
  <c r="V11" i="132" a="1"/>
  <c r="X15" i="132" a="1"/>
  <c r="AD8" i="132" a="1"/>
  <c r="AM13" i="132" a="1"/>
  <c r="X14" i="132" a="1"/>
  <c r="AT7" i="132" a="1"/>
  <c r="BN9" i="132" a="1"/>
  <c r="CT12" i="132" a="1"/>
  <c r="EX13" i="132" a="1"/>
  <c r="CU13" i="132" a="1"/>
  <c r="DS7" i="132" a="1"/>
  <c r="CM6" i="132" a="1"/>
  <c r="BI71" i="130" a="1"/>
  <c r="BN7" i="132" a="1"/>
  <c r="BD71" i="130" a="1"/>
  <c r="AR20" i="130" a="1"/>
  <c r="BD16" i="132" a="1"/>
  <c r="BE66" i="130" a="1"/>
  <c r="AY65" i="130" a="1"/>
  <c r="BW14" i="132" a="1"/>
  <c r="FA7" i="132" a="1"/>
  <c r="AS77" i="130" a="1"/>
  <c r="BB59" i="130" a="1"/>
  <c r="BW9" i="132" a="1"/>
  <c r="EU12" i="132" a="1"/>
  <c r="AU71" i="130" a="1"/>
  <c r="BI82" i="130" a="1"/>
  <c r="AV70" i="130" a="1"/>
  <c r="BE6" i="132" a="1"/>
  <c r="AJ15" i="132" a="1"/>
  <c r="AY60" i="130" a="1"/>
  <c r="BF60" i="130" a="1"/>
  <c r="BC5" i="132" a="1"/>
  <c r="X8" i="132" a="1"/>
  <c r="DD11" i="132" a="1"/>
  <c r="EC13" i="132" a="1"/>
  <c r="BE68" i="130" a="1"/>
  <c r="EN8" i="132" a="1"/>
  <c r="AR47" i="130" a="1"/>
  <c r="CS5" i="132" a="1"/>
  <c r="CV7" i="132" a="1"/>
  <c r="CK7" i="132" a="1"/>
  <c r="AU69" i="130" a="1"/>
  <c r="DQ7" i="132" a="1"/>
  <c r="BZ12" i="132" a="1"/>
  <c r="H5" i="132" a="1"/>
  <c r="EB7" i="132" a="1"/>
  <c r="BH13" i="132" a="1"/>
  <c r="CU6" i="132" a="1"/>
  <c r="AT53" i="130" a="1"/>
  <c r="BM13" i="132" a="1"/>
  <c r="DF7" i="132" a="1"/>
  <c r="Z15" i="132" a="1"/>
  <c r="EF5" i="132" a="1"/>
  <c r="CS6" i="132" a="1"/>
  <c r="CM8" i="132" a="1"/>
  <c r="AT83" i="130" a="1"/>
  <c r="AR45" i="130" a="1"/>
  <c r="EV5" i="132" a="1"/>
  <c r="BY6" i="132" a="1"/>
  <c r="DV15" i="132" a="1"/>
  <c r="BF53" i="130" a="1"/>
  <c r="BC72" i="130" a="1"/>
  <c r="L9" i="132" a="1"/>
  <c r="Y9" i="132" a="1"/>
  <c r="BZ8" i="132" a="1"/>
  <c r="DT6" i="132" a="1"/>
  <c r="BA72" i="130" a="1"/>
  <c r="BW8" i="132" a="1"/>
  <c r="AO15" i="132" a="1"/>
  <c r="CY16" i="132" a="1"/>
  <c r="AT60" i="130" a="1"/>
  <c r="BB76" i="130" a="1"/>
  <c r="EU11" i="132" a="1"/>
  <c r="CY7" i="132" a="1"/>
  <c r="DI14" i="132" a="1"/>
  <c r="AY70" i="130" a="1"/>
  <c r="BH65" i="130" a="1"/>
  <c r="BA7" i="132" a="1"/>
  <c r="ER11" i="132" a="1"/>
  <c r="AP15" i="132" a="1"/>
  <c r="AW11" i="132" a="1"/>
  <c r="CR5" i="132" a="1"/>
  <c r="AP48" i="130" a="1"/>
  <c r="BV15" i="132" a="1"/>
  <c r="E48" i="130" a="1"/>
  <c r="EP14" i="132" a="1"/>
  <c r="AC9" i="132" a="1"/>
  <c r="AM6" i="132" a="1"/>
  <c r="EY5" i="132" a="1"/>
  <c r="EF15" i="132" a="1"/>
  <c r="ES13" i="132" a="1"/>
  <c r="CL13" i="132" a="1"/>
  <c r="AR43" i="130" a="1"/>
  <c r="AY79" i="130" a="1"/>
  <c r="T12" i="132" a="1"/>
  <c r="EA13" i="132" a="1"/>
  <c r="AH11" i="132" a="1"/>
  <c r="AD7" i="132" a="1"/>
  <c r="EK14" i="132" a="1"/>
  <c r="BO15" i="132" a="1"/>
  <c r="AF7" i="132" a="1"/>
  <c r="CT11" i="132" a="1"/>
  <c r="AF13" i="132" a="1"/>
  <c r="CF13" i="132" a="1"/>
  <c r="AY7" i="132" a="1"/>
  <c r="DL9" i="132" a="1"/>
  <c r="CE15" i="132" a="1"/>
  <c r="DH12" i="132" a="1"/>
  <c r="AS69" i="130" a="1"/>
  <c r="BQ8" i="132" a="1"/>
  <c r="AV56" i="130" a="1"/>
  <c r="CV13" i="132" a="1"/>
  <c r="BD6" i="132" a="1"/>
  <c r="CQ12" i="132" a="1"/>
  <c r="AP7" i="132" a="1"/>
  <c r="EK11" i="132" a="1"/>
  <c r="AZ81" i="130" a="1"/>
  <c r="EL12" i="132" a="1"/>
  <c r="K15" i="132" a="1"/>
  <c r="BO13" i="132" a="1"/>
  <c r="CY12" i="132" a="1"/>
  <c r="J14" i="132" a="1"/>
  <c r="BG11" i="132" a="1"/>
  <c r="DP8" i="132" a="1"/>
  <c r="AS12" i="132" a="1"/>
  <c r="AN14" i="132" a="1"/>
  <c r="FF9" i="132" a="1"/>
  <c r="EM11" i="132" a="1"/>
  <c r="EG8" i="132" a="1"/>
  <c r="Q9" i="132" a="1"/>
  <c r="H11" i="132" a="1"/>
  <c r="EN16" i="132" a="1"/>
  <c r="BQ9" i="132" a="1"/>
  <c r="BA6" i="132" a="1"/>
  <c r="EJ14" i="132" a="1"/>
  <c r="AX11" i="132" a="1"/>
  <c r="EX14" i="132" a="1"/>
  <c r="CT8" i="132" a="1"/>
  <c r="CN5" i="132" a="1"/>
  <c r="AV13" i="132" a="1"/>
  <c r="T15" i="132" a="1"/>
  <c r="DN5" i="132" a="1"/>
  <c r="EO14" i="132" a="1"/>
  <c r="CD8" i="132" a="1"/>
  <c r="EW16" i="132" a="1"/>
  <c r="EC8" i="132" a="1"/>
  <c r="EJ15" i="132" a="1"/>
  <c r="AR13" i="132" a="1"/>
  <c r="AM15" i="132" a="1"/>
  <c r="BD11" i="132" a="1"/>
  <c r="CX13" i="132" a="1"/>
  <c r="AW68" i="130" a="1"/>
  <c r="V16" i="132" a="1"/>
  <c r="AS5" i="132" a="1"/>
  <c r="DQ13" i="132" a="1"/>
  <c r="I8" i="132" a="1"/>
  <c r="AY14" i="132" a="1"/>
  <c r="AZ9" i="132" a="1"/>
  <c r="CP16" i="132" a="1"/>
  <c r="BI6" i="132" a="1"/>
  <c r="AS16" i="132" a="1"/>
  <c r="DL12" i="132" a="1"/>
  <c r="AB14" i="132" a="1"/>
  <c r="H9" i="132" a="1"/>
  <c r="CY8" i="132" a="1"/>
  <c r="H8" i="132" a="1"/>
  <c r="BD9" i="132" a="1"/>
  <c r="Q8" i="132" a="1"/>
  <c r="G11" i="132" a="1"/>
  <c r="CD6" i="132" a="1"/>
  <c r="BD55" i="130" a="1"/>
  <c r="U12" i="132" a="1"/>
  <c r="DL7" i="132" a="1"/>
  <c r="DZ9" i="132" a="1"/>
  <c r="AE9" i="132" a="1"/>
  <c r="EH7" i="132" a="1"/>
  <c r="AW7" i="132" a="1"/>
  <c r="CL6" i="132" a="1"/>
  <c r="AH6" i="132" a="1"/>
  <c r="CZ12" i="132" a="1"/>
  <c r="AD9" i="132" a="1"/>
  <c r="BM12" i="132" a="1"/>
  <c r="BE7" i="132" a="1"/>
  <c r="AW60" i="130" a="1"/>
  <c r="CK15" i="132" a="1"/>
  <c r="O16" i="132" a="1"/>
  <c r="C16" i="132" a="1"/>
  <c r="DO6" i="132" a="1"/>
  <c r="EA5" i="132" a="1"/>
  <c r="DI7" i="132" a="1"/>
  <c r="EI15" i="132" a="1"/>
  <c r="DN13" i="132" a="1"/>
  <c r="D12" i="132" a="1"/>
  <c r="BI13" i="132" a="1"/>
  <c r="ET7" i="132" a="1"/>
  <c r="AR12" i="132" a="1"/>
  <c r="DJ8" i="132" a="1"/>
  <c r="EZ7" i="132" a="1"/>
  <c r="BJ13" i="132" a="1"/>
  <c r="AT15" i="132" a="1"/>
  <c r="CS7" i="132" a="1"/>
  <c r="BC11" i="132" a="1"/>
  <c r="CB5" i="132" a="1"/>
  <c r="D15" i="132" a="1"/>
  <c r="BQ15" i="132" a="1"/>
  <c r="AX80" i="130" a="1"/>
  <c r="DV16" i="132" a="1"/>
  <c r="EQ16" i="132" a="1"/>
  <c r="AN8" i="132" a="1"/>
  <c r="CS12" i="132" a="1"/>
  <c r="BB6" i="132" a="1"/>
  <c r="AI48" i="130" a="1"/>
  <c r="EZ14" i="132" a="1"/>
  <c r="ET9" i="132" a="1"/>
  <c r="AA5" i="132" a="1"/>
  <c r="DG11" i="132" a="1"/>
  <c r="DY14" i="132" a="1"/>
  <c r="O5" i="132" a="1"/>
  <c r="DM11" i="132" a="1"/>
  <c r="P6" i="132" a="1"/>
  <c r="AZ15" i="132" a="1"/>
  <c r="EE12" i="132" a="1"/>
  <c r="Y15" i="132" a="1"/>
  <c r="CK13" i="132" a="1"/>
  <c r="CJ16" i="132" a="1"/>
  <c r="BK16" i="132" a="1"/>
  <c r="M13" i="132" a="1"/>
  <c r="CL14" i="132" a="1"/>
  <c r="BM5" i="132" a="1"/>
  <c r="AQ12" i="132" a="1"/>
  <c r="EW14" i="132" a="1"/>
  <c r="AA14" i="132" a="1"/>
  <c r="DF13" i="132" a="1"/>
  <c r="FB11" i="132" a="1"/>
  <c r="EB12" i="132" a="1"/>
  <c r="CZ6" i="132" a="1"/>
  <c r="EN11" i="132" a="1"/>
  <c r="AA13" i="132" a="1"/>
  <c r="BJ67" i="130" a="1"/>
  <c r="BF68" i="130" a="1"/>
  <c r="CI15" i="132" a="1"/>
  <c r="AS63" i="130" a="1"/>
  <c r="BG74" i="130" a="1"/>
  <c r="BB77" i="130" a="1"/>
  <c r="BG15" i="132" a="1"/>
  <c r="AQ13" i="132" a="1"/>
  <c r="AU76" i="130" a="1"/>
  <c r="BD79" i="130" a="1"/>
  <c r="EN12" i="132" a="1"/>
  <c r="CQ6" i="132" a="1"/>
  <c r="AW58" i="130" a="1"/>
  <c r="FA8" i="132" a="1"/>
  <c r="AX66" i="130" a="1"/>
  <c r="AN7" i="132" a="1"/>
  <c r="BZ14" i="132" a="1"/>
  <c r="CP9" i="132" a="1"/>
  <c r="CM14" i="132" a="1"/>
  <c r="DT7" i="132" a="1"/>
  <c r="V9" i="132" a="1"/>
  <c r="EB11" i="132" a="1"/>
  <c r="I16" i="132" a="1"/>
  <c r="AD48" i="130" a="1"/>
  <c r="DQ8" i="132" a="1"/>
  <c r="BY12" i="132" a="1"/>
  <c r="EE16" i="132" a="1"/>
  <c r="EF9" i="132" a="1"/>
  <c r="AY61" i="130" a="1"/>
  <c r="BC63" i="130" a="1"/>
  <c r="EX9" i="132" a="1"/>
  <c r="EU9" i="132" a="1"/>
  <c r="CZ9" i="132" a="1"/>
  <c r="EG12" i="132" a="1"/>
  <c r="BP5" i="132" a="1"/>
  <c r="Y11" i="132" a="1"/>
  <c r="EO7" i="132" a="1"/>
  <c r="AH7" i="132" a="1"/>
  <c r="BX6" i="132" a="1"/>
  <c r="CT7" i="132" a="1"/>
  <c r="ER6" i="132" a="1"/>
  <c r="EV9" i="132" a="1"/>
  <c r="CH9" i="132" a="1"/>
  <c r="CB8" i="132" a="1"/>
  <c r="DA15" i="132" a="1"/>
  <c r="FF13" i="132" a="1"/>
  <c r="EO11" i="132" a="1"/>
  <c r="EO12" i="132" a="1"/>
  <c r="CB11" i="132" a="1"/>
  <c r="FB6" i="132" a="1"/>
  <c r="EW9" i="132" a="1"/>
  <c r="CF16" i="132" a="1"/>
  <c r="BF15" i="132" a="1"/>
  <c r="CP15" i="132" a="1"/>
  <c r="EQ12" i="132" a="1"/>
  <c r="D9" i="132" a="1"/>
  <c r="CX5" i="132" a="1"/>
  <c r="ET13" i="132" a="1"/>
  <c r="EQ9" i="132" a="1"/>
  <c r="BU13" i="132" a="1"/>
  <c r="DU5" i="132" a="1"/>
  <c r="AR8" i="132" a="1"/>
  <c r="ED12" i="132" a="1"/>
  <c r="CA16" i="132" a="1"/>
  <c r="DW11" i="132" a="1"/>
  <c r="CO9" i="132" a="1"/>
  <c r="AT59" i="130" a="1"/>
  <c r="EA7" i="132" a="1"/>
  <c r="EC5" i="132" a="1"/>
  <c r="AM16" i="132" a="1"/>
  <c r="BB12" i="132" a="1"/>
  <c r="AT56" i="130" a="1"/>
  <c r="AM8" i="132" a="1"/>
  <c r="BM9" i="132" a="1"/>
  <c r="DL16" i="132" a="1"/>
  <c r="AG7" i="132" a="1"/>
  <c r="CM11" i="132" a="1"/>
  <c r="DR5" i="132" a="1"/>
  <c r="BZ11" i="132" a="1"/>
  <c r="DP12" i="132" a="1"/>
  <c r="G5" i="132" a="1"/>
  <c r="CX7" i="132" a="1"/>
  <c r="CJ14" i="132" a="1"/>
  <c r="BE13" i="132" a="1"/>
  <c r="P11" i="132" a="1"/>
  <c r="T13" i="132" a="1"/>
  <c r="DO16" i="132" a="1"/>
  <c r="BS16" i="132" a="1"/>
  <c r="CJ15" i="132" a="1"/>
  <c r="EH5" i="132" a="1"/>
  <c r="DG14" i="132" a="1"/>
  <c r="ES12" i="132" a="1"/>
  <c r="CQ11" i="132" a="1"/>
  <c r="BD61" i="130" a="1"/>
  <c r="BE78" i="130" a="1"/>
  <c r="AT75" i="130" a="1"/>
  <c r="BS7" i="132" a="1"/>
  <c r="CK8" i="132" a="1"/>
  <c r="DY8" i="132" a="1"/>
  <c r="DM13" i="132" a="1"/>
  <c r="AY6" i="132" a="1"/>
  <c r="FA14" i="132" a="1"/>
  <c r="J11" i="132" a="1"/>
  <c r="CF7" i="132" a="1"/>
  <c r="BA67" i="130" a="1"/>
  <c r="AR25" i="130" a="1"/>
  <c r="AT5" i="132" a="1"/>
  <c r="AF12" i="132" a="1"/>
  <c r="CR13" i="132" a="1"/>
  <c r="BB64" i="130" a="1"/>
  <c r="EM14" i="132" a="1"/>
  <c r="AE6" i="132" a="1"/>
  <c r="DA5" i="132" a="1"/>
  <c r="CG5" i="132" a="1"/>
  <c r="BR16" i="132" a="1"/>
  <c r="I9" i="132" a="1"/>
  <c r="BD15" i="132" a="1"/>
  <c r="EB6" i="132" a="1"/>
  <c r="AG8" i="132" a="1"/>
  <c r="AO8" i="132" a="1"/>
  <c r="DV9" i="132" a="1"/>
  <c r="FA9" i="132" a="1"/>
  <c r="DW12" i="132" a="1"/>
  <c r="EE15" i="132" a="1"/>
  <c r="I13" i="132" a="1"/>
  <c r="AV14" i="132" a="1"/>
  <c r="AS7" i="132" a="1"/>
  <c r="DY15" i="132" a="1"/>
  <c r="DY13" i="132" a="1"/>
  <c r="R7" i="132" a="1"/>
  <c r="EY11" i="132" a="1"/>
  <c r="CH8" i="132" a="1"/>
  <c r="X12" i="132" a="1"/>
  <c r="BQ5" i="132" a="1"/>
  <c r="AE15" i="132" a="1"/>
  <c r="CC11" i="132" a="1"/>
  <c r="BL12" i="132" a="1"/>
  <c r="Q48" i="130" a="1"/>
  <c r="EF13" i="132" a="1"/>
  <c r="BT11" i="132" a="1"/>
  <c r="AR7" i="132" a="1"/>
  <c r="AZ7" i="132" a="1"/>
  <c r="L13" i="132" a="1"/>
  <c r="X5" i="132" a="1"/>
  <c r="FA12" i="132" a="1"/>
  <c r="AY12" i="132" a="1"/>
  <c r="BU15" i="132" a="1"/>
  <c r="CI12" i="132" a="1"/>
  <c r="FC11" i="132" a="1"/>
  <c r="DF11" i="132" a="1"/>
  <c r="AU16" i="132" a="1"/>
  <c r="AZ82" i="130" a="1"/>
  <c r="DQ5" i="132" a="1"/>
  <c r="EF14" i="132" a="1"/>
  <c r="BB72" i="130" a="1"/>
  <c r="DN12" i="132" a="1"/>
  <c r="CW15" i="132" a="1"/>
  <c r="EV8" i="132" a="1"/>
  <c r="BR5" i="132" a="1"/>
  <c r="L15" i="132" a="1"/>
  <c r="DD13" i="132" a="1"/>
  <c r="DK14" i="132" a="1"/>
  <c r="P14" i="132" a="1"/>
  <c r="U7" i="132" a="1"/>
  <c r="CH7" i="132" a="1"/>
  <c r="DP16" i="132" a="1"/>
  <c r="AZ62" i="130" a="1"/>
  <c r="DN9" i="132" a="1"/>
  <c r="DI6" i="132" a="1"/>
  <c r="CS11" i="132" a="1"/>
  <c r="EX11" i="132" a="1"/>
  <c r="DI16" i="132" a="1"/>
  <c r="EK16" i="132" a="1"/>
  <c r="Z16" i="132" a="1"/>
  <c r="Y14" i="132" a="1"/>
  <c r="I11" i="132" a="1"/>
  <c r="EV6" i="132" a="1"/>
  <c r="ET6" i="132" a="1"/>
  <c r="AS14" i="132" a="1"/>
  <c r="FB14" i="132" a="1"/>
  <c r="DB16" i="132" a="1"/>
  <c r="X6" i="132" a="1"/>
  <c r="CT15" i="132" a="1"/>
  <c r="L14" i="132" a="1"/>
  <c r="BL13" i="132" a="1"/>
  <c r="BE73" i="130" a="1"/>
  <c r="V6" i="132" a="1"/>
  <c r="EA16" i="132" a="1"/>
  <c r="AA12" i="132" a="1"/>
  <c r="DY7" i="132" a="1"/>
  <c r="EL8" i="132" a="1"/>
  <c r="T5" i="132" a="1"/>
  <c r="BV12" i="132" a="1"/>
  <c r="CU9" i="132" a="1"/>
  <c r="EW13" i="132" a="1"/>
  <c r="DP9" i="132" a="1"/>
  <c r="DB9" i="132" a="1"/>
  <c r="EK5" i="132" a="1"/>
  <c r="BK13" i="132" a="1"/>
  <c r="EE13" i="132" a="1"/>
  <c r="DF16" i="132" a="1"/>
  <c r="FA6" i="132" a="1"/>
  <c r="E7" i="132" a="1"/>
  <c r="EK6" i="132" a="1"/>
  <c r="BT5" i="132" a="1"/>
  <c r="EH15" i="132" a="1"/>
  <c r="CG9" i="132" a="1"/>
  <c r="BA76" i="130" a="1"/>
  <c r="AF8" i="132" a="1"/>
  <c r="DA9" i="132" a="1"/>
  <c r="DL15" i="132" a="1"/>
  <c r="AE8" i="132" a="1"/>
  <c r="C9" i="132" a="1"/>
  <c r="BF5" i="132" a="1"/>
  <c r="ES7" i="132" a="1"/>
  <c r="AV64" i="130" a="1"/>
  <c r="BI70" i="130" a="1"/>
  <c r="EA12" i="132" a="1"/>
  <c r="CU7" i="132" a="1"/>
  <c r="DT5" i="132" a="1"/>
  <c r="DH15" i="132" a="1"/>
  <c r="CL9" i="132" a="1"/>
  <c r="CF8" i="132" a="1"/>
  <c r="BZ7" i="132" a="1"/>
  <c r="BT16" i="132" a="1"/>
  <c r="CW7" i="132" a="1"/>
  <c r="CM9" i="132" a="1"/>
  <c r="BN6" i="132" a="1"/>
  <c r="AD16" i="132" a="1"/>
  <c r="BS13" i="132" a="1"/>
  <c r="L6" i="132" a="1"/>
  <c r="BD58" i="130" a="1"/>
  <c r="G6" i="132" a="1"/>
  <c r="ER16" i="132" a="1"/>
  <c r="K6" i="132" a="1"/>
  <c r="U9" i="132" a="1"/>
  <c r="CT13" i="132" a="1"/>
  <c r="EQ7" i="132" a="1"/>
  <c r="ES9" i="132" a="1"/>
  <c r="CD11" i="132" a="1"/>
  <c r="CL7" i="132" a="1"/>
  <c r="CP14" i="132" a="1"/>
  <c r="CL5" i="132" a="1"/>
  <c r="DE15" i="132" a="1"/>
  <c r="BS6" i="132" a="1"/>
  <c r="BW12" i="132" a="1"/>
  <c r="DI11" i="132" a="1"/>
  <c r="BH67" i="130" a="1"/>
  <c r="CR11" i="132" a="1"/>
  <c r="F14" i="132" a="1"/>
  <c r="CE8" i="132" a="1"/>
  <c r="AX72" i="130" a="1"/>
  <c r="DS16" i="132" a="1"/>
  <c r="FC5" i="132" a="1"/>
  <c r="CY13" i="132" a="1"/>
  <c r="BX11" i="132" a="1"/>
  <c r="CX15" i="132" a="1"/>
  <c r="BF58" i="130" a="1"/>
  <c r="J9" i="132" a="1"/>
  <c r="K14" i="132" a="1"/>
  <c r="G9" i="132" a="1"/>
  <c r="AB9" i="132" a="1"/>
  <c r="DT14" i="132" a="1"/>
  <c r="CF6" i="132" a="1"/>
  <c r="D11" i="132" a="1"/>
  <c r="BA14" i="132" a="1"/>
  <c r="BX12" i="132" a="1"/>
  <c r="Z12" i="132" a="1"/>
  <c r="CO5" i="132" a="1"/>
  <c r="DH6" i="132" a="1"/>
  <c r="BO5" i="132" a="1"/>
  <c r="CE16" i="132" a="1"/>
  <c r="BI72" i="130" a="1"/>
  <c r="EI16" i="132" a="1"/>
  <c r="M9" i="132" a="1"/>
  <c r="P13" i="132" a="1"/>
  <c r="CD5" i="132" a="1"/>
  <c r="BE71" i="130" a="1"/>
  <c r="CV12" i="132" a="1"/>
  <c r="AX8" i="132" a="1"/>
  <c r="ET16" i="132" a="1"/>
  <c r="AH15" i="132" a="1"/>
  <c r="AP14" i="132" a="1"/>
  <c r="BQ16" i="132" a="1"/>
  <c r="BP16" i="132" a="1"/>
  <c r="AY74" i="130" a="1"/>
  <c r="BF69" i="130" a="1"/>
  <c r="AV74" i="130" a="1"/>
  <c r="EB5" i="132" a="1"/>
  <c r="BC74" i="130" a="1"/>
  <c r="AR16" i="130" a="1"/>
  <c r="CO11" i="132" a="1"/>
  <c r="DX11" i="132" a="1"/>
  <c r="AM48" i="130" a="1"/>
  <c r="DJ15" i="132" a="1"/>
  <c r="AW63" i="130" a="1"/>
  <c r="AK11" i="132" a="1"/>
  <c r="AM9" i="132" a="1"/>
  <c r="EA15" i="132" a="1"/>
  <c r="AW12" i="132" a="1"/>
  <c r="AY9" i="132" a="1"/>
  <c r="DB6" i="132" a="1"/>
  <c r="CZ13" i="132" a="1"/>
  <c r="CE12" i="132" a="1"/>
  <c r="EO13" i="132" a="1"/>
  <c r="AV16" i="132" a="1"/>
  <c r="EP13" i="132" a="1"/>
  <c r="CD13" i="132" a="1"/>
  <c r="CY9" i="132" a="1"/>
  <c r="EC16" i="132" a="1"/>
  <c r="Y6" i="132" a="1"/>
  <c r="EW6" i="132" a="1"/>
  <c r="V8" i="132" a="1"/>
  <c r="CN15" i="132" a="1"/>
  <c r="DM16" i="132" a="1"/>
  <c r="BF80" i="130" a="1"/>
  <c r="BO14" i="132" a="1"/>
  <c r="AR19" i="130" a="1"/>
  <c r="AU57" i="130" a="1"/>
  <c r="CA6" i="132" a="1"/>
  <c r="BG80" i="130" a="1"/>
  <c r="BB57" i="130" a="1"/>
  <c r="CZ8" i="132" a="1"/>
  <c r="DZ11" i="132" a="1"/>
  <c r="DU16" i="132" a="1"/>
  <c r="DO13" i="132" a="1"/>
  <c r="EP8" i="132" a="1"/>
  <c r="DR9" i="132" a="1"/>
  <c r="AQ11" i="132" a="1"/>
  <c r="U6" i="132" a="1"/>
  <c r="F11" i="132" a="1"/>
  <c r="BE16" i="132" a="1"/>
  <c r="DO7" i="132" a="1"/>
  <c r="DG16" i="132" a="1"/>
  <c r="DK12" i="132" a="1"/>
  <c r="BB5" i="132" a="1"/>
  <c r="CI9" i="132" a="1"/>
  <c r="AA7" i="132" a="1"/>
  <c r="BR12" i="132" a="1"/>
  <c r="DG12" i="132" a="1"/>
  <c r="AK6" i="132" a="1"/>
  <c r="J8" i="132" a="1"/>
  <c r="DC11" i="132" a="1"/>
  <c r="DK8" i="132" a="1"/>
  <c r="FC13" i="132" a="1"/>
  <c r="EP5" i="132" a="1"/>
  <c r="AS13" i="132" a="1"/>
  <c r="BH68" i="130" a="1"/>
  <c r="EI7" i="132" a="1"/>
  <c r="DQ12" i="132" a="1"/>
  <c r="AT12" i="132" a="1"/>
  <c r="BJ9" i="132" a="1"/>
  <c r="AG5" i="132" a="1"/>
  <c r="DH11" i="132" a="1"/>
  <c r="H12" i="132" a="1"/>
  <c r="CC16" i="132" a="1"/>
  <c r="DU6" i="132" a="1"/>
  <c r="Z13" i="132" a="1"/>
  <c r="N11" i="132" a="1"/>
  <c r="EY8" i="132" a="1"/>
  <c r="BY9" i="132" a="1"/>
  <c r="AL48" i="130" a="1"/>
  <c r="H7" i="132" a="1"/>
  <c r="BN16" i="132" a="1"/>
  <c r="CE6" i="132" a="1"/>
  <c r="EP15" i="132" a="1"/>
  <c r="DK15" i="132" a="1"/>
  <c r="CX8" i="132" a="1"/>
  <c r="BL11" i="132" a="1"/>
  <c r="CH12" i="132" a="1"/>
  <c r="EG13" i="132" a="1"/>
  <c r="AT8" i="132" a="1"/>
  <c r="O12" i="132" a="1"/>
  <c r="DF8" i="132" a="1"/>
  <c r="EY6" i="132" a="1"/>
  <c r="AW16" i="132" a="1"/>
  <c r="DZ5" i="132" a="1"/>
  <c r="C12" i="132" a="1"/>
  <c r="BQ7" i="132" a="1"/>
  <c r="BJ7" i="132" a="1"/>
  <c r="AL11" i="132" a="1"/>
  <c r="ER8" i="132" a="1"/>
  <c r="AB13" i="132" a="1"/>
  <c r="DA13" i="132" a="1"/>
  <c r="DH5" i="132" a="1"/>
  <c r="V15" i="132" a="1"/>
  <c r="CR9" i="132" a="1"/>
  <c r="W15" i="132" a="1"/>
  <c r="EJ13" i="132" a="1"/>
  <c r="T9" i="132" a="1"/>
  <c r="DF6" i="132" a="1"/>
  <c r="BY7" i="132" a="1"/>
  <c r="AU80" i="130" a="1"/>
  <c r="BD54" i="130" a="1"/>
  <c r="CG14" i="132" a="1"/>
  <c r="BE14" i="132" a="1"/>
  <c r="AJ11" i="132" a="1"/>
  <c r="BU5" i="132" a="1"/>
  <c r="EN13" i="132" a="1"/>
  <c r="H6" i="132" a="1"/>
  <c r="BT9" i="132" a="1"/>
  <c r="C8" i="132" a="1"/>
  <c r="BY15" i="132" a="1"/>
  <c r="DJ16" i="132" a="1"/>
  <c r="BY11" i="132" a="1"/>
  <c r="Q5" i="132" a="1"/>
  <c r="DQ15" i="132" a="1"/>
  <c r="AC5" i="132" a="1"/>
  <c r="BR8" i="132" a="1"/>
  <c r="EZ15" i="132" a="1"/>
  <c r="DY5" i="132" a="1"/>
  <c r="BR14" i="132" a="1"/>
  <c r="AR48" i="130" a="1"/>
  <c r="DD15" i="132" a="1"/>
  <c r="BE15" i="132" a="1"/>
  <c r="EJ11" i="132" a="1"/>
  <c r="AP8" i="132" a="1"/>
  <c r="V5" i="132" a="1"/>
  <c r="DI8" i="132" a="1"/>
  <c r="CJ11" i="132" a="1"/>
  <c r="FC6" i="132" a="1"/>
  <c r="BH5" i="132" a="1"/>
  <c r="CE11" i="132" a="1"/>
  <c r="CL11" i="132" a="1"/>
  <c r="CJ7" i="132" a="1"/>
  <c r="BA13" i="132" a="1"/>
  <c r="ES16" i="132" a="1"/>
  <c r="P16" i="132" a="1"/>
  <c r="DC8" i="132" a="1"/>
  <c r="AR9" i="132" a="1"/>
  <c r="EV7" i="132" a="1"/>
  <c r="C6" i="132" a="1"/>
  <c r="G48" i="130" a="1"/>
  <c r="DI9" i="132" a="1"/>
  <c r="D8" i="132" a="1"/>
  <c r="BI14" i="132" a="1"/>
  <c r="I7" i="132" a="1"/>
  <c r="CE7" i="132" a="1"/>
  <c r="DG9" i="132" a="1"/>
  <c r="AL6" i="132" a="1"/>
  <c r="DT9" i="132" a="1"/>
  <c r="AR13" i="130" a="1"/>
  <c r="AQ8" i="132" a="1"/>
  <c r="W16" i="132" a="1"/>
  <c r="BG9" i="132" a="1"/>
  <c r="CX14" i="132" a="1"/>
  <c r="P5" i="132" a="1"/>
  <c r="EC11" i="132" a="1"/>
  <c r="M12" i="132" a="1"/>
  <c r="AI9" i="132" a="1"/>
  <c r="BK11" i="132" a="1"/>
  <c r="AB6" i="132" a="1"/>
  <c r="N7" i="132" a="1"/>
  <c r="AQ5" i="132" a="1"/>
  <c r="EL11" i="132" a="1"/>
  <c r="U8" i="132" a="1"/>
  <c r="IY9" i="132" s="1"/>
  <c r="AL83" i="1" s="1"/>
  <c r="BY38" i="1"/>
  <c r="BY47" i="1" s="1"/>
  <c r="BY50" i="1" s="1"/>
  <c r="BY52" i="1" s="1"/>
  <c r="BY56" i="1" s="1"/>
  <c r="BX38" i="1"/>
  <c r="HZ14" i="132"/>
  <c r="IC8" i="132"/>
  <c r="BX47" i="1"/>
  <c r="BX50" i="1" s="1"/>
  <c r="BX52" i="1" s="1"/>
  <c r="BX56" i="1" s="1"/>
  <c r="HZ19" i="132"/>
  <c r="CE54" i="1"/>
  <c r="CF54" i="1" s="1"/>
  <c r="CG54" i="1" s="1"/>
  <c r="CH54" i="1" s="1"/>
  <c r="AB54" i="1"/>
  <c r="AR72" i="130" a="1"/>
  <c r="AR79" i="130" a="1"/>
  <c r="AR71" i="130" a="1"/>
  <c r="AR66" i="130" a="1"/>
  <c r="AR81" i="130" a="1"/>
  <c r="AR78" i="130" a="1"/>
  <c r="AR82" i="130" a="1"/>
  <c r="AR67" i="130" a="1"/>
  <c r="AR75" i="130" a="1"/>
  <c r="AR68" i="130" a="1"/>
  <c r="AR64" i="130" a="1"/>
  <c r="AR83" i="130" a="1"/>
  <c r="AR60" i="130" a="1"/>
  <c r="AR55" i="130" a="1"/>
  <c r="AR73" i="130" a="1"/>
  <c r="AR77" i="130" a="1"/>
  <c r="AR53" i="130" a="1"/>
  <c r="AR54" i="130" a="1"/>
  <c r="AR61" i="130" a="1"/>
  <c r="AR76" i="130" a="1"/>
  <c r="AR62" i="130" a="1"/>
  <c r="AR56" i="130" a="1"/>
  <c r="AR63" i="130" a="1"/>
  <c r="AR80" i="130" a="1"/>
  <c r="AR59" i="130" a="1"/>
  <c r="AR65" i="130" a="1"/>
  <c r="AR70" i="130" a="1"/>
  <c r="AR74" i="130" a="1"/>
  <c r="AR69" i="130" a="1"/>
  <c r="AR58" i="130" a="1"/>
  <c r="AR57" i="130" a="1"/>
  <c r="BX40" i="1" l="1"/>
  <c r="BX62" i="1" s="1"/>
  <c r="BY40" i="1" s="1"/>
  <c r="BF51" i="130" s="1"/>
  <c r="AT51" i="130" s="1"/>
  <c r="BY83" i="1" s="1"/>
  <c r="BY74" i="1" s="1"/>
  <c r="BE51" i="130" s="1"/>
  <c r="AS51" i="130" s="1"/>
  <c r="BY37" i="1" s="1"/>
  <c r="BW83" i="1"/>
  <c r="IZ16" i="132" s="1"/>
  <c r="IL9" i="132" s="1"/>
  <c r="IT9" i="132" s="1"/>
  <c r="IJ16" i="132" s="1"/>
  <c r="BQ83" i="1" s="1"/>
  <c r="IO16" i="132" s="1"/>
  <c r="IQ9" i="132" s="1"/>
  <c r="IY16" i="132" s="1"/>
  <c r="IY21" i="132" s="1"/>
  <c r="BF93" i="1" s="1"/>
  <c r="IG16" i="132" s="1"/>
  <c r="JA16" i="132" s="1"/>
  <c r="ID16" i="132" s="1"/>
  <c r="IE9" i="132" s="1"/>
  <c r="IA9" i="132" s="1"/>
  <c r="BR83" i="1" s="1"/>
  <c r="IK16" i="132" s="1"/>
  <c r="JL16" i="132" s="1"/>
  <c r="JC16" i="132" s="1"/>
  <c r="HU9" i="132" s="1"/>
  <c r="HX16" i="132" s="1"/>
  <c r="IL16" i="132" s="1"/>
  <c r="IL21" i="132" s="1"/>
  <c r="AS93" i="1" s="1"/>
  <c r="IR9" i="132" s="1"/>
  <c r="IW9" i="132" s="1"/>
  <c r="JB9" i="132" s="1"/>
  <c r="IU9" i="132" s="1"/>
  <c r="JI16" i="132" s="1"/>
  <c r="JB16" i="132" s="1"/>
  <c r="JB21" i="132" s="1"/>
  <c r="BI93" i="1" s="1"/>
  <c r="AV83" i="1" s="1"/>
  <c r="JD9" i="132" s="1"/>
  <c r="HQ9" i="132" s="1"/>
  <c r="IA16" i="132" s="1"/>
  <c r="IA21" i="132" s="1"/>
  <c r="AH93" i="1" s="1"/>
  <c r="AH101" i="1" s="1"/>
  <c r="IS9" i="132" s="1"/>
  <c r="JK9" i="132" s="1"/>
  <c r="IP16" i="132" s="1"/>
  <c r="JM9" i="132" s="1"/>
  <c r="JG16" i="132" s="1"/>
  <c r="BI83" i="1" s="1"/>
  <c r="HQ16" i="132" s="1"/>
  <c r="HQ21" i="132" s="1"/>
  <c r="BX114" i="1" s="1"/>
  <c r="II16" i="132" s="1"/>
  <c r="JL9" i="132" s="1"/>
  <c r="BN83" i="1" s="1"/>
  <c r="JK16" i="132" s="1"/>
  <c r="JK21" i="132" s="1"/>
  <c r="BR93" i="1" s="1"/>
  <c r="JD16" i="132" s="1"/>
  <c r="JD21" i="132" s="1"/>
  <c r="BK93" i="1" s="1"/>
  <c r="HS16" i="132" s="1"/>
  <c r="IF8" i="132"/>
  <c r="IW7" i="132"/>
  <c r="JH15" i="132"/>
  <c r="IN14" i="132"/>
  <c r="IN19" i="132" s="1"/>
  <c r="AU94" i="1" s="1"/>
  <c r="IT14" i="132"/>
  <c r="ID7" i="132"/>
  <c r="IR8" i="132"/>
  <c r="JB15" i="132"/>
  <c r="JB20" i="132" s="1"/>
  <c r="BI95" i="1" s="1"/>
  <c r="JC8" i="132"/>
  <c r="IA8" i="132"/>
  <c r="IZ15" i="132"/>
  <c r="IZ20" i="132" s="1"/>
  <c r="BG95" i="1" s="1"/>
  <c r="HR8" i="132"/>
  <c r="JM8" i="132"/>
  <c r="IE7" i="132"/>
  <c r="JB8" i="132"/>
  <c r="IM8" i="132"/>
  <c r="HS14" i="132"/>
  <c r="HS19" i="132" s="1"/>
  <c r="JH14" i="132"/>
  <c r="JH19" i="132" s="1"/>
  <c r="BO94" i="1" s="1"/>
  <c r="IQ8" i="132"/>
  <c r="IP15" i="132"/>
  <c r="HY7" i="132"/>
  <c r="JH7" i="132"/>
  <c r="IV8" i="132"/>
  <c r="JD14" i="132"/>
  <c r="IC7" i="132"/>
  <c r="JO14" i="132"/>
  <c r="IU15" i="132"/>
  <c r="JJ8" i="132"/>
  <c r="IM14" i="132"/>
  <c r="IM19" i="132" s="1"/>
  <c r="AT94" i="1" s="1"/>
  <c r="HS7" i="132"/>
  <c r="IY14" i="132"/>
  <c r="IG8" i="132"/>
  <c r="HY14" i="132"/>
  <c r="HY19" i="132" s="1"/>
  <c r="BX122" i="1"/>
  <c r="HS15" i="132"/>
  <c r="HS20" i="132" s="1"/>
  <c r="IA7" i="132"/>
  <c r="IF14" i="132"/>
  <c r="IO8" i="132"/>
  <c r="IS14" i="132"/>
  <c r="IH15" i="132"/>
  <c r="JJ14" i="132"/>
  <c r="JJ19" i="132" s="1"/>
  <c r="BQ94" i="1" s="1"/>
  <c r="IZ8" i="132"/>
  <c r="IC15" i="132"/>
  <c r="IP21" i="132"/>
  <c r="AW93" i="1" s="1"/>
  <c r="HY8" i="132"/>
  <c r="IJ15" i="132"/>
  <c r="IY19" i="132"/>
  <c r="BF94" i="1" s="1"/>
  <c r="HR15" i="132"/>
  <c r="HR20" i="132" s="1"/>
  <c r="BX108" i="1"/>
  <c r="JF8" i="132"/>
  <c r="HX15" i="132"/>
  <c r="IE14" i="132"/>
  <c r="IE19" i="132" s="1"/>
  <c r="AL94" i="1" s="1"/>
  <c r="IM7" i="132"/>
  <c r="JM14" i="132"/>
  <c r="IZ14" i="132"/>
  <c r="IZ19" i="132" s="1"/>
  <c r="BG94" i="1" s="1"/>
  <c r="IA14" i="132"/>
  <c r="HV8" i="132"/>
  <c r="JG15" i="132"/>
  <c r="JA7" i="132"/>
  <c r="IH7" i="132"/>
  <c r="IG15" i="132"/>
  <c r="IG20" i="132" s="1"/>
  <c r="AN95" i="1" s="1"/>
  <c r="HW8" i="132"/>
  <c r="IW14" i="132"/>
  <c r="IW19" i="132" s="1"/>
  <c r="BD94" i="1" s="1"/>
  <c r="IB14" i="132"/>
  <c r="IZ7" i="132"/>
  <c r="BW111" i="1" s="1"/>
  <c r="BW113" i="1" s="1"/>
  <c r="BW119" i="1" s="1"/>
  <c r="BW28" i="1" s="1"/>
  <c r="BW114" i="1" s="1"/>
  <c r="BW108" i="1" s="1"/>
  <c r="IL15" i="132"/>
  <c r="HX7" i="132"/>
  <c r="IP14" i="132"/>
  <c r="IP19" i="132" s="1"/>
  <c r="AW94" i="1" s="1"/>
  <c r="IT8" i="132"/>
  <c r="HQ15" i="132"/>
  <c r="HQ20" i="132" s="1"/>
  <c r="IO15" i="132"/>
  <c r="IO20" i="132" s="1"/>
  <c r="AV95" i="1" s="1"/>
  <c r="HX8" i="132"/>
  <c r="JG7" i="132"/>
  <c r="JN15" i="132"/>
  <c r="IS7" i="132"/>
  <c r="HX14" i="132"/>
  <c r="JJ15" i="132"/>
  <c r="JJ20" i="132" s="1"/>
  <c r="BQ95" i="1" s="1"/>
  <c r="HZ15" i="132"/>
  <c r="IN8" i="132"/>
  <c r="JN14" i="132"/>
  <c r="IR15" i="132"/>
  <c r="IR20" i="132" s="1"/>
  <c r="AY95" i="1" s="1"/>
  <c r="JI15" i="132"/>
  <c r="JI20" i="132" s="1"/>
  <c r="BP95" i="1" s="1"/>
  <c r="IB8" i="132"/>
  <c r="IF15" i="132"/>
  <c r="IF20" i="132" s="1"/>
  <c r="AM95" i="1" s="1"/>
  <c r="JA15" i="132"/>
  <c r="JA20" i="132" s="1"/>
  <c r="BH95" i="1" s="1"/>
  <c r="IL8" i="132"/>
  <c r="IG7" i="132"/>
  <c r="II14" i="132"/>
  <c r="II19" i="132" s="1"/>
  <c r="AP94" i="1" s="1"/>
  <c r="JL15" i="132"/>
  <c r="JL20" i="132" s="1"/>
  <c r="BS95" i="1" s="1"/>
  <c r="JB14" i="132"/>
  <c r="JB19" i="132" s="1"/>
  <c r="BI94" i="1" s="1"/>
  <c r="JI8" i="132"/>
  <c r="HZ8" i="132"/>
  <c r="JI7" i="132"/>
  <c r="IX7" i="132"/>
  <c r="II15" i="132"/>
  <c r="II20" i="132" s="1"/>
  <c r="AP95" i="1" s="1"/>
  <c r="JE15" i="132"/>
  <c r="JE20" i="132" s="1"/>
  <c r="BL95" i="1" s="1"/>
  <c r="HQ14" i="132"/>
  <c r="HQ19" i="132" s="1"/>
  <c r="IV14" i="132"/>
  <c r="IV19" i="132" s="1"/>
  <c r="BC94" i="1" s="1"/>
  <c r="HQ8" i="132"/>
  <c r="JF7" i="132"/>
  <c r="HR7" i="132"/>
  <c r="JA8" i="132"/>
  <c r="BZ62" i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IC14" i="132"/>
  <c r="IC19" i="132" s="1"/>
  <c r="AJ94" i="1" s="1"/>
  <c r="IU14" i="132"/>
  <c r="JC7" i="132"/>
  <c r="IS8" i="132"/>
  <c r="JE14" i="132"/>
  <c r="JE19" i="132" s="1"/>
  <c r="BL94" i="1" s="1"/>
  <c r="HW15" i="132"/>
  <c r="HW20" i="132" s="1"/>
  <c r="HP8" i="132"/>
  <c r="JG14" i="132"/>
  <c r="IO14" i="132"/>
  <c r="IO19" i="132" s="1"/>
  <c r="AV94" i="1" s="1"/>
  <c r="JO15" i="132"/>
  <c r="JO20" i="132" s="1"/>
  <c r="BV95" i="1" s="1"/>
  <c r="IE15" i="132"/>
  <c r="IS15" i="132"/>
  <c r="IS20" i="132" s="1"/>
  <c r="AZ95" i="1" s="1"/>
  <c r="HV7" i="132"/>
  <c r="JD15" i="132"/>
  <c r="JD20" i="132" s="1"/>
  <c r="BK95" i="1" s="1"/>
  <c r="HP7" i="132"/>
  <c r="JG8" i="132"/>
  <c r="HU15" i="132"/>
  <c r="HU20" i="132" s="1"/>
  <c r="JM15" i="132"/>
  <c r="JM20" i="132" s="1"/>
  <c r="BT95" i="1" s="1"/>
  <c r="JD8" i="132"/>
  <c r="JK8" i="132"/>
  <c r="JO7" i="132"/>
  <c r="IB7" i="132"/>
  <c r="IV7" i="132"/>
  <c r="IF7" i="132"/>
  <c r="HR14" i="132"/>
  <c r="HR19" i="132" s="1"/>
  <c r="JK7" i="132"/>
  <c r="IY15" i="132"/>
  <c r="IY20" i="132" s="1"/>
  <c r="BF95" i="1" s="1"/>
  <c r="HV15" i="132"/>
  <c r="HV20" i="132" s="1"/>
  <c r="BY65" i="1"/>
  <c r="BY60" i="1"/>
  <c r="IH14" i="132"/>
  <c r="IH19" i="132" s="1"/>
  <c r="AO94" i="1" s="1"/>
  <c r="IJ7" i="132"/>
  <c r="IX14" i="132"/>
  <c r="JF14" i="132"/>
  <c r="JF19" i="132" s="1"/>
  <c r="BM94" i="1" s="1"/>
  <c r="JM7" i="132"/>
  <c r="IJ8" i="132"/>
  <c r="IB15" i="132"/>
  <c r="IB20" i="132" s="1"/>
  <c r="AI95" i="1" s="1"/>
  <c r="JH8" i="132"/>
  <c r="JI14" i="132"/>
  <c r="JI19" i="132" s="1"/>
  <c r="BP94" i="1" s="1"/>
  <c r="IU7" i="132"/>
  <c r="IR14" i="132"/>
  <c r="IR19" i="132" s="1"/>
  <c r="AY94" i="1" s="1"/>
  <c r="JL7" i="132"/>
  <c r="IP8" i="132"/>
  <c r="IK14" i="132"/>
  <c r="IK19" i="132" s="1"/>
  <c r="AR94" i="1" s="1"/>
  <c r="IQ14" i="132"/>
  <c r="IQ19" i="132" s="1"/>
  <c r="AX94" i="1" s="1"/>
  <c r="IT7" i="132"/>
  <c r="IH8" i="132"/>
  <c r="JC14" i="132"/>
  <c r="JC19" i="132" s="1"/>
  <c r="BJ94" i="1" s="1"/>
  <c r="BY122" i="1"/>
  <c r="JN7" i="132"/>
  <c r="IU8" i="132"/>
  <c r="JN8" i="132"/>
  <c r="IE8" i="132"/>
  <c r="IW15" i="132"/>
  <c r="IW20" i="132" s="1"/>
  <c r="BD95" i="1" s="1"/>
  <c r="HU14" i="132"/>
  <c r="HU19" i="132" s="1"/>
  <c r="IL7" i="132"/>
  <c r="HP15" i="132"/>
  <c r="HP20" i="132" s="1"/>
  <c r="IO7" i="132"/>
  <c r="IT15" i="132"/>
  <c r="IT20" i="132" s="1"/>
  <c r="BA95" i="1" s="1"/>
  <c r="BY108" i="1"/>
  <c r="JA14" i="132"/>
  <c r="JA19" i="132" s="1"/>
  <c r="BH94" i="1" s="1"/>
  <c r="ID21" i="132"/>
  <c r="AK93" i="1" s="1"/>
  <c r="ID8" i="132"/>
  <c r="BX60" i="1"/>
  <c r="BX65" i="1"/>
  <c r="AC54" i="1"/>
  <c r="CI54" i="1"/>
  <c r="CJ54" i="1" s="1"/>
  <c r="CK54" i="1" s="1"/>
  <c r="CL54" i="1" s="1"/>
  <c r="BD51" i="130" l="1"/>
  <c r="BX83" i="1" s="1"/>
  <c r="BY59" i="1" s="1"/>
  <c r="BX37" i="1" s="1"/>
  <c r="BC51" i="130" s="1"/>
  <c r="BX44" i="1" s="1"/>
  <c r="BX72" i="1" s="1"/>
  <c r="BX77" i="1" s="1"/>
  <c r="BY73" i="1" s="1"/>
  <c r="BX59" i="1" s="1"/>
  <c r="BY35" i="1" s="1"/>
  <c r="HS21" i="132"/>
  <c r="HX9" i="132"/>
  <c r="IC16" i="132" s="1"/>
  <c r="IC20" i="132"/>
  <c r="AJ95" i="1" s="1"/>
  <c r="IS19" i="132"/>
  <c r="AZ94" i="1" s="1"/>
  <c r="IH20" i="132"/>
  <c r="AO95" i="1" s="1"/>
  <c r="JD19" i="132"/>
  <c r="BK94" i="1" s="1"/>
  <c r="HX20" i="132"/>
  <c r="HX21" i="132"/>
  <c r="JC21" i="132"/>
  <c r="BJ93" i="1" s="1"/>
  <c r="IK21" i="132"/>
  <c r="AR93" i="1" s="1"/>
  <c r="IG21" i="132"/>
  <c r="AN93" i="1" s="1"/>
  <c r="IO21" i="132"/>
  <c r="AV93" i="1" s="1"/>
  <c r="JG21" i="132"/>
  <c r="BN93" i="1" s="1"/>
  <c r="JG20" i="132"/>
  <c r="BN95" i="1" s="1"/>
  <c r="JO19" i="132"/>
  <c r="BV94" i="1" s="1"/>
  <c r="IB19" i="132"/>
  <c r="AI94" i="1" s="1"/>
  <c r="IF19" i="132"/>
  <c r="AM94" i="1" s="1"/>
  <c r="JM19" i="132"/>
  <c r="BT94" i="1" s="1"/>
  <c r="IJ20" i="132"/>
  <c r="AQ95" i="1" s="1"/>
  <c r="JL21" i="132"/>
  <c r="BS93" i="1" s="1"/>
  <c r="IU20" i="132"/>
  <c r="BB95" i="1" s="1"/>
  <c r="JA21" i="132"/>
  <c r="BH93" i="1" s="1"/>
  <c r="IJ21" i="132"/>
  <c r="AQ93" i="1" s="1"/>
  <c r="JH20" i="132"/>
  <c r="BO95" i="1" s="1"/>
  <c r="IP20" i="132"/>
  <c r="AW95" i="1" s="1"/>
  <c r="II21" i="132"/>
  <c r="AP93" i="1" s="1"/>
  <c r="JI21" i="132"/>
  <c r="BP93" i="1" s="1"/>
  <c r="IT19" i="132"/>
  <c r="BA94" i="1" s="1"/>
  <c r="BW30" i="1"/>
  <c r="IA19" i="132"/>
  <c r="AH94" i="1" s="1"/>
  <c r="AH102" i="1" s="1"/>
  <c r="JG19" i="132"/>
  <c r="BN94" i="1" s="1"/>
  <c r="BW115" i="1"/>
  <c r="IX19" i="132"/>
  <c r="BE94" i="1" s="1"/>
  <c r="IE20" i="132"/>
  <c r="AL95" i="1" s="1"/>
  <c r="IU19" i="132"/>
  <c r="BB94" i="1" s="1"/>
  <c r="HZ20" i="132"/>
  <c r="JN20" i="132"/>
  <c r="BU95" i="1" s="1"/>
  <c r="IL20" i="132"/>
  <c r="AS95" i="1" s="1"/>
  <c r="HX19" i="132"/>
  <c r="JN19" i="132"/>
  <c r="BU94" i="1" s="1"/>
  <c r="CM54" i="1"/>
  <c r="CN54" i="1" s="1"/>
  <c r="CO54" i="1" s="1"/>
  <c r="AD54" i="1"/>
  <c r="BZ53" i="1"/>
  <c r="BB51" i="130" l="1"/>
  <c r="BY76" i="1" s="1"/>
  <c r="BX74" i="1" s="1"/>
  <c r="BX63" i="1" s="1"/>
  <c r="BX35" i="1" s="1"/>
  <c r="BA51" i="130" s="1"/>
  <c r="IC21" i="132"/>
  <c r="AJ93" i="1" s="1"/>
  <c r="JM16" i="132"/>
  <c r="JM21" i="132" s="1"/>
  <c r="BT93" i="1" s="1"/>
  <c r="JK14" i="132" s="1"/>
  <c r="AE54" i="1"/>
  <c r="CA53" i="1"/>
  <c r="CB53" i="1" s="1"/>
  <c r="CC53" i="1" s="1"/>
  <c r="CD53" i="1" s="1"/>
  <c r="JK19" i="132" l="1"/>
  <c r="BR94" i="1" s="1"/>
  <c r="IK9" i="132"/>
  <c r="JJ16" i="132" s="1"/>
  <c r="JP9" i="132" s="1"/>
  <c r="BX119" i="1" s="1"/>
  <c r="CE53" i="1"/>
  <c r="CF53" i="1" s="1"/>
  <c r="CG53" i="1" s="1"/>
  <c r="CH53" i="1" s="1"/>
  <c r="AB53" i="1"/>
  <c r="BX80" i="1" l="1"/>
  <c r="BX81" i="1"/>
  <c r="BX28" i="1"/>
  <c r="AJ83" i="1"/>
  <c r="BU83" i="1" s="1"/>
  <c r="HR9" i="132" s="1"/>
  <c r="IR7" i="132" s="1"/>
  <c r="IM9" i="132" s="1"/>
  <c r="BW51" i="1" s="1"/>
  <c r="IJ9" i="132" s="1"/>
  <c r="JE9" i="132" s="1"/>
  <c r="BW77" i="1" s="1"/>
  <c r="AC53" i="1"/>
  <c r="CI53" i="1"/>
  <c r="CJ53" i="1" s="1"/>
  <c r="CK53" i="1" s="1"/>
  <c r="CL53" i="1" s="1"/>
  <c r="BW81" i="1" l="1"/>
  <c r="BE83" i="1"/>
  <c r="HT16" i="132" s="1"/>
  <c r="AD53" i="1"/>
  <c r="CM53" i="1"/>
  <c r="CN53" i="1" s="1"/>
  <c r="CO53" i="1" s="1"/>
  <c r="CA93" i="1"/>
  <c r="HT21" i="132" l="1"/>
  <c r="HP9" i="132"/>
  <c r="JF9" i="132" s="1"/>
  <c r="IC9" i="132" s="1"/>
  <c r="AK83" i="1" s="1"/>
  <c r="ID9" i="132" s="1"/>
  <c r="JH9" i="132" s="1"/>
  <c r="BD83" i="1" s="1"/>
  <c r="BY121" i="1" s="1"/>
  <c r="BM83" i="1" s="1"/>
  <c r="HT9" i="132" s="1"/>
  <c r="JP8" i="132" s="1"/>
  <c r="IX16" i="132" s="1"/>
  <c r="IX21" i="132" s="1"/>
  <c r="BE93" i="1" s="1"/>
  <c r="IX15" i="132" s="1"/>
  <c r="AE53" i="1"/>
  <c r="CB93" i="1"/>
  <c r="AP18" i="130" a="1"/>
  <c r="O39" i="130" a="1"/>
  <c r="L14" i="130" a="1"/>
  <c r="AK24" i="130" a="1"/>
  <c r="X32" i="130" a="1"/>
  <c r="AC28" i="130" a="1"/>
  <c r="C10" i="130" a="1"/>
  <c r="M22" i="130" a="1"/>
  <c r="AQ24" i="130" a="1"/>
  <c r="AB7" i="130" a="1"/>
  <c r="AA43" i="130" a="1"/>
  <c r="I9" i="130" a="1"/>
  <c r="AJ39" i="130" a="1"/>
  <c r="L16" i="130" a="1"/>
  <c r="F34" i="130" a="1"/>
  <c r="D33" i="130" a="1"/>
  <c r="V9" i="130" a="1"/>
  <c r="AG31" i="130" a="1"/>
  <c r="AM21" i="130" a="1"/>
  <c r="AO14" i="130" a="1"/>
  <c r="AC15" i="130" a="1"/>
  <c r="D30" i="130" a="1"/>
  <c r="AK6" i="130" a="1"/>
  <c r="M38" i="130" a="1"/>
  <c r="D6" i="130" a="1"/>
  <c r="AO12" i="130" a="1"/>
  <c r="AG26" i="130" a="1"/>
  <c r="AJ30" i="130" a="1"/>
  <c r="X44" i="130" a="1"/>
  <c r="AG32" i="130" a="1"/>
  <c r="M10" i="130" a="1"/>
  <c r="Y47" i="130" a="1"/>
  <c r="H46" i="130" a="1"/>
  <c r="AM43" i="130" a="1"/>
  <c r="AI29" i="130" a="1"/>
  <c r="M19" i="130" a="1"/>
  <c r="N37" i="130" a="1"/>
  <c r="AB10" i="130" a="1"/>
  <c r="S30" i="130" a="1"/>
  <c r="Q41" i="130" a="1"/>
  <c r="AG47" i="130" a="1"/>
  <c r="G43" i="130" a="1"/>
  <c r="S34" i="130" a="1"/>
  <c r="AM9" i="130" a="1"/>
  <c r="H30" i="130" a="1"/>
  <c r="AJ29" i="130" a="1"/>
  <c r="AM23" i="130" a="1"/>
  <c r="AE35" i="130" a="1"/>
  <c r="K6" i="130" a="1"/>
  <c r="R45" i="130" a="1"/>
  <c r="W34" i="130" a="1"/>
  <c r="AP45" i="130" a="1"/>
  <c r="D8" i="130" a="1"/>
  <c r="C28" i="130" a="1"/>
  <c r="AP46" i="130" a="1"/>
  <c r="AD22" i="130" a="1"/>
  <c r="AI12" i="130" a="1"/>
  <c r="T44" i="130" a="1"/>
  <c r="L15" i="130" a="1"/>
  <c r="AK22" i="130" a="1"/>
  <c r="AQ32" i="130" a="1"/>
  <c r="O32" i="130" a="1"/>
  <c r="AK30" i="130" a="1"/>
  <c r="AM11" i="130" a="1"/>
  <c r="AN23" i="130" a="1"/>
  <c r="AL43" i="130" a="1"/>
  <c r="AI44" i="130" a="1"/>
  <c r="AC26" i="130" a="1"/>
  <c r="AP31" i="130" a="1"/>
  <c r="AI40" i="130" a="1"/>
  <c r="W12" i="130" a="1"/>
  <c r="AO30" i="130" a="1"/>
  <c r="Q40" i="130" a="1"/>
  <c r="AL10" i="130" a="1"/>
  <c r="Y38" i="130" a="1"/>
  <c r="E37" i="130" a="1"/>
  <c r="AB32" i="130" a="1"/>
  <c r="AO11" i="130" a="1"/>
  <c r="AP26" i="130" a="1"/>
  <c r="M16" i="130" a="1"/>
  <c r="AD28" i="130" a="1"/>
  <c r="AO32" i="130" a="1"/>
  <c r="P42" i="130" a="1"/>
  <c r="AA39" i="130" a="1"/>
  <c r="H33" i="130" a="1"/>
  <c r="AP9" i="130" a="1"/>
  <c r="W6" i="130" a="1"/>
  <c r="Q37" i="130" a="1"/>
  <c r="AJ22" i="130" a="1"/>
  <c r="C37" i="130" a="1"/>
  <c r="Y26" i="130" a="1"/>
  <c r="AC30" i="130" a="1"/>
  <c r="AF42" i="130" a="1"/>
  <c r="AE18" i="130" a="1"/>
  <c r="AH5" i="130" a="1"/>
  <c r="AQ47" i="130" a="1"/>
  <c r="AO6" i="130" a="1"/>
  <c r="X20" i="130" a="1"/>
  <c r="L31" i="130" a="1"/>
  <c r="H40" i="130" a="1"/>
  <c r="AC27" i="130" a="1"/>
  <c r="Y34" i="130" a="1"/>
  <c r="Q34" i="130" a="1"/>
  <c r="AA6" i="130" a="1"/>
  <c r="S27" i="130" a="1"/>
  <c r="AJ38" i="130" a="1"/>
  <c r="T5" i="130" a="1"/>
  <c r="AM15" i="130" a="1"/>
  <c r="R24" i="130" a="1"/>
  <c r="W19" i="130" a="1"/>
  <c r="G5" i="130" a="1"/>
  <c r="M43" i="130" a="1"/>
  <c r="O44" i="130" a="1"/>
  <c r="AH42" i="130" a="1"/>
  <c r="S37" i="130" a="1"/>
  <c r="T25" i="130" a="1"/>
  <c r="AA42" i="130" a="1"/>
  <c r="V40" i="130" a="1"/>
  <c r="D38" i="130" a="1"/>
  <c r="X28" i="130" a="1"/>
  <c r="AH7" i="130" a="1"/>
  <c r="AC36" i="130" a="1"/>
  <c r="G18" i="130" a="1"/>
  <c r="AM42" i="130" a="1"/>
  <c r="AC45" i="130" a="1"/>
  <c r="AQ22" i="130" a="1"/>
  <c r="P10" i="130" a="1"/>
  <c r="AB8" i="130" a="1"/>
  <c r="R46" i="130" a="1"/>
  <c r="G23" i="130" a="1"/>
  <c r="X37" i="130" a="1"/>
  <c r="AB5" i="130" a="1"/>
  <c r="AC43" i="130" a="1"/>
  <c r="L47" i="130" a="1"/>
  <c r="AG11" i="130" a="1"/>
  <c r="AE19" i="130" a="1"/>
  <c r="AH34" i="130" a="1"/>
  <c r="P35" i="130" a="1"/>
  <c r="S23" i="130" a="1"/>
  <c r="AK45" i="130" a="1"/>
  <c r="AG21" i="130" a="1"/>
  <c r="C20" i="130" a="1"/>
  <c r="K30" i="130" a="1"/>
  <c r="P23" i="130" a="1"/>
  <c r="AN37" i="130" a="1"/>
  <c r="P14" i="130" a="1"/>
  <c r="Z18" i="130" a="1"/>
  <c r="AM17" i="130" a="1"/>
  <c r="X21" i="130" a="1"/>
  <c r="AL33" i="130" a="1"/>
  <c r="W16" i="130" a="1"/>
  <c r="AM34" i="130" a="1"/>
  <c r="AJ34" i="130" a="1"/>
  <c r="AL32" i="130" a="1"/>
  <c r="O12" i="130" a="1"/>
  <c r="D37" i="130" a="1"/>
  <c r="N23" i="130" a="1"/>
  <c r="W32" i="130" a="1"/>
  <c r="I11" i="130" a="1"/>
  <c r="K41" i="130" a="1"/>
  <c r="AO24" i="130" a="1"/>
  <c r="L44" i="130" a="1"/>
  <c r="AE39" i="130" a="1"/>
  <c r="M41" i="130" a="1"/>
  <c r="AD25" i="130" a="1"/>
  <c r="AO38" i="130" a="1"/>
  <c r="AJ10" i="130" a="1"/>
  <c r="AE9" i="130" a="1"/>
  <c r="AL45" i="130" a="1"/>
  <c r="T22" i="130" a="1"/>
  <c r="O33" i="130" a="1"/>
  <c r="AE28" i="130" a="1"/>
  <c r="AF24" i="130" a="1"/>
  <c r="L32" i="130" a="1"/>
  <c r="L26" i="130" a="1"/>
  <c r="R11" i="130" a="1"/>
  <c r="AG28" i="130" a="1"/>
  <c r="O21" i="130" a="1"/>
  <c r="X12" i="130" a="1"/>
  <c r="AI20" i="130" a="1"/>
  <c r="F32" i="130" a="1"/>
  <c r="R8" i="130" a="1"/>
  <c r="I41" i="130" a="1"/>
  <c r="K28" i="130" a="1"/>
  <c r="D13" i="130" a="1"/>
  <c r="S10" i="130" a="1"/>
  <c r="L5" i="130" a="1"/>
  <c r="M8" i="130" a="1"/>
  <c r="Q21" i="130" a="1"/>
  <c r="AD34" i="130" a="1"/>
  <c r="V42" i="130" a="1"/>
  <c r="AM39" i="130" a="1"/>
  <c r="K8" i="130" a="1"/>
  <c r="F33" i="130" a="1"/>
  <c r="G35" i="130" a="1"/>
  <c r="M39" i="130" a="1"/>
  <c r="AM5" i="130" a="1"/>
  <c r="P37" i="130" a="1"/>
  <c r="AO34" i="130" a="1"/>
  <c r="C29" i="130" a="1"/>
  <c r="J15" i="130" a="1"/>
  <c r="C33" i="130" a="1"/>
  <c r="AL15" i="130" a="1"/>
  <c r="V5" i="130" a="1"/>
  <c r="H6" i="130" a="1"/>
  <c r="E42" i="130" a="1"/>
  <c r="AN8" i="130" a="1"/>
  <c r="AM28" i="130" a="1"/>
  <c r="D9" i="130" a="1"/>
  <c r="W26" i="130" a="1"/>
  <c r="AE13" i="130" a="1"/>
  <c r="E32" i="130" a="1"/>
  <c r="AP36" i="130" a="1"/>
  <c r="AC19" i="130" a="1"/>
  <c r="K39" i="130" a="1"/>
  <c r="AP8" i="130" a="1"/>
  <c r="J28" i="130" a="1"/>
  <c r="AM32" i="130" a="1"/>
  <c r="AC41" i="130" a="1"/>
  <c r="I40" i="130" a="1"/>
  <c r="Q7" i="130" a="1"/>
  <c r="AG36" i="130" a="1"/>
  <c r="AM27" i="130" a="1"/>
  <c r="X43" i="130" a="1"/>
  <c r="AE43" i="130" a="1"/>
  <c r="Y17" i="130" a="1"/>
  <c r="P9" i="130" a="1"/>
  <c r="S32" i="130" a="1"/>
  <c r="AD21" i="130" a="1"/>
  <c r="G30" i="130" a="1"/>
  <c r="U39" i="130" a="1"/>
  <c r="N16" i="130" a="1"/>
  <c r="G21" i="130" a="1"/>
  <c r="J46" i="130" a="1"/>
  <c r="AF18" i="130" a="1"/>
  <c r="Q39" i="130" a="1"/>
  <c r="AE24" i="130" a="1"/>
  <c r="S19" i="130" a="1"/>
  <c r="U26" i="130" a="1"/>
  <c r="AE33" i="130" a="1"/>
  <c r="K23" i="130" a="1"/>
  <c r="Z5" i="130" a="1"/>
  <c r="AM44" i="130" a="1"/>
  <c r="J39" i="130" a="1"/>
  <c r="AQ28" i="130" a="1"/>
  <c r="AC39" i="130" a="1"/>
  <c r="E35" i="130" a="1"/>
  <c r="AC11" i="130" a="1"/>
  <c r="F13" i="130" a="1"/>
  <c r="AK44" i="130" a="1"/>
  <c r="AB22" i="130" a="1"/>
  <c r="T20" i="130" a="1"/>
  <c r="AG22" i="130" a="1"/>
  <c r="AH10" i="130" a="1"/>
  <c r="I15" i="130" a="1"/>
  <c r="W29" i="130" a="1"/>
  <c r="Z36" i="130" a="1"/>
  <c r="V6" i="130" a="1"/>
  <c r="AO41" i="130" a="1"/>
  <c r="AO23" i="130" a="1"/>
  <c r="AK21" i="130" a="1"/>
  <c r="AN18" i="130" a="1"/>
  <c r="AB6" i="130" a="1"/>
  <c r="AF23" i="130" a="1"/>
  <c r="AP47" i="130" a="1"/>
  <c r="O13" i="130" a="1"/>
  <c r="Q6" i="130" a="1"/>
  <c r="AC46" i="130" a="1"/>
  <c r="M36" i="130" a="1"/>
  <c r="AM46" i="130" a="1"/>
  <c r="AK26" i="130" a="1"/>
  <c r="K11" i="130" a="1"/>
  <c r="AK43" i="130" a="1"/>
  <c r="AA25" i="130" a="1"/>
  <c r="AP28" i="130" a="1"/>
  <c r="AH40" i="130" a="1"/>
  <c r="V26" i="130" a="1"/>
  <c r="V25" i="130" a="1"/>
  <c r="J22" i="130" a="1"/>
  <c r="M27" i="130" a="1"/>
  <c r="AB26" i="130" a="1"/>
  <c r="C6" i="130" a="1"/>
  <c r="F41" i="130" a="1"/>
  <c r="U14" i="130" a="1"/>
  <c r="AH47" i="130" a="1"/>
  <c r="R10" i="130" a="1"/>
  <c r="AP25" i="130" a="1"/>
  <c r="P40" i="130" a="1"/>
  <c r="AK8" i="130" a="1"/>
  <c r="AF26" i="130" a="1"/>
  <c r="AF13" i="130" a="1"/>
  <c r="G33" i="130" a="1"/>
  <c r="S47" i="130" a="1"/>
  <c r="Q42" i="130" a="1"/>
  <c r="J10" i="130" a="1"/>
  <c r="W39" i="130" a="1"/>
  <c r="AQ21" i="130" a="1"/>
  <c r="M30" i="130" a="1"/>
  <c r="D23" i="130" a="1"/>
  <c r="AG9" i="130" a="1"/>
  <c r="I37" i="130" a="1"/>
  <c r="AF46" i="130" a="1"/>
  <c r="AH15" i="130" a="1"/>
  <c r="G13" i="130" a="1"/>
  <c r="AK23" i="130" a="1"/>
  <c r="AL39" i="130" a="1"/>
  <c r="H12" i="130" a="1"/>
  <c r="Y16" i="130" a="1"/>
  <c r="O8" i="130" a="1"/>
  <c r="AD19" i="130" a="1"/>
  <c r="M44" i="130" a="1"/>
  <c r="I13" i="130" a="1"/>
  <c r="AK12" i="130" a="1"/>
  <c r="AA5" i="130" a="1"/>
  <c r="X34" i="130" a="1"/>
  <c r="G39" i="130" a="1"/>
  <c r="E27" i="130" a="1"/>
  <c r="J5" i="130" a="1"/>
  <c r="AD36" i="130" a="1"/>
  <c r="M24" i="130" a="1"/>
  <c r="Q12" i="130" a="1"/>
  <c r="AA44" i="130" a="1"/>
  <c r="AA45" i="130" a="1"/>
  <c r="U23" i="130" a="1"/>
  <c r="J21" i="130" a="1"/>
  <c r="P34" i="130" a="1"/>
  <c r="AJ14" i="130" a="1"/>
  <c r="AI34" i="130" a="1"/>
  <c r="O31" i="130" a="1"/>
  <c r="AN9" i="130" a="1"/>
  <c r="X42" i="130" a="1"/>
  <c r="W46" i="130" a="1"/>
  <c r="Z32" i="130" a="1"/>
  <c r="F7" i="130" a="1"/>
  <c r="AG34" i="130" a="1"/>
  <c r="Z42" i="130" a="1"/>
  <c r="AB34" i="130" a="1"/>
  <c r="M14" i="130" a="1"/>
  <c r="P41" i="130" a="1"/>
  <c r="R9" i="130" a="1"/>
  <c r="U36" i="130" a="1"/>
  <c r="U12" i="130" a="1"/>
  <c r="Y6" i="130" a="1"/>
  <c r="N39" i="130" a="1"/>
  <c r="C39" i="130" a="1"/>
  <c r="R25" i="130" a="1"/>
  <c r="AD12" i="130" a="1"/>
  <c r="AP16" i="130" a="1"/>
  <c r="K13" i="130" a="1"/>
  <c r="T30" i="130" a="1"/>
  <c r="C5" i="130" a="1"/>
  <c r="Q16" i="130" a="1"/>
  <c r="F17" i="130" a="1"/>
  <c r="J33" i="130" a="1"/>
  <c r="AE31" i="130" a="1"/>
  <c r="AE22" i="130" a="1"/>
  <c r="T9" i="130" a="1"/>
  <c r="M5" i="130" a="1"/>
  <c r="AC40" i="130" a="1"/>
  <c r="H8" i="130" a="1"/>
  <c r="G41" i="130" a="1"/>
  <c r="P6" i="130" a="1"/>
  <c r="Y39" i="130" a="1"/>
  <c r="F19" i="130" a="1"/>
  <c r="W25" i="130" a="1"/>
  <c r="U22" i="130" a="1"/>
  <c r="E25" i="130" a="1"/>
  <c r="W43" i="130" a="1"/>
  <c r="P22" i="130" a="1"/>
  <c r="AL28" i="130" a="1"/>
  <c r="AP29" i="130" a="1"/>
  <c r="AA10" i="130" a="1"/>
  <c r="AO40" i="130" a="1"/>
  <c r="E26" i="130" a="1"/>
  <c r="H16" i="130" a="1"/>
  <c r="AD17" i="130" a="1"/>
  <c r="AL26" i="130" a="1"/>
  <c r="P16" i="130" a="1"/>
  <c r="AE34" i="130" a="1"/>
  <c r="AA21" i="130" a="1"/>
  <c r="AQ39" i="130" a="1"/>
  <c r="AN21" i="130" a="1"/>
  <c r="C21" i="130" a="1"/>
  <c r="AP13" i="130" a="1"/>
  <c r="W22" i="130" a="1"/>
  <c r="H5" i="130" a="1"/>
  <c r="C38" i="130" a="1"/>
  <c r="AK47" i="130" a="1"/>
  <c r="E45" i="130" a="1"/>
  <c r="Q38" i="130" a="1"/>
  <c r="AD20" i="130" a="1"/>
  <c r="I28" i="130" a="1"/>
  <c r="H13" i="130" a="1"/>
  <c r="H39" i="130" a="1"/>
  <c r="N35" i="130" a="1"/>
  <c r="AD8" i="130" a="1"/>
  <c r="AD14" i="130" a="1"/>
  <c r="AL37" i="130" a="1"/>
  <c r="P47" i="130" a="1"/>
  <c r="V43" i="130" a="1"/>
  <c r="U5" i="130" a="1"/>
  <c r="D32" i="130" a="1"/>
  <c r="AM29" i="130" a="1"/>
  <c r="R12" i="130" a="1"/>
  <c r="R47" i="130" a="1"/>
  <c r="O34" i="130" a="1"/>
  <c r="V41" i="130" a="1"/>
  <c r="R23" i="130" a="1"/>
  <c r="P46" i="130" a="1"/>
  <c r="AQ17" i="130" a="1"/>
  <c r="AM30" i="130" a="1"/>
  <c r="AK32" i="130" a="1"/>
  <c r="L11" i="130" a="1"/>
  <c r="J35" i="130" a="1"/>
  <c r="Q33" i="130" a="1"/>
  <c r="I29" i="130" a="1"/>
  <c r="Z28" i="130" a="1"/>
  <c r="I21" i="130" a="1"/>
  <c r="I42" i="130" a="1"/>
  <c r="AN24" i="130" a="1"/>
  <c r="F10" i="130" a="1"/>
  <c r="I45" i="130" a="1"/>
  <c r="C17" i="130" a="1"/>
  <c r="AM22" i="130" a="1"/>
  <c r="C19" i="130" a="1"/>
  <c r="Y13" i="130" a="1"/>
  <c r="C34" i="130" a="1"/>
  <c r="AA8" i="130" a="1"/>
  <c r="AM31" i="130" a="1"/>
  <c r="V11" i="130" a="1"/>
  <c r="F24" i="130" a="1"/>
  <c r="D43" i="130" a="1"/>
  <c r="D17" i="130" a="1"/>
  <c r="S28" i="130" a="1"/>
  <c r="AJ23" i="130" a="1"/>
  <c r="L29" i="130" a="1"/>
  <c r="AM19" i="130" a="1"/>
  <c r="I10" i="130" a="1"/>
  <c r="AJ17" i="130" a="1"/>
  <c r="O14" i="130" a="1"/>
  <c r="K45" i="130" a="1"/>
  <c r="U28" i="130" a="1"/>
  <c r="P20" i="130" a="1"/>
  <c r="AJ43" i="130" a="1"/>
  <c r="AM18" i="130" a="1"/>
  <c r="AP6" i="130" a="1"/>
  <c r="W21" i="130" a="1"/>
  <c r="AG33" i="130" a="1"/>
  <c r="D20" i="130" a="1"/>
  <c r="AF12" i="130" a="1"/>
  <c r="AC42" i="130" a="1"/>
  <c r="O45" i="130" a="1"/>
  <c r="AO17" i="130" a="1"/>
  <c r="S7" i="130" a="1"/>
  <c r="AP12" i="130" a="1"/>
  <c r="AN29" i="130" a="1"/>
  <c r="E19" i="130" a="1"/>
  <c r="AA13" i="130" a="1"/>
  <c r="K9" i="130" a="1"/>
  <c r="AA12" i="130" a="1"/>
  <c r="AH20" i="130" a="1"/>
  <c r="AM12" i="130" a="1"/>
  <c r="AL19" i="130" a="1"/>
  <c r="T41" i="130" a="1"/>
  <c r="AQ12" i="130" a="1"/>
  <c r="AB18" i="130" a="1"/>
  <c r="G45" i="130" a="1"/>
  <c r="AG44" i="130" a="1"/>
  <c r="AQ35" i="130" a="1"/>
  <c r="F20" i="130" a="1"/>
  <c r="U44" i="130" a="1"/>
  <c r="L10" i="130" a="1"/>
  <c r="AF14" i="130" a="1"/>
  <c r="Z19" i="130" a="1"/>
  <c r="M34" i="130" a="1"/>
  <c r="AN6" i="130" a="1"/>
  <c r="AQ18" i="130" a="1"/>
  <c r="AF29" i="130" a="1"/>
  <c r="AB37" i="130" a="1"/>
  <c r="R22" i="130" a="1"/>
  <c r="F29" i="130" a="1"/>
  <c r="AG10" i="130" a="1"/>
  <c r="Q31" i="130" a="1"/>
  <c r="AF15" i="130" a="1"/>
  <c r="AC22" i="130" a="1"/>
  <c r="R28" i="130" a="1"/>
  <c r="L8" i="130" a="1"/>
  <c r="AA33" i="130" a="1"/>
  <c r="AQ13" i="130" a="1"/>
  <c r="AO45" i="130" a="1"/>
  <c r="AH28" i="130" a="1"/>
  <c r="K21" i="130" a="1"/>
  <c r="AP35" i="130" a="1"/>
  <c r="K42" i="130" a="1"/>
  <c r="AD32" i="130" a="1"/>
  <c r="Q29" i="130" a="1"/>
  <c r="E47" i="130" a="1"/>
  <c r="AJ11" i="130" a="1"/>
  <c r="H14" i="130" a="1"/>
  <c r="N11" i="130" a="1"/>
  <c r="AG8" i="130" a="1"/>
  <c r="G38" i="130" a="1"/>
  <c r="AI26" i="130" a="1"/>
  <c r="AD44" i="130" a="1"/>
  <c r="X9" i="130" a="1"/>
  <c r="N34" i="130" a="1"/>
  <c r="W17" i="130" a="1"/>
  <c r="S12" i="130" a="1"/>
  <c r="C7" i="130" a="1"/>
  <c r="H45" i="130" a="1"/>
  <c r="AC13" i="130" a="1"/>
  <c r="AG39" i="130" a="1"/>
  <c r="P45" i="130" a="1"/>
  <c r="AN45" i="130" a="1"/>
  <c r="O11" i="130" a="1"/>
  <c r="U11" i="130" a="1"/>
  <c r="V29" i="130" a="1"/>
  <c r="N46" i="130" a="1"/>
  <c r="AP19" i="130" a="1"/>
  <c r="AA30" i="130" a="1"/>
  <c r="Y28" i="130" a="1"/>
  <c r="O9" i="130" a="1"/>
  <c r="V16" i="130" a="1"/>
  <c r="AN30" i="130" a="1"/>
  <c r="AD46" i="130" a="1"/>
  <c r="AJ28" i="130" a="1"/>
  <c r="AP38" i="130" a="1"/>
  <c r="H38" i="130" a="1"/>
  <c r="AD33" i="130" a="1"/>
  <c r="F47" i="130" a="1"/>
  <c r="AL20" i="130" a="1"/>
  <c r="V20" i="130" a="1"/>
  <c r="J12" i="130" a="1"/>
  <c r="AI10" i="130" a="1"/>
  <c r="I25" i="130" a="1"/>
  <c r="AI24" i="130" a="1"/>
  <c r="F38" i="130" a="1"/>
  <c r="AE30" i="130" a="1"/>
  <c r="AO5" i="130" a="1"/>
  <c r="U6" i="130" a="1"/>
  <c r="V46" i="130" a="1"/>
  <c r="C16" i="130" a="1"/>
  <c r="AD41" i="130" a="1"/>
  <c r="AP11" i="130" a="1"/>
  <c r="AI17" i="130" a="1"/>
  <c r="AI39" i="130" a="1"/>
  <c r="AM38" i="130" a="1"/>
  <c r="E22" i="130" a="1"/>
  <c r="J23" i="130" a="1"/>
  <c r="V38" i="130" a="1"/>
  <c r="AP21" i="130" a="1"/>
  <c r="G14" i="130" a="1"/>
  <c r="AN31" i="130" a="1"/>
  <c r="AG25" i="130" a="1"/>
  <c r="AL30" i="130" a="1"/>
  <c r="AI7" i="130" a="1"/>
  <c r="V22" i="130" a="1"/>
  <c r="AQ10" i="130" a="1"/>
  <c r="AH39" i="130" a="1"/>
  <c r="N40" i="130" a="1"/>
  <c r="J24" i="130" a="1"/>
  <c r="AP14" i="130" a="1"/>
  <c r="AP10" i="130" a="1"/>
  <c r="S42" i="130" a="1"/>
  <c r="S15" i="130" a="1"/>
  <c r="E13" i="130" a="1"/>
  <c r="AH8" i="130" a="1"/>
  <c r="AC31" i="130" a="1"/>
  <c r="Z47" i="130" a="1"/>
  <c r="AE15" i="130" a="1"/>
  <c r="AH16" i="130" a="1"/>
  <c r="AO20" i="130" a="1"/>
  <c r="AN5" i="130" a="1"/>
  <c r="U31" i="130" a="1"/>
  <c r="AN28" i="130" a="1"/>
  <c r="H9" i="130" a="1"/>
  <c r="N32" i="130" a="1"/>
  <c r="AK33" i="130" a="1"/>
  <c r="V32" i="130" a="1"/>
  <c r="Y19" i="130" a="1"/>
  <c r="AM20" i="130" a="1"/>
  <c r="AA15" i="130" a="1"/>
  <c r="X15" i="130" a="1"/>
  <c r="AF11" i="130" a="1"/>
  <c r="Q44" i="130" a="1"/>
  <c r="I30" i="130" a="1"/>
  <c r="AD43" i="130" a="1"/>
  <c r="AQ30" i="130" a="1"/>
  <c r="AG29" i="130" a="1"/>
  <c r="J16" i="130" a="1"/>
  <c r="Z24" i="130" a="1"/>
  <c r="AQ31" i="130" a="1"/>
  <c r="D34" i="130" a="1"/>
  <c r="K10" i="130" a="1"/>
  <c r="H31" i="130" a="1"/>
  <c r="O27" i="130" a="1"/>
  <c r="AA16" i="130" a="1"/>
  <c r="K47" i="130" a="1"/>
  <c r="AO47" i="130" a="1"/>
  <c r="AP30" i="130" a="1"/>
  <c r="W40" i="130" a="1"/>
  <c r="AD26" i="130" a="1"/>
  <c r="AG40" i="130" a="1"/>
  <c r="AG24" i="130" a="1"/>
  <c r="AP37" i="130" a="1"/>
  <c r="AH14" i="130" a="1"/>
  <c r="AQ20" i="130" a="1"/>
  <c r="Y9" i="130" a="1"/>
  <c r="AD29" i="130" a="1"/>
  <c r="L18" i="130" a="1"/>
  <c r="AF16" i="130" a="1"/>
  <c r="AI22" i="130" a="1"/>
  <c r="AP40" i="130" a="1"/>
  <c r="X19" i="130" a="1"/>
  <c r="O10" i="130" a="1"/>
  <c r="E6" i="130" a="1"/>
  <c r="H22" i="130" a="1"/>
  <c r="AI27" i="130" a="1"/>
  <c r="X39" i="130" a="1"/>
  <c r="AO8" i="130" a="1"/>
  <c r="X11" i="130" a="1"/>
  <c r="AF31" i="130" a="1"/>
  <c r="AF9" i="130" a="1"/>
  <c r="AK36" i="130" a="1"/>
  <c r="L21" i="130" a="1"/>
  <c r="F45" i="130" a="1"/>
  <c r="T13" i="130" a="1"/>
  <c r="T46" i="130" a="1"/>
  <c r="M17" i="130" a="1"/>
  <c r="T37" i="130" a="1"/>
  <c r="Q10" i="130" a="1"/>
  <c r="R13" i="130" a="1"/>
  <c r="AA32" i="130" a="1"/>
  <c r="C23" i="130" a="1"/>
  <c r="AF27" i="130" a="1"/>
  <c r="G47" i="130" a="1"/>
  <c r="I34" i="130" a="1"/>
  <c r="N8" i="130" a="1"/>
  <c r="AN44" i="130" a="1"/>
  <c r="AH29" i="130" a="1"/>
  <c r="AL18" i="130" a="1"/>
  <c r="X31" i="130" a="1"/>
  <c r="AE6" i="130" a="1"/>
  <c r="C25" i="130" a="1"/>
  <c r="I46" i="130" a="1"/>
  <c r="T35" i="130" a="1"/>
  <c r="H36" i="130" a="1"/>
  <c r="AF39" i="130" a="1"/>
  <c r="T39" i="130" a="1"/>
  <c r="AD42" i="130" a="1"/>
  <c r="AP23" i="130" a="1"/>
  <c r="AP27" i="130" a="1"/>
  <c r="T27" i="130" a="1"/>
  <c r="AM16" i="130" a="1"/>
  <c r="AO26" i="130" a="1"/>
  <c r="I7" i="130" a="1"/>
  <c r="T17" i="130" a="1"/>
  <c r="M47" i="130" a="1"/>
  <c r="Q46" i="130" a="1"/>
  <c r="D10" i="130" a="1"/>
  <c r="AB20" i="130" a="1"/>
  <c r="P28" i="130" a="1"/>
  <c r="I23" i="130" a="1"/>
  <c r="AM45" i="130" a="1"/>
  <c r="AM14" i="130" a="1"/>
  <c r="AL29" i="130" a="1"/>
  <c r="AP39" i="130" a="1"/>
  <c r="X35" i="130" a="1"/>
  <c r="P21" i="130" a="1"/>
  <c r="AF10" i="130" a="1"/>
  <c r="AF41" i="130" a="1"/>
  <c r="AA47" i="130" a="1"/>
  <c r="AM36" i="130" a="1"/>
  <c r="AM24" i="130" a="1"/>
  <c r="E17" i="130" a="1"/>
  <c r="Q24" i="130" a="1"/>
  <c r="T47" i="130" a="1"/>
  <c r="G12" i="130" a="1"/>
  <c r="E11" i="130" a="1"/>
  <c r="D45" i="130" a="1"/>
  <c r="AJ32" i="130" a="1"/>
  <c r="Y24" i="130" a="1"/>
  <c r="U25" i="130" a="1"/>
  <c r="G29" i="130" a="1"/>
  <c r="T29" i="130" a="1"/>
  <c r="F30" i="130" a="1"/>
  <c r="AK46" i="130" a="1"/>
  <c r="AK7" i="130" a="1"/>
  <c r="AK19" i="130" a="1"/>
  <c r="F31" i="130" a="1"/>
  <c r="M6" i="130" a="1"/>
  <c r="AD5" i="130" a="1"/>
  <c r="AB40" i="130" a="1"/>
  <c r="N15" i="130" a="1"/>
  <c r="AC25" i="130" a="1"/>
  <c r="L45" i="130" a="1"/>
  <c r="S26" i="130" a="1"/>
  <c r="Q36" i="130" a="1"/>
  <c r="J20" i="130" a="1"/>
  <c r="AA37" i="130" a="1"/>
  <c r="Z14" i="130" a="1"/>
  <c r="AI32" i="130" a="1"/>
  <c r="X29" i="130" a="1"/>
  <c r="AK42" i="130" a="1"/>
  <c r="K33" i="130" a="1"/>
  <c r="S29" i="130" a="1"/>
  <c r="AM6" i="130" a="1"/>
  <c r="AL35" i="130" a="1"/>
  <c r="E14" i="130" a="1"/>
  <c r="C45" i="130" a="1"/>
  <c r="K5" i="130" a="1"/>
  <c r="F14" i="130" a="1"/>
  <c r="Y8" i="130" a="1"/>
  <c r="AK41" i="130" a="1"/>
  <c r="AF47" i="130" a="1"/>
  <c r="V18" i="130" a="1"/>
  <c r="S43" i="130" a="1"/>
  <c r="U15" i="130" a="1"/>
  <c r="AM41" i="130" a="1"/>
  <c r="M29" i="130" a="1"/>
  <c r="W47" i="130" a="1"/>
  <c r="N13" i="130" a="1"/>
  <c r="H35" i="130" a="1"/>
  <c r="AL36" i="130" a="1"/>
  <c r="AG16" i="130" a="1"/>
  <c r="AI23" i="130" a="1"/>
  <c r="Y7" i="130" a="1"/>
  <c r="O7" i="130" a="1"/>
  <c r="I19" i="130" a="1"/>
  <c r="C30" i="130" a="1"/>
  <c r="M21" i="130" a="1"/>
  <c r="AG27" i="130" a="1"/>
  <c r="Q43" i="130" a="1"/>
  <c r="AJ37" i="130" a="1"/>
  <c r="Z41" i="130" a="1"/>
  <c r="N44" i="130" a="1"/>
  <c r="J11" i="130" a="1"/>
  <c r="AQ44" i="130" a="1"/>
  <c r="H19" i="130" a="1"/>
  <c r="AI15" i="130" a="1"/>
  <c r="AN39" i="130" a="1"/>
  <c r="G15" i="130" a="1"/>
  <c r="I18" i="130" a="1"/>
  <c r="AG15" i="130" a="1"/>
  <c r="Y18" i="130" a="1"/>
  <c r="O24" i="130" a="1"/>
  <c r="AN17" i="130" a="1"/>
  <c r="N31" i="130" a="1"/>
  <c r="L30" i="130" a="1"/>
  <c r="L41" i="130" a="1"/>
  <c r="S8" i="130" a="1"/>
  <c r="AF32" i="130" a="1"/>
  <c r="AH21" i="130" a="1"/>
  <c r="J38" i="130" a="1"/>
  <c r="C8" i="130" a="1"/>
  <c r="I44" i="130" a="1"/>
  <c r="Q15" i="130" a="1"/>
  <c r="O40" i="130" a="1"/>
  <c r="AC29" i="130" a="1"/>
  <c r="AE20" i="130" a="1"/>
  <c r="AH24" i="130" a="1"/>
  <c r="W27" i="130" a="1"/>
  <c r="K19" i="130" a="1"/>
  <c r="S40" i="130" a="1"/>
  <c r="W31" i="130" a="1"/>
  <c r="N26" i="130" a="1"/>
  <c r="W41" i="130" a="1"/>
  <c r="Y12" i="130" a="1"/>
  <c r="S9" i="130" a="1"/>
  <c r="J34" i="130" a="1"/>
  <c r="N22" i="130" a="1"/>
  <c r="AP22" i="130" a="1"/>
  <c r="H28" i="130" a="1"/>
  <c r="AL31" i="130" a="1"/>
  <c r="S41" i="130" a="1"/>
  <c r="F43" i="130" a="1"/>
  <c r="AM40" i="130" a="1"/>
  <c r="AB27" i="130" a="1"/>
  <c r="O29" i="130" a="1"/>
  <c r="W5" i="130" a="1"/>
  <c r="D25" i="130" a="1"/>
  <c r="E46" i="130" a="1"/>
  <c r="N47" i="130" a="1"/>
  <c r="Q11" i="130" a="1"/>
  <c r="L39" i="130" a="1"/>
  <c r="AJ18" i="130" a="1"/>
  <c r="L27" i="130" a="1"/>
  <c r="AJ47" i="130" a="1"/>
  <c r="H34" i="130" a="1"/>
  <c r="AP15" i="130" a="1"/>
  <c r="C13" i="130" a="1"/>
  <c r="AI46" i="130" a="1"/>
  <c r="AA28" i="130" a="1"/>
  <c r="AF7" i="130" a="1"/>
  <c r="AD15" i="130" a="1"/>
  <c r="G17" i="130" a="1"/>
  <c r="AJ24" i="130" a="1"/>
  <c r="O15" i="130" a="1"/>
  <c r="AI45" i="130" a="1"/>
  <c r="R36" i="130" a="1"/>
  <c r="K31" i="130" a="1"/>
  <c r="AG12" i="130" a="1"/>
  <c r="O26" i="130" a="1"/>
  <c r="O46" i="130" a="1"/>
  <c r="AB39" i="130" a="1"/>
  <c r="R16" i="130" a="1"/>
  <c r="H10" i="130" a="1"/>
  <c r="Z35" i="130" a="1"/>
  <c r="AI41" i="130" a="1"/>
  <c r="AH25" i="130" a="1"/>
  <c r="AL22" i="130" a="1"/>
  <c r="W38" i="130" a="1"/>
  <c r="J36" i="130" a="1"/>
  <c r="AL44" i="130" a="1"/>
  <c r="AD27" i="130" a="1"/>
  <c r="AO36" i="130" a="1"/>
  <c r="G22" i="130" a="1"/>
  <c r="AL25" i="130" a="1"/>
  <c r="AG19" i="130" a="1"/>
  <c r="Z8" i="130" a="1"/>
  <c r="AB29" i="130" a="1"/>
  <c r="S45" i="130" a="1"/>
  <c r="O19" i="130" a="1"/>
  <c r="AH12" i="130" a="1"/>
  <c r="R41" i="130" a="1"/>
  <c r="V13" i="130" a="1"/>
  <c r="S35" i="130" a="1"/>
  <c r="AL34" i="130" a="1"/>
  <c r="AI33" i="130" a="1"/>
  <c r="AK18" i="130" a="1"/>
  <c r="AB25" i="130" a="1"/>
  <c r="J6" i="130" a="1"/>
  <c r="Y30" i="130" a="1"/>
  <c r="W10" i="130" a="1"/>
  <c r="L43" i="130" a="1"/>
  <c r="J14" i="130" a="1"/>
  <c r="J42" i="130" a="1"/>
  <c r="K46" i="130" a="1"/>
  <c r="AL47" i="130" a="1"/>
  <c r="P5" i="130" a="1"/>
  <c r="O36" i="130" a="1"/>
  <c r="C15" i="130" a="1"/>
  <c r="P18" i="130" a="1"/>
  <c r="AJ19" i="130" a="1"/>
  <c r="AI14" i="130" a="1"/>
  <c r="AN35" i="130" a="1"/>
  <c r="G40" i="130" a="1"/>
  <c r="X8" i="130" a="1"/>
  <c r="AL23" i="130" a="1"/>
  <c r="E28" i="130" a="1"/>
  <c r="AN16" i="130" a="1"/>
  <c r="AD13" i="130" a="1"/>
  <c r="D29" i="130" a="1"/>
  <c r="S36" i="130" a="1"/>
  <c r="V10" i="130" a="1"/>
  <c r="Q19" i="130" a="1"/>
  <c r="AD39" i="130" a="1"/>
  <c r="AQ41" i="130" a="1"/>
  <c r="G7" i="130" a="1"/>
  <c r="AD47" i="130" a="1"/>
  <c r="AA31" i="130" a="1"/>
  <c r="AJ35" i="130" a="1"/>
  <c r="Y23" i="130" a="1"/>
  <c r="I35" i="130" a="1"/>
  <c r="AL42" i="130" a="1"/>
  <c r="K7" i="130" a="1"/>
  <c r="U46" i="130" a="1"/>
  <c r="AF45" i="130" a="1"/>
  <c r="F12" i="130" a="1"/>
  <c r="D18" i="130" a="1"/>
  <c r="AQ8" i="130" a="1"/>
  <c r="AJ7" i="130" a="1"/>
  <c r="V8" i="130" a="1"/>
  <c r="AJ40" i="130" a="1"/>
  <c r="AP42" i="130" a="1"/>
  <c r="AE14" i="130" a="1"/>
  <c r="AN20" i="130" a="1"/>
  <c r="W15" i="130" a="1"/>
  <c r="U27" i="130" a="1"/>
  <c r="R35" i="130" a="1"/>
  <c r="AQ43" i="130" a="1"/>
  <c r="AH43" i="130" a="1"/>
  <c r="M23" i="130" a="1"/>
  <c r="AP7" i="130" a="1"/>
  <c r="L46" i="130" a="1"/>
  <c r="AM35" i="130" a="1"/>
  <c r="AF22" i="130" a="1"/>
  <c r="Z9" i="130" a="1"/>
  <c r="M32" i="130" a="1"/>
  <c r="T12" i="130" a="1"/>
  <c r="AD30" i="130" a="1"/>
  <c r="T31" i="130" a="1"/>
  <c r="AB21" i="130" a="1"/>
  <c r="N27" i="130" a="1"/>
  <c r="AG5" i="130" a="1"/>
  <c r="H23" i="130" a="1"/>
  <c r="C43" i="130" a="1"/>
  <c r="S24" i="130" a="1"/>
  <c r="D44" i="130" a="1"/>
  <c r="AB45" i="130" a="1"/>
  <c r="AB38" i="130" a="1"/>
  <c r="I16" i="130" a="1"/>
  <c r="L20" i="130" a="1"/>
  <c r="O18" i="130" a="1"/>
  <c r="O47" i="130" a="1"/>
  <c r="V7" i="130" a="1"/>
  <c r="Z39" i="130" a="1"/>
  <c r="D11" i="130" a="1"/>
  <c r="D39" i="130" a="1"/>
  <c r="AA27" i="130" a="1"/>
  <c r="L9" i="130" a="1"/>
  <c r="I5" i="130" a="1"/>
  <c r="N7" i="130" a="1"/>
  <c r="AL38" i="130" a="1"/>
  <c r="T21" i="130" a="1"/>
  <c r="AJ13" i="130" a="1"/>
  <c r="AK37" i="130" a="1"/>
  <c r="AB44" i="130" a="1"/>
  <c r="AA20" i="130" a="1"/>
  <c r="Q20" i="130" a="1"/>
  <c r="L17" i="130" a="1"/>
  <c r="K29" i="130" a="1"/>
  <c r="AE47" i="130" a="1"/>
  <c r="AG23" i="130" a="1"/>
  <c r="Q13" i="130" a="1"/>
  <c r="N9" i="130" a="1"/>
  <c r="AI28" i="130" a="1"/>
  <c r="F35" i="130" a="1"/>
  <c r="Z16" i="130" a="1"/>
  <c r="AE16" i="130" a="1"/>
  <c r="K20" i="130" a="1"/>
  <c r="AA35" i="130" a="1"/>
  <c r="G20" i="130" a="1"/>
  <c r="M46" i="130" a="1"/>
  <c r="W24" i="130" a="1"/>
  <c r="AC33" i="130" a="1"/>
  <c r="AG17" i="130" a="1"/>
  <c r="F27" i="130" a="1"/>
  <c r="AE23" i="130" a="1"/>
  <c r="AN33" i="130" a="1"/>
  <c r="AK15" i="130" a="1"/>
  <c r="T7" i="130" a="1"/>
  <c r="D42" i="130" a="1"/>
  <c r="AQ46" i="130" a="1"/>
  <c r="T8" i="130" a="1"/>
  <c r="U33" i="130" a="1"/>
  <c r="W42" i="130" a="1"/>
  <c r="AF40" i="130" a="1"/>
  <c r="L6" i="130" a="1"/>
  <c r="N36" i="130" a="1"/>
  <c r="AO22" i="130" a="1"/>
  <c r="C40" i="130" a="1"/>
  <c r="AK13" i="130" a="1"/>
  <c r="Y22" i="130" a="1"/>
  <c r="L37" i="130" a="1"/>
  <c r="E39" i="130" a="1"/>
  <c r="AL5" i="130" a="1"/>
  <c r="AD7" i="130" a="1"/>
  <c r="E15" i="130" a="1"/>
  <c r="AE8" i="130" a="1"/>
  <c r="T19" i="130" a="1"/>
  <c r="AM10" i="130" a="1"/>
  <c r="O43" i="130" a="1"/>
  <c r="D41" i="130" a="1"/>
  <c r="AA46" i="130" a="1"/>
  <c r="C26" i="130" a="1"/>
  <c r="X5" i="130" a="1"/>
  <c r="D14" i="130" a="1"/>
  <c r="Z38" i="130" a="1"/>
  <c r="H25" i="130" a="1"/>
  <c r="I27" i="130" a="1"/>
  <c r="R20" i="130" a="1"/>
  <c r="O17" i="130" a="1"/>
  <c r="J30" i="130" a="1"/>
  <c r="AH32" i="130" a="1"/>
  <c r="AE7" i="130" a="1"/>
  <c r="P19" i="130" a="1"/>
  <c r="U17" i="130" a="1"/>
  <c r="AE41" i="130" a="1"/>
  <c r="AE21" i="130" a="1"/>
  <c r="Z11" i="130" a="1"/>
  <c r="L22" i="130" a="1"/>
  <c r="AD45" i="130" a="1"/>
  <c r="AQ5" i="130" a="1"/>
  <c r="AH11" i="130" a="1"/>
  <c r="V47" i="130" a="1"/>
  <c r="E7" i="130" a="1"/>
  <c r="AQ23" i="130" a="1"/>
  <c r="X23" i="130" a="1"/>
  <c r="S22" i="130" a="1"/>
  <c r="R27" i="130" a="1"/>
  <c r="V34" i="130" a="1"/>
  <c r="D36" i="130" a="1"/>
  <c r="G37" i="130" a="1"/>
  <c r="Q17" i="130" a="1"/>
  <c r="I38" i="130" a="1"/>
  <c r="AK16" i="130" a="1"/>
  <c r="AF6" i="130" a="1"/>
  <c r="X18" i="130" a="1"/>
  <c r="N24" i="130" a="1"/>
  <c r="G10" i="130" a="1"/>
  <c r="Y15" i="130" a="1"/>
  <c r="X33" i="130" a="1"/>
  <c r="AB42" i="130" a="1"/>
  <c r="AE11" i="130" a="1"/>
  <c r="O30" i="130" a="1"/>
  <c r="F5" i="130" a="1"/>
  <c r="P12" i="130" a="1"/>
  <c r="AA34" i="130" a="1"/>
  <c r="AC17" i="130" a="1"/>
  <c r="P30" i="130" a="1"/>
  <c r="AD24" i="130" a="1"/>
  <c r="AF17" i="130" a="1"/>
  <c r="AA38" i="130" a="1"/>
  <c r="AM8" i="130" a="1"/>
  <c r="F37" i="130" a="1"/>
  <c r="AH30" i="130" a="1"/>
  <c r="F26" i="130" a="1"/>
  <c r="N28" i="130" a="1"/>
  <c r="R26" i="130" a="1"/>
  <c r="AF25" i="130" a="1"/>
  <c r="AE27" i="130" a="1"/>
  <c r="AE37" i="130" a="1"/>
  <c r="Z21" i="130" a="1"/>
  <c r="AG37" i="130" a="1"/>
  <c r="H42" i="130" a="1"/>
  <c r="AL8" i="130" a="1"/>
  <c r="AJ27" i="130" a="1"/>
  <c r="AF33" i="130" a="1"/>
  <c r="H43" i="130" a="1"/>
  <c r="S17" i="130" a="1"/>
  <c r="E44" i="130" a="1"/>
  <c r="X25" i="130" a="1"/>
  <c r="L33" i="130" a="1"/>
  <c r="AK31" i="130" a="1"/>
  <c r="P38" i="130" a="1"/>
  <c r="AD10" i="130" a="1"/>
  <c r="P33" i="130" a="1"/>
  <c r="F42" i="130" a="1"/>
  <c r="Z26" i="130" a="1"/>
  <c r="Q23" i="130" a="1"/>
  <c r="Y31" i="130" a="1"/>
  <c r="AA36" i="130" a="1"/>
  <c r="U35" i="130" a="1"/>
  <c r="Y35" i="130" a="1"/>
  <c r="AD31" i="130" a="1"/>
  <c r="Z22" i="130" a="1"/>
  <c r="E24" i="130" a="1"/>
  <c r="AK14" i="130" a="1"/>
  <c r="AK10" i="130" a="1"/>
  <c r="C9" i="130" a="1"/>
  <c r="AN40" i="130" a="1"/>
  <c r="T36" i="130" a="1"/>
  <c r="N45" i="130" a="1"/>
  <c r="W36" i="130" a="1"/>
  <c r="J41" i="130" a="1"/>
  <c r="L35" i="130" a="1"/>
  <c r="Y37" i="130" a="1"/>
  <c r="AE38" i="130" a="1"/>
  <c r="Z15" i="130" a="1"/>
  <c r="S31" i="130" a="1"/>
  <c r="S38" i="130" a="1"/>
  <c r="Q47" i="130" a="1"/>
  <c r="I22" i="130" a="1"/>
  <c r="AC23" i="130" a="1"/>
  <c r="C12" i="130" a="1"/>
  <c r="AC6" i="130" a="1"/>
  <c r="AC18" i="130" a="1"/>
  <c r="T33" i="130" a="1"/>
  <c r="E10" i="130" a="1"/>
  <c r="AC21" i="130" a="1"/>
  <c r="AC12" i="130" a="1"/>
  <c r="Q5" i="130" a="1"/>
  <c r="X26" i="130" a="1"/>
  <c r="R29" i="130" a="1"/>
  <c r="AN12" i="130" a="1"/>
  <c r="R40" i="130" a="1"/>
  <c r="AB11" i="130" a="1"/>
  <c r="AM13" i="130" a="1"/>
  <c r="E8" i="130" a="1"/>
  <c r="Y42" i="130" a="1"/>
  <c r="H41" i="130" a="1"/>
  <c r="X45" i="130" a="1"/>
  <c r="AA14" i="130" a="1"/>
  <c r="R18" i="130" a="1"/>
  <c r="L23" i="130" a="1"/>
  <c r="AL17" i="130" a="1"/>
  <c r="AA22" i="130" a="1"/>
  <c r="F23" i="130" a="1"/>
  <c r="AI36" i="130" a="1"/>
  <c r="S16" i="130" a="1"/>
  <c r="AJ6" i="130" a="1"/>
  <c r="AJ5" i="130" a="1"/>
  <c r="V15" i="130" a="1"/>
  <c r="I17" i="130" a="1"/>
  <c r="L13" i="130" a="1"/>
  <c r="AJ45" i="130" a="1"/>
  <c r="AH33" i="130" a="1"/>
  <c r="M33" i="130" a="1"/>
  <c r="N6" i="130" a="1"/>
  <c r="AA24" i="130" a="1"/>
  <c r="P32" i="130" a="1"/>
  <c r="N33" i="130" a="1"/>
  <c r="V39" i="130" a="1"/>
  <c r="W44" i="130" a="1"/>
  <c r="U20" i="130" a="1"/>
  <c r="AC32" i="130" a="1"/>
  <c r="J44" i="130" a="1"/>
  <c r="L28" i="130" a="1"/>
  <c r="Y43" i="130" a="1"/>
  <c r="AD35" i="130" a="1"/>
  <c r="V44" i="130" a="1"/>
  <c r="AD37" i="130" a="1"/>
  <c r="AJ16" i="130" a="1"/>
  <c r="W33" i="130" a="1"/>
  <c r="T10" i="130" a="1"/>
  <c r="Z30" i="130" a="1"/>
  <c r="S46" i="130" a="1"/>
  <c r="AF8" i="130" a="1"/>
  <c r="AE45" i="130" a="1"/>
  <c r="AC10" i="130" a="1"/>
  <c r="AO18" i="130" a="1"/>
  <c r="U9" i="130" a="1"/>
  <c r="I26" i="130" a="1"/>
  <c r="AQ7" i="130" a="1"/>
  <c r="AB47" i="130" a="1"/>
  <c r="G26" i="130" a="1"/>
  <c r="P36" i="130" a="1"/>
  <c r="F6" i="130" a="1"/>
  <c r="AE10" i="130" a="1"/>
  <c r="AF21" i="130" a="1"/>
  <c r="I20" i="130" a="1"/>
  <c r="AI11" i="130" a="1"/>
  <c r="D47" i="130" a="1"/>
  <c r="M31" i="130" a="1"/>
  <c r="C41" i="130" a="1"/>
  <c r="P24" i="130" a="1"/>
  <c r="AA7" i="130" a="1"/>
  <c r="C36" i="130" a="1"/>
  <c r="AI43" i="130" a="1"/>
  <c r="H15" i="130" a="1"/>
  <c r="AO39" i="130" a="1"/>
  <c r="AG43" i="130" a="1"/>
  <c r="Z33" i="130" a="1"/>
  <c r="AJ9" i="130" a="1"/>
  <c r="J18" i="130" a="1"/>
  <c r="W8" i="130" a="1"/>
  <c r="P25" i="130" a="1"/>
  <c r="AG42" i="130" a="1"/>
  <c r="M13" i="130" a="1"/>
  <c r="D5" i="130" a="1"/>
  <c r="W7" i="130" a="1"/>
  <c r="X38" i="130" a="1"/>
  <c r="AJ15" i="130" a="1"/>
  <c r="AO13" i="130" a="1"/>
  <c r="AJ31" i="130" a="1"/>
  <c r="C24" i="130" a="1"/>
  <c r="E29" i="130" a="1"/>
  <c r="U40" i="130" a="1"/>
  <c r="AJ25" i="130" a="1"/>
  <c r="X41" i="130" a="1"/>
  <c r="AA19" i="130" a="1"/>
  <c r="AE25" i="130" a="1"/>
  <c r="Y45" i="130" a="1"/>
  <c r="L7" i="130" a="1"/>
  <c r="AC37" i="130" a="1"/>
  <c r="T43" i="130" a="1"/>
  <c r="P27" i="130" a="1"/>
  <c r="AL40" i="130" a="1"/>
  <c r="L25" i="130" a="1"/>
  <c r="AK34" i="130" a="1"/>
  <c r="S39" i="130" a="1"/>
  <c r="AA17" i="130" a="1"/>
  <c r="F36" i="130" a="1"/>
  <c r="K26" i="130" a="1"/>
  <c r="Y40" i="130" a="1"/>
  <c r="D28" i="130" a="1"/>
  <c r="AE5" i="130" a="1"/>
  <c r="AQ19" i="130" a="1"/>
  <c r="Y11" i="130" a="1"/>
  <c r="R30" i="130" a="1"/>
  <c r="AC20" i="130" a="1"/>
  <c r="AN41" i="130" a="1"/>
  <c r="X7" i="130" a="1"/>
  <c r="AQ15" i="130" a="1"/>
  <c r="AG45" i="130" a="1"/>
  <c r="O20" i="130" a="1"/>
  <c r="AQ11" i="130" a="1"/>
  <c r="T24" i="130" a="1"/>
  <c r="U30" i="130" a="1"/>
  <c r="AA26" i="130" a="1"/>
  <c r="Z25" i="130" a="1"/>
  <c r="G19" i="130" a="1"/>
  <c r="P44" i="130" a="1"/>
  <c r="AQ34" i="130" a="1"/>
  <c r="T16" i="130" a="1"/>
  <c r="AH6" i="130" a="1"/>
  <c r="AI38" i="130" a="1"/>
  <c r="N30" i="130" a="1"/>
  <c r="W45" i="130" a="1"/>
  <c r="F8" i="130" a="1"/>
  <c r="R34" i="130" a="1"/>
  <c r="AI47" i="130" a="1"/>
  <c r="E40" i="130" a="1"/>
  <c r="K32" i="130" a="1"/>
  <c r="N29" i="130" a="1"/>
  <c r="AO44" i="130" a="1"/>
  <c r="AH22" i="130" a="1"/>
  <c r="AK29" i="130" a="1"/>
  <c r="G34" i="130" a="1"/>
  <c r="V23" i="130" a="1"/>
  <c r="Z7" i="130" a="1"/>
  <c r="W11" i="130" a="1"/>
  <c r="AL12" i="130" a="1"/>
  <c r="F15" i="130" a="1"/>
  <c r="F16" i="130" a="1"/>
  <c r="AG46" i="130" a="1"/>
  <c r="V35" i="130" a="1"/>
  <c r="AG20" i="130" a="1"/>
  <c r="X6" i="130" a="1"/>
  <c r="U47" i="130" a="1"/>
  <c r="I43" i="130" a="1"/>
  <c r="AO7" i="130" a="1"/>
  <c r="W28" i="130" a="1"/>
  <c r="AL13" i="130" a="1"/>
  <c r="U18" i="130" a="1"/>
  <c r="S44" i="130" a="1"/>
  <c r="AB17" i="130" a="1"/>
  <c r="AN25" i="130" a="1"/>
  <c r="H44" i="130" a="1"/>
  <c r="U37" i="130" a="1"/>
  <c r="L38" i="130" a="1"/>
  <c r="Z17" i="130" a="1"/>
  <c r="G8" i="130" a="1"/>
  <c r="AL24" i="130" a="1"/>
  <c r="AN32" i="130" a="1"/>
  <c r="K40" i="130" a="1"/>
  <c r="D21" i="130" a="1"/>
  <c r="P8" i="130" a="1"/>
  <c r="AG6" i="130" a="1"/>
  <c r="U38" i="130" a="1"/>
  <c r="AC35" i="130" a="1"/>
  <c r="I8" i="130" a="1"/>
  <c r="L40" i="130" a="1"/>
  <c r="AQ36" i="130" a="1"/>
  <c r="C14" i="130" a="1"/>
  <c r="Z13" i="130" a="1"/>
  <c r="T32" i="130" a="1"/>
  <c r="AH17" i="130" a="1"/>
  <c r="L36" i="130" a="1"/>
  <c r="N12" i="130" a="1"/>
  <c r="AL21" i="130" a="1"/>
  <c r="D12" i="130" a="1"/>
  <c r="T34" i="130" a="1"/>
  <c r="J26" i="130" a="1"/>
  <c r="AO46" i="130" a="1"/>
  <c r="AI9" i="130" a="1"/>
  <c r="U34" i="130" a="1"/>
  <c r="I39" i="130" a="1"/>
  <c r="AC14" i="130" a="1"/>
  <c r="Y41" i="130" a="1"/>
  <c r="AO9" i="130" a="1"/>
  <c r="AP17" i="130" a="1"/>
  <c r="G46" i="130" a="1"/>
  <c r="W30" i="130" a="1"/>
  <c r="AI16" i="130" a="1"/>
  <c r="H24" i="130" a="1"/>
  <c r="H17" i="130" a="1"/>
  <c r="G25" i="130" a="1"/>
  <c r="O22" i="130" a="1"/>
  <c r="AO31" i="130" a="1"/>
  <c r="Q27" i="130" a="1"/>
  <c r="Q22" i="130" a="1"/>
  <c r="H29" i="130" a="1"/>
  <c r="X40" i="130" a="1"/>
  <c r="U29" i="130" a="1"/>
  <c r="Q30" i="130" a="1"/>
  <c r="J31" i="130" a="1"/>
  <c r="Y25" i="130" a="1"/>
  <c r="Y44" i="130" a="1"/>
  <c r="AA29" i="130" a="1"/>
  <c r="AE12" i="130" a="1"/>
  <c r="AH27" i="130" a="1"/>
  <c r="AL9" i="130" a="1"/>
  <c r="H37" i="130" a="1"/>
  <c r="AB31" i="130" a="1"/>
  <c r="Y46" i="130" a="1"/>
  <c r="O28" i="130" a="1"/>
  <c r="D26" i="130" a="1"/>
  <c r="E9" i="130" a="1"/>
  <c r="AN19" i="130" a="1"/>
  <c r="Y14" i="130" a="1"/>
  <c r="AF36" i="130" a="1"/>
  <c r="AK5" i="130" a="1"/>
  <c r="I24" i="130" a="1"/>
  <c r="D40" i="130" a="1"/>
  <c r="K34" i="130" a="1"/>
  <c r="AL14" i="130" a="1"/>
  <c r="Q14" i="130" a="1"/>
  <c r="W35" i="130" a="1"/>
  <c r="AI19" i="130" a="1"/>
  <c r="AH19" i="130" a="1"/>
  <c r="M9" i="130" a="1"/>
  <c r="M35" i="130" a="1"/>
  <c r="H32" i="130" a="1"/>
  <c r="AA11" i="130" a="1"/>
  <c r="W18" i="130" a="1"/>
  <c r="AF37" i="130" a="1"/>
  <c r="R17" i="130" a="1"/>
  <c r="AA18" i="130" a="1"/>
  <c r="AO29" i="130" a="1"/>
  <c r="U42" i="130" a="1"/>
  <c r="AD6" i="130" a="1"/>
  <c r="AI37" i="130" a="1"/>
  <c r="H11" i="130" a="1"/>
  <c r="Y29" i="130" a="1"/>
  <c r="R33" i="130" a="1"/>
  <c r="S5" i="130" a="1"/>
  <c r="AK17" i="130" a="1"/>
  <c r="AE29" i="130" a="1"/>
  <c r="AD23" i="130" a="1"/>
  <c r="K43" i="130" a="1"/>
  <c r="Q35" i="130" a="1"/>
  <c r="K37" i="130" a="1"/>
  <c r="V19" i="130" a="1"/>
  <c r="AN43" i="130" a="1"/>
  <c r="N42" i="130" a="1"/>
  <c r="E23" i="130" a="1"/>
  <c r="AJ12" i="130" a="1"/>
  <c r="AL7" i="130" a="1"/>
  <c r="G36" i="130" a="1"/>
  <c r="AQ9" i="130" a="1"/>
  <c r="AK25" i="130" a="1"/>
  <c r="W13" i="130" a="1"/>
  <c r="E16" i="130" a="1"/>
  <c r="AN26" i="130" a="1"/>
  <c r="Z37" i="130" a="1"/>
  <c r="U7" i="130" a="1"/>
  <c r="H7" i="130" a="1"/>
  <c r="AA9" i="130" a="1"/>
  <c r="U13" i="130" a="1"/>
  <c r="T28" i="130" a="1"/>
  <c r="AN7" i="130" a="1"/>
  <c r="AM7" i="130" a="1"/>
  <c r="AB35" i="130" a="1"/>
  <c r="J7" i="130" a="1"/>
  <c r="AI6" i="130" a="1"/>
  <c r="AE32" i="130" a="1"/>
  <c r="C22" i="130" a="1"/>
  <c r="AQ26" i="130" a="1"/>
  <c r="K24" i="130" a="1"/>
  <c r="AN14" i="130" a="1"/>
  <c r="K35" i="130" a="1"/>
  <c r="N17" i="130" a="1"/>
  <c r="M26" i="130" a="1"/>
  <c r="AB23" i="130" a="1"/>
  <c r="AD16" i="130" a="1"/>
  <c r="I31" i="130" a="1"/>
  <c r="AQ6" i="130" a="1"/>
  <c r="N38" i="130" a="1"/>
  <c r="J43" i="130" a="1"/>
  <c r="U8" i="130" a="1"/>
  <c r="AQ33" i="130" a="1"/>
  <c r="AN46" i="130" a="1"/>
  <c r="G16" i="130" a="1"/>
  <c r="D27" i="130" a="1"/>
  <c r="R21" i="130" a="1"/>
  <c r="Y36" i="130" a="1"/>
  <c r="C46" i="130" a="1"/>
  <c r="M45" i="130" a="1"/>
  <c r="R38" i="130" a="1"/>
  <c r="AO27" i="130" a="1"/>
  <c r="AC5" i="130" a="1"/>
  <c r="E21" i="130" a="1"/>
  <c r="G42" i="130" a="1"/>
  <c r="AQ25" i="130" a="1"/>
  <c r="V21" i="130" a="1"/>
  <c r="T6" i="130" a="1"/>
  <c r="J29" i="130" a="1"/>
  <c r="AF20" i="130" a="1"/>
  <c r="S14" i="130" a="1"/>
  <c r="E12" i="130" a="1"/>
  <c r="AO33" i="130" a="1"/>
  <c r="C11" i="130" a="1"/>
  <c r="O16" i="130" a="1"/>
  <c r="AO21" i="130" a="1"/>
  <c r="N43" i="130" a="1"/>
  <c r="AL16" i="130" a="1"/>
  <c r="AQ16" i="130" a="1"/>
  <c r="AO16" i="130" a="1"/>
  <c r="J9" i="130" a="1"/>
  <c r="AQ42" i="130" a="1"/>
  <c r="I47" i="130" a="1"/>
  <c r="P26" i="130" a="1"/>
  <c r="AL11" i="130" a="1"/>
  <c r="AC44" i="130" a="1"/>
  <c r="W20" i="130" a="1"/>
  <c r="N20" i="130" a="1"/>
  <c r="AI18" i="130" a="1"/>
  <c r="AQ27" i="130" a="1"/>
  <c r="AQ37" i="130" a="1"/>
  <c r="AO42" i="130" a="1"/>
  <c r="U45" i="130" a="1"/>
  <c r="AF38" i="130" a="1"/>
  <c r="AD38" i="130" a="1"/>
  <c r="E5" i="130" a="1"/>
  <c r="AL46" i="130" a="1"/>
  <c r="AN13" i="130" a="1"/>
  <c r="AL41" i="130" a="1"/>
  <c r="AB13" i="130" a="1"/>
  <c r="AF28" i="130" a="1"/>
  <c r="AJ26" i="130" a="1"/>
  <c r="R43" i="130" a="1"/>
  <c r="AG7" i="130" a="1"/>
  <c r="G27" i="130" a="1"/>
  <c r="R7" i="130" a="1"/>
  <c r="AC8" i="130" a="1"/>
  <c r="I14" i="130" a="1"/>
  <c r="E31" i="130" a="1"/>
  <c r="M7" i="130" a="1"/>
  <c r="AJ46" i="130" a="1"/>
  <c r="AB28" i="130" a="1"/>
  <c r="Z10" i="130" a="1"/>
  <c r="AP33" i="130" a="1"/>
  <c r="J27" i="130" a="1"/>
  <c r="I12" i="130" a="1"/>
  <c r="D46" i="130" a="1"/>
  <c r="P17" i="130" a="1"/>
  <c r="H47" i="130" a="1"/>
  <c r="E18" i="130" a="1"/>
  <c r="AN22" i="130" a="1"/>
  <c r="F46" i="130" a="1"/>
  <c r="Q9" i="130" a="1"/>
  <c r="N14" i="130" a="1"/>
  <c r="AA40" i="130" a="1"/>
  <c r="F9" i="130" a="1"/>
  <c r="T15" i="130" a="1"/>
  <c r="K36" i="130" a="1"/>
  <c r="T18" i="130" a="1"/>
  <c r="R32" i="130" a="1"/>
  <c r="J32" i="130" a="1"/>
  <c r="AB30" i="130" a="1"/>
  <c r="AF34" i="130" a="1"/>
  <c r="AM25" i="130" a="1"/>
  <c r="AH38" i="130" a="1"/>
  <c r="AB36" i="130" a="1"/>
  <c r="R42" i="130" a="1"/>
  <c r="X27" i="130" a="1"/>
  <c r="F21" i="130" a="1"/>
  <c r="AI21" i="130" a="1"/>
  <c r="F28" i="130" a="1"/>
  <c r="P43" i="130" a="1"/>
  <c r="AO28" i="130" a="1"/>
  <c r="U43" i="130" a="1"/>
  <c r="AG30" i="130" a="1"/>
  <c r="AN38" i="130" a="1"/>
  <c r="U24" i="130" a="1"/>
  <c r="S25" i="130" a="1"/>
  <c r="Z45" i="130" a="1"/>
  <c r="J19" i="130" a="1"/>
  <c r="AA41" i="130" a="1"/>
  <c r="G32" i="130" a="1"/>
  <c r="K16" i="130" a="1"/>
  <c r="J40" i="130" a="1"/>
  <c r="R14" i="130" a="1"/>
  <c r="AI30" i="130" a="1"/>
  <c r="AD40" i="130" a="1"/>
  <c r="P29" i="130" a="1"/>
  <c r="AB9" i="130" a="1"/>
  <c r="AJ41" i="130" a="1"/>
  <c r="Z43" i="130" a="1"/>
  <c r="O41" i="130" a="1"/>
  <c r="W23" i="130" a="1"/>
  <c r="J37" i="130" a="1"/>
  <c r="Q45" i="130" a="1"/>
  <c r="T11" i="130" a="1"/>
  <c r="I33" i="130" a="1"/>
  <c r="AB16" i="130" a="1"/>
  <c r="D24" i="130" a="1"/>
  <c r="AB46" i="130" a="1"/>
  <c r="N21" i="130" a="1"/>
  <c r="F22" i="130" a="1"/>
  <c r="AC24" i="130" a="1"/>
  <c r="T26" i="130" a="1"/>
  <c r="M18" i="130" a="1"/>
  <c r="C35" i="130" a="1"/>
  <c r="R37" i="130" a="1"/>
  <c r="AD9" i="130" a="1"/>
  <c r="AH31" i="130" a="1"/>
  <c r="AE17" i="130" a="1"/>
  <c r="M12" i="130" a="1"/>
  <c r="AM26" i="130" a="1"/>
  <c r="AK39" i="130" a="1"/>
  <c r="V24" i="130" a="1"/>
  <c r="AG14" i="130" a="1"/>
  <c r="AF30" i="130" a="1"/>
  <c r="K22" i="130" a="1"/>
  <c r="D7" i="130" a="1"/>
  <c r="P13" i="130" a="1"/>
  <c r="AF5" i="130" a="1"/>
  <c r="AC16" i="130" a="1"/>
  <c r="AF44" i="130" a="1"/>
  <c r="Z27" i="130" a="1"/>
  <c r="AD11" i="130" a="1"/>
  <c r="AF35" i="130" a="1"/>
  <c r="G24" i="130" a="1"/>
  <c r="Q25" i="130" a="1"/>
  <c r="Y5" i="130" a="1"/>
  <c r="J8" i="130" a="1"/>
  <c r="U32" i="130" a="1"/>
  <c r="AE42" i="130" a="1"/>
  <c r="AO15" i="130" a="1"/>
  <c r="AK9" i="130" a="1"/>
  <c r="Q28" i="130" a="1"/>
  <c r="E36" i="130" a="1"/>
  <c r="J17" i="130" a="1"/>
  <c r="V45" i="130" a="1"/>
  <c r="X24" i="130" a="1"/>
  <c r="M37" i="130" a="1"/>
  <c r="E38" i="130" a="1"/>
  <c r="AG35" i="130" a="1"/>
  <c r="AN36" i="130" a="1"/>
  <c r="AJ20" i="130" a="1"/>
  <c r="K18" i="130" a="1"/>
  <c r="AE36" i="130" a="1"/>
  <c r="K38" i="130" a="1"/>
  <c r="AB24" i="130" a="1"/>
  <c r="I6" i="130" a="1"/>
  <c r="AC34" i="130" a="1"/>
  <c r="AI13" i="130" a="1"/>
  <c r="Q18" i="130" a="1"/>
  <c r="N10" i="130" a="1"/>
  <c r="AN10" i="130" a="1"/>
  <c r="J47" i="130" a="1"/>
  <c r="X47" i="130" a="1"/>
  <c r="V17" i="130" a="1"/>
  <c r="T42" i="130" a="1"/>
  <c r="R31" i="130" a="1"/>
  <c r="E34" i="130" a="1"/>
  <c r="R44" i="130" a="1"/>
  <c r="AI31" i="130" a="1"/>
  <c r="U19" i="130" a="1"/>
  <c r="X30" i="130" a="1"/>
  <c r="AL6" i="130" a="1"/>
  <c r="U10" i="130" a="1"/>
  <c r="M28" i="130" a="1"/>
  <c r="AP20" i="130" a="1"/>
  <c r="S6" i="130" a="1"/>
  <c r="C42" i="130" a="1"/>
  <c r="AH35" i="130" a="1"/>
  <c r="AH36" i="130" a="1"/>
  <c r="AN27" i="130" a="1"/>
  <c r="AN34" i="130" a="1"/>
  <c r="AI25" i="130" a="1"/>
  <c r="D22" i="130" a="1"/>
  <c r="AB15" i="130" a="1"/>
  <c r="AI42" i="130" a="1"/>
  <c r="C32" i="130" a="1"/>
  <c r="AP5" i="130" a="1"/>
  <c r="AP41" i="130" a="1"/>
  <c r="AJ42" i="130" a="1"/>
  <c r="R39" i="130" a="1"/>
  <c r="K44" i="130" a="1"/>
  <c r="O42" i="130" a="1"/>
  <c r="F40" i="130" a="1"/>
  <c r="G9" i="130" a="1"/>
  <c r="Y27" i="130" a="1"/>
  <c r="W9" i="130" a="1"/>
  <c r="W14" i="130" a="1"/>
  <c r="S11" i="130" a="1"/>
  <c r="Q8" i="130" a="1"/>
  <c r="U16" i="130" a="1"/>
  <c r="O23" i="130" a="1"/>
  <c r="T23" i="130" a="1"/>
  <c r="L42" i="130" a="1"/>
  <c r="R5" i="130" a="1"/>
  <c r="AQ45" i="130" a="1"/>
  <c r="AH37" i="130" a="1"/>
  <c r="X16" i="130" a="1"/>
  <c r="E41" i="130" a="1"/>
  <c r="AG13" i="130" a="1"/>
  <c r="AG18" i="130" a="1"/>
  <c r="P7" i="130" a="1"/>
  <c r="Z31" i="130" a="1"/>
  <c r="G44" i="130" a="1"/>
  <c r="AC7" i="130" a="1"/>
  <c r="J13" i="130" a="1"/>
  <c r="AH46" i="130" a="1"/>
  <c r="AM37" i="130" a="1"/>
  <c r="D19" i="130" a="1"/>
  <c r="AO25" i="130" a="1"/>
  <c r="E30" i="130" a="1"/>
  <c r="M15" i="130" a="1"/>
  <c r="S18" i="130" a="1"/>
  <c r="O5" i="130" a="1"/>
  <c r="D31" i="130" a="1"/>
  <c r="AH23" i="130" a="1"/>
  <c r="S33" i="130" a="1"/>
  <c r="AC9" i="130" a="1"/>
  <c r="AK35" i="130" a="1"/>
  <c r="O38" i="130" a="1"/>
  <c r="AG38" i="130" a="1"/>
  <c r="Y21" i="130" a="1"/>
  <c r="AP43" i="130" a="1"/>
  <c r="AK11" i="130" a="1"/>
  <c r="G28" i="130" a="1"/>
  <c r="V14" i="130" a="1"/>
  <c r="AO19" i="130" a="1"/>
  <c r="AP34" i="130" a="1"/>
  <c r="M25" i="130" a="1"/>
  <c r="AO35" i="130" a="1"/>
  <c r="AH18" i="130" a="1"/>
  <c r="T38" i="130" a="1"/>
  <c r="AD18" i="130" a="1"/>
  <c r="X13" i="130" a="1"/>
  <c r="Z23" i="130" a="1"/>
  <c r="N5" i="130" a="1"/>
  <c r="R19" i="130" a="1"/>
  <c r="AB41" i="130" a="1"/>
  <c r="AL27" i="130" a="1"/>
  <c r="AH44" i="130" a="1"/>
  <c r="G6" i="130" a="1"/>
  <c r="H26" i="130" a="1"/>
  <c r="P15" i="130" a="1"/>
  <c r="R15" i="130" a="1"/>
  <c r="AC47" i="130" a="1"/>
  <c r="C31" i="130" a="1"/>
  <c r="G31" i="130" a="1"/>
  <c r="O35" i="130" a="1"/>
  <c r="AB19" i="130" a="1"/>
  <c r="O25" i="130" a="1"/>
  <c r="Z20" i="130" a="1"/>
  <c r="T45" i="130" a="1"/>
  <c r="AN42" i="130" a="1"/>
  <c r="AH13" i="130" a="1"/>
  <c r="H20" i="130" a="1"/>
  <c r="U21" i="130" a="1"/>
  <c r="G11" i="130" a="1"/>
  <c r="Q32" i="130" a="1"/>
  <c r="V37" i="130" a="1"/>
  <c r="AK20" i="130" a="1"/>
  <c r="AJ33" i="130" a="1"/>
  <c r="Z34" i="130" a="1"/>
  <c r="V36" i="130" a="1"/>
  <c r="L34" i="130" a="1"/>
  <c r="O37" i="130" a="1"/>
  <c r="N18" i="130" a="1"/>
  <c r="J45" i="130" a="1"/>
  <c r="AE46" i="130" a="1"/>
  <c r="AI35" i="130" a="1"/>
  <c r="Z40" i="130" a="1"/>
  <c r="AB14" i="130" a="1"/>
  <c r="H27" i="130" a="1"/>
  <c r="E33" i="130" a="1"/>
  <c r="C47" i="130" a="1"/>
  <c r="O6" i="130" a="1"/>
  <c r="R6" i="130" a="1"/>
  <c r="AP24" i="130" a="1"/>
  <c r="M11" i="130" a="1"/>
  <c r="AP32" i="130" a="1"/>
  <c r="H18" i="130" a="1"/>
  <c r="V31" i="130" a="1"/>
  <c r="M42" i="130" a="1"/>
  <c r="P11" i="130" a="1"/>
  <c r="AK38" i="130" a="1"/>
  <c r="W37" i="130" a="1"/>
  <c r="AJ44" i="130" a="1"/>
  <c r="X17" i="130" a="1"/>
  <c r="AH26" i="130" a="1"/>
  <c r="T14" i="130" a="1"/>
  <c r="N19" i="130" a="1"/>
  <c r="Z29" i="130" a="1"/>
  <c r="Y32" i="130" a="1"/>
  <c r="AE40" i="130" a="1"/>
  <c r="E43" i="130" a="1"/>
  <c r="AK40" i="130" a="1"/>
  <c r="V30" i="130" a="1"/>
  <c r="S13" i="130" a="1"/>
  <c r="F18" i="130" a="1"/>
  <c r="AK27" i="130" a="1"/>
  <c r="AB33" i="130" a="1"/>
  <c r="X36" i="130" a="1"/>
  <c r="AG41" i="130" a="1"/>
  <c r="AO43" i="130" a="1"/>
  <c r="X46" i="130" a="1"/>
  <c r="K25" i="130" a="1"/>
  <c r="AE44" i="130" a="1"/>
  <c r="L24" i="130" a="1"/>
  <c r="Z6" i="130" a="1"/>
  <c r="I36" i="130" a="1"/>
  <c r="K27" i="130" a="1"/>
  <c r="D15" i="130" a="1"/>
  <c r="F44" i="130" a="1"/>
  <c r="D16" i="130" a="1"/>
  <c r="AQ40" i="130" a="1"/>
  <c r="AP44" i="130" a="1"/>
  <c r="Z44" i="130" a="1"/>
  <c r="K17" i="130" a="1"/>
  <c r="AH9" i="130" a="1"/>
  <c r="AN11" i="130" a="1"/>
  <c r="AH45" i="130" a="1"/>
  <c r="AB12" i="130" a="1"/>
  <c r="Y20" i="130" a="1"/>
  <c r="U41" i="130" a="1"/>
  <c r="L12" i="130" a="1"/>
  <c r="Z12" i="130" a="1"/>
  <c r="Y10" i="130" a="1"/>
  <c r="AN47" i="130" a="1"/>
  <c r="AM33" i="130" a="1"/>
  <c r="S21" i="130" a="1"/>
  <c r="F39" i="130" a="1"/>
  <c r="X14" i="130" a="1"/>
  <c r="S20" i="130" a="1"/>
  <c r="AB43" i="130" a="1"/>
  <c r="L19" i="130" a="1"/>
  <c r="AA23" i="130" a="1"/>
  <c r="X10" i="130" a="1"/>
  <c r="C18" i="130" a="1"/>
  <c r="AC38" i="130" a="1"/>
  <c r="AO37" i="130" a="1"/>
  <c r="N41" i="130" a="1"/>
  <c r="V28" i="130" a="1"/>
  <c r="E20" i="130" a="1"/>
  <c r="V27" i="130" a="1"/>
  <c r="AJ8" i="130" a="1"/>
  <c r="AQ38" i="130" a="1"/>
  <c r="F11" i="130" a="1"/>
  <c r="AO10" i="130" a="1"/>
  <c r="H21" i="130" a="1"/>
  <c r="AQ29" i="130" a="1"/>
  <c r="T40" i="130" a="1"/>
  <c r="D35" i="130" a="1"/>
  <c r="AK28" i="130" a="1"/>
  <c r="M40" i="130" a="1"/>
  <c r="AE26" i="130" a="1"/>
  <c r="AF19" i="130" a="1"/>
  <c r="AJ21" i="130" a="1"/>
  <c r="AI8" i="130" a="1"/>
  <c r="C44" i="130" a="1"/>
  <c r="K15" i="130" a="1"/>
  <c r="J25" i="130" a="1"/>
  <c r="AQ14" i="130" a="1"/>
  <c r="X22" i="130" a="1"/>
  <c r="M20" i="130" a="1"/>
  <c r="K12" i="130" a="1"/>
  <c r="N25" i="130" a="1"/>
  <c r="V33" i="130" a="1"/>
  <c r="AN15" i="130" a="1"/>
  <c r="I32" i="130" a="1"/>
  <c r="AI5" i="130" a="1"/>
  <c r="Y33" i="130" a="1"/>
  <c r="Q26" i="130" a="1"/>
  <c r="AJ36" i="130" a="1"/>
  <c r="Z46" i="130" a="1"/>
  <c r="AM47" i="130" a="1"/>
  <c r="K14" i="130" a="1"/>
  <c r="AF43" i="130" a="1"/>
  <c r="F25" i="130" a="1"/>
  <c r="P39" i="130" a="1"/>
  <c r="P31" i="130" a="1"/>
  <c r="C27" i="130" a="1"/>
  <c r="AH41" i="130" a="1"/>
  <c r="J93" i="1"/>
  <c r="B53" i="1"/>
  <c r="BU55" i="1" s="1"/>
  <c r="G53" i="1"/>
  <c r="R107" i="1"/>
  <c r="F118" i="1"/>
  <c r="BT72" i="1" s="1"/>
  <c r="I37" i="1"/>
  <c r="Z113" i="1"/>
  <c r="AA134" i="1" s="1"/>
  <c r="O45" i="1"/>
  <c r="M113" i="1"/>
  <c r="F51" i="1"/>
  <c r="G111" i="1"/>
  <c r="S123" i="1"/>
  <c r="BR59" i="1" s="1"/>
  <c r="X95" i="1"/>
  <c r="X59" i="1"/>
  <c r="BS72" i="1" s="1"/>
  <c r="BK34" i="1" s="1"/>
  <c r="AL63" i="1" s="1"/>
  <c r="W113" i="1"/>
  <c r="AY59" i="1" s="1"/>
  <c r="V114" i="1"/>
  <c r="BE76" i="1" s="1"/>
  <c r="U95" i="1"/>
  <c r="BA76" i="1" s="1"/>
  <c r="L76" i="1"/>
  <c r="BP34" i="1" s="1"/>
  <c r="Y53" i="1"/>
  <c r="Q37" i="1"/>
  <c r="BS40" i="1" s="1"/>
  <c r="AH49" i="1" s="1"/>
  <c r="AH20" i="1" s="1"/>
  <c r="Z40" i="1"/>
  <c r="G93" i="1"/>
  <c r="B43" i="1"/>
  <c r="Z94" i="1"/>
  <c r="BS55" i="1" s="1"/>
  <c r="Y94" i="1"/>
  <c r="V59" i="1"/>
  <c r="E111" i="1"/>
  <c r="BL72" i="1" s="1"/>
  <c r="W107" i="1"/>
  <c r="AX34" i="1" s="1"/>
  <c r="AU73" i="1" s="1"/>
  <c r="G49" i="1"/>
  <c r="V107" i="1"/>
  <c r="BS51" i="1" s="1"/>
  <c r="AO34" i="1" s="1"/>
  <c r="X114" i="1"/>
  <c r="T40" i="1"/>
  <c r="BE35" i="1" s="1"/>
  <c r="B118" i="1"/>
  <c r="V118" i="1"/>
  <c r="L43" i="1"/>
  <c r="BR55" i="1" s="1"/>
  <c r="K53" i="1"/>
  <c r="BV59" i="1" s="1"/>
  <c r="C54" i="1"/>
  <c r="AH62" i="1" s="1"/>
  <c r="J123" i="1"/>
  <c r="F35" i="1"/>
  <c r="AR77" i="1" s="1"/>
  <c r="T111" i="1"/>
  <c r="AX40" i="1" s="1"/>
  <c r="P59" i="1"/>
  <c r="W111" i="1"/>
  <c r="N49" i="1"/>
  <c r="BR40" i="1" s="1"/>
  <c r="F113" i="1"/>
  <c r="W53" i="1"/>
  <c r="BS49" i="1" s="1"/>
  <c r="BG77" i="1" s="1"/>
  <c r="I59" i="1"/>
  <c r="AN73" i="1" s="1"/>
  <c r="AL77" i="1" s="1"/>
  <c r="G59" i="1"/>
  <c r="BR76" i="1" s="1"/>
  <c r="BJ35" i="1" s="1"/>
  <c r="X37" i="1"/>
  <c r="B51" i="1"/>
  <c r="BF77" i="1" s="1"/>
  <c r="F119" i="1"/>
  <c r="S40" i="1"/>
  <c r="P94" i="1"/>
  <c r="BH55" i="1" s="1"/>
  <c r="AO72" i="1" s="1"/>
  <c r="J59" i="1"/>
  <c r="L107" i="1"/>
  <c r="V51" i="130" s="1"/>
  <c r="BM49" i="1" s="1"/>
  <c r="V113" i="1"/>
  <c r="BM77" i="1" s="1"/>
  <c r="R76" i="1"/>
  <c r="BN72" i="1" s="1"/>
  <c r="AQ63" i="1" s="1"/>
  <c r="P35" i="1"/>
  <c r="Q77" i="1"/>
  <c r="Z37" i="1"/>
  <c r="W93" i="1"/>
  <c r="R59" i="1"/>
  <c r="R93" i="1"/>
  <c r="AP51" i="130" s="1"/>
  <c r="BG72" i="1" s="1"/>
  <c r="U107" i="1"/>
  <c r="T77" i="1"/>
  <c r="I94" i="1"/>
  <c r="I34" i="1"/>
  <c r="AX59" i="1" s="1"/>
  <c r="R49" i="1"/>
  <c r="M34" i="1"/>
  <c r="U59" i="1"/>
  <c r="N118" i="1"/>
  <c r="M119" i="1"/>
  <c r="M30" i="1" s="1"/>
  <c r="H40" i="1"/>
  <c r="P37" i="1"/>
  <c r="E93" i="1"/>
  <c r="BP40" i="1" s="1"/>
  <c r="T76" i="1"/>
  <c r="V49" i="1"/>
  <c r="AH63" i="1" s="1"/>
  <c r="M77" i="1"/>
  <c r="D114" i="1"/>
  <c r="BT49" i="1" s="1"/>
  <c r="AN74" i="1" s="1"/>
  <c r="BB55" i="1" s="1"/>
  <c r="H59" i="1"/>
  <c r="D37" i="1"/>
  <c r="D15" i="1" s="1"/>
  <c r="R53" i="1"/>
  <c r="AS77" i="1" s="1"/>
  <c r="F107" i="1"/>
  <c r="X34" i="1"/>
  <c r="I113" i="1"/>
  <c r="W118" i="1"/>
  <c r="I95" i="1"/>
  <c r="AI51" i="130" s="1"/>
  <c r="V83" i="1"/>
  <c r="P93" i="1"/>
  <c r="AN51" i="1" s="1"/>
  <c r="X111" i="1"/>
  <c r="BM74" i="1" s="1"/>
  <c r="P119" i="1"/>
  <c r="V45" i="1"/>
  <c r="BB77" i="1" s="1"/>
  <c r="H51" i="1"/>
  <c r="K107" i="1"/>
  <c r="G123" i="1"/>
  <c r="BG59" i="1" s="1"/>
  <c r="O111" i="1"/>
  <c r="U37" i="1"/>
  <c r="BO59" i="1" s="1"/>
  <c r="H37" i="1"/>
  <c r="AW40" i="1" s="1"/>
  <c r="G107" i="1"/>
  <c r="AR44" i="1" s="1"/>
  <c r="AR40" i="1" s="1"/>
  <c r="Q35" i="1"/>
  <c r="T35" i="1"/>
  <c r="Y51" i="1"/>
  <c r="G118" i="1"/>
  <c r="AF51" i="130" s="1"/>
  <c r="Z34" i="1"/>
  <c r="B83" i="1"/>
  <c r="BA72" i="1" s="1"/>
  <c r="BU51" i="1" s="1"/>
  <c r="BQ74" i="1" s="1"/>
  <c r="T51" i="130" s="1"/>
  <c r="B95" i="1"/>
  <c r="AV34" i="1" s="1"/>
  <c r="U51" i="130" s="1"/>
  <c r="Q95" i="1"/>
  <c r="Q40" i="1"/>
  <c r="Y35" i="1"/>
  <c r="D113" i="1"/>
  <c r="AT59" i="1" s="1"/>
  <c r="C53" i="1"/>
  <c r="BS59" i="1" s="1"/>
  <c r="AO73" i="1" s="1"/>
  <c r="AU37" i="1" s="1"/>
  <c r="BH44" i="1" s="1"/>
  <c r="BT77" i="1" s="1"/>
  <c r="AH34" i="1" s="1"/>
  <c r="M95" i="1"/>
  <c r="F95" i="1"/>
  <c r="BD49" i="1" s="1"/>
  <c r="Z49" i="1"/>
  <c r="BP35" i="1" s="1"/>
  <c r="E37" i="1"/>
  <c r="G37" i="1"/>
  <c r="H113" i="1"/>
  <c r="T53" i="1"/>
  <c r="U77" i="1"/>
  <c r="K45" i="1"/>
  <c r="P40" i="1"/>
  <c r="W59" i="1"/>
  <c r="AL35" i="1" s="1"/>
  <c r="AJ37" i="1" s="1"/>
  <c r="V93" i="1"/>
  <c r="K51" i="130" s="1"/>
  <c r="J34" i="1"/>
  <c r="P53" i="1"/>
  <c r="G83" i="1"/>
  <c r="AU72" i="1" s="1"/>
  <c r="C93" i="1"/>
  <c r="BH74" i="1" s="1"/>
  <c r="BC73" i="1" s="1"/>
  <c r="AH51" i="130" s="1"/>
  <c r="BJ77" i="1" s="1"/>
  <c r="O34" i="1"/>
  <c r="X123" i="1"/>
  <c r="BN51" i="1" s="1"/>
  <c r="AY49" i="1" s="1"/>
  <c r="D108" i="1"/>
  <c r="U53" i="1"/>
  <c r="K93" i="1"/>
  <c r="V35" i="1"/>
  <c r="Q49" i="1"/>
  <c r="Z62" i="1"/>
  <c r="Y62" i="1" s="1"/>
  <c r="X62" i="1" s="1"/>
  <c r="W62" i="1" s="1"/>
  <c r="D111" i="1"/>
  <c r="J45" i="1"/>
  <c r="T51" i="1"/>
  <c r="R51" i="1"/>
  <c r="J119" i="1"/>
  <c r="O119" i="1"/>
  <c r="R95" i="1"/>
  <c r="L35" i="1"/>
  <c r="C35" i="1"/>
  <c r="N111" i="1"/>
  <c r="N83" i="1"/>
  <c r="R35" i="1"/>
  <c r="O118" i="1"/>
  <c r="N107" i="1"/>
  <c r="K59" i="1"/>
  <c r="T54" i="1"/>
  <c r="O37" i="1"/>
  <c r="D123" i="1"/>
  <c r="I76" i="1"/>
  <c r="W34" i="1"/>
  <c r="Y93" i="1"/>
  <c r="X113" i="1"/>
  <c r="I54" i="1"/>
  <c r="M93" i="1"/>
  <c r="T118" i="1"/>
  <c r="K113" i="1"/>
  <c r="N59" i="1"/>
  <c r="C119" i="1"/>
  <c r="Q54" i="1"/>
  <c r="Q51" i="1"/>
  <c r="P113" i="1"/>
  <c r="O40" i="1"/>
  <c r="E77" i="1"/>
  <c r="J54" i="1"/>
  <c r="R83" i="1"/>
  <c r="Q94" i="1"/>
  <c r="AK35" i="1" s="1"/>
  <c r="F93" i="1"/>
  <c r="B40" i="1"/>
  <c r="N37" i="1"/>
  <c r="Z76" i="1"/>
  <c r="E40" i="1"/>
  <c r="C83" i="1"/>
  <c r="B45" i="1"/>
  <c r="M59" i="1"/>
  <c r="B119" i="1"/>
  <c r="G43" i="1"/>
  <c r="C43" i="1"/>
  <c r="P76" i="1"/>
  <c r="X53" i="1"/>
  <c r="Y83" i="1"/>
  <c r="H77" i="1"/>
  <c r="D119" i="1"/>
  <c r="V76" i="1"/>
  <c r="W95" i="1"/>
  <c r="N113" i="1"/>
  <c r="D94" i="1"/>
  <c r="B54" i="1"/>
  <c r="F77" i="1"/>
  <c r="M107" i="1"/>
  <c r="P114" i="1"/>
  <c r="E34" i="1"/>
  <c r="J118" i="1"/>
  <c r="C45" i="1"/>
  <c r="W77" i="1"/>
  <c r="K114" i="1"/>
  <c r="C40" i="1"/>
  <c r="S114" i="1"/>
  <c r="F114" i="1"/>
  <c r="O54" i="1"/>
  <c r="F53" i="1"/>
  <c r="AY40" i="1" s="1"/>
  <c r="V43" i="1"/>
  <c r="M76" i="1"/>
  <c r="D54" i="1"/>
  <c r="U49" i="1"/>
  <c r="R119" i="1"/>
  <c r="K51" i="1"/>
  <c r="M111" i="1"/>
  <c r="K119" i="1"/>
  <c r="S59" i="1"/>
  <c r="B114" i="1"/>
  <c r="X77" i="1"/>
  <c r="H53" i="1"/>
  <c r="H45" i="1"/>
  <c r="D45" i="1"/>
  <c r="T95" i="1"/>
  <c r="V37" i="1"/>
  <c r="AK59" i="1" s="1"/>
  <c r="K77" i="1"/>
  <c r="O35" i="1"/>
  <c r="V123" i="1"/>
  <c r="Z43" i="1"/>
  <c r="S93" i="1"/>
  <c r="F34" i="1"/>
  <c r="Y59" i="1"/>
  <c r="P111" i="1"/>
  <c r="J76" i="1"/>
  <c r="U113" i="1"/>
  <c r="W49" i="1"/>
  <c r="J35" i="1"/>
  <c r="B111" i="1"/>
  <c r="L94" i="1"/>
  <c r="C114" i="1"/>
  <c r="E59" i="1"/>
  <c r="B37" i="1"/>
  <c r="C34" i="1"/>
  <c r="F49" i="1"/>
  <c r="Q114" i="1"/>
  <c r="W76" i="1"/>
  <c r="O123" i="1"/>
  <c r="X119" i="1"/>
  <c r="T49" i="1"/>
  <c r="J51" i="1"/>
  <c r="R40" i="1"/>
  <c r="X83" i="1"/>
  <c r="Y123" i="1"/>
  <c r="V111" i="1"/>
  <c r="T93" i="1"/>
  <c r="G114" i="1"/>
  <c r="X51" i="1"/>
  <c r="C113" i="1"/>
  <c r="Y34" i="1"/>
  <c r="U119" i="1"/>
  <c r="B113" i="1"/>
  <c r="L93" i="1"/>
  <c r="N51" i="1"/>
  <c r="V51" i="1"/>
  <c r="H111" i="1"/>
  <c r="Z111" i="1"/>
  <c r="M108" i="1"/>
  <c r="S77" i="1"/>
  <c r="U40" i="1"/>
  <c r="T107" i="1"/>
  <c r="L37" i="1"/>
  <c r="O53" i="1"/>
  <c r="C107" i="1"/>
  <c r="K34" i="1"/>
  <c r="U76" i="1"/>
  <c r="T37" i="1"/>
  <c r="S51" i="1"/>
  <c r="Z35" i="1"/>
  <c r="Y40" i="1"/>
  <c r="U35" i="1"/>
  <c r="N35" i="1"/>
  <c r="W37" i="1"/>
  <c r="L123" i="1"/>
  <c r="X40" i="1"/>
  <c r="Q59" i="1"/>
  <c r="E107" i="1"/>
  <c r="S107" i="1"/>
  <c r="Q107" i="1"/>
  <c r="H95" i="1"/>
  <c r="J83" i="1"/>
  <c r="L49" i="1"/>
  <c r="I119" i="1"/>
  <c r="G94" i="1"/>
  <c r="R43" i="1"/>
  <c r="Z83" i="1"/>
  <c r="Q119" i="1"/>
  <c r="I51" i="1"/>
  <c r="W54" i="1"/>
  <c r="V95" i="1"/>
  <c r="C111" i="1"/>
  <c r="B49" i="1"/>
  <c r="AK76" i="1" s="1"/>
  <c r="BN55" i="1" s="1"/>
  <c r="U51" i="1"/>
  <c r="X54" i="1"/>
  <c r="AT37" i="1" s="1"/>
  <c r="D53" i="1"/>
  <c r="D43" i="1"/>
  <c r="W114" i="1"/>
  <c r="D95" i="1"/>
  <c r="K94" i="1"/>
  <c r="V40" i="1"/>
  <c r="Q45" i="1"/>
  <c r="BL55" i="1" s="1"/>
  <c r="O76" i="1"/>
  <c r="U45" i="1"/>
  <c r="C123" i="1"/>
  <c r="AT55" i="1" s="1"/>
  <c r="H35" i="1"/>
  <c r="N114" i="1"/>
  <c r="BR77" i="1" s="1"/>
  <c r="AO74" i="1" s="1"/>
  <c r="C49" i="1"/>
  <c r="E51" i="1"/>
  <c r="O95" i="1"/>
  <c r="I93" i="1"/>
  <c r="AW72" i="1" s="1"/>
  <c r="B93" i="1"/>
  <c r="B101" i="1" s="1"/>
  <c r="I45" i="1"/>
  <c r="I35" i="1"/>
  <c r="V53" i="1"/>
  <c r="W43" i="1"/>
  <c r="G35" i="1"/>
  <c r="E118" i="1"/>
  <c r="G119" i="1"/>
  <c r="AZ55" i="1" s="1"/>
  <c r="D107" i="1"/>
  <c r="U43" i="1"/>
  <c r="U114" i="1"/>
  <c r="R94" i="1"/>
  <c r="R77" i="1"/>
  <c r="T114" i="1"/>
  <c r="U54" i="1"/>
  <c r="N94" i="1"/>
  <c r="U93" i="1"/>
  <c r="M43" i="1"/>
  <c r="AR62" i="1" s="1"/>
  <c r="M51" i="1"/>
  <c r="Z53" i="1"/>
  <c r="S35" i="1"/>
  <c r="P43" i="1"/>
  <c r="S76" i="1"/>
  <c r="Z77" i="1"/>
  <c r="K40" i="1"/>
  <c r="G77" i="1"/>
  <c r="G51" i="1"/>
  <c r="T123" i="1"/>
  <c r="R123" i="1"/>
  <c r="AL49" i="1" s="1"/>
  <c r="Z123" i="1"/>
  <c r="M118" i="1"/>
  <c r="BA44" i="1"/>
  <c r="K123" i="1"/>
  <c r="I107" i="1"/>
  <c r="BU49" i="1" s="1"/>
  <c r="C76" i="1"/>
  <c r="K118" i="1"/>
  <c r="Q111" i="1"/>
  <c r="AL55" i="1" s="1"/>
  <c r="Z107" i="1"/>
  <c r="AT44" i="1" s="1"/>
  <c r="D77" i="1"/>
  <c r="M45" i="1"/>
  <c r="T119" i="1"/>
  <c r="AP74" i="1" s="1"/>
  <c r="U83" i="1"/>
  <c r="L77" i="1"/>
  <c r="X107" i="1"/>
  <c r="T83" i="1"/>
  <c r="BM44" i="1" s="1"/>
  <c r="E43" i="1"/>
  <c r="M94" i="1"/>
  <c r="P51" i="1"/>
  <c r="H83" i="1"/>
  <c r="L51" i="1"/>
  <c r="S53" i="1"/>
  <c r="L40" i="1"/>
  <c r="V94" i="1"/>
  <c r="BA49" i="1" s="1"/>
  <c r="D59" i="1"/>
  <c r="H93" i="1"/>
  <c r="Q118" i="1"/>
  <c r="P77" i="1"/>
  <c r="B59" i="1"/>
  <c r="I118" i="1"/>
  <c r="S94" i="1"/>
  <c r="Q113" i="1"/>
  <c r="I77" i="1"/>
  <c r="P123" i="1"/>
  <c r="Z45" i="1"/>
  <c r="P51" i="130" s="1"/>
  <c r="R114" i="1"/>
  <c r="Z93" i="1"/>
  <c r="Y49" i="1"/>
  <c r="U111" i="1"/>
  <c r="X93" i="1"/>
  <c r="BM37" i="1" s="1"/>
  <c r="H107" i="1"/>
  <c r="E119" i="1"/>
  <c r="Y114" i="1"/>
  <c r="T94" i="1"/>
  <c r="Q123" i="1"/>
  <c r="BU37" i="1" s="1"/>
  <c r="Z95" i="1"/>
  <c r="D34" i="1"/>
  <c r="D12" i="1" s="1"/>
  <c r="I114" i="1"/>
  <c r="X76" i="1"/>
  <c r="F94" i="1"/>
  <c r="BT44" i="1" s="1"/>
  <c r="L34" i="1"/>
  <c r="AX72" i="1" s="1"/>
  <c r="E123" i="1"/>
  <c r="J95" i="1"/>
  <c r="W35" i="1"/>
  <c r="K35" i="1"/>
  <c r="L119" i="1"/>
  <c r="BI40" i="1" s="1"/>
  <c r="T113" i="1"/>
  <c r="BK37" i="1" s="1"/>
  <c r="F37" i="1"/>
  <c r="V119" i="1"/>
  <c r="I43" i="1"/>
  <c r="D51" i="1"/>
  <c r="D22" i="1" s="1"/>
  <c r="B107" i="1"/>
  <c r="C77" i="1"/>
  <c r="Y107" i="1"/>
  <c r="P95" i="1"/>
  <c r="G54" i="1"/>
  <c r="I40" i="1"/>
  <c r="O59" i="1"/>
  <c r="J107" i="1"/>
  <c r="R34" i="1"/>
  <c r="R54" i="1"/>
  <c r="S118" i="1"/>
  <c r="J40" i="1"/>
  <c r="Z119" i="1"/>
  <c r="AA135" i="1" s="1"/>
  <c r="K76" i="1"/>
  <c r="S49" i="1"/>
  <c r="Z54" i="1"/>
  <c r="R113" i="1"/>
  <c r="F45" i="1"/>
  <c r="H43" i="1"/>
  <c r="N95" i="1"/>
  <c r="K49" i="1"/>
  <c r="O77" i="1"/>
  <c r="N34" i="1"/>
  <c r="D40" i="1"/>
  <c r="O93" i="1"/>
  <c r="I123" i="1"/>
  <c r="U123" i="1"/>
  <c r="F59" i="1"/>
  <c r="V77" i="1"/>
  <c r="K54" i="1"/>
  <c r="U94" i="1"/>
  <c r="S45" i="1"/>
  <c r="H119" i="1"/>
  <c r="B123" i="1"/>
  <c r="W51" i="1"/>
  <c r="AV35" i="1" s="1"/>
  <c r="Y37" i="1"/>
  <c r="G34" i="1"/>
  <c r="H123" i="1"/>
  <c r="AV77" i="1" s="1"/>
  <c r="J111" i="1"/>
  <c r="R111" i="1"/>
  <c r="BP77" i="1" s="1"/>
  <c r="BQ55" i="1" s="1"/>
  <c r="P45" i="1"/>
  <c r="B94" i="1"/>
  <c r="V54" i="1"/>
  <c r="N54" i="1"/>
  <c r="Q76" i="1"/>
  <c r="L113" i="1"/>
  <c r="R37" i="1"/>
  <c r="E94" i="1"/>
  <c r="T59" i="1"/>
  <c r="M54" i="1"/>
  <c r="F43" i="1"/>
  <c r="W123" i="1"/>
  <c r="C94" i="1"/>
  <c r="R108" i="1"/>
  <c r="G95" i="1"/>
  <c r="Q93" i="1"/>
  <c r="D83" i="1"/>
  <c r="AS59" i="1" s="1"/>
  <c r="H76" i="1"/>
  <c r="H80" i="1" s="1"/>
  <c r="E49" i="1"/>
  <c r="B76" i="1"/>
  <c r="Q53" i="1"/>
  <c r="W45" i="1"/>
  <c r="BN76" i="1" s="1"/>
  <c r="L95" i="1"/>
  <c r="AV40" i="1" s="1"/>
  <c r="H54" i="1"/>
  <c r="E54" i="1"/>
  <c r="F123" i="1"/>
  <c r="L114" i="1"/>
  <c r="X45" i="1"/>
  <c r="U34" i="1"/>
  <c r="X43" i="1"/>
  <c r="K95" i="1"/>
  <c r="H49" i="1"/>
  <c r="F76" i="1"/>
  <c r="C51" i="1"/>
  <c r="P54" i="1"/>
  <c r="Q43" i="1"/>
  <c r="K111" i="1"/>
  <c r="V34" i="1"/>
  <c r="R45" i="1"/>
  <c r="S111" i="1"/>
  <c r="N53" i="1"/>
  <c r="H114" i="1"/>
  <c r="X94" i="1"/>
  <c r="W40" i="1"/>
  <c r="AT72" i="1" s="1"/>
  <c r="E76" i="1"/>
  <c r="Y118" i="1"/>
  <c r="G76" i="1"/>
  <c r="D35" i="1"/>
  <c r="D13" i="1" s="1"/>
  <c r="E113" i="1"/>
  <c r="D118" i="1"/>
  <c r="D85" i="1" s="1"/>
  <c r="Z63" i="1"/>
  <c r="Y63" i="1" s="1"/>
  <c r="X63" i="1" s="1"/>
  <c r="W63" i="1" s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E83" i="1"/>
  <c r="M83" i="1"/>
  <c r="E95" i="1"/>
  <c r="S83" i="1"/>
  <c r="Y95" i="1"/>
  <c r="I83" i="1"/>
  <c r="W119" i="1"/>
  <c r="N40" i="1"/>
  <c r="O43" i="1"/>
  <c r="J94" i="1"/>
  <c r="G45" i="1"/>
  <c r="F83" i="1"/>
  <c r="N43" i="1"/>
  <c r="L54" i="1"/>
  <c r="K37" i="1"/>
  <c r="O114" i="1"/>
  <c r="E114" i="1"/>
  <c r="S34" i="1"/>
  <c r="J43" i="1"/>
  <c r="Q34" i="1"/>
  <c r="N93" i="1"/>
  <c r="H34" i="1"/>
  <c r="P49" i="1"/>
  <c r="Y119" i="1"/>
  <c r="P118" i="1"/>
  <c r="Y77" i="1"/>
  <c r="Z59" i="1"/>
  <c r="E45" i="1"/>
  <c r="O94" i="1"/>
  <c r="I111" i="1"/>
  <c r="B35" i="1"/>
  <c r="D49" i="1"/>
  <c r="D20" i="1" s="1"/>
  <c r="E35" i="1"/>
  <c r="Z114" i="1"/>
  <c r="N123" i="1"/>
  <c r="X49" i="1"/>
  <c r="J53" i="1"/>
  <c r="M40" i="1"/>
  <c r="G113" i="1"/>
  <c r="N76" i="1"/>
  <c r="Y43" i="1"/>
  <c r="O83" i="1"/>
  <c r="L83" i="1"/>
  <c r="S119" i="1"/>
  <c r="L53" i="1"/>
  <c r="Q83" i="1"/>
  <c r="Y76" i="1"/>
  <c r="P34" i="1"/>
  <c r="I53" i="1"/>
  <c r="O51" i="1"/>
  <c r="O49" i="1"/>
  <c r="J114" i="1"/>
  <c r="L59" i="1"/>
  <c r="B34" i="1"/>
  <c r="BI76" i="1" s="1"/>
  <c r="C59" i="1"/>
  <c r="S113" i="1"/>
  <c r="Y54" i="1"/>
  <c r="N119" i="1"/>
  <c r="U118" i="1"/>
  <c r="M49" i="1"/>
  <c r="K83" i="1"/>
  <c r="N77" i="1"/>
  <c r="C95" i="1"/>
  <c r="M114" i="1"/>
  <c r="F111" i="1"/>
  <c r="Y111" i="1"/>
  <c r="L45" i="1"/>
  <c r="H118" i="1"/>
  <c r="T34" i="1"/>
  <c r="S37" i="1"/>
  <c r="S43" i="1"/>
  <c r="K43" i="1"/>
  <c r="T45" i="1"/>
  <c r="W83" i="1"/>
  <c r="H94" i="1"/>
  <c r="J37" i="1"/>
  <c r="C37" i="1"/>
  <c r="M53" i="1"/>
  <c r="Y113" i="1"/>
  <c r="O107" i="1"/>
  <c r="E53" i="1"/>
  <c r="F54" i="1"/>
  <c r="S54" i="1"/>
  <c r="X35" i="1"/>
  <c r="R118" i="1"/>
  <c r="D76" i="1"/>
  <c r="Z51" i="1"/>
  <c r="P83" i="1"/>
  <c r="D93" i="1"/>
  <c r="Z118" i="1"/>
  <c r="S95" i="1"/>
  <c r="L111" i="1"/>
  <c r="I49" i="1"/>
  <c r="M123" i="1"/>
  <c r="O113" i="1"/>
  <c r="M35" i="1"/>
  <c r="L118" i="1"/>
  <c r="P107" i="1"/>
  <c r="J113" i="1"/>
  <c r="C118" i="1"/>
  <c r="J49" i="1"/>
  <c r="X118" i="1"/>
  <c r="J77" i="1"/>
  <c r="B77" i="1"/>
  <c r="M37" i="1"/>
  <c r="W94" i="1"/>
  <c r="N108" i="1"/>
  <c r="CC93" i="1"/>
  <c r="K53" i="130" a="1"/>
  <c r="D60" i="130" a="1"/>
  <c r="AM76" i="130" a="1"/>
  <c r="T76" i="130" a="1"/>
  <c r="L66" i="130" a="1"/>
  <c r="K80" i="130" a="1"/>
  <c r="AE75" i="130" a="1"/>
  <c r="E69" i="130" a="1"/>
  <c r="V60" i="130" a="1"/>
  <c r="S61" i="130" a="1"/>
  <c r="N78" i="130" a="1"/>
  <c r="L72" i="130" a="1"/>
  <c r="Y77" i="130" a="1"/>
  <c r="N55" i="130" a="1"/>
  <c r="AM63" i="130" a="1"/>
  <c r="AE78" i="130" a="1"/>
  <c r="AF57" i="130" a="1"/>
  <c r="S73" i="130" a="1"/>
  <c r="Q58" i="130" a="1"/>
  <c r="AO67" i="130" a="1"/>
  <c r="J67" i="130" a="1"/>
  <c r="K54" i="130" a="1"/>
  <c r="D55" i="130" a="1"/>
  <c r="AM71" i="130" a="1"/>
  <c r="T53" i="130" a="1"/>
  <c r="AP79" i="130" a="1"/>
  <c r="K58" i="130" a="1"/>
  <c r="AE62" i="130" a="1"/>
  <c r="E70" i="130" a="1"/>
  <c r="V71" i="130" a="1"/>
  <c r="S58" i="130" a="1"/>
  <c r="Y67" i="130" a="1"/>
  <c r="AP83" i="130" a="1"/>
  <c r="AI75" i="130" a="1"/>
  <c r="Y56" i="130" a="1"/>
  <c r="AB53" i="130" a="1"/>
  <c r="U67" i="130" a="1"/>
  <c r="AF70" i="130" a="1"/>
  <c r="AB63" i="130" a="1"/>
  <c r="U62" i="130" a="1"/>
  <c r="F61" i="130" a="1"/>
  <c r="AC65" i="130" a="1"/>
  <c r="H78" i="130" a="1"/>
  <c r="AG56" i="130" a="1"/>
  <c r="W59" i="130" a="1"/>
  <c r="X53" i="130" a="1"/>
  <c r="AL80" i="130" a="1"/>
  <c r="I70" i="130" a="1"/>
  <c r="AD60" i="130" a="1"/>
  <c r="F56" i="130" a="1"/>
  <c r="AG64" i="130" a="1"/>
  <c r="O56" i="130" a="1"/>
  <c r="P75" i="130" a="1"/>
  <c r="AJ60" i="130" a="1"/>
  <c r="Z57" i="130" a="1"/>
  <c r="AN54" i="130" a="1"/>
  <c r="AI82" i="130" a="1"/>
  <c r="P53" i="130" a="1"/>
  <c r="AJ68" i="130" a="1"/>
  <c r="AA76" i="130" a="1"/>
  <c r="AH70" i="130" a="1"/>
  <c r="AQ63" i="130" a="1"/>
  <c r="C77" i="130" a="1"/>
  <c r="V61" i="130" a="1"/>
  <c r="AG59" i="130" a="1"/>
  <c r="O54" i="130" a="1"/>
  <c r="AK63" i="130" a="1"/>
  <c r="Y63" i="130" a="1"/>
  <c r="J74" i="130" a="1"/>
  <c r="P64" i="130" a="1"/>
  <c r="AB64" i="130" a="1"/>
  <c r="U55" i="130" a="1"/>
  <c r="L67" i="130" a="1"/>
  <c r="AL77" i="130" a="1"/>
  <c r="AD69" i="130" a="1"/>
  <c r="L63" i="130" a="1"/>
  <c r="AK67" i="130" a="1"/>
  <c r="Q61" i="130" a="1"/>
  <c r="I59" i="130" a="1"/>
  <c r="O80" i="130" a="1"/>
  <c r="AH56" i="130" a="1"/>
  <c r="AL65" i="130" a="1"/>
  <c r="N79" i="130" a="1"/>
  <c r="AK72" i="130" a="1"/>
  <c r="AC70" i="130" a="1"/>
  <c r="J79" i="130" a="1"/>
  <c r="AI72" i="130" a="1"/>
  <c r="AI77" i="130" a="1"/>
  <c r="Y83" i="130" a="1"/>
  <c r="AA61" i="130" a="1"/>
  <c r="AO73" i="130" a="1"/>
  <c r="L73" i="130" a="1"/>
  <c r="AA82" i="130" a="1"/>
  <c r="AE72" i="130" a="1"/>
  <c r="F73" i="130" a="1"/>
  <c r="T61" i="130" a="1"/>
  <c r="L69" i="130" a="1"/>
  <c r="V75" i="130" a="1"/>
  <c r="W57" i="130" a="1"/>
  <c r="K57" i="130" a="1"/>
  <c r="D83" i="130" a="1"/>
  <c r="AK79" i="130" a="1"/>
  <c r="AG76" i="130" a="1"/>
  <c r="AK57" i="130" a="1"/>
  <c r="AK60" i="130" a="1"/>
  <c r="G63" i="130" a="1"/>
  <c r="D75" i="130" a="1"/>
  <c r="X73" i="130" a="1"/>
  <c r="AA72" i="130" a="1"/>
  <c r="I67" i="130" a="1"/>
  <c r="AI59" i="130" a="1"/>
  <c r="AE69" i="130" a="1"/>
  <c r="AL66" i="130" a="1"/>
  <c r="AJ54" i="130" a="1"/>
  <c r="E80" i="130" a="1"/>
  <c r="I74" i="130" a="1"/>
  <c r="AC67" i="130" a="1"/>
  <c r="F81" i="130" a="1"/>
  <c r="Z67" i="130" a="1"/>
  <c r="AG58" i="130" a="1"/>
  <c r="AL61" i="130" a="1"/>
  <c r="F60" i="130" a="1"/>
  <c r="AA64" i="130" a="1"/>
  <c r="U71" i="130" a="1"/>
  <c r="AB57" i="130" a="1"/>
  <c r="AH57" i="130" a="1"/>
  <c r="AD62" i="130" a="1"/>
  <c r="AQ58" i="130" a="1"/>
  <c r="U65" i="130" a="1"/>
  <c r="S83" i="130" a="1"/>
  <c r="K81" i="130" a="1"/>
  <c r="AB79" i="130" a="1"/>
  <c r="AD73" i="130" a="1"/>
  <c r="AE57" i="130" a="1"/>
  <c r="W53" i="130" a="1"/>
  <c r="AJ82" i="130" a="1"/>
  <c r="L68" i="130" a="1"/>
  <c r="I61" i="130" a="1"/>
  <c r="R82" i="130" a="1"/>
  <c r="AC83" i="130" a="1"/>
  <c r="AD65" i="130" a="1"/>
  <c r="E72" i="130" a="1"/>
  <c r="F57" i="130" a="1"/>
  <c r="T81" i="130" a="1"/>
  <c r="AP67" i="130" a="1"/>
  <c r="Z68" i="130" a="1"/>
  <c r="F68" i="130" a="1"/>
  <c r="H65" i="130" a="1"/>
  <c r="L59" i="130" a="1"/>
  <c r="R71" i="130" a="1"/>
  <c r="AF68" i="130" a="1"/>
  <c r="X60" i="130" a="1"/>
  <c r="AQ77" i="130" a="1"/>
  <c r="G72" i="130" a="1"/>
  <c r="S56" i="130" a="1"/>
  <c r="AI73" i="130" a="1"/>
  <c r="K55" i="130" a="1"/>
  <c r="AE55" i="130" a="1"/>
  <c r="J82" i="130" a="1"/>
  <c r="E55" i="130" a="1"/>
  <c r="Q62" i="130" a="1"/>
  <c r="M65" i="130" a="1"/>
  <c r="Q78" i="130" a="1"/>
  <c r="J68" i="130" a="1"/>
  <c r="O62" i="130" a="1"/>
  <c r="AL53" i="130" a="1"/>
  <c r="AJ66" i="130" a="1"/>
  <c r="Z54" i="130" a="1"/>
  <c r="C74" i="130" a="1"/>
  <c r="AB59" i="130" a="1"/>
  <c r="F67" i="130" a="1"/>
  <c r="AN66" i="130" a="1"/>
  <c r="M59" i="130" a="1"/>
  <c r="Y59" i="130" a="1"/>
  <c r="M67" i="130" a="1"/>
  <c r="AN58" i="130" a="1"/>
  <c r="AL68" i="130" a="1"/>
  <c r="AL63" i="130" a="1"/>
  <c r="AM77" i="130" a="1"/>
  <c r="AI55" i="130" a="1"/>
  <c r="AH68" i="130" a="1"/>
  <c r="AJ80" i="130" a="1"/>
  <c r="N83" i="130" a="1"/>
  <c r="AD61" i="130" a="1"/>
  <c r="O76" i="130" a="1"/>
  <c r="AH61" i="130" a="1"/>
  <c r="AP70" i="130" a="1"/>
  <c r="F79" i="130" a="1"/>
  <c r="AC56" i="130" a="1"/>
  <c r="AP54" i="130" a="1"/>
  <c r="AO59" i="130" a="1"/>
  <c r="R53" i="130" a="1"/>
  <c r="AF76" i="130" a="1"/>
  <c r="M53" i="130" a="1"/>
  <c r="AI53" i="130" a="1"/>
  <c r="O74" i="130" a="1"/>
  <c r="S68" i="130" a="1"/>
  <c r="L58" i="130" a="1"/>
  <c r="D57" i="130" a="1"/>
  <c r="Z55" i="130" a="1"/>
  <c r="F71" i="130" a="1"/>
  <c r="G56" i="130" a="1"/>
  <c r="AM53" i="130" a="1"/>
  <c r="AC62" i="130" a="1"/>
  <c r="AE79" i="130" a="1"/>
  <c r="AM66" i="130" a="1"/>
  <c r="J64" i="130" a="1"/>
  <c r="Y78" i="130" a="1"/>
  <c r="AI70" i="130" a="1"/>
  <c r="H58" i="130" a="1"/>
  <c r="R73" i="130" a="1"/>
  <c r="L75" i="130" a="1"/>
  <c r="AI78" i="130" a="1"/>
  <c r="Y82" i="130" a="1"/>
  <c r="I57" i="130" a="1"/>
  <c r="D69" i="130" a="1"/>
  <c r="AB74" i="130" a="1"/>
  <c r="Z56" i="130" a="1"/>
  <c r="F80" i="130" a="1"/>
  <c r="AM57" i="130" a="1"/>
  <c r="R76" i="130" a="1"/>
  <c r="X74" i="130" a="1"/>
  <c r="AG62" i="130" a="1"/>
  <c r="S70" i="130" a="1"/>
  <c r="AP53" i="130" a="1"/>
  <c r="U53" i="130" a="1"/>
  <c r="AK80" i="130" a="1"/>
  <c r="G79" i="130" a="1"/>
  <c r="AJ81" i="130" a="1"/>
  <c r="V72" i="130" a="1"/>
  <c r="AC68" i="130" a="1"/>
  <c r="G76" i="130" a="1"/>
  <c r="AN82" i="130" a="1"/>
  <c r="X61" i="130" a="1"/>
  <c r="AQ59" i="130" a="1"/>
  <c r="AJ62" i="130" a="1"/>
  <c r="C75" i="130" a="1"/>
  <c r="AA58" i="130" a="1"/>
  <c r="F83" i="130" a="1"/>
  <c r="L83" i="130" a="1"/>
  <c r="AH75" i="130" a="1"/>
  <c r="E65" i="130" a="1"/>
  <c r="N82" i="130" a="1"/>
  <c r="T78" i="130" a="1"/>
  <c r="AM69" i="130" a="1"/>
  <c r="W64" i="130" a="1"/>
  <c r="S82" i="130" a="1"/>
  <c r="AC57" i="130" a="1"/>
  <c r="W75" i="130" a="1"/>
  <c r="F54" i="130" a="1"/>
  <c r="K68" i="130" a="1"/>
  <c r="AH72" i="130" a="1"/>
  <c r="O70" i="130" a="1"/>
  <c r="AQ81" i="130" a="1"/>
  <c r="O59" i="130" a="1"/>
  <c r="Q80" i="130" a="1"/>
  <c r="AB70" i="130" a="1"/>
  <c r="S80" i="130" a="1"/>
  <c r="K63" i="130" a="1"/>
  <c r="AQ71" i="130" a="1"/>
  <c r="Q70" i="130" a="1"/>
  <c r="V77" i="130" a="1"/>
  <c r="Z73" i="130" a="1"/>
  <c r="C78" i="130" a="1"/>
  <c r="N80" i="130" a="1"/>
  <c r="AL76" i="130" a="1"/>
  <c r="AJ78" i="130" a="1"/>
  <c r="Z81" i="130" a="1"/>
  <c r="AN80" i="130" a="1"/>
  <c r="AB66" i="130" a="1"/>
  <c r="AQ73" i="130" a="1"/>
  <c r="F78" i="130" a="1"/>
  <c r="U59" i="130" a="1"/>
  <c r="I62" i="130" a="1"/>
  <c r="C54" i="130" a="1"/>
  <c r="C81" i="130" a="1"/>
  <c r="AE82" i="130" a="1"/>
  <c r="M68" i="130" a="1"/>
  <c r="X57" i="130" a="1"/>
  <c r="D61" i="130" a="1"/>
  <c r="V68" i="130" a="1"/>
  <c r="AE53" i="130" a="1"/>
  <c r="X71" i="130" a="1"/>
  <c r="Z58" i="130" a="1"/>
  <c r="AN53" i="130" a="1"/>
  <c r="N75" i="130" a="1"/>
  <c r="AL64" i="130" a="1"/>
  <c r="W63" i="130" a="1"/>
  <c r="Z71" i="130" a="1"/>
  <c r="AN65" i="130" a="1"/>
  <c r="AB76" i="130" a="1"/>
  <c r="AQ70" i="130" a="1"/>
  <c r="F59" i="130" a="1"/>
  <c r="C79" i="130" a="1"/>
  <c r="I72" i="130" a="1"/>
  <c r="AN77" i="130" a="1"/>
  <c r="C59" i="130" a="1"/>
  <c r="AE70" i="130" a="1"/>
  <c r="M79" i="130" a="1"/>
  <c r="X72" i="130" a="1"/>
  <c r="AE74" i="130" a="1"/>
  <c r="Z69" i="130" a="1"/>
  <c r="AP81" i="130" a="1"/>
  <c r="AO70" i="130" a="1"/>
  <c r="AG55" i="130" a="1"/>
  <c r="AI68" i="130" a="1"/>
  <c r="Q67" i="130" a="1"/>
  <c r="AK74" i="130" a="1"/>
  <c r="AB54" i="130" a="1"/>
  <c r="X69" i="130" a="1"/>
  <c r="I65" i="130" a="1"/>
  <c r="P63" i="130" a="1"/>
  <c r="AF59" i="130" a="1"/>
  <c r="AO63" i="130" a="1"/>
  <c r="K67" i="130" a="1"/>
  <c r="AE63" i="130" a="1"/>
  <c r="AM64" i="130" a="1"/>
  <c r="T58" i="130" a="1"/>
  <c r="AP65" i="130" a="1"/>
  <c r="K83" i="130" a="1"/>
  <c r="AE65" i="130" a="1"/>
  <c r="E53" i="130" a="1"/>
  <c r="V57" i="130" a="1"/>
  <c r="AM79" i="130" a="1"/>
  <c r="AI61" i="130" a="1"/>
  <c r="AD80" i="130" a="1"/>
  <c r="AC71" i="130" a="1"/>
  <c r="AI58" i="130" a="1"/>
  <c r="N73" i="130" a="1"/>
  <c r="C82" i="130" a="1"/>
  <c r="AF64" i="130" a="1"/>
  <c r="L78" i="130" a="1"/>
  <c r="Y65" i="130" a="1"/>
  <c r="T71" i="130" a="1"/>
  <c r="AJ56" i="130" a="1"/>
  <c r="S77" i="130" a="1"/>
  <c r="AN83" i="130" a="1"/>
  <c r="X79" i="130" a="1"/>
  <c r="AF63" i="130" a="1"/>
  <c r="G78" i="130" a="1"/>
  <c r="AE81" i="130" a="1"/>
  <c r="K69" i="130" a="1"/>
  <c r="AQ75" i="130" a="1"/>
  <c r="AQ72" i="130" a="1"/>
  <c r="D78" i="130" a="1"/>
  <c r="AN81" i="130" a="1"/>
  <c r="AJ55" i="130" a="1"/>
  <c r="I76" i="130" a="1"/>
  <c r="V70" i="130" a="1"/>
  <c r="C55" i="130" a="1"/>
  <c r="G73" i="130" a="1"/>
  <c r="J78" i="130" a="1"/>
  <c r="AL81" i="130" a="1"/>
  <c r="AJ61" i="130" a="1"/>
  <c r="E68" i="130" a="1"/>
  <c r="AN71" i="130" a="1"/>
  <c r="AI65" i="130" a="1"/>
  <c r="AL82" i="130" a="1"/>
  <c r="AJ63" i="130" a="1"/>
  <c r="AQ69" i="130" a="1"/>
  <c r="AH83" i="130" a="1"/>
  <c r="Z72" i="130" a="1"/>
  <c r="T68" i="130" a="1"/>
  <c r="Z75" i="130" a="1"/>
  <c r="P67" i="130" a="1"/>
  <c r="AH59" i="130" a="1"/>
  <c r="G59" i="130" a="1"/>
  <c r="AC61" i="130" a="1"/>
  <c r="Q72" i="130" a="1"/>
  <c r="AK82" i="130" a="1"/>
  <c r="E71" i="130" a="1"/>
  <c r="M56" i="130" a="1"/>
  <c r="AP68" i="130" a="1"/>
  <c r="W73" i="130" a="1"/>
  <c r="AA66" i="130" a="1"/>
  <c r="AE67" i="130" a="1"/>
  <c r="AB60" i="130" a="1"/>
  <c r="AH60" i="130" a="1"/>
  <c r="AD63" i="130" a="1"/>
  <c r="AP82" i="130" a="1"/>
  <c r="Q59" i="130" a="1"/>
  <c r="AO53" i="130" a="1"/>
  <c r="X80" i="130" a="1"/>
  <c r="G74" i="130" a="1"/>
  <c r="E54" i="130" a="1"/>
  <c r="I78" i="130" a="1"/>
  <c r="Y75" i="130" a="1"/>
  <c r="V58" i="130" a="1"/>
  <c r="D71" i="130" a="1"/>
  <c r="S65" i="130" a="1"/>
  <c r="I56" i="130" a="1"/>
  <c r="N58" i="130" a="1"/>
  <c r="AI60" i="130" a="1"/>
  <c r="AD68" i="130" a="1"/>
  <c r="X56" i="130" a="1"/>
  <c r="G64" i="130" a="1"/>
  <c r="X55" i="130" a="1"/>
  <c r="I68" i="130" a="1"/>
  <c r="AO79" i="130" a="1"/>
  <c r="R65" i="130" a="1"/>
  <c r="W76" i="130" a="1"/>
  <c r="I77" i="130" a="1"/>
  <c r="V53" i="130" a="1"/>
  <c r="P65" i="130" a="1"/>
  <c r="E57" i="130" a="1"/>
  <c r="AD78" i="130" a="1"/>
  <c r="T55" i="130" a="1"/>
  <c r="AG80" i="130" a="1"/>
  <c r="AN63" i="130" a="1"/>
  <c r="H63" i="130" a="1"/>
  <c r="AC79" i="130" a="1"/>
  <c r="Y69" i="130" a="1"/>
  <c r="AP58" i="130" a="1"/>
  <c r="AC66" i="130" a="1"/>
  <c r="AB83" i="130" a="1"/>
  <c r="P55" i="130" a="1"/>
  <c r="AJ72" i="130" a="1"/>
  <c r="AM70" i="130" a="1"/>
  <c r="J55" i="130" a="1"/>
  <c r="AC64" i="130" a="1"/>
  <c r="AA81" i="130" a="1"/>
  <c r="U76" i="130" a="1"/>
  <c r="AM78" i="130" a="1"/>
  <c r="Q64" i="130" a="1"/>
  <c r="Y73" i="130" a="1"/>
  <c r="S72" i="130" a="1"/>
  <c r="AI62" i="130" a="1"/>
  <c r="M60" i="130" a="1"/>
  <c r="H82" i="130" a="1"/>
  <c r="H59" i="130" a="1"/>
  <c r="M64" i="130" a="1"/>
  <c r="Q63" i="130" a="1"/>
  <c r="R75" i="130" a="1"/>
  <c r="AK73" i="130" a="1"/>
  <c r="Q69" i="130" a="1"/>
  <c r="X63" i="130" a="1"/>
  <c r="AG68" i="130" a="1"/>
  <c r="M74" i="130" a="1"/>
  <c r="AM82" i="130" a="1"/>
  <c r="Q57" i="130" a="1"/>
  <c r="AC78" i="130" a="1"/>
  <c r="AA77" i="130" a="1"/>
  <c r="U64" i="130" a="1"/>
  <c r="AM59" i="130" a="1"/>
  <c r="Q68" i="130" a="1"/>
  <c r="Y64" i="130" a="1"/>
  <c r="S55" i="130" a="1"/>
  <c r="AI56" i="130" a="1"/>
  <c r="M63" i="130" a="1"/>
  <c r="AF73" i="130" a="1"/>
  <c r="H68" i="130" a="1"/>
  <c r="H60" i="130" a="1"/>
  <c r="M77" i="130" a="1"/>
  <c r="R79" i="130" a="1"/>
  <c r="AK76" i="130" a="1"/>
  <c r="AG60" i="130" a="1"/>
  <c r="AB71" i="130" a="1"/>
  <c r="V69" i="130" a="1"/>
  <c r="X77" i="130" a="1"/>
  <c r="Y68" i="130" a="1"/>
  <c r="C53" i="130" a="1"/>
  <c r="AF56" i="130" a="1"/>
  <c r="N67" i="130" a="1"/>
  <c r="P81" i="130" a="1"/>
  <c r="D72" i="130" a="1"/>
  <c r="AB75" i="130" a="1"/>
  <c r="L79" i="130" a="1"/>
  <c r="AJ75" i="130" a="1"/>
  <c r="G83" i="130" a="1"/>
  <c r="Z74" i="130" a="1"/>
  <c r="AN73" i="130" a="1"/>
  <c r="N60" i="130" a="1"/>
  <c r="AL60" i="130" a="1"/>
  <c r="W77" i="130" a="1"/>
  <c r="E78" i="130" a="1"/>
  <c r="AN72" i="130" a="1"/>
  <c r="F53" i="130" a="1"/>
  <c r="AQ55" i="130" a="1"/>
  <c r="N77" i="130" a="1"/>
  <c r="AN62" i="130" a="1"/>
  <c r="J58" i="130" a="1"/>
  <c r="AN57" i="130" a="1"/>
  <c r="AN60" i="130" a="1"/>
  <c r="U60" i="130" a="1"/>
  <c r="M81" i="130" a="1"/>
  <c r="X65" i="130" a="1"/>
  <c r="AN55" i="130" a="1"/>
  <c r="AN78" i="130" a="1"/>
  <c r="AA75" i="130" a="1"/>
  <c r="AE66" i="130" a="1"/>
  <c r="S81" i="130" a="1"/>
  <c r="AA53" i="130" a="1"/>
  <c r="AK64" i="130" a="1"/>
  <c r="AK58" i="130" a="1"/>
  <c r="G53" i="130" a="1"/>
  <c r="V56" i="130" a="1"/>
  <c r="E82" i="130" a="1"/>
  <c r="F69" i="130" a="1"/>
  <c r="AI66" i="130" a="1"/>
  <c r="H61" i="130" a="1"/>
  <c r="AO80" i="130" a="1"/>
  <c r="AF72" i="130" a="1"/>
  <c r="AN61" i="130" a="1"/>
  <c r="W71" i="130" a="1"/>
  <c r="P78" i="130" a="1"/>
  <c r="O72" i="130" a="1"/>
  <c r="U66" i="130" a="1"/>
  <c r="AA62" i="130" a="1"/>
  <c r="AE61" i="130" a="1"/>
  <c r="AB69" i="130" a="1"/>
  <c r="AH78" i="130" a="1"/>
  <c r="AP71" i="130" a="1"/>
  <c r="AA56" i="130" a="1"/>
  <c r="U56" i="130" a="1"/>
  <c r="S60" i="130" a="1"/>
  <c r="K59" i="130" a="1"/>
  <c r="AM54" i="130" a="1"/>
  <c r="AP75" i="130" a="1"/>
  <c r="L55" i="130" a="1"/>
  <c r="AN70" i="130" a="1"/>
  <c r="AI74" i="130" a="1"/>
  <c r="AH69" i="130" a="1"/>
  <c r="AG73" i="130" a="1"/>
  <c r="AG67" i="130" a="1"/>
  <c r="AM73" i="130" a="1"/>
  <c r="P72" i="130" a="1"/>
  <c r="AL83" i="130" a="1"/>
  <c r="O66" i="130" a="1"/>
  <c r="G75" i="130" a="1"/>
  <c r="AI76" i="130" a="1"/>
  <c r="U63" i="130" a="1"/>
  <c r="AK59" i="130" a="1"/>
  <c r="AC58" i="130" a="1"/>
  <c r="C63" i="130" a="1"/>
  <c r="P69" i="130" a="1"/>
  <c r="Z83" i="130" a="1"/>
  <c r="AM62" i="130" a="1"/>
  <c r="AI63" i="130" a="1"/>
  <c r="AG53" i="130" a="1"/>
  <c r="N74" i="130" a="1"/>
  <c r="AD75" i="130" a="1"/>
  <c r="AN76" i="130" a="1"/>
  <c r="AF74" i="130" a="1"/>
  <c r="AP74" i="130" a="1"/>
  <c r="R59" i="130" a="1"/>
  <c r="J57" i="130" a="1"/>
  <c r="AA73" i="130" a="1"/>
  <c r="AH77" i="130" a="1"/>
  <c r="M80" i="130" a="1"/>
  <c r="C73" i="130" a="1"/>
  <c r="AH80" i="130" a="1"/>
  <c r="AN64" i="130" a="1"/>
  <c r="AM56" i="130" a="1"/>
  <c r="N57" i="130" a="1"/>
  <c r="P62" i="130" a="1"/>
  <c r="AD59" i="130" a="1"/>
  <c r="E63" i="130" a="1"/>
  <c r="I63" i="130" a="1"/>
  <c r="N66" i="130" a="1"/>
  <c r="T82" i="130" a="1"/>
  <c r="L62" i="130" a="1"/>
  <c r="AH62" i="130" a="1"/>
  <c r="AP63" i="130" a="1"/>
  <c r="R61" i="130" a="1"/>
  <c r="X78" i="130" a="1"/>
  <c r="AO54" i="130" a="1"/>
  <c r="AO83" i="130" a="1"/>
  <c r="R70" i="130" a="1"/>
  <c r="AH66" i="130" a="1"/>
  <c r="H77" i="130" a="1"/>
  <c r="F72" i="130" a="1"/>
  <c r="AL70" i="130" a="1"/>
  <c r="T83" i="130" a="1"/>
  <c r="AO82" i="130" a="1"/>
  <c r="N72" i="130" a="1"/>
  <c r="P61" i="130" a="1"/>
  <c r="AD74" i="130" a="1"/>
  <c r="E58" i="130" a="1"/>
  <c r="I81" i="130" a="1"/>
  <c r="Y58" i="130" a="1"/>
  <c r="T80" i="130" a="1"/>
  <c r="L71" i="130" a="1"/>
  <c r="AH74" i="130" a="1"/>
  <c r="AD70" i="130" a="1"/>
  <c r="AO81" i="130" a="1"/>
  <c r="X68" i="130" a="1"/>
  <c r="AO76" i="130" a="1"/>
  <c r="AO71" i="130" a="1"/>
  <c r="R57" i="130" a="1"/>
  <c r="AL56" i="130" a="1"/>
  <c r="H72" i="130" a="1"/>
  <c r="AK53" i="130" a="1"/>
  <c r="Y53" i="130" a="1"/>
  <c r="AQ61" i="130" a="1"/>
  <c r="I83" i="130" a="1"/>
  <c r="C65" i="130" a="1"/>
  <c r="H56" i="130" a="1"/>
  <c r="X76" i="130" a="1"/>
  <c r="U73" i="130" a="1"/>
  <c r="AM58" i="130" a="1"/>
  <c r="AG69" i="130" a="1"/>
  <c r="R55" i="130" a="1"/>
  <c r="N70" i="130" a="1"/>
  <c r="M73" i="130" a="1"/>
  <c r="D56" i="130" a="1"/>
  <c r="AM68" i="130" a="1"/>
  <c r="Q65" i="130" a="1"/>
  <c r="L61" i="130" a="1"/>
  <c r="AA67" i="130" a="1"/>
  <c r="U78" i="130" a="1"/>
  <c r="AB72" i="130" a="1"/>
  <c r="Q75" i="130" a="1"/>
  <c r="AI69" i="130" a="1"/>
  <c r="S62" i="130" a="1"/>
  <c r="AC81" i="130" a="1"/>
  <c r="H83" i="130" a="1"/>
  <c r="AF82" i="130" a="1"/>
  <c r="H67" i="130" a="1"/>
  <c r="H57" i="130" a="1"/>
  <c r="M72" i="130" a="1"/>
  <c r="AO75" i="130" a="1"/>
  <c r="AF55" i="130" a="1"/>
  <c r="Q60" i="130" a="1"/>
  <c r="V73" i="130" a="1"/>
  <c r="E60" i="130" a="1"/>
  <c r="AN68" i="130" a="1"/>
  <c r="AH67" i="130" a="1"/>
  <c r="AJ65" i="130" a="1"/>
  <c r="O57" i="130" a="1"/>
  <c r="AC80" i="130" a="1"/>
  <c r="AI67" i="130" a="1"/>
  <c r="H66" i="130" a="1"/>
  <c r="L54" i="130" a="1"/>
  <c r="AI64" i="130" a="1"/>
  <c r="W55" i="130" a="1"/>
  <c r="O73" i="130" a="1"/>
  <c r="AM72" i="130" a="1"/>
  <c r="S74" i="130" a="1"/>
  <c r="H73" i="130" a="1"/>
  <c r="S54" i="130" a="1"/>
  <c r="Z82" i="130" a="1"/>
  <c r="R62" i="130" a="1"/>
  <c r="Q55" i="130" a="1"/>
  <c r="E74" i="130" a="1"/>
  <c r="AN67" i="130" a="1"/>
  <c r="Y57" i="130" a="1"/>
  <c r="V66" i="130" a="1"/>
  <c r="W83" i="130" a="1"/>
  <c r="E83" i="130" a="1"/>
  <c r="I55" i="130" a="1"/>
  <c r="F82" i="130" a="1"/>
  <c r="Z64" i="130" a="1"/>
  <c r="N53" i="130" a="1"/>
  <c r="I53" i="130" a="1"/>
  <c r="Q77" i="130" a="1"/>
  <c r="I80" i="130" a="1"/>
  <c r="I73" i="130" a="1"/>
  <c r="C57" i="130" a="1"/>
  <c r="H79" i="130" a="1"/>
  <c r="G61" i="130" a="1"/>
  <c r="C69" i="130" a="1"/>
  <c r="AP57" i="130" a="1"/>
  <c r="V76" i="130" a="1"/>
  <c r="P70" i="130" a="1"/>
  <c r="R64" i="130" a="1"/>
  <c r="AB68" i="130" a="1"/>
  <c r="T69" i="130" a="1"/>
  <c r="L64" i="130" a="1"/>
  <c r="AQ67" i="130" a="1"/>
  <c r="L53" i="130" a="1"/>
  <c r="AH82" i="130" a="1"/>
  <c r="E56" i="130" a="1"/>
  <c r="Q79" i="130" a="1"/>
  <c r="Y55" i="130" a="1"/>
  <c r="AE56" i="130" a="1"/>
  <c r="Y81" i="130" a="1"/>
  <c r="AL54" i="130" a="1"/>
  <c r="W70" i="130" a="1"/>
  <c r="AM60" i="130" a="1"/>
  <c r="J60" i="130" a="1"/>
  <c r="AI79" i="130" a="1"/>
  <c r="AH54" i="130" a="1"/>
  <c r="AD54" i="130" a="1"/>
  <c r="P57" i="130" a="1"/>
  <c r="AJ76" i="130" a="1"/>
  <c r="X81" i="130" a="1"/>
  <c r="G77" i="130" a="1"/>
  <c r="X82" i="130" a="1"/>
  <c r="X62" i="130" a="1"/>
  <c r="AO72" i="130" a="1"/>
  <c r="V55" i="130" a="1"/>
  <c r="O79" i="130" a="1"/>
  <c r="AC55" i="130" a="1"/>
  <c r="K74" i="130" a="1"/>
  <c r="D68" i="130" a="1"/>
  <c r="AB82" i="130" a="1"/>
  <c r="M83" i="130" a="1"/>
  <c r="AC63" i="130" a="1"/>
  <c r="AL75" i="130" a="1"/>
  <c r="AJ83" i="130" a="1"/>
  <c r="V54" i="130" a="1"/>
  <c r="W68" i="130" a="1"/>
  <c r="O82" i="130" a="1"/>
  <c r="AK70" i="130" a="1"/>
  <c r="O75" i="130" a="1"/>
  <c r="O81" i="130" a="1"/>
  <c r="G57" i="130" a="1"/>
  <c r="AP78" i="130" a="1"/>
  <c r="AO55" i="130" a="1"/>
  <c r="K72" i="130" a="1"/>
  <c r="X67" i="130" a="1"/>
  <c r="AF61" i="130" a="1"/>
  <c r="Q74" i="130" a="1"/>
  <c r="AC73" i="130" a="1"/>
  <c r="K82" i="130" a="1"/>
  <c r="D64" i="130" a="1"/>
  <c r="AB61" i="130" a="1"/>
  <c r="M66" i="130" a="1"/>
  <c r="L60" i="130" a="1"/>
  <c r="AL57" i="130" a="1"/>
  <c r="W67" i="130" a="1"/>
  <c r="V59" i="130" a="1"/>
  <c r="D79" i="130" a="1"/>
  <c r="O64" i="130" a="1"/>
  <c r="AK54" i="130" a="1"/>
  <c r="O55" i="130" a="1"/>
  <c r="O68" i="130" a="1"/>
  <c r="O58" i="130" a="1"/>
  <c r="AD72" i="130" a="1"/>
  <c r="AO60" i="130" a="1"/>
  <c r="X54" i="130" a="1"/>
  <c r="AJ73" i="130" a="1"/>
  <c r="AM83" i="130" a="1"/>
  <c r="H76" i="130" a="1"/>
  <c r="M61" i="130" a="1"/>
  <c r="AO74" i="130" a="1"/>
  <c r="AG82" i="130" a="1"/>
  <c r="AG74" i="130" a="1"/>
  <c r="AE59" i="130" a="1"/>
  <c r="AD64" i="130" a="1"/>
  <c r="AF81" i="130" a="1"/>
  <c r="AM55" i="130" a="1"/>
  <c r="G58" i="130" a="1"/>
  <c r="G65" i="130" a="1"/>
  <c r="N56" i="130" a="1"/>
  <c r="P83" i="130" a="1"/>
  <c r="AJ70" i="130" a="1"/>
  <c r="S71" i="130" a="1"/>
  <c r="I71" i="130" a="1"/>
  <c r="Y79" i="130" a="1"/>
  <c r="T74" i="130" a="1"/>
  <c r="AP59" i="130" a="1"/>
  <c r="AH63" i="130" a="1"/>
  <c r="AD71" i="130" a="1"/>
  <c r="AO56" i="130" a="1"/>
  <c r="X66" i="130" a="1"/>
  <c r="AO77" i="130" a="1"/>
  <c r="AO65" i="130" a="1"/>
  <c r="R63" i="130" a="1"/>
  <c r="AA60" i="130" a="1"/>
  <c r="AK75" i="130" a="1"/>
  <c r="P59" i="130" a="1"/>
  <c r="S57" i="130" a="1"/>
  <c r="AB67" i="130" a="1"/>
  <c r="M76" i="130" a="1"/>
  <c r="Z63" i="130" a="1"/>
  <c r="AF58" i="130" a="1"/>
  <c r="P77" i="130" a="1"/>
  <c r="O77" i="130" a="1"/>
  <c r="V83" i="130" a="1"/>
  <c r="AC76" i="130" a="1"/>
  <c r="AJ53" i="130" a="1"/>
  <c r="W80" i="130" a="1"/>
  <c r="AH55" i="130" a="1"/>
  <c r="J59" i="130" a="1"/>
  <c r="Z80" i="130" a="1"/>
  <c r="R58" i="130" a="1"/>
  <c r="H64" i="130" a="1"/>
  <c r="AC82" i="130" a="1"/>
  <c r="AD57" i="130" a="1"/>
  <c r="G70" i="130" a="1"/>
  <c r="Q81" i="130" a="1"/>
  <c r="AB62" i="130" a="1"/>
  <c r="Q56" i="130" a="1"/>
  <c r="L76" i="130" a="1"/>
  <c r="AQ57" i="130" a="1"/>
  <c r="C72" i="130" a="1"/>
  <c r="AB73" i="130" a="1"/>
  <c r="M58" i="130" a="1"/>
  <c r="AI81" i="130" a="1"/>
  <c r="AM67" i="130" a="1"/>
  <c r="AC54" i="130" a="1"/>
  <c r="H80" i="130" a="1"/>
  <c r="AF67" i="130" a="1"/>
  <c r="AF69" i="130" a="1"/>
  <c r="H55" i="130" a="1"/>
  <c r="H54" i="130" a="1"/>
  <c r="AO78" i="130" a="1"/>
  <c r="AG77" i="130" a="1"/>
  <c r="C71" i="130" a="1"/>
  <c r="W65" i="130" a="1"/>
  <c r="AQ76" i="130" a="1"/>
  <c r="K60" i="130" a="1"/>
  <c r="Z60" i="130" a="1"/>
  <c r="Y70" i="130" a="1"/>
  <c r="AL58" i="130" a="1"/>
  <c r="AJ58" i="130" a="1"/>
  <c r="S63" i="130" a="1"/>
  <c r="AN79" i="130" a="1"/>
  <c r="F65" i="130" a="1"/>
  <c r="Z79" i="130" a="1"/>
  <c r="G67" i="130" a="1"/>
  <c r="AO58" i="130" a="1"/>
  <c r="T66" i="130" a="1"/>
  <c r="AP66" i="130" a="1"/>
  <c r="AA59" i="130" a="1"/>
  <c r="U81" i="130" a="1"/>
  <c r="N54" i="130" a="1"/>
  <c r="T73" i="130" a="1"/>
  <c r="AP64" i="130" a="1"/>
  <c r="V82" i="130" a="1"/>
  <c r="D77" i="130" a="1"/>
  <c r="K76" i="130" a="1"/>
  <c r="AE60" i="130" a="1"/>
  <c r="AK55" i="130" a="1"/>
  <c r="AG72" i="130" a="1"/>
  <c r="AG61" i="130" a="1"/>
  <c r="AK77" i="130" a="1"/>
  <c r="AH71" i="130" a="1"/>
  <c r="U77" i="130" a="1"/>
  <c r="G82" i="130" a="1"/>
  <c r="P60" i="130" a="1"/>
  <c r="AM74" i="130" a="1"/>
  <c r="C61" i="130" a="1"/>
  <c r="AA63" i="130" a="1"/>
  <c r="U57" i="130" a="1"/>
  <c r="F55" i="130" a="1"/>
  <c r="P71" i="130" a="1"/>
  <c r="AD77" i="130" a="1"/>
  <c r="AQ82" i="130" a="1"/>
  <c r="U72" i="130" a="1"/>
  <c r="AM81" i="130" a="1"/>
  <c r="K77" i="130" a="1"/>
  <c r="AB80" i="130" a="1"/>
  <c r="AJ77" i="130" a="1"/>
  <c r="U74" i="130" a="1"/>
  <c r="D73" i="130" a="1"/>
  <c r="W54" i="130" a="1"/>
  <c r="AP62" i="130" a="1"/>
  <c r="J65" i="130" a="1"/>
  <c r="R69" i="130" a="1"/>
  <c r="L77" i="130" a="1"/>
  <c r="N71" i="130" a="1"/>
  <c r="AE64" i="130" a="1"/>
  <c r="R81" i="130" a="1"/>
  <c r="V62" i="130" a="1"/>
  <c r="W69" i="130" a="1"/>
  <c r="S75" i="130" a="1"/>
  <c r="J80" i="130" a="1"/>
  <c r="L74" i="130" a="1"/>
  <c r="V80" i="130" a="1"/>
  <c r="D62" i="130" a="1"/>
  <c r="Z65" i="130" a="1"/>
  <c r="AL59" i="130" a="1"/>
  <c r="E62" i="130" a="1"/>
  <c r="S69" i="130" a="1"/>
  <c r="Y62" i="130" a="1"/>
  <c r="AB78" i="130" a="1"/>
  <c r="AM80" i="130" a="1"/>
  <c r="K66" i="130" a="1"/>
  <c r="W82" i="130" a="1"/>
  <c r="H69" i="130" a="1"/>
  <c r="V64" i="130" a="1"/>
  <c r="R72" i="130" a="1"/>
  <c r="O69" i="130" a="1"/>
  <c r="R68" i="130" a="1"/>
  <c r="D74" i="130" a="1"/>
  <c r="H74" i="130" a="1"/>
  <c r="F76" i="130" a="1"/>
  <c r="AH81" i="130" a="1"/>
  <c r="AD56" i="130" a="1"/>
  <c r="E77" i="130" a="1"/>
  <c r="AN69" i="130" a="1"/>
  <c r="N65" i="130" a="1"/>
  <c r="H62" i="130" a="1"/>
  <c r="L56" i="130" a="1"/>
  <c r="T64" i="130" a="1"/>
  <c r="W56" i="130" a="1"/>
  <c r="M62" i="130" a="1"/>
  <c r="O63" i="130" a="1"/>
  <c r="AH53" i="130" a="1"/>
  <c r="AD82" i="130" a="1"/>
  <c r="AQ54" i="130" a="1"/>
  <c r="C56" i="130" a="1"/>
  <c r="Y54" i="130" a="1"/>
  <c r="P79" i="130" a="1"/>
  <c r="AD53" i="130" a="1"/>
  <c r="AA74" i="130" a="1"/>
  <c r="T70" i="130" a="1"/>
  <c r="AQ74" i="130" a="1"/>
  <c r="U83" i="130" a="1"/>
  <c r="AG57" i="130" a="1"/>
  <c r="G68" i="130" a="1"/>
  <c r="D80" i="130" a="1"/>
  <c r="M57" i="130" a="1"/>
  <c r="L80" i="130" a="1"/>
  <c r="AF71" i="130" a="1"/>
  <c r="AF66" i="130" a="1"/>
  <c r="H71" i="130" a="1"/>
  <c r="S76" i="130" a="1"/>
  <c r="T72" i="130" a="1"/>
  <c r="N76" i="130" a="1"/>
  <c r="AP72" i="130" a="1"/>
  <c r="D54" i="130" a="1"/>
  <c r="AK69" i="130" a="1"/>
  <c r="AG66" i="130" a="1"/>
  <c r="AL62" i="130" a="1"/>
  <c r="U82" i="130" a="1"/>
  <c r="L70" i="130" a="1"/>
  <c r="F64" i="130" a="1"/>
  <c r="R54" i="130" a="1"/>
  <c r="AL71" i="130" a="1"/>
  <c r="Z59" i="130" a="1"/>
  <c r="AQ83" i="130" a="1"/>
  <c r="T77" i="130" a="1"/>
  <c r="AP56" i="130" a="1"/>
  <c r="K61" i="130" a="1"/>
  <c r="U69" i="130" a="1"/>
  <c r="AG81" i="130" a="1"/>
  <c r="E59" i="130" a="1"/>
  <c r="W58" i="130" a="1"/>
  <c r="W62" i="130" a="1"/>
  <c r="I75" i="130" a="1"/>
  <c r="P74" i="130" a="1"/>
  <c r="AD55" i="130" a="1"/>
  <c r="Z53" i="130" a="1"/>
  <c r="C68" i="130" a="1"/>
  <c r="Y76" i="130" a="1"/>
  <c r="P80" i="130" a="1"/>
  <c r="AD76" i="130" a="1"/>
  <c r="AA69" i="130" a="1"/>
  <c r="T57" i="130" a="1"/>
  <c r="AQ62" i="130" a="1"/>
  <c r="U80" i="130" a="1"/>
  <c r="T60" i="130" a="1"/>
  <c r="AK83" i="130" a="1"/>
  <c r="AG75" i="130" a="1"/>
  <c r="O61" i="130" a="1"/>
  <c r="F58" i="130" a="1"/>
  <c r="I82" i="130" a="1"/>
  <c r="O53" i="130" a="1"/>
  <c r="Z62" i="130" a="1"/>
  <c r="AK68" i="130" a="1"/>
  <c r="U58" i="130" a="1"/>
  <c r="P54" i="130" a="1"/>
  <c r="AD67" i="130" a="1"/>
  <c r="Z78" i="130" a="1"/>
  <c r="AN59" i="130" a="1"/>
  <c r="AI57" i="130" a="1"/>
  <c r="P56" i="130" a="1"/>
  <c r="AJ64" i="130" a="1"/>
  <c r="AA54" i="130" a="1"/>
  <c r="AH76" i="130" a="1"/>
  <c r="AQ65" i="130" a="1"/>
  <c r="C66" i="130" a="1"/>
  <c r="P82" i="130" a="1"/>
  <c r="AK62" i="130" a="1"/>
  <c r="G71" i="130" a="1"/>
  <c r="O78" i="130" a="1"/>
  <c r="N61" i="130" a="1"/>
  <c r="J81" i="130" a="1"/>
  <c r="AK78" i="130" a="1"/>
  <c r="F70" i="130" a="1"/>
  <c r="AE76" i="130" a="1"/>
  <c r="C64" i="130" a="1"/>
  <c r="AC72" i="130" a="1"/>
  <c r="AO69" i="130" a="1"/>
  <c r="Z70" i="130" a="1"/>
  <c r="AF83" i="130" a="1"/>
  <c r="J53" i="130" a="1"/>
  <c r="AP77" i="130" a="1"/>
  <c r="AF75" i="130" a="1"/>
  <c r="AQ66" i="130" a="1"/>
  <c r="D70" i="130" a="1"/>
  <c r="I60" i="130" a="1"/>
  <c r="AK61" i="130" a="1"/>
  <c r="L57" i="130" a="1"/>
  <c r="K64" i="130" a="1"/>
  <c r="AE71" i="130" a="1"/>
  <c r="F66" i="130" a="1"/>
  <c r="M75" i="130" a="1"/>
  <c r="L65" i="130" a="1"/>
  <c r="AL67" i="130" a="1"/>
  <c r="W61" i="130" a="1"/>
  <c r="V67" i="130" a="1"/>
  <c r="D81" i="130" a="1"/>
  <c r="O67" i="130" a="1"/>
  <c r="AK71" i="130" a="1"/>
  <c r="O71" i="130" a="1"/>
  <c r="O60" i="130" a="1"/>
  <c r="AK65" i="130" a="1"/>
  <c r="AJ74" i="130" a="1"/>
  <c r="AG63" i="130" a="1"/>
  <c r="K75" i="130" a="1"/>
  <c r="AP76" i="130" a="1"/>
  <c r="Y80" i="130" a="1"/>
  <c r="T75" i="130" a="1"/>
  <c r="AC59" i="130" a="1"/>
  <c r="AK56" i="130" a="1"/>
  <c r="AK81" i="130" a="1"/>
  <c r="AO64" i="130" a="1"/>
  <c r="AI71" i="130" a="1"/>
  <c r="AB65" i="130" a="1"/>
  <c r="AE80" i="130" a="1"/>
  <c r="I54" i="130" a="1"/>
  <c r="K62" i="130" a="1"/>
  <c r="T62" i="130" a="1"/>
  <c r="N59" i="130" a="1"/>
  <c r="G62" i="130" a="1"/>
  <c r="AG71" i="130" a="1"/>
  <c r="AQ56" i="130" a="1"/>
  <c r="AA65" i="130" a="1"/>
  <c r="O65" i="130" a="1"/>
  <c r="H81" i="130" a="1"/>
  <c r="Y61" i="130" a="1"/>
  <c r="AL79" i="130" a="1"/>
  <c r="AJ71" i="130" a="1"/>
  <c r="S79" i="130" a="1"/>
  <c r="J76" i="130" a="1"/>
  <c r="Y74" i="130" a="1"/>
  <c r="AH79" i="130" a="1"/>
  <c r="AP80" i="130" a="1"/>
  <c r="P73" i="130" a="1"/>
  <c r="AD83" i="130" a="1"/>
  <c r="X59" i="130" a="1"/>
  <c r="G66" i="130" a="1"/>
  <c r="X75" i="130" a="1"/>
  <c r="X64" i="130" a="1"/>
  <c r="AO66" i="130" a="1"/>
  <c r="S59" i="130" a="1"/>
  <c r="AF60" i="130" a="1"/>
  <c r="T63" i="130" a="1"/>
  <c r="U75" i="130" a="1"/>
  <c r="S53" i="130" a="1"/>
  <c r="N69" i="130" a="1"/>
  <c r="T59" i="130" a="1"/>
  <c r="L81" i="130" a="1"/>
  <c r="AA68" i="130" a="1"/>
  <c r="U79" i="130" a="1"/>
  <c r="F74" i="130" a="1"/>
  <c r="T56" i="130" a="1"/>
  <c r="U68" i="130" a="1"/>
  <c r="Q54" i="130" a="1"/>
  <c r="Q53" i="130" a="1"/>
  <c r="P58" i="130" a="1"/>
  <c r="AL69" i="130" a="1"/>
  <c r="W74" i="130" a="1"/>
  <c r="E75" i="130" a="1"/>
  <c r="I79" i="130" a="1"/>
  <c r="AC74" i="130" a="1"/>
  <c r="AL72" i="130" a="1"/>
  <c r="W60" i="130" a="1"/>
  <c r="AQ60" i="130" a="1"/>
  <c r="P76" i="130" a="1"/>
  <c r="Z77" i="130" a="1"/>
  <c r="V63" i="130" a="1"/>
  <c r="AB56" i="130" a="1"/>
  <c r="AQ79" i="130" a="1"/>
  <c r="K79" i="130" a="1"/>
  <c r="AG83" i="130" a="1"/>
  <c r="AP73" i="130" a="1"/>
  <c r="M55" i="130" a="1"/>
  <c r="AG78" i="130" a="1"/>
  <c r="AM65" i="130" a="1"/>
  <c r="D63" i="130" a="1"/>
  <c r="AG54" i="130" a="1"/>
  <c r="S67" i="130" a="1"/>
  <c r="I58" i="130" a="1"/>
  <c r="AI80" i="130" a="1"/>
  <c r="K78" i="130" a="1"/>
  <c r="D58" i="130" a="1"/>
  <c r="S78" i="130" a="1"/>
  <c r="I66" i="130" a="1"/>
  <c r="N81" i="130" a="1"/>
  <c r="Z76" i="130" a="1"/>
  <c r="Y72" i="130" a="1"/>
  <c r="J73" i="130" a="1"/>
  <c r="M71" i="130" a="1"/>
  <c r="Q71" i="130" a="1"/>
  <c r="J71" i="130" a="1"/>
  <c r="I69" i="130" a="1"/>
  <c r="AF54" i="130" a="1"/>
  <c r="O83" i="130" a="1"/>
  <c r="I64" i="130" a="1"/>
  <c r="AN75" i="130" a="1"/>
  <c r="E61" i="130" a="1"/>
  <c r="AP69" i="130" a="1"/>
  <c r="AQ68" i="130" a="1"/>
  <c r="C76" i="130" a="1"/>
  <c r="F75" i="130" a="1"/>
  <c r="P68" i="130" a="1"/>
  <c r="AJ67" i="130" a="1"/>
  <c r="AQ64" i="130" a="1"/>
  <c r="C62" i="130" a="1"/>
  <c r="AM75" i="130" a="1"/>
  <c r="AA70" i="130" a="1"/>
  <c r="AB81" i="130" a="1"/>
  <c r="D76" i="130" a="1"/>
  <c r="C80" i="130" a="1"/>
  <c r="AE77" i="130" a="1"/>
  <c r="AE68" i="130" a="1"/>
  <c r="AJ69" i="130" a="1"/>
  <c r="Q73" i="130" a="1"/>
  <c r="AO62" i="130" a="1"/>
  <c r="AD79" i="130" a="1"/>
  <c r="G54" i="130" a="1"/>
  <c r="AG65" i="130" a="1"/>
  <c r="W72" i="130" a="1"/>
  <c r="Q76" i="130" a="1"/>
  <c r="AO68" i="130" a="1"/>
  <c r="AI83" i="130" a="1"/>
  <c r="V74" i="130" a="1"/>
  <c r="D66" i="130" a="1"/>
  <c r="AB77" i="130" a="1"/>
  <c r="Q82" i="130" a="1"/>
  <c r="AC69" i="130" a="1"/>
  <c r="P66" i="130" a="1"/>
  <c r="AJ79" i="130" a="1"/>
  <c r="AL73" i="130" a="1"/>
  <c r="AB55" i="130" a="1"/>
  <c r="AE73" i="130" a="1"/>
  <c r="M69" i="130" a="1"/>
  <c r="V79" i="130" a="1"/>
  <c r="D53" i="130" a="1"/>
  <c r="AM61" i="130" a="1"/>
  <c r="T79" i="130" a="1"/>
  <c r="L82" i="130" a="1"/>
  <c r="K70" i="130" a="1"/>
  <c r="D65" i="130" a="1"/>
  <c r="E79" i="130" a="1"/>
  <c r="AL78" i="130" a="1"/>
  <c r="S64" i="130" a="1"/>
  <c r="F63" i="130" a="1"/>
  <c r="AC77" i="130" a="1"/>
  <c r="N62" i="130" a="1"/>
  <c r="R56" i="130" a="1"/>
  <c r="C58" i="130" a="1"/>
  <c r="AC60" i="130" a="1"/>
  <c r="AB58" i="130" a="1"/>
  <c r="AF77" i="130" a="1"/>
  <c r="R74" i="130" a="1"/>
  <c r="AF65" i="130" a="1"/>
  <c r="Q83" i="130" a="1"/>
  <c r="AP61" i="130" a="1"/>
  <c r="AO57" i="130" a="1"/>
  <c r="J83" i="130" a="1"/>
  <c r="S66" i="130" a="1"/>
  <c r="N63" i="130" a="1"/>
  <c r="Y71" i="130" a="1"/>
  <c r="H53" i="130" a="1"/>
  <c r="AF62" i="130" a="1"/>
  <c r="J61" i="130" a="1"/>
  <c r="AG70" i="130" a="1"/>
  <c r="R80" i="130" a="1"/>
  <c r="J69" i="130" a="1"/>
  <c r="R66" i="130" a="1"/>
  <c r="AH64" i="130" a="1"/>
  <c r="AD81" i="130" a="1"/>
  <c r="AQ80" i="130" a="1"/>
  <c r="C60" i="130" a="1"/>
  <c r="Y60" i="130" a="1"/>
  <c r="AH73" i="130" a="1"/>
  <c r="AD66" i="130" a="1"/>
  <c r="K71" i="130" a="1"/>
  <c r="T54" i="130" a="1"/>
  <c r="AA80" i="130" a="1"/>
  <c r="AE58" i="130" a="1"/>
  <c r="M78" i="130" a="1"/>
  <c r="AJ57" i="130" a="1"/>
  <c r="AQ53" i="130" a="1"/>
  <c r="C67" i="130" a="1"/>
  <c r="N68" i="130" a="1"/>
  <c r="AA57" i="130" a="1"/>
  <c r="U54" i="130" a="1"/>
  <c r="Z66" i="130" a="1"/>
  <c r="J63" i="130" a="1"/>
  <c r="J75" i="130" a="1"/>
  <c r="J77" i="130" a="1"/>
  <c r="AN74" i="130" a="1"/>
  <c r="AF78" i="130" a="1"/>
  <c r="G80" i="130" a="1"/>
  <c r="AH58" i="130" a="1"/>
  <c r="H70" i="130" a="1"/>
  <c r="W78" i="130" a="1"/>
  <c r="J56" i="130" a="1"/>
  <c r="AL74" i="130" a="1"/>
  <c r="G60" i="130" a="1"/>
  <c r="X70" i="130" a="1"/>
  <c r="R77" i="130" a="1"/>
  <c r="K56" i="130" a="1"/>
  <c r="F77" i="130" a="1"/>
  <c r="Z61" i="130" a="1"/>
  <c r="AN56" i="130" a="1"/>
  <c r="H75" i="130" a="1"/>
  <c r="T65" i="130" a="1"/>
  <c r="R83" i="130" a="1"/>
  <c r="R60" i="130" a="1"/>
  <c r="X58" i="130" a="1"/>
  <c r="E67" i="130" a="1"/>
  <c r="G55" i="130" a="1"/>
  <c r="AF53" i="130" a="1"/>
  <c r="V81" i="130" a="1"/>
  <c r="D59" i="130" a="1"/>
  <c r="J70" i="130" a="1"/>
  <c r="V78" i="130" a="1"/>
  <c r="AL55" i="130" a="1"/>
  <c r="AO61" i="130" a="1"/>
  <c r="C83" i="130" a="1"/>
  <c r="J54" i="130" a="1"/>
  <c r="AA83" i="130" a="1"/>
  <c r="E64" i="130" a="1"/>
  <c r="M82" i="130" a="1"/>
  <c r="W66" i="130" a="1"/>
  <c r="R78" i="130" a="1"/>
  <c r="D82" i="130" a="1"/>
  <c r="M70" i="130" a="1"/>
  <c r="E81" i="130" a="1"/>
  <c r="Y66" i="130" a="1"/>
  <c r="V65" i="130" a="1"/>
  <c r="U61" i="130" a="1"/>
  <c r="AK66" i="130" a="1"/>
  <c r="J62" i="130" a="1"/>
  <c r="E76" i="130" a="1"/>
  <c r="T67" i="130" a="1"/>
  <c r="AP60" i="130" a="1"/>
  <c r="C70" i="130" a="1"/>
  <c r="AC75" i="130" a="1"/>
  <c r="AF80" i="130" a="1"/>
  <c r="AA79" i="130" a="1"/>
  <c r="AA78" i="130" a="1"/>
  <c r="AH65" i="130" a="1"/>
  <c r="K73" i="130" a="1"/>
  <c r="AA71" i="130" a="1"/>
  <c r="AE54" i="130" a="1"/>
  <c r="AP55" i="130" a="1"/>
  <c r="K65" i="130" a="1"/>
  <c r="AI54" i="130" a="1"/>
  <c r="W81" i="130" a="1"/>
  <c r="Q66" i="130" a="1"/>
  <c r="AJ59" i="130" a="1"/>
  <c r="W79" i="130" a="1"/>
  <c r="G69" i="130" a="1"/>
  <c r="X83" i="130" a="1"/>
  <c r="R67" i="130" a="1"/>
  <c r="F62" i="130" a="1"/>
  <c r="E66" i="130" a="1"/>
  <c r="M54" i="130" a="1"/>
  <c r="AF79" i="130" a="1"/>
  <c r="AQ78" i="130" a="1"/>
  <c r="N64" i="130" a="1"/>
  <c r="AD58" i="130" a="1"/>
  <c r="AA55" i="130" a="1"/>
  <c r="AG79" i="130" a="1"/>
  <c r="E73" i="130" a="1"/>
  <c r="J66" i="130" a="1"/>
  <c r="AE83" i="130" a="1"/>
  <c r="J72" i="130" a="1"/>
  <c r="U70" i="130" a="1"/>
  <c r="D67" i="130" a="1"/>
  <c r="AC53" i="130" a="1"/>
  <c r="G81" i="130" a="1"/>
  <c r="IX20" i="132" l="1"/>
  <c r="BE95" i="1" s="1"/>
  <c r="HW9" i="132"/>
  <c r="BW49" i="1" s="1"/>
  <c r="A1" i="1" s="1"/>
  <c r="JF16" i="132" s="1"/>
  <c r="JF21" i="132" s="1"/>
  <c r="BM93" i="1" s="1"/>
  <c r="IT16" i="132" s="1"/>
  <c r="IT21" i="132" s="1"/>
  <c r="BA93" i="1" s="1"/>
  <c r="JP7" i="132" s="1"/>
  <c r="BA83" i="1" s="1"/>
  <c r="AR83" i="1" s="1"/>
  <c r="IS16" i="132" s="1"/>
  <c r="IS21" i="132" s="1"/>
  <c r="AZ93" i="1" s="1"/>
  <c r="HY9" i="132" s="1"/>
  <c r="BW44" i="1" s="1"/>
  <c r="BS83" i="1" s="1"/>
  <c r="HV9" i="132" s="1"/>
  <c r="ID14" i="132" s="1"/>
  <c r="ID19" i="132" s="1"/>
  <c r="AK94" i="1" s="1"/>
  <c r="AI83" i="1" s="1"/>
  <c r="BW35" i="1" s="1"/>
  <c r="BN37" i="1"/>
  <c r="Z51" i="130" s="1"/>
  <c r="AR37" i="1"/>
  <c r="BM34" i="1" s="1"/>
  <c r="AI62" i="1" s="1"/>
  <c r="AL34" i="1" s="1"/>
  <c r="BB74" i="1" s="1"/>
  <c r="BB59" i="1"/>
  <c r="AQ62" i="1"/>
  <c r="AQ64" i="1" s="1"/>
  <c r="BR49" i="1"/>
  <c r="BH76" i="1" s="1"/>
  <c r="BF34" i="1" s="1"/>
  <c r="BI44" i="1"/>
  <c r="AQ37" i="1" s="1"/>
  <c r="BJ44" i="1"/>
  <c r="AM51" i="1" s="1"/>
  <c r="AJ76" i="1"/>
  <c r="AU55" i="1" s="1"/>
  <c r="AS55" i="1" s="1"/>
  <c r="AO55" i="1" s="1"/>
  <c r="AQ49" i="1" s="1"/>
  <c r="BT40" i="1" s="1"/>
  <c r="BL34" i="1" s="1"/>
  <c r="W51" i="130" s="1"/>
  <c r="BA34" i="1" s="1"/>
  <c r="BO73" i="1" s="1"/>
  <c r="AR74" i="1" s="1"/>
  <c r="AJ35" i="1"/>
  <c r="BV40" i="1"/>
  <c r="BT37" i="1" s="1"/>
  <c r="AV74" i="1"/>
  <c r="BI51" i="1" s="1"/>
  <c r="AI44" i="1"/>
  <c r="AH59" i="1" s="1"/>
  <c r="BB37" i="1" s="1"/>
  <c r="BU76" i="1"/>
  <c r="BJ76" i="1" s="1"/>
  <c r="AW73" i="1" s="1"/>
  <c r="AJ63" i="1" s="1"/>
  <c r="BM35" i="1" s="1"/>
  <c r="M51" i="130"/>
  <c r="BC77" i="1" s="1"/>
  <c r="BK51" i="1" s="1"/>
  <c r="BN40" i="1"/>
  <c r="AQ77" i="1" s="1"/>
  <c r="AH35" i="1" s="1"/>
  <c r="AH13" i="1" s="1"/>
  <c r="AP77" i="1" s="1"/>
  <c r="AW76" i="1" s="1"/>
  <c r="AX55" i="1" s="1"/>
  <c r="BI73" i="1" s="1"/>
  <c r="BB76" i="1"/>
  <c r="AZ40" i="1" s="1"/>
  <c r="AP35" i="1"/>
  <c r="BQ59" i="1"/>
  <c r="AJ73" i="1" s="1"/>
  <c r="AM74" i="1"/>
  <c r="BS44" i="1" s="1"/>
  <c r="BA59" i="1" s="1"/>
  <c r="AJ74" i="1" s="1"/>
  <c r="BG49" i="1" s="1"/>
  <c r="BG40" i="1" s="1"/>
  <c r="AI76" i="1" s="1"/>
  <c r="AO44" i="1"/>
  <c r="AP37" i="1" s="1"/>
  <c r="BM55" i="1" s="1"/>
  <c r="BI34" i="1" s="1"/>
  <c r="BJ49" i="1" s="1"/>
  <c r="AY34" i="1"/>
  <c r="AL51" i="130" s="1"/>
  <c r="BK76" i="1" s="1"/>
  <c r="AT49" i="1" s="1"/>
  <c r="AL74" i="1"/>
  <c r="BI59" i="1" s="1"/>
  <c r="BD76" i="1" s="1"/>
  <c r="AX73" i="1" s="1"/>
  <c r="BV73" i="1"/>
  <c r="AK63" i="1" s="1"/>
  <c r="BH73" i="1"/>
  <c r="BD72" i="1" s="1"/>
  <c r="BF40" i="1"/>
  <c r="BP44" i="1" s="1"/>
  <c r="BK59" i="1" s="1"/>
  <c r="BP37" i="1"/>
  <c r="H51" i="130" s="1"/>
  <c r="AI63" i="1" s="1"/>
  <c r="BH34" i="1" s="1"/>
  <c r="BC51" i="1" s="1"/>
  <c r="AW51" i="1" s="1"/>
  <c r="BB51" i="1"/>
  <c r="BQ49" i="1" s="1"/>
  <c r="BD74" i="1" s="1"/>
  <c r="AQ55" i="1" s="1"/>
  <c r="AO62" i="1"/>
  <c r="BV76" i="1" s="1"/>
  <c r="BK73" i="1" s="1"/>
  <c r="D51" i="130" s="1"/>
  <c r="BC76" i="1"/>
  <c r="AV37" i="1" s="1"/>
  <c r="AN49" i="1" s="1"/>
  <c r="AU74" i="1" s="1"/>
  <c r="BC59" i="1" s="1"/>
  <c r="AL76" i="1" s="1"/>
  <c r="BT73" i="1" s="1"/>
  <c r="AI37" i="1" s="1"/>
  <c r="AR76" i="1" s="1"/>
  <c r="AS44" i="1" s="1"/>
  <c r="BI35" i="1" s="1"/>
  <c r="BN59" i="1" s="1"/>
  <c r="AK55" i="1" s="1"/>
  <c r="BE34" i="1" s="1"/>
  <c r="BD34" i="1" s="1"/>
  <c r="BU74" i="1" s="1"/>
  <c r="AU35" i="1" s="1"/>
  <c r="BK74" i="1" s="1"/>
  <c r="AH76" i="1" s="1"/>
  <c r="BD77" i="1"/>
  <c r="BT51" i="1"/>
  <c r="AM34" i="1" s="1"/>
  <c r="BU59" i="1" s="1"/>
  <c r="AU77" i="1" s="1"/>
  <c r="BO40" i="1"/>
  <c r="BK77" i="1"/>
  <c r="BP59" i="1" s="1"/>
  <c r="BH51" i="1"/>
  <c r="AR49" i="1" s="1"/>
  <c r="BS77" i="1"/>
  <c r="AM62" i="1"/>
  <c r="BB49" i="1"/>
  <c r="AZ76" i="1"/>
  <c r="BJ73" i="1" s="1"/>
  <c r="AR59" i="1" s="1"/>
  <c r="BO44" i="1"/>
  <c r="AK51" i="1"/>
  <c r="AO40" i="1" s="1"/>
  <c r="BD35" i="1"/>
  <c r="AM37" i="1" s="1"/>
  <c r="BR34" i="1" s="1"/>
  <c r="BJ55" i="1" s="1"/>
  <c r="BD37" i="1" s="1"/>
  <c r="AR35" i="1"/>
  <c r="AS73" i="1" s="1"/>
  <c r="BK49" i="1" s="1"/>
  <c r="AJ55" i="1" s="1"/>
  <c r="S51" i="130"/>
  <c r="AN72" i="1" s="1"/>
  <c r="AJ44" i="1"/>
  <c r="AN59" i="1" s="1"/>
  <c r="AZ37" i="1" s="1"/>
  <c r="BA40" i="1" s="1"/>
  <c r="AM73" i="1"/>
  <c r="AV72" i="1" s="1"/>
  <c r="BI72" i="1" s="1"/>
  <c r="BR44" i="1"/>
  <c r="BO49" i="1" s="1"/>
  <c r="BL37" i="1"/>
  <c r="AW37" i="1"/>
  <c r="AP72" i="1" s="1"/>
  <c r="BE59" i="1" s="1"/>
  <c r="AS37" i="1" s="1"/>
  <c r="BM51" i="1" s="1"/>
  <c r="BC72" i="1"/>
  <c r="BR74" i="1" s="1"/>
  <c r="AS35" i="1" s="1"/>
  <c r="BF76" i="1" s="1"/>
  <c r="AV51" i="1" s="1"/>
  <c r="AQ35" i="1" s="1"/>
  <c r="BG73" i="1" s="1"/>
  <c r="BU40" i="1" s="1"/>
  <c r="BF59" i="1" s="1"/>
  <c r="BL49" i="1" s="1"/>
  <c r="BE49" i="1"/>
  <c r="AT74" i="1"/>
  <c r="AP44" i="1" s="1"/>
  <c r="BI74" i="1"/>
  <c r="AN62" i="1"/>
  <c r="BL51" i="1" s="1"/>
  <c r="AU49" i="1"/>
  <c r="Q51" i="130" s="1"/>
  <c r="BQ34" i="1"/>
  <c r="AM51" i="130" s="1"/>
  <c r="AQ51" i="1" s="1"/>
  <c r="BL35" i="1" s="1"/>
  <c r="BF73" i="1" s="1"/>
  <c r="BG74" i="1"/>
  <c r="BP51" i="1" s="1"/>
  <c r="AH37" i="1"/>
  <c r="AH15" i="1" s="1"/>
  <c r="AT51" i="1"/>
  <c r="BQ72" i="1"/>
  <c r="BK55" i="1"/>
  <c r="BN49" i="1" s="1"/>
  <c r="AP73" i="1"/>
  <c r="AN40" i="1"/>
  <c r="AT40" i="1"/>
  <c r="AT76" i="1"/>
  <c r="AW49" i="1" s="1"/>
  <c r="AU59" i="1"/>
  <c r="AN77" i="1" s="1"/>
  <c r="BH49" i="1"/>
  <c r="AN76" i="1" s="1"/>
  <c r="AI59" i="1"/>
  <c r="BA51" i="1" s="1"/>
  <c r="BT34" i="1"/>
  <c r="AD51" i="130" s="1"/>
  <c r="AL37" i="1"/>
  <c r="BL40" i="1"/>
  <c r="BP76" i="1" s="1"/>
  <c r="AI74" i="1" s="1"/>
  <c r="BI37" i="1" s="1"/>
  <c r="BT35" i="1"/>
  <c r="BC49" i="1" s="1"/>
  <c r="AC51" i="130"/>
  <c r="AK34" i="1"/>
  <c r="BV74" i="1"/>
  <c r="AQ59" i="1" s="1"/>
  <c r="BO51" i="1" s="1"/>
  <c r="AS51" i="1"/>
  <c r="BH40" i="1" s="1"/>
  <c r="BD51" i="1" s="1"/>
  <c r="BQ37" i="1" s="1"/>
  <c r="BV51" i="1" s="1"/>
  <c r="AQ72" i="1"/>
  <c r="L51" i="130" s="1"/>
  <c r="AJ51" i="1"/>
  <c r="AL59" i="1" s="1"/>
  <c r="BA35" i="1" s="1"/>
  <c r="BB73" i="1" s="1"/>
  <c r="AX35" i="1"/>
  <c r="AM76" i="1"/>
  <c r="AZ72" i="1" s="1"/>
  <c r="BL74" i="1" s="1"/>
  <c r="BU44" i="1" s="1"/>
  <c r="AR51" i="1"/>
  <c r="BJ34" i="1"/>
  <c r="BN35" i="1" s="1"/>
  <c r="BR72" i="1" s="1"/>
  <c r="BR73" i="1" s="1"/>
  <c r="AR72" i="1" s="1"/>
  <c r="BM72" i="1" s="1"/>
  <c r="AL62" i="1" s="1"/>
  <c r="BE37" i="1" s="1"/>
  <c r="BD44" i="1" s="1"/>
  <c r="AM44" i="1" s="1"/>
  <c r="AR73" i="1" s="1"/>
  <c r="BP49" i="1" s="1"/>
  <c r="BH72" i="1" s="1"/>
  <c r="AN35" i="1" s="1"/>
  <c r="BN77" i="1"/>
  <c r="AP76" i="1"/>
  <c r="AK72" i="1"/>
  <c r="AY37" i="1"/>
  <c r="BT76" i="1"/>
  <c r="AW35" i="1"/>
  <c r="BG76" i="1"/>
  <c r="AI34" i="1" s="1"/>
  <c r="AJ62" i="1" s="1"/>
  <c r="AT77" i="1" s="1"/>
  <c r="AO37" i="1" s="1"/>
  <c r="AJ77" i="1" s="1"/>
  <c r="BF72" i="1"/>
  <c r="AL51" i="1"/>
  <c r="AI55" i="1"/>
  <c r="BK35" i="1" s="1"/>
  <c r="AK77" i="1" s="1"/>
  <c r="AW74" i="1" s="1"/>
  <c r="AR34" i="1" s="1"/>
  <c r="AB51" i="130" s="1"/>
  <c r="AH44" i="1" s="1"/>
  <c r="BN74" i="1" s="1"/>
  <c r="BU34" i="1"/>
  <c r="AP55" i="1" s="1"/>
  <c r="AA51" i="130"/>
  <c r="BE74" i="1"/>
  <c r="BI77" i="1"/>
  <c r="BE51" i="1"/>
  <c r="AN63" i="1"/>
  <c r="AK62" i="1" s="1"/>
  <c r="AV49" i="1"/>
  <c r="AW34" i="1"/>
  <c r="BI55" i="1" s="1"/>
  <c r="O51" i="130"/>
  <c r="AP59" i="1" s="1"/>
  <c r="AO51" i="1"/>
  <c r="BL76" i="1" s="1"/>
  <c r="AY51" i="1" s="1"/>
  <c r="AV76" i="1" s="1"/>
  <c r="BR35" i="1" s="1"/>
  <c r="AL40" i="1"/>
  <c r="AH55" i="1" s="1"/>
  <c r="BO77" i="1" s="1"/>
  <c r="BE72" i="1"/>
  <c r="BJ59" i="1" s="1"/>
  <c r="BQ40" i="1" s="1"/>
  <c r="BM76" i="1" s="1"/>
  <c r="AY73" i="1"/>
  <c r="BS73" i="1" s="1"/>
  <c r="BK40" i="1" s="1"/>
  <c r="AZ51" i="1" s="1"/>
  <c r="BC55" i="1"/>
  <c r="AU51" i="1"/>
  <c r="BV34" i="1" s="1"/>
  <c r="AS63" i="1"/>
  <c r="AS72" i="1" s="1"/>
  <c r="AX37" i="1"/>
  <c r="BL59" i="1"/>
  <c r="F51" i="130"/>
  <c r="AZ44" i="1" s="1"/>
  <c r="AJ34" i="1"/>
  <c r="BD55" i="1" s="1"/>
  <c r="BP74" i="1"/>
  <c r="AU40" i="1" s="1"/>
  <c r="AS34" i="1" s="1"/>
  <c r="BA74" i="1" s="1"/>
  <c r="AS49" i="1" s="1"/>
  <c r="AZ77" i="1" s="1"/>
  <c r="BD59" i="1"/>
  <c r="AO77" i="1"/>
  <c r="BQ73" i="1"/>
  <c r="BB72" i="1"/>
  <c r="BN44" i="1" s="1"/>
  <c r="BV77" i="1"/>
  <c r="I30" i="1"/>
  <c r="N51" i="130"/>
  <c r="AK37" i="1" s="1"/>
  <c r="I51" i="130"/>
  <c r="AV73" i="1" s="1"/>
  <c r="AJ72" i="1" s="1"/>
  <c r="C51" i="130" s="1"/>
  <c r="AN55" i="1" s="1"/>
  <c r="BR37" i="1"/>
  <c r="AQ74" i="1" s="1"/>
  <c r="AZ73" i="1"/>
  <c r="BC34" i="1" s="1"/>
  <c r="BB44" i="1" s="1"/>
  <c r="BS35" i="1" s="1"/>
  <c r="BG55" i="1" s="1"/>
  <c r="AX76" i="1" s="1"/>
  <c r="AL72" i="1"/>
  <c r="AP63" i="1" s="1"/>
  <c r="BM59" i="1" s="1"/>
  <c r="AP51" i="1" s="1"/>
  <c r="AX49" i="1"/>
  <c r="BV55" i="1" s="1"/>
  <c r="BM73" i="1"/>
  <c r="Y51" i="130" s="1"/>
  <c r="AS62" i="1" s="1"/>
  <c r="AY77" i="1"/>
  <c r="BO76" i="1"/>
  <c r="BV72" i="1"/>
  <c r="BJ40" i="1" s="1"/>
  <c r="AV59" i="1"/>
  <c r="AJ51" i="130" s="1"/>
  <c r="BL73" i="1" s="1"/>
  <c r="BV49" i="1" s="1"/>
  <c r="BF44" i="1" s="1"/>
  <c r="BG37" i="1" s="1"/>
  <c r="BN34" i="1"/>
  <c r="AO63" i="1"/>
  <c r="BH35" i="1"/>
  <c r="BD40" i="1"/>
  <c r="BO34" i="1"/>
  <c r="BC74" i="1" s="1"/>
  <c r="BE73" i="1" s="1"/>
  <c r="AP34" i="1" s="1"/>
  <c r="AM35" i="1"/>
  <c r="AU44" i="1"/>
  <c r="AV55" i="1" s="1"/>
  <c r="AZ59" i="1"/>
  <c r="AZ34" i="1" s="1"/>
  <c r="AK40" i="1" s="1"/>
  <c r="AM72" i="1"/>
  <c r="BQ76" i="1"/>
  <c r="AK73" i="1"/>
  <c r="BF37" i="1" s="1"/>
  <c r="AI72" i="1"/>
  <c r="AZ35" i="1"/>
  <c r="AY44" i="1"/>
  <c r="AW44" i="1" s="1"/>
  <c r="AO76" i="1" s="1"/>
  <c r="AJ49" i="1" s="1"/>
  <c r="BP55" i="1" s="1"/>
  <c r="AI51" i="1" s="1"/>
  <c r="AO51" i="130"/>
  <c r="BF35" i="1"/>
  <c r="AH40" i="1"/>
  <c r="BG44" i="1" s="1"/>
  <c r="G51" i="130" s="1"/>
  <c r="BA37" i="1"/>
  <c r="AO49" i="1" s="1"/>
  <c r="BT55" i="1" s="1"/>
  <c r="BU72" i="1" s="1"/>
  <c r="AM63" i="1" s="1"/>
  <c r="BL44" i="1" s="1"/>
  <c r="BG34" i="1" s="1"/>
  <c r="BN73" i="1"/>
  <c r="AU76" i="1" s="1"/>
  <c r="BH77" i="1"/>
  <c r="BO55" i="1"/>
  <c r="AM59" i="1"/>
  <c r="BE44" i="1" s="1"/>
  <c r="BC37" i="1" s="1"/>
  <c r="BS37" i="1" s="1"/>
  <c r="AQ51" i="130" s="1"/>
  <c r="BI49" i="1" s="1"/>
  <c r="BA55" i="1" s="1"/>
  <c r="AX51" i="1"/>
  <c r="AS74" i="1" s="1"/>
  <c r="AH77" i="1"/>
  <c r="AN51" i="130" s="1"/>
  <c r="AO59" i="1"/>
  <c r="AJ59" i="1" s="1"/>
  <c r="AH51" i="1" s="1"/>
  <c r="AH22" i="1" s="1"/>
  <c r="BF74" i="1" s="1"/>
  <c r="BC35" i="1"/>
  <c r="AM77" i="1" s="1"/>
  <c r="BH59" i="1" s="1"/>
  <c r="AX74" i="1" s="1"/>
  <c r="BP73" i="1"/>
  <c r="BE55" i="1" s="1"/>
  <c r="AY72" i="1" s="1"/>
  <c r="AK74" i="1" s="1"/>
  <c r="AK51" i="130"/>
  <c r="AW55" i="1" s="1"/>
  <c r="BH37" i="1" s="1"/>
  <c r="AQ44" i="1" s="1"/>
  <c r="J51" i="130"/>
  <c r="AK49" i="1" s="1"/>
  <c r="BS34" i="1" s="1"/>
  <c r="R51" i="130" s="1"/>
  <c r="AM55" i="1"/>
  <c r="BO35" i="1"/>
  <c r="AI73" i="1" s="1"/>
  <c r="AX44" i="1"/>
  <c r="Z30" i="1"/>
  <c r="AV44" i="1"/>
  <c r="AL44" i="1"/>
  <c r="BG51" i="1"/>
  <c r="AK44" i="1" s="1"/>
  <c r="BV37" i="1"/>
  <c r="AS40" i="1"/>
  <c r="BU35" i="1" s="1"/>
  <c r="R109" i="1"/>
  <c r="AU34" i="1" s="1"/>
  <c r="BK44" i="1" s="1"/>
  <c r="AI40" i="1" s="1"/>
  <c r="BJ51" i="1" s="1"/>
  <c r="AG51" i="130" s="1"/>
  <c r="AS76" i="1"/>
  <c r="BF55" i="1"/>
  <c r="BQ77" i="1"/>
  <c r="E134" i="1"/>
  <c r="W30" i="1"/>
  <c r="AR63" i="1"/>
  <c r="X51" i="130"/>
  <c r="AX77" i="1" s="1"/>
  <c r="AW59" i="1"/>
  <c r="BJ74" i="1" s="1"/>
  <c r="AT73" i="1"/>
  <c r="AI49" i="1"/>
  <c r="BQ35" i="1"/>
  <c r="BD73" i="1"/>
  <c r="BT74" i="1"/>
  <c r="AM49" i="1" s="1"/>
  <c r="BK72" i="1"/>
  <c r="BQ51" i="1"/>
  <c r="AW77" i="1"/>
  <c r="AN44" i="1"/>
  <c r="BF49" i="1"/>
  <c r="BJ37" i="1"/>
  <c r="AP40" i="1" s="1"/>
  <c r="AY76" i="1"/>
  <c r="BA73" i="1"/>
  <c r="BG35" i="1" s="1"/>
  <c r="Z134" i="1"/>
  <c r="AL73" i="1"/>
  <c r="AQ76" i="1" s="1"/>
  <c r="BO72" i="1"/>
  <c r="BR51" i="1"/>
  <c r="BB35" i="1" s="1"/>
  <c r="BU77" i="1"/>
  <c r="BJ72" i="1" s="1"/>
  <c r="BB34" i="1"/>
  <c r="J134" i="1"/>
  <c r="V30" i="1"/>
  <c r="H30" i="1"/>
  <c r="N30" i="1"/>
  <c r="N81" i="1"/>
  <c r="C30" i="1"/>
  <c r="S30" i="1"/>
  <c r="O30" i="1"/>
  <c r="P30" i="1"/>
  <c r="J30" i="1"/>
  <c r="B30" i="1"/>
  <c r="D30" i="1"/>
  <c r="R30" i="1"/>
  <c r="K30" i="1"/>
  <c r="X30" i="1"/>
  <c r="G30" i="1"/>
  <c r="U30" i="1"/>
  <c r="Y30" i="1"/>
  <c r="T30" i="1"/>
  <c r="E30" i="1"/>
  <c r="L30" i="1"/>
  <c r="F85" i="1"/>
  <c r="F30" i="1"/>
  <c r="Q135" i="1"/>
  <c r="Q30" i="1"/>
  <c r="AL36" i="1"/>
  <c r="AL38" i="1" s="1"/>
  <c r="AU36" i="1"/>
  <c r="AU38" i="1" s="1"/>
  <c r="V115" i="1"/>
  <c r="V136" i="1" s="1"/>
  <c r="BK36" i="1"/>
  <c r="BK38" i="1" s="1"/>
  <c r="BS41" i="1"/>
  <c r="BS46" i="1" s="1"/>
  <c r="AJ36" i="1"/>
  <c r="BT41" i="1"/>
  <c r="BT46" i="1" s="1"/>
  <c r="AR64" i="1"/>
  <c r="AR78" i="1" s="1"/>
  <c r="BB41" i="1"/>
  <c r="BC41" i="1"/>
  <c r="V80" i="1"/>
  <c r="S121" i="1"/>
  <c r="BI41" i="1"/>
  <c r="BI46" i="1" s="1"/>
  <c r="BK41" i="1"/>
  <c r="BK46" i="1" s="1"/>
  <c r="AM41" i="1"/>
  <c r="AV41" i="1"/>
  <c r="AV46" i="1" s="1"/>
  <c r="AS41" i="1"/>
  <c r="AS46" i="1" s="1"/>
  <c r="AP41" i="1"/>
  <c r="AP46" i="1" s="1"/>
  <c r="AQ41" i="1"/>
  <c r="AH41" i="1"/>
  <c r="AH46" i="1" s="1"/>
  <c r="AH18" i="1" s="1"/>
  <c r="G85" i="1"/>
  <c r="AN41" i="1"/>
  <c r="AN46" i="1" s="1"/>
  <c r="AK41" i="1"/>
  <c r="AK46" i="1" s="1"/>
  <c r="BP41" i="1"/>
  <c r="BP46" i="1" s="1"/>
  <c r="I134" i="1"/>
  <c r="N115" i="1"/>
  <c r="N136" i="1" s="1"/>
  <c r="B108" i="1"/>
  <c r="B109" i="1" s="1"/>
  <c r="C122" i="1"/>
  <c r="C125" i="1" s="1"/>
  <c r="I108" i="1"/>
  <c r="I109" i="1" s="1"/>
  <c r="P122" i="1"/>
  <c r="P125" i="1" s="1"/>
  <c r="W85" i="1"/>
  <c r="V108" i="1"/>
  <c r="V109" i="1" s="1"/>
  <c r="B121" i="1"/>
  <c r="Q81" i="1"/>
  <c r="BM41" i="1"/>
  <c r="AY41" i="1"/>
  <c r="AY46" i="1" s="1"/>
  <c r="AJ41" i="1"/>
  <c r="BG41" i="1"/>
  <c r="BG46" i="1" s="1"/>
  <c r="BH41" i="1"/>
  <c r="BH46" i="1" s="1"/>
  <c r="BJ41" i="1"/>
  <c r="BJ46" i="1" s="1"/>
  <c r="BF41" i="1"/>
  <c r="BF46" i="1" s="1"/>
  <c r="BD41" i="1"/>
  <c r="BD46" i="1" s="1"/>
  <c r="AO41" i="1"/>
  <c r="AO46" i="1" s="1"/>
  <c r="BQ41" i="1"/>
  <c r="BQ46" i="1" s="1"/>
  <c r="AX41" i="1"/>
  <c r="AX46" i="1" s="1"/>
  <c r="AU41" i="1"/>
  <c r="AU46" i="1" s="1"/>
  <c r="AR41" i="1"/>
  <c r="AR46" i="1" s="1"/>
  <c r="BO41" i="1"/>
  <c r="BO46" i="1" s="1"/>
  <c r="BV41" i="1"/>
  <c r="BV46" i="1" s="1"/>
  <c r="BE41" i="1"/>
  <c r="BF36" i="1"/>
  <c r="BF38" i="1" s="1"/>
  <c r="AI41" i="1"/>
  <c r="AI46" i="1" s="1"/>
  <c r="BU41" i="1"/>
  <c r="BU46" i="1" s="1"/>
  <c r="AZ41" i="1"/>
  <c r="AZ46" i="1" s="1"/>
  <c r="AL41" i="1"/>
  <c r="AL46" i="1" s="1"/>
  <c r="AW41" i="1"/>
  <c r="AW46" i="1" s="1"/>
  <c r="BR41" i="1"/>
  <c r="BR46" i="1" s="1"/>
  <c r="BN41" i="1"/>
  <c r="BN46" i="1" s="1"/>
  <c r="BL41" i="1"/>
  <c r="BL46" i="1" s="1"/>
  <c r="AT41" i="1"/>
  <c r="AT46" i="1" s="1"/>
  <c r="BA41" i="1"/>
  <c r="BA46" i="1" s="1"/>
  <c r="AI64" i="1"/>
  <c r="AN64" i="1"/>
  <c r="AN78" i="1" s="1"/>
  <c r="P135" i="1"/>
  <c r="BL36" i="1"/>
  <c r="BL38" i="1" s="1"/>
  <c r="I80" i="1"/>
  <c r="M121" i="1"/>
  <c r="M122" i="1"/>
  <c r="M125" i="1" s="1"/>
  <c r="X81" i="1"/>
  <c r="E108" i="1"/>
  <c r="E109" i="1" s="1"/>
  <c r="B115" i="1"/>
  <c r="I121" i="1"/>
  <c r="M109" i="1"/>
  <c r="S81" i="1"/>
  <c r="AP36" i="1"/>
  <c r="AP38" i="1" s="1"/>
  <c r="AT39" i="1" s="1"/>
  <c r="S80" i="1"/>
  <c r="K85" i="1"/>
  <c r="S108" i="1"/>
  <c r="S109" i="1" s="1"/>
  <c r="S4" i="1" s="1"/>
  <c r="D81" i="1"/>
  <c r="W121" i="1"/>
  <c r="P108" i="1"/>
  <c r="P109" i="1" s="1"/>
  <c r="Z80" i="1"/>
  <c r="AV36" i="1"/>
  <c r="AV38" i="1" s="1"/>
  <c r="G36" i="1"/>
  <c r="G38" i="1" s="1"/>
  <c r="BU36" i="1"/>
  <c r="BU38" i="1" s="1"/>
  <c r="BY39" i="1" s="1"/>
  <c r="Q80" i="1"/>
  <c r="Z122" i="1"/>
  <c r="Z125" i="1" s="1"/>
  <c r="B80" i="1"/>
  <c r="H115" i="1"/>
  <c r="H136" i="1" s="1"/>
  <c r="U108" i="1"/>
  <c r="U109" i="1" s="1"/>
  <c r="E80" i="1"/>
  <c r="G80" i="1"/>
  <c r="B81" i="1"/>
  <c r="BI36" i="1"/>
  <c r="BI38" i="1" s="1"/>
  <c r="BO36" i="1"/>
  <c r="H135" i="1"/>
  <c r="I135" i="1"/>
  <c r="F121" i="1"/>
  <c r="T36" i="1"/>
  <c r="T38" i="1" s="1"/>
  <c r="H122" i="1"/>
  <c r="H125" i="1" s="1"/>
  <c r="D121" i="1"/>
  <c r="BZ63" i="1"/>
  <c r="CA63" i="1" s="1"/>
  <c r="CB63" i="1" s="1"/>
  <c r="CC63" i="1" s="1"/>
  <c r="T43" i="1"/>
  <c r="T41" i="1"/>
  <c r="D115" i="1"/>
  <c r="P80" i="1"/>
  <c r="G122" i="1"/>
  <c r="G125" i="1" s="1"/>
  <c r="I115" i="1"/>
  <c r="I136" i="1" s="1"/>
  <c r="AK64" i="1"/>
  <c r="AK78" i="1" s="1"/>
  <c r="K122" i="1"/>
  <c r="K125" i="1" s="1"/>
  <c r="K108" i="1"/>
  <c r="K109" i="1" s="1"/>
  <c r="O36" i="1"/>
  <c r="O38" i="1" s="1"/>
  <c r="J36" i="1"/>
  <c r="J38" i="1" s="1"/>
  <c r="W80" i="1"/>
  <c r="P81" i="1"/>
  <c r="N122" i="1"/>
  <c r="N125" i="1" s="1"/>
  <c r="I85" i="1"/>
  <c r="I81" i="1"/>
  <c r="BS36" i="1"/>
  <c r="BS38" i="1" s="1"/>
  <c r="BW39" i="1" s="1"/>
  <c r="T134" i="1"/>
  <c r="F108" i="1"/>
  <c r="F109" i="1" s="1"/>
  <c r="E115" i="1"/>
  <c r="E136" i="1" s="1"/>
  <c r="H36" i="1"/>
  <c r="H38" i="1" s="1"/>
  <c r="Y135" i="1"/>
  <c r="P85" i="1"/>
  <c r="J135" i="1"/>
  <c r="J81" i="1"/>
  <c r="L36" i="1"/>
  <c r="L38" i="1" s="1"/>
  <c r="P115" i="1"/>
  <c r="E81" i="1"/>
  <c r="K36" i="1"/>
  <c r="K38" i="1" s="1"/>
  <c r="Y122" i="1"/>
  <c r="Y125" i="1" s="1"/>
  <c r="R81" i="1"/>
  <c r="Q85" i="1"/>
  <c r="L121" i="1"/>
  <c r="S36" i="1"/>
  <c r="S38" i="1" s="1"/>
  <c r="Q122" i="1"/>
  <c r="Q125" i="1" s="1"/>
  <c r="Q121" i="1"/>
  <c r="R41" i="1"/>
  <c r="R46" i="1" s="1"/>
  <c r="C41" i="1"/>
  <c r="C46" i="1" s="1"/>
  <c r="R85" i="1"/>
  <c r="D80" i="1"/>
  <c r="O134" i="1"/>
  <c r="L85" i="1"/>
  <c r="S135" i="1"/>
  <c r="R135" i="1"/>
  <c r="U134" i="1"/>
  <c r="U115" i="1"/>
  <c r="U136" i="1" s="1"/>
  <c r="V134" i="1"/>
  <c r="BD36" i="1"/>
  <c r="BD38" i="1" s="1"/>
  <c r="BA36" i="1"/>
  <c r="BA38" i="1" s="1"/>
  <c r="BJ36" i="1"/>
  <c r="BJ38" i="1" s="1"/>
  <c r="AL64" i="1"/>
  <c r="AL78" i="1" s="1"/>
  <c r="F81" i="1"/>
  <c r="AJ64" i="1"/>
  <c r="AJ78" i="1" s="1"/>
  <c r="M80" i="1"/>
  <c r="AR36" i="1"/>
  <c r="AR38" i="1" s="1"/>
  <c r="K135" i="1"/>
  <c r="F36" i="1"/>
  <c r="F38" i="1" s="1"/>
  <c r="G108" i="1"/>
  <c r="G109" i="1" s="1"/>
  <c r="J80" i="1"/>
  <c r="L122" i="1"/>
  <c r="L125" i="1" s="1"/>
  <c r="C36" i="1"/>
  <c r="C38" i="1" s="1"/>
  <c r="C47" i="1" s="1"/>
  <c r="Q134" i="1"/>
  <c r="W115" i="1"/>
  <c r="I36" i="1"/>
  <c r="I38" i="1" s="1"/>
  <c r="G135" i="1"/>
  <c r="AO64" i="1"/>
  <c r="AO78" i="1" s="1"/>
  <c r="O122" i="1"/>
  <c r="O125" i="1" s="1"/>
  <c r="BH36" i="1"/>
  <c r="BH38" i="1" s="1"/>
  <c r="M85" i="1"/>
  <c r="AZ36" i="1"/>
  <c r="AZ38" i="1" s="1"/>
  <c r="T80" i="1"/>
  <c r="W41" i="1"/>
  <c r="W46" i="1" s="1"/>
  <c r="F135" i="1"/>
  <c r="BC36" i="1"/>
  <c r="BC38" i="1" s="1"/>
  <c r="X80" i="1"/>
  <c r="M135" i="1"/>
  <c r="Q108" i="1"/>
  <c r="Q109" i="1" s="1"/>
  <c r="R4" i="1" s="1"/>
  <c r="C81" i="1"/>
  <c r="R36" i="1"/>
  <c r="Y108" i="1"/>
  <c r="Y109" i="1" s="1"/>
  <c r="H108" i="1"/>
  <c r="H109" i="1" s="1"/>
  <c r="J121" i="1"/>
  <c r="W108" i="1"/>
  <c r="W109" i="1" s="1"/>
  <c r="L115" i="1"/>
  <c r="N121" i="1"/>
  <c r="E122" i="1"/>
  <c r="E125" i="1" s="1"/>
  <c r="F80" i="1"/>
  <c r="R121" i="1"/>
  <c r="Y85" i="1"/>
  <c r="S122" i="1"/>
  <c r="S125" i="1" s="1"/>
  <c r="E36" i="1"/>
  <c r="E38" i="1" s="1"/>
  <c r="X122" i="1"/>
  <c r="X125" i="1" s="1"/>
  <c r="Z115" i="1"/>
  <c r="P121" i="1"/>
  <c r="H134" i="1"/>
  <c r="T135" i="1"/>
  <c r="Y80" i="1"/>
  <c r="P36" i="1"/>
  <c r="P38" i="1" s="1"/>
  <c r="S115" i="1"/>
  <c r="D122" i="1"/>
  <c r="D125" i="1" s="1"/>
  <c r="Z121" i="1"/>
  <c r="N135" i="1"/>
  <c r="Z108" i="1"/>
  <c r="Z109" i="1" s="1"/>
  <c r="H85" i="1"/>
  <c r="C121" i="1"/>
  <c r="BG36" i="1"/>
  <c r="BG38" i="1" s="1"/>
  <c r="R122" i="1"/>
  <c r="R125" i="1" s="1"/>
  <c r="W122" i="1"/>
  <c r="W125" i="1" s="1"/>
  <c r="X85" i="1"/>
  <c r="N109" i="1"/>
  <c r="AQ40" i="1"/>
  <c r="W64" i="1"/>
  <c r="W78" i="1" s="1"/>
  <c r="V62" i="1"/>
  <c r="L134" i="1"/>
  <c r="K115" i="1"/>
  <c r="C135" i="1"/>
  <c r="D135" i="1"/>
  <c r="BM40" i="1"/>
  <c r="C115" i="1"/>
  <c r="C136" i="1" s="1"/>
  <c r="C134" i="1"/>
  <c r="D134" i="1"/>
  <c r="G40" i="1"/>
  <c r="G41" i="1"/>
  <c r="BC40" i="1"/>
  <c r="AM40" i="1"/>
  <c r="AH36" i="1"/>
  <c r="AH38" i="1" s="1"/>
  <c r="AW36" i="1"/>
  <c r="AW38" i="1" s="1"/>
  <c r="AH12" i="1"/>
  <c r="AH14" i="1" s="1"/>
  <c r="AH17" i="1" s="1"/>
  <c r="AM36" i="1"/>
  <c r="AM38" i="1" s="1"/>
  <c r="BB36" i="1"/>
  <c r="BB38" i="1" s="1"/>
  <c r="AH64" i="1"/>
  <c r="Y121" i="1"/>
  <c r="E85" i="1"/>
  <c r="U85" i="1"/>
  <c r="O121" i="1"/>
  <c r="G121" i="1"/>
  <c r="T108" i="1"/>
  <c r="T109" i="1" s="1"/>
  <c r="AM64" i="1"/>
  <c r="AM78" i="1" s="1"/>
  <c r="N85" i="1"/>
  <c r="M36" i="1"/>
  <c r="M38" i="1" s="1"/>
  <c r="F115" i="1"/>
  <c r="F136" i="1" s="1"/>
  <c r="AQ78" i="1"/>
  <c r="W134" i="1"/>
  <c r="M134" i="1"/>
  <c r="O41" i="1"/>
  <c r="O46" i="1" s="1"/>
  <c r="B36" i="1"/>
  <c r="B38" i="1" s="1"/>
  <c r="M81" i="1"/>
  <c r="S134" i="1"/>
  <c r="E135" i="1"/>
  <c r="Q41" i="1"/>
  <c r="Q46" i="1" s="1"/>
  <c r="Y81" i="1"/>
  <c r="V121" i="1"/>
  <c r="T121" i="1"/>
  <c r="G134" i="1"/>
  <c r="H121" i="1"/>
  <c r="X41" i="1"/>
  <c r="X46" i="1" s="1"/>
  <c r="R80" i="1"/>
  <c r="BM36" i="1"/>
  <c r="BM38" i="1" s="1"/>
  <c r="Q36" i="1"/>
  <c r="Q38" i="1" s="1"/>
  <c r="X135" i="1"/>
  <c r="H41" i="1"/>
  <c r="H46" i="1" s="1"/>
  <c r="C108" i="1"/>
  <c r="C109" i="1" s="1"/>
  <c r="L108" i="1"/>
  <c r="L109" i="1" s="1"/>
  <c r="J115" i="1"/>
  <c r="N80" i="1"/>
  <c r="E121" i="1"/>
  <c r="J108" i="1"/>
  <c r="J109" i="1" s="1"/>
  <c r="S85" i="1"/>
  <c r="U122" i="1"/>
  <c r="U125" i="1" s="1"/>
  <c r="I41" i="1"/>
  <c r="I46" i="1" s="1"/>
  <c r="L81" i="1"/>
  <c r="I122" i="1"/>
  <c r="I125" i="1" s="1"/>
  <c r="M115" i="1"/>
  <c r="M136" i="1" s="1"/>
  <c r="Z81" i="1"/>
  <c r="V41" i="1"/>
  <c r="V46" i="1" s="1"/>
  <c r="F134" i="1"/>
  <c r="M41" i="1"/>
  <c r="M46" i="1" s="1"/>
  <c r="J41" i="1"/>
  <c r="J46" i="1" s="1"/>
  <c r="D41" i="1"/>
  <c r="D46" i="1" s="1"/>
  <c r="D18" i="1" s="1"/>
  <c r="W135" i="1"/>
  <c r="F122" i="1"/>
  <c r="F125" i="1" s="1"/>
  <c r="Z85" i="1"/>
  <c r="AA86" i="1" s="1"/>
  <c r="AA84" i="1" s="1"/>
  <c r="K134" i="1"/>
  <c r="Z41" i="1"/>
  <c r="Z46" i="1" s="1"/>
  <c r="K81" i="1"/>
  <c r="S41" i="1"/>
  <c r="S46" i="1" s="1"/>
  <c r="U135" i="1"/>
  <c r="U81" i="1"/>
  <c r="U80" i="1"/>
  <c r="Q115" i="1"/>
  <c r="D36" i="1"/>
  <c r="D38" i="1" s="1"/>
  <c r="V81" i="1"/>
  <c r="L135" i="1"/>
  <c r="T115" i="1"/>
  <c r="T136" i="1" s="1"/>
  <c r="Y45" i="1"/>
  <c r="Y41" i="1"/>
  <c r="F40" i="1"/>
  <c r="F41" i="1"/>
  <c r="K41" i="1"/>
  <c r="K46" i="1" s="1"/>
  <c r="L41" i="1"/>
  <c r="L46" i="1" s="1"/>
  <c r="V135" i="1"/>
  <c r="L80" i="1"/>
  <c r="O115" i="1"/>
  <c r="C85" i="1"/>
  <c r="D86" i="1" s="1"/>
  <c r="P41" i="1"/>
  <c r="P46" i="1" s="1"/>
  <c r="O135" i="1"/>
  <c r="W81" i="1"/>
  <c r="U36" i="1"/>
  <c r="U38" i="1" s="1"/>
  <c r="Y115" i="1"/>
  <c r="Y134" i="1"/>
  <c r="G115" i="1"/>
  <c r="G136" i="1" s="1"/>
  <c r="P134" i="1"/>
  <c r="R134" i="1"/>
  <c r="Z135" i="1"/>
  <c r="U121" i="1"/>
  <c r="D14" i="1"/>
  <c r="D17" i="1" s="1"/>
  <c r="N45" i="1"/>
  <c r="N41" i="1"/>
  <c r="D109" i="1"/>
  <c r="T81" i="1"/>
  <c r="AK36" i="1"/>
  <c r="E41" i="1"/>
  <c r="E46" i="1" s="1"/>
  <c r="T122" i="1"/>
  <c r="T125" i="1" s="1"/>
  <c r="X64" i="1"/>
  <c r="X78" i="1" s="1"/>
  <c r="N36" i="1"/>
  <c r="N38" i="1" s="1"/>
  <c r="O80" i="1"/>
  <c r="J85" i="1"/>
  <c r="N134" i="1"/>
  <c r="C80" i="1"/>
  <c r="B122" i="1"/>
  <c r="B125" i="1" s="1"/>
  <c r="O81" i="1"/>
  <c r="V85" i="1"/>
  <c r="X121" i="1"/>
  <c r="K121" i="1"/>
  <c r="B41" i="1"/>
  <c r="B46" i="1" s="1"/>
  <c r="J122" i="1"/>
  <c r="J125" i="1" s="1"/>
  <c r="U41" i="1"/>
  <c r="U46" i="1" s="1"/>
  <c r="BP36" i="1"/>
  <c r="G81" i="1"/>
  <c r="V122" i="1"/>
  <c r="V125" i="1" s="1"/>
  <c r="T85" i="1"/>
  <c r="O85" i="1"/>
  <c r="R115" i="1"/>
  <c r="R136" i="1" s="1"/>
  <c r="K80" i="1"/>
  <c r="X108" i="1"/>
  <c r="X109" i="1" s="1"/>
  <c r="O108" i="1"/>
  <c r="O109" i="1" s="1"/>
  <c r="H81" i="1"/>
  <c r="X115" i="1"/>
  <c r="X136" i="1" s="1"/>
  <c r="X134" i="1"/>
  <c r="AX36" i="1"/>
  <c r="AX38" i="1" s="1"/>
  <c r="CD93" i="1"/>
  <c r="AB93" i="1"/>
  <c r="BQ36" i="1" l="1"/>
  <c r="BQ38" i="1" s="1"/>
  <c r="AS64" i="1"/>
  <c r="AS78" i="1" s="1"/>
  <c r="BL121" i="1" s="1"/>
  <c r="BL114" i="1" s="1"/>
  <c r="BL111" i="1" s="1"/>
  <c r="BL119" i="1" s="1"/>
  <c r="BL107" i="1" s="1"/>
  <c r="BL123" i="1" s="1"/>
  <c r="BL113" i="1" s="1"/>
  <c r="BL118" i="1" s="1"/>
  <c r="BP119" i="1" s="1"/>
  <c r="BP118" i="1" s="1"/>
  <c r="BP114" i="1" s="1"/>
  <c r="BP113" i="1" s="1"/>
  <c r="BP111" i="1" s="1"/>
  <c r="BP107" i="1" s="1"/>
  <c r="BP121" i="1" s="1"/>
  <c r="BP123" i="1" s="1"/>
  <c r="AT111" i="1" s="1"/>
  <c r="AT121" i="1" s="1"/>
  <c r="AT114" i="1" s="1"/>
  <c r="AT107" i="1" s="1"/>
  <c r="AT119" i="1" s="1"/>
  <c r="AT113" i="1" s="1"/>
  <c r="AT118" i="1" s="1"/>
  <c r="AT123" i="1" s="1"/>
  <c r="AL123" i="1" s="1"/>
  <c r="AL113" i="1" s="1"/>
  <c r="AL119" i="1" s="1"/>
  <c r="AL107" i="1" s="1"/>
  <c r="AL118" i="1" s="1"/>
  <c r="AL111" i="1" s="1"/>
  <c r="AL114" i="1" s="1"/>
  <c r="AL121" i="1" s="1"/>
  <c r="BC113" i="1" s="1"/>
  <c r="BC121" i="1" s="1"/>
  <c r="BC114" i="1" s="1"/>
  <c r="BC118" i="1" s="1"/>
  <c r="BC119" i="1" s="1"/>
  <c r="BC107" i="1" s="1"/>
  <c r="BC111" i="1" s="1"/>
  <c r="BC123" i="1" s="1"/>
  <c r="BT123" i="1" s="1"/>
  <c r="BT118" i="1" s="1"/>
  <c r="BT121" i="1" s="1"/>
  <c r="BT107" i="1" s="1"/>
  <c r="BT111" i="1" s="1"/>
  <c r="BT113" i="1" s="1"/>
  <c r="AK38" i="1"/>
  <c r="AJ38" i="1"/>
  <c r="BR36" i="1"/>
  <c r="BR38" i="1" s="1"/>
  <c r="BE36" i="1"/>
  <c r="BE38" i="1" s="1"/>
  <c r="BP38" i="1"/>
  <c r="BN36" i="1"/>
  <c r="BN38" i="1" s="1"/>
  <c r="BT36" i="1"/>
  <c r="BT38" i="1" s="1"/>
  <c r="BX39" i="1" s="1"/>
  <c r="AS36" i="1"/>
  <c r="AS38" i="1" s="1"/>
  <c r="BU108" i="1"/>
  <c r="G86" i="1"/>
  <c r="G84" i="1" s="1"/>
  <c r="AP108" i="1"/>
  <c r="BP134" i="1"/>
  <c r="R128" i="1"/>
  <c r="BB108" i="1"/>
  <c r="AI122" i="1"/>
  <c r="AM108" i="1"/>
  <c r="BL108" i="1"/>
  <c r="BL109" i="1" s="1"/>
  <c r="L128" i="1"/>
  <c r="AT30" i="1"/>
  <c r="T46" i="1"/>
  <c r="T47" i="1" s="1"/>
  <c r="BF108" i="1"/>
  <c r="BL28" i="1"/>
  <c r="BL30" i="1"/>
  <c r="BP28" i="1"/>
  <c r="BP30" i="1"/>
  <c r="AL80" i="1"/>
  <c r="AL30" i="1"/>
  <c r="BC81" i="1"/>
  <c r="BC30" i="1"/>
  <c r="M128" i="1"/>
  <c r="BL85" i="1"/>
  <c r="V116" i="1"/>
  <c r="BP85" i="1"/>
  <c r="G46" i="1"/>
  <c r="G47" i="1" s="1"/>
  <c r="G39" i="1"/>
  <c r="L39" i="1"/>
  <c r="P39" i="1"/>
  <c r="G9" i="1"/>
  <c r="T86" i="1"/>
  <c r="T84" i="1" s="1"/>
  <c r="BI108" i="1"/>
  <c r="BC46" i="1"/>
  <c r="BC47" i="1" s="1"/>
  <c r="Q128" i="1"/>
  <c r="BV39" i="1"/>
  <c r="BT134" i="1"/>
  <c r="AZ47" i="1"/>
  <c r="BL115" i="1"/>
  <c r="E128" i="1"/>
  <c r="H128" i="1"/>
  <c r="S128" i="1"/>
  <c r="F39" i="1"/>
  <c r="D128" i="1"/>
  <c r="Z128" i="1"/>
  <c r="C128" i="1"/>
  <c r="W128" i="1"/>
  <c r="AQ46" i="1"/>
  <c r="AL108" i="1"/>
  <c r="AL109" i="1" s="1"/>
  <c r="AL69" i="1" s="1"/>
  <c r="AL70" i="1" s="1"/>
  <c r="BD47" i="1"/>
  <c r="BD50" i="1" s="1"/>
  <c r="BD52" i="1" s="1"/>
  <c r="BD56" i="1" s="1"/>
  <c r="N128" i="1"/>
  <c r="AU47" i="1"/>
  <c r="AU50" i="1" s="1"/>
  <c r="AU52" i="1" s="1"/>
  <c r="AU56" i="1" s="1"/>
  <c r="BR39" i="1"/>
  <c r="BI47" i="1"/>
  <c r="BI50" i="1" s="1"/>
  <c r="BI52" i="1" s="1"/>
  <c r="BI56" i="1" s="1"/>
  <c r="BI60" i="1" s="1"/>
  <c r="BK47" i="1"/>
  <c r="BK50" i="1" s="1"/>
  <c r="BK52" i="1" s="1"/>
  <c r="BK56" i="1" s="1"/>
  <c r="AM46" i="1"/>
  <c r="AM47" i="1" s="1"/>
  <c r="AM50" i="1" s="1"/>
  <c r="AM52" i="1" s="1"/>
  <c r="AM56" i="1" s="1"/>
  <c r="AV47" i="1"/>
  <c r="J4" i="1"/>
  <c r="Q86" i="1"/>
  <c r="Q84" i="1" s="1"/>
  <c r="R86" i="1"/>
  <c r="R84" i="1" s="1"/>
  <c r="J136" i="1"/>
  <c r="J116" i="1"/>
  <c r="J9" i="1"/>
  <c r="BM46" i="1"/>
  <c r="BM47" i="1" s="1"/>
  <c r="O128" i="1"/>
  <c r="T4" i="1"/>
  <c r="N86" i="1"/>
  <c r="N84" i="1" s="1"/>
  <c r="Q47" i="1"/>
  <c r="Q50" i="1" s="1"/>
  <c r="Q52" i="1" s="1"/>
  <c r="Q56" i="1" s="1"/>
  <c r="I128" i="1"/>
  <c r="F128" i="1"/>
  <c r="Z86" i="1"/>
  <c r="B128" i="1"/>
  <c r="P86" i="1"/>
  <c r="P84" i="1" s="1"/>
  <c r="W86" i="1"/>
  <c r="B136" i="1"/>
  <c r="B116" i="1"/>
  <c r="AB63" i="1"/>
  <c r="CD63" i="1"/>
  <c r="CE63" i="1" s="1"/>
  <c r="CF63" i="1" s="1"/>
  <c r="CG63" i="1" s="1"/>
  <c r="D136" i="1"/>
  <c r="D9" i="1"/>
  <c r="D116" i="1"/>
  <c r="I9" i="1"/>
  <c r="I116" i="1"/>
  <c r="P9" i="1"/>
  <c r="P136" i="1"/>
  <c r="H47" i="1"/>
  <c r="H50" i="1" s="1"/>
  <c r="H52" i="1" s="1"/>
  <c r="H56" i="1" s="1"/>
  <c r="S86" i="1"/>
  <c r="S84" i="1" s="1"/>
  <c r="G128" i="1"/>
  <c r="B47" i="1"/>
  <c r="U86" i="1"/>
  <c r="U84" i="1" s="1"/>
  <c r="V128" i="1"/>
  <c r="Y128" i="1"/>
  <c r="AV108" i="1"/>
  <c r="BG39" i="1"/>
  <c r="BP108" i="1"/>
  <c r="BP109" i="1" s="1"/>
  <c r="AW47" i="1"/>
  <c r="AW50" i="1" s="1"/>
  <c r="AW52" i="1" s="1"/>
  <c r="AW56" i="1" s="1"/>
  <c r="AT108" i="1"/>
  <c r="AT109" i="1" s="1"/>
  <c r="AL122" i="1"/>
  <c r="AL125" i="1" s="1"/>
  <c r="AL128" i="1" s="1"/>
  <c r="AR122" i="1"/>
  <c r="BN108" i="1"/>
  <c r="BH47" i="1"/>
  <c r="BO39" i="1"/>
  <c r="BJ47" i="1"/>
  <c r="BJ50" i="1" s="1"/>
  <c r="BJ52" i="1" s="1"/>
  <c r="BJ56" i="1" s="1"/>
  <c r="BJ60" i="1" s="1"/>
  <c r="O47" i="1"/>
  <c r="C39" i="1"/>
  <c r="AP47" i="1"/>
  <c r="BG47" i="1"/>
  <c r="C116" i="1"/>
  <c r="I47" i="1"/>
  <c r="BJ39" i="1"/>
  <c r="AP39" i="1"/>
  <c r="J47" i="1"/>
  <c r="AN39" i="1"/>
  <c r="J128" i="1"/>
  <c r="Q4" i="1"/>
  <c r="X128" i="1"/>
  <c r="BA47" i="1"/>
  <c r="BA50" i="1" s="1"/>
  <c r="BA52" i="1" s="1"/>
  <c r="BA56" i="1" s="1"/>
  <c r="Q116" i="1"/>
  <c r="L47" i="1"/>
  <c r="L50" i="1" s="1"/>
  <c r="L52" i="1" s="1"/>
  <c r="L56" i="1" s="1"/>
  <c r="L87" i="1" s="1"/>
  <c r="E47" i="1"/>
  <c r="E50" i="1" s="1"/>
  <c r="E52" i="1" s="1"/>
  <c r="E56" i="1" s="1"/>
  <c r="O39" i="1"/>
  <c r="K128" i="1"/>
  <c r="P128" i="1"/>
  <c r="W136" i="1"/>
  <c r="W116" i="1"/>
  <c r="R38" i="1"/>
  <c r="S39" i="1" s="1"/>
  <c r="I4" i="1"/>
  <c r="H116" i="1"/>
  <c r="H9" i="1"/>
  <c r="L136" i="1"/>
  <c r="L9" i="1"/>
  <c r="L116" i="1"/>
  <c r="U4" i="1"/>
  <c r="U116" i="1"/>
  <c r="U9" i="1"/>
  <c r="F116" i="1"/>
  <c r="F9" i="1"/>
  <c r="Z136" i="1"/>
  <c r="Z116" i="1"/>
  <c r="S9" i="1"/>
  <c r="S136" i="1"/>
  <c r="S116" i="1"/>
  <c r="I86" i="1"/>
  <c r="I84" i="1" s="1"/>
  <c r="H86" i="1"/>
  <c r="H84" i="1" s="1"/>
  <c r="N4" i="1"/>
  <c r="N116" i="1"/>
  <c r="N9" i="1"/>
  <c r="U62" i="1"/>
  <c r="V64" i="1"/>
  <c r="V78" i="1" s="1"/>
  <c r="K9" i="1"/>
  <c r="K136" i="1"/>
  <c r="K116" i="1"/>
  <c r="AV39" i="1"/>
  <c r="AR47" i="1"/>
  <c r="E86" i="1"/>
  <c r="E84" i="1" s="1"/>
  <c r="F86" i="1"/>
  <c r="F84" i="1" s="1"/>
  <c r="BP80" i="1"/>
  <c r="BP135" i="1"/>
  <c r="BP81" i="1"/>
  <c r="AT81" i="1"/>
  <c r="AT80" i="1"/>
  <c r="BT108" i="1"/>
  <c r="BT109" i="1" s="1"/>
  <c r="P47" i="1"/>
  <c r="T39" i="1"/>
  <c r="T128" i="1"/>
  <c r="H39" i="1"/>
  <c r="M86" i="1"/>
  <c r="M84" i="1" s="1"/>
  <c r="L86" i="1"/>
  <c r="L84" i="1" s="1"/>
  <c r="X86" i="1"/>
  <c r="Y86" i="1"/>
  <c r="AJ108" i="1"/>
  <c r="E39" i="1"/>
  <c r="K47" i="1"/>
  <c r="K50" i="1" s="1"/>
  <c r="K52" i="1" s="1"/>
  <c r="K56" i="1" s="1"/>
  <c r="U128" i="1"/>
  <c r="D19" i="1"/>
  <c r="D21" i="1" s="1"/>
  <c r="D23" i="1" s="1"/>
  <c r="AH19" i="1"/>
  <c r="AH21" i="1" s="1"/>
  <c r="AH23" i="1" s="1"/>
  <c r="AL47" i="1"/>
  <c r="BA39" i="1"/>
  <c r="BN39" i="1"/>
  <c r="BT39" i="1"/>
  <c r="BF39" i="1"/>
  <c r="BL39" i="1"/>
  <c r="AQ39" i="1"/>
  <c r="BP39" i="1"/>
  <c r="BE39" i="1"/>
  <c r="I39" i="1"/>
  <c r="J39" i="1"/>
  <c r="AZ39" i="1"/>
  <c r="BD39" i="1"/>
  <c r="U39" i="1"/>
  <c r="D39" i="1"/>
  <c r="K39" i="1"/>
  <c r="BL122" i="1"/>
  <c r="BL125" i="1" s="1"/>
  <c r="BL128" i="1" s="1"/>
  <c r="BK108" i="1"/>
  <c r="Q39" i="1"/>
  <c r="AT115" i="1"/>
  <c r="AT136" i="1" s="1"/>
  <c r="BH39" i="1"/>
  <c r="BK39" i="1"/>
  <c r="BO108" i="1"/>
  <c r="AY39" i="1"/>
  <c r="BQ39" i="1"/>
  <c r="BM39" i="1"/>
  <c r="K4" i="1"/>
  <c r="M9" i="1"/>
  <c r="M116" i="1"/>
  <c r="M47" i="1"/>
  <c r="M39" i="1"/>
  <c r="N39" i="1"/>
  <c r="BB39" i="1"/>
  <c r="C50" i="1"/>
  <c r="C52" i="1" s="1"/>
  <c r="C56" i="1" s="1"/>
  <c r="AL39" i="1"/>
  <c r="AH47" i="1"/>
  <c r="AH108" i="1"/>
  <c r="BF47" i="1"/>
  <c r="AK122" i="1"/>
  <c r="BK122" i="1"/>
  <c r="BV122" i="1"/>
  <c r="AW108" i="1"/>
  <c r="AK108" i="1"/>
  <c r="BN122" i="1"/>
  <c r="AQ122" i="1"/>
  <c r="AN108" i="1"/>
  <c r="AR108" i="1"/>
  <c r="AW122" i="1"/>
  <c r="BT122" i="1"/>
  <c r="BT125" i="1" s="1"/>
  <c r="AL115" i="1"/>
  <c r="AL85" i="1"/>
  <c r="AT122" i="1"/>
  <c r="AT125" i="1" s="1"/>
  <c r="AT128" i="1" s="1"/>
  <c r="BL47" i="1"/>
  <c r="BM122" i="1"/>
  <c r="AU122" i="1"/>
  <c r="BQ108" i="1"/>
  <c r="AS47" i="1"/>
  <c r="F46" i="1"/>
  <c r="F47" i="1" s="1"/>
  <c r="BU47" i="1"/>
  <c r="BY48" i="1" s="1"/>
  <c r="BT85" i="1"/>
  <c r="O86" i="1"/>
  <c r="O84" i="1" s="1"/>
  <c r="AV122" i="1"/>
  <c r="AT85" i="1"/>
  <c r="BP115" i="1"/>
  <c r="BP136" i="1" s="1"/>
  <c r="BR108" i="1"/>
  <c r="BV108" i="1"/>
  <c r="AS108" i="1"/>
  <c r="AQ108" i="1"/>
  <c r="BH108" i="1"/>
  <c r="BA108" i="1"/>
  <c r="AN122" i="1"/>
  <c r="BC122" i="1"/>
  <c r="BC125" i="1" s="1"/>
  <c r="BC128" i="1" s="1"/>
  <c r="BC108" i="1"/>
  <c r="BC109" i="1" s="1"/>
  <c r="BP122" i="1"/>
  <c r="BP125" i="1" s="1"/>
  <c r="BP128" i="1" s="1"/>
  <c r="BA122" i="1"/>
  <c r="BE108" i="1"/>
  <c r="AJ122" i="1"/>
  <c r="BS108" i="1"/>
  <c r="AO108" i="1"/>
  <c r="X116" i="1"/>
  <c r="BD122" i="1"/>
  <c r="BG122" i="1"/>
  <c r="BO122" i="1"/>
  <c r="BJ108" i="1"/>
  <c r="AZ108" i="1"/>
  <c r="M4" i="1"/>
  <c r="R9" i="1"/>
  <c r="G116" i="1"/>
  <c r="P116" i="1"/>
  <c r="AU108" i="1"/>
  <c r="BS47" i="1"/>
  <c r="BM108" i="1"/>
  <c r="BE122" i="1"/>
  <c r="BG108" i="1"/>
  <c r="AS122" i="1"/>
  <c r="BD108" i="1"/>
  <c r="AZ122" i="1"/>
  <c r="BS122" i="1"/>
  <c r="AM122" i="1"/>
  <c r="L4" i="1"/>
  <c r="O4" i="1"/>
  <c r="R116" i="1"/>
  <c r="T9" i="1"/>
  <c r="T116" i="1"/>
  <c r="AP122" i="1"/>
  <c r="O9" i="1"/>
  <c r="AY122" i="1"/>
  <c r="BQ122" i="1"/>
  <c r="AX122" i="1"/>
  <c r="BH122" i="1"/>
  <c r="BU122" i="1"/>
  <c r="BI122" i="1"/>
  <c r="AI108" i="1"/>
  <c r="BJ122" i="1"/>
  <c r="AH122" i="1"/>
  <c r="AO122" i="1"/>
  <c r="F4" i="1"/>
  <c r="E116" i="1"/>
  <c r="AX47" i="1"/>
  <c r="V86" i="1"/>
  <c r="BP47" i="1"/>
  <c r="BC80" i="1"/>
  <c r="E9" i="1"/>
  <c r="D84" i="1"/>
  <c r="BR47" i="1"/>
  <c r="P4" i="1"/>
  <c r="D4" i="1"/>
  <c r="E4" i="1"/>
  <c r="G4" i="1"/>
  <c r="BR122" i="1"/>
  <c r="BC115" i="1"/>
  <c r="K86" i="1"/>
  <c r="K84" i="1" s="1"/>
  <c r="J86" i="1"/>
  <c r="J84" i="1" s="1"/>
  <c r="S47" i="1"/>
  <c r="O116" i="1"/>
  <c r="D47" i="1"/>
  <c r="H4" i="1"/>
  <c r="Q136" i="1"/>
  <c r="Q9" i="1"/>
  <c r="Y136" i="1"/>
  <c r="Y116" i="1"/>
  <c r="O136" i="1"/>
  <c r="AK47" i="1"/>
  <c r="N46" i="1"/>
  <c r="N47" i="1" s="1"/>
  <c r="U47" i="1"/>
  <c r="BB122" i="1"/>
  <c r="BT47" i="1"/>
  <c r="BX48" i="1" s="1"/>
  <c r="BN47" i="1"/>
  <c r="BC85" i="1"/>
  <c r="BL80" i="1"/>
  <c r="Y46" i="1"/>
  <c r="AY108" i="1"/>
  <c r="BF122" i="1"/>
  <c r="AX108" i="1"/>
  <c r="CE93" i="1"/>
  <c r="AO39" i="1" l="1"/>
  <c r="BI39" i="1"/>
  <c r="BQ47" i="1"/>
  <c r="BU39" i="1"/>
  <c r="AW39" i="1"/>
  <c r="AL81" i="1"/>
  <c r="BT115" i="1"/>
  <c r="V129" i="1"/>
  <c r="M129" i="1"/>
  <c r="BM86" i="1"/>
  <c r="BM84" i="1" s="1"/>
  <c r="BQ86" i="1"/>
  <c r="BQ84" i="1" s="1"/>
  <c r="BD86" i="1"/>
  <c r="BD84" i="1" s="1"/>
  <c r="AQ48" i="1"/>
  <c r="J5" i="1"/>
  <c r="N129" i="1"/>
  <c r="AV50" i="1"/>
  <c r="AV52" i="1" s="1"/>
  <c r="AV56" i="1" s="1"/>
  <c r="AZ48" i="1"/>
  <c r="E129" i="1"/>
  <c r="D129" i="1"/>
  <c r="W129" i="1"/>
  <c r="S129" i="1"/>
  <c r="BD48" i="1"/>
  <c r="Z129" i="1"/>
  <c r="BD60" i="1"/>
  <c r="BL116" i="1"/>
  <c r="BL129" i="1" s="1"/>
  <c r="BL136" i="1"/>
  <c r="U129" i="1"/>
  <c r="G5" i="1"/>
  <c r="BT9" i="1"/>
  <c r="L5" i="1"/>
  <c r="K5" i="1"/>
  <c r="B129" i="1"/>
  <c r="J129" i="1"/>
  <c r="G129" i="1"/>
  <c r="I129" i="1"/>
  <c r="L129" i="1"/>
  <c r="M5" i="1"/>
  <c r="F129" i="1"/>
  <c r="K129" i="1"/>
  <c r="L48" i="1"/>
  <c r="BA48" i="1"/>
  <c r="Y129" i="1"/>
  <c r="O48" i="1"/>
  <c r="G50" i="1"/>
  <c r="G52" i="1" s="1"/>
  <c r="G56" i="1" s="1"/>
  <c r="H48" i="1"/>
  <c r="AM4" i="1"/>
  <c r="CH63" i="1"/>
  <c r="CI63" i="1" s="1"/>
  <c r="CJ63" i="1" s="1"/>
  <c r="CK63" i="1" s="1"/>
  <c r="AC63" i="1"/>
  <c r="H60" i="1"/>
  <c r="H87" i="1"/>
  <c r="C48" i="1"/>
  <c r="B50" i="1"/>
  <c r="B52" i="1" s="1"/>
  <c r="B56" i="1" s="1"/>
  <c r="BH48" i="1"/>
  <c r="BH50" i="1"/>
  <c r="BH52" i="1" s="1"/>
  <c r="BH56" i="1" s="1"/>
  <c r="Q5" i="1"/>
  <c r="Q129" i="1"/>
  <c r="N5" i="1"/>
  <c r="U64" i="1"/>
  <c r="T62" i="1"/>
  <c r="AU86" i="1"/>
  <c r="AU84" i="1" s="1"/>
  <c r="BV48" i="1"/>
  <c r="AT9" i="1"/>
  <c r="AT132" i="1"/>
  <c r="BO48" i="1"/>
  <c r="C129" i="1"/>
  <c r="D5" i="1"/>
  <c r="R39" i="1"/>
  <c r="R47" i="1"/>
  <c r="S48" i="1" s="1"/>
  <c r="H129" i="1"/>
  <c r="I5" i="1"/>
  <c r="M48" i="1"/>
  <c r="AL132" i="1"/>
  <c r="X129" i="1"/>
  <c r="H5" i="1"/>
  <c r="P129" i="1"/>
  <c r="T5" i="1"/>
  <c r="O5" i="1"/>
  <c r="P48" i="1"/>
  <c r="O50" i="1"/>
  <c r="O52" i="1" s="1"/>
  <c r="O56" i="1" s="1"/>
  <c r="AT48" i="1"/>
  <c r="BK48" i="1"/>
  <c r="BG50" i="1"/>
  <c r="BG52" i="1" s="1"/>
  <c r="BG56" i="1" s="1"/>
  <c r="I48" i="1"/>
  <c r="I50" i="1"/>
  <c r="I52" i="1" s="1"/>
  <c r="I56" i="1" s="1"/>
  <c r="J48" i="1"/>
  <c r="J50" i="1"/>
  <c r="J52" i="1" s="1"/>
  <c r="J56" i="1" s="1"/>
  <c r="K57" i="1" s="1"/>
  <c r="K48" i="1"/>
  <c r="AR50" i="1"/>
  <c r="AR52" i="1" s="1"/>
  <c r="AV48" i="1"/>
  <c r="BU4" i="1"/>
  <c r="P50" i="1"/>
  <c r="P52" i="1" s="1"/>
  <c r="P56" i="1" s="1"/>
  <c r="Q48" i="1"/>
  <c r="AY48" i="1"/>
  <c r="AP48" i="1"/>
  <c r="AL50" i="1"/>
  <c r="AL52" i="1" s="1"/>
  <c r="AL56" i="1" s="1"/>
  <c r="BQ48" i="1"/>
  <c r="BM50" i="1"/>
  <c r="BM52" i="1" s="1"/>
  <c r="BM56" i="1" s="1"/>
  <c r="BP87" i="1" s="1"/>
  <c r="BM48" i="1"/>
  <c r="BT136" i="1"/>
  <c r="BT132" i="1"/>
  <c r="BT116" i="1"/>
  <c r="BA57" i="1"/>
  <c r="AH50" i="1"/>
  <c r="AH52" i="1" s="1"/>
  <c r="AH56" i="1" s="1"/>
  <c r="AL48" i="1"/>
  <c r="BT48" i="1"/>
  <c r="AU60" i="1"/>
  <c r="U48" i="1"/>
  <c r="T50" i="1"/>
  <c r="T52" i="1" s="1"/>
  <c r="T56" i="1" s="1"/>
  <c r="Q87" i="1"/>
  <c r="Q60" i="1"/>
  <c r="BU48" i="1"/>
  <c r="BQ50" i="1"/>
  <c r="BQ52" i="1" s="1"/>
  <c r="BQ56" i="1" s="1"/>
  <c r="BT87" i="1" s="1"/>
  <c r="L60" i="1"/>
  <c r="N48" i="1"/>
  <c r="M50" i="1"/>
  <c r="M52" i="1" s="1"/>
  <c r="M56" i="1" s="1"/>
  <c r="C60" i="1"/>
  <c r="BA60" i="1"/>
  <c r="AU4" i="1"/>
  <c r="BF50" i="1"/>
  <c r="BJ48" i="1"/>
  <c r="BL50" i="1"/>
  <c r="BL52" i="1" s="1"/>
  <c r="BL56" i="1" s="1"/>
  <c r="BP48" i="1"/>
  <c r="BL48" i="1"/>
  <c r="AS50" i="1"/>
  <c r="AS52" i="1" s="1"/>
  <c r="AS56" i="1" s="1"/>
  <c r="AW48" i="1"/>
  <c r="F50" i="1"/>
  <c r="F52" i="1" s="1"/>
  <c r="F56" i="1" s="1"/>
  <c r="F57" i="1" s="1"/>
  <c r="G48" i="1"/>
  <c r="F48" i="1"/>
  <c r="BD4" i="1"/>
  <c r="BC50" i="1"/>
  <c r="BC52" i="1" s="1"/>
  <c r="BC56" i="1" s="1"/>
  <c r="BG48" i="1"/>
  <c r="BW48" i="1"/>
  <c r="S5" i="1"/>
  <c r="R5" i="1"/>
  <c r="R129" i="1"/>
  <c r="AX50" i="1"/>
  <c r="AX52" i="1" s="1"/>
  <c r="AX56" i="1" s="1"/>
  <c r="BB48" i="1"/>
  <c r="BE48" i="1"/>
  <c r="T48" i="1"/>
  <c r="E87" i="1"/>
  <c r="D48" i="1"/>
  <c r="E48" i="1"/>
  <c r="AK50" i="1"/>
  <c r="AK52" i="1" s="1"/>
  <c r="AK56" i="1" s="1"/>
  <c r="AO48" i="1"/>
  <c r="BR48" i="1"/>
  <c r="BN48" i="1"/>
  <c r="AM65" i="1"/>
  <c r="L57" i="1"/>
  <c r="AT116" i="1"/>
  <c r="BC116" i="1"/>
  <c r="BP116" i="1"/>
  <c r="BP129" i="1" s="1"/>
  <c r="BU86" i="1"/>
  <c r="BU84" i="1" s="1"/>
  <c r="BC9" i="1"/>
  <c r="AL116" i="1"/>
  <c r="AL129" i="1" s="1"/>
  <c r="AL9" i="1"/>
  <c r="AL136" i="1"/>
  <c r="BU50" i="1"/>
  <c r="BU52" i="1" s="1"/>
  <c r="BU56" i="1" s="1"/>
  <c r="BY57" i="1" s="1"/>
  <c r="AL102" i="1"/>
  <c r="AL103" i="1"/>
  <c r="AM86" i="1"/>
  <c r="AM84" i="1" s="1"/>
  <c r="BS50" i="1"/>
  <c r="BS52" i="1" s="1"/>
  <c r="BS56" i="1" s="1"/>
  <c r="T129" i="1"/>
  <c r="O129" i="1"/>
  <c r="U5" i="1"/>
  <c r="P5" i="1"/>
  <c r="S50" i="1"/>
  <c r="S52" i="1" s="1"/>
  <c r="S56" i="1" s="1"/>
  <c r="BT50" i="1"/>
  <c r="BT52" i="1" s="1"/>
  <c r="BT56" i="1" s="1"/>
  <c r="BX57" i="1" s="1"/>
  <c r="E60" i="1"/>
  <c r="F5" i="1"/>
  <c r="BC136" i="1"/>
  <c r="BC132" i="1"/>
  <c r="N50" i="1"/>
  <c r="N52" i="1" s="1"/>
  <c r="N56" i="1" s="1"/>
  <c r="BP50" i="1"/>
  <c r="BP52" i="1" s="1"/>
  <c r="BP56" i="1" s="1"/>
  <c r="BR50" i="1"/>
  <c r="BR52" i="1" s="1"/>
  <c r="BR56" i="1" s="1"/>
  <c r="E5" i="1"/>
  <c r="BN50" i="1"/>
  <c r="BN52" i="1" s="1"/>
  <c r="BN56" i="1" s="1"/>
  <c r="U50" i="1"/>
  <c r="U52" i="1" s="1"/>
  <c r="U56" i="1" s="1"/>
  <c r="D50" i="1"/>
  <c r="D52" i="1" s="1"/>
  <c r="D56" i="1" s="1"/>
  <c r="AM60" i="1"/>
  <c r="AW60" i="1"/>
  <c r="BK60" i="1"/>
  <c r="K87" i="1"/>
  <c r="K60" i="1"/>
  <c r="CF93" i="1"/>
  <c r="AV60" i="1" l="1"/>
  <c r="AP57" i="1"/>
  <c r="J7" i="1"/>
  <c r="K20" i="1"/>
  <c r="K18" i="1"/>
  <c r="K15" i="1"/>
  <c r="K13" i="1"/>
  <c r="K22" i="1"/>
  <c r="K12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BH57" i="1"/>
  <c r="BH60" i="1"/>
  <c r="R13" i="1"/>
  <c r="R20" i="1"/>
  <c r="R22" i="1"/>
  <c r="R12" i="1"/>
  <c r="AH65" i="1"/>
  <c r="AH60" i="1"/>
  <c r="R15" i="1"/>
  <c r="R18" i="1"/>
  <c r="C57" i="1"/>
  <c r="B60" i="1"/>
  <c r="BO57" i="1"/>
  <c r="BL57" i="1"/>
  <c r="O57" i="1"/>
  <c r="BV57" i="1"/>
  <c r="BM60" i="1"/>
  <c r="BM57" i="1"/>
  <c r="BU5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9" i="1"/>
  <c r="U78" i="1"/>
  <c r="T64" i="1"/>
  <c r="T69" i="1" s="1"/>
  <c r="S62" i="1"/>
  <c r="BG60" i="1"/>
  <c r="BK57" i="1"/>
  <c r="I57" i="1"/>
  <c r="J57" i="1"/>
  <c r="I60" i="1"/>
  <c r="I87" i="1"/>
  <c r="P60" i="1"/>
  <c r="Q57" i="1"/>
  <c r="P87" i="1"/>
  <c r="P57" i="1"/>
  <c r="AO57" i="1"/>
  <c r="AK65" i="1"/>
  <c r="AK60" i="1"/>
  <c r="G60" i="1"/>
  <c r="G87" i="1"/>
  <c r="H57" i="1"/>
  <c r="AD63" i="1"/>
  <c r="CL63" i="1"/>
  <c r="CM63" i="1" s="1"/>
  <c r="CN63" i="1" s="1"/>
  <c r="CO63" i="1" s="1"/>
  <c r="AE63" i="1" s="1"/>
  <c r="P22" i="1"/>
  <c r="P20" i="1"/>
  <c r="P18" i="1"/>
  <c r="P13" i="1"/>
  <c r="P15" i="1"/>
  <c r="P12" i="1"/>
  <c r="O7" i="1"/>
  <c r="J60" i="1"/>
  <c r="J87" i="1"/>
  <c r="BC129" i="1"/>
  <c r="BD5" i="1"/>
  <c r="AY57" i="1"/>
  <c r="D7" i="1"/>
  <c r="E20" i="1"/>
  <c r="E13" i="1"/>
  <c r="E12" i="1"/>
  <c r="E15" i="1"/>
  <c r="E22" i="1"/>
  <c r="E18" i="1"/>
  <c r="R50" i="1"/>
  <c r="R52" i="1" s="1"/>
  <c r="R56" i="1" s="1"/>
  <c r="S57" i="1" s="1"/>
  <c r="R48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0" i="1"/>
  <c r="O87" i="1"/>
  <c r="BT57" i="1"/>
  <c r="AL60" i="1"/>
  <c r="AL65" i="1"/>
  <c r="AL57" i="1"/>
  <c r="BC60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AT129" i="1"/>
  <c r="F12" i="1"/>
  <c r="F22" i="1"/>
  <c r="BG57" i="1"/>
  <c r="AQ57" i="1"/>
  <c r="BQ57" i="1"/>
  <c r="BQ60" i="1"/>
  <c r="M57" i="1"/>
  <c r="M87" i="1"/>
  <c r="M60" i="1"/>
  <c r="AW57" i="1"/>
  <c r="AS60" i="1"/>
  <c r="AS65" i="1"/>
  <c r="G57" i="1"/>
  <c r="F87" i="1"/>
  <c r="F60" i="1"/>
  <c r="T60" i="1"/>
  <c r="T87" i="1"/>
  <c r="U57" i="1"/>
  <c r="BP57" i="1"/>
  <c r="BL60" i="1"/>
  <c r="N57" i="1"/>
  <c r="BU57" i="1"/>
  <c r="AU5" i="1"/>
  <c r="BW57" i="1"/>
  <c r="Q18" i="1"/>
  <c r="Q13" i="1"/>
  <c r="Q22" i="1"/>
  <c r="Q7" i="1"/>
  <c r="Q20" i="1"/>
  <c r="T57" i="1"/>
  <c r="G12" i="1"/>
  <c r="G13" i="1"/>
  <c r="G14" i="1" s="1"/>
  <c r="G18" i="1"/>
  <c r="BR57" i="1"/>
  <c r="BN57" i="1"/>
  <c r="D57" i="1"/>
  <c r="E57" i="1"/>
  <c r="AZ57" i="1"/>
  <c r="BE57" i="1"/>
  <c r="BB57" i="1"/>
  <c r="AM5" i="1"/>
  <c r="BU60" i="1"/>
  <c r="G15" i="1"/>
  <c r="F7" i="1"/>
  <c r="F20" i="1"/>
  <c r="F18" i="1"/>
  <c r="U7" i="1"/>
  <c r="V12" i="1"/>
  <c r="BS60" i="1"/>
  <c r="D60" i="1"/>
  <c r="D87" i="1"/>
  <c r="N87" i="1"/>
  <c r="N60" i="1"/>
  <c r="F15" i="1"/>
  <c r="Q12" i="1"/>
  <c r="G20" i="1"/>
  <c r="S60" i="1"/>
  <c r="S87" i="1"/>
  <c r="F13" i="1"/>
  <c r="G22" i="1"/>
  <c r="U87" i="1"/>
  <c r="U65" i="1"/>
  <c r="U66" i="1" s="1"/>
  <c r="U60" i="1"/>
  <c r="BP60" i="1"/>
  <c r="E7" i="1"/>
  <c r="Q15" i="1"/>
  <c r="G7" i="1"/>
  <c r="BN60" i="1"/>
  <c r="BR60" i="1"/>
  <c r="AX60" i="1"/>
  <c r="CG93" i="1"/>
  <c r="AC93" i="1" s="1"/>
  <c r="Y64" i="1"/>
  <c r="Y78" i="1" s="1"/>
  <c r="N14" i="1" l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K14" i="1"/>
  <c r="K17" i="1" s="1"/>
  <c r="K19" i="1" s="1"/>
  <c r="K21" i="1" s="1"/>
  <c r="K23" i="1" s="1"/>
  <c r="P14" i="1"/>
  <c r="P17" i="1" s="1"/>
  <c r="P19" i="1" s="1"/>
  <c r="P21" i="1" s="1"/>
  <c r="P23" i="1" s="1"/>
  <c r="H14" i="1"/>
  <c r="H17" i="1" s="1"/>
  <c r="H19" i="1" s="1"/>
  <c r="H21" i="1" s="1"/>
  <c r="H23" i="1" s="1"/>
  <c r="I14" i="1"/>
  <c r="I17" i="1" s="1"/>
  <c r="I19" i="1" s="1"/>
  <c r="I21" i="1" s="1"/>
  <c r="I23" i="1" s="1"/>
  <c r="R14" i="1"/>
  <c r="M14" i="1"/>
  <c r="M17" i="1" s="1"/>
  <c r="M19" i="1" s="1"/>
  <c r="M21" i="1" s="1"/>
  <c r="M23" i="1" s="1"/>
  <c r="R17" i="1"/>
  <c r="R19" i="1" s="1"/>
  <c r="R21" i="1" s="1"/>
  <c r="R23" i="1" s="1"/>
  <c r="BV20" i="1"/>
  <c r="BV12" i="1"/>
  <c r="BV18" i="1"/>
  <c r="BV15" i="1"/>
  <c r="BV22" i="1"/>
  <c r="S64" i="1"/>
  <c r="R62" i="1"/>
  <c r="L14" i="1"/>
  <c r="L17" i="1" s="1"/>
  <c r="L19" i="1" s="1"/>
  <c r="L21" i="1" s="1"/>
  <c r="L23" i="1" s="1"/>
  <c r="U70" i="1"/>
  <c r="T78" i="1"/>
  <c r="T70" i="1" s="1"/>
  <c r="T65" i="1"/>
  <c r="T66" i="1" s="1"/>
  <c r="F14" i="1"/>
  <c r="F17" i="1" s="1"/>
  <c r="F19" i="1" s="1"/>
  <c r="F21" i="1" s="1"/>
  <c r="F23" i="1" s="1"/>
  <c r="BE20" i="1"/>
  <c r="BE12" i="1"/>
  <c r="BE22" i="1"/>
  <c r="BE13" i="1"/>
  <c r="BE15" i="1"/>
  <c r="AN18" i="1"/>
  <c r="AN20" i="1"/>
  <c r="R87" i="1"/>
  <c r="R60" i="1"/>
  <c r="R57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AV15" i="1"/>
  <c r="AV18" i="1"/>
  <c r="AV13" i="1"/>
  <c r="AV12" i="1"/>
  <c r="AV22" i="1"/>
  <c r="AV20" i="1"/>
  <c r="G17" i="1"/>
  <c r="G19" i="1" s="1"/>
  <c r="G21" i="1" s="1"/>
  <c r="G23" i="1" s="1"/>
  <c r="AN22" i="1"/>
  <c r="AN13" i="1"/>
  <c r="CH93" i="1"/>
  <c r="AV14" i="1" l="1"/>
  <c r="AV17" i="1" s="1"/>
  <c r="AV19" i="1" s="1"/>
  <c r="AV21" i="1" s="1"/>
  <c r="AV23" i="1" s="1"/>
  <c r="S65" i="1"/>
  <c r="S66" i="1" s="1"/>
  <c r="S78" i="1"/>
  <c r="S69" i="1"/>
  <c r="Q62" i="1"/>
  <c r="R64" i="1"/>
  <c r="U101" i="1"/>
  <c r="U102" i="1"/>
  <c r="U103" i="1"/>
  <c r="T101" i="1"/>
  <c r="T102" i="1"/>
  <c r="T103" i="1"/>
  <c r="BE14" i="1"/>
  <c r="BE17" i="1" s="1"/>
  <c r="CI93" i="1"/>
  <c r="Z64" i="1"/>
  <c r="Z78" i="1" s="1"/>
  <c r="S70" i="1" l="1"/>
  <c r="Q64" i="1"/>
  <c r="P62" i="1"/>
  <c r="R65" i="1"/>
  <c r="R66" i="1" s="1"/>
  <c r="R69" i="1"/>
  <c r="R78" i="1"/>
  <c r="CA113" i="1"/>
  <c r="CJ93" i="1"/>
  <c r="S101" i="1" l="1"/>
  <c r="S103" i="1"/>
  <c r="S102" i="1"/>
  <c r="R70" i="1"/>
  <c r="R103" i="1" s="1"/>
  <c r="Q69" i="1"/>
  <c r="Q65" i="1"/>
  <c r="Q66" i="1" s="1"/>
  <c r="Q78" i="1"/>
  <c r="P64" i="1"/>
  <c r="P65" i="1" s="1"/>
  <c r="P66" i="1" s="1"/>
  <c r="O62" i="1"/>
  <c r="CA115" i="1"/>
  <c r="CK93" i="1"/>
  <c r="AD93" i="1" s="1"/>
  <c r="V20" i="1"/>
  <c r="V15" i="1"/>
  <c r="R101" i="1" l="1"/>
  <c r="R102" i="1"/>
  <c r="Q70" i="1"/>
  <c r="Q101" i="1" s="1"/>
  <c r="P78" i="1"/>
  <c r="P69" i="1"/>
  <c r="O64" i="1"/>
  <c r="N62" i="1"/>
  <c r="CL93" i="1"/>
  <c r="V18" i="1"/>
  <c r="Q103" i="1" l="1"/>
  <c r="Q102" i="1"/>
  <c r="P70" i="1"/>
  <c r="P102" i="1" s="1"/>
  <c r="O65" i="1"/>
  <c r="O66" i="1" s="1"/>
  <c r="O69" i="1"/>
  <c r="O78" i="1"/>
  <c r="N64" i="1"/>
  <c r="N78" i="1" s="1"/>
  <c r="M62" i="1"/>
  <c r="L62" i="1" s="1"/>
  <c r="M64" i="1"/>
  <c r="CM93" i="1"/>
  <c r="V13" i="1"/>
  <c r="V14" i="1" s="1"/>
  <c r="V17" i="1" s="1"/>
  <c r="V36" i="1"/>
  <c r="P103" i="1" l="1"/>
  <c r="P101" i="1"/>
  <c r="N65" i="1"/>
  <c r="N66" i="1" s="1"/>
  <c r="O70" i="1"/>
  <c r="N69" i="1"/>
  <c r="CE113" i="1"/>
  <c r="M65" i="1"/>
  <c r="M66" i="1" s="1"/>
  <c r="M69" i="1"/>
  <c r="M78" i="1"/>
  <c r="L64" i="1"/>
  <c r="K62" i="1"/>
  <c r="CN93" i="1"/>
  <c r="V38" i="1"/>
  <c r="V84" i="1"/>
  <c r="V19" i="1"/>
  <c r="V21" i="1" s="1"/>
  <c r="N70" i="1" l="1"/>
  <c r="O103" i="1"/>
  <c r="O101" i="1"/>
  <c r="O102" i="1"/>
  <c r="CE115" i="1"/>
  <c r="N101" i="1"/>
  <c r="N103" i="1"/>
  <c r="N102" i="1"/>
  <c r="L69" i="1"/>
  <c r="L65" i="1"/>
  <c r="L66" i="1" s="1"/>
  <c r="L78" i="1"/>
  <c r="K64" i="1"/>
  <c r="J62" i="1"/>
  <c r="M70" i="1"/>
  <c r="V47" i="1"/>
  <c r="V50" i="1" s="1"/>
  <c r="V39" i="1"/>
  <c r="CC64" i="1"/>
  <c r="CO93" i="1"/>
  <c r="AE93" i="1" s="1"/>
  <c r="CI113" i="1" l="1"/>
  <c r="K65" i="1"/>
  <c r="K66" i="1" s="1"/>
  <c r="K69" i="1"/>
  <c r="K78" i="1"/>
  <c r="J64" i="1"/>
  <c r="I62" i="1"/>
  <c r="M103" i="1"/>
  <c r="M101" i="1"/>
  <c r="M102" i="1"/>
  <c r="V48" i="1"/>
  <c r="L70" i="1"/>
  <c r="CD64" i="1"/>
  <c r="V22" i="1"/>
  <c r="V23" i="1" s="1"/>
  <c r="CI115" i="1" l="1"/>
  <c r="J69" i="1"/>
  <c r="J65" i="1"/>
  <c r="J66" i="1" s="1"/>
  <c r="J78" i="1"/>
  <c r="I64" i="1"/>
  <c r="H62" i="1"/>
  <c r="L103" i="1"/>
  <c r="L101" i="1"/>
  <c r="L102" i="1"/>
  <c r="K70" i="1"/>
  <c r="V52" i="1"/>
  <c r="V56" i="1" s="1"/>
  <c r="I69" i="1" l="1"/>
  <c r="I65" i="1"/>
  <c r="I66" i="1" s="1"/>
  <c r="I78" i="1"/>
  <c r="H64" i="1"/>
  <c r="G62" i="1"/>
  <c r="K101" i="1"/>
  <c r="K102" i="1"/>
  <c r="K103" i="1"/>
  <c r="J70" i="1"/>
  <c r="V87" i="1"/>
  <c r="V57" i="1"/>
  <c r="V60" i="1"/>
  <c r="V65" i="1"/>
  <c r="V66" i="1" s="1"/>
  <c r="V69" i="1"/>
  <c r="V70" i="1" s="1"/>
  <c r="V101" i="1" s="1"/>
  <c r="H65" i="1" l="1"/>
  <c r="H66" i="1" s="1"/>
  <c r="H69" i="1"/>
  <c r="H78" i="1"/>
  <c r="G64" i="1"/>
  <c r="F62" i="1"/>
  <c r="J101" i="1"/>
  <c r="J102" i="1"/>
  <c r="J103" i="1"/>
  <c r="I70" i="1"/>
  <c r="CG64" i="1"/>
  <c r="AC62" i="1"/>
  <c r="AC64" i="1" s="1"/>
  <c r="V103" i="1"/>
  <c r="V102" i="1"/>
  <c r="V4" i="1"/>
  <c r="V9" i="1"/>
  <c r="CM113" i="1" l="1"/>
  <c r="G65" i="1"/>
  <c r="G66" i="1" s="1"/>
  <c r="G69" i="1"/>
  <c r="G78" i="1"/>
  <c r="F64" i="1"/>
  <c r="E62" i="1"/>
  <c r="I102" i="1"/>
  <c r="I103" i="1"/>
  <c r="I101" i="1"/>
  <c r="H70" i="1"/>
  <c r="V5" i="1"/>
  <c r="V7" i="1" s="1"/>
  <c r="CM115" i="1" l="1"/>
  <c r="F65" i="1"/>
  <c r="F66" i="1" s="1"/>
  <c r="F69" i="1"/>
  <c r="F78" i="1"/>
  <c r="E64" i="1"/>
  <c r="D62" i="1"/>
  <c r="H103" i="1"/>
  <c r="H102" i="1"/>
  <c r="H101" i="1"/>
  <c r="G70" i="1"/>
  <c r="E65" i="1" l="1"/>
  <c r="E66" i="1" s="1"/>
  <c r="E69" i="1"/>
  <c r="E78" i="1"/>
  <c r="D64" i="1"/>
  <c r="C62" i="1"/>
  <c r="G103" i="1"/>
  <c r="G101" i="1"/>
  <c r="G102" i="1"/>
  <c r="F70" i="1"/>
  <c r="D65" i="1" l="1"/>
  <c r="D66" i="1" s="1"/>
  <c r="D69" i="1"/>
  <c r="D78" i="1"/>
  <c r="C64" i="1"/>
  <c r="B62" i="1"/>
  <c r="B64" i="1" s="1"/>
  <c r="F101" i="1"/>
  <c r="F103" i="1"/>
  <c r="F102" i="1"/>
  <c r="E70" i="1"/>
  <c r="CK64" i="1"/>
  <c r="AD62" i="1"/>
  <c r="AD64" i="1" s="1"/>
  <c r="C65" i="1" l="1"/>
  <c r="C69" i="1"/>
  <c r="C78" i="1"/>
  <c r="B65" i="1"/>
  <c r="B69" i="1"/>
  <c r="E103" i="1"/>
  <c r="E101" i="1"/>
  <c r="E102" i="1"/>
  <c r="D70" i="1"/>
  <c r="C102" i="1" l="1"/>
  <c r="C103" i="1"/>
  <c r="C66" i="1"/>
  <c r="B102" i="1"/>
  <c r="B103" i="1"/>
  <c r="B66" i="1"/>
  <c r="D102" i="1"/>
  <c r="D103" i="1"/>
  <c r="D101" i="1"/>
  <c r="C70" i="1"/>
  <c r="C101" i="1" s="1"/>
  <c r="CO64" i="1" l="1"/>
  <c r="W12" i="1"/>
  <c r="AE62" i="1" l="1"/>
  <c r="AE64" i="1" s="1"/>
  <c r="W36" i="1"/>
  <c r="W84" i="1" s="1"/>
  <c r="W13" i="1"/>
  <c r="W14" i="1" s="1"/>
  <c r="W15" i="1"/>
  <c r="W17" i="1" l="1"/>
  <c r="W38" i="1"/>
  <c r="W18" i="1"/>
  <c r="W39" i="1" l="1"/>
  <c r="W19" i="1"/>
  <c r="W47" i="1"/>
  <c r="W22" i="1"/>
  <c r="W48" i="1" l="1"/>
  <c r="W20" i="1"/>
  <c r="W21" i="1" s="1"/>
  <c r="W23" i="1" s="1"/>
  <c r="W50" i="1" l="1"/>
  <c r="W52" i="1" s="1"/>
  <c r="W56" i="1" s="1"/>
  <c r="W87" i="1" l="1"/>
  <c r="W57" i="1"/>
  <c r="W60" i="1"/>
  <c r="W65" i="1"/>
  <c r="W66" i="1" s="1"/>
  <c r="W69" i="1"/>
  <c r="W70" i="1" s="1"/>
  <c r="W101" i="1" s="1"/>
  <c r="W102" i="1" l="1"/>
  <c r="W103" i="1"/>
  <c r="W9" i="1"/>
  <c r="W4" i="1"/>
  <c r="W5" i="1" l="1"/>
  <c r="W7" i="1" s="1"/>
  <c r="BL132" i="1" l="1"/>
  <c r="BL9" i="1"/>
  <c r="X13" i="1" l="1"/>
  <c r="X12" i="1"/>
  <c r="X15" i="1"/>
  <c r="X14" i="1" l="1"/>
  <c r="X17" i="1" s="1"/>
  <c r="Y36" i="1"/>
  <c r="X36" i="1"/>
  <c r="X38" i="1" l="1"/>
  <c r="X84" i="1"/>
  <c r="Y38" i="1"/>
  <c r="Y84" i="1"/>
  <c r="X18" i="1"/>
  <c r="X19" i="1" s="1"/>
  <c r="X47" i="1" l="1"/>
  <c r="X50" i="1" s="1"/>
  <c r="Y39" i="1"/>
  <c r="X39" i="1"/>
  <c r="Y47" i="1"/>
  <c r="Y50" i="1" s="1"/>
  <c r="X48" i="1" l="1"/>
  <c r="Y48" i="1"/>
  <c r="X22" i="1"/>
  <c r="X20" i="1"/>
  <c r="X21" i="1" s="1"/>
  <c r="X23" i="1" l="1"/>
  <c r="X52" i="1"/>
  <c r="X56" i="1" s="1"/>
  <c r="Y52" i="1"/>
  <c r="Y56" i="1" s="1"/>
  <c r="X87" i="1" l="1"/>
  <c r="Y57" i="1"/>
  <c r="X57" i="1"/>
  <c r="Y60" i="1"/>
  <c r="Y87" i="1"/>
  <c r="X60" i="1"/>
  <c r="X65" i="1"/>
  <c r="X66" i="1" s="1"/>
  <c r="X69" i="1"/>
  <c r="X70" i="1" s="1"/>
  <c r="X101" i="1" s="1"/>
  <c r="Y65" i="1"/>
  <c r="Y66" i="1" s="1"/>
  <c r="X102" i="1" l="1"/>
  <c r="X103" i="1"/>
  <c r="X9" i="1"/>
  <c r="X4" i="1"/>
  <c r="BM5" i="1"/>
  <c r="BM4" i="1"/>
  <c r="BN12" i="1" l="1"/>
  <c r="BN15" i="1"/>
  <c r="BN13" i="1"/>
  <c r="BN18" i="1"/>
  <c r="BN20" i="1"/>
  <c r="BN22" i="1"/>
  <c r="X5" i="1"/>
  <c r="BN14" i="1" l="1"/>
  <c r="BN17" i="1" s="1"/>
  <c r="Y18" i="1"/>
  <c r="X7" i="1"/>
  <c r="Y13" i="1"/>
  <c r="Y12" i="1"/>
  <c r="Y15" i="1"/>
  <c r="Y20" i="1"/>
  <c r="Y22" i="1"/>
  <c r="BN19" i="1" l="1"/>
  <c r="BN21" i="1" s="1"/>
  <c r="BN23" i="1" s="1"/>
  <c r="Y14" i="1"/>
  <c r="Y17" i="1" s="1"/>
  <c r="BQ4" i="1"/>
  <c r="BP132" i="1"/>
  <c r="BP9" i="1"/>
  <c r="Y19" i="1" l="1"/>
  <c r="Y21" i="1" s="1"/>
  <c r="Y23" i="1" s="1"/>
  <c r="Y9" i="1"/>
  <c r="Y69" i="1"/>
  <c r="Y70" i="1" s="1"/>
  <c r="Y101" i="1" s="1"/>
  <c r="BQ5" i="1"/>
  <c r="Y102" i="1" l="1"/>
  <c r="Y103" i="1"/>
  <c r="BU7" i="1"/>
  <c r="BQ7" i="1"/>
  <c r="BR12" i="1"/>
  <c r="BR15" i="1"/>
  <c r="BR20" i="1"/>
  <c r="BR18" i="1"/>
  <c r="BR13" i="1"/>
  <c r="BR22" i="1"/>
  <c r="BR14" i="1" l="1"/>
  <c r="BR17" i="1" s="1"/>
  <c r="BR19" i="1" l="1"/>
  <c r="BR21" i="1" s="1"/>
  <c r="BR23" i="1" s="1"/>
  <c r="BR24" i="1" s="1"/>
  <c r="Z36" i="1" l="1"/>
  <c r="Z38" i="1" l="1"/>
  <c r="AA39" i="1" s="1"/>
  <c r="Z84" i="1"/>
  <c r="Z39" i="1" l="1"/>
  <c r="Z47" i="1"/>
  <c r="AA48" i="1" s="1"/>
  <c r="Z48" i="1" l="1"/>
  <c r="Z50" i="1"/>
  <c r="Z52" i="1" l="1"/>
  <c r="Z56" i="1" s="1"/>
  <c r="AA57" i="1" s="1"/>
  <c r="Z87" i="1" l="1"/>
  <c r="Z57" i="1"/>
  <c r="Z60" i="1"/>
  <c r="Z65" i="1"/>
  <c r="Z66" i="1" s="1"/>
  <c r="Z9" i="1"/>
  <c r="Z69" i="1"/>
  <c r="Z70" i="1" s="1"/>
  <c r="Z101" i="1" s="1"/>
  <c r="Z102" i="1" l="1"/>
  <c r="Z103" i="1"/>
  <c r="AA9" i="1" l="1"/>
  <c r="CB57" i="1" l="1"/>
  <c r="AB41" i="1" l="1"/>
  <c r="CC57" i="1" l="1"/>
  <c r="AC41" i="1" l="1"/>
  <c r="AD41" i="1" l="1"/>
  <c r="AE41" i="1" l="1"/>
  <c r="CA102" i="1" l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B119" i="1"/>
  <c r="CA119" i="1"/>
  <c r="AA30" i="1"/>
  <c r="CE119" i="1" l="1"/>
  <c r="CA30" i="1"/>
  <c r="CE30" i="1" l="1"/>
  <c r="CF119" i="1" l="1"/>
  <c r="CI119" i="1" l="1"/>
  <c r="CI30" i="1" l="1"/>
  <c r="CM119" i="1"/>
  <c r="CJ119" i="1"/>
  <c r="CM30" i="1" l="1"/>
  <c r="CN119" i="1"/>
  <c r="JR14" i="132" l="1"/>
  <c r="JR19" i="132"/>
  <c r="BY94" i="1"/>
  <c r="JR9" i="132"/>
  <c r="JS15" i="132"/>
  <c r="JW9" i="132"/>
  <c r="JZ9" i="132"/>
  <c r="JZ7" i="132"/>
  <c r="JZ14" i="132"/>
  <c r="JZ19" i="132"/>
  <c r="KA15" i="132"/>
  <c r="JX16" i="132"/>
  <c r="KC16" i="132"/>
  <c r="KC21" i="132"/>
  <c r="JR15" i="132"/>
  <c r="JR20" i="132"/>
  <c r="BY95" i="1"/>
  <c r="KE7" i="132"/>
  <c r="JS9" i="132"/>
  <c r="JS16" i="132"/>
  <c r="JS21" i="132"/>
  <c r="KB8" i="132"/>
  <c r="KF16" i="132"/>
  <c r="KB16" i="132"/>
  <c r="KH16" i="132"/>
  <c r="KA7" i="132"/>
  <c r="JU9" i="132"/>
  <c r="JU21" i="132"/>
  <c r="KD16" i="132"/>
  <c r="KE9" i="132"/>
  <c r="KF7" i="132"/>
  <c r="JT16" i="132"/>
  <c r="KF14" i="132"/>
  <c r="KA9" i="132"/>
  <c r="JV9" i="132"/>
  <c r="KD7" i="132"/>
  <c r="JZ16" i="132"/>
  <c r="JR7" i="132"/>
  <c r="JQ15" i="132"/>
  <c r="JR16" i="132"/>
  <c r="JR21" i="132"/>
  <c r="BY93" i="1"/>
  <c r="JS14" i="132"/>
  <c r="JS19" i="132"/>
  <c r="KC8" i="132"/>
  <c r="KD9" i="132"/>
  <c r="JT8" i="132"/>
  <c r="JV16" i="132"/>
  <c r="KF9" i="132"/>
  <c r="JY9" i="132"/>
  <c r="JX9" i="132"/>
  <c r="JT9" i="132"/>
  <c r="KB9" i="132"/>
  <c r="KB21" i="132"/>
  <c r="JT21" i="132"/>
  <c r="BY107" i="1"/>
  <c r="BY109" i="1"/>
  <c r="BY69" i="1"/>
  <c r="BY70" i="1"/>
  <c r="BY101" i="1"/>
  <c r="JQ20" i="132"/>
  <c r="BX95" i="1"/>
  <c r="KE16" i="132"/>
  <c r="KH9" i="132"/>
  <c r="JX15" i="132"/>
  <c r="JX20" i="132"/>
  <c r="JQ9" i="132"/>
  <c r="KC9" i="132"/>
  <c r="JY8" i="132"/>
  <c r="JW16" i="132"/>
  <c r="KG16" i="132"/>
  <c r="KG21" i="132"/>
  <c r="JQ16" i="132"/>
  <c r="KB15" i="132"/>
  <c r="KB20" i="132"/>
  <c r="JY16" i="132"/>
  <c r="KD21" i="132"/>
  <c r="KF19" i="132"/>
  <c r="JW21" i="132"/>
  <c r="KH21" i="132"/>
  <c r="KA20" i="132"/>
  <c r="JV21" i="132"/>
  <c r="JZ21" i="132"/>
  <c r="JS20" i="132"/>
  <c r="KE21" i="132"/>
  <c r="KF21" i="132"/>
  <c r="JX21" i="132"/>
  <c r="JQ21" i="132"/>
  <c r="BX93" i="1"/>
  <c r="JY21" i="132"/>
  <c r="KG9" i="132"/>
  <c r="BW107" i="1"/>
  <c r="BW109" i="1"/>
  <c r="BW116" i="1"/>
  <c r="BX5" i="1"/>
  <c r="BY12" i="1"/>
  <c r="BY13" i="1"/>
  <c r="BY14" i="1"/>
  <c r="BY15" i="1"/>
  <c r="BY17" i="1"/>
  <c r="BY18" i="1"/>
  <c r="BY19" i="1"/>
  <c r="BY20" i="1"/>
  <c r="BY21" i="1"/>
  <c r="BY22" i="1"/>
  <c r="BY23" i="1"/>
  <c r="BY24" i="1"/>
  <c r="JJ9" i="132"/>
  <c r="JJ21" i="132"/>
  <c r="BQ93" i="1"/>
  <c r="HS9" i="132"/>
  <c r="IW8" i="132"/>
  <c r="AH83" i="1"/>
  <c r="IK15" i="132"/>
  <c r="BW73" i="1"/>
  <c r="IP9" i="132"/>
  <c r="BY111" i="1"/>
  <c r="IX9" i="132"/>
  <c r="AU83" i="1"/>
  <c r="IH9" i="132"/>
  <c r="AO83" i="1"/>
  <c r="BW72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BH83" i="1"/>
  <c r="HZ16" i="132"/>
  <c r="AX83" i="1"/>
  <c r="BW37" i="1"/>
  <c r="IG14" i="132"/>
  <c r="AY83" i="1"/>
  <c r="IV9" i="132"/>
  <c r="JN9" i="132"/>
  <c r="IW16" i="132"/>
  <c r="IW21" i="132"/>
  <c r="BD93" i="1"/>
  <c r="JH16" i="132"/>
  <c r="AS83" i="1"/>
  <c r="BW40" i="1"/>
  <c r="IE16" i="132"/>
  <c r="IE21" i="132"/>
  <c r="AL93" i="1"/>
  <c r="HY16" i="132"/>
  <c r="HY21" i="132"/>
  <c r="BO83" i="1"/>
  <c r="HW16" i="132"/>
  <c r="HW21" i="132"/>
  <c r="BX118" i="1"/>
  <c r="BX85" i="1"/>
  <c r="IX8" i="132"/>
  <c r="BY123" i="1"/>
  <c r="HZ7" i="132"/>
  <c r="BX123" i="1"/>
  <c r="JP14" i="132"/>
  <c r="BX107" i="1"/>
  <c r="HU16" i="132"/>
  <c r="HU21" i="132"/>
  <c r="BV83" i="1"/>
  <c r="HQ7" i="132"/>
  <c r="JL14" i="132"/>
  <c r="IB16" i="132"/>
  <c r="IV15" i="132"/>
  <c r="IV20" i="132"/>
  <c r="BC95" i="1"/>
  <c r="JB7" i="132"/>
  <c r="HP14" i="132"/>
  <c r="JO9" i="132"/>
  <c r="HU8" i="132"/>
  <c r="JC9" i="132"/>
  <c r="JI9" i="132"/>
  <c r="HR16" i="132"/>
  <c r="IN7" i="132"/>
  <c r="IN9" i="132"/>
  <c r="BT83" i="1"/>
  <c r="JA9" i="132"/>
  <c r="BY118" i="1"/>
  <c r="HZ9" i="132"/>
  <c r="IU16" i="132"/>
  <c r="IU21" i="132"/>
  <c r="BB93" i="1"/>
  <c r="BF83" i="1"/>
  <c r="HY15" i="132"/>
  <c r="AT83" i="1"/>
  <c r="BY113" i="1"/>
  <c r="IN15" i="132"/>
  <c r="IH16" i="132"/>
  <c r="IH21" i="132"/>
  <c r="AO93" i="1"/>
  <c r="JE8" i="132"/>
  <c r="BW62" i="1"/>
  <c r="IJ14" i="132"/>
  <c r="BW74" i="1"/>
  <c r="IR16" i="132"/>
  <c r="IR21" i="132"/>
  <c r="AY93" i="1"/>
  <c r="IL14" i="132"/>
  <c r="JE16" i="132"/>
  <c r="JE21" i="132"/>
  <c r="BL93" i="1"/>
  <c r="BW59" i="1"/>
  <c r="AW83" i="1"/>
  <c r="HV16" i="132"/>
  <c r="HV21" i="132"/>
  <c r="IF9" i="132"/>
  <c r="JP15" i="132"/>
  <c r="JP20" i="132"/>
  <c r="BW95" i="1"/>
  <c r="AM83" i="1"/>
  <c r="ID15" i="132"/>
  <c r="BC83" i="1"/>
  <c r="JD7" i="132"/>
  <c r="HS8" i="132"/>
  <c r="HV14" i="132"/>
  <c r="BG83" i="1"/>
  <c r="IQ7" i="132"/>
  <c r="JG9" i="132"/>
  <c r="BW41" i="1"/>
  <c r="BW46" i="1"/>
  <c r="BL83" i="1"/>
  <c r="BY114" i="1"/>
  <c r="JL8" i="132"/>
  <c r="II9" i="132"/>
  <c r="JC15" i="132"/>
  <c r="IG9" i="132"/>
  <c r="JE7" i="132"/>
  <c r="JK15" i="132"/>
  <c r="HT15" i="132"/>
  <c r="IQ16" i="132"/>
  <c r="IQ21" i="132"/>
  <c r="AX93" i="1"/>
  <c r="IY8" i="132"/>
  <c r="IY7" i="132"/>
  <c r="AN83" i="1"/>
  <c r="IV16" i="132"/>
  <c r="IK8" i="132"/>
  <c r="HT8" i="132"/>
  <c r="IN16" i="132"/>
  <c r="IN21" i="132"/>
  <c r="AU93" i="1"/>
  <c r="JP16" i="132"/>
  <c r="II8" i="132"/>
  <c r="BW55" i="1"/>
  <c r="BW34" i="1"/>
  <c r="IA15" i="132"/>
  <c r="BB83" i="1"/>
  <c r="IM15" i="132"/>
  <c r="IM20" i="132"/>
  <c r="AT95" i="1"/>
  <c r="AQ83" i="1"/>
  <c r="BY119" i="1"/>
  <c r="IB9" i="132"/>
  <c r="HP16" i="132"/>
  <c r="AP83" i="1"/>
  <c r="BX121" i="1"/>
  <c r="HU7" i="132"/>
  <c r="IM16" i="132"/>
  <c r="BJ83" i="1"/>
  <c r="HW14" i="132"/>
  <c r="HW19" i="132"/>
  <c r="IF16" i="132"/>
  <c r="IF21" i="132"/>
  <c r="AM93" i="1"/>
  <c r="JN16" i="132"/>
  <c r="JN21" i="132"/>
  <c r="BU93" i="1"/>
  <c r="JF15" i="132"/>
  <c r="IK7" i="132"/>
  <c r="BK83" i="1"/>
  <c r="BP83" i="1"/>
  <c r="IQ15" i="132"/>
  <c r="IQ20" i="132"/>
  <c r="AX95" i="1"/>
  <c r="HT14" i="132"/>
  <c r="IO9" i="132"/>
  <c r="JJ7" i="132"/>
  <c r="HW7" i="132"/>
  <c r="AZ83" i="1"/>
  <c r="JO16" i="132"/>
  <c r="BX111" i="1"/>
  <c r="BX113" i="1"/>
  <c r="BX115" i="1"/>
  <c r="IP7" i="132"/>
  <c r="JO8" i="132"/>
  <c r="II7" i="132"/>
  <c r="IZ9" i="132"/>
  <c r="IZ21" i="132"/>
  <c r="BG93" i="1"/>
  <c r="HT7" i="132"/>
  <c r="BW76" i="1"/>
  <c r="HT20" i="132"/>
  <c r="HT19" i="132"/>
  <c r="HY20" i="132"/>
  <c r="IK20" i="132"/>
  <c r="AR95" i="1"/>
  <c r="BU113" i="1"/>
  <c r="BY134" i="1"/>
  <c r="BU119" i="1"/>
  <c r="BY135" i="1"/>
  <c r="BY115" i="1"/>
  <c r="BY136" i="1"/>
  <c r="BY28" i="1"/>
  <c r="BY30" i="1"/>
  <c r="BU115" i="1"/>
  <c r="BU111" i="1"/>
  <c r="BU107" i="1"/>
  <c r="BU109" i="1"/>
  <c r="BU116" i="1"/>
  <c r="BV5" i="1"/>
  <c r="BW12" i="1"/>
  <c r="IA20" i="132"/>
  <c r="AH95" i="1"/>
  <c r="AH103" i="1"/>
  <c r="IN20" i="132"/>
  <c r="AU95" i="1"/>
  <c r="JF20" i="132"/>
  <c r="BM95" i="1"/>
  <c r="IV21" i="132"/>
  <c r="BC93" i="1"/>
  <c r="JH21" i="132"/>
  <c r="BO93" i="1"/>
  <c r="IM21" i="132"/>
  <c r="AT93" i="1"/>
  <c r="IG19" i="132"/>
  <c r="AN94" i="1"/>
  <c r="HP21" i="132"/>
  <c r="BY80" i="1"/>
  <c r="BY81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BW64" i="1"/>
  <c r="BW78" i="1"/>
  <c r="JP21" i="132"/>
  <c r="BW93" i="1"/>
  <c r="BW36" i="1"/>
  <c r="BW38" i="1"/>
  <c r="BW47" i="1"/>
  <c r="BW50" i="1"/>
  <c r="BW52" i="1"/>
  <c r="BW56" i="1"/>
  <c r="JL19" i="132"/>
  <c r="BS94" i="1"/>
  <c r="HV19" i="132"/>
  <c r="HP19" i="132"/>
  <c r="JP19" i="132"/>
  <c r="BW94" i="1"/>
  <c r="JK20" i="132"/>
  <c r="BR95" i="1"/>
  <c r="BY85" i="1"/>
  <c r="BY86" i="1"/>
  <c r="BY84" i="1"/>
  <c r="IB21" i="132"/>
  <c r="AI93" i="1"/>
  <c r="IJ19" i="132"/>
  <c r="AQ94" i="1"/>
  <c r="BX109" i="1"/>
  <c r="BX116" i="1"/>
  <c r="BX125" i="1"/>
  <c r="BX128" i="1"/>
  <c r="BW69" i="1"/>
  <c r="BW70" i="1"/>
  <c r="BW102" i="1"/>
  <c r="BW121" i="1"/>
  <c r="BW123" i="1"/>
  <c r="BW118" i="1"/>
  <c r="BW85" i="1"/>
  <c r="BX86" i="1"/>
  <c r="BX84" i="1"/>
  <c r="BW122" i="1"/>
  <c r="BW125" i="1"/>
  <c r="JO21" i="132"/>
  <c r="BV93" i="1"/>
  <c r="HR21" i="132"/>
  <c r="HZ21" i="132"/>
  <c r="BY125" i="1"/>
  <c r="BY128" i="1"/>
  <c r="BX9" i="1"/>
  <c r="BW80" i="1"/>
  <c r="BX132" i="1"/>
  <c r="BW60" i="1"/>
  <c r="IL19" i="132"/>
  <c r="AS94" i="1"/>
  <c r="ID20" i="132"/>
  <c r="AK95" i="1"/>
  <c r="BX136" i="1"/>
  <c r="JC20" i="132"/>
  <c r="BJ95" i="1"/>
  <c r="BX87" i="1"/>
  <c r="BW87" i="1"/>
  <c r="BV35" i="1"/>
  <c r="BV36" i="1"/>
  <c r="BV38" i="1"/>
  <c r="BV47" i="1"/>
  <c r="BV50" i="1"/>
  <c r="BV52" i="1"/>
  <c r="BV56" i="1"/>
  <c r="BY87" i="1"/>
  <c r="BX69" i="1"/>
  <c r="BW128" i="1"/>
  <c r="BX129" i="1"/>
  <c r="BW9" i="1"/>
  <c r="BW65" i="1"/>
  <c r="BY132" i="1"/>
  <c r="BY103" i="1"/>
  <c r="BY102" i="1"/>
  <c r="BY116" i="1"/>
  <c r="BY129" i="1"/>
  <c r="BX4" i="1"/>
  <c r="BW101" i="1"/>
  <c r="BW103" i="1"/>
  <c r="BW136" i="1"/>
  <c r="BW132" i="1"/>
  <c r="BW129" i="1"/>
  <c r="AY64" i="1"/>
  <c r="BF64" i="1"/>
  <c r="BJ64" i="1"/>
  <c r="BE64" i="1"/>
  <c r="BS64" i="1"/>
  <c r="AW64" i="1"/>
  <c r="BB64" i="1"/>
  <c r="BG64" i="1"/>
  <c r="AZ64" i="1"/>
  <c r="BV64" i="1"/>
  <c r="BI64" i="1"/>
  <c r="BH64" i="1"/>
  <c r="BD64" i="1"/>
  <c r="BA64" i="1"/>
  <c r="AV64" i="1"/>
  <c r="BL64" i="1"/>
  <c r="BG78" i="1"/>
  <c r="BS74" i="1"/>
  <c r="E51" i="130"/>
  <c r="AY55" i="1"/>
  <c r="BE77" i="1"/>
  <c r="BE78" i="1"/>
  <c r="BE40" i="1"/>
  <c r="BQ44" i="1"/>
  <c r="BF78" i="1"/>
  <c r="AP62" i="1"/>
  <c r="BC64" i="1"/>
  <c r="BO37" i="1"/>
  <c r="BB78" i="1"/>
  <c r="BB40" i="1"/>
  <c r="BC44" i="1"/>
  <c r="BL77" i="1"/>
  <c r="BL78" i="1"/>
  <c r="BJ78" i="1"/>
  <c r="AY35" i="1"/>
  <c r="AQ34" i="1"/>
  <c r="BP72" i="1"/>
  <c r="BU64" i="1"/>
  <c r="BK64" i="1"/>
  <c r="BT59" i="1"/>
  <c r="AQ73" i="1"/>
  <c r="AI77" i="1"/>
  <c r="AY74" i="1"/>
  <c r="AX64" i="1"/>
  <c r="AO35" i="1"/>
  <c r="AP49" i="1"/>
  <c r="AI35" i="1"/>
  <c r="AN37" i="1"/>
  <c r="AT34" i="1"/>
  <c r="BV44" i="1"/>
  <c r="AZ74" i="1"/>
  <c r="AN34" i="1"/>
  <c r="AV78" i="1"/>
  <c r="AU64" i="1"/>
  <c r="BZ111" i="1"/>
  <c r="CA111" i="1"/>
  <c r="CB111" i="1"/>
  <c r="CC111" i="1"/>
  <c r="BN64" i="1"/>
  <c r="BM64" i="1"/>
  <c r="BB46" i="1"/>
  <c r="BK78" i="1"/>
  <c r="BU78" i="1"/>
  <c r="BT64" i="1"/>
  <c r="BI78" i="1"/>
  <c r="AZ78" i="1"/>
  <c r="BV78" i="1"/>
  <c r="BU73" i="1"/>
  <c r="AT35" i="1"/>
  <c r="AY78" i="1"/>
  <c r="AJ40" i="1"/>
  <c r="BO74" i="1"/>
  <c r="BS76" i="1"/>
  <c r="BR64" i="1"/>
  <c r="BH78" i="1"/>
  <c r="BF51" i="1"/>
  <c r="AT64" i="1"/>
  <c r="AW78" i="1"/>
  <c r="BA77" i="1"/>
  <c r="BA78" i="1"/>
  <c r="AX78" i="1"/>
  <c r="AJ46" i="1"/>
  <c r="BE46" i="1"/>
  <c r="AT36" i="1"/>
  <c r="AT38" i="1"/>
  <c r="BN78" i="1"/>
  <c r="BT78" i="1"/>
  <c r="AN36" i="1"/>
  <c r="AN38" i="1"/>
  <c r="BF111" i="1"/>
  <c r="BF123" i="1"/>
  <c r="BF113" i="1"/>
  <c r="BF107" i="1"/>
  <c r="BF121" i="1"/>
  <c r="BF118" i="1"/>
  <c r="BF119" i="1"/>
  <c r="AP114" i="1"/>
  <c r="AP119" i="1"/>
  <c r="AP113" i="1"/>
  <c r="AP123" i="1"/>
  <c r="AP118" i="1"/>
  <c r="AP107" i="1"/>
  <c r="AP111" i="1"/>
  <c r="AP121" i="1"/>
  <c r="BA118" i="1"/>
  <c r="BA113" i="1"/>
  <c r="BA119" i="1"/>
  <c r="BA111" i="1"/>
  <c r="BA114" i="1"/>
  <c r="BA107" i="1"/>
  <c r="BA123" i="1"/>
  <c r="BA121" i="1"/>
  <c r="BQ114" i="1"/>
  <c r="BQ121" i="1"/>
  <c r="BQ123" i="1"/>
  <c r="BQ107" i="1"/>
  <c r="BQ119" i="1"/>
  <c r="BQ111" i="1"/>
  <c r="BQ113" i="1"/>
  <c r="BQ118" i="1"/>
  <c r="AU114" i="1"/>
  <c r="AU119" i="1"/>
  <c r="AU123" i="1"/>
  <c r="AU111" i="1"/>
  <c r="AU118" i="1"/>
  <c r="AU107" i="1"/>
  <c r="AU121" i="1"/>
  <c r="AU113" i="1"/>
  <c r="BM118" i="1"/>
  <c r="BM121" i="1"/>
  <c r="BM111" i="1"/>
  <c r="BM114" i="1"/>
  <c r="BM107" i="1"/>
  <c r="BM123" i="1"/>
  <c r="BM119" i="1"/>
  <c r="BM113" i="1"/>
  <c r="AY111" i="1"/>
  <c r="AY121" i="1"/>
  <c r="AY113" i="1"/>
  <c r="AY123" i="1"/>
  <c r="AY114" i="1"/>
  <c r="AY107" i="1"/>
  <c r="AY118" i="1"/>
  <c r="AY119" i="1"/>
  <c r="BR78" i="1"/>
  <c r="AQ36" i="1"/>
  <c r="AQ38" i="1"/>
  <c r="AP64" i="1"/>
  <c r="AP78" i="1"/>
  <c r="CD111" i="1"/>
  <c r="CE111" i="1"/>
  <c r="CF111" i="1"/>
  <c r="CG111" i="1"/>
  <c r="AB111" i="1"/>
  <c r="BO64" i="1"/>
  <c r="BO78" i="1"/>
  <c r="BC78" i="1"/>
  <c r="AI78" i="1"/>
  <c r="AY36" i="1"/>
  <c r="AY38" i="1"/>
  <c r="AI36" i="1"/>
  <c r="AI38" i="1"/>
  <c r="BD78" i="1"/>
  <c r="BS78" i="1"/>
  <c r="AR55" i="1"/>
  <c r="AZ49" i="1"/>
  <c r="AE51" i="130"/>
  <c r="AU78" i="1"/>
  <c r="AO36" i="1"/>
  <c r="AO38" i="1"/>
  <c r="BO38" i="1"/>
  <c r="AT78" i="1"/>
  <c r="BM78" i="1"/>
  <c r="AR51" i="130"/>
  <c r="BX134" i="1"/>
  <c r="BT119" i="1"/>
  <c r="BX135" i="1"/>
  <c r="BT114" i="1"/>
  <c r="AW119" i="1"/>
  <c r="AW114" i="1"/>
  <c r="AW123" i="1"/>
  <c r="AW111" i="1"/>
  <c r="AW118" i="1"/>
  <c r="AW113" i="1"/>
  <c r="AW121" i="1"/>
  <c r="AW107" i="1"/>
  <c r="BK118" i="1"/>
  <c r="BK113" i="1"/>
  <c r="BK123" i="1"/>
  <c r="BK107" i="1"/>
  <c r="BK114" i="1"/>
  <c r="BK119" i="1"/>
  <c r="BK121" i="1"/>
  <c r="BK111" i="1"/>
  <c r="AM123" i="1"/>
  <c r="AM113" i="1"/>
  <c r="AM121" i="1"/>
  <c r="AM111" i="1"/>
  <c r="AM118" i="1"/>
  <c r="AM114" i="1"/>
  <c r="AM119" i="1"/>
  <c r="AM107" i="1"/>
  <c r="AR114" i="1"/>
  <c r="AR119" i="1"/>
  <c r="AR123" i="1"/>
  <c r="AR111" i="1"/>
  <c r="AR107" i="1"/>
  <c r="AR121" i="1"/>
  <c r="AR113" i="1"/>
  <c r="AR118" i="1"/>
  <c r="AV114" i="1"/>
  <c r="AV113" i="1"/>
  <c r="AV119" i="1"/>
  <c r="AV118" i="1"/>
  <c r="AV123" i="1"/>
  <c r="AV111" i="1"/>
  <c r="AV107" i="1"/>
  <c r="AV121" i="1"/>
  <c r="AO123" i="1"/>
  <c r="AO119" i="1"/>
  <c r="AO121" i="1"/>
  <c r="AO107" i="1"/>
  <c r="AO118" i="1"/>
  <c r="AO113" i="1"/>
  <c r="AO114" i="1"/>
  <c r="AO111" i="1"/>
  <c r="AN107" i="1"/>
  <c r="AN118" i="1"/>
  <c r="AN113" i="1"/>
  <c r="AN119" i="1"/>
  <c r="AN121" i="1"/>
  <c r="AN123" i="1"/>
  <c r="AN114" i="1"/>
  <c r="AN111" i="1"/>
  <c r="BS118" i="1"/>
  <c r="BS111" i="1"/>
  <c r="BS113" i="1"/>
  <c r="BS119" i="1"/>
  <c r="BS123" i="1"/>
  <c r="BS107" i="1"/>
  <c r="BS121" i="1"/>
  <c r="BS114" i="1"/>
  <c r="AH111" i="1"/>
  <c r="AH113" i="1"/>
  <c r="AH118" i="1"/>
  <c r="AH123" i="1"/>
  <c r="AH107" i="1"/>
  <c r="AH119" i="1"/>
  <c r="AH114" i="1"/>
  <c r="AH121" i="1"/>
  <c r="AZ113" i="1"/>
  <c r="AZ121" i="1"/>
  <c r="AZ118" i="1"/>
  <c r="AZ111" i="1"/>
  <c r="AZ114" i="1"/>
  <c r="AZ123" i="1"/>
  <c r="AZ119" i="1"/>
  <c r="AZ107" i="1"/>
  <c r="BJ119" i="1"/>
  <c r="BJ121" i="1"/>
  <c r="BJ107" i="1"/>
  <c r="BJ111" i="1"/>
  <c r="BJ113" i="1"/>
  <c r="BJ114" i="1"/>
  <c r="BJ118" i="1"/>
  <c r="BJ123" i="1"/>
  <c r="AI123" i="1"/>
  <c r="AI114" i="1"/>
  <c r="AI113" i="1"/>
  <c r="AI118" i="1"/>
  <c r="AI107" i="1"/>
  <c r="AI111" i="1"/>
  <c r="AI121" i="1"/>
  <c r="AI119" i="1"/>
  <c r="BB119" i="1"/>
  <c r="BB118" i="1"/>
  <c r="BB111" i="1"/>
  <c r="BB121" i="1"/>
  <c r="BB123" i="1"/>
  <c r="BB113" i="1"/>
  <c r="BB114" i="1"/>
  <c r="BB107" i="1"/>
  <c r="BO114" i="1"/>
  <c r="BO113" i="1"/>
  <c r="BO107" i="1"/>
  <c r="BO111" i="1"/>
  <c r="BO118" i="1"/>
  <c r="BO121" i="1"/>
  <c r="BO119" i="1"/>
  <c r="BO123" i="1"/>
  <c r="BI123" i="1"/>
  <c r="BI111" i="1"/>
  <c r="BI121" i="1"/>
  <c r="BI119" i="1"/>
  <c r="BI118" i="1"/>
  <c r="BI107" i="1"/>
  <c r="BI113" i="1"/>
  <c r="BI114" i="1"/>
  <c r="BU118" i="1"/>
  <c r="BU114" i="1"/>
  <c r="BU123" i="1"/>
  <c r="BU121" i="1"/>
  <c r="AQ114" i="1"/>
  <c r="AQ119" i="1"/>
  <c r="AQ123" i="1"/>
  <c r="AQ121" i="1"/>
  <c r="AQ113" i="1"/>
  <c r="AQ107" i="1"/>
  <c r="AQ118" i="1"/>
  <c r="AQ111" i="1"/>
  <c r="BH114" i="1"/>
  <c r="BH121" i="1"/>
  <c r="BH107" i="1"/>
  <c r="BH111" i="1"/>
  <c r="BH123" i="1"/>
  <c r="BH113" i="1"/>
  <c r="BH119" i="1"/>
  <c r="BH118" i="1"/>
  <c r="BN113" i="1"/>
  <c r="BN121" i="1"/>
  <c r="BN107" i="1"/>
  <c r="BN123" i="1"/>
  <c r="BN114" i="1"/>
  <c r="BN118" i="1"/>
  <c r="BN119" i="1"/>
  <c r="BN111" i="1"/>
  <c r="BD123" i="1"/>
  <c r="BD121" i="1"/>
  <c r="BD107" i="1"/>
  <c r="BD111" i="1"/>
  <c r="BD114" i="1"/>
  <c r="BD119" i="1"/>
  <c r="BD118" i="1"/>
  <c r="BD113" i="1"/>
  <c r="AS123" i="1"/>
  <c r="AS114" i="1"/>
  <c r="AS119" i="1"/>
  <c r="AS111" i="1"/>
  <c r="AS107" i="1"/>
  <c r="AS118" i="1"/>
  <c r="AS113" i="1"/>
  <c r="AS121" i="1"/>
  <c r="AK121" i="1"/>
  <c r="AK107" i="1"/>
  <c r="AK114" i="1"/>
  <c r="AK118" i="1"/>
  <c r="AK119" i="1"/>
  <c r="AK123" i="1"/>
  <c r="AK111" i="1"/>
  <c r="AK113" i="1"/>
  <c r="BG107" i="1"/>
  <c r="BG111" i="1"/>
  <c r="BG121" i="1"/>
  <c r="BG118" i="1"/>
  <c r="BG119" i="1"/>
  <c r="BG114" i="1"/>
  <c r="BG123" i="1"/>
  <c r="BG113" i="1"/>
  <c r="BR119" i="1"/>
  <c r="BR121" i="1"/>
  <c r="BR123" i="1"/>
  <c r="BR118" i="1"/>
  <c r="BR113" i="1"/>
  <c r="BR111" i="1"/>
  <c r="BR114" i="1"/>
  <c r="BR107" i="1"/>
  <c r="AX114" i="1"/>
  <c r="AX118" i="1"/>
  <c r="AX113" i="1"/>
  <c r="AX119" i="1"/>
  <c r="AX121" i="1"/>
  <c r="AX111" i="1"/>
  <c r="AX107" i="1"/>
  <c r="AX123" i="1"/>
  <c r="AJ123" i="1"/>
  <c r="AJ121" i="1"/>
  <c r="AJ113" i="1"/>
  <c r="AJ107" i="1"/>
  <c r="AJ114" i="1"/>
  <c r="AJ119" i="1"/>
  <c r="AJ118" i="1"/>
  <c r="AJ111" i="1"/>
  <c r="BE119" i="1"/>
  <c r="BE111" i="1"/>
  <c r="BE113" i="1"/>
  <c r="BE107" i="1"/>
  <c r="BE118" i="1"/>
  <c r="BE121" i="1"/>
  <c r="BE114" i="1"/>
  <c r="BE123" i="1"/>
  <c r="BV107" i="1"/>
  <c r="BV114" i="1"/>
  <c r="BZ114" i="1"/>
  <c r="CA114" i="1"/>
  <c r="CB114" i="1"/>
  <c r="CC114" i="1"/>
  <c r="BV123" i="1"/>
  <c r="BV111" i="1"/>
  <c r="BV118" i="1"/>
  <c r="BV119" i="1"/>
  <c r="BV121" i="1"/>
  <c r="BV113" i="1"/>
  <c r="AQ30" i="1"/>
  <c r="BD30" i="1"/>
  <c r="AS30" i="1"/>
  <c r="BR30" i="1"/>
  <c r="BF134" i="1"/>
  <c r="AP30" i="1"/>
  <c r="BQ30" i="1"/>
  <c r="AU30" i="1"/>
  <c r="BM30" i="1"/>
  <c r="BF109" i="1"/>
  <c r="BF69" i="1"/>
  <c r="BF70" i="1"/>
  <c r="BF103" i="1"/>
  <c r="BT28" i="1"/>
  <c r="BK28" i="1"/>
  <c r="AR80" i="1"/>
  <c r="AV81" i="1"/>
  <c r="AO81" i="1"/>
  <c r="BS30" i="1"/>
  <c r="BJ30" i="1"/>
  <c r="AI30" i="1"/>
  <c r="BB30" i="1"/>
  <c r="BI28" i="1"/>
  <c r="BU28" i="1"/>
  <c r="BH28" i="1"/>
  <c r="BN30" i="1"/>
  <c r="AK30" i="1"/>
  <c r="BG81" i="1"/>
  <c r="AJ30" i="1"/>
  <c r="BE81" i="1"/>
  <c r="BV28" i="1"/>
  <c r="BF80" i="1"/>
  <c r="BA81" i="1"/>
  <c r="AY80" i="1"/>
  <c r="BI85" i="1"/>
  <c r="BO134" i="1"/>
  <c r="BK115" i="1"/>
  <c r="BK136" i="1"/>
  <c r="BQ81" i="1"/>
  <c r="BQ28" i="1"/>
  <c r="AO47" i="1"/>
  <c r="AO50" i="1"/>
  <c r="AO52" i="1"/>
  <c r="AO56" i="1"/>
  <c r="AM109" i="1"/>
  <c r="BN81" i="1"/>
  <c r="BN115" i="1"/>
  <c r="BN136" i="1"/>
  <c r="AY47" i="1"/>
  <c r="AZ135" i="1"/>
  <c r="BD81" i="1"/>
  <c r="BV80" i="1"/>
  <c r="BS115" i="1"/>
  <c r="AX135" i="1"/>
  <c r="BE115" i="1"/>
  <c r="BE136" i="1"/>
  <c r="BU69" i="1"/>
  <c r="BU70" i="1"/>
  <c r="BC39" i="1"/>
  <c r="AN30" i="1"/>
  <c r="AM30" i="1"/>
  <c r="AX30" i="1"/>
  <c r="AW30" i="1"/>
  <c r="BO30" i="1"/>
  <c r="BH85" i="1"/>
  <c r="BB109" i="1"/>
  <c r="BB69" i="1"/>
  <c r="BB70" i="1"/>
  <c r="BB101" i="1"/>
  <c r="AI125" i="1"/>
  <c r="AZ30" i="1"/>
  <c r="BT30" i="1"/>
  <c r="BK30" i="1"/>
  <c r="AR30" i="1"/>
  <c r="AV30" i="1"/>
  <c r="AO30" i="1"/>
  <c r="BS28" i="1"/>
  <c r="BJ28" i="1"/>
  <c r="AI80" i="1"/>
  <c r="BB80" i="1"/>
  <c r="BI30" i="1"/>
  <c r="BU30" i="1"/>
  <c r="BH30" i="1"/>
  <c r="BN28" i="1"/>
  <c r="AK80" i="1"/>
  <c r="BG30" i="1"/>
  <c r="AJ81" i="1"/>
  <c r="BE30" i="1"/>
  <c r="BV30" i="1"/>
  <c r="BF30" i="1"/>
  <c r="BA30" i="1"/>
  <c r="AY30" i="1"/>
  <c r="BN80" i="1"/>
  <c r="AR125" i="1"/>
  <c r="AR128" i="1"/>
  <c r="BI81" i="1"/>
  <c r="BU81" i="1"/>
  <c r="BV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BJ115" i="1"/>
  <c r="BR80" i="1"/>
  <c r="BR28" i="1"/>
  <c r="BO81" i="1"/>
  <c r="BO28" i="1"/>
  <c r="BM81" i="1"/>
  <c r="BM28" i="1"/>
  <c r="BR115" i="1"/>
  <c r="BR136" i="1"/>
  <c r="BD85" i="1"/>
  <c r="AM115" i="1"/>
  <c r="AM136" i="1"/>
  <c r="AR134" i="1"/>
  <c r="AR39" i="1"/>
  <c r="BI109" i="1"/>
  <c r="BD134" i="1"/>
  <c r="AY134" i="1"/>
  <c r="AT134" i="1"/>
  <c r="BE134" i="1"/>
  <c r="AU134" i="1"/>
  <c r="BK134" i="1"/>
  <c r="BB134" i="1"/>
  <c r="BA134" i="1"/>
  <c r="BC134" i="1"/>
  <c r="AW134" i="1"/>
  <c r="AM134" i="1"/>
  <c r="AO134" i="1"/>
  <c r="AN134" i="1"/>
  <c r="AZ134" i="1"/>
  <c r="BJ134" i="1"/>
  <c r="BI134" i="1"/>
  <c r="BU134" i="1"/>
  <c r="AQ134" i="1"/>
  <c r="BH134" i="1"/>
  <c r="BN134" i="1"/>
  <c r="BR134" i="1"/>
  <c r="AX134" i="1"/>
  <c r="AP134" i="1"/>
  <c r="BQ134" i="1"/>
  <c r="AT47" i="1"/>
  <c r="AT50" i="1"/>
  <c r="AT52" i="1"/>
  <c r="AT56" i="1"/>
  <c r="BL134" i="1"/>
  <c r="AV115" i="1"/>
  <c r="AV136" i="1"/>
  <c r="AV134" i="1"/>
  <c r="BW134" i="1"/>
  <c r="BS134" i="1"/>
  <c r="AS115" i="1"/>
  <c r="AS136" i="1"/>
  <c r="AS134" i="1"/>
  <c r="BG115" i="1"/>
  <c r="BG134" i="1"/>
  <c r="BV115" i="1"/>
  <c r="BV136" i="1"/>
  <c r="BV134" i="1"/>
  <c r="BM115" i="1"/>
  <c r="BM136" i="1"/>
  <c r="BM134" i="1"/>
  <c r="AQ47" i="1"/>
  <c r="BJ85" i="1"/>
  <c r="BN109" i="1"/>
  <c r="BD135" i="1"/>
  <c r="AJ109" i="1"/>
  <c r="BJ81" i="1"/>
  <c r="BM135" i="1"/>
  <c r="BI80" i="1"/>
  <c r="BU80" i="1"/>
  <c r="BD80" i="1"/>
  <c r="BK109" i="1"/>
  <c r="AU39" i="1"/>
  <c r="BT80" i="1"/>
  <c r="BT81" i="1"/>
  <c r="AW81" i="1"/>
  <c r="AW80" i="1"/>
  <c r="BW135" i="1"/>
  <c r="BS80" i="1"/>
  <c r="BK80" i="1"/>
  <c r="BK81" i="1"/>
  <c r="AN47" i="1"/>
  <c r="BB47" i="1"/>
  <c r="BB50" i="1"/>
  <c r="BB52" i="1"/>
  <c r="BB56" i="1"/>
  <c r="AP135" i="1"/>
  <c r="BO47" i="1"/>
  <c r="BA65" i="1"/>
  <c r="AM39" i="1"/>
  <c r="AI47" i="1"/>
  <c r="AZ85" i="1"/>
  <c r="BS39" i="1"/>
  <c r="BO109" i="1"/>
  <c r="AS39" i="1"/>
  <c r="AX39" i="1"/>
  <c r="AH109" i="1"/>
  <c r="BA135" i="1"/>
  <c r="BV85" i="1"/>
  <c r="BW86" i="1"/>
  <c r="BW84" i="1"/>
  <c r="BK85" i="1"/>
  <c r="BJ135" i="1"/>
  <c r="AJ115" i="1"/>
  <c r="AJ136" i="1"/>
  <c r="AX115" i="1"/>
  <c r="AK125" i="1"/>
  <c r="AK128" i="1"/>
  <c r="AH115" i="1"/>
  <c r="AN115" i="1"/>
  <c r="BK125" i="1"/>
  <c r="BK128" i="1"/>
  <c r="BV125" i="1"/>
  <c r="BV128" i="1"/>
  <c r="BO85" i="1"/>
  <c r="AW109" i="1"/>
  <c r="BO80" i="1"/>
  <c r="BM85" i="1"/>
  <c r="AS135" i="1"/>
  <c r="BO135" i="1"/>
  <c r="BM80" i="1"/>
  <c r="BF81" i="1"/>
  <c r="AU81" i="1"/>
  <c r="AU135" i="1"/>
  <c r="AK85" i="1"/>
  <c r="AK109" i="1"/>
  <c r="AK69" i="1"/>
  <c r="AK70" i="1"/>
  <c r="BD115" i="1"/>
  <c r="BN125" i="1"/>
  <c r="BN128" i="1"/>
  <c r="BH135" i="1"/>
  <c r="AQ125" i="1"/>
  <c r="AQ128" i="1"/>
  <c r="BS85" i="1"/>
  <c r="AN109" i="1"/>
  <c r="AV85" i="1"/>
  <c r="AR109" i="1"/>
  <c r="AR69" i="1"/>
  <c r="AR70" i="1"/>
  <c r="AW125" i="1"/>
  <c r="AW128" i="1"/>
  <c r="BT128" i="1"/>
  <c r="AR81" i="1"/>
  <c r="AQ80" i="1"/>
  <c r="AQ81" i="1"/>
  <c r="AP80" i="1"/>
  <c r="AJ47" i="1"/>
  <c r="BM125" i="1"/>
  <c r="BM128" i="1"/>
  <c r="AU125" i="1"/>
  <c r="AU128" i="1"/>
  <c r="BQ109" i="1"/>
  <c r="BV135" i="1"/>
  <c r="AQ85" i="1"/>
  <c r="AV80" i="1"/>
  <c r="AV135" i="1"/>
  <c r="AI81" i="1"/>
  <c r="AN135" i="1"/>
  <c r="AO85" i="1"/>
  <c r="AM85" i="1"/>
  <c r="AP81" i="1"/>
  <c r="AP85" i="1"/>
  <c r="BS135" i="1"/>
  <c r="BS81" i="1"/>
  <c r="AW135" i="1"/>
  <c r="AT135" i="1"/>
  <c r="AJ80" i="1"/>
  <c r="AU85" i="1"/>
  <c r="AN85" i="1"/>
  <c r="AR85" i="1"/>
  <c r="AR135" i="1"/>
  <c r="AM135" i="1"/>
  <c r="AN81" i="1"/>
  <c r="AM81" i="1"/>
  <c r="AK81" i="1"/>
  <c r="AJ85" i="1"/>
  <c r="AS85" i="1"/>
  <c r="AI85" i="1"/>
  <c r="AO135" i="1"/>
  <c r="AV125" i="1"/>
  <c r="AV128" i="1"/>
  <c r="AS80" i="1"/>
  <c r="AO80" i="1"/>
  <c r="AS81" i="1"/>
  <c r="AM80" i="1"/>
  <c r="AN80" i="1"/>
  <c r="BR109" i="1"/>
  <c r="BH115" i="1"/>
  <c r="AX81" i="1"/>
  <c r="AP109" i="1"/>
  <c r="AP69" i="1"/>
  <c r="AP70" i="1"/>
  <c r="BR135" i="1"/>
  <c r="BF115" i="1"/>
  <c r="BV109" i="1"/>
  <c r="AS109" i="1"/>
  <c r="BN85" i="1"/>
  <c r="AQ109" i="1"/>
  <c r="BB115" i="1"/>
  <c r="AZ115" i="1"/>
  <c r="AZ136" i="1"/>
  <c r="BQ135" i="1"/>
  <c r="BI135" i="1"/>
  <c r="BH109" i="1"/>
  <c r="BA109" i="1"/>
  <c r="BO115" i="1"/>
  <c r="AN125" i="1"/>
  <c r="AN128" i="1"/>
  <c r="AR115" i="1"/>
  <c r="AR136" i="1"/>
  <c r="AW85" i="1"/>
  <c r="BL135" i="1"/>
  <c r="AY115" i="1"/>
  <c r="BA125" i="1"/>
  <c r="BA128" i="1"/>
  <c r="BE109" i="1"/>
  <c r="BE85" i="1"/>
  <c r="AJ125" i="1"/>
  <c r="AJ128" i="1"/>
  <c r="BS109" i="1"/>
  <c r="AO109" i="1"/>
  <c r="AW115" i="1"/>
  <c r="AX85" i="1"/>
  <c r="BD125" i="1"/>
  <c r="BD128" i="1"/>
  <c r="AI128" i="1"/>
  <c r="BG125" i="1"/>
  <c r="BG128" i="1"/>
  <c r="AQ115" i="1"/>
  <c r="BO125" i="1"/>
  <c r="BO128" i="1"/>
  <c r="AI115" i="1"/>
  <c r="BJ109" i="1"/>
  <c r="AZ109" i="1"/>
  <c r="AZ69" i="1"/>
  <c r="AZ70" i="1"/>
  <c r="BA115" i="1"/>
  <c r="BR81" i="1"/>
  <c r="AX80" i="1"/>
  <c r="AU109" i="1"/>
  <c r="BM109" i="1"/>
  <c r="AU115" i="1"/>
  <c r="BE125" i="1"/>
  <c r="BE128" i="1"/>
  <c r="BG109" i="1"/>
  <c r="AK115" i="1"/>
  <c r="AS125" i="1"/>
  <c r="AS128" i="1"/>
  <c r="BD109" i="1"/>
  <c r="AZ125" i="1"/>
  <c r="AZ128" i="1"/>
  <c r="BS125" i="1"/>
  <c r="BS128" i="1"/>
  <c r="AM125" i="1"/>
  <c r="AM128" i="1"/>
  <c r="BA85" i="1"/>
  <c r="AP125" i="1"/>
  <c r="AP128" i="1"/>
  <c r="AU80" i="1"/>
  <c r="BQ85" i="1"/>
  <c r="AY125" i="1"/>
  <c r="AY128" i="1"/>
  <c r="BQ125" i="1"/>
  <c r="BQ128" i="1"/>
  <c r="AX125" i="1"/>
  <c r="AX128" i="1"/>
  <c r="BR85" i="1"/>
  <c r="BG85" i="1"/>
  <c r="BH125" i="1"/>
  <c r="BH128" i="1"/>
  <c r="BU125" i="1"/>
  <c r="BU128" i="1"/>
  <c r="BI125" i="1"/>
  <c r="BI128" i="1"/>
  <c r="BB135" i="1"/>
  <c r="AI109" i="1"/>
  <c r="BJ125" i="1"/>
  <c r="BJ128" i="1"/>
  <c r="AH125" i="1"/>
  <c r="AH128" i="1"/>
  <c r="AO125" i="1"/>
  <c r="AO128" i="1"/>
  <c r="BA80" i="1"/>
  <c r="BB85" i="1"/>
  <c r="BE80" i="1"/>
  <c r="BT135" i="1"/>
  <c r="BF135" i="1"/>
  <c r="AP115" i="1"/>
  <c r="BR125" i="1"/>
  <c r="BR128" i="1"/>
  <c r="BH81" i="1"/>
  <c r="BH80" i="1"/>
  <c r="BI115" i="1"/>
  <c r="BE47" i="1"/>
  <c r="BU85" i="1"/>
  <c r="BQ80" i="1"/>
  <c r="BB81" i="1"/>
  <c r="BE135" i="1"/>
  <c r="BF85" i="1"/>
  <c r="AY135" i="1"/>
  <c r="AY85" i="1"/>
  <c r="BB125" i="1"/>
  <c r="BB128" i="1"/>
  <c r="BG135" i="1"/>
  <c r="AY81" i="1"/>
  <c r="BG80" i="1"/>
  <c r="BU135" i="1"/>
  <c r="BK135" i="1"/>
  <c r="AZ81" i="1"/>
  <c r="AZ80" i="1"/>
  <c r="BL81" i="1"/>
  <c r="AY109" i="1"/>
  <c r="AY69" i="1"/>
  <c r="AY70" i="1"/>
  <c r="BF125" i="1"/>
  <c r="BF128" i="1"/>
  <c r="AX109" i="1"/>
  <c r="AX69" i="1"/>
  <c r="AX70" i="1"/>
  <c r="AX102" i="1"/>
  <c r="CD114" i="1"/>
  <c r="CE114" i="1"/>
  <c r="CF114" i="1"/>
  <c r="CG114" i="1"/>
  <c r="AB114" i="1"/>
  <c r="CH111" i="1"/>
  <c r="CI111" i="1"/>
  <c r="CJ111" i="1"/>
  <c r="CK111" i="1"/>
  <c r="AC111" i="1"/>
  <c r="BP64" i="1"/>
  <c r="BP78" i="1"/>
  <c r="AO115" i="1"/>
  <c r="AV109" i="1"/>
  <c r="BQ115" i="1"/>
  <c r="AQ135" i="1"/>
  <c r="BN135" i="1"/>
  <c r="BJ80" i="1"/>
  <c r="BV87" i="1"/>
  <c r="BU87" i="1"/>
  <c r="BS87" i="1"/>
  <c r="BO50" i="1"/>
  <c r="BO52" i="1"/>
  <c r="BO56" i="1"/>
  <c r="BR87" i="1"/>
  <c r="BQ87" i="1"/>
  <c r="BO87" i="1"/>
  <c r="BN87" i="1"/>
  <c r="BZ113" i="1"/>
  <c r="BF114" i="1"/>
  <c r="BH86" i="1"/>
  <c r="BH84" i="1"/>
  <c r="BM116" i="1"/>
  <c r="BM129" i="1"/>
  <c r="AT65" i="1"/>
  <c r="BD65" i="1"/>
  <c r="BG136" i="1"/>
  <c r="BD9" i="1"/>
  <c r="AH69" i="1"/>
  <c r="AX136" i="1"/>
  <c r="AX9" i="1"/>
  <c r="BB9" i="1"/>
  <c r="AW86" i="1"/>
  <c r="AW84" i="1"/>
  <c r="AN132" i="1"/>
  <c r="AN116" i="1"/>
  <c r="AN129" i="1"/>
  <c r="BJ86" i="1"/>
  <c r="BJ84" i="1"/>
  <c r="AV132" i="1"/>
  <c r="BU132" i="1"/>
  <c r="AX86" i="1"/>
  <c r="AX84" i="1"/>
  <c r="BC48" i="1"/>
  <c r="BS48" i="1"/>
  <c r="BI136" i="1"/>
  <c r="BH9" i="1"/>
  <c r="AW69" i="1"/>
  <c r="AW70" i="1"/>
  <c r="AN69" i="1"/>
  <c r="AN70" i="1"/>
  <c r="AK132" i="1"/>
  <c r="AW9" i="1"/>
  <c r="BN116" i="1"/>
  <c r="BN129" i="1"/>
  <c r="BA86" i="1"/>
  <c r="BA84" i="1"/>
  <c r="AM69" i="1"/>
  <c r="AM70" i="1"/>
  <c r="AM116" i="1"/>
  <c r="AM132" i="1"/>
  <c r="AM9" i="1"/>
  <c r="BU9" i="1"/>
  <c r="AO69" i="1"/>
  <c r="AO70" i="1"/>
  <c r="AW136" i="1"/>
  <c r="BE116" i="1"/>
  <c r="BE129" i="1"/>
  <c r="AT69" i="1"/>
  <c r="AT70" i="1"/>
  <c r="AQ9" i="1"/>
  <c r="AN136" i="1"/>
  <c r="AR48" i="1"/>
  <c r="AN50" i="1"/>
  <c r="AN52" i="1"/>
  <c r="AN56" i="1"/>
  <c r="AP50" i="1"/>
  <c r="AP52" i="1"/>
  <c r="AP56" i="1"/>
  <c r="AP65" i="1"/>
  <c r="AR56" i="1"/>
  <c r="BT69" i="1"/>
  <c r="BT70" i="1"/>
  <c r="BU136" i="1"/>
  <c r="BQ136" i="1"/>
  <c r="AY50" i="1"/>
  <c r="AY52" i="1"/>
  <c r="AY56" i="1"/>
  <c r="AJ4" i="1"/>
  <c r="AJ69" i="1"/>
  <c r="AJ70" i="1"/>
  <c r="AJ9" i="1"/>
  <c r="AJ116" i="1"/>
  <c r="BJ136" i="1"/>
  <c r="BH69" i="1"/>
  <c r="BH70" i="1"/>
  <c r="BH4" i="1"/>
  <c r="AI69" i="1"/>
  <c r="AI70" i="1"/>
  <c r="AI9" i="1"/>
  <c r="AI4" i="1"/>
  <c r="BS86" i="1"/>
  <c r="BS84" i="1"/>
  <c r="BO136" i="1"/>
  <c r="AH9" i="1"/>
  <c r="BB65" i="1"/>
  <c r="BB60" i="1"/>
  <c r="AU65" i="1"/>
  <c r="AI116" i="1"/>
  <c r="AI129" i="1"/>
  <c r="BE50" i="1"/>
  <c r="BE52" i="1"/>
  <c r="BE56" i="1"/>
  <c r="AX101" i="1"/>
  <c r="BF86" i="1"/>
  <c r="BF84" i="1"/>
  <c r="AY4" i="1"/>
  <c r="AK116" i="1"/>
  <c r="AW116" i="1"/>
  <c r="BN86" i="1"/>
  <c r="BN84" i="1"/>
  <c r="BO116" i="1"/>
  <c r="BO129" i="1"/>
  <c r="BF52" i="1"/>
  <c r="BF56" i="1"/>
  <c r="BF60" i="1"/>
  <c r="BF48" i="1"/>
  <c r="AJ50" i="1"/>
  <c r="AJ52" i="1"/>
  <c r="AJ56" i="1"/>
  <c r="AN48" i="1"/>
  <c r="AS57" i="1"/>
  <c r="AS48" i="1"/>
  <c r="BF132" i="1"/>
  <c r="BF9" i="1"/>
  <c r="BF136" i="1"/>
  <c r="BF116" i="1"/>
  <c r="AQ116" i="1"/>
  <c r="AR4" i="1"/>
  <c r="BB116" i="1"/>
  <c r="BC69" i="1"/>
  <c r="BC70" i="1"/>
  <c r="AU48" i="1"/>
  <c r="AL4" i="1"/>
  <c r="AJ132" i="1"/>
  <c r="AO4" i="1"/>
  <c r="AN4" i="1"/>
  <c r="AR116" i="1"/>
  <c r="AQ69" i="1"/>
  <c r="AQ70" i="1"/>
  <c r="AW132" i="1"/>
  <c r="AK9" i="1"/>
  <c r="AW4" i="1"/>
  <c r="AR9" i="1"/>
  <c r="BB4" i="1"/>
  <c r="BH116" i="1"/>
  <c r="BH129" i="1"/>
  <c r="AK4" i="1"/>
  <c r="BO86" i="1"/>
  <c r="BO84" i="1"/>
  <c r="AL86" i="1"/>
  <c r="AL84" i="1"/>
  <c r="BW4" i="1"/>
  <c r="BV116" i="1"/>
  <c r="BV9" i="1"/>
  <c r="BB136" i="1"/>
  <c r="AP4" i="1"/>
  <c r="BB132" i="1"/>
  <c r="BC4" i="1"/>
  <c r="AQ4" i="1"/>
  <c r="BH132" i="1"/>
  <c r="BV86" i="1"/>
  <c r="BV84" i="1"/>
  <c r="AY9" i="1"/>
  <c r="AY116" i="1"/>
  <c r="AY129" i="1"/>
  <c r="AZ102" i="1"/>
  <c r="AZ116" i="1"/>
  <c r="AZ129" i="1"/>
  <c r="AY132" i="1"/>
  <c r="AS9" i="1"/>
  <c r="AY136" i="1"/>
  <c r="AP86" i="1"/>
  <c r="AP84" i="1"/>
  <c r="BB102" i="1"/>
  <c r="BB103" i="1"/>
  <c r="BS69" i="1"/>
  <c r="BS70" i="1"/>
  <c r="BT4" i="1"/>
  <c r="BS116" i="1"/>
  <c r="BS129" i="1"/>
  <c r="BS9" i="1"/>
  <c r="BS132" i="1"/>
  <c r="AK102" i="1"/>
  <c r="AK103" i="1"/>
  <c r="AK101" i="1"/>
  <c r="AI132" i="1"/>
  <c r="AT86" i="1"/>
  <c r="AT84" i="1"/>
  <c r="AR86" i="1"/>
  <c r="AR84" i="1"/>
  <c r="AO132" i="1"/>
  <c r="AP116" i="1"/>
  <c r="AP129" i="1"/>
  <c r="AP132" i="1"/>
  <c r="AQ132" i="1"/>
  <c r="BA132" i="1"/>
  <c r="AQ136" i="1"/>
  <c r="AU132" i="1"/>
  <c r="AS86" i="1"/>
  <c r="AS84" i="1"/>
  <c r="AS132" i="1"/>
  <c r="AO9" i="1"/>
  <c r="AR102" i="1"/>
  <c r="AR103" i="1"/>
  <c r="AR101" i="1"/>
  <c r="AO86" i="1"/>
  <c r="AO84" i="1"/>
  <c r="AQ86" i="1"/>
  <c r="AQ84" i="1"/>
  <c r="AN86" i="1"/>
  <c r="AN84" i="1"/>
  <c r="AL101" i="1"/>
  <c r="AR132" i="1"/>
  <c r="AI136" i="1"/>
  <c r="AP136" i="1"/>
  <c r="BT86" i="1"/>
  <c r="BT84" i="1"/>
  <c r="AK136" i="1"/>
  <c r="AP101" i="1"/>
  <c r="AP103" i="1"/>
  <c r="AY86" i="1"/>
  <c r="AY84" i="1"/>
  <c r="AO65" i="1"/>
  <c r="AW65" i="1"/>
  <c r="BU102" i="1"/>
  <c r="CH114" i="1"/>
  <c r="CI114" i="1"/>
  <c r="CJ114" i="1"/>
  <c r="CK114" i="1"/>
  <c r="BC135" i="1"/>
  <c r="BI86" i="1"/>
  <c r="BI84" i="1"/>
  <c r="BL86" i="1"/>
  <c r="BL84" i="1"/>
  <c r="AZ86" i="1"/>
  <c r="AZ84" i="1"/>
  <c r="BF102" i="1"/>
  <c r="BG4" i="1"/>
  <c r="BE86" i="1"/>
  <c r="BE84" i="1"/>
  <c r="AV86" i="1"/>
  <c r="AV84" i="1"/>
  <c r="AZ50" i="1"/>
  <c r="AZ52" i="1"/>
  <c r="AZ56" i="1"/>
  <c r="AT60" i="1"/>
  <c r="BG132" i="1"/>
  <c r="BJ116" i="1"/>
  <c r="BJ129" i="1"/>
  <c r="AH4" i="1"/>
  <c r="AS116" i="1"/>
  <c r="AS129" i="1"/>
  <c r="AM48" i="1"/>
  <c r="AV69" i="1"/>
  <c r="AV70" i="1"/>
  <c r="AV116" i="1"/>
  <c r="AV129" i="1"/>
  <c r="BG86" i="1"/>
  <c r="BG84" i="1"/>
  <c r="BS136" i="1"/>
  <c r="BD132" i="1"/>
  <c r="AZ103" i="1"/>
  <c r="AP102" i="1"/>
  <c r="AJ86" i="1"/>
  <c r="AJ84" i="1"/>
  <c r="AI86" i="1"/>
  <c r="AI84" i="1"/>
  <c r="AU136" i="1"/>
  <c r="AT4" i="1"/>
  <c r="BR86" i="1"/>
  <c r="BR84" i="1"/>
  <c r="AU116" i="1"/>
  <c r="AZ132" i="1"/>
  <c r="BA9" i="1"/>
  <c r="AS4" i="1"/>
  <c r="AS69" i="1"/>
  <c r="AS70" i="1"/>
  <c r="AU9" i="1"/>
  <c r="BA116" i="1"/>
  <c r="AV4" i="1"/>
  <c r="AZ9" i="1"/>
  <c r="BA69" i="1"/>
  <c r="BA70" i="1"/>
  <c r="BA102" i="1"/>
  <c r="AU69" i="1"/>
  <c r="AU70" i="1"/>
  <c r="BA4" i="1"/>
  <c r="BA136" i="1"/>
  <c r="AP9" i="1"/>
  <c r="AX132" i="1"/>
  <c r="AY102" i="1"/>
  <c r="AY101" i="1"/>
  <c r="AY103" i="1"/>
  <c r="AX4" i="1"/>
  <c r="AX116" i="1"/>
  <c r="AX129" i="1"/>
  <c r="AZ4" i="1"/>
  <c r="BC86" i="1"/>
  <c r="BC84" i="1"/>
  <c r="BI116" i="1"/>
  <c r="BI129" i="1"/>
  <c r="BU101" i="1"/>
  <c r="BU103" i="1"/>
  <c r="AC114" i="1"/>
  <c r="CL111" i="1"/>
  <c r="CM111" i="1"/>
  <c r="CN111" i="1"/>
  <c r="CO111" i="1"/>
  <c r="AE111" i="1"/>
  <c r="AD111" i="1"/>
  <c r="CL81" i="1"/>
  <c r="BQ64" i="1"/>
  <c r="BQ78" i="1"/>
  <c r="BR116" i="1"/>
  <c r="BR129" i="1"/>
  <c r="BP86" i="1"/>
  <c r="BP84" i="1"/>
  <c r="BK116" i="1"/>
  <c r="BK129" i="1"/>
  <c r="BF101" i="1"/>
  <c r="BG116" i="1"/>
  <c r="BG129" i="1"/>
  <c r="BG9" i="1"/>
  <c r="BD136" i="1"/>
  <c r="BU129" i="1"/>
  <c r="AI50" i="1"/>
  <c r="AI52" i="1"/>
  <c r="AI56" i="1"/>
  <c r="AM57" i="1"/>
  <c r="BB86" i="1"/>
  <c r="BB84" i="1"/>
  <c r="AO136" i="1"/>
  <c r="BK86" i="1"/>
  <c r="BK84" i="1"/>
  <c r="AV9" i="1"/>
  <c r="BD116" i="1"/>
  <c r="BD129" i="1"/>
  <c r="BH136" i="1"/>
  <c r="AO116" i="1"/>
  <c r="AK86" i="1"/>
  <c r="AK84" i="1"/>
  <c r="AN9" i="1"/>
  <c r="BQ116" i="1"/>
  <c r="BQ129" i="1"/>
  <c r="AZ101" i="1"/>
  <c r="AQ50" i="1"/>
  <c r="AQ52" i="1"/>
  <c r="AQ56" i="1"/>
  <c r="AX48" i="1"/>
  <c r="BI48" i="1"/>
  <c r="AX103" i="1"/>
  <c r="AO60" i="1"/>
  <c r="AH116" i="1"/>
  <c r="AH5" i="1"/>
  <c r="AV65" i="1"/>
  <c r="AM103" i="1"/>
  <c r="AM102" i="1"/>
  <c r="AM101" i="1"/>
  <c r="AN5" i="1"/>
  <c r="AM129" i="1"/>
  <c r="AI65" i="1"/>
  <c r="AI60" i="1"/>
  <c r="AO101" i="1"/>
  <c r="AO102" i="1"/>
  <c r="AO103" i="1"/>
  <c r="AO129" i="1"/>
  <c r="AP5" i="1"/>
  <c r="BG65" i="1"/>
  <c r="AI101" i="1"/>
  <c r="AI102" i="1"/>
  <c r="AI103" i="1"/>
  <c r="AT101" i="1"/>
  <c r="AT102" i="1"/>
  <c r="AT103" i="1"/>
  <c r="BO60" i="1"/>
  <c r="BH101" i="1"/>
  <c r="BH103" i="1"/>
  <c r="BH102" i="1"/>
  <c r="AW129" i="1"/>
  <c r="AW5" i="1"/>
  <c r="BB129" i="1"/>
  <c r="BC5" i="1"/>
  <c r="AR60" i="1"/>
  <c r="AR65" i="1"/>
  <c r="AV57" i="1"/>
  <c r="BT102" i="1"/>
  <c r="BT101" i="1"/>
  <c r="BT103" i="1"/>
  <c r="AY60" i="1"/>
  <c r="AY65" i="1"/>
  <c r="AR57" i="1"/>
  <c r="AP60" i="1"/>
  <c r="AT57" i="1"/>
  <c r="AJ101" i="1"/>
  <c r="AJ102" i="1"/>
  <c r="AJ103" i="1"/>
  <c r="AJ129" i="1"/>
  <c r="AJ5" i="1"/>
  <c r="AQ129" i="1"/>
  <c r="AQ5" i="1"/>
  <c r="BC101" i="1"/>
  <c r="BC102" i="1"/>
  <c r="BC103" i="1"/>
  <c r="BC65" i="1"/>
  <c r="BD66" i="1"/>
  <c r="AR5" i="1"/>
  <c r="AN57" i="1"/>
  <c r="AJ65" i="1"/>
  <c r="AJ60" i="1"/>
  <c r="BG5" i="1"/>
  <c r="BF129" i="1"/>
  <c r="AI20" i="1"/>
  <c r="AI13" i="1"/>
  <c r="AI15" i="1"/>
  <c r="AT5" i="1"/>
  <c r="AW103" i="1"/>
  <c r="AW101" i="1"/>
  <c r="AW102" i="1"/>
  <c r="AR129" i="1"/>
  <c r="AS5" i="1"/>
  <c r="AQ102" i="1"/>
  <c r="AQ103" i="1"/>
  <c r="AQ101" i="1"/>
  <c r="BA129" i="1"/>
  <c r="BB5" i="1"/>
  <c r="AU103" i="1"/>
  <c r="AU101" i="1"/>
  <c r="BC57" i="1"/>
  <c r="AQ60" i="1"/>
  <c r="AQ65" i="1"/>
  <c r="AU57" i="1"/>
  <c r="BV60" i="1"/>
  <c r="BF57" i="1"/>
  <c r="BJ57" i="1"/>
  <c r="BF65" i="1"/>
  <c r="AL5" i="1"/>
  <c r="AM22" i="1"/>
  <c r="AN102" i="1"/>
  <c r="AN101" i="1"/>
  <c r="AN103" i="1"/>
  <c r="BV129" i="1"/>
  <c r="BW5" i="1"/>
  <c r="BS101" i="1"/>
  <c r="BS103" i="1"/>
  <c r="AV5" i="1"/>
  <c r="AU129" i="1"/>
  <c r="BS57" i="1"/>
  <c r="BD57" i="1"/>
  <c r="BE60" i="1"/>
  <c r="BI57" i="1"/>
  <c r="AX65" i="1"/>
  <c r="AH129" i="1"/>
  <c r="AI22" i="1"/>
  <c r="AI18" i="1"/>
  <c r="BH5" i="1"/>
  <c r="AK129" i="1"/>
  <c r="AK5" i="1"/>
  <c r="BU65" i="1"/>
  <c r="AS101" i="1"/>
  <c r="BA103" i="1"/>
  <c r="BA101" i="1"/>
  <c r="AY5" i="1"/>
  <c r="AV101" i="1"/>
  <c r="AI12" i="1"/>
  <c r="AZ65" i="1"/>
  <c r="CL114" i="1"/>
  <c r="CM114" i="1"/>
  <c r="CN114" i="1"/>
  <c r="CO114" i="1"/>
  <c r="AE114" i="1"/>
  <c r="AW66" i="1"/>
  <c r="BH65" i="1"/>
  <c r="AN65" i="1"/>
  <c r="BT129" i="1"/>
  <c r="AX57" i="1"/>
  <c r="AI5" i="1"/>
  <c r="AS102" i="1"/>
  <c r="AS103" i="1"/>
  <c r="BA5" i="1"/>
  <c r="BS65" i="1"/>
  <c r="AX5" i="1"/>
  <c r="BT60" i="1"/>
  <c r="AZ60" i="1"/>
  <c r="CM81" i="1"/>
  <c r="AV102" i="1"/>
  <c r="AO5" i="1"/>
  <c r="AP22" i="1"/>
  <c r="AN60" i="1"/>
  <c r="BS102" i="1"/>
  <c r="BT5" i="1"/>
  <c r="BX7" i="1"/>
  <c r="AU102" i="1"/>
  <c r="AZ5" i="1"/>
  <c r="BT65" i="1"/>
  <c r="BE65" i="1"/>
  <c r="AD114" i="1"/>
  <c r="AV103" i="1"/>
  <c r="BX13" i="1"/>
  <c r="BX15" i="1"/>
  <c r="BX20" i="1"/>
  <c r="BX22" i="1"/>
  <c r="BX12" i="1"/>
  <c r="BX18" i="1"/>
  <c r="BZ136" i="1"/>
  <c r="CA136" i="1"/>
  <c r="AO22" i="1"/>
  <c r="AO13" i="1"/>
  <c r="AO15" i="1"/>
  <c r="AO20" i="1"/>
  <c r="AO18" i="1"/>
  <c r="AO12" i="1"/>
  <c r="AO7" i="1"/>
  <c r="AP20" i="1"/>
  <c r="AP13" i="1"/>
  <c r="AP18" i="1"/>
  <c r="BV13" i="1"/>
  <c r="AR20" i="1"/>
  <c r="AR12" i="1"/>
  <c r="AP15" i="1"/>
  <c r="AP12" i="1"/>
  <c r="AI14" i="1"/>
  <c r="AI17" i="1"/>
  <c r="AI19" i="1"/>
  <c r="AI21" i="1"/>
  <c r="AI23" i="1"/>
  <c r="AO66" i="1"/>
  <c r="AP66" i="1"/>
  <c r="BH12" i="1"/>
  <c r="BH13" i="1"/>
  <c r="BH22" i="1"/>
  <c r="BH18" i="1"/>
  <c r="BH20" i="1"/>
  <c r="AK18" i="1"/>
  <c r="AK22" i="1"/>
  <c r="BH7" i="1"/>
  <c r="AM13" i="1"/>
  <c r="AM12" i="1"/>
  <c r="AR13" i="1"/>
  <c r="AR18" i="1"/>
  <c r="AR7" i="1"/>
  <c r="AS22" i="1"/>
  <c r="AS20" i="1"/>
  <c r="AQ15" i="1"/>
  <c r="AQ18" i="1"/>
  <c r="AQ22" i="1"/>
  <c r="AQ12" i="1"/>
  <c r="AQ13" i="1"/>
  <c r="AQ20" i="1"/>
  <c r="AM66" i="1"/>
  <c r="AN66" i="1"/>
  <c r="AK66" i="1"/>
  <c r="AL66" i="1"/>
  <c r="AS7" i="1"/>
  <c r="AT22" i="1"/>
  <c r="AT18" i="1"/>
  <c r="AT12" i="1"/>
  <c r="AZ15" i="1"/>
  <c r="AK20" i="1"/>
  <c r="AN7" i="1"/>
  <c r="AK12" i="1"/>
  <c r="AK15" i="1"/>
  <c r="AK13" i="1"/>
  <c r="AR22" i="1"/>
  <c r="AR15" i="1"/>
  <c r="AS66" i="1"/>
  <c r="AX13" i="1"/>
  <c r="AX22" i="1"/>
  <c r="AX12" i="1"/>
  <c r="AX15" i="1"/>
  <c r="BD20" i="1"/>
  <c r="BD18" i="1"/>
  <c r="BD13" i="1"/>
  <c r="AN12" i="1"/>
  <c r="AR66" i="1"/>
  <c r="AX7" i="1"/>
  <c r="AS15" i="1"/>
  <c r="AS12" i="1"/>
  <c r="AS13" i="1"/>
  <c r="AS18" i="1"/>
  <c r="AT7" i="1"/>
  <c r="AU20" i="1"/>
  <c r="AU22" i="1"/>
  <c r="AU13" i="1"/>
  <c r="AU18" i="1"/>
  <c r="AU12" i="1"/>
  <c r="AJ15" i="1"/>
  <c r="BU15" i="1"/>
  <c r="BB22" i="1"/>
  <c r="BE66" i="1"/>
  <c r="AZ66" i="1"/>
  <c r="AX66" i="1"/>
  <c r="BH66" i="1"/>
  <c r="BA15" i="1"/>
  <c r="BC7" i="1"/>
  <c r="AY13" i="1"/>
  <c r="BB7" i="1"/>
  <c r="BB66" i="1"/>
  <c r="CN81" i="1"/>
  <c r="AZ22" i="1"/>
  <c r="AX18" i="1"/>
  <c r="AX20" i="1"/>
  <c r="BD12" i="1"/>
  <c r="BD22" i="1"/>
  <c r="BD15" i="1"/>
  <c r="BE18" i="1"/>
  <c r="AQ66" i="1"/>
  <c r="AJ20" i="1"/>
  <c r="BU20" i="1"/>
  <c r="BB15" i="1"/>
  <c r="AL13" i="1"/>
  <c r="BA20" i="1"/>
  <c r="BB20" i="1"/>
  <c r="AZ12" i="1"/>
  <c r="AZ20" i="1"/>
  <c r="BF66" i="1"/>
  <c r="AQ7" i="1"/>
  <c r="BG7" i="1"/>
  <c r="BH15" i="1"/>
  <c r="BA12" i="1"/>
  <c r="BA22" i="1"/>
  <c r="BA13" i="1"/>
  <c r="AY12" i="1"/>
  <c r="AY7" i="1"/>
  <c r="AY18" i="1"/>
  <c r="BC66" i="1"/>
  <c r="AU15" i="1"/>
  <c r="AT13" i="1"/>
  <c r="AT15" i="1"/>
  <c r="AT20" i="1"/>
  <c r="AW7" i="1"/>
  <c r="BC20" i="1"/>
  <c r="BC13" i="1"/>
  <c r="BC12" i="1"/>
  <c r="AM18" i="1"/>
  <c r="AP7" i="1"/>
  <c r="AM20" i="1"/>
  <c r="AM15" i="1"/>
  <c r="AL20" i="1"/>
  <c r="AL22" i="1"/>
  <c r="AL18" i="1"/>
  <c r="BC15" i="1"/>
  <c r="BC18" i="1"/>
  <c r="BC22" i="1"/>
  <c r="AW18" i="1"/>
  <c r="AW22" i="1"/>
  <c r="AW12" i="1"/>
  <c r="AV7" i="1"/>
  <c r="AW13" i="1"/>
  <c r="AW15" i="1"/>
  <c r="AW20" i="1"/>
  <c r="AU7" i="1"/>
  <c r="AY66" i="1"/>
  <c r="BU18" i="1"/>
  <c r="BB13" i="1"/>
  <c r="AL12" i="1"/>
  <c r="BB12" i="1"/>
  <c r="AY20" i="1"/>
  <c r="AY22" i="1"/>
  <c r="BA66" i="1"/>
  <c r="AL15" i="1"/>
  <c r="AT66" i="1"/>
  <c r="AV66" i="1"/>
  <c r="AU66" i="1"/>
  <c r="AJ22" i="1"/>
  <c r="AJ18" i="1"/>
  <c r="AJ12" i="1"/>
  <c r="AJ13" i="1"/>
  <c r="AN15" i="1"/>
  <c r="AM7" i="1"/>
  <c r="BA18" i="1"/>
  <c r="BD7" i="1"/>
  <c r="BA7" i="1"/>
  <c r="BU12" i="1"/>
  <c r="AZ7" i="1"/>
  <c r="BU13" i="1"/>
  <c r="BU22" i="1"/>
  <c r="BB18" i="1"/>
  <c r="AZ13" i="1"/>
  <c r="AZ18" i="1"/>
  <c r="AY15" i="1"/>
  <c r="BG66" i="1"/>
  <c r="AR14" i="1"/>
  <c r="AR17" i="1"/>
  <c r="AR19" i="1"/>
  <c r="AR21" i="1"/>
  <c r="AR23" i="1"/>
  <c r="AK14" i="1"/>
  <c r="AK17" i="1"/>
  <c r="AK19" i="1"/>
  <c r="AK21" i="1"/>
  <c r="AK23" i="1"/>
  <c r="BC14" i="1"/>
  <c r="BC17" i="1"/>
  <c r="BC19" i="1"/>
  <c r="BC21" i="1"/>
  <c r="BC23" i="1"/>
  <c r="AX14" i="1"/>
  <c r="AX17" i="1"/>
  <c r="AX19" i="1"/>
  <c r="AX21" i="1"/>
  <c r="AX23" i="1"/>
  <c r="BA14" i="1"/>
  <c r="BA17" i="1"/>
  <c r="BA19" i="1"/>
  <c r="BA21" i="1"/>
  <c r="BA23" i="1"/>
  <c r="AT14" i="1"/>
  <c r="AT17" i="1"/>
  <c r="AT19" i="1"/>
  <c r="AT21" i="1"/>
  <c r="AT23" i="1"/>
  <c r="BD14" i="1"/>
  <c r="BD17" i="1"/>
  <c r="BD19" i="1"/>
  <c r="BD21" i="1"/>
  <c r="BD23" i="1"/>
  <c r="BE19" i="1"/>
  <c r="BE21" i="1"/>
  <c r="BE23" i="1"/>
  <c r="AN14" i="1"/>
  <c r="AN17" i="1"/>
  <c r="AN19" i="1"/>
  <c r="AN21" i="1"/>
  <c r="AN23" i="1"/>
  <c r="AW14" i="1"/>
  <c r="AW17" i="1"/>
  <c r="AW19" i="1"/>
  <c r="AW21" i="1"/>
  <c r="AW23" i="1"/>
  <c r="BB14" i="1"/>
  <c r="BB17" i="1"/>
  <c r="BB19" i="1"/>
  <c r="BB21" i="1"/>
  <c r="BB23" i="1"/>
  <c r="AS14" i="1"/>
  <c r="AS17" i="1"/>
  <c r="AS19" i="1"/>
  <c r="AS21" i="1"/>
  <c r="AS23" i="1"/>
  <c r="AY14" i="1"/>
  <c r="AY17" i="1"/>
  <c r="AY19" i="1"/>
  <c r="AY21" i="1"/>
  <c r="AY23" i="1"/>
  <c r="AZ14" i="1"/>
  <c r="AZ17" i="1"/>
  <c r="AZ19" i="1"/>
  <c r="AZ21" i="1"/>
  <c r="AZ23" i="1"/>
  <c r="AJ14" i="1"/>
  <c r="AJ17" i="1"/>
  <c r="AJ19" i="1"/>
  <c r="AJ21" i="1"/>
  <c r="AJ23" i="1"/>
  <c r="BU14" i="1"/>
  <c r="BU17" i="1"/>
  <c r="BU19" i="1"/>
  <c r="BU21" i="1"/>
  <c r="BU23" i="1"/>
  <c r="CO81" i="1"/>
  <c r="AO14" i="1"/>
  <c r="AO17" i="1"/>
  <c r="AO19" i="1"/>
  <c r="AO21" i="1"/>
  <c r="AO23" i="1"/>
  <c r="BX14" i="1"/>
  <c r="BX17" i="1"/>
  <c r="BX19" i="1"/>
  <c r="BX21" i="1"/>
  <c r="BX23" i="1"/>
  <c r="AM14" i="1"/>
  <c r="AM17" i="1"/>
  <c r="AM19" i="1"/>
  <c r="AM21" i="1"/>
  <c r="AM23" i="1"/>
  <c r="CB136" i="1"/>
  <c r="CC136" i="1"/>
  <c r="CD136" i="1"/>
  <c r="AL14" i="1"/>
  <c r="AL17" i="1"/>
  <c r="AL19" i="1"/>
  <c r="AL21" i="1"/>
  <c r="AL23" i="1"/>
  <c r="AP14" i="1"/>
  <c r="AP17" i="1"/>
  <c r="AP19" i="1"/>
  <c r="AP21" i="1"/>
  <c r="AP23" i="1"/>
  <c r="AU14" i="1"/>
  <c r="AU17" i="1"/>
  <c r="AU19" i="1"/>
  <c r="AU21" i="1"/>
  <c r="AU23" i="1"/>
  <c r="BH14" i="1"/>
  <c r="BH17" i="1"/>
  <c r="BH19" i="1"/>
  <c r="BH21" i="1"/>
  <c r="BH23" i="1"/>
  <c r="AQ14" i="1"/>
  <c r="AQ17" i="1"/>
  <c r="AQ19" i="1"/>
  <c r="AQ21" i="1"/>
  <c r="AQ23" i="1"/>
  <c r="BV14" i="1"/>
  <c r="BV17" i="1"/>
  <c r="BV19" i="1"/>
  <c r="BV21" i="1"/>
  <c r="BV23" i="1"/>
  <c r="BX24" i="1"/>
  <c r="BV24" i="1"/>
  <c r="BU24" i="1"/>
  <c r="BZ115" i="1"/>
  <c r="BZ118" i="1"/>
  <c r="BD69" i="1"/>
  <c r="BD70" i="1"/>
  <c r="BD101" i="1"/>
  <c r="CE136" i="1"/>
  <c r="CF136" i="1"/>
  <c r="CG136" i="1"/>
  <c r="CH136" i="1"/>
  <c r="CB113" i="1"/>
  <c r="CA118" i="1"/>
  <c r="BZ107" i="1"/>
  <c r="BZ64" i="1"/>
  <c r="BD103" i="1"/>
  <c r="BD102" i="1"/>
  <c r="CI136" i="1"/>
  <c r="CJ136" i="1"/>
  <c r="CK136" i="1"/>
  <c r="CL136" i="1"/>
  <c r="CM136" i="1"/>
  <c r="CN136" i="1"/>
  <c r="CC113" i="1"/>
  <c r="CB115" i="1"/>
  <c r="CB118" i="1"/>
  <c r="CA107" i="1"/>
  <c r="CA64" i="1"/>
  <c r="AB113" i="1"/>
  <c r="CC115" i="1"/>
  <c r="CC118" i="1"/>
  <c r="CF113" i="1"/>
  <c r="CD113" i="1"/>
  <c r="CO136" i="1"/>
  <c r="CB107" i="1"/>
  <c r="CB64" i="1"/>
  <c r="CD115" i="1"/>
  <c r="CD118" i="1"/>
  <c r="CG113" i="1"/>
  <c r="AB134" i="1"/>
  <c r="AB115" i="1"/>
  <c r="AB118" i="1"/>
  <c r="CC107" i="1"/>
  <c r="AB62" i="1"/>
  <c r="AB64" i="1"/>
  <c r="CF115" i="1"/>
  <c r="CF118" i="1"/>
  <c r="CE118" i="1"/>
  <c r="AB136" i="1"/>
  <c r="AB107" i="1"/>
  <c r="AC113" i="1"/>
  <c r="CG115" i="1"/>
  <c r="CG118" i="1"/>
  <c r="CD107" i="1"/>
  <c r="CE107" i="1"/>
  <c r="CE64" i="1"/>
  <c r="CH113" i="1"/>
  <c r="CH115" i="1"/>
  <c r="CH118" i="1"/>
  <c r="AC115" i="1"/>
  <c r="AC134" i="1"/>
  <c r="AC118" i="1"/>
  <c r="CF107" i="1"/>
  <c r="CF64" i="1"/>
  <c r="CI118" i="1"/>
  <c r="AC136" i="1"/>
  <c r="CJ113" i="1"/>
  <c r="CG107" i="1"/>
  <c r="CJ115" i="1"/>
  <c r="CJ118" i="1"/>
  <c r="CK113" i="1"/>
  <c r="AC107" i="1"/>
  <c r="CH107" i="1"/>
  <c r="CH64" i="1"/>
  <c r="BE132" i="1"/>
  <c r="BE9" i="1"/>
  <c r="CK115" i="1"/>
  <c r="CK118" i="1"/>
  <c r="BE4" i="1"/>
  <c r="CI107" i="1"/>
  <c r="CI64" i="1"/>
  <c r="BE69" i="1"/>
  <c r="BE70" i="1"/>
  <c r="BE101" i="1"/>
  <c r="BF4" i="1"/>
  <c r="CL113" i="1"/>
  <c r="AD113" i="1"/>
  <c r="AD134" i="1"/>
  <c r="CJ107" i="1"/>
  <c r="CJ64" i="1"/>
  <c r="BE103" i="1"/>
  <c r="BE102" i="1"/>
  <c r="BF5" i="1"/>
  <c r="BE5" i="1"/>
  <c r="CL115" i="1"/>
  <c r="CL118" i="1"/>
  <c r="AD118" i="1"/>
  <c r="AD115" i="1"/>
  <c r="BG18" i="1"/>
  <c r="AD136" i="1"/>
  <c r="CK107" i="1"/>
  <c r="BF7" i="1"/>
  <c r="BG12" i="1"/>
  <c r="BG13" i="1"/>
  <c r="BG20" i="1"/>
  <c r="BG15" i="1"/>
  <c r="BG22" i="1"/>
  <c r="BF18" i="1"/>
  <c r="BF22" i="1"/>
  <c r="CM118" i="1"/>
  <c r="CO113" i="1"/>
  <c r="BF20" i="1"/>
  <c r="BF12" i="1"/>
  <c r="BE7" i="1"/>
  <c r="BF13" i="1"/>
  <c r="BF15" i="1"/>
  <c r="CN113" i="1"/>
  <c r="CN115" i="1"/>
  <c r="CN118" i="1"/>
  <c r="AD107" i="1"/>
  <c r="CL107" i="1"/>
  <c r="CL64" i="1"/>
  <c r="AE113" i="1"/>
  <c r="BG14" i="1"/>
  <c r="BG17" i="1"/>
  <c r="BF14" i="1"/>
  <c r="BF17" i="1"/>
  <c r="CO115" i="1"/>
  <c r="CO118" i="1"/>
  <c r="AE118" i="1"/>
  <c r="AE134" i="1"/>
  <c r="AE115" i="1"/>
  <c r="CM107" i="1"/>
  <c r="CM64" i="1"/>
  <c r="BG19" i="1"/>
  <c r="BG21" i="1"/>
  <c r="BG23" i="1"/>
  <c r="BF19" i="1"/>
  <c r="BF21" i="1"/>
  <c r="BF23" i="1"/>
  <c r="AE136" i="1"/>
  <c r="CN107" i="1"/>
  <c r="CN64" i="1"/>
  <c r="CO107" i="1"/>
  <c r="AE107" i="1"/>
  <c r="BG69" i="1"/>
  <c r="BG70" i="1"/>
  <c r="BG101" i="1"/>
  <c r="BG102" i="1"/>
  <c r="BI13" i="1"/>
  <c r="BI12" i="1"/>
  <c r="BG103" i="1"/>
  <c r="BI15" i="1"/>
  <c r="BI14" i="1"/>
  <c r="BI17" i="1"/>
  <c r="BI18" i="1"/>
  <c r="BI19" i="1"/>
  <c r="BI22" i="1"/>
  <c r="BI20" i="1"/>
  <c r="BI21" i="1"/>
  <c r="BI23" i="1"/>
  <c r="BJ132" i="1"/>
  <c r="BJ65" i="1"/>
  <c r="BI65" i="1"/>
  <c r="BI66" i="1"/>
  <c r="BI132" i="1"/>
  <c r="BJ66" i="1"/>
  <c r="BJ4" i="1"/>
  <c r="BI9" i="1"/>
  <c r="BI4" i="1"/>
  <c r="BJ69" i="1"/>
  <c r="BJ70" i="1"/>
  <c r="BJ101" i="1"/>
  <c r="BJ9" i="1"/>
  <c r="BI69" i="1"/>
  <c r="BI70" i="1"/>
  <c r="BI101" i="1"/>
  <c r="BI102" i="1"/>
  <c r="BI103" i="1"/>
  <c r="BJ102" i="1"/>
  <c r="BJ103" i="1"/>
  <c r="BI5" i="1"/>
  <c r="BJ5" i="1"/>
  <c r="BJ7" i="1"/>
  <c r="BJ18" i="1"/>
  <c r="BI7" i="1"/>
  <c r="BJ15" i="1"/>
  <c r="BJ22" i="1"/>
  <c r="BJ13" i="1"/>
  <c r="BJ12" i="1"/>
  <c r="BJ20" i="1"/>
  <c r="BJ14" i="1"/>
  <c r="BJ17" i="1"/>
  <c r="BK12" i="1"/>
  <c r="BJ19" i="1"/>
  <c r="BJ21" i="1"/>
  <c r="BJ23" i="1"/>
  <c r="BK13" i="1"/>
  <c r="BK14" i="1"/>
  <c r="BK15" i="1"/>
  <c r="BK17" i="1"/>
  <c r="BK18" i="1"/>
  <c r="BK19" i="1"/>
  <c r="BK20" i="1"/>
  <c r="BK22" i="1"/>
  <c r="BK21" i="1"/>
  <c r="BK23" i="1"/>
  <c r="BK65" i="1"/>
  <c r="BK66" i="1"/>
  <c r="BK132" i="1"/>
  <c r="BK69" i="1"/>
  <c r="BK70" i="1"/>
  <c r="BK101" i="1"/>
  <c r="BK9" i="1"/>
  <c r="BK4" i="1"/>
  <c r="BK103" i="1"/>
  <c r="BK5" i="1"/>
  <c r="BK102" i="1"/>
  <c r="BL20" i="1"/>
  <c r="BK7" i="1"/>
  <c r="BL13" i="1"/>
  <c r="BL22" i="1"/>
  <c r="BL12" i="1"/>
  <c r="BL15" i="1"/>
  <c r="BL18" i="1"/>
  <c r="BL14" i="1"/>
  <c r="BL17" i="1"/>
  <c r="BL19" i="1"/>
  <c r="BL21" i="1"/>
  <c r="BL23" i="1"/>
  <c r="BL65" i="1"/>
  <c r="BL66" i="1"/>
  <c r="BL4" i="1"/>
  <c r="BL69" i="1"/>
  <c r="BL70" i="1"/>
  <c r="BL101" i="1"/>
  <c r="BL103" i="1"/>
  <c r="BL102" i="1"/>
  <c r="BL5" i="1"/>
  <c r="BL7" i="1"/>
  <c r="BM15" i="1"/>
  <c r="BM13" i="1"/>
  <c r="BM12" i="1"/>
  <c r="BM14" i="1"/>
  <c r="BM17" i="1"/>
  <c r="BM18" i="1"/>
  <c r="BM19" i="1"/>
  <c r="BM20" i="1"/>
  <c r="BM21" i="1"/>
  <c r="BM22" i="1"/>
  <c r="BM23" i="1"/>
  <c r="BN65" i="1"/>
  <c r="BP65" i="1"/>
  <c r="BR65" i="1"/>
  <c r="BQ65" i="1"/>
  <c r="BO65" i="1"/>
  <c r="BM65" i="1"/>
  <c r="BM66" i="1"/>
  <c r="BO66" i="1"/>
  <c r="BR66" i="1"/>
  <c r="BN66" i="1"/>
  <c r="BS66" i="1"/>
  <c r="BT66" i="1"/>
  <c r="BU66" i="1"/>
  <c r="BQ66" i="1"/>
  <c r="BP66" i="1"/>
  <c r="BM9" i="1"/>
  <c r="BM69" i="1"/>
  <c r="BM70" i="1"/>
  <c r="BM101" i="1"/>
  <c r="BN4" i="1"/>
  <c r="BM132" i="1"/>
  <c r="BN132" i="1"/>
  <c r="BN69" i="1"/>
  <c r="BN70" i="1"/>
  <c r="BN101" i="1"/>
  <c r="BN9" i="1"/>
  <c r="BN5" i="1"/>
  <c r="BM103" i="1"/>
  <c r="BM102" i="1"/>
  <c r="BM7" i="1"/>
  <c r="BN103" i="1"/>
  <c r="BN102" i="1"/>
  <c r="BP4" i="1"/>
  <c r="BO20" i="1"/>
  <c r="BO12" i="1"/>
  <c r="BO15" i="1"/>
  <c r="BO18" i="1"/>
  <c r="BO9" i="1"/>
  <c r="BO13" i="1"/>
  <c r="BO22" i="1"/>
  <c r="BN7" i="1"/>
  <c r="BO4" i="1"/>
  <c r="BO69" i="1"/>
  <c r="BO70" i="1"/>
  <c r="BO101" i="1"/>
  <c r="BO132" i="1"/>
  <c r="BO5" i="1"/>
  <c r="BP13" i="1"/>
  <c r="BP15" i="1"/>
  <c r="BP20" i="1"/>
  <c r="BP22" i="1"/>
  <c r="Y4" i="1"/>
  <c r="BP5" i="1"/>
  <c r="BT7" i="1"/>
  <c r="BO102" i="1"/>
  <c r="BO103" i="1"/>
  <c r="BO14" i="1"/>
  <c r="BO17" i="1"/>
  <c r="BP18" i="1"/>
  <c r="BO7" i="1"/>
  <c r="BP12" i="1"/>
  <c r="BP69" i="1"/>
  <c r="BP70" i="1"/>
  <c r="BP101" i="1"/>
  <c r="BS4" i="1"/>
  <c r="BQ13" i="1"/>
  <c r="BP7" i="1"/>
  <c r="BQ15" i="1"/>
  <c r="BQ22" i="1"/>
  <c r="BQ132" i="1"/>
  <c r="BQ69" i="1"/>
  <c r="BQ70" i="1"/>
  <c r="BQ101" i="1"/>
  <c r="BQ9" i="1"/>
  <c r="BQ12" i="1"/>
  <c r="BQ20" i="1"/>
  <c r="BP103" i="1"/>
  <c r="BP102" i="1"/>
  <c r="BO19" i="1"/>
  <c r="BO21" i="1"/>
  <c r="BO23" i="1"/>
  <c r="BP14" i="1"/>
  <c r="BP17" i="1"/>
  <c r="BQ18" i="1"/>
  <c r="BR4" i="1"/>
  <c r="BQ14" i="1"/>
  <c r="BQ17" i="1"/>
  <c r="Y5" i="1"/>
  <c r="BR9" i="1"/>
  <c r="BQ103" i="1"/>
  <c r="BP19" i="1"/>
  <c r="BP21" i="1"/>
  <c r="BP23" i="1"/>
  <c r="BR132" i="1"/>
  <c r="BR69" i="1"/>
  <c r="BR70" i="1"/>
  <c r="BR101" i="1"/>
  <c r="Z4" i="1"/>
  <c r="BQ102" i="1"/>
  <c r="BQ19" i="1"/>
  <c r="BQ21" i="1"/>
  <c r="BQ23" i="1"/>
  <c r="BR5" i="1"/>
  <c r="BR7" i="1"/>
  <c r="BS5" i="1"/>
  <c r="BW7" i="1"/>
  <c r="Y7" i="1"/>
  <c r="BR103" i="1"/>
  <c r="BR102" i="1"/>
  <c r="BT15" i="1"/>
  <c r="BS7" i="1"/>
  <c r="BT18" i="1"/>
  <c r="BT13" i="1"/>
  <c r="BT20" i="1"/>
  <c r="BT22" i="1"/>
  <c r="BT12" i="1"/>
  <c r="BS12" i="1"/>
  <c r="BS22" i="1"/>
  <c r="BS13" i="1"/>
  <c r="BS15" i="1"/>
  <c r="BS20" i="1"/>
  <c r="BS18" i="1"/>
  <c r="BT14" i="1"/>
  <c r="BT17" i="1"/>
  <c r="BS14" i="1"/>
  <c r="BS17" i="1"/>
  <c r="BS19" i="1"/>
  <c r="BS21" i="1"/>
  <c r="BS23" i="1"/>
  <c r="BT19" i="1"/>
  <c r="BT21" i="1"/>
  <c r="BT23" i="1"/>
  <c r="BT24" i="1"/>
  <c r="BS24" i="1"/>
  <c r="Z20" i="1"/>
  <c r="Z13" i="1"/>
  <c r="Z12" i="1"/>
  <c r="Z15" i="1"/>
  <c r="Z14" i="1"/>
  <c r="Z17" i="1"/>
  <c r="Z18" i="1"/>
  <c r="Z19" i="1"/>
  <c r="Z21" i="1"/>
  <c r="Z22" i="1"/>
  <c r="Z23" i="1"/>
  <c r="Z5" i="1"/>
  <c r="Z7" i="1"/>
  <c r="BV65" i="1"/>
  <c r="BV4" i="1"/>
  <c r="BY66" i="1"/>
  <c r="BV66" i="1"/>
  <c r="BW66" i="1"/>
  <c r="BV132" i="1"/>
  <c r="BX66" i="1"/>
  <c r="BV69" i="1"/>
  <c r="BV70" i="1"/>
  <c r="BV101" i="1"/>
  <c r="BV102" i="1"/>
  <c r="BV103" i="1"/>
  <c r="BW22" i="1"/>
  <c r="BW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BW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BW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BW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BV7" i="1"/>
  <c r="BW14" i="1"/>
  <c r="BW17" i="1"/>
  <c r="BW19" i="1"/>
  <c r="BW21" i="1"/>
  <c r="BW23" i="1"/>
  <c r="BW24" i="1"/>
  <c r="BZ12" i="1"/>
  <c r="CA12" i="1"/>
  <c r="BZ14" i="1"/>
  <c r="BZ17" i="1"/>
  <c r="BZ19" i="1"/>
  <c r="BZ21" i="1"/>
  <c r="CB12" i="1"/>
  <c r="CA14" i="1"/>
  <c r="CA17" i="1"/>
  <c r="CA19" i="1"/>
  <c r="CA21" i="1"/>
  <c r="CC12" i="1"/>
  <c r="CB14" i="1"/>
  <c r="CB17" i="1"/>
  <c r="CB19" i="1"/>
  <c r="CB21" i="1"/>
  <c r="CD12" i="1"/>
  <c r="CC14" i="1"/>
  <c r="CC17" i="1"/>
  <c r="CC19" i="1"/>
  <c r="CC21" i="1"/>
  <c r="CD14" i="1"/>
  <c r="CD17" i="1"/>
  <c r="CD19" i="1"/>
  <c r="CD21" i="1"/>
  <c r="CE12" i="1"/>
  <c r="CF12" i="1"/>
  <c r="CE14" i="1"/>
  <c r="CE17" i="1"/>
  <c r="CE19" i="1"/>
  <c r="CE21" i="1"/>
  <c r="CG12" i="1"/>
  <c r="CF14" i="1"/>
  <c r="CF17" i="1"/>
  <c r="CF19" i="1"/>
  <c r="CF21" i="1"/>
  <c r="CH12" i="1"/>
  <c r="CG14" i="1"/>
  <c r="CG17" i="1"/>
  <c r="CG19" i="1"/>
  <c r="CG21" i="1"/>
  <c r="CI12" i="1"/>
  <c r="CH14" i="1"/>
  <c r="CH17" i="1"/>
  <c r="CH19" i="1"/>
  <c r="CH21" i="1"/>
  <c r="CI14" i="1"/>
  <c r="CI17" i="1"/>
  <c r="CI19" i="1"/>
  <c r="CI21" i="1"/>
  <c r="CJ12" i="1"/>
  <c r="CJ14" i="1"/>
  <c r="CJ17" i="1"/>
  <c r="CJ19" i="1"/>
  <c r="CJ21" i="1"/>
  <c r="CK12" i="1"/>
  <c r="CL12" i="1"/>
  <c r="CK14" i="1"/>
  <c r="CK17" i="1"/>
  <c r="CK19" i="1"/>
  <c r="CK21" i="1"/>
  <c r="CM12" i="1"/>
  <c r="CL14" i="1"/>
  <c r="CL17" i="1"/>
  <c r="CL19" i="1"/>
  <c r="CL21" i="1"/>
  <c r="CN12" i="1"/>
  <c r="CM14" i="1"/>
  <c r="CM17" i="1"/>
  <c r="CM19" i="1"/>
  <c r="CM21" i="1"/>
  <c r="CN14" i="1"/>
  <c r="CN17" i="1"/>
  <c r="CN19" i="1"/>
  <c r="CN21" i="1"/>
  <c r="CO12" i="1"/>
  <c r="CO14" i="1"/>
  <c r="CO17" i="1"/>
  <c r="CO19" i="1"/>
  <c r="CO21" i="1"/>
  <c r="AA20" i="1"/>
  <c r="AA15" i="1"/>
  <c r="AA13" i="1"/>
  <c r="AA18" i="1"/>
  <c r="AA12" i="1"/>
  <c r="AA14" i="1"/>
  <c r="AA17" i="1"/>
  <c r="AA19" i="1"/>
  <c r="AA21" i="1"/>
  <c r="AA22" i="1"/>
  <c r="AA23" i="1"/>
  <c r="BY9" i="1"/>
  <c r="BY4" i="1"/>
  <c r="AA4" i="1"/>
  <c r="BY5" i="1"/>
  <c r="BZ40" i="1"/>
  <c r="BZ49" i="1"/>
  <c r="BZ34" i="1"/>
  <c r="BY7" i="1"/>
  <c r="BZ35" i="1"/>
  <c r="AA5" i="1"/>
  <c r="AA7" i="1"/>
  <c r="BZ37" i="1"/>
  <c r="BZ46" i="1"/>
  <c r="BZ36" i="1"/>
  <c r="BZ38" i="1"/>
  <c r="BZ47" i="1"/>
  <c r="BZ50" i="1"/>
  <c r="BZ39" i="1"/>
  <c r="BZ48" i="1"/>
  <c r="BZ51" i="1"/>
  <c r="BZ22" i="1"/>
  <c r="BZ23" i="1"/>
  <c r="BZ52" i="1"/>
  <c r="BZ56" i="1"/>
  <c r="BZ108" i="1"/>
  <c r="BZ65" i="1"/>
  <c r="BZ66" i="1"/>
  <c r="BZ57" i="1"/>
  <c r="BZ109" i="1"/>
  <c r="BZ9" i="1"/>
  <c r="BZ87" i="1"/>
  <c r="BZ116" i="1"/>
  <c r="BZ4" i="1"/>
  <c r="BZ132" i="1"/>
  <c r="BZ69" i="1"/>
  <c r="BZ5" i="1"/>
  <c r="CA34" i="1"/>
  <c r="BZ7" i="1"/>
  <c r="CA35" i="1"/>
  <c r="CA37" i="1"/>
  <c r="CA40" i="1"/>
  <c r="CA49" i="1"/>
  <c r="CA36" i="1"/>
  <c r="CA46" i="1"/>
  <c r="CA38" i="1"/>
  <c r="CA47" i="1"/>
  <c r="CA50" i="1"/>
  <c r="CA39" i="1"/>
  <c r="CA48" i="1"/>
  <c r="CA51" i="1"/>
  <c r="CA52" i="1"/>
  <c r="CA56" i="1"/>
  <c r="CA108" i="1"/>
  <c r="CA22" i="1"/>
  <c r="CA23" i="1"/>
  <c r="CA65" i="1"/>
  <c r="CA66" i="1"/>
  <c r="CA57" i="1"/>
  <c r="CA109" i="1"/>
  <c r="CA69" i="1"/>
  <c r="CA116" i="1"/>
  <c r="CA132" i="1"/>
  <c r="CA9" i="1"/>
  <c r="CA87" i="1"/>
  <c r="CA4" i="1"/>
  <c r="CA5" i="1"/>
  <c r="CB40" i="1"/>
  <c r="CB49" i="1"/>
  <c r="CB35" i="1"/>
  <c r="CB34" i="1"/>
  <c r="CB37" i="1"/>
  <c r="CA7" i="1"/>
  <c r="CB36" i="1"/>
  <c r="CB46" i="1"/>
  <c r="CB38" i="1"/>
  <c r="CB39" i="1"/>
  <c r="CB47" i="1"/>
  <c r="CB48" i="1"/>
  <c r="CB50" i="1"/>
  <c r="CB51" i="1"/>
  <c r="CB52" i="1"/>
  <c r="CB56" i="1"/>
  <c r="CB22" i="1"/>
  <c r="CB23" i="1"/>
  <c r="CB65" i="1"/>
  <c r="CB66" i="1"/>
  <c r="CB108" i="1"/>
  <c r="CB109" i="1"/>
  <c r="CB9" i="1"/>
  <c r="CB87" i="1"/>
  <c r="CB132" i="1"/>
  <c r="CB69" i="1"/>
  <c r="CB116" i="1"/>
  <c r="CB4" i="1"/>
  <c r="CB5" i="1"/>
  <c r="CC37" i="1"/>
  <c r="AB37" i="1"/>
  <c r="AB15" i="1"/>
  <c r="CB7" i="1"/>
  <c r="CC49" i="1"/>
  <c r="AB49" i="1"/>
  <c r="AB20" i="1"/>
  <c r="CC34" i="1"/>
  <c r="CC35" i="1"/>
  <c r="AB35" i="1"/>
  <c r="AB13" i="1"/>
  <c r="CC40" i="1"/>
  <c r="CC46" i="1"/>
  <c r="AB40" i="1"/>
  <c r="CC36" i="1"/>
  <c r="AB34" i="1"/>
  <c r="AB36" i="1"/>
  <c r="AB38" i="1"/>
  <c r="AB39" i="1"/>
  <c r="AB12" i="1"/>
  <c r="AB14" i="1"/>
  <c r="AB17" i="1"/>
  <c r="AB46" i="1"/>
  <c r="AB18" i="1"/>
  <c r="CC38" i="1"/>
  <c r="CC39" i="1"/>
  <c r="CC47" i="1"/>
  <c r="CC48" i="1"/>
  <c r="AB19" i="1"/>
  <c r="AB21" i="1"/>
  <c r="AB47" i="1"/>
  <c r="AB48" i="1"/>
  <c r="AB50" i="1"/>
  <c r="CC50" i="1"/>
  <c r="CC51" i="1"/>
  <c r="CC52" i="1"/>
  <c r="CC56" i="1"/>
  <c r="CC22" i="1"/>
  <c r="CC23" i="1"/>
  <c r="AB51" i="1"/>
  <c r="AB22" i="1"/>
  <c r="AB23" i="1"/>
  <c r="CC65" i="1"/>
  <c r="CC66" i="1"/>
  <c r="CC68" i="1"/>
  <c r="CC108" i="1"/>
  <c r="AB52" i="1"/>
  <c r="AB56" i="1"/>
  <c r="AB57" i="1"/>
  <c r="AB65" i="1"/>
  <c r="AB66" i="1"/>
  <c r="AB108" i="1"/>
  <c r="AB109" i="1"/>
  <c r="AB9" i="1"/>
  <c r="CC109" i="1"/>
  <c r="CC9" i="1"/>
  <c r="CC87" i="1"/>
  <c r="AB87" i="1"/>
  <c r="CC69" i="1"/>
  <c r="AB116" i="1"/>
  <c r="CC116" i="1"/>
  <c r="CC132" i="1"/>
  <c r="AB69" i="1"/>
  <c r="AB70" i="1"/>
  <c r="AB101" i="1"/>
  <c r="CC4" i="1"/>
  <c r="AB4" i="1"/>
  <c r="CC5" i="1"/>
  <c r="CD40" i="1"/>
  <c r="AB5" i="1"/>
  <c r="AB7" i="1"/>
  <c r="CD35" i="1"/>
  <c r="CC7" i="1"/>
  <c r="CD34" i="1"/>
  <c r="CD37" i="1"/>
  <c r="CD49" i="1"/>
  <c r="CD36" i="1"/>
  <c r="CD46" i="1"/>
  <c r="CD38" i="1"/>
  <c r="CD39" i="1"/>
  <c r="CD47" i="1"/>
  <c r="CD48" i="1"/>
  <c r="CD50" i="1"/>
  <c r="CD51" i="1"/>
  <c r="CD52" i="1"/>
  <c r="CD56" i="1"/>
  <c r="CD22" i="1"/>
  <c r="CD23" i="1"/>
  <c r="CD108" i="1"/>
  <c r="CD65" i="1"/>
  <c r="CD66" i="1"/>
  <c r="CD57" i="1"/>
  <c r="CD109" i="1"/>
  <c r="CD9" i="1"/>
  <c r="CD69" i="1"/>
  <c r="CD4" i="1"/>
  <c r="CD87" i="1"/>
  <c r="CD116" i="1"/>
  <c r="CD132" i="1"/>
  <c r="CD5" i="1"/>
  <c r="CD7" i="1"/>
  <c r="CE35" i="1"/>
  <c r="CE49" i="1"/>
  <c r="CE40" i="1"/>
  <c r="CE34" i="1"/>
  <c r="CE37" i="1"/>
  <c r="CE36" i="1"/>
  <c r="CE46" i="1"/>
  <c r="CE38" i="1"/>
  <c r="CE39" i="1"/>
  <c r="CE47" i="1"/>
  <c r="CE50" i="1"/>
  <c r="CE51" i="1"/>
  <c r="CE48" i="1"/>
  <c r="CE52" i="1"/>
  <c r="CE56" i="1"/>
  <c r="CE22" i="1"/>
  <c r="CE23" i="1"/>
  <c r="CE57" i="1"/>
  <c r="CE65" i="1"/>
  <c r="CE66" i="1"/>
  <c r="CE108" i="1"/>
  <c r="CE109" i="1"/>
  <c r="CE69" i="1"/>
  <c r="CE132" i="1"/>
  <c r="CE4" i="1"/>
  <c r="CE116" i="1"/>
  <c r="CE87" i="1"/>
  <c r="CE9" i="1"/>
  <c r="CE5" i="1"/>
  <c r="CF34" i="1"/>
  <c r="CF40" i="1"/>
  <c r="CF49" i="1"/>
  <c r="CF35" i="1"/>
  <c r="CE7" i="1"/>
  <c r="CF37" i="1"/>
  <c r="CF46" i="1"/>
  <c r="CF36" i="1"/>
  <c r="CF38" i="1"/>
  <c r="CF39" i="1"/>
  <c r="CF47" i="1"/>
  <c r="CF48" i="1"/>
  <c r="CF50" i="1"/>
  <c r="CF51" i="1"/>
  <c r="CF22" i="1"/>
  <c r="CF23" i="1"/>
  <c r="CF52" i="1"/>
  <c r="CF56" i="1"/>
  <c r="CF57" i="1"/>
  <c r="CF65" i="1"/>
  <c r="CF66" i="1"/>
  <c r="CF108" i="1"/>
  <c r="CF109" i="1"/>
  <c r="CF87" i="1"/>
  <c r="CF69" i="1"/>
  <c r="CF132" i="1"/>
  <c r="CF116" i="1"/>
  <c r="CF9" i="1"/>
  <c r="CF4" i="1"/>
  <c r="CF5" i="1"/>
  <c r="CG35" i="1"/>
  <c r="AC35" i="1"/>
  <c r="AC13" i="1"/>
  <c r="CG40" i="1"/>
  <c r="AC40" i="1"/>
  <c r="CF7" i="1"/>
  <c r="CG34" i="1"/>
  <c r="AC34" i="1"/>
  <c r="AC12" i="1"/>
  <c r="CG49" i="1"/>
  <c r="AC49" i="1"/>
  <c r="AC20" i="1"/>
  <c r="CG37" i="1"/>
  <c r="AC37" i="1"/>
  <c r="AC15" i="1"/>
  <c r="AC36" i="1"/>
  <c r="AC38" i="1"/>
  <c r="AC39" i="1"/>
  <c r="AC46" i="1"/>
  <c r="AC18" i="1"/>
  <c r="AC14" i="1"/>
  <c r="AC17" i="1"/>
  <c r="CG36" i="1"/>
  <c r="CG46" i="1"/>
  <c r="AC47" i="1"/>
  <c r="AC48" i="1"/>
  <c r="CG38" i="1"/>
  <c r="CG39" i="1"/>
  <c r="AC19" i="1"/>
  <c r="AC21" i="1"/>
  <c r="CG47" i="1"/>
  <c r="CG48" i="1"/>
  <c r="AC50" i="1"/>
  <c r="CG50" i="1"/>
  <c r="CG51" i="1"/>
  <c r="CG52" i="1"/>
  <c r="CG22" i="1"/>
  <c r="CG23" i="1"/>
  <c r="AC51" i="1"/>
  <c r="AC22" i="1"/>
  <c r="AC23" i="1"/>
  <c r="CG56" i="1"/>
  <c r="AC52" i="1"/>
  <c r="AC56" i="1"/>
  <c r="AC57" i="1"/>
  <c r="CG65" i="1"/>
  <c r="CG66" i="1"/>
  <c r="CG68" i="1"/>
  <c r="CG108" i="1"/>
  <c r="AC65" i="1"/>
  <c r="AC66" i="1"/>
  <c r="CG57" i="1"/>
  <c r="CG109" i="1"/>
  <c r="AC108" i="1"/>
  <c r="AC109" i="1"/>
  <c r="AC87" i="1"/>
  <c r="CG87" i="1"/>
  <c r="CG116" i="1"/>
  <c r="CG9" i="1"/>
  <c r="CG132" i="1"/>
  <c r="AC69" i="1"/>
  <c r="AC70" i="1"/>
  <c r="AC101" i="1"/>
  <c r="CG69" i="1"/>
  <c r="AC9" i="1"/>
  <c r="AC116" i="1"/>
  <c r="CG4" i="1"/>
  <c r="AC4" i="1"/>
  <c r="CG5" i="1"/>
  <c r="CH37" i="1"/>
  <c r="CH34" i="1"/>
  <c r="CH49" i="1"/>
  <c r="CH40" i="1"/>
  <c r="CH46" i="1"/>
  <c r="CG7" i="1"/>
  <c r="AC5" i="1"/>
  <c r="AC7" i="1"/>
  <c r="CH35" i="1"/>
  <c r="CH36" i="1"/>
  <c r="CH38" i="1"/>
  <c r="CH47" i="1"/>
  <c r="CH48" i="1"/>
  <c r="CH39" i="1"/>
  <c r="CH50" i="1"/>
  <c r="CH51" i="1"/>
  <c r="CH22" i="1"/>
  <c r="CH23" i="1"/>
  <c r="CH52" i="1"/>
  <c r="CH56" i="1"/>
  <c r="CH108" i="1"/>
  <c r="CH109" i="1"/>
  <c r="CH9" i="1"/>
  <c r="CH65" i="1"/>
  <c r="CH66" i="1"/>
  <c r="CH132" i="1"/>
  <c r="CH4" i="1"/>
  <c r="CH116" i="1"/>
  <c r="CH69" i="1"/>
  <c r="CH57" i="1"/>
  <c r="CH5" i="1"/>
  <c r="CH7" i="1"/>
  <c r="CI35" i="1"/>
  <c r="CI34" i="1"/>
  <c r="CI49" i="1"/>
  <c r="CI37" i="1"/>
  <c r="CI40" i="1"/>
  <c r="CI46" i="1"/>
  <c r="CI36" i="1"/>
  <c r="CI38" i="1"/>
  <c r="CI39" i="1"/>
  <c r="CI47" i="1"/>
  <c r="CI48" i="1"/>
  <c r="CI50" i="1"/>
  <c r="CI51" i="1"/>
  <c r="CI22" i="1"/>
  <c r="CI23" i="1"/>
  <c r="CI52" i="1"/>
  <c r="CI56" i="1"/>
  <c r="CI57" i="1"/>
  <c r="CI65" i="1"/>
  <c r="CI66" i="1"/>
  <c r="CI108" i="1"/>
  <c r="CI109" i="1"/>
  <c r="CI9" i="1"/>
  <c r="CI116" i="1"/>
  <c r="CI69" i="1"/>
  <c r="CI132" i="1"/>
  <c r="CI4" i="1"/>
  <c r="CI5" i="1"/>
  <c r="CJ40" i="1"/>
  <c r="CI7" i="1"/>
  <c r="CJ35" i="1"/>
  <c r="CJ49" i="1"/>
  <c r="CJ34" i="1"/>
  <c r="CJ37" i="1"/>
  <c r="CJ46" i="1"/>
  <c r="CJ36" i="1"/>
  <c r="CJ38" i="1"/>
  <c r="CJ39" i="1"/>
  <c r="CJ47" i="1"/>
  <c r="CJ48" i="1"/>
  <c r="CJ50" i="1"/>
  <c r="CJ51" i="1"/>
  <c r="CJ52" i="1"/>
  <c r="CJ22" i="1"/>
  <c r="CJ23" i="1"/>
  <c r="CJ56" i="1"/>
  <c r="CJ57" i="1"/>
  <c r="CJ65" i="1"/>
  <c r="CJ66" i="1"/>
  <c r="CJ108" i="1"/>
  <c r="CJ109" i="1"/>
  <c r="CJ9" i="1"/>
  <c r="CJ132" i="1"/>
  <c r="CJ116" i="1"/>
  <c r="CJ69" i="1"/>
  <c r="CJ4" i="1"/>
  <c r="CJ5" i="1"/>
  <c r="CK35" i="1"/>
  <c r="AD35" i="1"/>
  <c r="AD13" i="1"/>
  <c r="CK40" i="1"/>
  <c r="CK34" i="1"/>
  <c r="CK49" i="1"/>
  <c r="AD49" i="1"/>
  <c r="AD20" i="1"/>
  <c r="CK37" i="1"/>
  <c r="AD37" i="1"/>
  <c r="AD15" i="1"/>
  <c r="CJ7" i="1"/>
  <c r="AD40" i="1"/>
  <c r="AD46" i="1"/>
  <c r="AD18" i="1"/>
  <c r="CK36" i="1"/>
  <c r="CK46" i="1"/>
  <c r="AD34" i="1"/>
  <c r="AD36" i="1"/>
  <c r="AD38" i="1"/>
  <c r="AD12" i="1"/>
  <c r="AD14" i="1"/>
  <c r="AD17" i="1"/>
  <c r="AD19" i="1"/>
  <c r="AD21" i="1"/>
  <c r="CK38" i="1"/>
  <c r="AD47" i="1"/>
  <c r="CK39" i="1"/>
  <c r="AD39" i="1"/>
  <c r="CK47" i="1"/>
  <c r="AD50" i="1"/>
  <c r="CK50" i="1"/>
  <c r="AD48" i="1"/>
  <c r="CK48" i="1"/>
  <c r="CK51" i="1"/>
  <c r="CK52" i="1"/>
  <c r="CK56" i="1"/>
  <c r="CK108" i="1"/>
  <c r="CK65" i="1"/>
  <c r="CK66" i="1"/>
  <c r="CK57" i="1"/>
  <c r="AD51" i="1"/>
  <c r="CK22" i="1"/>
  <c r="CK23" i="1"/>
  <c r="AD108" i="1"/>
  <c r="AD109" i="1"/>
  <c r="AD52" i="1"/>
  <c r="AD56" i="1"/>
  <c r="AD22" i="1"/>
  <c r="AD23" i="1"/>
  <c r="CK109" i="1"/>
  <c r="CK9" i="1"/>
  <c r="AD116" i="1"/>
  <c r="AD69" i="1"/>
  <c r="AD70" i="1"/>
  <c r="AD101" i="1"/>
  <c r="AD65" i="1"/>
  <c r="AD66" i="1"/>
  <c r="CK4" i="1"/>
  <c r="AD4" i="1"/>
  <c r="AD9" i="1"/>
  <c r="AD87" i="1"/>
  <c r="AD57" i="1"/>
  <c r="CK116" i="1"/>
  <c r="CK132" i="1"/>
  <c r="CK69" i="1"/>
  <c r="CK5" i="1"/>
  <c r="CK7" i="1"/>
  <c r="CL40" i="1"/>
  <c r="CL46" i="1"/>
  <c r="CL34" i="1"/>
  <c r="AD5" i="1"/>
  <c r="AD7" i="1"/>
  <c r="CL35" i="1"/>
  <c r="CL49" i="1"/>
  <c r="CL37" i="1"/>
  <c r="CL36" i="1"/>
  <c r="CL38" i="1"/>
  <c r="CL39" i="1"/>
  <c r="CL47" i="1"/>
  <c r="CL50" i="1"/>
  <c r="CL48" i="1"/>
  <c r="CL51" i="1"/>
  <c r="CL22" i="1"/>
  <c r="CL23" i="1"/>
  <c r="CL52" i="1"/>
  <c r="CL56" i="1"/>
  <c r="CL57" i="1"/>
  <c r="CL65" i="1"/>
  <c r="CL66" i="1"/>
  <c r="CL108" i="1"/>
  <c r="CL109" i="1"/>
  <c r="CL116" i="1"/>
  <c r="CL69" i="1"/>
  <c r="CL132" i="1"/>
  <c r="CL9" i="1"/>
  <c r="CL4" i="1"/>
  <c r="CL5" i="1"/>
  <c r="CM40" i="1"/>
  <c r="CM46" i="1"/>
  <c r="CL7" i="1"/>
  <c r="CM34" i="1"/>
  <c r="CM37" i="1"/>
  <c r="CM35" i="1"/>
  <c r="CM49" i="1"/>
  <c r="CM36" i="1"/>
  <c r="CM38" i="1"/>
  <c r="CM47" i="1"/>
  <c r="CM50" i="1"/>
  <c r="CM39" i="1"/>
  <c r="CM48" i="1"/>
  <c r="CM51" i="1"/>
  <c r="CM22" i="1"/>
  <c r="CM23" i="1"/>
  <c r="CM52" i="1"/>
  <c r="CM56" i="1"/>
  <c r="CM57" i="1"/>
  <c r="CM65" i="1"/>
  <c r="CM66" i="1"/>
  <c r="CM108" i="1"/>
  <c r="CM109" i="1"/>
  <c r="CM9" i="1"/>
  <c r="CM69" i="1"/>
  <c r="CM132" i="1"/>
  <c r="CM4" i="1"/>
  <c r="CM116" i="1"/>
  <c r="CM5" i="1"/>
  <c r="CM7" i="1"/>
  <c r="CN34" i="1"/>
  <c r="CN49" i="1"/>
  <c r="CN35" i="1"/>
  <c r="CN37" i="1"/>
  <c r="CN40" i="1"/>
  <c r="CN46" i="1"/>
  <c r="CN36" i="1"/>
  <c r="CN38" i="1"/>
  <c r="CN47" i="1"/>
  <c r="CN39" i="1"/>
  <c r="CN50" i="1"/>
  <c r="CN51" i="1"/>
  <c r="CN52" i="1"/>
  <c r="CN56" i="1"/>
  <c r="CN57" i="1"/>
  <c r="CN48" i="1"/>
  <c r="CN65" i="1"/>
  <c r="CN66" i="1"/>
  <c r="CN108" i="1"/>
  <c r="CN22" i="1"/>
  <c r="CN23" i="1"/>
  <c r="CN109" i="1"/>
  <c r="CN9" i="1"/>
  <c r="CN116" i="1"/>
  <c r="CN69" i="1"/>
  <c r="CN4" i="1"/>
  <c r="CN132" i="1"/>
  <c r="CN5" i="1"/>
  <c r="CO37" i="1"/>
  <c r="AE37" i="1"/>
  <c r="AE15" i="1"/>
  <c r="CO49" i="1"/>
  <c r="AE49" i="1"/>
  <c r="AE20" i="1"/>
  <c r="CN7" i="1"/>
  <c r="CO40" i="1"/>
  <c r="AE40" i="1"/>
  <c r="CO34" i="1"/>
  <c r="AE34" i="1"/>
  <c r="AE12" i="1"/>
  <c r="CO35" i="1"/>
  <c r="AE35" i="1"/>
  <c r="AE13" i="1"/>
  <c r="AE36" i="1"/>
  <c r="AE38" i="1"/>
  <c r="AE39" i="1"/>
  <c r="CO46" i="1"/>
  <c r="CO36" i="1"/>
  <c r="AE14" i="1"/>
  <c r="AE17" i="1"/>
  <c r="AE46" i="1"/>
  <c r="AE18" i="1"/>
  <c r="CO38" i="1"/>
  <c r="CO39" i="1"/>
  <c r="AE19" i="1"/>
  <c r="AE21" i="1"/>
  <c r="AE47" i="1"/>
  <c r="AE48" i="1"/>
  <c r="CO47" i="1"/>
  <c r="AE50" i="1"/>
  <c r="CO48" i="1"/>
  <c r="CO50" i="1"/>
  <c r="CO51" i="1"/>
  <c r="AE51" i="1"/>
  <c r="AE22" i="1"/>
  <c r="AE23" i="1"/>
  <c r="CO52" i="1"/>
  <c r="CO56" i="1"/>
  <c r="CO57" i="1"/>
  <c r="CO22" i="1"/>
  <c r="CO23" i="1"/>
  <c r="AE52" i="1"/>
  <c r="AE56" i="1"/>
  <c r="AE57" i="1"/>
  <c r="CO65" i="1"/>
  <c r="CO66" i="1"/>
  <c r="CO108" i="1"/>
  <c r="CO109" i="1"/>
  <c r="CO9" i="1"/>
  <c r="AE65" i="1"/>
  <c r="AE66" i="1"/>
  <c r="AE108" i="1"/>
  <c r="AE109" i="1"/>
  <c r="AE116" i="1"/>
  <c r="AE69" i="1"/>
  <c r="AE70" i="1"/>
  <c r="AE87" i="1"/>
  <c r="CO4" i="1"/>
  <c r="AE4" i="1"/>
  <c r="CO116" i="1"/>
  <c r="CO69" i="1"/>
  <c r="CO132" i="1"/>
  <c r="AE9" i="1"/>
  <c r="AE101" i="1"/>
  <c r="CO5" i="1"/>
  <c r="CO7" i="1"/>
  <c r="AE5" i="1"/>
  <c r="AE7" i="1"/>
  <c r="BX30" i="1"/>
  <c r="BX70" i="1"/>
  <c r="BX103" i="1"/>
  <c r="BX102" i="1"/>
  <c r="BX101" i="1"/>
  <c r="BZ119" i="1"/>
  <c r="CC119" i="1"/>
  <c r="BZ103" i="1"/>
  <c r="CA103" i="1"/>
  <c r="CC85" i="1"/>
  <c r="CC30" i="1"/>
  <c r="AB119" i="1"/>
  <c r="CC125" i="1"/>
  <c r="AB125" i="1"/>
  <c r="BZ125" i="1"/>
  <c r="BZ128" i="1"/>
  <c r="BZ129" i="1"/>
  <c r="BZ30" i="1"/>
  <c r="BZ77" i="1"/>
  <c r="BZ78" i="1"/>
  <c r="BZ70" i="1"/>
  <c r="BZ85" i="1"/>
  <c r="CC77" i="1"/>
  <c r="CC78" i="1"/>
  <c r="CC70" i="1"/>
  <c r="BZ95" i="1"/>
  <c r="BZ98" i="1"/>
  <c r="CC128" i="1"/>
  <c r="CC129" i="1"/>
  <c r="AB128" i="1"/>
  <c r="AB129" i="1"/>
  <c r="CB30" i="1"/>
  <c r="CB85" i="1"/>
  <c r="CC86" i="1"/>
  <c r="CC84" i="1"/>
  <c r="CB77" i="1"/>
  <c r="CB78" i="1"/>
  <c r="CB70" i="1"/>
  <c r="CB125" i="1"/>
  <c r="CB128" i="1"/>
  <c r="CB129" i="1"/>
  <c r="CB103" i="1"/>
  <c r="CD119" i="1"/>
  <c r="CC94" i="1"/>
  <c r="CC97" i="1"/>
  <c r="CA125" i="1"/>
  <c r="CA128" i="1"/>
  <c r="CA129" i="1"/>
  <c r="BZ86" i="1"/>
  <c r="BZ84" i="1"/>
  <c r="CC101" i="1"/>
  <c r="BZ101" i="1"/>
  <c r="BZ94" i="1"/>
  <c r="CA77" i="1"/>
  <c r="CA78" i="1"/>
  <c r="CA70" i="1"/>
  <c r="CA85" i="1"/>
  <c r="CB86" i="1"/>
  <c r="CB84" i="1"/>
  <c r="AB30" i="1"/>
  <c r="AB135" i="1"/>
  <c r="CA86" i="1"/>
  <c r="CA84" i="1"/>
  <c r="CE125" i="1"/>
  <c r="CE128" i="1"/>
  <c r="CE129" i="1"/>
  <c r="CE85" i="1"/>
  <c r="CE77" i="1"/>
  <c r="CE78" i="1"/>
  <c r="CE70" i="1"/>
  <c r="CC103" i="1"/>
  <c r="CB101" i="1"/>
  <c r="CB95" i="1"/>
  <c r="CB98" i="1"/>
  <c r="CB94" i="1"/>
  <c r="CB97" i="1"/>
  <c r="CA101" i="1"/>
  <c r="CA94" i="1"/>
  <c r="CA97" i="1"/>
  <c r="CD77" i="1"/>
  <c r="CD78" i="1"/>
  <c r="CD70" i="1"/>
  <c r="CD125" i="1"/>
  <c r="CD128" i="1"/>
  <c r="CD129" i="1"/>
  <c r="CD85" i="1"/>
  <c r="CD30" i="1"/>
  <c r="BZ97" i="1"/>
  <c r="CA95" i="1"/>
  <c r="CE94" i="1"/>
  <c r="CE97" i="1"/>
  <c r="CE86" i="1"/>
  <c r="CE84" i="1"/>
  <c r="CE101" i="1"/>
  <c r="CD86" i="1"/>
  <c r="CD84" i="1"/>
  <c r="CA98" i="1"/>
  <c r="CD94" i="1"/>
  <c r="CD101" i="1"/>
  <c r="CG119" i="1"/>
  <c r="CD103" i="1"/>
  <c r="CC95" i="1"/>
  <c r="CC98" i="1"/>
  <c r="AB94" i="1"/>
  <c r="AB102" i="1"/>
  <c r="CG125" i="1"/>
  <c r="AC125" i="1"/>
  <c r="CH119" i="1"/>
  <c r="CE103" i="1"/>
  <c r="CD95" i="1"/>
  <c r="CG77" i="1"/>
  <c r="CG78" i="1"/>
  <c r="CG70" i="1"/>
  <c r="AB95" i="1"/>
  <c r="AB103" i="1"/>
  <c r="CD97" i="1"/>
  <c r="CF85" i="1"/>
  <c r="CF77" i="1"/>
  <c r="CF78" i="1"/>
  <c r="CF70" i="1"/>
  <c r="CF125" i="1"/>
  <c r="CF128" i="1"/>
  <c r="CF129" i="1"/>
  <c r="CF30" i="1"/>
  <c r="AC119" i="1"/>
  <c r="CG30" i="1"/>
  <c r="CG85" i="1"/>
  <c r="CG101" i="1"/>
  <c r="CG94" i="1"/>
  <c r="CG97" i="1"/>
  <c r="AC128" i="1"/>
  <c r="AC129" i="1"/>
  <c r="CD98" i="1"/>
  <c r="CG86" i="1"/>
  <c r="CG84" i="1"/>
  <c r="CF86" i="1"/>
  <c r="CF84" i="1"/>
  <c r="CF103" i="1"/>
  <c r="CE95" i="1"/>
  <c r="CE98" i="1"/>
  <c r="CI85" i="1"/>
  <c r="CH30" i="1"/>
  <c r="CH85" i="1"/>
  <c r="CH77" i="1"/>
  <c r="CH78" i="1"/>
  <c r="CH70" i="1"/>
  <c r="CI125" i="1"/>
  <c r="CI128" i="1"/>
  <c r="CI129" i="1"/>
  <c r="CH125" i="1"/>
  <c r="CH128" i="1"/>
  <c r="CH129" i="1"/>
  <c r="AC30" i="1"/>
  <c r="AC135" i="1"/>
  <c r="CG128" i="1"/>
  <c r="CG129" i="1"/>
  <c r="CF94" i="1"/>
  <c r="CF101" i="1"/>
  <c r="CI77" i="1"/>
  <c r="CI78" i="1"/>
  <c r="CI70" i="1"/>
  <c r="CI86" i="1"/>
  <c r="CI84" i="1"/>
  <c r="CM85" i="1"/>
  <c r="CL119" i="1"/>
  <c r="CI101" i="1"/>
  <c r="CI94" i="1"/>
  <c r="CI97" i="1"/>
  <c r="CJ125" i="1"/>
  <c r="CJ128" i="1"/>
  <c r="CJ129" i="1"/>
  <c r="CJ30" i="1"/>
  <c r="CK119" i="1"/>
  <c r="CG103" i="1"/>
  <c r="CF95" i="1"/>
  <c r="CH101" i="1"/>
  <c r="CH94" i="1"/>
  <c r="CF97" i="1"/>
  <c r="AC94" i="1"/>
  <c r="AC102" i="1"/>
  <c r="CM125" i="1"/>
  <c r="CM77" i="1"/>
  <c r="CM78" i="1"/>
  <c r="CM70" i="1"/>
  <c r="CM128" i="1"/>
  <c r="CM129" i="1"/>
  <c r="CH86" i="1"/>
  <c r="CH84" i="1"/>
  <c r="CJ77" i="1"/>
  <c r="CJ78" i="1"/>
  <c r="CJ70" i="1"/>
  <c r="CJ85" i="1"/>
  <c r="CJ86" i="1"/>
  <c r="CJ84" i="1"/>
  <c r="CJ101" i="1"/>
  <c r="CJ94" i="1"/>
  <c r="CJ97" i="1"/>
  <c r="CH97" i="1"/>
  <c r="CL85" i="1"/>
  <c r="CM86" i="1"/>
  <c r="CM84" i="1"/>
  <c r="CN30" i="1"/>
  <c r="CG95" i="1"/>
  <c r="CG98" i="1"/>
  <c r="CH103" i="1"/>
  <c r="CK77" i="1"/>
  <c r="CK78" i="1"/>
  <c r="CK70" i="1"/>
  <c r="CK125" i="1"/>
  <c r="AD125" i="1"/>
  <c r="CK30" i="1"/>
  <c r="CL77" i="1"/>
  <c r="CL78" i="1"/>
  <c r="CL70" i="1"/>
  <c r="CL125" i="1"/>
  <c r="CL128" i="1"/>
  <c r="CL129" i="1"/>
  <c r="CL30" i="1"/>
  <c r="CF98" i="1"/>
  <c r="CN77" i="1"/>
  <c r="CN78" i="1"/>
  <c r="CN70" i="1"/>
  <c r="CN125" i="1"/>
  <c r="CN128" i="1"/>
  <c r="CN129" i="1"/>
  <c r="CN85" i="1"/>
  <c r="AD119" i="1"/>
  <c r="CO119" i="1"/>
  <c r="CK85" i="1"/>
  <c r="CM101" i="1"/>
  <c r="CM94" i="1"/>
  <c r="CM97" i="1"/>
  <c r="CK86" i="1"/>
  <c r="CK84" i="1"/>
  <c r="CL94" i="1"/>
  <c r="CN94" i="1"/>
  <c r="CN97" i="1"/>
  <c r="CI103" i="1"/>
  <c r="CH95" i="1"/>
  <c r="CL101" i="1"/>
  <c r="AE119" i="1"/>
  <c r="CL86" i="1"/>
  <c r="CL84" i="1"/>
  <c r="CO125" i="1"/>
  <c r="AE125" i="1"/>
  <c r="CO85" i="1"/>
  <c r="CO86" i="1"/>
  <c r="CO84" i="1"/>
  <c r="CO30" i="1"/>
  <c r="CK128" i="1"/>
  <c r="CK129" i="1"/>
  <c r="AD128" i="1"/>
  <c r="AD129" i="1"/>
  <c r="CK94" i="1"/>
  <c r="CK101" i="1"/>
  <c r="AD30" i="1"/>
  <c r="AD135" i="1"/>
  <c r="CN101" i="1"/>
  <c r="CN86" i="1"/>
  <c r="CN84" i="1"/>
  <c r="AC95" i="1"/>
  <c r="AC103" i="1"/>
  <c r="CO77" i="1"/>
  <c r="CO78" i="1"/>
  <c r="CO70" i="1"/>
  <c r="CO94" i="1"/>
  <c r="CO97" i="1"/>
  <c r="CO101" i="1"/>
  <c r="CO128" i="1"/>
  <c r="CO129" i="1"/>
  <c r="CK97" i="1"/>
  <c r="AD94" i="1"/>
  <c r="AD102" i="1"/>
  <c r="AE30" i="1"/>
  <c r="AE135" i="1"/>
  <c r="CL97" i="1"/>
  <c r="CH98" i="1"/>
  <c r="CJ103" i="1"/>
  <c r="CI95" i="1"/>
  <c r="CI98" i="1"/>
  <c r="AE128" i="1"/>
  <c r="AE129" i="1"/>
  <c r="CK103" i="1"/>
  <c r="CJ95" i="1"/>
  <c r="CJ98" i="1"/>
  <c r="AE94" i="1"/>
  <c r="AE102" i="1"/>
  <c r="CK95" i="1"/>
  <c r="CL103" i="1"/>
  <c r="CL95" i="1"/>
  <c r="CM103" i="1"/>
  <c r="CK98" i="1"/>
  <c r="AD95" i="1"/>
  <c r="AD103" i="1"/>
  <c r="CL98" i="1"/>
  <c r="CN103" i="1"/>
  <c r="CM95" i="1"/>
  <c r="CM98" i="1"/>
  <c r="CN95" i="1"/>
  <c r="CO103" i="1"/>
  <c r="CO95" i="1"/>
  <c r="CO98" i="1"/>
  <c r="AE95" i="1"/>
  <c r="AE103" i="1"/>
  <c r="CN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<sst xmlns="http://schemas.openxmlformats.org/spreadsheetml/2006/main" count="512" uniqueCount="400">
  <si>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</si>
  <si>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</si>
  <si>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</si>
  <si>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</si>
  <si>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</si>
  <si>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</si>
  <si>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</si>
  <si>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</si>
  <si>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</si>
  <si>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</si>
  <si>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</si>
  <si>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</si>
  <si>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</si>
  <si>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</si>
  <si>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</si>
  <si>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</si>
  <si>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</si>
  <si>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</si>
  <si>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</si>
  <si>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</si>
  <si>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</si>
  <si>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</si>
  <si>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</si>
  <si>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</si>
  <si>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</si>
  <si>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</si>
  <si>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</si>
  <si>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</si>
  <si>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</si>
  <si>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</si>
  <si>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</si>
  <si>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</si>
  <si>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</si>
  <si>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</si>
  <si>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</si>
  <si>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</si>
  <si>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</si>
  <si>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</si>
  <si>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</si>
  <si>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</si>
  <si>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</si>
  <si>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</si>
  <si>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</si>
  <si>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</si>
  <si>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</si>
  <si>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</si>
  <si>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</si>
  <si>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</si>
  <si>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</si>
  <si>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</si>
  <si>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</si>
  <si>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</si>
  <si>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</si>
  <si>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</si>
  <si>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</si>
  <si>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</si>
  <si>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</si>
  <si>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</si>
  <si>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</si>
  <si>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</si>
  <si>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</si>
  <si>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</si>
  <si>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</si>
  <si>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</si>
  <si>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</si>
  <si>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</si>
  <si>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</si>
  <si>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</si>
  <si>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</si>
  <si>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</si>
  <si>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</si>
  <si>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</si>
  <si>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</si>
  <si>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</si>
  <si>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</si>
  <si>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</si>
  <si>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</si>
  <si>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</si>
  <si>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</si>
  <si>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</si>
  <si>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</si>
  <si>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</si>
  <si>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</si>
  <si>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</si>
  <si>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</si>
  <si>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</si>
  <si>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</si>
  <si>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</si>
  <si>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</si>
  <si>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</si>
  <si>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</si>
  <si>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</si>
  <si>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</si>
  <si>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</si>
  <si>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</si>
  <si>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</si>
  <si>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</si>
  <si>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</si>
  <si>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</si>
  <si>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</si>
  <si>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</si>
  <si>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</si>
  <si>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</si>
  <si>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</si>
  <si>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</si>
  <si>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</si>
  <si>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</si>
  <si>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</si>
  <si>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</si>
  <si>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</si>
  <si>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</si>
  <si>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</si>
  <si>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</si>
  <si>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</si>
  <si>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</si>
  <si>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</si>
  <si>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</si>
  <si>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</si>
  <si>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</si>
  <si>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</si>
  <si>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</si>
  <si>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</si>
  <si>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</si>
  <si>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</si>
  <si>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</si>
  <si>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</si>
  <si>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</si>
  <si>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</si>
  <si>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</si>
  <si>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</si>
  <si>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</si>
  <si>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</si>
  <si>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</si>
  <si>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</si>
  <si>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</si>
  <si>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</si>
  <si>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</si>
  <si>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</si>
  <si>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</si>
  <si>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</si>
  <si>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</si>
  <si>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</si>
  <si>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</si>
  <si>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</si>
  <si>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</si>
  <si>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</si>
  <si>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</si>
  <si>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</si>
  <si>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</si>
  <si>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</si>
  <si>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</si>
  <si>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</si>
  <si>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</si>
  <si>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</si>
  <si>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</si>
  <si>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</si>
  <si>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</si>
  <si>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</si>
  <si>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</si>
  <si>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</si>
  <si>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</si>
  <si>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</si>
  <si>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</si>
  <si>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</si>
  <si>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</si>
  <si>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</si>
  <si>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</si>
  <si>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</si>
  <si>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</si>
  <si>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</si>
  <si>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</si>
  <si>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</si>
  <si>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</si>
  <si>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</si>
  <si>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</si>
  <si>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</si>
  <si>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</si>
  <si>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</si>
  <si>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</si>
  <si>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</si>
  <si>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</si>
  <si>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</si>
  <si>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</si>
  <si>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</si>
  <si>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</si>
  <si>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</si>
  <si>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</si>
  <si>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</si>
  <si>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</si>
  <si>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</si>
  <si>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</si>
  <si>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</si>
  <si>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</si>
  <si>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</si>
  <si>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</si>
  <si>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</si>
  <si>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</si>
  <si>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</si>
  <si>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</si>
  <si>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</si>
  <si>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</si>
  <si>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</si>
  <si>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</si>
  <si>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</si>
  <si>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</si>
  <si>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</si>
  <si>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</si>
  <si>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</si>
  <si>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</si>
  <si>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</si>
  <si>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</si>
  <si>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</si>
  <si>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</si>
  <si>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</si>
  <si>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</si>
  <si>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</si>
  <si>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</si>
  <si>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</si>
  <si>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</si>
  <si>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</si>
  <si>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</si>
  <si>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</si>
  <si>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</si>
  <si>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</si>
  <si>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</si>
  <si>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</si>
  <si>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</si>
  <si>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</si>
  <si>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</si>
  <si>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</si>
  <si>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</si>
  <si>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</si>
  <si>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</si>
  <si>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</si>
  <si>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</si>
  <si>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</si>
  <si>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</si>
  <si>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</si>
  <si>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</si>
  <si>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</si>
  <si>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</si>
  <si>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</si>
  <si>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</si>
  <si>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</si>
  <si>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</si>
  <si>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</si>
  <si>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</si>
  <si>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</si>
  <si>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</si>
  <si>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</si>
  <si>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</si>
  <si>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</si>
  <si>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</si>
  <si>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</si>
  <si>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</si>
  <si>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</si>
  <si>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</si>
  <si>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</si>
  <si>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</si>
  <si>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</si>
  <si>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</si>
  <si>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</si>
  <si>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</si>
  <si>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</si>
  <si>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</si>
  <si>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</si>
  <si>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</si>
  <si>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</si>
  <si>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</si>
  <si>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</si>
  <si>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</si>
  <si>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</si>
  <si>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</si>
  <si>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</si>
  <si>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</si>
  <si>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</si>
  <si>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</si>
  <si>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</si>
  <si>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</si>
  <si>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</si>
  <si>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</si>
  <si>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</si>
  <si>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</si>
  <si>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</si>
  <si>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</si>
  <si>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</si>
  <si>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</si>
  <si>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</si>
  <si>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</si>
  <si>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</si>
  <si>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</si>
  <si>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</si>
  <si>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</si>
  <si>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</si>
  <si>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</si>
  <si>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</si>
  <si>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</si>
  <si>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</si>
  <si>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</si>
  <si>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</si>
  <si>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</si>
  <si>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</si>
  <si>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</si>
  <si>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</si>
  <si>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</si>
  <si>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</si>
  <si>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</si>
  <si>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</si>
  <si>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</si>
  <si>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</si>
  <si>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</si>
  <si>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</si>
  <si>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</si>
  <si>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</si>
  <si>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</si>
  <si>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</si>
  <si>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</si>
  <si>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</si>
  <si>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</si>
  <si>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</si>
  <si>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</si>
  <si>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</si>
  <si>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</si>
  <si>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</si>
  <si>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</si>
  <si>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</si>
  <si>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</si>
  <si>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</si>
  <si>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</si>
  <si>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</si>
  <si>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</si>
  <si>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</si>
  <si>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</si>
  <si>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</si>
  <si>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</si>
  <si>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</si>
  <si>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</si>
  <si>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</si>
  <si>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</si>
  <si>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</si>
  <si>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</si>
  <si>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</si>
  <si>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</si>
  <si>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</si>
  <si>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</si>
  <si>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</si>
  <si>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</si>
  <si>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</si>
  <si>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</si>
  <si>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</si>
  <si>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</si>
  <si>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</si>
  <si>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</si>
  <si>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</si>
  <si>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</si>
  <si>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</si>
  <si>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</si>
  <si>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</si>
  <si>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</si>
  <si>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</si>
  <si>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</si>
  <si>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</si>
  <si>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</si>
  <si>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</si>
  <si>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</si>
  <si>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</si>
  <si>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</si>
  <si>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</si>
  <si>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</si>
  <si>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</si>
  <si>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</si>
  <si>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</si>
  <si>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</si>
  <si>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</si>
  <si>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</si>
  <si>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</si>
  <si>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</si>
  <si>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</si>
  <si>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</si>
  <si>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</si>
  <si>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</si>
  <si>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</si>
  <si>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</si>
  <si>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</si>
  <si>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</si>
  <si>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</si>
  <si>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</si>
  <si>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</si>
  <si>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</si>
  <si>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Maharashtra</t>
  </si>
  <si>
    <t>DATE</t>
  </si>
  <si>
    <t>ADJCLOSE</t>
  </si>
  <si>
    <t>ADJHIGH</t>
  </si>
  <si>
    <t>ADJLOW</t>
  </si>
  <si>
    <t>ADJOPEN</t>
  </si>
  <si>
    <t>CLOSE</t>
  </si>
  <si>
    <t>VOLUME</t>
  </si>
  <si>
    <t>Preview</t>
  </si>
  <si>
    <t>CD Ratio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</si>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</sst>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2" fillId="4" borderId="0" xfId="1" applyFont="1" applyFill="1"/>
    <xf numFmtId="43" fontId="2" fillId="3" borderId="0" xfId="1" applyFont="1" applyFill="1"/>
    <xf numFmtId="43" fontId="3" fillId="4" borderId="0" xfId="1" applyFont="1" applyFill="1"/>
    <xf numFmtId="167" fontId="6" fillId="4" borderId="0" xfId="1" applyNumberFormat="1" applyFont="1" applyFill="1"/>
    <xf numFmtId="167" fontId="6" fillId="3" borderId="0" xfId="1" applyNumberFormat="1" applyFont="1" applyFill="1"/>
    <xf numFmtId="167" fontId="7" fillId="4" borderId="0" xfId="1" applyNumberFormat="1" applyFont="1" applyFill="1"/>
    <xf numFmtId="167" fontId="7" fillId="7" borderId="0" xfId="1" applyNumberFormat="1" applyFont="1" applyFill="1"/>
    <xf numFmtId="167" fontId="7" fillId="3" borderId="0" xfId="1" applyNumberFormat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5" fillId="4" borderId="0" xfId="0" applyNumberFormat="1" applyFont="1" applyFill="1"/>
    <xf numFmtId="43" fontId="5" fillId="4" borderId="0" xfId="0" applyNumberFormat="1" applyFont="1" applyFill="1"/>
    <xf numFmtId="4" fontId="9" fillId="0" borderId="0" xfId="1" applyNumberFormat="1" applyFont="1"/>
    <xf numFmtId="9" fontId="9" fillId="0" borderId="0" xfId="1" applyNumberFormat="1" applyFont="1" applyFill="1"/>
    <xf numFmtId="0" fontId="13" fillId="0" borderId="0" xfId="1" applyNumberFormat="1" applyFont="1"/>
    <xf numFmtId="9" fontId="9" fillId="0" borderId="0" xfId="1" applyNumberFormat="1" applyFont="1"/>
    <xf numFmtId="10" fontId="9" fillId="0" borderId="0" xfId="1" applyNumberFormat="1" applyFont="1"/>
    <xf numFmtId="43" fontId="9" fillId="6" borderId="0" xfId="0" applyNumberFormat="1" applyFont="1" applyFill="1"/>
    <xf numFmtId="0" fontId="5" fillId="6" borderId="0" xfId="2" applyNumberFormat="1" applyFont="1" applyFill="1"/>
    <xf numFmtId="9" fontId="7" fillId="6" borderId="0" xfId="1" applyNumberFormat="1" applyFont="1" applyFill="1"/>
    <xf numFmtId="43" fontId="7" fillId="6" borderId="0" xfId="0" applyNumberFormat="1" applyFont="1" applyFill="1"/>
    <xf numFmtId="0" fontId="9" fillId="0" borderId="0" xfId="1" applyNumberFormat="1" applyFont="1"/>
    <xf numFmtId="0" fontId="8" fillId="0" borderId="0" xfId="2" applyNumberFormat="1" applyFont="1"/>
    <xf numFmtId="165" fontId="9" fillId="0" borderId="0" xfId="0" applyNumberFormat="1" applyFont="1"/>
    <xf numFmtId="167" fontId="5" fillId="4" borderId="0" xfId="1" applyNumberFormat="1" applyFont="1" applyFill="1"/>
    <xf numFmtId="10" fontId="3" fillId="4" borderId="0" xfId="0" applyNumberFormat="1" applyFont="1" applyFill="1"/>
    <xf numFmtId="10" fontId="9" fillId="0" borderId="0" xfId="0" applyNumberFormat="1" applyFont="1"/>
    <xf numFmtId="10" fontId="9" fillId="3" borderId="0" xfId="1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36"/>
  <sheetViews>
    <sheetView tabSelected="1" zoomScaleNormal="100" workbookViewId="0">
      <pane xSplit="1" ySplit="1" topLeftCell="BR14" activePane="bottomRight" state="frozen"/>
      <selection pane="topRight" activeCell="B1" sqref="B1"/>
      <selection pane="bottomLeft" activeCell="A2" sqref="A2"/>
      <selection pane="bottomRight" activeCell="CS33" sqref="CS33:CS13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85" width="12.28515625" style="49" bestFit="1" customWidth="1"/>
    <col min="86" max="93" width="12.28515625" style="49" hidden="1" customWidth="1"/>
    <col min="94" max="96" width="9.140625" style="47"/>
    <col min="97" max="97" width="9.7109375" style="47" bestFit="1" customWidth="1"/>
    <col min="98" max="16384" width="9.140625" style="47"/>
  </cols>
  <sheetData>
    <row r="1" spans="1:97" s="4" customFormat="1" x14ac:dyDescent="0.2">
      <c r="A1" s="1" t="e">
        <f ca="1">+'Annual Raw'!C3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R1" s="4" t="s">
        <v>399</v>
      </c>
      <c r="CS1" s="99">
        <v>46082</v>
      </c>
    </row>
    <row r="2" spans="1:97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7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S3" s="151"/>
    </row>
    <row r="4" spans="1:97" s="83" customFormat="1" x14ac:dyDescent="0.2">
      <c r="A4" s="81" t="s">
        <v>32</v>
      </c>
      <c r="B4" s="81"/>
      <c r="C4" s="81"/>
      <c r="D4" s="81" t="e">
        <f t="shared" ref="D4:O4" ca="1" si="27">AVERAGE(C109:D109)</f>
        <v>#NAME?</v>
      </c>
      <c r="E4" s="81" t="e">
        <f t="shared" ca="1" si="27"/>
        <v>#NAME?</v>
      </c>
      <c r="F4" s="81" t="e">
        <f t="shared" ca="1" si="27"/>
        <v>#NAME?</v>
      </c>
      <c r="G4" s="81" t="e">
        <f t="shared" ca="1" si="27"/>
        <v>#NAME?</v>
      </c>
      <c r="H4" s="81" t="e">
        <f t="shared" ca="1" si="27"/>
        <v>#NAME?</v>
      </c>
      <c r="I4" s="81" t="e">
        <f t="shared" ca="1" si="27"/>
        <v>#NAME?</v>
      </c>
      <c r="J4" s="81" t="e">
        <f t="shared" ca="1" si="27"/>
        <v>#NAME?</v>
      </c>
      <c r="K4" s="81" t="e">
        <f t="shared" ca="1" si="27"/>
        <v>#NAME?</v>
      </c>
      <c r="L4" s="81" t="e">
        <f t="shared" ca="1" si="27"/>
        <v>#NAME?</v>
      </c>
      <c r="M4" s="81" t="e">
        <f t="shared" ca="1" si="27"/>
        <v>#NAME?</v>
      </c>
      <c r="N4" s="81" t="e">
        <f t="shared" ca="1" si="27"/>
        <v>#NAME?</v>
      </c>
      <c r="O4" s="81" t="e">
        <f t="shared" ca="1" si="27"/>
        <v>#NAME?</v>
      </c>
      <c r="P4" s="81" t="e">
        <f ca="1">AVERAGE(O109:P109)</f>
        <v>#NAME?</v>
      </c>
      <c r="Q4" s="81" t="e">
        <f t="shared" ref="Q4:T4" ca="1" si="28">AVERAGE(P109:Q109)</f>
        <v>#NAME?</v>
      </c>
      <c r="R4" s="81" t="e">
        <f t="shared" ca="1" si="28"/>
        <v>#NAME?</v>
      </c>
      <c r="S4" s="81" t="e">
        <f t="shared" ca="1" si="28"/>
        <v>#NAME?</v>
      </c>
      <c r="T4" s="81" t="e">
        <f t="shared" ca="1" si="28"/>
        <v>#NAME?</v>
      </c>
      <c r="U4" s="81" t="e">
        <f t="shared" ref="U4" ca="1" si="29">AVERAGE(T109:U109)</f>
        <v>#NAME?</v>
      </c>
      <c r="V4" s="81" t="e">
        <f t="shared" ref="V4" ca="1" si="30">AVERAGE(U109:V109)</f>
        <v>#NAME?</v>
      </c>
      <c r="W4" s="81" t="e">
        <f ca="1">AVERAGE(V109:W109)</f>
        <v>#NAME?</v>
      </c>
      <c r="X4" s="81" t="e">
        <f ca="1">AVERAGE(W109:X109)</f>
        <v>#NAME?</v>
      </c>
      <c r="Y4" s="81" t="e">
        <f ca="1">+AVERAGE(BN4:BQ4)</f>
        <v>#NAME?</v>
      </c>
      <c r="Z4" s="81" t="e">
        <f ca="1">+AVERAGE(BR4:BU4)</f>
        <v>#NAME?</v>
      </c>
      <c r="AA4" s="82" t="e">
        <f ca="1">+AVERAGE(BV4:BY4)</f>
        <v>#NAME?</v>
      </c>
      <c r="AB4" s="82" t="e">
        <f ca="1">+AVERAGE(BZ4:CC4)</f>
        <v>#NAME?</v>
      </c>
      <c r="AC4" s="82" t="e">
        <f ca="1">+AVERAGE(CD4:CG4)</f>
        <v>#NAME?</v>
      </c>
      <c r="AD4" s="82" t="e">
        <f ca="1">+AVERAGE(CH4:CK4)</f>
        <v>#NAME?</v>
      </c>
      <c r="AE4" s="82" t="e">
        <f ca="1">+AVERAGE(CL4:CO4)</f>
        <v>#NAME?</v>
      </c>
      <c r="AG4" s="84"/>
      <c r="AH4" s="81" t="e">
        <f ca="1">AVERAGE(AG109:AH109)</f>
        <v>#NAME?</v>
      </c>
      <c r="AI4" s="81" t="e">
        <f t="shared" ref="AI4:AL4" ca="1" si="31">AVERAGE(AH109:AI109)</f>
        <v>#NAME?</v>
      </c>
      <c r="AJ4" s="81" t="e">
        <f t="shared" ca="1" si="31"/>
        <v>#NAME?</v>
      </c>
      <c r="AK4" s="81" t="e">
        <f t="shared" ca="1" si="31"/>
        <v>#NAME?</v>
      </c>
      <c r="AL4" s="81" t="e">
        <f t="shared" ca="1" si="31"/>
        <v>#NAME?</v>
      </c>
      <c r="AM4" s="81" t="e">
        <f t="shared" ref="AM4:AS4" ca="1" si="32">AVERAGE(AL109:AM109)</f>
        <v>#NAME?</v>
      </c>
      <c r="AN4" s="81" t="e">
        <f t="shared" ca="1" si="32"/>
        <v>#NAME?</v>
      </c>
      <c r="AO4" s="81" t="e">
        <f t="shared" ca="1" si="32"/>
        <v>#NAME?</v>
      </c>
      <c r="AP4" s="81" t="e">
        <f t="shared" ca="1" si="32"/>
        <v>#NAME?</v>
      </c>
      <c r="AQ4" s="81" t="e">
        <f t="shared" ca="1" si="32"/>
        <v>#NAME?</v>
      </c>
      <c r="AR4" s="81" t="e">
        <f t="shared" ca="1" si="32"/>
        <v>#NAME?</v>
      </c>
      <c r="AS4" s="81" t="e">
        <f t="shared" ca="1" si="32"/>
        <v>#NAME?</v>
      </c>
      <c r="AT4" s="81" t="e">
        <f t="shared" ref="AT4" ca="1" si="33">AVERAGE(AS109:AT109)</f>
        <v>#NAME?</v>
      </c>
      <c r="AU4" s="81" t="e">
        <f t="shared" ref="AU4" ca="1" si="34">AVERAGE(AT109:AU109)</f>
        <v>#NAME?</v>
      </c>
      <c r="AV4" s="81" t="e">
        <f t="shared" ref="AV4" ca="1" si="35">AVERAGE(AU109:AV109)</f>
        <v>#NAME?</v>
      </c>
      <c r="AW4" s="81" t="e">
        <f t="shared" ref="AW4:BB4" ca="1" si="36">AVERAGE(AV109:AW109)</f>
        <v>#NAME?</v>
      </c>
      <c r="AX4" s="81" t="e">
        <f t="shared" ca="1" si="36"/>
        <v>#NAME?</v>
      </c>
      <c r="AY4" s="81" t="e">
        <f t="shared" ca="1" si="36"/>
        <v>#NAME?</v>
      </c>
      <c r="AZ4" s="81" t="e">
        <f t="shared" ca="1" si="36"/>
        <v>#NAME?</v>
      </c>
      <c r="BA4" s="81" t="e">
        <f t="shared" ca="1" si="36"/>
        <v>#NAME?</v>
      </c>
      <c r="BB4" s="81" t="e">
        <f t="shared" ca="1" si="36"/>
        <v>#NAME?</v>
      </c>
      <c r="BC4" s="81" t="e">
        <f t="shared" ref="BC4" ca="1" si="37">AVERAGE(BB109:BC109)</f>
        <v>#NAME?</v>
      </c>
      <c r="BD4" s="81" t="e">
        <f t="shared" ref="BD4" ca="1" si="38">AVERAGE(BC109:BD109)</f>
        <v>#NAME?</v>
      </c>
      <c r="BE4" s="81" t="e">
        <f t="shared" ref="BE4" ca="1" si="39">AVERAGE(BD109:BE109)</f>
        <v>#NAME?</v>
      </c>
      <c r="BF4" s="81" t="e">
        <f t="shared" ref="BF4:BH4" ca="1" si="40">AVERAGE(BE109:BF109)</f>
        <v>#NAME?</v>
      </c>
      <c r="BG4" s="81" t="e">
        <f t="shared" ca="1" si="40"/>
        <v>#NAME?</v>
      </c>
      <c r="BH4" s="81" t="e">
        <f t="shared" ca="1" si="40"/>
        <v>#NAME?</v>
      </c>
      <c r="BI4" s="81" t="e">
        <f t="shared" ref="BI4" ca="1" si="41">AVERAGE(BH109:BI109)</f>
        <v>#NAME?</v>
      </c>
      <c r="BJ4" s="81" t="e">
        <f t="shared" ref="BJ4:BK4" ca="1" si="42">AVERAGE(BI109:BJ109)</f>
        <v>#NAME?</v>
      </c>
      <c r="BK4" s="81" t="e">
        <f t="shared" ca="1" si="42"/>
        <v>#NAME?</v>
      </c>
      <c r="BL4" s="81" t="e">
        <f t="shared" ref="BL4" ca="1" si="43">AVERAGE(BK109:BL109)</f>
        <v>#NAME?</v>
      </c>
      <c r="BM4" s="81" t="e">
        <f t="shared" ref="BM4" ca="1" si="44">AVERAGE(BL109:BM109)</f>
        <v>#NAME?</v>
      </c>
      <c r="BN4" s="81" t="e">
        <f t="shared" ref="BN4" ca="1" si="45">AVERAGE(BM109:BN109)</f>
        <v>#NAME?</v>
      </c>
      <c r="BO4" s="81" t="e">
        <f t="shared" ref="BO4" ca="1" si="46">AVERAGE(BN109:BO109)</f>
        <v>#NAME?</v>
      </c>
      <c r="BP4" s="81" t="e">
        <f t="shared" ref="BP4" ca="1" si="47">AVERAGE(BO109:BP109)</f>
        <v>#NAME?</v>
      </c>
      <c r="BQ4" s="81" t="e">
        <f t="shared" ref="BQ4" ca="1" si="48">AVERAGE(BP109:BQ109)</f>
        <v>#NAME?</v>
      </c>
      <c r="BR4" s="81" t="e">
        <f t="shared" ref="BR4" ca="1" si="49">AVERAGE(BQ109:BR109)</f>
        <v>#NAME?</v>
      </c>
      <c r="BS4" s="81" t="e">
        <f t="shared" ref="BS4" ca="1" si="50">AVERAGE(BR109:BS109)</f>
        <v>#NAME?</v>
      </c>
      <c r="BT4" s="81" t="e">
        <f t="shared" ref="BT4:BU4" ca="1" si="51">AVERAGE(BS109:BT109)</f>
        <v>#NAME?</v>
      </c>
      <c r="BU4" s="81" t="e">
        <f t="shared" ca="1" si="51"/>
        <v>#NAME?</v>
      </c>
      <c r="BV4" s="81" t="e">
        <f t="shared" ref="BV4:BX4" ca="1" si="52">AVERAGE(BU109:BV109)</f>
        <v>#NAME?</v>
      </c>
      <c r="BW4" s="81" t="e">
        <f t="shared" ca="1" si="52"/>
        <v>#NAME?</v>
      </c>
      <c r="BX4" s="81" t="e">
        <f t="shared" ca="1" si="52"/>
        <v>#NAME?</v>
      </c>
      <c r="BY4" s="81" t="e">
        <f t="shared" ref="BY4" ca="1" si="53">AVERAGE(BX109:BY109)</f>
        <v>#NAME?</v>
      </c>
      <c r="BZ4" s="85" t="e">
        <f t="shared" ref="BZ4" ca="1" si="54">AVERAGE(BY109:BZ109)</f>
        <v>#NAME?</v>
      </c>
      <c r="CA4" s="85" t="e">
        <f t="shared" ref="CA4" ca="1" si="55">AVERAGE(BZ109:CA109)</f>
        <v>#NAME?</v>
      </c>
      <c r="CB4" s="85" t="e">
        <f t="shared" ref="CB4" ca="1" si="56">AVERAGE(CA109:CB109)</f>
        <v>#NAME?</v>
      </c>
      <c r="CC4" s="85" t="e">
        <f t="shared" ref="CC4" ca="1" si="57">AVERAGE(CB109:CC109)</f>
        <v>#NAME?</v>
      </c>
      <c r="CD4" s="85" t="e">
        <f t="shared" ref="CD4" ca="1" si="58">AVERAGE(CC109:CD109)</f>
        <v>#NAME?</v>
      </c>
      <c r="CE4" s="85" t="e">
        <f t="shared" ref="CE4" ca="1" si="59">AVERAGE(CD109:CE109)</f>
        <v>#NAME?</v>
      </c>
      <c r="CF4" s="85" t="e">
        <f t="shared" ref="CF4" ca="1" si="60">AVERAGE(CE109:CF109)</f>
        <v>#NAME?</v>
      </c>
      <c r="CG4" s="85" t="e">
        <f t="shared" ref="CG4" ca="1" si="61">AVERAGE(CF109:CG109)</f>
        <v>#NAME?</v>
      </c>
      <c r="CH4" s="85" t="e">
        <f t="shared" ref="CH4" ca="1" si="62">AVERAGE(CG109:CH109)</f>
        <v>#NAME?</v>
      </c>
      <c r="CI4" s="85" t="e">
        <f t="shared" ref="CI4" ca="1" si="63">AVERAGE(CH109:CI109)</f>
        <v>#NAME?</v>
      </c>
      <c r="CJ4" s="85" t="e">
        <f t="shared" ref="CJ4" ca="1" si="64">AVERAGE(CI109:CJ109)</f>
        <v>#NAME?</v>
      </c>
      <c r="CK4" s="85" t="e">
        <f t="shared" ref="CK4" ca="1" si="65">AVERAGE(CJ109:CK109)</f>
        <v>#NAME?</v>
      </c>
      <c r="CL4" s="85" t="e">
        <f t="shared" ref="CL4" ca="1" si="66">AVERAGE(CK109:CL109)</f>
        <v>#NAME?</v>
      </c>
      <c r="CM4" s="85" t="e">
        <f t="shared" ref="CM4" ca="1" si="67">AVERAGE(CL109:CM109)</f>
        <v>#NAME?</v>
      </c>
      <c r="CN4" s="85" t="e">
        <f t="shared" ref="CN4" ca="1" si="68">AVERAGE(CM109:CN109)</f>
        <v>#NAME?</v>
      </c>
      <c r="CO4" s="85" t="e">
        <f t="shared" ref="CO4" ca="1" si="69">AVERAGE(CN109:CO109)</f>
        <v>#NAME?</v>
      </c>
      <c r="CS4" s="83">
        <v>34079.695728509309</v>
      </c>
    </row>
    <row r="5" spans="1:97" s="83" customFormat="1" x14ac:dyDescent="0.2">
      <c r="A5" s="81" t="s">
        <v>25</v>
      </c>
      <c r="B5" s="81"/>
      <c r="C5" s="81"/>
      <c r="D5" s="81" t="e">
        <f t="shared" ref="D5:O5" ca="1" si="70">AVERAGE(C116:D116)</f>
        <v>#NAME?</v>
      </c>
      <c r="E5" s="81" t="e">
        <f t="shared" ca="1" si="70"/>
        <v>#NAME?</v>
      </c>
      <c r="F5" s="81" t="e">
        <f t="shared" ca="1" si="70"/>
        <v>#NAME?</v>
      </c>
      <c r="G5" s="81" t="e">
        <f t="shared" ca="1" si="70"/>
        <v>#NAME?</v>
      </c>
      <c r="H5" s="81" t="e">
        <f t="shared" ca="1" si="70"/>
        <v>#NAME?</v>
      </c>
      <c r="I5" s="81" t="e">
        <f t="shared" ca="1" si="70"/>
        <v>#NAME?</v>
      </c>
      <c r="J5" s="81" t="e">
        <f t="shared" ca="1" si="70"/>
        <v>#NAME?</v>
      </c>
      <c r="K5" s="81" t="e">
        <f t="shared" ca="1" si="70"/>
        <v>#NAME?</v>
      </c>
      <c r="L5" s="81" t="e">
        <f t="shared" ca="1" si="70"/>
        <v>#NAME?</v>
      </c>
      <c r="M5" s="81" t="e">
        <f t="shared" ca="1" si="70"/>
        <v>#NAME?</v>
      </c>
      <c r="N5" s="81" t="e">
        <f t="shared" ca="1" si="70"/>
        <v>#NAME?</v>
      </c>
      <c r="O5" s="81" t="e">
        <f t="shared" ca="1" si="70"/>
        <v>#NAME?</v>
      </c>
      <c r="P5" s="81" t="e">
        <f ca="1">AVERAGE(O116:P116)</f>
        <v>#NAME?</v>
      </c>
      <c r="Q5" s="81" t="e">
        <f t="shared" ref="Q5:T5" ca="1" si="71">AVERAGE(P116:Q116)</f>
        <v>#NAME?</v>
      </c>
      <c r="R5" s="81" t="e">
        <f t="shared" ca="1" si="71"/>
        <v>#NAME?</v>
      </c>
      <c r="S5" s="81" t="e">
        <f t="shared" ca="1" si="71"/>
        <v>#NAME?</v>
      </c>
      <c r="T5" s="81" t="e">
        <f t="shared" ca="1" si="71"/>
        <v>#NAME?</v>
      </c>
      <c r="U5" s="81" t="e">
        <f t="shared" ref="U5" ca="1" si="72">AVERAGE(T116:U116)</f>
        <v>#NAME?</v>
      </c>
      <c r="V5" s="81" t="e">
        <f t="shared" ref="V5" ca="1" si="73">AVERAGE(U116:V116)</f>
        <v>#NAME?</v>
      </c>
      <c r="W5" s="81" t="e">
        <f ca="1">AVERAGE(V116:W116)</f>
        <v>#NAME?</v>
      </c>
      <c r="X5" s="81" t="e">
        <f ca="1">AVERAGE(W116:X116)</f>
        <v>#NAME?</v>
      </c>
      <c r="Y5" s="81" t="e">
        <f ca="1">+AVERAGE(BN5:BQ5)</f>
        <v>#NAME?</v>
      </c>
      <c r="Z5" s="81" t="e">
        <f ca="1">+AVERAGE(BR5:BU5)</f>
        <v>#NAME?</v>
      </c>
      <c r="AA5" s="82" t="e">
        <f ca="1">+AVERAGE(BV5:BY5)</f>
        <v>#NAME?</v>
      </c>
      <c r="AB5" s="82" t="e">
        <f ca="1">+AVERAGE(BZ5:CC5)</f>
        <v>#NAME?</v>
      </c>
      <c r="AC5" s="82" t="e">
        <f ca="1">+AVERAGE(CD5:CG5)</f>
        <v>#NAME?</v>
      </c>
      <c r="AD5" s="82" t="e">
        <f ca="1">+AVERAGE(CH5:CK5)</f>
        <v>#NAME?</v>
      </c>
      <c r="AE5" s="82" t="e">
        <f ca="1">+AVERAGE(CL5:CO5)</f>
        <v>#NAME?</v>
      </c>
      <c r="AG5" s="84"/>
      <c r="AH5" s="81" t="e">
        <f ca="1">AVERAGE(AG116:AH116)</f>
        <v>#NAME?</v>
      </c>
      <c r="AI5" s="81" t="e">
        <f t="shared" ref="AI5:AL5" ca="1" si="74">AVERAGE(AH116:AI116)</f>
        <v>#NAME?</v>
      </c>
      <c r="AJ5" s="81" t="e">
        <f t="shared" ca="1" si="74"/>
        <v>#NAME?</v>
      </c>
      <c r="AK5" s="81" t="e">
        <f t="shared" ca="1" si="74"/>
        <v>#NAME?</v>
      </c>
      <c r="AL5" s="81" t="e">
        <f t="shared" ca="1" si="74"/>
        <v>#NAME?</v>
      </c>
      <c r="AM5" s="81" t="e">
        <f t="shared" ref="AM5:AS5" ca="1" si="75">AVERAGE(AL116:AM116)</f>
        <v>#NAME?</v>
      </c>
      <c r="AN5" s="81" t="e">
        <f t="shared" ca="1" si="75"/>
        <v>#NAME?</v>
      </c>
      <c r="AO5" s="81" t="e">
        <f t="shared" ca="1" si="75"/>
        <v>#NAME?</v>
      </c>
      <c r="AP5" s="81" t="e">
        <f t="shared" ca="1" si="75"/>
        <v>#NAME?</v>
      </c>
      <c r="AQ5" s="81" t="e">
        <f t="shared" ca="1" si="75"/>
        <v>#NAME?</v>
      </c>
      <c r="AR5" s="81" t="e">
        <f t="shared" ca="1" si="75"/>
        <v>#NAME?</v>
      </c>
      <c r="AS5" s="81" t="e">
        <f t="shared" ca="1" si="75"/>
        <v>#NAME?</v>
      </c>
      <c r="AT5" s="81" t="e">
        <f t="shared" ref="AT5" ca="1" si="76">AVERAGE(AS116:AT116)</f>
        <v>#NAME?</v>
      </c>
      <c r="AU5" s="81" t="e">
        <f t="shared" ref="AU5" ca="1" si="77">AVERAGE(AT116:AU116)</f>
        <v>#NAME?</v>
      </c>
      <c r="AV5" s="81" t="e">
        <f t="shared" ref="AV5" ca="1" si="78">AVERAGE(AU116:AV116)</f>
        <v>#NAME?</v>
      </c>
      <c r="AW5" s="81" t="e">
        <f t="shared" ref="AW5:BB5" ca="1" si="79">AVERAGE(AV116:AW116)</f>
        <v>#NAME?</v>
      </c>
      <c r="AX5" s="81" t="e">
        <f t="shared" ca="1" si="79"/>
        <v>#NAME?</v>
      </c>
      <c r="AY5" s="81" t="e">
        <f t="shared" ca="1" si="79"/>
        <v>#NAME?</v>
      </c>
      <c r="AZ5" s="81" t="e">
        <f t="shared" ca="1" si="79"/>
        <v>#NAME?</v>
      </c>
      <c r="BA5" s="81" t="e">
        <f t="shared" ca="1" si="79"/>
        <v>#NAME?</v>
      </c>
      <c r="BB5" s="81" t="e">
        <f t="shared" ca="1" si="79"/>
        <v>#NAME?</v>
      </c>
      <c r="BC5" s="81" t="e">
        <f t="shared" ref="BC5:BH5" ca="1" si="80">AVERAGE(BB116:BC116)</f>
        <v>#NAME?</v>
      </c>
      <c r="BD5" s="81" t="e">
        <f t="shared" ca="1" si="80"/>
        <v>#NAME?</v>
      </c>
      <c r="BE5" s="81" t="e">
        <f t="shared" ca="1" si="80"/>
        <v>#NAME?</v>
      </c>
      <c r="BF5" s="81" t="e">
        <f t="shared" ca="1" si="80"/>
        <v>#NAME?</v>
      </c>
      <c r="BG5" s="81" t="e">
        <f t="shared" ca="1" si="80"/>
        <v>#NAME?</v>
      </c>
      <c r="BH5" s="81" t="e">
        <f t="shared" ca="1" si="80"/>
        <v>#NAME?</v>
      </c>
      <c r="BI5" s="81" t="e">
        <f t="shared" ref="BI5" ca="1" si="81">AVERAGE(BH116:BI116)</f>
        <v>#NAME?</v>
      </c>
      <c r="BJ5" s="81" t="e">
        <f t="shared" ref="BJ5:BK5" ca="1" si="82">AVERAGE(BI116:BJ116)</f>
        <v>#NAME?</v>
      </c>
      <c r="BK5" s="81" t="e">
        <f t="shared" ca="1" si="82"/>
        <v>#NAME?</v>
      </c>
      <c r="BL5" s="81" t="e">
        <f t="shared" ref="BL5" ca="1" si="83">AVERAGE(BK116:BL116)</f>
        <v>#NAME?</v>
      </c>
      <c r="BM5" s="81" t="e">
        <f t="shared" ref="BM5" ca="1" si="84">AVERAGE(BL116:BM116)</f>
        <v>#NAME?</v>
      </c>
      <c r="BN5" s="81" t="e">
        <f t="shared" ref="BN5" ca="1" si="85">AVERAGE(BM116:BN116)</f>
        <v>#NAME?</v>
      </c>
      <c r="BO5" s="81" t="e">
        <f t="shared" ref="BO5" ca="1" si="86">AVERAGE(BN116:BO116)</f>
        <v>#NAME?</v>
      </c>
      <c r="BP5" s="81" t="e">
        <f t="shared" ref="BP5" ca="1" si="87">AVERAGE(BO116:BP116)</f>
        <v>#NAME?</v>
      </c>
      <c r="BQ5" s="81" t="e">
        <f t="shared" ref="BQ5" ca="1" si="88">AVERAGE(BP116:BQ116)</f>
        <v>#NAME?</v>
      </c>
      <c r="BR5" s="81" t="e">
        <f t="shared" ref="BR5" ca="1" si="89">AVERAGE(BQ116:BR116)</f>
        <v>#NAME?</v>
      </c>
      <c r="BS5" s="81" t="e">
        <f t="shared" ref="BS5" ca="1" si="90">AVERAGE(BR116:BS116)</f>
        <v>#NAME?</v>
      </c>
      <c r="BT5" s="81" t="e">
        <f t="shared" ref="BT5:BU5" ca="1" si="91">AVERAGE(BS116:BT116)</f>
        <v>#NAME?</v>
      </c>
      <c r="BU5" s="81" t="e">
        <f t="shared" ca="1" si="91"/>
        <v>#NAME?</v>
      </c>
      <c r="BV5" s="81" t="e">
        <f t="shared" ref="BV5:BX5" ca="1" si="92">AVERAGE(BU116:BV116)</f>
        <v>#NAME?</v>
      </c>
      <c r="BW5" s="81" t="e">
        <f t="shared" ca="1" si="92"/>
        <v>#NAME?</v>
      </c>
      <c r="BX5" s="81" t="e">
        <f t="shared" ca="1" si="92"/>
        <v>#NAME?</v>
      </c>
      <c r="BY5" s="81" t="e">
        <f t="shared" ref="BY5" ca="1" si="93">AVERAGE(BX116:BY116)</f>
        <v>#NAME?</v>
      </c>
      <c r="BZ5" s="82" t="e">
        <f t="shared" ref="BZ5" ca="1" si="94">AVERAGE(BY116:BZ116)</f>
        <v>#NAME?</v>
      </c>
      <c r="CA5" s="82" t="e">
        <f t="shared" ref="CA5" ca="1" si="95">AVERAGE(BZ116:CA116)</f>
        <v>#NAME?</v>
      </c>
      <c r="CB5" s="82" t="e">
        <f t="shared" ref="CB5" ca="1" si="96">AVERAGE(CA116:CB116)</f>
        <v>#NAME?</v>
      </c>
      <c r="CC5" s="82" t="e">
        <f t="shared" ref="CC5" ca="1" si="97">AVERAGE(CB116:CC116)</f>
        <v>#NAME?</v>
      </c>
      <c r="CD5" s="82" t="e">
        <f t="shared" ref="CD5" ca="1" si="98">AVERAGE(CC116:CD116)</f>
        <v>#NAME?</v>
      </c>
      <c r="CE5" s="82" t="e">
        <f t="shared" ref="CE5" ca="1" si="99">AVERAGE(CD116:CE116)</f>
        <v>#NAME?</v>
      </c>
      <c r="CF5" s="82" t="e">
        <f t="shared" ref="CF5" ca="1" si="100">AVERAGE(CE116:CF116)</f>
        <v>#NAME?</v>
      </c>
      <c r="CG5" s="82" t="e">
        <f t="shared" ref="CG5" ca="1" si="101">AVERAGE(CF116:CG116)</f>
        <v>#NAME?</v>
      </c>
      <c r="CH5" s="82" t="e">
        <f t="shared" ref="CH5" ca="1" si="102">AVERAGE(CG116:CH116)</f>
        <v>#NAME?</v>
      </c>
      <c r="CI5" s="82" t="e">
        <f t="shared" ref="CI5" ca="1" si="103">AVERAGE(CH116:CI116)</f>
        <v>#NAME?</v>
      </c>
      <c r="CJ5" s="82" t="e">
        <f t="shared" ref="CJ5" ca="1" si="104">AVERAGE(CI116:CJ116)</f>
        <v>#NAME?</v>
      </c>
      <c r="CK5" s="82" t="e">
        <f t="shared" ref="CK5" ca="1" si="105">AVERAGE(CJ116:CK116)</f>
        <v>#NAME?</v>
      </c>
      <c r="CL5" s="82" t="e">
        <f t="shared" ref="CL5" ca="1" si="106">AVERAGE(CK116:CL116)</f>
        <v>#NAME?</v>
      </c>
      <c r="CM5" s="82" t="e">
        <f t="shared" ref="CM5" ca="1" si="107">AVERAGE(CL116:CM116)</f>
        <v>#NAME?</v>
      </c>
      <c r="CN5" s="82" t="e">
        <f t="shared" ref="CN5" ca="1" si="108">AVERAGE(CM116:CN116)</f>
        <v>#NAME?</v>
      </c>
      <c r="CO5" s="82" t="e">
        <f t="shared" ref="CO5" ca="1" si="109">AVERAGE(CN116:CO116)</f>
        <v>#NAME?</v>
      </c>
      <c r="CS5" s="165">
        <v>402336.09962850931</v>
      </c>
    </row>
    <row r="6" spans="1:97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S6" s="152"/>
    </row>
    <row r="7" spans="1:97" s="37" customFormat="1" x14ac:dyDescent="0.2">
      <c r="A7" s="35" t="s">
        <v>46</v>
      </c>
      <c r="B7" s="35"/>
      <c r="C7" s="35"/>
      <c r="D7" s="35" t="e">
        <f t="shared" ref="D7" ca="1" si="110">+D5/C5-1</f>
        <v>#NAME?</v>
      </c>
      <c r="E7" s="35" t="e">
        <f t="shared" ref="E7" ca="1" si="111">+E5/D5-1</f>
        <v>#NAME?</v>
      </c>
      <c r="F7" s="35" t="e">
        <f t="shared" ref="F7" ca="1" si="112">+F5/E5-1</f>
        <v>#NAME?</v>
      </c>
      <c r="G7" s="35" t="e">
        <f t="shared" ref="G7" ca="1" si="113">+G5/F5-1</f>
        <v>#NAME?</v>
      </c>
      <c r="H7" s="35" t="e">
        <f t="shared" ref="H7" ca="1" si="114">+H5/G5-1</f>
        <v>#NAME?</v>
      </c>
      <c r="I7" s="35" t="e">
        <f t="shared" ref="I7" ca="1" si="115">+I5/H5-1</f>
        <v>#NAME?</v>
      </c>
      <c r="J7" s="35" t="e">
        <f t="shared" ref="J7" ca="1" si="116">+J5/I5-1</f>
        <v>#NAME?</v>
      </c>
      <c r="K7" s="35" t="e">
        <f t="shared" ref="K7" ca="1" si="117">+K5/J5-1</f>
        <v>#NAME?</v>
      </c>
      <c r="L7" s="35" t="e">
        <f t="shared" ref="L7" ca="1" si="118">+L5/K5-1</f>
        <v>#NAME?</v>
      </c>
      <c r="M7" s="35" t="e">
        <f t="shared" ref="M7" ca="1" si="119">+M5/L5-1</f>
        <v>#NAME?</v>
      </c>
      <c r="N7" s="35" t="e">
        <f t="shared" ref="N7" ca="1" si="120">+N5/M5-1</f>
        <v>#NAME?</v>
      </c>
      <c r="O7" s="35" t="e">
        <f t="shared" ref="O7" ca="1" si="121">+O5/N5-1</f>
        <v>#NAME?</v>
      </c>
      <c r="P7" s="35" t="e">
        <f t="shared" ref="P7" ca="1" si="122">+P5/O5-1</f>
        <v>#NAME?</v>
      </c>
      <c r="Q7" s="35" t="e">
        <f t="shared" ref="Q7" ca="1" si="123">+Q5/P5-1</f>
        <v>#NAME?</v>
      </c>
      <c r="R7" s="35" t="e">
        <f t="shared" ref="R7" ca="1" si="124">+R5/Q5-1</f>
        <v>#NAME?</v>
      </c>
      <c r="S7" s="35" t="e">
        <f t="shared" ref="S7" ca="1" si="125">+S5/R5-1</f>
        <v>#NAME?</v>
      </c>
      <c r="T7" s="35" t="e">
        <f t="shared" ref="T7" ca="1" si="126">+T5/S5-1</f>
        <v>#NAME?</v>
      </c>
      <c r="U7" s="35" t="e">
        <f t="shared" ref="U7:V7" ca="1" si="127">+U5/T5-1</f>
        <v>#NAME?</v>
      </c>
      <c r="V7" s="35" t="e">
        <f t="shared" ca="1" si="127"/>
        <v>#NAME?</v>
      </c>
      <c r="W7" s="35" t="e">
        <f ca="1">+W5/V5-1</f>
        <v>#NAME?</v>
      </c>
      <c r="X7" s="35" t="e">
        <f t="shared" ref="X7:Z7" ca="1" si="128">+X5/W5-1</f>
        <v>#NAME?</v>
      </c>
      <c r="Y7" s="35" t="e">
        <f t="shared" ca="1" si="128"/>
        <v>#NAME?</v>
      </c>
      <c r="Z7" s="35" t="e">
        <f t="shared" ca="1" si="128"/>
        <v>#NAME?</v>
      </c>
      <c r="AA7" s="36" t="e">
        <f t="shared" ref="AA7" ca="1" si="129">+AA5/Z5-1</f>
        <v>#NAME?</v>
      </c>
      <c r="AB7" s="36" t="e">
        <f t="shared" ref="AB7" ca="1" si="130">+AB5/AA5-1</f>
        <v>#NAME?</v>
      </c>
      <c r="AC7" s="36" t="e">
        <f t="shared" ref="AC7" ca="1" si="131">+AC5/AB5-1</f>
        <v>#NAME?</v>
      </c>
      <c r="AD7" s="36" t="e">
        <f t="shared" ref="AD7" ca="1" si="132">+AD5/AC5-1</f>
        <v>#NAME?</v>
      </c>
      <c r="AE7" s="36" t="e">
        <f t="shared" ref="AE7" ca="1" si="133">+AE5/AD5-1</f>
        <v>#NAME?</v>
      </c>
      <c r="AG7" s="59"/>
      <c r="AH7" s="35"/>
      <c r="AI7" s="35"/>
      <c r="AJ7" s="35"/>
      <c r="AK7" s="35"/>
      <c r="AL7" s="35"/>
      <c r="AM7" s="35" t="e">
        <f t="shared" ref="AM7" ca="1" si="134">AM5/AI5-1</f>
        <v>#NAME?</v>
      </c>
      <c r="AN7" s="35" t="e">
        <f t="shared" ref="AN7" ca="1" si="135">AN5/AJ5-1</f>
        <v>#NAME?</v>
      </c>
      <c r="AO7" s="35" t="e">
        <f t="shared" ref="AO7" ca="1" si="136">AO5/AK5-1</f>
        <v>#NAME?</v>
      </c>
      <c r="AP7" s="35" t="e">
        <f t="shared" ref="AP7" ca="1" si="137">AP5/AL5-1</f>
        <v>#NAME?</v>
      </c>
      <c r="AQ7" s="35" t="e">
        <f t="shared" ref="AQ7" ca="1" si="138">AQ5/AM5-1</f>
        <v>#NAME?</v>
      </c>
      <c r="AR7" s="35" t="e">
        <f t="shared" ref="AR7:AS7" ca="1" si="139">AR5/AN5-1</f>
        <v>#NAME?</v>
      </c>
      <c r="AS7" s="35" t="e">
        <f t="shared" ca="1" si="139"/>
        <v>#NAME?</v>
      </c>
      <c r="AT7" s="35" t="e">
        <f t="shared" ref="AT7" ca="1" si="140">AT5/AP5-1</f>
        <v>#NAME?</v>
      </c>
      <c r="AU7" s="35" t="e">
        <f t="shared" ref="AU7" ca="1" si="141">AU5/AQ5-1</f>
        <v>#NAME?</v>
      </c>
      <c r="AV7" s="35" t="e">
        <f t="shared" ref="AV7" ca="1" si="142">AV5/AR5-1</f>
        <v>#NAME?</v>
      </c>
      <c r="AW7" s="35" t="e">
        <f t="shared" ref="AW7" ca="1" si="143">AW5/AS5-1</f>
        <v>#NAME?</v>
      </c>
      <c r="AX7" s="35" t="e">
        <f t="shared" ref="AX7" ca="1" si="144">AX5/AT5-1</f>
        <v>#NAME?</v>
      </c>
      <c r="AY7" s="35" t="e">
        <f t="shared" ref="AY7" ca="1" si="145">AY5/AU5-1</f>
        <v>#NAME?</v>
      </c>
      <c r="AZ7" s="35" t="e">
        <f t="shared" ref="AZ7" ca="1" si="146">AZ5/AV5-1</f>
        <v>#NAME?</v>
      </c>
      <c r="BA7" s="35" t="e">
        <f t="shared" ref="BA7:BB7" ca="1" si="147">BA5/AW5-1</f>
        <v>#NAME?</v>
      </c>
      <c r="BB7" s="35" t="e">
        <f t="shared" ca="1" si="147"/>
        <v>#NAME?</v>
      </c>
      <c r="BC7" s="35" t="e">
        <f t="shared" ref="BC7" ca="1" si="148">BC5/AY5-1</f>
        <v>#NAME?</v>
      </c>
      <c r="BD7" s="35" t="e">
        <f t="shared" ref="BD7" ca="1" si="149">BD5/AZ5-1</f>
        <v>#NAME?</v>
      </c>
      <c r="BE7" s="35" t="e">
        <f t="shared" ref="BE7" ca="1" si="150">BE5/BA5-1</f>
        <v>#NAME?</v>
      </c>
      <c r="BF7" s="35" t="e">
        <f t="shared" ref="BF7:BH7" ca="1" si="151">BF5/BB5-1</f>
        <v>#NAME?</v>
      </c>
      <c r="BG7" s="35" t="e">
        <f t="shared" ca="1" si="151"/>
        <v>#NAME?</v>
      </c>
      <c r="BH7" s="35" t="e">
        <f t="shared" ca="1" si="151"/>
        <v>#NAME?</v>
      </c>
      <c r="BI7" s="35" t="e">
        <f t="shared" ref="BI7" ca="1" si="152">BI5/BE5-1</f>
        <v>#NAME?</v>
      </c>
      <c r="BJ7" s="35" t="e">
        <f t="shared" ref="BJ7:BK7" ca="1" si="153">BJ5/BF5-1</f>
        <v>#NAME?</v>
      </c>
      <c r="BK7" s="35" t="e">
        <f t="shared" ca="1" si="153"/>
        <v>#NAME?</v>
      </c>
      <c r="BL7" s="35" t="e">
        <f t="shared" ref="BL7" ca="1" si="154">BL5/BH5-1</f>
        <v>#NAME?</v>
      </c>
      <c r="BM7" s="35" t="e">
        <f t="shared" ref="BM7" ca="1" si="155">BM5/BI5-1</f>
        <v>#NAME?</v>
      </c>
      <c r="BN7" s="35" t="e">
        <f t="shared" ref="BN7" ca="1" si="156">BN5/BJ5-1</f>
        <v>#NAME?</v>
      </c>
      <c r="BO7" s="35" t="e">
        <f t="shared" ref="BO7" ca="1" si="157">BO5/BK5-1</f>
        <v>#NAME?</v>
      </c>
      <c r="BP7" s="35" t="e">
        <f t="shared" ref="BP7" ca="1" si="158">BP5/BL5-1</f>
        <v>#NAME?</v>
      </c>
      <c r="BQ7" s="35" t="e">
        <f t="shared" ref="BQ7" ca="1" si="159">BQ5/BM5-1</f>
        <v>#NAME?</v>
      </c>
      <c r="BR7" s="35" t="e">
        <f t="shared" ref="BR7" ca="1" si="160">BR5/BN5-1</f>
        <v>#NAME?</v>
      </c>
      <c r="BS7" s="35" t="e">
        <f t="shared" ref="BS7" ca="1" si="161">BS5/BO5-1</f>
        <v>#NAME?</v>
      </c>
      <c r="BT7" s="35" t="e">
        <f t="shared" ref="BT7:BU7" ca="1" si="162">BT5/BP5-1</f>
        <v>#NAME?</v>
      </c>
      <c r="BU7" s="35" t="e">
        <f t="shared" ca="1" si="162"/>
        <v>#NAME?</v>
      </c>
      <c r="BV7" s="35" t="e">
        <f t="shared" ref="BV7:BX7" ca="1" si="163">BV5/BR5-1</f>
        <v>#NAME?</v>
      </c>
      <c r="BW7" s="35" t="e">
        <f t="shared" ca="1" si="163"/>
        <v>#NAME?</v>
      </c>
      <c r="BX7" s="35" t="e">
        <f t="shared" ca="1" si="163"/>
        <v>#NAME?</v>
      </c>
      <c r="BY7" s="35" t="e">
        <f t="shared" ref="BY7" ca="1" si="164">BY5/BU5-1</f>
        <v>#NAME?</v>
      </c>
      <c r="BZ7" s="87" t="e">
        <f t="shared" ref="BZ7" ca="1" si="165">BZ5/BV5-1</f>
        <v>#NAME?</v>
      </c>
      <c r="CA7" s="87" t="e">
        <f t="shared" ref="CA7" ca="1" si="166">CA5/BW5-1</f>
        <v>#NAME?</v>
      </c>
      <c r="CB7" s="87" t="e">
        <f t="shared" ref="CB7" ca="1" si="167">CB5/BX5-1</f>
        <v>#NAME?</v>
      </c>
      <c r="CC7" s="87" t="e">
        <f t="shared" ref="CC7" ca="1" si="168">CC5/BY5-1</f>
        <v>#NAME?</v>
      </c>
      <c r="CD7" s="87" t="e">
        <f t="shared" ref="CD7" ca="1" si="169">CD5/BZ5-1</f>
        <v>#NAME?</v>
      </c>
      <c r="CE7" s="87" t="e">
        <f t="shared" ref="CE7" ca="1" si="170">CE5/CA5-1</f>
        <v>#NAME?</v>
      </c>
      <c r="CF7" s="87" t="e">
        <f t="shared" ref="CF7" ca="1" si="171">CF5/CB5-1</f>
        <v>#NAME?</v>
      </c>
      <c r="CG7" s="87" t="e">
        <f t="shared" ref="CG7" ca="1" si="172">CG5/CC5-1</f>
        <v>#NAME?</v>
      </c>
      <c r="CH7" s="87" t="e">
        <f t="shared" ref="CH7" ca="1" si="173">CH5/CD5-1</f>
        <v>#NAME?</v>
      </c>
      <c r="CI7" s="87" t="e">
        <f t="shared" ref="CI7" ca="1" si="174">CI5/CE5-1</f>
        <v>#NAME?</v>
      </c>
      <c r="CJ7" s="87" t="e">
        <f t="shared" ref="CJ7" ca="1" si="175">CJ5/CF5-1</f>
        <v>#NAME?</v>
      </c>
      <c r="CK7" s="87" t="e">
        <f t="shared" ref="CK7" ca="1" si="176">CK5/CG5-1</f>
        <v>#NAME?</v>
      </c>
      <c r="CL7" s="87" t="e">
        <f t="shared" ref="CL7" ca="1" si="177">CL5/CH5-1</f>
        <v>#NAME?</v>
      </c>
      <c r="CM7" s="87" t="e">
        <f t="shared" ref="CM7" ca="1" si="178">CM5/CI5-1</f>
        <v>#NAME?</v>
      </c>
      <c r="CN7" s="87" t="e">
        <f t="shared" ref="CN7" ca="1" si="179">CN5/CJ5-1</f>
        <v>#NAME?</v>
      </c>
      <c r="CO7" s="87" t="e">
        <f t="shared" ref="CO7" ca="1" si="180">CO5/CK5-1</f>
        <v>#NAME?</v>
      </c>
      <c r="CS7" s="37">
        <v>0.18127354592345779</v>
      </c>
    </row>
    <row r="8" spans="1:97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7" s="78" customFormat="1" x14ac:dyDescent="0.2">
      <c r="A9" s="77" t="s">
        <v>26</v>
      </c>
      <c r="B9" s="77"/>
      <c r="C9" s="77"/>
      <c r="D9" s="77" t="e">
        <f t="shared" ref="D9:O9" ca="1" si="181">D115/D109</f>
        <v>#NAME?</v>
      </c>
      <c r="E9" s="77" t="e">
        <f t="shared" ca="1" si="181"/>
        <v>#NAME?</v>
      </c>
      <c r="F9" s="77" t="e">
        <f t="shared" ca="1" si="181"/>
        <v>#NAME?</v>
      </c>
      <c r="G9" s="77" t="e">
        <f t="shared" ca="1" si="181"/>
        <v>#NAME?</v>
      </c>
      <c r="H9" s="77" t="e">
        <f t="shared" ca="1" si="181"/>
        <v>#NAME?</v>
      </c>
      <c r="I9" s="77" t="e">
        <f t="shared" ca="1" si="181"/>
        <v>#NAME?</v>
      </c>
      <c r="J9" s="77" t="e">
        <f t="shared" ca="1" si="181"/>
        <v>#NAME?</v>
      </c>
      <c r="K9" s="77" t="e">
        <f t="shared" ca="1" si="181"/>
        <v>#NAME?</v>
      </c>
      <c r="L9" s="77" t="e">
        <f t="shared" ca="1" si="181"/>
        <v>#NAME?</v>
      </c>
      <c r="M9" s="77" t="e">
        <f t="shared" ca="1" si="181"/>
        <v>#NAME?</v>
      </c>
      <c r="N9" s="77" t="e">
        <f t="shared" ca="1" si="181"/>
        <v>#NAME?</v>
      </c>
      <c r="O9" s="77" t="e">
        <f t="shared" ca="1" si="181"/>
        <v>#NAME?</v>
      </c>
      <c r="P9" s="77" t="e">
        <f t="shared" ref="P9:Z9" ca="1" si="182">P115/P109</f>
        <v>#NAME?</v>
      </c>
      <c r="Q9" s="77" t="e">
        <f t="shared" ca="1" si="182"/>
        <v>#NAME?</v>
      </c>
      <c r="R9" s="77" t="e">
        <f t="shared" ca="1" si="182"/>
        <v>#NAME?</v>
      </c>
      <c r="S9" s="77" t="e">
        <f t="shared" ca="1" si="182"/>
        <v>#NAME?</v>
      </c>
      <c r="T9" s="77" t="e">
        <f t="shared" ca="1" si="182"/>
        <v>#NAME?</v>
      </c>
      <c r="U9" s="77" t="e">
        <f t="shared" ca="1" si="182"/>
        <v>#NAME?</v>
      </c>
      <c r="V9" s="77" t="e">
        <f t="shared" ca="1" si="182"/>
        <v>#NAME?</v>
      </c>
      <c r="W9" s="77" t="e">
        <f t="shared" ca="1" si="182"/>
        <v>#NAME?</v>
      </c>
      <c r="X9" s="77" t="e">
        <f t="shared" ca="1" si="182"/>
        <v>#NAME?</v>
      </c>
      <c r="Y9" s="77" t="e">
        <f t="shared" ca="1" si="182"/>
        <v>#NAME?</v>
      </c>
      <c r="Z9" s="77" t="e">
        <f t="shared" ca="1" si="182"/>
        <v>#NAME?</v>
      </c>
      <c r="AA9" s="15" t="e">
        <f ca="1">AA115/AA109</f>
        <v>#NAME?</v>
      </c>
      <c r="AB9" s="15" t="e">
        <f ca="1">AB115/AB109</f>
        <v>#NAME?</v>
      </c>
      <c r="AC9" s="15" t="e">
        <f ca="1">AC115/AC109</f>
        <v>#NAME?</v>
      </c>
      <c r="AD9" s="15" t="e">
        <f ca="1">AD115/AD109</f>
        <v>#NAME?</v>
      </c>
      <c r="AE9" s="15" t="e">
        <f ca="1">AE115/AE109</f>
        <v>#NAME?</v>
      </c>
      <c r="AG9" s="79"/>
      <c r="AH9" s="14" t="e">
        <f t="shared" ref="AH9:BU9" ca="1" si="183">AH115/AH109</f>
        <v>#NAME?</v>
      </c>
      <c r="AI9" s="14" t="e">
        <f t="shared" ca="1" si="183"/>
        <v>#NAME?</v>
      </c>
      <c r="AJ9" s="14" t="e">
        <f t="shared" ca="1" si="183"/>
        <v>#NAME?</v>
      </c>
      <c r="AK9" s="14" t="e">
        <f t="shared" ca="1" si="183"/>
        <v>#NAME?</v>
      </c>
      <c r="AL9" s="14" t="e">
        <f t="shared" ca="1" si="183"/>
        <v>#NAME?</v>
      </c>
      <c r="AM9" s="14" t="e">
        <f t="shared" ca="1" si="183"/>
        <v>#NAME?</v>
      </c>
      <c r="AN9" s="14" t="e">
        <f t="shared" ca="1" si="183"/>
        <v>#NAME?</v>
      </c>
      <c r="AO9" s="14" t="e">
        <f t="shared" ca="1" si="183"/>
        <v>#NAME?</v>
      </c>
      <c r="AP9" s="14" t="e">
        <f t="shared" ca="1" si="183"/>
        <v>#NAME?</v>
      </c>
      <c r="AQ9" s="14" t="e">
        <f t="shared" ca="1" si="183"/>
        <v>#NAME?</v>
      </c>
      <c r="AR9" s="14" t="e">
        <f t="shared" ca="1" si="183"/>
        <v>#NAME?</v>
      </c>
      <c r="AS9" s="14" t="e">
        <f t="shared" ca="1" si="183"/>
        <v>#NAME?</v>
      </c>
      <c r="AT9" s="14" t="e">
        <f t="shared" ca="1" si="183"/>
        <v>#NAME?</v>
      </c>
      <c r="AU9" s="14" t="e">
        <f t="shared" ca="1" si="183"/>
        <v>#NAME?</v>
      </c>
      <c r="AV9" s="14" t="e">
        <f t="shared" ca="1" si="183"/>
        <v>#NAME?</v>
      </c>
      <c r="AW9" s="14" t="e">
        <f t="shared" ca="1" si="183"/>
        <v>#NAME?</v>
      </c>
      <c r="AX9" s="14" t="e">
        <f t="shared" ca="1" si="183"/>
        <v>#NAME?</v>
      </c>
      <c r="AY9" s="14" t="e">
        <f t="shared" ca="1" si="183"/>
        <v>#NAME?</v>
      </c>
      <c r="AZ9" s="14" t="e">
        <f t="shared" ca="1" si="183"/>
        <v>#NAME?</v>
      </c>
      <c r="BA9" s="14" t="e">
        <f t="shared" ca="1" si="183"/>
        <v>#NAME?</v>
      </c>
      <c r="BB9" s="14" t="e">
        <f t="shared" ca="1" si="183"/>
        <v>#NAME?</v>
      </c>
      <c r="BC9" s="14" t="e">
        <f t="shared" ca="1" si="183"/>
        <v>#NAME?</v>
      </c>
      <c r="BD9" s="14" t="e">
        <f t="shared" ca="1" si="183"/>
        <v>#NAME?</v>
      </c>
      <c r="BE9" s="14" t="e">
        <f t="shared" ca="1" si="183"/>
        <v>#NAME?</v>
      </c>
      <c r="BF9" s="14" t="e">
        <f t="shared" ca="1" si="183"/>
        <v>#NAME?</v>
      </c>
      <c r="BG9" s="14" t="e">
        <f t="shared" ca="1" si="183"/>
        <v>#NAME?</v>
      </c>
      <c r="BH9" s="14" t="e">
        <f t="shared" ca="1" si="183"/>
        <v>#NAME?</v>
      </c>
      <c r="BI9" s="14" t="e">
        <f t="shared" ca="1" si="183"/>
        <v>#NAME?</v>
      </c>
      <c r="BJ9" s="14" t="e">
        <f t="shared" ca="1" si="183"/>
        <v>#NAME?</v>
      </c>
      <c r="BK9" s="14" t="e">
        <f t="shared" ca="1" si="183"/>
        <v>#NAME?</v>
      </c>
      <c r="BL9" s="14" t="e">
        <f t="shared" ca="1" si="183"/>
        <v>#NAME?</v>
      </c>
      <c r="BM9" s="14" t="e">
        <f t="shared" ca="1" si="183"/>
        <v>#NAME?</v>
      </c>
      <c r="BN9" s="14" t="e">
        <f t="shared" ca="1" si="183"/>
        <v>#NAME?</v>
      </c>
      <c r="BO9" s="14" t="e">
        <f t="shared" ca="1" si="183"/>
        <v>#NAME?</v>
      </c>
      <c r="BP9" s="14" t="e">
        <f t="shared" ca="1" si="183"/>
        <v>#NAME?</v>
      </c>
      <c r="BQ9" s="14" t="e">
        <f t="shared" ca="1" si="183"/>
        <v>#NAME?</v>
      </c>
      <c r="BR9" s="14" t="e">
        <f t="shared" ca="1" si="183"/>
        <v>#NAME?</v>
      </c>
      <c r="BS9" s="14" t="e">
        <f t="shared" ca="1" si="183"/>
        <v>#NAME?</v>
      </c>
      <c r="BT9" s="14" t="e">
        <f t="shared" ca="1" si="183"/>
        <v>#NAME?</v>
      </c>
      <c r="BU9" s="14" t="e">
        <f t="shared" ca="1" si="183"/>
        <v>#NAME?</v>
      </c>
      <c r="BV9" s="14" t="e">
        <f ca="1">BV115/BV109</f>
        <v>#NAME?</v>
      </c>
      <c r="BW9" s="14" t="e">
        <f t="shared" ref="BW9:BX9" ca="1" si="184">BW115/BW109</f>
        <v>#NAME?</v>
      </c>
      <c r="BX9" s="14" t="e">
        <f t="shared" ca="1" si="184"/>
        <v>#NAME?</v>
      </c>
      <c r="BY9" s="14" t="e">
        <f t="shared" ref="BY9:CO9" ca="1" si="185">BY115/BY109</f>
        <v>#NAME?</v>
      </c>
      <c r="BZ9" s="80" t="e">
        <f t="shared" ca="1" si="185"/>
        <v>#NAME?</v>
      </c>
      <c r="CA9" s="80" t="e">
        <f t="shared" ca="1" si="185"/>
        <v>#NAME?</v>
      </c>
      <c r="CB9" s="80" t="e">
        <f t="shared" ca="1" si="185"/>
        <v>#NAME?</v>
      </c>
      <c r="CC9" s="80" t="e">
        <f t="shared" ca="1" si="185"/>
        <v>#NAME?</v>
      </c>
      <c r="CD9" s="80" t="e">
        <f t="shared" ca="1" si="185"/>
        <v>#NAME?</v>
      </c>
      <c r="CE9" s="80" t="e">
        <f t="shared" ca="1" si="185"/>
        <v>#NAME?</v>
      </c>
      <c r="CF9" s="80" t="e">
        <f t="shared" ca="1" si="185"/>
        <v>#NAME?</v>
      </c>
      <c r="CG9" s="80" t="e">
        <f t="shared" ca="1" si="185"/>
        <v>#NAME?</v>
      </c>
      <c r="CH9" s="80" t="e">
        <f t="shared" ca="1" si="185"/>
        <v>#NAME?</v>
      </c>
      <c r="CI9" s="80" t="e">
        <f t="shared" ca="1" si="185"/>
        <v>#NAME?</v>
      </c>
      <c r="CJ9" s="80" t="e">
        <f t="shared" ca="1" si="185"/>
        <v>#NAME?</v>
      </c>
      <c r="CK9" s="80" t="e">
        <f t="shared" ca="1" si="185"/>
        <v>#NAME?</v>
      </c>
      <c r="CL9" s="80" t="e">
        <f t="shared" ca="1" si="185"/>
        <v>#NAME?</v>
      </c>
      <c r="CM9" s="80" t="e">
        <f t="shared" ca="1" si="185"/>
        <v>#NAME?</v>
      </c>
      <c r="CN9" s="80" t="e">
        <f t="shared" ca="1" si="185"/>
        <v>#NAME?</v>
      </c>
      <c r="CO9" s="80" t="e">
        <f t="shared" ca="1" si="185"/>
        <v>#NAME?</v>
      </c>
      <c r="CS9" s="78">
        <v>11.032996581427138</v>
      </c>
    </row>
    <row r="10" spans="1:97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7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7" s="30" customFormat="1" x14ac:dyDescent="0.2">
      <c r="A12" s="27" t="s">
        <v>7</v>
      </c>
      <c r="B12" s="27"/>
      <c r="C12" s="27"/>
      <c r="D12" s="28" t="e">
        <f t="shared" ref="D12" ca="1" si="186">D34/C5</f>
        <v>#NAME?</v>
      </c>
      <c r="E12" s="28" t="e">
        <f t="shared" ref="E12" ca="1" si="187">E34/D5</f>
        <v>#NAME?</v>
      </c>
      <c r="F12" s="28" t="e">
        <f t="shared" ref="F12" ca="1" si="188">F34/E5</f>
        <v>#NAME?</v>
      </c>
      <c r="G12" s="28" t="e">
        <f t="shared" ref="G12" ca="1" si="189">G34/F5</f>
        <v>#NAME?</v>
      </c>
      <c r="H12" s="28" t="e">
        <f t="shared" ref="H12" ca="1" si="190">H34/G5</f>
        <v>#NAME?</v>
      </c>
      <c r="I12" s="28" t="e">
        <f t="shared" ref="I12" ca="1" si="191">I34/H5</f>
        <v>#NAME?</v>
      </c>
      <c r="J12" s="28" t="e">
        <f t="shared" ref="J12" ca="1" si="192">J34/I5</f>
        <v>#NAME?</v>
      </c>
      <c r="K12" s="28" t="e">
        <f t="shared" ref="K12" ca="1" si="193">K34/J5</f>
        <v>#NAME?</v>
      </c>
      <c r="L12" s="28" t="e">
        <f t="shared" ref="L12" ca="1" si="194">L34/K5</f>
        <v>#NAME?</v>
      </c>
      <c r="M12" s="28" t="e">
        <f t="shared" ref="M12" ca="1" si="195">M34/L5</f>
        <v>#NAME?</v>
      </c>
      <c r="N12" s="28" t="e">
        <f t="shared" ref="N12" ca="1" si="196">N34/M5</f>
        <v>#NAME?</v>
      </c>
      <c r="O12" s="28" t="e">
        <f t="shared" ref="O12" ca="1" si="197">O34/N5</f>
        <v>#NAME?</v>
      </c>
      <c r="P12" s="28" t="e">
        <f t="shared" ref="P12:Z12" ca="1" si="198">P34/O5</f>
        <v>#NAME?</v>
      </c>
      <c r="Q12" s="28" t="e">
        <f t="shared" ca="1" si="198"/>
        <v>#NAME?</v>
      </c>
      <c r="R12" s="28" t="e">
        <f t="shared" ca="1" si="198"/>
        <v>#NAME?</v>
      </c>
      <c r="S12" s="28" t="e">
        <f t="shared" ca="1" si="198"/>
        <v>#NAME?</v>
      </c>
      <c r="T12" s="28" t="e">
        <f t="shared" ca="1" si="198"/>
        <v>#NAME?</v>
      </c>
      <c r="U12" s="28" t="e">
        <f t="shared" ca="1" si="198"/>
        <v>#NAME?</v>
      </c>
      <c r="V12" s="28" t="e">
        <f t="shared" ca="1" si="198"/>
        <v>#NAME?</v>
      </c>
      <c r="W12" s="28" t="e">
        <f t="shared" ca="1" si="198"/>
        <v>#NAME?</v>
      </c>
      <c r="X12" s="28" t="e">
        <f t="shared" ca="1" si="198"/>
        <v>#NAME?</v>
      </c>
      <c r="Y12" s="28" t="e">
        <f t="shared" ca="1" si="198"/>
        <v>#NAME?</v>
      </c>
      <c r="Z12" s="28" t="e">
        <f t="shared" ca="1" si="198"/>
        <v>#NAME?</v>
      </c>
      <c r="AA12" s="29" t="e">
        <f t="shared" ref="AA12" ca="1" si="199">AA34/Z5</f>
        <v>#NAME?</v>
      </c>
      <c r="AB12" s="29" t="e">
        <f t="shared" ref="AB12" ca="1" si="200">AB34/AA5</f>
        <v>#NAME?</v>
      </c>
      <c r="AC12" s="29" t="e">
        <f t="shared" ref="AC12" ca="1" si="201">AC34/AB5</f>
        <v>#NAME?</v>
      </c>
      <c r="AD12" s="29" t="e">
        <f t="shared" ref="AD12" ca="1" si="202">AD34/AC5</f>
        <v>#NAME?</v>
      </c>
      <c r="AE12" s="29" t="e">
        <f t="shared" ref="AE12" ca="1" si="203">AE34/AD5</f>
        <v>#NAME?</v>
      </c>
      <c r="AG12" s="58"/>
      <c r="AH12" s="28" t="e">
        <f ca="1">AH34/AG5</f>
        <v>#NAME?</v>
      </c>
      <c r="AI12" s="28" t="e">
        <f t="shared" ref="AI12:BY12" ca="1" si="204">AI34/AH5</f>
        <v>#NAME?</v>
      </c>
      <c r="AJ12" s="28" t="e">
        <f t="shared" ca="1" si="204"/>
        <v>#NAME?</v>
      </c>
      <c r="AK12" s="28" t="e">
        <f t="shared" ca="1" si="204"/>
        <v>#NAME?</v>
      </c>
      <c r="AL12" s="28" t="e">
        <f t="shared" ca="1" si="204"/>
        <v>#NAME?</v>
      </c>
      <c r="AM12" s="28" t="e">
        <f t="shared" ca="1" si="204"/>
        <v>#NAME?</v>
      </c>
      <c r="AN12" s="28" t="e">
        <f t="shared" ca="1" si="204"/>
        <v>#NAME?</v>
      </c>
      <c r="AO12" s="28" t="e">
        <f t="shared" ca="1" si="204"/>
        <v>#NAME?</v>
      </c>
      <c r="AP12" s="28" t="e">
        <f t="shared" ca="1" si="204"/>
        <v>#NAME?</v>
      </c>
      <c r="AQ12" s="28" t="e">
        <f t="shared" ca="1" si="204"/>
        <v>#NAME?</v>
      </c>
      <c r="AR12" s="28" t="e">
        <f t="shared" ca="1" si="204"/>
        <v>#NAME?</v>
      </c>
      <c r="AS12" s="28" t="e">
        <f t="shared" ca="1" si="204"/>
        <v>#NAME?</v>
      </c>
      <c r="AT12" s="28" t="e">
        <f t="shared" ca="1" si="204"/>
        <v>#NAME?</v>
      </c>
      <c r="AU12" s="28" t="e">
        <f t="shared" ca="1" si="204"/>
        <v>#NAME?</v>
      </c>
      <c r="AV12" s="28" t="e">
        <f t="shared" ca="1" si="204"/>
        <v>#NAME?</v>
      </c>
      <c r="AW12" s="28" t="e">
        <f t="shared" ca="1" si="204"/>
        <v>#NAME?</v>
      </c>
      <c r="AX12" s="28" t="e">
        <f t="shared" ca="1" si="204"/>
        <v>#NAME?</v>
      </c>
      <c r="AY12" s="28" t="e">
        <f t="shared" ca="1" si="204"/>
        <v>#NAME?</v>
      </c>
      <c r="AZ12" s="28" t="e">
        <f t="shared" ca="1" si="204"/>
        <v>#NAME?</v>
      </c>
      <c r="BA12" s="28" t="e">
        <f t="shared" ca="1" si="204"/>
        <v>#NAME?</v>
      </c>
      <c r="BB12" s="28" t="e">
        <f t="shared" ca="1" si="204"/>
        <v>#NAME?</v>
      </c>
      <c r="BC12" s="28" t="e">
        <f t="shared" ca="1" si="204"/>
        <v>#NAME?</v>
      </c>
      <c r="BD12" s="28" t="e">
        <f t="shared" ca="1" si="204"/>
        <v>#NAME?</v>
      </c>
      <c r="BE12" s="28" t="e">
        <f t="shared" ca="1" si="204"/>
        <v>#NAME?</v>
      </c>
      <c r="BF12" s="28" t="e">
        <f t="shared" ca="1" si="204"/>
        <v>#NAME?</v>
      </c>
      <c r="BG12" s="28" t="e">
        <f t="shared" ca="1" si="204"/>
        <v>#NAME?</v>
      </c>
      <c r="BH12" s="28" t="e">
        <f t="shared" ca="1" si="204"/>
        <v>#NAME?</v>
      </c>
      <c r="BI12" s="28" t="e">
        <f t="shared" ca="1" si="204"/>
        <v>#NAME?</v>
      </c>
      <c r="BJ12" s="28" t="e">
        <f t="shared" ca="1" si="204"/>
        <v>#NAME?</v>
      </c>
      <c r="BK12" s="28" t="e">
        <f t="shared" ca="1" si="204"/>
        <v>#NAME?</v>
      </c>
      <c r="BL12" s="28" t="e">
        <f t="shared" ca="1" si="204"/>
        <v>#NAME?</v>
      </c>
      <c r="BM12" s="28" t="e">
        <f t="shared" ca="1" si="204"/>
        <v>#NAME?</v>
      </c>
      <c r="BN12" s="28" t="e">
        <f t="shared" ca="1" si="204"/>
        <v>#NAME?</v>
      </c>
      <c r="BO12" s="28" t="e">
        <f t="shared" ca="1" si="204"/>
        <v>#NAME?</v>
      </c>
      <c r="BP12" s="28" t="e">
        <f t="shared" ca="1" si="204"/>
        <v>#NAME?</v>
      </c>
      <c r="BQ12" s="28" t="e">
        <f t="shared" ca="1" si="204"/>
        <v>#NAME?</v>
      </c>
      <c r="BR12" s="28" t="e">
        <f t="shared" ca="1" si="204"/>
        <v>#NAME?</v>
      </c>
      <c r="BS12" s="28" t="e">
        <f t="shared" ca="1" si="204"/>
        <v>#NAME?</v>
      </c>
      <c r="BT12" s="28" t="e">
        <f t="shared" ca="1" si="204"/>
        <v>#NAME?</v>
      </c>
      <c r="BU12" s="28" t="e">
        <f t="shared" ca="1" si="204"/>
        <v>#NAME?</v>
      </c>
      <c r="BV12" s="28" t="e">
        <f t="shared" ca="1" si="204"/>
        <v>#NAME?</v>
      </c>
      <c r="BW12" s="28" t="e">
        <f ca="1">BW34/BV5</f>
        <v>#NAME?</v>
      </c>
      <c r="BX12" s="28" t="e">
        <f t="shared" ca="1" si="204"/>
        <v>#NAME?</v>
      </c>
      <c r="BY12" s="28" t="e">
        <f t="shared" ca="1" si="204"/>
        <v>#NAME?</v>
      </c>
      <c r="BZ12" s="31" t="e">
        <f t="shared" ref="BZ12" ca="1" si="205">BY12</f>
        <v>#NAME?</v>
      </c>
      <c r="CA12" s="31" t="e">
        <f t="shared" ref="CA12" ca="1" si="206">BZ12</f>
        <v>#NAME?</v>
      </c>
      <c r="CB12" s="31" t="e">
        <f t="shared" ref="CB12" ca="1" si="207">CA12</f>
        <v>#NAME?</v>
      </c>
      <c r="CC12" s="31" t="e">
        <f t="shared" ref="CC12" ca="1" si="208">CB12</f>
        <v>#NAME?</v>
      </c>
      <c r="CD12" s="31" t="e">
        <f t="shared" ref="CD12" ca="1" si="209">CC12</f>
        <v>#NAME?</v>
      </c>
      <c r="CE12" s="31" t="e">
        <f t="shared" ref="CE12" ca="1" si="210">CD12</f>
        <v>#NAME?</v>
      </c>
      <c r="CF12" s="31" t="e">
        <f t="shared" ref="CF12" ca="1" si="211">CE12</f>
        <v>#NAME?</v>
      </c>
      <c r="CG12" s="31" t="e">
        <f t="shared" ref="CG12" ca="1" si="212">CF12</f>
        <v>#NAME?</v>
      </c>
      <c r="CH12" s="31" t="e">
        <f t="shared" ref="CH12" ca="1" si="213">CG12</f>
        <v>#NAME?</v>
      </c>
      <c r="CI12" s="31" t="e">
        <f t="shared" ref="CI12" ca="1" si="214">CH12</f>
        <v>#NAME?</v>
      </c>
      <c r="CJ12" s="31" t="e">
        <f t="shared" ref="CJ12" ca="1" si="215">CI12</f>
        <v>#NAME?</v>
      </c>
      <c r="CK12" s="31" t="e">
        <f t="shared" ref="CK12" ca="1" si="216">CJ12</f>
        <v>#NAME?</v>
      </c>
      <c r="CL12" s="31" t="e">
        <f t="shared" ref="CL12" ca="1" si="217">CK12</f>
        <v>#NAME?</v>
      </c>
      <c r="CM12" s="31" t="e">
        <f t="shared" ref="CM12" ca="1" si="218">CL12</f>
        <v>#NAME?</v>
      </c>
      <c r="CN12" s="31" t="e">
        <f t="shared" ref="CN12" ca="1" si="219">CM12</f>
        <v>#NAME?</v>
      </c>
      <c r="CO12" s="31" t="e">
        <f t="shared" ref="CO12" ca="1" si="220">CN12</f>
        <v>#NAME?</v>
      </c>
      <c r="CS12" s="30">
        <v>2.025178146849213E-2</v>
      </c>
    </row>
    <row r="13" spans="1:97" s="30" customFormat="1" x14ac:dyDescent="0.2">
      <c r="A13" s="27" t="s">
        <v>27</v>
      </c>
      <c r="B13" s="27"/>
      <c r="C13" s="27"/>
      <c r="D13" s="28" t="e">
        <f t="shared" ref="D13" ca="1" si="221">D35/C5</f>
        <v>#NAME?</v>
      </c>
      <c r="E13" s="28" t="e">
        <f t="shared" ref="E13" ca="1" si="222">E35/D5</f>
        <v>#NAME?</v>
      </c>
      <c r="F13" s="28" t="e">
        <f t="shared" ref="F13" ca="1" si="223">F35/E5</f>
        <v>#NAME?</v>
      </c>
      <c r="G13" s="28" t="e">
        <f t="shared" ref="G13" ca="1" si="224">G35/F5</f>
        <v>#NAME?</v>
      </c>
      <c r="H13" s="28" t="e">
        <f t="shared" ref="H13" ca="1" si="225">H35/G5</f>
        <v>#NAME?</v>
      </c>
      <c r="I13" s="28" t="e">
        <f t="shared" ref="I13" ca="1" si="226">I35/H5</f>
        <v>#NAME?</v>
      </c>
      <c r="J13" s="28" t="e">
        <f t="shared" ref="J13" ca="1" si="227">J35/I5</f>
        <v>#NAME?</v>
      </c>
      <c r="K13" s="28" t="e">
        <f t="shared" ref="K13" ca="1" si="228">K35/J5</f>
        <v>#NAME?</v>
      </c>
      <c r="L13" s="28" t="e">
        <f t="shared" ref="L13" ca="1" si="229">L35/K5</f>
        <v>#NAME?</v>
      </c>
      <c r="M13" s="28" t="e">
        <f t="shared" ref="M13" ca="1" si="230">M35/L5</f>
        <v>#NAME?</v>
      </c>
      <c r="N13" s="28" t="e">
        <f t="shared" ref="N13" ca="1" si="231">N35/M5</f>
        <v>#NAME?</v>
      </c>
      <c r="O13" s="28" t="e">
        <f t="shared" ref="O13" ca="1" si="232">O35/N5</f>
        <v>#NAME?</v>
      </c>
      <c r="P13" s="28" t="e">
        <f t="shared" ref="P13:Z13" ca="1" si="233">P35/O5</f>
        <v>#NAME?</v>
      </c>
      <c r="Q13" s="28" t="e">
        <f t="shared" ca="1" si="233"/>
        <v>#NAME?</v>
      </c>
      <c r="R13" s="28" t="e">
        <f t="shared" ca="1" si="233"/>
        <v>#NAME?</v>
      </c>
      <c r="S13" s="28" t="e">
        <f t="shared" ca="1" si="233"/>
        <v>#NAME?</v>
      </c>
      <c r="T13" s="28" t="e">
        <f t="shared" ca="1" si="233"/>
        <v>#NAME?</v>
      </c>
      <c r="U13" s="28" t="e">
        <f t="shared" ca="1" si="233"/>
        <v>#NAME?</v>
      </c>
      <c r="V13" s="28" t="e">
        <f t="shared" ca="1" si="233"/>
        <v>#NAME?</v>
      </c>
      <c r="W13" s="28" t="e">
        <f t="shared" ca="1" si="233"/>
        <v>#NAME?</v>
      </c>
      <c r="X13" s="28" t="e">
        <f t="shared" ca="1" si="233"/>
        <v>#NAME?</v>
      </c>
      <c r="Y13" s="28" t="e">
        <f t="shared" ca="1" si="233"/>
        <v>#NAME?</v>
      </c>
      <c r="Z13" s="28" t="e">
        <f t="shared" ca="1" si="233"/>
        <v>#NAME?</v>
      </c>
      <c r="AA13" s="29" t="e">
        <f t="shared" ref="AA13" ca="1" si="234">AA35/Z5</f>
        <v>#NAME?</v>
      </c>
      <c r="AB13" s="29" t="e">
        <f t="shared" ref="AB13" ca="1" si="235">AB35/AA5</f>
        <v>#NAME?</v>
      </c>
      <c r="AC13" s="29" t="e">
        <f t="shared" ref="AC13" ca="1" si="236">AC35/AB5</f>
        <v>#NAME?</v>
      </c>
      <c r="AD13" s="29" t="e">
        <f t="shared" ref="AD13" ca="1" si="237">AD35/AC5</f>
        <v>#NAME?</v>
      </c>
      <c r="AE13" s="29" t="e">
        <f t="shared" ref="AE13" ca="1" si="238">AE35/AD5</f>
        <v>#NAME?</v>
      </c>
      <c r="AG13" s="58"/>
      <c r="AH13" s="28" t="e">
        <f ca="1">AH35/AG5</f>
        <v>#NAME?</v>
      </c>
      <c r="AI13" s="28" t="e">
        <f t="shared" ref="AI13:BY13" ca="1" si="239">AI35/AH5</f>
        <v>#NAME?</v>
      </c>
      <c r="AJ13" s="28" t="e">
        <f t="shared" ca="1" si="239"/>
        <v>#NAME?</v>
      </c>
      <c r="AK13" s="28" t="e">
        <f t="shared" ca="1" si="239"/>
        <v>#NAME?</v>
      </c>
      <c r="AL13" s="28" t="e">
        <f t="shared" ca="1" si="239"/>
        <v>#NAME?</v>
      </c>
      <c r="AM13" s="28" t="e">
        <f t="shared" ca="1" si="239"/>
        <v>#NAME?</v>
      </c>
      <c r="AN13" s="28" t="e">
        <f t="shared" ca="1" si="239"/>
        <v>#NAME?</v>
      </c>
      <c r="AO13" s="28" t="e">
        <f t="shared" ca="1" si="239"/>
        <v>#NAME?</v>
      </c>
      <c r="AP13" s="28" t="e">
        <f t="shared" ca="1" si="239"/>
        <v>#NAME?</v>
      </c>
      <c r="AQ13" s="28" t="e">
        <f t="shared" ca="1" si="239"/>
        <v>#NAME?</v>
      </c>
      <c r="AR13" s="28" t="e">
        <f t="shared" ca="1" si="239"/>
        <v>#NAME?</v>
      </c>
      <c r="AS13" s="28" t="e">
        <f t="shared" ca="1" si="239"/>
        <v>#NAME?</v>
      </c>
      <c r="AT13" s="28" t="e">
        <f t="shared" ca="1" si="239"/>
        <v>#NAME?</v>
      </c>
      <c r="AU13" s="28" t="e">
        <f t="shared" ca="1" si="239"/>
        <v>#NAME?</v>
      </c>
      <c r="AV13" s="28" t="e">
        <f t="shared" ca="1" si="239"/>
        <v>#NAME?</v>
      </c>
      <c r="AW13" s="28" t="e">
        <f t="shared" ca="1" si="239"/>
        <v>#NAME?</v>
      </c>
      <c r="AX13" s="28" t="e">
        <f t="shared" ca="1" si="239"/>
        <v>#NAME?</v>
      </c>
      <c r="AY13" s="28" t="e">
        <f t="shared" ca="1" si="239"/>
        <v>#NAME?</v>
      </c>
      <c r="AZ13" s="28" t="e">
        <f t="shared" ca="1" si="239"/>
        <v>#NAME?</v>
      </c>
      <c r="BA13" s="28" t="e">
        <f t="shared" ca="1" si="239"/>
        <v>#NAME?</v>
      </c>
      <c r="BB13" s="28" t="e">
        <f t="shared" ca="1" si="239"/>
        <v>#NAME?</v>
      </c>
      <c r="BC13" s="28" t="e">
        <f t="shared" ca="1" si="239"/>
        <v>#NAME?</v>
      </c>
      <c r="BD13" s="28" t="e">
        <f t="shared" ca="1" si="239"/>
        <v>#NAME?</v>
      </c>
      <c r="BE13" s="28" t="e">
        <f t="shared" ca="1" si="239"/>
        <v>#NAME?</v>
      </c>
      <c r="BF13" s="28" t="e">
        <f t="shared" ca="1" si="239"/>
        <v>#NAME?</v>
      </c>
      <c r="BG13" s="28" t="e">
        <f t="shared" ca="1" si="239"/>
        <v>#NAME?</v>
      </c>
      <c r="BH13" s="28" t="e">
        <f t="shared" ca="1" si="239"/>
        <v>#NAME?</v>
      </c>
      <c r="BI13" s="28" t="e">
        <f t="shared" ca="1" si="239"/>
        <v>#NAME?</v>
      </c>
      <c r="BJ13" s="28" t="e">
        <f t="shared" ca="1" si="239"/>
        <v>#NAME?</v>
      </c>
      <c r="BK13" s="28" t="e">
        <f t="shared" ca="1" si="239"/>
        <v>#NAME?</v>
      </c>
      <c r="BL13" s="28" t="e">
        <f t="shared" ca="1" si="239"/>
        <v>#NAME?</v>
      </c>
      <c r="BM13" s="28" t="e">
        <f t="shared" ca="1" si="239"/>
        <v>#NAME?</v>
      </c>
      <c r="BN13" s="28" t="e">
        <f t="shared" ca="1" si="239"/>
        <v>#NAME?</v>
      </c>
      <c r="BO13" s="28" t="e">
        <f t="shared" ca="1" si="239"/>
        <v>#NAME?</v>
      </c>
      <c r="BP13" s="28" t="e">
        <f t="shared" ca="1" si="239"/>
        <v>#NAME?</v>
      </c>
      <c r="BQ13" s="28" t="e">
        <f t="shared" ca="1" si="239"/>
        <v>#NAME?</v>
      </c>
      <c r="BR13" s="28" t="e">
        <f t="shared" ca="1" si="239"/>
        <v>#NAME?</v>
      </c>
      <c r="BS13" s="28" t="e">
        <f t="shared" ca="1" si="239"/>
        <v>#NAME?</v>
      </c>
      <c r="BT13" s="28" t="e">
        <f t="shared" ca="1" si="239"/>
        <v>#NAME?</v>
      </c>
      <c r="BU13" s="28" t="e">
        <f t="shared" ca="1" si="239"/>
        <v>#NAME?</v>
      </c>
      <c r="BV13" s="28" t="e">
        <f t="shared" ca="1" si="239"/>
        <v>#NAME?</v>
      </c>
      <c r="BW13" s="28" t="e">
        <f t="shared" ca="1" si="239"/>
        <v>#NAME?</v>
      </c>
      <c r="BX13" s="28" t="e">
        <f t="shared" ca="1" si="239"/>
        <v>#NAME?</v>
      </c>
      <c r="BY13" s="28" t="e">
        <f t="shared" ca="1" si="239"/>
        <v>#NAME?</v>
      </c>
      <c r="BZ13" s="31" t="e">
        <f t="shared" ref="BZ13" ca="1" si="240">BY13</f>
        <v>#NAME?</v>
      </c>
      <c r="CA13" s="31" t="e">
        <f t="shared" ref="CA13" ca="1" si="241">BZ13</f>
        <v>#NAME?</v>
      </c>
      <c r="CB13" s="31" t="e">
        <f t="shared" ref="CB13" ca="1" si="242">CA13</f>
        <v>#NAME?</v>
      </c>
      <c r="CC13" s="31" t="e">
        <f t="shared" ref="CC13" ca="1" si="243">CB13</f>
        <v>#NAME?</v>
      </c>
      <c r="CD13" s="31" t="e">
        <f t="shared" ref="CD13" ca="1" si="244">CC13</f>
        <v>#NAME?</v>
      </c>
      <c r="CE13" s="31" t="e">
        <f t="shared" ref="CE13" ca="1" si="245">CD13</f>
        <v>#NAME?</v>
      </c>
      <c r="CF13" s="31" t="e">
        <f t="shared" ref="CF13" ca="1" si="246">CE13</f>
        <v>#NAME?</v>
      </c>
      <c r="CG13" s="31" t="e">
        <f t="shared" ref="CG13" ca="1" si="247">CF13</f>
        <v>#NAME?</v>
      </c>
      <c r="CH13" s="31" t="e">
        <f t="shared" ref="CH13" ca="1" si="248">CG13</f>
        <v>#NAME?</v>
      </c>
      <c r="CI13" s="31" t="e">
        <f t="shared" ref="CI13" ca="1" si="249">CH13</f>
        <v>#NAME?</v>
      </c>
      <c r="CJ13" s="31" t="e">
        <f t="shared" ref="CJ13" ca="1" si="250">CI13</f>
        <v>#NAME?</v>
      </c>
      <c r="CK13" s="31" t="e">
        <f t="shared" ref="CK13" ca="1" si="251">CJ13</f>
        <v>#NAME?</v>
      </c>
      <c r="CL13" s="31" t="e">
        <f t="shared" ref="CL13" ca="1" si="252">CK13</f>
        <v>#NAME?</v>
      </c>
      <c r="CM13" s="31" t="e">
        <f t="shared" ref="CM13" ca="1" si="253">CL13</f>
        <v>#NAME?</v>
      </c>
      <c r="CN13" s="31" t="e">
        <f t="shared" ref="CN13" ca="1" si="254">CM13</f>
        <v>#NAME?</v>
      </c>
      <c r="CO13" s="31" t="e">
        <f t="shared" ref="CO13" ca="1" si="255">CN13</f>
        <v>#NAME?</v>
      </c>
      <c r="CS13" s="30">
        <v>1.0814774485568021E-2</v>
      </c>
    </row>
    <row r="14" spans="1:97" s="30" customFormat="1" x14ac:dyDescent="0.2">
      <c r="A14" s="32" t="s">
        <v>8</v>
      </c>
      <c r="B14" s="32"/>
      <c r="C14" s="32"/>
      <c r="D14" s="28" t="e">
        <f t="shared" ref="D14:O14" ca="1" si="256">D12-D13</f>
        <v>#NAME?</v>
      </c>
      <c r="E14" s="28" t="e">
        <f t="shared" ca="1" si="256"/>
        <v>#NAME?</v>
      </c>
      <c r="F14" s="28" t="e">
        <f t="shared" ca="1" si="256"/>
        <v>#NAME?</v>
      </c>
      <c r="G14" s="28" t="e">
        <f t="shared" ca="1" si="256"/>
        <v>#NAME?</v>
      </c>
      <c r="H14" s="28" t="e">
        <f t="shared" ca="1" si="256"/>
        <v>#NAME?</v>
      </c>
      <c r="I14" s="28" t="e">
        <f t="shared" ca="1" si="256"/>
        <v>#NAME?</v>
      </c>
      <c r="J14" s="28" t="e">
        <f t="shared" ca="1" si="256"/>
        <v>#NAME?</v>
      </c>
      <c r="K14" s="28" t="e">
        <f t="shared" ca="1" si="256"/>
        <v>#NAME?</v>
      </c>
      <c r="L14" s="28" t="e">
        <f t="shared" ca="1" si="256"/>
        <v>#NAME?</v>
      </c>
      <c r="M14" s="28" t="e">
        <f t="shared" ca="1" si="256"/>
        <v>#NAME?</v>
      </c>
      <c r="N14" s="28" t="e">
        <f t="shared" ca="1" si="256"/>
        <v>#NAME?</v>
      </c>
      <c r="O14" s="28" t="e">
        <f t="shared" ca="1" si="256"/>
        <v>#NAME?</v>
      </c>
      <c r="P14" s="28" t="e">
        <f ca="1">P12-P13</f>
        <v>#NAME?</v>
      </c>
      <c r="Q14" s="28" t="e">
        <f t="shared" ref="Q14:T14" ca="1" si="257">Q12-Q13</f>
        <v>#NAME?</v>
      </c>
      <c r="R14" s="28" t="e">
        <f t="shared" ca="1" si="257"/>
        <v>#NAME?</v>
      </c>
      <c r="S14" s="28" t="e">
        <f t="shared" ca="1" si="257"/>
        <v>#NAME?</v>
      </c>
      <c r="T14" s="28" t="e">
        <f t="shared" ca="1" si="257"/>
        <v>#NAME?</v>
      </c>
      <c r="U14" s="28" t="e">
        <f t="shared" ref="U14:W14" ca="1" si="258">U12-U13</f>
        <v>#NAME?</v>
      </c>
      <c r="V14" s="28" t="e">
        <f t="shared" ca="1" si="258"/>
        <v>#NAME?</v>
      </c>
      <c r="W14" s="28" t="e">
        <f t="shared" ca="1" si="258"/>
        <v>#NAME?</v>
      </c>
      <c r="X14" s="28" t="e">
        <f t="shared" ref="X14:Y14" ca="1" si="259">X12-X13</f>
        <v>#NAME?</v>
      </c>
      <c r="Y14" s="28" t="e">
        <f t="shared" ca="1" si="259"/>
        <v>#NAME?</v>
      </c>
      <c r="Z14" s="28" t="e">
        <f t="shared" ref="Z14:AB14" ca="1" si="260">Z12-Z13</f>
        <v>#NAME?</v>
      </c>
      <c r="AA14" s="29" t="e">
        <f t="shared" ca="1" si="260"/>
        <v>#NAME?</v>
      </c>
      <c r="AB14" s="29" t="e">
        <f t="shared" ca="1" si="260"/>
        <v>#NAME?</v>
      </c>
      <c r="AC14" s="29" t="e">
        <f t="shared" ref="AC14:AE14" ca="1" si="261">AC12-AC13</f>
        <v>#NAME?</v>
      </c>
      <c r="AD14" s="29" t="e">
        <f t="shared" ca="1" si="261"/>
        <v>#NAME?</v>
      </c>
      <c r="AE14" s="29" t="e">
        <f t="shared" ca="1" si="261"/>
        <v>#NAME?</v>
      </c>
      <c r="AG14" s="58"/>
      <c r="AH14" s="28" t="e">
        <f t="shared" ref="AH14:AL14" ca="1" si="262">AH12-AH13</f>
        <v>#NAME?</v>
      </c>
      <c r="AI14" s="28" t="e">
        <f t="shared" ca="1" si="262"/>
        <v>#NAME?</v>
      </c>
      <c r="AJ14" s="28" t="e">
        <f t="shared" ca="1" si="262"/>
        <v>#NAME?</v>
      </c>
      <c r="AK14" s="28" t="e">
        <f t="shared" ca="1" si="262"/>
        <v>#NAME?</v>
      </c>
      <c r="AL14" s="28" t="e">
        <f t="shared" ca="1" si="262"/>
        <v>#NAME?</v>
      </c>
      <c r="AM14" s="28" t="e">
        <f t="shared" ref="AM14" ca="1" si="263">AM12-AM13</f>
        <v>#NAME?</v>
      </c>
      <c r="AN14" s="28" t="e">
        <f t="shared" ref="AN14" ca="1" si="264">AN12-AN13</f>
        <v>#NAME?</v>
      </c>
      <c r="AO14" s="28" t="e">
        <f t="shared" ref="AO14" ca="1" si="265">AO12-AO13</f>
        <v>#NAME?</v>
      </c>
      <c r="AP14" s="28" t="e">
        <f t="shared" ref="AP14" ca="1" si="266">AP12-AP13</f>
        <v>#NAME?</v>
      </c>
      <c r="AQ14" s="28" t="e">
        <f t="shared" ref="AQ14" ca="1" si="267">AQ12-AQ13</f>
        <v>#NAME?</v>
      </c>
      <c r="AR14" s="28" t="e">
        <f t="shared" ref="AR14" ca="1" si="268">AR12-AR13</f>
        <v>#NAME?</v>
      </c>
      <c r="AS14" s="28" t="e">
        <f t="shared" ref="AS14:AW14" ca="1" si="269">AS12-AS13</f>
        <v>#NAME?</v>
      </c>
      <c r="AT14" s="28" t="e">
        <f t="shared" ca="1" si="269"/>
        <v>#NAME?</v>
      </c>
      <c r="AU14" s="28" t="e">
        <f t="shared" ca="1" si="269"/>
        <v>#NAME?</v>
      </c>
      <c r="AV14" s="28" t="e">
        <f t="shared" ca="1" si="269"/>
        <v>#NAME?</v>
      </c>
      <c r="AW14" s="28" t="e">
        <f t="shared" ca="1" si="269"/>
        <v>#NAME?</v>
      </c>
      <c r="AX14" s="28" t="e">
        <f t="shared" ref="AX14" ca="1" si="270">AX12-AX13</f>
        <v>#NAME?</v>
      </c>
      <c r="AY14" s="28" t="e">
        <f t="shared" ref="AY14" ca="1" si="271">AY12-AY13</f>
        <v>#NAME?</v>
      </c>
      <c r="AZ14" s="28" t="e">
        <f t="shared" ref="AZ14:BA14" ca="1" si="272">AZ12-AZ13</f>
        <v>#NAME?</v>
      </c>
      <c r="BA14" s="28" t="e">
        <f t="shared" ca="1" si="272"/>
        <v>#NAME?</v>
      </c>
      <c r="BB14" s="28" t="e">
        <f t="shared" ref="BB14:BF14" ca="1" si="273">BB12-BB13</f>
        <v>#NAME?</v>
      </c>
      <c r="BC14" s="28" t="e">
        <f t="shared" ca="1" si="273"/>
        <v>#NAME?</v>
      </c>
      <c r="BD14" s="28" t="e">
        <f t="shared" ca="1" si="273"/>
        <v>#NAME?</v>
      </c>
      <c r="BE14" s="28" t="e">
        <f t="shared" ca="1" si="273"/>
        <v>#NAME?</v>
      </c>
      <c r="BF14" s="28" t="e">
        <f t="shared" ca="1" si="273"/>
        <v>#NAME?</v>
      </c>
      <c r="BG14" s="28" t="e">
        <f t="shared" ref="BG14:BH14" ca="1" si="274">BG12-BG13</f>
        <v>#NAME?</v>
      </c>
      <c r="BH14" s="28" t="e">
        <f t="shared" ca="1" si="274"/>
        <v>#NAME?</v>
      </c>
      <c r="BI14" s="28" t="e">
        <f t="shared" ref="BI14:BJ14" ca="1" si="275">BI12-BI13</f>
        <v>#NAME?</v>
      </c>
      <c r="BJ14" s="28" t="e">
        <f t="shared" ca="1" si="275"/>
        <v>#NAME?</v>
      </c>
      <c r="BK14" s="28" t="e">
        <f t="shared" ref="BK14:BR14" ca="1" si="276">BK12-BK13</f>
        <v>#NAME?</v>
      </c>
      <c r="BL14" s="28" t="e">
        <f t="shared" ca="1" si="276"/>
        <v>#NAME?</v>
      </c>
      <c r="BM14" s="28" t="e">
        <f t="shared" ca="1" si="276"/>
        <v>#NAME?</v>
      </c>
      <c r="BN14" s="28" t="e">
        <f t="shared" ca="1" si="276"/>
        <v>#NAME?</v>
      </c>
      <c r="BO14" s="28" t="e">
        <f t="shared" ca="1" si="276"/>
        <v>#NAME?</v>
      </c>
      <c r="BP14" s="28" t="e">
        <f t="shared" ca="1" si="276"/>
        <v>#NAME?</v>
      </c>
      <c r="BQ14" s="28" t="e">
        <f t="shared" ca="1" si="276"/>
        <v>#NAME?</v>
      </c>
      <c r="BR14" s="28" t="e">
        <f t="shared" ca="1" si="276"/>
        <v>#NAME?</v>
      </c>
      <c r="BS14" s="28" t="e">
        <f t="shared" ref="BS14:BT14" ca="1" si="277">BS12-BS13</f>
        <v>#NAME?</v>
      </c>
      <c r="BT14" s="28" t="e">
        <f t="shared" ca="1" si="277"/>
        <v>#NAME?</v>
      </c>
      <c r="BU14" s="28" t="e">
        <f t="shared" ref="BU14:BV14" ca="1" si="278">BU12-BU13</f>
        <v>#NAME?</v>
      </c>
      <c r="BV14" s="28" t="e">
        <f t="shared" ca="1" si="278"/>
        <v>#NAME?</v>
      </c>
      <c r="BW14" s="28" t="e">
        <f t="shared" ref="BW14:BX14" ca="1" si="279">BW12-BW13</f>
        <v>#NAME?</v>
      </c>
      <c r="BX14" s="28" t="e">
        <f t="shared" ca="1" si="279"/>
        <v>#NAME?</v>
      </c>
      <c r="BY14" s="28" t="e">
        <f t="shared" ref="BY14" ca="1" si="280">BY12-BY13</f>
        <v>#NAME?</v>
      </c>
      <c r="BZ14" s="29" t="e">
        <f t="shared" ref="BZ14:CC14" ca="1" si="281">BZ12-BZ13</f>
        <v>#NAME?</v>
      </c>
      <c r="CA14" s="29" t="e">
        <f t="shared" ca="1" si="281"/>
        <v>#NAME?</v>
      </c>
      <c r="CB14" s="29" t="e">
        <f t="shared" ca="1" si="281"/>
        <v>#NAME?</v>
      </c>
      <c r="CC14" s="29" t="e">
        <f t="shared" ca="1" si="281"/>
        <v>#NAME?</v>
      </c>
      <c r="CD14" s="29" t="e">
        <f t="shared" ref="CD14:CO14" ca="1" si="282">CD12-CD13</f>
        <v>#NAME?</v>
      </c>
      <c r="CE14" s="29" t="e">
        <f t="shared" ca="1" si="282"/>
        <v>#NAME?</v>
      </c>
      <c r="CF14" s="29" t="e">
        <f t="shared" ca="1" si="282"/>
        <v>#NAME?</v>
      </c>
      <c r="CG14" s="29" t="e">
        <f t="shared" ca="1" si="282"/>
        <v>#NAME?</v>
      </c>
      <c r="CH14" s="29" t="e">
        <f t="shared" ca="1" si="282"/>
        <v>#NAME?</v>
      </c>
      <c r="CI14" s="29" t="e">
        <f t="shared" ca="1" si="282"/>
        <v>#NAME?</v>
      </c>
      <c r="CJ14" s="29" t="e">
        <f t="shared" ca="1" si="282"/>
        <v>#NAME?</v>
      </c>
      <c r="CK14" s="29" t="e">
        <f t="shared" ca="1" si="282"/>
        <v>#NAME?</v>
      </c>
      <c r="CL14" s="29" t="e">
        <f t="shared" ca="1" si="282"/>
        <v>#NAME?</v>
      </c>
      <c r="CM14" s="29" t="e">
        <f t="shared" ca="1" si="282"/>
        <v>#NAME?</v>
      </c>
      <c r="CN14" s="29" t="e">
        <f t="shared" ca="1" si="282"/>
        <v>#NAME?</v>
      </c>
      <c r="CO14" s="29" t="e">
        <f t="shared" ca="1" si="282"/>
        <v>#NAME?</v>
      </c>
      <c r="CS14" s="30">
        <v>9.4370069829241097E-3</v>
      </c>
    </row>
    <row r="15" spans="1:97" s="30" customFormat="1" x14ac:dyDescent="0.2">
      <c r="A15" s="27" t="s">
        <v>28</v>
      </c>
      <c r="B15" s="27"/>
      <c r="C15" s="27"/>
      <c r="D15" s="28" t="e">
        <f t="shared" ref="D15" ca="1" si="283">D37/C5</f>
        <v>#NAME?</v>
      </c>
      <c r="E15" s="28" t="e">
        <f t="shared" ref="E15" ca="1" si="284">E37/D5</f>
        <v>#NAME?</v>
      </c>
      <c r="F15" s="28" t="e">
        <f t="shared" ref="F15" ca="1" si="285">F37/E5</f>
        <v>#NAME?</v>
      </c>
      <c r="G15" s="28" t="e">
        <f t="shared" ref="G15" ca="1" si="286">G37/F5</f>
        <v>#NAME?</v>
      </c>
      <c r="H15" s="28" t="e">
        <f t="shared" ref="H15" ca="1" si="287">H37/G5</f>
        <v>#NAME?</v>
      </c>
      <c r="I15" s="28" t="e">
        <f t="shared" ref="I15" ca="1" si="288">I37/H5</f>
        <v>#NAME?</v>
      </c>
      <c r="J15" s="28" t="e">
        <f t="shared" ref="J15" ca="1" si="289">J37/I5</f>
        <v>#NAME?</v>
      </c>
      <c r="K15" s="28" t="e">
        <f t="shared" ref="K15" ca="1" si="290">K37/J5</f>
        <v>#NAME?</v>
      </c>
      <c r="L15" s="28" t="e">
        <f t="shared" ref="L15" ca="1" si="291">L37/K5</f>
        <v>#NAME?</v>
      </c>
      <c r="M15" s="28" t="e">
        <f t="shared" ref="M15" ca="1" si="292">M37/L5</f>
        <v>#NAME?</v>
      </c>
      <c r="N15" s="28" t="e">
        <f t="shared" ref="N15" ca="1" si="293">N37/M5</f>
        <v>#NAME?</v>
      </c>
      <c r="O15" s="28" t="e">
        <f t="shared" ref="O15" ca="1" si="294">O37/N5</f>
        <v>#NAME?</v>
      </c>
      <c r="P15" s="28" t="e">
        <f t="shared" ref="P15:Z15" ca="1" si="295">P37/O5</f>
        <v>#NAME?</v>
      </c>
      <c r="Q15" s="28" t="e">
        <f t="shared" ca="1" si="295"/>
        <v>#NAME?</v>
      </c>
      <c r="R15" s="28" t="e">
        <f t="shared" ca="1" si="295"/>
        <v>#NAME?</v>
      </c>
      <c r="S15" s="28" t="e">
        <f t="shared" ca="1" si="295"/>
        <v>#NAME?</v>
      </c>
      <c r="T15" s="28" t="e">
        <f t="shared" ca="1" si="295"/>
        <v>#NAME?</v>
      </c>
      <c r="U15" s="28" t="e">
        <f t="shared" ca="1" si="295"/>
        <v>#NAME?</v>
      </c>
      <c r="V15" s="28" t="e">
        <f t="shared" ca="1" si="295"/>
        <v>#NAME?</v>
      </c>
      <c r="W15" s="28" t="e">
        <f t="shared" ca="1" si="295"/>
        <v>#NAME?</v>
      </c>
      <c r="X15" s="28" t="e">
        <f t="shared" ca="1" si="295"/>
        <v>#NAME?</v>
      </c>
      <c r="Y15" s="28" t="e">
        <f t="shared" ca="1" si="295"/>
        <v>#NAME?</v>
      </c>
      <c r="Z15" s="28" t="e">
        <f t="shared" ca="1" si="295"/>
        <v>#NAME?</v>
      </c>
      <c r="AA15" s="29" t="e">
        <f t="shared" ref="AA15" ca="1" si="296">AA37/Z5</f>
        <v>#NAME?</v>
      </c>
      <c r="AB15" s="29" t="e">
        <f t="shared" ref="AB15" ca="1" si="297">AB37/AA5</f>
        <v>#NAME?</v>
      </c>
      <c r="AC15" s="29" t="e">
        <f t="shared" ref="AC15" ca="1" si="298">AC37/AB5</f>
        <v>#NAME?</v>
      </c>
      <c r="AD15" s="29" t="e">
        <f t="shared" ref="AD15" ca="1" si="299">AD37/AC5</f>
        <v>#NAME?</v>
      </c>
      <c r="AE15" s="29" t="e">
        <f t="shared" ref="AE15" ca="1" si="300">AE37/AD5</f>
        <v>#NAME?</v>
      </c>
      <c r="AG15" s="58"/>
      <c r="AH15" s="28" t="e">
        <f ca="1">AH37/AG5</f>
        <v>#NAME?</v>
      </c>
      <c r="AI15" s="28" t="e">
        <f t="shared" ref="AI15:BY15" ca="1" si="301">AI37/AH5</f>
        <v>#NAME?</v>
      </c>
      <c r="AJ15" s="28" t="e">
        <f t="shared" ca="1" si="301"/>
        <v>#NAME?</v>
      </c>
      <c r="AK15" s="28" t="e">
        <f t="shared" ca="1" si="301"/>
        <v>#NAME?</v>
      </c>
      <c r="AL15" s="28" t="e">
        <f t="shared" ca="1" si="301"/>
        <v>#NAME?</v>
      </c>
      <c r="AM15" s="28" t="e">
        <f t="shared" ca="1" si="301"/>
        <v>#NAME?</v>
      </c>
      <c r="AN15" s="28" t="e">
        <f t="shared" ca="1" si="301"/>
        <v>#NAME?</v>
      </c>
      <c r="AO15" s="28" t="e">
        <f t="shared" ca="1" si="301"/>
        <v>#NAME?</v>
      </c>
      <c r="AP15" s="28" t="e">
        <f t="shared" ca="1" si="301"/>
        <v>#NAME?</v>
      </c>
      <c r="AQ15" s="28" t="e">
        <f t="shared" ca="1" si="301"/>
        <v>#NAME?</v>
      </c>
      <c r="AR15" s="28" t="e">
        <f t="shared" ca="1" si="301"/>
        <v>#NAME?</v>
      </c>
      <c r="AS15" s="28" t="e">
        <f t="shared" ca="1" si="301"/>
        <v>#NAME?</v>
      </c>
      <c r="AT15" s="28" t="e">
        <f t="shared" ca="1" si="301"/>
        <v>#NAME?</v>
      </c>
      <c r="AU15" s="28" t="e">
        <f t="shared" ca="1" si="301"/>
        <v>#NAME?</v>
      </c>
      <c r="AV15" s="28" t="e">
        <f t="shared" ca="1" si="301"/>
        <v>#NAME?</v>
      </c>
      <c r="AW15" s="28" t="e">
        <f t="shared" ca="1" si="301"/>
        <v>#NAME?</v>
      </c>
      <c r="AX15" s="28" t="e">
        <f t="shared" ca="1" si="301"/>
        <v>#NAME?</v>
      </c>
      <c r="AY15" s="28" t="e">
        <f t="shared" ca="1" si="301"/>
        <v>#NAME?</v>
      </c>
      <c r="AZ15" s="28" t="e">
        <f t="shared" ca="1" si="301"/>
        <v>#NAME?</v>
      </c>
      <c r="BA15" s="28" t="e">
        <f t="shared" ca="1" si="301"/>
        <v>#NAME?</v>
      </c>
      <c r="BB15" s="28" t="e">
        <f t="shared" ca="1" si="301"/>
        <v>#NAME?</v>
      </c>
      <c r="BC15" s="28" t="e">
        <f t="shared" ca="1" si="301"/>
        <v>#NAME?</v>
      </c>
      <c r="BD15" s="28" t="e">
        <f t="shared" ca="1" si="301"/>
        <v>#NAME?</v>
      </c>
      <c r="BE15" s="28" t="e">
        <f t="shared" ca="1" si="301"/>
        <v>#NAME?</v>
      </c>
      <c r="BF15" s="28" t="e">
        <f t="shared" ca="1" si="301"/>
        <v>#NAME?</v>
      </c>
      <c r="BG15" s="28" t="e">
        <f t="shared" ca="1" si="301"/>
        <v>#NAME?</v>
      </c>
      <c r="BH15" s="28" t="e">
        <f t="shared" ca="1" si="301"/>
        <v>#NAME?</v>
      </c>
      <c r="BI15" s="28" t="e">
        <f t="shared" ca="1" si="301"/>
        <v>#NAME?</v>
      </c>
      <c r="BJ15" s="28" t="e">
        <f t="shared" ca="1" si="301"/>
        <v>#NAME?</v>
      </c>
      <c r="BK15" s="28" t="e">
        <f t="shared" ca="1" si="301"/>
        <v>#NAME?</v>
      </c>
      <c r="BL15" s="28" t="e">
        <f t="shared" ca="1" si="301"/>
        <v>#NAME?</v>
      </c>
      <c r="BM15" s="28" t="e">
        <f t="shared" ca="1" si="301"/>
        <v>#NAME?</v>
      </c>
      <c r="BN15" s="28" t="e">
        <f t="shared" ca="1" si="301"/>
        <v>#NAME?</v>
      </c>
      <c r="BO15" s="28" t="e">
        <f t="shared" ca="1" si="301"/>
        <v>#NAME?</v>
      </c>
      <c r="BP15" s="28" t="e">
        <f t="shared" ca="1" si="301"/>
        <v>#NAME?</v>
      </c>
      <c r="BQ15" s="28" t="e">
        <f t="shared" ca="1" si="301"/>
        <v>#NAME?</v>
      </c>
      <c r="BR15" s="28" t="e">
        <f t="shared" ca="1" si="301"/>
        <v>#NAME?</v>
      </c>
      <c r="BS15" s="28" t="e">
        <f t="shared" ca="1" si="301"/>
        <v>#NAME?</v>
      </c>
      <c r="BT15" s="28" t="e">
        <f t="shared" ca="1" si="301"/>
        <v>#NAME?</v>
      </c>
      <c r="BU15" s="28" t="e">
        <f t="shared" ca="1" si="301"/>
        <v>#NAME?</v>
      </c>
      <c r="BV15" s="28" t="e">
        <f t="shared" ca="1" si="301"/>
        <v>#NAME?</v>
      </c>
      <c r="BW15" s="28" t="e">
        <f t="shared" ca="1" si="301"/>
        <v>#NAME?</v>
      </c>
      <c r="BX15" s="28" t="e">
        <f t="shared" ca="1" si="301"/>
        <v>#NAME?</v>
      </c>
      <c r="BY15" s="28" t="e">
        <f t="shared" ca="1" si="301"/>
        <v>#NAME?</v>
      </c>
      <c r="BZ15" s="31" t="e">
        <f t="shared" ref="BZ15" ca="1" si="302">BY15</f>
        <v>#NAME?</v>
      </c>
      <c r="CA15" s="31" t="e">
        <f t="shared" ref="CA15" ca="1" si="303">BZ15</f>
        <v>#NAME?</v>
      </c>
      <c r="CB15" s="31" t="e">
        <f t="shared" ref="CB15" ca="1" si="304">CA15</f>
        <v>#NAME?</v>
      </c>
      <c r="CC15" s="31" t="e">
        <f t="shared" ref="CC15" ca="1" si="305">CB15</f>
        <v>#NAME?</v>
      </c>
      <c r="CD15" s="31" t="e">
        <f t="shared" ref="CD15" ca="1" si="306">CC15</f>
        <v>#NAME?</v>
      </c>
      <c r="CE15" s="31" t="e">
        <f t="shared" ref="CE15" ca="1" si="307">CD15</f>
        <v>#NAME?</v>
      </c>
      <c r="CF15" s="31" t="e">
        <f t="shared" ref="CF15" ca="1" si="308">CE15</f>
        <v>#NAME?</v>
      </c>
      <c r="CG15" s="31" t="e">
        <f t="shared" ref="CG15" ca="1" si="309">CF15</f>
        <v>#NAME?</v>
      </c>
      <c r="CH15" s="31" t="e">
        <f t="shared" ref="CH15" ca="1" si="310">CG15</f>
        <v>#NAME?</v>
      </c>
      <c r="CI15" s="31" t="e">
        <f t="shared" ref="CI15" ca="1" si="311">CH15</f>
        <v>#NAME?</v>
      </c>
      <c r="CJ15" s="31" t="e">
        <f t="shared" ref="CJ15" ca="1" si="312">CI15</f>
        <v>#NAME?</v>
      </c>
      <c r="CK15" s="31" t="e">
        <f t="shared" ref="CK15" ca="1" si="313">CJ15</f>
        <v>#NAME?</v>
      </c>
      <c r="CL15" s="31" t="e">
        <f t="shared" ref="CL15" ca="1" si="314">CK15</f>
        <v>#NAME?</v>
      </c>
      <c r="CM15" s="31" t="e">
        <f t="shared" ref="CM15" ca="1" si="315">CL15</f>
        <v>#NAME?</v>
      </c>
      <c r="CN15" s="31" t="e">
        <f t="shared" ref="CN15" ca="1" si="316">CM15</f>
        <v>#NAME?</v>
      </c>
      <c r="CO15" s="31" t="e">
        <f t="shared" ref="CO15" ca="1" si="317">CN15</f>
        <v>#NAME?</v>
      </c>
      <c r="CS15" s="30">
        <v>2.5723804989920712E-3</v>
      </c>
    </row>
    <row r="16" spans="1:97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7" s="30" customFormat="1" x14ac:dyDescent="0.2">
      <c r="A17" s="32" t="s">
        <v>30</v>
      </c>
      <c r="B17" s="32"/>
      <c r="C17" s="32"/>
      <c r="D17" s="28" t="e">
        <f t="shared" ref="D17:O17" ca="1" si="318">D14+D15+D16</f>
        <v>#NAME?</v>
      </c>
      <c r="E17" s="28" t="e">
        <f t="shared" ca="1" si="318"/>
        <v>#NAME?</v>
      </c>
      <c r="F17" s="28" t="e">
        <f t="shared" ca="1" si="318"/>
        <v>#NAME?</v>
      </c>
      <c r="G17" s="28" t="e">
        <f t="shared" ca="1" si="318"/>
        <v>#NAME?</v>
      </c>
      <c r="H17" s="28" t="e">
        <f t="shared" ca="1" si="318"/>
        <v>#NAME?</v>
      </c>
      <c r="I17" s="28" t="e">
        <f t="shared" ca="1" si="318"/>
        <v>#NAME?</v>
      </c>
      <c r="J17" s="28" t="e">
        <f t="shared" ca="1" si="318"/>
        <v>#NAME?</v>
      </c>
      <c r="K17" s="28" t="e">
        <f t="shared" ca="1" si="318"/>
        <v>#NAME?</v>
      </c>
      <c r="L17" s="28" t="e">
        <f t="shared" ca="1" si="318"/>
        <v>#NAME?</v>
      </c>
      <c r="M17" s="28" t="e">
        <f t="shared" ca="1" si="318"/>
        <v>#NAME?</v>
      </c>
      <c r="N17" s="28" t="e">
        <f t="shared" ca="1" si="318"/>
        <v>#NAME?</v>
      </c>
      <c r="O17" s="28" t="e">
        <f t="shared" ca="1" si="318"/>
        <v>#NAME?</v>
      </c>
      <c r="P17" s="28" t="e">
        <f ca="1">P14+P15+P16</f>
        <v>#NAME?</v>
      </c>
      <c r="Q17" s="28" t="e">
        <f t="shared" ref="Q17:T17" ca="1" si="319">Q14+Q15+Q16</f>
        <v>#NAME?</v>
      </c>
      <c r="R17" s="28" t="e">
        <f t="shared" ca="1" si="319"/>
        <v>#NAME?</v>
      </c>
      <c r="S17" s="28" t="e">
        <f t="shared" ca="1" si="319"/>
        <v>#NAME?</v>
      </c>
      <c r="T17" s="28" t="e">
        <f t="shared" ca="1" si="319"/>
        <v>#NAME?</v>
      </c>
      <c r="U17" s="28" t="e">
        <f t="shared" ref="U17:W17" ca="1" si="320">U14+U15+U16</f>
        <v>#NAME?</v>
      </c>
      <c r="V17" s="28" t="e">
        <f t="shared" ca="1" si="320"/>
        <v>#NAME?</v>
      </c>
      <c r="W17" s="28" t="e">
        <f t="shared" ca="1" si="320"/>
        <v>#NAME?</v>
      </c>
      <c r="X17" s="28" t="e">
        <f t="shared" ref="X17:Y17" ca="1" si="321">X14+X15+X16</f>
        <v>#NAME?</v>
      </c>
      <c r="Y17" s="28" t="e">
        <f t="shared" ca="1" si="321"/>
        <v>#NAME?</v>
      </c>
      <c r="Z17" s="28" t="e">
        <f t="shared" ref="Z17:AB17" ca="1" si="322">Z14+Z15+Z16</f>
        <v>#NAME?</v>
      </c>
      <c r="AA17" s="29" t="e">
        <f t="shared" ca="1" si="322"/>
        <v>#NAME?</v>
      </c>
      <c r="AB17" s="29" t="e">
        <f t="shared" ca="1" si="322"/>
        <v>#NAME?</v>
      </c>
      <c r="AC17" s="29" t="e">
        <f t="shared" ref="AC17:AE17" ca="1" si="323">AC14+AC15+AC16</f>
        <v>#NAME?</v>
      </c>
      <c r="AD17" s="29" t="e">
        <f t="shared" ca="1" si="323"/>
        <v>#NAME?</v>
      </c>
      <c r="AE17" s="29" t="e">
        <f t="shared" ca="1" si="323"/>
        <v>#NAME?</v>
      </c>
      <c r="AG17" s="58"/>
      <c r="AH17" s="28" t="e">
        <f t="shared" ref="AH17:AS17" ca="1" si="324">AH14+AH15+AH16</f>
        <v>#NAME?</v>
      </c>
      <c r="AI17" s="28" t="e">
        <f t="shared" ca="1" si="324"/>
        <v>#NAME?</v>
      </c>
      <c r="AJ17" s="28" t="e">
        <f t="shared" ca="1" si="324"/>
        <v>#NAME?</v>
      </c>
      <c r="AK17" s="28" t="e">
        <f t="shared" ca="1" si="324"/>
        <v>#NAME?</v>
      </c>
      <c r="AL17" s="28" t="e">
        <f t="shared" ca="1" si="324"/>
        <v>#NAME?</v>
      </c>
      <c r="AM17" s="28" t="e">
        <f t="shared" ca="1" si="324"/>
        <v>#NAME?</v>
      </c>
      <c r="AN17" s="28" t="e">
        <f t="shared" ca="1" si="324"/>
        <v>#NAME?</v>
      </c>
      <c r="AO17" s="28" t="e">
        <f t="shared" ca="1" si="324"/>
        <v>#NAME?</v>
      </c>
      <c r="AP17" s="28" t="e">
        <f t="shared" ca="1" si="324"/>
        <v>#NAME?</v>
      </c>
      <c r="AQ17" s="28" t="e">
        <f t="shared" ca="1" si="324"/>
        <v>#NAME?</v>
      </c>
      <c r="AR17" s="28" t="e">
        <f t="shared" ca="1" si="324"/>
        <v>#NAME?</v>
      </c>
      <c r="AS17" s="28" t="e">
        <f t="shared" ca="1" si="324"/>
        <v>#NAME?</v>
      </c>
      <c r="AT17" s="28" t="e">
        <f t="shared" ref="AT17:AW17" ca="1" si="325">AT14+AT15+AT16</f>
        <v>#NAME?</v>
      </c>
      <c r="AU17" s="28" t="e">
        <f t="shared" ca="1" si="325"/>
        <v>#NAME?</v>
      </c>
      <c r="AV17" s="28" t="e">
        <f t="shared" ca="1" si="325"/>
        <v>#NAME?</v>
      </c>
      <c r="AW17" s="28" t="e">
        <f t="shared" ca="1" si="325"/>
        <v>#NAME?</v>
      </c>
      <c r="AX17" s="28" t="e">
        <f t="shared" ref="AX17" ca="1" si="326">AX14+AX15+AX16</f>
        <v>#NAME?</v>
      </c>
      <c r="AY17" s="28" t="e">
        <f t="shared" ref="AY17" ca="1" si="327">AY14+AY15+AY16</f>
        <v>#NAME?</v>
      </c>
      <c r="AZ17" s="28" t="e">
        <f t="shared" ref="AZ17:BA17" ca="1" si="328">AZ14+AZ15+AZ16</f>
        <v>#NAME?</v>
      </c>
      <c r="BA17" s="28" t="e">
        <f t="shared" ca="1" si="328"/>
        <v>#NAME?</v>
      </c>
      <c r="BB17" s="28" t="e">
        <f t="shared" ref="BB17:BF17" ca="1" si="329">BB14+BB15+BB16</f>
        <v>#NAME?</v>
      </c>
      <c r="BC17" s="28" t="e">
        <f t="shared" ca="1" si="329"/>
        <v>#NAME?</v>
      </c>
      <c r="BD17" s="28" t="e">
        <f t="shared" ca="1" si="329"/>
        <v>#NAME?</v>
      </c>
      <c r="BE17" s="28" t="e">
        <f t="shared" ca="1" si="329"/>
        <v>#NAME?</v>
      </c>
      <c r="BF17" s="28" t="e">
        <f t="shared" ca="1" si="329"/>
        <v>#NAME?</v>
      </c>
      <c r="BG17" s="28" t="e">
        <f t="shared" ref="BG17:BH17" ca="1" si="330">BG14+BG15+BG16</f>
        <v>#NAME?</v>
      </c>
      <c r="BH17" s="28" t="e">
        <f t="shared" ca="1" si="330"/>
        <v>#NAME?</v>
      </c>
      <c r="BI17" s="28" t="e">
        <f t="shared" ref="BI17:BJ17" ca="1" si="331">BI14+BI15+BI16</f>
        <v>#NAME?</v>
      </c>
      <c r="BJ17" s="28" t="e">
        <f t="shared" ca="1" si="331"/>
        <v>#NAME?</v>
      </c>
      <c r="BK17" s="28" t="e">
        <f t="shared" ref="BK17:BR17" ca="1" si="332">BK14+BK15+BK16</f>
        <v>#NAME?</v>
      </c>
      <c r="BL17" s="28" t="e">
        <f t="shared" ca="1" si="332"/>
        <v>#NAME?</v>
      </c>
      <c r="BM17" s="28" t="e">
        <f t="shared" ca="1" si="332"/>
        <v>#NAME?</v>
      </c>
      <c r="BN17" s="28" t="e">
        <f t="shared" ca="1" si="332"/>
        <v>#NAME?</v>
      </c>
      <c r="BO17" s="28" t="e">
        <f t="shared" ca="1" si="332"/>
        <v>#NAME?</v>
      </c>
      <c r="BP17" s="28" t="e">
        <f t="shared" ca="1" si="332"/>
        <v>#NAME?</v>
      </c>
      <c r="BQ17" s="28" t="e">
        <f t="shared" ca="1" si="332"/>
        <v>#NAME?</v>
      </c>
      <c r="BR17" s="28" t="e">
        <f t="shared" ca="1" si="332"/>
        <v>#NAME?</v>
      </c>
      <c r="BS17" s="28" t="e">
        <f t="shared" ref="BS17:BT17" ca="1" si="333">BS14+BS15+BS16</f>
        <v>#NAME?</v>
      </c>
      <c r="BT17" s="28" t="e">
        <f t="shared" ca="1" si="333"/>
        <v>#NAME?</v>
      </c>
      <c r="BU17" s="28" t="e">
        <f t="shared" ref="BU17:BV17" ca="1" si="334">BU14+BU15+BU16</f>
        <v>#NAME?</v>
      </c>
      <c r="BV17" s="28" t="e">
        <f t="shared" ca="1" si="334"/>
        <v>#NAME?</v>
      </c>
      <c r="BW17" s="28" t="e">
        <f t="shared" ref="BW17:BX17" ca="1" si="335">BW14+BW15+BW16</f>
        <v>#NAME?</v>
      </c>
      <c r="BX17" s="28" t="e">
        <f t="shared" ca="1" si="335"/>
        <v>#NAME?</v>
      </c>
      <c r="BY17" s="28" t="e">
        <f t="shared" ref="BY17" ca="1" si="336">BY14+BY15+BY16</f>
        <v>#NAME?</v>
      </c>
      <c r="BZ17" s="29" t="e">
        <f t="shared" ref="BZ17:CC17" ca="1" si="337">BZ14+BZ15+BZ16</f>
        <v>#NAME?</v>
      </c>
      <c r="CA17" s="29" t="e">
        <f t="shared" ca="1" si="337"/>
        <v>#NAME?</v>
      </c>
      <c r="CB17" s="29" t="e">
        <f t="shared" ca="1" si="337"/>
        <v>#NAME?</v>
      </c>
      <c r="CC17" s="29" t="e">
        <f t="shared" ca="1" si="337"/>
        <v>#NAME?</v>
      </c>
      <c r="CD17" s="29" t="e">
        <f t="shared" ref="CD17:CO17" ca="1" si="338">CD14+CD15+CD16</f>
        <v>#NAME?</v>
      </c>
      <c r="CE17" s="29" t="e">
        <f t="shared" ca="1" si="338"/>
        <v>#NAME?</v>
      </c>
      <c r="CF17" s="29" t="e">
        <f t="shared" ca="1" si="338"/>
        <v>#NAME?</v>
      </c>
      <c r="CG17" s="29" t="e">
        <f t="shared" ca="1" si="338"/>
        <v>#NAME?</v>
      </c>
      <c r="CH17" s="29" t="e">
        <f t="shared" ca="1" si="338"/>
        <v>#NAME?</v>
      </c>
      <c r="CI17" s="29" t="e">
        <f t="shared" ca="1" si="338"/>
        <v>#NAME?</v>
      </c>
      <c r="CJ17" s="29" t="e">
        <f t="shared" ca="1" si="338"/>
        <v>#NAME?</v>
      </c>
      <c r="CK17" s="29" t="e">
        <f t="shared" ca="1" si="338"/>
        <v>#NAME?</v>
      </c>
      <c r="CL17" s="29" t="e">
        <f t="shared" ca="1" si="338"/>
        <v>#NAME?</v>
      </c>
      <c r="CM17" s="29" t="e">
        <f t="shared" ca="1" si="338"/>
        <v>#NAME?</v>
      </c>
      <c r="CN17" s="29" t="e">
        <f t="shared" ca="1" si="338"/>
        <v>#NAME?</v>
      </c>
      <c r="CO17" s="29" t="e">
        <f t="shared" ca="1" si="338"/>
        <v>#NAME?</v>
      </c>
      <c r="CS17" s="30">
        <v>1.200938748191618E-2</v>
      </c>
    </row>
    <row r="18" spans="1:97" s="30" customFormat="1" x14ac:dyDescent="0.2">
      <c r="A18" s="32" t="s">
        <v>53</v>
      </c>
      <c r="B18" s="32"/>
      <c r="C18" s="32"/>
      <c r="D18" s="28" t="e">
        <f t="shared" ref="D18" ca="1" si="339">D46/C5</f>
        <v>#NAME?</v>
      </c>
      <c r="E18" s="28" t="e">
        <f t="shared" ref="E18" ca="1" si="340">E46/D5</f>
        <v>#NAME?</v>
      </c>
      <c r="F18" s="28" t="e">
        <f t="shared" ref="F18" ca="1" si="341">F46/E5</f>
        <v>#NAME?</v>
      </c>
      <c r="G18" s="28" t="e">
        <f t="shared" ref="G18" ca="1" si="342">G46/F5</f>
        <v>#NAME?</v>
      </c>
      <c r="H18" s="28" t="e">
        <f t="shared" ref="H18" ca="1" si="343">H46/G5</f>
        <v>#NAME?</v>
      </c>
      <c r="I18" s="28" t="e">
        <f t="shared" ref="I18" ca="1" si="344">I46/H5</f>
        <v>#NAME?</v>
      </c>
      <c r="J18" s="28" t="e">
        <f t="shared" ref="J18" ca="1" si="345">J46/I5</f>
        <v>#NAME?</v>
      </c>
      <c r="K18" s="28" t="e">
        <f t="shared" ref="K18" ca="1" si="346">K46/J5</f>
        <v>#NAME?</v>
      </c>
      <c r="L18" s="28" t="e">
        <f t="shared" ref="L18" ca="1" si="347">L46/K5</f>
        <v>#NAME?</v>
      </c>
      <c r="M18" s="28" t="e">
        <f t="shared" ref="M18" ca="1" si="348">M46/L5</f>
        <v>#NAME?</v>
      </c>
      <c r="N18" s="28" t="e">
        <f t="shared" ref="N18" ca="1" si="349">N46/M5</f>
        <v>#NAME?</v>
      </c>
      <c r="O18" s="28" t="e">
        <f t="shared" ref="O18" ca="1" si="350">O46/N5</f>
        <v>#NAME?</v>
      </c>
      <c r="P18" s="28" t="e">
        <f t="shared" ref="P18:Z18" ca="1" si="351">P46/O5</f>
        <v>#NAME?</v>
      </c>
      <c r="Q18" s="28" t="e">
        <f t="shared" ca="1" si="351"/>
        <v>#NAME?</v>
      </c>
      <c r="R18" s="28" t="e">
        <f t="shared" ca="1" si="351"/>
        <v>#NAME?</v>
      </c>
      <c r="S18" s="28" t="e">
        <f t="shared" ca="1" si="351"/>
        <v>#NAME?</v>
      </c>
      <c r="T18" s="28" t="e">
        <f t="shared" ca="1" si="351"/>
        <v>#NAME?</v>
      </c>
      <c r="U18" s="28" t="e">
        <f t="shared" ca="1" si="351"/>
        <v>#NAME?</v>
      </c>
      <c r="V18" s="28" t="e">
        <f t="shared" ca="1" si="351"/>
        <v>#NAME?</v>
      </c>
      <c r="W18" s="28" t="e">
        <f t="shared" ca="1" si="351"/>
        <v>#NAME?</v>
      </c>
      <c r="X18" s="28" t="e">
        <f t="shared" ca="1" si="351"/>
        <v>#NAME?</v>
      </c>
      <c r="Y18" s="28" t="e">
        <f t="shared" ca="1" si="351"/>
        <v>#NAME?</v>
      </c>
      <c r="Z18" s="28" t="e">
        <f t="shared" ca="1" si="351"/>
        <v>#NAME?</v>
      </c>
      <c r="AA18" s="29" t="e">
        <f t="shared" ref="AA18" ca="1" si="352">AA46/Z5</f>
        <v>#NAME?</v>
      </c>
      <c r="AB18" s="29" t="e">
        <f t="shared" ref="AB18" ca="1" si="353">AB46/AA5</f>
        <v>#NAME?</v>
      </c>
      <c r="AC18" s="29" t="e">
        <f t="shared" ref="AC18" ca="1" si="354">AC46/AB5</f>
        <v>#NAME?</v>
      </c>
      <c r="AD18" s="29" t="e">
        <f t="shared" ref="AD18" ca="1" si="355">AD46/AC5</f>
        <v>#NAME?</v>
      </c>
      <c r="AE18" s="29" t="e">
        <f t="shared" ref="AE18" ca="1" si="356">AE46/AD5</f>
        <v>#NAME?</v>
      </c>
      <c r="AG18" s="58"/>
      <c r="AH18" s="28" t="e">
        <f t="shared" ref="AH18" ca="1" si="357">AH46/AG5</f>
        <v>#NAME?</v>
      </c>
      <c r="AI18" s="28" t="e">
        <f t="shared" ref="AI18" ca="1" si="358">AI46/AH5</f>
        <v>#NAME?</v>
      </c>
      <c r="AJ18" s="28" t="e">
        <f t="shared" ref="AJ18" ca="1" si="359">AJ46/AI5</f>
        <v>#NAME?</v>
      </c>
      <c r="AK18" s="28" t="e">
        <f t="shared" ref="AK18" ca="1" si="360">AK46/AJ5</f>
        <v>#NAME?</v>
      </c>
      <c r="AL18" s="28" t="e">
        <f t="shared" ref="AL18" ca="1" si="361">AL46/AK5</f>
        <v>#NAME?</v>
      </c>
      <c r="AM18" s="28" t="e">
        <f t="shared" ref="AM18" ca="1" si="362">AM46/AL5</f>
        <v>#NAME?</v>
      </c>
      <c r="AN18" s="28" t="e">
        <f t="shared" ref="AN18" ca="1" si="363">AN46/AM5</f>
        <v>#NAME?</v>
      </c>
      <c r="AO18" s="28" t="e">
        <f t="shared" ref="AO18" ca="1" si="364">AO46/AN5</f>
        <v>#NAME?</v>
      </c>
      <c r="AP18" s="28" t="e">
        <f t="shared" ref="AP18" ca="1" si="365">AP46/AO5</f>
        <v>#NAME?</v>
      </c>
      <c r="AQ18" s="28" t="e">
        <f t="shared" ref="AQ18" ca="1" si="366">AQ46/AP5</f>
        <v>#NAME?</v>
      </c>
      <c r="AR18" s="28" t="e">
        <f t="shared" ref="AR18" ca="1" si="367">AR46/AQ5</f>
        <v>#NAME?</v>
      </c>
      <c r="AS18" s="28" t="e">
        <f t="shared" ref="AS18" ca="1" si="368">AS46/AR5</f>
        <v>#NAME?</v>
      </c>
      <c r="AT18" s="28" t="e">
        <f t="shared" ref="AT18:BY18" ca="1" si="369">AT46/AS5</f>
        <v>#NAME?</v>
      </c>
      <c r="AU18" s="28" t="e">
        <f t="shared" ca="1" si="369"/>
        <v>#NAME?</v>
      </c>
      <c r="AV18" s="28" t="e">
        <f t="shared" ca="1" si="369"/>
        <v>#NAME?</v>
      </c>
      <c r="AW18" s="28" t="e">
        <f t="shared" ca="1" si="369"/>
        <v>#NAME?</v>
      </c>
      <c r="AX18" s="28" t="e">
        <f t="shared" ca="1" si="369"/>
        <v>#NAME?</v>
      </c>
      <c r="AY18" s="28" t="e">
        <f t="shared" ca="1" si="369"/>
        <v>#NAME?</v>
      </c>
      <c r="AZ18" s="28" t="e">
        <f t="shared" ca="1" si="369"/>
        <v>#NAME?</v>
      </c>
      <c r="BA18" s="28" t="e">
        <f t="shared" ca="1" si="369"/>
        <v>#NAME?</v>
      </c>
      <c r="BB18" s="28" t="e">
        <f t="shared" ca="1" si="369"/>
        <v>#NAME?</v>
      </c>
      <c r="BC18" s="28" t="e">
        <f t="shared" ca="1" si="369"/>
        <v>#NAME?</v>
      </c>
      <c r="BD18" s="28" t="e">
        <f t="shared" ca="1" si="369"/>
        <v>#NAME?</v>
      </c>
      <c r="BE18" s="28" t="e">
        <f t="shared" ca="1" si="369"/>
        <v>#NAME?</v>
      </c>
      <c r="BF18" s="28" t="e">
        <f t="shared" ca="1" si="369"/>
        <v>#NAME?</v>
      </c>
      <c r="BG18" s="28" t="e">
        <f t="shared" ca="1" si="369"/>
        <v>#NAME?</v>
      </c>
      <c r="BH18" s="28" t="e">
        <f t="shared" ca="1" si="369"/>
        <v>#NAME?</v>
      </c>
      <c r="BI18" s="28" t="e">
        <f t="shared" ca="1" si="369"/>
        <v>#NAME?</v>
      </c>
      <c r="BJ18" s="28" t="e">
        <f t="shared" ca="1" si="369"/>
        <v>#NAME?</v>
      </c>
      <c r="BK18" s="28" t="e">
        <f t="shared" ca="1" si="369"/>
        <v>#NAME?</v>
      </c>
      <c r="BL18" s="28" t="e">
        <f t="shared" ca="1" si="369"/>
        <v>#NAME?</v>
      </c>
      <c r="BM18" s="28" t="e">
        <f t="shared" ca="1" si="369"/>
        <v>#NAME?</v>
      </c>
      <c r="BN18" s="28" t="e">
        <f t="shared" ca="1" si="369"/>
        <v>#NAME?</v>
      </c>
      <c r="BO18" s="28" t="e">
        <f t="shared" ca="1" si="369"/>
        <v>#NAME?</v>
      </c>
      <c r="BP18" s="28" t="e">
        <f t="shared" ca="1" si="369"/>
        <v>#NAME?</v>
      </c>
      <c r="BQ18" s="28" t="e">
        <f t="shared" ca="1" si="369"/>
        <v>#NAME?</v>
      </c>
      <c r="BR18" s="28" t="e">
        <f t="shared" ca="1" si="369"/>
        <v>#NAME?</v>
      </c>
      <c r="BS18" s="28" t="e">
        <f t="shared" ca="1" si="369"/>
        <v>#NAME?</v>
      </c>
      <c r="BT18" s="28" t="e">
        <f t="shared" ca="1" si="369"/>
        <v>#NAME?</v>
      </c>
      <c r="BU18" s="28" t="e">
        <f t="shared" ca="1" si="369"/>
        <v>#NAME?</v>
      </c>
      <c r="BV18" s="28" t="e">
        <f t="shared" ca="1" si="369"/>
        <v>#NAME?</v>
      </c>
      <c r="BW18" s="28" t="e">
        <f t="shared" ca="1" si="369"/>
        <v>#NAME?</v>
      </c>
      <c r="BX18" s="28" t="e">
        <f t="shared" ca="1" si="369"/>
        <v>#NAME?</v>
      </c>
      <c r="BY18" s="28" t="e">
        <f t="shared" ca="1" si="369"/>
        <v>#NAME?</v>
      </c>
      <c r="BZ18" s="31" t="e">
        <f t="shared" ref="BZ18" ca="1" si="370">BY18</f>
        <v>#NAME?</v>
      </c>
      <c r="CA18" s="31" t="e">
        <f t="shared" ref="CA18" ca="1" si="371">BZ18</f>
        <v>#NAME?</v>
      </c>
      <c r="CB18" s="31" t="e">
        <f t="shared" ref="CB18" ca="1" si="372">CA18</f>
        <v>#NAME?</v>
      </c>
      <c r="CC18" s="31" t="e">
        <f t="shared" ref="CC18" ca="1" si="373">CB18</f>
        <v>#NAME?</v>
      </c>
      <c r="CD18" s="31" t="e">
        <f t="shared" ref="CD18" ca="1" si="374">CC18</f>
        <v>#NAME?</v>
      </c>
      <c r="CE18" s="31" t="e">
        <f t="shared" ref="CE18" ca="1" si="375">CD18</f>
        <v>#NAME?</v>
      </c>
      <c r="CF18" s="31" t="e">
        <f t="shared" ref="CF18" ca="1" si="376">CE18</f>
        <v>#NAME?</v>
      </c>
      <c r="CG18" s="31" t="e">
        <f t="shared" ref="CG18" ca="1" si="377">CF18</f>
        <v>#NAME?</v>
      </c>
      <c r="CH18" s="31" t="e">
        <f t="shared" ref="CH18" ca="1" si="378">CG18</f>
        <v>#NAME?</v>
      </c>
      <c r="CI18" s="31" t="e">
        <f t="shared" ref="CI18" ca="1" si="379">CH18</f>
        <v>#NAME?</v>
      </c>
      <c r="CJ18" s="31" t="e">
        <f t="shared" ref="CJ18" ca="1" si="380">CI18</f>
        <v>#NAME?</v>
      </c>
      <c r="CK18" s="31" t="e">
        <f t="shared" ref="CK18" ca="1" si="381">CJ18</f>
        <v>#NAME?</v>
      </c>
      <c r="CL18" s="31" t="e">
        <f t="shared" ref="CL18" ca="1" si="382">CK18</f>
        <v>#NAME?</v>
      </c>
      <c r="CM18" s="31" t="e">
        <f t="shared" ref="CM18" ca="1" si="383">CL18</f>
        <v>#NAME?</v>
      </c>
      <c r="CN18" s="31" t="e">
        <f t="shared" ref="CN18" ca="1" si="384">CM18</f>
        <v>#NAME?</v>
      </c>
      <c r="CO18" s="31" t="e">
        <f t="shared" ref="CO18" ca="1" si="385">CN18</f>
        <v>#NAME?</v>
      </c>
      <c r="CS18" s="30">
        <v>4.4659973466035507E-3</v>
      </c>
    </row>
    <row r="19" spans="1:97" s="37" customFormat="1" x14ac:dyDescent="0.2">
      <c r="A19" s="34" t="s">
        <v>11</v>
      </c>
      <c r="B19" s="34"/>
      <c r="C19" s="34"/>
      <c r="D19" s="35" t="e">
        <f t="shared" ref="D19:O19" ca="1" si="386">D17-D18</f>
        <v>#NAME?</v>
      </c>
      <c r="E19" s="35" t="e">
        <f t="shared" ca="1" si="386"/>
        <v>#NAME?</v>
      </c>
      <c r="F19" s="35" t="e">
        <f t="shared" ca="1" si="386"/>
        <v>#NAME?</v>
      </c>
      <c r="G19" s="35" t="e">
        <f t="shared" ca="1" si="386"/>
        <v>#NAME?</v>
      </c>
      <c r="H19" s="35" t="e">
        <f t="shared" ca="1" si="386"/>
        <v>#NAME?</v>
      </c>
      <c r="I19" s="35" t="e">
        <f t="shared" ca="1" si="386"/>
        <v>#NAME?</v>
      </c>
      <c r="J19" s="35" t="e">
        <f t="shared" ca="1" si="386"/>
        <v>#NAME?</v>
      </c>
      <c r="K19" s="35" t="e">
        <f t="shared" ca="1" si="386"/>
        <v>#NAME?</v>
      </c>
      <c r="L19" s="35" t="e">
        <f t="shared" ca="1" si="386"/>
        <v>#NAME?</v>
      </c>
      <c r="M19" s="35" t="e">
        <f t="shared" ca="1" si="386"/>
        <v>#NAME?</v>
      </c>
      <c r="N19" s="35" t="e">
        <f t="shared" ca="1" si="386"/>
        <v>#NAME?</v>
      </c>
      <c r="O19" s="35" t="e">
        <f t="shared" ca="1" si="386"/>
        <v>#NAME?</v>
      </c>
      <c r="P19" s="35" t="e">
        <f ca="1">P17-P18</f>
        <v>#NAME?</v>
      </c>
      <c r="Q19" s="35" t="e">
        <f t="shared" ref="Q19:Z19" ca="1" si="387">Q17-Q18</f>
        <v>#NAME?</v>
      </c>
      <c r="R19" s="35" t="e">
        <f t="shared" ca="1" si="387"/>
        <v>#NAME?</v>
      </c>
      <c r="S19" s="35" t="e">
        <f t="shared" ca="1" si="387"/>
        <v>#NAME?</v>
      </c>
      <c r="T19" s="35" t="e">
        <f t="shared" ca="1" si="387"/>
        <v>#NAME?</v>
      </c>
      <c r="U19" s="35" t="e">
        <f t="shared" ca="1" si="387"/>
        <v>#NAME?</v>
      </c>
      <c r="V19" s="35" t="e">
        <f t="shared" ca="1" si="387"/>
        <v>#NAME?</v>
      </c>
      <c r="W19" s="35" t="e">
        <f t="shared" ca="1" si="387"/>
        <v>#NAME?</v>
      </c>
      <c r="X19" s="35" t="e">
        <f t="shared" ca="1" si="387"/>
        <v>#NAME?</v>
      </c>
      <c r="Y19" s="35" t="e">
        <f t="shared" ca="1" si="387"/>
        <v>#NAME?</v>
      </c>
      <c r="Z19" s="35" t="e">
        <f t="shared" ca="1" si="387"/>
        <v>#NAME?</v>
      </c>
      <c r="AA19" s="36" t="e">
        <f t="shared" ref="AA19" ca="1" si="388">AA17-AA18</f>
        <v>#NAME?</v>
      </c>
      <c r="AB19" s="36" t="e">
        <f t="shared" ref="AB19:AE19" ca="1" si="389">AB17-AB18</f>
        <v>#NAME?</v>
      </c>
      <c r="AC19" s="36" t="e">
        <f t="shared" ca="1" si="389"/>
        <v>#NAME?</v>
      </c>
      <c r="AD19" s="36" t="e">
        <f t="shared" ca="1" si="389"/>
        <v>#NAME?</v>
      </c>
      <c r="AE19" s="36" t="e">
        <f t="shared" ca="1" si="389"/>
        <v>#NAME?</v>
      </c>
      <c r="AG19" s="59"/>
      <c r="AH19" s="35" t="e">
        <f t="shared" ref="AH19:AS19" ca="1" si="390">AH17-AH18</f>
        <v>#NAME?</v>
      </c>
      <c r="AI19" s="35" t="e">
        <f t="shared" ca="1" si="390"/>
        <v>#NAME?</v>
      </c>
      <c r="AJ19" s="35" t="e">
        <f t="shared" ca="1" si="390"/>
        <v>#NAME?</v>
      </c>
      <c r="AK19" s="35" t="e">
        <f t="shared" ca="1" si="390"/>
        <v>#NAME?</v>
      </c>
      <c r="AL19" s="35" t="e">
        <f t="shared" ca="1" si="390"/>
        <v>#NAME?</v>
      </c>
      <c r="AM19" s="35" t="e">
        <f t="shared" ca="1" si="390"/>
        <v>#NAME?</v>
      </c>
      <c r="AN19" s="35" t="e">
        <f t="shared" ca="1" si="390"/>
        <v>#NAME?</v>
      </c>
      <c r="AO19" s="35" t="e">
        <f t="shared" ca="1" si="390"/>
        <v>#NAME?</v>
      </c>
      <c r="AP19" s="35" t="e">
        <f t="shared" ca="1" si="390"/>
        <v>#NAME?</v>
      </c>
      <c r="AQ19" s="35" t="e">
        <f t="shared" ca="1" si="390"/>
        <v>#NAME?</v>
      </c>
      <c r="AR19" s="35" t="e">
        <f t="shared" ca="1" si="390"/>
        <v>#NAME?</v>
      </c>
      <c r="AS19" s="35" t="e">
        <f t="shared" ca="1" si="390"/>
        <v>#NAME?</v>
      </c>
      <c r="AT19" s="35" t="e">
        <f t="shared" ref="AT19" ca="1" si="391">AT17-AT18</f>
        <v>#NAME?</v>
      </c>
      <c r="AU19" s="35" t="e">
        <f t="shared" ref="AU19" ca="1" si="392">AU17-AU18</f>
        <v>#NAME?</v>
      </c>
      <c r="AV19" s="35" t="e">
        <f t="shared" ref="AV19" ca="1" si="393">AV17-AV18</f>
        <v>#NAME?</v>
      </c>
      <c r="AW19" s="35" t="e">
        <f t="shared" ref="AW19" ca="1" si="394">AW17-AW18</f>
        <v>#NAME?</v>
      </c>
      <c r="AX19" s="35" t="e">
        <f t="shared" ref="AX19" ca="1" si="395">AX17-AX18</f>
        <v>#NAME?</v>
      </c>
      <c r="AY19" s="35" t="e">
        <f t="shared" ref="AY19" ca="1" si="396">AY17-AY18</f>
        <v>#NAME?</v>
      </c>
      <c r="AZ19" s="35" t="e">
        <f t="shared" ref="AZ19" ca="1" si="397">AZ17-AZ18</f>
        <v>#NAME?</v>
      </c>
      <c r="BA19" s="35" t="e">
        <f t="shared" ref="BA19" ca="1" si="398">BA17-BA18</f>
        <v>#NAME?</v>
      </c>
      <c r="BB19" s="35" t="e">
        <f t="shared" ref="BB19" ca="1" si="399">BB17-BB18</f>
        <v>#NAME?</v>
      </c>
      <c r="BC19" s="35" t="e">
        <f t="shared" ref="BC19" ca="1" si="400">BC17-BC18</f>
        <v>#NAME?</v>
      </c>
      <c r="BD19" s="35" t="e">
        <f t="shared" ref="BD19" ca="1" si="401">BD17-BD18</f>
        <v>#NAME?</v>
      </c>
      <c r="BE19" s="35" t="e">
        <f t="shared" ref="BE19" ca="1" si="402">BE17-BE18</f>
        <v>#NAME?</v>
      </c>
      <c r="BF19" s="35" t="e">
        <f t="shared" ref="BF19" ca="1" si="403">BF17-BF18</f>
        <v>#NAME?</v>
      </c>
      <c r="BG19" s="35" t="e">
        <f t="shared" ref="BG19" ca="1" si="404">BG17-BG18</f>
        <v>#NAME?</v>
      </c>
      <c r="BH19" s="35" t="e">
        <f t="shared" ref="BH19" ca="1" si="405">BH17-BH18</f>
        <v>#NAME?</v>
      </c>
      <c r="BI19" s="35" t="e">
        <f t="shared" ref="BI19" ca="1" si="406">BI17-BI18</f>
        <v>#NAME?</v>
      </c>
      <c r="BJ19" s="35" t="e">
        <f t="shared" ref="BJ19" ca="1" si="407">BJ17-BJ18</f>
        <v>#NAME?</v>
      </c>
      <c r="BK19" s="35" t="e">
        <f t="shared" ref="BK19" ca="1" si="408">BK17-BK18</f>
        <v>#NAME?</v>
      </c>
      <c r="BL19" s="35" t="e">
        <f t="shared" ref="BL19" ca="1" si="409">BL17-BL18</f>
        <v>#NAME?</v>
      </c>
      <c r="BM19" s="35" t="e">
        <f t="shared" ref="BM19" ca="1" si="410">BM17-BM18</f>
        <v>#NAME?</v>
      </c>
      <c r="BN19" s="35" t="e">
        <f t="shared" ref="BN19" ca="1" si="411">BN17-BN18</f>
        <v>#NAME?</v>
      </c>
      <c r="BO19" s="35" t="e">
        <f t="shared" ref="BO19" ca="1" si="412">BO17-BO18</f>
        <v>#NAME?</v>
      </c>
      <c r="BP19" s="35" t="e">
        <f t="shared" ref="BP19" ca="1" si="413">BP17-BP18</f>
        <v>#NAME?</v>
      </c>
      <c r="BQ19" s="35" t="e">
        <f t="shared" ref="BQ19" ca="1" si="414">BQ17-BQ18</f>
        <v>#NAME?</v>
      </c>
      <c r="BR19" s="35" t="e">
        <f t="shared" ref="BR19" ca="1" si="415">BR17-BR18</f>
        <v>#NAME?</v>
      </c>
      <c r="BS19" s="35" t="e">
        <f t="shared" ref="BS19" ca="1" si="416">BS17-BS18</f>
        <v>#NAME?</v>
      </c>
      <c r="BT19" s="35" t="e">
        <f t="shared" ref="BT19" ca="1" si="417">BT17-BT18</f>
        <v>#NAME?</v>
      </c>
      <c r="BU19" s="35" t="e">
        <f t="shared" ref="BU19:BV19" ca="1" si="418">BU17-BU18</f>
        <v>#NAME?</v>
      </c>
      <c r="BV19" s="35" t="e">
        <f t="shared" ca="1" si="418"/>
        <v>#NAME?</v>
      </c>
      <c r="BW19" s="35" t="e">
        <f t="shared" ref="BW19:BX19" ca="1" si="419">BW17-BW18</f>
        <v>#NAME?</v>
      </c>
      <c r="BX19" s="35" t="e">
        <f t="shared" ca="1" si="419"/>
        <v>#NAME?</v>
      </c>
      <c r="BY19" s="35" t="e">
        <f t="shared" ref="BY19" ca="1" si="420">BY17-BY18</f>
        <v>#NAME?</v>
      </c>
      <c r="BZ19" s="36" t="e">
        <f t="shared" ref="BZ19" ca="1" si="421">BZ17-BZ18</f>
        <v>#NAME?</v>
      </c>
      <c r="CA19" s="36" t="e">
        <f t="shared" ref="CA19" ca="1" si="422">CA17-CA18</f>
        <v>#NAME?</v>
      </c>
      <c r="CB19" s="36" t="e">
        <f t="shared" ref="CB19" ca="1" si="423">CB17-CB18</f>
        <v>#NAME?</v>
      </c>
      <c r="CC19" s="36" t="e">
        <f t="shared" ref="CC19" ca="1" si="424">CC17-CC18</f>
        <v>#NAME?</v>
      </c>
      <c r="CD19" s="36" t="e">
        <f t="shared" ref="CD19" ca="1" si="425">CD17-CD18</f>
        <v>#NAME?</v>
      </c>
      <c r="CE19" s="36" t="e">
        <f t="shared" ref="CE19" ca="1" si="426">CE17-CE18</f>
        <v>#NAME?</v>
      </c>
      <c r="CF19" s="36" t="e">
        <f t="shared" ref="CF19" ca="1" si="427">CF17-CF18</f>
        <v>#NAME?</v>
      </c>
      <c r="CG19" s="36" t="e">
        <f t="shared" ref="CG19" ca="1" si="428">CG17-CG18</f>
        <v>#NAME?</v>
      </c>
      <c r="CH19" s="36" t="e">
        <f t="shared" ref="CH19" ca="1" si="429">CH17-CH18</f>
        <v>#NAME?</v>
      </c>
      <c r="CI19" s="36" t="e">
        <f t="shared" ref="CI19" ca="1" si="430">CI17-CI18</f>
        <v>#NAME?</v>
      </c>
      <c r="CJ19" s="36" t="e">
        <f t="shared" ref="CJ19" ca="1" si="431">CJ17-CJ18</f>
        <v>#NAME?</v>
      </c>
      <c r="CK19" s="36" t="e">
        <f t="shared" ref="CK19" ca="1" si="432">CK17-CK18</f>
        <v>#NAME?</v>
      </c>
      <c r="CL19" s="36" t="e">
        <f t="shared" ref="CL19" ca="1" si="433">CL17-CL18</f>
        <v>#NAME?</v>
      </c>
      <c r="CM19" s="36" t="e">
        <f t="shared" ref="CM19" ca="1" si="434">CM17-CM18</f>
        <v>#NAME?</v>
      </c>
      <c r="CN19" s="36" t="e">
        <f t="shared" ref="CN19" ca="1" si="435">CN17-CN18</f>
        <v>#NAME?</v>
      </c>
      <c r="CO19" s="36" t="e">
        <f t="shared" ref="CO19" ca="1" si="436">CO17-CO18</f>
        <v>#NAME?</v>
      </c>
      <c r="CS19" s="37">
        <v>7.5433901353126297E-3</v>
      </c>
    </row>
    <row r="20" spans="1:97" s="95" customFormat="1" x14ac:dyDescent="0.2">
      <c r="A20" s="27" t="s">
        <v>31</v>
      </c>
      <c r="B20" s="27"/>
      <c r="C20" s="27"/>
      <c r="D20" s="93" t="e">
        <f t="shared" ref="D20" ca="1" si="437">D49/C5</f>
        <v>#NAME?</v>
      </c>
      <c r="E20" s="93" t="e">
        <f t="shared" ref="E20" ca="1" si="438">E49/D5</f>
        <v>#NAME?</v>
      </c>
      <c r="F20" s="93" t="e">
        <f t="shared" ref="F20" ca="1" si="439">F49/E5</f>
        <v>#NAME?</v>
      </c>
      <c r="G20" s="93" t="e">
        <f t="shared" ref="G20" ca="1" si="440">G49/F5</f>
        <v>#NAME?</v>
      </c>
      <c r="H20" s="93" t="e">
        <f t="shared" ref="H20" ca="1" si="441">H49/G5</f>
        <v>#NAME?</v>
      </c>
      <c r="I20" s="93" t="e">
        <f t="shared" ref="I20" ca="1" si="442">I49/H5</f>
        <v>#NAME?</v>
      </c>
      <c r="J20" s="93" t="e">
        <f t="shared" ref="J20" ca="1" si="443">J49/I5</f>
        <v>#NAME?</v>
      </c>
      <c r="K20" s="93" t="e">
        <f t="shared" ref="K20" ca="1" si="444">K49/J5</f>
        <v>#NAME?</v>
      </c>
      <c r="L20" s="93" t="e">
        <f t="shared" ref="L20" ca="1" si="445">L49/K5</f>
        <v>#NAME?</v>
      </c>
      <c r="M20" s="93" t="e">
        <f t="shared" ref="M20" ca="1" si="446">M49/L5</f>
        <v>#NAME?</v>
      </c>
      <c r="N20" s="93" t="e">
        <f t="shared" ref="N20" ca="1" si="447">N49/M5</f>
        <v>#NAME?</v>
      </c>
      <c r="O20" s="93" t="e">
        <f t="shared" ref="O20" ca="1" si="448">O49/N5</f>
        <v>#NAME?</v>
      </c>
      <c r="P20" s="93" t="e">
        <f t="shared" ref="P20:Z20" ca="1" si="449">P49/O5</f>
        <v>#NAME?</v>
      </c>
      <c r="Q20" s="93" t="e">
        <f t="shared" ca="1" si="449"/>
        <v>#NAME?</v>
      </c>
      <c r="R20" s="93" t="e">
        <f t="shared" ca="1" si="449"/>
        <v>#NAME?</v>
      </c>
      <c r="S20" s="93" t="e">
        <f t="shared" ca="1" si="449"/>
        <v>#NAME?</v>
      </c>
      <c r="T20" s="93" t="e">
        <f t="shared" ca="1" si="449"/>
        <v>#NAME?</v>
      </c>
      <c r="U20" s="93" t="e">
        <f t="shared" ca="1" si="449"/>
        <v>#NAME?</v>
      </c>
      <c r="V20" s="93" t="e">
        <f t="shared" ca="1" si="449"/>
        <v>#NAME?</v>
      </c>
      <c r="W20" s="93" t="e">
        <f t="shared" ca="1" si="449"/>
        <v>#NAME?</v>
      </c>
      <c r="X20" s="93" t="e">
        <f t="shared" ca="1" si="449"/>
        <v>#NAME?</v>
      </c>
      <c r="Y20" s="93" t="e">
        <f t="shared" ca="1" si="449"/>
        <v>#NAME?</v>
      </c>
      <c r="Z20" s="93" t="e">
        <f t="shared" ca="1" si="449"/>
        <v>#NAME?</v>
      </c>
      <c r="AA20" s="94" t="e">
        <f t="shared" ref="AA20" ca="1" si="450">AA49/Z5</f>
        <v>#NAME?</v>
      </c>
      <c r="AB20" s="94" t="e">
        <f t="shared" ref="AB20" ca="1" si="451">AB49/AA5</f>
        <v>#NAME?</v>
      </c>
      <c r="AC20" s="94" t="e">
        <f t="shared" ref="AC20" ca="1" si="452">AC49/AB5</f>
        <v>#NAME?</v>
      </c>
      <c r="AD20" s="94" t="e">
        <f t="shared" ref="AD20" ca="1" si="453">AD49/AC5</f>
        <v>#NAME?</v>
      </c>
      <c r="AE20" s="94" t="e">
        <f t="shared" ref="AE20" ca="1" si="454">AE49/AD5</f>
        <v>#NAME?</v>
      </c>
      <c r="AG20" s="65"/>
      <c r="AH20" s="93" t="e">
        <f t="shared" ref="AH20" ca="1" si="455">AH49/AG5</f>
        <v>#NAME?</v>
      </c>
      <c r="AI20" s="93" t="e">
        <f t="shared" ref="AI20" ca="1" si="456">AI49/AH5</f>
        <v>#NAME?</v>
      </c>
      <c r="AJ20" s="93" t="e">
        <f t="shared" ref="AJ20" ca="1" si="457">AJ49/AI5</f>
        <v>#NAME?</v>
      </c>
      <c r="AK20" s="93" t="e">
        <f t="shared" ref="AK20" ca="1" si="458">AK49/AJ5</f>
        <v>#NAME?</v>
      </c>
      <c r="AL20" s="93" t="e">
        <f t="shared" ref="AL20" ca="1" si="459">AL49/AK5</f>
        <v>#NAME?</v>
      </c>
      <c r="AM20" s="93" t="e">
        <f t="shared" ref="AM20" ca="1" si="460">AM49/AL5</f>
        <v>#NAME?</v>
      </c>
      <c r="AN20" s="93" t="e">
        <f t="shared" ref="AN20" ca="1" si="461">AN49/AM5</f>
        <v>#NAME?</v>
      </c>
      <c r="AO20" s="93" t="e">
        <f t="shared" ref="AO20" ca="1" si="462">AO49/AN5</f>
        <v>#NAME?</v>
      </c>
      <c r="AP20" s="93" t="e">
        <f t="shared" ref="AP20" ca="1" si="463">AP49/AO5</f>
        <v>#NAME?</v>
      </c>
      <c r="AQ20" s="93" t="e">
        <f t="shared" ref="AQ20" ca="1" si="464">AQ49/AP5</f>
        <v>#NAME?</v>
      </c>
      <c r="AR20" s="93" t="e">
        <f t="shared" ref="AR20" ca="1" si="465">AR49/AQ5</f>
        <v>#NAME?</v>
      </c>
      <c r="AS20" s="93" t="e">
        <f t="shared" ref="AS20" ca="1" si="466">AS49/AR5</f>
        <v>#NAME?</v>
      </c>
      <c r="AT20" s="93" t="e">
        <f t="shared" ref="AT20:BY20" ca="1" si="467">AT49/AS5</f>
        <v>#NAME?</v>
      </c>
      <c r="AU20" s="93" t="e">
        <f t="shared" ca="1" si="467"/>
        <v>#NAME?</v>
      </c>
      <c r="AV20" s="93" t="e">
        <f t="shared" ca="1" si="467"/>
        <v>#NAME?</v>
      </c>
      <c r="AW20" s="93" t="e">
        <f t="shared" ca="1" si="467"/>
        <v>#NAME?</v>
      </c>
      <c r="AX20" s="93" t="e">
        <f t="shared" ca="1" si="467"/>
        <v>#NAME?</v>
      </c>
      <c r="AY20" s="93" t="e">
        <f t="shared" ca="1" si="467"/>
        <v>#NAME?</v>
      </c>
      <c r="AZ20" s="93" t="e">
        <f t="shared" ca="1" si="467"/>
        <v>#NAME?</v>
      </c>
      <c r="BA20" s="93" t="e">
        <f t="shared" ca="1" si="467"/>
        <v>#NAME?</v>
      </c>
      <c r="BB20" s="93" t="e">
        <f t="shared" ca="1" si="467"/>
        <v>#NAME?</v>
      </c>
      <c r="BC20" s="93" t="e">
        <f t="shared" ca="1" si="467"/>
        <v>#NAME?</v>
      </c>
      <c r="BD20" s="93" t="e">
        <f t="shared" ca="1" si="467"/>
        <v>#NAME?</v>
      </c>
      <c r="BE20" s="93" t="e">
        <f t="shared" ca="1" si="467"/>
        <v>#NAME?</v>
      </c>
      <c r="BF20" s="93" t="e">
        <f t="shared" ca="1" si="467"/>
        <v>#NAME?</v>
      </c>
      <c r="BG20" s="93" t="e">
        <f t="shared" ca="1" si="467"/>
        <v>#NAME?</v>
      </c>
      <c r="BH20" s="93" t="e">
        <f t="shared" ca="1" si="467"/>
        <v>#NAME?</v>
      </c>
      <c r="BI20" s="93" t="e">
        <f t="shared" ca="1" si="467"/>
        <v>#NAME?</v>
      </c>
      <c r="BJ20" s="93" t="e">
        <f t="shared" ca="1" si="467"/>
        <v>#NAME?</v>
      </c>
      <c r="BK20" s="93" t="e">
        <f t="shared" ca="1" si="467"/>
        <v>#NAME?</v>
      </c>
      <c r="BL20" s="93" t="e">
        <f t="shared" ca="1" si="467"/>
        <v>#NAME?</v>
      </c>
      <c r="BM20" s="93" t="e">
        <f t="shared" ca="1" si="467"/>
        <v>#NAME?</v>
      </c>
      <c r="BN20" s="93" t="e">
        <f t="shared" ca="1" si="467"/>
        <v>#NAME?</v>
      </c>
      <c r="BO20" s="93" t="e">
        <f t="shared" ca="1" si="467"/>
        <v>#NAME?</v>
      </c>
      <c r="BP20" s="93" t="e">
        <f t="shared" ca="1" si="467"/>
        <v>#NAME?</v>
      </c>
      <c r="BQ20" s="93" t="e">
        <f t="shared" ca="1" si="467"/>
        <v>#NAME?</v>
      </c>
      <c r="BR20" s="93" t="e">
        <f t="shared" ca="1" si="467"/>
        <v>#NAME?</v>
      </c>
      <c r="BS20" s="93" t="e">
        <f t="shared" ca="1" si="467"/>
        <v>#NAME?</v>
      </c>
      <c r="BT20" s="93" t="e">
        <f t="shared" ca="1" si="467"/>
        <v>#NAME?</v>
      </c>
      <c r="BU20" s="93" t="e">
        <f t="shared" ca="1" si="467"/>
        <v>#NAME?</v>
      </c>
      <c r="BV20" s="93" t="e">
        <f t="shared" ca="1" si="467"/>
        <v>#NAME?</v>
      </c>
      <c r="BW20" s="93" t="e">
        <f t="shared" ca="1" si="467"/>
        <v>#NAME?</v>
      </c>
      <c r="BX20" s="93" t="e">
        <f t="shared" ca="1" si="467"/>
        <v>#NAME?</v>
      </c>
      <c r="BY20" s="93" t="e">
        <f t="shared" ca="1" si="467"/>
        <v>#NAME?</v>
      </c>
      <c r="BZ20" s="16" t="e">
        <f t="shared" ref="BZ20" ca="1" si="468">BY20</f>
        <v>#NAME?</v>
      </c>
      <c r="CA20" s="16" t="e">
        <f t="shared" ref="CA20" ca="1" si="469">BZ20</f>
        <v>#NAME?</v>
      </c>
      <c r="CB20" s="16" t="e">
        <f t="shared" ref="CB20" ca="1" si="470">CA20</f>
        <v>#NAME?</v>
      </c>
      <c r="CC20" s="16" t="e">
        <f t="shared" ref="CC20" ca="1" si="471">CB20</f>
        <v>#NAME?</v>
      </c>
      <c r="CD20" s="16" t="e">
        <f t="shared" ref="CD20" ca="1" si="472">CC20</f>
        <v>#NAME?</v>
      </c>
      <c r="CE20" s="16" t="e">
        <f t="shared" ref="CE20" ca="1" si="473">CD20</f>
        <v>#NAME?</v>
      </c>
      <c r="CF20" s="16" t="e">
        <f t="shared" ref="CF20" ca="1" si="474">CE20</f>
        <v>#NAME?</v>
      </c>
      <c r="CG20" s="16" t="e">
        <f t="shared" ref="CG20" ca="1" si="475">CF20</f>
        <v>#NAME?</v>
      </c>
      <c r="CH20" s="16" t="e">
        <f t="shared" ref="CH20" ca="1" si="476">CG20</f>
        <v>#NAME?</v>
      </c>
      <c r="CI20" s="16" t="e">
        <f t="shared" ref="CI20" ca="1" si="477">CH20</f>
        <v>#NAME?</v>
      </c>
      <c r="CJ20" s="16" t="e">
        <f t="shared" ref="CJ20" ca="1" si="478">CI20</f>
        <v>#NAME?</v>
      </c>
      <c r="CK20" s="16" t="e">
        <f t="shared" ref="CK20" ca="1" si="479">CJ20</f>
        <v>#NAME?</v>
      </c>
      <c r="CL20" s="16" t="e">
        <f t="shared" ref="CL20" ca="1" si="480">CK20</f>
        <v>#NAME?</v>
      </c>
      <c r="CM20" s="16" t="e">
        <f t="shared" ref="CM20" ca="1" si="481">CL20</f>
        <v>#NAME?</v>
      </c>
      <c r="CN20" s="16" t="e">
        <f t="shared" ref="CN20" ca="1" si="482">CM20</f>
        <v>#NAME?</v>
      </c>
      <c r="CO20" s="16" t="e">
        <f t="shared" ref="CO20" ca="1" si="483">CN20</f>
        <v>#NAME?</v>
      </c>
      <c r="CS20" s="95">
        <v>2.0079987946326739E-3</v>
      </c>
    </row>
    <row r="21" spans="1:97" s="30" customFormat="1" x14ac:dyDescent="0.2">
      <c r="A21" s="32" t="s">
        <v>12</v>
      </c>
      <c r="B21" s="32"/>
      <c r="C21" s="32"/>
      <c r="D21" s="28" t="e">
        <f t="shared" ref="D21:O21" ca="1" si="484">D19-D20</f>
        <v>#NAME?</v>
      </c>
      <c r="E21" s="28" t="e">
        <f t="shared" ca="1" si="484"/>
        <v>#NAME?</v>
      </c>
      <c r="F21" s="28" t="e">
        <f t="shared" ca="1" si="484"/>
        <v>#NAME?</v>
      </c>
      <c r="G21" s="28" t="e">
        <f t="shared" ca="1" si="484"/>
        <v>#NAME?</v>
      </c>
      <c r="H21" s="28" t="e">
        <f t="shared" ca="1" si="484"/>
        <v>#NAME?</v>
      </c>
      <c r="I21" s="28" t="e">
        <f t="shared" ca="1" si="484"/>
        <v>#NAME?</v>
      </c>
      <c r="J21" s="28" t="e">
        <f t="shared" ca="1" si="484"/>
        <v>#NAME?</v>
      </c>
      <c r="K21" s="28" t="e">
        <f t="shared" ca="1" si="484"/>
        <v>#NAME?</v>
      </c>
      <c r="L21" s="28" t="e">
        <f t="shared" ca="1" si="484"/>
        <v>#NAME?</v>
      </c>
      <c r="M21" s="28" t="e">
        <f t="shared" ca="1" si="484"/>
        <v>#NAME?</v>
      </c>
      <c r="N21" s="28" t="e">
        <f t="shared" ca="1" si="484"/>
        <v>#NAME?</v>
      </c>
      <c r="O21" s="28" t="e">
        <f t="shared" ca="1" si="484"/>
        <v>#NAME?</v>
      </c>
      <c r="P21" s="28" t="e">
        <f ca="1">P19-P20</f>
        <v>#NAME?</v>
      </c>
      <c r="Q21" s="28" t="e">
        <f t="shared" ref="Q21:T21" ca="1" si="485">Q19-Q20</f>
        <v>#NAME?</v>
      </c>
      <c r="R21" s="28" t="e">
        <f t="shared" ca="1" si="485"/>
        <v>#NAME?</v>
      </c>
      <c r="S21" s="28" t="e">
        <f t="shared" ca="1" si="485"/>
        <v>#NAME?</v>
      </c>
      <c r="T21" s="28" t="e">
        <f t="shared" ca="1" si="485"/>
        <v>#NAME?</v>
      </c>
      <c r="U21" s="28" t="e">
        <f t="shared" ref="U21:W21" ca="1" si="486">U19-U20</f>
        <v>#NAME?</v>
      </c>
      <c r="V21" s="28" t="e">
        <f t="shared" ca="1" si="486"/>
        <v>#NAME?</v>
      </c>
      <c r="W21" s="28" t="e">
        <f t="shared" ca="1" si="486"/>
        <v>#NAME?</v>
      </c>
      <c r="X21" s="28" t="e">
        <f t="shared" ref="X21:Y21" ca="1" si="487">X19-X20</f>
        <v>#NAME?</v>
      </c>
      <c r="Y21" s="28" t="e">
        <f t="shared" ca="1" si="487"/>
        <v>#NAME?</v>
      </c>
      <c r="Z21" s="28" t="e">
        <f t="shared" ref="Z21:AB21" ca="1" si="488">Z19-Z20</f>
        <v>#NAME?</v>
      </c>
      <c r="AA21" s="29" t="e">
        <f t="shared" ca="1" si="488"/>
        <v>#NAME?</v>
      </c>
      <c r="AB21" s="29" t="e">
        <f t="shared" ca="1" si="488"/>
        <v>#NAME?</v>
      </c>
      <c r="AC21" s="29" t="e">
        <f t="shared" ref="AC21:AE21" ca="1" si="489">AC19-AC20</f>
        <v>#NAME?</v>
      </c>
      <c r="AD21" s="29" t="e">
        <f t="shared" ca="1" si="489"/>
        <v>#NAME?</v>
      </c>
      <c r="AE21" s="29" t="e">
        <f t="shared" ca="1" si="489"/>
        <v>#NAME?</v>
      </c>
      <c r="AG21" s="58"/>
      <c r="AH21" s="28" t="e">
        <f t="shared" ref="AH21:AS21" ca="1" si="490">AH19-AH20</f>
        <v>#NAME?</v>
      </c>
      <c r="AI21" s="28" t="e">
        <f t="shared" ca="1" si="490"/>
        <v>#NAME?</v>
      </c>
      <c r="AJ21" s="28" t="e">
        <f t="shared" ca="1" si="490"/>
        <v>#NAME?</v>
      </c>
      <c r="AK21" s="28" t="e">
        <f t="shared" ca="1" si="490"/>
        <v>#NAME?</v>
      </c>
      <c r="AL21" s="28" t="e">
        <f t="shared" ca="1" si="490"/>
        <v>#NAME?</v>
      </c>
      <c r="AM21" s="28" t="e">
        <f t="shared" ca="1" si="490"/>
        <v>#NAME?</v>
      </c>
      <c r="AN21" s="28" t="e">
        <f t="shared" ca="1" si="490"/>
        <v>#NAME?</v>
      </c>
      <c r="AO21" s="28" t="e">
        <f t="shared" ca="1" si="490"/>
        <v>#NAME?</v>
      </c>
      <c r="AP21" s="28" t="e">
        <f t="shared" ca="1" si="490"/>
        <v>#NAME?</v>
      </c>
      <c r="AQ21" s="28" t="e">
        <f t="shared" ca="1" si="490"/>
        <v>#NAME?</v>
      </c>
      <c r="AR21" s="28" t="e">
        <f t="shared" ca="1" si="490"/>
        <v>#NAME?</v>
      </c>
      <c r="AS21" s="28" t="e">
        <f t="shared" ca="1" si="490"/>
        <v>#NAME?</v>
      </c>
      <c r="AT21" s="28" t="e">
        <f t="shared" ref="AT21:AW21" ca="1" si="491">AT19-AT20</f>
        <v>#NAME?</v>
      </c>
      <c r="AU21" s="28" t="e">
        <f t="shared" ca="1" si="491"/>
        <v>#NAME?</v>
      </c>
      <c r="AV21" s="28" t="e">
        <f t="shared" ca="1" si="491"/>
        <v>#NAME?</v>
      </c>
      <c r="AW21" s="28" t="e">
        <f t="shared" ca="1" si="491"/>
        <v>#NAME?</v>
      </c>
      <c r="AX21" s="28" t="e">
        <f t="shared" ref="AX21" ca="1" si="492">AX19-AX20</f>
        <v>#NAME?</v>
      </c>
      <c r="AY21" s="28" t="e">
        <f t="shared" ref="AY21" ca="1" si="493">AY19-AY20</f>
        <v>#NAME?</v>
      </c>
      <c r="AZ21" s="28" t="e">
        <f t="shared" ref="AZ21:BA21" ca="1" si="494">AZ19-AZ20</f>
        <v>#NAME?</v>
      </c>
      <c r="BA21" s="28" t="e">
        <f t="shared" ca="1" si="494"/>
        <v>#NAME?</v>
      </c>
      <c r="BB21" s="28" t="e">
        <f t="shared" ref="BB21:BF21" ca="1" si="495">BB19-BB20</f>
        <v>#NAME?</v>
      </c>
      <c r="BC21" s="28" t="e">
        <f t="shared" ca="1" si="495"/>
        <v>#NAME?</v>
      </c>
      <c r="BD21" s="28" t="e">
        <f t="shared" ca="1" si="495"/>
        <v>#NAME?</v>
      </c>
      <c r="BE21" s="28" t="e">
        <f t="shared" ca="1" si="495"/>
        <v>#NAME?</v>
      </c>
      <c r="BF21" s="28" t="e">
        <f t="shared" ca="1" si="495"/>
        <v>#NAME?</v>
      </c>
      <c r="BG21" s="28" t="e">
        <f t="shared" ref="BG21:BH21" ca="1" si="496">BG19-BG20</f>
        <v>#NAME?</v>
      </c>
      <c r="BH21" s="28" t="e">
        <f t="shared" ca="1" si="496"/>
        <v>#NAME?</v>
      </c>
      <c r="BI21" s="28" t="e">
        <f t="shared" ref="BI21:BJ21" ca="1" si="497">BI19-BI20</f>
        <v>#NAME?</v>
      </c>
      <c r="BJ21" s="28" t="e">
        <f t="shared" ca="1" si="497"/>
        <v>#NAME?</v>
      </c>
      <c r="BK21" s="28" t="e">
        <f t="shared" ref="BK21:BR21" ca="1" si="498">BK19-BK20</f>
        <v>#NAME?</v>
      </c>
      <c r="BL21" s="28" t="e">
        <f t="shared" ca="1" si="498"/>
        <v>#NAME?</v>
      </c>
      <c r="BM21" s="28" t="e">
        <f t="shared" ca="1" si="498"/>
        <v>#NAME?</v>
      </c>
      <c r="BN21" s="28" t="e">
        <f t="shared" ca="1" si="498"/>
        <v>#NAME?</v>
      </c>
      <c r="BO21" s="28" t="e">
        <f t="shared" ca="1" si="498"/>
        <v>#NAME?</v>
      </c>
      <c r="BP21" s="28" t="e">
        <f t="shared" ca="1" si="498"/>
        <v>#NAME?</v>
      </c>
      <c r="BQ21" s="28" t="e">
        <f t="shared" ca="1" si="498"/>
        <v>#NAME?</v>
      </c>
      <c r="BR21" s="28" t="e">
        <f t="shared" ca="1" si="498"/>
        <v>#NAME?</v>
      </c>
      <c r="BS21" s="28" t="e">
        <f t="shared" ref="BS21:BT21" ca="1" si="499">BS19-BS20</f>
        <v>#NAME?</v>
      </c>
      <c r="BT21" s="28" t="e">
        <f t="shared" ca="1" si="499"/>
        <v>#NAME?</v>
      </c>
      <c r="BU21" s="28" t="e">
        <f t="shared" ref="BU21:BV21" ca="1" si="500">BU19-BU20</f>
        <v>#NAME?</v>
      </c>
      <c r="BV21" s="28" t="e">
        <f t="shared" ca="1" si="500"/>
        <v>#NAME?</v>
      </c>
      <c r="BW21" s="28" t="e">
        <f t="shared" ref="BW21:BX21" ca="1" si="501">BW19-BW20</f>
        <v>#NAME?</v>
      </c>
      <c r="BX21" s="28" t="e">
        <f t="shared" ca="1" si="501"/>
        <v>#NAME?</v>
      </c>
      <c r="BY21" s="28" t="e">
        <f t="shared" ref="BY21" ca="1" si="502">BY19-BY20</f>
        <v>#NAME?</v>
      </c>
      <c r="BZ21" s="29" t="e">
        <f t="shared" ref="BZ21:CC21" ca="1" si="503">BZ19-BZ20</f>
        <v>#NAME?</v>
      </c>
      <c r="CA21" s="29" t="e">
        <f t="shared" ca="1" si="503"/>
        <v>#NAME?</v>
      </c>
      <c r="CB21" s="29" t="e">
        <f t="shared" ca="1" si="503"/>
        <v>#NAME?</v>
      </c>
      <c r="CC21" s="29" t="e">
        <f t="shared" ca="1" si="503"/>
        <v>#NAME?</v>
      </c>
      <c r="CD21" s="29" t="e">
        <f t="shared" ref="CD21:CO21" ca="1" si="504">CD19-CD20</f>
        <v>#NAME?</v>
      </c>
      <c r="CE21" s="29" t="e">
        <f t="shared" ca="1" si="504"/>
        <v>#NAME?</v>
      </c>
      <c r="CF21" s="29" t="e">
        <f t="shared" ca="1" si="504"/>
        <v>#NAME?</v>
      </c>
      <c r="CG21" s="29" t="e">
        <f t="shared" ca="1" si="504"/>
        <v>#NAME?</v>
      </c>
      <c r="CH21" s="29" t="e">
        <f t="shared" ca="1" si="504"/>
        <v>#NAME?</v>
      </c>
      <c r="CI21" s="29" t="e">
        <f t="shared" ca="1" si="504"/>
        <v>#NAME?</v>
      </c>
      <c r="CJ21" s="29" t="e">
        <f t="shared" ca="1" si="504"/>
        <v>#NAME?</v>
      </c>
      <c r="CK21" s="29" t="e">
        <f t="shared" ca="1" si="504"/>
        <v>#NAME?</v>
      </c>
      <c r="CL21" s="29" t="e">
        <f t="shared" ca="1" si="504"/>
        <v>#NAME?</v>
      </c>
      <c r="CM21" s="29" t="e">
        <f t="shared" ca="1" si="504"/>
        <v>#NAME?</v>
      </c>
      <c r="CN21" s="29" t="e">
        <f t="shared" ca="1" si="504"/>
        <v>#NAME?</v>
      </c>
      <c r="CO21" s="29" t="e">
        <f t="shared" ca="1" si="504"/>
        <v>#NAME?</v>
      </c>
      <c r="CS21" s="30">
        <v>5.5353913406799553E-3</v>
      </c>
    </row>
    <row r="22" spans="1:97" s="95" customFormat="1" x14ac:dyDescent="0.2">
      <c r="A22" s="27" t="s">
        <v>13</v>
      </c>
      <c r="B22" s="27"/>
      <c r="C22" s="27"/>
      <c r="D22" s="93" t="e">
        <f t="shared" ref="D22" ca="1" si="505">D51/C5</f>
        <v>#NAME?</v>
      </c>
      <c r="E22" s="93" t="e">
        <f t="shared" ref="E22" ca="1" si="506">E51/D5</f>
        <v>#NAME?</v>
      </c>
      <c r="F22" s="93" t="e">
        <f t="shared" ref="F22" ca="1" si="507">F51/E5</f>
        <v>#NAME?</v>
      </c>
      <c r="G22" s="93" t="e">
        <f t="shared" ref="G22" ca="1" si="508">G51/F5</f>
        <v>#NAME?</v>
      </c>
      <c r="H22" s="93" t="e">
        <f t="shared" ref="H22" ca="1" si="509">H51/G5</f>
        <v>#NAME?</v>
      </c>
      <c r="I22" s="93" t="e">
        <f t="shared" ref="I22" ca="1" si="510">I51/H5</f>
        <v>#NAME?</v>
      </c>
      <c r="J22" s="93" t="e">
        <f t="shared" ref="J22" ca="1" si="511">J51/I5</f>
        <v>#NAME?</v>
      </c>
      <c r="K22" s="93" t="e">
        <f t="shared" ref="K22" ca="1" si="512">K51/J5</f>
        <v>#NAME?</v>
      </c>
      <c r="L22" s="93" t="e">
        <f t="shared" ref="L22" ca="1" si="513">L51/K5</f>
        <v>#NAME?</v>
      </c>
      <c r="M22" s="93" t="e">
        <f t="shared" ref="M22" ca="1" si="514">M51/L5</f>
        <v>#NAME?</v>
      </c>
      <c r="N22" s="93" t="e">
        <f t="shared" ref="N22" ca="1" si="515">N51/M5</f>
        <v>#NAME?</v>
      </c>
      <c r="O22" s="93" t="e">
        <f t="shared" ref="O22" ca="1" si="516">O51/N5</f>
        <v>#NAME?</v>
      </c>
      <c r="P22" s="93" t="e">
        <f t="shared" ref="P22:Z22" ca="1" si="517">P51/O5</f>
        <v>#NAME?</v>
      </c>
      <c r="Q22" s="93" t="e">
        <f t="shared" ca="1" si="517"/>
        <v>#NAME?</v>
      </c>
      <c r="R22" s="93" t="e">
        <f t="shared" ca="1" si="517"/>
        <v>#NAME?</v>
      </c>
      <c r="S22" s="93" t="e">
        <f t="shared" ca="1" si="517"/>
        <v>#NAME?</v>
      </c>
      <c r="T22" s="93" t="e">
        <f t="shared" ca="1" si="517"/>
        <v>#NAME?</v>
      </c>
      <c r="U22" s="93" t="e">
        <f t="shared" ca="1" si="517"/>
        <v>#NAME?</v>
      </c>
      <c r="V22" s="93" t="e">
        <f t="shared" ca="1" si="517"/>
        <v>#NAME?</v>
      </c>
      <c r="W22" s="93" t="e">
        <f t="shared" ca="1" si="517"/>
        <v>#NAME?</v>
      </c>
      <c r="X22" s="93" t="e">
        <f t="shared" ca="1" si="517"/>
        <v>#NAME?</v>
      </c>
      <c r="Y22" s="93" t="e">
        <f t="shared" ca="1" si="517"/>
        <v>#NAME?</v>
      </c>
      <c r="Z22" s="93" t="e">
        <f t="shared" ca="1" si="517"/>
        <v>#NAME?</v>
      </c>
      <c r="AA22" s="94" t="e">
        <f t="shared" ref="AA22" ca="1" si="518">AA51/Z5</f>
        <v>#NAME?</v>
      </c>
      <c r="AB22" s="94" t="e">
        <f t="shared" ref="AB22" ca="1" si="519">AB51/AA5</f>
        <v>#NAME?</v>
      </c>
      <c r="AC22" s="94" t="e">
        <f t="shared" ref="AC22" ca="1" si="520">AC51/AB5</f>
        <v>#NAME?</v>
      </c>
      <c r="AD22" s="94" t="e">
        <f t="shared" ref="AD22" ca="1" si="521">AD51/AC5</f>
        <v>#NAME?</v>
      </c>
      <c r="AE22" s="94" t="e">
        <f t="shared" ref="AE22" ca="1" si="522">AE51/AD5</f>
        <v>#NAME?</v>
      </c>
      <c r="AG22" s="65"/>
      <c r="AH22" s="93" t="e">
        <f t="shared" ref="AH22" ca="1" si="523">AH51/AG5</f>
        <v>#NAME?</v>
      </c>
      <c r="AI22" s="93" t="e">
        <f t="shared" ref="AI22" ca="1" si="524">AI51/AH5</f>
        <v>#NAME?</v>
      </c>
      <c r="AJ22" s="93" t="e">
        <f t="shared" ref="AJ22" ca="1" si="525">AJ51/AI5</f>
        <v>#NAME?</v>
      </c>
      <c r="AK22" s="93" t="e">
        <f t="shared" ref="AK22" ca="1" si="526">AK51/AJ5</f>
        <v>#NAME?</v>
      </c>
      <c r="AL22" s="93" t="e">
        <f t="shared" ref="AL22" ca="1" si="527">AL51/AK5</f>
        <v>#NAME?</v>
      </c>
      <c r="AM22" s="93" t="e">
        <f t="shared" ref="AM22" ca="1" si="528">AM51/AL5</f>
        <v>#NAME?</v>
      </c>
      <c r="AN22" s="93" t="e">
        <f t="shared" ref="AN22" ca="1" si="529">AN51/AM5</f>
        <v>#NAME?</v>
      </c>
      <c r="AO22" s="93" t="e">
        <f t="shared" ref="AO22" ca="1" si="530">AO51/AN5</f>
        <v>#NAME?</v>
      </c>
      <c r="AP22" s="93" t="e">
        <f t="shared" ref="AP22" ca="1" si="531">AP51/AO5</f>
        <v>#NAME?</v>
      </c>
      <c r="AQ22" s="93" t="e">
        <f t="shared" ref="AQ22" ca="1" si="532">AQ51/AP5</f>
        <v>#NAME?</v>
      </c>
      <c r="AR22" s="93" t="e">
        <f t="shared" ref="AR22" ca="1" si="533">AR51/AQ5</f>
        <v>#NAME?</v>
      </c>
      <c r="AS22" s="93" t="e">
        <f t="shared" ref="AS22" ca="1" si="534">AS51/AR5</f>
        <v>#NAME?</v>
      </c>
      <c r="AT22" s="93" t="e">
        <f t="shared" ref="AT22:BN22" ca="1" si="535">AT51/AS5</f>
        <v>#NAME?</v>
      </c>
      <c r="AU22" s="93" t="e">
        <f t="shared" ca="1" si="535"/>
        <v>#NAME?</v>
      </c>
      <c r="AV22" s="93" t="e">
        <f t="shared" ca="1" si="535"/>
        <v>#NAME?</v>
      </c>
      <c r="AW22" s="93" t="e">
        <f t="shared" ca="1" si="535"/>
        <v>#NAME?</v>
      </c>
      <c r="AX22" s="93" t="e">
        <f t="shared" ca="1" si="535"/>
        <v>#NAME?</v>
      </c>
      <c r="AY22" s="93" t="e">
        <f t="shared" ca="1" si="535"/>
        <v>#NAME?</v>
      </c>
      <c r="AZ22" s="93" t="e">
        <f t="shared" ca="1" si="535"/>
        <v>#NAME?</v>
      </c>
      <c r="BA22" s="93" t="e">
        <f t="shared" ca="1" si="535"/>
        <v>#NAME?</v>
      </c>
      <c r="BB22" s="93" t="e">
        <f t="shared" ca="1" si="535"/>
        <v>#NAME?</v>
      </c>
      <c r="BC22" s="93" t="e">
        <f t="shared" ca="1" si="535"/>
        <v>#NAME?</v>
      </c>
      <c r="BD22" s="93" t="e">
        <f t="shared" ca="1" si="535"/>
        <v>#NAME?</v>
      </c>
      <c r="BE22" s="93" t="e">
        <f t="shared" ca="1" si="535"/>
        <v>#NAME?</v>
      </c>
      <c r="BF22" s="93" t="e">
        <f t="shared" ca="1" si="535"/>
        <v>#NAME?</v>
      </c>
      <c r="BG22" s="93" t="e">
        <f t="shared" ca="1" si="535"/>
        <v>#NAME?</v>
      </c>
      <c r="BH22" s="93" t="e">
        <f t="shared" ca="1" si="535"/>
        <v>#NAME?</v>
      </c>
      <c r="BI22" s="93" t="e">
        <f t="shared" ca="1" si="535"/>
        <v>#NAME?</v>
      </c>
      <c r="BJ22" s="93" t="e">
        <f t="shared" ca="1" si="535"/>
        <v>#NAME?</v>
      </c>
      <c r="BK22" s="93" t="e">
        <f t="shared" ca="1" si="535"/>
        <v>#NAME?</v>
      </c>
      <c r="BL22" s="93" t="e">
        <f t="shared" ca="1" si="535"/>
        <v>#NAME?</v>
      </c>
      <c r="BM22" s="93" t="e">
        <f t="shared" ca="1" si="535"/>
        <v>#NAME?</v>
      </c>
      <c r="BN22" s="93" t="e">
        <f t="shared" ca="1" si="535"/>
        <v>#NAME?</v>
      </c>
      <c r="BO22" s="93" t="e">
        <f t="shared" ref="BO22:CO22" ca="1" si="536">BO51/BN5</f>
        <v>#NAME?</v>
      </c>
      <c r="BP22" s="93" t="e">
        <f t="shared" ca="1" si="536"/>
        <v>#NAME?</v>
      </c>
      <c r="BQ22" s="93" t="e">
        <f t="shared" ca="1" si="536"/>
        <v>#NAME?</v>
      </c>
      <c r="BR22" s="93" t="e">
        <f t="shared" ca="1" si="536"/>
        <v>#NAME?</v>
      </c>
      <c r="BS22" s="93" t="e">
        <f t="shared" ca="1" si="536"/>
        <v>#NAME?</v>
      </c>
      <c r="BT22" s="93" t="e">
        <f t="shared" ca="1" si="536"/>
        <v>#NAME?</v>
      </c>
      <c r="BU22" s="93" t="e">
        <f t="shared" ca="1" si="536"/>
        <v>#NAME?</v>
      </c>
      <c r="BV22" s="93" t="e">
        <f t="shared" ca="1" si="536"/>
        <v>#NAME?</v>
      </c>
      <c r="BW22" s="93" t="e">
        <f t="shared" ca="1" si="536"/>
        <v>#NAME?</v>
      </c>
      <c r="BX22" s="93" t="e">
        <f t="shared" ca="1" si="536"/>
        <v>#NAME?</v>
      </c>
      <c r="BY22" s="93" t="e">
        <f t="shared" ca="1" si="536"/>
        <v>#NAME?</v>
      </c>
      <c r="BZ22" s="94" t="e">
        <f t="shared" ca="1" si="536"/>
        <v>#NAME?</v>
      </c>
      <c r="CA22" s="94" t="e">
        <f t="shared" ca="1" si="536"/>
        <v>#NAME?</v>
      </c>
      <c r="CB22" s="94" t="e">
        <f t="shared" ca="1" si="536"/>
        <v>#NAME?</v>
      </c>
      <c r="CC22" s="94" t="e">
        <f t="shared" ca="1" si="536"/>
        <v>#NAME?</v>
      </c>
      <c r="CD22" s="94" t="e">
        <f t="shared" ca="1" si="536"/>
        <v>#NAME?</v>
      </c>
      <c r="CE22" s="94" t="e">
        <f t="shared" ca="1" si="536"/>
        <v>#NAME?</v>
      </c>
      <c r="CF22" s="94" t="e">
        <f t="shared" ca="1" si="536"/>
        <v>#NAME?</v>
      </c>
      <c r="CG22" s="94" t="e">
        <f t="shared" ca="1" si="536"/>
        <v>#NAME?</v>
      </c>
      <c r="CH22" s="94" t="e">
        <f t="shared" ca="1" si="536"/>
        <v>#NAME?</v>
      </c>
      <c r="CI22" s="94" t="e">
        <f t="shared" ca="1" si="536"/>
        <v>#NAME?</v>
      </c>
      <c r="CJ22" s="94" t="e">
        <f t="shared" ca="1" si="536"/>
        <v>#NAME?</v>
      </c>
      <c r="CK22" s="94" t="e">
        <f t="shared" ca="1" si="536"/>
        <v>#NAME?</v>
      </c>
      <c r="CL22" s="94" t="e">
        <f t="shared" ca="1" si="536"/>
        <v>#NAME?</v>
      </c>
      <c r="CM22" s="94" t="e">
        <f t="shared" ca="1" si="536"/>
        <v>#NAME?</v>
      </c>
      <c r="CN22" s="94" t="e">
        <f t="shared" ca="1" si="536"/>
        <v>#NAME?</v>
      </c>
      <c r="CO22" s="94" t="e">
        <f t="shared" ca="1" si="536"/>
        <v>#NAME?</v>
      </c>
      <c r="CS22" s="95">
        <v>1.4392017485767886E-3</v>
      </c>
    </row>
    <row r="23" spans="1:97" s="30" customFormat="1" x14ac:dyDescent="0.2">
      <c r="A23" s="32" t="s">
        <v>14</v>
      </c>
      <c r="B23" s="32"/>
      <c r="C23" s="32"/>
      <c r="D23" s="28" t="e">
        <f t="shared" ref="D23:O23" ca="1" si="537">D21-D22</f>
        <v>#NAME?</v>
      </c>
      <c r="E23" s="28" t="e">
        <f t="shared" ca="1" si="537"/>
        <v>#NAME?</v>
      </c>
      <c r="F23" s="28" t="e">
        <f t="shared" ca="1" si="537"/>
        <v>#NAME?</v>
      </c>
      <c r="G23" s="28" t="e">
        <f t="shared" ca="1" si="537"/>
        <v>#NAME?</v>
      </c>
      <c r="H23" s="28" t="e">
        <f t="shared" ca="1" si="537"/>
        <v>#NAME?</v>
      </c>
      <c r="I23" s="28" t="e">
        <f t="shared" ca="1" si="537"/>
        <v>#NAME?</v>
      </c>
      <c r="J23" s="28" t="e">
        <f t="shared" ca="1" si="537"/>
        <v>#NAME?</v>
      </c>
      <c r="K23" s="28" t="e">
        <f t="shared" ca="1" si="537"/>
        <v>#NAME?</v>
      </c>
      <c r="L23" s="28" t="e">
        <f t="shared" ca="1" si="537"/>
        <v>#NAME?</v>
      </c>
      <c r="M23" s="28" t="e">
        <f t="shared" ca="1" si="537"/>
        <v>#NAME?</v>
      </c>
      <c r="N23" s="28" t="e">
        <f t="shared" ca="1" si="537"/>
        <v>#NAME?</v>
      </c>
      <c r="O23" s="28" t="e">
        <f t="shared" ca="1" si="537"/>
        <v>#NAME?</v>
      </c>
      <c r="P23" s="28" t="e">
        <f ca="1">P21-P22</f>
        <v>#NAME?</v>
      </c>
      <c r="Q23" s="28" t="e">
        <f t="shared" ref="Q23:T23" ca="1" si="538">Q21-Q22</f>
        <v>#NAME?</v>
      </c>
      <c r="R23" s="28" t="e">
        <f t="shared" ca="1" si="538"/>
        <v>#NAME?</v>
      </c>
      <c r="S23" s="28" t="e">
        <f t="shared" ca="1" si="538"/>
        <v>#NAME?</v>
      </c>
      <c r="T23" s="28" t="e">
        <f t="shared" ca="1" si="538"/>
        <v>#NAME?</v>
      </c>
      <c r="U23" s="28" t="e">
        <f t="shared" ref="U23:W23" ca="1" si="539">U21-U22</f>
        <v>#NAME?</v>
      </c>
      <c r="V23" s="28" t="e">
        <f t="shared" ca="1" si="539"/>
        <v>#NAME?</v>
      </c>
      <c r="W23" s="28" t="e">
        <f t="shared" ca="1" si="539"/>
        <v>#NAME?</v>
      </c>
      <c r="X23" s="28" t="e">
        <f t="shared" ref="X23:Y23" ca="1" si="540">X21-X22</f>
        <v>#NAME?</v>
      </c>
      <c r="Y23" s="28" t="e">
        <f t="shared" ca="1" si="540"/>
        <v>#NAME?</v>
      </c>
      <c r="Z23" s="28" t="e">
        <f t="shared" ref="Z23:AB23" ca="1" si="541">Z21-Z22</f>
        <v>#NAME?</v>
      </c>
      <c r="AA23" s="29" t="e">
        <f t="shared" ca="1" si="541"/>
        <v>#NAME?</v>
      </c>
      <c r="AB23" s="29" t="e">
        <f t="shared" ca="1" si="541"/>
        <v>#NAME?</v>
      </c>
      <c r="AC23" s="29" t="e">
        <f t="shared" ref="AC23:AE23" ca="1" si="542">AC21-AC22</f>
        <v>#NAME?</v>
      </c>
      <c r="AD23" s="29" t="e">
        <f t="shared" ca="1" si="542"/>
        <v>#NAME?</v>
      </c>
      <c r="AE23" s="29" t="e">
        <f t="shared" ca="1" si="542"/>
        <v>#NAME?</v>
      </c>
      <c r="AG23" s="58"/>
      <c r="AH23" s="28" t="e">
        <f t="shared" ref="AH23:AS23" ca="1" si="543">AH21-AH22</f>
        <v>#NAME?</v>
      </c>
      <c r="AI23" s="28" t="e">
        <f t="shared" ca="1" si="543"/>
        <v>#NAME?</v>
      </c>
      <c r="AJ23" s="28" t="e">
        <f t="shared" ca="1" si="543"/>
        <v>#NAME?</v>
      </c>
      <c r="AK23" s="28" t="e">
        <f t="shared" ca="1" si="543"/>
        <v>#NAME?</v>
      </c>
      <c r="AL23" s="28" t="e">
        <f t="shared" ca="1" si="543"/>
        <v>#NAME?</v>
      </c>
      <c r="AM23" s="28" t="e">
        <f t="shared" ca="1" si="543"/>
        <v>#NAME?</v>
      </c>
      <c r="AN23" s="28" t="e">
        <f t="shared" ca="1" si="543"/>
        <v>#NAME?</v>
      </c>
      <c r="AO23" s="28" t="e">
        <f t="shared" ca="1" si="543"/>
        <v>#NAME?</v>
      </c>
      <c r="AP23" s="28" t="e">
        <f t="shared" ca="1" si="543"/>
        <v>#NAME?</v>
      </c>
      <c r="AQ23" s="28" t="e">
        <f t="shared" ca="1" si="543"/>
        <v>#NAME?</v>
      </c>
      <c r="AR23" s="28" t="e">
        <f t="shared" ca="1" si="543"/>
        <v>#NAME?</v>
      </c>
      <c r="AS23" s="28" t="e">
        <f t="shared" ca="1" si="543"/>
        <v>#NAME?</v>
      </c>
      <c r="AT23" s="28" t="e">
        <f t="shared" ref="AT23:AW23" ca="1" si="544">AT21-AT22</f>
        <v>#NAME?</v>
      </c>
      <c r="AU23" s="28" t="e">
        <f t="shared" ca="1" si="544"/>
        <v>#NAME?</v>
      </c>
      <c r="AV23" s="28" t="e">
        <f t="shared" ca="1" si="544"/>
        <v>#NAME?</v>
      </c>
      <c r="AW23" s="28" t="e">
        <f t="shared" ca="1" si="544"/>
        <v>#NAME?</v>
      </c>
      <c r="AX23" s="28" t="e">
        <f t="shared" ref="AX23" ca="1" si="545">AX21-AX22</f>
        <v>#NAME?</v>
      </c>
      <c r="AY23" s="28" t="e">
        <f t="shared" ref="AY23" ca="1" si="546">AY21-AY22</f>
        <v>#NAME?</v>
      </c>
      <c r="AZ23" s="28" t="e">
        <f t="shared" ref="AZ23:BA23" ca="1" si="547">AZ21-AZ22</f>
        <v>#NAME?</v>
      </c>
      <c r="BA23" s="28" t="e">
        <f t="shared" ca="1" si="547"/>
        <v>#NAME?</v>
      </c>
      <c r="BB23" s="28" t="e">
        <f t="shared" ref="BB23:BF23" ca="1" si="548">BB21-BB22</f>
        <v>#NAME?</v>
      </c>
      <c r="BC23" s="28" t="e">
        <f t="shared" ca="1" si="548"/>
        <v>#NAME?</v>
      </c>
      <c r="BD23" s="28" t="e">
        <f t="shared" ca="1" si="548"/>
        <v>#NAME?</v>
      </c>
      <c r="BE23" s="28" t="e">
        <f t="shared" ca="1" si="548"/>
        <v>#NAME?</v>
      </c>
      <c r="BF23" s="28" t="e">
        <f t="shared" ca="1" si="548"/>
        <v>#NAME?</v>
      </c>
      <c r="BG23" s="28" t="e">
        <f t="shared" ref="BG23:BH23" ca="1" si="549">BG21-BG22</f>
        <v>#NAME?</v>
      </c>
      <c r="BH23" s="28" t="e">
        <f t="shared" ca="1" si="549"/>
        <v>#NAME?</v>
      </c>
      <c r="BI23" s="28" t="e">
        <f t="shared" ref="BI23:BJ23" ca="1" si="550">BI21-BI22</f>
        <v>#NAME?</v>
      </c>
      <c r="BJ23" s="28" t="e">
        <f t="shared" ca="1" si="550"/>
        <v>#NAME?</v>
      </c>
      <c r="BK23" s="28" t="e">
        <f t="shared" ref="BK23:BR23" ca="1" si="551">BK21-BK22</f>
        <v>#NAME?</v>
      </c>
      <c r="BL23" s="28" t="e">
        <f t="shared" ca="1" si="551"/>
        <v>#NAME?</v>
      </c>
      <c r="BM23" s="28" t="e">
        <f t="shared" ca="1" si="551"/>
        <v>#NAME?</v>
      </c>
      <c r="BN23" s="28" t="e">
        <f t="shared" ca="1" si="551"/>
        <v>#NAME?</v>
      </c>
      <c r="BO23" s="28" t="e">
        <f t="shared" ca="1" si="551"/>
        <v>#NAME?</v>
      </c>
      <c r="BP23" s="28" t="e">
        <f t="shared" ca="1" si="551"/>
        <v>#NAME?</v>
      </c>
      <c r="BQ23" s="28" t="e">
        <f t="shared" ca="1" si="551"/>
        <v>#NAME?</v>
      </c>
      <c r="BR23" s="28" t="e">
        <f t="shared" ca="1" si="551"/>
        <v>#NAME?</v>
      </c>
      <c r="BS23" s="28" t="e">
        <f t="shared" ref="BS23:BT23" ca="1" si="552">BS21-BS22</f>
        <v>#NAME?</v>
      </c>
      <c r="BT23" s="28" t="e">
        <f t="shared" ca="1" si="552"/>
        <v>#NAME?</v>
      </c>
      <c r="BU23" s="28" t="e">
        <f t="shared" ref="BU23:BV23" ca="1" si="553">BU21-BU22</f>
        <v>#NAME?</v>
      </c>
      <c r="BV23" s="28" t="e">
        <f t="shared" ca="1" si="553"/>
        <v>#NAME?</v>
      </c>
      <c r="BW23" s="28" t="e">
        <f t="shared" ref="BW23:BX23" ca="1" si="554">BW21-BW22</f>
        <v>#NAME?</v>
      </c>
      <c r="BX23" s="28" t="e">
        <f t="shared" ca="1" si="554"/>
        <v>#NAME?</v>
      </c>
      <c r="BY23" s="28" t="e">
        <f t="shared" ref="BY23" ca="1" si="555">BY21-BY22</f>
        <v>#NAME?</v>
      </c>
      <c r="BZ23" s="29" t="e">
        <f t="shared" ref="BZ23:CC23" ca="1" si="556">BZ21-BZ22</f>
        <v>#NAME?</v>
      </c>
      <c r="CA23" s="29" t="e">
        <f t="shared" ca="1" si="556"/>
        <v>#NAME?</v>
      </c>
      <c r="CB23" s="29" t="e">
        <f t="shared" ca="1" si="556"/>
        <v>#NAME?</v>
      </c>
      <c r="CC23" s="29" t="e">
        <f t="shared" ca="1" si="556"/>
        <v>#NAME?</v>
      </c>
      <c r="CD23" s="29" t="e">
        <f t="shared" ref="CD23:CO23" ca="1" si="557">CD21-CD22</f>
        <v>#NAME?</v>
      </c>
      <c r="CE23" s="29" t="e">
        <f t="shared" ca="1" si="557"/>
        <v>#NAME?</v>
      </c>
      <c r="CF23" s="29" t="e">
        <f t="shared" ca="1" si="557"/>
        <v>#NAME?</v>
      </c>
      <c r="CG23" s="29" t="e">
        <f t="shared" ca="1" si="557"/>
        <v>#NAME?</v>
      </c>
      <c r="CH23" s="29" t="e">
        <f t="shared" ca="1" si="557"/>
        <v>#NAME?</v>
      </c>
      <c r="CI23" s="29" t="e">
        <f t="shared" ca="1" si="557"/>
        <v>#NAME?</v>
      </c>
      <c r="CJ23" s="29" t="e">
        <f t="shared" ca="1" si="557"/>
        <v>#NAME?</v>
      </c>
      <c r="CK23" s="29" t="e">
        <f t="shared" ca="1" si="557"/>
        <v>#NAME?</v>
      </c>
      <c r="CL23" s="29" t="e">
        <f t="shared" ca="1" si="557"/>
        <v>#NAME?</v>
      </c>
      <c r="CM23" s="29" t="e">
        <f t="shared" ca="1" si="557"/>
        <v>#NAME?</v>
      </c>
      <c r="CN23" s="29" t="e">
        <f t="shared" ca="1" si="557"/>
        <v>#NAME?</v>
      </c>
      <c r="CO23" s="29" t="e">
        <f t="shared" ca="1" si="557"/>
        <v>#NAME?</v>
      </c>
      <c r="CS23" s="30">
        <v>4.0961895921031669E-3</v>
      </c>
    </row>
    <row r="24" spans="1:97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R24" s="166" t="e">
        <f t="shared" ref="BR24:BX24" ca="1" si="558">+BR23*4</f>
        <v>#NAME?</v>
      </c>
      <c r="BS24" s="166" t="e">
        <f t="shared" ca="1" si="558"/>
        <v>#NAME?</v>
      </c>
      <c r="BT24" s="166" t="e">
        <f t="shared" ca="1" si="558"/>
        <v>#NAME?</v>
      </c>
      <c r="BU24" s="166" t="e">
        <f t="shared" ca="1" si="558"/>
        <v>#NAME?</v>
      </c>
      <c r="BV24" s="166" t="e">
        <f t="shared" ca="1" si="558"/>
        <v>#NAME?</v>
      </c>
      <c r="BW24" s="166" t="e">
        <f t="shared" ca="1" si="558"/>
        <v>#NAME?</v>
      </c>
      <c r="BX24" s="166" t="e">
        <f t="shared" ca="1" si="558"/>
        <v>#NAME?</v>
      </c>
      <c r="BY24" s="166" t="e">
        <f ca="1">+BY23*4</f>
        <v>#NAME?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7" s="4" customFormat="1" x14ac:dyDescent="0.2">
      <c r="A25" s="6" t="s">
        <v>397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7" s="143" customFormat="1" x14ac:dyDescent="0.2">
      <c r="A26" s="141" t="s">
        <v>120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2"/>
      <c r="AB26" s="142"/>
      <c r="AC26" s="142"/>
      <c r="AD26" s="142"/>
      <c r="AE26" s="142"/>
      <c r="AG26" s="144"/>
      <c r="BH26" s="143">
        <v>186614</v>
      </c>
      <c r="BI26" s="143">
        <v>202294</v>
      </c>
      <c r="BJ26" s="143">
        <v>195909</v>
      </c>
      <c r="BK26" s="143">
        <v>195849</v>
      </c>
      <c r="BL26" s="143">
        <v>208436</v>
      </c>
      <c r="BM26" s="143">
        <v>234092</v>
      </c>
      <c r="BN26" s="143">
        <v>244364</v>
      </c>
      <c r="BO26" s="143">
        <v>239306</v>
      </c>
      <c r="BP26" s="143">
        <v>245738</v>
      </c>
      <c r="BQ26" s="143">
        <v>270727</v>
      </c>
      <c r="BR26" s="143">
        <v>267423</v>
      </c>
      <c r="BS26" s="143">
        <v>276289</v>
      </c>
      <c r="BT26" s="143">
        <v>279018</v>
      </c>
      <c r="BU26" s="143">
        <v>307152</v>
      </c>
      <c r="BV26" s="143">
        <v>305046</v>
      </c>
      <c r="BW26" s="143">
        <v>309800</v>
      </c>
      <c r="BX26" s="143">
        <v>321695</v>
      </c>
      <c r="BY26" s="143">
        <v>321695</v>
      </c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</row>
    <row r="27" spans="1:97" s="143" customFormat="1" x14ac:dyDescent="0.2">
      <c r="A27" s="141" t="s">
        <v>50</v>
      </c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2"/>
      <c r="AB27" s="142"/>
      <c r="AC27" s="142"/>
      <c r="AD27" s="142"/>
      <c r="AE27" s="142"/>
      <c r="AG27" s="144"/>
      <c r="BH27" s="143">
        <v>129006</v>
      </c>
      <c r="BI27" s="143">
        <v>135240</v>
      </c>
      <c r="BJ27" s="143">
        <v>140561</v>
      </c>
      <c r="BK27" s="143">
        <v>148216</v>
      </c>
      <c r="BL27" s="143">
        <v>157139</v>
      </c>
      <c r="BM27" s="143">
        <v>175255</v>
      </c>
      <c r="BN27" s="143">
        <v>175603</v>
      </c>
      <c r="BO27" s="143">
        <v>183113</v>
      </c>
      <c r="BP27" s="143">
        <v>188796</v>
      </c>
      <c r="BQ27" s="143">
        <v>203677</v>
      </c>
      <c r="BR27" s="143">
        <v>209065</v>
      </c>
      <c r="BS27" s="143">
        <v>217504</v>
      </c>
      <c r="BT27" s="143">
        <v>228652</v>
      </c>
      <c r="BU27" s="143">
        <v>240007</v>
      </c>
      <c r="BV27" s="143">
        <v>241097</v>
      </c>
      <c r="BW27" s="143">
        <v>254187</v>
      </c>
      <c r="BX27" s="143">
        <v>273476</v>
      </c>
      <c r="BY27" s="143">
        <v>273476</v>
      </c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</row>
    <row r="28" spans="1:97" s="140" customFormat="1" x14ac:dyDescent="0.2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9"/>
      <c r="AB28" s="139"/>
      <c r="AC28" s="139"/>
      <c r="AD28" s="139"/>
      <c r="AE28" s="139"/>
      <c r="AG28" s="62"/>
      <c r="BH28" s="140" t="e">
        <f t="shared" ref="BH28:BV28" ca="1" si="559">+BH119/BH27</f>
        <v>#NAME?</v>
      </c>
      <c r="BI28" s="140" t="e">
        <f t="shared" ca="1" si="559"/>
        <v>#NAME?</v>
      </c>
      <c r="BJ28" s="140" t="e">
        <f t="shared" ca="1" si="559"/>
        <v>#NAME?</v>
      </c>
      <c r="BK28" s="140" t="e">
        <f t="shared" ca="1" si="559"/>
        <v>#NAME?</v>
      </c>
      <c r="BL28" s="140" t="e">
        <f t="shared" ca="1" si="559"/>
        <v>#NAME?</v>
      </c>
      <c r="BM28" s="140" t="e">
        <f t="shared" ca="1" si="559"/>
        <v>#NAME?</v>
      </c>
      <c r="BN28" s="140" t="e">
        <f t="shared" ca="1" si="559"/>
        <v>#NAME?</v>
      </c>
      <c r="BO28" s="140" t="e">
        <f t="shared" ca="1" si="559"/>
        <v>#NAME?</v>
      </c>
      <c r="BP28" s="140" t="e">
        <f t="shared" ca="1" si="559"/>
        <v>#NAME?</v>
      </c>
      <c r="BQ28" s="140" t="e">
        <f t="shared" ca="1" si="559"/>
        <v>#NAME?</v>
      </c>
      <c r="BR28" s="140" t="e">
        <f t="shared" ca="1" si="559"/>
        <v>#NAME?</v>
      </c>
      <c r="BS28" s="140" t="e">
        <f t="shared" ca="1" si="559"/>
        <v>#NAME?</v>
      </c>
      <c r="BT28" s="140" t="e">
        <f t="shared" ca="1" si="559"/>
        <v>#NAME?</v>
      </c>
      <c r="BU28" s="140" t="e">
        <f t="shared" ca="1" si="559"/>
        <v>#NAME?</v>
      </c>
      <c r="BV28" s="140" t="e">
        <f t="shared" ca="1" si="559"/>
        <v>#NAME?</v>
      </c>
      <c r="BW28" s="140" t="e">
        <f ca="1">+BW119/BW27</f>
        <v>#NAME?</v>
      </c>
      <c r="BX28" s="140" t="e">
        <f ca="1">+BX119/BX27</f>
        <v>#NAME?</v>
      </c>
      <c r="BY28" s="140" t="e">
        <f ca="1">+BY119/BY27</f>
        <v>#NAME?</v>
      </c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</row>
    <row r="29" spans="1:97" s="140" customFormat="1" x14ac:dyDescent="0.2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9"/>
      <c r="AB29" s="139"/>
      <c r="AC29" s="139"/>
      <c r="AD29" s="139"/>
      <c r="AE29" s="139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7" s="148" customFormat="1" x14ac:dyDescent="0.2">
      <c r="A30" s="146" t="s">
        <v>398</v>
      </c>
      <c r="B30" s="146" t="e">
        <f t="shared" ref="B30:BM30" ca="1" si="560">+B119/B113</f>
        <v>#NAME?</v>
      </c>
      <c r="C30" s="146" t="e">
        <f t="shared" ca="1" si="560"/>
        <v>#NAME?</v>
      </c>
      <c r="D30" s="146" t="e">
        <f t="shared" ca="1" si="560"/>
        <v>#NAME?</v>
      </c>
      <c r="E30" s="146" t="e">
        <f t="shared" ca="1" si="560"/>
        <v>#NAME?</v>
      </c>
      <c r="F30" s="146" t="e">
        <f t="shared" ca="1" si="560"/>
        <v>#NAME?</v>
      </c>
      <c r="G30" s="146" t="e">
        <f t="shared" ca="1" si="560"/>
        <v>#NAME?</v>
      </c>
      <c r="H30" s="146" t="e">
        <f t="shared" ca="1" si="560"/>
        <v>#NAME?</v>
      </c>
      <c r="I30" s="146" t="e">
        <f t="shared" ca="1" si="560"/>
        <v>#NAME?</v>
      </c>
      <c r="J30" s="146" t="e">
        <f t="shared" ca="1" si="560"/>
        <v>#NAME?</v>
      </c>
      <c r="K30" s="146" t="e">
        <f t="shared" ca="1" si="560"/>
        <v>#NAME?</v>
      </c>
      <c r="L30" s="146" t="e">
        <f t="shared" ca="1" si="560"/>
        <v>#NAME?</v>
      </c>
      <c r="M30" s="146" t="e">
        <f t="shared" ca="1" si="560"/>
        <v>#NAME?</v>
      </c>
      <c r="N30" s="146" t="e">
        <f t="shared" ca="1" si="560"/>
        <v>#NAME?</v>
      </c>
      <c r="O30" s="146" t="e">
        <f t="shared" ca="1" si="560"/>
        <v>#NAME?</v>
      </c>
      <c r="P30" s="146" t="e">
        <f t="shared" ca="1" si="560"/>
        <v>#NAME?</v>
      </c>
      <c r="Q30" s="146" t="e">
        <f t="shared" ca="1" si="560"/>
        <v>#NAME?</v>
      </c>
      <c r="R30" s="146" t="e">
        <f t="shared" ca="1" si="560"/>
        <v>#NAME?</v>
      </c>
      <c r="S30" s="146" t="e">
        <f t="shared" ca="1" si="560"/>
        <v>#NAME?</v>
      </c>
      <c r="T30" s="146" t="e">
        <f t="shared" ca="1" si="560"/>
        <v>#NAME?</v>
      </c>
      <c r="U30" s="146" t="e">
        <f t="shared" ca="1" si="560"/>
        <v>#NAME?</v>
      </c>
      <c r="V30" s="146" t="e">
        <f t="shared" ca="1" si="560"/>
        <v>#NAME?</v>
      </c>
      <c r="W30" s="146" t="e">
        <f t="shared" ca="1" si="560"/>
        <v>#NAME?</v>
      </c>
      <c r="X30" s="146" t="e">
        <f t="shared" ca="1" si="560"/>
        <v>#NAME?</v>
      </c>
      <c r="Y30" s="146" t="e">
        <f t="shared" ca="1" si="560"/>
        <v>#NAME?</v>
      </c>
      <c r="Z30" s="146" t="e">
        <f t="shared" ca="1" si="560"/>
        <v>#NAME?</v>
      </c>
      <c r="AA30" s="147" t="e">
        <f t="shared" ca="1" si="560"/>
        <v>#NAME?</v>
      </c>
      <c r="AB30" s="147" t="e">
        <f t="shared" ca="1" si="560"/>
        <v>#NAME?</v>
      </c>
      <c r="AC30" s="147" t="e">
        <f t="shared" ca="1" si="560"/>
        <v>#NAME?</v>
      </c>
      <c r="AD30" s="147" t="e">
        <f t="shared" ca="1" si="560"/>
        <v>#NAME?</v>
      </c>
      <c r="AE30" s="147" t="e">
        <f t="shared" ca="1" si="560"/>
        <v>#NAME?</v>
      </c>
      <c r="AG30" s="149"/>
      <c r="AI30" s="148" t="e">
        <f t="shared" ca="1" si="560"/>
        <v>#NAME?</v>
      </c>
      <c r="AJ30" s="148" t="e">
        <f t="shared" ca="1" si="560"/>
        <v>#NAME?</v>
      </c>
      <c r="AK30" s="148" t="e">
        <f t="shared" ca="1" si="560"/>
        <v>#NAME?</v>
      </c>
      <c r="AL30" s="148" t="e">
        <f t="shared" ca="1" si="560"/>
        <v>#NAME?</v>
      </c>
      <c r="AM30" s="148" t="e">
        <f t="shared" ca="1" si="560"/>
        <v>#NAME?</v>
      </c>
      <c r="AN30" s="148" t="e">
        <f t="shared" ca="1" si="560"/>
        <v>#NAME?</v>
      </c>
      <c r="AO30" s="148" t="e">
        <f t="shared" ca="1" si="560"/>
        <v>#NAME?</v>
      </c>
      <c r="AP30" s="148" t="e">
        <f t="shared" ca="1" si="560"/>
        <v>#NAME?</v>
      </c>
      <c r="AQ30" s="148" t="e">
        <f t="shared" ca="1" si="560"/>
        <v>#NAME?</v>
      </c>
      <c r="AR30" s="148" t="e">
        <f t="shared" ca="1" si="560"/>
        <v>#NAME?</v>
      </c>
      <c r="AS30" s="148" t="e">
        <f t="shared" ca="1" si="560"/>
        <v>#NAME?</v>
      </c>
      <c r="AT30" s="148" t="e">
        <f t="shared" ca="1" si="560"/>
        <v>#NAME?</v>
      </c>
      <c r="AU30" s="148" t="e">
        <f t="shared" ca="1" si="560"/>
        <v>#NAME?</v>
      </c>
      <c r="AV30" s="148" t="e">
        <f t="shared" ca="1" si="560"/>
        <v>#NAME?</v>
      </c>
      <c r="AW30" s="148" t="e">
        <f t="shared" ca="1" si="560"/>
        <v>#NAME?</v>
      </c>
      <c r="AX30" s="148" t="e">
        <f t="shared" ca="1" si="560"/>
        <v>#NAME?</v>
      </c>
      <c r="AY30" s="148" t="e">
        <f t="shared" ca="1" si="560"/>
        <v>#NAME?</v>
      </c>
      <c r="AZ30" s="148" t="e">
        <f t="shared" ca="1" si="560"/>
        <v>#NAME?</v>
      </c>
      <c r="BA30" s="148" t="e">
        <f t="shared" ca="1" si="560"/>
        <v>#NAME?</v>
      </c>
      <c r="BB30" s="148" t="e">
        <f t="shared" ca="1" si="560"/>
        <v>#NAME?</v>
      </c>
      <c r="BC30" s="148" t="e">
        <f t="shared" ca="1" si="560"/>
        <v>#NAME?</v>
      </c>
      <c r="BD30" s="148" t="e">
        <f t="shared" ca="1" si="560"/>
        <v>#NAME?</v>
      </c>
      <c r="BE30" s="148" t="e">
        <f t="shared" ca="1" si="560"/>
        <v>#NAME?</v>
      </c>
      <c r="BF30" s="148" t="e">
        <f t="shared" ca="1" si="560"/>
        <v>#NAME?</v>
      </c>
      <c r="BG30" s="148" t="e">
        <f t="shared" ca="1" si="560"/>
        <v>#NAME?</v>
      </c>
      <c r="BH30" s="148" t="e">
        <f t="shared" ref="BH30" ca="1" si="561">+BH119/BH113</f>
        <v>#NAME?</v>
      </c>
      <c r="BI30" s="148" t="e">
        <f t="shared" ca="1" si="560"/>
        <v>#NAME?</v>
      </c>
      <c r="BJ30" s="148" t="e">
        <f t="shared" ca="1" si="560"/>
        <v>#NAME?</v>
      </c>
      <c r="BK30" s="148" t="e">
        <f t="shared" ca="1" si="560"/>
        <v>#NAME?</v>
      </c>
      <c r="BL30" s="148" t="e">
        <f t="shared" ca="1" si="560"/>
        <v>#NAME?</v>
      </c>
      <c r="BM30" s="148" t="e">
        <f t="shared" ca="1" si="560"/>
        <v>#NAME?</v>
      </c>
      <c r="BN30" s="148" t="e">
        <f t="shared" ref="BN30:CO30" ca="1" si="562">+BN119/BN113</f>
        <v>#NAME?</v>
      </c>
      <c r="BO30" s="148" t="e">
        <f t="shared" ca="1" si="562"/>
        <v>#NAME?</v>
      </c>
      <c r="BP30" s="148" t="e">
        <f t="shared" ca="1" si="562"/>
        <v>#NAME?</v>
      </c>
      <c r="BQ30" s="148" t="e">
        <f t="shared" ca="1" si="562"/>
        <v>#NAME?</v>
      </c>
      <c r="BR30" s="148" t="e">
        <f t="shared" ca="1" si="562"/>
        <v>#NAME?</v>
      </c>
      <c r="BS30" s="148" t="e">
        <f t="shared" ca="1" si="562"/>
        <v>#NAME?</v>
      </c>
      <c r="BT30" s="148" t="e">
        <f t="shared" ca="1" si="562"/>
        <v>#NAME?</v>
      </c>
      <c r="BU30" s="148" t="e">
        <f t="shared" ca="1" si="562"/>
        <v>#NAME?</v>
      </c>
      <c r="BV30" s="148" t="e">
        <f t="shared" ca="1" si="562"/>
        <v>#NAME?</v>
      </c>
      <c r="BW30" s="148" t="e">
        <f t="shared" ca="1" si="562"/>
        <v>#NAME?</v>
      </c>
      <c r="BX30" s="148" t="e">
        <f t="shared" ca="1" si="562"/>
        <v>#NAME?</v>
      </c>
      <c r="BY30" s="148" t="e">
        <f t="shared" ref="BY30" ca="1" si="563">+BY119/BY113</f>
        <v>#NAME?</v>
      </c>
      <c r="BZ30" s="150" t="e">
        <f t="shared" ca="1" si="562"/>
        <v>#NAME?</v>
      </c>
      <c r="CA30" s="150" t="e">
        <f t="shared" ca="1" si="562"/>
        <v>#NAME?</v>
      </c>
      <c r="CB30" s="150" t="e">
        <f t="shared" ca="1" si="562"/>
        <v>#NAME?</v>
      </c>
      <c r="CC30" s="150" t="e">
        <f t="shared" ca="1" si="562"/>
        <v>#NAME?</v>
      </c>
      <c r="CD30" s="150" t="e">
        <f t="shared" ca="1" si="562"/>
        <v>#NAME?</v>
      </c>
      <c r="CE30" s="150" t="e">
        <f t="shared" ca="1" si="562"/>
        <v>#NAME?</v>
      </c>
      <c r="CF30" s="150" t="e">
        <f t="shared" ca="1" si="562"/>
        <v>#NAME?</v>
      </c>
      <c r="CG30" s="150" t="e">
        <f t="shared" ca="1" si="562"/>
        <v>#NAME?</v>
      </c>
      <c r="CH30" s="150" t="e">
        <f t="shared" ca="1" si="562"/>
        <v>#NAME?</v>
      </c>
      <c r="CI30" s="150" t="e">
        <f t="shared" ca="1" si="562"/>
        <v>#NAME?</v>
      </c>
      <c r="CJ30" s="150" t="e">
        <f t="shared" ca="1" si="562"/>
        <v>#NAME?</v>
      </c>
      <c r="CK30" s="150" t="e">
        <f t="shared" ca="1" si="562"/>
        <v>#NAME?</v>
      </c>
      <c r="CL30" s="150" t="e">
        <f t="shared" ca="1" si="562"/>
        <v>#NAME?</v>
      </c>
      <c r="CM30" s="150" t="e">
        <f t="shared" ca="1" si="562"/>
        <v>#NAME?</v>
      </c>
      <c r="CN30" s="150" t="e">
        <f t="shared" ca="1" si="562"/>
        <v>#NAME?</v>
      </c>
      <c r="CO30" s="150" t="e">
        <f t="shared" ca="1" si="562"/>
        <v>#NAME?</v>
      </c>
      <c r="CS30" s="148">
        <v>0.78664507981330745</v>
      </c>
    </row>
    <row r="31" spans="1:97" s="140" customFormat="1" x14ac:dyDescent="0.2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9"/>
      <c r="AB31" s="139"/>
      <c r="AC31" s="139"/>
      <c r="AD31" s="139"/>
      <c r="AE31" s="139"/>
      <c r="AG31" s="62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</row>
    <row r="32" spans="1:97" s="4" customFormat="1" x14ac:dyDescent="0.2">
      <c r="A32" s="118" t="s">
        <v>359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7" s="4" customFormat="1" x14ac:dyDescent="0.2">
      <c r="A33" s="118" t="s">
        <v>360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8"/>
      <c r="AC33" s="8"/>
      <c r="AD33" s="8"/>
      <c r="AE33" s="8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7" s="38" customFormat="1" x14ac:dyDescent="0.2">
      <c r="A34" s="38" t="s">
        <v>7</v>
      </c>
      <c r="B34" s="38" t="e">
        <f ca="1">+'Annual Raw'!C7</f>
        <v>#NAME?</v>
      </c>
      <c r="C34" s="38" t="e">
        <f ca="1">+'Annual Raw'!D7</f>
        <v>#NAME?</v>
      </c>
      <c r="D34" s="38" t="e">
        <f ca="1">+'Annual Raw'!E7</f>
        <v>#NAME?</v>
      </c>
      <c r="E34" s="38" t="e">
        <f ca="1">+'Annual Raw'!F7</f>
        <v>#NAME?</v>
      </c>
      <c r="F34" s="38" t="e">
        <f ca="1">+'Annual Raw'!G7</f>
        <v>#NAME?</v>
      </c>
      <c r="G34" s="38" t="e">
        <f ca="1">+'Annual Raw'!H7</f>
        <v>#NAME?</v>
      </c>
      <c r="H34" s="38" t="e">
        <f ca="1">+'Annual Raw'!I7</f>
        <v>#NAME?</v>
      </c>
      <c r="I34" s="38" t="e">
        <f ca="1">+'Annual Raw'!J7</f>
        <v>#NAME?</v>
      </c>
      <c r="J34" s="38" t="e">
        <f ca="1">+'Annual Raw'!K7</f>
        <v>#NAME?</v>
      </c>
      <c r="K34" s="38" t="e">
        <f ca="1">+'Annual Raw'!L7</f>
        <v>#NAME?</v>
      </c>
      <c r="L34" s="38" t="e">
        <f ca="1">+'Annual Raw'!M7</f>
        <v>#NAME?</v>
      </c>
      <c r="M34" s="38" t="e">
        <f ca="1">+'Annual Raw'!N7</f>
        <v>#NAME?</v>
      </c>
      <c r="N34" s="38" t="e">
        <f ca="1">+'Annual Raw'!O7</f>
        <v>#NAME?</v>
      </c>
      <c r="O34" s="38" t="e">
        <f ca="1">+'Annual Raw'!P7</f>
        <v>#NAME?</v>
      </c>
      <c r="P34" s="38" t="e">
        <f ca="1">+'Annual Raw'!Q7</f>
        <v>#NAME?</v>
      </c>
      <c r="Q34" s="38" t="e">
        <f ca="1">+'Annual Raw'!R7</f>
        <v>#NAME?</v>
      </c>
      <c r="R34" s="38" t="e">
        <f ca="1">+'Annual Raw'!S7</f>
        <v>#NAME?</v>
      </c>
      <c r="S34" s="38" t="e">
        <f ca="1">+'Annual Raw'!T7</f>
        <v>#NAME?</v>
      </c>
      <c r="T34" s="38" t="e">
        <f ca="1">+'Annual Raw'!U7</f>
        <v>#NAME?</v>
      </c>
      <c r="U34" s="38" t="e">
        <f ca="1">+'Annual Raw'!V7</f>
        <v>#NAME?</v>
      </c>
      <c r="V34" s="38" t="e">
        <f ca="1">+'Annual Raw'!W7</f>
        <v>#NAME?</v>
      </c>
      <c r="W34" s="38" t="e">
        <f ca="1">+'Annual Raw'!X7</f>
        <v>#NAME?</v>
      </c>
      <c r="X34" s="38" t="e">
        <f ca="1">+'Annual Raw'!Y7</f>
        <v>#NAME?</v>
      </c>
      <c r="Y34" s="38" t="e">
        <f ca="1">+'Annual Raw'!Z7</f>
        <v>#NAME?</v>
      </c>
      <c r="Z34" s="38" t="e">
        <f ca="1">+'Annual Raw'!AA7</f>
        <v>#NAME?</v>
      </c>
      <c r="AA34" s="38" t="e">
        <f ca="1">+'Annual Raw'!AB7</f>
        <v>#NAME?</v>
      </c>
      <c r="AB34" s="39" t="e">
        <f ca="1">SUM(BZ34:CC34)</f>
        <v>#NAME?</v>
      </c>
      <c r="AC34" s="39" t="e">
        <f ca="1">SUM(CD34:CG34)</f>
        <v>#NAME?</v>
      </c>
      <c r="AD34" s="39" t="e">
        <f ca="1">SUM(CH34:CK34)</f>
        <v>#NAME?</v>
      </c>
      <c r="AE34" s="39" t="e">
        <f ca="1">SUM(CL34:CO34)</f>
        <v>#NAME?</v>
      </c>
      <c r="AG34" s="60"/>
      <c r="AH34" s="38" t="e">
        <f ca="1">+'QTR Raw'!C6</f>
        <v>#NAME?</v>
      </c>
      <c r="AI34" s="38" t="e">
        <f ca="1">+'QTR Raw'!D6</f>
        <v>#NAME?</v>
      </c>
      <c r="AJ34" s="38" t="e">
        <f ca="1">+'QTR Raw'!E6</f>
        <v>#NAME?</v>
      </c>
      <c r="AK34" s="38" t="e">
        <f ca="1">+'QTR Raw'!F6</f>
        <v>#NAME?</v>
      </c>
      <c r="AL34" s="38" t="e">
        <f ca="1">+'QTR Raw'!G6</f>
        <v>#NAME?</v>
      </c>
      <c r="AM34" s="38" t="e">
        <f ca="1">+'QTR Raw'!H6</f>
        <v>#NAME?</v>
      </c>
      <c r="AN34" s="38" t="e">
        <f ca="1">+'QTR Raw'!I6</f>
        <v>#NAME?</v>
      </c>
      <c r="AO34" s="38" t="e">
        <f ca="1">+'QTR Raw'!J6</f>
        <v>#NAME?</v>
      </c>
      <c r="AP34" s="38" t="e">
        <f ca="1">+'QTR Raw'!K6</f>
        <v>#NAME?</v>
      </c>
      <c r="AQ34" s="38" t="e">
        <f ca="1">+'QTR Raw'!L6</f>
        <v>#NAME?</v>
      </c>
      <c r="AR34" s="38" t="e">
        <f ca="1">+'QTR Raw'!M6</f>
        <v>#NAME?</v>
      </c>
      <c r="AS34" s="38" t="e">
        <f ca="1">+'QTR Raw'!N6</f>
        <v>#NAME?</v>
      </c>
      <c r="AT34" s="38" t="e">
        <f ca="1">+'QTR Raw'!O6</f>
        <v>#NAME?</v>
      </c>
      <c r="AU34" s="38" t="e">
        <f ca="1">+'QTR Raw'!P6</f>
        <v>#NAME?</v>
      </c>
      <c r="AV34" s="38" t="e">
        <f ca="1">+'QTR Raw'!Q6</f>
        <v>#NAME?</v>
      </c>
      <c r="AW34" s="38" t="e">
        <f ca="1">+'QTR Raw'!R6</f>
        <v>#NAME?</v>
      </c>
      <c r="AX34" s="38" t="e">
        <f ca="1">+'QTR Raw'!S6</f>
        <v>#NAME?</v>
      </c>
      <c r="AY34" s="38" t="e">
        <f ca="1">+'QTR Raw'!T6</f>
        <v>#NAME?</v>
      </c>
      <c r="AZ34" s="38" t="e">
        <f ca="1">+'QTR Raw'!U6</f>
        <v>#NAME?</v>
      </c>
      <c r="BA34" s="38" t="e">
        <f ca="1">+'QTR Raw'!V6</f>
        <v>#NAME?</v>
      </c>
      <c r="BB34" s="38" t="e">
        <f ca="1">+'QTR Raw'!W6</f>
        <v>#NAME?</v>
      </c>
      <c r="BC34" s="38" t="e">
        <f ca="1">+'QTR Raw'!X6</f>
        <v>#NAME?</v>
      </c>
      <c r="BD34" s="38" t="e">
        <f ca="1">+'QTR Raw'!Y6</f>
        <v>#NAME?</v>
      </c>
      <c r="BE34" s="38" t="e">
        <f ca="1">+'QTR Raw'!Z6</f>
        <v>#NAME?</v>
      </c>
      <c r="BF34" s="38" t="e">
        <f ca="1">+'QTR Raw'!AA6</f>
        <v>#NAME?</v>
      </c>
      <c r="BG34" s="38" t="e">
        <f ca="1">+'QTR Raw'!AB6</f>
        <v>#NAME?</v>
      </c>
      <c r="BH34" s="38" t="e">
        <f ca="1">+'QTR Raw'!AC6</f>
        <v>#NAME?</v>
      </c>
      <c r="BI34" s="38" t="e">
        <f ca="1">+'QTR Raw'!AD6</f>
        <v>#NAME?</v>
      </c>
      <c r="BJ34" s="38" t="e">
        <f ca="1">+'QTR Raw'!AE6</f>
        <v>#NAME?</v>
      </c>
      <c r="BK34" s="38" t="e">
        <f ca="1">+'QTR Raw'!AF6</f>
        <v>#NAME?</v>
      </c>
      <c r="BL34" s="38" t="e">
        <f ca="1">+'QTR Raw'!AG6</f>
        <v>#NAME?</v>
      </c>
      <c r="BM34" s="38" t="e">
        <f ca="1">+'QTR Raw'!AH6</f>
        <v>#NAME?</v>
      </c>
      <c r="BN34" s="38" t="e">
        <f ca="1">+'QTR Raw'!AI6</f>
        <v>#NAME?</v>
      </c>
      <c r="BO34" s="38" t="e">
        <f ca="1">+'QTR Raw'!AJ6</f>
        <v>#NAME?</v>
      </c>
      <c r="BP34" s="38" t="e">
        <f ca="1">+'QTR Raw'!AK6</f>
        <v>#NAME?</v>
      </c>
      <c r="BQ34" s="38" t="e">
        <f ca="1">+'QTR Raw'!AL6</f>
        <v>#NAME?</v>
      </c>
      <c r="BR34" s="38" t="e">
        <f ca="1">+'QTR Raw'!AM6</f>
        <v>#NAME?</v>
      </c>
      <c r="BS34" s="38" t="e">
        <f ca="1">+'QTR Raw'!AN6</f>
        <v>#NAME?</v>
      </c>
      <c r="BT34" s="38" t="e">
        <f ca="1">+'QTR Raw'!AO6</f>
        <v>#NAME?</v>
      </c>
      <c r="BU34" s="38" t="e">
        <f ca="1">+'QTR Raw'!AP6</f>
        <v>#NAME?</v>
      </c>
      <c r="BV34" s="38" t="e">
        <f ca="1">+'QTR Raw'!AQ6</f>
        <v>#NAME?</v>
      </c>
      <c r="BW34" s="38" t="e">
        <f ca="1">+'QTR Raw'!AR6</f>
        <v>#NAME?</v>
      </c>
      <c r="BX34" s="38" t="e">
        <f ca="1">+'QTR Raw'!AS6</f>
        <v>#NAME?</v>
      </c>
      <c r="BY34" s="38" t="e">
        <f ca="1">+'QTR Raw'!AT6</f>
        <v>#NAME?</v>
      </c>
      <c r="BZ34" s="39" t="e">
        <f t="shared" ref="BZ34:CC34" ca="1" si="564">BZ12*BY5</f>
        <v>#NAME?</v>
      </c>
      <c r="CA34" s="39" t="e">
        <f t="shared" ca="1" si="564"/>
        <v>#NAME?</v>
      </c>
      <c r="CB34" s="39" t="e">
        <f t="shared" ca="1" si="564"/>
        <v>#NAME?</v>
      </c>
      <c r="CC34" s="39" t="e">
        <f t="shared" ca="1" si="564"/>
        <v>#NAME?</v>
      </c>
      <c r="CD34" s="39" t="e">
        <f t="shared" ref="CD34" ca="1" si="565">CD12*CC5</f>
        <v>#NAME?</v>
      </c>
      <c r="CE34" s="39" t="e">
        <f t="shared" ref="CE34" ca="1" si="566">CE12*CD5</f>
        <v>#NAME?</v>
      </c>
      <c r="CF34" s="39" t="e">
        <f t="shared" ref="CF34" ca="1" si="567">CF12*CE5</f>
        <v>#NAME?</v>
      </c>
      <c r="CG34" s="39" t="e">
        <f t="shared" ref="CG34" ca="1" si="568">CG12*CF5</f>
        <v>#NAME?</v>
      </c>
      <c r="CH34" s="39" t="e">
        <f t="shared" ref="CH34" ca="1" si="569">CH12*CG5</f>
        <v>#NAME?</v>
      </c>
      <c r="CI34" s="39" t="e">
        <f t="shared" ref="CI34" ca="1" si="570">CI12*CH5</f>
        <v>#NAME?</v>
      </c>
      <c r="CJ34" s="39" t="e">
        <f t="shared" ref="CJ34" ca="1" si="571">CJ12*CI5</f>
        <v>#NAME?</v>
      </c>
      <c r="CK34" s="39" t="e">
        <f t="shared" ref="CK34" ca="1" si="572">CK12*CJ5</f>
        <v>#NAME?</v>
      </c>
      <c r="CL34" s="39" t="e">
        <f t="shared" ref="CL34" ca="1" si="573">CL12*CK5</f>
        <v>#NAME?</v>
      </c>
      <c r="CM34" s="39" t="e">
        <f t="shared" ref="CM34" ca="1" si="574">CM12*CL5</f>
        <v>#NAME?</v>
      </c>
      <c r="CN34" s="39" t="e">
        <f t="shared" ref="CN34" ca="1" si="575">CN12*CM5</f>
        <v>#NAME?</v>
      </c>
      <c r="CO34" s="39" t="e">
        <f t="shared" ref="CO34" ca="1" si="576">CO12*CN5</f>
        <v>#NAME?</v>
      </c>
      <c r="CS34" s="38">
        <v>29281.64</v>
      </c>
    </row>
    <row r="35" spans="1:97" s="38" customFormat="1" x14ac:dyDescent="0.2">
      <c r="A35" s="38" t="s">
        <v>9</v>
      </c>
      <c r="B35" s="38" t="e">
        <f ca="1">+'Annual Raw'!C10</f>
        <v>#NAME?</v>
      </c>
      <c r="C35" s="38" t="e">
        <f ca="1">+'Annual Raw'!D10</f>
        <v>#NAME?</v>
      </c>
      <c r="D35" s="38" t="e">
        <f ca="1">+'Annual Raw'!E10</f>
        <v>#NAME?</v>
      </c>
      <c r="E35" s="38" t="e">
        <f ca="1">+'Annual Raw'!F10</f>
        <v>#NAME?</v>
      </c>
      <c r="F35" s="38" t="e">
        <f ca="1">+'Annual Raw'!G10</f>
        <v>#NAME?</v>
      </c>
      <c r="G35" s="38" t="e">
        <f ca="1">+'Annual Raw'!H10</f>
        <v>#NAME?</v>
      </c>
      <c r="H35" s="38" t="e">
        <f ca="1">+'Annual Raw'!I10</f>
        <v>#NAME?</v>
      </c>
      <c r="I35" s="38" t="e">
        <f ca="1">+'Annual Raw'!J10</f>
        <v>#NAME?</v>
      </c>
      <c r="J35" s="38" t="e">
        <f ca="1">+'Annual Raw'!K10</f>
        <v>#NAME?</v>
      </c>
      <c r="K35" s="38" t="e">
        <f ca="1">+'Annual Raw'!L10</f>
        <v>#NAME?</v>
      </c>
      <c r="L35" s="38" t="e">
        <f ca="1">+'Annual Raw'!M10</f>
        <v>#NAME?</v>
      </c>
      <c r="M35" s="38" t="e">
        <f ca="1">+'Annual Raw'!N10</f>
        <v>#NAME?</v>
      </c>
      <c r="N35" s="38" t="e">
        <f ca="1">+'Annual Raw'!O10</f>
        <v>#NAME?</v>
      </c>
      <c r="O35" s="38" t="e">
        <f ca="1">+'Annual Raw'!P10</f>
        <v>#NAME?</v>
      </c>
      <c r="P35" s="38" t="e">
        <f ca="1">+'Annual Raw'!Q10</f>
        <v>#NAME?</v>
      </c>
      <c r="Q35" s="38" t="e">
        <f ca="1">+'Annual Raw'!R10</f>
        <v>#NAME?</v>
      </c>
      <c r="R35" s="38" t="e">
        <f ca="1">+'Annual Raw'!S10</f>
        <v>#NAME?</v>
      </c>
      <c r="S35" s="38" t="e">
        <f ca="1">+'Annual Raw'!T10</f>
        <v>#NAME?</v>
      </c>
      <c r="T35" s="38" t="e">
        <f ca="1">+'Annual Raw'!U10</f>
        <v>#NAME?</v>
      </c>
      <c r="U35" s="38" t="e">
        <f ca="1">+'Annual Raw'!V10</f>
        <v>#NAME?</v>
      </c>
      <c r="V35" s="38" t="e">
        <f ca="1">+'Annual Raw'!W10</f>
        <v>#NAME?</v>
      </c>
      <c r="W35" s="38" t="e">
        <f ca="1">+'Annual Raw'!X10</f>
        <v>#NAME?</v>
      </c>
      <c r="X35" s="38" t="e">
        <f ca="1">+'Annual Raw'!Y10</f>
        <v>#NAME?</v>
      </c>
      <c r="Y35" s="38" t="e">
        <f ca="1">+'Annual Raw'!Z10</f>
        <v>#NAME?</v>
      </c>
      <c r="Z35" s="38" t="e">
        <f ca="1">+'Annual Raw'!AA10</f>
        <v>#NAME?</v>
      </c>
      <c r="AA35" s="38" t="e">
        <f ca="1">+'Annual Raw'!AB10</f>
        <v>#NAME?</v>
      </c>
      <c r="AB35" s="39" t="e">
        <f ca="1">SUM(BZ35:CC35)</f>
        <v>#NAME?</v>
      </c>
      <c r="AC35" s="39" t="e">
        <f ca="1">SUM(CD35:CG35)</f>
        <v>#NAME?</v>
      </c>
      <c r="AD35" s="39" t="e">
        <f ca="1">SUM(CH35:CK35)</f>
        <v>#NAME?</v>
      </c>
      <c r="AE35" s="39" t="e">
        <f ca="1">SUM(CL35:CO35)</f>
        <v>#NAME?</v>
      </c>
      <c r="AG35" s="60"/>
      <c r="AH35" s="38" t="e">
        <f ca="1">+'QTR Raw'!C9</f>
        <v>#NAME?</v>
      </c>
      <c r="AI35" s="38" t="e">
        <f ca="1">+'QTR Raw'!D9</f>
        <v>#NAME?</v>
      </c>
      <c r="AJ35" s="38" t="e">
        <f ca="1">+'QTR Raw'!E9</f>
        <v>#NAME?</v>
      </c>
      <c r="AK35" s="38" t="e">
        <f ca="1">+'QTR Raw'!F9</f>
        <v>#NAME?</v>
      </c>
      <c r="AL35" s="38" t="e">
        <f ca="1">+'QTR Raw'!G9</f>
        <v>#NAME?</v>
      </c>
      <c r="AM35" s="38" t="e">
        <f ca="1">+'QTR Raw'!H9</f>
        <v>#NAME?</v>
      </c>
      <c r="AN35" s="38" t="e">
        <f ca="1">+'QTR Raw'!I9</f>
        <v>#NAME?</v>
      </c>
      <c r="AO35" s="38" t="e">
        <f ca="1">+'QTR Raw'!J9</f>
        <v>#NAME?</v>
      </c>
      <c r="AP35" s="38" t="e">
        <f ca="1">+'QTR Raw'!K9</f>
        <v>#NAME?</v>
      </c>
      <c r="AQ35" s="38" t="e">
        <f ca="1">+'QTR Raw'!L9</f>
        <v>#NAME?</v>
      </c>
      <c r="AR35" s="38" t="e">
        <f ca="1">+'QTR Raw'!M9</f>
        <v>#NAME?</v>
      </c>
      <c r="AS35" s="38" t="e">
        <f ca="1">+'QTR Raw'!N9</f>
        <v>#NAME?</v>
      </c>
      <c r="AT35" s="38" t="e">
        <f ca="1">+'QTR Raw'!O9</f>
        <v>#NAME?</v>
      </c>
      <c r="AU35" s="38" t="e">
        <f ca="1">+'QTR Raw'!P9</f>
        <v>#NAME?</v>
      </c>
      <c r="AV35" s="38" t="e">
        <f ca="1">+'QTR Raw'!Q9</f>
        <v>#NAME?</v>
      </c>
      <c r="AW35" s="38" t="e">
        <f ca="1">+'QTR Raw'!R9</f>
        <v>#NAME?</v>
      </c>
      <c r="AX35" s="38" t="e">
        <f ca="1">+'QTR Raw'!S9</f>
        <v>#NAME?</v>
      </c>
      <c r="AY35" s="38" t="e">
        <f ca="1">+'QTR Raw'!T9</f>
        <v>#NAME?</v>
      </c>
      <c r="AZ35" s="38" t="e">
        <f ca="1">+'QTR Raw'!U9</f>
        <v>#NAME?</v>
      </c>
      <c r="BA35" s="38" t="e">
        <f ca="1">+'QTR Raw'!V9</f>
        <v>#NAME?</v>
      </c>
      <c r="BB35" s="38" t="e">
        <f ca="1">+'QTR Raw'!W9</f>
        <v>#NAME?</v>
      </c>
      <c r="BC35" s="38" t="e">
        <f ca="1">+'QTR Raw'!X9</f>
        <v>#NAME?</v>
      </c>
      <c r="BD35" s="38" t="e">
        <f ca="1">+'QTR Raw'!Y9</f>
        <v>#NAME?</v>
      </c>
      <c r="BE35" s="38" t="e">
        <f ca="1">+'QTR Raw'!Z9</f>
        <v>#NAME?</v>
      </c>
      <c r="BF35" s="38" t="e">
        <f ca="1">+'QTR Raw'!AA9</f>
        <v>#NAME?</v>
      </c>
      <c r="BG35" s="38" t="e">
        <f ca="1">+'QTR Raw'!AB9</f>
        <v>#NAME?</v>
      </c>
      <c r="BH35" s="38" t="e">
        <f ca="1">+'QTR Raw'!AC9</f>
        <v>#NAME?</v>
      </c>
      <c r="BI35" s="38" t="e">
        <f ca="1">+'QTR Raw'!AD9</f>
        <v>#NAME?</v>
      </c>
      <c r="BJ35" s="38" t="e">
        <f ca="1">+'QTR Raw'!AE9</f>
        <v>#NAME?</v>
      </c>
      <c r="BK35" s="38" t="e">
        <f ca="1">+'QTR Raw'!AF9</f>
        <v>#NAME?</v>
      </c>
      <c r="BL35" s="38" t="e">
        <f ca="1">+'QTR Raw'!AG9</f>
        <v>#NAME?</v>
      </c>
      <c r="BM35" s="38" t="e">
        <f ca="1">+'QTR Raw'!AH9</f>
        <v>#NAME?</v>
      </c>
      <c r="BN35" s="38" t="e">
        <f ca="1">+'QTR Raw'!AI9</f>
        <v>#NAME?</v>
      </c>
      <c r="BO35" s="38" t="e">
        <f ca="1">+'QTR Raw'!AJ9</f>
        <v>#NAME?</v>
      </c>
      <c r="BP35" s="38" t="e">
        <f ca="1">+'QTR Raw'!AK9</f>
        <v>#NAME?</v>
      </c>
      <c r="BQ35" s="38" t="e">
        <f ca="1">+'QTR Raw'!AL9</f>
        <v>#NAME?</v>
      </c>
      <c r="BR35" s="38" t="e">
        <f ca="1">+'QTR Raw'!AM9</f>
        <v>#NAME?</v>
      </c>
      <c r="BS35" s="38" t="e">
        <f ca="1">+'QTR Raw'!AN9</f>
        <v>#NAME?</v>
      </c>
      <c r="BT35" s="38" t="e">
        <f ca="1">+'QTR Raw'!AO9</f>
        <v>#NAME?</v>
      </c>
      <c r="BU35" s="38" t="e">
        <f ca="1">+'QTR Raw'!AP9</f>
        <v>#NAME?</v>
      </c>
      <c r="BV35" s="38" t="e">
        <f ca="1">+'QTR Raw'!AQ9</f>
        <v>#NAME?</v>
      </c>
      <c r="BW35" s="38" t="e">
        <f ca="1">+'QTR Raw'!AR9</f>
        <v>#NAME?</v>
      </c>
      <c r="BX35" s="38" t="e">
        <f ca="1">+'QTR Raw'!AS9</f>
        <v>#NAME?</v>
      </c>
      <c r="BY35" s="38" t="e">
        <f ca="1">+'QTR Raw'!AT9</f>
        <v>#NAME?</v>
      </c>
      <c r="BZ35" s="39" t="e">
        <f t="shared" ref="BZ35:CC35" ca="1" si="577">BZ13*BY5</f>
        <v>#NAME?</v>
      </c>
      <c r="CA35" s="39" t="e">
        <f t="shared" ca="1" si="577"/>
        <v>#NAME?</v>
      </c>
      <c r="CB35" s="39" t="e">
        <f t="shared" ca="1" si="577"/>
        <v>#NAME?</v>
      </c>
      <c r="CC35" s="39" t="e">
        <f t="shared" ca="1" si="577"/>
        <v>#NAME?</v>
      </c>
      <c r="CD35" s="39" t="e">
        <f t="shared" ref="CD35" ca="1" si="578">CD13*CC5</f>
        <v>#NAME?</v>
      </c>
      <c r="CE35" s="39" t="e">
        <f t="shared" ref="CE35" ca="1" si="579">CE13*CD5</f>
        <v>#NAME?</v>
      </c>
      <c r="CF35" s="39" t="e">
        <f t="shared" ref="CF35" ca="1" si="580">CF13*CE5</f>
        <v>#NAME?</v>
      </c>
      <c r="CG35" s="39" t="e">
        <f t="shared" ref="CG35" ca="1" si="581">CG13*CF5</f>
        <v>#NAME?</v>
      </c>
      <c r="CH35" s="39" t="e">
        <f t="shared" ref="CH35" ca="1" si="582">CH13*CG5</f>
        <v>#NAME?</v>
      </c>
      <c r="CI35" s="39" t="e">
        <f t="shared" ref="CI35" ca="1" si="583">CI13*CH5</f>
        <v>#NAME?</v>
      </c>
      <c r="CJ35" s="39" t="e">
        <f t="shared" ref="CJ35" ca="1" si="584">CJ13*CI5</f>
        <v>#NAME?</v>
      </c>
      <c r="CK35" s="39" t="e">
        <f t="shared" ref="CK35" ca="1" si="585">CK13*CJ5</f>
        <v>#NAME?</v>
      </c>
      <c r="CL35" s="39" t="e">
        <f t="shared" ref="CL35" ca="1" si="586">CL13*CK5</f>
        <v>#NAME?</v>
      </c>
      <c r="CM35" s="39" t="e">
        <f t="shared" ref="CM35" ca="1" si="587">CM13*CL5</f>
        <v>#NAME?</v>
      </c>
      <c r="CN35" s="39" t="e">
        <f t="shared" ref="CN35" ca="1" si="588">CN13*CM5</f>
        <v>#NAME?</v>
      </c>
      <c r="CO35" s="39" t="e">
        <f t="shared" ref="CO35" ca="1" si="589">CO13*CN5</f>
        <v>#NAME?</v>
      </c>
      <c r="CS35" s="38">
        <v>15617.58</v>
      </c>
    </row>
    <row r="36" spans="1:97" s="40" customFormat="1" x14ac:dyDescent="0.2">
      <c r="A36" s="40" t="s">
        <v>8</v>
      </c>
      <c r="B36" s="40" t="e">
        <f t="shared" ref="B36:O36" ca="1" si="590">B34-B35</f>
        <v>#NAME?</v>
      </c>
      <c r="C36" s="40" t="e">
        <f t="shared" ca="1" si="590"/>
        <v>#NAME?</v>
      </c>
      <c r="D36" s="40" t="e">
        <f t="shared" ca="1" si="590"/>
        <v>#NAME?</v>
      </c>
      <c r="E36" s="40" t="e">
        <f t="shared" ca="1" si="590"/>
        <v>#NAME?</v>
      </c>
      <c r="F36" s="40" t="e">
        <f t="shared" ca="1" si="590"/>
        <v>#NAME?</v>
      </c>
      <c r="G36" s="40" t="e">
        <f t="shared" ca="1" si="590"/>
        <v>#NAME?</v>
      </c>
      <c r="H36" s="40" t="e">
        <f t="shared" ca="1" si="590"/>
        <v>#NAME?</v>
      </c>
      <c r="I36" s="40" t="e">
        <f t="shared" ca="1" si="590"/>
        <v>#NAME?</v>
      </c>
      <c r="J36" s="40" t="e">
        <f t="shared" ca="1" si="590"/>
        <v>#NAME?</v>
      </c>
      <c r="K36" s="40" t="e">
        <f t="shared" ca="1" si="590"/>
        <v>#NAME?</v>
      </c>
      <c r="L36" s="40" t="e">
        <f t="shared" ca="1" si="590"/>
        <v>#NAME?</v>
      </c>
      <c r="M36" s="40" t="e">
        <f t="shared" ca="1" si="590"/>
        <v>#NAME?</v>
      </c>
      <c r="N36" s="40" t="e">
        <f t="shared" ca="1" si="590"/>
        <v>#NAME?</v>
      </c>
      <c r="O36" s="40" t="e">
        <f t="shared" ca="1" si="590"/>
        <v>#NAME?</v>
      </c>
      <c r="P36" s="40" t="e">
        <f t="shared" ref="P36:W36" ca="1" si="591">P34-P35</f>
        <v>#NAME?</v>
      </c>
      <c r="Q36" s="40" t="e">
        <f t="shared" ca="1" si="591"/>
        <v>#NAME?</v>
      </c>
      <c r="R36" s="40" t="e">
        <f t="shared" ca="1" si="591"/>
        <v>#NAME?</v>
      </c>
      <c r="S36" s="40" t="e">
        <f t="shared" ca="1" si="591"/>
        <v>#NAME?</v>
      </c>
      <c r="T36" s="40" t="e">
        <f t="shared" ca="1" si="591"/>
        <v>#NAME?</v>
      </c>
      <c r="U36" s="40" t="e">
        <f t="shared" ca="1" si="591"/>
        <v>#NAME?</v>
      </c>
      <c r="V36" s="40" t="e">
        <f t="shared" ca="1" si="591"/>
        <v>#NAME?</v>
      </c>
      <c r="W36" s="40" t="e">
        <f t="shared" ca="1" si="591"/>
        <v>#NAME?</v>
      </c>
      <c r="X36" s="40" t="e">
        <f t="shared" ref="X36" ca="1" si="592">X34-X35</f>
        <v>#NAME?</v>
      </c>
      <c r="Y36" s="40" t="e">
        <f t="shared" ref="Y36" ca="1" si="593">Y34-Y35</f>
        <v>#NAME?</v>
      </c>
      <c r="Z36" s="40" t="e">
        <f t="shared" ref="Z36:AA36" ca="1" si="594">Z34-Z35</f>
        <v>#NAME?</v>
      </c>
      <c r="AA36" s="40" t="e">
        <f t="shared" ca="1" si="594"/>
        <v>#NAME?</v>
      </c>
      <c r="AB36" s="41" t="e">
        <f t="shared" ref="AB36" ca="1" si="595">AB34-AB35</f>
        <v>#NAME?</v>
      </c>
      <c r="AC36" s="41" t="e">
        <f t="shared" ref="AC36" ca="1" si="596">AC34-AC35</f>
        <v>#NAME?</v>
      </c>
      <c r="AD36" s="41" t="e">
        <f t="shared" ref="AD36" ca="1" si="597">AD34-AD35</f>
        <v>#NAME?</v>
      </c>
      <c r="AE36" s="41" t="e">
        <f t="shared" ref="AE36" ca="1" si="598">AE34-AE35</f>
        <v>#NAME?</v>
      </c>
      <c r="AG36" s="61"/>
      <c r="AH36" s="40" t="e">
        <f t="shared" ref="AH36" ca="1" si="599">AH34-AH35</f>
        <v>#NAME?</v>
      </c>
      <c r="AI36" s="40" t="e">
        <f t="shared" ref="AI36:BV36" ca="1" si="600">AI34-AI35</f>
        <v>#NAME?</v>
      </c>
      <c r="AJ36" s="40" t="e">
        <f t="shared" ca="1" si="600"/>
        <v>#NAME?</v>
      </c>
      <c r="AK36" s="40" t="e">
        <f t="shared" ca="1" si="600"/>
        <v>#NAME?</v>
      </c>
      <c r="AL36" s="40" t="e">
        <f t="shared" ca="1" si="600"/>
        <v>#NAME?</v>
      </c>
      <c r="AM36" s="40" t="e">
        <f t="shared" ca="1" si="600"/>
        <v>#NAME?</v>
      </c>
      <c r="AN36" s="40" t="e">
        <f t="shared" ca="1" si="600"/>
        <v>#NAME?</v>
      </c>
      <c r="AO36" s="40" t="e">
        <f t="shared" ca="1" si="600"/>
        <v>#NAME?</v>
      </c>
      <c r="AP36" s="40" t="e">
        <f t="shared" ca="1" si="600"/>
        <v>#NAME?</v>
      </c>
      <c r="AQ36" s="40" t="e">
        <f t="shared" ca="1" si="600"/>
        <v>#NAME?</v>
      </c>
      <c r="AR36" s="40" t="e">
        <f t="shared" ca="1" si="600"/>
        <v>#NAME?</v>
      </c>
      <c r="AS36" s="40" t="e">
        <f t="shared" ca="1" si="600"/>
        <v>#NAME?</v>
      </c>
      <c r="AT36" s="40" t="e">
        <f t="shared" ca="1" si="600"/>
        <v>#NAME?</v>
      </c>
      <c r="AU36" s="40" t="e">
        <f t="shared" ca="1" si="600"/>
        <v>#NAME?</v>
      </c>
      <c r="AV36" s="40" t="e">
        <f t="shared" ca="1" si="600"/>
        <v>#NAME?</v>
      </c>
      <c r="AW36" s="40" t="e">
        <f t="shared" ca="1" si="600"/>
        <v>#NAME?</v>
      </c>
      <c r="AX36" s="40" t="e">
        <f t="shared" ca="1" si="600"/>
        <v>#NAME?</v>
      </c>
      <c r="AY36" s="40" t="e">
        <f t="shared" ca="1" si="600"/>
        <v>#NAME?</v>
      </c>
      <c r="AZ36" s="40" t="e">
        <f t="shared" ca="1" si="600"/>
        <v>#NAME?</v>
      </c>
      <c r="BA36" s="40" t="e">
        <f t="shared" ca="1" si="600"/>
        <v>#NAME?</v>
      </c>
      <c r="BB36" s="40" t="e">
        <f t="shared" ca="1" si="600"/>
        <v>#NAME?</v>
      </c>
      <c r="BC36" s="40" t="e">
        <f t="shared" ca="1" si="600"/>
        <v>#NAME?</v>
      </c>
      <c r="BD36" s="40" t="e">
        <f t="shared" ca="1" si="600"/>
        <v>#NAME?</v>
      </c>
      <c r="BE36" s="40" t="e">
        <f t="shared" ca="1" si="600"/>
        <v>#NAME?</v>
      </c>
      <c r="BF36" s="40" t="e">
        <f t="shared" ca="1" si="600"/>
        <v>#NAME?</v>
      </c>
      <c r="BG36" s="40" t="e">
        <f t="shared" ca="1" si="600"/>
        <v>#NAME?</v>
      </c>
      <c r="BH36" s="40" t="e">
        <f t="shared" ca="1" si="600"/>
        <v>#NAME?</v>
      </c>
      <c r="BI36" s="40" t="e">
        <f t="shared" ca="1" si="600"/>
        <v>#NAME?</v>
      </c>
      <c r="BJ36" s="40" t="e">
        <f t="shared" ca="1" si="600"/>
        <v>#NAME?</v>
      </c>
      <c r="BK36" s="40" t="e">
        <f t="shared" ca="1" si="600"/>
        <v>#NAME?</v>
      </c>
      <c r="BL36" s="40" t="e">
        <f t="shared" ca="1" si="600"/>
        <v>#NAME?</v>
      </c>
      <c r="BM36" s="40" t="e">
        <f t="shared" ca="1" si="600"/>
        <v>#NAME?</v>
      </c>
      <c r="BN36" s="40" t="e">
        <f t="shared" ca="1" si="600"/>
        <v>#NAME?</v>
      </c>
      <c r="BO36" s="40" t="e">
        <f t="shared" ca="1" si="600"/>
        <v>#NAME?</v>
      </c>
      <c r="BP36" s="40" t="e">
        <f t="shared" ca="1" si="600"/>
        <v>#NAME?</v>
      </c>
      <c r="BQ36" s="40" t="e">
        <f t="shared" ca="1" si="600"/>
        <v>#NAME?</v>
      </c>
      <c r="BR36" s="40" t="e">
        <f t="shared" ca="1" si="600"/>
        <v>#NAME?</v>
      </c>
      <c r="BS36" s="40" t="e">
        <f t="shared" ca="1" si="600"/>
        <v>#NAME?</v>
      </c>
      <c r="BT36" s="40" t="e">
        <f t="shared" ca="1" si="600"/>
        <v>#NAME?</v>
      </c>
      <c r="BU36" s="40" t="e">
        <f t="shared" ca="1" si="600"/>
        <v>#NAME?</v>
      </c>
      <c r="BV36" s="40" t="e">
        <f t="shared" ca="1" si="600"/>
        <v>#NAME?</v>
      </c>
      <c r="BW36" s="40" t="e">
        <f t="shared" ref="BW36:BX36" ca="1" si="601">BW34-BW35</f>
        <v>#NAME?</v>
      </c>
      <c r="BX36" s="40" t="e">
        <f t="shared" ca="1" si="601"/>
        <v>#NAME?</v>
      </c>
      <c r="BY36" s="40" t="e">
        <f t="shared" ref="BY36" ca="1" si="602">BY34-BY35</f>
        <v>#NAME?</v>
      </c>
      <c r="BZ36" s="41" t="e">
        <f t="shared" ref="BZ36:CC36" ca="1" si="603">BZ34-BZ35</f>
        <v>#NAME?</v>
      </c>
      <c r="CA36" s="41" t="e">
        <f t="shared" ca="1" si="603"/>
        <v>#NAME?</v>
      </c>
      <c r="CB36" s="41" t="e">
        <f t="shared" ca="1" si="603"/>
        <v>#NAME?</v>
      </c>
      <c r="CC36" s="41" t="e">
        <f t="shared" ca="1" si="603"/>
        <v>#NAME?</v>
      </c>
      <c r="CD36" s="41" t="e">
        <f t="shared" ref="CD36:CO36" ca="1" si="604">CD34-CD35</f>
        <v>#NAME?</v>
      </c>
      <c r="CE36" s="41" t="e">
        <f t="shared" ca="1" si="604"/>
        <v>#NAME?</v>
      </c>
      <c r="CF36" s="41" t="e">
        <f t="shared" ca="1" si="604"/>
        <v>#NAME?</v>
      </c>
      <c r="CG36" s="41" t="e">
        <f t="shared" ca="1" si="604"/>
        <v>#NAME?</v>
      </c>
      <c r="CH36" s="41" t="e">
        <f t="shared" ca="1" si="604"/>
        <v>#NAME?</v>
      </c>
      <c r="CI36" s="41" t="e">
        <f t="shared" ca="1" si="604"/>
        <v>#NAME?</v>
      </c>
      <c r="CJ36" s="41" t="e">
        <f t="shared" ca="1" si="604"/>
        <v>#NAME?</v>
      </c>
      <c r="CK36" s="41" t="e">
        <f t="shared" ca="1" si="604"/>
        <v>#NAME?</v>
      </c>
      <c r="CL36" s="41" t="e">
        <f t="shared" ca="1" si="604"/>
        <v>#NAME?</v>
      </c>
      <c r="CM36" s="41" t="e">
        <f t="shared" ca="1" si="604"/>
        <v>#NAME?</v>
      </c>
      <c r="CN36" s="41" t="e">
        <f t="shared" ca="1" si="604"/>
        <v>#NAME?</v>
      </c>
      <c r="CO36" s="41" t="e">
        <f t="shared" ca="1" si="604"/>
        <v>#NAME?</v>
      </c>
      <c r="CS36" s="40">
        <v>13664.06</v>
      </c>
    </row>
    <row r="37" spans="1:97" s="38" customFormat="1" x14ac:dyDescent="0.2">
      <c r="A37" s="38" t="s">
        <v>3</v>
      </c>
      <c r="B37" s="38" t="e">
        <f ca="1">+'Annual Raw'!C8</f>
        <v>#NAME?</v>
      </c>
      <c r="C37" s="38" t="e">
        <f ca="1">+'Annual Raw'!D8</f>
        <v>#NAME?</v>
      </c>
      <c r="D37" s="38" t="e">
        <f ca="1">+'Annual Raw'!E8</f>
        <v>#NAME?</v>
      </c>
      <c r="E37" s="38" t="e">
        <f ca="1">+'Annual Raw'!F8</f>
        <v>#NAME?</v>
      </c>
      <c r="F37" s="38" t="e">
        <f ca="1">+'Annual Raw'!G8</f>
        <v>#NAME?</v>
      </c>
      <c r="G37" s="38" t="e">
        <f ca="1">+'Annual Raw'!H8</f>
        <v>#NAME?</v>
      </c>
      <c r="H37" s="38" t="e">
        <f ca="1">+'Annual Raw'!I8</f>
        <v>#NAME?</v>
      </c>
      <c r="I37" s="38" t="e">
        <f ca="1">+'Annual Raw'!J8</f>
        <v>#NAME?</v>
      </c>
      <c r="J37" s="38" t="e">
        <f ca="1">+'Annual Raw'!K8</f>
        <v>#NAME?</v>
      </c>
      <c r="K37" s="38" t="e">
        <f ca="1">+'Annual Raw'!L8</f>
        <v>#NAME?</v>
      </c>
      <c r="L37" s="38" t="e">
        <f ca="1">+'Annual Raw'!M8</f>
        <v>#NAME?</v>
      </c>
      <c r="M37" s="38" t="e">
        <f ca="1">+'Annual Raw'!N8</f>
        <v>#NAME?</v>
      </c>
      <c r="N37" s="38" t="e">
        <f ca="1">+'Annual Raw'!O8</f>
        <v>#NAME?</v>
      </c>
      <c r="O37" s="38" t="e">
        <f ca="1">+'Annual Raw'!P8</f>
        <v>#NAME?</v>
      </c>
      <c r="P37" s="38" t="e">
        <f ca="1">+'Annual Raw'!Q8</f>
        <v>#NAME?</v>
      </c>
      <c r="Q37" s="38" t="e">
        <f ca="1">+'Annual Raw'!R8</f>
        <v>#NAME?</v>
      </c>
      <c r="R37" s="38" t="e">
        <f ca="1">+'Annual Raw'!S8</f>
        <v>#NAME?</v>
      </c>
      <c r="S37" s="38" t="e">
        <f ca="1">+'Annual Raw'!T8</f>
        <v>#NAME?</v>
      </c>
      <c r="T37" s="38" t="e">
        <f ca="1">+'Annual Raw'!U8</f>
        <v>#NAME?</v>
      </c>
      <c r="U37" s="38" t="e">
        <f ca="1">+'Annual Raw'!V8</f>
        <v>#NAME?</v>
      </c>
      <c r="V37" s="38" t="e">
        <f ca="1">+'Annual Raw'!W8</f>
        <v>#NAME?</v>
      </c>
      <c r="W37" s="38" t="e">
        <f ca="1">+'Annual Raw'!X8</f>
        <v>#NAME?</v>
      </c>
      <c r="X37" s="38" t="e">
        <f ca="1">+'Annual Raw'!Y8</f>
        <v>#NAME?</v>
      </c>
      <c r="Y37" s="38" t="e">
        <f ca="1">+'Annual Raw'!Z8</f>
        <v>#NAME?</v>
      </c>
      <c r="Z37" s="38" t="e">
        <f ca="1">+'Annual Raw'!AA8</f>
        <v>#NAME?</v>
      </c>
      <c r="AA37" s="38" t="e">
        <f ca="1">+'Annual Raw'!AB8</f>
        <v>#NAME?</v>
      </c>
      <c r="AB37" s="39" t="e">
        <f ca="1">SUM(BZ37:CC37)</f>
        <v>#NAME?</v>
      </c>
      <c r="AC37" s="39" t="e">
        <f ca="1">SUM(CD37:CG37)</f>
        <v>#NAME?</v>
      </c>
      <c r="AD37" s="39" t="e">
        <f ca="1">SUM(CH37:CK37)</f>
        <v>#NAME?</v>
      </c>
      <c r="AE37" s="39" t="e">
        <f ca="1">SUM(CL37:CO37)</f>
        <v>#NAME?</v>
      </c>
      <c r="AG37" s="60"/>
      <c r="AH37" s="38" t="e">
        <f ca="1">+'QTR Raw'!C7</f>
        <v>#NAME?</v>
      </c>
      <c r="AI37" s="38" t="e">
        <f ca="1">+'QTR Raw'!D7</f>
        <v>#NAME?</v>
      </c>
      <c r="AJ37" s="38" t="e">
        <f ca="1">+'QTR Raw'!E7</f>
        <v>#NAME?</v>
      </c>
      <c r="AK37" s="38" t="e">
        <f ca="1">+'QTR Raw'!F7</f>
        <v>#NAME?</v>
      </c>
      <c r="AL37" s="38" t="e">
        <f ca="1">+'QTR Raw'!G7</f>
        <v>#NAME?</v>
      </c>
      <c r="AM37" s="38" t="e">
        <f ca="1">+'QTR Raw'!H7</f>
        <v>#NAME?</v>
      </c>
      <c r="AN37" s="38" t="e">
        <f ca="1">+'QTR Raw'!I7</f>
        <v>#NAME?</v>
      </c>
      <c r="AO37" s="38" t="e">
        <f ca="1">+'QTR Raw'!J7</f>
        <v>#NAME?</v>
      </c>
      <c r="AP37" s="38" t="e">
        <f ca="1">+'QTR Raw'!K7</f>
        <v>#NAME?</v>
      </c>
      <c r="AQ37" s="38" t="e">
        <f ca="1">+'QTR Raw'!L7</f>
        <v>#NAME?</v>
      </c>
      <c r="AR37" s="38" t="e">
        <f ca="1">+'QTR Raw'!M7</f>
        <v>#NAME?</v>
      </c>
      <c r="AS37" s="38" t="e">
        <f ca="1">+'QTR Raw'!N7</f>
        <v>#NAME?</v>
      </c>
      <c r="AT37" s="38" t="e">
        <f ca="1">+'QTR Raw'!O7</f>
        <v>#NAME?</v>
      </c>
      <c r="AU37" s="38" t="e">
        <f ca="1">+'QTR Raw'!P7</f>
        <v>#NAME?</v>
      </c>
      <c r="AV37" s="38" t="e">
        <f ca="1">+'QTR Raw'!Q7</f>
        <v>#NAME?</v>
      </c>
      <c r="AW37" s="38" t="e">
        <f ca="1">+'QTR Raw'!R7</f>
        <v>#NAME?</v>
      </c>
      <c r="AX37" s="38" t="e">
        <f ca="1">+'QTR Raw'!S7</f>
        <v>#NAME?</v>
      </c>
      <c r="AY37" s="38" t="e">
        <f ca="1">+'QTR Raw'!T7</f>
        <v>#NAME?</v>
      </c>
      <c r="AZ37" s="38" t="e">
        <f ca="1">+'QTR Raw'!U7</f>
        <v>#NAME?</v>
      </c>
      <c r="BA37" s="38" t="e">
        <f ca="1">+'QTR Raw'!V7</f>
        <v>#NAME?</v>
      </c>
      <c r="BB37" s="38" t="e">
        <f ca="1">+'QTR Raw'!W7</f>
        <v>#NAME?</v>
      </c>
      <c r="BC37" s="38" t="e">
        <f ca="1">+'QTR Raw'!X7</f>
        <v>#NAME?</v>
      </c>
      <c r="BD37" s="38" t="e">
        <f ca="1">+'QTR Raw'!Y7</f>
        <v>#NAME?</v>
      </c>
      <c r="BE37" s="38" t="e">
        <f ca="1">+'QTR Raw'!Z7</f>
        <v>#NAME?</v>
      </c>
      <c r="BF37" s="38" t="e">
        <f ca="1">+'QTR Raw'!AA7</f>
        <v>#NAME?</v>
      </c>
      <c r="BG37" s="38" t="e">
        <f ca="1">+'QTR Raw'!AB7</f>
        <v>#NAME?</v>
      </c>
      <c r="BH37" s="38" t="e">
        <f ca="1">+'QTR Raw'!AC7</f>
        <v>#NAME?</v>
      </c>
      <c r="BI37" s="38" t="e">
        <f ca="1">+'QTR Raw'!AD7</f>
        <v>#NAME?</v>
      </c>
      <c r="BJ37" s="38" t="e">
        <f ca="1">+'QTR Raw'!AE7</f>
        <v>#NAME?</v>
      </c>
      <c r="BK37" s="38" t="e">
        <f ca="1">+'QTR Raw'!AF7</f>
        <v>#NAME?</v>
      </c>
      <c r="BL37" s="38" t="e">
        <f ca="1">+'QTR Raw'!AG7</f>
        <v>#NAME?</v>
      </c>
      <c r="BM37" s="38" t="e">
        <f ca="1">+'QTR Raw'!AH7</f>
        <v>#NAME?</v>
      </c>
      <c r="BN37" s="38" t="e">
        <f ca="1">+'QTR Raw'!AI7</f>
        <v>#NAME?</v>
      </c>
      <c r="BO37" s="38" t="e">
        <f ca="1">+'QTR Raw'!AJ7</f>
        <v>#NAME?</v>
      </c>
      <c r="BP37" s="38" t="e">
        <f ca="1">+'QTR Raw'!AK7</f>
        <v>#NAME?</v>
      </c>
      <c r="BQ37" s="38" t="e">
        <f ca="1">+'QTR Raw'!AL7</f>
        <v>#NAME?</v>
      </c>
      <c r="BR37" s="38" t="e">
        <f ca="1">+'QTR Raw'!AM7</f>
        <v>#NAME?</v>
      </c>
      <c r="BS37" s="38" t="e">
        <f ca="1">+'QTR Raw'!AN7</f>
        <v>#NAME?</v>
      </c>
      <c r="BT37" s="38" t="e">
        <f ca="1">+'QTR Raw'!AO7</f>
        <v>#NAME?</v>
      </c>
      <c r="BU37" s="38" t="e">
        <f ca="1">+'QTR Raw'!AP7</f>
        <v>#NAME?</v>
      </c>
      <c r="BV37" s="38" t="e">
        <f ca="1">+'QTR Raw'!AQ7</f>
        <v>#NAME?</v>
      </c>
      <c r="BW37" s="38" t="e">
        <f ca="1">+'QTR Raw'!AR7</f>
        <v>#NAME?</v>
      </c>
      <c r="BX37" s="38" t="e">
        <f ca="1">+'QTR Raw'!AS7</f>
        <v>#NAME?</v>
      </c>
      <c r="BY37" s="38" t="e">
        <f ca="1">+'QTR Raw'!AT7</f>
        <v>#NAME?</v>
      </c>
      <c r="BZ37" s="39" t="e">
        <f t="shared" ref="BZ37:CC37" ca="1" si="605">BZ15*BY5</f>
        <v>#NAME?</v>
      </c>
      <c r="CA37" s="39" t="e">
        <f t="shared" ca="1" si="605"/>
        <v>#NAME?</v>
      </c>
      <c r="CB37" s="39" t="e">
        <f t="shared" ca="1" si="605"/>
        <v>#NAME?</v>
      </c>
      <c r="CC37" s="39" t="e">
        <f t="shared" ca="1" si="605"/>
        <v>#NAME?</v>
      </c>
      <c r="CD37" s="39" t="e">
        <f t="shared" ref="CD37" ca="1" si="606">CD15*CC5</f>
        <v>#NAME?</v>
      </c>
      <c r="CE37" s="39" t="e">
        <f t="shared" ref="CE37" ca="1" si="607">CE15*CD5</f>
        <v>#NAME?</v>
      </c>
      <c r="CF37" s="39" t="e">
        <f t="shared" ref="CF37" ca="1" si="608">CF15*CE5</f>
        <v>#NAME?</v>
      </c>
      <c r="CG37" s="39" t="e">
        <f t="shared" ref="CG37" ca="1" si="609">CG15*CF5</f>
        <v>#NAME?</v>
      </c>
      <c r="CH37" s="39" t="e">
        <f t="shared" ref="CH37" ca="1" si="610">CH15*CG5</f>
        <v>#NAME?</v>
      </c>
      <c r="CI37" s="39" t="e">
        <f t="shared" ref="CI37" ca="1" si="611">CI15*CH5</f>
        <v>#NAME?</v>
      </c>
      <c r="CJ37" s="39" t="e">
        <f t="shared" ref="CJ37" ca="1" si="612">CJ15*CI5</f>
        <v>#NAME?</v>
      </c>
      <c r="CK37" s="39" t="e">
        <f t="shared" ref="CK37" ca="1" si="613">CK15*CJ5</f>
        <v>#NAME?</v>
      </c>
      <c r="CL37" s="39" t="e">
        <f t="shared" ref="CL37" ca="1" si="614">CL15*CK5</f>
        <v>#NAME?</v>
      </c>
      <c r="CM37" s="39" t="e">
        <f t="shared" ref="CM37" ca="1" si="615">CM15*CL5</f>
        <v>#NAME?</v>
      </c>
      <c r="CN37" s="39" t="e">
        <f t="shared" ref="CN37" ca="1" si="616">CN15*CM5</f>
        <v>#NAME?</v>
      </c>
      <c r="CO37" s="39" t="e">
        <f t="shared" ref="CO37" ca="1" si="617">CO15*CN5</f>
        <v>#NAME?</v>
      </c>
      <c r="CS37" s="38">
        <v>3540.89</v>
      </c>
    </row>
    <row r="38" spans="1:97" s="40" customFormat="1" x14ac:dyDescent="0.2">
      <c r="A38" s="40" t="s">
        <v>10</v>
      </c>
      <c r="B38" s="40" t="e">
        <f t="shared" ref="B38:O38" ca="1" si="618">B36+B37</f>
        <v>#NAME?</v>
      </c>
      <c r="C38" s="40" t="e">
        <f t="shared" ca="1" si="618"/>
        <v>#NAME?</v>
      </c>
      <c r="D38" s="40" t="e">
        <f t="shared" ca="1" si="618"/>
        <v>#NAME?</v>
      </c>
      <c r="E38" s="40" t="e">
        <f t="shared" ca="1" si="618"/>
        <v>#NAME?</v>
      </c>
      <c r="F38" s="40" t="e">
        <f t="shared" ca="1" si="618"/>
        <v>#NAME?</v>
      </c>
      <c r="G38" s="40" t="e">
        <f t="shared" ca="1" si="618"/>
        <v>#NAME?</v>
      </c>
      <c r="H38" s="40" t="e">
        <f t="shared" ca="1" si="618"/>
        <v>#NAME?</v>
      </c>
      <c r="I38" s="40" t="e">
        <f t="shared" ca="1" si="618"/>
        <v>#NAME?</v>
      </c>
      <c r="J38" s="40" t="e">
        <f t="shared" ca="1" si="618"/>
        <v>#NAME?</v>
      </c>
      <c r="K38" s="40" t="e">
        <f t="shared" ca="1" si="618"/>
        <v>#NAME?</v>
      </c>
      <c r="L38" s="40" t="e">
        <f t="shared" ca="1" si="618"/>
        <v>#NAME?</v>
      </c>
      <c r="M38" s="40" t="e">
        <f t="shared" ca="1" si="618"/>
        <v>#NAME?</v>
      </c>
      <c r="N38" s="40" t="e">
        <f t="shared" ca="1" si="618"/>
        <v>#NAME?</v>
      </c>
      <c r="O38" s="40" t="e">
        <f t="shared" ca="1" si="618"/>
        <v>#NAME?</v>
      </c>
      <c r="P38" s="40" t="e">
        <f t="shared" ref="P38:X38" ca="1" si="619">P36+P37</f>
        <v>#NAME?</v>
      </c>
      <c r="Q38" s="40" t="e">
        <f t="shared" ca="1" si="619"/>
        <v>#NAME?</v>
      </c>
      <c r="R38" s="40" t="e">
        <f t="shared" ca="1" si="619"/>
        <v>#NAME?</v>
      </c>
      <c r="S38" s="40" t="e">
        <f t="shared" ca="1" si="619"/>
        <v>#NAME?</v>
      </c>
      <c r="T38" s="40" t="e">
        <f t="shared" ca="1" si="619"/>
        <v>#NAME?</v>
      </c>
      <c r="U38" s="40" t="e">
        <f t="shared" ca="1" si="619"/>
        <v>#NAME?</v>
      </c>
      <c r="V38" s="40" t="e">
        <f t="shared" ca="1" si="619"/>
        <v>#NAME?</v>
      </c>
      <c r="W38" s="40" t="e">
        <f t="shared" ca="1" si="619"/>
        <v>#NAME?</v>
      </c>
      <c r="X38" s="40" t="e">
        <f t="shared" ca="1" si="619"/>
        <v>#NAME?</v>
      </c>
      <c r="Y38" s="40" t="e">
        <f t="shared" ref="Y38" ca="1" si="620">Y36+Y37</f>
        <v>#NAME?</v>
      </c>
      <c r="Z38" s="40" t="e">
        <f t="shared" ref="Z38:AA38" ca="1" si="621">Z36+Z37</f>
        <v>#NAME?</v>
      </c>
      <c r="AA38" s="40" t="e">
        <f t="shared" ca="1" si="621"/>
        <v>#NAME?</v>
      </c>
      <c r="AB38" s="41" t="e">
        <f t="shared" ref="AB38" ca="1" si="622">AB36+AB37</f>
        <v>#NAME?</v>
      </c>
      <c r="AC38" s="41" t="e">
        <f t="shared" ref="AC38" ca="1" si="623">AC36+AC37</f>
        <v>#NAME?</v>
      </c>
      <c r="AD38" s="41" t="e">
        <f t="shared" ref="AD38" ca="1" si="624">AD36+AD37</f>
        <v>#NAME?</v>
      </c>
      <c r="AE38" s="41" t="e">
        <f t="shared" ref="AE38" ca="1" si="625">AE36+AE37</f>
        <v>#NAME?</v>
      </c>
      <c r="AG38" s="61"/>
      <c r="AH38" s="40" t="e">
        <f t="shared" ref="AH38" ca="1" si="626">AH36+AH37</f>
        <v>#NAME?</v>
      </c>
      <c r="AI38" s="40" t="e">
        <f t="shared" ref="AI38:BV38" ca="1" si="627">AI36+AI37</f>
        <v>#NAME?</v>
      </c>
      <c r="AJ38" s="40" t="e">
        <f t="shared" ca="1" si="627"/>
        <v>#NAME?</v>
      </c>
      <c r="AK38" s="40" t="e">
        <f t="shared" ca="1" si="627"/>
        <v>#NAME?</v>
      </c>
      <c r="AL38" s="40" t="e">
        <f t="shared" ca="1" si="627"/>
        <v>#NAME?</v>
      </c>
      <c r="AM38" s="40" t="e">
        <f t="shared" ca="1" si="627"/>
        <v>#NAME?</v>
      </c>
      <c r="AN38" s="40" t="e">
        <f t="shared" ca="1" si="627"/>
        <v>#NAME?</v>
      </c>
      <c r="AO38" s="40" t="e">
        <f t="shared" ca="1" si="627"/>
        <v>#NAME?</v>
      </c>
      <c r="AP38" s="40" t="e">
        <f t="shared" ca="1" si="627"/>
        <v>#NAME?</v>
      </c>
      <c r="AQ38" s="40" t="e">
        <f t="shared" ca="1" si="627"/>
        <v>#NAME?</v>
      </c>
      <c r="AR38" s="40" t="e">
        <f t="shared" ca="1" si="627"/>
        <v>#NAME?</v>
      </c>
      <c r="AS38" s="40" t="e">
        <f t="shared" ca="1" si="627"/>
        <v>#NAME?</v>
      </c>
      <c r="AT38" s="40" t="e">
        <f t="shared" ca="1" si="627"/>
        <v>#NAME?</v>
      </c>
      <c r="AU38" s="40" t="e">
        <f t="shared" ca="1" si="627"/>
        <v>#NAME?</v>
      </c>
      <c r="AV38" s="40" t="e">
        <f t="shared" ca="1" si="627"/>
        <v>#NAME?</v>
      </c>
      <c r="AW38" s="40" t="e">
        <f t="shared" ca="1" si="627"/>
        <v>#NAME?</v>
      </c>
      <c r="AX38" s="40" t="e">
        <f t="shared" ca="1" si="627"/>
        <v>#NAME?</v>
      </c>
      <c r="AY38" s="40" t="e">
        <f t="shared" ca="1" si="627"/>
        <v>#NAME?</v>
      </c>
      <c r="AZ38" s="40" t="e">
        <f t="shared" ca="1" si="627"/>
        <v>#NAME?</v>
      </c>
      <c r="BA38" s="40" t="e">
        <f t="shared" ca="1" si="627"/>
        <v>#NAME?</v>
      </c>
      <c r="BB38" s="40" t="e">
        <f t="shared" ca="1" si="627"/>
        <v>#NAME?</v>
      </c>
      <c r="BC38" s="40" t="e">
        <f t="shared" ca="1" si="627"/>
        <v>#NAME?</v>
      </c>
      <c r="BD38" s="40" t="e">
        <f t="shared" ca="1" si="627"/>
        <v>#NAME?</v>
      </c>
      <c r="BE38" s="40" t="e">
        <f t="shared" ca="1" si="627"/>
        <v>#NAME?</v>
      </c>
      <c r="BF38" s="40" t="e">
        <f t="shared" ca="1" si="627"/>
        <v>#NAME?</v>
      </c>
      <c r="BG38" s="40" t="e">
        <f t="shared" ca="1" si="627"/>
        <v>#NAME?</v>
      </c>
      <c r="BH38" s="40" t="e">
        <f t="shared" ca="1" si="627"/>
        <v>#NAME?</v>
      </c>
      <c r="BI38" s="40" t="e">
        <f t="shared" ca="1" si="627"/>
        <v>#NAME?</v>
      </c>
      <c r="BJ38" s="40" t="e">
        <f t="shared" ca="1" si="627"/>
        <v>#NAME?</v>
      </c>
      <c r="BK38" s="40" t="e">
        <f t="shared" ca="1" si="627"/>
        <v>#NAME?</v>
      </c>
      <c r="BL38" s="40" t="e">
        <f t="shared" ca="1" si="627"/>
        <v>#NAME?</v>
      </c>
      <c r="BM38" s="40" t="e">
        <f t="shared" ca="1" si="627"/>
        <v>#NAME?</v>
      </c>
      <c r="BN38" s="40" t="e">
        <f t="shared" ca="1" si="627"/>
        <v>#NAME?</v>
      </c>
      <c r="BO38" s="40" t="e">
        <f t="shared" ca="1" si="627"/>
        <v>#NAME?</v>
      </c>
      <c r="BP38" s="40" t="e">
        <f t="shared" ca="1" si="627"/>
        <v>#NAME?</v>
      </c>
      <c r="BQ38" s="40" t="e">
        <f t="shared" ca="1" si="627"/>
        <v>#NAME?</v>
      </c>
      <c r="BR38" s="40" t="e">
        <f t="shared" ca="1" si="627"/>
        <v>#NAME?</v>
      </c>
      <c r="BS38" s="40" t="e">
        <f t="shared" ca="1" si="627"/>
        <v>#NAME?</v>
      </c>
      <c r="BT38" s="40" t="e">
        <f t="shared" ca="1" si="627"/>
        <v>#NAME?</v>
      </c>
      <c r="BU38" s="40" t="e">
        <f t="shared" ca="1" si="627"/>
        <v>#NAME?</v>
      </c>
      <c r="BV38" s="40" t="e">
        <f t="shared" ca="1" si="627"/>
        <v>#NAME?</v>
      </c>
      <c r="BW38" s="40" t="e">
        <f t="shared" ref="BW38:BX38" ca="1" si="628">BW36+BW37</f>
        <v>#NAME?</v>
      </c>
      <c r="BX38" s="40" t="e">
        <f t="shared" ca="1" si="628"/>
        <v>#NAME?</v>
      </c>
      <c r="BY38" s="40" t="e">
        <f t="shared" ref="BY38" ca="1" si="629">BY36+BY37</f>
        <v>#NAME?</v>
      </c>
      <c r="BZ38" s="41" t="e">
        <f t="shared" ref="BZ38:CC38" ca="1" si="630">BZ36+BZ37</f>
        <v>#NAME?</v>
      </c>
      <c r="CA38" s="41" t="e">
        <f t="shared" ca="1" si="630"/>
        <v>#NAME?</v>
      </c>
      <c r="CB38" s="41" t="e">
        <f t="shared" ca="1" si="630"/>
        <v>#NAME?</v>
      </c>
      <c r="CC38" s="41" t="e">
        <f t="shared" ca="1" si="630"/>
        <v>#NAME?</v>
      </c>
      <c r="CD38" s="41" t="e">
        <f t="shared" ref="CD38:CO38" ca="1" si="631">CD36+CD37</f>
        <v>#NAME?</v>
      </c>
      <c r="CE38" s="41" t="e">
        <f t="shared" ca="1" si="631"/>
        <v>#NAME?</v>
      </c>
      <c r="CF38" s="41" t="e">
        <f t="shared" ca="1" si="631"/>
        <v>#NAME?</v>
      </c>
      <c r="CG38" s="41" t="e">
        <f t="shared" ca="1" si="631"/>
        <v>#NAME?</v>
      </c>
      <c r="CH38" s="41" t="e">
        <f t="shared" ca="1" si="631"/>
        <v>#NAME?</v>
      </c>
      <c r="CI38" s="41" t="e">
        <f t="shared" ca="1" si="631"/>
        <v>#NAME?</v>
      </c>
      <c r="CJ38" s="41" t="e">
        <f t="shared" ca="1" si="631"/>
        <v>#NAME?</v>
      </c>
      <c r="CK38" s="41" t="e">
        <f t="shared" ca="1" si="631"/>
        <v>#NAME?</v>
      </c>
      <c r="CL38" s="41" t="e">
        <f t="shared" ca="1" si="631"/>
        <v>#NAME?</v>
      </c>
      <c r="CM38" s="41" t="e">
        <f t="shared" ca="1" si="631"/>
        <v>#NAME?</v>
      </c>
      <c r="CN38" s="41" t="e">
        <f t="shared" ca="1" si="631"/>
        <v>#NAME?</v>
      </c>
      <c r="CO38" s="41" t="e">
        <f t="shared" ca="1" si="631"/>
        <v>#NAME?</v>
      </c>
      <c r="CS38" s="40">
        <v>17204.95</v>
      </c>
    </row>
    <row r="39" spans="1:97" s="73" customFormat="1" x14ac:dyDescent="0.2">
      <c r="A39" s="73" t="s">
        <v>15</v>
      </c>
      <c r="C39" s="73" t="e">
        <f t="shared" ref="C39" ca="1" si="632">+IF(B38&lt;0,1-C38/B38,C38/B38-1)</f>
        <v>#NAME?</v>
      </c>
      <c r="D39" s="73" t="e">
        <f t="shared" ref="D39" ca="1" si="633">+IF(C38&lt;0,1-D38/C38,D38/C38-1)</f>
        <v>#NAME?</v>
      </c>
      <c r="E39" s="73" t="e">
        <f t="shared" ref="E39" ca="1" si="634">+IF(D38&lt;0,1-E38/D38,E38/D38-1)</f>
        <v>#NAME?</v>
      </c>
      <c r="F39" s="73" t="e">
        <f t="shared" ref="F39" ca="1" si="635">+IF(E38&lt;0,1-F38/E38,F38/E38-1)</f>
        <v>#NAME?</v>
      </c>
      <c r="G39" s="73" t="e">
        <f t="shared" ref="G39" ca="1" si="636">+IF(F38&lt;0,1-G38/F38,G38/F38-1)</f>
        <v>#NAME?</v>
      </c>
      <c r="H39" s="73" t="e">
        <f t="shared" ref="H39" ca="1" si="637">+IF(G38&lt;0,1-H38/G38,H38/G38-1)</f>
        <v>#NAME?</v>
      </c>
      <c r="I39" s="73" t="e">
        <f t="shared" ref="I39" ca="1" si="638">+IF(H38&lt;0,1-I38/H38,I38/H38-1)</f>
        <v>#NAME?</v>
      </c>
      <c r="J39" s="73" t="e">
        <f t="shared" ref="J39" ca="1" si="639">+IF(I38&lt;0,1-J38/I38,J38/I38-1)</f>
        <v>#NAME?</v>
      </c>
      <c r="K39" s="73" t="e">
        <f t="shared" ref="K39" ca="1" si="640">+IF(J38&lt;0,1-K38/J38,K38/J38-1)</f>
        <v>#NAME?</v>
      </c>
      <c r="L39" s="73" t="e">
        <f t="shared" ref="L39" ca="1" si="641">+IF(K38&lt;0,1-L38/K38,L38/K38-1)</f>
        <v>#NAME?</v>
      </c>
      <c r="M39" s="73" t="e">
        <f t="shared" ref="M39" ca="1" si="642">+IF(L38&lt;0,1-M38/L38,M38/L38-1)</f>
        <v>#NAME?</v>
      </c>
      <c r="N39" s="73" t="e">
        <f t="shared" ref="N39" ca="1" si="643">+IF(M38&lt;0,1-N38/M38,N38/M38-1)</f>
        <v>#NAME?</v>
      </c>
      <c r="O39" s="73" t="e">
        <f t="shared" ref="O39" ca="1" si="644">+IF(N38&lt;0,1-O38/N38,O38/N38-1)</f>
        <v>#NAME?</v>
      </c>
      <c r="P39" s="73" t="e">
        <f t="shared" ref="P39" ca="1" si="645">+IF(O38&lt;0,1-P38/O38,P38/O38-1)</f>
        <v>#NAME?</v>
      </c>
      <c r="Q39" s="73" t="e">
        <f t="shared" ref="Q39" ca="1" si="646">+IF(P38&lt;0,1-Q38/P38,Q38/P38-1)</f>
        <v>#NAME?</v>
      </c>
      <c r="R39" s="73" t="e">
        <f t="shared" ref="R39" ca="1" si="647">+IF(Q38&lt;0,1-R38/Q38,R38/Q38-1)</f>
        <v>#NAME?</v>
      </c>
      <c r="S39" s="73" t="e">
        <f t="shared" ref="S39" ca="1" si="648">+IF(R38&lt;0,1-S38/R38,S38/R38-1)</f>
        <v>#NAME?</v>
      </c>
      <c r="T39" s="73" t="e">
        <f t="shared" ref="T39" ca="1" si="649">+IF(S38&lt;0,1-T38/S38,T38/S38-1)</f>
        <v>#NAME?</v>
      </c>
      <c r="U39" s="73" t="e">
        <f t="shared" ref="U39" ca="1" si="650">+IF(T38&lt;0,1-U38/T38,U38/T38-1)</f>
        <v>#NAME?</v>
      </c>
      <c r="V39" s="73" t="e">
        <f t="shared" ref="V39" ca="1" si="651">+IF(U38&lt;0,1-V38/U38,V38/U38-1)</f>
        <v>#NAME?</v>
      </c>
      <c r="W39" s="73" t="e">
        <f t="shared" ref="W39" ca="1" si="652">+IF(V38&lt;0,1-W38/V38,W38/V38-1)</f>
        <v>#NAME?</v>
      </c>
      <c r="X39" s="73" t="e">
        <f t="shared" ref="X39" ca="1" si="653">+IF(W38&lt;0,1-X38/W38,X38/W38-1)</f>
        <v>#NAME?</v>
      </c>
      <c r="Y39" s="73" t="e">
        <f t="shared" ref="Y39" ca="1" si="654">+IF(X38&lt;0,1-Y38/X38,Y38/X38-1)</f>
        <v>#NAME?</v>
      </c>
      <c r="Z39" s="76" t="e">
        <f ca="1">+IF(Y38&lt;0,1-Z38/Y38,Z38/Y38-1)</f>
        <v>#NAME?</v>
      </c>
      <c r="AA39" s="76" t="e">
        <f ca="1">+IF(Z38&lt;0,1-AA38/Z38,AA38/Z38-1)</f>
        <v>#NAME?</v>
      </c>
      <c r="AB39" s="74" t="e">
        <f t="shared" ref="AB39" ca="1" si="655">+IF(AA38&lt;0,1-AB38/AA38,AB38/AA38-1)</f>
        <v>#NAME?</v>
      </c>
      <c r="AC39" s="74" t="e">
        <f t="shared" ref="AC39" ca="1" si="656">AC38/AB38-1</f>
        <v>#NAME?</v>
      </c>
      <c r="AD39" s="74" t="e">
        <f t="shared" ref="AD39" ca="1" si="657">AD38/AC38-1</f>
        <v>#NAME?</v>
      </c>
      <c r="AE39" s="74" t="e">
        <f t="shared" ref="AE39" ca="1" si="658">AE38/AD38-1</f>
        <v>#NAME?</v>
      </c>
      <c r="AG39" s="75"/>
      <c r="AH39" s="76"/>
      <c r="AI39" s="76"/>
      <c r="AJ39" s="76"/>
      <c r="AK39" s="76"/>
      <c r="AL39" s="76" t="e">
        <f t="shared" ref="AL39:BV39" ca="1" si="659">+IF(AH38&lt;0,1-AL38/AH38,AL38/AH38-1)</f>
        <v>#NAME?</v>
      </c>
      <c r="AM39" s="76" t="e">
        <f t="shared" ca="1" si="659"/>
        <v>#NAME?</v>
      </c>
      <c r="AN39" s="76" t="e">
        <f t="shared" ca="1" si="659"/>
        <v>#NAME?</v>
      </c>
      <c r="AO39" s="76" t="e">
        <f t="shared" ca="1" si="659"/>
        <v>#NAME?</v>
      </c>
      <c r="AP39" s="76" t="e">
        <f t="shared" ca="1" si="659"/>
        <v>#NAME?</v>
      </c>
      <c r="AQ39" s="76" t="e">
        <f t="shared" ca="1" si="659"/>
        <v>#NAME?</v>
      </c>
      <c r="AR39" s="76" t="e">
        <f t="shared" ca="1" si="659"/>
        <v>#NAME?</v>
      </c>
      <c r="AS39" s="76" t="e">
        <f t="shared" ca="1" si="659"/>
        <v>#NAME?</v>
      </c>
      <c r="AT39" s="76" t="e">
        <f t="shared" ca="1" si="659"/>
        <v>#NAME?</v>
      </c>
      <c r="AU39" s="76" t="e">
        <f t="shared" ca="1" si="659"/>
        <v>#NAME?</v>
      </c>
      <c r="AV39" s="76" t="e">
        <f t="shared" ca="1" si="659"/>
        <v>#NAME?</v>
      </c>
      <c r="AW39" s="76" t="e">
        <f t="shared" ca="1" si="659"/>
        <v>#NAME?</v>
      </c>
      <c r="AX39" s="76" t="e">
        <f t="shared" ca="1" si="659"/>
        <v>#NAME?</v>
      </c>
      <c r="AY39" s="76" t="e">
        <f t="shared" ca="1" si="659"/>
        <v>#NAME?</v>
      </c>
      <c r="AZ39" s="76" t="e">
        <f t="shared" ca="1" si="659"/>
        <v>#NAME?</v>
      </c>
      <c r="BA39" s="76" t="e">
        <f t="shared" ca="1" si="659"/>
        <v>#NAME?</v>
      </c>
      <c r="BB39" s="76" t="e">
        <f t="shared" ca="1" si="659"/>
        <v>#NAME?</v>
      </c>
      <c r="BC39" s="76" t="e">
        <f t="shared" ca="1" si="659"/>
        <v>#NAME?</v>
      </c>
      <c r="BD39" s="76" t="e">
        <f t="shared" ca="1" si="659"/>
        <v>#NAME?</v>
      </c>
      <c r="BE39" s="76" t="e">
        <f t="shared" ca="1" si="659"/>
        <v>#NAME?</v>
      </c>
      <c r="BF39" s="76" t="e">
        <f t="shared" ca="1" si="659"/>
        <v>#NAME?</v>
      </c>
      <c r="BG39" s="76" t="e">
        <f t="shared" ca="1" si="659"/>
        <v>#NAME?</v>
      </c>
      <c r="BH39" s="76" t="e">
        <f t="shared" ca="1" si="659"/>
        <v>#NAME?</v>
      </c>
      <c r="BI39" s="76" t="e">
        <f t="shared" ca="1" si="659"/>
        <v>#NAME?</v>
      </c>
      <c r="BJ39" s="76" t="e">
        <f t="shared" ca="1" si="659"/>
        <v>#NAME?</v>
      </c>
      <c r="BK39" s="76" t="e">
        <f t="shared" ca="1" si="659"/>
        <v>#NAME?</v>
      </c>
      <c r="BL39" s="76" t="e">
        <f t="shared" ca="1" si="659"/>
        <v>#NAME?</v>
      </c>
      <c r="BM39" s="76" t="e">
        <f t="shared" ca="1" si="659"/>
        <v>#NAME?</v>
      </c>
      <c r="BN39" s="76" t="e">
        <f t="shared" ca="1" si="659"/>
        <v>#NAME?</v>
      </c>
      <c r="BO39" s="76" t="e">
        <f t="shared" ca="1" si="659"/>
        <v>#NAME?</v>
      </c>
      <c r="BP39" s="76" t="e">
        <f t="shared" ca="1" si="659"/>
        <v>#NAME?</v>
      </c>
      <c r="BQ39" s="76" t="e">
        <f t="shared" ca="1" si="659"/>
        <v>#NAME?</v>
      </c>
      <c r="BR39" s="76" t="e">
        <f t="shared" ca="1" si="659"/>
        <v>#NAME?</v>
      </c>
      <c r="BS39" s="76" t="e">
        <f t="shared" ca="1" si="659"/>
        <v>#NAME?</v>
      </c>
      <c r="BT39" s="76" t="e">
        <f t="shared" ca="1" si="659"/>
        <v>#NAME?</v>
      </c>
      <c r="BU39" s="76" t="e">
        <f t="shared" ca="1" si="659"/>
        <v>#NAME?</v>
      </c>
      <c r="BV39" s="76" t="e">
        <f t="shared" ca="1" si="659"/>
        <v>#NAME?</v>
      </c>
      <c r="BW39" s="76" t="e">
        <f ca="1">+IF(BS38&lt;0,1-BW38/BS38,BW38/BS38-1)</f>
        <v>#NAME?</v>
      </c>
      <c r="BX39" s="76" t="e">
        <f ca="1">+IF(BT38&lt;0,1-BX38/BT38,BX38/BT38-1)</f>
        <v>#NAME?</v>
      </c>
      <c r="BY39" s="76" t="e">
        <f ca="1">+IF(BU38&lt;0,1-BY38/BU38,BY38/BU38-1)</f>
        <v>#NAME?</v>
      </c>
      <c r="BZ39" s="36" t="e">
        <f t="shared" ref="BZ39:CO39" ca="1" si="660">+IF(BV38&lt;0,1-BZ38/BV38,BZ38/BV38-1)</f>
        <v>#NAME?</v>
      </c>
      <c r="CA39" s="36" t="e">
        <f t="shared" ca="1" si="660"/>
        <v>#NAME?</v>
      </c>
      <c r="CB39" s="36" t="e">
        <f t="shared" ca="1" si="660"/>
        <v>#NAME?</v>
      </c>
      <c r="CC39" s="36" t="e">
        <f t="shared" ca="1" si="660"/>
        <v>#NAME?</v>
      </c>
      <c r="CD39" s="36" t="e">
        <f t="shared" ca="1" si="660"/>
        <v>#NAME?</v>
      </c>
      <c r="CE39" s="36" t="e">
        <f t="shared" ca="1" si="660"/>
        <v>#NAME?</v>
      </c>
      <c r="CF39" s="36" t="e">
        <f t="shared" ca="1" si="660"/>
        <v>#NAME?</v>
      </c>
      <c r="CG39" s="36" t="e">
        <f t="shared" ca="1" si="660"/>
        <v>#NAME?</v>
      </c>
      <c r="CH39" s="36" t="e">
        <f t="shared" ca="1" si="660"/>
        <v>#NAME?</v>
      </c>
      <c r="CI39" s="36" t="e">
        <f t="shared" ca="1" si="660"/>
        <v>#NAME?</v>
      </c>
      <c r="CJ39" s="36" t="e">
        <f t="shared" ca="1" si="660"/>
        <v>#NAME?</v>
      </c>
      <c r="CK39" s="36" t="e">
        <f t="shared" ca="1" si="660"/>
        <v>#NAME?</v>
      </c>
      <c r="CL39" s="36" t="e">
        <f t="shared" ca="1" si="660"/>
        <v>#NAME?</v>
      </c>
      <c r="CM39" s="36" t="e">
        <f t="shared" ca="1" si="660"/>
        <v>#NAME?</v>
      </c>
      <c r="CN39" s="36" t="e">
        <f t="shared" ca="1" si="660"/>
        <v>#NAME?</v>
      </c>
      <c r="CO39" s="36" t="e">
        <f t="shared" ca="1" si="660"/>
        <v>#NAME?</v>
      </c>
      <c r="CS39" s="73">
        <v>0.1379127922927319</v>
      </c>
    </row>
    <row r="40" spans="1:97" s="38" customFormat="1" x14ac:dyDescent="0.2">
      <c r="A40" s="38" t="s">
        <v>0</v>
      </c>
      <c r="B40" s="38" t="e">
        <f ca="1">+'Annual Raw'!C12</f>
        <v>#NAME?</v>
      </c>
      <c r="C40" s="38" t="e">
        <f ca="1">+'Annual Raw'!D12</f>
        <v>#NAME?</v>
      </c>
      <c r="D40" s="38" t="e">
        <f ca="1">+'Annual Raw'!E12</f>
        <v>#NAME?</v>
      </c>
      <c r="E40" s="38" t="e">
        <f ca="1">+'Annual Raw'!F12</f>
        <v>#NAME?</v>
      </c>
      <c r="F40" s="38" t="e">
        <f ca="1">+'Annual Raw'!G12</f>
        <v>#NAME?</v>
      </c>
      <c r="G40" s="38" t="e">
        <f ca="1">+'Annual Raw'!H12</f>
        <v>#NAME?</v>
      </c>
      <c r="H40" s="38" t="e">
        <f ca="1">+'Annual Raw'!I12</f>
        <v>#NAME?</v>
      </c>
      <c r="I40" s="38" t="e">
        <f ca="1">+'Annual Raw'!J12</f>
        <v>#NAME?</v>
      </c>
      <c r="J40" s="38" t="e">
        <f ca="1">+'Annual Raw'!K12</f>
        <v>#NAME?</v>
      </c>
      <c r="K40" s="38" t="e">
        <f ca="1">+'Annual Raw'!L12</f>
        <v>#NAME?</v>
      </c>
      <c r="L40" s="38" t="e">
        <f ca="1">+'Annual Raw'!M12</f>
        <v>#NAME?</v>
      </c>
      <c r="M40" s="38" t="e">
        <f ca="1">+'Annual Raw'!N12</f>
        <v>#NAME?</v>
      </c>
      <c r="N40" s="38" t="e">
        <f ca="1">+'Annual Raw'!O12</f>
        <v>#NAME?</v>
      </c>
      <c r="O40" s="38" t="e">
        <f ca="1">+'Annual Raw'!P12</f>
        <v>#NAME?</v>
      </c>
      <c r="P40" s="38" t="e">
        <f ca="1">+'Annual Raw'!Q12</f>
        <v>#NAME?</v>
      </c>
      <c r="Q40" s="38" t="e">
        <f ca="1">+'Annual Raw'!R12</f>
        <v>#NAME?</v>
      </c>
      <c r="R40" s="38" t="e">
        <f ca="1">+'Annual Raw'!S12</f>
        <v>#NAME?</v>
      </c>
      <c r="S40" s="38" t="e">
        <f ca="1">+'Annual Raw'!T12</f>
        <v>#NAME?</v>
      </c>
      <c r="T40" s="38" t="e">
        <f ca="1">+'Annual Raw'!U12</f>
        <v>#NAME?</v>
      </c>
      <c r="U40" s="38" t="e">
        <f ca="1">+'Annual Raw'!V12</f>
        <v>#NAME?</v>
      </c>
      <c r="V40" s="38" t="e">
        <f ca="1">+'Annual Raw'!W12</f>
        <v>#NAME?</v>
      </c>
      <c r="W40" s="38" t="e">
        <f ca="1">+'Annual Raw'!X12</f>
        <v>#NAME?</v>
      </c>
      <c r="X40" s="38" t="e">
        <f ca="1">+'Annual Raw'!Y12</f>
        <v>#NAME?</v>
      </c>
      <c r="Y40" s="38" t="e">
        <f ca="1">+'Annual Raw'!Z12</f>
        <v>#NAME?</v>
      </c>
      <c r="Z40" s="38" t="e">
        <f ca="1">+'Annual Raw'!AA12</f>
        <v>#NAME?</v>
      </c>
      <c r="AA40" s="38" t="e">
        <f ca="1">+'Annual Raw'!AB12</f>
        <v>#NAME?</v>
      </c>
      <c r="AB40" s="39" t="e">
        <f ca="1">SUM(BZ40:CC40)</f>
        <v>#NAME?</v>
      </c>
      <c r="AC40" s="39" t="e">
        <f ca="1">SUM(CD40:CG40)</f>
        <v>#NAME?</v>
      </c>
      <c r="AD40" s="39" t="e">
        <f ca="1">SUM(CH40:CK40)</f>
        <v>#NAME?</v>
      </c>
      <c r="AE40" s="39" t="e">
        <f ca="1">SUM(CL40:CO40)</f>
        <v>#NAME?</v>
      </c>
      <c r="AG40" s="60"/>
      <c r="AH40" s="38" t="e">
        <f ca="1">+'QTR Raw'!C11</f>
        <v>#NAME?</v>
      </c>
      <c r="AI40" s="38" t="e">
        <f ca="1">+'QTR Raw'!D11</f>
        <v>#NAME?</v>
      </c>
      <c r="AJ40" s="38" t="e">
        <f ca="1">+'QTR Raw'!E11</f>
        <v>#NAME?</v>
      </c>
      <c r="AK40" s="38" t="e">
        <f ca="1">+'QTR Raw'!F11</f>
        <v>#NAME?</v>
      </c>
      <c r="AL40" s="38" t="e">
        <f ca="1">+'QTR Raw'!G11</f>
        <v>#NAME?</v>
      </c>
      <c r="AM40" s="38" t="e">
        <f ca="1">+'QTR Raw'!H11</f>
        <v>#NAME?</v>
      </c>
      <c r="AN40" s="38" t="e">
        <f ca="1">+'QTR Raw'!I11</f>
        <v>#NAME?</v>
      </c>
      <c r="AO40" s="38" t="e">
        <f ca="1">+'QTR Raw'!J11</f>
        <v>#NAME?</v>
      </c>
      <c r="AP40" s="38" t="e">
        <f ca="1">+'QTR Raw'!K11</f>
        <v>#NAME?</v>
      </c>
      <c r="AQ40" s="38" t="e">
        <f ca="1">+'QTR Raw'!L11</f>
        <v>#NAME?</v>
      </c>
      <c r="AR40" s="38" t="e">
        <f ca="1">+'QTR Raw'!M11</f>
        <v>#NAME?</v>
      </c>
      <c r="AS40" s="38" t="e">
        <f ca="1">+'QTR Raw'!N11</f>
        <v>#NAME?</v>
      </c>
      <c r="AT40" s="38" t="e">
        <f ca="1">+'QTR Raw'!O11</f>
        <v>#NAME?</v>
      </c>
      <c r="AU40" s="38" t="e">
        <f ca="1">+'QTR Raw'!P11</f>
        <v>#NAME?</v>
      </c>
      <c r="AV40" s="38" t="e">
        <f ca="1">+'QTR Raw'!Q11</f>
        <v>#NAME?</v>
      </c>
      <c r="AW40" s="38" t="e">
        <f ca="1">+'QTR Raw'!R11</f>
        <v>#NAME?</v>
      </c>
      <c r="AX40" s="38" t="e">
        <f ca="1">+'QTR Raw'!S11</f>
        <v>#NAME?</v>
      </c>
      <c r="AY40" s="38" t="e">
        <f ca="1">+'QTR Raw'!T11</f>
        <v>#NAME?</v>
      </c>
      <c r="AZ40" s="38" t="e">
        <f ca="1">+'QTR Raw'!U11</f>
        <v>#NAME?</v>
      </c>
      <c r="BA40" s="38" t="e">
        <f ca="1">+'QTR Raw'!V11</f>
        <v>#NAME?</v>
      </c>
      <c r="BB40" s="38" t="e">
        <f ca="1">+'QTR Raw'!W11</f>
        <v>#NAME?</v>
      </c>
      <c r="BC40" s="38" t="e">
        <f ca="1">+'QTR Raw'!X11</f>
        <v>#NAME?</v>
      </c>
      <c r="BD40" s="38" t="e">
        <f ca="1">+'QTR Raw'!Y11</f>
        <v>#NAME?</v>
      </c>
      <c r="BE40" s="38" t="e">
        <f ca="1">+'QTR Raw'!Z11</f>
        <v>#NAME?</v>
      </c>
      <c r="BF40" s="38" t="e">
        <f ca="1">+'QTR Raw'!AA11</f>
        <v>#NAME?</v>
      </c>
      <c r="BG40" s="38" t="e">
        <f ca="1">+'QTR Raw'!AB11</f>
        <v>#NAME?</v>
      </c>
      <c r="BH40" s="38" t="e">
        <f ca="1">+'QTR Raw'!AC11</f>
        <v>#NAME?</v>
      </c>
      <c r="BI40" s="38" t="e">
        <f ca="1">+'QTR Raw'!AD11</f>
        <v>#NAME?</v>
      </c>
      <c r="BJ40" s="38" t="e">
        <f ca="1">+'QTR Raw'!AE11</f>
        <v>#NAME?</v>
      </c>
      <c r="BK40" s="38" t="e">
        <f ca="1">+'QTR Raw'!AF11</f>
        <v>#NAME?</v>
      </c>
      <c r="BL40" s="38" t="e">
        <f ca="1">+'QTR Raw'!AG11</f>
        <v>#NAME?</v>
      </c>
      <c r="BM40" s="38" t="e">
        <f ca="1">+'QTR Raw'!AH11</f>
        <v>#NAME?</v>
      </c>
      <c r="BN40" s="38" t="e">
        <f ca="1">+'QTR Raw'!AI11</f>
        <v>#NAME?</v>
      </c>
      <c r="BO40" s="38" t="e">
        <f ca="1">+'QTR Raw'!AJ11</f>
        <v>#NAME?</v>
      </c>
      <c r="BP40" s="38" t="e">
        <f ca="1">+'QTR Raw'!AK11</f>
        <v>#NAME?</v>
      </c>
      <c r="BQ40" s="38" t="e">
        <f ca="1">+'QTR Raw'!AL11</f>
        <v>#NAME?</v>
      </c>
      <c r="BR40" s="38" t="e">
        <f ca="1">+'QTR Raw'!AM11</f>
        <v>#NAME?</v>
      </c>
      <c r="BS40" s="38" t="e">
        <f ca="1">+'QTR Raw'!AN11</f>
        <v>#NAME?</v>
      </c>
      <c r="BT40" s="38" t="e">
        <f ca="1">+'QTR Raw'!AO11</f>
        <v>#NAME?</v>
      </c>
      <c r="BU40" s="38" t="e">
        <f ca="1">+'QTR Raw'!AP11</f>
        <v>#NAME?</v>
      </c>
      <c r="BV40" s="38" t="e">
        <f ca="1">+'QTR Raw'!AQ11</f>
        <v>#NAME?</v>
      </c>
      <c r="BW40" s="38" t="e">
        <f ca="1">+'QTR Raw'!AR11</f>
        <v>#NAME?</v>
      </c>
      <c r="BX40" s="38" t="e">
        <f ca="1">+'QTR Raw'!AS11</f>
        <v>#NAME?</v>
      </c>
      <c r="BY40" s="38" t="e">
        <f ca="1">+'QTR Raw'!AT11</f>
        <v>#NAME?</v>
      </c>
      <c r="BZ40" s="113" t="e">
        <f t="shared" ref="BZ40:CO40" ca="1" si="661">BZ18*BY5</f>
        <v>#NAME?</v>
      </c>
      <c r="CA40" s="113" t="e">
        <f t="shared" ca="1" si="661"/>
        <v>#NAME?</v>
      </c>
      <c r="CB40" s="113" t="e">
        <f t="shared" ca="1" si="661"/>
        <v>#NAME?</v>
      </c>
      <c r="CC40" s="113" t="e">
        <f t="shared" ca="1" si="661"/>
        <v>#NAME?</v>
      </c>
      <c r="CD40" s="113" t="e">
        <f t="shared" ca="1" si="661"/>
        <v>#NAME?</v>
      </c>
      <c r="CE40" s="113" t="e">
        <f t="shared" ca="1" si="661"/>
        <v>#NAME?</v>
      </c>
      <c r="CF40" s="113" t="e">
        <f t="shared" ca="1" si="661"/>
        <v>#NAME?</v>
      </c>
      <c r="CG40" s="113" t="e">
        <f t="shared" ca="1" si="661"/>
        <v>#NAME?</v>
      </c>
      <c r="CH40" s="113" t="e">
        <f t="shared" ca="1" si="661"/>
        <v>#NAME?</v>
      </c>
      <c r="CI40" s="113" t="e">
        <f t="shared" ca="1" si="661"/>
        <v>#NAME?</v>
      </c>
      <c r="CJ40" s="113" t="e">
        <f t="shared" ca="1" si="661"/>
        <v>#NAME?</v>
      </c>
      <c r="CK40" s="113" t="e">
        <f t="shared" ca="1" si="661"/>
        <v>#NAME?</v>
      </c>
      <c r="CL40" s="113" t="e">
        <f t="shared" ca="1" si="661"/>
        <v>#NAME?</v>
      </c>
      <c r="CM40" s="113" t="e">
        <f t="shared" ca="1" si="661"/>
        <v>#NAME?</v>
      </c>
      <c r="CN40" s="113" t="e">
        <f t="shared" ca="1" si="661"/>
        <v>#NAME?</v>
      </c>
      <c r="CO40" s="113" t="e">
        <f t="shared" ca="1" si="661"/>
        <v>#NAME?</v>
      </c>
      <c r="CS40" s="153">
        <v>3375.7700000000004</v>
      </c>
    </row>
    <row r="41" spans="1:97" s="38" customFormat="1" x14ac:dyDescent="0.2">
      <c r="A41" s="38" t="s">
        <v>1</v>
      </c>
      <c r="B41" s="38" t="e">
        <f ca="1">+'Annual Raw'!C11-'Annual Raw'!C12-'Annual Raw'!C13-'Annual Raw'!C14-'Annual Raw'!C15-'Annual Raw'!C16-'Annual Raw'!C17</f>
        <v>#NAME?</v>
      </c>
      <c r="C41" s="38" t="e">
        <f ca="1">+'Annual Raw'!D11-'Annual Raw'!D12-'Annual Raw'!D13-'Annual Raw'!D14-'Annual Raw'!D15-'Annual Raw'!D16-'Annual Raw'!D17</f>
        <v>#NAME?</v>
      </c>
      <c r="D41" s="38" t="e">
        <f ca="1">+'Annual Raw'!E11-'Annual Raw'!E12-'Annual Raw'!E13-'Annual Raw'!E14-'Annual Raw'!E15-'Annual Raw'!E16-'Annual Raw'!E17</f>
        <v>#NAME?</v>
      </c>
      <c r="E41" s="38" t="e">
        <f ca="1">+'Annual Raw'!F11-'Annual Raw'!F12-'Annual Raw'!F13-'Annual Raw'!F14-'Annual Raw'!F15-'Annual Raw'!F16-'Annual Raw'!F17</f>
        <v>#NAME?</v>
      </c>
      <c r="F41" s="38" t="e">
        <f ca="1">+'Annual Raw'!G11-'Annual Raw'!G12-'Annual Raw'!G13-'Annual Raw'!G14-'Annual Raw'!G15-'Annual Raw'!G16-'Annual Raw'!G17</f>
        <v>#NAME?</v>
      </c>
      <c r="G41" s="38" t="e">
        <f ca="1">+'Annual Raw'!H11-'Annual Raw'!H12-'Annual Raw'!H13-'Annual Raw'!H14-'Annual Raw'!H15-'Annual Raw'!H16-'Annual Raw'!H17</f>
        <v>#NAME?</v>
      </c>
      <c r="H41" s="38" t="e">
        <f ca="1">+'Annual Raw'!I11-'Annual Raw'!I12-'Annual Raw'!I13-'Annual Raw'!I14-'Annual Raw'!I15-'Annual Raw'!I16-'Annual Raw'!I17</f>
        <v>#NAME?</v>
      </c>
      <c r="I41" s="38" t="e">
        <f ca="1">+'Annual Raw'!J11-'Annual Raw'!J12-'Annual Raw'!J13-'Annual Raw'!J14-'Annual Raw'!J15-'Annual Raw'!J16-'Annual Raw'!J17</f>
        <v>#NAME?</v>
      </c>
      <c r="J41" s="38" t="e">
        <f ca="1">+'Annual Raw'!K11-'Annual Raw'!K12-'Annual Raw'!K13-'Annual Raw'!K14-'Annual Raw'!K15-'Annual Raw'!K16-'Annual Raw'!K17</f>
        <v>#NAME?</v>
      </c>
      <c r="K41" s="38" t="e">
        <f ca="1">+'Annual Raw'!L11-'Annual Raw'!L12-'Annual Raw'!L13-'Annual Raw'!L14-'Annual Raw'!L15-'Annual Raw'!L16-'Annual Raw'!L17</f>
        <v>#NAME?</v>
      </c>
      <c r="L41" s="38" t="e">
        <f ca="1">+'Annual Raw'!M11-'Annual Raw'!M12-'Annual Raw'!M13-'Annual Raw'!M14-'Annual Raw'!M15-'Annual Raw'!M16-'Annual Raw'!M17</f>
        <v>#NAME?</v>
      </c>
      <c r="M41" s="38" t="e">
        <f ca="1">+'Annual Raw'!N11-'Annual Raw'!N12-'Annual Raw'!N13-'Annual Raw'!N14-'Annual Raw'!N15-'Annual Raw'!N16-'Annual Raw'!N17</f>
        <v>#NAME?</v>
      </c>
      <c r="N41" s="38" t="e">
        <f ca="1">+'Annual Raw'!O11-'Annual Raw'!O12-'Annual Raw'!O13-'Annual Raw'!O14-'Annual Raw'!O15-'Annual Raw'!O16-'Annual Raw'!O17</f>
        <v>#NAME?</v>
      </c>
      <c r="O41" s="38" t="e">
        <f ca="1">+'Annual Raw'!P11-'Annual Raw'!P12-'Annual Raw'!P13-'Annual Raw'!P14-'Annual Raw'!P15-'Annual Raw'!P16-'Annual Raw'!P17</f>
        <v>#NAME?</v>
      </c>
      <c r="P41" s="38" t="e">
        <f ca="1">+'Annual Raw'!Q11-'Annual Raw'!Q12-'Annual Raw'!Q13-'Annual Raw'!Q14-'Annual Raw'!Q15-'Annual Raw'!Q16-'Annual Raw'!Q17</f>
        <v>#NAME?</v>
      </c>
      <c r="Q41" s="38" t="e">
        <f ca="1">+'Annual Raw'!R11-'Annual Raw'!R12-'Annual Raw'!R13-'Annual Raw'!R14-'Annual Raw'!R15-'Annual Raw'!R16-'Annual Raw'!R17</f>
        <v>#NAME?</v>
      </c>
      <c r="R41" s="38" t="e">
        <f ca="1">+'Annual Raw'!S11-'Annual Raw'!S12-'Annual Raw'!S13-'Annual Raw'!S14-'Annual Raw'!S15-'Annual Raw'!S16-'Annual Raw'!S17</f>
        <v>#NAME?</v>
      </c>
      <c r="S41" s="38" t="e">
        <f ca="1">+'Annual Raw'!T11-'Annual Raw'!T12-'Annual Raw'!T13-'Annual Raw'!T14-'Annual Raw'!T15-'Annual Raw'!T16-'Annual Raw'!T17</f>
        <v>#NAME?</v>
      </c>
      <c r="T41" s="38" t="e">
        <f ca="1">+'Annual Raw'!U11-'Annual Raw'!U12-'Annual Raw'!U13-'Annual Raw'!U14-'Annual Raw'!U15-'Annual Raw'!U16-'Annual Raw'!U17</f>
        <v>#NAME?</v>
      </c>
      <c r="U41" s="38" t="e">
        <f ca="1">+'Annual Raw'!V11-'Annual Raw'!V12-'Annual Raw'!V13-'Annual Raw'!V14-'Annual Raw'!V15-'Annual Raw'!V16-'Annual Raw'!V17</f>
        <v>#NAME?</v>
      </c>
      <c r="V41" s="38" t="e">
        <f ca="1">+'Annual Raw'!W11-'Annual Raw'!W12-'Annual Raw'!W13-'Annual Raw'!W14-'Annual Raw'!W15-'Annual Raw'!W16-'Annual Raw'!W17</f>
        <v>#NAME?</v>
      </c>
      <c r="W41" s="38" t="e">
        <f ca="1">+'Annual Raw'!X11-'Annual Raw'!X12-'Annual Raw'!X13-'Annual Raw'!X14-'Annual Raw'!X15-'Annual Raw'!X16-'Annual Raw'!X17</f>
        <v>#NAME?</v>
      </c>
      <c r="X41" s="38" t="e">
        <f ca="1">+'Annual Raw'!Y11-'Annual Raw'!Y12-'Annual Raw'!Y13-'Annual Raw'!Y14-'Annual Raw'!Y15-'Annual Raw'!Y16-'Annual Raw'!Y17</f>
        <v>#NAME?</v>
      </c>
      <c r="Y41" s="38" t="e">
        <f ca="1">+'Annual Raw'!Z11-'Annual Raw'!Z12-'Annual Raw'!Z13-'Annual Raw'!Z14-'Annual Raw'!Z15-'Annual Raw'!Z16-'Annual Raw'!Z17</f>
        <v>#NAME?</v>
      </c>
      <c r="Z41" s="38" t="e">
        <f ca="1">+'Annual Raw'!AA11-'Annual Raw'!AA12-'Annual Raw'!AA13-'Annual Raw'!AA14-'Annual Raw'!AA15-'Annual Raw'!AA16-'Annual Raw'!AA17</f>
        <v>#NAME?</v>
      </c>
      <c r="AA41" s="38" t="e">
        <f ca="1">+'Annual Raw'!AB11-'Annual Raw'!AB12-'Annual Raw'!AB13-'Annual Raw'!AB14-'Annual Raw'!AB15-'Annual Raw'!AB16-'Annual Raw'!AB17</f>
        <v>#NAME?</v>
      </c>
      <c r="AB41" s="39">
        <f>SUM(BZ41:CC41)</f>
        <v>0</v>
      </c>
      <c r="AC41" s="39">
        <f>SUM(CD41:CG41)</f>
        <v>0</v>
      </c>
      <c r="AD41" s="39">
        <f>SUM(CH41:CK41)</f>
        <v>0</v>
      </c>
      <c r="AE41" s="39">
        <f>SUM(CL41:CO41)</f>
        <v>0</v>
      </c>
      <c r="AG41" s="60"/>
      <c r="AH41" s="38" t="e">
        <f ca="1">+'QTR Raw'!C10-'QTR Raw'!C11-'QTR Raw'!C12</f>
        <v>#NAME?</v>
      </c>
      <c r="AI41" s="38" t="e">
        <f ca="1">+'QTR Raw'!D10-'QTR Raw'!D11-'QTR Raw'!D12</f>
        <v>#NAME?</v>
      </c>
      <c r="AJ41" s="38" t="e">
        <f ca="1">+'QTR Raw'!E10-'QTR Raw'!E11-'QTR Raw'!E12</f>
        <v>#NAME?</v>
      </c>
      <c r="AK41" s="38" t="e">
        <f ca="1">+'QTR Raw'!F10-'QTR Raw'!F11-'QTR Raw'!F12</f>
        <v>#NAME?</v>
      </c>
      <c r="AL41" s="38" t="e">
        <f ca="1">+'QTR Raw'!G10-'QTR Raw'!G11-'QTR Raw'!G12</f>
        <v>#NAME?</v>
      </c>
      <c r="AM41" s="38" t="e">
        <f ca="1">+'QTR Raw'!H10-'QTR Raw'!H11-'QTR Raw'!H12</f>
        <v>#NAME?</v>
      </c>
      <c r="AN41" s="38" t="e">
        <f ca="1">+'QTR Raw'!I10-'QTR Raw'!I11-'QTR Raw'!I12</f>
        <v>#NAME?</v>
      </c>
      <c r="AO41" s="38" t="e">
        <f ca="1">+'QTR Raw'!J10-'QTR Raw'!J11-'QTR Raw'!J12</f>
        <v>#NAME?</v>
      </c>
      <c r="AP41" s="38" t="e">
        <f ca="1">+'QTR Raw'!K10-'QTR Raw'!K11-'QTR Raw'!K12</f>
        <v>#NAME?</v>
      </c>
      <c r="AQ41" s="38" t="e">
        <f ca="1">+'QTR Raw'!L10-'QTR Raw'!L11-'QTR Raw'!L12</f>
        <v>#NAME?</v>
      </c>
      <c r="AR41" s="38" t="e">
        <f ca="1">+'QTR Raw'!M10-'QTR Raw'!M11-'QTR Raw'!M12</f>
        <v>#NAME?</v>
      </c>
      <c r="AS41" s="38" t="e">
        <f ca="1">+'QTR Raw'!N10-'QTR Raw'!N11-'QTR Raw'!N12</f>
        <v>#NAME?</v>
      </c>
      <c r="AT41" s="38" t="e">
        <f ca="1">+'QTR Raw'!O10-'QTR Raw'!O11-'QTR Raw'!O12</f>
        <v>#NAME?</v>
      </c>
      <c r="AU41" s="38" t="e">
        <f ca="1">+'QTR Raw'!P10-'QTR Raw'!P11-'QTR Raw'!P12</f>
        <v>#NAME?</v>
      </c>
      <c r="AV41" s="38" t="e">
        <f ca="1">+'QTR Raw'!Q10-'QTR Raw'!Q11-'QTR Raw'!Q12</f>
        <v>#NAME?</v>
      </c>
      <c r="AW41" s="38" t="e">
        <f ca="1">+'QTR Raw'!R10-'QTR Raw'!R11-'QTR Raw'!R12</f>
        <v>#NAME?</v>
      </c>
      <c r="AX41" s="38" t="e">
        <f ca="1">+'QTR Raw'!S10-'QTR Raw'!S11-'QTR Raw'!S12</f>
        <v>#NAME?</v>
      </c>
      <c r="AY41" s="38" t="e">
        <f ca="1">+'QTR Raw'!T10-'QTR Raw'!T11-'QTR Raw'!T12</f>
        <v>#NAME?</v>
      </c>
      <c r="AZ41" s="38" t="e">
        <f ca="1">+'QTR Raw'!U10-'QTR Raw'!U11-'QTR Raw'!U12</f>
        <v>#NAME?</v>
      </c>
      <c r="BA41" s="38" t="e">
        <f ca="1">+'QTR Raw'!V10-'QTR Raw'!V11-'QTR Raw'!V12</f>
        <v>#NAME?</v>
      </c>
      <c r="BB41" s="38" t="e">
        <f ca="1">+'QTR Raw'!W10-'QTR Raw'!W11-'QTR Raw'!W12</f>
        <v>#NAME?</v>
      </c>
      <c r="BC41" s="38" t="e">
        <f ca="1">+'QTR Raw'!X10-'QTR Raw'!X11-'QTR Raw'!X12</f>
        <v>#NAME?</v>
      </c>
      <c r="BD41" s="38" t="e">
        <f ca="1">+'QTR Raw'!Y10-'QTR Raw'!Y11-'QTR Raw'!Y12</f>
        <v>#NAME?</v>
      </c>
      <c r="BE41" s="38" t="e">
        <f ca="1">+'QTR Raw'!Z10-'QTR Raw'!Z11-'QTR Raw'!Z12</f>
        <v>#NAME?</v>
      </c>
      <c r="BF41" s="38" t="e">
        <f ca="1">+'QTR Raw'!AA10-'QTR Raw'!AA11-'QTR Raw'!AA12</f>
        <v>#NAME?</v>
      </c>
      <c r="BG41" s="38" t="e">
        <f ca="1">+'QTR Raw'!AB10-'QTR Raw'!AB11-'QTR Raw'!AB12</f>
        <v>#NAME?</v>
      </c>
      <c r="BH41" s="38" t="e">
        <f ca="1">+'QTR Raw'!AC10-'QTR Raw'!AC11-'QTR Raw'!AC12</f>
        <v>#NAME?</v>
      </c>
      <c r="BI41" s="38" t="e">
        <f ca="1">+'QTR Raw'!AD10-'QTR Raw'!AD11-'QTR Raw'!AD12</f>
        <v>#NAME?</v>
      </c>
      <c r="BJ41" s="38" t="e">
        <f ca="1">+'QTR Raw'!AE10-'QTR Raw'!AE11-'QTR Raw'!AE12</f>
        <v>#NAME?</v>
      </c>
      <c r="BK41" s="38" t="e">
        <f ca="1">+'QTR Raw'!AF10-'QTR Raw'!AF11-'QTR Raw'!AF12</f>
        <v>#NAME?</v>
      </c>
      <c r="BL41" s="38" t="e">
        <f ca="1">+'QTR Raw'!AG10-'QTR Raw'!AG11-'QTR Raw'!AG12</f>
        <v>#NAME?</v>
      </c>
      <c r="BM41" s="38" t="e">
        <f ca="1">+'QTR Raw'!AH10-'QTR Raw'!AH11-'QTR Raw'!AH12</f>
        <v>#NAME?</v>
      </c>
      <c r="BN41" s="38" t="e">
        <f ca="1">+'QTR Raw'!AI10-'QTR Raw'!AI11-'QTR Raw'!AI12</f>
        <v>#NAME?</v>
      </c>
      <c r="BO41" s="38" t="e">
        <f ca="1">+'QTR Raw'!AJ10-'QTR Raw'!AJ11-'QTR Raw'!AJ12</f>
        <v>#NAME?</v>
      </c>
      <c r="BP41" s="38" t="e">
        <f ca="1">+'QTR Raw'!AK10-'QTR Raw'!AK11-'QTR Raw'!AK12</f>
        <v>#NAME?</v>
      </c>
      <c r="BQ41" s="38" t="e">
        <f ca="1">+'QTR Raw'!AL10-'QTR Raw'!AL11-'QTR Raw'!AL12</f>
        <v>#NAME?</v>
      </c>
      <c r="BR41" s="38" t="e">
        <f ca="1">+'QTR Raw'!AM10-'QTR Raw'!AM11-'QTR Raw'!AM12</f>
        <v>#NAME?</v>
      </c>
      <c r="BS41" s="38" t="e">
        <f ca="1">+'QTR Raw'!AN10-'QTR Raw'!AN11-'QTR Raw'!AN12</f>
        <v>#NAME?</v>
      </c>
      <c r="BT41" s="38" t="e">
        <f ca="1">+'QTR Raw'!AO10-'QTR Raw'!AO11-'QTR Raw'!AO12</f>
        <v>#NAME?</v>
      </c>
      <c r="BU41" s="38" t="e">
        <f ca="1">+'QTR Raw'!AP10-'QTR Raw'!AP11-'QTR Raw'!AP12</f>
        <v>#NAME?</v>
      </c>
      <c r="BV41" s="38" t="e">
        <f ca="1">+'QTR Raw'!AQ10-'QTR Raw'!AQ11-'QTR Raw'!AQ12</f>
        <v>#NAME?</v>
      </c>
      <c r="BW41" s="38" t="e">
        <f ca="1">+'QTR Raw'!AR10-'QTR Raw'!AR11-'QTR Raw'!AR12</f>
        <v>#NAME?</v>
      </c>
      <c r="BX41" s="38" t="e">
        <f ca="1">+'QTR Raw'!AS10-'QTR Raw'!AS11-'QTR Raw'!AS12</f>
        <v>#NAME?</v>
      </c>
      <c r="BY41" s="38" t="e">
        <f ca="1">+'QTR Raw'!AT10-'QTR Raw'!AT11-'QTR Raw'!AT12</f>
        <v>#NAME?</v>
      </c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S41" s="38">
        <v>3003.36</v>
      </c>
    </row>
    <row r="42" spans="1:97" s="38" customFormat="1" x14ac:dyDescent="0.2">
      <c r="A42" s="38" t="s">
        <v>374</v>
      </c>
      <c r="B42" s="38" t="e">
        <f ca="1">+'Annual Raw'!C17</f>
        <v>#NAME?</v>
      </c>
      <c r="C42" s="38" t="e">
        <f ca="1">+'Annual Raw'!D17</f>
        <v>#NAME?</v>
      </c>
      <c r="D42" s="38" t="e">
        <f ca="1">+'Annual Raw'!E17</f>
        <v>#NAME?</v>
      </c>
      <c r="E42" s="38" t="e">
        <f ca="1">+'Annual Raw'!F17</f>
        <v>#NAME?</v>
      </c>
      <c r="F42" s="38" t="e">
        <f ca="1">+'Annual Raw'!G17</f>
        <v>#NAME?</v>
      </c>
      <c r="G42" s="38" t="e">
        <f ca="1">+'Annual Raw'!H17</f>
        <v>#NAME?</v>
      </c>
      <c r="H42" s="38" t="e">
        <f ca="1">+'Annual Raw'!I17</f>
        <v>#NAME?</v>
      </c>
      <c r="I42" s="38" t="e">
        <f ca="1">+'Annual Raw'!J17</f>
        <v>#NAME?</v>
      </c>
      <c r="J42" s="38" t="e">
        <f ca="1">+'Annual Raw'!K17</f>
        <v>#NAME?</v>
      </c>
      <c r="K42" s="38" t="e">
        <f ca="1">+'Annual Raw'!L17</f>
        <v>#NAME?</v>
      </c>
      <c r="L42" s="38" t="e">
        <f ca="1">+'Annual Raw'!M17</f>
        <v>#NAME?</v>
      </c>
      <c r="M42" s="38" t="e">
        <f ca="1">+'Annual Raw'!N17</f>
        <v>#NAME?</v>
      </c>
      <c r="N42" s="38" t="e">
        <f ca="1">+'Annual Raw'!O17</f>
        <v>#NAME?</v>
      </c>
      <c r="O42" s="38" t="e">
        <f ca="1">+'Annual Raw'!P17</f>
        <v>#NAME?</v>
      </c>
      <c r="P42" s="38" t="e">
        <f ca="1">+'Annual Raw'!Q17</f>
        <v>#NAME?</v>
      </c>
      <c r="Q42" s="38" t="e">
        <f ca="1">+'Annual Raw'!R17</f>
        <v>#NAME?</v>
      </c>
      <c r="R42" s="38" t="e">
        <f ca="1">+'Annual Raw'!S17</f>
        <v>#NAME?</v>
      </c>
      <c r="S42" s="38" t="e">
        <f ca="1">+'Annual Raw'!T17</f>
        <v>#NAME?</v>
      </c>
      <c r="T42" s="38" t="e">
        <f ca="1">+'Annual Raw'!U17</f>
        <v>#NAME?</v>
      </c>
      <c r="U42" s="38" t="e">
        <f ca="1">+'Annual Raw'!V17</f>
        <v>#NAME?</v>
      </c>
      <c r="V42" s="38" t="e">
        <f ca="1">+'Annual Raw'!W17</f>
        <v>#NAME?</v>
      </c>
      <c r="W42" s="38" t="e">
        <f ca="1">+'Annual Raw'!X17</f>
        <v>#NAME?</v>
      </c>
      <c r="X42" s="38" t="e">
        <f ca="1">+'Annual Raw'!Y17</f>
        <v>#NAME?</v>
      </c>
      <c r="Y42" s="38" t="e">
        <f ca="1">+'Annual Raw'!Z17</f>
        <v>#NAME?</v>
      </c>
      <c r="Z42" s="38" t="e">
        <f ca="1">+'Annual Raw'!AA17</f>
        <v>#NAME?</v>
      </c>
      <c r="AA42" s="38" t="e">
        <f ca="1">+'Annual Raw'!AB17</f>
        <v>#NAME?</v>
      </c>
      <c r="AB42" s="39"/>
      <c r="AC42" s="39"/>
      <c r="AD42" s="39"/>
      <c r="AE42" s="39"/>
      <c r="AG42" s="60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</row>
    <row r="43" spans="1:97" s="38" customFormat="1" x14ac:dyDescent="0.2">
      <c r="A43" s="38" t="s">
        <v>23</v>
      </c>
      <c r="B43" s="38" t="e">
        <f ca="1">+'Annual Raw'!C14</f>
        <v>#NAME?</v>
      </c>
      <c r="C43" s="38" t="e">
        <f ca="1">+'Annual Raw'!D14</f>
        <v>#NAME?</v>
      </c>
      <c r="D43" s="38" t="e">
        <f ca="1">+'Annual Raw'!E14</f>
        <v>#NAME?</v>
      </c>
      <c r="E43" s="38" t="e">
        <f ca="1">+'Annual Raw'!F14</f>
        <v>#NAME?</v>
      </c>
      <c r="F43" s="38" t="e">
        <f ca="1">+'Annual Raw'!G14</f>
        <v>#NAME?</v>
      </c>
      <c r="G43" s="38" t="e">
        <f ca="1">+'Annual Raw'!H14</f>
        <v>#NAME?</v>
      </c>
      <c r="H43" s="38" t="e">
        <f ca="1">+'Annual Raw'!I14</f>
        <v>#NAME?</v>
      </c>
      <c r="I43" s="38" t="e">
        <f ca="1">+'Annual Raw'!J14</f>
        <v>#NAME?</v>
      </c>
      <c r="J43" s="38" t="e">
        <f ca="1">+'Annual Raw'!K14</f>
        <v>#NAME?</v>
      </c>
      <c r="K43" s="38" t="e">
        <f ca="1">+'Annual Raw'!L14</f>
        <v>#NAME?</v>
      </c>
      <c r="L43" s="38" t="e">
        <f ca="1">+'Annual Raw'!M14</f>
        <v>#NAME?</v>
      </c>
      <c r="M43" s="38" t="e">
        <f ca="1">+'Annual Raw'!N14</f>
        <v>#NAME?</v>
      </c>
      <c r="N43" s="38" t="e">
        <f ca="1">+'Annual Raw'!O14</f>
        <v>#NAME?</v>
      </c>
      <c r="O43" s="38" t="e">
        <f ca="1">+'Annual Raw'!P14</f>
        <v>#NAME?</v>
      </c>
      <c r="P43" s="38" t="e">
        <f ca="1">+'Annual Raw'!Q14</f>
        <v>#NAME?</v>
      </c>
      <c r="Q43" s="38" t="e">
        <f ca="1">+'Annual Raw'!R14</f>
        <v>#NAME?</v>
      </c>
      <c r="R43" s="38" t="e">
        <f ca="1">+'Annual Raw'!S14</f>
        <v>#NAME?</v>
      </c>
      <c r="S43" s="38" t="e">
        <f ca="1">+'Annual Raw'!T14</f>
        <v>#NAME?</v>
      </c>
      <c r="T43" s="38" t="e">
        <f ca="1">+'Annual Raw'!U14</f>
        <v>#NAME?</v>
      </c>
      <c r="U43" s="38" t="e">
        <f ca="1">+'Annual Raw'!V14</f>
        <v>#NAME?</v>
      </c>
      <c r="V43" s="38" t="e">
        <f ca="1">+'Annual Raw'!W14</f>
        <v>#NAME?</v>
      </c>
      <c r="W43" s="38" t="e">
        <f ca="1">+'Annual Raw'!X14</f>
        <v>#NAME?</v>
      </c>
      <c r="X43" s="38" t="e">
        <f ca="1">+'Annual Raw'!Y14</f>
        <v>#NAME?</v>
      </c>
      <c r="Y43" s="38" t="e">
        <f ca="1">+'Annual Raw'!Z14</f>
        <v>#NAME?</v>
      </c>
      <c r="Z43" s="38" t="e">
        <f ca="1">+'Annual Raw'!AA14</f>
        <v>#NAME?</v>
      </c>
      <c r="AA43" s="38" t="e">
        <f ca="1">+'Annual Raw'!AB14</f>
        <v>#NAME?</v>
      </c>
      <c r="AB43" s="39">
        <f>SUM(BZ43:CC43)</f>
        <v>0</v>
      </c>
      <c r="AC43" s="39">
        <f>SUM(CD43:CG43)</f>
        <v>0</v>
      </c>
      <c r="AD43" s="39">
        <f>SUM(CH43:CK43)</f>
        <v>0</v>
      </c>
      <c r="AE43" s="39">
        <f>SUM(CL43:CO43)</f>
        <v>0</v>
      </c>
      <c r="AG43" s="60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S43" s="38">
        <v>0</v>
      </c>
    </row>
    <row r="44" spans="1:97" s="38" customFormat="1" x14ac:dyDescent="0.2">
      <c r="A44" s="38" t="s">
        <v>4</v>
      </c>
      <c r="B44" s="38" t="e">
        <f ca="1">+'Annual Raw'!C15+'Annual Raw'!C16</f>
        <v>#NAME?</v>
      </c>
      <c r="C44" s="38" t="e">
        <f ca="1">+'Annual Raw'!D15+'Annual Raw'!D16</f>
        <v>#NAME?</v>
      </c>
      <c r="D44" s="38" t="e">
        <f ca="1">+'Annual Raw'!E15+'Annual Raw'!E16</f>
        <v>#NAME?</v>
      </c>
      <c r="E44" s="38" t="e">
        <f ca="1">+'Annual Raw'!F15+'Annual Raw'!F16</f>
        <v>#NAME?</v>
      </c>
      <c r="F44" s="38" t="e">
        <f ca="1">+'Annual Raw'!G15+'Annual Raw'!G16</f>
        <v>#NAME?</v>
      </c>
      <c r="G44" s="38" t="e">
        <f ca="1">+'Annual Raw'!H15+'Annual Raw'!H16</f>
        <v>#NAME?</v>
      </c>
      <c r="H44" s="38" t="e">
        <f ca="1">+'Annual Raw'!I15+'Annual Raw'!I16</f>
        <v>#NAME?</v>
      </c>
      <c r="I44" s="38" t="e">
        <f ca="1">+'Annual Raw'!J15+'Annual Raw'!J16</f>
        <v>#NAME?</v>
      </c>
      <c r="J44" s="38" t="e">
        <f ca="1">+'Annual Raw'!K15+'Annual Raw'!K16</f>
        <v>#NAME?</v>
      </c>
      <c r="K44" s="38" t="e">
        <f ca="1">+'Annual Raw'!L15+'Annual Raw'!L16</f>
        <v>#NAME?</v>
      </c>
      <c r="L44" s="38" t="e">
        <f ca="1">+'Annual Raw'!M15+'Annual Raw'!M16</f>
        <v>#NAME?</v>
      </c>
      <c r="M44" s="38" t="e">
        <f ca="1">+'Annual Raw'!N15+'Annual Raw'!N16</f>
        <v>#NAME?</v>
      </c>
      <c r="N44" s="38" t="e">
        <f ca="1">+'Annual Raw'!O15+'Annual Raw'!O16</f>
        <v>#NAME?</v>
      </c>
      <c r="O44" s="38" t="e">
        <f ca="1">+'Annual Raw'!P15+'Annual Raw'!P16</f>
        <v>#NAME?</v>
      </c>
      <c r="P44" s="38" t="e">
        <f ca="1">+'Annual Raw'!Q15+'Annual Raw'!Q16</f>
        <v>#NAME?</v>
      </c>
      <c r="Q44" s="38" t="e">
        <f ca="1">+'Annual Raw'!R15+'Annual Raw'!R16</f>
        <v>#NAME?</v>
      </c>
      <c r="R44" s="38" t="e">
        <f ca="1">+'Annual Raw'!S15+'Annual Raw'!S16</f>
        <v>#NAME?</v>
      </c>
      <c r="S44" s="38" t="e">
        <f ca="1">+'Annual Raw'!T15+'Annual Raw'!T16</f>
        <v>#NAME?</v>
      </c>
      <c r="T44" s="38" t="e">
        <f ca="1">+'Annual Raw'!U15+'Annual Raw'!U16</f>
        <v>#NAME?</v>
      </c>
      <c r="U44" s="38" t="e">
        <f ca="1">+'Annual Raw'!V15+'Annual Raw'!V16</f>
        <v>#NAME?</v>
      </c>
      <c r="V44" s="38" t="e">
        <f ca="1">+'Annual Raw'!W15+'Annual Raw'!W16</f>
        <v>#NAME?</v>
      </c>
      <c r="W44" s="38" t="e">
        <f ca="1">+'Annual Raw'!X15+'Annual Raw'!X16</f>
        <v>#NAME?</v>
      </c>
      <c r="X44" s="38" t="e">
        <f ca="1">+'Annual Raw'!Y15+'Annual Raw'!Y16</f>
        <v>#NAME?</v>
      </c>
      <c r="Y44" s="38" t="e">
        <f ca="1">+'Annual Raw'!Z15+'Annual Raw'!Z16</f>
        <v>#NAME?</v>
      </c>
      <c r="Z44" s="38" t="e">
        <f ca="1">+'Annual Raw'!AA15+'Annual Raw'!AA16</f>
        <v>#NAME?</v>
      </c>
      <c r="AA44" s="38" t="e">
        <f ca="1">+'Annual Raw'!AB15+'Annual Raw'!AB16</f>
        <v>#NAME?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AH44" s="38" t="e">
        <f ca="1">+'QTR Raw'!C12</f>
        <v>#NAME?</v>
      </c>
      <c r="AI44" s="38" t="e">
        <f ca="1">+'QTR Raw'!D12</f>
        <v>#NAME?</v>
      </c>
      <c r="AJ44" s="38" t="e">
        <f ca="1">+'QTR Raw'!E12</f>
        <v>#NAME?</v>
      </c>
      <c r="AK44" s="38" t="e">
        <f ca="1">+'QTR Raw'!F12</f>
        <v>#NAME?</v>
      </c>
      <c r="AL44" s="38" t="e">
        <f ca="1">+'QTR Raw'!G12</f>
        <v>#NAME?</v>
      </c>
      <c r="AM44" s="38" t="e">
        <f ca="1">+'QTR Raw'!H12</f>
        <v>#NAME?</v>
      </c>
      <c r="AN44" s="38" t="e">
        <f ca="1">+'QTR Raw'!I12</f>
        <v>#NAME?</v>
      </c>
      <c r="AO44" s="38" t="e">
        <f ca="1">+'QTR Raw'!J12</f>
        <v>#NAME?</v>
      </c>
      <c r="AP44" s="38" t="e">
        <f ca="1">+'QTR Raw'!K12</f>
        <v>#NAME?</v>
      </c>
      <c r="AQ44" s="38" t="e">
        <f ca="1">+'QTR Raw'!L12</f>
        <v>#NAME?</v>
      </c>
      <c r="AR44" s="38" t="e">
        <f ca="1">+'QTR Raw'!M12</f>
        <v>#NAME?</v>
      </c>
      <c r="AS44" s="38" t="e">
        <f ca="1">+'QTR Raw'!N12</f>
        <v>#NAME?</v>
      </c>
      <c r="AT44" s="38" t="e">
        <f ca="1">+'QTR Raw'!O12</f>
        <v>#NAME?</v>
      </c>
      <c r="AU44" s="38" t="e">
        <f ca="1">+'QTR Raw'!P12</f>
        <v>#NAME?</v>
      </c>
      <c r="AV44" s="38" t="e">
        <f ca="1">+'QTR Raw'!Q12</f>
        <v>#NAME?</v>
      </c>
      <c r="AW44" s="38" t="e">
        <f ca="1">+'QTR Raw'!R12</f>
        <v>#NAME?</v>
      </c>
      <c r="AX44" s="38" t="e">
        <f ca="1">+'QTR Raw'!S12</f>
        <v>#NAME?</v>
      </c>
      <c r="AY44" s="38" t="e">
        <f ca="1">+'QTR Raw'!T12</f>
        <v>#NAME?</v>
      </c>
      <c r="AZ44" s="38" t="e">
        <f ca="1">+'QTR Raw'!U12</f>
        <v>#NAME?</v>
      </c>
      <c r="BA44" s="38" t="e">
        <f ca="1">+'QTR Raw'!V12</f>
        <v>#NAME?</v>
      </c>
      <c r="BB44" s="38" t="e">
        <f ca="1">+'QTR Raw'!W12</f>
        <v>#NAME?</v>
      </c>
      <c r="BC44" s="38" t="e">
        <f ca="1">+'QTR Raw'!X12</f>
        <v>#NAME?</v>
      </c>
      <c r="BD44" s="38" t="e">
        <f ca="1">+'QTR Raw'!Y12</f>
        <v>#NAME?</v>
      </c>
      <c r="BE44" s="38" t="e">
        <f ca="1">+'QTR Raw'!Z12</f>
        <v>#NAME?</v>
      </c>
      <c r="BF44" s="38" t="e">
        <f ca="1">+'QTR Raw'!AA12</f>
        <v>#NAME?</v>
      </c>
      <c r="BG44" s="38" t="e">
        <f ca="1">+'QTR Raw'!AB12</f>
        <v>#NAME?</v>
      </c>
      <c r="BH44" s="38" t="e">
        <f ca="1">+'QTR Raw'!AC12</f>
        <v>#NAME?</v>
      </c>
      <c r="BI44" s="38" t="e">
        <f ca="1">+'QTR Raw'!AD12</f>
        <v>#NAME?</v>
      </c>
      <c r="BJ44" s="38" t="e">
        <f ca="1">+'QTR Raw'!AE12</f>
        <v>#NAME?</v>
      </c>
      <c r="BK44" s="38" t="e">
        <f ca="1">+'QTR Raw'!AF12</f>
        <v>#NAME?</v>
      </c>
      <c r="BL44" s="38" t="e">
        <f ca="1">+'QTR Raw'!AG12</f>
        <v>#NAME?</v>
      </c>
      <c r="BM44" s="38" t="e">
        <f ca="1">+'QTR Raw'!AH12</f>
        <v>#NAME?</v>
      </c>
      <c r="BN44" s="38" t="e">
        <f ca="1">+'QTR Raw'!AI12</f>
        <v>#NAME?</v>
      </c>
      <c r="BO44" s="38" t="e">
        <f ca="1">+'QTR Raw'!AJ12</f>
        <v>#NAME?</v>
      </c>
      <c r="BP44" s="38" t="e">
        <f ca="1">+'QTR Raw'!AK12</f>
        <v>#NAME?</v>
      </c>
      <c r="BQ44" s="38" t="e">
        <f ca="1">+'QTR Raw'!AL12</f>
        <v>#NAME?</v>
      </c>
      <c r="BR44" s="38" t="e">
        <f ca="1">+'QTR Raw'!AM12</f>
        <v>#NAME?</v>
      </c>
      <c r="BS44" s="38" t="e">
        <f ca="1">+'QTR Raw'!AN12</f>
        <v>#NAME?</v>
      </c>
      <c r="BT44" s="38" t="e">
        <f ca="1">+'QTR Raw'!AO12</f>
        <v>#NAME?</v>
      </c>
      <c r="BU44" s="38" t="e">
        <f ca="1">+'QTR Raw'!AP12</f>
        <v>#NAME?</v>
      </c>
      <c r="BV44" s="38" t="e">
        <f ca="1">+'QTR Raw'!AQ12</f>
        <v>#NAME?</v>
      </c>
      <c r="BW44" s="38" t="e">
        <f ca="1">+'QTR Raw'!AR12</f>
        <v>#NAME?</v>
      </c>
      <c r="BX44" s="38" t="e">
        <f ca="1">+'QTR Raw'!AS12</f>
        <v>#NAME?</v>
      </c>
      <c r="BY44" s="38" t="e">
        <f ca="1">+'QTR Raw'!AT12</f>
        <v>#NAME?</v>
      </c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S44" s="38">
        <v>0</v>
      </c>
    </row>
    <row r="45" spans="1:97" s="38" customFormat="1" x14ac:dyDescent="0.2">
      <c r="A45" s="38" t="s">
        <v>24</v>
      </c>
      <c r="B45" s="38" t="e">
        <f ca="1">+'Annual Raw'!C13</f>
        <v>#NAME?</v>
      </c>
      <c r="C45" s="38" t="e">
        <f ca="1">+'Annual Raw'!D13</f>
        <v>#NAME?</v>
      </c>
      <c r="D45" s="38" t="e">
        <f ca="1">+'Annual Raw'!E13</f>
        <v>#NAME?</v>
      </c>
      <c r="E45" s="38" t="e">
        <f ca="1">+'Annual Raw'!F13</f>
        <v>#NAME?</v>
      </c>
      <c r="F45" s="38" t="e">
        <f ca="1">+'Annual Raw'!G13</f>
        <v>#NAME?</v>
      </c>
      <c r="G45" s="38" t="e">
        <f ca="1">+'Annual Raw'!H13</f>
        <v>#NAME?</v>
      </c>
      <c r="H45" s="38" t="e">
        <f ca="1">+'Annual Raw'!I13</f>
        <v>#NAME?</v>
      </c>
      <c r="I45" s="38" t="e">
        <f ca="1">+'Annual Raw'!J13</f>
        <v>#NAME?</v>
      </c>
      <c r="J45" s="38" t="e">
        <f ca="1">+'Annual Raw'!K13</f>
        <v>#NAME?</v>
      </c>
      <c r="K45" s="38" t="e">
        <f ca="1">+'Annual Raw'!L13</f>
        <v>#NAME?</v>
      </c>
      <c r="L45" s="38" t="e">
        <f ca="1">+'Annual Raw'!M13</f>
        <v>#NAME?</v>
      </c>
      <c r="M45" s="38" t="e">
        <f ca="1">+'Annual Raw'!N13</f>
        <v>#NAME?</v>
      </c>
      <c r="N45" s="38" t="e">
        <f ca="1">+'Annual Raw'!O13</f>
        <v>#NAME?</v>
      </c>
      <c r="O45" s="38" t="e">
        <f ca="1">+'Annual Raw'!P13</f>
        <v>#NAME?</v>
      </c>
      <c r="P45" s="38" t="e">
        <f ca="1">+'Annual Raw'!Q13</f>
        <v>#NAME?</v>
      </c>
      <c r="Q45" s="38" t="e">
        <f ca="1">+'Annual Raw'!R13</f>
        <v>#NAME?</v>
      </c>
      <c r="R45" s="38" t="e">
        <f ca="1">+'Annual Raw'!S13</f>
        <v>#NAME?</v>
      </c>
      <c r="S45" s="38" t="e">
        <f ca="1">+'Annual Raw'!T13</f>
        <v>#NAME?</v>
      </c>
      <c r="T45" s="38" t="e">
        <f ca="1">+'Annual Raw'!U13</f>
        <v>#NAME?</v>
      </c>
      <c r="U45" s="38" t="e">
        <f ca="1">+'Annual Raw'!V13</f>
        <v>#NAME?</v>
      </c>
      <c r="V45" s="38" t="e">
        <f ca="1">+'Annual Raw'!W13</f>
        <v>#NAME?</v>
      </c>
      <c r="W45" s="38" t="e">
        <f ca="1">+'Annual Raw'!X13</f>
        <v>#NAME?</v>
      </c>
      <c r="X45" s="38" t="e">
        <f ca="1">+'Annual Raw'!Y13</f>
        <v>#NAME?</v>
      </c>
      <c r="Y45" s="38" t="e">
        <f ca="1">+'Annual Raw'!Z13</f>
        <v>#NAME?</v>
      </c>
      <c r="Z45" s="38" t="e">
        <f ca="1">+'Annual Raw'!AA13</f>
        <v>#NAME?</v>
      </c>
      <c r="AA45" s="38" t="e">
        <f ca="1">+'Annual Raw'!AB13</f>
        <v>#NAME?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S45" s="38">
        <v>0</v>
      </c>
    </row>
    <row r="46" spans="1:97" s="43" customFormat="1" x14ac:dyDescent="0.2">
      <c r="A46" s="43" t="s">
        <v>53</v>
      </c>
      <c r="B46" s="43" t="e">
        <f t="shared" ref="B46:Y46" ca="1" si="662">SUM(B40:B45)</f>
        <v>#NAME?</v>
      </c>
      <c r="C46" s="43" t="e">
        <f t="shared" ca="1" si="662"/>
        <v>#NAME?</v>
      </c>
      <c r="D46" s="43" t="e">
        <f t="shared" ca="1" si="662"/>
        <v>#NAME?</v>
      </c>
      <c r="E46" s="43" t="e">
        <f t="shared" ca="1" si="662"/>
        <v>#NAME?</v>
      </c>
      <c r="F46" s="43" t="e">
        <f t="shared" ca="1" si="662"/>
        <v>#NAME?</v>
      </c>
      <c r="G46" s="43" t="e">
        <f t="shared" ca="1" si="662"/>
        <v>#NAME?</v>
      </c>
      <c r="H46" s="43" t="e">
        <f t="shared" ca="1" si="662"/>
        <v>#NAME?</v>
      </c>
      <c r="I46" s="43" t="e">
        <f t="shared" ca="1" si="662"/>
        <v>#NAME?</v>
      </c>
      <c r="J46" s="43" t="e">
        <f t="shared" ca="1" si="662"/>
        <v>#NAME?</v>
      </c>
      <c r="K46" s="43" t="e">
        <f t="shared" ca="1" si="662"/>
        <v>#NAME?</v>
      </c>
      <c r="L46" s="43" t="e">
        <f t="shared" ca="1" si="662"/>
        <v>#NAME?</v>
      </c>
      <c r="M46" s="43" t="e">
        <f t="shared" ca="1" si="662"/>
        <v>#NAME?</v>
      </c>
      <c r="N46" s="43" t="e">
        <f t="shared" ca="1" si="662"/>
        <v>#NAME?</v>
      </c>
      <c r="O46" s="43" t="e">
        <f t="shared" ca="1" si="662"/>
        <v>#NAME?</v>
      </c>
      <c r="P46" s="43" t="e">
        <f t="shared" ca="1" si="662"/>
        <v>#NAME?</v>
      </c>
      <c r="Q46" s="43" t="e">
        <f t="shared" ca="1" si="662"/>
        <v>#NAME?</v>
      </c>
      <c r="R46" s="43" t="e">
        <f t="shared" ca="1" si="662"/>
        <v>#NAME?</v>
      </c>
      <c r="S46" s="43" t="e">
        <f t="shared" ca="1" si="662"/>
        <v>#NAME?</v>
      </c>
      <c r="T46" s="43" t="e">
        <f t="shared" ca="1" si="662"/>
        <v>#NAME?</v>
      </c>
      <c r="U46" s="43" t="e">
        <f t="shared" ca="1" si="662"/>
        <v>#NAME?</v>
      </c>
      <c r="V46" s="43" t="e">
        <f t="shared" ca="1" si="662"/>
        <v>#NAME?</v>
      </c>
      <c r="W46" s="43" t="e">
        <f t="shared" ca="1" si="662"/>
        <v>#NAME?</v>
      </c>
      <c r="X46" s="43" t="e">
        <f t="shared" ca="1" si="662"/>
        <v>#NAME?</v>
      </c>
      <c r="Y46" s="43" t="e">
        <f t="shared" ca="1" si="662"/>
        <v>#NAME?</v>
      </c>
      <c r="Z46" s="43" t="e">
        <f ca="1">SUM(Z40:Z45)</f>
        <v>#NAME?</v>
      </c>
      <c r="AA46" s="43" t="e">
        <f ca="1">SUM(AA40:AA45)</f>
        <v>#NAME?</v>
      </c>
      <c r="AB46" s="44" t="e">
        <f t="shared" ref="AA46:AB46" ca="1" si="663">SUM(AB40:AB45)</f>
        <v>#NAME?</v>
      </c>
      <c r="AC46" s="44" t="e">
        <f t="shared" ref="AC46" ca="1" si="664">SUM(AC40:AC45)</f>
        <v>#NAME?</v>
      </c>
      <c r="AD46" s="44" t="e">
        <f t="shared" ref="AD46" ca="1" si="665">SUM(AD40:AD45)</f>
        <v>#NAME?</v>
      </c>
      <c r="AE46" s="44" t="e">
        <f t="shared" ref="AE46" ca="1" si="666">SUM(AE40:AE45)</f>
        <v>#NAME?</v>
      </c>
      <c r="AG46" s="62"/>
      <c r="AH46" s="43" t="e">
        <f ca="1">SUM(AH40:AH44)</f>
        <v>#NAME?</v>
      </c>
      <c r="AI46" s="43" t="e">
        <f t="shared" ref="AI46:AS46" ca="1" si="667">SUM(AI40:AI44)</f>
        <v>#NAME?</v>
      </c>
      <c r="AJ46" s="43" t="e">
        <f t="shared" ca="1" si="667"/>
        <v>#NAME?</v>
      </c>
      <c r="AK46" s="43" t="e">
        <f t="shared" ca="1" si="667"/>
        <v>#NAME?</v>
      </c>
      <c r="AL46" s="43" t="e">
        <f t="shared" ca="1" si="667"/>
        <v>#NAME?</v>
      </c>
      <c r="AM46" s="43" t="e">
        <f t="shared" ca="1" si="667"/>
        <v>#NAME?</v>
      </c>
      <c r="AN46" s="43" t="e">
        <f t="shared" ca="1" si="667"/>
        <v>#NAME?</v>
      </c>
      <c r="AO46" s="43" t="e">
        <f t="shared" ca="1" si="667"/>
        <v>#NAME?</v>
      </c>
      <c r="AP46" s="43" t="e">
        <f t="shared" ca="1" si="667"/>
        <v>#NAME?</v>
      </c>
      <c r="AQ46" s="43" t="e">
        <f t="shared" ca="1" si="667"/>
        <v>#NAME?</v>
      </c>
      <c r="AR46" s="43" t="e">
        <f t="shared" ca="1" si="667"/>
        <v>#NAME?</v>
      </c>
      <c r="AS46" s="43" t="e">
        <f t="shared" ca="1" si="667"/>
        <v>#NAME?</v>
      </c>
      <c r="AT46" s="43" t="e">
        <f t="shared" ref="AT46:CO46" ca="1" si="668">SUM(AT40:AT45)</f>
        <v>#NAME?</v>
      </c>
      <c r="AU46" s="43" t="e">
        <f t="shared" ca="1" si="668"/>
        <v>#NAME?</v>
      </c>
      <c r="AV46" s="43" t="e">
        <f t="shared" ca="1" si="668"/>
        <v>#NAME?</v>
      </c>
      <c r="AW46" s="43" t="e">
        <f t="shared" ca="1" si="668"/>
        <v>#NAME?</v>
      </c>
      <c r="AX46" s="43" t="e">
        <f t="shared" ca="1" si="668"/>
        <v>#NAME?</v>
      </c>
      <c r="AY46" s="43" t="e">
        <f t="shared" ca="1" si="668"/>
        <v>#NAME?</v>
      </c>
      <c r="AZ46" s="43" t="e">
        <f t="shared" ca="1" si="668"/>
        <v>#NAME?</v>
      </c>
      <c r="BA46" s="43" t="e">
        <f t="shared" ca="1" si="668"/>
        <v>#NAME?</v>
      </c>
      <c r="BB46" s="43" t="e">
        <f t="shared" ca="1" si="668"/>
        <v>#NAME?</v>
      </c>
      <c r="BC46" s="43" t="e">
        <f t="shared" ca="1" si="668"/>
        <v>#NAME?</v>
      </c>
      <c r="BD46" s="43" t="e">
        <f t="shared" ca="1" si="668"/>
        <v>#NAME?</v>
      </c>
      <c r="BE46" s="43" t="e">
        <f t="shared" ca="1" si="668"/>
        <v>#NAME?</v>
      </c>
      <c r="BF46" s="43" t="e">
        <f t="shared" ca="1" si="668"/>
        <v>#NAME?</v>
      </c>
      <c r="BG46" s="43" t="e">
        <f t="shared" ca="1" si="668"/>
        <v>#NAME?</v>
      </c>
      <c r="BH46" s="43" t="e">
        <f t="shared" ca="1" si="668"/>
        <v>#NAME?</v>
      </c>
      <c r="BI46" s="43" t="e">
        <f t="shared" ca="1" si="668"/>
        <v>#NAME?</v>
      </c>
      <c r="BJ46" s="43" t="e">
        <f t="shared" ca="1" si="668"/>
        <v>#NAME?</v>
      </c>
      <c r="BK46" s="43" t="e">
        <f t="shared" ca="1" si="668"/>
        <v>#NAME?</v>
      </c>
      <c r="BL46" s="43" t="e">
        <f t="shared" ca="1" si="668"/>
        <v>#NAME?</v>
      </c>
      <c r="BM46" s="43" t="e">
        <f t="shared" ca="1" si="668"/>
        <v>#NAME?</v>
      </c>
      <c r="BN46" s="43" t="e">
        <f t="shared" ca="1" si="668"/>
        <v>#NAME?</v>
      </c>
      <c r="BO46" s="43" t="e">
        <f t="shared" ca="1" si="668"/>
        <v>#NAME?</v>
      </c>
      <c r="BP46" s="43" t="e">
        <f t="shared" ca="1" si="668"/>
        <v>#NAME?</v>
      </c>
      <c r="BQ46" s="43" t="e">
        <f t="shared" ca="1" si="668"/>
        <v>#NAME?</v>
      </c>
      <c r="BR46" s="43" t="e">
        <f t="shared" ca="1" si="668"/>
        <v>#NAME?</v>
      </c>
      <c r="BS46" s="43" t="e">
        <f t="shared" ca="1" si="668"/>
        <v>#NAME?</v>
      </c>
      <c r="BT46" s="43" t="e">
        <f t="shared" ca="1" si="668"/>
        <v>#NAME?</v>
      </c>
      <c r="BU46" s="43" t="e">
        <f t="shared" ca="1" si="668"/>
        <v>#NAME?</v>
      </c>
      <c r="BV46" s="43" t="e">
        <f t="shared" ca="1" si="668"/>
        <v>#NAME?</v>
      </c>
      <c r="BW46" s="43" t="e">
        <f t="shared" ref="BW46:BX46" ca="1" si="669">SUM(BW40:BW45)</f>
        <v>#NAME?</v>
      </c>
      <c r="BX46" s="43" t="e">
        <f t="shared" ca="1" si="669"/>
        <v>#NAME?</v>
      </c>
      <c r="BY46" s="43" t="e">
        <f t="shared" ref="BY46" ca="1" si="670">SUM(BY40:BY45)</f>
        <v>#NAME?</v>
      </c>
      <c r="BZ46" s="44" t="e">
        <f t="shared" ca="1" si="668"/>
        <v>#NAME?</v>
      </c>
      <c r="CA46" s="44" t="e">
        <f t="shared" ca="1" si="668"/>
        <v>#NAME?</v>
      </c>
      <c r="CB46" s="44" t="e">
        <f t="shared" ca="1" si="668"/>
        <v>#NAME?</v>
      </c>
      <c r="CC46" s="44" t="e">
        <f t="shared" ca="1" si="668"/>
        <v>#NAME?</v>
      </c>
      <c r="CD46" s="44" t="e">
        <f t="shared" ca="1" si="668"/>
        <v>#NAME?</v>
      </c>
      <c r="CE46" s="44" t="e">
        <f t="shared" ca="1" si="668"/>
        <v>#NAME?</v>
      </c>
      <c r="CF46" s="44" t="e">
        <f t="shared" ca="1" si="668"/>
        <v>#NAME?</v>
      </c>
      <c r="CG46" s="44" t="e">
        <f t="shared" ca="1" si="668"/>
        <v>#NAME?</v>
      </c>
      <c r="CH46" s="44" t="e">
        <f t="shared" ca="1" si="668"/>
        <v>#NAME?</v>
      </c>
      <c r="CI46" s="44" t="e">
        <f t="shared" ca="1" si="668"/>
        <v>#NAME?</v>
      </c>
      <c r="CJ46" s="44" t="e">
        <f t="shared" ca="1" si="668"/>
        <v>#NAME?</v>
      </c>
      <c r="CK46" s="44" t="e">
        <f t="shared" ca="1" si="668"/>
        <v>#NAME?</v>
      </c>
      <c r="CL46" s="44" t="e">
        <f t="shared" ca="1" si="668"/>
        <v>#NAME?</v>
      </c>
      <c r="CM46" s="44" t="e">
        <f t="shared" ca="1" si="668"/>
        <v>#NAME?</v>
      </c>
      <c r="CN46" s="44" t="e">
        <f t="shared" ca="1" si="668"/>
        <v>#NAME?</v>
      </c>
      <c r="CO46" s="44" t="e">
        <f t="shared" ca="1" si="668"/>
        <v>#NAME?</v>
      </c>
      <c r="CS46" s="43">
        <v>6379.130000000001</v>
      </c>
    </row>
    <row r="47" spans="1:97" s="40" customFormat="1" x14ac:dyDescent="0.2">
      <c r="A47" s="40" t="s">
        <v>11</v>
      </c>
      <c r="B47" s="40" t="e">
        <f t="shared" ref="B47:AB47" ca="1" si="671">+B38-B46</f>
        <v>#NAME?</v>
      </c>
      <c r="C47" s="40" t="e">
        <f t="shared" ca="1" si="671"/>
        <v>#NAME?</v>
      </c>
      <c r="D47" s="40" t="e">
        <f t="shared" ca="1" si="671"/>
        <v>#NAME?</v>
      </c>
      <c r="E47" s="40" t="e">
        <f t="shared" ca="1" si="671"/>
        <v>#NAME?</v>
      </c>
      <c r="F47" s="40" t="e">
        <f t="shared" ca="1" si="671"/>
        <v>#NAME?</v>
      </c>
      <c r="G47" s="40" t="e">
        <f t="shared" ca="1" si="671"/>
        <v>#NAME?</v>
      </c>
      <c r="H47" s="40" t="e">
        <f t="shared" ca="1" si="671"/>
        <v>#NAME?</v>
      </c>
      <c r="I47" s="40" t="e">
        <f t="shared" ca="1" si="671"/>
        <v>#NAME?</v>
      </c>
      <c r="J47" s="40" t="e">
        <f t="shared" ca="1" si="671"/>
        <v>#NAME?</v>
      </c>
      <c r="K47" s="40" t="e">
        <f t="shared" ca="1" si="671"/>
        <v>#NAME?</v>
      </c>
      <c r="L47" s="40" t="e">
        <f t="shared" ca="1" si="671"/>
        <v>#NAME?</v>
      </c>
      <c r="M47" s="40" t="e">
        <f t="shared" ca="1" si="671"/>
        <v>#NAME?</v>
      </c>
      <c r="N47" s="40" t="e">
        <f t="shared" ca="1" si="671"/>
        <v>#NAME?</v>
      </c>
      <c r="O47" s="40" t="e">
        <f t="shared" ca="1" si="671"/>
        <v>#NAME?</v>
      </c>
      <c r="P47" s="40" t="e">
        <f t="shared" ca="1" si="671"/>
        <v>#NAME?</v>
      </c>
      <c r="Q47" s="40" t="e">
        <f t="shared" ca="1" si="671"/>
        <v>#NAME?</v>
      </c>
      <c r="R47" s="40" t="e">
        <f t="shared" ca="1" si="671"/>
        <v>#NAME?</v>
      </c>
      <c r="S47" s="40" t="e">
        <f t="shared" ca="1" si="671"/>
        <v>#NAME?</v>
      </c>
      <c r="T47" s="40" t="e">
        <f t="shared" ca="1" si="671"/>
        <v>#NAME?</v>
      </c>
      <c r="U47" s="40" t="e">
        <f t="shared" ca="1" si="671"/>
        <v>#NAME?</v>
      </c>
      <c r="V47" s="40" t="e">
        <f t="shared" ca="1" si="671"/>
        <v>#NAME?</v>
      </c>
      <c r="W47" s="40" t="e">
        <f t="shared" ca="1" si="671"/>
        <v>#NAME?</v>
      </c>
      <c r="X47" s="40" t="e">
        <f t="shared" ca="1" si="671"/>
        <v>#NAME?</v>
      </c>
      <c r="Y47" s="40" t="e">
        <f t="shared" ca="1" si="671"/>
        <v>#NAME?</v>
      </c>
      <c r="Z47" s="40" t="e">
        <f t="shared" ca="1" si="671"/>
        <v>#NAME?</v>
      </c>
      <c r="AA47" s="40" t="e">
        <f t="shared" ref="AA47" ca="1" si="672">+AA38-AA46</f>
        <v>#NAME?</v>
      </c>
      <c r="AB47" s="41" t="e">
        <f t="shared" ca="1" si="671"/>
        <v>#NAME?</v>
      </c>
      <c r="AC47" s="41" t="e">
        <f t="shared" ref="AC47" ca="1" si="673">+AC38-AC46</f>
        <v>#NAME?</v>
      </c>
      <c r="AD47" s="41" t="e">
        <f t="shared" ref="AD47" ca="1" si="674">+AD38-AD46</f>
        <v>#NAME?</v>
      </c>
      <c r="AE47" s="41" t="e">
        <f t="shared" ref="AE47" ca="1" si="675">+AE38-AE46</f>
        <v>#NAME?</v>
      </c>
      <c r="AG47" s="61"/>
      <c r="AH47" s="40" t="e">
        <f t="shared" ref="AH47" ca="1" si="676">+AH38-AH46</f>
        <v>#NAME?</v>
      </c>
      <c r="AI47" s="40" t="e">
        <f t="shared" ref="AI47:BV47" ca="1" si="677">+AI38-AI46</f>
        <v>#NAME?</v>
      </c>
      <c r="AJ47" s="40" t="e">
        <f t="shared" ca="1" si="677"/>
        <v>#NAME?</v>
      </c>
      <c r="AK47" s="40" t="e">
        <f t="shared" ca="1" si="677"/>
        <v>#NAME?</v>
      </c>
      <c r="AL47" s="40" t="e">
        <f t="shared" ca="1" si="677"/>
        <v>#NAME?</v>
      </c>
      <c r="AM47" s="40" t="e">
        <f t="shared" ca="1" si="677"/>
        <v>#NAME?</v>
      </c>
      <c r="AN47" s="40" t="e">
        <f t="shared" ca="1" si="677"/>
        <v>#NAME?</v>
      </c>
      <c r="AO47" s="40" t="e">
        <f t="shared" ca="1" si="677"/>
        <v>#NAME?</v>
      </c>
      <c r="AP47" s="40" t="e">
        <f t="shared" ca="1" si="677"/>
        <v>#NAME?</v>
      </c>
      <c r="AQ47" s="40" t="e">
        <f t="shared" ca="1" si="677"/>
        <v>#NAME?</v>
      </c>
      <c r="AR47" s="40" t="e">
        <f t="shared" ca="1" si="677"/>
        <v>#NAME?</v>
      </c>
      <c r="AS47" s="40" t="e">
        <f t="shared" ca="1" si="677"/>
        <v>#NAME?</v>
      </c>
      <c r="AT47" s="40" t="e">
        <f t="shared" ca="1" si="677"/>
        <v>#NAME?</v>
      </c>
      <c r="AU47" s="40" t="e">
        <f t="shared" ca="1" si="677"/>
        <v>#NAME?</v>
      </c>
      <c r="AV47" s="40" t="e">
        <f t="shared" ca="1" si="677"/>
        <v>#NAME?</v>
      </c>
      <c r="AW47" s="40" t="e">
        <f t="shared" ca="1" si="677"/>
        <v>#NAME?</v>
      </c>
      <c r="AX47" s="40" t="e">
        <f t="shared" ca="1" si="677"/>
        <v>#NAME?</v>
      </c>
      <c r="AY47" s="40" t="e">
        <f t="shared" ca="1" si="677"/>
        <v>#NAME?</v>
      </c>
      <c r="AZ47" s="40" t="e">
        <f t="shared" ca="1" si="677"/>
        <v>#NAME?</v>
      </c>
      <c r="BA47" s="40" t="e">
        <f t="shared" ca="1" si="677"/>
        <v>#NAME?</v>
      </c>
      <c r="BB47" s="40" t="e">
        <f t="shared" ca="1" si="677"/>
        <v>#NAME?</v>
      </c>
      <c r="BC47" s="40" t="e">
        <f t="shared" ca="1" si="677"/>
        <v>#NAME?</v>
      </c>
      <c r="BD47" s="40" t="e">
        <f t="shared" ca="1" si="677"/>
        <v>#NAME?</v>
      </c>
      <c r="BE47" s="40" t="e">
        <f t="shared" ca="1" si="677"/>
        <v>#NAME?</v>
      </c>
      <c r="BF47" s="40" t="e">
        <f t="shared" ca="1" si="677"/>
        <v>#NAME?</v>
      </c>
      <c r="BG47" s="40" t="e">
        <f t="shared" ca="1" si="677"/>
        <v>#NAME?</v>
      </c>
      <c r="BH47" s="40" t="e">
        <f t="shared" ca="1" si="677"/>
        <v>#NAME?</v>
      </c>
      <c r="BI47" s="40" t="e">
        <f t="shared" ca="1" si="677"/>
        <v>#NAME?</v>
      </c>
      <c r="BJ47" s="40" t="e">
        <f t="shared" ca="1" si="677"/>
        <v>#NAME?</v>
      </c>
      <c r="BK47" s="40" t="e">
        <f t="shared" ca="1" si="677"/>
        <v>#NAME?</v>
      </c>
      <c r="BL47" s="40" t="e">
        <f t="shared" ca="1" si="677"/>
        <v>#NAME?</v>
      </c>
      <c r="BM47" s="40" t="e">
        <f t="shared" ca="1" si="677"/>
        <v>#NAME?</v>
      </c>
      <c r="BN47" s="40" t="e">
        <f t="shared" ca="1" si="677"/>
        <v>#NAME?</v>
      </c>
      <c r="BO47" s="40" t="e">
        <f t="shared" ca="1" si="677"/>
        <v>#NAME?</v>
      </c>
      <c r="BP47" s="40" t="e">
        <f t="shared" ca="1" si="677"/>
        <v>#NAME?</v>
      </c>
      <c r="BQ47" s="40" t="e">
        <f t="shared" ca="1" si="677"/>
        <v>#NAME?</v>
      </c>
      <c r="BR47" s="40" t="e">
        <f t="shared" ca="1" si="677"/>
        <v>#NAME?</v>
      </c>
      <c r="BS47" s="40" t="e">
        <f t="shared" ca="1" si="677"/>
        <v>#NAME?</v>
      </c>
      <c r="BT47" s="40" t="e">
        <f t="shared" ca="1" si="677"/>
        <v>#NAME?</v>
      </c>
      <c r="BU47" s="40" t="e">
        <f t="shared" ca="1" si="677"/>
        <v>#NAME?</v>
      </c>
      <c r="BV47" s="40" t="e">
        <f t="shared" ca="1" si="677"/>
        <v>#NAME?</v>
      </c>
      <c r="BW47" s="40" t="e">
        <f t="shared" ref="BW47:BX47" ca="1" si="678">+BW38-BW46</f>
        <v>#NAME?</v>
      </c>
      <c r="BX47" s="40" t="e">
        <f t="shared" ca="1" si="678"/>
        <v>#NAME?</v>
      </c>
      <c r="BY47" s="40" t="e">
        <f t="shared" ref="BY47" ca="1" si="679">+BY38-BY46</f>
        <v>#NAME?</v>
      </c>
      <c r="BZ47" s="41" t="e">
        <f t="shared" ref="BZ47:CO47" ca="1" si="680">+BZ38-BZ46</f>
        <v>#NAME?</v>
      </c>
      <c r="CA47" s="41" t="e">
        <f t="shared" ca="1" si="680"/>
        <v>#NAME?</v>
      </c>
      <c r="CB47" s="41" t="e">
        <f t="shared" ca="1" si="680"/>
        <v>#NAME?</v>
      </c>
      <c r="CC47" s="41" t="e">
        <f t="shared" ca="1" si="680"/>
        <v>#NAME?</v>
      </c>
      <c r="CD47" s="41" t="e">
        <f t="shared" ca="1" si="680"/>
        <v>#NAME?</v>
      </c>
      <c r="CE47" s="41" t="e">
        <f t="shared" ca="1" si="680"/>
        <v>#NAME?</v>
      </c>
      <c r="CF47" s="41" t="e">
        <f t="shared" ca="1" si="680"/>
        <v>#NAME?</v>
      </c>
      <c r="CG47" s="41" t="e">
        <f t="shared" ca="1" si="680"/>
        <v>#NAME?</v>
      </c>
      <c r="CH47" s="41" t="e">
        <f t="shared" ca="1" si="680"/>
        <v>#NAME?</v>
      </c>
      <c r="CI47" s="41" t="e">
        <f t="shared" ca="1" si="680"/>
        <v>#NAME?</v>
      </c>
      <c r="CJ47" s="41" t="e">
        <f t="shared" ca="1" si="680"/>
        <v>#NAME?</v>
      </c>
      <c r="CK47" s="41" t="e">
        <f t="shared" ca="1" si="680"/>
        <v>#NAME?</v>
      </c>
      <c r="CL47" s="41" t="e">
        <f t="shared" ca="1" si="680"/>
        <v>#NAME?</v>
      </c>
      <c r="CM47" s="41" t="e">
        <f t="shared" ca="1" si="680"/>
        <v>#NAME?</v>
      </c>
      <c r="CN47" s="41" t="e">
        <f t="shared" ca="1" si="680"/>
        <v>#NAME?</v>
      </c>
      <c r="CO47" s="41" t="e">
        <f t="shared" ca="1" si="680"/>
        <v>#NAME?</v>
      </c>
      <c r="CS47" s="40">
        <v>10825.82</v>
      </c>
    </row>
    <row r="48" spans="1:97" s="73" customFormat="1" x14ac:dyDescent="0.2">
      <c r="A48" s="73" t="s">
        <v>15</v>
      </c>
      <c r="C48" s="73" t="e">
        <f t="shared" ref="C48" ca="1" si="681">+IF(B47&lt;0,1-C47/B47,C47/B47-1)</f>
        <v>#NAME?</v>
      </c>
      <c r="D48" s="73" t="e">
        <f t="shared" ref="D48" ca="1" si="682">+IF(C47&lt;0,1-D47/C47,D47/C47-1)</f>
        <v>#NAME?</v>
      </c>
      <c r="E48" s="73" t="e">
        <f t="shared" ref="E48" ca="1" si="683">+IF(D47&lt;0,1-E47/D47,E47/D47-1)</f>
        <v>#NAME?</v>
      </c>
      <c r="F48" s="73" t="e">
        <f t="shared" ref="F48" ca="1" si="684">+IF(E47&lt;0,1-F47/E47,F47/E47-1)</f>
        <v>#NAME?</v>
      </c>
      <c r="G48" s="73" t="e">
        <f t="shared" ref="G48" ca="1" si="685">+IF(F47&lt;0,1-G47/F47,G47/F47-1)</f>
        <v>#NAME?</v>
      </c>
      <c r="H48" s="73" t="e">
        <f t="shared" ref="H48" ca="1" si="686">+IF(G47&lt;0,1-H47/G47,H47/G47-1)</f>
        <v>#NAME?</v>
      </c>
      <c r="I48" s="73" t="e">
        <f t="shared" ref="I48" ca="1" si="687">+IF(H47&lt;0,1-I47/H47,I47/H47-1)</f>
        <v>#NAME?</v>
      </c>
      <c r="J48" s="73" t="e">
        <f t="shared" ref="J48" ca="1" si="688">+IF(I47&lt;0,1-J47/I47,J47/I47-1)</f>
        <v>#NAME?</v>
      </c>
      <c r="K48" s="73" t="e">
        <f t="shared" ref="K48" ca="1" si="689">+IF(J47&lt;0,1-K47/J47,K47/J47-1)</f>
        <v>#NAME?</v>
      </c>
      <c r="L48" s="73" t="e">
        <f t="shared" ref="L48" ca="1" si="690">+IF(K47&lt;0,1-L47/K47,L47/K47-1)</f>
        <v>#NAME?</v>
      </c>
      <c r="M48" s="73" t="e">
        <f t="shared" ref="M48" ca="1" si="691">+IF(L47&lt;0,1-M47/L47,M47/L47-1)</f>
        <v>#NAME?</v>
      </c>
      <c r="N48" s="73" t="e">
        <f t="shared" ref="N48" ca="1" si="692">+IF(M47&lt;0,1-N47/M47,N47/M47-1)</f>
        <v>#NAME?</v>
      </c>
      <c r="O48" s="73" t="e">
        <f t="shared" ref="O48" ca="1" si="693">+IF(N47&lt;0,1-O47/N47,O47/N47-1)</f>
        <v>#NAME?</v>
      </c>
      <c r="P48" s="73" t="e">
        <f t="shared" ref="P48" ca="1" si="694">+IF(O47&lt;0,1-P47/O47,P47/O47-1)</f>
        <v>#NAME?</v>
      </c>
      <c r="Q48" s="73" t="e">
        <f t="shared" ref="Q48" ca="1" si="695">+IF(P47&lt;0,1-Q47/P47,Q47/P47-1)</f>
        <v>#NAME?</v>
      </c>
      <c r="R48" s="73" t="e">
        <f t="shared" ref="R48" ca="1" si="696">+IF(Q47&lt;0,1-R47/Q47,R47/Q47-1)</f>
        <v>#NAME?</v>
      </c>
      <c r="S48" s="73" t="e">
        <f t="shared" ref="S48" ca="1" si="697">+IF(R47&lt;0,1-S47/R47,S47/R47-1)</f>
        <v>#NAME?</v>
      </c>
      <c r="T48" s="73" t="e">
        <f t="shared" ref="T48" ca="1" si="698">+IF(S47&lt;0,1-T47/S47,T47/S47-1)</f>
        <v>#NAME?</v>
      </c>
      <c r="U48" s="73" t="e">
        <f t="shared" ref="U48" ca="1" si="699">+IF(T47&lt;0,1-U47/T47,U47/T47-1)</f>
        <v>#NAME?</v>
      </c>
      <c r="V48" s="73" t="e">
        <f t="shared" ref="V48" ca="1" si="700">+IF(U47&lt;0,1-V47/U47,V47/U47-1)</f>
        <v>#NAME?</v>
      </c>
      <c r="W48" s="73" t="e">
        <f t="shared" ref="W48" ca="1" si="701">+IF(V47&lt;0,1-W47/V47,W47/V47-1)</f>
        <v>#NAME?</v>
      </c>
      <c r="X48" s="73" t="e">
        <f t="shared" ref="X48" ca="1" si="702">+IF(W47&lt;0,1-X47/W47,X47/W47-1)</f>
        <v>#NAME?</v>
      </c>
      <c r="Y48" s="73" t="e">
        <f t="shared" ref="Y48" ca="1" si="703">+IF(X47&lt;0,1-Y47/X47,Y47/X47-1)</f>
        <v>#NAME?</v>
      </c>
      <c r="Z48" s="76" t="e">
        <f ca="1">+IF(Y47&lt;0,1-Z47/Y47,Z47/Y47-1)</f>
        <v>#NAME?</v>
      </c>
      <c r="AA48" s="76" t="e">
        <f ca="1">+IF(Z47&lt;0,1-AA47/Z47,AA47/Z47-1)</f>
        <v>#NAME?</v>
      </c>
      <c r="AB48" s="74" t="e">
        <f t="shared" ref="AB48" ca="1" si="704">+IF(AA47&lt;0,1-AB47/AA47,AB47/AA47-1)</f>
        <v>#NAME?</v>
      </c>
      <c r="AC48" s="74" t="e">
        <f t="shared" ref="AC48" ca="1" si="705">+AC47/AB47-1</f>
        <v>#NAME?</v>
      </c>
      <c r="AD48" s="74" t="e">
        <f t="shared" ref="AD48" ca="1" si="706">+AD47/AC47-1</f>
        <v>#NAME?</v>
      </c>
      <c r="AE48" s="74" t="e">
        <f t="shared" ref="AE48" ca="1" si="707">+AE47/AD47-1</f>
        <v>#NAME?</v>
      </c>
      <c r="AG48" s="75"/>
      <c r="AH48" s="76"/>
      <c r="AI48" s="76"/>
      <c r="AJ48" s="76"/>
      <c r="AK48" s="76"/>
      <c r="AL48" s="76" t="e">
        <f t="shared" ref="AL48" ca="1" si="708">+IF(AH47&lt;0,1-AL47/AH47,AL47/AH47-1)</f>
        <v>#NAME?</v>
      </c>
      <c r="AM48" s="76" t="e">
        <f t="shared" ref="AM48" ca="1" si="709">+IF(AI47&lt;0,1-AM47/AI47,AM47/AI47-1)</f>
        <v>#NAME?</v>
      </c>
      <c r="AN48" s="76" t="e">
        <f t="shared" ref="AN48" ca="1" si="710">+IF(AJ47&lt;0,1-AN47/AJ47,AN47/AJ47-1)</f>
        <v>#NAME?</v>
      </c>
      <c r="AO48" s="76" t="e">
        <f t="shared" ref="AO48" ca="1" si="711">+IF(AK47&lt;0,1-AO47/AK47,AO47/AK47-1)</f>
        <v>#NAME?</v>
      </c>
      <c r="AP48" s="76" t="e">
        <f t="shared" ref="AP48" ca="1" si="712">+IF(AL47&lt;0,1-AP47/AL47,AP47/AL47-1)</f>
        <v>#NAME?</v>
      </c>
      <c r="AQ48" s="76" t="e">
        <f t="shared" ref="AQ48" ca="1" si="713">+IF(AM47&lt;0,1-AQ47/AM47,AQ47/AM47-1)</f>
        <v>#NAME?</v>
      </c>
      <c r="AR48" s="76" t="e">
        <f t="shared" ref="AR48" ca="1" si="714">+IF(AN47&lt;0,1-AR47/AN47,AR47/AN47-1)</f>
        <v>#NAME?</v>
      </c>
      <c r="AS48" s="76" t="e">
        <f t="shared" ref="AS48" ca="1" si="715">+IF(AO47&lt;0,1-AS47/AO47,AS47/AO47-1)</f>
        <v>#NAME?</v>
      </c>
      <c r="AT48" s="76" t="e">
        <f t="shared" ref="AT48" ca="1" si="716">+IF(AP47&lt;0,1-AT47/AP47,AT47/AP47-1)</f>
        <v>#NAME?</v>
      </c>
      <c r="AU48" s="76" t="e">
        <f t="shared" ref="AU48" ca="1" si="717">+IF(AQ47&lt;0,1-AU47/AQ47,AU47/AQ47-1)</f>
        <v>#NAME?</v>
      </c>
      <c r="AV48" s="76" t="e">
        <f t="shared" ref="AV48" ca="1" si="718">+IF(AR47&lt;0,1-AV47/AR47,AV47/AR47-1)</f>
        <v>#NAME?</v>
      </c>
      <c r="AW48" s="76" t="e">
        <f t="shared" ref="AW48" ca="1" si="719">+IF(AS47&lt;0,1-AW47/AS47,AW47/AS47-1)</f>
        <v>#NAME?</v>
      </c>
      <c r="AX48" s="76" t="e">
        <f t="shared" ref="AX48" ca="1" si="720">+IF(AT47&lt;0,1-AX47/AT47,AX47/AT47-1)</f>
        <v>#NAME?</v>
      </c>
      <c r="AY48" s="76" t="e">
        <f t="shared" ref="AY48" ca="1" si="721">+IF(AU47&lt;0,1-AY47/AU47,AY47/AU47-1)</f>
        <v>#NAME?</v>
      </c>
      <c r="AZ48" s="76" t="e">
        <f t="shared" ref="AZ48" ca="1" si="722">+IF(AV47&lt;0,1-AZ47/AV47,AZ47/AV47-1)</f>
        <v>#NAME?</v>
      </c>
      <c r="BA48" s="76" t="e">
        <f t="shared" ref="BA48" ca="1" si="723">+IF(AW47&lt;0,1-BA47/AW47,BA47/AW47-1)</f>
        <v>#NAME?</v>
      </c>
      <c r="BB48" s="76" t="e">
        <f t="shared" ref="BB48" ca="1" si="724">+IF(AX47&lt;0,1-BB47/AX47,BB47/AX47-1)</f>
        <v>#NAME?</v>
      </c>
      <c r="BC48" s="76" t="e">
        <f t="shared" ref="BC48" ca="1" si="725">+IF(AY47&lt;0,1-BC47/AY47,BC47/AY47-1)</f>
        <v>#NAME?</v>
      </c>
      <c r="BD48" s="76" t="e">
        <f t="shared" ref="BD48" ca="1" si="726">+IF(AZ47&lt;0,1-BD47/AZ47,BD47/AZ47-1)</f>
        <v>#NAME?</v>
      </c>
      <c r="BE48" s="76" t="e">
        <f t="shared" ref="BE48" ca="1" si="727">+IF(BA47&lt;0,1-BE47/BA47,BE47/BA47-1)</f>
        <v>#NAME?</v>
      </c>
      <c r="BF48" s="76" t="e">
        <f t="shared" ref="BF48" ca="1" si="728">+IF(BB47&lt;0,1-BF47/BB47,BF47/BB47-1)</f>
        <v>#NAME?</v>
      </c>
      <c r="BG48" s="76" t="e">
        <f t="shared" ref="BG48" ca="1" si="729">+IF(BC47&lt;0,1-BG47/BC47,BG47/BC47-1)</f>
        <v>#NAME?</v>
      </c>
      <c r="BH48" s="76" t="e">
        <f t="shared" ref="BH48" ca="1" si="730">+IF(BD47&lt;0,1-BH47/BD47,BH47/BD47-1)</f>
        <v>#NAME?</v>
      </c>
      <c r="BI48" s="76" t="e">
        <f t="shared" ref="BI48" ca="1" si="731">+IF(BE47&lt;0,1-BI47/BE47,BI47/BE47-1)</f>
        <v>#NAME?</v>
      </c>
      <c r="BJ48" s="76" t="e">
        <f t="shared" ref="BJ48" ca="1" si="732">+IF(BF47&lt;0,1-BJ47/BF47,BJ47/BF47-1)</f>
        <v>#NAME?</v>
      </c>
      <c r="BK48" s="76" t="e">
        <f t="shared" ref="BK48" ca="1" si="733">+IF(BG47&lt;0,1-BK47/BG47,BK47/BG47-1)</f>
        <v>#NAME?</v>
      </c>
      <c r="BL48" s="76" t="e">
        <f t="shared" ref="BL48" ca="1" si="734">+IF(BH47&lt;0,1-BL47/BH47,BL47/BH47-1)</f>
        <v>#NAME?</v>
      </c>
      <c r="BM48" s="76" t="e">
        <f t="shared" ref="BM48" ca="1" si="735">+IF(BI47&lt;0,1-BM47/BI47,BM47/BI47-1)</f>
        <v>#NAME?</v>
      </c>
      <c r="BN48" s="76" t="e">
        <f t="shared" ref="BN48" ca="1" si="736">+IF(BJ47&lt;0,1-BN47/BJ47,BN47/BJ47-1)</f>
        <v>#NAME?</v>
      </c>
      <c r="BO48" s="76" t="e">
        <f t="shared" ref="BO48" ca="1" si="737">+IF(BK47&lt;0,1-BO47/BK47,BO47/BK47-1)</f>
        <v>#NAME?</v>
      </c>
      <c r="BP48" s="76" t="e">
        <f t="shared" ref="BP48" ca="1" si="738">+IF(BL47&lt;0,1-BP47/BL47,BP47/BL47-1)</f>
        <v>#NAME?</v>
      </c>
      <c r="BQ48" s="76" t="e">
        <f t="shared" ref="BQ48" ca="1" si="739">+IF(BM47&lt;0,1-BQ47/BM47,BQ47/BM47-1)</f>
        <v>#NAME?</v>
      </c>
      <c r="BR48" s="76" t="e">
        <f t="shared" ref="BR48" ca="1" si="740">+IF(BN47&lt;0,1-BR47/BN47,BR47/BN47-1)</f>
        <v>#NAME?</v>
      </c>
      <c r="BS48" s="76" t="e">
        <f t="shared" ref="BS48" ca="1" si="741">+IF(BO47&lt;0,1-BS47/BO47,BS47/BO47-1)</f>
        <v>#NAME?</v>
      </c>
      <c r="BT48" s="76" t="e">
        <f t="shared" ref="BT48" ca="1" si="742">+IF(BP47&lt;0,1-BT47/BP47,BT47/BP47-1)</f>
        <v>#NAME?</v>
      </c>
      <c r="BU48" s="76" t="e">
        <f t="shared" ref="BU48" ca="1" si="743">+IF(BQ47&lt;0,1-BU47/BQ47,BU47/BQ47-1)</f>
        <v>#NAME?</v>
      </c>
      <c r="BV48" s="76" t="e">
        <f t="shared" ref="BV48" ca="1" si="744">+IF(BR47&lt;0,1-BV47/BR47,BV47/BR47-1)</f>
        <v>#NAME?</v>
      </c>
      <c r="BW48" s="76" t="e">
        <f ca="1">+IF(BS47&lt;0,1-BW47/BS47,BW47/BS47-1)</f>
        <v>#NAME?</v>
      </c>
      <c r="BX48" s="76" t="e">
        <f ca="1">+IF(BT47&lt;0,1-BX47/BT47,BX47/BT47-1)</f>
        <v>#NAME?</v>
      </c>
      <c r="BY48" s="76" t="e">
        <f ca="1">+IF(BU47&lt;0,1-BY47/BU47,BY47/BU47-1)</f>
        <v>#NAME?</v>
      </c>
      <c r="BZ48" s="36" t="e">
        <f t="shared" ref="BZ48" ca="1" si="745">+IF(BV47&lt;0,1-BZ47/BV47,BZ47/BV47-1)</f>
        <v>#NAME?</v>
      </c>
      <c r="CA48" s="36" t="e">
        <f t="shared" ref="CA48" ca="1" si="746">+IF(BW47&lt;0,1-CA47/BW47,CA47/BW47-1)</f>
        <v>#NAME?</v>
      </c>
      <c r="CB48" s="36" t="e">
        <f t="shared" ref="CB48" ca="1" si="747">+IF(BX47&lt;0,1-CB47/BX47,CB47/BX47-1)</f>
        <v>#NAME?</v>
      </c>
      <c r="CC48" s="36" t="e">
        <f t="shared" ref="CC48" ca="1" si="748">+IF(BY47&lt;0,1-CC47/BY47,CC47/BY47-1)</f>
        <v>#NAME?</v>
      </c>
      <c r="CD48" s="36" t="e">
        <f t="shared" ref="CD48" ca="1" si="749">+IF(BZ47&lt;0,1-CD47/BZ47,CD47/BZ47-1)</f>
        <v>#NAME?</v>
      </c>
      <c r="CE48" s="36" t="e">
        <f t="shared" ref="CE48" ca="1" si="750">+IF(CA47&lt;0,1-CE47/CA47,CE47/CA47-1)</f>
        <v>#NAME?</v>
      </c>
      <c r="CF48" s="36" t="e">
        <f t="shared" ref="CF48" ca="1" si="751">+IF(CB47&lt;0,1-CF47/CB47,CF47/CB47-1)</f>
        <v>#NAME?</v>
      </c>
      <c r="CG48" s="36" t="e">
        <f t="shared" ref="CG48" ca="1" si="752">+IF(CC47&lt;0,1-CG47/CC47,CG47/CC47-1)</f>
        <v>#NAME?</v>
      </c>
      <c r="CH48" s="36" t="e">
        <f t="shared" ref="CH48" ca="1" si="753">+IF(CD47&lt;0,1-CH47/CD47,CH47/CD47-1)</f>
        <v>#NAME?</v>
      </c>
      <c r="CI48" s="36" t="e">
        <f t="shared" ref="CI48" ca="1" si="754">+IF(CE47&lt;0,1-CI47/CE47,CI47/CE47-1)</f>
        <v>#NAME?</v>
      </c>
      <c r="CJ48" s="36" t="e">
        <f t="shared" ref="CJ48" ca="1" si="755">+IF(CF47&lt;0,1-CJ47/CF47,CJ47/CF47-1)</f>
        <v>#NAME?</v>
      </c>
      <c r="CK48" s="36" t="e">
        <f t="shared" ref="CK48" ca="1" si="756">+IF(CG47&lt;0,1-CK47/CG47,CK47/CG47-1)</f>
        <v>#NAME?</v>
      </c>
      <c r="CL48" s="36" t="e">
        <f t="shared" ref="CL48" ca="1" si="757">+IF(CH47&lt;0,1-CL47/CH47,CL47/CH47-1)</f>
        <v>#NAME?</v>
      </c>
      <c r="CM48" s="36" t="e">
        <f t="shared" ref="CM48" ca="1" si="758">+IF(CI47&lt;0,1-CM47/CI47,CM47/CI47-1)</f>
        <v>#NAME?</v>
      </c>
      <c r="CN48" s="36" t="e">
        <f t="shared" ref="CN48" ca="1" si="759">+IF(CJ47&lt;0,1-CN47/CJ47,CN47/CJ47-1)</f>
        <v>#NAME?</v>
      </c>
      <c r="CO48" s="36" t="e">
        <f t="shared" ref="CO48" ca="1" si="760">+IF(CK47&lt;0,1-CO47/CK47,CO47/CK47-1)</f>
        <v>#NAME?</v>
      </c>
      <c r="CS48" s="73">
        <v>0.1616896996457462</v>
      </c>
    </row>
    <row r="49" spans="1:97" s="38" customFormat="1" x14ac:dyDescent="0.2">
      <c r="A49" s="38" t="s">
        <v>2</v>
      </c>
      <c r="B49" s="38" t="e">
        <f ca="1">+'Annual Raw'!C19</f>
        <v>#NAME?</v>
      </c>
      <c r="C49" s="38" t="e">
        <f ca="1">+'Annual Raw'!D19</f>
        <v>#NAME?</v>
      </c>
      <c r="D49" s="38" t="e">
        <f ca="1">+'Annual Raw'!E19</f>
        <v>#NAME?</v>
      </c>
      <c r="E49" s="38" t="e">
        <f ca="1">+'Annual Raw'!F19</f>
        <v>#NAME?</v>
      </c>
      <c r="F49" s="38" t="e">
        <f ca="1">+'Annual Raw'!G19</f>
        <v>#NAME?</v>
      </c>
      <c r="G49" s="38" t="e">
        <f ca="1">+'Annual Raw'!H19</f>
        <v>#NAME?</v>
      </c>
      <c r="H49" s="38" t="e">
        <f ca="1">+'Annual Raw'!I19</f>
        <v>#NAME?</v>
      </c>
      <c r="I49" s="38" t="e">
        <f ca="1">+'Annual Raw'!J19</f>
        <v>#NAME?</v>
      </c>
      <c r="J49" s="38" t="e">
        <f ca="1">+'Annual Raw'!K19</f>
        <v>#NAME?</v>
      </c>
      <c r="K49" s="38" t="e">
        <f ca="1">+'Annual Raw'!L19</f>
        <v>#NAME?</v>
      </c>
      <c r="L49" s="38" t="e">
        <f ca="1">+'Annual Raw'!M19</f>
        <v>#NAME?</v>
      </c>
      <c r="M49" s="38" t="e">
        <f ca="1">+'Annual Raw'!N19</f>
        <v>#NAME?</v>
      </c>
      <c r="N49" s="38" t="e">
        <f ca="1">+'Annual Raw'!O19</f>
        <v>#NAME?</v>
      </c>
      <c r="O49" s="38" t="e">
        <f ca="1">+'Annual Raw'!P19</f>
        <v>#NAME?</v>
      </c>
      <c r="P49" s="38" t="e">
        <f ca="1">+'Annual Raw'!Q19</f>
        <v>#NAME?</v>
      </c>
      <c r="Q49" s="38" t="e">
        <f ca="1">+'Annual Raw'!R19</f>
        <v>#NAME?</v>
      </c>
      <c r="R49" s="38" t="e">
        <f ca="1">+'Annual Raw'!S19</f>
        <v>#NAME?</v>
      </c>
      <c r="S49" s="38" t="e">
        <f ca="1">+'Annual Raw'!T19</f>
        <v>#NAME?</v>
      </c>
      <c r="T49" s="38" t="e">
        <f ca="1">+'Annual Raw'!U19</f>
        <v>#NAME?</v>
      </c>
      <c r="U49" s="38" t="e">
        <f ca="1">+'Annual Raw'!V19</f>
        <v>#NAME?</v>
      </c>
      <c r="V49" s="38" t="e">
        <f ca="1">+'Annual Raw'!W19</f>
        <v>#NAME?</v>
      </c>
      <c r="W49" s="38" t="e">
        <f ca="1">+'Annual Raw'!X19</f>
        <v>#NAME?</v>
      </c>
      <c r="X49" s="38" t="e">
        <f ca="1">+'Annual Raw'!Y19</f>
        <v>#NAME?</v>
      </c>
      <c r="Y49" s="38" t="e">
        <f ca="1">+'Annual Raw'!Z19</f>
        <v>#NAME?</v>
      </c>
      <c r="Z49" s="38" t="e">
        <f ca="1">+'Annual Raw'!AA19</f>
        <v>#NAME?</v>
      </c>
      <c r="AA49" s="38" t="e">
        <f ca="1">+'Annual Raw'!AB19</f>
        <v>#NAME?</v>
      </c>
      <c r="AB49" s="39" t="e">
        <f ca="1">SUM(BZ49:CC49)</f>
        <v>#NAME?</v>
      </c>
      <c r="AC49" s="39" t="e">
        <f ca="1">SUM(CD49:CG49)</f>
        <v>#NAME?</v>
      </c>
      <c r="AD49" s="39" t="e">
        <f ca="1">SUM(CH49:CK49)</f>
        <v>#NAME?</v>
      </c>
      <c r="AE49" s="39" t="e">
        <f ca="1">SUM(CL49:CO49)</f>
        <v>#NAME?</v>
      </c>
      <c r="AG49" s="60"/>
      <c r="AH49" s="38" t="e">
        <f ca="1">+'QTR Raw'!C18</f>
        <v>#NAME?</v>
      </c>
      <c r="AI49" s="38" t="e">
        <f ca="1">+'QTR Raw'!D18</f>
        <v>#NAME?</v>
      </c>
      <c r="AJ49" s="38" t="e">
        <f ca="1">+'QTR Raw'!E18</f>
        <v>#NAME?</v>
      </c>
      <c r="AK49" s="38" t="e">
        <f ca="1">+'QTR Raw'!F18</f>
        <v>#NAME?</v>
      </c>
      <c r="AL49" s="38" t="e">
        <f ca="1">+'QTR Raw'!G18</f>
        <v>#NAME?</v>
      </c>
      <c r="AM49" s="38" t="e">
        <f ca="1">+'QTR Raw'!H18</f>
        <v>#NAME?</v>
      </c>
      <c r="AN49" s="38" t="e">
        <f ca="1">+'QTR Raw'!I18</f>
        <v>#NAME?</v>
      </c>
      <c r="AO49" s="38" t="e">
        <f ca="1">+'QTR Raw'!J18</f>
        <v>#NAME?</v>
      </c>
      <c r="AP49" s="38" t="e">
        <f ca="1">+'QTR Raw'!K18</f>
        <v>#NAME?</v>
      </c>
      <c r="AQ49" s="38" t="e">
        <f ca="1">+'QTR Raw'!L18</f>
        <v>#NAME?</v>
      </c>
      <c r="AR49" s="38" t="e">
        <f ca="1">+'QTR Raw'!M18</f>
        <v>#NAME?</v>
      </c>
      <c r="AS49" s="38" t="e">
        <f ca="1">+'QTR Raw'!N18</f>
        <v>#NAME?</v>
      </c>
      <c r="AT49" s="38" t="e">
        <f ca="1">+'QTR Raw'!O18</f>
        <v>#NAME?</v>
      </c>
      <c r="AU49" s="38" t="e">
        <f ca="1">+'QTR Raw'!P18</f>
        <v>#NAME?</v>
      </c>
      <c r="AV49" s="38" t="e">
        <f ca="1">+'QTR Raw'!Q18</f>
        <v>#NAME?</v>
      </c>
      <c r="AW49" s="38" t="e">
        <f ca="1">+'QTR Raw'!R18</f>
        <v>#NAME?</v>
      </c>
      <c r="AX49" s="38" t="e">
        <f ca="1">+'QTR Raw'!S18</f>
        <v>#NAME?</v>
      </c>
      <c r="AY49" s="38" t="e">
        <f ca="1">+'QTR Raw'!T18</f>
        <v>#NAME?</v>
      </c>
      <c r="AZ49" s="38" t="e">
        <f ca="1">+'QTR Raw'!U18</f>
        <v>#NAME?</v>
      </c>
      <c r="BA49" s="38" t="e">
        <f ca="1">+'QTR Raw'!V18</f>
        <v>#NAME?</v>
      </c>
      <c r="BB49" s="38" t="e">
        <f ca="1">+'QTR Raw'!W18</f>
        <v>#NAME?</v>
      </c>
      <c r="BC49" s="38" t="e">
        <f ca="1">+'QTR Raw'!X18</f>
        <v>#NAME?</v>
      </c>
      <c r="BD49" s="38" t="e">
        <f ca="1">+'QTR Raw'!Y18</f>
        <v>#NAME?</v>
      </c>
      <c r="BE49" s="38" t="e">
        <f ca="1">+'QTR Raw'!Z18</f>
        <v>#NAME?</v>
      </c>
      <c r="BF49" s="38" t="e">
        <f ca="1">+'QTR Raw'!AA18</f>
        <v>#NAME?</v>
      </c>
      <c r="BG49" s="38" t="e">
        <f ca="1">+'QTR Raw'!AB18</f>
        <v>#NAME?</v>
      </c>
      <c r="BH49" s="38" t="e">
        <f ca="1">+'QTR Raw'!AC18</f>
        <v>#NAME?</v>
      </c>
      <c r="BI49" s="38" t="e">
        <f ca="1">+'QTR Raw'!AD18</f>
        <v>#NAME?</v>
      </c>
      <c r="BJ49" s="38" t="e">
        <f ca="1">+'QTR Raw'!AE18</f>
        <v>#NAME?</v>
      </c>
      <c r="BK49" s="38" t="e">
        <f ca="1">+'QTR Raw'!AF18</f>
        <v>#NAME?</v>
      </c>
      <c r="BL49" s="38" t="e">
        <f ca="1">+'QTR Raw'!AG18</f>
        <v>#NAME?</v>
      </c>
      <c r="BM49" s="38" t="e">
        <f ca="1">+'QTR Raw'!AH18</f>
        <v>#NAME?</v>
      </c>
      <c r="BN49" s="38" t="e">
        <f ca="1">+'QTR Raw'!AI18</f>
        <v>#NAME?</v>
      </c>
      <c r="BO49" s="38" t="e">
        <f ca="1">+'QTR Raw'!AJ18</f>
        <v>#NAME?</v>
      </c>
      <c r="BP49" s="38" t="e">
        <f ca="1">+'QTR Raw'!AK18</f>
        <v>#NAME?</v>
      </c>
      <c r="BQ49" s="38" t="e">
        <f ca="1">+'QTR Raw'!AL18</f>
        <v>#NAME?</v>
      </c>
      <c r="BR49" s="38" t="e">
        <f ca="1">+'QTR Raw'!AM18</f>
        <v>#NAME?</v>
      </c>
      <c r="BS49" s="38" t="e">
        <f ca="1">+'QTR Raw'!AN18</f>
        <v>#NAME?</v>
      </c>
      <c r="BT49" s="38" t="e">
        <f ca="1">+'QTR Raw'!AO18</f>
        <v>#NAME?</v>
      </c>
      <c r="BU49" s="38" t="e">
        <f ca="1">+'QTR Raw'!AP18</f>
        <v>#NAME?</v>
      </c>
      <c r="BV49" s="38" t="e">
        <f ca="1">+'QTR Raw'!AQ18</f>
        <v>#NAME?</v>
      </c>
      <c r="BW49" s="38" t="e">
        <f ca="1">+'QTR Raw'!AR18</f>
        <v>#NAME?</v>
      </c>
      <c r="BX49" s="38" t="e">
        <f ca="1">+'QTR Raw'!AS18</f>
        <v>#NAME?</v>
      </c>
      <c r="BY49" s="38" t="e">
        <f ca="1">+'QTR Raw'!AT18</f>
        <v>#NAME?</v>
      </c>
      <c r="BZ49" s="39" t="e">
        <f t="shared" ref="BZ49:CO49" ca="1" si="761">BZ20*BY5</f>
        <v>#NAME?</v>
      </c>
      <c r="CA49" s="39" t="e">
        <f t="shared" ca="1" si="761"/>
        <v>#NAME?</v>
      </c>
      <c r="CB49" s="39" t="e">
        <f t="shared" ca="1" si="761"/>
        <v>#NAME?</v>
      </c>
      <c r="CC49" s="39" t="e">
        <f t="shared" ca="1" si="761"/>
        <v>#NAME?</v>
      </c>
      <c r="CD49" s="39" t="e">
        <f t="shared" ca="1" si="761"/>
        <v>#NAME?</v>
      </c>
      <c r="CE49" s="39" t="e">
        <f t="shared" ca="1" si="761"/>
        <v>#NAME?</v>
      </c>
      <c r="CF49" s="39" t="e">
        <f t="shared" ca="1" si="761"/>
        <v>#NAME?</v>
      </c>
      <c r="CG49" s="39" t="e">
        <f t="shared" ca="1" si="761"/>
        <v>#NAME?</v>
      </c>
      <c r="CH49" s="39" t="e">
        <f t="shared" ca="1" si="761"/>
        <v>#NAME?</v>
      </c>
      <c r="CI49" s="39" t="e">
        <f t="shared" ca="1" si="761"/>
        <v>#NAME?</v>
      </c>
      <c r="CJ49" s="39" t="e">
        <f t="shared" ca="1" si="761"/>
        <v>#NAME?</v>
      </c>
      <c r="CK49" s="39" t="e">
        <f t="shared" ca="1" si="761"/>
        <v>#NAME?</v>
      </c>
      <c r="CL49" s="39" t="e">
        <f t="shared" ca="1" si="761"/>
        <v>#NAME?</v>
      </c>
      <c r="CM49" s="39" t="e">
        <f t="shared" ca="1" si="761"/>
        <v>#NAME?</v>
      </c>
      <c r="CN49" s="39" t="e">
        <f t="shared" ca="1" si="761"/>
        <v>#NAME?</v>
      </c>
      <c r="CO49" s="39" t="e">
        <f t="shared" ca="1" si="761"/>
        <v>#NAME?</v>
      </c>
      <c r="CS49" s="38">
        <v>2968.45</v>
      </c>
    </row>
    <row r="50" spans="1:97" s="43" customFormat="1" x14ac:dyDescent="0.2">
      <c r="A50" s="43" t="s">
        <v>12</v>
      </c>
      <c r="B50" s="43" t="e">
        <f t="shared" ref="B50:O50" ca="1" si="762">B47-B49</f>
        <v>#NAME?</v>
      </c>
      <c r="C50" s="43" t="e">
        <f t="shared" ca="1" si="762"/>
        <v>#NAME?</v>
      </c>
      <c r="D50" s="43" t="e">
        <f t="shared" ca="1" si="762"/>
        <v>#NAME?</v>
      </c>
      <c r="E50" s="43" t="e">
        <f t="shared" ca="1" si="762"/>
        <v>#NAME?</v>
      </c>
      <c r="F50" s="43" t="e">
        <f t="shared" ca="1" si="762"/>
        <v>#NAME?</v>
      </c>
      <c r="G50" s="43" t="e">
        <f t="shared" ca="1" si="762"/>
        <v>#NAME?</v>
      </c>
      <c r="H50" s="43" t="e">
        <f t="shared" ca="1" si="762"/>
        <v>#NAME?</v>
      </c>
      <c r="I50" s="43" t="e">
        <f t="shared" ca="1" si="762"/>
        <v>#NAME?</v>
      </c>
      <c r="J50" s="43" t="e">
        <f t="shared" ca="1" si="762"/>
        <v>#NAME?</v>
      </c>
      <c r="K50" s="43" t="e">
        <f t="shared" ca="1" si="762"/>
        <v>#NAME?</v>
      </c>
      <c r="L50" s="43" t="e">
        <f t="shared" ca="1" si="762"/>
        <v>#NAME?</v>
      </c>
      <c r="M50" s="43" t="e">
        <f t="shared" ca="1" si="762"/>
        <v>#NAME?</v>
      </c>
      <c r="N50" s="43" t="e">
        <f t="shared" ca="1" si="762"/>
        <v>#NAME?</v>
      </c>
      <c r="O50" s="43" t="e">
        <f t="shared" ca="1" si="762"/>
        <v>#NAME?</v>
      </c>
      <c r="P50" s="43" t="e">
        <f t="shared" ref="P50:W50" ca="1" si="763">P47-P49</f>
        <v>#NAME?</v>
      </c>
      <c r="Q50" s="43" t="e">
        <f t="shared" ca="1" si="763"/>
        <v>#NAME?</v>
      </c>
      <c r="R50" s="43" t="e">
        <f t="shared" ca="1" si="763"/>
        <v>#NAME?</v>
      </c>
      <c r="S50" s="43" t="e">
        <f t="shared" ca="1" si="763"/>
        <v>#NAME?</v>
      </c>
      <c r="T50" s="43" t="e">
        <f t="shared" ca="1" si="763"/>
        <v>#NAME?</v>
      </c>
      <c r="U50" s="43" t="e">
        <f t="shared" ca="1" si="763"/>
        <v>#NAME?</v>
      </c>
      <c r="V50" s="43" t="e">
        <f t="shared" ca="1" si="763"/>
        <v>#NAME?</v>
      </c>
      <c r="W50" s="43" t="e">
        <f t="shared" ca="1" si="763"/>
        <v>#NAME?</v>
      </c>
      <c r="X50" s="43" t="e">
        <f t="shared" ref="X50" ca="1" si="764">X47-X49</f>
        <v>#NAME?</v>
      </c>
      <c r="Y50" s="43" t="e">
        <f t="shared" ref="Y50" ca="1" si="765">Y47-Y49</f>
        <v>#NAME?</v>
      </c>
      <c r="Z50" s="43" t="e">
        <f t="shared" ref="Z50:AA50" ca="1" si="766">Z47-Z49</f>
        <v>#NAME?</v>
      </c>
      <c r="AA50" s="43" t="e">
        <f t="shared" ca="1" si="766"/>
        <v>#NAME?</v>
      </c>
      <c r="AB50" s="44" t="e">
        <f t="shared" ref="AB50" ca="1" si="767">AB47-AB49</f>
        <v>#NAME?</v>
      </c>
      <c r="AC50" s="44" t="e">
        <f t="shared" ref="AC50" ca="1" si="768">AC47-AC49</f>
        <v>#NAME?</v>
      </c>
      <c r="AD50" s="44" t="e">
        <f t="shared" ref="AD50" ca="1" si="769">AD47-AD49</f>
        <v>#NAME?</v>
      </c>
      <c r="AE50" s="44" t="e">
        <f t="shared" ref="AE50" ca="1" si="770">AE47-AE49</f>
        <v>#NAME?</v>
      </c>
      <c r="AG50" s="62"/>
      <c r="AH50" s="43" t="e">
        <f t="shared" ref="AH50" ca="1" si="771">AH47-AH49</f>
        <v>#NAME?</v>
      </c>
      <c r="AI50" s="43" t="e">
        <f t="shared" ref="AI50:BV50" ca="1" si="772">AI47-AI49</f>
        <v>#NAME?</v>
      </c>
      <c r="AJ50" s="43" t="e">
        <f t="shared" ca="1" si="772"/>
        <v>#NAME?</v>
      </c>
      <c r="AK50" s="43" t="e">
        <f t="shared" ca="1" si="772"/>
        <v>#NAME?</v>
      </c>
      <c r="AL50" s="43" t="e">
        <f t="shared" ca="1" si="772"/>
        <v>#NAME?</v>
      </c>
      <c r="AM50" s="43" t="e">
        <f t="shared" ca="1" si="772"/>
        <v>#NAME?</v>
      </c>
      <c r="AN50" s="43" t="e">
        <f t="shared" ca="1" si="772"/>
        <v>#NAME?</v>
      </c>
      <c r="AO50" s="43" t="e">
        <f t="shared" ca="1" si="772"/>
        <v>#NAME?</v>
      </c>
      <c r="AP50" s="43" t="e">
        <f t="shared" ca="1" si="772"/>
        <v>#NAME?</v>
      </c>
      <c r="AQ50" s="43" t="e">
        <f t="shared" ca="1" si="772"/>
        <v>#NAME?</v>
      </c>
      <c r="AR50" s="43" t="e">
        <f t="shared" ca="1" si="772"/>
        <v>#NAME?</v>
      </c>
      <c r="AS50" s="43" t="e">
        <f t="shared" ca="1" si="772"/>
        <v>#NAME?</v>
      </c>
      <c r="AT50" s="43" t="e">
        <f t="shared" ca="1" si="772"/>
        <v>#NAME?</v>
      </c>
      <c r="AU50" s="43" t="e">
        <f t="shared" ca="1" si="772"/>
        <v>#NAME?</v>
      </c>
      <c r="AV50" s="43" t="e">
        <f t="shared" ca="1" si="772"/>
        <v>#NAME?</v>
      </c>
      <c r="AW50" s="43" t="e">
        <f t="shared" ca="1" si="772"/>
        <v>#NAME?</v>
      </c>
      <c r="AX50" s="43" t="e">
        <f t="shared" ca="1" si="772"/>
        <v>#NAME?</v>
      </c>
      <c r="AY50" s="43" t="e">
        <f t="shared" ca="1" si="772"/>
        <v>#NAME?</v>
      </c>
      <c r="AZ50" s="43" t="e">
        <f t="shared" ca="1" si="772"/>
        <v>#NAME?</v>
      </c>
      <c r="BA50" s="43" t="e">
        <f t="shared" ca="1" si="772"/>
        <v>#NAME?</v>
      </c>
      <c r="BB50" s="43" t="e">
        <f t="shared" ca="1" si="772"/>
        <v>#NAME?</v>
      </c>
      <c r="BC50" s="43" t="e">
        <f t="shared" ca="1" si="772"/>
        <v>#NAME?</v>
      </c>
      <c r="BD50" s="43" t="e">
        <f t="shared" ca="1" si="772"/>
        <v>#NAME?</v>
      </c>
      <c r="BE50" s="43" t="e">
        <f t="shared" ca="1" si="772"/>
        <v>#NAME?</v>
      </c>
      <c r="BF50" s="43" t="e">
        <f t="shared" ca="1" si="772"/>
        <v>#NAME?</v>
      </c>
      <c r="BG50" s="43" t="e">
        <f t="shared" ca="1" si="772"/>
        <v>#NAME?</v>
      </c>
      <c r="BH50" s="43" t="e">
        <f t="shared" ca="1" si="772"/>
        <v>#NAME?</v>
      </c>
      <c r="BI50" s="43" t="e">
        <f t="shared" ca="1" si="772"/>
        <v>#NAME?</v>
      </c>
      <c r="BJ50" s="43" t="e">
        <f t="shared" ca="1" si="772"/>
        <v>#NAME?</v>
      </c>
      <c r="BK50" s="43" t="e">
        <f t="shared" ca="1" si="772"/>
        <v>#NAME?</v>
      </c>
      <c r="BL50" s="43" t="e">
        <f t="shared" ca="1" si="772"/>
        <v>#NAME?</v>
      </c>
      <c r="BM50" s="43" t="e">
        <f t="shared" ca="1" si="772"/>
        <v>#NAME?</v>
      </c>
      <c r="BN50" s="43" t="e">
        <f t="shared" ca="1" si="772"/>
        <v>#NAME?</v>
      </c>
      <c r="BO50" s="43" t="e">
        <f t="shared" ca="1" si="772"/>
        <v>#NAME?</v>
      </c>
      <c r="BP50" s="43" t="e">
        <f t="shared" ca="1" si="772"/>
        <v>#NAME?</v>
      </c>
      <c r="BQ50" s="43" t="e">
        <f t="shared" ca="1" si="772"/>
        <v>#NAME?</v>
      </c>
      <c r="BR50" s="43" t="e">
        <f t="shared" ca="1" si="772"/>
        <v>#NAME?</v>
      </c>
      <c r="BS50" s="43" t="e">
        <f t="shared" ca="1" si="772"/>
        <v>#NAME?</v>
      </c>
      <c r="BT50" s="43" t="e">
        <f t="shared" ca="1" si="772"/>
        <v>#NAME?</v>
      </c>
      <c r="BU50" s="43" t="e">
        <f t="shared" ca="1" si="772"/>
        <v>#NAME?</v>
      </c>
      <c r="BV50" s="43" t="e">
        <f t="shared" ca="1" si="772"/>
        <v>#NAME?</v>
      </c>
      <c r="BW50" s="43" t="e">
        <f t="shared" ref="BW50:BX50" ca="1" si="773">BW47-BW49</f>
        <v>#NAME?</v>
      </c>
      <c r="BX50" s="43" t="e">
        <f t="shared" ca="1" si="773"/>
        <v>#NAME?</v>
      </c>
      <c r="BY50" s="43" t="e">
        <f t="shared" ref="BY50" ca="1" si="774">BY47-BY49</f>
        <v>#NAME?</v>
      </c>
      <c r="BZ50" s="44" t="e">
        <f t="shared" ref="BZ50:CC50" ca="1" si="775">BZ47-BZ49</f>
        <v>#NAME?</v>
      </c>
      <c r="CA50" s="44" t="e">
        <f t="shared" ca="1" si="775"/>
        <v>#NAME?</v>
      </c>
      <c r="CB50" s="44" t="e">
        <f t="shared" ca="1" si="775"/>
        <v>#NAME?</v>
      </c>
      <c r="CC50" s="44" t="e">
        <f t="shared" ca="1" si="775"/>
        <v>#NAME?</v>
      </c>
      <c r="CD50" s="44" t="e">
        <f t="shared" ref="CD50:CO50" ca="1" si="776">CD47-CD49</f>
        <v>#NAME?</v>
      </c>
      <c r="CE50" s="44" t="e">
        <f t="shared" ca="1" si="776"/>
        <v>#NAME?</v>
      </c>
      <c r="CF50" s="44" t="e">
        <f t="shared" ca="1" si="776"/>
        <v>#NAME?</v>
      </c>
      <c r="CG50" s="44" t="e">
        <f t="shared" ca="1" si="776"/>
        <v>#NAME?</v>
      </c>
      <c r="CH50" s="44" t="e">
        <f t="shared" ca="1" si="776"/>
        <v>#NAME?</v>
      </c>
      <c r="CI50" s="44" t="e">
        <f t="shared" ca="1" si="776"/>
        <v>#NAME?</v>
      </c>
      <c r="CJ50" s="44" t="e">
        <f t="shared" ca="1" si="776"/>
        <v>#NAME?</v>
      </c>
      <c r="CK50" s="44" t="e">
        <f t="shared" ca="1" si="776"/>
        <v>#NAME?</v>
      </c>
      <c r="CL50" s="44" t="e">
        <f t="shared" ca="1" si="776"/>
        <v>#NAME?</v>
      </c>
      <c r="CM50" s="44" t="e">
        <f t="shared" ca="1" si="776"/>
        <v>#NAME?</v>
      </c>
      <c r="CN50" s="44" t="e">
        <f t="shared" ca="1" si="776"/>
        <v>#NAME?</v>
      </c>
      <c r="CO50" s="44" t="e">
        <f t="shared" ca="1" si="776"/>
        <v>#NAME?</v>
      </c>
      <c r="CS50" s="43">
        <v>7857.37</v>
      </c>
    </row>
    <row r="51" spans="1:97" s="38" customFormat="1" x14ac:dyDescent="0.2">
      <c r="A51" s="38" t="s">
        <v>13</v>
      </c>
      <c r="B51" s="38" t="e">
        <f ca="1">+'Annual Raw'!C18</f>
        <v>#NAME?</v>
      </c>
      <c r="C51" s="38" t="e">
        <f ca="1">+'Annual Raw'!D18</f>
        <v>#NAME?</v>
      </c>
      <c r="D51" s="38" t="e">
        <f ca="1">+'Annual Raw'!E18</f>
        <v>#NAME?</v>
      </c>
      <c r="E51" s="38" t="e">
        <f ca="1">+'Annual Raw'!F18</f>
        <v>#NAME?</v>
      </c>
      <c r="F51" s="38" t="e">
        <f ca="1">+'Annual Raw'!G18</f>
        <v>#NAME?</v>
      </c>
      <c r="G51" s="38" t="e">
        <f ca="1">+'Annual Raw'!H18</f>
        <v>#NAME?</v>
      </c>
      <c r="H51" s="38" t="e">
        <f ca="1">+'Annual Raw'!I18</f>
        <v>#NAME?</v>
      </c>
      <c r="I51" s="38" t="e">
        <f ca="1">+'Annual Raw'!J18</f>
        <v>#NAME?</v>
      </c>
      <c r="J51" s="38" t="e">
        <f ca="1">+'Annual Raw'!K18</f>
        <v>#NAME?</v>
      </c>
      <c r="K51" s="38" t="e">
        <f ca="1">+'Annual Raw'!L18</f>
        <v>#NAME?</v>
      </c>
      <c r="L51" s="38" t="e">
        <f ca="1">+'Annual Raw'!M18</f>
        <v>#NAME?</v>
      </c>
      <c r="M51" s="38" t="e">
        <f ca="1">+'Annual Raw'!N18</f>
        <v>#NAME?</v>
      </c>
      <c r="N51" s="38" t="e">
        <f ca="1">+'Annual Raw'!O18</f>
        <v>#NAME?</v>
      </c>
      <c r="O51" s="38" t="e">
        <f ca="1">+'Annual Raw'!P18</f>
        <v>#NAME?</v>
      </c>
      <c r="P51" s="38" t="e">
        <f ca="1">+'Annual Raw'!Q18</f>
        <v>#NAME?</v>
      </c>
      <c r="Q51" s="38" t="e">
        <f ca="1">+'Annual Raw'!R18</f>
        <v>#NAME?</v>
      </c>
      <c r="R51" s="38" t="e">
        <f ca="1">+'Annual Raw'!S18</f>
        <v>#NAME?</v>
      </c>
      <c r="S51" s="38" t="e">
        <f ca="1">+'Annual Raw'!T18</f>
        <v>#NAME?</v>
      </c>
      <c r="T51" s="38" t="e">
        <f ca="1">+'Annual Raw'!U18</f>
        <v>#NAME?</v>
      </c>
      <c r="U51" s="38" t="e">
        <f ca="1">+'Annual Raw'!V18</f>
        <v>#NAME?</v>
      </c>
      <c r="V51" s="38" t="e">
        <f ca="1">+'Annual Raw'!W18</f>
        <v>#NAME?</v>
      </c>
      <c r="W51" s="38" t="e">
        <f ca="1">+'Annual Raw'!X18</f>
        <v>#NAME?</v>
      </c>
      <c r="X51" s="38" t="e">
        <f ca="1">+'Annual Raw'!Y18</f>
        <v>#NAME?</v>
      </c>
      <c r="Y51" s="38" t="e">
        <f ca="1">+'Annual Raw'!Z18</f>
        <v>#NAME?</v>
      </c>
      <c r="Z51" s="38" t="e">
        <f ca="1">+'Annual Raw'!AA18</f>
        <v>#NAME?</v>
      </c>
      <c r="AA51" s="38" t="e">
        <f ca="1">+'Annual Raw'!AB18</f>
        <v>#NAME?</v>
      </c>
      <c r="AB51" s="39" t="e">
        <f ca="1">SUM(BZ51:CC51)</f>
        <v>#NAME?</v>
      </c>
      <c r="AC51" s="39" t="e">
        <f ca="1">SUM(CD51:CG51)</f>
        <v>#NAME?</v>
      </c>
      <c r="AD51" s="39" t="e">
        <f ca="1">SUM(CH51:CK51)</f>
        <v>#NAME?</v>
      </c>
      <c r="AE51" s="39" t="e">
        <f ca="1">SUM(CL51:CO51)</f>
        <v>#NAME?</v>
      </c>
      <c r="AG51" s="60"/>
      <c r="AH51" s="38" t="e">
        <f ca="1">+'QTR Raw'!C20</f>
        <v>#NAME?</v>
      </c>
      <c r="AI51" s="38" t="e">
        <f ca="1">+'QTR Raw'!D20</f>
        <v>#NAME?</v>
      </c>
      <c r="AJ51" s="38" t="e">
        <f ca="1">+'QTR Raw'!E20</f>
        <v>#NAME?</v>
      </c>
      <c r="AK51" s="38" t="e">
        <f ca="1">+'QTR Raw'!F20</f>
        <v>#NAME?</v>
      </c>
      <c r="AL51" s="38" t="e">
        <f ca="1">+'QTR Raw'!G20</f>
        <v>#NAME?</v>
      </c>
      <c r="AM51" s="38" t="e">
        <f ca="1">+'QTR Raw'!H20</f>
        <v>#NAME?</v>
      </c>
      <c r="AN51" s="38" t="e">
        <f ca="1">+'QTR Raw'!I20</f>
        <v>#NAME?</v>
      </c>
      <c r="AO51" s="38" t="e">
        <f ca="1">+'QTR Raw'!J20</f>
        <v>#NAME?</v>
      </c>
      <c r="AP51" s="38" t="e">
        <f ca="1">+'QTR Raw'!K20</f>
        <v>#NAME?</v>
      </c>
      <c r="AQ51" s="38" t="e">
        <f ca="1">+'QTR Raw'!L20</f>
        <v>#NAME?</v>
      </c>
      <c r="AR51" s="38" t="e">
        <f ca="1">+'QTR Raw'!M20</f>
        <v>#NAME?</v>
      </c>
      <c r="AS51" s="38" t="e">
        <f ca="1">+'QTR Raw'!N20</f>
        <v>#NAME?</v>
      </c>
      <c r="AT51" s="38" t="e">
        <f ca="1">+'QTR Raw'!O20</f>
        <v>#NAME?</v>
      </c>
      <c r="AU51" s="38" t="e">
        <f ca="1">+'QTR Raw'!P20</f>
        <v>#NAME?</v>
      </c>
      <c r="AV51" s="38" t="e">
        <f ca="1">+'QTR Raw'!Q20</f>
        <v>#NAME?</v>
      </c>
      <c r="AW51" s="38" t="e">
        <f ca="1">+'QTR Raw'!R20</f>
        <v>#NAME?</v>
      </c>
      <c r="AX51" s="38" t="e">
        <f ca="1">+'QTR Raw'!S20</f>
        <v>#NAME?</v>
      </c>
      <c r="AY51" s="38" t="e">
        <f ca="1">+'QTR Raw'!T20</f>
        <v>#NAME?</v>
      </c>
      <c r="AZ51" s="38" t="e">
        <f ca="1">+'QTR Raw'!U20</f>
        <v>#NAME?</v>
      </c>
      <c r="BA51" s="38" t="e">
        <f ca="1">+'QTR Raw'!V20</f>
        <v>#NAME?</v>
      </c>
      <c r="BB51" s="38" t="e">
        <f ca="1">+'QTR Raw'!W20</f>
        <v>#NAME?</v>
      </c>
      <c r="BC51" s="38" t="e">
        <f ca="1">+'QTR Raw'!X20</f>
        <v>#NAME?</v>
      </c>
      <c r="BD51" s="38" t="e">
        <f ca="1">+'QTR Raw'!Y20</f>
        <v>#NAME?</v>
      </c>
      <c r="BE51" s="38" t="e">
        <f ca="1">+'QTR Raw'!Z20</f>
        <v>#NAME?</v>
      </c>
      <c r="BF51" s="38" t="e">
        <f ca="1">+'QTR Raw'!AA20</f>
        <v>#NAME?</v>
      </c>
      <c r="BG51" s="38" t="e">
        <f ca="1">+'QTR Raw'!AB20</f>
        <v>#NAME?</v>
      </c>
      <c r="BH51" s="38" t="e">
        <f ca="1">+'QTR Raw'!AC20</f>
        <v>#NAME?</v>
      </c>
      <c r="BI51" s="38" t="e">
        <f ca="1">+'QTR Raw'!AD20</f>
        <v>#NAME?</v>
      </c>
      <c r="BJ51" s="38" t="e">
        <f ca="1">+'QTR Raw'!AE20</f>
        <v>#NAME?</v>
      </c>
      <c r="BK51" s="38" t="e">
        <f ca="1">+'QTR Raw'!AF20</f>
        <v>#NAME?</v>
      </c>
      <c r="BL51" s="38" t="e">
        <f ca="1">+'QTR Raw'!AG20</f>
        <v>#NAME?</v>
      </c>
      <c r="BM51" s="38" t="e">
        <f ca="1">+'QTR Raw'!AH20</f>
        <v>#NAME?</v>
      </c>
      <c r="BN51" s="38" t="e">
        <f ca="1">+'QTR Raw'!AI20</f>
        <v>#NAME?</v>
      </c>
      <c r="BO51" s="38" t="e">
        <f ca="1">+'QTR Raw'!AJ20</f>
        <v>#NAME?</v>
      </c>
      <c r="BP51" s="38" t="e">
        <f ca="1">+'QTR Raw'!AK20</f>
        <v>#NAME?</v>
      </c>
      <c r="BQ51" s="38" t="e">
        <f ca="1">+'QTR Raw'!AL20</f>
        <v>#NAME?</v>
      </c>
      <c r="BR51" s="38" t="e">
        <f ca="1">+'QTR Raw'!AM20</f>
        <v>#NAME?</v>
      </c>
      <c r="BS51" s="38" t="e">
        <f ca="1">+'QTR Raw'!AN20</f>
        <v>#NAME?</v>
      </c>
      <c r="BT51" s="38" t="e">
        <f ca="1">+'QTR Raw'!AO20</f>
        <v>#NAME?</v>
      </c>
      <c r="BU51" s="38" t="e">
        <f ca="1">+'QTR Raw'!AP20</f>
        <v>#NAME?</v>
      </c>
      <c r="BV51" s="38" t="e">
        <f ca="1">+'QTR Raw'!AQ20</f>
        <v>#NAME?</v>
      </c>
      <c r="BW51" s="38" t="e">
        <f ca="1">+'QTR Raw'!AR20</f>
        <v>#NAME?</v>
      </c>
      <c r="BX51" s="38" t="e">
        <f ca="1">+'QTR Raw'!AS20</f>
        <v>#NAME?</v>
      </c>
      <c r="BY51" s="38" t="e">
        <f ca="1">+'QTR Raw'!AT20</f>
        <v>#NAME?</v>
      </c>
      <c r="BZ51" s="39" t="e">
        <f t="shared" ref="BZ51:CC51" ca="1" si="777">BZ50*0.26</f>
        <v>#NAME?</v>
      </c>
      <c r="CA51" s="39" t="e">
        <f t="shared" ca="1" si="777"/>
        <v>#NAME?</v>
      </c>
      <c r="CB51" s="39" t="e">
        <f t="shared" ca="1" si="777"/>
        <v>#NAME?</v>
      </c>
      <c r="CC51" s="39" t="e">
        <f t="shared" ca="1" si="777"/>
        <v>#NAME?</v>
      </c>
      <c r="CD51" s="39" t="e">
        <f t="shared" ref="CD51:CO51" ca="1" si="778">CD50*0.26</f>
        <v>#NAME?</v>
      </c>
      <c r="CE51" s="39" t="e">
        <f t="shared" ca="1" si="778"/>
        <v>#NAME?</v>
      </c>
      <c r="CF51" s="39" t="e">
        <f t="shared" ca="1" si="778"/>
        <v>#NAME?</v>
      </c>
      <c r="CG51" s="39" t="e">
        <f t="shared" ca="1" si="778"/>
        <v>#NAME?</v>
      </c>
      <c r="CH51" s="39" t="e">
        <f t="shared" ca="1" si="778"/>
        <v>#NAME?</v>
      </c>
      <c r="CI51" s="39" t="e">
        <f t="shared" ca="1" si="778"/>
        <v>#NAME?</v>
      </c>
      <c r="CJ51" s="39" t="e">
        <f t="shared" ca="1" si="778"/>
        <v>#NAME?</v>
      </c>
      <c r="CK51" s="39" t="e">
        <f t="shared" ca="1" si="778"/>
        <v>#NAME?</v>
      </c>
      <c r="CL51" s="39" t="e">
        <f t="shared" ca="1" si="778"/>
        <v>#NAME?</v>
      </c>
      <c r="CM51" s="39" t="e">
        <f t="shared" ca="1" si="778"/>
        <v>#NAME?</v>
      </c>
      <c r="CN51" s="39" t="e">
        <f t="shared" ca="1" si="778"/>
        <v>#NAME?</v>
      </c>
      <c r="CO51" s="39" t="e">
        <f t="shared" ca="1" si="778"/>
        <v>#NAME?</v>
      </c>
      <c r="CS51" s="38">
        <v>838.05</v>
      </c>
    </row>
    <row r="52" spans="1:97" s="43" customFormat="1" x14ac:dyDescent="0.2">
      <c r="A52" s="43" t="s">
        <v>14</v>
      </c>
      <c r="B52" s="43" t="e">
        <f t="shared" ref="B52:O52" ca="1" si="779">B50-B51</f>
        <v>#NAME?</v>
      </c>
      <c r="C52" s="43" t="e">
        <f t="shared" ca="1" si="779"/>
        <v>#NAME?</v>
      </c>
      <c r="D52" s="43" t="e">
        <f t="shared" ca="1" si="779"/>
        <v>#NAME?</v>
      </c>
      <c r="E52" s="43" t="e">
        <f t="shared" ca="1" si="779"/>
        <v>#NAME?</v>
      </c>
      <c r="F52" s="43" t="e">
        <f t="shared" ca="1" si="779"/>
        <v>#NAME?</v>
      </c>
      <c r="G52" s="43" t="e">
        <f t="shared" ca="1" si="779"/>
        <v>#NAME?</v>
      </c>
      <c r="H52" s="43" t="e">
        <f t="shared" ca="1" si="779"/>
        <v>#NAME?</v>
      </c>
      <c r="I52" s="43" t="e">
        <f t="shared" ca="1" si="779"/>
        <v>#NAME?</v>
      </c>
      <c r="J52" s="43" t="e">
        <f t="shared" ca="1" si="779"/>
        <v>#NAME?</v>
      </c>
      <c r="K52" s="43" t="e">
        <f t="shared" ca="1" si="779"/>
        <v>#NAME?</v>
      </c>
      <c r="L52" s="43" t="e">
        <f t="shared" ca="1" si="779"/>
        <v>#NAME?</v>
      </c>
      <c r="M52" s="43" t="e">
        <f t="shared" ca="1" si="779"/>
        <v>#NAME?</v>
      </c>
      <c r="N52" s="43" t="e">
        <f t="shared" ca="1" si="779"/>
        <v>#NAME?</v>
      </c>
      <c r="O52" s="43" t="e">
        <f t="shared" ca="1" si="779"/>
        <v>#NAME?</v>
      </c>
      <c r="P52" s="43" t="e">
        <f t="shared" ref="P52:W52" ca="1" si="780">P50-P51</f>
        <v>#NAME?</v>
      </c>
      <c r="Q52" s="43" t="e">
        <f t="shared" ca="1" si="780"/>
        <v>#NAME?</v>
      </c>
      <c r="R52" s="43" t="e">
        <f t="shared" ca="1" si="780"/>
        <v>#NAME?</v>
      </c>
      <c r="S52" s="43" t="e">
        <f t="shared" ca="1" si="780"/>
        <v>#NAME?</v>
      </c>
      <c r="T52" s="43" t="e">
        <f t="shared" ca="1" si="780"/>
        <v>#NAME?</v>
      </c>
      <c r="U52" s="43" t="e">
        <f t="shared" ca="1" si="780"/>
        <v>#NAME?</v>
      </c>
      <c r="V52" s="43" t="e">
        <f t="shared" ca="1" si="780"/>
        <v>#NAME?</v>
      </c>
      <c r="W52" s="43" t="e">
        <f t="shared" ca="1" si="780"/>
        <v>#NAME?</v>
      </c>
      <c r="X52" s="43" t="e">
        <f t="shared" ref="X52" ca="1" si="781">X50-X51</f>
        <v>#NAME?</v>
      </c>
      <c r="Y52" s="43" t="e">
        <f t="shared" ref="Y52" ca="1" si="782">Y50-Y51</f>
        <v>#NAME?</v>
      </c>
      <c r="Z52" s="43" t="e">
        <f t="shared" ref="Z52:AA52" ca="1" si="783">Z50-Z51</f>
        <v>#NAME?</v>
      </c>
      <c r="AA52" s="43" t="e">
        <f t="shared" ca="1" si="783"/>
        <v>#NAME?</v>
      </c>
      <c r="AB52" s="44" t="e">
        <f t="shared" ref="AB52" ca="1" si="784">AB50-AB51</f>
        <v>#NAME?</v>
      </c>
      <c r="AC52" s="44" t="e">
        <f t="shared" ref="AC52" ca="1" si="785">AC50-AC51</f>
        <v>#NAME?</v>
      </c>
      <c r="AD52" s="44" t="e">
        <f t="shared" ref="AD52" ca="1" si="786">AD50-AD51</f>
        <v>#NAME?</v>
      </c>
      <c r="AE52" s="44" t="e">
        <f t="shared" ref="AE52" ca="1" si="787">AE50-AE51</f>
        <v>#NAME?</v>
      </c>
      <c r="AG52" s="62"/>
      <c r="AH52" s="43" t="e">
        <f t="shared" ref="AH52" ca="1" si="788">AH50-AH51</f>
        <v>#NAME?</v>
      </c>
      <c r="AI52" s="43" t="e">
        <f t="shared" ref="AI52:BV52" ca="1" si="789">AI50-AI51</f>
        <v>#NAME?</v>
      </c>
      <c r="AJ52" s="43" t="e">
        <f t="shared" ca="1" si="789"/>
        <v>#NAME?</v>
      </c>
      <c r="AK52" s="43" t="e">
        <f t="shared" ca="1" si="789"/>
        <v>#NAME?</v>
      </c>
      <c r="AL52" s="43" t="e">
        <f t="shared" ca="1" si="789"/>
        <v>#NAME?</v>
      </c>
      <c r="AM52" s="43" t="e">
        <f t="shared" ca="1" si="789"/>
        <v>#NAME?</v>
      </c>
      <c r="AN52" s="43" t="e">
        <f t="shared" ca="1" si="789"/>
        <v>#NAME?</v>
      </c>
      <c r="AO52" s="43" t="e">
        <f t="shared" ca="1" si="789"/>
        <v>#NAME?</v>
      </c>
      <c r="AP52" s="43" t="e">
        <f t="shared" ca="1" si="789"/>
        <v>#NAME?</v>
      </c>
      <c r="AQ52" s="43" t="e">
        <f t="shared" ca="1" si="789"/>
        <v>#NAME?</v>
      </c>
      <c r="AR52" s="43" t="e">
        <f t="shared" ca="1" si="789"/>
        <v>#NAME?</v>
      </c>
      <c r="AS52" s="43" t="e">
        <f t="shared" ca="1" si="789"/>
        <v>#NAME?</v>
      </c>
      <c r="AT52" s="43" t="e">
        <f t="shared" ca="1" si="789"/>
        <v>#NAME?</v>
      </c>
      <c r="AU52" s="43" t="e">
        <f t="shared" ca="1" si="789"/>
        <v>#NAME?</v>
      </c>
      <c r="AV52" s="43" t="e">
        <f t="shared" ca="1" si="789"/>
        <v>#NAME?</v>
      </c>
      <c r="AW52" s="43" t="e">
        <f t="shared" ca="1" si="789"/>
        <v>#NAME?</v>
      </c>
      <c r="AX52" s="43" t="e">
        <f t="shared" ca="1" si="789"/>
        <v>#NAME?</v>
      </c>
      <c r="AY52" s="43" t="e">
        <f t="shared" ca="1" si="789"/>
        <v>#NAME?</v>
      </c>
      <c r="AZ52" s="43" t="e">
        <f t="shared" ca="1" si="789"/>
        <v>#NAME?</v>
      </c>
      <c r="BA52" s="43" t="e">
        <f t="shared" ca="1" si="789"/>
        <v>#NAME?</v>
      </c>
      <c r="BB52" s="43" t="e">
        <f t="shared" ca="1" si="789"/>
        <v>#NAME?</v>
      </c>
      <c r="BC52" s="43" t="e">
        <f t="shared" ca="1" si="789"/>
        <v>#NAME?</v>
      </c>
      <c r="BD52" s="43" t="e">
        <f t="shared" ca="1" si="789"/>
        <v>#NAME?</v>
      </c>
      <c r="BE52" s="43" t="e">
        <f t="shared" ca="1" si="789"/>
        <v>#NAME?</v>
      </c>
      <c r="BF52" s="43" t="e">
        <f t="shared" ca="1" si="789"/>
        <v>#NAME?</v>
      </c>
      <c r="BG52" s="43" t="e">
        <f t="shared" ca="1" si="789"/>
        <v>#NAME?</v>
      </c>
      <c r="BH52" s="43" t="e">
        <f t="shared" ca="1" si="789"/>
        <v>#NAME?</v>
      </c>
      <c r="BI52" s="43" t="e">
        <f t="shared" ca="1" si="789"/>
        <v>#NAME?</v>
      </c>
      <c r="BJ52" s="43" t="e">
        <f t="shared" ca="1" si="789"/>
        <v>#NAME?</v>
      </c>
      <c r="BK52" s="43" t="e">
        <f t="shared" ca="1" si="789"/>
        <v>#NAME?</v>
      </c>
      <c r="BL52" s="43" t="e">
        <f t="shared" ca="1" si="789"/>
        <v>#NAME?</v>
      </c>
      <c r="BM52" s="43" t="e">
        <f t="shared" ca="1" si="789"/>
        <v>#NAME?</v>
      </c>
      <c r="BN52" s="43" t="e">
        <f t="shared" ca="1" si="789"/>
        <v>#NAME?</v>
      </c>
      <c r="BO52" s="43" t="e">
        <f t="shared" ca="1" si="789"/>
        <v>#NAME?</v>
      </c>
      <c r="BP52" s="43" t="e">
        <f t="shared" ca="1" si="789"/>
        <v>#NAME?</v>
      </c>
      <c r="BQ52" s="43" t="e">
        <f t="shared" ca="1" si="789"/>
        <v>#NAME?</v>
      </c>
      <c r="BR52" s="43" t="e">
        <f t="shared" ca="1" si="789"/>
        <v>#NAME?</v>
      </c>
      <c r="BS52" s="43" t="e">
        <f t="shared" ca="1" si="789"/>
        <v>#NAME?</v>
      </c>
      <c r="BT52" s="43" t="e">
        <f t="shared" ca="1" si="789"/>
        <v>#NAME?</v>
      </c>
      <c r="BU52" s="43" t="e">
        <f t="shared" ca="1" si="789"/>
        <v>#NAME?</v>
      </c>
      <c r="BV52" s="43" t="e">
        <f t="shared" ca="1" si="789"/>
        <v>#NAME?</v>
      </c>
      <c r="BW52" s="43" t="e">
        <f t="shared" ref="BW52:BX52" ca="1" si="790">BW50-BW51</f>
        <v>#NAME?</v>
      </c>
      <c r="BX52" s="43" t="e">
        <f t="shared" ca="1" si="790"/>
        <v>#NAME?</v>
      </c>
      <c r="BY52" s="43" t="e">
        <f t="shared" ref="BY52" ca="1" si="791">BY50-BY51</f>
        <v>#NAME?</v>
      </c>
      <c r="BZ52" s="44" t="e">
        <f t="shared" ref="BZ52:CC52" ca="1" si="792">BZ50-BZ51</f>
        <v>#NAME?</v>
      </c>
      <c r="CA52" s="44" t="e">
        <f t="shared" ca="1" si="792"/>
        <v>#NAME?</v>
      </c>
      <c r="CB52" s="44" t="e">
        <f t="shared" ca="1" si="792"/>
        <v>#NAME?</v>
      </c>
      <c r="CC52" s="44" t="e">
        <f t="shared" ca="1" si="792"/>
        <v>#NAME?</v>
      </c>
      <c r="CD52" s="44" t="e">
        <f t="shared" ref="CD52:CO52" ca="1" si="793">CD50-CD51</f>
        <v>#NAME?</v>
      </c>
      <c r="CE52" s="44" t="e">
        <f t="shared" ca="1" si="793"/>
        <v>#NAME?</v>
      </c>
      <c r="CF52" s="44" t="e">
        <f t="shared" ca="1" si="793"/>
        <v>#NAME?</v>
      </c>
      <c r="CG52" s="44" t="e">
        <f t="shared" ca="1" si="793"/>
        <v>#NAME?</v>
      </c>
      <c r="CH52" s="44" t="e">
        <f t="shared" ca="1" si="793"/>
        <v>#NAME?</v>
      </c>
      <c r="CI52" s="44" t="e">
        <f t="shared" ca="1" si="793"/>
        <v>#NAME?</v>
      </c>
      <c r="CJ52" s="44" t="e">
        <f t="shared" ca="1" si="793"/>
        <v>#NAME?</v>
      </c>
      <c r="CK52" s="44" t="e">
        <f t="shared" ca="1" si="793"/>
        <v>#NAME?</v>
      </c>
      <c r="CL52" s="44" t="e">
        <f t="shared" ca="1" si="793"/>
        <v>#NAME?</v>
      </c>
      <c r="CM52" s="44" t="e">
        <f t="shared" ca="1" si="793"/>
        <v>#NAME?</v>
      </c>
      <c r="CN52" s="44" t="e">
        <f t="shared" ca="1" si="793"/>
        <v>#NAME?</v>
      </c>
      <c r="CO52" s="44" t="e">
        <f t="shared" ca="1" si="793"/>
        <v>#NAME?</v>
      </c>
      <c r="CS52" s="43">
        <v>7019.32</v>
      </c>
    </row>
    <row r="53" spans="1:97" s="38" customFormat="1" x14ac:dyDescent="0.2">
      <c r="A53" s="38" t="s">
        <v>5</v>
      </c>
      <c r="B53" s="43" t="e">
        <f ca="1">+'Annual Raw'!C25</f>
        <v>#NAME?</v>
      </c>
      <c r="C53" s="43" t="e">
        <f ca="1">+'Annual Raw'!D25</f>
        <v>#NAME?</v>
      </c>
      <c r="D53" s="43" t="e">
        <f ca="1">+'Annual Raw'!E25</f>
        <v>#NAME?</v>
      </c>
      <c r="E53" s="43" t="e">
        <f ca="1">+'Annual Raw'!F25</f>
        <v>#NAME?</v>
      </c>
      <c r="F53" s="43" t="e">
        <f ca="1">+'Annual Raw'!G25</f>
        <v>#NAME?</v>
      </c>
      <c r="G53" s="43" t="e">
        <f ca="1">+'Annual Raw'!H25</f>
        <v>#NAME?</v>
      </c>
      <c r="H53" s="43" t="e">
        <f ca="1">+'Annual Raw'!I25</f>
        <v>#NAME?</v>
      </c>
      <c r="I53" s="43" t="e">
        <f ca="1">+'Annual Raw'!J25</f>
        <v>#NAME?</v>
      </c>
      <c r="J53" s="43" t="e">
        <f ca="1">+'Annual Raw'!K25</f>
        <v>#NAME?</v>
      </c>
      <c r="K53" s="43" t="e">
        <f ca="1">+'Annual Raw'!L25</f>
        <v>#NAME?</v>
      </c>
      <c r="L53" s="43" t="e">
        <f ca="1">+'Annual Raw'!M25</f>
        <v>#NAME?</v>
      </c>
      <c r="M53" s="43" t="e">
        <f ca="1">+'Annual Raw'!N25</f>
        <v>#NAME?</v>
      </c>
      <c r="N53" s="43" t="e">
        <f ca="1">+'Annual Raw'!O25</f>
        <v>#NAME?</v>
      </c>
      <c r="O53" s="43" t="e">
        <f ca="1">+'Annual Raw'!P25</f>
        <v>#NAME?</v>
      </c>
      <c r="P53" s="43" t="e">
        <f ca="1">+'Annual Raw'!Q25</f>
        <v>#NAME?</v>
      </c>
      <c r="Q53" s="43" t="e">
        <f ca="1">+'Annual Raw'!R25</f>
        <v>#NAME?</v>
      </c>
      <c r="R53" s="43" t="e">
        <f ca="1">+'Annual Raw'!S25</f>
        <v>#NAME?</v>
      </c>
      <c r="S53" s="43" t="e">
        <f ca="1">+'Annual Raw'!T25</f>
        <v>#NAME?</v>
      </c>
      <c r="T53" s="43" t="e">
        <f ca="1">+'Annual Raw'!U25</f>
        <v>#NAME?</v>
      </c>
      <c r="U53" s="43" t="e">
        <f ca="1">+'Annual Raw'!V25</f>
        <v>#NAME?</v>
      </c>
      <c r="V53" s="43" t="e">
        <f ca="1">+'Annual Raw'!W25</f>
        <v>#NAME?</v>
      </c>
      <c r="W53" s="43" t="e">
        <f ca="1">+'Annual Raw'!X25</f>
        <v>#NAME?</v>
      </c>
      <c r="X53" s="43" t="e">
        <f ca="1">+'Annual Raw'!Y25</f>
        <v>#NAME?</v>
      </c>
      <c r="Y53" s="43" t="e">
        <f ca="1">+'Annual Raw'!Z25</f>
        <v>#NAME?</v>
      </c>
      <c r="Z53" s="43" t="e">
        <f ca="1">+'Annual Raw'!AA25</f>
        <v>#NAME?</v>
      </c>
      <c r="AA53" s="43" t="e">
        <f ca="1">+'Annual Raw'!AB25</f>
        <v>#NAME?</v>
      </c>
      <c r="AB53" s="39">
        <f>SUM(BZ53:CC53)</f>
        <v>0</v>
      </c>
      <c r="AC53" s="39">
        <f>SUM(CD53:CG53)</f>
        <v>0</v>
      </c>
      <c r="AD53" s="39">
        <f>SUM(CH53:CK53)</f>
        <v>0</v>
      </c>
      <c r="AE53" s="39">
        <f>SUM(CL53:CO53)</f>
        <v>0</v>
      </c>
      <c r="AG53" s="60"/>
      <c r="BZ53" s="39">
        <f t="shared" ref="BZ53:BZ54" si="794">+BY53</f>
        <v>0</v>
      </c>
      <c r="CA53" s="39">
        <f t="shared" ref="CA53:CA54" si="795">+BZ53</f>
        <v>0</v>
      </c>
      <c r="CB53" s="39">
        <f t="shared" ref="CB53:CB54" si="796">+CA53</f>
        <v>0</v>
      </c>
      <c r="CC53" s="39">
        <f t="shared" ref="CC53:CC54" si="797">+CB53</f>
        <v>0</v>
      </c>
      <c r="CD53" s="39">
        <f t="shared" ref="CD53:CD54" si="798">+CC53</f>
        <v>0</v>
      </c>
      <c r="CE53" s="39">
        <f t="shared" ref="CE53:CE54" si="799">+CD53</f>
        <v>0</v>
      </c>
      <c r="CF53" s="39">
        <f t="shared" ref="CF53:CF54" si="800">+CE53</f>
        <v>0</v>
      </c>
      <c r="CG53" s="39">
        <f t="shared" ref="CG53:CG54" si="801">+CF53</f>
        <v>0</v>
      </c>
      <c r="CH53" s="39">
        <f t="shared" ref="CH53:CH54" si="802">+CG53</f>
        <v>0</v>
      </c>
      <c r="CI53" s="39">
        <f t="shared" ref="CI53:CI54" si="803">+CH53</f>
        <v>0</v>
      </c>
      <c r="CJ53" s="39">
        <f t="shared" ref="CJ53:CJ54" si="804">+CI53</f>
        <v>0</v>
      </c>
      <c r="CK53" s="39">
        <f t="shared" ref="CK53:CK54" si="805">+CJ53</f>
        <v>0</v>
      </c>
      <c r="CL53" s="39">
        <f t="shared" ref="CL53:CL54" si="806">+CK53</f>
        <v>0</v>
      </c>
      <c r="CM53" s="39">
        <f t="shared" ref="CM53:CM54" si="807">+CL53</f>
        <v>0</v>
      </c>
      <c r="CN53" s="39">
        <f t="shared" ref="CN53:CN54" si="808">+CM53</f>
        <v>0</v>
      </c>
      <c r="CO53" s="39">
        <f t="shared" ref="CO53:CO54" si="809">+CN53</f>
        <v>0</v>
      </c>
      <c r="CS53" s="38">
        <v>0</v>
      </c>
    </row>
    <row r="54" spans="1:97" s="38" customFormat="1" x14ac:dyDescent="0.2">
      <c r="A54" s="38" t="s">
        <v>45</v>
      </c>
      <c r="B54" s="43" t="e">
        <f ca="1">+'Annual Raw'!C26</f>
        <v>#NAME?</v>
      </c>
      <c r="C54" s="43" t="e">
        <f ca="1">+'Annual Raw'!D26</f>
        <v>#NAME?</v>
      </c>
      <c r="D54" s="43" t="e">
        <f ca="1">+'Annual Raw'!E26</f>
        <v>#NAME?</v>
      </c>
      <c r="E54" s="43" t="e">
        <f ca="1">+'Annual Raw'!F26</f>
        <v>#NAME?</v>
      </c>
      <c r="F54" s="43" t="e">
        <f ca="1">+'Annual Raw'!G26</f>
        <v>#NAME?</v>
      </c>
      <c r="G54" s="43" t="e">
        <f ca="1">+'Annual Raw'!H26</f>
        <v>#NAME?</v>
      </c>
      <c r="H54" s="43" t="e">
        <f ca="1">+'Annual Raw'!I26</f>
        <v>#NAME?</v>
      </c>
      <c r="I54" s="43" t="e">
        <f ca="1">+'Annual Raw'!J26</f>
        <v>#NAME?</v>
      </c>
      <c r="J54" s="43" t="e">
        <f ca="1">+'Annual Raw'!K26</f>
        <v>#NAME?</v>
      </c>
      <c r="K54" s="43" t="e">
        <f ca="1">+'Annual Raw'!L26</f>
        <v>#NAME?</v>
      </c>
      <c r="L54" s="43" t="e">
        <f ca="1">+'Annual Raw'!M26</f>
        <v>#NAME?</v>
      </c>
      <c r="M54" s="43" t="e">
        <f ca="1">+'Annual Raw'!N26</f>
        <v>#NAME?</v>
      </c>
      <c r="N54" s="43" t="e">
        <f ca="1">+'Annual Raw'!O26</f>
        <v>#NAME?</v>
      </c>
      <c r="O54" s="43" t="e">
        <f ca="1">+'Annual Raw'!P26</f>
        <v>#NAME?</v>
      </c>
      <c r="P54" s="43" t="e">
        <f ca="1">+'Annual Raw'!Q26</f>
        <v>#NAME?</v>
      </c>
      <c r="Q54" s="43" t="e">
        <f ca="1">+'Annual Raw'!R26</f>
        <v>#NAME?</v>
      </c>
      <c r="R54" s="43" t="e">
        <f ca="1">+'Annual Raw'!S26</f>
        <v>#NAME?</v>
      </c>
      <c r="S54" s="43" t="e">
        <f ca="1">+'Annual Raw'!T26</f>
        <v>#NAME?</v>
      </c>
      <c r="T54" s="43" t="e">
        <f ca="1">+'Annual Raw'!U26</f>
        <v>#NAME?</v>
      </c>
      <c r="U54" s="43" t="e">
        <f ca="1">+'Annual Raw'!V26</f>
        <v>#NAME?</v>
      </c>
      <c r="V54" s="43" t="e">
        <f ca="1">+'Annual Raw'!W26</f>
        <v>#NAME?</v>
      </c>
      <c r="W54" s="43" t="e">
        <f ca="1">+'Annual Raw'!X26</f>
        <v>#NAME?</v>
      </c>
      <c r="X54" s="43" t="e">
        <f ca="1">+'Annual Raw'!Y26</f>
        <v>#NAME?</v>
      </c>
      <c r="Y54" s="43" t="e">
        <f ca="1">+'Annual Raw'!Z26</f>
        <v>#NAME?</v>
      </c>
      <c r="Z54" s="43" t="e">
        <f ca="1">+'Annual Raw'!AA26</f>
        <v>#NAME?</v>
      </c>
      <c r="AA54" s="43" t="e">
        <f ca="1">+'Annual Raw'!AB26</f>
        <v>#NAME?</v>
      </c>
      <c r="AB54" s="39">
        <f>SUM(BZ54:CC54)</f>
        <v>0</v>
      </c>
      <c r="AC54" s="39">
        <f>SUM(CD54:CG54)</f>
        <v>0</v>
      </c>
      <c r="AD54" s="39">
        <f>SUM(CH54:CK54)</f>
        <v>0</v>
      </c>
      <c r="AE54" s="39">
        <f>SUM(CL54:CO54)</f>
        <v>0</v>
      </c>
      <c r="AG54" s="60"/>
      <c r="BZ54" s="39">
        <f t="shared" si="794"/>
        <v>0</v>
      </c>
      <c r="CA54" s="39">
        <f t="shared" si="795"/>
        <v>0</v>
      </c>
      <c r="CB54" s="39">
        <f t="shared" si="796"/>
        <v>0</v>
      </c>
      <c r="CC54" s="39">
        <f t="shared" si="797"/>
        <v>0</v>
      </c>
      <c r="CD54" s="39">
        <f t="shared" si="798"/>
        <v>0</v>
      </c>
      <c r="CE54" s="39">
        <f t="shared" si="799"/>
        <v>0</v>
      </c>
      <c r="CF54" s="39">
        <f t="shared" si="800"/>
        <v>0</v>
      </c>
      <c r="CG54" s="39">
        <f t="shared" si="801"/>
        <v>0</v>
      </c>
      <c r="CH54" s="39">
        <f t="shared" si="802"/>
        <v>0</v>
      </c>
      <c r="CI54" s="39">
        <f t="shared" si="803"/>
        <v>0</v>
      </c>
      <c r="CJ54" s="39">
        <f t="shared" si="804"/>
        <v>0</v>
      </c>
      <c r="CK54" s="39">
        <f t="shared" si="805"/>
        <v>0</v>
      </c>
      <c r="CL54" s="39">
        <f t="shared" si="806"/>
        <v>0</v>
      </c>
      <c r="CM54" s="39">
        <f t="shared" si="807"/>
        <v>0</v>
      </c>
      <c r="CN54" s="39">
        <f t="shared" si="808"/>
        <v>0</v>
      </c>
      <c r="CO54" s="39">
        <f t="shared" si="809"/>
        <v>0</v>
      </c>
      <c r="CS54" s="38">
        <v>0</v>
      </c>
    </row>
    <row r="55" spans="1:97" s="38" customFormat="1" x14ac:dyDescent="0.2">
      <c r="A55" s="38" t="s">
        <v>386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39"/>
      <c r="AC55" s="39"/>
      <c r="AD55" s="39"/>
      <c r="AE55" s="39"/>
      <c r="AG55" s="60"/>
      <c r="AH55" s="38" t="e">
        <f ca="1">+'QTR Raw'!C15</f>
        <v>#NAME?</v>
      </c>
      <c r="AI55" s="38" t="e">
        <f ca="1">+'QTR Raw'!D15</f>
        <v>#NAME?</v>
      </c>
      <c r="AJ55" s="38" t="e">
        <f ca="1">+'QTR Raw'!E15</f>
        <v>#NAME?</v>
      </c>
      <c r="AK55" s="38" t="e">
        <f ca="1">+'QTR Raw'!F15</f>
        <v>#NAME?</v>
      </c>
      <c r="AL55" s="38" t="e">
        <f ca="1">+'QTR Raw'!G15</f>
        <v>#NAME?</v>
      </c>
      <c r="AM55" s="38" t="e">
        <f ca="1">+'QTR Raw'!H15</f>
        <v>#NAME?</v>
      </c>
      <c r="AN55" s="38" t="e">
        <f ca="1">+'QTR Raw'!I15</f>
        <v>#NAME?</v>
      </c>
      <c r="AO55" s="38" t="e">
        <f ca="1">+'QTR Raw'!J15</f>
        <v>#NAME?</v>
      </c>
      <c r="AP55" s="38" t="e">
        <f ca="1">+'QTR Raw'!K15</f>
        <v>#NAME?</v>
      </c>
      <c r="AQ55" s="38" t="e">
        <f ca="1">+'QTR Raw'!L15</f>
        <v>#NAME?</v>
      </c>
      <c r="AR55" s="38" t="e">
        <f ca="1">+'QTR Raw'!M15</f>
        <v>#NAME?</v>
      </c>
      <c r="AS55" s="38" t="e">
        <f ca="1">+'QTR Raw'!N15</f>
        <v>#NAME?</v>
      </c>
      <c r="AT55" s="38" t="e">
        <f ca="1">+'QTR Raw'!O15</f>
        <v>#NAME?</v>
      </c>
      <c r="AU55" s="38" t="e">
        <f ca="1">+'QTR Raw'!P15</f>
        <v>#NAME?</v>
      </c>
      <c r="AV55" s="38" t="e">
        <f ca="1">+'QTR Raw'!Q15</f>
        <v>#NAME?</v>
      </c>
      <c r="AW55" s="38" t="e">
        <f ca="1">+'QTR Raw'!R15</f>
        <v>#NAME?</v>
      </c>
      <c r="AX55" s="38" t="e">
        <f ca="1">+'QTR Raw'!S15</f>
        <v>#NAME?</v>
      </c>
      <c r="AY55" s="38" t="e">
        <f ca="1">+'QTR Raw'!T15</f>
        <v>#NAME?</v>
      </c>
      <c r="AZ55" s="38" t="e">
        <f ca="1">+'QTR Raw'!U15</f>
        <v>#NAME?</v>
      </c>
      <c r="BA55" s="38" t="e">
        <f ca="1">+'QTR Raw'!V15</f>
        <v>#NAME?</v>
      </c>
      <c r="BB55" s="38" t="e">
        <f ca="1">+'QTR Raw'!W15</f>
        <v>#NAME?</v>
      </c>
      <c r="BC55" s="38" t="e">
        <f ca="1">+'QTR Raw'!X15</f>
        <v>#NAME?</v>
      </c>
      <c r="BD55" s="38" t="e">
        <f ca="1">+'QTR Raw'!Y15</f>
        <v>#NAME?</v>
      </c>
      <c r="BE55" s="38" t="e">
        <f ca="1">+'QTR Raw'!Z15</f>
        <v>#NAME?</v>
      </c>
      <c r="BF55" s="38" t="e">
        <f ca="1">+'QTR Raw'!AA15</f>
        <v>#NAME?</v>
      </c>
      <c r="BG55" s="38" t="e">
        <f ca="1">+'QTR Raw'!AB15</f>
        <v>#NAME?</v>
      </c>
      <c r="BH55" s="38" t="e">
        <f ca="1">+'QTR Raw'!AC15</f>
        <v>#NAME?</v>
      </c>
      <c r="BI55" s="38" t="e">
        <f ca="1">+'QTR Raw'!AD15</f>
        <v>#NAME?</v>
      </c>
      <c r="BJ55" s="38" t="e">
        <f ca="1">+'QTR Raw'!AE15</f>
        <v>#NAME?</v>
      </c>
      <c r="BK55" s="38" t="e">
        <f ca="1">+'QTR Raw'!AF15</f>
        <v>#NAME?</v>
      </c>
      <c r="BL55" s="38" t="e">
        <f ca="1">+'QTR Raw'!AG15</f>
        <v>#NAME?</v>
      </c>
      <c r="BM55" s="38" t="e">
        <f ca="1">+'QTR Raw'!AH15</f>
        <v>#NAME?</v>
      </c>
      <c r="BN55" s="38" t="e">
        <f ca="1">+'QTR Raw'!AI15</f>
        <v>#NAME?</v>
      </c>
      <c r="BO55" s="38" t="e">
        <f ca="1">+'QTR Raw'!AJ15</f>
        <v>#NAME?</v>
      </c>
      <c r="BP55" s="38" t="e">
        <f ca="1">+'QTR Raw'!AK15</f>
        <v>#NAME?</v>
      </c>
      <c r="BQ55" s="38" t="e">
        <f ca="1">+'QTR Raw'!AL15</f>
        <v>#NAME?</v>
      </c>
      <c r="BR55" s="38" t="e">
        <f ca="1">+'QTR Raw'!AM15</f>
        <v>#NAME?</v>
      </c>
      <c r="BS55" s="38" t="e">
        <f ca="1">+'QTR Raw'!AN15</f>
        <v>#NAME?</v>
      </c>
      <c r="BT55" s="38" t="e">
        <f ca="1">+'QTR Raw'!AO15</f>
        <v>#NAME?</v>
      </c>
      <c r="BU55" s="38" t="e">
        <f ca="1">+'QTR Raw'!AP15</f>
        <v>#NAME?</v>
      </c>
      <c r="BV55" s="38" t="e">
        <f ca="1">+'QTR Raw'!AQ15</f>
        <v>#NAME?</v>
      </c>
      <c r="BW55" s="38" t="e">
        <f ca="1">+'QTR Raw'!AR15</f>
        <v>#NAME?</v>
      </c>
      <c r="BX55" s="38" t="e">
        <f ca="1">+'QTR Raw'!AS15</f>
        <v>#NAME?</v>
      </c>
      <c r="BY55" s="38" t="e">
        <f ca="1">+'QTR Raw'!AT15</f>
        <v>#NAME?</v>
      </c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</row>
    <row r="56" spans="1:97" s="40" customFormat="1" x14ac:dyDescent="0.2">
      <c r="A56" s="40" t="s">
        <v>6</v>
      </c>
      <c r="B56" s="40" t="e">
        <f t="shared" ref="B56:O56" ca="1" si="810">B52+B53+B54</f>
        <v>#NAME?</v>
      </c>
      <c r="C56" s="40" t="e">
        <f t="shared" ca="1" si="810"/>
        <v>#NAME?</v>
      </c>
      <c r="D56" s="40" t="e">
        <f t="shared" ca="1" si="810"/>
        <v>#NAME?</v>
      </c>
      <c r="E56" s="40" t="e">
        <f t="shared" ca="1" si="810"/>
        <v>#NAME?</v>
      </c>
      <c r="F56" s="40" t="e">
        <f t="shared" ca="1" si="810"/>
        <v>#NAME?</v>
      </c>
      <c r="G56" s="40" t="e">
        <f t="shared" ca="1" si="810"/>
        <v>#NAME?</v>
      </c>
      <c r="H56" s="40" t="e">
        <f t="shared" ca="1" si="810"/>
        <v>#NAME?</v>
      </c>
      <c r="I56" s="40" t="e">
        <f t="shared" ca="1" si="810"/>
        <v>#NAME?</v>
      </c>
      <c r="J56" s="40" t="e">
        <f t="shared" ca="1" si="810"/>
        <v>#NAME?</v>
      </c>
      <c r="K56" s="40" t="e">
        <f t="shared" ca="1" si="810"/>
        <v>#NAME?</v>
      </c>
      <c r="L56" s="40" t="e">
        <f t="shared" ca="1" si="810"/>
        <v>#NAME?</v>
      </c>
      <c r="M56" s="40" t="e">
        <f t="shared" ca="1" si="810"/>
        <v>#NAME?</v>
      </c>
      <c r="N56" s="40" t="e">
        <f t="shared" ca="1" si="810"/>
        <v>#NAME?</v>
      </c>
      <c r="O56" s="40" t="e">
        <f t="shared" ca="1" si="810"/>
        <v>#NAME?</v>
      </c>
      <c r="P56" s="40" t="e">
        <f t="shared" ref="P56:Y56" ca="1" si="811">P52+P53+P54</f>
        <v>#NAME?</v>
      </c>
      <c r="Q56" s="40" t="e">
        <f t="shared" ca="1" si="811"/>
        <v>#NAME?</v>
      </c>
      <c r="R56" s="40" t="e">
        <f t="shared" ca="1" si="811"/>
        <v>#NAME?</v>
      </c>
      <c r="S56" s="40" t="e">
        <f t="shared" ca="1" si="811"/>
        <v>#NAME?</v>
      </c>
      <c r="T56" s="40" t="e">
        <f t="shared" ca="1" si="811"/>
        <v>#NAME?</v>
      </c>
      <c r="U56" s="40" t="e">
        <f t="shared" ca="1" si="811"/>
        <v>#NAME?</v>
      </c>
      <c r="V56" s="40" t="e">
        <f t="shared" ca="1" si="811"/>
        <v>#NAME?</v>
      </c>
      <c r="W56" s="40" t="e">
        <f t="shared" ca="1" si="811"/>
        <v>#NAME?</v>
      </c>
      <c r="X56" s="40" t="e">
        <f t="shared" ca="1" si="811"/>
        <v>#NAME?</v>
      </c>
      <c r="Y56" s="40" t="e">
        <f t="shared" ca="1" si="811"/>
        <v>#NAME?</v>
      </c>
      <c r="Z56" s="40" t="e">
        <f t="shared" ref="Z56:AA56" ca="1" si="812">Z52+Z53+Z54</f>
        <v>#NAME?</v>
      </c>
      <c r="AA56" s="40" t="e">
        <f t="shared" ca="1" si="812"/>
        <v>#NAME?</v>
      </c>
      <c r="AB56" s="41" t="e">
        <f t="shared" ref="AB56" ca="1" si="813">AB52+AB53+AB54</f>
        <v>#NAME?</v>
      </c>
      <c r="AC56" s="41" t="e">
        <f t="shared" ref="AC56" ca="1" si="814">AC52+AC53+AC54</f>
        <v>#NAME?</v>
      </c>
      <c r="AD56" s="41" t="e">
        <f t="shared" ref="AD56" ca="1" si="815">AD52+AD53+AD54</f>
        <v>#NAME?</v>
      </c>
      <c r="AE56" s="41" t="e">
        <f t="shared" ref="AE56" ca="1" si="816">AE52+AE53+AE54</f>
        <v>#NAME?</v>
      </c>
      <c r="AG56" s="61"/>
      <c r="AH56" s="40" t="e">
        <f t="shared" ref="AH56:AS56" ca="1" si="817">AH52+AH53+AH54+AH55</f>
        <v>#NAME?</v>
      </c>
      <c r="AI56" s="40" t="e">
        <f t="shared" ca="1" si="817"/>
        <v>#NAME?</v>
      </c>
      <c r="AJ56" s="40" t="e">
        <f t="shared" ca="1" si="817"/>
        <v>#NAME?</v>
      </c>
      <c r="AK56" s="40" t="e">
        <f t="shared" ca="1" si="817"/>
        <v>#NAME?</v>
      </c>
      <c r="AL56" s="40" t="e">
        <f t="shared" ca="1" si="817"/>
        <v>#NAME?</v>
      </c>
      <c r="AM56" s="40" t="e">
        <f t="shared" ca="1" si="817"/>
        <v>#NAME?</v>
      </c>
      <c r="AN56" s="40" t="e">
        <f t="shared" ca="1" si="817"/>
        <v>#NAME?</v>
      </c>
      <c r="AO56" s="40" t="e">
        <f t="shared" ca="1" si="817"/>
        <v>#NAME?</v>
      </c>
      <c r="AP56" s="40" t="e">
        <f t="shared" ca="1" si="817"/>
        <v>#NAME?</v>
      </c>
      <c r="AQ56" s="40" t="e">
        <f t="shared" ca="1" si="817"/>
        <v>#NAME?</v>
      </c>
      <c r="AR56" s="40" t="e">
        <f t="shared" ca="1" si="817"/>
        <v>#NAME?</v>
      </c>
      <c r="AS56" s="40" t="e">
        <f t="shared" ca="1" si="817"/>
        <v>#NAME?</v>
      </c>
      <c r="AT56" s="40" t="e">
        <f t="shared" ref="AT56:BR56" ca="1" si="818">AT52+AT53+AT54+AT55</f>
        <v>#NAME?</v>
      </c>
      <c r="AU56" s="40" t="e">
        <f t="shared" ca="1" si="818"/>
        <v>#NAME?</v>
      </c>
      <c r="AV56" s="40" t="e">
        <f t="shared" ca="1" si="818"/>
        <v>#NAME?</v>
      </c>
      <c r="AW56" s="40" t="e">
        <f t="shared" ca="1" si="818"/>
        <v>#NAME?</v>
      </c>
      <c r="AX56" s="40" t="e">
        <f t="shared" ca="1" si="818"/>
        <v>#NAME?</v>
      </c>
      <c r="AY56" s="40" t="e">
        <f t="shared" ca="1" si="818"/>
        <v>#NAME?</v>
      </c>
      <c r="AZ56" s="40" t="e">
        <f t="shared" ca="1" si="818"/>
        <v>#NAME?</v>
      </c>
      <c r="BA56" s="40" t="e">
        <f t="shared" ca="1" si="818"/>
        <v>#NAME?</v>
      </c>
      <c r="BB56" s="40" t="e">
        <f t="shared" ca="1" si="818"/>
        <v>#NAME?</v>
      </c>
      <c r="BC56" s="40" t="e">
        <f t="shared" ca="1" si="818"/>
        <v>#NAME?</v>
      </c>
      <c r="BD56" s="40" t="e">
        <f t="shared" ca="1" si="818"/>
        <v>#NAME?</v>
      </c>
      <c r="BE56" s="40" t="e">
        <f t="shared" ca="1" si="818"/>
        <v>#NAME?</v>
      </c>
      <c r="BF56" s="40" t="e">
        <f t="shared" ca="1" si="818"/>
        <v>#NAME?</v>
      </c>
      <c r="BG56" s="40" t="e">
        <f t="shared" ca="1" si="818"/>
        <v>#NAME?</v>
      </c>
      <c r="BH56" s="40" t="e">
        <f t="shared" ca="1" si="818"/>
        <v>#NAME?</v>
      </c>
      <c r="BI56" s="40" t="e">
        <f t="shared" ca="1" si="818"/>
        <v>#NAME?</v>
      </c>
      <c r="BJ56" s="40" t="e">
        <f t="shared" ca="1" si="818"/>
        <v>#NAME?</v>
      </c>
      <c r="BK56" s="40" t="e">
        <f t="shared" ca="1" si="818"/>
        <v>#NAME?</v>
      </c>
      <c r="BL56" s="40" t="e">
        <f t="shared" ca="1" si="818"/>
        <v>#NAME?</v>
      </c>
      <c r="BM56" s="40" t="e">
        <f t="shared" ca="1" si="818"/>
        <v>#NAME?</v>
      </c>
      <c r="BN56" s="40" t="e">
        <f t="shared" ca="1" si="818"/>
        <v>#NAME?</v>
      </c>
      <c r="BO56" s="40" t="e">
        <f t="shared" ca="1" si="818"/>
        <v>#NAME?</v>
      </c>
      <c r="BP56" s="40" t="e">
        <f t="shared" ca="1" si="818"/>
        <v>#NAME?</v>
      </c>
      <c r="BQ56" s="40" t="e">
        <f t="shared" ca="1" si="818"/>
        <v>#NAME?</v>
      </c>
      <c r="BR56" s="40" t="e">
        <f t="shared" ca="1" si="818"/>
        <v>#NAME?</v>
      </c>
      <c r="BS56" s="40" t="e">
        <f ca="1">BS52+BS53+BS54+BS55</f>
        <v>#NAME?</v>
      </c>
      <c r="BT56" s="40" t="e">
        <f t="shared" ref="BT56:CO56" ca="1" si="819">BT52+BT53+BT54+BT55</f>
        <v>#NAME?</v>
      </c>
      <c r="BU56" s="40" t="e">
        <f t="shared" ca="1" si="819"/>
        <v>#NAME?</v>
      </c>
      <c r="BV56" s="40" t="e">
        <f t="shared" ca="1" si="819"/>
        <v>#NAME?</v>
      </c>
      <c r="BW56" s="40" t="e">
        <f t="shared" ca="1" si="819"/>
        <v>#NAME?</v>
      </c>
      <c r="BX56" s="40" t="e">
        <f t="shared" ref="BX56:BY56" ca="1" si="820">BX52+BX53+BX54+BX55</f>
        <v>#NAME?</v>
      </c>
      <c r="BY56" s="40" t="e">
        <f t="shared" ca="1" si="820"/>
        <v>#NAME?</v>
      </c>
      <c r="BZ56" s="41" t="e">
        <f t="shared" ca="1" si="819"/>
        <v>#NAME?</v>
      </c>
      <c r="CA56" s="41" t="e">
        <f t="shared" ca="1" si="819"/>
        <v>#NAME?</v>
      </c>
      <c r="CB56" s="41" t="e">
        <f t="shared" ca="1" si="819"/>
        <v>#NAME?</v>
      </c>
      <c r="CC56" s="41" t="e">
        <f t="shared" ca="1" si="819"/>
        <v>#NAME?</v>
      </c>
      <c r="CD56" s="41" t="e">
        <f t="shared" ca="1" si="819"/>
        <v>#NAME?</v>
      </c>
      <c r="CE56" s="41" t="e">
        <f t="shared" ca="1" si="819"/>
        <v>#NAME?</v>
      </c>
      <c r="CF56" s="41" t="e">
        <f t="shared" ca="1" si="819"/>
        <v>#NAME?</v>
      </c>
      <c r="CG56" s="41" t="e">
        <f t="shared" ca="1" si="819"/>
        <v>#NAME?</v>
      </c>
      <c r="CH56" s="41" t="e">
        <f t="shared" ca="1" si="819"/>
        <v>#NAME?</v>
      </c>
      <c r="CI56" s="41" t="e">
        <f t="shared" ca="1" si="819"/>
        <v>#NAME?</v>
      </c>
      <c r="CJ56" s="41" t="e">
        <f t="shared" ca="1" si="819"/>
        <v>#NAME?</v>
      </c>
      <c r="CK56" s="41" t="e">
        <f t="shared" ca="1" si="819"/>
        <v>#NAME?</v>
      </c>
      <c r="CL56" s="41" t="e">
        <f t="shared" ca="1" si="819"/>
        <v>#NAME?</v>
      </c>
      <c r="CM56" s="41" t="e">
        <f t="shared" ca="1" si="819"/>
        <v>#NAME?</v>
      </c>
      <c r="CN56" s="41" t="e">
        <f t="shared" ca="1" si="819"/>
        <v>#NAME?</v>
      </c>
      <c r="CO56" s="41" t="e">
        <f t="shared" ca="1" si="819"/>
        <v>#NAME?</v>
      </c>
      <c r="CS56" s="40">
        <v>7019.32</v>
      </c>
    </row>
    <row r="57" spans="1:97" s="73" customFormat="1" x14ac:dyDescent="0.2">
      <c r="A57" s="73" t="s">
        <v>15</v>
      </c>
      <c r="C57" s="73" t="e">
        <f t="shared" ref="C57:Y57" ca="1" si="821">+IF(B56&lt;0,1-C56/B56,C56/B56-1)</f>
        <v>#NAME?</v>
      </c>
      <c r="D57" s="73" t="e">
        <f t="shared" ca="1" si="821"/>
        <v>#NAME?</v>
      </c>
      <c r="E57" s="73" t="e">
        <f t="shared" ca="1" si="821"/>
        <v>#NAME?</v>
      </c>
      <c r="F57" s="73" t="e">
        <f t="shared" ca="1" si="821"/>
        <v>#NAME?</v>
      </c>
      <c r="G57" s="73" t="e">
        <f t="shared" ca="1" si="821"/>
        <v>#NAME?</v>
      </c>
      <c r="H57" s="73" t="e">
        <f t="shared" ca="1" si="821"/>
        <v>#NAME?</v>
      </c>
      <c r="I57" s="73" t="e">
        <f t="shared" ca="1" si="821"/>
        <v>#NAME?</v>
      </c>
      <c r="J57" s="73" t="e">
        <f t="shared" ca="1" si="821"/>
        <v>#NAME?</v>
      </c>
      <c r="K57" s="73" t="e">
        <f t="shared" ca="1" si="821"/>
        <v>#NAME?</v>
      </c>
      <c r="L57" s="73" t="e">
        <f t="shared" ca="1" si="821"/>
        <v>#NAME?</v>
      </c>
      <c r="M57" s="73" t="e">
        <f t="shared" ca="1" si="821"/>
        <v>#NAME?</v>
      </c>
      <c r="N57" s="73" t="e">
        <f t="shared" ca="1" si="821"/>
        <v>#NAME?</v>
      </c>
      <c r="O57" s="73" t="e">
        <f t="shared" ca="1" si="821"/>
        <v>#NAME?</v>
      </c>
      <c r="P57" s="73" t="e">
        <f t="shared" ca="1" si="821"/>
        <v>#NAME?</v>
      </c>
      <c r="Q57" s="73" t="e">
        <f t="shared" ca="1" si="821"/>
        <v>#NAME?</v>
      </c>
      <c r="R57" s="73" t="e">
        <f t="shared" ca="1" si="821"/>
        <v>#NAME?</v>
      </c>
      <c r="S57" s="73" t="e">
        <f t="shared" ca="1" si="821"/>
        <v>#NAME?</v>
      </c>
      <c r="T57" s="73" t="e">
        <f t="shared" ca="1" si="821"/>
        <v>#NAME?</v>
      </c>
      <c r="U57" s="73" t="e">
        <f t="shared" ca="1" si="821"/>
        <v>#NAME?</v>
      </c>
      <c r="V57" s="73" t="e">
        <f t="shared" ca="1" si="821"/>
        <v>#NAME?</v>
      </c>
      <c r="W57" s="73" t="e">
        <f t="shared" ca="1" si="821"/>
        <v>#NAME?</v>
      </c>
      <c r="X57" s="73" t="e">
        <f t="shared" ca="1" si="821"/>
        <v>#NAME?</v>
      </c>
      <c r="Y57" s="73" t="e">
        <f t="shared" ca="1" si="821"/>
        <v>#NAME?</v>
      </c>
      <c r="Z57" s="76" t="e">
        <f ca="1">+IF(Y56&lt;0,1-Z56/Y56,Z56/Y56-1)</f>
        <v>#NAME?</v>
      </c>
      <c r="AA57" s="76" t="e">
        <f ca="1">+IF(Z56&lt;0,1-AA56/Z56,AA56/Z56-1)</f>
        <v>#NAME?</v>
      </c>
      <c r="AB57" s="74" t="e">
        <f t="shared" ref="AA57:AB57" ca="1" si="822">+IF(AA56&lt;0,1-AB56/AA56,AB56/AA56-1)</f>
        <v>#NAME?</v>
      </c>
      <c r="AC57" s="74" t="e">
        <f t="shared" ref="AC57" ca="1" si="823">+AC56/AB56-1</f>
        <v>#NAME?</v>
      </c>
      <c r="AD57" s="74" t="e">
        <f t="shared" ref="AD57" ca="1" si="824">+AD56/AC56-1</f>
        <v>#NAME?</v>
      </c>
      <c r="AE57" s="74" t="e">
        <f t="shared" ref="AE57" ca="1" si="825">+AE56/AD56-1</f>
        <v>#NAME?</v>
      </c>
      <c r="AG57" s="75"/>
      <c r="AH57" s="76"/>
      <c r="AI57" s="76"/>
      <c r="AJ57" s="76"/>
      <c r="AK57" s="76"/>
      <c r="AL57" s="76" t="e">
        <f t="shared" ref="AL57" ca="1" si="826">+IF(AH56&lt;0,1-AL56/AH56,AL56/AH56-1)</f>
        <v>#NAME?</v>
      </c>
      <c r="AM57" s="76" t="e">
        <f t="shared" ref="AM57" ca="1" si="827">+IF(AI56&lt;0,1-AM56/AI56,AM56/AI56-1)</f>
        <v>#NAME?</v>
      </c>
      <c r="AN57" s="76" t="e">
        <f t="shared" ref="AN57" ca="1" si="828">+IF(AJ56&lt;0,1-AN56/AJ56,AN56/AJ56-1)</f>
        <v>#NAME?</v>
      </c>
      <c r="AO57" s="76" t="e">
        <f t="shared" ref="AO57" ca="1" si="829">+IF(AK56&lt;0,1-AO56/AK56,AO56/AK56-1)</f>
        <v>#NAME?</v>
      </c>
      <c r="AP57" s="76" t="e">
        <f t="shared" ref="AP57" ca="1" si="830">+IF(AL56&lt;0,1-AP56/AL56,AP56/AL56-1)</f>
        <v>#NAME?</v>
      </c>
      <c r="AQ57" s="76" t="e">
        <f t="shared" ref="AQ57" ca="1" si="831">+IF(AM56&lt;0,1-AQ56/AM56,AQ56/AM56-1)</f>
        <v>#NAME?</v>
      </c>
      <c r="AR57" s="76" t="e">
        <f t="shared" ref="AR57" ca="1" si="832">+IF(AN56&lt;0,1-AR56/AN56,AR56/AN56-1)</f>
        <v>#NAME?</v>
      </c>
      <c r="AS57" s="76" t="e">
        <f t="shared" ref="AS57" ca="1" si="833">+IF(AO56&lt;0,1-AS56/AO56,AS56/AO56-1)</f>
        <v>#NAME?</v>
      </c>
      <c r="AT57" s="76" t="e">
        <f t="shared" ref="AT57" ca="1" si="834">+IF(AP56&lt;0,1-AT56/AP56,AT56/AP56-1)</f>
        <v>#NAME?</v>
      </c>
      <c r="AU57" s="76" t="e">
        <f t="shared" ref="AU57" ca="1" si="835">+IF(AQ56&lt;0,1-AU56/AQ56,AU56/AQ56-1)</f>
        <v>#NAME?</v>
      </c>
      <c r="AV57" s="76" t="e">
        <f t="shared" ref="AV57" ca="1" si="836">+IF(AR56&lt;0,1-AV56/AR56,AV56/AR56-1)</f>
        <v>#NAME?</v>
      </c>
      <c r="AW57" s="76" t="e">
        <f t="shared" ref="AW57" ca="1" si="837">+IF(AS56&lt;0,1-AW56/AS56,AW56/AS56-1)</f>
        <v>#NAME?</v>
      </c>
      <c r="AX57" s="76" t="e">
        <f t="shared" ref="AX57" ca="1" si="838">+IF(AT56&lt;0,1-AX56/AT56,AX56/AT56-1)</f>
        <v>#NAME?</v>
      </c>
      <c r="AY57" s="76" t="e">
        <f t="shared" ref="AY57" ca="1" si="839">+IF(AU56&lt;0,1-AY56/AU56,AY56/AU56-1)</f>
        <v>#NAME?</v>
      </c>
      <c r="AZ57" s="76" t="e">
        <f t="shared" ref="AZ57" ca="1" si="840">+IF(AV56&lt;0,1-AZ56/AV56,AZ56/AV56-1)</f>
        <v>#NAME?</v>
      </c>
      <c r="BA57" s="76" t="e">
        <f t="shared" ref="BA57" ca="1" si="841">+IF(AW56&lt;0,1-BA56/AW56,BA56/AW56-1)</f>
        <v>#NAME?</v>
      </c>
      <c r="BB57" s="76" t="e">
        <f t="shared" ref="BB57" ca="1" si="842">+IF(AX56&lt;0,1-BB56/AX56,BB56/AX56-1)</f>
        <v>#NAME?</v>
      </c>
      <c r="BC57" s="76" t="e">
        <f t="shared" ref="BC57" ca="1" si="843">+IF(AY56&lt;0,1-BC56/AY56,BC56/AY56-1)</f>
        <v>#NAME?</v>
      </c>
      <c r="BD57" s="76" t="e">
        <f t="shared" ref="BD57" ca="1" si="844">+IF(AZ56&lt;0,1-BD56/AZ56,BD56/AZ56-1)</f>
        <v>#NAME?</v>
      </c>
      <c r="BE57" s="76" t="e">
        <f t="shared" ref="BE57" ca="1" si="845">+IF(BA56&lt;0,1-BE56/BA56,BE56/BA56-1)</f>
        <v>#NAME?</v>
      </c>
      <c r="BF57" s="76" t="e">
        <f t="shared" ref="BF57" ca="1" si="846">+IF(BB56&lt;0,1-BF56/BB56,BF56/BB56-1)</f>
        <v>#NAME?</v>
      </c>
      <c r="BG57" s="76" t="e">
        <f t="shared" ref="BG57" ca="1" si="847">+IF(BC56&lt;0,1-BG56/BC56,BG56/BC56-1)</f>
        <v>#NAME?</v>
      </c>
      <c r="BH57" s="76" t="e">
        <f t="shared" ref="BH57" ca="1" si="848">+IF(BD56&lt;0,1-BH56/BD56,BH56/BD56-1)</f>
        <v>#NAME?</v>
      </c>
      <c r="BI57" s="76" t="e">
        <f t="shared" ref="BI57" ca="1" si="849">+IF(BE56&lt;0,1-BI56/BE56,BI56/BE56-1)</f>
        <v>#NAME?</v>
      </c>
      <c r="BJ57" s="76" t="e">
        <f t="shared" ref="BJ57" ca="1" si="850">+IF(BF56&lt;0,1-BJ56/BF56,BJ56/BF56-1)</f>
        <v>#NAME?</v>
      </c>
      <c r="BK57" s="76" t="e">
        <f t="shared" ref="BK57" ca="1" si="851">+IF(BG56&lt;0,1-BK56/BG56,BK56/BG56-1)</f>
        <v>#NAME?</v>
      </c>
      <c r="BL57" s="76" t="e">
        <f t="shared" ref="BL57" ca="1" si="852">+IF(BH56&lt;0,1-BL56/BH56,BL56/BH56-1)</f>
        <v>#NAME?</v>
      </c>
      <c r="BM57" s="76" t="e">
        <f t="shared" ref="BM57" ca="1" si="853">+IF(BI56&lt;0,1-BM56/BI56,BM56/BI56-1)</f>
        <v>#NAME?</v>
      </c>
      <c r="BN57" s="76" t="e">
        <f t="shared" ref="BN57" ca="1" si="854">+IF(BJ56&lt;0,1-BN56/BJ56,BN56/BJ56-1)</f>
        <v>#NAME?</v>
      </c>
      <c r="BO57" s="76" t="e">
        <f t="shared" ref="BO57" ca="1" si="855">+IF(BK56&lt;0,1-BO56/BK56,BO56/BK56-1)</f>
        <v>#NAME?</v>
      </c>
      <c r="BP57" s="76" t="e">
        <f t="shared" ref="BP57" ca="1" si="856">+IF(BL56&lt;0,1-BP56/BL56,BP56/BL56-1)</f>
        <v>#NAME?</v>
      </c>
      <c r="BQ57" s="76" t="e">
        <f t="shared" ref="BQ57" ca="1" si="857">+IF(BM56&lt;0,1-BQ56/BM56,BQ56/BM56-1)</f>
        <v>#NAME?</v>
      </c>
      <c r="BR57" s="76" t="e">
        <f t="shared" ref="BR57" ca="1" si="858">+IF(BN56&lt;0,1-BR56/BN56,BR56/BN56-1)</f>
        <v>#NAME?</v>
      </c>
      <c r="BS57" s="76" t="e">
        <f t="shared" ref="BS57" ca="1" si="859">+IF(BO56&lt;0,1-BS56/BO56,BS56/BO56-1)</f>
        <v>#NAME?</v>
      </c>
      <c r="BT57" s="76" t="e">
        <f t="shared" ref="BT57" ca="1" si="860">+IF(BP56&lt;0,1-BT56/BP56,BT56/BP56-1)</f>
        <v>#NAME?</v>
      </c>
      <c r="BU57" s="76" t="e">
        <f t="shared" ref="BU57" ca="1" si="861">+IF(BQ56&lt;0,1-BU56/BQ56,BU56/BQ56-1)</f>
        <v>#NAME?</v>
      </c>
      <c r="BV57" s="76" t="e">
        <f t="shared" ref="BV57" ca="1" si="862">+IF(BR56&lt;0,1-BV56/BR56,BV56/BR56-1)</f>
        <v>#NAME?</v>
      </c>
      <c r="BW57" s="76" t="e">
        <f ca="1">+IF(BS56&lt;0,1-BW56/BS56,BW56/BS56-1)</f>
        <v>#NAME?</v>
      </c>
      <c r="BX57" s="76" t="e">
        <f ca="1">+IF(BT56&lt;0,1-BX56/BT56,BX56/BT56-1)</f>
        <v>#NAME?</v>
      </c>
      <c r="BY57" s="76" t="e">
        <f ca="1">+IF(BU56&lt;0,1-BY56/BU56,BY56/BU56-1)</f>
        <v>#NAME?</v>
      </c>
      <c r="BZ57" s="36" t="e">
        <f t="shared" ref="BZ57" ca="1" si="863">+IF(BV56&lt;0,1-BZ56/BV56,BZ56/BV56-1)</f>
        <v>#NAME?</v>
      </c>
      <c r="CA57" s="36" t="e">
        <f t="shared" ref="CA57" ca="1" si="864">+IF(BW56&lt;0,1-CA56/BW56,CA56/BW56-1)</f>
        <v>#NAME?</v>
      </c>
      <c r="CB57" s="36" t="e">
        <f t="shared" ref="CB57" ca="1" si="865">+IF(BX56&lt;0,1-CB56/BX56,CB56/BX56-1)</f>
        <v>#NAME?</v>
      </c>
      <c r="CC57" s="36" t="e">
        <f t="shared" ref="CC57" ca="1" si="866">+IF(BY56&lt;0,1-CC56/BY56,CC56/BY56-1)</f>
        <v>#NAME?</v>
      </c>
      <c r="CD57" s="36" t="e">
        <f t="shared" ref="CD57" ca="1" si="867">+IF(BZ56&lt;0,1-CD56/BZ56,CD56/BZ56-1)</f>
        <v>#NAME?</v>
      </c>
      <c r="CE57" s="36" t="e">
        <f t="shared" ref="CE57" ca="1" si="868">+IF(CA56&lt;0,1-CE56/CA56,CE56/CA56-1)</f>
        <v>#NAME?</v>
      </c>
      <c r="CF57" s="36" t="e">
        <f t="shared" ref="CF57" ca="1" si="869">+IF(CB56&lt;0,1-CF56/CB56,CF56/CB56-1)</f>
        <v>#NAME?</v>
      </c>
      <c r="CG57" s="36" t="e">
        <f t="shared" ref="CG57" ca="1" si="870">+IF(CC56&lt;0,1-CG56/CC56,CG56/CC56-1)</f>
        <v>#NAME?</v>
      </c>
      <c r="CH57" s="36" t="e">
        <f t="shared" ref="CH57" ca="1" si="871">+IF(CD56&lt;0,1-CH56/CD56,CH56/CD56-1)</f>
        <v>#NAME?</v>
      </c>
      <c r="CI57" s="36" t="e">
        <f t="shared" ref="CI57" ca="1" si="872">+IF(CE56&lt;0,1-CI56/CE56,CI56/CE56-1)</f>
        <v>#NAME?</v>
      </c>
      <c r="CJ57" s="36" t="e">
        <f t="shared" ref="CJ57" ca="1" si="873">+IF(CF56&lt;0,1-CJ56/CF56,CJ56/CF56-1)</f>
        <v>#NAME?</v>
      </c>
      <c r="CK57" s="36" t="e">
        <f t="shared" ref="CK57" ca="1" si="874">+IF(CG56&lt;0,1-CK56/CG56,CK56/CG56-1)</f>
        <v>#NAME?</v>
      </c>
      <c r="CL57" s="36" t="e">
        <f t="shared" ref="CL57" ca="1" si="875">+IF(CH56&lt;0,1-CL56/CH56,CL56/CH56-1)</f>
        <v>#NAME?</v>
      </c>
      <c r="CM57" s="36" t="e">
        <f t="shared" ref="CM57" ca="1" si="876">+IF(CI56&lt;0,1-CM56/CI56,CM56/CI56-1)</f>
        <v>#NAME?</v>
      </c>
      <c r="CN57" s="36" t="e">
        <f t="shared" ref="CN57" ca="1" si="877">+IF(CJ56&lt;0,1-CN56/CJ56,CN56/CJ56-1)</f>
        <v>#NAME?</v>
      </c>
      <c r="CO57" s="36" t="e">
        <f t="shared" ref="CO57" ca="1" si="878">+IF(CK56&lt;0,1-CO56/CK56,CO56/CK56-1)</f>
        <v>#NAME?</v>
      </c>
      <c r="CS57" s="73">
        <v>0.27166526513283773</v>
      </c>
    </row>
    <row r="58" spans="1:97" s="45" customFormat="1" x14ac:dyDescent="0.2">
      <c r="A58" s="118" t="s">
        <v>361</v>
      </c>
      <c r="AB58" s="39"/>
      <c r="AC58" s="39"/>
      <c r="AD58" s="39"/>
      <c r="AE58" s="39"/>
      <c r="AG58" s="60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S58" s="154"/>
    </row>
    <row r="59" spans="1:97" s="69" customFormat="1" x14ac:dyDescent="0.2">
      <c r="A59" s="69" t="s">
        <v>44</v>
      </c>
      <c r="B59" s="69" t="e">
        <f ca="1">+'Annual Raw'!C22</f>
        <v>#NAME?</v>
      </c>
      <c r="C59" s="69" t="e">
        <f ca="1">+'Annual Raw'!D22</f>
        <v>#NAME?</v>
      </c>
      <c r="D59" s="69" t="e">
        <f ca="1">+'Annual Raw'!E22</f>
        <v>#NAME?</v>
      </c>
      <c r="E59" s="69" t="e">
        <f ca="1">+'Annual Raw'!F22</f>
        <v>#NAME?</v>
      </c>
      <c r="F59" s="69" t="e">
        <f ca="1">+'Annual Raw'!G22</f>
        <v>#NAME?</v>
      </c>
      <c r="G59" s="69" t="e">
        <f ca="1">+'Annual Raw'!H22</f>
        <v>#NAME?</v>
      </c>
      <c r="H59" s="69" t="e">
        <f ca="1">+'Annual Raw'!I22</f>
        <v>#NAME?</v>
      </c>
      <c r="I59" s="69" t="e">
        <f ca="1">+'Annual Raw'!J22</f>
        <v>#NAME?</v>
      </c>
      <c r="J59" s="69" t="e">
        <f ca="1">+'Annual Raw'!K22</f>
        <v>#NAME?</v>
      </c>
      <c r="K59" s="69" t="e">
        <f ca="1">+'Annual Raw'!L22</f>
        <v>#NAME?</v>
      </c>
      <c r="L59" s="69" t="e">
        <f ca="1">+'Annual Raw'!M22</f>
        <v>#NAME?</v>
      </c>
      <c r="M59" s="69" t="e">
        <f ca="1">+'Annual Raw'!N22</f>
        <v>#NAME?</v>
      </c>
      <c r="N59" s="69" t="e">
        <f ca="1">+'Annual Raw'!O22</f>
        <v>#NAME?</v>
      </c>
      <c r="O59" s="69" t="e">
        <f ca="1">+'Annual Raw'!P22</f>
        <v>#NAME?</v>
      </c>
      <c r="P59" s="69" t="e">
        <f ca="1">+'Annual Raw'!Q22</f>
        <v>#NAME?</v>
      </c>
      <c r="Q59" s="69" t="e">
        <f ca="1">+'Annual Raw'!R22</f>
        <v>#NAME?</v>
      </c>
      <c r="R59" s="69" t="e">
        <f ca="1">+'Annual Raw'!S22</f>
        <v>#NAME?</v>
      </c>
      <c r="S59" s="69" t="e">
        <f ca="1">+'Annual Raw'!T22</f>
        <v>#NAME?</v>
      </c>
      <c r="T59" s="69" t="e">
        <f ca="1">+'Annual Raw'!U22</f>
        <v>#NAME?</v>
      </c>
      <c r="U59" s="69" t="e">
        <f ca="1">+'Annual Raw'!V22</f>
        <v>#NAME?</v>
      </c>
      <c r="V59" s="69" t="e">
        <f ca="1">+'Annual Raw'!W22</f>
        <v>#NAME?</v>
      </c>
      <c r="W59" s="69" t="e">
        <f ca="1">+'Annual Raw'!X22</f>
        <v>#NAME?</v>
      </c>
      <c r="X59" s="69" t="e">
        <f ca="1">+'Annual Raw'!Y22</f>
        <v>#NAME?</v>
      </c>
      <c r="Y59" s="69" t="e">
        <f ca="1">+'Annual Raw'!Z22</f>
        <v>#NAME?</v>
      </c>
      <c r="Z59" s="69" t="e">
        <f ca="1">+'Annual Raw'!AA22</f>
        <v>#NAME?</v>
      </c>
      <c r="AA59" s="69" t="e">
        <f ca="1">+'Annual Raw'!AB22</f>
        <v>#NAME?</v>
      </c>
      <c r="AB59" s="44"/>
      <c r="AC59" s="44"/>
      <c r="AD59" s="44"/>
      <c r="AE59" s="44"/>
      <c r="AG59" s="62"/>
      <c r="AH59" s="70" t="e">
        <f ca="1">+'QTR Raw'!C21</f>
        <v>#NAME?</v>
      </c>
      <c r="AI59" s="70" t="e">
        <f ca="1">+'QTR Raw'!D21</f>
        <v>#NAME?</v>
      </c>
      <c r="AJ59" s="70" t="e">
        <f ca="1">+'QTR Raw'!E21</f>
        <v>#NAME?</v>
      </c>
      <c r="AK59" s="70" t="e">
        <f ca="1">+'QTR Raw'!F21</f>
        <v>#NAME?</v>
      </c>
      <c r="AL59" s="70" t="e">
        <f ca="1">+'QTR Raw'!G21</f>
        <v>#NAME?</v>
      </c>
      <c r="AM59" s="70" t="e">
        <f ca="1">+'QTR Raw'!H21</f>
        <v>#NAME?</v>
      </c>
      <c r="AN59" s="70" t="e">
        <f ca="1">+'QTR Raw'!I21</f>
        <v>#NAME?</v>
      </c>
      <c r="AO59" s="70" t="e">
        <f ca="1">+'QTR Raw'!J21</f>
        <v>#NAME?</v>
      </c>
      <c r="AP59" s="70" t="e">
        <f ca="1">+'QTR Raw'!K21</f>
        <v>#NAME?</v>
      </c>
      <c r="AQ59" s="70" t="e">
        <f ca="1">+'QTR Raw'!L21</f>
        <v>#NAME?</v>
      </c>
      <c r="AR59" s="70" t="e">
        <f ca="1">+'QTR Raw'!M21</f>
        <v>#NAME?</v>
      </c>
      <c r="AS59" s="70" t="e">
        <f ca="1">+'QTR Raw'!N21</f>
        <v>#NAME?</v>
      </c>
      <c r="AT59" s="70" t="e">
        <f ca="1">+'QTR Raw'!O21</f>
        <v>#NAME?</v>
      </c>
      <c r="AU59" s="70" t="e">
        <f ca="1">+'QTR Raw'!P21</f>
        <v>#NAME?</v>
      </c>
      <c r="AV59" s="70" t="e">
        <f ca="1">+'QTR Raw'!Q21</f>
        <v>#NAME?</v>
      </c>
      <c r="AW59" s="70" t="e">
        <f ca="1">+'QTR Raw'!R21</f>
        <v>#NAME?</v>
      </c>
      <c r="AX59" s="70" t="e">
        <f ca="1">+'QTR Raw'!S21</f>
        <v>#NAME?</v>
      </c>
      <c r="AY59" s="70" t="e">
        <f ca="1">+'QTR Raw'!T21</f>
        <v>#NAME?</v>
      </c>
      <c r="AZ59" s="70" t="e">
        <f ca="1">+'QTR Raw'!U21</f>
        <v>#NAME?</v>
      </c>
      <c r="BA59" s="70" t="e">
        <f ca="1">+'QTR Raw'!V21</f>
        <v>#NAME?</v>
      </c>
      <c r="BB59" s="70" t="e">
        <f ca="1">+'QTR Raw'!W21</f>
        <v>#NAME?</v>
      </c>
      <c r="BC59" s="70" t="e">
        <f ca="1">+'QTR Raw'!X21</f>
        <v>#NAME?</v>
      </c>
      <c r="BD59" s="70" t="e">
        <f ca="1">+'QTR Raw'!Y21</f>
        <v>#NAME?</v>
      </c>
      <c r="BE59" s="70" t="e">
        <f ca="1">+'QTR Raw'!Z21</f>
        <v>#NAME?</v>
      </c>
      <c r="BF59" s="70" t="e">
        <f ca="1">+'QTR Raw'!AA21</f>
        <v>#NAME?</v>
      </c>
      <c r="BG59" s="70" t="e">
        <f ca="1">+'QTR Raw'!AB21</f>
        <v>#NAME?</v>
      </c>
      <c r="BH59" s="70" t="e">
        <f ca="1">+'QTR Raw'!AC21</f>
        <v>#NAME?</v>
      </c>
      <c r="BI59" s="70" t="e">
        <f ca="1">+'QTR Raw'!AD21</f>
        <v>#NAME?</v>
      </c>
      <c r="BJ59" s="70" t="e">
        <f ca="1">+'QTR Raw'!AE21</f>
        <v>#NAME?</v>
      </c>
      <c r="BK59" s="70" t="e">
        <f ca="1">+'QTR Raw'!AF21</f>
        <v>#NAME?</v>
      </c>
      <c r="BL59" s="70" t="e">
        <f ca="1">+'QTR Raw'!AG21</f>
        <v>#NAME?</v>
      </c>
      <c r="BM59" s="70" t="e">
        <f ca="1">+'QTR Raw'!AH21</f>
        <v>#NAME?</v>
      </c>
      <c r="BN59" s="70" t="e">
        <f ca="1">+'QTR Raw'!AI21</f>
        <v>#NAME?</v>
      </c>
      <c r="BO59" s="70" t="e">
        <f ca="1">+'QTR Raw'!AJ21</f>
        <v>#NAME?</v>
      </c>
      <c r="BP59" s="70" t="e">
        <f ca="1">+'QTR Raw'!AK21</f>
        <v>#NAME?</v>
      </c>
      <c r="BQ59" s="70" t="e">
        <f ca="1">+'QTR Raw'!AL21</f>
        <v>#NAME?</v>
      </c>
      <c r="BR59" s="70" t="e">
        <f ca="1">+'QTR Raw'!AM21</f>
        <v>#NAME?</v>
      </c>
      <c r="BS59" s="70" t="e">
        <f ca="1">+'QTR Raw'!AN21</f>
        <v>#NAME?</v>
      </c>
      <c r="BT59" s="70" t="e">
        <f ca="1">+'QTR Raw'!AO21</f>
        <v>#NAME?</v>
      </c>
      <c r="BU59" s="70" t="e">
        <f ca="1">+'QTR Raw'!AP21</f>
        <v>#NAME?</v>
      </c>
      <c r="BV59" s="70" t="e">
        <f ca="1">+'QTR Raw'!AQ21</f>
        <v>#NAME?</v>
      </c>
      <c r="BW59" s="70" t="e">
        <f ca="1">+'QTR Raw'!AR21</f>
        <v>#NAME?</v>
      </c>
      <c r="BX59" s="70" t="e">
        <f ca="1">+'QTR Raw'!AS21</f>
        <v>#NAME?</v>
      </c>
      <c r="BY59" s="70" t="e">
        <f ca="1">+'QTR Raw'!AT21</f>
        <v>#NAME?</v>
      </c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</row>
    <row r="60" spans="1:97" s="45" customFormat="1" x14ac:dyDescent="0.2">
      <c r="A60" s="45" t="s">
        <v>387</v>
      </c>
      <c r="B60" s="45" t="e">
        <f t="shared" ref="B60:X60" ca="1" si="879">+B56-B59</f>
        <v>#NAME?</v>
      </c>
      <c r="C60" s="45" t="e">
        <f t="shared" ca="1" si="879"/>
        <v>#NAME?</v>
      </c>
      <c r="D60" s="45" t="e">
        <f t="shared" ca="1" si="879"/>
        <v>#NAME?</v>
      </c>
      <c r="E60" s="45" t="e">
        <f t="shared" ca="1" si="879"/>
        <v>#NAME?</v>
      </c>
      <c r="F60" s="45" t="e">
        <f t="shared" ca="1" si="879"/>
        <v>#NAME?</v>
      </c>
      <c r="G60" s="45" t="e">
        <f t="shared" ca="1" si="879"/>
        <v>#NAME?</v>
      </c>
      <c r="H60" s="45" t="e">
        <f t="shared" ca="1" si="879"/>
        <v>#NAME?</v>
      </c>
      <c r="I60" s="45" t="e">
        <f t="shared" ca="1" si="879"/>
        <v>#NAME?</v>
      </c>
      <c r="J60" s="45" t="e">
        <f t="shared" ca="1" si="879"/>
        <v>#NAME?</v>
      </c>
      <c r="K60" s="45" t="e">
        <f t="shared" ca="1" si="879"/>
        <v>#NAME?</v>
      </c>
      <c r="L60" s="45" t="e">
        <f t="shared" ca="1" si="879"/>
        <v>#NAME?</v>
      </c>
      <c r="M60" s="45" t="e">
        <f t="shared" ca="1" si="879"/>
        <v>#NAME?</v>
      </c>
      <c r="N60" s="45" t="e">
        <f t="shared" ca="1" si="879"/>
        <v>#NAME?</v>
      </c>
      <c r="O60" s="45" t="e">
        <f t="shared" ca="1" si="879"/>
        <v>#NAME?</v>
      </c>
      <c r="P60" s="45" t="e">
        <f t="shared" ca="1" si="879"/>
        <v>#NAME?</v>
      </c>
      <c r="Q60" s="45" t="e">
        <f t="shared" ca="1" si="879"/>
        <v>#NAME?</v>
      </c>
      <c r="R60" s="45" t="e">
        <f t="shared" ca="1" si="879"/>
        <v>#NAME?</v>
      </c>
      <c r="S60" s="45" t="e">
        <f t="shared" ca="1" si="879"/>
        <v>#NAME?</v>
      </c>
      <c r="T60" s="108" t="e">
        <f t="shared" ca="1" si="879"/>
        <v>#NAME?</v>
      </c>
      <c r="U60" s="108" t="e">
        <f t="shared" ca="1" si="879"/>
        <v>#NAME?</v>
      </c>
      <c r="V60" s="108" t="e">
        <f t="shared" ca="1" si="879"/>
        <v>#NAME?</v>
      </c>
      <c r="W60" s="108" t="e">
        <f t="shared" ca="1" si="879"/>
        <v>#NAME?</v>
      </c>
      <c r="X60" s="108" t="e">
        <f t="shared" ca="1" si="879"/>
        <v>#NAME?</v>
      </c>
      <c r="Y60" s="108" t="e">
        <f t="shared" ref="Y60:Z60" ca="1" si="880">+Y56-Y59</f>
        <v>#NAME?</v>
      </c>
      <c r="Z60" s="108" t="e">
        <f t="shared" ca="1" si="880"/>
        <v>#NAME?</v>
      </c>
      <c r="AA60" s="108" t="e">
        <f t="shared" ref="AA60" ca="1" si="881">+AA56-AA59</f>
        <v>#NAME?</v>
      </c>
      <c r="AB60" s="39"/>
      <c r="AC60" s="39"/>
      <c r="AD60" s="39"/>
      <c r="AE60" s="39"/>
      <c r="AG60" s="60"/>
      <c r="AH60" s="108" t="e">
        <f t="shared" ref="AH60" ca="1" si="882">+AH56-AH59</f>
        <v>#NAME?</v>
      </c>
      <c r="AI60" s="108" t="e">
        <f t="shared" ref="AI60" ca="1" si="883">+AI56-AI59</f>
        <v>#NAME?</v>
      </c>
      <c r="AJ60" s="108" t="e">
        <f t="shared" ref="AJ60" ca="1" si="884">+AJ56-AJ59</f>
        <v>#NAME?</v>
      </c>
      <c r="AK60" s="108" t="e">
        <f t="shared" ref="AK60" ca="1" si="885">+AK56-AK59</f>
        <v>#NAME?</v>
      </c>
      <c r="AL60" s="108" t="e">
        <f t="shared" ref="AL60" ca="1" si="886">+AL56-AL59</f>
        <v>#NAME?</v>
      </c>
      <c r="AM60" s="108" t="e">
        <f t="shared" ref="AM60" ca="1" si="887">+AM56-AM59</f>
        <v>#NAME?</v>
      </c>
      <c r="AN60" s="108" t="e">
        <f t="shared" ref="AN60" ca="1" si="888">+AN56-AN59</f>
        <v>#NAME?</v>
      </c>
      <c r="AO60" s="108" t="e">
        <f t="shared" ref="AO60" ca="1" si="889">+AO56-AO59</f>
        <v>#NAME?</v>
      </c>
      <c r="AP60" s="108" t="e">
        <f t="shared" ref="AP60" ca="1" si="890">+AP56-AP59</f>
        <v>#NAME?</v>
      </c>
      <c r="AQ60" s="108" t="e">
        <f t="shared" ref="AQ60" ca="1" si="891">+AQ56-AQ59</f>
        <v>#NAME?</v>
      </c>
      <c r="AR60" s="108" t="e">
        <f t="shared" ref="AR60" ca="1" si="892">+AR56-AR59</f>
        <v>#NAME?</v>
      </c>
      <c r="AS60" s="108" t="e">
        <f t="shared" ref="AS60" ca="1" si="893">+AS56-AS59</f>
        <v>#NAME?</v>
      </c>
      <c r="AT60" s="108" t="e">
        <f t="shared" ref="AT60" ca="1" si="894">+AT56-AT59</f>
        <v>#NAME?</v>
      </c>
      <c r="AU60" s="108" t="e">
        <f t="shared" ref="AU60" ca="1" si="895">+AU56-AU59</f>
        <v>#NAME?</v>
      </c>
      <c r="AV60" s="108" t="e">
        <f t="shared" ref="AV60" ca="1" si="896">+AV56-AV59</f>
        <v>#NAME?</v>
      </c>
      <c r="AW60" s="108" t="e">
        <f t="shared" ref="AW60" ca="1" si="897">+AW56-AW59</f>
        <v>#NAME?</v>
      </c>
      <c r="AX60" s="108" t="e">
        <f t="shared" ref="AX60" ca="1" si="898">+AX56-AX59</f>
        <v>#NAME?</v>
      </c>
      <c r="AY60" s="108" t="e">
        <f t="shared" ref="AY60" ca="1" si="899">+AY56-AY59</f>
        <v>#NAME?</v>
      </c>
      <c r="AZ60" s="108" t="e">
        <f t="shared" ref="AZ60" ca="1" si="900">+AZ56-AZ59</f>
        <v>#NAME?</v>
      </c>
      <c r="BA60" s="108" t="e">
        <f t="shared" ref="BA60" ca="1" si="901">+BA56-BA59</f>
        <v>#NAME?</v>
      </c>
      <c r="BB60" s="108" t="e">
        <f t="shared" ref="BB60" ca="1" si="902">+BB56-BB59</f>
        <v>#NAME?</v>
      </c>
      <c r="BC60" s="108" t="e">
        <f t="shared" ref="BC60" ca="1" si="903">+BC56-BC59</f>
        <v>#NAME?</v>
      </c>
      <c r="BD60" s="108" t="e">
        <f t="shared" ref="BD60" ca="1" si="904">+BD56-BD59</f>
        <v>#NAME?</v>
      </c>
      <c r="BE60" s="108" t="e">
        <f t="shared" ref="BE60" ca="1" si="905">+BE56-BE59</f>
        <v>#NAME?</v>
      </c>
      <c r="BF60" s="108" t="e">
        <f t="shared" ref="BF60" ca="1" si="906">+BF56-BF59</f>
        <v>#NAME?</v>
      </c>
      <c r="BG60" s="108" t="e">
        <f t="shared" ref="BG60" ca="1" si="907">+BG56-BG59</f>
        <v>#NAME?</v>
      </c>
      <c r="BH60" s="108" t="e">
        <f t="shared" ref="BH60" ca="1" si="908">+BH56-BH59</f>
        <v>#NAME?</v>
      </c>
      <c r="BI60" s="108" t="e">
        <f t="shared" ref="BI60" ca="1" si="909">+BI56-BI59</f>
        <v>#NAME?</v>
      </c>
      <c r="BJ60" s="108" t="e">
        <f t="shared" ref="BJ60" ca="1" si="910">+BJ56-BJ59</f>
        <v>#NAME?</v>
      </c>
      <c r="BK60" s="108" t="e">
        <f t="shared" ref="BK60" ca="1" si="911">+BK56-BK59</f>
        <v>#NAME?</v>
      </c>
      <c r="BL60" s="108" t="e">
        <f t="shared" ref="BL60" ca="1" si="912">+BL56-BL59</f>
        <v>#NAME?</v>
      </c>
      <c r="BM60" s="108" t="e">
        <f t="shared" ref="BM60" ca="1" si="913">+BM56-BM59</f>
        <v>#NAME?</v>
      </c>
      <c r="BN60" s="108" t="e">
        <f t="shared" ref="BN60" ca="1" si="914">+BN56-BN59</f>
        <v>#NAME?</v>
      </c>
      <c r="BO60" s="108" t="e">
        <f t="shared" ref="BO60" ca="1" si="915">+BO56-BO59</f>
        <v>#NAME?</v>
      </c>
      <c r="BP60" s="108" t="e">
        <f t="shared" ref="BP60" ca="1" si="916">+BP56-BP59</f>
        <v>#NAME?</v>
      </c>
      <c r="BQ60" s="108" t="e">
        <f t="shared" ref="BQ60" ca="1" si="917">+BQ56-BQ59</f>
        <v>#NAME?</v>
      </c>
      <c r="BR60" s="108" t="e">
        <f t="shared" ref="BR60" ca="1" si="918">+BR56-BR59</f>
        <v>#NAME?</v>
      </c>
      <c r="BS60" s="108" t="e">
        <f t="shared" ref="BS60" ca="1" si="919">+BS56-BS59</f>
        <v>#NAME?</v>
      </c>
      <c r="BT60" s="108" t="e">
        <f t="shared" ref="BT60" ca="1" si="920">+BT56-BT59</f>
        <v>#NAME?</v>
      </c>
      <c r="BU60" s="108" t="e">
        <f t="shared" ref="BU60" ca="1" si="921">+BU56-BU59</f>
        <v>#NAME?</v>
      </c>
      <c r="BV60" s="108" t="e">
        <f t="shared" ref="BV60:BW60" ca="1" si="922">+BV56-BV59</f>
        <v>#NAME?</v>
      </c>
      <c r="BW60" s="108" t="e">
        <f t="shared" ca="1" si="922"/>
        <v>#NAME?</v>
      </c>
      <c r="BX60" s="108" t="e">
        <f t="shared" ref="BX60:BY60" ca="1" si="923">+BX56-BX59</f>
        <v>#NAME?</v>
      </c>
      <c r="BY60" s="108" t="e">
        <f t="shared" ca="1" si="923"/>
        <v>#NAME?</v>
      </c>
      <c r="BZ60" s="109"/>
      <c r="CA60" s="109"/>
      <c r="CB60" s="109"/>
      <c r="CC60" s="109"/>
      <c r="CD60" s="109"/>
      <c r="CE60" s="109"/>
      <c r="CF60" s="109"/>
      <c r="CG60" s="109"/>
      <c r="CH60" s="109"/>
      <c r="CI60" s="109"/>
      <c r="CJ60" s="109"/>
      <c r="CK60" s="109"/>
      <c r="CL60" s="109"/>
      <c r="CM60" s="109"/>
      <c r="CN60" s="109"/>
      <c r="CO60" s="109"/>
    </row>
    <row r="61" spans="1:97" s="45" customFormat="1" x14ac:dyDescent="0.2">
      <c r="A61" s="121" t="s">
        <v>362</v>
      </c>
      <c r="AB61" s="39"/>
      <c r="AC61" s="39"/>
      <c r="AD61" s="39"/>
      <c r="AE61" s="39"/>
      <c r="AG61" s="60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S61" s="154"/>
    </row>
    <row r="62" spans="1:97" s="50" customFormat="1" x14ac:dyDescent="0.2">
      <c r="A62" s="50" t="s">
        <v>33</v>
      </c>
      <c r="B62" s="50" t="e">
        <f t="shared" ref="B62:X62" ca="1" si="924">+C62</f>
        <v>#NAME?</v>
      </c>
      <c r="C62" s="50" t="e">
        <f t="shared" ca="1" si="924"/>
        <v>#NAME?</v>
      </c>
      <c r="D62" s="50" t="e">
        <f t="shared" ca="1" si="924"/>
        <v>#NAME?</v>
      </c>
      <c r="E62" s="50" t="e">
        <f t="shared" ca="1" si="924"/>
        <v>#NAME?</v>
      </c>
      <c r="F62" s="50" t="e">
        <f t="shared" ca="1" si="924"/>
        <v>#NAME?</v>
      </c>
      <c r="G62" s="50" t="e">
        <f t="shared" ca="1" si="924"/>
        <v>#NAME?</v>
      </c>
      <c r="H62" s="50" t="e">
        <f t="shared" ca="1" si="924"/>
        <v>#NAME?</v>
      </c>
      <c r="I62" s="50" t="e">
        <f t="shared" ca="1" si="924"/>
        <v>#NAME?</v>
      </c>
      <c r="J62" s="50" t="e">
        <f t="shared" ca="1" si="924"/>
        <v>#NAME?</v>
      </c>
      <c r="K62" s="50" t="e">
        <f t="shared" ca="1" si="924"/>
        <v>#NAME?</v>
      </c>
      <c r="L62" s="50" t="e">
        <f t="shared" ca="1" si="924"/>
        <v>#NAME?</v>
      </c>
      <c r="M62" s="50" t="e">
        <f t="shared" ca="1" si="924"/>
        <v>#NAME?</v>
      </c>
      <c r="N62" s="50" t="e">
        <f t="shared" ca="1" si="924"/>
        <v>#NAME?</v>
      </c>
      <c r="O62" s="50" t="e">
        <f t="shared" ca="1" si="924"/>
        <v>#NAME?</v>
      </c>
      <c r="P62" s="50" t="e">
        <f t="shared" ca="1" si="924"/>
        <v>#NAME?</v>
      </c>
      <c r="Q62" s="50" t="e">
        <f t="shared" ca="1" si="924"/>
        <v>#NAME?</v>
      </c>
      <c r="R62" s="50" t="e">
        <f t="shared" ca="1" si="924"/>
        <v>#NAME?</v>
      </c>
      <c r="S62" s="50" t="e">
        <f t="shared" ca="1" si="924"/>
        <v>#NAME?</v>
      </c>
      <c r="T62" s="50" t="e">
        <f t="shared" ca="1" si="924"/>
        <v>#NAME?</v>
      </c>
      <c r="U62" s="50" t="e">
        <f t="shared" ca="1" si="924"/>
        <v>#NAME?</v>
      </c>
      <c r="V62" s="50" t="e">
        <f t="shared" ca="1" si="924"/>
        <v>#NAME?</v>
      </c>
      <c r="W62" s="50" t="e">
        <f t="shared" ca="1" si="924"/>
        <v>#NAME?</v>
      </c>
      <c r="X62" s="50" t="e">
        <f t="shared" ca="1" si="924"/>
        <v>#NAME?</v>
      </c>
      <c r="Y62" s="50" t="e">
        <f ca="1">+Z62</f>
        <v>#NAME?</v>
      </c>
      <c r="Z62" s="50" t="e">
        <f ca="1">+'Annual Raw'!AA38</f>
        <v>#NAME?</v>
      </c>
      <c r="AA62" s="50" t="e">
        <f ca="1">+'Annual Raw'!AB38</f>
        <v>#NAME?</v>
      </c>
      <c r="AB62" s="51" t="e">
        <f ca="1">+CC62</f>
        <v>#NAME?</v>
      </c>
      <c r="AC62" s="51" t="e">
        <f ca="1">+CG62</f>
        <v>#NAME?</v>
      </c>
      <c r="AD62" s="51" t="e">
        <f ca="1">+CK62</f>
        <v>#NAME?</v>
      </c>
      <c r="AE62" s="51" t="e">
        <f ca="1">+CO62</f>
        <v>#NAME?</v>
      </c>
      <c r="AG62" s="64"/>
      <c r="AH62" s="50" t="e">
        <f ca="1">+'QTR Raw'!C29</f>
        <v>#NAME?</v>
      </c>
      <c r="AI62" s="50" t="e">
        <f ca="1">+'QTR Raw'!D29</f>
        <v>#NAME?</v>
      </c>
      <c r="AJ62" s="50" t="e">
        <f ca="1">+'QTR Raw'!E29</f>
        <v>#NAME?</v>
      </c>
      <c r="AK62" s="50" t="e">
        <f ca="1">+'QTR Raw'!F29</f>
        <v>#NAME?</v>
      </c>
      <c r="AL62" s="50" t="e">
        <f ca="1">+'QTR Raw'!G29</f>
        <v>#NAME?</v>
      </c>
      <c r="AM62" s="50" t="e">
        <f ca="1">+'QTR Raw'!H29</f>
        <v>#NAME?</v>
      </c>
      <c r="AN62" s="50" t="e">
        <f ca="1">+'QTR Raw'!I29</f>
        <v>#NAME?</v>
      </c>
      <c r="AO62" s="50" t="e">
        <f ca="1">+'QTR Raw'!J29</f>
        <v>#NAME?</v>
      </c>
      <c r="AP62" s="50" t="e">
        <f ca="1">+'QTR Raw'!K29</f>
        <v>#NAME?</v>
      </c>
      <c r="AQ62" s="50" t="e">
        <f ca="1">+'QTR Raw'!L29</f>
        <v>#NAME?</v>
      </c>
      <c r="AR62" s="50" t="e">
        <f ca="1">+'QTR Raw'!M29</f>
        <v>#NAME?</v>
      </c>
      <c r="AS62" s="50" t="e">
        <f ca="1">+'QTR Raw'!N29</f>
        <v>#NAME?</v>
      </c>
      <c r="AT62" s="50" t="e">
        <f t="shared" ref="AT62:BU62" ca="1" si="925">+AU62</f>
        <v>#NAME?</v>
      </c>
      <c r="AU62" s="50" t="e">
        <f t="shared" ca="1" si="925"/>
        <v>#NAME?</v>
      </c>
      <c r="AV62" s="50" t="e">
        <f t="shared" ca="1" si="925"/>
        <v>#NAME?</v>
      </c>
      <c r="AW62" s="50" t="e">
        <f t="shared" ca="1" si="925"/>
        <v>#NAME?</v>
      </c>
      <c r="AX62" s="50" t="e">
        <f t="shared" ca="1" si="925"/>
        <v>#NAME?</v>
      </c>
      <c r="AY62" s="50" t="e">
        <f t="shared" ca="1" si="925"/>
        <v>#NAME?</v>
      </c>
      <c r="AZ62" s="50" t="e">
        <f t="shared" ca="1" si="925"/>
        <v>#NAME?</v>
      </c>
      <c r="BA62" s="50" t="e">
        <f t="shared" ca="1" si="925"/>
        <v>#NAME?</v>
      </c>
      <c r="BB62" s="50" t="e">
        <f t="shared" ca="1" si="925"/>
        <v>#NAME?</v>
      </c>
      <c r="BC62" s="50" t="e">
        <f t="shared" ca="1" si="925"/>
        <v>#NAME?</v>
      </c>
      <c r="BD62" s="50" t="e">
        <f t="shared" ca="1" si="925"/>
        <v>#NAME?</v>
      </c>
      <c r="BE62" s="50" t="e">
        <f t="shared" ca="1" si="925"/>
        <v>#NAME?</v>
      </c>
      <c r="BF62" s="50" t="e">
        <f t="shared" ca="1" si="925"/>
        <v>#NAME?</v>
      </c>
      <c r="BG62" s="50" t="e">
        <f t="shared" ca="1" si="925"/>
        <v>#NAME?</v>
      </c>
      <c r="BH62" s="50" t="e">
        <f t="shared" ca="1" si="925"/>
        <v>#NAME?</v>
      </c>
      <c r="BI62" s="50" t="e">
        <f t="shared" ca="1" si="925"/>
        <v>#NAME?</v>
      </c>
      <c r="BJ62" s="50" t="e">
        <f t="shared" ca="1" si="925"/>
        <v>#NAME?</v>
      </c>
      <c r="BK62" s="50" t="e">
        <f t="shared" ca="1" si="925"/>
        <v>#NAME?</v>
      </c>
      <c r="BL62" s="50" t="e">
        <f t="shared" ca="1" si="925"/>
        <v>#NAME?</v>
      </c>
      <c r="BM62" s="50" t="e">
        <f t="shared" ca="1" si="925"/>
        <v>#NAME?</v>
      </c>
      <c r="BN62" s="50" t="e">
        <f t="shared" ca="1" si="925"/>
        <v>#NAME?</v>
      </c>
      <c r="BO62" s="50" t="e">
        <f t="shared" ca="1" si="925"/>
        <v>#NAME?</v>
      </c>
      <c r="BP62" s="50" t="e">
        <f t="shared" ca="1" si="925"/>
        <v>#NAME?</v>
      </c>
      <c r="BQ62" s="50" t="e">
        <f t="shared" ca="1" si="925"/>
        <v>#NAME?</v>
      </c>
      <c r="BR62" s="50" t="e">
        <f t="shared" ca="1" si="925"/>
        <v>#NAME?</v>
      </c>
      <c r="BS62" s="50" t="e">
        <f t="shared" ca="1" si="925"/>
        <v>#NAME?</v>
      </c>
      <c r="BT62" s="50" t="e">
        <f t="shared" ca="1" si="925"/>
        <v>#NAME?</v>
      </c>
      <c r="BU62" s="50" t="e">
        <f t="shared" ca="1" si="925"/>
        <v>#NAME?</v>
      </c>
      <c r="BV62" s="50" t="e">
        <f ca="1">+BW62</f>
        <v>#NAME?</v>
      </c>
      <c r="BW62" s="50" t="e">
        <f ca="1">+'QTR Raw'!AR29</f>
        <v>#NAME?</v>
      </c>
      <c r="BX62" s="50" t="e">
        <f ca="1">+'QTR Raw'!AS29</f>
        <v>#NAME?</v>
      </c>
      <c r="BY62" s="50" t="e">
        <f ca="1">+'QTR Raw'!AT29</f>
        <v>#NAME?</v>
      </c>
      <c r="BZ62" s="51" t="e">
        <f t="shared" ref="BZ62:CO62" ca="1" si="926">+BY62</f>
        <v>#NAME?</v>
      </c>
      <c r="CA62" s="51" t="e">
        <f t="shared" ca="1" si="926"/>
        <v>#NAME?</v>
      </c>
      <c r="CB62" s="51" t="e">
        <f t="shared" ca="1" si="926"/>
        <v>#NAME?</v>
      </c>
      <c r="CC62" s="51" t="e">
        <f t="shared" ca="1" si="926"/>
        <v>#NAME?</v>
      </c>
      <c r="CD62" s="51" t="e">
        <f t="shared" ca="1" si="926"/>
        <v>#NAME?</v>
      </c>
      <c r="CE62" s="51" t="e">
        <f t="shared" ca="1" si="926"/>
        <v>#NAME?</v>
      </c>
      <c r="CF62" s="51" t="e">
        <f t="shared" ca="1" si="926"/>
        <v>#NAME?</v>
      </c>
      <c r="CG62" s="51" t="e">
        <f t="shared" ca="1" si="926"/>
        <v>#NAME?</v>
      </c>
      <c r="CH62" s="51" t="e">
        <f t="shared" ca="1" si="926"/>
        <v>#NAME?</v>
      </c>
      <c r="CI62" s="51" t="e">
        <f t="shared" ca="1" si="926"/>
        <v>#NAME?</v>
      </c>
      <c r="CJ62" s="51" t="e">
        <f t="shared" ca="1" si="926"/>
        <v>#NAME?</v>
      </c>
      <c r="CK62" s="51" t="e">
        <f t="shared" ca="1" si="926"/>
        <v>#NAME?</v>
      </c>
      <c r="CL62" s="51" t="e">
        <f t="shared" ca="1" si="926"/>
        <v>#NAME?</v>
      </c>
      <c r="CM62" s="51" t="e">
        <f t="shared" ca="1" si="926"/>
        <v>#NAME?</v>
      </c>
      <c r="CN62" s="51" t="e">
        <f t="shared" ca="1" si="926"/>
        <v>#NAME?</v>
      </c>
      <c r="CO62" s="51" t="e">
        <f t="shared" ca="1" si="926"/>
        <v>#NAME?</v>
      </c>
      <c r="CS62" s="50">
        <v>7691.55</v>
      </c>
    </row>
    <row r="63" spans="1:97" s="50" customFormat="1" x14ac:dyDescent="0.2">
      <c r="A63" s="50" t="s">
        <v>34</v>
      </c>
      <c r="B63" s="50" t="e">
        <f t="shared" ref="B63:X63" ca="1" si="927">+C63</f>
        <v>#NAME?</v>
      </c>
      <c r="C63" s="50" t="e">
        <f t="shared" ca="1" si="927"/>
        <v>#NAME?</v>
      </c>
      <c r="D63" s="50" t="e">
        <f t="shared" ca="1" si="927"/>
        <v>#NAME?</v>
      </c>
      <c r="E63" s="50" t="e">
        <f t="shared" ca="1" si="927"/>
        <v>#NAME?</v>
      </c>
      <c r="F63" s="50" t="e">
        <f t="shared" ca="1" si="927"/>
        <v>#NAME?</v>
      </c>
      <c r="G63" s="50" t="e">
        <f t="shared" ca="1" si="927"/>
        <v>#NAME?</v>
      </c>
      <c r="H63" s="50" t="e">
        <f t="shared" ca="1" si="927"/>
        <v>#NAME?</v>
      </c>
      <c r="I63" s="50" t="e">
        <f t="shared" ca="1" si="927"/>
        <v>#NAME?</v>
      </c>
      <c r="J63" s="50" t="e">
        <f t="shared" ca="1" si="927"/>
        <v>#NAME?</v>
      </c>
      <c r="K63" s="50" t="e">
        <f t="shared" ca="1" si="927"/>
        <v>#NAME?</v>
      </c>
      <c r="L63" s="50" t="e">
        <f t="shared" ca="1" si="927"/>
        <v>#NAME?</v>
      </c>
      <c r="M63" s="50" t="e">
        <f t="shared" ca="1" si="927"/>
        <v>#NAME?</v>
      </c>
      <c r="N63" s="50" t="e">
        <f t="shared" ca="1" si="927"/>
        <v>#NAME?</v>
      </c>
      <c r="O63" s="50" t="e">
        <f t="shared" ca="1" si="927"/>
        <v>#NAME?</v>
      </c>
      <c r="P63" s="50" t="e">
        <f t="shared" ca="1" si="927"/>
        <v>#NAME?</v>
      </c>
      <c r="Q63" s="50" t="e">
        <f t="shared" ca="1" si="927"/>
        <v>#NAME?</v>
      </c>
      <c r="R63" s="50" t="e">
        <f t="shared" ca="1" si="927"/>
        <v>#NAME?</v>
      </c>
      <c r="S63" s="50" t="e">
        <f t="shared" ca="1" si="927"/>
        <v>#NAME?</v>
      </c>
      <c r="T63" s="50" t="e">
        <f t="shared" ca="1" si="927"/>
        <v>#NAME?</v>
      </c>
      <c r="U63" s="50" t="e">
        <f t="shared" ca="1" si="927"/>
        <v>#NAME?</v>
      </c>
      <c r="V63" s="50" t="e">
        <f t="shared" ca="1" si="927"/>
        <v>#NAME?</v>
      </c>
      <c r="W63" s="50" t="e">
        <f t="shared" ca="1" si="927"/>
        <v>#NAME?</v>
      </c>
      <c r="X63" s="50" t="e">
        <f t="shared" ca="1" si="927"/>
        <v>#NAME?</v>
      </c>
      <c r="Y63" s="50" t="e">
        <f ca="1">+Z63</f>
        <v>#NAME?</v>
      </c>
      <c r="Z63" s="50" t="e">
        <f ca="1">+'Annual Raw'!AA50</f>
        <v>#NAME?</v>
      </c>
      <c r="AA63" s="50" t="e">
        <f ca="1">+'Annual Raw'!AB50</f>
        <v>#NAME?</v>
      </c>
      <c r="AB63" s="51" t="e">
        <f ca="1">+CC63</f>
        <v>#NAME?</v>
      </c>
      <c r="AC63" s="51" t="e">
        <f ca="1">+CG63</f>
        <v>#NAME?</v>
      </c>
      <c r="AD63" s="51" t="e">
        <f ca="1">+CK63</f>
        <v>#NAME?</v>
      </c>
      <c r="AE63" s="51" t="e">
        <f ca="1">+CO63</f>
        <v>#NAME?</v>
      </c>
      <c r="AG63" s="64"/>
      <c r="AH63" s="50" t="e">
        <f ca="1">+'QTR Raw'!C30</f>
        <v>#NAME?</v>
      </c>
      <c r="AI63" s="50" t="e">
        <f ca="1">+'QTR Raw'!D30</f>
        <v>#NAME?</v>
      </c>
      <c r="AJ63" s="50" t="e">
        <f ca="1">+'QTR Raw'!E30</f>
        <v>#NAME?</v>
      </c>
      <c r="AK63" s="50" t="e">
        <f ca="1">+'QTR Raw'!F30</f>
        <v>#NAME?</v>
      </c>
      <c r="AL63" s="50" t="e">
        <f ca="1">+'QTR Raw'!G30</f>
        <v>#NAME?</v>
      </c>
      <c r="AM63" s="50" t="e">
        <f ca="1">+'QTR Raw'!H30</f>
        <v>#NAME?</v>
      </c>
      <c r="AN63" s="50" t="e">
        <f ca="1">+'QTR Raw'!I30</f>
        <v>#NAME?</v>
      </c>
      <c r="AO63" s="50" t="e">
        <f ca="1">+'QTR Raw'!J30</f>
        <v>#NAME?</v>
      </c>
      <c r="AP63" s="50" t="e">
        <f ca="1">+'QTR Raw'!K30</f>
        <v>#NAME?</v>
      </c>
      <c r="AQ63" s="50" t="e">
        <f ca="1">+'QTR Raw'!L30</f>
        <v>#NAME?</v>
      </c>
      <c r="AR63" s="50" t="e">
        <f ca="1">+'QTR Raw'!M30</f>
        <v>#NAME?</v>
      </c>
      <c r="AS63" s="50" t="e">
        <f ca="1">+'QTR Raw'!N30</f>
        <v>#NAME?</v>
      </c>
      <c r="AT63" s="50" t="e">
        <f t="shared" ref="AT63:BU63" ca="1" si="928">+AU63</f>
        <v>#NAME?</v>
      </c>
      <c r="AU63" s="50" t="e">
        <f t="shared" ca="1" si="928"/>
        <v>#NAME?</v>
      </c>
      <c r="AV63" s="50" t="e">
        <f t="shared" ca="1" si="928"/>
        <v>#NAME?</v>
      </c>
      <c r="AW63" s="50" t="e">
        <f t="shared" ca="1" si="928"/>
        <v>#NAME?</v>
      </c>
      <c r="AX63" s="50" t="e">
        <f t="shared" ca="1" si="928"/>
        <v>#NAME?</v>
      </c>
      <c r="AY63" s="50" t="e">
        <f t="shared" ca="1" si="928"/>
        <v>#NAME?</v>
      </c>
      <c r="AZ63" s="50" t="e">
        <f t="shared" ca="1" si="928"/>
        <v>#NAME?</v>
      </c>
      <c r="BA63" s="50" t="e">
        <f t="shared" ca="1" si="928"/>
        <v>#NAME?</v>
      </c>
      <c r="BB63" s="50" t="e">
        <f t="shared" ca="1" si="928"/>
        <v>#NAME?</v>
      </c>
      <c r="BC63" s="50" t="e">
        <f t="shared" ca="1" si="928"/>
        <v>#NAME?</v>
      </c>
      <c r="BD63" s="50" t="e">
        <f t="shared" ca="1" si="928"/>
        <v>#NAME?</v>
      </c>
      <c r="BE63" s="50" t="e">
        <f t="shared" ca="1" si="928"/>
        <v>#NAME?</v>
      </c>
      <c r="BF63" s="50" t="e">
        <f t="shared" ca="1" si="928"/>
        <v>#NAME?</v>
      </c>
      <c r="BG63" s="50" t="e">
        <f t="shared" ca="1" si="928"/>
        <v>#NAME?</v>
      </c>
      <c r="BH63" s="50" t="e">
        <f t="shared" ca="1" si="928"/>
        <v>#NAME?</v>
      </c>
      <c r="BI63" s="50" t="e">
        <f t="shared" ca="1" si="928"/>
        <v>#NAME?</v>
      </c>
      <c r="BJ63" s="50" t="e">
        <f t="shared" ca="1" si="928"/>
        <v>#NAME?</v>
      </c>
      <c r="BK63" s="50" t="e">
        <f t="shared" ca="1" si="928"/>
        <v>#NAME?</v>
      </c>
      <c r="BL63" s="50" t="e">
        <f t="shared" ca="1" si="928"/>
        <v>#NAME?</v>
      </c>
      <c r="BM63" s="50" t="e">
        <f t="shared" ca="1" si="928"/>
        <v>#NAME?</v>
      </c>
      <c r="BN63" s="50" t="e">
        <f t="shared" ca="1" si="928"/>
        <v>#NAME?</v>
      </c>
      <c r="BO63" s="50" t="e">
        <f t="shared" ca="1" si="928"/>
        <v>#NAME?</v>
      </c>
      <c r="BP63" s="50" t="e">
        <f t="shared" ca="1" si="928"/>
        <v>#NAME?</v>
      </c>
      <c r="BQ63" s="50" t="e">
        <f t="shared" ca="1" si="928"/>
        <v>#NAME?</v>
      </c>
      <c r="BR63" s="50" t="e">
        <f t="shared" ca="1" si="928"/>
        <v>#NAME?</v>
      </c>
      <c r="BS63" s="50" t="e">
        <f t="shared" ca="1" si="928"/>
        <v>#NAME?</v>
      </c>
      <c r="BT63" s="50" t="e">
        <f t="shared" ca="1" si="928"/>
        <v>#NAME?</v>
      </c>
      <c r="BU63" s="50" t="e">
        <f t="shared" ca="1" si="928"/>
        <v>#NAME?</v>
      </c>
      <c r="BV63" s="50" t="e">
        <f ca="1">+BW63</f>
        <v>#NAME?</v>
      </c>
      <c r="BW63" s="50" t="e">
        <f ca="1">+'QTR Raw'!AR30</f>
        <v>#NAME?</v>
      </c>
      <c r="BX63" s="50" t="e">
        <f ca="1">+'QTR Raw'!AS30</f>
        <v>#NAME?</v>
      </c>
      <c r="BY63" s="50" t="e">
        <f ca="1">+'QTR Raw'!AT30</f>
        <v>#NAME?</v>
      </c>
      <c r="BZ63" s="51" t="e">
        <f t="shared" ref="BZ63:CO63" ca="1" si="929">+BY63</f>
        <v>#NAME?</v>
      </c>
      <c r="CA63" s="51" t="e">
        <f t="shared" ca="1" si="929"/>
        <v>#NAME?</v>
      </c>
      <c r="CB63" s="51" t="e">
        <f t="shared" ca="1" si="929"/>
        <v>#NAME?</v>
      </c>
      <c r="CC63" s="51" t="e">
        <f t="shared" ca="1" si="929"/>
        <v>#NAME?</v>
      </c>
      <c r="CD63" s="51" t="e">
        <f t="shared" ca="1" si="929"/>
        <v>#NAME?</v>
      </c>
      <c r="CE63" s="51" t="e">
        <f t="shared" ca="1" si="929"/>
        <v>#NAME?</v>
      </c>
      <c r="CF63" s="51" t="e">
        <f t="shared" ca="1" si="929"/>
        <v>#NAME?</v>
      </c>
      <c r="CG63" s="51" t="e">
        <f t="shared" ca="1" si="929"/>
        <v>#NAME?</v>
      </c>
      <c r="CH63" s="51" t="e">
        <f t="shared" ca="1" si="929"/>
        <v>#NAME?</v>
      </c>
      <c r="CI63" s="51" t="e">
        <f t="shared" ca="1" si="929"/>
        <v>#NAME?</v>
      </c>
      <c r="CJ63" s="51" t="e">
        <f t="shared" ca="1" si="929"/>
        <v>#NAME?</v>
      </c>
      <c r="CK63" s="51" t="e">
        <f t="shared" ca="1" si="929"/>
        <v>#NAME?</v>
      </c>
      <c r="CL63" s="51" t="e">
        <f t="shared" ca="1" si="929"/>
        <v>#NAME?</v>
      </c>
      <c r="CM63" s="51" t="e">
        <f t="shared" ca="1" si="929"/>
        <v>#NAME?</v>
      </c>
      <c r="CN63" s="51" t="e">
        <f t="shared" ca="1" si="929"/>
        <v>#NAME?</v>
      </c>
      <c r="CO63" s="51" t="e">
        <f t="shared" ca="1" si="929"/>
        <v>#NAME?</v>
      </c>
      <c r="CS63" s="50">
        <v>10</v>
      </c>
    </row>
    <row r="64" spans="1:97" s="66" customFormat="1" x14ac:dyDescent="0.2">
      <c r="A64" s="66" t="s">
        <v>42</v>
      </c>
      <c r="B64" s="66" t="e">
        <f t="shared" ref="B64:X64" ca="1" si="930">B62/B63</f>
        <v>#NAME?</v>
      </c>
      <c r="C64" s="66" t="e">
        <f t="shared" ca="1" si="930"/>
        <v>#NAME?</v>
      </c>
      <c r="D64" s="66" t="e">
        <f t="shared" ca="1" si="930"/>
        <v>#NAME?</v>
      </c>
      <c r="E64" s="66" t="e">
        <f t="shared" ca="1" si="930"/>
        <v>#NAME?</v>
      </c>
      <c r="F64" s="66" t="e">
        <f t="shared" ca="1" si="930"/>
        <v>#NAME?</v>
      </c>
      <c r="G64" s="66" t="e">
        <f t="shared" ca="1" si="930"/>
        <v>#NAME?</v>
      </c>
      <c r="H64" s="66" t="e">
        <f t="shared" ca="1" si="930"/>
        <v>#NAME?</v>
      </c>
      <c r="I64" s="66" t="e">
        <f t="shared" ca="1" si="930"/>
        <v>#NAME?</v>
      </c>
      <c r="J64" s="66" t="e">
        <f t="shared" ca="1" si="930"/>
        <v>#NAME?</v>
      </c>
      <c r="K64" s="66" t="e">
        <f t="shared" ca="1" si="930"/>
        <v>#NAME?</v>
      </c>
      <c r="L64" s="66" t="e">
        <f t="shared" ca="1" si="930"/>
        <v>#NAME?</v>
      </c>
      <c r="M64" s="66" t="e">
        <f t="shared" ca="1" si="930"/>
        <v>#NAME?</v>
      </c>
      <c r="N64" s="66" t="e">
        <f t="shared" ca="1" si="930"/>
        <v>#NAME?</v>
      </c>
      <c r="O64" s="67" t="e">
        <f t="shared" ca="1" si="930"/>
        <v>#NAME?</v>
      </c>
      <c r="P64" s="67" t="e">
        <f t="shared" ca="1" si="930"/>
        <v>#NAME?</v>
      </c>
      <c r="Q64" s="67" t="e">
        <f t="shared" ca="1" si="930"/>
        <v>#NAME?</v>
      </c>
      <c r="R64" s="67" t="e">
        <f t="shared" ca="1" si="930"/>
        <v>#NAME?</v>
      </c>
      <c r="S64" s="67" t="e">
        <f t="shared" ca="1" si="930"/>
        <v>#NAME?</v>
      </c>
      <c r="T64" s="67" t="e">
        <f t="shared" ca="1" si="930"/>
        <v>#NAME?</v>
      </c>
      <c r="U64" s="67" t="e">
        <f t="shared" ca="1" si="930"/>
        <v>#NAME?</v>
      </c>
      <c r="V64" s="67" t="e">
        <f t="shared" ca="1" si="930"/>
        <v>#NAME?</v>
      </c>
      <c r="W64" s="67" t="e">
        <f t="shared" ca="1" si="930"/>
        <v>#NAME?</v>
      </c>
      <c r="X64" s="67" t="e">
        <f t="shared" ca="1" si="930"/>
        <v>#NAME?</v>
      </c>
      <c r="Y64" s="67" t="e">
        <f t="shared" ref="Y64" ca="1" si="931">Y62/Y63</f>
        <v>#NAME?</v>
      </c>
      <c r="Z64" s="67" t="e">
        <f t="shared" ref="Z64:AA64" ca="1" si="932">Z62/Z63</f>
        <v>#NAME?</v>
      </c>
      <c r="AA64" s="67" t="e">
        <f t="shared" ca="1" si="932"/>
        <v>#NAME?</v>
      </c>
      <c r="AB64" s="68" t="e">
        <f t="shared" ref="AB64" ca="1" si="933">AB62/AB63</f>
        <v>#NAME?</v>
      </c>
      <c r="AC64" s="68" t="e">
        <f t="shared" ref="AC64" ca="1" si="934">AC62/AC63</f>
        <v>#NAME?</v>
      </c>
      <c r="AD64" s="68" t="e">
        <f t="shared" ref="AD64" ca="1" si="935">AD62/AD63</f>
        <v>#NAME?</v>
      </c>
      <c r="AE64" s="68" t="e">
        <f t="shared" ref="AE64" ca="1" si="936">AE62/AE63</f>
        <v>#NAME?</v>
      </c>
      <c r="AG64" s="54"/>
      <c r="AH64" s="67" t="e">
        <f t="shared" ref="AH64:AL64" ca="1" si="937">AH62/AH63</f>
        <v>#NAME?</v>
      </c>
      <c r="AI64" s="67" t="e">
        <f t="shared" ca="1" si="937"/>
        <v>#NAME?</v>
      </c>
      <c r="AJ64" s="67" t="e">
        <f t="shared" ca="1" si="937"/>
        <v>#NAME?</v>
      </c>
      <c r="AK64" s="67" t="e">
        <f t="shared" ca="1" si="937"/>
        <v>#NAME?</v>
      </c>
      <c r="AL64" s="67" t="e">
        <f t="shared" ca="1" si="937"/>
        <v>#NAME?</v>
      </c>
      <c r="AM64" s="67" t="e">
        <f t="shared" ref="AM64" ca="1" si="938">AM62/AM63</f>
        <v>#NAME?</v>
      </c>
      <c r="AN64" s="67" t="e">
        <f t="shared" ref="AN64" ca="1" si="939">AN62/AN63</f>
        <v>#NAME?</v>
      </c>
      <c r="AO64" s="67" t="e">
        <f t="shared" ref="AO64" ca="1" si="940">AO62/AO63</f>
        <v>#NAME?</v>
      </c>
      <c r="AP64" s="67" t="e">
        <f t="shared" ref="AP64" ca="1" si="941">AP62/AP63</f>
        <v>#NAME?</v>
      </c>
      <c r="AQ64" s="67" t="e">
        <f t="shared" ref="AQ64" ca="1" si="942">AQ62/AQ63</f>
        <v>#NAME?</v>
      </c>
      <c r="AR64" s="67" t="e">
        <f t="shared" ref="AR64" ca="1" si="943">AR62/AR63</f>
        <v>#NAME?</v>
      </c>
      <c r="AS64" s="67" t="e">
        <f t="shared" ref="AS64" ca="1" si="944">AS62/AS63</f>
        <v>#NAME?</v>
      </c>
      <c r="AT64" s="67" t="e">
        <f t="shared" ref="AT64" ca="1" si="945">AT62/AT63</f>
        <v>#NAME?</v>
      </c>
      <c r="AU64" s="67" t="e">
        <f t="shared" ref="AU64" ca="1" si="946">AU62/AU63</f>
        <v>#NAME?</v>
      </c>
      <c r="AV64" s="67" t="e">
        <f t="shared" ref="AV64:AW64" ca="1" si="947">AV62/AV63</f>
        <v>#NAME?</v>
      </c>
      <c r="AW64" s="67" t="e">
        <f t="shared" ca="1" si="947"/>
        <v>#NAME?</v>
      </c>
      <c r="AX64" s="67" t="e">
        <f t="shared" ref="AX64:BB64" ca="1" si="948">AX62/AX63</f>
        <v>#NAME?</v>
      </c>
      <c r="AY64" s="67" t="e">
        <f t="shared" ca="1" si="948"/>
        <v>#NAME?</v>
      </c>
      <c r="AZ64" s="67" t="e">
        <f t="shared" ca="1" si="948"/>
        <v>#NAME?</v>
      </c>
      <c r="BA64" s="67" t="e">
        <f t="shared" ca="1" si="948"/>
        <v>#NAME?</v>
      </c>
      <c r="BB64" s="67" t="e">
        <f t="shared" ca="1" si="948"/>
        <v>#NAME?</v>
      </c>
      <c r="BC64" s="67" t="e">
        <f t="shared" ref="BC64:BG64" ca="1" si="949">BC62/BC63</f>
        <v>#NAME?</v>
      </c>
      <c r="BD64" s="67" t="e">
        <f t="shared" ca="1" si="949"/>
        <v>#NAME?</v>
      </c>
      <c r="BE64" s="67" t="e">
        <f t="shared" ca="1" si="949"/>
        <v>#NAME?</v>
      </c>
      <c r="BF64" s="67" t="e">
        <f t="shared" ca="1" si="949"/>
        <v>#NAME?</v>
      </c>
      <c r="BG64" s="67" t="e">
        <f t="shared" ca="1" si="949"/>
        <v>#NAME?</v>
      </c>
      <c r="BH64" s="67" t="e">
        <f t="shared" ref="BH64:BJ64" ca="1" si="950">BH62/BH63</f>
        <v>#NAME?</v>
      </c>
      <c r="BI64" s="67" t="e">
        <f t="shared" ca="1" si="950"/>
        <v>#NAME?</v>
      </c>
      <c r="BJ64" s="67" t="e">
        <f t="shared" ca="1" si="950"/>
        <v>#NAME?</v>
      </c>
      <c r="BK64" s="67" t="e">
        <f t="shared" ref="BK64" ca="1" si="951">BK62/BK63</f>
        <v>#NAME?</v>
      </c>
      <c r="BL64" s="67" t="e">
        <f t="shared" ref="BL64:BM64" ca="1" si="952">BL62/BL63</f>
        <v>#NAME?</v>
      </c>
      <c r="BM64" s="67" t="e">
        <f t="shared" ca="1" si="952"/>
        <v>#NAME?</v>
      </c>
      <c r="BN64" s="67" t="e">
        <f t="shared" ref="BN64:BO64" ca="1" si="953">BN62/BN63</f>
        <v>#NAME?</v>
      </c>
      <c r="BO64" s="67" t="e">
        <f t="shared" ca="1" si="953"/>
        <v>#NAME?</v>
      </c>
      <c r="BP64" s="67" t="e">
        <f t="shared" ref="BP64:BQ64" ca="1" si="954">BP62/BP63</f>
        <v>#NAME?</v>
      </c>
      <c r="BQ64" s="67" t="e">
        <f t="shared" ca="1" si="954"/>
        <v>#NAME?</v>
      </c>
      <c r="BR64" s="67" t="e">
        <f t="shared" ref="BR64" ca="1" si="955">BR62/BR63</f>
        <v>#NAME?</v>
      </c>
      <c r="BS64" s="67" t="e">
        <f t="shared" ref="BS64:BT64" ca="1" si="956">BS62/BS63</f>
        <v>#NAME?</v>
      </c>
      <c r="BT64" s="67" t="e">
        <f t="shared" ca="1" si="956"/>
        <v>#NAME?</v>
      </c>
      <c r="BU64" s="67" t="e">
        <f t="shared" ref="BU64" ca="1" si="957">BU62/BU63</f>
        <v>#NAME?</v>
      </c>
      <c r="BV64" s="67" t="e">
        <f t="shared" ref="BV64" ca="1" si="958">BV62/BV63</f>
        <v>#NAME?</v>
      </c>
      <c r="BW64" s="67" t="e">
        <f t="shared" ref="BW64:BX64" ca="1" si="959">BW62/BW63</f>
        <v>#NAME?</v>
      </c>
      <c r="BX64" s="67" t="e">
        <f t="shared" ca="1" si="959"/>
        <v>#NAME?</v>
      </c>
      <c r="BY64" s="67" t="e">
        <f t="shared" ref="BY64" ca="1" si="960">BY62/BY63</f>
        <v>#NAME?</v>
      </c>
      <c r="BZ64" s="68" t="e">
        <f t="shared" ref="BZ64:CC64" ca="1" si="961">BZ62/BZ63</f>
        <v>#NAME?</v>
      </c>
      <c r="CA64" s="68" t="e">
        <f t="shared" ca="1" si="961"/>
        <v>#NAME?</v>
      </c>
      <c r="CB64" s="68" t="e">
        <f t="shared" ca="1" si="961"/>
        <v>#NAME?</v>
      </c>
      <c r="CC64" s="68" t="e">
        <f t="shared" ca="1" si="961"/>
        <v>#NAME?</v>
      </c>
      <c r="CD64" s="68" t="e">
        <f t="shared" ref="CD64:CO64" ca="1" si="962">CD62/CD63</f>
        <v>#NAME?</v>
      </c>
      <c r="CE64" s="68" t="e">
        <f t="shared" ca="1" si="962"/>
        <v>#NAME?</v>
      </c>
      <c r="CF64" s="68" t="e">
        <f t="shared" ca="1" si="962"/>
        <v>#NAME?</v>
      </c>
      <c r="CG64" s="68" t="e">
        <f t="shared" ca="1" si="962"/>
        <v>#NAME?</v>
      </c>
      <c r="CH64" s="68" t="e">
        <f t="shared" ca="1" si="962"/>
        <v>#NAME?</v>
      </c>
      <c r="CI64" s="68" t="e">
        <f t="shared" ca="1" si="962"/>
        <v>#NAME?</v>
      </c>
      <c r="CJ64" s="68" t="e">
        <f t="shared" ca="1" si="962"/>
        <v>#NAME?</v>
      </c>
      <c r="CK64" s="68" t="e">
        <f t="shared" ca="1" si="962"/>
        <v>#NAME?</v>
      </c>
      <c r="CL64" s="68" t="e">
        <f t="shared" ca="1" si="962"/>
        <v>#NAME?</v>
      </c>
      <c r="CM64" s="68" t="e">
        <f t="shared" ca="1" si="962"/>
        <v>#NAME?</v>
      </c>
      <c r="CN64" s="68" t="e">
        <f t="shared" ca="1" si="962"/>
        <v>#NAME?</v>
      </c>
      <c r="CO64" s="68" t="e">
        <f t="shared" ca="1" si="962"/>
        <v>#NAME?</v>
      </c>
      <c r="CS64" s="67">
        <v>769.15499999999997</v>
      </c>
    </row>
    <row r="65" spans="1:97" s="38" customFormat="1" x14ac:dyDescent="0.2">
      <c r="A65" s="38" t="s">
        <v>35</v>
      </c>
      <c r="B65" s="38" t="e">
        <f t="shared" ref="B65:X65" ca="1" si="963">B56/B64</f>
        <v>#NAME?</v>
      </c>
      <c r="C65" s="38" t="e">
        <f t="shared" ca="1" si="963"/>
        <v>#NAME?</v>
      </c>
      <c r="D65" s="38" t="e">
        <f t="shared" ca="1" si="963"/>
        <v>#NAME?</v>
      </c>
      <c r="E65" s="38" t="e">
        <f t="shared" ca="1" si="963"/>
        <v>#NAME?</v>
      </c>
      <c r="F65" s="38" t="e">
        <f t="shared" ca="1" si="963"/>
        <v>#NAME?</v>
      </c>
      <c r="G65" s="38" t="e">
        <f t="shared" ca="1" si="963"/>
        <v>#NAME?</v>
      </c>
      <c r="H65" s="38" t="e">
        <f t="shared" ca="1" si="963"/>
        <v>#NAME?</v>
      </c>
      <c r="I65" s="38" t="e">
        <f t="shared" ca="1" si="963"/>
        <v>#NAME?</v>
      </c>
      <c r="J65" s="38" t="e">
        <f t="shared" ca="1" si="963"/>
        <v>#NAME?</v>
      </c>
      <c r="K65" s="38" t="e">
        <f t="shared" ca="1" si="963"/>
        <v>#NAME?</v>
      </c>
      <c r="L65" s="38" t="e">
        <f t="shared" ca="1" si="963"/>
        <v>#NAME?</v>
      </c>
      <c r="M65" s="38" t="e">
        <f t="shared" ca="1" si="963"/>
        <v>#NAME?</v>
      </c>
      <c r="N65" s="38" t="e">
        <f t="shared" ca="1" si="963"/>
        <v>#NAME?</v>
      </c>
      <c r="O65" s="38" t="e">
        <f t="shared" ca="1" si="963"/>
        <v>#NAME?</v>
      </c>
      <c r="P65" s="38" t="e">
        <f t="shared" ca="1" si="963"/>
        <v>#NAME?</v>
      </c>
      <c r="Q65" s="38" t="e">
        <f t="shared" ca="1" si="963"/>
        <v>#NAME?</v>
      </c>
      <c r="R65" s="38" t="e">
        <f t="shared" ca="1" si="963"/>
        <v>#NAME?</v>
      </c>
      <c r="S65" s="38" t="e">
        <f t="shared" ca="1" si="963"/>
        <v>#NAME?</v>
      </c>
      <c r="T65" s="38" t="e">
        <f t="shared" ca="1" si="963"/>
        <v>#NAME?</v>
      </c>
      <c r="U65" s="38" t="e">
        <f t="shared" ca="1" si="963"/>
        <v>#NAME?</v>
      </c>
      <c r="V65" s="38" t="e">
        <f t="shared" ca="1" si="963"/>
        <v>#NAME?</v>
      </c>
      <c r="W65" s="38" t="e">
        <f t="shared" ca="1" si="963"/>
        <v>#NAME?</v>
      </c>
      <c r="X65" s="38" t="e">
        <f t="shared" ca="1" si="963"/>
        <v>#NAME?</v>
      </c>
      <c r="Y65" s="38" t="e">
        <f t="shared" ref="Y65" ca="1" si="964">Y56/Y64</f>
        <v>#NAME?</v>
      </c>
      <c r="Z65" s="38" t="e">
        <f t="shared" ref="Z65:AA65" ca="1" si="965">Z56/Z64</f>
        <v>#NAME?</v>
      </c>
      <c r="AA65" s="38" t="e">
        <f t="shared" ca="1" si="965"/>
        <v>#NAME?</v>
      </c>
      <c r="AB65" s="39" t="e">
        <f t="shared" ref="AB65" ca="1" si="966">AB56/AB64</f>
        <v>#NAME?</v>
      </c>
      <c r="AC65" s="39" t="e">
        <f t="shared" ref="AC65" ca="1" si="967">AC56/AC64</f>
        <v>#NAME?</v>
      </c>
      <c r="AD65" s="39" t="e">
        <f t="shared" ref="AD65" ca="1" si="968">AD56/AD64</f>
        <v>#NAME?</v>
      </c>
      <c r="AE65" s="39" t="e">
        <f t="shared" ref="AE65" ca="1" si="969">AE56/AE64</f>
        <v>#NAME?</v>
      </c>
      <c r="AG65" s="60"/>
      <c r="AH65" s="38" t="e">
        <f t="shared" ref="AH65:AL65" ca="1" si="970">AH56/AH64</f>
        <v>#NAME?</v>
      </c>
      <c r="AI65" s="38" t="e">
        <f t="shared" ca="1" si="970"/>
        <v>#NAME?</v>
      </c>
      <c r="AJ65" s="38" t="e">
        <f t="shared" ca="1" si="970"/>
        <v>#NAME?</v>
      </c>
      <c r="AK65" s="38" t="e">
        <f t="shared" ca="1" si="970"/>
        <v>#NAME?</v>
      </c>
      <c r="AL65" s="38" t="e">
        <f t="shared" ca="1" si="970"/>
        <v>#NAME?</v>
      </c>
      <c r="AM65" s="38" t="e">
        <f t="shared" ref="AM65" ca="1" si="971">AM56/AM64</f>
        <v>#NAME?</v>
      </c>
      <c r="AN65" s="38" t="e">
        <f t="shared" ref="AN65" ca="1" si="972">AN56/AN64</f>
        <v>#NAME?</v>
      </c>
      <c r="AO65" s="38" t="e">
        <f t="shared" ref="AO65" ca="1" si="973">AO56/AO64</f>
        <v>#NAME?</v>
      </c>
      <c r="AP65" s="38" t="e">
        <f t="shared" ref="AP65" ca="1" si="974">AP56/AP64</f>
        <v>#NAME?</v>
      </c>
      <c r="AQ65" s="38" t="e">
        <f t="shared" ref="AQ65" ca="1" si="975">AQ56/AQ64</f>
        <v>#NAME?</v>
      </c>
      <c r="AR65" s="38" t="e">
        <f t="shared" ref="AR65" ca="1" si="976">AR56/AR64</f>
        <v>#NAME?</v>
      </c>
      <c r="AS65" s="38" t="e">
        <f t="shared" ref="AS65" ca="1" si="977">AS56/AS64</f>
        <v>#NAME?</v>
      </c>
      <c r="AT65" s="38" t="e">
        <f t="shared" ref="AT65" ca="1" si="978">AT56/AT64</f>
        <v>#NAME?</v>
      </c>
      <c r="AU65" s="38" t="e">
        <f t="shared" ref="AU65" ca="1" si="979">AU56/AU64</f>
        <v>#NAME?</v>
      </c>
      <c r="AV65" s="38" t="e">
        <f t="shared" ref="AV65:AW65" ca="1" si="980">AV56/AV64</f>
        <v>#NAME?</v>
      </c>
      <c r="AW65" s="38" t="e">
        <f t="shared" ca="1" si="980"/>
        <v>#NAME?</v>
      </c>
      <c r="AX65" s="38" t="e">
        <f t="shared" ref="AX65:BB65" ca="1" si="981">AX56/AX64</f>
        <v>#NAME?</v>
      </c>
      <c r="AY65" s="38" t="e">
        <f t="shared" ca="1" si="981"/>
        <v>#NAME?</v>
      </c>
      <c r="AZ65" s="38" t="e">
        <f t="shared" ca="1" si="981"/>
        <v>#NAME?</v>
      </c>
      <c r="BA65" s="38" t="e">
        <f t="shared" ca="1" si="981"/>
        <v>#NAME?</v>
      </c>
      <c r="BB65" s="38" t="e">
        <f t="shared" ca="1" si="981"/>
        <v>#NAME?</v>
      </c>
      <c r="BC65" s="38" t="e">
        <f t="shared" ref="BC65:BF65" ca="1" si="982">BC56/BC64</f>
        <v>#NAME?</v>
      </c>
      <c r="BD65" s="38" t="e">
        <f t="shared" ca="1" si="982"/>
        <v>#NAME?</v>
      </c>
      <c r="BE65" s="38" t="e">
        <f t="shared" ca="1" si="982"/>
        <v>#NAME?</v>
      </c>
      <c r="BF65" s="38" t="e">
        <f t="shared" ca="1" si="982"/>
        <v>#NAME?</v>
      </c>
      <c r="BG65" s="38" t="e">
        <f t="shared" ref="BG65:BH65" ca="1" si="983">BG56/BG64</f>
        <v>#NAME?</v>
      </c>
      <c r="BH65" s="38" t="e">
        <f t="shared" ca="1" si="983"/>
        <v>#NAME?</v>
      </c>
      <c r="BI65" s="38" t="e">
        <f t="shared" ref="BI65:BJ65" ca="1" si="984">BI56/BI64</f>
        <v>#NAME?</v>
      </c>
      <c r="BJ65" s="38" t="e">
        <f t="shared" ca="1" si="984"/>
        <v>#NAME?</v>
      </c>
      <c r="BK65" s="38" t="e">
        <f t="shared" ref="BK65" ca="1" si="985">BK56/BK64</f>
        <v>#NAME?</v>
      </c>
      <c r="BL65" s="38" t="e">
        <f t="shared" ref="BL65:BM65" ca="1" si="986">BL56/BL64</f>
        <v>#NAME?</v>
      </c>
      <c r="BM65" s="38" t="e">
        <f t="shared" ca="1" si="986"/>
        <v>#NAME?</v>
      </c>
      <c r="BN65" s="38" t="e">
        <f t="shared" ref="BN65:BO65" ca="1" si="987">BN56/BN64</f>
        <v>#NAME?</v>
      </c>
      <c r="BO65" s="38" t="e">
        <f t="shared" ca="1" si="987"/>
        <v>#NAME?</v>
      </c>
      <c r="BP65" s="38" t="e">
        <f t="shared" ref="BP65:BQ65" ca="1" si="988">BP56/BP64</f>
        <v>#NAME?</v>
      </c>
      <c r="BQ65" s="38" t="e">
        <f t="shared" ca="1" si="988"/>
        <v>#NAME?</v>
      </c>
      <c r="BR65" s="38" t="e">
        <f t="shared" ref="BR65" ca="1" si="989">BR56/BR64</f>
        <v>#NAME?</v>
      </c>
      <c r="BS65" s="38" t="e">
        <f t="shared" ref="BS65:BT65" ca="1" si="990">BS56/BS64</f>
        <v>#NAME?</v>
      </c>
      <c r="BT65" s="38" t="e">
        <f t="shared" ca="1" si="990"/>
        <v>#NAME?</v>
      </c>
      <c r="BU65" s="38" t="e">
        <f t="shared" ref="BU65" ca="1" si="991">BU56/BU64</f>
        <v>#NAME?</v>
      </c>
      <c r="BV65" s="38" t="e">
        <f t="shared" ref="BV65" ca="1" si="992">BV56/BV64</f>
        <v>#NAME?</v>
      </c>
      <c r="BW65" s="38" t="e">
        <f t="shared" ref="BW65:BX65" ca="1" si="993">BW56/BW64</f>
        <v>#NAME?</v>
      </c>
      <c r="BX65" s="38" t="e">
        <f t="shared" ca="1" si="993"/>
        <v>#NAME?</v>
      </c>
      <c r="BY65" s="38" t="e">
        <f t="shared" ref="BY65" ca="1" si="994">BY56/BY64</f>
        <v>#NAME?</v>
      </c>
      <c r="BZ65" s="39" t="e">
        <f t="shared" ref="BZ65:CC65" ca="1" si="995">BZ56/BZ64</f>
        <v>#NAME?</v>
      </c>
      <c r="CA65" s="39" t="e">
        <f t="shared" ca="1" si="995"/>
        <v>#NAME?</v>
      </c>
      <c r="CB65" s="39" t="e">
        <f t="shared" ca="1" si="995"/>
        <v>#NAME?</v>
      </c>
      <c r="CC65" s="39" t="e">
        <f t="shared" ca="1" si="995"/>
        <v>#NAME?</v>
      </c>
      <c r="CD65" s="39" t="e">
        <f t="shared" ref="CD65:CO65" ca="1" si="996">CD56/CD64</f>
        <v>#NAME?</v>
      </c>
      <c r="CE65" s="39" t="e">
        <f t="shared" ca="1" si="996"/>
        <v>#NAME?</v>
      </c>
      <c r="CF65" s="39" t="e">
        <f t="shared" ca="1" si="996"/>
        <v>#NAME?</v>
      </c>
      <c r="CG65" s="39" t="e">
        <f t="shared" ca="1" si="996"/>
        <v>#NAME?</v>
      </c>
      <c r="CH65" s="39" t="e">
        <f t="shared" ca="1" si="996"/>
        <v>#NAME?</v>
      </c>
      <c r="CI65" s="39" t="e">
        <f t="shared" ca="1" si="996"/>
        <v>#NAME?</v>
      </c>
      <c r="CJ65" s="39" t="e">
        <f t="shared" ca="1" si="996"/>
        <v>#NAME?</v>
      </c>
      <c r="CK65" s="39" t="e">
        <f t="shared" ca="1" si="996"/>
        <v>#NAME?</v>
      </c>
      <c r="CL65" s="39" t="e">
        <f t="shared" ca="1" si="996"/>
        <v>#NAME?</v>
      </c>
      <c r="CM65" s="39" t="e">
        <f t="shared" ca="1" si="996"/>
        <v>#NAME?</v>
      </c>
      <c r="CN65" s="39" t="e">
        <f t="shared" ca="1" si="996"/>
        <v>#NAME?</v>
      </c>
      <c r="CO65" s="39" t="e">
        <f t="shared" ca="1" si="996"/>
        <v>#NAME?</v>
      </c>
      <c r="CS65" s="38">
        <v>9.1260149124688787</v>
      </c>
    </row>
    <row r="66" spans="1:97" s="43" customFormat="1" x14ac:dyDescent="0.2">
      <c r="A66" s="43" t="s">
        <v>43</v>
      </c>
      <c r="B66" s="43" t="e">
        <f t="shared" ref="B66:AB66" ca="1" si="997">+B65</f>
        <v>#NAME?</v>
      </c>
      <c r="C66" s="43" t="e">
        <f t="shared" ca="1" si="997"/>
        <v>#NAME?</v>
      </c>
      <c r="D66" s="43" t="e">
        <f t="shared" ca="1" si="997"/>
        <v>#NAME?</v>
      </c>
      <c r="E66" s="43" t="e">
        <f t="shared" ca="1" si="997"/>
        <v>#NAME?</v>
      </c>
      <c r="F66" s="43" t="e">
        <f t="shared" ca="1" si="997"/>
        <v>#NAME?</v>
      </c>
      <c r="G66" s="43" t="e">
        <f t="shared" ca="1" si="997"/>
        <v>#NAME?</v>
      </c>
      <c r="H66" s="43" t="e">
        <f t="shared" ca="1" si="997"/>
        <v>#NAME?</v>
      </c>
      <c r="I66" s="43" t="e">
        <f t="shared" ca="1" si="997"/>
        <v>#NAME?</v>
      </c>
      <c r="J66" s="43" t="e">
        <f t="shared" ca="1" si="997"/>
        <v>#NAME?</v>
      </c>
      <c r="K66" s="43" t="e">
        <f t="shared" ca="1" si="997"/>
        <v>#NAME?</v>
      </c>
      <c r="L66" s="43" t="e">
        <f t="shared" ca="1" si="997"/>
        <v>#NAME?</v>
      </c>
      <c r="M66" s="43" t="e">
        <f t="shared" ca="1" si="997"/>
        <v>#NAME?</v>
      </c>
      <c r="N66" s="43" t="e">
        <f t="shared" ca="1" si="997"/>
        <v>#NAME?</v>
      </c>
      <c r="O66" s="43" t="e">
        <f t="shared" ca="1" si="997"/>
        <v>#NAME?</v>
      </c>
      <c r="P66" s="43" t="e">
        <f t="shared" ca="1" si="997"/>
        <v>#NAME?</v>
      </c>
      <c r="Q66" s="43" t="e">
        <f t="shared" ca="1" si="997"/>
        <v>#NAME?</v>
      </c>
      <c r="R66" s="43" t="e">
        <f t="shared" ca="1" si="997"/>
        <v>#NAME?</v>
      </c>
      <c r="S66" s="43" t="e">
        <f t="shared" ca="1" si="997"/>
        <v>#NAME?</v>
      </c>
      <c r="T66" s="43" t="e">
        <f t="shared" ca="1" si="997"/>
        <v>#NAME?</v>
      </c>
      <c r="U66" s="43" t="e">
        <f t="shared" ca="1" si="997"/>
        <v>#NAME?</v>
      </c>
      <c r="V66" s="43" t="e">
        <f t="shared" ca="1" si="997"/>
        <v>#NAME?</v>
      </c>
      <c r="W66" s="43" t="e">
        <f t="shared" ca="1" si="997"/>
        <v>#NAME?</v>
      </c>
      <c r="X66" s="43" t="e">
        <f t="shared" ca="1" si="997"/>
        <v>#NAME?</v>
      </c>
      <c r="Y66" s="43" t="e">
        <f t="shared" ca="1" si="997"/>
        <v>#NAME?</v>
      </c>
      <c r="Z66" s="43" t="e">
        <f t="shared" ca="1" si="997"/>
        <v>#NAME?</v>
      </c>
      <c r="AA66" s="43" t="e">
        <f t="shared" ref="AA66" ca="1" si="998">+AA65</f>
        <v>#NAME?</v>
      </c>
      <c r="AB66" s="44" t="e">
        <f t="shared" ca="1" si="997"/>
        <v>#NAME?</v>
      </c>
      <c r="AC66" s="44" t="e">
        <f t="shared" ref="AC66" ca="1" si="999">+AC65</f>
        <v>#NAME?</v>
      </c>
      <c r="AD66" s="44" t="e">
        <f t="shared" ref="AD66" ca="1" si="1000">+AD65</f>
        <v>#NAME?</v>
      </c>
      <c r="AE66" s="44" t="e">
        <f t="shared" ref="AE66" ca="1" si="1001">+AE65</f>
        <v>#NAME?</v>
      </c>
      <c r="AG66" s="62"/>
      <c r="AK66" s="43" t="e">
        <f t="shared" ref="AK66:AN66" ca="1" si="1002">AK65+AJ65+AI65+AH65</f>
        <v>#NAME?</v>
      </c>
      <c r="AL66" s="43" t="e">
        <f t="shared" ca="1" si="1002"/>
        <v>#NAME?</v>
      </c>
      <c r="AM66" s="43" t="e">
        <f t="shared" ca="1" si="1002"/>
        <v>#NAME?</v>
      </c>
      <c r="AN66" s="43" t="e">
        <f t="shared" ca="1" si="1002"/>
        <v>#NAME?</v>
      </c>
      <c r="AO66" s="43" t="e">
        <f ca="1">AO65+AN65+AM65+AL65</f>
        <v>#NAME?</v>
      </c>
      <c r="AP66" s="43" t="e">
        <f t="shared" ref="AP66:AV66" ca="1" si="1003">AP65+AO65+AN65+AM65</f>
        <v>#NAME?</v>
      </c>
      <c r="AQ66" s="43" t="e">
        <f t="shared" ca="1" si="1003"/>
        <v>#NAME?</v>
      </c>
      <c r="AR66" s="43" t="e">
        <f t="shared" ca="1" si="1003"/>
        <v>#NAME?</v>
      </c>
      <c r="AS66" s="43" t="e">
        <f t="shared" ca="1" si="1003"/>
        <v>#NAME?</v>
      </c>
      <c r="AT66" s="43" t="e">
        <f t="shared" ca="1" si="1003"/>
        <v>#NAME?</v>
      </c>
      <c r="AU66" s="43" t="e">
        <f t="shared" ca="1" si="1003"/>
        <v>#NAME?</v>
      </c>
      <c r="AV66" s="43" t="e">
        <f t="shared" ca="1" si="1003"/>
        <v>#NAME?</v>
      </c>
      <c r="AW66" s="43" t="e">
        <f ca="1">AW65+AV65+AU65+AT65</f>
        <v>#NAME?</v>
      </c>
      <c r="AX66" s="43" t="e">
        <f t="shared" ref="AX66:BB66" ca="1" si="1004">AX65+AW65+AV65+AU65</f>
        <v>#NAME?</v>
      </c>
      <c r="AY66" s="43" t="e">
        <f t="shared" ca="1" si="1004"/>
        <v>#NAME?</v>
      </c>
      <c r="AZ66" s="43" t="e">
        <f t="shared" ca="1" si="1004"/>
        <v>#NAME?</v>
      </c>
      <c r="BA66" s="43" t="e">
        <f t="shared" ca="1" si="1004"/>
        <v>#NAME?</v>
      </c>
      <c r="BB66" s="43" t="e">
        <f t="shared" ca="1" si="1004"/>
        <v>#NAME?</v>
      </c>
      <c r="BC66" s="43" t="e">
        <f t="shared" ref="BC66" ca="1" si="1005">BC65+BB65+BA65+AZ65</f>
        <v>#NAME?</v>
      </c>
      <c r="BD66" s="43" t="e">
        <f t="shared" ref="BD66" ca="1" si="1006">BD65+BC65+BB65+BA65</f>
        <v>#NAME?</v>
      </c>
      <c r="BE66" s="43" t="e">
        <f t="shared" ref="BE66" ca="1" si="1007">BE65+BD65+BC65+BB65</f>
        <v>#NAME?</v>
      </c>
      <c r="BF66" s="43" t="e">
        <f t="shared" ref="BF66:BH66" ca="1" si="1008">BF65+BE65+BD65+BC65</f>
        <v>#NAME?</v>
      </c>
      <c r="BG66" s="43" t="e">
        <f t="shared" ca="1" si="1008"/>
        <v>#NAME?</v>
      </c>
      <c r="BH66" s="43" t="e">
        <f t="shared" ca="1" si="1008"/>
        <v>#NAME?</v>
      </c>
      <c r="BI66" s="43" t="e">
        <f t="shared" ref="BI66" ca="1" si="1009">BI65+BH65+BG65+BF65</f>
        <v>#NAME?</v>
      </c>
      <c r="BJ66" s="43" t="e">
        <f t="shared" ref="BJ66:BK66" ca="1" si="1010">BJ65+BI65+BH65+BG65</f>
        <v>#NAME?</v>
      </c>
      <c r="BK66" s="43" t="e">
        <f t="shared" ca="1" si="1010"/>
        <v>#NAME?</v>
      </c>
      <c r="BL66" s="43" t="e">
        <f t="shared" ref="BL66" ca="1" si="1011">BL65+BK65+BJ65+BI65</f>
        <v>#NAME?</v>
      </c>
      <c r="BM66" s="43" t="e">
        <f t="shared" ref="BM66" ca="1" si="1012">BM65+BL65+BK65+BJ65</f>
        <v>#NAME?</v>
      </c>
      <c r="BN66" s="43" t="e">
        <f t="shared" ref="BN66" ca="1" si="1013">BN65+BM65+BL65+BK65</f>
        <v>#NAME?</v>
      </c>
      <c r="BO66" s="43" t="e">
        <f t="shared" ref="BO66" ca="1" si="1014">BO65+BN65+BM65+BL65</f>
        <v>#NAME?</v>
      </c>
      <c r="BP66" s="43" t="e">
        <f t="shared" ref="BP66" ca="1" si="1015">BP65+BO65+BN65+BM65</f>
        <v>#NAME?</v>
      </c>
      <c r="BQ66" s="43" t="e">
        <f t="shared" ref="BQ66" ca="1" si="1016">BQ65+BP65+BO65+BN65</f>
        <v>#NAME?</v>
      </c>
      <c r="BR66" s="43" t="e">
        <f t="shared" ref="BR66" ca="1" si="1017">BR65+BQ65+BP65+BO65</f>
        <v>#NAME?</v>
      </c>
      <c r="BS66" s="43" t="e">
        <f t="shared" ref="BS66" ca="1" si="1018">BS65+BR65+BQ65+BP65</f>
        <v>#NAME?</v>
      </c>
      <c r="BT66" s="43" t="e">
        <f t="shared" ref="BT66:BU66" ca="1" si="1019">BT65+BS65+BR65+BQ65</f>
        <v>#NAME?</v>
      </c>
      <c r="BU66" s="43" t="e">
        <f t="shared" ca="1" si="1019"/>
        <v>#NAME?</v>
      </c>
      <c r="BV66" s="43" t="e">
        <f t="shared" ref="BV66:BY66" ca="1" si="1020">BV65+BU65+BT65+BS65</f>
        <v>#NAME?</v>
      </c>
      <c r="BW66" s="43" t="e">
        <f t="shared" ca="1" si="1020"/>
        <v>#NAME?</v>
      </c>
      <c r="BX66" s="43" t="e">
        <f t="shared" ca="1" si="1020"/>
        <v>#NAME?</v>
      </c>
      <c r="BY66" s="43" t="e">
        <f t="shared" ca="1" si="1020"/>
        <v>#NAME?</v>
      </c>
      <c r="BZ66" s="44" t="e">
        <f t="shared" ref="BZ66" ca="1" si="1021">BZ65+BY65+BX65+BW65</f>
        <v>#NAME?</v>
      </c>
      <c r="CA66" s="44" t="e">
        <f t="shared" ref="CA66" ca="1" si="1022">CA65+BZ65+BY65+BX65</f>
        <v>#NAME?</v>
      </c>
      <c r="CB66" s="44" t="e">
        <f t="shared" ref="CB66" ca="1" si="1023">CB65+CA65+BZ65+BY65</f>
        <v>#NAME?</v>
      </c>
      <c r="CC66" s="44" t="e">
        <f t="shared" ref="CC66" ca="1" si="1024">CC65+CB65+CA65+BZ65</f>
        <v>#NAME?</v>
      </c>
      <c r="CD66" s="44" t="e">
        <f t="shared" ref="CD66" ca="1" si="1025">CD65+CC65+CB65+CA65</f>
        <v>#NAME?</v>
      </c>
      <c r="CE66" s="44" t="e">
        <f t="shared" ref="CE66" ca="1" si="1026">CE65+CD65+CC65+CB65</f>
        <v>#NAME?</v>
      </c>
      <c r="CF66" s="44" t="e">
        <f t="shared" ref="CF66" ca="1" si="1027">CF65+CE65+CD65+CC65</f>
        <v>#NAME?</v>
      </c>
      <c r="CG66" s="44" t="e">
        <f t="shared" ref="CG66" ca="1" si="1028">CG65+CF65+CE65+CD65</f>
        <v>#NAME?</v>
      </c>
      <c r="CH66" s="44" t="e">
        <f t="shared" ref="CH66" ca="1" si="1029">CH65+CG65+CF65+CE65</f>
        <v>#NAME?</v>
      </c>
      <c r="CI66" s="44" t="e">
        <f t="shared" ref="CI66" ca="1" si="1030">CI65+CH65+CG65+CF65</f>
        <v>#NAME?</v>
      </c>
      <c r="CJ66" s="44" t="e">
        <f t="shared" ref="CJ66" ca="1" si="1031">CJ65+CI65+CH65+CG65</f>
        <v>#NAME?</v>
      </c>
      <c r="CK66" s="44" t="e">
        <f t="shared" ref="CK66" ca="1" si="1032">CK65+CJ65+CI65+CH65</f>
        <v>#NAME?</v>
      </c>
      <c r="CL66" s="44" t="e">
        <f t="shared" ref="CL66" ca="1" si="1033">CL65+CK65+CJ65+CI65</f>
        <v>#NAME?</v>
      </c>
      <c r="CM66" s="44" t="e">
        <f t="shared" ref="CM66" ca="1" si="1034">CM65+CL65+CK65+CJ65</f>
        <v>#NAME?</v>
      </c>
      <c r="CN66" s="44" t="e">
        <f t="shared" ref="CN66" ca="1" si="1035">CN65+CM65+CL65+CK65</f>
        <v>#NAME?</v>
      </c>
      <c r="CO66" s="44" t="e">
        <f t="shared" ref="CO66" ca="1" si="1036">CO65+CN65+CM65+CL65</f>
        <v>#NAME?</v>
      </c>
      <c r="CS66" s="43">
        <v>9.1260149124688787</v>
      </c>
    </row>
    <row r="67" spans="1:97" s="129" customFormat="1" x14ac:dyDescent="0.2">
      <c r="A67" s="129" t="s">
        <v>384</v>
      </c>
      <c r="AB67" s="130"/>
      <c r="AC67" s="130"/>
      <c r="AD67" s="130"/>
      <c r="AE67" s="130"/>
      <c r="AG67" s="131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  <c r="CL67" s="130"/>
      <c r="CM67" s="130"/>
      <c r="CN67" s="130"/>
      <c r="CO67" s="130"/>
    </row>
    <row r="68" spans="1:97" s="129" customFormat="1" x14ac:dyDescent="0.2">
      <c r="A68" s="129" t="s">
        <v>385</v>
      </c>
      <c r="AB68" s="130"/>
      <c r="AC68" s="130"/>
      <c r="AD68" s="130"/>
      <c r="AE68" s="130"/>
      <c r="AG68" s="131"/>
      <c r="BZ68" s="130"/>
      <c r="CA68" s="130"/>
      <c r="CB68" s="130"/>
      <c r="CC68" s="132" t="e">
        <f ca="1">+CC66/CC67-1</f>
        <v>#NAME?</v>
      </c>
      <c r="CD68" s="130"/>
      <c r="CE68" s="130"/>
      <c r="CF68" s="130"/>
      <c r="CG68" s="132" t="e">
        <f ca="1">+CG66/CG67-1</f>
        <v>#NAME?</v>
      </c>
      <c r="CH68" s="130"/>
      <c r="CI68" s="130"/>
      <c r="CJ68" s="130"/>
      <c r="CK68" s="130"/>
      <c r="CL68" s="130"/>
      <c r="CM68" s="130"/>
      <c r="CN68" s="130"/>
      <c r="CO68" s="130"/>
      <c r="CS68" s="155"/>
    </row>
    <row r="69" spans="1:97" s="50" customFormat="1" x14ac:dyDescent="0.2">
      <c r="A69" s="50" t="s">
        <v>36</v>
      </c>
      <c r="B69" s="50" t="e">
        <f t="shared" ref="B69:AE69" ca="1" si="1037">B109/B64</f>
        <v>#NAME?</v>
      </c>
      <c r="C69" s="50" t="e">
        <f t="shared" ca="1" si="1037"/>
        <v>#NAME?</v>
      </c>
      <c r="D69" s="50" t="e">
        <f t="shared" ca="1" si="1037"/>
        <v>#NAME?</v>
      </c>
      <c r="E69" s="50" t="e">
        <f t="shared" ca="1" si="1037"/>
        <v>#NAME?</v>
      </c>
      <c r="F69" s="50" t="e">
        <f t="shared" ca="1" si="1037"/>
        <v>#NAME?</v>
      </c>
      <c r="G69" s="50" t="e">
        <f t="shared" ca="1" si="1037"/>
        <v>#NAME?</v>
      </c>
      <c r="H69" s="50" t="e">
        <f t="shared" ca="1" si="1037"/>
        <v>#NAME?</v>
      </c>
      <c r="I69" s="50" t="e">
        <f t="shared" ca="1" si="1037"/>
        <v>#NAME?</v>
      </c>
      <c r="J69" s="50" t="e">
        <f t="shared" ca="1" si="1037"/>
        <v>#NAME?</v>
      </c>
      <c r="K69" s="50" t="e">
        <f t="shared" ca="1" si="1037"/>
        <v>#NAME?</v>
      </c>
      <c r="L69" s="50" t="e">
        <f t="shared" ca="1" si="1037"/>
        <v>#NAME?</v>
      </c>
      <c r="M69" s="50" t="e">
        <f t="shared" ca="1" si="1037"/>
        <v>#NAME?</v>
      </c>
      <c r="N69" s="50" t="e">
        <f t="shared" ca="1" si="1037"/>
        <v>#NAME?</v>
      </c>
      <c r="O69" s="50" t="e">
        <f t="shared" ca="1" si="1037"/>
        <v>#NAME?</v>
      </c>
      <c r="P69" s="50" t="e">
        <f t="shared" ca="1" si="1037"/>
        <v>#NAME?</v>
      </c>
      <c r="Q69" s="50" t="e">
        <f t="shared" ca="1" si="1037"/>
        <v>#NAME?</v>
      </c>
      <c r="R69" s="50" t="e">
        <f t="shared" ca="1" si="1037"/>
        <v>#NAME?</v>
      </c>
      <c r="S69" s="50" t="e">
        <f t="shared" ca="1" si="1037"/>
        <v>#NAME?</v>
      </c>
      <c r="T69" s="50" t="e">
        <f t="shared" ca="1" si="1037"/>
        <v>#NAME?</v>
      </c>
      <c r="U69" s="50" t="e">
        <f t="shared" ca="1" si="1037"/>
        <v>#NAME?</v>
      </c>
      <c r="V69" s="50" t="e">
        <f t="shared" ca="1" si="1037"/>
        <v>#NAME?</v>
      </c>
      <c r="W69" s="50" t="e">
        <f t="shared" ca="1" si="1037"/>
        <v>#NAME?</v>
      </c>
      <c r="X69" s="50" t="e">
        <f t="shared" ca="1" si="1037"/>
        <v>#NAME?</v>
      </c>
      <c r="Y69" s="50" t="e">
        <f t="shared" ca="1" si="1037"/>
        <v>#NAME?</v>
      </c>
      <c r="Z69" s="50" t="e">
        <f t="shared" ca="1" si="1037"/>
        <v>#NAME?</v>
      </c>
      <c r="AA69" s="50" t="e">
        <f t="shared" ref="AA69" ca="1" si="1038">AA109/AA64</f>
        <v>#NAME?</v>
      </c>
      <c r="AB69" s="51" t="e">
        <f t="shared" ca="1" si="1037"/>
        <v>#NAME?</v>
      </c>
      <c r="AC69" s="51" t="e">
        <f t="shared" ca="1" si="1037"/>
        <v>#NAME?</v>
      </c>
      <c r="AD69" s="51" t="e">
        <f t="shared" ca="1" si="1037"/>
        <v>#NAME?</v>
      </c>
      <c r="AE69" s="51" t="e">
        <f t="shared" ca="1" si="1037"/>
        <v>#NAME?</v>
      </c>
      <c r="AG69" s="64"/>
      <c r="AH69" s="50" t="e">
        <f t="shared" ref="AH69:BM69" ca="1" si="1039">AH109/AH64</f>
        <v>#NAME?</v>
      </c>
      <c r="AI69" s="50" t="e">
        <f t="shared" ca="1" si="1039"/>
        <v>#NAME?</v>
      </c>
      <c r="AJ69" s="50" t="e">
        <f t="shared" ca="1" si="1039"/>
        <v>#NAME?</v>
      </c>
      <c r="AK69" s="50" t="e">
        <f t="shared" ca="1" si="1039"/>
        <v>#NAME?</v>
      </c>
      <c r="AL69" s="50" t="e">
        <f t="shared" ca="1" si="1039"/>
        <v>#NAME?</v>
      </c>
      <c r="AM69" s="50" t="e">
        <f t="shared" ca="1" si="1039"/>
        <v>#NAME?</v>
      </c>
      <c r="AN69" s="50" t="e">
        <f t="shared" ca="1" si="1039"/>
        <v>#NAME?</v>
      </c>
      <c r="AO69" s="50" t="e">
        <f t="shared" ca="1" si="1039"/>
        <v>#NAME?</v>
      </c>
      <c r="AP69" s="50" t="e">
        <f t="shared" ca="1" si="1039"/>
        <v>#NAME?</v>
      </c>
      <c r="AQ69" s="50" t="e">
        <f t="shared" ca="1" si="1039"/>
        <v>#NAME?</v>
      </c>
      <c r="AR69" s="50" t="e">
        <f t="shared" ca="1" si="1039"/>
        <v>#NAME?</v>
      </c>
      <c r="AS69" s="50" t="e">
        <f t="shared" ca="1" si="1039"/>
        <v>#NAME?</v>
      </c>
      <c r="AT69" s="50" t="e">
        <f t="shared" ca="1" si="1039"/>
        <v>#NAME?</v>
      </c>
      <c r="AU69" s="50" t="e">
        <f t="shared" ca="1" si="1039"/>
        <v>#NAME?</v>
      </c>
      <c r="AV69" s="50" t="e">
        <f t="shared" ca="1" si="1039"/>
        <v>#NAME?</v>
      </c>
      <c r="AW69" s="50" t="e">
        <f t="shared" ca="1" si="1039"/>
        <v>#NAME?</v>
      </c>
      <c r="AX69" s="50" t="e">
        <f t="shared" ca="1" si="1039"/>
        <v>#NAME?</v>
      </c>
      <c r="AY69" s="50" t="e">
        <f t="shared" ca="1" si="1039"/>
        <v>#NAME?</v>
      </c>
      <c r="AZ69" s="50" t="e">
        <f t="shared" ca="1" si="1039"/>
        <v>#NAME?</v>
      </c>
      <c r="BA69" s="50" t="e">
        <f t="shared" ca="1" si="1039"/>
        <v>#NAME?</v>
      </c>
      <c r="BB69" s="50" t="e">
        <f t="shared" ca="1" si="1039"/>
        <v>#NAME?</v>
      </c>
      <c r="BC69" s="50" t="e">
        <f t="shared" ca="1" si="1039"/>
        <v>#NAME?</v>
      </c>
      <c r="BD69" s="50" t="e">
        <f t="shared" ca="1" si="1039"/>
        <v>#NAME?</v>
      </c>
      <c r="BE69" s="50" t="e">
        <f t="shared" ca="1" si="1039"/>
        <v>#NAME?</v>
      </c>
      <c r="BF69" s="50" t="e">
        <f t="shared" ca="1" si="1039"/>
        <v>#NAME?</v>
      </c>
      <c r="BG69" s="50" t="e">
        <f t="shared" ca="1" si="1039"/>
        <v>#NAME?</v>
      </c>
      <c r="BH69" s="50" t="e">
        <f t="shared" ca="1" si="1039"/>
        <v>#NAME?</v>
      </c>
      <c r="BI69" s="50" t="e">
        <f t="shared" ca="1" si="1039"/>
        <v>#NAME?</v>
      </c>
      <c r="BJ69" s="50" t="e">
        <f t="shared" ca="1" si="1039"/>
        <v>#NAME?</v>
      </c>
      <c r="BK69" s="50" t="e">
        <f t="shared" ca="1" si="1039"/>
        <v>#NAME?</v>
      </c>
      <c r="BL69" s="50" t="e">
        <f t="shared" ca="1" si="1039"/>
        <v>#NAME?</v>
      </c>
      <c r="BM69" s="50" t="e">
        <f t="shared" ca="1" si="1039"/>
        <v>#NAME?</v>
      </c>
      <c r="BN69" s="50" t="e">
        <f t="shared" ref="BN69:CO69" ca="1" si="1040">BN109/BN64</f>
        <v>#NAME?</v>
      </c>
      <c r="BO69" s="50" t="e">
        <f t="shared" ca="1" si="1040"/>
        <v>#NAME?</v>
      </c>
      <c r="BP69" s="50" t="e">
        <f t="shared" ca="1" si="1040"/>
        <v>#NAME?</v>
      </c>
      <c r="BQ69" s="50" t="e">
        <f t="shared" ca="1" si="1040"/>
        <v>#NAME?</v>
      </c>
      <c r="BR69" s="50" t="e">
        <f t="shared" ca="1" si="1040"/>
        <v>#NAME?</v>
      </c>
      <c r="BS69" s="50" t="e">
        <f t="shared" ca="1" si="1040"/>
        <v>#NAME?</v>
      </c>
      <c r="BT69" s="50" t="e">
        <f t="shared" ca="1" si="1040"/>
        <v>#NAME?</v>
      </c>
      <c r="BU69" s="50" t="e">
        <f t="shared" ca="1" si="1040"/>
        <v>#NAME?</v>
      </c>
      <c r="BV69" s="50" t="e">
        <f t="shared" ca="1" si="1040"/>
        <v>#NAME?</v>
      </c>
      <c r="BW69" s="50" t="e">
        <f t="shared" ref="BW69:BX69" ca="1" si="1041">BW109/BW64</f>
        <v>#NAME?</v>
      </c>
      <c r="BX69" s="50" t="e">
        <f t="shared" ca="1" si="1041"/>
        <v>#NAME?</v>
      </c>
      <c r="BY69" s="50" t="e">
        <f t="shared" ref="BY69" ca="1" si="1042">BY109/BY64</f>
        <v>#NAME?</v>
      </c>
      <c r="BZ69" s="51" t="e">
        <f t="shared" ca="1" si="1040"/>
        <v>#NAME?</v>
      </c>
      <c r="CA69" s="51" t="e">
        <f t="shared" ca="1" si="1040"/>
        <v>#NAME?</v>
      </c>
      <c r="CB69" s="51" t="e">
        <f t="shared" ca="1" si="1040"/>
        <v>#NAME?</v>
      </c>
      <c r="CC69" s="51" t="e">
        <f t="shared" ca="1" si="1040"/>
        <v>#NAME?</v>
      </c>
      <c r="CD69" s="51" t="e">
        <f t="shared" ca="1" si="1040"/>
        <v>#NAME?</v>
      </c>
      <c r="CE69" s="51" t="e">
        <f t="shared" ca="1" si="1040"/>
        <v>#NAME?</v>
      </c>
      <c r="CF69" s="51" t="e">
        <f t="shared" ca="1" si="1040"/>
        <v>#NAME?</v>
      </c>
      <c r="CG69" s="51" t="e">
        <f t="shared" ca="1" si="1040"/>
        <v>#NAME?</v>
      </c>
      <c r="CH69" s="51" t="e">
        <f t="shared" ca="1" si="1040"/>
        <v>#NAME?</v>
      </c>
      <c r="CI69" s="51" t="e">
        <f t="shared" ca="1" si="1040"/>
        <v>#NAME?</v>
      </c>
      <c r="CJ69" s="51" t="e">
        <f t="shared" ca="1" si="1040"/>
        <v>#NAME?</v>
      </c>
      <c r="CK69" s="51" t="e">
        <f t="shared" ca="1" si="1040"/>
        <v>#NAME?</v>
      </c>
      <c r="CL69" s="51" t="e">
        <f t="shared" ca="1" si="1040"/>
        <v>#NAME?</v>
      </c>
      <c r="CM69" s="51" t="e">
        <f t="shared" ca="1" si="1040"/>
        <v>#NAME?</v>
      </c>
      <c r="CN69" s="51" t="e">
        <f t="shared" ca="1" si="1040"/>
        <v>#NAME?</v>
      </c>
      <c r="CO69" s="51" t="e">
        <f t="shared" ca="1" si="1040"/>
        <v>#NAME?</v>
      </c>
      <c r="CS69" s="50">
        <v>43.04440587397859</v>
      </c>
    </row>
    <row r="70" spans="1:97" s="50" customFormat="1" x14ac:dyDescent="0.2">
      <c r="A70" s="50" t="s">
        <v>349</v>
      </c>
      <c r="C70" s="50" t="e">
        <f t="shared" ref="C70:AB70" ca="1" si="1043">+C69-C78</f>
        <v>#NAME?</v>
      </c>
      <c r="D70" s="50" t="e">
        <f t="shared" ca="1" si="1043"/>
        <v>#NAME?</v>
      </c>
      <c r="E70" s="50" t="e">
        <f t="shared" ca="1" si="1043"/>
        <v>#NAME?</v>
      </c>
      <c r="F70" s="50" t="e">
        <f t="shared" ca="1" si="1043"/>
        <v>#NAME?</v>
      </c>
      <c r="G70" s="50" t="e">
        <f t="shared" ca="1" si="1043"/>
        <v>#NAME?</v>
      </c>
      <c r="H70" s="50" t="e">
        <f t="shared" ca="1" si="1043"/>
        <v>#NAME?</v>
      </c>
      <c r="I70" s="50" t="e">
        <f t="shared" ca="1" si="1043"/>
        <v>#NAME?</v>
      </c>
      <c r="J70" s="50" t="e">
        <f t="shared" ca="1" si="1043"/>
        <v>#NAME?</v>
      </c>
      <c r="K70" s="50" t="e">
        <f t="shared" ca="1" si="1043"/>
        <v>#NAME?</v>
      </c>
      <c r="L70" s="50" t="e">
        <f t="shared" ca="1" si="1043"/>
        <v>#NAME?</v>
      </c>
      <c r="M70" s="50" t="e">
        <f t="shared" ca="1" si="1043"/>
        <v>#NAME?</v>
      </c>
      <c r="N70" s="50" t="e">
        <f t="shared" ca="1" si="1043"/>
        <v>#NAME?</v>
      </c>
      <c r="O70" s="50" t="e">
        <f t="shared" ca="1" si="1043"/>
        <v>#NAME?</v>
      </c>
      <c r="P70" s="50" t="e">
        <f t="shared" ca="1" si="1043"/>
        <v>#NAME?</v>
      </c>
      <c r="Q70" s="50" t="e">
        <f t="shared" ca="1" si="1043"/>
        <v>#NAME?</v>
      </c>
      <c r="R70" s="50" t="e">
        <f t="shared" ca="1" si="1043"/>
        <v>#NAME?</v>
      </c>
      <c r="S70" s="50" t="e">
        <f t="shared" ca="1" si="1043"/>
        <v>#NAME?</v>
      </c>
      <c r="T70" s="50" t="e">
        <f t="shared" ca="1" si="1043"/>
        <v>#NAME?</v>
      </c>
      <c r="U70" s="50" t="e">
        <f t="shared" ca="1" si="1043"/>
        <v>#NAME?</v>
      </c>
      <c r="V70" s="50" t="e">
        <f t="shared" ca="1" si="1043"/>
        <v>#NAME?</v>
      </c>
      <c r="W70" s="50" t="e">
        <f t="shared" ca="1" si="1043"/>
        <v>#NAME?</v>
      </c>
      <c r="X70" s="50" t="e">
        <f t="shared" ca="1" si="1043"/>
        <v>#NAME?</v>
      </c>
      <c r="Y70" s="50" t="e">
        <f t="shared" ca="1" si="1043"/>
        <v>#NAME?</v>
      </c>
      <c r="Z70" s="50" t="e">
        <f t="shared" ca="1" si="1043"/>
        <v>#NAME?</v>
      </c>
      <c r="AA70" s="50" t="e">
        <f t="shared" ref="AA70" ca="1" si="1044">+AA69-AA78</f>
        <v>#NAME?</v>
      </c>
      <c r="AB70" s="51" t="e">
        <f t="shared" ca="1" si="1043"/>
        <v>#NAME?</v>
      </c>
      <c r="AC70" s="51" t="e">
        <f t="shared" ref="AC70" ca="1" si="1045">+AC69-AC78</f>
        <v>#NAME?</v>
      </c>
      <c r="AD70" s="51" t="e">
        <f t="shared" ref="AD70" ca="1" si="1046">+AD69-AD78</f>
        <v>#NAME?</v>
      </c>
      <c r="AE70" s="51" t="e">
        <f t="shared" ref="AE70" ca="1" si="1047">+AE69-AE78</f>
        <v>#NAME?</v>
      </c>
      <c r="AG70" s="64"/>
      <c r="AI70" s="50" t="e">
        <f t="shared" ref="AI70:AS70" ca="1" si="1048">+AI69-AI78</f>
        <v>#NAME?</v>
      </c>
      <c r="AJ70" s="50" t="e">
        <f t="shared" ca="1" si="1048"/>
        <v>#NAME?</v>
      </c>
      <c r="AK70" s="50" t="e">
        <f t="shared" ca="1" si="1048"/>
        <v>#NAME?</v>
      </c>
      <c r="AL70" s="50" t="e">
        <f t="shared" ca="1" si="1048"/>
        <v>#NAME?</v>
      </c>
      <c r="AM70" s="50" t="e">
        <f t="shared" ca="1" si="1048"/>
        <v>#NAME?</v>
      </c>
      <c r="AN70" s="50" t="e">
        <f t="shared" ca="1" si="1048"/>
        <v>#NAME?</v>
      </c>
      <c r="AO70" s="50" t="e">
        <f t="shared" ca="1" si="1048"/>
        <v>#NAME?</v>
      </c>
      <c r="AP70" s="50" t="e">
        <f t="shared" ca="1" si="1048"/>
        <v>#NAME?</v>
      </c>
      <c r="AQ70" s="50" t="e">
        <f t="shared" ca="1" si="1048"/>
        <v>#NAME?</v>
      </c>
      <c r="AR70" s="50" t="e">
        <f t="shared" ca="1" si="1048"/>
        <v>#NAME?</v>
      </c>
      <c r="AS70" s="50" t="e">
        <f t="shared" ca="1" si="1048"/>
        <v>#NAME?</v>
      </c>
      <c r="AT70" s="50" t="e">
        <f t="shared" ref="AT70:CO70" ca="1" si="1049">+AT69-AT78</f>
        <v>#NAME?</v>
      </c>
      <c r="AU70" s="50" t="e">
        <f t="shared" ca="1" si="1049"/>
        <v>#NAME?</v>
      </c>
      <c r="AV70" s="50" t="e">
        <f t="shared" ca="1" si="1049"/>
        <v>#NAME?</v>
      </c>
      <c r="AW70" s="50" t="e">
        <f t="shared" ca="1" si="1049"/>
        <v>#NAME?</v>
      </c>
      <c r="AX70" s="50" t="e">
        <f t="shared" ca="1" si="1049"/>
        <v>#NAME?</v>
      </c>
      <c r="AY70" s="50" t="e">
        <f t="shared" ca="1" si="1049"/>
        <v>#NAME?</v>
      </c>
      <c r="AZ70" s="50" t="e">
        <f t="shared" ca="1" si="1049"/>
        <v>#NAME?</v>
      </c>
      <c r="BA70" s="50" t="e">
        <f t="shared" ca="1" si="1049"/>
        <v>#NAME?</v>
      </c>
      <c r="BB70" s="50" t="e">
        <f t="shared" ca="1" si="1049"/>
        <v>#NAME?</v>
      </c>
      <c r="BC70" s="50" t="e">
        <f t="shared" ca="1" si="1049"/>
        <v>#NAME?</v>
      </c>
      <c r="BD70" s="50" t="e">
        <f t="shared" ca="1" si="1049"/>
        <v>#NAME?</v>
      </c>
      <c r="BE70" s="50" t="e">
        <f t="shared" ca="1" si="1049"/>
        <v>#NAME?</v>
      </c>
      <c r="BF70" s="50" t="e">
        <f t="shared" ca="1" si="1049"/>
        <v>#NAME?</v>
      </c>
      <c r="BG70" s="50" t="e">
        <f t="shared" ca="1" si="1049"/>
        <v>#NAME?</v>
      </c>
      <c r="BH70" s="50" t="e">
        <f t="shared" ca="1" si="1049"/>
        <v>#NAME?</v>
      </c>
      <c r="BI70" s="50" t="e">
        <f t="shared" ca="1" si="1049"/>
        <v>#NAME?</v>
      </c>
      <c r="BJ70" s="50" t="e">
        <f t="shared" ca="1" si="1049"/>
        <v>#NAME?</v>
      </c>
      <c r="BK70" s="50" t="e">
        <f t="shared" ca="1" si="1049"/>
        <v>#NAME?</v>
      </c>
      <c r="BL70" s="50" t="e">
        <f t="shared" ca="1" si="1049"/>
        <v>#NAME?</v>
      </c>
      <c r="BM70" s="50" t="e">
        <f t="shared" ca="1" si="1049"/>
        <v>#NAME?</v>
      </c>
      <c r="BN70" s="50" t="e">
        <f t="shared" ca="1" si="1049"/>
        <v>#NAME?</v>
      </c>
      <c r="BO70" s="50" t="e">
        <f t="shared" ca="1" si="1049"/>
        <v>#NAME?</v>
      </c>
      <c r="BP70" s="50" t="e">
        <f t="shared" ca="1" si="1049"/>
        <v>#NAME?</v>
      </c>
      <c r="BQ70" s="50" t="e">
        <f t="shared" ca="1" si="1049"/>
        <v>#NAME?</v>
      </c>
      <c r="BR70" s="50" t="e">
        <f t="shared" ca="1" si="1049"/>
        <v>#NAME?</v>
      </c>
      <c r="BS70" s="50" t="e">
        <f t="shared" ca="1" si="1049"/>
        <v>#NAME?</v>
      </c>
      <c r="BT70" s="50" t="e">
        <f t="shared" ca="1" si="1049"/>
        <v>#NAME?</v>
      </c>
      <c r="BU70" s="50" t="e">
        <f t="shared" ca="1" si="1049"/>
        <v>#NAME?</v>
      </c>
      <c r="BV70" s="50" t="e">
        <f t="shared" ca="1" si="1049"/>
        <v>#NAME?</v>
      </c>
      <c r="BW70" s="50" t="e">
        <f t="shared" ref="BW70:BX70" ca="1" si="1050">+BW69-BW78</f>
        <v>#NAME?</v>
      </c>
      <c r="BX70" s="50" t="e">
        <f t="shared" ca="1" si="1050"/>
        <v>#NAME?</v>
      </c>
      <c r="BY70" s="50" t="e">
        <f t="shared" ref="BY70" ca="1" si="1051">+BY69-BY78</f>
        <v>#NAME?</v>
      </c>
      <c r="BZ70" s="51" t="e">
        <f t="shared" ca="1" si="1049"/>
        <v>#NAME?</v>
      </c>
      <c r="CA70" s="51" t="e">
        <f t="shared" ca="1" si="1049"/>
        <v>#NAME?</v>
      </c>
      <c r="CB70" s="51" t="e">
        <f t="shared" ca="1" si="1049"/>
        <v>#NAME?</v>
      </c>
      <c r="CC70" s="51" t="e">
        <f t="shared" ca="1" si="1049"/>
        <v>#NAME?</v>
      </c>
      <c r="CD70" s="51" t="e">
        <f t="shared" ca="1" si="1049"/>
        <v>#NAME?</v>
      </c>
      <c r="CE70" s="51" t="e">
        <f t="shared" ca="1" si="1049"/>
        <v>#NAME?</v>
      </c>
      <c r="CF70" s="51" t="e">
        <f t="shared" ca="1" si="1049"/>
        <v>#NAME?</v>
      </c>
      <c r="CG70" s="51" t="e">
        <f t="shared" ca="1" si="1049"/>
        <v>#NAME?</v>
      </c>
      <c r="CH70" s="51" t="e">
        <f t="shared" ca="1" si="1049"/>
        <v>#NAME?</v>
      </c>
      <c r="CI70" s="51" t="e">
        <f t="shared" ca="1" si="1049"/>
        <v>#NAME?</v>
      </c>
      <c r="CJ70" s="51" t="e">
        <f t="shared" ca="1" si="1049"/>
        <v>#NAME?</v>
      </c>
      <c r="CK70" s="51" t="e">
        <f t="shared" ca="1" si="1049"/>
        <v>#NAME?</v>
      </c>
      <c r="CL70" s="51" t="e">
        <f t="shared" ca="1" si="1049"/>
        <v>#NAME?</v>
      </c>
      <c r="CM70" s="51" t="e">
        <f t="shared" ca="1" si="1049"/>
        <v>#NAME?</v>
      </c>
      <c r="CN70" s="51" t="e">
        <f t="shared" ca="1" si="1049"/>
        <v>#NAME?</v>
      </c>
      <c r="CO70" s="51" t="e">
        <f t="shared" ca="1" si="1049"/>
        <v>#NAME?</v>
      </c>
      <c r="CS70" s="50">
        <v>43.04440587397859</v>
      </c>
    </row>
    <row r="71" spans="1:97" s="50" customFormat="1" x14ac:dyDescent="0.2">
      <c r="AB71" s="51"/>
      <c r="AC71" s="51"/>
      <c r="AD71" s="51"/>
      <c r="AE71" s="51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S71" s="156"/>
    </row>
    <row r="72" spans="1:97" s="50" customFormat="1" x14ac:dyDescent="0.2">
      <c r="A72" s="50" t="s">
        <v>342</v>
      </c>
      <c r="B72" s="50" t="e">
        <f ca="1">+'Annual Raw'!C92</f>
        <v>#NAME?</v>
      </c>
      <c r="C72" s="50" t="e">
        <f ca="1">+'Annual Raw'!D92</f>
        <v>#NAME?</v>
      </c>
      <c r="D72" s="50" t="e">
        <f ca="1">+'Annual Raw'!E92</f>
        <v>#NAME?</v>
      </c>
      <c r="E72" s="50" t="e">
        <f ca="1">+'Annual Raw'!F92</f>
        <v>#NAME?</v>
      </c>
      <c r="F72" s="50" t="e">
        <f ca="1">+'Annual Raw'!G92</f>
        <v>#NAME?</v>
      </c>
      <c r="G72" s="50" t="e">
        <f ca="1">+'Annual Raw'!H92</f>
        <v>#NAME?</v>
      </c>
      <c r="H72" s="50" t="e">
        <f ca="1">+'Annual Raw'!I92</f>
        <v>#NAME?</v>
      </c>
      <c r="I72" s="50" t="e">
        <f ca="1">+'Annual Raw'!J92</f>
        <v>#NAME?</v>
      </c>
      <c r="J72" s="50" t="e">
        <f ca="1">+'Annual Raw'!K92</f>
        <v>#NAME?</v>
      </c>
      <c r="K72" s="50" t="e">
        <f ca="1">+'Annual Raw'!L92</f>
        <v>#NAME?</v>
      </c>
      <c r="L72" s="50" t="e">
        <f ca="1">+'Annual Raw'!M92</f>
        <v>#NAME?</v>
      </c>
      <c r="M72" s="50" t="e">
        <f ca="1">+'Annual Raw'!N92</f>
        <v>#NAME?</v>
      </c>
      <c r="N72" s="50" t="e">
        <f ca="1">+'Annual Raw'!O92</f>
        <v>#NAME?</v>
      </c>
      <c r="O72" s="50" t="e">
        <f ca="1">+'Annual Raw'!P92</f>
        <v>#NAME?</v>
      </c>
      <c r="P72" s="50" t="e">
        <f ca="1">+'Annual Raw'!Q92</f>
        <v>#NAME?</v>
      </c>
      <c r="Q72" s="50" t="e">
        <f ca="1">+'Annual Raw'!R92</f>
        <v>#NAME?</v>
      </c>
      <c r="R72" s="50" t="e">
        <f ca="1">+'Annual Raw'!S92</f>
        <v>#NAME?</v>
      </c>
      <c r="S72" s="50" t="e">
        <f ca="1">+'Annual Raw'!T92</f>
        <v>#NAME?</v>
      </c>
      <c r="T72" s="50" t="e">
        <f ca="1">+'Annual Raw'!U92</f>
        <v>#NAME?</v>
      </c>
      <c r="U72" s="50" t="e">
        <f ca="1">+'Annual Raw'!V92</f>
        <v>#NAME?</v>
      </c>
      <c r="V72" s="50" t="e">
        <f ca="1">+'Annual Raw'!W92</f>
        <v>#NAME?</v>
      </c>
      <c r="W72" s="50" t="e">
        <f ca="1">+'Annual Raw'!X92</f>
        <v>#NAME?</v>
      </c>
      <c r="X72" s="50" t="e">
        <f ca="1">+'Annual Raw'!Y92</f>
        <v>#NAME?</v>
      </c>
      <c r="Y72" s="50" t="e">
        <f ca="1">+'Annual Raw'!Z92</f>
        <v>#NAME?</v>
      </c>
      <c r="Z72" s="50" t="e">
        <f ca="1">+'Annual Raw'!AA92</f>
        <v>#NAME?</v>
      </c>
      <c r="AA72" s="50" t="e">
        <f ca="1">+'Annual Raw'!AB92</f>
        <v>#NAME?</v>
      </c>
      <c r="AB72" s="51"/>
      <c r="AC72" s="51"/>
      <c r="AD72" s="51"/>
      <c r="AE72" s="51"/>
      <c r="AG72" s="64"/>
      <c r="AI72" s="50" t="e">
        <f ca="1">+'QTR Raw'!D36</f>
        <v>#NAME?</v>
      </c>
      <c r="AJ72" s="50" t="e">
        <f ca="1">+'QTR Raw'!E36</f>
        <v>#NAME?</v>
      </c>
      <c r="AK72" s="50" t="e">
        <f ca="1">+'QTR Raw'!F36</f>
        <v>#NAME?</v>
      </c>
      <c r="AL72" s="50" t="e">
        <f ca="1">+'QTR Raw'!G36</f>
        <v>#NAME?</v>
      </c>
      <c r="AM72" s="50" t="e">
        <f ca="1">+'QTR Raw'!H36</f>
        <v>#NAME?</v>
      </c>
      <c r="AN72" s="50" t="e">
        <f ca="1">+'QTR Raw'!I36</f>
        <v>#NAME?</v>
      </c>
      <c r="AO72" s="50" t="e">
        <f ca="1">+'QTR Raw'!J36</f>
        <v>#NAME?</v>
      </c>
      <c r="AP72" s="50" t="e">
        <f ca="1">+'QTR Raw'!K36</f>
        <v>#NAME?</v>
      </c>
      <c r="AQ72" s="50" t="e">
        <f ca="1">+'QTR Raw'!L36</f>
        <v>#NAME?</v>
      </c>
      <c r="AR72" s="50" t="e">
        <f ca="1">+'QTR Raw'!M36</f>
        <v>#NAME?</v>
      </c>
      <c r="AS72" s="50" t="e">
        <f ca="1">+'QTR Raw'!N36</f>
        <v>#NAME?</v>
      </c>
      <c r="AT72" s="50" t="e">
        <f ca="1">+'QTR Raw'!O36</f>
        <v>#NAME?</v>
      </c>
      <c r="AU72" s="50" t="e">
        <f ca="1">+'QTR Raw'!P36</f>
        <v>#NAME?</v>
      </c>
      <c r="AV72" s="50" t="e">
        <f ca="1">+'QTR Raw'!Q36</f>
        <v>#NAME?</v>
      </c>
      <c r="AW72" s="50" t="e">
        <f ca="1">+'QTR Raw'!R36</f>
        <v>#NAME?</v>
      </c>
      <c r="AX72" s="50" t="e">
        <f ca="1">+'QTR Raw'!S36</f>
        <v>#NAME?</v>
      </c>
      <c r="AY72" s="50" t="e">
        <f ca="1">+'QTR Raw'!T36</f>
        <v>#NAME?</v>
      </c>
      <c r="AZ72" s="50" t="e">
        <f ca="1">+'QTR Raw'!U36</f>
        <v>#NAME?</v>
      </c>
      <c r="BA72" s="50" t="e">
        <f ca="1">+'QTR Raw'!V36</f>
        <v>#NAME?</v>
      </c>
      <c r="BB72" s="50" t="e">
        <f ca="1">+'QTR Raw'!W36</f>
        <v>#NAME?</v>
      </c>
      <c r="BC72" s="50" t="e">
        <f ca="1">+'QTR Raw'!X36</f>
        <v>#NAME?</v>
      </c>
      <c r="BD72" s="50" t="e">
        <f ca="1">+'QTR Raw'!Y36</f>
        <v>#NAME?</v>
      </c>
      <c r="BE72" s="50" t="e">
        <f ca="1">+'QTR Raw'!Z36</f>
        <v>#NAME?</v>
      </c>
      <c r="BF72" s="50" t="e">
        <f ca="1">+'QTR Raw'!AA36</f>
        <v>#NAME?</v>
      </c>
      <c r="BG72" s="50" t="e">
        <f ca="1">+'QTR Raw'!AB36</f>
        <v>#NAME?</v>
      </c>
      <c r="BH72" s="50" t="e">
        <f ca="1">+'QTR Raw'!AC36</f>
        <v>#NAME?</v>
      </c>
      <c r="BI72" s="50" t="e">
        <f ca="1">+'QTR Raw'!AD36</f>
        <v>#NAME?</v>
      </c>
      <c r="BJ72" s="50" t="e">
        <f ca="1">+'QTR Raw'!AE36</f>
        <v>#NAME?</v>
      </c>
      <c r="BK72" s="50" t="e">
        <f ca="1">+'QTR Raw'!AF36</f>
        <v>#NAME?</v>
      </c>
      <c r="BL72" s="50" t="e">
        <f ca="1">+'QTR Raw'!AG36</f>
        <v>#NAME?</v>
      </c>
      <c r="BM72" s="50" t="e">
        <f ca="1">+'QTR Raw'!AH36</f>
        <v>#NAME?</v>
      </c>
      <c r="BN72" s="50" t="e">
        <f ca="1">+'QTR Raw'!AI36</f>
        <v>#NAME?</v>
      </c>
      <c r="BO72" s="50" t="e">
        <f ca="1">+'QTR Raw'!AJ36</f>
        <v>#NAME?</v>
      </c>
      <c r="BP72" s="50" t="e">
        <f ca="1">+'QTR Raw'!AK36</f>
        <v>#NAME?</v>
      </c>
      <c r="BQ72" s="50" t="e">
        <f ca="1">+'QTR Raw'!AL36</f>
        <v>#NAME?</v>
      </c>
      <c r="BR72" s="50" t="e">
        <f ca="1">+'QTR Raw'!AM36</f>
        <v>#NAME?</v>
      </c>
      <c r="BS72" s="50" t="e">
        <f ca="1">+'QTR Raw'!AN36</f>
        <v>#NAME?</v>
      </c>
      <c r="BT72" s="50" t="e">
        <f ca="1">+'QTR Raw'!AO36</f>
        <v>#NAME?</v>
      </c>
      <c r="BU72" s="50" t="e">
        <f ca="1">+'QTR Raw'!AP36</f>
        <v>#NAME?</v>
      </c>
      <c r="BV72" s="50" t="e">
        <f ca="1">+'QTR Raw'!AQ36</f>
        <v>#NAME?</v>
      </c>
      <c r="BW72" s="50" t="e">
        <f ca="1">+'QTR Raw'!AR36</f>
        <v>#NAME?</v>
      </c>
      <c r="BX72" s="50" t="e">
        <f ca="1">+'QTR Raw'!AS36</f>
        <v>#NAME?</v>
      </c>
      <c r="BY72" s="50" t="e">
        <f ca="1">+'QTR Raw'!AT36</f>
        <v>#NAME?</v>
      </c>
      <c r="BZ72" s="116"/>
      <c r="CA72" s="116"/>
      <c r="CB72" s="116"/>
      <c r="CC72" s="116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7" s="50" customFormat="1" x14ac:dyDescent="0.2">
      <c r="A73" s="50" t="s">
        <v>343</v>
      </c>
      <c r="B73" s="50" t="e">
        <f ca="1">+'Annual Raw'!C93</f>
        <v>#NAME?</v>
      </c>
      <c r="C73" s="50" t="e">
        <f ca="1">+'Annual Raw'!D93</f>
        <v>#NAME?</v>
      </c>
      <c r="D73" s="50" t="e">
        <f ca="1">+'Annual Raw'!E93</f>
        <v>#NAME?</v>
      </c>
      <c r="E73" s="50" t="e">
        <f ca="1">+'Annual Raw'!F93</f>
        <v>#NAME?</v>
      </c>
      <c r="F73" s="50" t="e">
        <f ca="1">+'Annual Raw'!G93</f>
        <v>#NAME?</v>
      </c>
      <c r="G73" s="50" t="e">
        <f ca="1">+'Annual Raw'!H93</f>
        <v>#NAME?</v>
      </c>
      <c r="H73" s="50" t="e">
        <f ca="1">+'Annual Raw'!I93</f>
        <v>#NAME?</v>
      </c>
      <c r="I73" s="50" t="e">
        <f ca="1">+'Annual Raw'!J93</f>
        <v>#NAME?</v>
      </c>
      <c r="J73" s="50" t="e">
        <f ca="1">+'Annual Raw'!K93</f>
        <v>#NAME?</v>
      </c>
      <c r="K73" s="50" t="e">
        <f ca="1">+'Annual Raw'!L93</f>
        <v>#NAME?</v>
      </c>
      <c r="L73" s="50" t="e">
        <f ca="1">+'Annual Raw'!M93</f>
        <v>#NAME?</v>
      </c>
      <c r="M73" s="50" t="e">
        <f ca="1">+'Annual Raw'!N93</f>
        <v>#NAME?</v>
      </c>
      <c r="N73" s="50" t="e">
        <f ca="1">+'Annual Raw'!O93</f>
        <v>#NAME?</v>
      </c>
      <c r="O73" s="50" t="e">
        <f ca="1">+'Annual Raw'!P93</f>
        <v>#NAME?</v>
      </c>
      <c r="P73" s="50" t="e">
        <f ca="1">+'Annual Raw'!Q93</f>
        <v>#NAME?</v>
      </c>
      <c r="Q73" s="50" t="e">
        <f ca="1">+'Annual Raw'!R93</f>
        <v>#NAME?</v>
      </c>
      <c r="R73" s="50" t="e">
        <f ca="1">+'Annual Raw'!S93</f>
        <v>#NAME?</v>
      </c>
      <c r="S73" s="50" t="e">
        <f ca="1">+'Annual Raw'!T93</f>
        <v>#NAME?</v>
      </c>
      <c r="T73" s="50" t="e">
        <f ca="1">+'Annual Raw'!U93</f>
        <v>#NAME?</v>
      </c>
      <c r="U73" s="50" t="e">
        <f ca="1">+'Annual Raw'!V93</f>
        <v>#NAME?</v>
      </c>
      <c r="V73" s="50" t="e">
        <f ca="1">+'Annual Raw'!W93</f>
        <v>#NAME?</v>
      </c>
      <c r="W73" s="50" t="e">
        <f ca="1">+'Annual Raw'!X93</f>
        <v>#NAME?</v>
      </c>
      <c r="X73" s="50" t="e">
        <f ca="1">+'Annual Raw'!Y93</f>
        <v>#NAME?</v>
      </c>
      <c r="Y73" s="50" t="e">
        <f ca="1">+'Annual Raw'!Z93</f>
        <v>#NAME?</v>
      </c>
      <c r="Z73" s="50" t="e">
        <f ca="1">+'Annual Raw'!AA93</f>
        <v>#NAME?</v>
      </c>
      <c r="AA73" s="50" t="e">
        <f ca="1">+'Annual Raw'!AB93</f>
        <v>#NAME?</v>
      </c>
      <c r="AB73" s="51"/>
      <c r="AC73" s="51"/>
      <c r="AD73" s="51"/>
      <c r="AE73" s="51"/>
      <c r="AG73" s="64"/>
      <c r="AI73" s="50" t="e">
        <f ca="1">+'QTR Raw'!D37</f>
        <v>#NAME?</v>
      </c>
      <c r="AJ73" s="50" t="e">
        <f ca="1">+'QTR Raw'!E37</f>
        <v>#NAME?</v>
      </c>
      <c r="AK73" s="50" t="e">
        <f ca="1">+'QTR Raw'!F37</f>
        <v>#NAME?</v>
      </c>
      <c r="AL73" s="50" t="e">
        <f ca="1">+'QTR Raw'!G37</f>
        <v>#NAME?</v>
      </c>
      <c r="AM73" s="50" t="e">
        <f ca="1">+'QTR Raw'!H37</f>
        <v>#NAME?</v>
      </c>
      <c r="AN73" s="50" t="e">
        <f ca="1">+'QTR Raw'!I37</f>
        <v>#NAME?</v>
      </c>
      <c r="AO73" s="50" t="e">
        <f ca="1">+'QTR Raw'!J37</f>
        <v>#NAME?</v>
      </c>
      <c r="AP73" s="50" t="e">
        <f ca="1">+'QTR Raw'!K37</f>
        <v>#NAME?</v>
      </c>
      <c r="AQ73" s="50" t="e">
        <f ca="1">+'QTR Raw'!L37</f>
        <v>#NAME?</v>
      </c>
      <c r="AR73" s="50" t="e">
        <f ca="1">+'QTR Raw'!M37</f>
        <v>#NAME?</v>
      </c>
      <c r="AS73" s="50" t="e">
        <f ca="1">+'QTR Raw'!N37</f>
        <v>#NAME?</v>
      </c>
      <c r="AT73" s="50" t="e">
        <f ca="1">+'QTR Raw'!O37</f>
        <v>#NAME?</v>
      </c>
      <c r="AU73" s="50" t="e">
        <f ca="1">+'QTR Raw'!P37</f>
        <v>#NAME?</v>
      </c>
      <c r="AV73" s="50" t="e">
        <f ca="1">+'QTR Raw'!Q37</f>
        <v>#NAME?</v>
      </c>
      <c r="AW73" s="50" t="e">
        <f ca="1">+'QTR Raw'!R37</f>
        <v>#NAME?</v>
      </c>
      <c r="AX73" s="50" t="e">
        <f ca="1">+'QTR Raw'!S37</f>
        <v>#NAME?</v>
      </c>
      <c r="AY73" s="50" t="e">
        <f ca="1">+'QTR Raw'!T37</f>
        <v>#NAME?</v>
      </c>
      <c r="AZ73" s="50" t="e">
        <f ca="1">+'QTR Raw'!U37</f>
        <v>#NAME?</v>
      </c>
      <c r="BA73" s="50" t="e">
        <f ca="1">+'QTR Raw'!V37</f>
        <v>#NAME?</v>
      </c>
      <c r="BB73" s="50" t="e">
        <f ca="1">+'QTR Raw'!W37</f>
        <v>#NAME?</v>
      </c>
      <c r="BC73" s="50" t="e">
        <f ca="1">+'QTR Raw'!X37</f>
        <v>#NAME?</v>
      </c>
      <c r="BD73" s="50" t="e">
        <f ca="1">+'QTR Raw'!Y37</f>
        <v>#NAME?</v>
      </c>
      <c r="BE73" s="50" t="e">
        <f ca="1">+'QTR Raw'!Z37</f>
        <v>#NAME?</v>
      </c>
      <c r="BF73" s="50" t="e">
        <f ca="1">+'QTR Raw'!AA37</f>
        <v>#NAME?</v>
      </c>
      <c r="BG73" s="50" t="e">
        <f ca="1">+'QTR Raw'!AB37</f>
        <v>#NAME?</v>
      </c>
      <c r="BH73" s="50" t="e">
        <f ca="1">+'QTR Raw'!AC37</f>
        <v>#NAME?</v>
      </c>
      <c r="BI73" s="50" t="e">
        <f ca="1">+'QTR Raw'!AD37</f>
        <v>#NAME?</v>
      </c>
      <c r="BJ73" s="50" t="e">
        <f ca="1">+'QTR Raw'!AE37</f>
        <v>#NAME?</v>
      </c>
      <c r="BK73" s="50" t="e">
        <f ca="1">+'QTR Raw'!AF37</f>
        <v>#NAME?</v>
      </c>
      <c r="BL73" s="50" t="e">
        <f ca="1">+'QTR Raw'!AG37</f>
        <v>#NAME?</v>
      </c>
      <c r="BM73" s="50" t="e">
        <f ca="1">+'QTR Raw'!AH37</f>
        <v>#NAME?</v>
      </c>
      <c r="BN73" s="50" t="e">
        <f ca="1">+'QTR Raw'!AI37</f>
        <v>#NAME?</v>
      </c>
      <c r="BO73" s="50" t="e">
        <f ca="1">+'QTR Raw'!AJ37</f>
        <v>#NAME?</v>
      </c>
      <c r="BP73" s="50" t="e">
        <f ca="1">+'QTR Raw'!AK37</f>
        <v>#NAME?</v>
      </c>
      <c r="BQ73" s="50" t="e">
        <f ca="1">+'QTR Raw'!AL37</f>
        <v>#NAME?</v>
      </c>
      <c r="BR73" s="50" t="e">
        <f ca="1">+'QTR Raw'!AM37</f>
        <v>#NAME?</v>
      </c>
      <c r="BS73" s="50" t="e">
        <f ca="1">+'QTR Raw'!AN37</f>
        <v>#NAME?</v>
      </c>
      <c r="BT73" s="50" t="e">
        <f ca="1">+'QTR Raw'!AO37</f>
        <v>#NAME?</v>
      </c>
      <c r="BU73" s="50" t="e">
        <f ca="1">+'QTR Raw'!AP37</f>
        <v>#NAME?</v>
      </c>
      <c r="BV73" s="50" t="e">
        <f ca="1">+'QTR Raw'!AQ37</f>
        <v>#NAME?</v>
      </c>
      <c r="BW73" s="50" t="e">
        <f ca="1">+'QTR Raw'!AR37</f>
        <v>#NAME?</v>
      </c>
      <c r="BX73" s="50" t="e">
        <f ca="1">+'QTR Raw'!AS37</f>
        <v>#NAME?</v>
      </c>
      <c r="BY73" s="50" t="e">
        <f ca="1">+'QTR Raw'!AT37</f>
        <v>#NAME?</v>
      </c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S73" s="156"/>
    </row>
    <row r="74" spans="1:97" s="50" customFormat="1" x14ac:dyDescent="0.2">
      <c r="A74" s="50" t="s">
        <v>236</v>
      </c>
      <c r="B74" s="50" t="e">
        <f ca="1">+'Annual Raw'!C94</f>
        <v>#NAME?</v>
      </c>
      <c r="C74" s="50" t="e">
        <f ca="1">+'Annual Raw'!D94</f>
        <v>#NAME?</v>
      </c>
      <c r="D74" s="50" t="e">
        <f ca="1">+'Annual Raw'!E94</f>
        <v>#NAME?</v>
      </c>
      <c r="E74" s="50" t="e">
        <f ca="1">+'Annual Raw'!F94</f>
        <v>#NAME?</v>
      </c>
      <c r="F74" s="50" t="e">
        <f ca="1">+'Annual Raw'!G94</f>
        <v>#NAME?</v>
      </c>
      <c r="G74" s="50" t="e">
        <f ca="1">+'Annual Raw'!H94</f>
        <v>#NAME?</v>
      </c>
      <c r="H74" s="50" t="e">
        <f ca="1">+'Annual Raw'!I94</f>
        <v>#NAME?</v>
      </c>
      <c r="I74" s="50" t="e">
        <f ca="1">+'Annual Raw'!J94</f>
        <v>#NAME?</v>
      </c>
      <c r="J74" s="50" t="e">
        <f ca="1">+'Annual Raw'!K94</f>
        <v>#NAME?</v>
      </c>
      <c r="K74" s="50" t="e">
        <f ca="1">+'Annual Raw'!L94</f>
        <v>#NAME?</v>
      </c>
      <c r="L74" s="50" t="e">
        <f ca="1">+'Annual Raw'!M94</f>
        <v>#NAME?</v>
      </c>
      <c r="M74" s="50" t="e">
        <f ca="1">+'Annual Raw'!N94</f>
        <v>#NAME?</v>
      </c>
      <c r="N74" s="50" t="e">
        <f ca="1">+'Annual Raw'!O94</f>
        <v>#NAME?</v>
      </c>
      <c r="O74" s="50" t="e">
        <f ca="1">+'Annual Raw'!P94</f>
        <v>#NAME?</v>
      </c>
      <c r="P74" s="50" t="e">
        <f ca="1">+'Annual Raw'!Q94</f>
        <v>#NAME?</v>
      </c>
      <c r="Q74" s="50" t="e">
        <f ca="1">+'Annual Raw'!R94</f>
        <v>#NAME?</v>
      </c>
      <c r="R74" s="50" t="e">
        <f ca="1">+'Annual Raw'!S94</f>
        <v>#NAME?</v>
      </c>
      <c r="S74" s="50" t="e">
        <f ca="1">+'Annual Raw'!T94</f>
        <v>#NAME?</v>
      </c>
      <c r="T74" s="50" t="e">
        <f ca="1">+'Annual Raw'!U94</f>
        <v>#NAME?</v>
      </c>
      <c r="U74" s="50" t="e">
        <f ca="1">+'Annual Raw'!V94</f>
        <v>#NAME?</v>
      </c>
      <c r="V74" s="50" t="e">
        <f ca="1">+'Annual Raw'!W94</f>
        <v>#NAME?</v>
      </c>
      <c r="W74" s="50" t="e">
        <f ca="1">+'Annual Raw'!X94</f>
        <v>#NAME?</v>
      </c>
      <c r="X74" s="50" t="e">
        <f ca="1">+'Annual Raw'!Y94</f>
        <v>#NAME?</v>
      </c>
      <c r="Y74" s="50" t="e">
        <f ca="1">+'Annual Raw'!Z94</f>
        <v>#NAME?</v>
      </c>
      <c r="Z74" s="50" t="e">
        <f ca="1">+'Annual Raw'!AA94</f>
        <v>#NAME?</v>
      </c>
      <c r="AA74" s="50" t="e">
        <f ca="1">+'Annual Raw'!AB94</f>
        <v>#NAME?</v>
      </c>
      <c r="AB74" s="51"/>
      <c r="AC74" s="51"/>
      <c r="AD74" s="51"/>
      <c r="AE74" s="51"/>
      <c r="AG74" s="64"/>
      <c r="AI74" s="50" t="e">
        <f ca="1">+'QTR Raw'!D38</f>
        <v>#NAME?</v>
      </c>
      <c r="AJ74" s="50" t="e">
        <f ca="1">+'QTR Raw'!E38</f>
        <v>#NAME?</v>
      </c>
      <c r="AK74" s="50" t="e">
        <f ca="1">+'QTR Raw'!F38</f>
        <v>#NAME?</v>
      </c>
      <c r="AL74" s="50" t="e">
        <f ca="1">+'QTR Raw'!G38</f>
        <v>#NAME?</v>
      </c>
      <c r="AM74" s="50" t="e">
        <f ca="1">+'QTR Raw'!H38</f>
        <v>#NAME?</v>
      </c>
      <c r="AN74" s="50" t="e">
        <f ca="1">+'QTR Raw'!I38</f>
        <v>#NAME?</v>
      </c>
      <c r="AO74" s="50" t="e">
        <f ca="1">+'QTR Raw'!J38</f>
        <v>#NAME?</v>
      </c>
      <c r="AP74" s="50" t="e">
        <f ca="1">+'QTR Raw'!K38</f>
        <v>#NAME?</v>
      </c>
      <c r="AQ74" s="50" t="e">
        <f ca="1">+'QTR Raw'!L38</f>
        <v>#NAME?</v>
      </c>
      <c r="AR74" s="50" t="e">
        <f ca="1">+'QTR Raw'!M38</f>
        <v>#NAME?</v>
      </c>
      <c r="AS74" s="50" t="e">
        <f ca="1">+'QTR Raw'!N38</f>
        <v>#NAME?</v>
      </c>
      <c r="AT74" s="50" t="e">
        <f ca="1">+'QTR Raw'!O38</f>
        <v>#NAME?</v>
      </c>
      <c r="AU74" s="50" t="e">
        <f ca="1">+'QTR Raw'!P38</f>
        <v>#NAME?</v>
      </c>
      <c r="AV74" s="50" t="e">
        <f ca="1">+'QTR Raw'!Q38</f>
        <v>#NAME?</v>
      </c>
      <c r="AW74" s="50" t="e">
        <f ca="1">+'QTR Raw'!R38</f>
        <v>#NAME?</v>
      </c>
      <c r="AX74" s="50" t="e">
        <f ca="1">+'QTR Raw'!S38</f>
        <v>#NAME?</v>
      </c>
      <c r="AY74" s="50" t="e">
        <f ca="1">+'QTR Raw'!T38</f>
        <v>#NAME?</v>
      </c>
      <c r="AZ74" s="50" t="e">
        <f ca="1">+'QTR Raw'!U38</f>
        <v>#NAME?</v>
      </c>
      <c r="BA74" s="50" t="e">
        <f ca="1">+'QTR Raw'!V38</f>
        <v>#NAME?</v>
      </c>
      <c r="BB74" s="50" t="e">
        <f ca="1">+'QTR Raw'!W38</f>
        <v>#NAME?</v>
      </c>
      <c r="BC74" s="50" t="e">
        <f ca="1">+'QTR Raw'!X38</f>
        <v>#NAME?</v>
      </c>
      <c r="BD74" s="50" t="e">
        <f ca="1">+'QTR Raw'!Y38</f>
        <v>#NAME?</v>
      </c>
      <c r="BE74" s="50" t="e">
        <f ca="1">+'QTR Raw'!Z38</f>
        <v>#NAME?</v>
      </c>
      <c r="BF74" s="50" t="e">
        <f ca="1">+'QTR Raw'!AA38</f>
        <v>#NAME?</v>
      </c>
      <c r="BG74" s="50" t="e">
        <f ca="1">+'QTR Raw'!AB38</f>
        <v>#NAME?</v>
      </c>
      <c r="BH74" s="50" t="e">
        <f ca="1">+'QTR Raw'!AC38</f>
        <v>#NAME?</v>
      </c>
      <c r="BI74" s="50" t="e">
        <f ca="1">+'QTR Raw'!AD38</f>
        <v>#NAME?</v>
      </c>
      <c r="BJ74" s="50" t="e">
        <f ca="1">+'QTR Raw'!AE38</f>
        <v>#NAME?</v>
      </c>
      <c r="BK74" s="50" t="e">
        <f ca="1">+'QTR Raw'!AF38</f>
        <v>#NAME?</v>
      </c>
      <c r="BL74" s="50" t="e">
        <f ca="1">+'QTR Raw'!AG38</f>
        <v>#NAME?</v>
      </c>
      <c r="BM74" s="50" t="e">
        <f ca="1">+'QTR Raw'!AH38</f>
        <v>#NAME?</v>
      </c>
      <c r="BN74" s="50" t="e">
        <f ca="1">+'QTR Raw'!AI38</f>
        <v>#NAME?</v>
      </c>
      <c r="BO74" s="50" t="e">
        <f ca="1">+'QTR Raw'!AJ38</f>
        <v>#NAME?</v>
      </c>
      <c r="BP74" s="50" t="e">
        <f ca="1">+'QTR Raw'!AK38</f>
        <v>#NAME?</v>
      </c>
      <c r="BQ74" s="50" t="e">
        <f ca="1">+'QTR Raw'!AL38</f>
        <v>#NAME?</v>
      </c>
      <c r="BR74" s="50" t="e">
        <f ca="1">+'QTR Raw'!AM38</f>
        <v>#NAME?</v>
      </c>
      <c r="BS74" s="50" t="e">
        <f ca="1">+'QTR Raw'!AN38</f>
        <v>#NAME?</v>
      </c>
      <c r="BT74" s="50" t="e">
        <f ca="1">+'QTR Raw'!AO38</f>
        <v>#NAME?</v>
      </c>
      <c r="BU74" s="50" t="e">
        <f ca="1">+'QTR Raw'!AP38</f>
        <v>#NAME?</v>
      </c>
      <c r="BV74" s="50" t="e">
        <f ca="1">+'QTR Raw'!AQ38</f>
        <v>#NAME?</v>
      </c>
      <c r="BW74" s="50" t="e">
        <f ca="1">+'QTR Raw'!AR38</f>
        <v>#NAME?</v>
      </c>
      <c r="BX74" s="50" t="e">
        <f ca="1">+'QTR Raw'!AS38</f>
        <v>#NAME?</v>
      </c>
      <c r="BY74" s="50" t="e">
        <f ca="1">+'QTR Raw'!AT38</f>
        <v>#NAME?</v>
      </c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97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7" s="50" customFormat="1" x14ac:dyDescent="0.2">
      <c r="A76" s="50" t="s">
        <v>211</v>
      </c>
      <c r="B76" s="50" t="e">
        <f ca="1">+'Annual Raw'!C52</f>
        <v>#NAME?</v>
      </c>
      <c r="C76" s="50" t="e">
        <f ca="1">+'Annual Raw'!D52</f>
        <v>#NAME?</v>
      </c>
      <c r="D76" s="50" t="e">
        <f ca="1">+'Annual Raw'!E52</f>
        <v>#NAME?</v>
      </c>
      <c r="E76" s="50" t="e">
        <f ca="1">+'Annual Raw'!F52</f>
        <v>#NAME?</v>
      </c>
      <c r="F76" s="50" t="e">
        <f ca="1">+'Annual Raw'!G52</f>
        <v>#NAME?</v>
      </c>
      <c r="G76" s="50" t="e">
        <f ca="1">+'Annual Raw'!H52</f>
        <v>#NAME?</v>
      </c>
      <c r="H76" s="50" t="e">
        <f ca="1">+'Annual Raw'!I52</f>
        <v>#NAME?</v>
      </c>
      <c r="I76" s="50" t="e">
        <f ca="1">+'Annual Raw'!J52</f>
        <v>#NAME?</v>
      </c>
      <c r="J76" s="50" t="e">
        <f ca="1">+'Annual Raw'!K52</f>
        <v>#NAME?</v>
      </c>
      <c r="K76" s="50" t="e">
        <f ca="1">+'Annual Raw'!L52</f>
        <v>#NAME?</v>
      </c>
      <c r="L76" s="50" t="e">
        <f ca="1">+'Annual Raw'!M52</f>
        <v>#NAME?</v>
      </c>
      <c r="M76" s="50" t="e">
        <f ca="1">+'Annual Raw'!N52</f>
        <v>#NAME?</v>
      </c>
      <c r="N76" s="50" t="e">
        <f ca="1">+'Annual Raw'!O52</f>
        <v>#NAME?</v>
      </c>
      <c r="O76" s="50" t="e">
        <f ca="1">+'Annual Raw'!P52</f>
        <v>#NAME?</v>
      </c>
      <c r="P76" s="50" t="e">
        <f ca="1">+'Annual Raw'!Q52</f>
        <v>#NAME?</v>
      </c>
      <c r="Q76" s="50" t="e">
        <f ca="1">+'Annual Raw'!R52</f>
        <v>#NAME?</v>
      </c>
      <c r="R76" s="50" t="e">
        <f ca="1">+'Annual Raw'!S52</f>
        <v>#NAME?</v>
      </c>
      <c r="S76" s="50" t="e">
        <f ca="1">+'Annual Raw'!T52</f>
        <v>#NAME?</v>
      </c>
      <c r="T76" s="50" t="e">
        <f ca="1">+'Annual Raw'!U52</f>
        <v>#NAME?</v>
      </c>
      <c r="U76" s="50" t="e">
        <f ca="1">+'Annual Raw'!V52</f>
        <v>#NAME?</v>
      </c>
      <c r="V76" s="50" t="e">
        <f ca="1">+'Annual Raw'!W52</f>
        <v>#NAME?</v>
      </c>
      <c r="W76" s="50" t="e">
        <f ca="1">+'Annual Raw'!X52</f>
        <v>#NAME?</v>
      </c>
      <c r="X76" s="50" t="e">
        <f ca="1">+'Annual Raw'!Y52</f>
        <v>#NAME?</v>
      </c>
      <c r="Y76" s="50" t="e">
        <f ca="1">+'Annual Raw'!Z52</f>
        <v>#NAME?</v>
      </c>
      <c r="Z76" s="50" t="e">
        <f ca="1">+'Annual Raw'!AA52</f>
        <v>#NAME?</v>
      </c>
      <c r="AA76" s="50" t="e">
        <f ca="1">+'Annual Raw'!AB52</f>
        <v>#NAME?</v>
      </c>
      <c r="AB76" s="51"/>
      <c r="AC76" s="51"/>
      <c r="AD76" s="51"/>
      <c r="AE76" s="51"/>
      <c r="AG76" s="64"/>
      <c r="AH76" s="50" t="e">
        <f ca="1">+'QTR Raw'!C40</f>
        <v>#NAME?</v>
      </c>
      <c r="AI76" s="50" t="e">
        <f ca="1">+'QTR Raw'!D40</f>
        <v>#NAME?</v>
      </c>
      <c r="AJ76" s="50" t="e">
        <f ca="1">+'QTR Raw'!E40</f>
        <v>#NAME?</v>
      </c>
      <c r="AK76" s="50" t="e">
        <f ca="1">+'QTR Raw'!F40</f>
        <v>#NAME?</v>
      </c>
      <c r="AL76" s="50" t="e">
        <f ca="1">+'QTR Raw'!G40</f>
        <v>#NAME?</v>
      </c>
      <c r="AM76" s="50" t="e">
        <f ca="1">+'QTR Raw'!H40</f>
        <v>#NAME?</v>
      </c>
      <c r="AN76" s="50" t="e">
        <f ca="1">+'QTR Raw'!I40</f>
        <v>#NAME?</v>
      </c>
      <c r="AO76" s="50" t="e">
        <f ca="1">+'QTR Raw'!J40</f>
        <v>#NAME?</v>
      </c>
      <c r="AP76" s="50" t="e">
        <f ca="1">+'QTR Raw'!K40</f>
        <v>#NAME?</v>
      </c>
      <c r="AQ76" s="50" t="e">
        <f ca="1">+'QTR Raw'!L40</f>
        <v>#NAME?</v>
      </c>
      <c r="AR76" s="50" t="e">
        <f ca="1">+'QTR Raw'!M40</f>
        <v>#NAME?</v>
      </c>
      <c r="AS76" s="50" t="e">
        <f ca="1">+'QTR Raw'!N40</f>
        <v>#NAME?</v>
      </c>
      <c r="AT76" s="50" t="e">
        <f ca="1">+'QTR Raw'!O40</f>
        <v>#NAME?</v>
      </c>
      <c r="AU76" s="50" t="e">
        <f ca="1">+'QTR Raw'!P40</f>
        <v>#NAME?</v>
      </c>
      <c r="AV76" s="50" t="e">
        <f ca="1">+'QTR Raw'!Q40</f>
        <v>#NAME?</v>
      </c>
      <c r="AW76" s="50" t="e">
        <f ca="1">+'QTR Raw'!R40</f>
        <v>#NAME?</v>
      </c>
      <c r="AX76" s="50" t="e">
        <f ca="1">+'QTR Raw'!S40</f>
        <v>#NAME?</v>
      </c>
      <c r="AY76" s="50" t="e">
        <f ca="1">+'QTR Raw'!T40</f>
        <v>#NAME?</v>
      </c>
      <c r="AZ76" s="50" t="e">
        <f ca="1">+'QTR Raw'!U40</f>
        <v>#NAME?</v>
      </c>
      <c r="BA76" s="50" t="e">
        <f ca="1">+'QTR Raw'!V40</f>
        <v>#NAME?</v>
      </c>
      <c r="BB76" s="50" t="e">
        <f ca="1">+'QTR Raw'!W40</f>
        <v>#NAME?</v>
      </c>
      <c r="BC76" s="50" t="e">
        <f ca="1">+'QTR Raw'!X40</f>
        <v>#NAME?</v>
      </c>
      <c r="BD76" s="50" t="e">
        <f ca="1">+'QTR Raw'!Y40</f>
        <v>#NAME?</v>
      </c>
      <c r="BE76" s="50" t="e">
        <f ca="1">+'QTR Raw'!Z40</f>
        <v>#NAME?</v>
      </c>
      <c r="BF76" s="50" t="e">
        <f ca="1">+'QTR Raw'!AA40</f>
        <v>#NAME?</v>
      </c>
      <c r="BG76" s="50" t="e">
        <f ca="1">+'QTR Raw'!AB40</f>
        <v>#NAME?</v>
      </c>
      <c r="BH76" s="50" t="e">
        <f ca="1">+'QTR Raw'!AC40</f>
        <v>#NAME?</v>
      </c>
      <c r="BI76" s="50" t="e">
        <f ca="1">+'QTR Raw'!AD40</f>
        <v>#NAME?</v>
      </c>
      <c r="BJ76" s="50" t="e">
        <f ca="1">+'QTR Raw'!AE40</f>
        <v>#NAME?</v>
      </c>
      <c r="BK76" s="50" t="e">
        <f ca="1">+'QTR Raw'!AF40</f>
        <v>#NAME?</v>
      </c>
      <c r="BL76" s="50" t="e">
        <f ca="1">+'QTR Raw'!AG40</f>
        <v>#NAME?</v>
      </c>
      <c r="BM76" s="50" t="e">
        <f ca="1">+'QTR Raw'!AH40</f>
        <v>#NAME?</v>
      </c>
      <c r="BN76" s="50" t="e">
        <f ca="1">+'QTR Raw'!AI40</f>
        <v>#NAME?</v>
      </c>
      <c r="BO76" s="50" t="e">
        <f ca="1">+'QTR Raw'!AJ40</f>
        <v>#NAME?</v>
      </c>
      <c r="BP76" s="50" t="e">
        <f ca="1">+'QTR Raw'!AK40</f>
        <v>#NAME?</v>
      </c>
      <c r="BQ76" s="50" t="e">
        <f ca="1">+'QTR Raw'!AL40</f>
        <v>#NAME?</v>
      </c>
      <c r="BR76" s="50" t="e">
        <f ca="1">+'QTR Raw'!AM40</f>
        <v>#NAME?</v>
      </c>
      <c r="BS76" s="50" t="e">
        <f ca="1">+'QTR Raw'!AN40</f>
        <v>#NAME?</v>
      </c>
      <c r="BT76" s="50" t="e">
        <f ca="1">+'QTR Raw'!AO40</f>
        <v>#NAME?</v>
      </c>
      <c r="BU76" s="50" t="e">
        <f ca="1">+'QTR Raw'!AP40</f>
        <v>#NAME?</v>
      </c>
      <c r="BV76" s="50" t="e">
        <f ca="1">+'QTR Raw'!AQ40</f>
        <v>#NAME?</v>
      </c>
      <c r="BW76" s="50" t="e">
        <f ca="1">+'QTR Raw'!AR40</f>
        <v>#NAME?</v>
      </c>
      <c r="BX76" s="50" t="e">
        <f ca="1">+'QTR Raw'!AS40</f>
        <v>#NAME?</v>
      </c>
      <c r="BY76" s="50" t="e">
        <f ca="1">+'QTR Raw'!AT40</f>
        <v>#NAME?</v>
      </c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7" s="50" customFormat="1" x14ac:dyDescent="0.2">
      <c r="A77" s="50" t="s">
        <v>212</v>
      </c>
      <c r="B77" s="50" t="e">
        <f ca="1">+'Annual Raw'!C53</f>
        <v>#NAME?</v>
      </c>
      <c r="C77" s="50" t="e">
        <f ca="1">+'Annual Raw'!D53</f>
        <v>#NAME?</v>
      </c>
      <c r="D77" s="50" t="e">
        <f ca="1">+'Annual Raw'!E53</f>
        <v>#NAME?</v>
      </c>
      <c r="E77" s="50" t="e">
        <f ca="1">+'Annual Raw'!F53</f>
        <v>#NAME?</v>
      </c>
      <c r="F77" s="50" t="e">
        <f ca="1">+'Annual Raw'!G53</f>
        <v>#NAME?</v>
      </c>
      <c r="G77" s="50" t="e">
        <f ca="1">+'Annual Raw'!H53</f>
        <v>#NAME?</v>
      </c>
      <c r="H77" s="50" t="e">
        <f ca="1">+'Annual Raw'!I53</f>
        <v>#NAME?</v>
      </c>
      <c r="I77" s="50" t="e">
        <f ca="1">+'Annual Raw'!J53</f>
        <v>#NAME?</v>
      </c>
      <c r="J77" s="50" t="e">
        <f ca="1">+'Annual Raw'!K53</f>
        <v>#NAME?</v>
      </c>
      <c r="K77" s="50" t="e">
        <f ca="1">+'Annual Raw'!L53</f>
        <v>#NAME?</v>
      </c>
      <c r="L77" s="50" t="e">
        <f ca="1">+'Annual Raw'!M53</f>
        <v>#NAME?</v>
      </c>
      <c r="M77" s="50" t="e">
        <f ca="1">+'Annual Raw'!N53</f>
        <v>#NAME?</v>
      </c>
      <c r="N77" s="50" t="e">
        <f ca="1">+'Annual Raw'!O53</f>
        <v>#NAME?</v>
      </c>
      <c r="O77" s="50" t="e">
        <f ca="1">+'Annual Raw'!P53</f>
        <v>#NAME?</v>
      </c>
      <c r="P77" s="50" t="e">
        <f ca="1">+'Annual Raw'!Q53</f>
        <v>#NAME?</v>
      </c>
      <c r="Q77" s="50" t="e">
        <f ca="1">+'Annual Raw'!R53</f>
        <v>#NAME?</v>
      </c>
      <c r="R77" s="50" t="e">
        <f ca="1">+'Annual Raw'!S53</f>
        <v>#NAME?</v>
      </c>
      <c r="S77" s="50" t="e">
        <f ca="1">+'Annual Raw'!T53</f>
        <v>#NAME?</v>
      </c>
      <c r="T77" s="50" t="e">
        <f ca="1">+'Annual Raw'!U53</f>
        <v>#NAME?</v>
      </c>
      <c r="U77" s="50" t="e">
        <f ca="1">+'Annual Raw'!V53</f>
        <v>#NAME?</v>
      </c>
      <c r="V77" s="50" t="e">
        <f ca="1">+'Annual Raw'!W53</f>
        <v>#NAME?</v>
      </c>
      <c r="W77" s="50" t="e">
        <f ca="1">+'Annual Raw'!X53</f>
        <v>#NAME?</v>
      </c>
      <c r="X77" s="50" t="e">
        <f ca="1">+'Annual Raw'!Y53</f>
        <v>#NAME?</v>
      </c>
      <c r="Y77" s="50" t="e">
        <f ca="1">+'Annual Raw'!Z53</f>
        <v>#NAME?</v>
      </c>
      <c r="Z77" s="50" t="e">
        <f ca="1">+'Annual Raw'!AA53</f>
        <v>#NAME?</v>
      </c>
      <c r="AA77" s="50" t="e">
        <f ca="1">+'Annual Raw'!AB53</f>
        <v>#NAME?</v>
      </c>
      <c r="AB77" s="51"/>
      <c r="AC77" s="51"/>
      <c r="AD77" s="51"/>
      <c r="AE77" s="51"/>
      <c r="AG77" s="64"/>
      <c r="AH77" s="50" t="e">
        <f ca="1">+'QTR Raw'!C41</f>
        <v>#NAME?</v>
      </c>
      <c r="AI77" s="50" t="e">
        <f ca="1">+'QTR Raw'!D41</f>
        <v>#NAME?</v>
      </c>
      <c r="AJ77" s="50" t="e">
        <f ca="1">+'QTR Raw'!E41</f>
        <v>#NAME?</v>
      </c>
      <c r="AK77" s="50" t="e">
        <f ca="1">+'QTR Raw'!F41</f>
        <v>#NAME?</v>
      </c>
      <c r="AL77" s="50" t="e">
        <f ca="1">+'QTR Raw'!G41</f>
        <v>#NAME?</v>
      </c>
      <c r="AM77" s="50" t="e">
        <f ca="1">+'QTR Raw'!H41</f>
        <v>#NAME?</v>
      </c>
      <c r="AN77" s="50" t="e">
        <f ca="1">+'QTR Raw'!I41</f>
        <v>#NAME?</v>
      </c>
      <c r="AO77" s="50" t="e">
        <f ca="1">+'QTR Raw'!J41</f>
        <v>#NAME?</v>
      </c>
      <c r="AP77" s="50" t="e">
        <f ca="1">+'QTR Raw'!K41</f>
        <v>#NAME?</v>
      </c>
      <c r="AQ77" s="50" t="e">
        <f ca="1">+'QTR Raw'!L41</f>
        <v>#NAME?</v>
      </c>
      <c r="AR77" s="50" t="e">
        <f ca="1">+'QTR Raw'!M41</f>
        <v>#NAME?</v>
      </c>
      <c r="AS77" s="50" t="e">
        <f ca="1">+'QTR Raw'!N41</f>
        <v>#NAME?</v>
      </c>
      <c r="AT77" s="50" t="e">
        <f ca="1">+'QTR Raw'!O41</f>
        <v>#NAME?</v>
      </c>
      <c r="AU77" s="50" t="e">
        <f ca="1">+'QTR Raw'!P41</f>
        <v>#NAME?</v>
      </c>
      <c r="AV77" s="50" t="e">
        <f ca="1">+'QTR Raw'!Q41</f>
        <v>#NAME?</v>
      </c>
      <c r="AW77" s="50" t="e">
        <f ca="1">+'QTR Raw'!R41</f>
        <v>#NAME?</v>
      </c>
      <c r="AX77" s="50" t="e">
        <f ca="1">+'QTR Raw'!S41</f>
        <v>#NAME?</v>
      </c>
      <c r="AY77" s="50" t="e">
        <f ca="1">+'QTR Raw'!T41</f>
        <v>#NAME?</v>
      </c>
      <c r="AZ77" s="50" t="e">
        <f ca="1">+'QTR Raw'!U41</f>
        <v>#NAME?</v>
      </c>
      <c r="BA77" s="50" t="e">
        <f ca="1">+'QTR Raw'!V41</f>
        <v>#NAME?</v>
      </c>
      <c r="BB77" s="50" t="e">
        <f ca="1">+'QTR Raw'!W41</f>
        <v>#NAME?</v>
      </c>
      <c r="BC77" s="50" t="e">
        <f ca="1">+'QTR Raw'!X41</f>
        <v>#NAME?</v>
      </c>
      <c r="BD77" s="50" t="e">
        <f ca="1">+'QTR Raw'!Y41</f>
        <v>#NAME?</v>
      </c>
      <c r="BE77" s="50" t="e">
        <f ca="1">+'QTR Raw'!Z41</f>
        <v>#NAME?</v>
      </c>
      <c r="BF77" s="50" t="e">
        <f ca="1">+'QTR Raw'!AA41</f>
        <v>#NAME?</v>
      </c>
      <c r="BG77" s="50" t="e">
        <f ca="1">+'QTR Raw'!AB41</f>
        <v>#NAME?</v>
      </c>
      <c r="BH77" s="50" t="e">
        <f ca="1">+'QTR Raw'!AC41</f>
        <v>#NAME?</v>
      </c>
      <c r="BI77" s="50" t="e">
        <f ca="1">+'QTR Raw'!AD41</f>
        <v>#NAME?</v>
      </c>
      <c r="BJ77" s="50" t="e">
        <f ca="1">+'QTR Raw'!AE41</f>
        <v>#NAME?</v>
      </c>
      <c r="BK77" s="50" t="e">
        <f ca="1">+'QTR Raw'!AF41</f>
        <v>#NAME?</v>
      </c>
      <c r="BL77" s="50" t="e">
        <f ca="1">+'QTR Raw'!AG41</f>
        <v>#NAME?</v>
      </c>
      <c r="BM77" s="50" t="e">
        <f ca="1">+'QTR Raw'!AH41</f>
        <v>#NAME?</v>
      </c>
      <c r="BN77" s="50" t="e">
        <f ca="1">+'QTR Raw'!AI41</f>
        <v>#NAME?</v>
      </c>
      <c r="BO77" s="50" t="e">
        <f ca="1">+'QTR Raw'!AJ41</f>
        <v>#NAME?</v>
      </c>
      <c r="BP77" s="50" t="e">
        <f ca="1">+'QTR Raw'!AK41</f>
        <v>#NAME?</v>
      </c>
      <c r="BQ77" s="50" t="e">
        <f ca="1">+'QTR Raw'!AL41</f>
        <v>#NAME?</v>
      </c>
      <c r="BR77" s="50" t="e">
        <f ca="1">+'QTR Raw'!AM41</f>
        <v>#NAME?</v>
      </c>
      <c r="BS77" s="50" t="e">
        <f ca="1">+'QTR Raw'!AN41</f>
        <v>#NAME?</v>
      </c>
      <c r="BT77" s="50" t="e">
        <f ca="1">+'QTR Raw'!AO41</f>
        <v>#NAME?</v>
      </c>
      <c r="BU77" s="50" t="e">
        <f ca="1">+'QTR Raw'!AP41</f>
        <v>#NAME?</v>
      </c>
      <c r="BV77" s="50" t="e">
        <f ca="1">+'QTR Raw'!AQ41</f>
        <v>#NAME?</v>
      </c>
      <c r="BW77" s="50" t="e">
        <f ca="1">+'QTR Raw'!AR41</f>
        <v>#NAME?</v>
      </c>
      <c r="BX77" s="50" t="e">
        <f ca="1">+'QTR Raw'!AS41</f>
        <v>#NAME?</v>
      </c>
      <c r="BY77" s="50" t="e">
        <f ca="1">+'QTR Raw'!AT41</f>
        <v>#NAME?</v>
      </c>
      <c r="BZ77" s="51" t="e">
        <f t="shared" ref="BZ77:CO77" ca="1" si="1052">+BZ81*BZ119</f>
        <v>#NAME?</v>
      </c>
      <c r="CA77" s="51" t="e">
        <f t="shared" ca="1" si="1052"/>
        <v>#NAME?</v>
      </c>
      <c r="CB77" s="51" t="e">
        <f t="shared" ca="1" si="1052"/>
        <v>#NAME?</v>
      </c>
      <c r="CC77" s="51" t="e">
        <f t="shared" ca="1" si="1052"/>
        <v>#NAME?</v>
      </c>
      <c r="CD77" s="51" t="e">
        <f t="shared" ca="1" si="1052"/>
        <v>#NAME?</v>
      </c>
      <c r="CE77" s="51" t="e">
        <f t="shared" ca="1" si="1052"/>
        <v>#NAME?</v>
      </c>
      <c r="CF77" s="51" t="e">
        <f t="shared" ca="1" si="1052"/>
        <v>#NAME?</v>
      </c>
      <c r="CG77" s="51" t="e">
        <f t="shared" ca="1" si="1052"/>
        <v>#NAME?</v>
      </c>
      <c r="CH77" s="51" t="e">
        <f t="shared" ca="1" si="1052"/>
        <v>#NAME?</v>
      </c>
      <c r="CI77" s="51" t="e">
        <f t="shared" ca="1" si="1052"/>
        <v>#NAME?</v>
      </c>
      <c r="CJ77" s="51" t="e">
        <f t="shared" ca="1" si="1052"/>
        <v>#NAME?</v>
      </c>
      <c r="CK77" s="51" t="e">
        <f t="shared" ca="1" si="1052"/>
        <v>#NAME?</v>
      </c>
      <c r="CL77" s="51" t="e">
        <f t="shared" ca="1" si="1052"/>
        <v>#NAME?</v>
      </c>
      <c r="CM77" s="51" t="e">
        <f t="shared" ca="1" si="1052"/>
        <v>#NAME?</v>
      </c>
      <c r="CN77" s="51" t="e">
        <f t="shared" ca="1" si="1052"/>
        <v>#NAME?</v>
      </c>
      <c r="CO77" s="51" t="e">
        <f t="shared" ca="1" si="1052"/>
        <v>#NAME?</v>
      </c>
    </row>
    <row r="78" spans="1:97" s="50" customFormat="1" x14ac:dyDescent="0.2">
      <c r="A78" s="50" t="s">
        <v>350</v>
      </c>
      <c r="C78" s="50" t="e">
        <f t="shared" ref="C78:Z78" ca="1" si="1053">+C77/C64</f>
        <v>#NAME?</v>
      </c>
      <c r="D78" s="50" t="e">
        <f t="shared" ca="1" si="1053"/>
        <v>#NAME?</v>
      </c>
      <c r="E78" s="50" t="e">
        <f t="shared" ca="1" si="1053"/>
        <v>#NAME?</v>
      </c>
      <c r="F78" s="50" t="e">
        <f t="shared" ca="1" si="1053"/>
        <v>#NAME?</v>
      </c>
      <c r="G78" s="50" t="e">
        <f t="shared" ca="1" si="1053"/>
        <v>#NAME?</v>
      </c>
      <c r="H78" s="50" t="e">
        <f t="shared" ca="1" si="1053"/>
        <v>#NAME?</v>
      </c>
      <c r="I78" s="50" t="e">
        <f t="shared" ca="1" si="1053"/>
        <v>#NAME?</v>
      </c>
      <c r="J78" s="50" t="e">
        <f t="shared" ca="1" si="1053"/>
        <v>#NAME?</v>
      </c>
      <c r="K78" s="50" t="e">
        <f t="shared" ca="1" si="1053"/>
        <v>#NAME?</v>
      </c>
      <c r="L78" s="50" t="e">
        <f t="shared" ca="1" si="1053"/>
        <v>#NAME?</v>
      </c>
      <c r="M78" s="50" t="e">
        <f t="shared" ca="1" si="1053"/>
        <v>#NAME?</v>
      </c>
      <c r="N78" s="50" t="e">
        <f t="shared" ca="1" si="1053"/>
        <v>#NAME?</v>
      </c>
      <c r="O78" s="50" t="e">
        <f t="shared" ca="1" si="1053"/>
        <v>#NAME?</v>
      </c>
      <c r="P78" s="50" t="e">
        <f t="shared" ca="1" si="1053"/>
        <v>#NAME?</v>
      </c>
      <c r="Q78" s="50" t="e">
        <f t="shared" ca="1" si="1053"/>
        <v>#NAME?</v>
      </c>
      <c r="R78" s="50" t="e">
        <f t="shared" ca="1" si="1053"/>
        <v>#NAME?</v>
      </c>
      <c r="S78" s="50" t="e">
        <f t="shared" ca="1" si="1053"/>
        <v>#NAME?</v>
      </c>
      <c r="T78" s="50" t="e">
        <f t="shared" ca="1" si="1053"/>
        <v>#NAME?</v>
      </c>
      <c r="U78" s="50" t="e">
        <f t="shared" ca="1" si="1053"/>
        <v>#NAME?</v>
      </c>
      <c r="V78" s="50" t="e">
        <f t="shared" ca="1" si="1053"/>
        <v>#NAME?</v>
      </c>
      <c r="W78" s="50" t="e">
        <f t="shared" ca="1" si="1053"/>
        <v>#NAME?</v>
      </c>
      <c r="X78" s="50" t="e">
        <f t="shared" ca="1" si="1053"/>
        <v>#NAME?</v>
      </c>
      <c r="Y78" s="50" t="e">
        <f t="shared" ca="1" si="1053"/>
        <v>#NAME?</v>
      </c>
      <c r="Z78" s="50" t="e">
        <f t="shared" ca="1" si="1053"/>
        <v>#NAME?</v>
      </c>
      <c r="AA78" s="50" t="e">
        <f t="shared" ref="AA78" ca="1" si="1054">+AA77/AA64</f>
        <v>#NAME?</v>
      </c>
      <c r="AB78" s="51"/>
      <c r="AC78" s="51"/>
      <c r="AD78" s="51"/>
      <c r="AE78" s="51"/>
      <c r="AG78" s="64"/>
      <c r="AI78" s="50" t="e">
        <f t="shared" ref="AI78:AS78" ca="1" si="1055">+AI77/AI64</f>
        <v>#NAME?</v>
      </c>
      <c r="AJ78" s="50" t="e">
        <f t="shared" ca="1" si="1055"/>
        <v>#NAME?</v>
      </c>
      <c r="AK78" s="50" t="e">
        <f t="shared" ca="1" si="1055"/>
        <v>#NAME?</v>
      </c>
      <c r="AL78" s="50" t="e">
        <f t="shared" ca="1" si="1055"/>
        <v>#NAME?</v>
      </c>
      <c r="AM78" s="50" t="e">
        <f t="shared" ca="1" si="1055"/>
        <v>#NAME?</v>
      </c>
      <c r="AN78" s="50" t="e">
        <f t="shared" ca="1" si="1055"/>
        <v>#NAME?</v>
      </c>
      <c r="AO78" s="50" t="e">
        <f t="shared" ca="1" si="1055"/>
        <v>#NAME?</v>
      </c>
      <c r="AP78" s="50" t="e">
        <f t="shared" ca="1" si="1055"/>
        <v>#NAME?</v>
      </c>
      <c r="AQ78" s="50" t="e">
        <f t="shared" ca="1" si="1055"/>
        <v>#NAME?</v>
      </c>
      <c r="AR78" s="50" t="e">
        <f t="shared" ca="1" si="1055"/>
        <v>#NAME?</v>
      </c>
      <c r="AS78" s="50" t="e">
        <f t="shared" ca="1" si="1055"/>
        <v>#NAME?</v>
      </c>
      <c r="AT78" s="50" t="e">
        <f t="shared" ref="AT78:CO78" ca="1" si="1056">+AT77/AT64</f>
        <v>#NAME?</v>
      </c>
      <c r="AU78" s="50" t="e">
        <f t="shared" ca="1" si="1056"/>
        <v>#NAME?</v>
      </c>
      <c r="AV78" s="50" t="e">
        <f t="shared" ca="1" si="1056"/>
        <v>#NAME?</v>
      </c>
      <c r="AW78" s="50" t="e">
        <f t="shared" ca="1" si="1056"/>
        <v>#NAME?</v>
      </c>
      <c r="AX78" s="50" t="e">
        <f t="shared" ca="1" si="1056"/>
        <v>#NAME?</v>
      </c>
      <c r="AY78" s="50" t="e">
        <f t="shared" ca="1" si="1056"/>
        <v>#NAME?</v>
      </c>
      <c r="AZ78" s="50" t="e">
        <f t="shared" ca="1" si="1056"/>
        <v>#NAME?</v>
      </c>
      <c r="BA78" s="50" t="e">
        <f t="shared" ca="1" si="1056"/>
        <v>#NAME?</v>
      </c>
      <c r="BB78" s="50" t="e">
        <f t="shared" ca="1" si="1056"/>
        <v>#NAME?</v>
      </c>
      <c r="BC78" s="50" t="e">
        <f t="shared" ca="1" si="1056"/>
        <v>#NAME?</v>
      </c>
      <c r="BD78" s="50" t="e">
        <f t="shared" ca="1" si="1056"/>
        <v>#NAME?</v>
      </c>
      <c r="BE78" s="50" t="e">
        <f t="shared" ca="1" si="1056"/>
        <v>#NAME?</v>
      </c>
      <c r="BF78" s="50" t="e">
        <f t="shared" ca="1" si="1056"/>
        <v>#NAME?</v>
      </c>
      <c r="BG78" s="50" t="e">
        <f t="shared" ca="1" si="1056"/>
        <v>#NAME?</v>
      </c>
      <c r="BH78" s="50" t="e">
        <f t="shared" ca="1" si="1056"/>
        <v>#NAME?</v>
      </c>
      <c r="BI78" s="50" t="e">
        <f t="shared" ca="1" si="1056"/>
        <v>#NAME?</v>
      </c>
      <c r="BJ78" s="50" t="e">
        <f t="shared" ca="1" si="1056"/>
        <v>#NAME?</v>
      </c>
      <c r="BK78" s="50" t="e">
        <f t="shared" ca="1" si="1056"/>
        <v>#NAME?</v>
      </c>
      <c r="BL78" s="50" t="e">
        <f t="shared" ca="1" si="1056"/>
        <v>#NAME?</v>
      </c>
      <c r="BM78" s="50" t="e">
        <f t="shared" ca="1" si="1056"/>
        <v>#NAME?</v>
      </c>
      <c r="BN78" s="50" t="e">
        <f t="shared" ca="1" si="1056"/>
        <v>#NAME?</v>
      </c>
      <c r="BO78" s="50" t="e">
        <f t="shared" ca="1" si="1056"/>
        <v>#NAME?</v>
      </c>
      <c r="BP78" s="50" t="e">
        <f t="shared" ca="1" si="1056"/>
        <v>#NAME?</v>
      </c>
      <c r="BQ78" s="50" t="e">
        <f t="shared" ca="1" si="1056"/>
        <v>#NAME?</v>
      </c>
      <c r="BR78" s="50" t="e">
        <f t="shared" ca="1" si="1056"/>
        <v>#NAME?</v>
      </c>
      <c r="BS78" s="50" t="e">
        <f t="shared" ca="1" si="1056"/>
        <v>#NAME?</v>
      </c>
      <c r="BT78" s="50" t="e">
        <f t="shared" ca="1" si="1056"/>
        <v>#NAME?</v>
      </c>
      <c r="BU78" s="50" t="e">
        <f t="shared" ca="1" si="1056"/>
        <v>#NAME?</v>
      </c>
      <c r="BV78" s="50" t="e">
        <f t="shared" ca="1" si="1056"/>
        <v>#NAME?</v>
      </c>
      <c r="BW78" s="50" t="e">
        <f t="shared" ref="BW78:BX78" ca="1" si="1057">+BW77/BW64</f>
        <v>#NAME?</v>
      </c>
      <c r="BX78" s="50" t="e">
        <f t="shared" ca="1" si="1057"/>
        <v>#NAME?</v>
      </c>
      <c r="BY78" s="50" t="e">
        <f t="shared" ref="BY78" ca="1" si="1058">+BY77/BY64</f>
        <v>#NAME?</v>
      </c>
      <c r="BZ78" s="51" t="e">
        <f t="shared" ca="1" si="1056"/>
        <v>#NAME?</v>
      </c>
      <c r="CA78" s="51" t="e">
        <f t="shared" ca="1" si="1056"/>
        <v>#NAME?</v>
      </c>
      <c r="CB78" s="51" t="e">
        <f t="shared" ca="1" si="1056"/>
        <v>#NAME?</v>
      </c>
      <c r="CC78" s="51" t="e">
        <f t="shared" ca="1" si="1056"/>
        <v>#NAME?</v>
      </c>
      <c r="CD78" s="51" t="e">
        <f t="shared" ca="1" si="1056"/>
        <v>#NAME?</v>
      </c>
      <c r="CE78" s="51" t="e">
        <f t="shared" ca="1" si="1056"/>
        <v>#NAME?</v>
      </c>
      <c r="CF78" s="51" t="e">
        <f t="shared" ca="1" si="1056"/>
        <v>#NAME?</v>
      </c>
      <c r="CG78" s="51" t="e">
        <f t="shared" ca="1" si="1056"/>
        <v>#NAME?</v>
      </c>
      <c r="CH78" s="51" t="e">
        <f t="shared" ca="1" si="1056"/>
        <v>#NAME?</v>
      </c>
      <c r="CI78" s="51" t="e">
        <f t="shared" ca="1" si="1056"/>
        <v>#NAME?</v>
      </c>
      <c r="CJ78" s="51" t="e">
        <f t="shared" ca="1" si="1056"/>
        <v>#NAME?</v>
      </c>
      <c r="CK78" s="51" t="e">
        <f t="shared" ca="1" si="1056"/>
        <v>#NAME?</v>
      </c>
      <c r="CL78" s="51" t="e">
        <f t="shared" ca="1" si="1056"/>
        <v>#NAME?</v>
      </c>
      <c r="CM78" s="51" t="e">
        <f t="shared" ca="1" si="1056"/>
        <v>#NAME?</v>
      </c>
      <c r="CN78" s="51" t="e">
        <f t="shared" ca="1" si="1056"/>
        <v>#NAME?</v>
      </c>
      <c r="CO78" s="51" t="e">
        <f t="shared" ca="1" si="1056"/>
        <v>#NAME?</v>
      </c>
    </row>
    <row r="79" spans="1:97" s="50" customFormat="1" x14ac:dyDescent="0.2">
      <c r="AB79" s="51"/>
      <c r="AC79" s="51"/>
      <c r="AD79" s="51"/>
      <c r="AE79" s="51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7" s="50" customFormat="1" x14ac:dyDescent="0.2">
      <c r="A80" s="50" t="s">
        <v>340</v>
      </c>
      <c r="B80" s="114" t="e">
        <f t="shared" ref="B80:Z80" ca="1" si="1059">+B76/B119</f>
        <v>#NAME?</v>
      </c>
      <c r="C80" s="114" t="e">
        <f t="shared" ca="1" si="1059"/>
        <v>#NAME?</v>
      </c>
      <c r="D80" s="114" t="e">
        <f t="shared" ca="1" si="1059"/>
        <v>#NAME?</v>
      </c>
      <c r="E80" s="114" t="e">
        <f t="shared" ca="1" si="1059"/>
        <v>#NAME?</v>
      </c>
      <c r="F80" s="114" t="e">
        <f t="shared" ca="1" si="1059"/>
        <v>#NAME?</v>
      </c>
      <c r="G80" s="114" t="e">
        <f t="shared" ca="1" si="1059"/>
        <v>#NAME?</v>
      </c>
      <c r="H80" s="114" t="e">
        <f t="shared" ca="1" si="1059"/>
        <v>#NAME?</v>
      </c>
      <c r="I80" s="114" t="e">
        <f t="shared" ca="1" si="1059"/>
        <v>#NAME?</v>
      </c>
      <c r="J80" s="114" t="e">
        <f t="shared" ca="1" si="1059"/>
        <v>#NAME?</v>
      </c>
      <c r="K80" s="114" t="e">
        <f t="shared" ca="1" si="1059"/>
        <v>#NAME?</v>
      </c>
      <c r="L80" s="114" t="e">
        <f t="shared" ca="1" si="1059"/>
        <v>#NAME?</v>
      </c>
      <c r="M80" s="114" t="e">
        <f t="shared" ca="1" si="1059"/>
        <v>#NAME?</v>
      </c>
      <c r="N80" s="114" t="e">
        <f t="shared" ca="1" si="1059"/>
        <v>#NAME?</v>
      </c>
      <c r="O80" s="114" t="e">
        <f t="shared" ca="1" si="1059"/>
        <v>#NAME?</v>
      </c>
      <c r="P80" s="114" t="e">
        <f t="shared" ca="1" si="1059"/>
        <v>#NAME?</v>
      </c>
      <c r="Q80" s="114" t="e">
        <f t="shared" ca="1" si="1059"/>
        <v>#NAME?</v>
      </c>
      <c r="R80" s="114" t="e">
        <f t="shared" ca="1" si="1059"/>
        <v>#NAME?</v>
      </c>
      <c r="S80" s="114" t="e">
        <f t="shared" ca="1" si="1059"/>
        <v>#NAME?</v>
      </c>
      <c r="T80" s="114" t="e">
        <f t="shared" ca="1" si="1059"/>
        <v>#NAME?</v>
      </c>
      <c r="U80" s="114" t="e">
        <f t="shared" ca="1" si="1059"/>
        <v>#NAME?</v>
      </c>
      <c r="V80" s="114" t="e">
        <f t="shared" ca="1" si="1059"/>
        <v>#NAME?</v>
      </c>
      <c r="W80" s="114" t="e">
        <f t="shared" ca="1" si="1059"/>
        <v>#NAME?</v>
      </c>
      <c r="X80" s="114" t="e">
        <f t="shared" ca="1" si="1059"/>
        <v>#NAME?</v>
      </c>
      <c r="Y80" s="114" t="e">
        <f t="shared" ca="1" si="1059"/>
        <v>#NAME?</v>
      </c>
      <c r="Z80" s="114" t="e">
        <f t="shared" ca="1" si="1059"/>
        <v>#NAME?</v>
      </c>
      <c r="AA80" s="114" t="e">
        <f t="shared" ref="AA80" ca="1" si="1060">+AA76/AA119</f>
        <v>#NAME?</v>
      </c>
      <c r="AB80" s="51"/>
      <c r="AC80" s="51"/>
      <c r="AD80" s="51"/>
      <c r="AE80" s="51"/>
      <c r="AG80" s="64"/>
      <c r="AI80" s="114" t="e">
        <f t="shared" ref="AI80:AS80" ca="1" si="1061">+AI76/AI119</f>
        <v>#NAME?</v>
      </c>
      <c r="AJ80" s="114" t="e">
        <f t="shared" ca="1" si="1061"/>
        <v>#NAME?</v>
      </c>
      <c r="AK80" s="114" t="e">
        <f t="shared" ca="1" si="1061"/>
        <v>#NAME?</v>
      </c>
      <c r="AL80" s="114" t="e">
        <f t="shared" ca="1" si="1061"/>
        <v>#NAME?</v>
      </c>
      <c r="AM80" s="114" t="e">
        <f t="shared" ca="1" si="1061"/>
        <v>#NAME?</v>
      </c>
      <c r="AN80" s="114" t="e">
        <f t="shared" ca="1" si="1061"/>
        <v>#NAME?</v>
      </c>
      <c r="AO80" s="114" t="e">
        <f t="shared" ca="1" si="1061"/>
        <v>#NAME?</v>
      </c>
      <c r="AP80" s="114" t="e">
        <f t="shared" ca="1" si="1061"/>
        <v>#NAME?</v>
      </c>
      <c r="AQ80" s="114" t="e">
        <f t="shared" ca="1" si="1061"/>
        <v>#NAME?</v>
      </c>
      <c r="AR80" s="114" t="e">
        <f t="shared" ca="1" si="1061"/>
        <v>#NAME?</v>
      </c>
      <c r="AS80" s="114" t="e">
        <f t="shared" ca="1" si="1061"/>
        <v>#NAME?</v>
      </c>
      <c r="AT80" s="114" t="e">
        <f t="shared" ref="AT80:BV80" ca="1" si="1062">+AT76/AT119</f>
        <v>#NAME?</v>
      </c>
      <c r="AU80" s="114" t="e">
        <f t="shared" ca="1" si="1062"/>
        <v>#NAME?</v>
      </c>
      <c r="AV80" s="114" t="e">
        <f t="shared" ca="1" si="1062"/>
        <v>#NAME?</v>
      </c>
      <c r="AW80" s="114" t="e">
        <f t="shared" ca="1" si="1062"/>
        <v>#NAME?</v>
      </c>
      <c r="AX80" s="114" t="e">
        <f t="shared" ca="1" si="1062"/>
        <v>#NAME?</v>
      </c>
      <c r="AY80" s="114" t="e">
        <f t="shared" ca="1" si="1062"/>
        <v>#NAME?</v>
      </c>
      <c r="AZ80" s="114" t="e">
        <f t="shared" ca="1" si="1062"/>
        <v>#NAME?</v>
      </c>
      <c r="BA80" s="114" t="e">
        <f t="shared" ca="1" si="1062"/>
        <v>#NAME?</v>
      </c>
      <c r="BB80" s="114" t="e">
        <f t="shared" ca="1" si="1062"/>
        <v>#NAME?</v>
      </c>
      <c r="BC80" s="114" t="e">
        <f t="shared" ca="1" si="1062"/>
        <v>#NAME?</v>
      </c>
      <c r="BD80" s="114" t="e">
        <f t="shared" ca="1" si="1062"/>
        <v>#NAME?</v>
      </c>
      <c r="BE80" s="114" t="e">
        <f t="shared" ca="1" si="1062"/>
        <v>#NAME?</v>
      </c>
      <c r="BF80" s="114" t="e">
        <f t="shared" ca="1" si="1062"/>
        <v>#NAME?</v>
      </c>
      <c r="BG80" s="114" t="e">
        <f t="shared" ca="1" si="1062"/>
        <v>#NAME?</v>
      </c>
      <c r="BH80" s="114" t="e">
        <f t="shared" ca="1" si="1062"/>
        <v>#NAME?</v>
      </c>
      <c r="BI80" s="114" t="e">
        <f t="shared" ca="1" si="1062"/>
        <v>#NAME?</v>
      </c>
      <c r="BJ80" s="114" t="e">
        <f t="shared" ca="1" si="1062"/>
        <v>#NAME?</v>
      </c>
      <c r="BK80" s="114" t="e">
        <f t="shared" ca="1" si="1062"/>
        <v>#NAME?</v>
      </c>
      <c r="BL80" s="114" t="e">
        <f t="shared" ca="1" si="1062"/>
        <v>#NAME?</v>
      </c>
      <c r="BM80" s="114" t="e">
        <f t="shared" ca="1" si="1062"/>
        <v>#NAME?</v>
      </c>
      <c r="BN80" s="114" t="e">
        <f t="shared" ca="1" si="1062"/>
        <v>#NAME?</v>
      </c>
      <c r="BO80" s="114" t="e">
        <f t="shared" ca="1" si="1062"/>
        <v>#NAME?</v>
      </c>
      <c r="BP80" s="114" t="e">
        <f t="shared" ca="1" si="1062"/>
        <v>#NAME?</v>
      </c>
      <c r="BQ80" s="114" t="e">
        <f t="shared" ca="1" si="1062"/>
        <v>#NAME?</v>
      </c>
      <c r="BR80" s="114" t="e">
        <f t="shared" ca="1" si="1062"/>
        <v>#NAME?</v>
      </c>
      <c r="BS80" s="114" t="e">
        <f t="shared" ca="1" si="1062"/>
        <v>#NAME?</v>
      </c>
      <c r="BT80" s="114" t="e">
        <f t="shared" ca="1" si="1062"/>
        <v>#NAME?</v>
      </c>
      <c r="BU80" s="114" t="e">
        <f t="shared" ca="1" si="1062"/>
        <v>#NAME?</v>
      </c>
      <c r="BV80" s="114" t="e">
        <f t="shared" ca="1" si="1062"/>
        <v>#NAME?</v>
      </c>
      <c r="BW80" s="114" t="e">
        <f t="shared" ref="BW80:BX80" ca="1" si="1063">+BW76/BW119</f>
        <v>#NAME?</v>
      </c>
      <c r="BX80" s="114" t="e">
        <f t="shared" ca="1" si="1063"/>
        <v>#NAME?</v>
      </c>
      <c r="BY80" s="114" t="e">
        <f t="shared" ref="BY80" ca="1" si="1064">+BY76/BY119</f>
        <v>#NAME?</v>
      </c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7" s="50" customFormat="1" x14ac:dyDescent="0.2">
      <c r="A81" s="50" t="s">
        <v>341</v>
      </c>
      <c r="B81" s="114" t="e">
        <f t="shared" ref="B81:Z81" ca="1" si="1065">+B77/B119</f>
        <v>#NAME?</v>
      </c>
      <c r="C81" s="114" t="e">
        <f t="shared" ca="1" si="1065"/>
        <v>#NAME?</v>
      </c>
      <c r="D81" s="114" t="e">
        <f t="shared" ca="1" si="1065"/>
        <v>#NAME?</v>
      </c>
      <c r="E81" s="114" t="e">
        <f t="shared" ca="1" si="1065"/>
        <v>#NAME?</v>
      </c>
      <c r="F81" s="114" t="e">
        <f t="shared" ca="1" si="1065"/>
        <v>#NAME?</v>
      </c>
      <c r="G81" s="114" t="e">
        <f t="shared" ca="1" si="1065"/>
        <v>#NAME?</v>
      </c>
      <c r="H81" s="114" t="e">
        <f t="shared" ca="1" si="1065"/>
        <v>#NAME?</v>
      </c>
      <c r="I81" s="114" t="e">
        <f t="shared" ca="1" si="1065"/>
        <v>#NAME?</v>
      </c>
      <c r="J81" s="114" t="e">
        <f t="shared" ca="1" si="1065"/>
        <v>#NAME?</v>
      </c>
      <c r="K81" s="114" t="e">
        <f t="shared" ca="1" si="1065"/>
        <v>#NAME?</v>
      </c>
      <c r="L81" s="114" t="e">
        <f t="shared" ca="1" si="1065"/>
        <v>#NAME?</v>
      </c>
      <c r="M81" s="114" t="e">
        <f t="shared" ca="1" si="1065"/>
        <v>#NAME?</v>
      </c>
      <c r="N81" s="114" t="e">
        <f t="shared" ca="1" si="1065"/>
        <v>#NAME?</v>
      </c>
      <c r="O81" s="114" t="e">
        <f t="shared" ca="1" si="1065"/>
        <v>#NAME?</v>
      </c>
      <c r="P81" s="114" t="e">
        <f t="shared" ca="1" si="1065"/>
        <v>#NAME?</v>
      </c>
      <c r="Q81" s="114" t="e">
        <f t="shared" ca="1" si="1065"/>
        <v>#NAME?</v>
      </c>
      <c r="R81" s="114" t="e">
        <f t="shared" ca="1" si="1065"/>
        <v>#NAME?</v>
      </c>
      <c r="S81" s="114" t="e">
        <f t="shared" ca="1" si="1065"/>
        <v>#NAME?</v>
      </c>
      <c r="T81" s="114" t="e">
        <f t="shared" ca="1" si="1065"/>
        <v>#NAME?</v>
      </c>
      <c r="U81" s="114" t="e">
        <f t="shared" ca="1" si="1065"/>
        <v>#NAME?</v>
      </c>
      <c r="V81" s="114" t="e">
        <f t="shared" ca="1" si="1065"/>
        <v>#NAME?</v>
      </c>
      <c r="W81" s="114" t="e">
        <f t="shared" ca="1" si="1065"/>
        <v>#NAME?</v>
      </c>
      <c r="X81" s="114" t="e">
        <f t="shared" ca="1" si="1065"/>
        <v>#NAME?</v>
      </c>
      <c r="Y81" s="114" t="e">
        <f t="shared" ca="1" si="1065"/>
        <v>#NAME?</v>
      </c>
      <c r="Z81" s="114" t="e">
        <f t="shared" ca="1" si="1065"/>
        <v>#NAME?</v>
      </c>
      <c r="AA81" s="114" t="e">
        <f t="shared" ref="AA81" ca="1" si="1066">+AA77/AA119</f>
        <v>#NAME?</v>
      </c>
      <c r="AB81" s="51"/>
      <c r="AC81" s="51"/>
      <c r="AD81" s="51"/>
      <c r="AE81" s="51"/>
      <c r="AG81" s="64"/>
      <c r="AI81" s="114" t="e">
        <f t="shared" ref="AI81:AS81" ca="1" si="1067">+AI77/AI119</f>
        <v>#NAME?</v>
      </c>
      <c r="AJ81" s="114" t="e">
        <f t="shared" ca="1" si="1067"/>
        <v>#NAME?</v>
      </c>
      <c r="AK81" s="114" t="e">
        <f t="shared" ca="1" si="1067"/>
        <v>#NAME?</v>
      </c>
      <c r="AL81" s="114" t="e">
        <f t="shared" ca="1" si="1067"/>
        <v>#NAME?</v>
      </c>
      <c r="AM81" s="114" t="e">
        <f t="shared" ca="1" si="1067"/>
        <v>#NAME?</v>
      </c>
      <c r="AN81" s="114" t="e">
        <f t="shared" ca="1" si="1067"/>
        <v>#NAME?</v>
      </c>
      <c r="AO81" s="114" t="e">
        <f t="shared" ca="1" si="1067"/>
        <v>#NAME?</v>
      </c>
      <c r="AP81" s="114" t="e">
        <f t="shared" ca="1" si="1067"/>
        <v>#NAME?</v>
      </c>
      <c r="AQ81" s="114" t="e">
        <f t="shared" ca="1" si="1067"/>
        <v>#NAME?</v>
      </c>
      <c r="AR81" s="114" t="e">
        <f t="shared" ca="1" si="1067"/>
        <v>#NAME?</v>
      </c>
      <c r="AS81" s="114" t="e">
        <f t="shared" ca="1" si="1067"/>
        <v>#NAME?</v>
      </c>
      <c r="AT81" s="114" t="e">
        <f t="shared" ref="AT81:BV81" ca="1" si="1068">+AT77/AT119</f>
        <v>#NAME?</v>
      </c>
      <c r="AU81" s="114" t="e">
        <f t="shared" ca="1" si="1068"/>
        <v>#NAME?</v>
      </c>
      <c r="AV81" s="114" t="e">
        <f t="shared" ca="1" si="1068"/>
        <v>#NAME?</v>
      </c>
      <c r="AW81" s="114" t="e">
        <f t="shared" ca="1" si="1068"/>
        <v>#NAME?</v>
      </c>
      <c r="AX81" s="114" t="e">
        <f t="shared" ca="1" si="1068"/>
        <v>#NAME?</v>
      </c>
      <c r="AY81" s="114" t="e">
        <f t="shared" ca="1" si="1068"/>
        <v>#NAME?</v>
      </c>
      <c r="AZ81" s="114" t="e">
        <f t="shared" ca="1" si="1068"/>
        <v>#NAME?</v>
      </c>
      <c r="BA81" s="114" t="e">
        <f t="shared" ca="1" si="1068"/>
        <v>#NAME?</v>
      </c>
      <c r="BB81" s="114" t="e">
        <f t="shared" ca="1" si="1068"/>
        <v>#NAME?</v>
      </c>
      <c r="BC81" s="114" t="e">
        <f t="shared" ca="1" si="1068"/>
        <v>#NAME?</v>
      </c>
      <c r="BD81" s="114" t="e">
        <f t="shared" ca="1" si="1068"/>
        <v>#NAME?</v>
      </c>
      <c r="BE81" s="114" t="e">
        <f t="shared" ca="1" si="1068"/>
        <v>#NAME?</v>
      </c>
      <c r="BF81" s="114" t="e">
        <f t="shared" ca="1" si="1068"/>
        <v>#NAME?</v>
      </c>
      <c r="BG81" s="114" t="e">
        <f t="shared" ca="1" si="1068"/>
        <v>#NAME?</v>
      </c>
      <c r="BH81" s="114" t="e">
        <f t="shared" ca="1" si="1068"/>
        <v>#NAME?</v>
      </c>
      <c r="BI81" s="114" t="e">
        <f t="shared" ca="1" si="1068"/>
        <v>#NAME?</v>
      </c>
      <c r="BJ81" s="114" t="e">
        <f t="shared" ca="1" si="1068"/>
        <v>#NAME?</v>
      </c>
      <c r="BK81" s="114" t="e">
        <f t="shared" ca="1" si="1068"/>
        <v>#NAME?</v>
      </c>
      <c r="BL81" s="114" t="e">
        <f t="shared" ca="1" si="1068"/>
        <v>#NAME?</v>
      </c>
      <c r="BM81" s="114" t="e">
        <f t="shared" ca="1" si="1068"/>
        <v>#NAME?</v>
      </c>
      <c r="BN81" s="114" t="e">
        <f t="shared" ca="1" si="1068"/>
        <v>#NAME?</v>
      </c>
      <c r="BO81" s="114" t="e">
        <f t="shared" ca="1" si="1068"/>
        <v>#NAME?</v>
      </c>
      <c r="BP81" s="114" t="e">
        <f t="shared" ca="1" si="1068"/>
        <v>#NAME?</v>
      </c>
      <c r="BQ81" s="114" t="e">
        <f t="shared" ca="1" si="1068"/>
        <v>#NAME?</v>
      </c>
      <c r="BR81" s="114" t="e">
        <f t="shared" ca="1" si="1068"/>
        <v>#NAME?</v>
      </c>
      <c r="BS81" s="114" t="e">
        <f t="shared" ca="1" si="1068"/>
        <v>#NAME?</v>
      </c>
      <c r="BT81" s="114" t="e">
        <f t="shared" ca="1" si="1068"/>
        <v>#NAME?</v>
      </c>
      <c r="BU81" s="114" t="e">
        <f t="shared" ca="1" si="1068"/>
        <v>#NAME?</v>
      </c>
      <c r="BV81" s="114" t="e">
        <f t="shared" ca="1" si="1068"/>
        <v>#NAME?</v>
      </c>
      <c r="BW81" s="114" t="e">
        <f t="shared" ref="BW81:BX81" ca="1" si="1069">+BW77/BW119</f>
        <v>#NAME?</v>
      </c>
      <c r="BX81" s="114" t="e">
        <f t="shared" ca="1" si="1069"/>
        <v>#NAME?</v>
      </c>
      <c r="BY81" s="114" t="e">
        <f t="shared" ref="BY81" ca="1" si="1070">+BY77/BY119</f>
        <v>#NAME?</v>
      </c>
      <c r="BZ81" s="117" t="e">
        <f t="shared" ref="BZ81:CO81" ca="1" si="1071">+BY81</f>
        <v>#NAME?</v>
      </c>
      <c r="CA81" s="117" t="e">
        <f t="shared" ca="1" si="1071"/>
        <v>#NAME?</v>
      </c>
      <c r="CB81" s="117" t="e">
        <f t="shared" ca="1" si="1071"/>
        <v>#NAME?</v>
      </c>
      <c r="CC81" s="117" t="e">
        <f t="shared" ca="1" si="1071"/>
        <v>#NAME?</v>
      </c>
      <c r="CD81" s="117" t="e">
        <f t="shared" ca="1" si="1071"/>
        <v>#NAME?</v>
      </c>
      <c r="CE81" s="117" t="e">
        <f t="shared" ca="1" si="1071"/>
        <v>#NAME?</v>
      </c>
      <c r="CF81" s="117" t="e">
        <f t="shared" ca="1" si="1071"/>
        <v>#NAME?</v>
      </c>
      <c r="CG81" s="117" t="e">
        <f t="shared" ca="1" si="1071"/>
        <v>#NAME?</v>
      </c>
      <c r="CH81" s="117" t="e">
        <f t="shared" ca="1" si="1071"/>
        <v>#NAME?</v>
      </c>
      <c r="CI81" s="117" t="e">
        <f t="shared" ca="1" si="1071"/>
        <v>#NAME?</v>
      </c>
      <c r="CJ81" s="117" t="e">
        <f t="shared" ca="1" si="1071"/>
        <v>#NAME?</v>
      </c>
      <c r="CK81" s="117" t="e">
        <f t="shared" ca="1" si="1071"/>
        <v>#NAME?</v>
      </c>
      <c r="CL81" s="117" t="e">
        <f t="shared" ca="1" si="1071"/>
        <v>#NAME?</v>
      </c>
      <c r="CM81" s="117" t="e">
        <f t="shared" ca="1" si="1071"/>
        <v>#NAME?</v>
      </c>
      <c r="CN81" s="117" t="e">
        <f t="shared" ca="1" si="1071"/>
        <v>#NAME?</v>
      </c>
      <c r="CO81" s="117" t="e">
        <f t="shared" ca="1" si="1071"/>
        <v>#NAME?</v>
      </c>
      <c r="CS81" s="157"/>
    </row>
    <row r="82" spans="1:97" s="50" customFormat="1" x14ac:dyDescent="0.2">
      <c r="AB82" s="51"/>
      <c r="AC82" s="51"/>
      <c r="AD82" s="51"/>
      <c r="AE82" s="51"/>
      <c r="AG82" s="64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</row>
    <row r="83" spans="1:97" s="50" customFormat="1" x14ac:dyDescent="0.2">
      <c r="A83" s="50" t="s">
        <v>346</v>
      </c>
      <c r="B83" s="50" t="e">
        <f ca="1">+'Annual Raw'!C54</f>
        <v>#NAME?</v>
      </c>
      <c r="C83" s="50" t="e">
        <f ca="1">+'Annual Raw'!D54</f>
        <v>#NAME?</v>
      </c>
      <c r="D83" s="50" t="e">
        <f ca="1">+'Annual Raw'!E54</f>
        <v>#NAME?</v>
      </c>
      <c r="E83" s="50" t="e">
        <f ca="1">+'Annual Raw'!F54</f>
        <v>#NAME?</v>
      </c>
      <c r="F83" s="50" t="e">
        <f ca="1">+'Annual Raw'!G54</f>
        <v>#NAME?</v>
      </c>
      <c r="G83" s="50" t="e">
        <f ca="1">+'Annual Raw'!H54</f>
        <v>#NAME?</v>
      </c>
      <c r="H83" s="50" t="e">
        <f ca="1">+'Annual Raw'!I54</f>
        <v>#NAME?</v>
      </c>
      <c r="I83" s="50" t="e">
        <f ca="1">+'Annual Raw'!J54</f>
        <v>#NAME?</v>
      </c>
      <c r="J83" s="50" t="e">
        <f ca="1">+'Annual Raw'!K54</f>
        <v>#NAME?</v>
      </c>
      <c r="K83" s="50" t="e">
        <f ca="1">+'Annual Raw'!L54</f>
        <v>#NAME?</v>
      </c>
      <c r="L83" s="50" t="e">
        <f ca="1">+'Annual Raw'!M54</f>
        <v>#NAME?</v>
      </c>
      <c r="M83" s="50" t="e">
        <f ca="1">+'Annual Raw'!N54</f>
        <v>#NAME?</v>
      </c>
      <c r="N83" s="50" t="e">
        <f ca="1">+'Annual Raw'!O54</f>
        <v>#NAME?</v>
      </c>
      <c r="O83" s="50" t="e">
        <f ca="1">+'Annual Raw'!P54</f>
        <v>#NAME?</v>
      </c>
      <c r="P83" s="50" t="e">
        <f ca="1">+'Annual Raw'!Q54</f>
        <v>#NAME?</v>
      </c>
      <c r="Q83" s="50" t="e">
        <f ca="1">+'Annual Raw'!R54</f>
        <v>#NAME?</v>
      </c>
      <c r="R83" s="50" t="e">
        <f ca="1">+'Annual Raw'!S54</f>
        <v>#NAME?</v>
      </c>
      <c r="S83" s="50" t="e">
        <f ca="1">+'Annual Raw'!T54</f>
        <v>#NAME?</v>
      </c>
      <c r="T83" s="50" t="e">
        <f ca="1">+'Annual Raw'!U54</f>
        <v>#NAME?</v>
      </c>
      <c r="U83" s="50" t="e">
        <f ca="1">+'Annual Raw'!V54</f>
        <v>#NAME?</v>
      </c>
      <c r="V83" s="50" t="e">
        <f ca="1">+'Annual Raw'!W54</f>
        <v>#NAME?</v>
      </c>
      <c r="W83" s="50" t="e">
        <f ca="1">+'Annual Raw'!X54</f>
        <v>#NAME?</v>
      </c>
      <c r="X83" s="50" t="e">
        <f ca="1">+'Annual Raw'!Y54</f>
        <v>#NAME?</v>
      </c>
      <c r="Y83" s="50" t="e">
        <f ca="1">+'Annual Raw'!Z54</f>
        <v>#NAME?</v>
      </c>
      <c r="Z83" s="50" t="e">
        <f ca="1">+'Annual Raw'!AA54</f>
        <v>#NAME?</v>
      </c>
      <c r="AA83" s="50" t="e">
        <f ca="1">+'Annual Raw'!AB54</f>
        <v>#NAME?</v>
      </c>
      <c r="AB83" s="51"/>
      <c r="AC83" s="51"/>
      <c r="AD83" s="51"/>
      <c r="AE83" s="51"/>
      <c r="AG83" s="64"/>
      <c r="AH83" s="50" t="e">
        <f ca="1">+'QTR Raw'!C48</f>
        <v>#NAME?</v>
      </c>
      <c r="AI83" s="50" t="e">
        <f ca="1">+'QTR Raw'!D48</f>
        <v>#NAME?</v>
      </c>
      <c r="AJ83" s="50" t="e">
        <f ca="1">+'QTR Raw'!E48</f>
        <v>#NAME?</v>
      </c>
      <c r="AK83" s="50" t="e">
        <f ca="1">+'QTR Raw'!F48</f>
        <v>#NAME?</v>
      </c>
      <c r="AL83" s="50" t="e">
        <f ca="1">+'QTR Raw'!G48</f>
        <v>#NAME?</v>
      </c>
      <c r="AM83" s="50" t="e">
        <f ca="1">+'QTR Raw'!H48</f>
        <v>#NAME?</v>
      </c>
      <c r="AN83" s="50" t="e">
        <f ca="1">+'QTR Raw'!I48</f>
        <v>#NAME?</v>
      </c>
      <c r="AO83" s="50" t="e">
        <f ca="1">+'QTR Raw'!J48</f>
        <v>#NAME?</v>
      </c>
      <c r="AP83" s="50" t="e">
        <f ca="1">+'QTR Raw'!K48</f>
        <v>#NAME?</v>
      </c>
      <c r="AQ83" s="50" t="e">
        <f ca="1">+'QTR Raw'!L48</f>
        <v>#NAME?</v>
      </c>
      <c r="AR83" s="50" t="e">
        <f ca="1">+'QTR Raw'!M48</f>
        <v>#NAME?</v>
      </c>
      <c r="AS83" s="50" t="e">
        <f ca="1">+'QTR Raw'!N48</f>
        <v>#NAME?</v>
      </c>
      <c r="AT83" s="50" t="e">
        <f ca="1">+'QTR Raw'!O48</f>
        <v>#NAME?</v>
      </c>
      <c r="AU83" s="50" t="e">
        <f ca="1">+'QTR Raw'!P48</f>
        <v>#NAME?</v>
      </c>
      <c r="AV83" s="50" t="e">
        <f ca="1">+'QTR Raw'!Q48</f>
        <v>#NAME?</v>
      </c>
      <c r="AW83" s="50" t="e">
        <f ca="1">+'QTR Raw'!R48</f>
        <v>#NAME?</v>
      </c>
      <c r="AX83" s="50" t="e">
        <f ca="1">+'QTR Raw'!S48</f>
        <v>#NAME?</v>
      </c>
      <c r="AY83" s="50" t="e">
        <f ca="1">+'QTR Raw'!T48</f>
        <v>#NAME?</v>
      </c>
      <c r="AZ83" s="50" t="e">
        <f ca="1">+'QTR Raw'!U48</f>
        <v>#NAME?</v>
      </c>
      <c r="BA83" s="50" t="e">
        <f ca="1">+'QTR Raw'!V48</f>
        <v>#NAME?</v>
      </c>
      <c r="BB83" s="50" t="e">
        <f ca="1">+'QTR Raw'!W48</f>
        <v>#NAME?</v>
      </c>
      <c r="BC83" s="50" t="e">
        <f ca="1">+'QTR Raw'!X48</f>
        <v>#NAME?</v>
      </c>
      <c r="BD83" s="50" t="e">
        <f ca="1">+'QTR Raw'!Y48</f>
        <v>#NAME?</v>
      </c>
      <c r="BE83" s="50" t="e">
        <f ca="1">+'QTR Raw'!Z48</f>
        <v>#NAME?</v>
      </c>
      <c r="BF83" s="50" t="e">
        <f ca="1">+'QTR Raw'!AA48</f>
        <v>#NAME?</v>
      </c>
      <c r="BG83" s="50" t="e">
        <f ca="1">+'QTR Raw'!AB48</f>
        <v>#NAME?</v>
      </c>
      <c r="BH83" s="50" t="e">
        <f ca="1">+'QTR Raw'!AC48</f>
        <v>#NAME?</v>
      </c>
      <c r="BI83" s="50" t="e">
        <f ca="1">+'QTR Raw'!AD48</f>
        <v>#NAME?</v>
      </c>
      <c r="BJ83" s="50" t="e">
        <f ca="1">+'QTR Raw'!AE48</f>
        <v>#NAME?</v>
      </c>
      <c r="BK83" s="50" t="e">
        <f ca="1">+'QTR Raw'!AF48</f>
        <v>#NAME?</v>
      </c>
      <c r="BL83" s="50" t="e">
        <f ca="1">+'QTR Raw'!AG48</f>
        <v>#NAME?</v>
      </c>
      <c r="BM83" s="50" t="e">
        <f ca="1">+'QTR Raw'!AH48</f>
        <v>#NAME?</v>
      </c>
      <c r="BN83" s="50" t="e">
        <f ca="1">+'QTR Raw'!AI48</f>
        <v>#NAME?</v>
      </c>
      <c r="BO83" s="50" t="e">
        <f ca="1">+'QTR Raw'!AJ48</f>
        <v>#NAME?</v>
      </c>
      <c r="BP83" s="50" t="e">
        <f ca="1">+'QTR Raw'!AK48</f>
        <v>#NAME?</v>
      </c>
      <c r="BQ83" s="50" t="e">
        <f ca="1">+'QTR Raw'!AL48</f>
        <v>#NAME?</v>
      </c>
      <c r="BR83" s="50" t="e">
        <f ca="1">+'QTR Raw'!AM48</f>
        <v>#NAME?</v>
      </c>
      <c r="BS83" s="50" t="e">
        <f ca="1">+'QTR Raw'!AN48</f>
        <v>#NAME?</v>
      </c>
      <c r="BT83" s="50" t="e">
        <f ca="1">+'QTR Raw'!AO48</f>
        <v>#NAME?</v>
      </c>
      <c r="BU83" s="50" t="e">
        <f ca="1">+'QTR Raw'!AP48</f>
        <v>#NAME?</v>
      </c>
      <c r="BV83" s="50" t="e">
        <f ca="1">+'QTR Raw'!AQ48</f>
        <v>#NAME?</v>
      </c>
      <c r="BW83" s="50" t="e">
        <f ca="1">+'QTR Raw'!AR48</f>
        <v>#NAME?</v>
      </c>
      <c r="BX83" s="50" t="e">
        <f ca="1">+'QTR Raw'!AS48</f>
        <v>#NAME?</v>
      </c>
      <c r="BY83" s="50" t="e">
        <f ca="1">+'QTR Raw'!AT48</f>
        <v>#NAME?</v>
      </c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</row>
    <row r="84" spans="1:97" s="38" customFormat="1" x14ac:dyDescent="0.2">
      <c r="A84" s="38" t="s">
        <v>345</v>
      </c>
      <c r="D84" s="114" t="e">
        <f t="shared" ref="D84:Z84" ca="1" si="1072">+D36/D86</f>
        <v>#NAME?</v>
      </c>
      <c r="E84" s="114" t="e">
        <f t="shared" ca="1" si="1072"/>
        <v>#NAME?</v>
      </c>
      <c r="F84" s="114" t="e">
        <f t="shared" ca="1" si="1072"/>
        <v>#NAME?</v>
      </c>
      <c r="G84" s="114" t="e">
        <f t="shared" ca="1" si="1072"/>
        <v>#NAME?</v>
      </c>
      <c r="H84" s="114" t="e">
        <f t="shared" ca="1" si="1072"/>
        <v>#NAME?</v>
      </c>
      <c r="I84" s="114" t="e">
        <f t="shared" ca="1" si="1072"/>
        <v>#NAME?</v>
      </c>
      <c r="J84" s="114" t="e">
        <f t="shared" ca="1" si="1072"/>
        <v>#NAME?</v>
      </c>
      <c r="K84" s="114" t="e">
        <f t="shared" ca="1" si="1072"/>
        <v>#NAME?</v>
      </c>
      <c r="L84" s="114" t="e">
        <f t="shared" ca="1" si="1072"/>
        <v>#NAME?</v>
      </c>
      <c r="M84" s="114" t="e">
        <f t="shared" ca="1" si="1072"/>
        <v>#NAME?</v>
      </c>
      <c r="N84" s="114" t="e">
        <f t="shared" ca="1" si="1072"/>
        <v>#NAME?</v>
      </c>
      <c r="O84" s="114" t="e">
        <f t="shared" ca="1" si="1072"/>
        <v>#NAME?</v>
      </c>
      <c r="P84" s="114" t="e">
        <f t="shared" ca="1" si="1072"/>
        <v>#NAME?</v>
      </c>
      <c r="Q84" s="114" t="e">
        <f t="shared" ca="1" si="1072"/>
        <v>#NAME?</v>
      </c>
      <c r="R84" s="114" t="e">
        <f t="shared" ca="1" si="1072"/>
        <v>#NAME?</v>
      </c>
      <c r="S84" s="114" t="e">
        <f t="shared" ca="1" si="1072"/>
        <v>#NAME?</v>
      </c>
      <c r="T84" s="114" t="e">
        <f t="shared" ca="1" si="1072"/>
        <v>#NAME?</v>
      </c>
      <c r="U84" s="114" t="e">
        <f t="shared" ca="1" si="1072"/>
        <v>#NAME?</v>
      </c>
      <c r="V84" s="114" t="e">
        <f t="shared" ca="1" si="1072"/>
        <v>#NAME?</v>
      </c>
      <c r="W84" s="114" t="e">
        <f t="shared" ca="1" si="1072"/>
        <v>#NAME?</v>
      </c>
      <c r="X84" s="114" t="e">
        <f t="shared" ca="1" si="1072"/>
        <v>#NAME?</v>
      </c>
      <c r="Y84" s="114" t="e">
        <f t="shared" ca="1" si="1072"/>
        <v>#NAME?</v>
      </c>
      <c r="Z84" s="114" t="e">
        <f t="shared" ca="1" si="1072"/>
        <v>#NAME?</v>
      </c>
      <c r="AA84" s="114" t="e">
        <f t="shared" ref="AA84" ca="1" si="1073">+AA36/AA86</f>
        <v>#NAME?</v>
      </c>
      <c r="AB84" s="39"/>
      <c r="AC84" s="39"/>
      <c r="AD84" s="39"/>
      <c r="AE84" s="39"/>
      <c r="AG84" s="60"/>
      <c r="AI84" s="114" t="e">
        <f t="shared" ref="AI84:AT84" ca="1" si="1074">+AI36/AI86*4</f>
        <v>#NAME?</v>
      </c>
      <c r="AJ84" s="114" t="e">
        <f t="shared" ca="1" si="1074"/>
        <v>#NAME?</v>
      </c>
      <c r="AK84" s="114" t="e">
        <f t="shared" ca="1" si="1074"/>
        <v>#NAME?</v>
      </c>
      <c r="AL84" s="114" t="e">
        <f t="shared" ca="1" si="1074"/>
        <v>#NAME?</v>
      </c>
      <c r="AM84" s="114" t="e">
        <f t="shared" ca="1" si="1074"/>
        <v>#NAME?</v>
      </c>
      <c r="AN84" s="114" t="e">
        <f t="shared" ca="1" si="1074"/>
        <v>#NAME?</v>
      </c>
      <c r="AO84" s="114" t="e">
        <f t="shared" ca="1" si="1074"/>
        <v>#NAME?</v>
      </c>
      <c r="AP84" s="114" t="e">
        <f t="shared" ca="1" si="1074"/>
        <v>#NAME?</v>
      </c>
      <c r="AQ84" s="114" t="e">
        <f t="shared" ca="1" si="1074"/>
        <v>#NAME?</v>
      </c>
      <c r="AR84" s="114" t="e">
        <f t="shared" ca="1" si="1074"/>
        <v>#NAME?</v>
      </c>
      <c r="AS84" s="114" t="e">
        <f t="shared" ca="1" si="1074"/>
        <v>#NAME?</v>
      </c>
      <c r="AT84" s="114" t="e">
        <f t="shared" ca="1" si="1074"/>
        <v>#NAME?</v>
      </c>
      <c r="AU84" s="114" t="e">
        <f t="shared" ref="AU84:CO84" ca="1" si="1075">+AU36/AU86*4</f>
        <v>#NAME?</v>
      </c>
      <c r="AV84" s="114" t="e">
        <f t="shared" ca="1" si="1075"/>
        <v>#NAME?</v>
      </c>
      <c r="AW84" s="114" t="e">
        <f t="shared" ca="1" si="1075"/>
        <v>#NAME?</v>
      </c>
      <c r="AX84" s="114" t="e">
        <f t="shared" ca="1" si="1075"/>
        <v>#NAME?</v>
      </c>
      <c r="AY84" s="114" t="e">
        <f t="shared" ca="1" si="1075"/>
        <v>#NAME?</v>
      </c>
      <c r="AZ84" s="114" t="e">
        <f t="shared" ca="1" si="1075"/>
        <v>#NAME?</v>
      </c>
      <c r="BA84" s="114" t="e">
        <f t="shared" ca="1" si="1075"/>
        <v>#NAME?</v>
      </c>
      <c r="BB84" s="114" t="e">
        <f t="shared" ca="1" si="1075"/>
        <v>#NAME?</v>
      </c>
      <c r="BC84" s="114" t="e">
        <f t="shared" ca="1" si="1075"/>
        <v>#NAME?</v>
      </c>
      <c r="BD84" s="114" t="e">
        <f t="shared" ca="1" si="1075"/>
        <v>#NAME?</v>
      </c>
      <c r="BE84" s="114" t="e">
        <f t="shared" ca="1" si="1075"/>
        <v>#NAME?</v>
      </c>
      <c r="BF84" s="114" t="e">
        <f t="shared" ca="1" si="1075"/>
        <v>#NAME?</v>
      </c>
      <c r="BG84" s="114" t="e">
        <f t="shared" ca="1" si="1075"/>
        <v>#NAME?</v>
      </c>
      <c r="BH84" s="114" t="e">
        <f t="shared" ca="1" si="1075"/>
        <v>#NAME?</v>
      </c>
      <c r="BI84" s="114" t="e">
        <f t="shared" ca="1" si="1075"/>
        <v>#NAME?</v>
      </c>
      <c r="BJ84" s="114" t="e">
        <f t="shared" ca="1" si="1075"/>
        <v>#NAME?</v>
      </c>
      <c r="BK84" s="114" t="e">
        <f t="shared" ca="1" si="1075"/>
        <v>#NAME?</v>
      </c>
      <c r="BL84" s="114" t="e">
        <f t="shared" ca="1" si="1075"/>
        <v>#NAME?</v>
      </c>
      <c r="BM84" s="114" t="e">
        <f t="shared" ca="1" si="1075"/>
        <v>#NAME?</v>
      </c>
      <c r="BN84" s="114" t="e">
        <f t="shared" ca="1" si="1075"/>
        <v>#NAME?</v>
      </c>
      <c r="BO84" s="114" t="e">
        <f t="shared" ca="1" si="1075"/>
        <v>#NAME?</v>
      </c>
      <c r="BP84" s="114" t="e">
        <f t="shared" ca="1" si="1075"/>
        <v>#NAME?</v>
      </c>
      <c r="BQ84" s="114" t="e">
        <f t="shared" ca="1" si="1075"/>
        <v>#NAME?</v>
      </c>
      <c r="BR84" s="114" t="e">
        <f t="shared" ca="1" si="1075"/>
        <v>#NAME?</v>
      </c>
      <c r="BS84" s="114" t="e">
        <f t="shared" ca="1" si="1075"/>
        <v>#NAME?</v>
      </c>
      <c r="BT84" s="114" t="e">
        <f t="shared" ca="1" si="1075"/>
        <v>#NAME?</v>
      </c>
      <c r="BU84" s="114" t="e">
        <f t="shared" ca="1" si="1075"/>
        <v>#NAME?</v>
      </c>
      <c r="BV84" s="114" t="e">
        <f t="shared" ca="1" si="1075"/>
        <v>#NAME?</v>
      </c>
      <c r="BW84" s="114" t="e">
        <f t="shared" ref="BW84:BX84" ca="1" si="1076">+BW36/BW86*4</f>
        <v>#NAME?</v>
      </c>
      <c r="BX84" s="114" t="e">
        <f t="shared" ca="1" si="1076"/>
        <v>#NAME?</v>
      </c>
      <c r="BY84" s="114" t="e">
        <f t="shared" ref="BY84" ca="1" si="1077">+BY36/BY86*4</f>
        <v>#NAME?</v>
      </c>
      <c r="BZ84" s="116" t="e">
        <f t="shared" ca="1" si="1075"/>
        <v>#NAME?</v>
      </c>
      <c r="CA84" s="116" t="e">
        <f t="shared" ca="1" si="1075"/>
        <v>#NAME?</v>
      </c>
      <c r="CB84" s="116" t="e">
        <f t="shared" ca="1" si="1075"/>
        <v>#NAME?</v>
      </c>
      <c r="CC84" s="116" t="e">
        <f t="shared" ca="1" si="1075"/>
        <v>#NAME?</v>
      </c>
      <c r="CD84" s="116" t="e">
        <f t="shared" ca="1" si="1075"/>
        <v>#NAME?</v>
      </c>
      <c r="CE84" s="116" t="e">
        <f t="shared" ca="1" si="1075"/>
        <v>#NAME?</v>
      </c>
      <c r="CF84" s="116" t="e">
        <f t="shared" ca="1" si="1075"/>
        <v>#NAME?</v>
      </c>
      <c r="CG84" s="116" t="e">
        <f t="shared" ca="1" si="1075"/>
        <v>#NAME?</v>
      </c>
      <c r="CH84" s="116" t="e">
        <f t="shared" ca="1" si="1075"/>
        <v>#NAME?</v>
      </c>
      <c r="CI84" s="116" t="e">
        <f t="shared" ca="1" si="1075"/>
        <v>#NAME?</v>
      </c>
      <c r="CJ84" s="116" t="e">
        <f t="shared" ca="1" si="1075"/>
        <v>#NAME?</v>
      </c>
      <c r="CK84" s="116" t="e">
        <f t="shared" ca="1" si="1075"/>
        <v>#NAME?</v>
      </c>
      <c r="CL84" s="116" t="e">
        <f t="shared" ca="1" si="1075"/>
        <v>#NAME?</v>
      </c>
      <c r="CM84" s="116" t="e">
        <f t="shared" ca="1" si="1075"/>
        <v>#NAME?</v>
      </c>
      <c r="CN84" s="116" t="e">
        <f t="shared" ca="1" si="1075"/>
        <v>#NAME?</v>
      </c>
      <c r="CO84" s="116" t="e">
        <f t="shared" ca="1" si="1075"/>
        <v>#NAME?</v>
      </c>
      <c r="CS84" s="156"/>
    </row>
    <row r="85" spans="1:97" s="50" customFormat="1" x14ac:dyDescent="0.2">
      <c r="A85" s="50" t="s">
        <v>347</v>
      </c>
      <c r="C85" s="50" t="e">
        <f t="shared" ref="C85:Z85" ca="1" si="1078">+SUM(C118:C119)</f>
        <v>#NAME?</v>
      </c>
      <c r="D85" s="50" t="e">
        <f t="shared" ca="1" si="1078"/>
        <v>#NAME?</v>
      </c>
      <c r="E85" s="50" t="e">
        <f t="shared" ca="1" si="1078"/>
        <v>#NAME?</v>
      </c>
      <c r="F85" s="50" t="e">
        <f t="shared" ca="1" si="1078"/>
        <v>#NAME?</v>
      </c>
      <c r="G85" s="50" t="e">
        <f t="shared" ca="1" si="1078"/>
        <v>#NAME?</v>
      </c>
      <c r="H85" s="50" t="e">
        <f t="shared" ca="1" si="1078"/>
        <v>#NAME?</v>
      </c>
      <c r="I85" s="50" t="e">
        <f t="shared" ca="1" si="1078"/>
        <v>#NAME?</v>
      </c>
      <c r="J85" s="50" t="e">
        <f t="shared" ca="1" si="1078"/>
        <v>#NAME?</v>
      </c>
      <c r="K85" s="50" t="e">
        <f t="shared" ca="1" si="1078"/>
        <v>#NAME?</v>
      </c>
      <c r="L85" s="50" t="e">
        <f t="shared" ca="1" si="1078"/>
        <v>#NAME?</v>
      </c>
      <c r="M85" s="50" t="e">
        <f t="shared" ca="1" si="1078"/>
        <v>#NAME?</v>
      </c>
      <c r="N85" s="50" t="e">
        <f t="shared" ca="1" si="1078"/>
        <v>#NAME?</v>
      </c>
      <c r="O85" s="50" t="e">
        <f t="shared" ca="1" si="1078"/>
        <v>#NAME?</v>
      </c>
      <c r="P85" s="50" t="e">
        <f t="shared" ca="1" si="1078"/>
        <v>#NAME?</v>
      </c>
      <c r="Q85" s="50" t="e">
        <f t="shared" ca="1" si="1078"/>
        <v>#NAME?</v>
      </c>
      <c r="R85" s="50" t="e">
        <f t="shared" ca="1" si="1078"/>
        <v>#NAME?</v>
      </c>
      <c r="S85" s="50" t="e">
        <f t="shared" ca="1" si="1078"/>
        <v>#NAME?</v>
      </c>
      <c r="T85" s="50" t="e">
        <f t="shared" ca="1" si="1078"/>
        <v>#NAME?</v>
      </c>
      <c r="U85" s="50" t="e">
        <f t="shared" ca="1" si="1078"/>
        <v>#NAME?</v>
      </c>
      <c r="V85" s="50" t="e">
        <f t="shared" ca="1" si="1078"/>
        <v>#NAME?</v>
      </c>
      <c r="W85" s="50" t="e">
        <f t="shared" ca="1" si="1078"/>
        <v>#NAME?</v>
      </c>
      <c r="X85" s="50" t="e">
        <f t="shared" ca="1" si="1078"/>
        <v>#NAME?</v>
      </c>
      <c r="Y85" s="50" t="e">
        <f t="shared" ca="1" si="1078"/>
        <v>#NAME?</v>
      </c>
      <c r="Z85" s="50" t="e">
        <f t="shared" ca="1" si="1078"/>
        <v>#NAME?</v>
      </c>
      <c r="AA85" s="50" t="e">
        <f t="shared" ref="AA85" ca="1" si="1079">+SUM(AA118:AA119)</f>
        <v>#NAME?</v>
      </c>
      <c r="AB85" s="51"/>
      <c r="AC85" s="51"/>
      <c r="AD85" s="51"/>
      <c r="AE85" s="51"/>
      <c r="AG85" s="64"/>
      <c r="AI85" s="50" t="e">
        <f t="shared" ref="AI85:AT85" ca="1" si="1080">+SUM(AI118:AI119)</f>
        <v>#NAME?</v>
      </c>
      <c r="AJ85" s="50" t="e">
        <f t="shared" ca="1" si="1080"/>
        <v>#NAME?</v>
      </c>
      <c r="AK85" s="50" t="e">
        <f t="shared" ca="1" si="1080"/>
        <v>#NAME?</v>
      </c>
      <c r="AL85" s="50" t="e">
        <f t="shared" ca="1" si="1080"/>
        <v>#NAME?</v>
      </c>
      <c r="AM85" s="50" t="e">
        <f t="shared" ca="1" si="1080"/>
        <v>#NAME?</v>
      </c>
      <c r="AN85" s="50" t="e">
        <f t="shared" ca="1" si="1080"/>
        <v>#NAME?</v>
      </c>
      <c r="AO85" s="50" t="e">
        <f t="shared" ca="1" si="1080"/>
        <v>#NAME?</v>
      </c>
      <c r="AP85" s="50" t="e">
        <f t="shared" ca="1" si="1080"/>
        <v>#NAME?</v>
      </c>
      <c r="AQ85" s="50" t="e">
        <f t="shared" ca="1" si="1080"/>
        <v>#NAME?</v>
      </c>
      <c r="AR85" s="50" t="e">
        <f t="shared" ca="1" si="1080"/>
        <v>#NAME?</v>
      </c>
      <c r="AS85" s="50" t="e">
        <f t="shared" ca="1" si="1080"/>
        <v>#NAME?</v>
      </c>
      <c r="AT85" s="50" t="e">
        <f t="shared" ca="1" si="1080"/>
        <v>#NAME?</v>
      </c>
      <c r="AU85" s="50" t="e">
        <f t="shared" ref="AU85:CO85" ca="1" si="1081">+SUM(AU118:AU119)</f>
        <v>#NAME?</v>
      </c>
      <c r="AV85" s="50" t="e">
        <f t="shared" ca="1" si="1081"/>
        <v>#NAME?</v>
      </c>
      <c r="AW85" s="50" t="e">
        <f t="shared" ca="1" si="1081"/>
        <v>#NAME?</v>
      </c>
      <c r="AX85" s="50" t="e">
        <f t="shared" ca="1" si="1081"/>
        <v>#NAME?</v>
      </c>
      <c r="AY85" s="50" t="e">
        <f t="shared" ca="1" si="1081"/>
        <v>#NAME?</v>
      </c>
      <c r="AZ85" s="50" t="e">
        <f t="shared" ca="1" si="1081"/>
        <v>#NAME?</v>
      </c>
      <c r="BA85" s="50" t="e">
        <f t="shared" ca="1" si="1081"/>
        <v>#NAME?</v>
      </c>
      <c r="BB85" s="50" t="e">
        <f t="shared" ca="1" si="1081"/>
        <v>#NAME?</v>
      </c>
      <c r="BC85" s="50" t="e">
        <f t="shared" ca="1" si="1081"/>
        <v>#NAME?</v>
      </c>
      <c r="BD85" s="50" t="e">
        <f t="shared" ca="1" si="1081"/>
        <v>#NAME?</v>
      </c>
      <c r="BE85" s="50" t="e">
        <f t="shared" ca="1" si="1081"/>
        <v>#NAME?</v>
      </c>
      <c r="BF85" s="50" t="e">
        <f t="shared" ca="1" si="1081"/>
        <v>#NAME?</v>
      </c>
      <c r="BG85" s="50" t="e">
        <f t="shared" ca="1" si="1081"/>
        <v>#NAME?</v>
      </c>
      <c r="BH85" s="50" t="e">
        <f t="shared" ca="1" si="1081"/>
        <v>#NAME?</v>
      </c>
      <c r="BI85" s="50" t="e">
        <f t="shared" ca="1" si="1081"/>
        <v>#NAME?</v>
      </c>
      <c r="BJ85" s="50" t="e">
        <f t="shared" ca="1" si="1081"/>
        <v>#NAME?</v>
      </c>
      <c r="BK85" s="50" t="e">
        <f t="shared" ca="1" si="1081"/>
        <v>#NAME?</v>
      </c>
      <c r="BL85" s="50" t="e">
        <f t="shared" ca="1" si="1081"/>
        <v>#NAME?</v>
      </c>
      <c r="BM85" s="50" t="e">
        <f t="shared" ca="1" si="1081"/>
        <v>#NAME?</v>
      </c>
      <c r="BN85" s="50" t="e">
        <f t="shared" ca="1" si="1081"/>
        <v>#NAME?</v>
      </c>
      <c r="BO85" s="50" t="e">
        <f t="shared" ca="1" si="1081"/>
        <v>#NAME?</v>
      </c>
      <c r="BP85" s="50" t="e">
        <f t="shared" ca="1" si="1081"/>
        <v>#NAME?</v>
      </c>
      <c r="BQ85" s="50" t="e">
        <f t="shared" ca="1" si="1081"/>
        <v>#NAME?</v>
      </c>
      <c r="BR85" s="50" t="e">
        <f t="shared" ca="1" si="1081"/>
        <v>#NAME?</v>
      </c>
      <c r="BS85" s="50" t="e">
        <f t="shared" ca="1" si="1081"/>
        <v>#NAME?</v>
      </c>
      <c r="BT85" s="50" t="e">
        <f t="shared" ca="1" si="1081"/>
        <v>#NAME?</v>
      </c>
      <c r="BU85" s="50" t="e">
        <f t="shared" ca="1" si="1081"/>
        <v>#NAME?</v>
      </c>
      <c r="BV85" s="50" t="e">
        <f t="shared" ca="1" si="1081"/>
        <v>#NAME?</v>
      </c>
      <c r="BW85" s="50" t="e">
        <f t="shared" ref="BW85:BX85" ca="1" si="1082">+SUM(BW118:BW119)</f>
        <v>#NAME?</v>
      </c>
      <c r="BX85" s="50" t="e">
        <f t="shared" ca="1" si="1082"/>
        <v>#NAME?</v>
      </c>
      <c r="BY85" s="50" t="e">
        <f t="shared" ref="BY85" ca="1" si="1083">+SUM(BY118:BY119)</f>
        <v>#NAME?</v>
      </c>
      <c r="BZ85" s="39" t="e">
        <f t="shared" ca="1" si="1081"/>
        <v>#NAME?</v>
      </c>
      <c r="CA85" s="39" t="e">
        <f t="shared" ca="1" si="1081"/>
        <v>#NAME?</v>
      </c>
      <c r="CB85" s="39" t="e">
        <f t="shared" ca="1" si="1081"/>
        <v>#NAME?</v>
      </c>
      <c r="CC85" s="39" t="e">
        <f t="shared" ca="1" si="1081"/>
        <v>#NAME?</v>
      </c>
      <c r="CD85" s="39" t="e">
        <f t="shared" ca="1" si="1081"/>
        <v>#NAME?</v>
      </c>
      <c r="CE85" s="39" t="e">
        <f t="shared" ca="1" si="1081"/>
        <v>#NAME?</v>
      </c>
      <c r="CF85" s="39" t="e">
        <f t="shared" ca="1" si="1081"/>
        <v>#NAME?</v>
      </c>
      <c r="CG85" s="39" t="e">
        <f t="shared" ca="1" si="1081"/>
        <v>#NAME?</v>
      </c>
      <c r="CH85" s="39" t="e">
        <f t="shared" ca="1" si="1081"/>
        <v>#NAME?</v>
      </c>
      <c r="CI85" s="39" t="e">
        <f t="shared" ca="1" si="1081"/>
        <v>#NAME?</v>
      </c>
      <c r="CJ85" s="39" t="e">
        <f t="shared" ca="1" si="1081"/>
        <v>#NAME?</v>
      </c>
      <c r="CK85" s="39" t="e">
        <f t="shared" ca="1" si="1081"/>
        <v>#NAME?</v>
      </c>
      <c r="CL85" s="39" t="e">
        <f t="shared" ca="1" si="1081"/>
        <v>#NAME?</v>
      </c>
      <c r="CM85" s="39" t="e">
        <f t="shared" ca="1" si="1081"/>
        <v>#NAME?</v>
      </c>
      <c r="CN85" s="39" t="e">
        <f t="shared" ca="1" si="1081"/>
        <v>#NAME?</v>
      </c>
      <c r="CO85" s="39" t="e">
        <f t="shared" ca="1" si="1081"/>
        <v>#NAME?</v>
      </c>
      <c r="CS85" s="48"/>
    </row>
    <row r="86" spans="1:97" x14ac:dyDescent="0.2">
      <c r="A86" s="47" t="s">
        <v>348</v>
      </c>
      <c r="D86" s="115" t="e">
        <f t="shared" ref="D86:AA86" ca="1" si="1084">+AVERAGE(C85:D85)</f>
        <v>#NAME?</v>
      </c>
      <c r="E86" s="115" t="e">
        <f t="shared" ca="1" si="1084"/>
        <v>#NAME?</v>
      </c>
      <c r="F86" s="115" t="e">
        <f t="shared" ca="1" si="1084"/>
        <v>#NAME?</v>
      </c>
      <c r="G86" s="115" t="e">
        <f t="shared" ca="1" si="1084"/>
        <v>#NAME?</v>
      </c>
      <c r="H86" s="115" t="e">
        <f t="shared" ca="1" si="1084"/>
        <v>#NAME?</v>
      </c>
      <c r="I86" s="115" t="e">
        <f t="shared" ca="1" si="1084"/>
        <v>#NAME?</v>
      </c>
      <c r="J86" s="115" t="e">
        <f t="shared" ca="1" si="1084"/>
        <v>#NAME?</v>
      </c>
      <c r="K86" s="115" t="e">
        <f t="shared" ca="1" si="1084"/>
        <v>#NAME?</v>
      </c>
      <c r="L86" s="115" t="e">
        <f t="shared" ca="1" si="1084"/>
        <v>#NAME?</v>
      </c>
      <c r="M86" s="115" t="e">
        <f t="shared" ca="1" si="1084"/>
        <v>#NAME?</v>
      </c>
      <c r="N86" s="115" t="e">
        <f t="shared" ca="1" si="1084"/>
        <v>#NAME?</v>
      </c>
      <c r="O86" s="115" t="e">
        <f t="shared" ca="1" si="1084"/>
        <v>#NAME?</v>
      </c>
      <c r="P86" s="115" t="e">
        <f t="shared" ca="1" si="1084"/>
        <v>#NAME?</v>
      </c>
      <c r="Q86" s="115" t="e">
        <f t="shared" ca="1" si="1084"/>
        <v>#NAME?</v>
      </c>
      <c r="R86" s="115" t="e">
        <f t="shared" ca="1" si="1084"/>
        <v>#NAME?</v>
      </c>
      <c r="S86" s="115" t="e">
        <f t="shared" ca="1" si="1084"/>
        <v>#NAME?</v>
      </c>
      <c r="T86" s="115" t="e">
        <f t="shared" ca="1" si="1084"/>
        <v>#NAME?</v>
      </c>
      <c r="U86" s="115" t="e">
        <f t="shared" ca="1" si="1084"/>
        <v>#NAME?</v>
      </c>
      <c r="V86" s="115" t="e">
        <f t="shared" ca="1" si="1084"/>
        <v>#NAME?</v>
      </c>
      <c r="W86" s="115" t="e">
        <f t="shared" ca="1" si="1084"/>
        <v>#NAME?</v>
      </c>
      <c r="X86" s="115" t="e">
        <f t="shared" ca="1" si="1084"/>
        <v>#NAME?</v>
      </c>
      <c r="Y86" s="115" t="e">
        <f t="shared" ca="1" si="1084"/>
        <v>#NAME?</v>
      </c>
      <c r="Z86" s="115" t="e">
        <f t="shared" ca="1" si="1084"/>
        <v>#NAME?</v>
      </c>
      <c r="AA86" s="115" t="e">
        <f t="shared" ca="1" si="1084"/>
        <v>#NAME?</v>
      </c>
      <c r="AH86" s="48"/>
      <c r="AI86" s="115" t="e">
        <f t="shared" ref="AI86" ca="1" si="1085">+AVERAGE(AH85:AI85)</f>
        <v>#NAME?</v>
      </c>
      <c r="AJ86" s="115" t="e">
        <f t="shared" ref="AJ86" ca="1" si="1086">+AVERAGE(AI85:AJ85)</f>
        <v>#NAME?</v>
      </c>
      <c r="AK86" s="115" t="e">
        <f t="shared" ref="AK86" ca="1" si="1087">+AVERAGE(AJ85:AK85)</f>
        <v>#NAME?</v>
      </c>
      <c r="AL86" s="115" t="e">
        <f t="shared" ref="AL86" ca="1" si="1088">+AVERAGE(AK85:AL85)</f>
        <v>#NAME?</v>
      </c>
      <c r="AM86" s="115" t="e">
        <f t="shared" ref="AM86" ca="1" si="1089">+AVERAGE(AL85:AM85)</f>
        <v>#NAME?</v>
      </c>
      <c r="AN86" s="115" t="e">
        <f t="shared" ref="AN86" ca="1" si="1090">+AVERAGE(AM85:AN85)</f>
        <v>#NAME?</v>
      </c>
      <c r="AO86" s="115" t="e">
        <f t="shared" ref="AO86" ca="1" si="1091">+AVERAGE(AN85:AO85)</f>
        <v>#NAME?</v>
      </c>
      <c r="AP86" s="115" t="e">
        <f t="shared" ref="AP86" ca="1" si="1092">+AVERAGE(AO85:AP85)</f>
        <v>#NAME?</v>
      </c>
      <c r="AQ86" s="115" t="e">
        <f t="shared" ref="AQ86" ca="1" si="1093">+AVERAGE(AP85:AQ85)</f>
        <v>#NAME?</v>
      </c>
      <c r="AR86" s="115" t="e">
        <f t="shared" ref="AR86" ca="1" si="1094">+AVERAGE(AQ85:AR85)</f>
        <v>#NAME?</v>
      </c>
      <c r="AS86" s="115" t="e">
        <f t="shared" ref="AS86" ca="1" si="1095">+AVERAGE(AR85:AS85)</f>
        <v>#NAME?</v>
      </c>
      <c r="AT86" s="115" t="e">
        <f t="shared" ref="AT86" ca="1" si="1096">+AVERAGE(AS85:AT85)</f>
        <v>#NAME?</v>
      </c>
      <c r="AU86" s="115" t="e">
        <f t="shared" ref="AU86:CO86" ca="1" si="1097">+AVERAGE(AT85:AU85)</f>
        <v>#NAME?</v>
      </c>
      <c r="AV86" s="115" t="e">
        <f t="shared" ca="1" si="1097"/>
        <v>#NAME?</v>
      </c>
      <c r="AW86" s="115" t="e">
        <f t="shared" ca="1" si="1097"/>
        <v>#NAME?</v>
      </c>
      <c r="AX86" s="115" t="e">
        <f t="shared" ca="1" si="1097"/>
        <v>#NAME?</v>
      </c>
      <c r="AY86" s="115" t="e">
        <f t="shared" ca="1" si="1097"/>
        <v>#NAME?</v>
      </c>
      <c r="AZ86" s="115" t="e">
        <f t="shared" ca="1" si="1097"/>
        <v>#NAME?</v>
      </c>
      <c r="BA86" s="115" t="e">
        <f t="shared" ca="1" si="1097"/>
        <v>#NAME?</v>
      </c>
      <c r="BB86" s="115" t="e">
        <f t="shared" ca="1" si="1097"/>
        <v>#NAME?</v>
      </c>
      <c r="BC86" s="115" t="e">
        <f t="shared" ca="1" si="1097"/>
        <v>#NAME?</v>
      </c>
      <c r="BD86" s="115" t="e">
        <f t="shared" ca="1" si="1097"/>
        <v>#NAME?</v>
      </c>
      <c r="BE86" s="115" t="e">
        <f t="shared" ca="1" si="1097"/>
        <v>#NAME?</v>
      </c>
      <c r="BF86" s="115" t="e">
        <f t="shared" ca="1" si="1097"/>
        <v>#NAME?</v>
      </c>
      <c r="BG86" s="115" t="e">
        <f t="shared" ca="1" si="1097"/>
        <v>#NAME?</v>
      </c>
      <c r="BH86" s="115" t="e">
        <f t="shared" ca="1" si="1097"/>
        <v>#NAME?</v>
      </c>
      <c r="BI86" s="115" t="e">
        <f t="shared" ca="1" si="1097"/>
        <v>#NAME?</v>
      </c>
      <c r="BJ86" s="115" t="e">
        <f t="shared" ca="1" si="1097"/>
        <v>#NAME?</v>
      </c>
      <c r="BK86" s="115" t="e">
        <f t="shared" ca="1" si="1097"/>
        <v>#NAME?</v>
      </c>
      <c r="BL86" s="115" t="e">
        <f t="shared" ca="1" si="1097"/>
        <v>#NAME?</v>
      </c>
      <c r="BM86" s="115" t="e">
        <f t="shared" ca="1" si="1097"/>
        <v>#NAME?</v>
      </c>
      <c r="BN86" s="115" t="e">
        <f t="shared" ca="1" si="1097"/>
        <v>#NAME?</v>
      </c>
      <c r="BO86" s="115" t="e">
        <f t="shared" ca="1" si="1097"/>
        <v>#NAME?</v>
      </c>
      <c r="BP86" s="115" t="e">
        <f t="shared" ca="1" si="1097"/>
        <v>#NAME?</v>
      </c>
      <c r="BQ86" s="115" t="e">
        <f t="shared" ca="1" si="1097"/>
        <v>#NAME?</v>
      </c>
      <c r="BR86" s="115" t="e">
        <f t="shared" ca="1" si="1097"/>
        <v>#NAME?</v>
      </c>
      <c r="BS86" s="115" t="e">
        <f t="shared" ca="1" si="1097"/>
        <v>#NAME?</v>
      </c>
      <c r="BT86" s="115" t="e">
        <f t="shared" ca="1" si="1097"/>
        <v>#NAME?</v>
      </c>
      <c r="BU86" s="115" t="e">
        <f t="shared" ca="1" si="1097"/>
        <v>#NAME?</v>
      </c>
      <c r="BV86" s="115" t="e">
        <f ca="1">+AVERAGE(BU85:BV85)</f>
        <v>#NAME?</v>
      </c>
      <c r="BW86" s="115" t="e">
        <f ca="1">+AVERAGE(BV85:BW85)</f>
        <v>#NAME?</v>
      </c>
      <c r="BX86" s="115" t="e">
        <f ca="1">+AVERAGE(BW85:BX85)</f>
        <v>#NAME?</v>
      </c>
      <c r="BY86" s="115" t="e">
        <f ca="1">+AVERAGE(BX85:BY85)</f>
        <v>#NAME?</v>
      </c>
      <c r="BZ86" s="39" t="e">
        <f t="shared" ca="1" si="1097"/>
        <v>#NAME?</v>
      </c>
      <c r="CA86" s="39" t="e">
        <f t="shared" ca="1" si="1097"/>
        <v>#NAME?</v>
      </c>
      <c r="CB86" s="39" t="e">
        <f t="shared" ca="1" si="1097"/>
        <v>#NAME?</v>
      </c>
      <c r="CC86" s="39" t="e">
        <f t="shared" ca="1" si="1097"/>
        <v>#NAME?</v>
      </c>
      <c r="CD86" s="39" t="e">
        <f t="shared" ca="1" si="1097"/>
        <v>#NAME?</v>
      </c>
      <c r="CE86" s="39" t="e">
        <f t="shared" ca="1" si="1097"/>
        <v>#NAME?</v>
      </c>
      <c r="CF86" s="39" t="e">
        <f t="shared" ca="1" si="1097"/>
        <v>#NAME?</v>
      </c>
      <c r="CG86" s="39" t="e">
        <f t="shared" ca="1" si="1097"/>
        <v>#NAME?</v>
      </c>
      <c r="CH86" s="39" t="e">
        <f t="shared" ca="1" si="1097"/>
        <v>#NAME?</v>
      </c>
      <c r="CI86" s="39" t="e">
        <f t="shared" ca="1" si="1097"/>
        <v>#NAME?</v>
      </c>
      <c r="CJ86" s="39" t="e">
        <f t="shared" ca="1" si="1097"/>
        <v>#NAME?</v>
      </c>
      <c r="CK86" s="39" t="e">
        <f t="shared" ca="1" si="1097"/>
        <v>#NAME?</v>
      </c>
      <c r="CL86" s="39" t="e">
        <f t="shared" ca="1" si="1097"/>
        <v>#NAME?</v>
      </c>
      <c r="CM86" s="39" t="e">
        <f t="shared" ca="1" si="1097"/>
        <v>#NAME?</v>
      </c>
      <c r="CN86" s="39" t="e">
        <f t="shared" ca="1" si="1097"/>
        <v>#NAME?</v>
      </c>
      <c r="CO86" s="39" t="e">
        <f t="shared" ca="1" si="1097"/>
        <v>#NAME?</v>
      </c>
      <c r="CS86" s="48"/>
    </row>
    <row r="87" spans="1:97" s="111" customFormat="1" x14ac:dyDescent="0.2">
      <c r="A87" s="111" t="s">
        <v>375</v>
      </c>
      <c r="D87" s="125" t="e">
        <f t="shared" ref="D87:AE87" ca="1" si="1098">D56/D109</f>
        <v>#NAME?</v>
      </c>
      <c r="E87" s="111" t="e">
        <f t="shared" ca="1" si="1098"/>
        <v>#NAME?</v>
      </c>
      <c r="F87" s="111" t="e">
        <f t="shared" ca="1" si="1098"/>
        <v>#NAME?</v>
      </c>
      <c r="G87" s="111" t="e">
        <f t="shared" ca="1" si="1098"/>
        <v>#NAME?</v>
      </c>
      <c r="H87" s="111" t="e">
        <f t="shared" ca="1" si="1098"/>
        <v>#NAME?</v>
      </c>
      <c r="I87" s="111" t="e">
        <f t="shared" ca="1" si="1098"/>
        <v>#NAME?</v>
      </c>
      <c r="J87" s="111" t="e">
        <f t="shared" ca="1" si="1098"/>
        <v>#NAME?</v>
      </c>
      <c r="K87" s="111" t="e">
        <f t="shared" ca="1" si="1098"/>
        <v>#NAME?</v>
      </c>
      <c r="L87" s="111" t="e">
        <f t="shared" ca="1" si="1098"/>
        <v>#NAME?</v>
      </c>
      <c r="M87" s="111" t="e">
        <f t="shared" ca="1" si="1098"/>
        <v>#NAME?</v>
      </c>
      <c r="N87" s="111" t="e">
        <f t="shared" ca="1" si="1098"/>
        <v>#NAME?</v>
      </c>
      <c r="O87" s="111" t="e">
        <f t="shared" ca="1" si="1098"/>
        <v>#NAME?</v>
      </c>
      <c r="P87" s="111" t="e">
        <f t="shared" ca="1" si="1098"/>
        <v>#NAME?</v>
      </c>
      <c r="Q87" s="111" t="e">
        <f t="shared" ca="1" si="1098"/>
        <v>#NAME?</v>
      </c>
      <c r="R87" s="111" t="e">
        <f t="shared" ca="1" si="1098"/>
        <v>#NAME?</v>
      </c>
      <c r="S87" s="111" t="e">
        <f t="shared" ca="1" si="1098"/>
        <v>#NAME?</v>
      </c>
      <c r="T87" s="111" t="e">
        <f t="shared" ca="1" si="1098"/>
        <v>#NAME?</v>
      </c>
      <c r="U87" s="111" t="e">
        <f t="shared" ca="1" si="1098"/>
        <v>#NAME?</v>
      </c>
      <c r="V87" s="111" t="e">
        <f t="shared" ca="1" si="1098"/>
        <v>#NAME?</v>
      </c>
      <c r="W87" s="111" t="e">
        <f t="shared" ca="1" si="1098"/>
        <v>#NAME?</v>
      </c>
      <c r="X87" s="111" t="e">
        <f t="shared" ca="1" si="1098"/>
        <v>#NAME?</v>
      </c>
      <c r="Y87" s="111" t="e">
        <f t="shared" ca="1" si="1098"/>
        <v>#NAME?</v>
      </c>
      <c r="Z87" s="111" t="e">
        <f t="shared" ca="1" si="1098"/>
        <v>#NAME?</v>
      </c>
      <c r="AA87" s="111" t="e">
        <f t="shared" ref="AA87" ca="1" si="1099">AA56/AA109</f>
        <v>#NAME?</v>
      </c>
      <c r="AB87" s="126" t="e">
        <f t="shared" ca="1" si="1098"/>
        <v>#NAME?</v>
      </c>
      <c r="AC87" s="126" t="e">
        <f t="shared" ca="1" si="1098"/>
        <v>#NAME?</v>
      </c>
      <c r="AD87" s="126" t="e">
        <f t="shared" ca="1" si="1098"/>
        <v>#NAME?</v>
      </c>
      <c r="AE87" s="126" t="e">
        <f t="shared" ca="1" si="1098"/>
        <v>#NAME?</v>
      </c>
      <c r="AG87" s="127"/>
      <c r="BN87" s="167" t="e">
        <f t="shared" ref="BN87:BX87" ca="1" si="1100">SUM(BK56:BN56)/BN109</f>
        <v>#NAME?</v>
      </c>
      <c r="BO87" s="167" t="e">
        <f t="shared" ca="1" si="1100"/>
        <v>#NAME?</v>
      </c>
      <c r="BP87" s="167" t="e">
        <f t="shared" ca="1" si="1100"/>
        <v>#NAME?</v>
      </c>
      <c r="BQ87" s="167" t="e">
        <f t="shared" ca="1" si="1100"/>
        <v>#NAME?</v>
      </c>
      <c r="BR87" s="167" t="e">
        <f t="shared" ca="1" si="1100"/>
        <v>#NAME?</v>
      </c>
      <c r="BS87" s="167" t="e">
        <f t="shared" ca="1" si="1100"/>
        <v>#NAME?</v>
      </c>
      <c r="BT87" s="167" t="e">
        <f t="shared" ca="1" si="1100"/>
        <v>#NAME?</v>
      </c>
      <c r="BU87" s="167" t="e">
        <f t="shared" ca="1" si="1100"/>
        <v>#NAME?</v>
      </c>
      <c r="BV87" s="167" t="e">
        <f t="shared" ca="1" si="1100"/>
        <v>#NAME?</v>
      </c>
      <c r="BW87" s="167" t="e">
        <f t="shared" ca="1" si="1100"/>
        <v>#NAME?</v>
      </c>
      <c r="BX87" s="167" t="e">
        <f t="shared" ca="1" si="1100"/>
        <v>#NAME?</v>
      </c>
      <c r="BY87" s="167" t="e">
        <f ca="1">SUM(BV56:BY56)/BY109</f>
        <v>#NAME?</v>
      </c>
      <c r="BZ87" s="168" t="e">
        <f t="shared" ref="BZ87:CG87" ca="1" si="1101">SUM(BW56:BZ56)/BZ109</f>
        <v>#NAME?</v>
      </c>
      <c r="CA87" s="168" t="e">
        <f t="shared" ca="1" si="1101"/>
        <v>#NAME?</v>
      </c>
      <c r="CB87" s="168" t="e">
        <f t="shared" ca="1" si="1101"/>
        <v>#NAME?</v>
      </c>
      <c r="CC87" s="168" t="e">
        <f t="shared" ca="1" si="1101"/>
        <v>#NAME?</v>
      </c>
      <c r="CD87" s="168" t="e">
        <f t="shared" ca="1" si="1101"/>
        <v>#NAME?</v>
      </c>
      <c r="CE87" s="168" t="e">
        <f t="shared" ca="1" si="1101"/>
        <v>#NAME?</v>
      </c>
      <c r="CF87" s="168" t="e">
        <f t="shared" ca="1" si="1101"/>
        <v>#NAME?</v>
      </c>
      <c r="CG87" s="168" t="e">
        <f t="shared" ca="1" si="1101"/>
        <v>#NAME?</v>
      </c>
      <c r="CH87" s="113"/>
      <c r="CI87" s="113"/>
      <c r="CJ87" s="113"/>
      <c r="CK87" s="113"/>
      <c r="CL87" s="113"/>
      <c r="CM87" s="113"/>
      <c r="CN87" s="113"/>
      <c r="CO87" s="113"/>
      <c r="CS87" s="111">
        <v>0.2120139592398412</v>
      </c>
    </row>
    <row r="88" spans="1:97" x14ac:dyDescent="0.2"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S88" s="48"/>
    </row>
    <row r="89" spans="1:97" x14ac:dyDescent="0.2">
      <c r="A89" s="121" t="s">
        <v>363</v>
      </c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S89" s="48"/>
    </row>
    <row r="90" spans="1:97" x14ac:dyDescent="0.2">
      <c r="A90" s="121" t="s">
        <v>364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S90" s="158"/>
    </row>
    <row r="91" spans="1:97" s="52" customFormat="1" x14ac:dyDescent="0.2"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49"/>
      <c r="AC91" s="49"/>
      <c r="AD91" s="49"/>
      <c r="AE91" s="49"/>
      <c r="AG91" s="63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S91" s="159"/>
    </row>
    <row r="92" spans="1:97" s="90" customFormat="1" x14ac:dyDescent="0.2">
      <c r="A92" s="90" t="s">
        <v>37</v>
      </c>
      <c r="AB92" s="19"/>
      <c r="AC92" s="19"/>
      <c r="AD92" s="19"/>
      <c r="AE92" s="19"/>
      <c r="AG92" s="86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S92" s="160"/>
    </row>
    <row r="93" spans="1:97" s="98" customFormat="1" x14ac:dyDescent="0.2">
      <c r="A93" s="98" t="s">
        <v>41</v>
      </c>
      <c r="B93" s="98" t="e">
        <f ca="1">+'Annual Raw'!C45</f>
        <v>#NAME?</v>
      </c>
      <c r="C93" s="98" t="e">
        <f ca="1">+'Annual Raw'!D45</f>
        <v>#NAME?</v>
      </c>
      <c r="D93" s="98" t="e">
        <f ca="1">+'Annual Raw'!E45</f>
        <v>#NAME?</v>
      </c>
      <c r="E93" s="98" t="e">
        <f ca="1">+'Annual Raw'!F45</f>
        <v>#NAME?</v>
      </c>
      <c r="F93" s="98" t="e">
        <f ca="1">+'Annual Raw'!G45</f>
        <v>#NAME?</v>
      </c>
      <c r="G93" s="98" t="e">
        <f ca="1">+'Annual Raw'!H45</f>
        <v>#NAME?</v>
      </c>
      <c r="H93" s="98" t="e">
        <f ca="1">+'Annual Raw'!I45</f>
        <v>#NAME?</v>
      </c>
      <c r="I93" s="98" t="e">
        <f ca="1">+'Annual Raw'!J45</f>
        <v>#NAME?</v>
      </c>
      <c r="J93" s="98" t="e">
        <f ca="1">+'Annual Raw'!K45</f>
        <v>#NAME?</v>
      </c>
      <c r="K93" s="98" t="e">
        <f ca="1">+'Annual Raw'!L45</f>
        <v>#NAME?</v>
      </c>
      <c r="L93" s="98" t="e">
        <f ca="1">+'Annual Raw'!M45</f>
        <v>#NAME?</v>
      </c>
      <c r="M93" s="98" t="e">
        <f ca="1">+'Annual Raw'!N45</f>
        <v>#NAME?</v>
      </c>
      <c r="N93" s="98" t="e">
        <f ca="1">+'Annual Raw'!O45</f>
        <v>#NAME?</v>
      </c>
      <c r="O93" s="98" t="e">
        <f ca="1">+'Annual Raw'!P45</f>
        <v>#NAME?</v>
      </c>
      <c r="P93" s="98" t="e">
        <f ca="1">+'Annual Raw'!Q45</f>
        <v>#NAME?</v>
      </c>
      <c r="Q93" s="98" t="e">
        <f ca="1">+'Annual Raw'!R45</f>
        <v>#NAME?</v>
      </c>
      <c r="R93" s="98" t="e">
        <f ca="1">+'Annual Raw'!S45</f>
        <v>#NAME?</v>
      </c>
      <c r="S93" s="98" t="e">
        <f ca="1">+'Annual Raw'!T45</f>
        <v>#NAME?</v>
      </c>
      <c r="T93" s="98" t="e">
        <f ca="1">+'Annual Raw'!U45</f>
        <v>#NAME?</v>
      </c>
      <c r="U93" s="98" t="e">
        <f ca="1">+'Annual Raw'!V45</f>
        <v>#NAME?</v>
      </c>
      <c r="V93" s="98" t="e">
        <f ca="1">+'Annual Raw'!W45</f>
        <v>#NAME?</v>
      </c>
      <c r="W93" s="98" t="e">
        <f ca="1">+'Annual Raw'!X45</f>
        <v>#NAME?</v>
      </c>
      <c r="X93" s="98" t="e">
        <f ca="1">+'Annual Raw'!Y45</f>
        <v>#NAME?</v>
      </c>
      <c r="Y93" s="98" t="e">
        <f ca="1">+'Annual Raw'!Z45</f>
        <v>#NAME?</v>
      </c>
      <c r="Z93" s="98" t="e">
        <f ca="1">+'Annual Raw'!AA45</f>
        <v>#NAME?</v>
      </c>
      <c r="AA93" s="98" t="e">
        <f ca="1">+'Annual Raw'!AB45</f>
        <v>#NAME?</v>
      </c>
      <c r="AB93" s="80">
        <f>+CC93</f>
        <v>75.5</v>
      </c>
      <c r="AC93" s="80">
        <f>+CG93</f>
        <v>75.5</v>
      </c>
      <c r="AD93" s="80">
        <f>+CK93</f>
        <v>75.5</v>
      </c>
      <c r="AE93" s="80">
        <f>+CO93</f>
        <v>75.5</v>
      </c>
      <c r="AG93" s="79"/>
      <c r="AH93" s="98" t="e">
        <f ca="1">+'QTR Share Price'!IA21</f>
        <v>#NAME?</v>
      </c>
      <c r="AI93" s="98" t="e">
        <f ca="1">+'QTR Share Price'!IB21</f>
        <v>#NAME?</v>
      </c>
      <c r="AJ93" s="98" t="e">
        <f ca="1">+'QTR Share Price'!IC21</f>
        <v>#NAME?</v>
      </c>
      <c r="AK93" s="98" t="e">
        <f ca="1">+'QTR Share Price'!ID21</f>
        <v>#NAME?</v>
      </c>
      <c r="AL93" s="98" t="e">
        <f ca="1">+'QTR Share Price'!IE21</f>
        <v>#NAME?</v>
      </c>
      <c r="AM93" s="98" t="e">
        <f ca="1">+'QTR Share Price'!IF21</f>
        <v>#NAME?</v>
      </c>
      <c r="AN93" s="98" t="e">
        <f ca="1">+'QTR Share Price'!IG21</f>
        <v>#NAME?</v>
      </c>
      <c r="AO93" s="98" t="e">
        <f ca="1">+'QTR Share Price'!IH21</f>
        <v>#NAME?</v>
      </c>
      <c r="AP93" s="98" t="e">
        <f ca="1">+'QTR Share Price'!II21</f>
        <v>#NAME?</v>
      </c>
      <c r="AQ93" s="98" t="e">
        <f ca="1">+'QTR Share Price'!IJ21</f>
        <v>#NAME?</v>
      </c>
      <c r="AR93" s="98" t="e">
        <f ca="1">+'QTR Share Price'!IK21</f>
        <v>#NAME?</v>
      </c>
      <c r="AS93" s="98" t="e">
        <f ca="1">+'QTR Share Price'!IL21</f>
        <v>#NAME?</v>
      </c>
      <c r="AT93" s="98" t="e">
        <f ca="1">+'QTR Share Price'!IM21</f>
        <v>#NAME?</v>
      </c>
      <c r="AU93" s="98" t="e">
        <f ca="1">+'QTR Share Price'!IN21</f>
        <v>#NAME?</v>
      </c>
      <c r="AV93" s="98" t="e">
        <f ca="1">+'QTR Share Price'!IO21</f>
        <v>#NAME?</v>
      </c>
      <c r="AW93" s="98" t="e">
        <f ca="1">+'QTR Share Price'!IP21</f>
        <v>#NAME?</v>
      </c>
      <c r="AX93" s="98" t="e">
        <f ca="1">+'QTR Share Price'!IQ21</f>
        <v>#NAME?</v>
      </c>
      <c r="AY93" s="98" t="e">
        <f ca="1">+'QTR Share Price'!IR21</f>
        <v>#NAME?</v>
      </c>
      <c r="AZ93" s="98" t="e">
        <f ca="1">+'QTR Share Price'!IS21</f>
        <v>#NAME?</v>
      </c>
      <c r="BA93" s="98" t="e">
        <f ca="1">+'QTR Share Price'!IT21</f>
        <v>#NAME?</v>
      </c>
      <c r="BB93" s="98" t="e">
        <f ca="1">+'QTR Share Price'!IU21</f>
        <v>#NAME?</v>
      </c>
      <c r="BC93" s="98" t="e">
        <f ca="1">+'QTR Share Price'!IV21</f>
        <v>#NAME?</v>
      </c>
      <c r="BD93" s="98" t="e">
        <f ca="1">+'QTR Share Price'!IW21</f>
        <v>#NAME?</v>
      </c>
      <c r="BE93" s="98" t="e">
        <f ca="1">+'QTR Share Price'!IX21</f>
        <v>#NAME?</v>
      </c>
      <c r="BF93" s="98" t="e">
        <f ca="1">+'QTR Share Price'!IY21</f>
        <v>#NAME?</v>
      </c>
      <c r="BG93" s="98" t="e">
        <f ca="1">+'QTR Share Price'!IZ21</f>
        <v>#NAME?</v>
      </c>
      <c r="BH93" s="98" t="e">
        <f ca="1">+'QTR Share Price'!JA21</f>
        <v>#NAME?</v>
      </c>
      <c r="BI93" s="98" t="e">
        <f ca="1">+'QTR Share Price'!JB21</f>
        <v>#NAME?</v>
      </c>
      <c r="BJ93" s="98" t="e">
        <f ca="1">+'QTR Share Price'!JC21</f>
        <v>#NAME?</v>
      </c>
      <c r="BK93" s="98" t="e">
        <f ca="1">+'QTR Share Price'!JD21</f>
        <v>#NAME?</v>
      </c>
      <c r="BL93" s="98" t="e">
        <f ca="1">+'QTR Share Price'!JE21</f>
        <v>#NAME?</v>
      </c>
      <c r="BM93" s="98" t="e">
        <f ca="1">+'QTR Share Price'!JF21</f>
        <v>#NAME?</v>
      </c>
      <c r="BN93" s="98" t="e">
        <f ca="1">+'QTR Share Price'!JG21</f>
        <v>#NAME?</v>
      </c>
      <c r="BO93" s="98" t="e">
        <f ca="1">+'QTR Share Price'!JH21</f>
        <v>#NAME?</v>
      </c>
      <c r="BP93" s="98" t="e">
        <f ca="1">+'QTR Share Price'!JI21</f>
        <v>#NAME?</v>
      </c>
      <c r="BQ93" s="98" t="e">
        <f ca="1">+'QTR Share Price'!JJ21</f>
        <v>#NAME?</v>
      </c>
      <c r="BR93" s="98" t="e">
        <f ca="1">+'QTR Share Price'!JK21</f>
        <v>#NAME?</v>
      </c>
      <c r="BS93" s="98" t="e">
        <f ca="1">+'QTR Share Price'!JL21</f>
        <v>#NAME?</v>
      </c>
      <c r="BT93" s="98" t="e">
        <f ca="1">+'QTR Share Price'!JM21</f>
        <v>#NAME?</v>
      </c>
      <c r="BU93" s="98" t="e">
        <f ca="1">+'QTR Share Price'!JN21</f>
        <v>#NAME?</v>
      </c>
      <c r="BV93" s="98" t="e">
        <f ca="1">+'QTR Share Price'!JO21</f>
        <v>#NAME?</v>
      </c>
      <c r="BW93" s="98" t="e">
        <f ca="1">+'QTR Share Price'!JP21</f>
        <v>#NAME?</v>
      </c>
      <c r="BX93" s="98" t="e">
        <f ca="1">+'QTR Share Price'!JQ21</f>
        <v>#NAME?</v>
      </c>
      <c r="BY93" s="98" t="e">
        <f ca="1">+'QTR Share Price'!JR21</f>
        <v>#NAME?</v>
      </c>
      <c r="BZ93" s="80">
        <v>75.5</v>
      </c>
      <c r="CA93" s="80">
        <f t="shared" ref="CA93" si="1102">+BZ93</f>
        <v>75.5</v>
      </c>
      <c r="CB93" s="80">
        <f t="shared" ref="CB93" si="1103">+CA93</f>
        <v>75.5</v>
      </c>
      <c r="CC93" s="80">
        <f t="shared" ref="CC93" si="1104">+CB93</f>
        <v>75.5</v>
      </c>
      <c r="CD93" s="80">
        <f t="shared" ref="CD93" si="1105">+CC93</f>
        <v>75.5</v>
      </c>
      <c r="CE93" s="80">
        <f t="shared" ref="CE93" si="1106">+CD93</f>
        <v>75.5</v>
      </c>
      <c r="CF93" s="80">
        <f t="shared" ref="CF93" si="1107">+CE93</f>
        <v>75.5</v>
      </c>
      <c r="CG93" s="80">
        <f t="shared" ref="CG93" si="1108">+CF93</f>
        <v>75.5</v>
      </c>
      <c r="CH93" s="80">
        <f t="shared" ref="CH93" si="1109">+CG93</f>
        <v>75.5</v>
      </c>
      <c r="CI93" s="80">
        <f t="shared" ref="CI93" si="1110">+CH93</f>
        <v>75.5</v>
      </c>
      <c r="CJ93" s="80">
        <f t="shared" ref="CJ93" si="1111">+CI93</f>
        <v>75.5</v>
      </c>
      <c r="CK93" s="80">
        <f t="shared" ref="CK93" si="1112">+CJ93</f>
        <v>75.5</v>
      </c>
      <c r="CL93" s="80">
        <f t="shared" ref="CL93" si="1113">+CK93</f>
        <v>75.5</v>
      </c>
      <c r="CM93" s="80">
        <f t="shared" ref="CM93" si="1114">+CL93</f>
        <v>75.5</v>
      </c>
      <c r="CN93" s="80">
        <f t="shared" ref="CN93" si="1115">+CM93</f>
        <v>75.5</v>
      </c>
      <c r="CO93" s="80">
        <f t="shared" ref="CO93" si="1116">+CN93</f>
        <v>75.5</v>
      </c>
      <c r="CS93" s="98">
        <v>61.32</v>
      </c>
    </row>
    <row r="94" spans="1:97" s="98" customFormat="1" x14ac:dyDescent="0.2">
      <c r="A94" s="98" t="s">
        <v>38</v>
      </c>
      <c r="B94" s="98" t="e">
        <f ca="1">+'Annual Raw'!C46</f>
        <v>#NAME?</v>
      </c>
      <c r="C94" s="98" t="e">
        <f ca="1">+'Annual Raw'!D46</f>
        <v>#NAME?</v>
      </c>
      <c r="D94" s="98" t="e">
        <f ca="1">+'Annual Raw'!E46</f>
        <v>#NAME?</v>
      </c>
      <c r="E94" s="98" t="e">
        <f ca="1">+'Annual Raw'!F46</f>
        <v>#NAME?</v>
      </c>
      <c r="F94" s="98" t="e">
        <f ca="1">+'Annual Raw'!G46</f>
        <v>#NAME?</v>
      </c>
      <c r="G94" s="98" t="e">
        <f ca="1">+'Annual Raw'!H46</f>
        <v>#NAME?</v>
      </c>
      <c r="H94" s="98" t="e">
        <f ca="1">+'Annual Raw'!I46</f>
        <v>#NAME?</v>
      </c>
      <c r="I94" s="98" t="e">
        <f ca="1">+'Annual Raw'!J46</f>
        <v>#NAME?</v>
      </c>
      <c r="J94" s="98" t="e">
        <f ca="1">+'Annual Raw'!K46</f>
        <v>#NAME?</v>
      </c>
      <c r="K94" s="98" t="e">
        <f ca="1">+'Annual Raw'!L46</f>
        <v>#NAME?</v>
      </c>
      <c r="L94" s="98" t="e">
        <f ca="1">+'Annual Raw'!M46</f>
        <v>#NAME?</v>
      </c>
      <c r="M94" s="98" t="e">
        <f ca="1">+'Annual Raw'!N46</f>
        <v>#NAME?</v>
      </c>
      <c r="N94" s="98" t="e">
        <f ca="1">+'Annual Raw'!O46</f>
        <v>#NAME?</v>
      </c>
      <c r="O94" s="98" t="e">
        <f ca="1">+'Annual Raw'!P46</f>
        <v>#NAME?</v>
      </c>
      <c r="P94" s="98" t="e">
        <f ca="1">+'Annual Raw'!Q46</f>
        <v>#NAME?</v>
      </c>
      <c r="Q94" s="98" t="e">
        <f ca="1">+'Annual Raw'!R46</f>
        <v>#NAME?</v>
      </c>
      <c r="R94" s="98" t="e">
        <f ca="1">+'Annual Raw'!S46</f>
        <v>#NAME?</v>
      </c>
      <c r="S94" s="98" t="e">
        <f ca="1">+'Annual Raw'!T46</f>
        <v>#NAME?</v>
      </c>
      <c r="T94" s="98" t="e">
        <f ca="1">+'Annual Raw'!U46</f>
        <v>#NAME?</v>
      </c>
      <c r="U94" s="98" t="e">
        <f ca="1">+'Annual Raw'!V46</f>
        <v>#NAME?</v>
      </c>
      <c r="V94" s="98" t="e">
        <f ca="1">+'Annual Raw'!W46</f>
        <v>#NAME?</v>
      </c>
      <c r="W94" s="98" t="e">
        <f ca="1">+'Annual Raw'!X46</f>
        <v>#NAME?</v>
      </c>
      <c r="X94" s="98" t="e">
        <f ca="1">+'Annual Raw'!Y46</f>
        <v>#NAME?</v>
      </c>
      <c r="Y94" s="98" t="e">
        <f ca="1">+'Annual Raw'!Z46</f>
        <v>#NAME?</v>
      </c>
      <c r="Z94" s="98" t="e">
        <f ca="1">+'Annual Raw'!AA46</f>
        <v>#NAME?</v>
      </c>
      <c r="AA94" s="98" t="e">
        <f ca="1">+'Annual Raw'!AB46</f>
        <v>#NAME?</v>
      </c>
      <c r="AB94" s="80" t="e">
        <f ca="1">+MAX(BZ94:CC94)</f>
        <v>#NAME?</v>
      </c>
      <c r="AC94" s="80" t="e">
        <f ca="1">+MAX(CD94:CG94)</f>
        <v>#NAME?</v>
      </c>
      <c r="AD94" s="80" t="e">
        <f ca="1">+MAX(CH94:CK94)</f>
        <v>#NAME?</v>
      </c>
      <c r="AE94" s="80" t="e">
        <f ca="1">+MAX(CL94:CO94)</f>
        <v>#NAME?</v>
      </c>
      <c r="AG94" s="79"/>
      <c r="AH94" s="98" t="e">
        <f ca="1">+'QTR Share Price'!IA19</f>
        <v>#NAME?</v>
      </c>
      <c r="AI94" s="98" t="e">
        <f ca="1">+'QTR Share Price'!IB19</f>
        <v>#NAME?</v>
      </c>
      <c r="AJ94" s="98" t="e">
        <f ca="1">+'QTR Share Price'!IC19</f>
        <v>#NAME?</v>
      </c>
      <c r="AK94" s="98" t="e">
        <f ca="1">+'QTR Share Price'!ID19</f>
        <v>#NAME?</v>
      </c>
      <c r="AL94" s="98" t="e">
        <f ca="1">+'QTR Share Price'!IE19</f>
        <v>#NAME?</v>
      </c>
      <c r="AM94" s="98" t="e">
        <f ca="1">+'QTR Share Price'!IF19</f>
        <v>#NAME?</v>
      </c>
      <c r="AN94" s="98" t="e">
        <f ca="1">+'QTR Share Price'!IG19</f>
        <v>#NAME?</v>
      </c>
      <c r="AO94" s="98" t="e">
        <f ca="1">+'QTR Share Price'!IH19</f>
        <v>#NAME?</v>
      </c>
      <c r="AP94" s="98" t="e">
        <f ca="1">+'QTR Share Price'!II19</f>
        <v>#NAME?</v>
      </c>
      <c r="AQ94" s="98" t="e">
        <f ca="1">+'QTR Share Price'!IJ19</f>
        <v>#NAME?</v>
      </c>
      <c r="AR94" s="98" t="e">
        <f ca="1">+'QTR Share Price'!IK19</f>
        <v>#NAME?</v>
      </c>
      <c r="AS94" s="98" t="e">
        <f ca="1">+'QTR Share Price'!IL19</f>
        <v>#NAME?</v>
      </c>
      <c r="AT94" s="98" t="e">
        <f ca="1">+'QTR Share Price'!IM19</f>
        <v>#NAME?</v>
      </c>
      <c r="AU94" s="98" t="e">
        <f ca="1">+'QTR Share Price'!IN19</f>
        <v>#NAME?</v>
      </c>
      <c r="AV94" s="98" t="e">
        <f ca="1">+'QTR Share Price'!IO19</f>
        <v>#NAME?</v>
      </c>
      <c r="AW94" s="98" t="e">
        <f ca="1">+'QTR Share Price'!IP19</f>
        <v>#NAME?</v>
      </c>
      <c r="AX94" s="98" t="e">
        <f ca="1">+'QTR Share Price'!IQ19</f>
        <v>#NAME?</v>
      </c>
      <c r="AY94" s="98" t="e">
        <f ca="1">+'QTR Share Price'!IR19</f>
        <v>#NAME?</v>
      </c>
      <c r="AZ94" s="98" t="e">
        <f ca="1">+'QTR Share Price'!IS19</f>
        <v>#NAME?</v>
      </c>
      <c r="BA94" s="98" t="e">
        <f ca="1">+'QTR Share Price'!IT19</f>
        <v>#NAME?</v>
      </c>
      <c r="BB94" s="98" t="e">
        <f ca="1">+'QTR Share Price'!IU19</f>
        <v>#NAME?</v>
      </c>
      <c r="BC94" s="98" t="e">
        <f ca="1">+'QTR Share Price'!IV19</f>
        <v>#NAME?</v>
      </c>
      <c r="BD94" s="98" t="e">
        <f ca="1">+'QTR Share Price'!IW19</f>
        <v>#NAME?</v>
      </c>
      <c r="BE94" s="98" t="e">
        <f ca="1">+'QTR Share Price'!IX19</f>
        <v>#NAME?</v>
      </c>
      <c r="BF94" s="98" t="e">
        <f ca="1">+'QTR Share Price'!IY19</f>
        <v>#NAME?</v>
      </c>
      <c r="BG94" s="98" t="e">
        <f ca="1">+'QTR Share Price'!IZ19</f>
        <v>#NAME?</v>
      </c>
      <c r="BH94" s="98" t="e">
        <f ca="1">+'QTR Share Price'!JA19</f>
        <v>#NAME?</v>
      </c>
      <c r="BI94" s="98" t="e">
        <f ca="1">+'QTR Share Price'!JB19</f>
        <v>#NAME?</v>
      </c>
      <c r="BJ94" s="98" t="e">
        <f ca="1">+'QTR Share Price'!JC19</f>
        <v>#NAME?</v>
      </c>
      <c r="BK94" s="98" t="e">
        <f ca="1">+'QTR Share Price'!JD19</f>
        <v>#NAME?</v>
      </c>
      <c r="BL94" s="98" t="e">
        <f ca="1">+'QTR Share Price'!JE19</f>
        <v>#NAME?</v>
      </c>
      <c r="BM94" s="98" t="e">
        <f ca="1">+'QTR Share Price'!JF19</f>
        <v>#NAME?</v>
      </c>
      <c r="BN94" s="98" t="e">
        <f ca="1">+'QTR Share Price'!JG19</f>
        <v>#NAME?</v>
      </c>
      <c r="BO94" s="98" t="e">
        <f ca="1">+'QTR Share Price'!JH19</f>
        <v>#NAME?</v>
      </c>
      <c r="BP94" s="98" t="e">
        <f ca="1">+'QTR Share Price'!JI19</f>
        <v>#NAME?</v>
      </c>
      <c r="BQ94" s="98" t="e">
        <f ca="1">+'QTR Share Price'!JJ19</f>
        <v>#NAME?</v>
      </c>
      <c r="BR94" s="98" t="e">
        <f ca="1">+'QTR Share Price'!JK19</f>
        <v>#NAME?</v>
      </c>
      <c r="BS94" s="98" t="e">
        <f ca="1">+'QTR Share Price'!JL19</f>
        <v>#NAME?</v>
      </c>
      <c r="BT94" s="98" t="e">
        <f ca="1">+'QTR Share Price'!JM19</f>
        <v>#NAME?</v>
      </c>
      <c r="BU94" s="98" t="e">
        <f ca="1">+'QTR Share Price'!JN19</f>
        <v>#NAME?</v>
      </c>
      <c r="BV94" s="98" t="e">
        <f ca="1">+'QTR Share Price'!JO19</f>
        <v>#NAME?</v>
      </c>
      <c r="BW94" s="98" t="e">
        <f ca="1">+'QTR Share Price'!JP19</f>
        <v>#NAME?</v>
      </c>
      <c r="BX94" s="98" t="e">
        <f ca="1">+'QTR Share Price'!JQ19</f>
        <v>#NAME?</v>
      </c>
      <c r="BY94" s="98" t="e">
        <f ca="1">+'QTR Share Price'!JR19</f>
        <v>#NAME?</v>
      </c>
      <c r="BZ94" s="80" t="e">
        <f t="shared" ref="BZ94:CO94" ca="1" si="1117">+BZ102*BZ70</f>
        <v>#NAME?</v>
      </c>
      <c r="CA94" s="80" t="e">
        <f t="shared" ca="1" si="1117"/>
        <v>#NAME?</v>
      </c>
      <c r="CB94" s="80" t="e">
        <f t="shared" ca="1" si="1117"/>
        <v>#NAME?</v>
      </c>
      <c r="CC94" s="80" t="e">
        <f t="shared" ca="1" si="1117"/>
        <v>#NAME?</v>
      </c>
      <c r="CD94" s="80" t="e">
        <f t="shared" ca="1" si="1117"/>
        <v>#NAME?</v>
      </c>
      <c r="CE94" s="80" t="e">
        <f t="shared" ca="1" si="1117"/>
        <v>#NAME?</v>
      </c>
      <c r="CF94" s="80" t="e">
        <f t="shared" ca="1" si="1117"/>
        <v>#NAME?</v>
      </c>
      <c r="CG94" s="80" t="e">
        <f t="shared" ca="1" si="1117"/>
        <v>#NAME?</v>
      </c>
      <c r="CH94" s="80" t="e">
        <f t="shared" ca="1" si="1117"/>
        <v>#NAME?</v>
      </c>
      <c r="CI94" s="80" t="e">
        <f t="shared" ca="1" si="1117"/>
        <v>#NAME?</v>
      </c>
      <c r="CJ94" s="80" t="e">
        <f t="shared" ca="1" si="1117"/>
        <v>#NAME?</v>
      </c>
      <c r="CK94" s="80" t="e">
        <f t="shared" ca="1" si="1117"/>
        <v>#NAME?</v>
      </c>
      <c r="CL94" s="80" t="e">
        <f t="shared" ca="1" si="1117"/>
        <v>#NAME?</v>
      </c>
      <c r="CM94" s="80" t="e">
        <f t="shared" ca="1" si="1117"/>
        <v>#NAME?</v>
      </c>
      <c r="CN94" s="80" t="e">
        <f t="shared" ca="1" si="1117"/>
        <v>#NAME?</v>
      </c>
      <c r="CO94" s="80" t="e">
        <f t="shared" ca="1" si="1117"/>
        <v>#NAME?</v>
      </c>
      <c r="CS94" s="98">
        <v>76.989999999999995</v>
      </c>
    </row>
    <row r="95" spans="1:97" s="98" customFormat="1" x14ac:dyDescent="0.2">
      <c r="A95" s="98" t="s">
        <v>39</v>
      </c>
      <c r="B95" s="98" t="e">
        <f ca="1">+'Annual Raw'!C47</f>
        <v>#NAME?</v>
      </c>
      <c r="C95" s="98" t="e">
        <f ca="1">+'Annual Raw'!D47</f>
        <v>#NAME?</v>
      </c>
      <c r="D95" s="98" t="e">
        <f ca="1">+'Annual Raw'!E47</f>
        <v>#NAME?</v>
      </c>
      <c r="E95" s="98" t="e">
        <f ca="1">+'Annual Raw'!F47</f>
        <v>#NAME?</v>
      </c>
      <c r="F95" s="98" t="e">
        <f ca="1">+'Annual Raw'!G47</f>
        <v>#NAME?</v>
      </c>
      <c r="G95" s="98" t="e">
        <f ca="1">+'Annual Raw'!H47</f>
        <v>#NAME?</v>
      </c>
      <c r="H95" s="98" t="e">
        <f ca="1">+'Annual Raw'!I47</f>
        <v>#NAME?</v>
      </c>
      <c r="I95" s="98" t="e">
        <f ca="1">+'Annual Raw'!J47</f>
        <v>#NAME?</v>
      </c>
      <c r="J95" s="98" t="e">
        <f ca="1">+'Annual Raw'!K47</f>
        <v>#NAME?</v>
      </c>
      <c r="K95" s="98" t="e">
        <f ca="1">+'Annual Raw'!L47</f>
        <v>#NAME?</v>
      </c>
      <c r="L95" s="98" t="e">
        <f ca="1">+'Annual Raw'!M47</f>
        <v>#NAME?</v>
      </c>
      <c r="M95" s="98" t="e">
        <f ca="1">+'Annual Raw'!N47</f>
        <v>#NAME?</v>
      </c>
      <c r="N95" s="98" t="e">
        <f ca="1">+'Annual Raw'!O47</f>
        <v>#NAME?</v>
      </c>
      <c r="O95" s="98" t="e">
        <f ca="1">+'Annual Raw'!P47</f>
        <v>#NAME?</v>
      </c>
      <c r="P95" s="98" t="e">
        <f ca="1">+'Annual Raw'!Q47</f>
        <v>#NAME?</v>
      </c>
      <c r="Q95" s="98" t="e">
        <f ca="1">+'Annual Raw'!R47</f>
        <v>#NAME?</v>
      </c>
      <c r="R95" s="98" t="e">
        <f ca="1">+'Annual Raw'!S47</f>
        <v>#NAME?</v>
      </c>
      <c r="S95" s="98" t="e">
        <f ca="1">+'Annual Raw'!T47</f>
        <v>#NAME?</v>
      </c>
      <c r="T95" s="98" t="e">
        <f ca="1">+'Annual Raw'!U47</f>
        <v>#NAME?</v>
      </c>
      <c r="U95" s="98" t="e">
        <f ca="1">+'Annual Raw'!V47</f>
        <v>#NAME?</v>
      </c>
      <c r="V95" s="98" t="e">
        <f ca="1">+'Annual Raw'!W47</f>
        <v>#NAME?</v>
      </c>
      <c r="W95" s="98" t="e">
        <f ca="1">+'Annual Raw'!X47</f>
        <v>#NAME?</v>
      </c>
      <c r="X95" s="98" t="e">
        <f ca="1">+'Annual Raw'!Y47</f>
        <v>#NAME?</v>
      </c>
      <c r="Y95" s="98" t="e">
        <f ca="1">+'Annual Raw'!Z47</f>
        <v>#NAME?</v>
      </c>
      <c r="Z95" s="98" t="e">
        <f ca="1">+'Annual Raw'!AA47</f>
        <v>#NAME?</v>
      </c>
      <c r="AA95" s="98" t="e">
        <f ca="1">+'Annual Raw'!AB47</f>
        <v>#NAME?</v>
      </c>
      <c r="AB95" s="80" t="e">
        <f ca="1">+MIN(BZ95:CC95)</f>
        <v>#NAME?</v>
      </c>
      <c r="AC95" s="80" t="e">
        <f ca="1">+MIN(CD95:CG95)</f>
        <v>#NAME?</v>
      </c>
      <c r="AD95" s="80" t="e">
        <f ca="1">+MIN(CH95:CK95)</f>
        <v>#NAME?</v>
      </c>
      <c r="AE95" s="80" t="e">
        <f ca="1">+MIN(CL95:CO95)</f>
        <v>#NAME?</v>
      </c>
      <c r="AG95" s="79"/>
      <c r="AH95" s="98" t="e">
        <f ca="1">+'QTR Share Price'!IA20</f>
        <v>#NAME?</v>
      </c>
      <c r="AI95" s="98" t="e">
        <f ca="1">+'QTR Share Price'!IB20</f>
        <v>#NAME?</v>
      </c>
      <c r="AJ95" s="98" t="e">
        <f ca="1">+'QTR Share Price'!IC20</f>
        <v>#NAME?</v>
      </c>
      <c r="AK95" s="98" t="e">
        <f ca="1">+'QTR Share Price'!ID20</f>
        <v>#NAME?</v>
      </c>
      <c r="AL95" s="98" t="e">
        <f ca="1">+'QTR Share Price'!IE20</f>
        <v>#NAME?</v>
      </c>
      <c r="AM95" s="98" t="e">
        <f ca="1">+'QTR Share Price'!IF20</f>
        <v>#NAME?</v>
      </c>
      <c r="AN95" s="98" t="e">
        <f ca="1">+'QTR Share Price'!IG20</f>
        <v>#NAME?</v>
      </c>
      <c r="AO95" s="98" t="e">
        <f ca="1">+'QTR Share Price'!IH20</f>
        <v>#NAME?</v>
      </c>
      <c r="AP95" s="98" t="e">
        <f ca="1">+'QTR Share Price'!II20</f>
        <v>#NAME?</v>
      </c>
      <c r="AQ95" s="98" t="e">
        <f ca="1">+'QTR Share Price'!IJ20</f>
        <v>#NAME?</v>
      </c>
      <c r="AR95" s="98" t="e">
        <f ca="1">+'QTR Share Price'!IK20</f>
        <v>#NAME?</v>
      </c>
      <c r="AS95" s="98" t="e">
        <f ca="1">+'QTR Share Price'!IL20</f>
        <v>#NAME?</v>
      </c>
      <c r="AT95" s="98" t="e">
        <f ca="1">+'QTR Share Price'!IM20</f>
        <v>#NAME?</v>
      </c>
      <c r="AU95" s="98" t="e">
        <f ca="1">+'QTR Share Price'!IN20</f>
        <v>#NAME?</v>
      </c>
      <c r="AV95" s="98" t="e">
        <f ca="1">+'QTR Share Price'!IO20</f>
        <v>#NAME?</v>
      </c>
      <c r="AW95" s="98" t="e">
        <f ca="1">+'QTR Share Price'!IP20</f>
        <v>#NAME?</v>
      </c>
      <c r="AX95" s="98" t="e">
        <f ca="1">+'QTR Share Price'!IQ20</f>
        <v>#NAME?</v>
      </c>
      <c r="AY95" s="98" t="e">
        <f ca="1">+'QTR Share Price'!IR20</f>
        <v>#NAME?</v>
      </c>
      <c r="AZ95" s="98" t="e">
        <f ca="1">+'QTR Share Price'!IS20</f>
        <v>#NAME?</v>
      </c>
      <c r="BA95" s="98" t="e">
        <f ca="1">+'QTR Share Price'!IT20</f>
        <v>#NAME?</v>
      </c>
      <c r="BB95" s="98" t="e">
        <f ca="1">+'QTR Share Price'!IU20</f>
        <v>#NAME?</v>
      </c>
      <c r="BC95" s="98" t="e">
        <f ca="1">+'QTR Share Price'!IV20</f>
        <v>#NAME?</v>
      </c>
      <c r="BD95" s="98" t="e">
        <f ca="1">+'QTR Share Price'!IW20</f>
        <v>#NAME?</v>
      </c>
      <c r="BE95" s="98" t="e">
        <f ca="1">+'QTR Share Price'!IX20</f>
        <v>#NAME?</v>
      </c>
      <c r="BF95" s="98" t="e">
        <f ca="1">+'QTR Share Price'!IY20</f>
        <v>#NAME?</v>
      </c>
      <c r="BG95" s="98" t="e">
        <f ca="1">+'QTR Share Price'!IZ20</f>
        <v>#NAME?</v>
      </c>
      <c r="BH95" s="98" t="e">
        <f ca="1">+'QTR Share Price'!JA20</f>
        <v>#NAME?</v>
      </c>
      <c r="BI95" s="98" t="e">
        <f ca="1">+'QTR Share Price'!JB20</f>
        <v>#NAME?</v>
      </c>
      <c r="BJ95" s="98" t="e">
        <f ca="1">+'QTR Share Price'!JC20</f>
        <v>#NAME?</v>
      </c>
      <c r="BK95" s="98" t="e">
        <f ca="1">+'QTR Share Price'!JD20</f>
        <v>#NAME?</v>
      </c>
      <c r="BL95" s="98" t="e">
        <f ca="1">+'QTR Share Price'!JE20</f>
        <v>#NAME?</v>
      </c>
      <c r="BM95" s="98" t="e">
        <f ca="1">+'QTR Share Price'!JF20</f>
        <v>#NAME?</v>
      </c>
      <c r="BN95" s="98" t="e">
        <f ca="1">+'QTR Share Price'!JG20</f>
        <v>#NAME?</v>
      </c>
      <c r="BO95" s="98" t="e">
        <f ca="1">+'QTR Share Price'!JH20</f>
        <v>#NAME?</v>
      </c>
      <c r="BP95" s="98" t="e">
        <f ca="1">+'QTR Share Price'!JI20</f>
        <v>#NAME?</v>
      </c>
      <c r="BQ95" s="98" t="e">
        <f ca="1">+'QTR Share Price'!JJ20</f>
        <v>#NAME?</v>
      </c>
      <c r="BR95" s="98" t="e">
        <f ca="1">+'QTR Share Price'!JK20</f>
        <v>#NAME?</v>
      </c>
      <c r="BS95" s="98" t="e">
        <f ca="1">+'QTR Share Price'!JL20</f>
        <v>#NAME?</v>
      </c>
      <c r="BT95" s="98" t="e">
        <f ca="1">+'QTR Share Price'!JM20</f>
        <v>#NAME?</v>
      </c>
      <c r="BU95" s="98" t="e">
        <f ca="1">+'QTR Share Price'!JN20</f>
        <v>#NAME?</v>
      </c>
      <c r="BV95" s="98" t="e">
        <f ca="1">+'QTR Share Price'!JO20</f>
        <v>#NAME?</v>
      </c>
      <c r="BW95" s="98" t="e">
        <f ca="1">+'QTR Share Price'!JP20</f>
        <v>#NAME?</v>
      </c>
      <c r="BX95" s="98" t="e">
        <f ca="1">+'QTR Share Price'!JQ20</f>
        <v>#NAME?</v>
      </c>
      <c r="BY95" s="98" t="e">
        <f ca="1">+'QTR Share Price'!JR20</f>
        <v>#NAME?</v>
      </c>
      <c r="BZ95" s="80" t="e">
        <f t="shared" ref="BZ95:CO95" ca="1" si="1118">+BZ103*BZ70</f>
        <v>#NAME?</v>
      </c>
      <c r="CA95" s="80" t="e">
        <f t="shared" ca="1" si="1118"/>
        <v>#NAME?</v>
      </c>
      <c r="CB95" s="80" t="e">
        <f t="shared" ca="1" si="1118"/>
        <v>#NAME?</v>
      </c>
      <c r="CC95" s="80" t="e">
        <f t="shared" ca="1" si="1118"/>
        <v>#NAME?</v>
      </c>
      <c r="CD95" s="80" t="e">
        <f t="shared" ca="1" si="1118"/>
        <v>#NAME?</v>
      </c>
      <c r="CE95" s="80" t="e">
        <f t="shared" ca="1" si="1118"/>
        <v>#NAME?</v>
      </c>
      <c r="CF95" s="80" t="e">
        <f t="shared" ca="1" si="1118"/>
        <v>#NAME?</v>
      </c>
      <c r="CG95" s="80" t="e">
        <f t="shared" ca="1" si="1118"/>
        <v>#NAME?</v>
      </c>
      <c r="CH95" s="80" t="e">
        <f t="shared" ca="1" si="1118"/>
        <v>#NAME?</v>
      </c>
      <c r="CI95" s="80" t="e">
        <f t="shared" ca="1" si="1118"/>
        <v>#NAME?</v>
      </c>
      <c r="CJ95" s="80" t="e">
        <f t="shared" ca="1" si="1118"/>
        <v>#NAME?</v>
      </c>
      <c r="CK95" s="80" t="e">
        <f t="shared" ca="1" si="1118"/>
        <v>#NAME?</v>
      </c>
      <c r="CL95" s="80" t="e">
        <f t="shared" ca="1" si="1118"/>
        <v>#NAME?</v>
      </c>
      <c r="CM95" s="80" t="e">
        <f t="shared" ca="1" si="1118"/>
        <v>#NAME?</v>
      </c>
      <c r="CN95" s="80" t="e">
        <f t="shared" ca="1" si="1118"/>
        <v>#NAME?</v>
      </c>
      <c r="CO95" s="80" t="e">
        <f t="shared" ca="1" si="1118"/>
        <v>#NAME?</v>
      </c>
      <c r="CS95" s="91">
        <v>38.11</v>
      </c>
    </row>
    <row r="96" spans="1:97" s="91" customFormat="1" x14ac:dyDescent="0.2">
      <c r="AB96" s="85"/>
      <c r="AC96" s="85"/>
      <c r="AD96" s="85"/>
      <c r="AE96" s="85"/>
      <c r="AG96" s="84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</row>
    <row r="97" spans="1:97" s="92" customFormat="1" x14ac:dyDescent="0.2">
      <c r="A97" s="92" t="s">
        <v>47</v>
      </c>
      <c r="AB97" s="71"/>
      <c r="AC97" s="71"/>
      <c r="AD97" s="71"/>
      <c r="AE97" s="71"/>
      <c r="AG97" s="72"/>
      <c r="BZ97" s="71" t="e">
        <f t="shared" ref="BZ97:CC97" ca="1" si="1119">+BZ94/BZ93-1</f>
        <v>#NAME?</v>
      </c>
      <c r="CA97" s="71" t="e">
        <f t="shared" ca="1" si="1119"/>
        <v>#NAME?</v>
      </c>
      <c r="CB97" s="71" t="e">
        <f t="shared" ca="1" si="1119"/>
        <v>#NAME?</v>
      </c>
      <c r="CC97" s="71" t="e">
        <f t="shared" ca="1" si="1119"/>
        <v>#NAME?</v>
      </c>
      <c r="CD97" s="71" t="e">
        <f t="shared" ref="CD97:CO97" ca="1" si="1120">+CD94/CD93-1</f>
        <v>#NAME?</v>
      </c>
      <c r="CE97" s="71" t="e">
        <f t="shared" ca="1" si="1120"/>
        <v>#NAME?</v>
      </c>
      <c r="CF97" s="71" t="e">
        <f t="shared" ca="1" si="1120"/>
        <v>#NAME?</v>
      </c>
      <c r="CG97" s="71" t="e">
        <f t="shared" ca="1" si="1120"/>
        <v>#NAME?</v>
      </c>
      <c r="CH97" s="71" t="e">
        <f t="shared" ca="1" si="1120"/>
        <v>#NAME?</v>
      </c>
      <c r="CI97" s="71" t="e">
        <f t="shared" ca="1" si="1120"/>
        <v>#NAME?</v>
      </c>
      <c r="CJ97" s="71" t="e">
        <f t="shared" ca="1" si="1120"/>
        <v>#NAME?</v>
      </c>
      <c r="CK97" s="71" t="e">
        <f t="shared" ca="1" si="1120"/>
        <v>#NAME?</v>
      </c>
      <c r="CL97" s="71" t="e">
        <f t="shared" ca="1" si="1120"/>
        <v>#NAME?</v>
      </c>
      <c r="CM97" s="71" t="e">
        <f t="shared" ca="1" si="1120"/>
        <v>#NAME?</v>
      </c>
      <c r="CN97" s="71" t="e">
        <f t="shared" ca="1" si="1120"/>
        <v>#NAME?</v>
      </c>
      <c r="CO97" s="71" t="e">
        <f t="shared" ca="1" si="1120"/>
        <v>#NAME?</v>
      </c>
    </row>
    <row r="98" spans="1:97" s="92" customFormat="1" x14ac:dyDescent="0.2">
      <c r="A98" s="92" t="s">
        <v>48</v>
      </c>
      <c r="AB98" s="71"/>
      <c r="AC98" s="71"/>
      <c r="AD98" s="71"/>
      <c r="AE98" s="71"/>
      <c r="AG98" s="72"/>
      <c r="BZ98" s="71" t="e">
        <f t="shared" ref="BZ98:CC98" ca="1" si="1121">+BZ95/BZ93-1</f>
        <v>#NAME?</v>
      </c>
      <c r="CA98" s="71" t="e">
        <f t="shared" ca="1" si="1121"/>
        <v>#NAME?</v>
      </c>
      <c r="CB98" s="71" t="e">
        <f t="shared" ca="1" si="1121"/>
        <v>#NAME?</v>
      </c>
      <c r="CC98" s="71" t="e">
        <f t="shared" ca="1" si="1121"/>
        <v>#NAME?</v>
      </c>
      <c r="CD98" s="71" t="e">
        <f t="shared" ref="CD98:CO98" ca="1" si="1122">+CD95/CD93-1</f>
        <v>#NAME?</v>
      </c>
      <c r="CE98" s="71" t="e">
        <f t="shared" ca="1" si="1122"/>
        <v>#NAME?</v>
      </c>
      <c r="CF98" s="71" t="e">
        <f t="shared" ca="1" si="1122"/>
        <v>#NAME?</v>
      </c>
      <c r="CG98" s="71" t="e">
        <f t="shared" ca="1" si="1122"/>
        <v>#NAME?</v>
      </c>
      <c r="CH98" s="71" t="e">
        <f t="shared" ca="1" si="1122"/>
        <v>#NAME?</v>
      </c>
      <c r="CI98" s="71" t="e">
        <f t="shared" ca="1" si="1122"/>
        <v>#NAME?</v>
      </c>
      <c r="CJ98" s="71" t="e">
        <f t="shared" ca="1" si="1122"/>
        <v>#NAME?</v>
      </c>
      <c r="CK98" s="71" t="e">
        <f t="shared" ca="1" si="1122"/>
        <v>#NAME?</v>
      </c>
      <c r="CL98" s="71" t="e">
        <f t="shared" ca="1" si="1122"/>
        <v>#NAME?</v>
      </c>
      <c r="CM98" s="71" t="e">
        <f t="shared" ca="1" si="1122"/>
        <v>#NAME?</v>
      </c>
      <c r="CN98" s="71" t="e">
        <f t="shared" ca="1" si="1122"/>
        <v>#NAME?</v>
      </c>
      <c r="CO98" s="71" t="e">
        <f t="shared" ca="1" si="1122"/>
        <v>#NAME?</v>
      </c>
    </row>
    <row r="99" spans="1:97" s="92" customFormat="1" x14ac:dyDescent="0.2">
      <c r="AB99" s="71"/>
      <c r="AC99" s="71"/>
      <c r="AD99" s="71"/>
      <c r="AE99" s="71"/>
      <c r="AG99" s="72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</row>
    <row r="100" spans="1:97" s="91" customFormat="1" x14ac:dyDescent="0.2">
      <c r="A100" s="91" t="s">
        <v>351</v>
      </c>
      <c r="AB100" s="85"/>
      <c r="AC100" s="85"/>
      <c r="AD100" s="85"/>
      <c r="AE100" s="85"/>
      <c r="AG100" s="84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</row>
    <row r="101" spans="1:97" s="91" customFormat="1" x14ac:dyDescent="0.2">
      <c r="A101" s="91" t="s">
        <v>41</v>
      </c>
      <c r="B101" s="91" t="e">
        <f t="shared" ref="B101:AE101" ca="1" si="1123">+B93/B70</f>
        <v>#NAME?</v>
      </c>
      <c r="C101" s="91" t="e">
        <f t="shared" ca="1" si="1123"/>
        <v>#NAME?</v>
      </c>
      <c r="D101" s="91" t="e">
        <f t="shared" ca="1" si="1123"/>
        <v>#NAME?</v>
      </c>
      <c r="E101" s="91" t="e">
        <f t="shared" ca="1" si="1123"/>
        <v>#NAME?</v>
      </c>
      <c r="F101" s="91" t="e">
        <f t="shared" ca="1" si="1123"/>
        <v>#NAME?</v>
      </c>
      <c r="G101" s="91" t="e">
        <f t="shared" ca="1" si="1123"/>
        <v>#NAME?</v>
      </c>
      <c r="H101" s="91" t="e">
        <f t="shared" ca="1" si="1123"/>
        <v>#NAME?</v>
      </c>
      <c r="I101" s="91" t="e">
        <f t="shared" ca="1" si="1123"/>
        <v>#NAME?</v>
      </c>
      <c r="J101" s="91" t="e">
        <f t="shared" ca="1" si="1123"/>
        <v>#NAME?</v>
      </c>
      <c r="K101" s="91" t="e">
        <f t="shared" ca="1" si="1123"/>
        <v>#NAME?</v>
      </c>
      <c r="L101" s="91" t="e">
        <f t="shared" ca="1" si="1123"/>
        <v>#NAME?</v>
      </c>
      <c r="M101" s="91" t="e">
        <f t="shared" ca="1" si="1123"/>
        <v>#NAME?</v>
      </c>
      <c r="N101" s="91" t="e">
        <f t="shared" ca="1" si="1123"/>
        <v>#NAME?</v>
      </c>
      <c r="O101" s="91" t="e">
        <f t="shared" ca="1" si="1123"/>
        <v>#NAME?</v>
      </c>
      <c r="P101" s="91" t="e">
        <f t="shared" ca="1" si="1123"/>
        <v>#NAME?</v>
      </c>
      <c r="Q101" s="91" t="e">
        <f t="shared" ca="1" si="1123"/>
        <v>#NAME?</v>
      </c>
      <c r="R101" s="91" t="e">
        <f t="shared" ca="1" si="1123"/>
        <v>#NAME?</v>
      </c>
      <c r="S101" s="91" t="e">
        <f t="shared" ca="1" si="1123"/>
        <v>#NAME?</v>
      </c>
      <c r="T101" s="91" t="e">
        <f t="shared" ca="1" si="1123"/>
        <v>#NAME?</v>
      </c>
      <c r="U101" s="91" t="e">
        <f t="shared" ca="1" si="1123"/>
        <v>#NAME?</v>
      </c>
      <c r="V101" s="91" t="e">
        <f t="shared" ca="1" si="1123"/>
        <v>#NAME?</v>
      </c>
      <c r="W101" s="91" t="e">
        <f t="shared" ca="1" si="1123"/>
        <v>#NAME?</v>
      </c>
      <c r="X101" s="91" t="e">
        <f t="shared" ca="1" si="1123"/>
        <v>#NAME?</v>
      </c>
      <c r="Y101" s="91" t="e">
        <f t="shared" ca="1" si="1123"/>
        <v>#NAME?</v>
      </c>
      <c r="Z101" s="91" t="e">
        <f t="shared" ca="1" si="1123"/>
        <v>#NAME?</v>
      </c>
      <c r="AA101" s="91" t="e">
        <f t="shared" ref="AA101" ca="1" si="1124">+AA93/AA70</f>
        <v>#NAME?</v>
      </c>
      <c r="AB101" s="85" t="e">
        <f t="shared" ca="1" si="1123"/>
        <v>#NAME?</v>
      </c>
      <c r="AC101" s="85" t="e">
        <f t="shared" ca="1" si="1123"/>
        <v>#NAME?</v>
      </c>
      <c r="AD101" s="85" t="e">
        <f t="shared" ca="1" si="1123"/>
        <v>#NAME?</v>
      </c>
      <c r="AE101" s="85" t="e">
        <f t="shared" ca="1" si="1123"/>
        <v>#NAME?</v>
      </c>
      <c r="AG101" s="84"/>
      <c r="AH101" s="91" t="e">
        <f t="shared" ref="AH101:AR101" ca="1" si="1125">+AH93/AH70</f>
        <v>#NAME?</v>
      </c>
      <c r="AI101" s="91" t="e">
        <f t="shared" ca="1" si="1125"/>
        <v>#NAME?</v>
      </c>
      <c r="AJ101" s="91" t="e">
        <f t="shared" ca="1" si="1125"/>
        <v>#NAME?</v>
      </c>
      <c r="AK101" s="91" t="e">
        <f t="shared" ca="1" si="1125"/>
        <v>#NAME?</v>
      </c>
      <c r="AL101" s="91" t="e">
        <f t="shared" ca="1" si="1125"/>
        <v>#NAME?</v>
      </c>
      <c r="AM101" s="91" t="e">
        <f t="shared" ca="1" si="1125"/>
        <v>#NAME?</v>
      </c>
      <c r="AN101" s="91" t="e">
        <f t="shared" ca="1" si="1125"/>
        <v>#NAME?</v>
      </c>
      <c r="AO101" s="91" t="e">
        <f t="shared" ca="1" si="1125"/>
        <v>#NAME?</v>
      </c>
      <c r="AP101" s="91" t="e">
        <f t="shared" ca="1" si="1125"/>
        <v>#NAME?</v>
      </c>
      <c r="AQ101" s="91" t="e">
        <f t="shared" ca="1" si="1125"/>
        <v>#NAME?</v>
      </c>
      <c r="AR101" s="91" t="e">
        <f t="shared" ca="1" si="1125"/>
        <v>#NAME?</v>
      </c>
      <c r="AS101" s="91" t="e">
        <f ca="1">+AS93/AS70</f>
        <v>#NAME?</v>
      </c>
      <c r="AT101" s="91" t="e">
        <f t="shared" ref="AT101:CO101" ca="1" si="1126">+AT93/AT70</f>
        <v>#NAME?</v>
      </c>
      <c r="AU101" s="91" t="e">
        <f t="shared" ca="1" si="1126"/>
        <v>#NAME?</v>
      </c>
      <c r="AV101" s="91" t="e">
        <f t="shared" ca="1" si="1126"/>
        <v>#NAME?</v>
      </c>
      <c r="AW101" s="91" t="e">
        <f t="shared" ca="1" si="1126"/>
        <v>#NAME?</v>
      </c>
      <c r="AX101" s="91" t="e">
        <f t="shared" ca="1" si="1126"/>
        <v>#NAME?</v>
      </c>
      <c r="AY101" s="91" t="e">
        <f t="shared" ca="1" si="1126"/>
        <v>#NAME?</v>
      </c>
      <c r="AZ101" s="91" t="e">
        <f t="shared" ca="1" si="1126"/>
        <v>#NAME?</v>
      </c>
      <c r="BA101" s="91" t="e">
        <f t="shared" ca="1" si="1126"/>
        <v>#NAME?</v>
      </c>
      <c r="BB101" s="91" t="e">
        <f t="shared" ca="1" si="1126"/>
        <v>#NAME?</v>
      </c>
      <c r="BC101" s="91" t="e">
        <f t="shared" ca="1" si="1126"/>
        <v>#NAME?</v>
      </c>
      <c r="BD101" s="91" t="e">
        <f t="shared" ca="1" si="1126"/>
        <v>#NAME?</v>
      </c>
      <c r="BE101" s="91" t="e">
        <f t="shared" ca="1" si="1126"/>
        <v>#NAME?</v>
      </c>
      <c r="BF101" s="91" t="e">
        <f t="shared" ca="1" si="1126"/>
        <v>#NAME?</v>
      </c>
      <c r="BG101" s="91" t="e">
        <f t="shared" ca="1" si="1126"/>
        <v>#NAME?</v>
      </c>
      <c r="BH101" s="91" t="e">
        <f t="shared" ca="1" si="1126"/>
        <v>#NAME?</v>
      </c>
      <c r="BI101" s="91" t="e">
        <f t="shared" ca="1" si="1126"/>
        <v>#NAME?</v>
      </c>
      <c r="BJ101" s="91" t="e">
        <f t="shared" ca="1" si="1126"/>
        <v>#NAME?</v>
      </c>
      <c r="BK101" s="91" t="e">
        <f t="shared" ca="1" si="1126"/>
        <v>#NAME?</v>
      </c>
      <c r="BL101" s="91" t="e">
        <f t="shared" ca="1" si="1126"/>
        <v>#NAME?</v>
      </c>
      <c r="BM101" s="91" t="e">
        <f t="shared" ca="1" si="1126"/>
        <v>#NAME?</v>
      </c>
      <c r="BN101" s="91" t="e">
        <f t="shared" ca="1" si="1126"/>
        <v>#NAME?</v>
      </c>
      <c r="BO101" s="91" t="e">
        <f t="shared" ca="1" si="1126"/>
        <v>#NAME?</v>
      </c>
      <c r="BP101" s="91" t="e">
        <f t="shared" ca="1" si="1126"/>
        <v>#NAME?</v>
      </c>
      <c r="BQ101" s="91" t="e">
        <f t="shared" ca="1" si="1126"/>
        <v>#NAME?</v>
      </c>
      <c r="BR101" s="91" t="e">
        <f t="shared" ca="1" si="1126"/>
        <v>#NAME?</v>
      </c>
      <c r="BS101" s="91" t="e">
        <f t="shared" ca="1" si="1126"/>
        <v>#NAME?</v>
      </c>
      <c r="BT101" s="91" t="e">
        <f t="shared" ca="1" si="1126"/>
        <v>#NAME?</v>
      </c>
      <c r="BU101" s="91" t="e">
        <f t="shared" ca="1" si="1126"/>
        <v>#NAME?</v>
      </c>
      <c r="BV101" s="91" t="e">
        <f t="shared" ca="1" si="1126"/>
        <v>#NAME?</v>
      </c>
      <c r="BW101" s="91" t="e">
        <f t="shared" ref="BW101:BX101" ca="1" si="1127">+BW93/BW70</f>
        <v>#NAME?</v>
      </c>
      <c r="BX101" s="91" t="e">
        <f t="shared" ca="1" si="1127"/>
        <v>#NAME?</v>
      </c>
      <c r="BY101" s="91" t="e">
        <f ca="1">+BY93/BY70</f>
        <v>#NAME?</v>
      </c>
      <c r="BZ101" s="85" t="e">
        <f t="shared" ca="1" si="1126"/>
        <v>#NAME?</v>
      </c>
      <c r="CA101" s="85" t="e">
        <f t="shared" ca="1" si="1126"/>
        <v>#NAME?</v>
      </c>
      <c r="CB101" s="85" t="e">
        <f t="shared" ca="1" si="1126"/>
        <v>#NAME?</v>
      </c>
      <c r="CC101" s="85" t="e">
        <f t="shared" ca="1" si="1126"/>
        <v>#NAME?</v>
      </c>
      <c r="CD101" s="85" t="e">
        <f t="shared" ca="1" si="1126"/>
        <v>#NAME?</v>
      </c>
      <c r="CE101" s="85" t="e">
        <f t="shared" ca="1" si="1126"/>
        <v>#NAME?</v>
      </c>
      <c r="CF101" s="85" t="e">
        <f t="shared" ca="1" si="1126"/>
        <v>#NAME?</v>
      </c>
      <c r="CG101" s="85" t="e">
        <f t="shared" ca="1" si="1126"/>
        <v>#NAME?</v>
      </c>
      <c r="CH101" s="85" t="e">
        <f t="shared" ca="1" si="1126"/>
        <v>#NAME?</v>
      </c>
      <c r="CI101" s="85" t="e">
        <f t="shared" ca="1" si="1126"/>
        <v>#NAME?</v>
      </c>
      <c r="CJ101" s="85" t="e">
        <f t="shared" ca="1" si="1126"/>
        <v>#NAME?</v>
      </c>
      <c r="CK101" s="85" t="e">
        <f t="shared" ca="1" si="1126"/>
        <v>#NAME?</v>
      </c>
      <c r="CL101" s="85" t="e">
        <f t="shared" ca="1" si="1126"/>
        <v>#NAME?</v>
      </c>
      <c r="CM101" s="85" t="e">
        <f t="shared" ca="1" si="1126"/>
        <v>#NAME?</v>
      </c>
      <c r="CN101" s="85" t="e">
        <f t="shared" ca="1" si="1126"/>
        <v>#NAME?</v>
      </c>
      <c r="CO101" s="85" t="e">
        <f t="shared" ca="1" si="1126"/>
        <v>#NAME?</v>
      </c>
      <c r="CS101" s="91">
        <v>1.4245753601415012</v>
      </c>
    </row>
    <row r="102" spans="1:97" s="91" customFormat="1" x14ac:dyDescent="0.2">
      <c r="A102" s="91" t="s">
        <v>38</v>
      </c>
      <c r="B102" s="91" t="e">
        <f ca="1">B94/B65</f>
        <v>#NAME?</v>
      </c>
      <c r="C102" s="91" t="e">
        <f ca="1">C94/C65</f>
        <v>#NAME?</v>
      </c>
      <c r="D102" s="91" t="e">
        <f t="shared" ref="D102:AE102" ca="1" si="1128">D94/D70</f>
        <v>#NAME?</v>
      </c>
      <c r="E102" s="91" t="e">
        <f t="shared" ca="1" si="1128"/>
        <v>#NAME?</v>
      </c>
      <c r="F102" s="91" t="e">
        <f t="shared" ca="1" si="1128"/>
        <v>#NAME?</v>
      </c>
      <c r="G102" s="91" t="e">
        <f t="shared" ca="1" si="1128"/>
        <v>#NAME?</v>
      </c>
      <c r="H102" s="91" t="e">
        <f t="shared" ca="1" si="1128"/>
        <v>#NAME?</v>
      </c>
      <c r="I102" s="91" t="e">
        <f t="shared" ca="1" si="1128"/>
        <v>#NAME?</v>
      </c>
      <c r="J102" s="91" t="e">
        <f t="shared" ca="1" si="1128"/>
        <v>#NAME?</v>
      </c>
      <c r="K102" s="91" t="e">
        <f t="shared" ca="1" si="1128"/>
        <v>#NAME?</v>
      </c>
      <c r="L102" s="91" t="e">
        <f t="shared" ca="1" si="1128"/>
        <v>#NAME?</v>
      </c>
      <c r="M102" s="91" t="e">
        <f t="shared" ca="1" si="1128"/>
        <v>#NAME?</v>
      </c>
      <c r="N102" s="91" t="e">
        <f t="shared" ca="1" si="1128"/>
        <v>#NAME?</v>
      </c>
      <c r="O102" s="91" t="e">
        <f t="shared" ca="1" si="1128"/>
        <v>#NAME?</v>
      </c>
      <c r="P102" s="91" t="e">
        <f t="shared" ca="1" si="1128"/>
        <v>#NAME?</v>
      </c>
      <c r="Q102" s="91" t="e">
        <f t="shared" ca="1" si="1128"/>
        <v>#NAME?</v>
      </c>
      <c r="R102" s="91" t="e">
        <f t="shared" ca="1" si="1128"/>
        <v>#NAME?</v>
      </c>
      <c r="S102" s="91" t="e">
        <f t="shared" ca="1" si="1128"/>
        <v>#NAME?</v>
      </c>
      <c r="T102" s="91" t="e">
        <f t="shared" ca="1" si="1128"/>
        <v>#NAME?</v>
      </c>
      <c r="U102" s="91" t="e">
        <f t="shared" ca="1" si="1128"/>
        <v>#NAME?</v>
      </c>
      <c r="V102" s="91" t="e">
        <f t="shared" ca="1" si="1128"/>
        <v>#NAME?</v>
      </c>
      <c r="W102" s="91" t="e">
        <f t="shared" ca="1" si="1128"/>
        <v>#NAME?</v>
      </c>
      <c r="X102" s="91" t="e">
        <f t="shared" ca="1" si="1128"/>
        <v>#NAME?</v>
      </c>
      <c r="Y102" s="91" t="e">
        <f t="shared" ca="1" si="1128"/>
        <v>#NAME?</v>
      </c>
      <c r="Z102" s="91" t="e">
        <f t="shared" ca="1" si="1128"/>
        <v>#NAME?</v>
      </c>
      <c r="AA102" s="91" t="e">
        <f t="shared" ref="AA102" ca="1" si="1129">AA94/AA70</f>
        <v>#NAME?</v>
      </c>
      <c r="AB102" s="85" t="e">
        <f t="shared" ca="1" si="1128"/>
        <v>#NAME?</v>
      </c>
      <c r="AC102" s="85" t="e">
        <f t="shared" ca="1" si="1128"/>
        <v>#NAME?</v>
      </c>
      <c r="AD102" s="85" t="e">
        <f t="shared" ca="1" si="1128"/>
        <v>#NAME?</v>
      </c>
      <c r="AE102" s="85" t="e">
        <f t="shared" ca="1" si="1128"/>
        <v>#NAME?</v>
      </c>
      <c r="AG102" s="84"/>
      <c r="AH102" s="91" t="e">
        <f t="shared" ref="AH102:AS102" ca="1" si="1130">AH94/AH70</f>
        <v>#NAME?</v>
      </c>
      <c r="AI102" s="91" t="e">
        <f t="shared" ca="1" si="1130"/>
        <v>#NAME?</v>
      </c>
      <c r="AJ102" s="91" t="e">
        <f t="shared" ca="1" si="1130"/>
        <v>#NAME?</v>
      </c>
      <c r="AK102" s="91" t="e">
        <f t="shared" ca="1" si="1130"/>
        <v>#NAME?</v>
      </c>
      <c r="AL102" s="91" t="e">
        <f t="shared" ca="1" si="1130"/>
        <v>#NAME?</v>
      </c>
      <c r="AM102" s="91" t="e">
        <f t="shared" ca="1" si="1130"/>
        <v>#NAME?</v>
      </c>
      <c r="AN102" s="91" t="e">
        <f t="shared" ca="1" si="1130"/>
        <v>#NAME?</v>
      </c>
      <c r="AO102" s="91" t="e">
        <f t="shared" ca="1" si="1130"/>
        <v>#NAME?</v>
      </c>
      <c r="AP102" s="91" t="e">
        <f t="shared" ca="1" si="1130"/>
        <v>#NAME?</v>
      </c>
      <c r="AQ102" s="91" t="e">
        <f t="shared" ca="1" si="1130"/>
        <v>#NAME?</v>
      </c>
      <c r="AR102" s="91" t="e">
        <f t="shared" ca="1" si="1130"/>
        <v>#NAME?</v>
      </c>
      <c r="AS102" s="91" t="e">
        <f t="shared" ca="1" si="1130"/>
        <v>#NAME?</v>
      </c>
      <c r="AT102" s="91" t="e">
        <f t="shared" ref="AT102:BV102" ca="1" si="1131">AT94/AT70</f>
        <v>#NAME?</v>
      </c>
      <c r="AU102" s="91" t="e">
        <f t="shared" ca="1" si="1131"/>
        <v>#NAME?</v>
      </c>
      <c r="AV102" s="91" t="e">
        <f t="shared" ca="1" si="1131"/>
        <v>#NAME?</v>
      </c>
      <c r="AW102" s="91" t="e">
        <f t="shared" ca="1" si="1131"/>
        <v>#NAME?</v>
      </c>
      <c r="AX102" s="91" t="e">
        <f t="shared" ca="1" si="1131"/>
        <v>#NAME?</v>
      </c>
      <c r="AY102" s="91" t="e">
        <f t="shared" ca="1" si="1131"/>
        <v>#NAME?</v>
      </c>
      <c r="AZ102" s="91" t="e">
        <f t="shared" ca="1" si="1131"/>
        <v>#NAME?</v>
      </c>
      <c r="BA102" s="91" t="e">
        <f t="shared" ca="1" si="1131"/>
        <v>#NAME?</v>
      </c>
      <c r="BB102" s="91" t="e">
        <f t="shared" ca="1" si="1131"/>
        <v>#NAME?</v>
      </c>
      <c r="BC102" s="91" t="e">
        <f t="shared" ca="1" si="1131"/>
        <v>#NAME?</v>
      </c>
      <c r="BD102" s="91" t="e">
        <f t="shared" ca="1" si="1131"/>
        <v>#NAME?</v>
      </c>
      <c r="BE102" s="91" t="e">
        <f t="shared" ca="1" si="1131"/>
        <v>#NAME?</v>
      </c>
      <c r="BF102" s="91" t="e">
        <f t="shared" ca="1" si="1131"/>
        <v>#NAME?</v>
      </c>
      <c r="BG102" s="91" t="e">
        <f t="shared" ca="1" si="1131"/>
        <v>#NAME?</v>
      </c>
      <c r="BH102" s="91" t="e">
        <f t="shared" ca="1" si="1131"/>
        <v>#NAME?</v>
      </c>
      <c r="BI102" s="91" t="e">
        <f t="shared" ca="1" si="1131"/>
        <v>#NAME?</v>
      </c>
      <c r="BJ102" s="91" t="e">
        <f t="shared" ca="1" si="1131"/>
        <v>#NAME?</v>
      </c>
      <c r="BK102" s="91" t="e">
        <f t="shared" ca="1" si="1131"/>
        <v>#NAME?</v>
      </c>
      <c r="BL102" s="91" t="e">
        <f t="shared" ca="1" si="1131"/>
        <v>#NAME?</v>
      </c>
      <c r="BM102" s="91" t="e">
        <f t="shared" ca="1" si="1131"/>
        <v>#NAME?</v>
      </c>
      <c r="BN102" s="91" t="e">
        <f t="shared" ca="1" si="1131"/>
        <v>#NAME?</v>
      </c>
      <c r="BO102" s="91" t="e">
        <f t="shared" ca="1" si="1131"/>
        <v>#NAME?</v>
      </c>
      <c r="BP102" s="91" t="e">
        <f t="shared" ca="1" si="1131"/>
        <v>#NAME?</v>
      </c>
      <c r="BQ102" s="91" t="e">
        <f t="shared" ca="1" si="1131"/>
        <v>#NAME?</v>
      </c>
      <c r="BR102" s="91" t="e">
        <f t="shared" ca="1" si="1131"/>
        <v>#NAME?</v>
      </c>
      <c r="BS102" s="91" t="e">
        <f t="shared" ca="1" si="1131"/>
        <v>#NAME?</v>
      </c>
      <c r="BT102" s="91" t="e">
        <f t="shared" ca="1" si="1131"/>
        <v>#NAME?</v>
      </c>
      <c r="BU102" s="91" t="e">
        <f t="shared" ca="1" si="1131"/>
        <v>#NAME?</v>
      </c>
      <c r="BV102" s="91" t="e">
        <f t="shared" ca="1" si="1131"/>
        <v>#NAME?</v>
      </c>
      <c r="BW102" s="91" t="e">
        <f t="shared" ref="BW102:BX102" ca="1" si="1132">BW94/BW70</f>
        <v>#NAME?</v>
      </c>
      <c r="BX102" s="91" t="e">
        <f t="shared" ca="1" si="1132"/>
        <v>#NAME?</v>
      </c>
      <c r="BY102" s="91" t="e">
        <f t="shared" ref="BY102" ca="1" si="1133">BY94/BY70</f>
        <v>#NAME?</v>
      </c>
      <c r="BZ102" s="85">
        <v>2.2000000000000002</v>
      </c>
      <c r="CA102" s="85">
        <f t="shared" ref="CA102:CA103" si="1134">BZ102</f>
        <v>2.2000000000000002</v>
      </c>
      <c r="CB102" s="85">
        <f t="shared" ref="CB102:CB103" si="1135">CA102</f>
        <v>2.2000000000000002</v>
      </c>
      <c r="CC102" s="85">
        <f t="shared" ref="CC102:CC103" si="1136">CB102</f>
        <v>2.2000000000000002</v>
      </c>
      <c r="CD102" s="85">
        <f t="shared" ref="CD102:CD103" si="1137">CC102</f>
        <v>2.2000000000000002</v>
      </c>
      <c r="CE102" s="85">
        <f t="shared" ref="CE102:CE103" si="1138">CD102</f>
        <v>2.2000000000000002</v>
      </c>
      <c r="CF102" s="85">
        <f t="shared" ref="CF102:CF103" si="1139">CE102</f>
        <v>2.2000000000000002</v>
      </c>
      <c r="CG102" s="85">
        <f t="shared" ref="CG102:CG103" si="1140">CF102</f>
        <v>2.2000000000000002</v>
      </c>
      <c r="CH102" s="85">
        <f t="shared" ref="CH102:CH103" si="1141">CG102</f>
        <v>2.2000000000000002</v>
      </c>
      <c r="CI102" s="85">
        <f t="shared" ref="CI102:CI103" si="1142">CH102</f>
        <v>2.2000000000000002</v>
      </c>
      <c r="CJ102" s="85">
        <f t="shared" ref="CJ102:CJ103" si="1143">CI102</f>
        <v>2.2000000000000002</v>
      </c>
      <c r="CK102" s="85">
        <f t="shared" ref="CK102:CK103" si="1144">CJ102</f>
        <v>2.2000000000000002</v>
      </c>
      <c r="CL102" s="85">
        <f t="shared" ref="CL102:CL103" si="1145">CK102</f>
        <v>2.2000000000000002</v>
      </c>
      <c r="CM102" s="85">
        <f t="shared" ref="CM102:CM103" si="1146">CL102</f>
        <v>2.2000000000000002</v>
      </c>
      <c r="CN102" s="85">
        <f t="shared" ref="CN102:CN103" si="1147">CM102</f>
        <v>2.2000000000000002</v>
      </c>
      <c r="CO102" s="85">
        <f t="shared" ref="CO102:CO103" si="1148">CN102</f>
        <v>2.2000000000000002</v>
      </c>
      <c r="CS102" s="91">
        <v>1.7886180198515031</v>
      </c>
    </row>
    <row r="103" spans="1:97" s="91" customFormat="1" x14ac:dyDescent="0.2">
      <c r="A103" s="91" t="s">
        <v>39</v>
      </c>
      <c r="B103" s="91" t="e">
        <f ca="1">B95/B65</f>
        <v>#NAME?</v>
      </c>
      <c r="C103" s="91" t="e">
        <f ca="1">C95/C65</f>
        <v>#NAME?</v>
      </c>
      <c r="D103" s="91" t="e">
        <f t="shared" ref="D103:AE103" ca="1" si="1149">D95/D70</f>
        <v>#NAME?</v>
      </c>
      <c r="E103" s="91" t="e">
        <f t="shared" ca="1" si="1149"/>
        <v>#NAME?</v>
      </c>
      <c r="F103" s="91" t="e">
        <f t="shared" ca="1" si="1149"/>
        <v>#NAME?</v>
      </c>
      <c r="G103" s="91" t="e">
        <f t="shared" ca="1" si="1149"/>
        <v>#NAME?</v>
      </c>
      <c r="H103" s="91" t="e">
        <f t="shared" ca="1" si="1149"/>
        <v>#NAME?</v>
      </c>
      <c r="I103" s="91" t="e">
        <f t="shared" ca="1" si="1149"/>
        <v>#NAME?</v>
      </c>
      <c r="J103" s="91" t="e">
        <f t="shared" ca="1" si="1149"/>
        <v>#NAME?</v>
      </c>
      <c r="K103" s="91" t="e">
        <f t="shared" ca="1" si="1149"/>
        <v>#NAME?</v>
      </c>
      <c r="L103" s="91" t="e">
        <f t="shared" ca="1" si="1149"/>
        <v>#NAME?</v>
      </c>
      <c r="M103" s="91" t="e">
        <f t="shared" ca="1" si="1149"/>
        <v>#NAME?</v>
      </c>
      <c r="N103" s="91" t="e">
        <f t="shared" ca="1" si="1149"/>
        <v>#NAME?</v>
      </c>
      <c r="O103" s="91" t="e">
        <f t="shared" ca="1" si="1149"/>
        <v>#NAME?</v>
      </c>
      <c r="P103" s="91" t="e">
        <f t="shared" ca="1" si="1149"/>
        <v>#NAME?</v>
      </c>
      <c r="Q103" s="91" t="e">
        <f t="shared" ca="1" si="1149"/>
        <v>#NAME?</v>
      </c>
      <c r="R103" s="91" t="e">
        <f t="shared" ca="1" si="1149"/>
        <v>#NAME?</v>
      </c>
      <c r="S103" s="91" t="e">
        <f t="shared" ca="1" si="1149"/>
        <v>#NAME?</v>
      </c>
      <c r="T103" s="91" t="e">
        <f t="shared" ca="1" si="1149"/>
        <v>#NAME?</v>
      </c>
      <c r="U103" s="91" t="e">
        <f t="shared" ca="1" si="1149"/>
        <v>#NAME?</v>
      </c>
      <c r="V103" s="91" t="e">
        <f t="shared" ca="1" si="1149"/>
        <v>#NAME?</v>
      </c>
      <c r="W103" s="91" t="e">
        <f t="shared" ca="1" si="1149"/>
        <v>#NAME?</v>
      </c>
      <c r="X103" s="91" t="e">
        <f t="shared" ca="1" si="1149"/>
        <v>#NAME?</v>
      </c>
      <c r="Y103" s="91" t="e">
        <f t="shared" ca="1" si="1149"/>
        <v>#NAME?</v>
      </c>
      <c r="Z103" s="91" t="e">
        <f t="shared" ca="1" si="1149"/>
        <v>#NAME?</v>
      </c>
      <c r="AA103" s="91" t="e">
        <f t="shared" ref="AA103" ca="1" si="1150">AA95/AA70</f>
        <v>#NAME?</v>
      </c>
      <c r="AB103" s="85" t="e">
        <f t="shared" ca="1" si="1149"/>
        <v>#NAME?</v>
      </c>
      <c r="AC103" s="85" t="e">
        <f t="shared" ca="1" si="1149"/>
        <v>#NAME?</v>
      </c>
      <c r="AD103" s="85" t="e">
        <f t="shared" ca="1" si="1149"/>
        <v>#NAME?</v>
      </c>
      <c r="AE103" s="85" t="e">
        <f t="shared" ca="1" si="1149"/>
        <v>#NAME?</v>
      </c>
      <c r="AG103" s="84"/>
      <c r="AH103" s="91" t="e">
        <f t="shared" ref="AH103:AS103" ca="1" si="1151">AH95/AH70</f>
        <v>#NAME?</v>
      </c>
      <c r="AI103" s="91" t="e">
        <f t="shared" ca="1" si="1151"/>
        <v>#NAME?</v>
      </c>
      <c r="AJ103" s="91" t="e">
        <f t="shared" ca="1" si="1151"/>
        <v>#NAME?</v>
      </c>
      <c r="AK103" s="91" t="e">
        <f t="shared" ca="1" si="1151"/>
        <v>#NAME?</v>
      </c>
      <c r="AL103" s="91" t="e">
        <f t="shared" ca="1" si="1151"/>
        <v>#NAME?</v>
      </c>
      <c r="AM103" s="91" t="e">
        <f t="shared" ca="1" si="1151"/>
        <v>#NAME?</v>
      </c>
      <c r="AN103" s="91" t="e">
        <f t="shared" ca="1" si="1151"/>
        <v>#NAME?</v>
      </c>
      <c r="AO103" s="91" t="e">
        <f t="shared" ca="1" si="1151"/>
        <v>#NAME?</v>
      </c>
      <c r="AP103" s="91" t="e">
        <f t="shared" ca="1" si="1151"/>
        <v>#NAME?</v>
      </c>
      <c r="AQ103" s="91" t="e">
        <f t="shared" ca="1" si="1151"/>
        <v>#NAME?</v>
      </c>
      <c r="AR103" s="91" t="e">
        <f t="shared" ca="1" si="1151"/>
        <v>#NAME?</v>
      </c>
      <c r="AS103" s="91" t="e">
        <f t="shared" ca="1" si="1151"/>
        <v>#NAME?</v>
      </c>
      <c r="AT103" s="91" t="e">
        <f t="shared" ref="AT103:BV103" ca="1" si="1152">AT95/AT70</f>
        <v>#NAME?</v>
      </c>
      <c r="AU103" s="91" t="e">
        <f t="shared" ca="1" si="1152"/>
        <v>#NAME?</v>
      </c>
      <c r="AV103" s="91" t="e">
        <f t="shared" ca="1" si="1152"/>
        <v>#NAME?</v>
      </c>
      <c r="AW103" s="91" t="e">
        <f t="shared" ca="1" si="1152"/>
        <v>#NAME?</v>
      </c>
      <c r="AX103" s="91" t="e">
        <f t="shared" ca="1" si="1152"/>
        <v>#NAME?</v>
      </c>
      <c r="AY103" s="91" t="e">
        <f t="shared" ca="1" si="1152"/>
        <v>#NAME?</v>
      </c>
      <c r="AZ103" s="91" t="e">
        <f t="shared" ca="1" si="1152"/>
        <v>#NAME?</v>
      </c>
      <c r="BA103" s="91" t="e">
        <f t="shared" ca="1" si="1152"/>
        <v>#NAME?</v>
      </c>
      <c r="BB103" s="91" t="e">
        <f t="shared" ca="1" si="1152"/>
        <v>#NAME?</v>
      </c>
      <c r="BC103" s="91" t="e">
        <f t="shared" ca="1" si="1152"/>
        <v>#NAME?</v>
      </c>
      <c r="BD103" s="91" t="e">
        <f t="shared" ca="1" si="1152"/>
        <v>#NAME?</v>
      </c>
      <c r="BE103" s="91" t="e">
        <f t="shared" ca="1" si="1152"/>
        <v>#NAME?</v>
      </c>
      <c r="BF103" s="91" t="e">
        <f t="shared" ca="1" si="1152"/>
        <v>#NAME?</v>
      </c>
      <c r="BG103" s="91" t="e">
        <f t="shared" ca="1" si="1152"/>
        <v>#NAME?</v>
      </c>
      <c r="BH103" s="91" t="e">
        <f t="shared" ca="1" si="1152"/>
        <v>#NAME?</v>
      </c>
      <c r="BI103" s="91" t="e">
        <f t="shared" ca="1" si="1152"/>
        <v>#NAME?</v>
      </c>
      <c r="BJ103" s="91" t="e">
        <f t="shared" ca="1" si="1152"/>
        <v>#NAME?</v>
      </c>
      <c r="BK103" s="91" t="e">
        <f t="shared" ca="1" si="1152"/>
        <v>#NAME?</v>
      </c>
      <c r="BL103" s="91" t="e">
        <f t="shared" ca="1" si="1152"/>
        <v>#NAME?</v>
      </c>
      <c r="BM103" s="91" t="e">
        <f t="shared" ca="1" si="1152"/>
        <v>#NAME?</v>
      </c>
      <c r="BN103" s="91" t="e">
        <f t="shared" ca="1" si="1152"/>
        <v>#NAME?</v>
      </c>
      <c r="BO103" s="91" t="e">
        <f t="shared" ca="1" si="1152"/>
        <v>#NAME?</v>
      </c>
      <c r="BP103" s="91" t="e">
        <f t="shared" ca="1" si="1152"/>
        <v>#NAME?</v>
      </c>
      <c r="BQ103" s="91" t="e">
        <f t="shared" ca="1" si="1152"/>
        <v>#NAME?</v>
      </c>
      <c r="BR103" s="91" t="e">
        <f t="shared" ca="1" si="1152"/>
        <v>#NAME?</v>
      </c>
      <c r="BS103" s="91" t="e">
        <f t="shared" ca="1" si="1152"/>
        <v>#NAME?</v>
      </c>
      <c r="BT103" s="91" t="e">
        <f t="shared" ca="1" si="1152"/>
        <v>#NAME?</v>
      </c>
      <c r="BU103" s="91" t="e">
        <f t="shared" ca="1" si="1152"/>
        <v>#NAME?</v>
      </c>
      <c r="BV103" s="91" t="e">
        <f t="shared" ca="1" si="1152"/>
        <v>#NAME?</v>
      </c>
      <c r="BW103" s="91" t="e">
        <f t="shared" ref="BW103:BX103" ca="1" si="1153">BW95/BW70</f>
        <v>#NAME?</v>
      </c>
      <c r="BX103" s="91" t="e">
        <f t="shared" ca="1" si="1153"/>
        <v>#NAME?</v>
      </c>
      <c r="BY103" s="91" t="e">
        <f t="shared" ref="BY103" ca="1" si="1154">BY95/BY70</f>
        <v>#NAME?</v>
      </c>
      <c r="BZ103" s="85" t="e">
        <f t="shared" ref="BZ103" ca="1" si="1155">BY103</f>
        <v>#NAME?</v>
      </c>
      <c r="CA103" s="85" t="e">
        <f t="shared" ca="1" si="1134"/>
        <v>#NAME?</v>
      </c>
      <c r="CB103" s="85" t="e">
        <f t="shared" ca="1" si="1135"/>
        <v>#NAME?</v>
      </c>
      <c r="CC103" s="85" t="e">
        <f t="shared" ca="1" si="1136"/>
        <v>#NAME?</v>
      </c>
      <c r="CD103" s="85" t="e">
        <f t="shared" ca="1" si="1137"/>
        <v>#NAME?</v>
      </c>
      <c r="CE103" s="85" t="e">
        <f t="shared" ca="1" si="1138"/>
        <v>#NAME?</v>
      </c>
      <c r="CF103" s="85" t="e">
        <f t="shared" ca="1" si="1139"/>
        <v>#NAME?</v>
      </c>
      <c r="CG103" s="85" t="e">
        <f t="shared" ca="1" si="1140"/>
        <v>#NAME?</v>
      </c>
      <c r="CH103" s="85" t="e">
        <f t="shared" ca="1" si="1141"/>
        <v>#NAME?</v>
      </c>
      <c r="CI103" s="85" t="e">
        <f t="shared" ca="1" si="1142"/>
        <v>#NAME?</v>
      </c>
      <c r="CJ103" s="85" t="e">
        <f t="shared" ca="1" si="1143"/>
        <v>#NAME?</v>
      </c>
      <c r="CK103" s="85" t="e">
        <f t="shared" ca="1" si="1144"/>
        <v>#NAME?</v>
      </c>
      <c r="CL103" s="85" t="e">
        <f t="shared" ca="1" si="1145"/>
        <v>#NAME?</v>
      </c>
      <c r="CM103" s="85" t="e">
        <f t="shared" ca="1" si="1146"/>
        <v>#NAME?</v>
      </c>
      <c r="CN103" s="85" t="e">
        <f t="shared" ca="1" si="1147"/>
        <v>#NAME?</v>
      </c>
      <c r="CO103" s="85" t="e">
        <f t="shared" ca="1" si="1148"/>
        <v>#NAME?</v>
      </c>
      <c r="CS103" s="161">
        <v>0.88536475823536542</v>
      </c>
    </row>
    <row r="104" spans="1:97" s="88" customFormat="1" x14ac:dyDescent="0.2"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26"/>
      <c r="AC104" s="26"/>
      <c r="AD104" s="26"/>
      <c r="AE104" s="26"/>
      <c r="AG104" s="57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</row>
    <row r="105" spans="1:97" s="88" customFormat="1" x14ac:dyDescent="0.2">
      <c r="A105" s="124" t="s">
        <v>365</v>
      </c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26"/>
      <c r="AC105" s="26"/>
      <c r="AD105" s="26"/>
      <c r="AE105" s="26"/>
      <c r="AG105" s="57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S105" s="47"/>
    </row>
    <row r="106" spans="1:97" x14ac:dyDescent="0.2">
      <c r="A106" s="123" t="s">
        <v>366</v>
      </c>
      <c r="AA106" s="47"/>
      <c r="CS106" s="162"/>
    </row>
    <row r="107" spans="1:97" s="38" customFormat="1" x14ac:dyDescent="0.2">
      <c r="A107" s="38" t="s">
        <v>16</v>
      </c>
      <c r="B107" s="38" t="e">
        <f ca="1">+'Annual Raw'!C63</f>
        <v>#NAME?</v>
      </c>
      <c r="C107" s="38" t="e">
        <f ca="1">+'Annual Raw'!D63</f>
        <v>#NAME?</v>
      </c>
      <c r="D107" s="38" t="e">
        <f ca="1">+'Annual Raw'!E63</f>
        <v>#NAME?</v>
      </c>
      <c r="E107" s="38" t="e">
        <f ca="1">+'Annual Raw'!F63</f>
        <v>#NAME?</v>
      </c>
      <c r="F107" s="38" t="e">
        <f ca="1">+'Annual Raw'!G63</f>
        <v>#NAME?</v>
      </c>
      <c r="G107" s="38" t="e">
        <f ca="1">+'Annual Raw'!H63</f>
        <v>#NAME?</v>
      </c>
      <c r="H107" s="38" t="e">
        <f ca="1">+'Annual Raw'!I63</f>
        <v>#NAME?</v>
      </c>
      <c r="I107" s="38" t="e">
        <f ca="1">+'Annual Raw'!J63</f>
        <v>#NAME?</v>
      </c>
      <c r="J107" s="38" t="e">
        <f ca="1">+'Annual Raw'!K63</f>
        <v>#NAME?</v>
      </c>
      <c r="K107" s="38" t="e">
        <f ca="1">+'Annual Raw'!L63</f>
        <v>#NAME?</v>
      </c>
      <c r="L107" s="38" t="e">
        <f ca="1">+'Annual Raw'!M63</f>
        <v>#NAME?</v>
      </c>
      <c r="M107" s="38" t="e">
        <f ca="1">+'Annual Raw'!N63</f>
        <v>#NAME?</v>
      </c>
      <c r="N107" s="38" t="e">
        <f ca="1">+'Annual Raw'!O63</f>
        <v>#NAME?</v>
      </c>
      <c r="O107" s="38" t="e">
        <f ca="1">+'Annual Raw'!P63</f>
        <v>#NAME?</v>
      </c>
      <c r="P107" s="38" t="e">
        <f ca="1">+'Annual Raw'!Q63</f>
        <v>#NAME?</v>
      </c>
      <c r="Q107" s="38" t="e">
        <f ca="1">+'Annual Raw'!R63</f>
        <v>#NAME?</v>
      </c>
      <c r="R107" s="38" t="e">
        <f ca="1">+'Annual Raw'!S63</f>
        <v>#NAME?</v>
      </c>
      <c r="S107" s="38" t="e">
        <f ca="1">+'Annual Raw'!T63</f>
        <v>#NAME?</v>
      </c>
      <c r="T107" s="38" t="e">
        <f ca="1">+'Annual Raw'!U63</f>
        <v>#NAME?</v>
      </c>
      <c r="U107" s="38" t="e">
        <f ca="1">+'Annual Raw'!V63</f>
        <v>#NAME?</v>
      </c>
      <c r="V107" s="38" t="e">
        <f ca="1">+'Annual Raw'!W63</f>
        <v>#NAME?</v>
      </c>
      <c r="W107" s="38" t="e">
        <f ca="1">+'Annual Raw'!X63</f>
        <v>#NAME?</v>
      </c>
      <c r="X107" s="38" t="e">
        <f ca="1">+'Annual Raw'!Y63</f>
        <v>#NAME?</v>
      </c>
      <c r="Y107" s="38" t="e">
        <f ca="1">+'Annual Raw'!Z63</f>
        <v>#NAME?</v>
      </c>
      <c r="Z107" s="38" t="e">
        <f ca="1">+'Annual Raw'!AA63</f>
        <v>#NAME?</v>
      </c>
      <c r="AA107" s="38" t="e">
        <f ca="1">+'Annual Raw'!AB63</f>
        <v>#NAME?</v>
      </c>
      <c r="AB107" s="39" t="e">
        <f ca="1">CC107</f>
        <v>#NAME?</v>
      </c>
      <c r="AC107" s="39" t="e">
        <f ca="1">CG107</f>
        <v>#NAME?</v>
      </c>
      <c r="AD107" s="39" t="e">
        <f ca="1">CK107</f>
        <v>#NAME?</v>
      </c>
      <c r="AE107" s="39" t="e">
        <f ca="1">CO107</f>
        <v>#NAME?</v>
      </c>
      <c r="AG107" s="60"/>
      <c r="AH107" s="38" t="e">
        <f ca="1">+'QTR Raw'!C54</f>
        <v>#NAME?</v>
      </c>
      <c r="AI107" s="38" t="e">
        <f ca="1">+'QTR Raw'!D54</f>
        <v>#NAME?</v>
      </c>
      <c r="AJ107" s="38" t="e">
        <f ca="1">+'QTR Raw'!E54</f>
        <v>#NAME?</v>
      </c>
      <c r="AK107" s="38" t="e">
        <f ca="1">+'QTR Raw'!F54</f>
        <v>#NAME?</v>
      </c>
      <c r="AL107" s="38" t="e">
        <f ca="1">+'QTR Raw'!G54</f>
        <v>#NAME?</v>
      </c>
      <c r="AM107" s="38" t="e">
        <f ca="1">+'QTR Raw'!H54</f>
        <v>#NAME?</v>
      </c>
      <c r="AN107" s="38" t="e">
        <f ca="1">+'QTR Raw'!I54</f>
        <v>#NAME?</v>
      </c>
      <c r="AO107" s="38" t="e">
        <f ca="1">+'QTR Raw'!J54</f>
        <v>#NAME?</v>
      </c>
      <c r="AP107" s="38" t="e">
        <f ca="1">+'QTR Raw'!K54</f>
        <v>#NAME?</v>
      </c>
      <c r="AQ107" s="38" t="e">
        <f ca="1">+'QTR Raw'!L54</f>
        <v>#NAME?</v>
      </c>
      <c r="AR107" s="38" t="e">
        <f ca="1">+'QTR Raw'!M54</f>
        <v>#NAME?</v>
      </c>
      <c r="AS107" s="38" t="e">
        <f ca="1">+'QTR Raw'!N54</f>
        <v>#NAME?</v>
      </c>
      <c r="AT107" s="38" t="e">
        <f ca="1">+'QTR Raw'!O54</f>
        <v>#NAME?</v>
      </c>
      <c r="AU107" s="38" t="e">
        <f ca="1">+'QTR Raw'!P54</f>
        <v>#NAME?</v>
      </c>
      <c r="AV107" s="38" t="e">
        <f ca="1">+'QTR Raw'!Q54</f>
        <v>#NAME?</v>
      </c>
      <c r="AW107" s="38" t="e">
        <f ca="1">+'QTR Raw'!R54</f>
        <v>#NAME?</v>
      </c>
      <c r="AX107" s="38" t="e">
        <f ca="1">+'QTR Raw'!S54</f>
        <v>#NAME?</v>
      </c>
      <c r="AY107" s="38" t="e">
        <f ca="1">+'QTR Raw'!T54</f>
        <v>#NAME?</v>
      </c>
      <c r="AZ107" s="38" t="e">
        <f ca="1">+'QTR Raw'!U54</f>
        <v>#NAME?</v>
      </c>
      <c r="BA107" s="38" t="e">
        <f ca="1">+'QTR Raw'!V54</f>
        <v>#NAME?</v>
      </c>
      <c r="BB107" s="38" t="e">
        <f ca="1">+'QTR Raw'!W54</f>
        <v>#NAME?</v>
      </c>
      <c r="BC107" s="38" t="e">
        <f ca="1">+'QTR Raw'!X54</f>
        <v>#NAME?</v>
      </c>
      <c r="BD107" s="38" t="e">
        <f ca="1">+'QTR Raw'!Y54</f>
        <v>#NAME?</v>
      </c>
      <c r="BE107" s="38" t="e">
        <f ca="1">+'QTR Raw'!Z54</f>
        <v>#NAME?</v>
      </c>
      <c r="BF107" s="38" t="e">
        <f ca="1">+'QTR Raw'!AA54</f>
        <v>#NAME?</v>
      </c>
      <c r="BG107" s="38" t="e">
        <f ca="1">+'QTR Raw'!AB54</f>
        <v>#NAME?</v>
      </c>
      <c r="BH107" s="38" t="e">
        <f ca="1">+'QTR Raw'!AC54</f>
        <v>#NAME?</v>
      </c>
      <c r="BI107" s="38" t="e">
        <f ca="1">+'QTR Raw'!AD54</f>
        <v>#NAME?</v>
      </c>
      <c r="BJ107" s="38" t="e">
        <f ca="1">+'QTR Raw'!AE54</f>
        <v>#NAME?</v>
      </c>
      <c r="BK107" s="38" t="e">
        <f ca="1">+'QTR Raw'!AF54</f>
        <v>#NAME?</v>
      </c>
      <c r="BL107" s="38" t="e">
        <f ca="1">+'QTR Raw'!AG54</f>
        <v>#NAME?</v>
      </c>
      <c r="BM107" s="38" t="e">
        <f ca="1">+'QTR Raw'!AH54</f>
        <v>#NAME?</v>
      </c>
      <c r="BN107" s="38" t="e">
        <f ca="1">+'QTR Raw'!AI54</f>
        <v>#NAME?</v>
      </c>
      <c r="BO107" s="38" t="e">
        <f ca="1">+'QTR Raw'!AJ54</f>
        <v>#NAME?</v>
      </c>
      <c r="BP107" s="38" t="e">
        <f ca="1">+'QTR Raw'!AK54</f>
        <v>#NAME?</v>
      </c>
      <c r="BQ107" s="38" t="e">
        <f ca="1">+'QTR Raw'!AL54</f>
        <v>#NAME?</v>
      </c>
      <c r="BR107" s="38" t="e">
        <f ca="1">+'QTR Raw'!AM54</f>
        <v>#NAME?</v>
      </c>
      <c r="BS107" s="38" t="e">
        <f ca="1">+'QTR Raw'!AN54</f>
        <v>#NAME?</v>
      </c>
      <c r="BT107" s="38" t="e">
        <f ca="1">+'QTR Raw'!AO54</f>
        <v>#NAME?</v>
      </c>
      <c r="BU107" s="38" t="e">
        <f ca="1">+'QTR Raw'!AP54</f>
        <v>#NAME?</v>
      </c>
      <c r="BV107" s="38" t="e">
        <f ca="1">+'QTR Raw'!AQ54</f>
        <v>#NAME?</v>
      </c>
      <c r="BW107" s="38" t="e">
        <f ca="1">+'QTR Raw'!AR54</f>
        <v>#NAME?</v>
      </c>
      <c r="BX107" s="38" t="e">
        <f ca="1">+'QTR Raw'!AS54</f>
        <v>#NAME?</v>
      </c>
      <c r="BY107" s="38" t="e">
        <f ca="1">+'QTR Raw'!AT54</f>
        <v>#NAME?</v>
      </c>
      <c r="BZ107" s="39" t="e">
        <f t="shared" ref="BZ107" ca="1" si="1156">BY107</f>
        <v>#NAME?</v>
      </c>
      <c r="CA107" s="39" t="e">
        <f t="shared" ref="CA107" ca="1" si="1157">BZ107</f>
        <v>#NAME?</v>
      </c>
      <c r="CB107" s="39" t="e">
        <f t="shared" ref="CB107" ca="1" si="1158">CA107</f>
        <v>#NAME?</v>
      </c>
      <c r="CC107" s="39" t="e">
        <f t="shared" ref="CC107" ca="1" si="1159">CB107</f>
        <v>#NAME?</v>
      </c>
      <c r="CD107" s="39" t="e">
        <f t="shared" ref="CD107" ca="1" si="1160">CC107</f>
        <v>#NAME?</v>
      </c>
      <c r="CE107" s="39" t="e">
        <f t="shared" ref="CE107" ca="1" si="1161">CD107</f>
        <v>#NAME?</v>
      </c>
      <c r="CF107" s="39" t="e">
        <f t="shared" ref="CF107" ca="1" si="1162">CE107</f>
        <v>#NAME?</v>
      </c>
      <c r="CG107" s="39" t="e">
        <f t="shared" ref="CG107" ca="1" si="1163">CF107</f>
        <v>#NAME?</v>
      </c>
      <c r="CH107" s="39" t="e">
        <f t="shared" ref="CH107" ca="1" si="1164">CG107</f>
        <v>#NAME?</v>
      </c>
      <c r="CI107" s="39" t="e">
        <f t="shared" ref="CI107" ca="1" si="1165">CH107</f>
        <v>#NAME?</v>
      </c>
      <c r="CJ107" s="39" t="e">
        <f t="shared" ref="CJ107" ca="1" si="1166">CI107</f>
        <v>#NAME?</v>
      </c>
      <c r="CK107" s="39" t="e">
        <f t="shared" ref="CK107" ca="1" si="1167">CJ107</f>
        <v>#NAME?</v>
      </c>
      <c r="CL107" s="39" t="e">
        <f t="shared" ref="CL107" ca="1" si="1168">CK107</f>
        <v>#NAME?</v>
      </c>
      <c r="CM107" s="39" t="e">
        <f t="shared" ref="CM107" ca="1" si="1169">CL107</f>
        <v>#NAME?</v>
      </c>
      <c r="CN107" s="39" t="e">
        <f t="shared" ref="CN107" ca="1" si="1170">CM107</f>
        <v>#NAME?</v>
      </c>
      <c r="CO107" s="39" t="e">
        <f t="shared" ref="CO107" ca="1" si="1171">CN107</f>
        <v>#NAME?</v>
      </c>
      <c r="CS107" s="38">
        <v>7691.56</v>
      </c>
    </row>
    <row r="108" spans="1:97" s="38" customFormat="1" x14ac:dyDescent="0.2">
      <c r="A108" s="38" t="s">
        <v>18</v>
      </c>
      <c r="B108" s="38" t="e">
        <f ca="1">+'Annual Raw'!C65+'Annual Raw'!C64</f>
        <v>#NAME?</v>
      </c>
      <c r="C108" s="38" t="e">
        <f ca="1">+'Annual Raw'!D65+'Annual Raw'!D64</f>
        <v>#NAME?</v>
      </c>
      <c r="D108" s="38" t="e">
        <f ca="1">+'Annual Raw'!E65+'Annual Raw'!E64</f>
        <v>#NAME?</v>
      </c>
      <c r="E108" s="38" t="e">
        <f ca="1">+'Annual Raw'!F65+'Annual Raw'!F64</f>
        <v>#NAME?</v>
      </c>
      <c r="F108" s="38" t="e">
        <f ca="1">+'Annual Raw'!G65+'Annual Raw'!G64</f>
        <v>#NAME?</v>
      </c>
      <c r="G108" s="38" t="e">
        <f ca="1">+'Annual Raw'!H65+'Annual Raw'!H64</f>
        <v>#NAME?</v>
      </c>
      <c r="H108" s="38" t="e">
        <f ca="1">+'Annual Raw'!I65+'Annual Raw'!I64</f>
        <v>#NAME?</v>
      </c>
      <c r="I108" s="38" t="e">
        <f ca="1">+'Annual Raw'!J65+'Annual Raw'!J64</f>
        <v>#NAME?</v>
      </c>
      <c r="J108" s="38" t="e">
        <f ca="1">+'Annual Raw'!K65+'Annual Raw'!K64</f>
        <v>#NAME?</v>
      </c>
      <c r="K108" s="38" t="e">
        <f ca="1">+'Annual Raw'!L65+'Annual Raw'!L64</f>
        <v>#NAME?</v>
      </c>
      <c r="L108" s="38" t="e">
        <f ca="1">+'Annual Raw'!M65+'Annual Raw'!M64</f>
        <v>#NAME?</v>
      </c>
      <c r="M108" s="38" t="e">
        <f ca="1">+'Annual Raw'!N65+'Annual Raw'!N64</f>
        <v>#NAME?</v>
      </c>
      <c r="N108" s="38" t="e">
        <f ca="1">+'Annual Raw'!O65+'Annual Raw'!O64</f>
        <v>#NAME?</v>
      </c>
      <c r="O108" s="38" t="e">
        <f ca="1">+'Annual Raw'!P65+'Annual Raw'!P64</f>
        <v>#NAME?</v>
      </c>
      <c r="P108" s="38" t="e">
        <f ca="1">+'Annual Raw'!Q65+'Annual Raw'!Q64</f>
        <v>#NAME?</v>
      </c>
      <c r="Q108" s="38" t="e">
        <f ca="1">+'Annual Raw'!R65+'Annual Raw'!R64</f>
        <v>#NAME?</v>
      </c>
      <c r="R108" s="38" t="e">
        <f ca="1">+'Annual Raw'!S65+'Annual Raw'!S64</f>
        <v>#NAME?</v>
      </c>
      <c r="S108" s="38" t="e">
        <f ca="1">+'Annual Raw'!T65+'Annual Raw'!T64</f>
        <v>#NAME?</v>
      </c>
      <c r="T108" s="38" t="e">
        <f ca="1">+'Annual Raw'!U65+'Annual Raw'!U64</f>
        <v>#NAME?</v>
      </c>
      <c r="U108" s="38" t="e">
        <f ca="1">+'Annual Raw'!V65+'Annual Raw'!V64</f>
        <v>#NAME?</v>
      </c>
      <c r="V108" s="38" t="e">
        <f ca="1">+'Annual Raw'!W65+'Annual Raw'!W64</f>
        <v>#NAME?</v>
      </c>
      <c r="W108" s="38" t="e">
        <f ca="1">+'Annual Raw'!X65+'Annual Raw'!X64</f>
        <v>#NAME?</v>
      </c>
      <c r="X108" s="38" t="e">
        <f ca="1">+'Annual Raw'!Y65+'Annual Raw'!Y64</f>
        <v>#NAME?</v>
      </c>
      <c r="Y108" s="38" t="e">
        <f ca="1">+'Annual Raw'!Z65+'Annual Raw'!Z64</f>
        <v>#NAME?</v>
      </c>
      <c r="Z108" s="38" t="e">
        <f ca="1">+'Annual Raw'!AA65+'Annual Raw'!AA64</f>
        <v>#NAME?</v>
      </c>
      <c r="AA108" s="38" t="e">
        <f ca="1">+'Annual Raw'!AB65+'Annual Raw'!AB64</f>
        <v>#NAME?</v>
      </c>
      <c r="AB108" s="39" t="e">
        <f ca="1">CC108</f>
        <v>#NAME?</v>
      </c>
      <c r="AC108" s="39" t="e">
        <f ca="1">CG108</f>
        <v>#NAME?</v>
      </c>
      <c r="AD108" s="39" t="e">
        <f ca="1">CK108</f>
        <v>#NAME?</v>
      </c>
      <c r="AE108" s="39" t="e">
        <f ca="1">CO108</f>
        <v>#NAME?</v>
      </c>
      <c r="AG108" s="60"/>
      <c r="AH108" s="38" t="e">
        <f ca="1">+'QTR Raw'!C56+'QTR Raw'!C55</f>
        <v>#NAME?</v>
      </c>
      <c r="AI108" s="38" t="e">
        <f ca="1">+'QTR Raw'!D56+'QTR Raw'!D55</f>
        <v>#NAME?</v>
      </c>
      <c r="AJ108" s="38" t="e">
        <f ca="1">+'QTR Raw'!E56+'QTR Raw'!E55</f>
        <v>#NAME?</v>
      </c>
      <c r="AK108" s="38" t="e">
        <f ca="1">+'QTR Raw'!F56+'QTR Raw'!F55</f>
        <v>#NAME?</v>
      </c>
      <c r="AL108" s="38" t="e">
        <f ca="1">+'QTR Raw'!G56+'QTR Raw'!G55</f>
        <v>#NAME?</v>
      </c>
      <c r="AM108" s="38" t="e">
        <f ca="1">+'QTR Raw'!H56+'QTR Raw'!H55</f>
        <v>#NAME?</v>
      </c>
      <c r="AN108" s="38" t="e">
        <f ca="1">+'QTR Raw'!I56+'QTR Raw'!I55</f>
        <v>#NAME?</v>
      </c>
      <c r="AO108" s="38" t="e">
        <f ca="1">+'QTR Raw'!J56+'QTR Raw'!J55</f>
        <v>#NAME?</v>
      </c>
      <c r="AP108" s="38" t="e">
        <f ca="1">+'QTR Raw'!K56+'QTR Raw'!K55</f>
        <v>#NAME?</v>
      </c>
      <c r="AQ108" s="38" t="e">
        <f ca="1">+'QTR Raw'!L56+'QTR Raw'!L55</f>
        <v>#NAME?</v>
      </c>
      <c r="AR108" s="38" t="e">
        <f ca="1">+'QTR Raw'!M56+'QTR Raw'!M55</f>
        <v>#NAME?</v>
      </c>
      <c r="AS108" s="38" t="e">
        <f ca="1">+'QTR Raw'!N56+'QTR Raw'!N55</f>
        <v>#NAME?</v>
      </c>
      <c r="AT108" s="38" t="e">
        <f ca="1">+'QTR Raw'!O56+'QTR Raw'!O55</f>
        <v>#NAME?</v>
      </c>
      <c r="AU108" s="38" t="e">
        <f ca="1">+'QTR Raw'!P56+'QTR Raw'!P55</f>
        <v>#NAME?</v>
      </c>
      <c r="AV108" s="38" t="e">
        <f ca="1">+'QTR Raw'!Q56+'QTR Raw'!Q55</f>
        <v>#NAME?</v>
      </c>
      <c r="AW108" s="38" t="e">
        <f ca="1">+'QTR Raw'!R56+'QTR Raw'!R55</f>
        <v>#NAME?</v>
      </c>
      <c r="AX108" s="38" t="e">
        <f ca="1">+'QTR Raw'!S56+'QTR Raw'!S55</f>
        <v>#NAME?</v>
      </c>
      <c r="AY108" s="38" t="e">
        <f ca="1">+'QTR Raw'!T56+'QTR Raw'!T55</f>
        <v>#NAME?</v>
      </c>
      <c r="AZ108" s="38" t="e">
        <f ca="1">+'QTR Raw'!U56+'QTR Raw'!U55</f>
        <v>#NAME?</v>
      </c>
      <c r="BA108" s="38" t="e">
        <f ca="1">+'QTR Raw'!V56+'QTR Raw'!V55</f>
        <v>#NAME?</v>
      </c>
      <c r="BB108" s="38" t="e">
        <f ca="1">+'QTR Raw'!W56+'QTR Raw'!W55</f>
        <v>#NAME?</v>
      </c>
      <c r="BC108" s="38" t="e">
        <f ca="1">+'QTR Raw'!X56+'QTR Raw'!X55</f>
        <v>#NAME?</v>
      </c>
      <c r="BD108" s="38" t="e">
        <f ca="1">+'QTR Raw'!Y56+'QTR Raw'!Y55</f>
        <v>#NAME?</v>
      </c>
      <c r="BE108" s="38" t="e">
        <f ca="1">+'QTR Raw'!Z56+'QTR Raw'!Z55</f>
        <v>#NAME?</v>
      </c>
      <c r="BF108" s="38" t="e">
        <f ca="1">+'QTR Raw'!AA56+'QTR Raw'!AA55</f>
        <v>#NAME?</v>
      </c>
      <c r="BG108" s="38" t="e">
        <f ca="1">+'QTR Raw'!AB56+'QTR Raw'!AB55</f>
        <v>#NAME?</v>
      </c>
      <c r="BH108" s="38" t="e">
        <f ca="1">+'QTR Raw'!AC56+'QTR Raw'!AC55</f>
        <v>#NAME?</v>
      </c>
      <c r="BI108" s="38" t="e">
        <f ca="1">+'QTR Raw'!AD56+'QTR Raw'!AD55</f>
        <v>#NAME?</v>
      </c>
      <c r="BJ108" s="38" t="e">
        <f ca="1">+'QTR Raw'!AE56+'QTR Raw'!AE55</f>
        <v>#NAME?</v>
      </c>
      <c r="BK108" s="38" t="e">
        <f ca="1">+'QTR Raw'!AF56+'QTR Raw'!AF55</f>
        <v>#NAME?</v>
      </c>
      <c r="BL108" s="38" t="e">
        <f ca="1">+'QTR Raw'!AG56+'QTR Raw'!AG55</f>
        <v>#NAME?</v>
      </c>
      <c r="BM108" s="38" t="e">
        <f ca="1">+'QTR Raw'!AH56+'QTR Raw'!AH55</f>
        <v>#NAME?</v>
      </c>
      <c r="BN108" s="38" t="e">
        <f ca="1">+'QTR Raw'!AI56+'QTR Raw'!AI55</f>
        <v>#NAME?</v>
      </c>
      <c r="BO108" s="38" t="e">
        <f ca="1">+'QTR Raw'!AJ56+'QTR Raw'!AJ55</f>
        <v>#NAME?</v>
      </c>
      <c r="BP108" s="38" t="e">
        <f ca="1">+'QTR Raw'!AK56+'QTR Raw'!AK55</f>
        <v>#NAME?</v>
      </c>
      <c r="BQ108" s="38" t="e">
        <f ca="1">+'QTR Raw'!AL56+'QTR Raw'!AL55</f>
        <v>#NAME?</v>
      </c>
      <c r="BR108" s="38" t="e">
        <f ca="1">+'QTR Raw'!AM56+'QTR Raw'!AM55</f>
        <v>#NAME?</v>
      </c>
      <c r="BS108" s="38" t="e">
        <f ca="1">+'QTR Raw'!AN56+'QTR Raw'!AN55</f>
        <v>#NAME?</v>
      </c>
      <c r="BT108" s="38" t="e">
        <f ca="1">+'QTR Raw'!AO56+'QTR Raw'!AO55</f>
        <v>#NAME?</v>
      </c>
      <c r="BU108" s="38" t="e">
        <f ca="1">+'QTR Raw'!AP56+'QTR Raw'!AP55</f>
        <v>#NAME?</v>
      </c>
      <c r="BV108" s="38" t="e">
        <f ca="1">+'QTR Raw'!AQ56+'QTR Raw'!AQ55</f>
        <v>#NAME?</v>
      </c>
      <c r="BW108" s="38" t="e">
        <f ca="1">+'QTR Raw'!AR56+'QTR Raw'!AR55</f>
        <v>#NAME?</v>
      </c>
      <c r="BX108" s="38" t="e">
        <f ca="1">+'QTR Raw'!AS56+'QTR Raw'!AS55</f>
        <v>#NAME?</v>
      </c>
      <c r="BY108" s="38" t="e">
        <f ca="1">+'QTR Raw'!AT56+'QTR Raw'!AT55</f>
        <v>#NAME?</v>
      </c>
      <c r="BZ108" s="39" t="e">
        <f t="shared" ref="BZ108:CO108" ca="1" si="1172">BY108+BZ56</f>
        <v>#NAME?</v>
      </c>
      <c r="CA108" s="39" t="e">
        <f t="shared" ca="1" si="1172"/>
        <v>#NAME?</v>
      </c>
      <c r="CB108" s="39" t="e">
        <f t="shared" ca="1" si="1172"/>
        <v>#NAME?</v>
      </c>
      <c r="CC108" s="39" t="e">
        <f t="shared" ca="1" si="1172"/>
        <v>#NAME?</v>
      </c>
      <c r="CD108" s="39" t="e">
        <f t="shared" ca="1" si="1172"/>
        <v>#NAME?</v>
      </c>
      <c r="CE108" s="39" t="e">
        <f t="shared" ca="1" si="1172"/>
        <v>#NAME?</v>
      </c>
      <c r="CF108" s="39" t="e">
        <f t="shared" ca="1" si="1172"/>
        <v>#NAME?</v>
      </c>
      <c r="CG108" s="39" t="e">
        <f t="shared" ca="1" si="1172"/>
        <v>#NAME?</v>
      </c>
      <c r="CH108" s="39" t="e">
        <f t="shared" ca="1" si="1172"/>
        <v>#NAME?</v>
      </c>
      <c r="CI108" s="39" t="e">
        <f t="shared" ca="1" si="1172"/>
        <v>#NAME?</v>
      </c>
      <c r="CJ108" s="39" t="e">
        <f t="shared" ca="1" si="1172"/>
        <v>#NAME?</v>
      </c>
      <c r="CK108" s="39" t="e">
        <f t="shared" ca="1" si="1172"/>
        <v>#NAME?</v>
      </c>
      <c r="CL108" s="39" t="e">
        <f t="shared" ca="1" si="1172"/>
        <v>#NAME?</v>
      </c>
      <c r="CM108" s="39" t="e">
        <f t="shared" ca="1" si="1172"/>
        <v>#NAME?</v>
      </c>
      <c r="CN108" s="39" t="e">
        <f t="shared" ca="1" si="1172"/>
        <v>#NAME?</v>
      </c>
      <c r="CO108" s="39" t="e">
        <f t="shared" ca="1" si="1172"/>
        <v>#NAME?</v>
      </c>
      <c r="CS108" s="43">
        <v>25416.26</v>
      </c>
    </row>
    <row r="109" spans="1:97" s="43" customFormat="1" x14ac:dyDescent="0.2">
      <c r="A109" s="43" t="s">
        <v>19</v>
      </c>
      <c r="B109" s="43" t="e">
        <f t="shared" ref="B109:AB109" ca="1" si="1173">SUM(B107:B108)</f>
        <v>#NAME?</v>
      </c>
      <c r="C109" s="43" t="e">
        <f t="shared" ca="1" si="1173"/>
        <v>#NAME?</v>
      </c>
      <c r="D109" s="43" t="e">
        <f t="shared" ca="1" si="1173"/>
        <v>#NAME?</v>
      </c>
      <c r="E109" s="43" t="e">
        <f t="shared" ca="1" si="1173"/>
        <v>#NAME?</v>
      </c>
      <c r="F109" s="43" t="e">
        <f t="shared" ca="1" si="1173"/>
        <v>#NAME?</v>
      </c>
      <c r="G109" s="43" t="e">
        <f t="shared" ca="1" si="1173"/>
        <v>#NAME?</v>
      </c>
      <c r="H109" s="43" t="e">
        <f t="shared" ca="1" si="1173"/>
        <v>#NAME?</v>
      </c>
      <c r="I109" s="43" t="e">
        <f t="shared" ca="1" si="1173"/>
        <v>#NAME?</v>
      </c>
      <c r="J109" s="43" t="e">
        <f t="shared" ca="1" si="1173"/>
        <v>#NAME?</v>
      </c>
      <c r="K109" s="43" t="e">
        <f t="shared" ca="1" si="1173"/>
        <v>#NAME?</v>
      </c>
      <c r="L109" s="43" t="e">
        <f t="shared" ca="1" si="1173"/>
        <v>#NAME?</v>
      </c>
      <c r="M109" s="43" t="e">
        <f t="shared" ca="1" si="1173"/>
        <v>#NAME?</v>
      </c>
      <c r="N109" s="43" t="e">
        <f t="shared" ca="1" si="1173"/>
        <v>#NAME?</v>
      </c>
      <c r="O109" s="43" t="e">
        <f t="shared" ca="1" si="1173"/>
        <v>#NAME?</v>
      </c>
      <c r="P109" s="43" t="e">
        <f t="shared" ca="1" si="1173"/>
        <v>#NAME?</v>
      </c>
      <c r="Q109" s="43" t="e">
        <f t="shared" ca="1" si="1173"/>
        <v>#NAME?</v>
      </c>
      <c r="R109" s="43" t="e">
        <f t="shared" ca="1" si="1173"/>
        <v>#NAME?</v>
      </c>
      <c r="S109" s="43" t="e">
        <f t="shared" ca="1" si="1173"/>
        <v>#NAME?</v>
      </c>
      <c r="T109" s="43" t="e">
        <f t="shared" ca="1" si="1173"/>
        <v>#NAME?</v>
      </c>
      <c r="U109" s="43" t="e">
        <f t="shared" ca="1" si="1173"/>
        <v>#NAME?</v>
      </c>
      <c r="V109" s="43" t="e">
        <f t="shared" ca="1" si="1173"/>
        <v>#NAME?</v>
      </c>
      <c r="W109" s="43" t="e">
        <f t="shared" ca="1" si="1173"/>
        <v>#NAME?</v>
      </c>
      <c r="X109" s="43" t="e">
        <f t="shared" ca="1" si="1173"/>
        <v>#NAME?</v>
      </c>
      <c r="Y109" s="43" t="e">
        <f t="shared" ca="1" si="1173"/>
        <v>#NAME?</v>
      </c>
      <c r="Z109" s="43" t="e">
        <f t="shared" ca="1" si="1173"/>
        <v>#NAME?</v>
      </c>
      <c r="AA109" s="43" t="e">
        <f t="shared" ref="AA109" ca="1" si="1174">SUM(AA107:AA108)</f>
        <v>#NAME?</v>
      </c>
      <c r="AB109" s="44" t="e">
        <f t="shared" ca="1" si="1173"/>
        <v>#NAME?</v>
      </c>
      <c r="AC109" s="44" t="e">
        <f t="shared" ref="AC109" ca="1" si="1175">SUM(AC107:AC108)</f>
        <v>#NAME?</v>
      </c>
      <c r="AD109" s="44" t="e">
        <f t="shared" ref="AD109" ca="1" si="1176">SUM(AD107:AD108)</f>
        <v>#NAME?</v>
      </c>
      <c r="AE109" s="44" t="e">
        <f t="shared" ref="AE109" ca="1" si="1177">SUM(AE107:AE108)</f>
        <v>#NAME?</v>
      </c>
      <c r="AG109" s="62"/>
      <c r="AH109" s="43" t="e">
        <f t="shared" ref="AH109" ca="1" si="1178">SUM(AH107:AH108)</f>
        <v>#NAME?</v>
      </c>
      <c r="AI109" s="43" t="e">
        <f t="shared" ref="AI109:BC109" ca="1" si="1179">SUM(AI107:AI108)</f>
        <v>#NAME?</v>
      </c>
      <c r="AJ109" s="43" t="e">
        <f t="shared" ca="1" si="1179"/>
        <v>#NAME?</v>
      </c>
      <c r="AK109" s="43" t="e">
        <f t="shared" ca="1" si="1179"/>
        <v>#NAME?</v>
      </c>
      <c r="AL109" s="43" t="e">
        <f t="shared" ca="1" si="1179"/>
        <v>#NAME?</v>
      </c>
      <c r="AM109" s="43" t="e">
        <f t="shared" ca="1" si="1179"/>
        <v>#NAME?</v>
      </c>
      <c r="AN109" s="43" t="e">
        <f t="shared" ca="1" si="1179"/>
        <v>#NAME?</v>
      </c>
      <c r="AO109" s="43" t="e">
        <f t="shared" ca="1" si="1179"/>
        <v>#NAME?</v>
      </c>
      <c r="AP109" s="43" t="e">
        <f t="shared" ca="1" si="1179"/>
        <v>#NAME?</v>
      </c>
      <c r="AQ109" s="43" t="e">
        <f t="shared" ca="1" si="1179"/>
        <v>#NAME?</v>
      </c>
      <c r="AR109" s="43" t="e">
        <f t="shared" ca="1" si="1179"/>
        <v>#NAME?</v>
      </c>
      <c r="AS109" s="43" t="e">
        <f t="shared" ca="1" si="1179"/>
        <v>#NAME?</v>
      </c>
      <c r="AT109" s="43" t="e">
        <f t="shared" ref="AT109:BB109" ca="1" si="1180">SUM(AT107:AT108)</f>
        <v>#NAME?</v>
      </c>
      <c r="AU109" s="43" t="e">
        <f t="shared" ca="1" si="1180"/>
        <v>#NAME?</v>
      </c>
      <c r="AV109" s="43" t="e">
        <f t="shared" ca="1" si="1180"/>
        <v>#NAME?</v>
      </c>
      <c r="AW109" s="43" t="e">
        <f t="shared" ca="1" si="1180"/>
        <v>#NAME?</v>
      </c>
      <c r="AX109" s="43" t="e">
        <f t="shared" ca="1" si="1180"/>
        <v>#NAME?</v>
      </c>
      <c r="AY109" s="43" t="e">
        <f t="shared" ca="1" si="1180"/>
        <v>#NAME?</v>
      </c>
      <c r="AZ109" s="43" t="e">
        <f t="shared" ca="1" si="1180"/>
        <v>#NAME?</v>
      </c>
      <c r="BA109" s="43" t="e">
        <f t="shared" ca="1" si="1180"/>
        <v>#NAME?</v>
      </c>
      <c r="BB109" s="43" t="e">
        <f t="shared" ca="1" si="1180"/>
        <v>#NAME?</v>
      </c>
      <c r="BC109" s="43" t="e">
        <f t="shared" ca="1" si="1179"/>
        <v>#NAME?</v>
      </c>
      <c r="BD109" s="43" t="e">
        <f t="shared" ref="BD109:BV109" ca="1" si="1181">SUM(BD107:BD108)</f>
        <v>#NAME?</v>
      </c>
      <c r="BE109" s="43" t="e">
        <f t="shared" ca="1" si="1181"/>
        <v>#NAME?</v>
      </c>
      <c r="BF109" s="43" t="e">
        <f t="shared" ca="1" si="1181"/>
        <v>#NAME?</v>
      </c>
      <c r="BG109" s="43" t="e">
        <f t="shared" ca="1" si="1181"/>
        <v>#NAME?</v>
      </c>
      <c r="BH109" s="43" t="e">
        <f t="shared" ca="1" si="1181"/>
        <v>#NAME?</v>
      </c>
      <c r="BI109" s="43" t="e">
        <f t="shared" ca="1" si="1181"/>
        <v>#NAME?</v>
      </c>
      <c r="BJ109" s="43" t="e">
        <f t="shared" ca="1" si="1181"/>
        <v>#NAME?</v>
      </c>
      <c r="BK109" s="43" t="e">
        <f t="shared" ca="1" si="1181"/>
        <v>#NAME?</v>
      </c>
      <c r="BL109" s="43" t="e">
        <f t="shared" ca="1" si="1181"/>
        <v>#NAME?</v>
      </c>
      <c r="BM109" s="43" t="e">
        <f t="shared" ca="1" si="1181"/>
        <v>#NAME?</v>
      </c>
      <c r="BN109" s="43" t="e">
        <f t="shared" ca="1" si="1181"/>
        <v>#NAME?</v>
      </c>
      <c r="BO109" s="43" t="e">
        <f t="shared" ca="1" si="1181"/>
        <v>#NAME?</v>
      </c>
      <c r="BP109" s="43" t="e">
        <f t="shared" ca="1" si="1181"/>
        <v>#NAME?</v>
      </c>
      <c r="BQ109" s="43" t="e">
        <f t="shared" ca="1" si="1181"/>
        <v>#NAME?</v>
      </c>
      <c r="BR109" s="43" t="e">
        <f t="shared" ca="1" si="1181"/>
        <v>#NAME?</v>
      </c>
      <c r="BS109" s="43" t="e">
        <f t="shared" ca="1" si="1181"/>
        <v>#NAME?</v>
      </c>
      <c r="BT109" s="43" t="e">
        <f t="shared" ca="1" si="1181"/>
        <v>#NAME?</v>
      </c>
      <c r="BU109" s="43" t="e">
        <f t="shared" ca="1" si="1181"/>
        <v>#NAME?</v>
      </c>
      <c r="BV109" s="43" t="e">
        <f t="shared" ca="1" si="1181"/>
        <v>#NAME?</v>
      </c>
      <c r="BW109" s="43" t="e">
        <f t="shared" ref="BW109:BX109" ca="1" si="1182">SUM(BW107:BW108)</f>
        <v>#NAME?</v>
      </c>
      <c r="BX109" s="43" t="e">
        <f t="shared" ca="1" si="1182"/>
        <v>#NAME?</v>
      </c>
      <c r="BY109" s="43" t="e">
        <f t="shared" ref="BY109" ca="1" si="1183">SUM(BY107:BY108)</f>
        <v>#NAME?</v>
      </c>
      <c r="BZ109" s="44" t="e">
        <f t="shared" ref="BZ109:CO109" ca="1" si="1184">SUM(BZ107:BZ108)</f>
        <v>#NAME?</v>
      </c>
      <c r="CA109" s="44" t="e">
        <f t="shared" ca="1" si="1184"/>
        <v>#NAME?</v>
      </c>
      <c r="CB109" s="44" t="e">
        <f t="shared" ca="1" si="1184"/>
        <v>#NAME?</v>
      </c>
      <c r="CC109" s="44" t="e">
        <f t="shared" ca="1" si="1184"/>
        <v>#NAME?</v>
      </c>
      <c r="CD109" s="44" t="e">
        <f t="shared" ca="1" si="1184"/>
        <v>#NAME?</v>
      </c>
      <c r="CE109" s="44" t="e">
        <f t="shared" ca="1" si="1184"/>
        <v>#NAME?</v>
      </c>
      <c r="CF109" s="44" t="e">
        <f t="shared" ca="1" si="1184"/>
        <v>#NAME?</v>
      </c>
      <c r="CG109" s="44" t="e">
        <f t="shared" ca="1" si="1184"/>
        <v>#NAME?</v>
      </c>
      <c r="CH109" s="44" t="e">
        <f t="shared" ca="1" si="1184"/>
        <v>#NAME?</v>
      </c>
      <c r="CI109" s="44" t="e">
        <f t="shared" ca="1" si="1184"/>
        <v>#NAME?</v>
      </c>
      <c r="CJ109" s="44" t="e">
        <f t="shared" ca="1" si="1184"/>
        <v>#NAME?</v>
      </c>
      <c r="CK109" s="44" t="e">
        <f t="shared" ca="1" si="1184"/>
        <v>#NAME?</v>
      </c>
      <c r="CL109" s="44" t="e">
        <f t="shared" ca="1" si="1184"/>
        <v>#NAME?</v>
      </c>
      <c r="CM109" s="44" t="e">
        <f t="shared" ca="1" si="1184"/>
        <v>#NAME?</v>
      </c>
      <c r="CN109" s="44" t="e">
        <f t="shared" ca="1" si="1184"/>
        <v>#NAME?</v>
      </c>
      <c r="CO109" s="44" t="e">
        <f t="shared" ca="1" si="1184"/>
        <v>#NAME?</v>
      </c>
      <c r="CS109" s="38">
        <v>33107.82</v>
      </c>
    </row>
    <row r="110" spans="1:97" s="38" customFormat="1" x14ac:dyDescent="0.2">
      <c r="AB110" s="39"/>
      <c r="AC110" s="39"/>
      <c r="AD110" s="39"/>
      <c r="AE110" s="39"/>
      <c r="AG110" s="60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7" s="38" customFormat="1" x14ac:dyDescent="0.2">
      <c r="A111" s="38" t="s">
        <v>5</v>
      </c>
      <c r="B111" s="38" t="e">
        <f ca="1">+'Annual Raw'!C66</f>
        <v>#NAME?</v>
      </c>
      <c r="C111" s="38" t="e">
        <f ca="1">+'Annual Raw'!D66</f>
        <v>#NAME?</v>
      </c>
      <c r="D111" s="38" t="e">
        <f ca="1">+'Annual Raw'!E66</f>
        <v>#NAME?</v>
      </c>
      <c r="E111" s="38" t="e">
        <f ca="1">+'Annual Raw'!F66</f>
        <v>#NAME?</v>
      </c>
      <c r="F111" s="38" t="e">
        <f ca="1">+'Annual Raw'!G66</f>
        <v>#NAME?</v>
      </c>
      <c r="G111" s="38" t="e">
        <f ca="1">+'Annual Raw'!H66</f>
        <v>#NAME?</v>
      </c>
      <c r="H111" s="38" t="e">
        <f ca="1">+'Annual Raw'!I66</f>
        <v>#NAME?</v>
      </c>
      <c r="I111" s="38" t="e">
        <f ca="1">+'Annual Raw'!J66</f>
        <v>#NAME?</v>
      </c>
      <c r="J111" s="38" t="e">
        <f ca="1">+'Annual Raw'!K66</f>
        <v>#NAME?</v>
      </c>
      <c r="K111" s="38" t="e">
        <f ca="1">+'Annual Raw'!L66</f>
        <v>#NAME?</v>
      </c>
      <c r="L111" s="38" t="e">
        <f ca="1">+'Annual Raw'!M66</f>
        <v>#NAME?</v>
      </c>
      <c r="M111" s="38" t="e">
        <f ca="1">+'Annual Raw'!N66</f>
        <v>#NAME?</v>
      </c>
      <c r="N111" s="38" t="e">
        <f ca="1">+'Annual Raw'!O66</f>
        <v>#NAME?</v>
      </c>
      <c r="O111" s="38" t="e">
        <f ca="1">+'Annual Raw'!P66</f>
        <v>#NAME?</v>
      </c>
      <c r="P111" s="38" t="e">
        <f ca="1">+'Annual Raw'!Q66</f>
        <v>#NAME?</v>
      </c>
      <c r="Q111" s="38" t="e">
        <f ca="1">+'Annual Raw'!R66</f>
        <v>#NAME?</v>
      </c>
      <c r="R111" s="38" t="e">
        <f ca="1">+'Annual Raw'!S66</f>
        <v>#NAME?</v>
      </c>
      <c r="S111" s="38" t="e">
        <f ca="1">+'Annual Raw'!T66</f>
        <v>#NAME?</v>
      </c>
      <c r="T111" s="38" t="e">
        <f ca="1">+'Annual Raw'!U66</f>
        <v>#NAME?</v>
      </c>
      <c r="U111" s="38" t="e">
        <f ca="1">+'Annual Raw'!V66</f>
        <v>#NAME?</v>
      </c>
      <c r="V111" s="38" t="e">
        <f ca="1">+'Annual Raw'!W66</f>
        <v>#NAME?</v>
      </c>
      <c r="W111" s="38" t="e">
        <f ca="1">+'Annual Raw'!X66</f>
        <v>#NAME?</v>
      </c>
      <c r="X111" s="38" t="e">
        <f ca="1">+'Annual Raw'!Y66</f>
        <v>#NAME?</v>
      </c>
      <c r="Y111" s="38" t="e">
        <f ca="1">+'Annual Raw'!Z66</f>
        <v>#NAME?</v>
      </c>
      <c r="Z111" s="38" t="e">
        <f ca="1">+'Annual Raw'!AA66</f>
        <v>#NAME?</v>
      </c>
      <c r="AA111" s="38" t="e">
        <f ca="1">+'Annual Raw'!AB66</f>
        <v>#NAME?</v>
      </c>
      <c r="AB111" s="39" t="e">
        <f ca="1">CC111</f>
        <v>#NAME?</v>
      </c>
      <c r="AC111" s="39" t="e">
        <f ca="1">CG111</f>
        <v>#NAME?</v>
      </c>
      <c r="AD111" s="39" t="e">
        <f ca="1">CK111</f>
        <v>#NAME?</v>
      </c>
      <c r="AE111" s="39" t="e">
        <f ca="1">CO111</f>
        <v>#NAME?</v>
      </c>
      <c r="AG111" s="60"/>
      <c r="AH111" s="38" t="e">
        <f ca="1">+'QTR Raw'!C57</f>
        <v>#NAME?</v>
      </c>
      <c r="AI111" s="38" t="e">
        <f ca="1">+'QTR Raw'!D57</f>
        <v>#NAME?</v>
      </c>
      <c r="AJ111" s="38" t="e">
        <f ca="1">+'QTR Raw'!E57</f>
        <v>#NAME?</v>
      </c>
      <c r="AK111" s="38" t="e">
        <f ca="1">+'QTR Raw'!F57</f>
        <v>#NAME?</v>
      </c>
      <c r="AL111" s="38" t="e">
        <f ca="1">+'QTR Raw'!G57</f>
        <v>#NAME?</v>
      </c>
      <c r="AM111" s="38" t="e">
        <f ca="1">+'QTR Raw'!H57</f>
        <v>#NAME?</v>
      </c>
      <c r="AN111" s="38" t="e">
        <f ca="1">+'QTR Raw'!I57</f>
        <v>#NAME?</v>
      </c>
      <c r="AO111" s="38" t="e">
        <f ca="1">+'QTR Raw'!J57</f>
        <v>#NAME?</v>
      </c>
      <c r="AP111" s="38" t="e">
        <f ca="1">+'QTR Raw'!K57</f>
        <v>#NAME?</v>
      </c>
      <c r="AQ111" s="38" t="e">
        <f ca="1">+'QTR Raw'!L57</f>
        <v>#NAME?</v>
      </c>
      <c r="AR111" s="38" t="e">
        <f ca="1">+'QTR Raw'!M57</f>
        <v>#NAME?</v>
      </c>
      <c r="AS111" s="38" t="e">
        <f ca="1">+'QTR Raw'!N57</f>
        <v>#NAME?</v>
      </c>
      <c r="AT111" s="38" t="e">
        <f ca="1">+'QTR Raw'!O57</f>
        <v>#NAME?</v>
      </c>
      <c r="AU111" s="38" t="e">
        <f ca="1">+'QTR Raw'!P57</f>
        <v>#NAME?</v>
      </c>
      <c r="AV111" s="38" t="e">
        <f ca="1">+'QTR Raw'!Q57</f>
        <v>#NAME?</v>
      </c>
      <c r="AW111" s="38" t="e">
        <f ca="1">+'QTR Raw'!R57</f>
        <v>#NAME?</v>
      </c>
      <c r="AX111" s="38" t="e">
        <f ca="1">+'QTR Raw'!S57</f>
        <v>#NAME?</v>
      </c>
      <c r="AY111" s="38" t="e">
        <f ca="1">+'QTR Raw'!T57</f>
        <v>#NAME?</v>
      </c>
      <c r="AZ111" s="38" t="e">
        <f ca="1">+'QTR Raw'!U57</f>
        <v>#NAME?</v>
      </c>
      <c r="BA111" s="38" t="e">
        <f ca="1">+'QTR Raw'!V57</f>
        <v>#NAME?</v>
      </c>
      <c r="BB111" s="38" t="e">
        <f ca="1">+'QTR Raw'!W57</f>
        <v>#NAME?</v>
      </c>
      <c r="BC111" s="38" t="e">
        <f ca="1">+'QTR Raw'!X57</f>
        <v>#NAME?</v>
      </c>
      <c r="BD111" s="38" t="e">
        <f ca="1">+'QTR Raw'!Y57</f>
        <v>#NAME?</v>
      </c>
      <c r="BE111" s="38" t="e">
        <f ca="1">+'QTR Raw'!Z57</f>
        <v>#NAME?</v>
      </c>
      <c r="BF111" s="38" t="e">
        <f ca="1">+'QTR Raw'!AA57</f>
        <v>#NAME?</v>
      </c>
      <c r="BG111" s="38" t="e">
        <f ca="1">+'QTR Raw'!AB57</f>
        <v>#NAME?</v>
      </c>
      <c r="BH111" s="38" t="e">
        <f ca="1">+'QTR Raw'!AC57</f>
        <v>#NAME?</v>
      </c>
      <c r="BI111" s="38" t="e">
        <f ca="1">+'QTR Raw'!AD57</f>
        <v>#NAME?</v>
      </c>
      <c r="BJ111" s="38" t="e">
        <f ca="1">+'QTR Raw'!AE57</f>
        <v>#NAME?</v>
      </c>
      <c r="BK111" s="38" t="e">
        <f ca="1">+'QTR Raw'!AF57</f>
        <v>#NAME?</v>
      </c>
      <c r="BL111" s="38" t="e">
        <f ca="1">+'QTR Raw'!AG57</f>
        <v>#NAME?</v>
      </c>
      <c r="BM111" s="38" t="e">
        <f ca="1">+'QTR Raw'!AH57</f>
        <v>#NAME?</v>
      </c>
      <c r="BN111" s="38" t="e">
        <f ca="1">+'QTR Raw'!AI57</f>
        <v>#NAME?</v>
      </c>
      <c r="BO111" s="38" t="e">
        <f ca="1">+'QTR Raw'!AJ57</f>
        <v>#NAME?</v>
      </c>
      <c r="BP111" s="38" t="e">
        <f ca="1">+'QTR Raw'!AK57</f>
        <v>#NAME?</v>
      </c>
      <c r="BQ111" s="38" t="e">
        <f ca="1">+'QTR Raw'!AL57</f>
        <v>#NAME?</v>
      </c>
      <c r="BR111" s="38" t="e">
        <f ca="1">+'QTR Raw'!AM57</f>
        <v>#NAME?</v>
      </c>
      <c r="BS111" s="38" t="e">
        <f ca="1">+'QTR Raw'!AN57</f>
        <v>#NAME?</v>
      </c>
      <c r="BT111" s="38" t="e">
        <f ca="1">+'QTR Raw'!AO57</f>
        <v>#NAME?</v>
      </c>
      <c r="BU111" s="38" t="e">
        <f ca="1">+'QTR Raw'!AP57</f>
        <v>#NAME?</v>
      </c>
      <c r="BV111" s="38" t="e">
        <f ca="1">+'QTR Raw'!AQ57</f>
        <v>#NAME?</v>
      </c>
      <c r="BW111" s="38" t="e">
        <f ca="1">+'QTR Raw'!AR57</f>
        <v>#NAME?</v>
      </c>
      <c r="BX111" s="38" t="e">
        <f ca="1">+'QTR Raw'!AS57</f>
        <v>#NAME?</v>
      </c>
      <c r="BY111" s="38" t="e">
        <f ca="1">+'QTR Raw'!AT57</f>
        <v>#NAME?</v>
      </c>
      <c r="BZ111" s="39" t="e">
        <f t="shared" ref="BZ111" ca="1" si="1185">BY111</f>
        <v>#NAME?</v>
      </c>
      <c r="CA111" s="39" t="e">
        <f t="shared" ref="CA111" ca="1" si="1186">BZ111</f>
        <v>#NAME?</v>
      </c>
      <c r="CB111" s="39" t="e">
        <f t="shared" ref="CB111" ca="1" si="1187">CA111</f>
        <v>#NAME?</v>
      </c>
      <c r="CC111" s="39" t="e">
        <f t="shared" ref="CC111" ca="1" si="1188">CB111</f>
        <v>#NAME?</v>
      </c>
      <c r="CD111" s="39" t="e">
        <f t="shared" ref="CD111" ca="1" si="1189">CC111</f>
        <v>#NAME?</v>
      </c>
      <c r="CE111" s="39" t="e">
        <f t="shared" ref="CE111" ca="1" si="1190">CD111</f>
        <v>#NAME?</v>
      </c>
      <c r="CF111" s="39" t="e">
        <f t="shared" ref="CF111" ca="1" si="1191">CE111</f>
        <v>#NAME?</v>
      </c>
      <c r="CG111" s="39" t="e">
        <f t="shared" ref="CG111" ca="1" si="1192">CF111</f>
        <v>#NAME?</v>
      </c>
      <c r="CH111" s="39" t="e">
        <f t="shared" ref="CH111" ca="1" si="1193">CG111</f>
        <v>#NAME?</v>
      </c>
      <c r="CI111" s="39" t="e">
        <f t="shared" ref="CI111" ca="1" si="1194">CH111</f>
        <v>#NAME?</v>
      </c>
      <c r="CJ111" s="39" t="e">
        <f t="shared" ref="CJ111" ca="1" si="1195">CI111</f>
        <v>#NAME?</v>
      </c>
      <c r="CK111" s="39" t="e">
        <f t="shared" ref="CK111" ca="1" si="1196">CJ111</f>
        <v>#NAME?</v>
      </c>
      <c r="CL111" s="39" t="e">
        <f t="shared" ref="CL111" ca="1" si="1197">CK111</f>
        <v>#NAME?</v>
      </c>
      <c r="CM111" s="39" t="e">
        <f t="shared" ref="CM111" ca="1" si="1198">CL111</f>
        <v>#NAME?</v>
      </c>
      <c r="CN111" s="39" t="e">
        <f t="shared" ref="CN111" ca="1" si="1199">CM111</f>
        <v>#NAME?</v>
      </c>
      <c r="CO111" s="39" t="e">
        <f t="shared" ref="CO111" ca="1" si="1200">CN111</f>
        <v>#NAME?</v>
      </c>
      <c r="CS111" s="38">
        <v>0</v>
      </c>
    </row>
    <row r="112" spans="1:97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7" s="38" customFormat="1" x14ac:dyDescent="0.2">
      <c r="A113" s="38" t="s">
        <v>120</v>
      </c>
      <c r="B113" s="38" t="e">
        <f ca="1">+'Annual Raw'!C67</f>
        <v>#NAME?</v>
      </c>
      <c r="C113" s="38" t="e">
        <f ca="1">+'Annual Raw'!D67</f>
        <v>#NAME?</v>
      </c>
      <c r="D113" s="38" t="e">
        <f ca="1">+'Annual Raw'!E67</f>
        <v>#NAME?</v>
      </c>
      <c r="E113" s="38" t="e">
        <f ca="1">+'Annual Raw'!F67</f>
        <v>#NAME?</v>
      </c>
      <c r="F113" s="38" t="e">
        <f ca="1">+'Annual Raw'!G67</f>
        <v>#NAME?</v>
      </c>
      <c r="G113" s="38" t="e">
        <f ca="1">+'Annual Raw'!H67</f>
        <v>#NAME?</v>
      </c>
      <c r="H113" s="38" t="e">
        <f ca="1">+'Annual Raw'!I67</f>
        <v>#NAME?</v>
      </c>
      <c r="I113" s="38" t="e">
        <f ca="1">+'Annual Raw'!J67</f>
        <v>#NAME?</v>
      </c>
      <c r="J113" s="38" t="e">
        <f ca="1">+'Annual Raw'!K67</f>
        <v>#NAME?</v>
      </c>
      <c r="K113" s="38" t="e">
        <f ca="1">+'Annual Raw'!L67</f>
        <v>#NAME?</v>
      </c>
      <c r="L113" s="38" t="e">
        <f ca="1">+'Annual Raw'!M67</f>
        <v>#NAME?</v>
      </c>
      <c r="M113" s="38" t="e">
        <f ca="1">+'Annual Raw'!N67</f>
        <v>#NAME?</v>
      </c>
      <c r="N113" s="38" t="e">
        <f ca="1">+'Annual Raw'!O67</f>
        <v>#NAME?</v>
      </c>
      <c r="O113" s="38" t="e">
        <f ca="1">+'Annual Raw'!P67</f>
        <v>#NAME?</v>
      </c>
      <c r="P113" s="38" t="e">
        <f ca="1">+'Annual Raw'!Q67</f>
        <v>#NAME?</v>
      </c>
      <c r="Q113" s="38" t="e">
        <f ca="1">+'Annual Raw'!R67</f>
        <v>#NAME?</v>
      </c>
      <c r="R113" s="38" t="e">
        <f ca="1">+'Annual Raw'!S67</f>
        <v>#NAME?</v>
      </c>
      <c r="S113" s="38" t="e">
        <f ca="1">+'Annual Raw'!T67</f>
        <v>#NAME?</v>
      </c>
      <c r="T113" s="38" t="e">
        <f ca="1">+'Annual Raw'!U67</f>
        <v>#NAME?</v>
      </c>
      <c r="U113" s="38" t="e">
        <f ca="1">+'Annual Raw'!V67</f>
        <v>#NAME?</v>
      </c>
      <c r="V113" s="38" t="e">
        <f ca="1">+'Annual Raw'!W67</f>
        <v>#NAME?</v>
      </c>
      <c r="W113" s="38" t="e">
        <f ca="1">+'Annual Raw'!X67</f>
        <v>#NAME?</v>
      </c>
      <c r="X113" s="38" t="e">
        <f ca="1">+'Annual Raw'!Y67</f>
        <v>#NAME?</v>
      </c>
      <c r="Y113" s="38" t="e">
        <f ca="1">+'Annual Raw'!Z67</f>
        <v>#NAME?</v>
      </c>
      <c r="Z113" s="38" t="e">
        <f ca="1">+'Annual Raw'!AA67</f>
        <v>#NAME?</v>
      </c>
      <c r="AA113" s="38" t="e">
        <f ca="1">+'Annual Raw'!AB67</f>
        <v>#NAME?</v>
      </c>
      <c r="AB113" s="39" t="e">
        <f ca="1">CC113</f>
        <v>#NAME?</v>
      </c>
      <c r="AC113" s="39" t="e">
        <f ca="1">CG113</f>
        <v>#NAME?</v>
      </c>
      <c r="AD113" s="39" t="e">
        <f ca="1">CK113</f>
        <v>#NAME?</v>
      </c>
      <c r="AE113" s="39" t="e">
        <f ca="1">CO113</f>
        <v>#NAME?</v>
      </c>
      <c r="AG113" s="60"/>
      <c r="AH113" s="38" t="e">
        <f ca="1">+'QTR Raw'!C58</f>
        <v>#NAME?</v>
      </c>
      <c r="AI113" s="38" t="e">
        <f ca="1">+'QTR Raw'!D58</f>
        <v>#NAME?</v>
      </c>
      <c r="AJ113" s="38" t="e">
        <f ca="1">+'QTR Raw'!E58</f>
        <v>#NAME?</v>
      </c>
      <c r="AK113" s="38" t="e">
        <f ca="1">+'QTR Raw'!F58</f>
        <v>#NAME?</v>
      </c>
      <c r="AL113" s="38" t="e">
        <f ca="1">+'QTR Raw'!G58</f>
        <v>#NAME?</v>
      </c>
      <c r="AM113" s="38" t="e">
        <f ca="1">+'QTR Raw'!H58</f>
        <v>#NAME?</v>
      </c>
      <c r="AN113" s="38" t="e">
        <f ca="1">+'QTR Raw'!I58</f>
        <v>#NAME?</v>
      </c>
      <c r="AO113" s="38" t="e">
        <f ca="1">+'QTR Raw'!J58</f>
        <v>#NAME?</v>
      </c>
      <c r="AP113" s="38" t="e">
        <f ca="1">+'QTR Raw'!K58</f>
        <v>#NAME?</v>
      </c>
      <c r="AQ113" s="38" t="e">
        <f ca="1">+'QTR Raw'!L58</f>
        <v>#NAME?</v>
      </c>
      <c r="AR113" s="38" t="e">
        <f ca="1">+'QTR Raw'!M58</f>
        <v>#NAME?</v>
      </c>
      <c r="AS113" s="38" t="e">
        <f ca="1">+'QTR Raw'!N58</f>
        <v>#NAME?</v>
      </c>
      <c r="AT113" s="38" t="e">
        <f ca="1">+'QTR Raw'!O58</f>
        <v>#NAME?</v>
      </c>
      <c r="AU113" s="38" t="e">
        <f ca="1">+'QTR Raw'!P58</f>
        <v>#NAME?</v>
      </c>
      <c r="AV113" s="38" t="e">
        <f ca="1">+'QTR Raw'!Q58</f>
        <v>#NAME?</v>
      </c>
      <c r="AW113" s="38" t="e">
        <f ca="1">+'QTR Raw'!R58</f>
        <v>#NAME?</v>
      </c>
      <c r="AX113" s="38" t="e">
        <f ca="1">+'QTR Raw'!S58</f>
        <v>#NAME?</v>
      </c>
      <c r="AY113" s="38" t="e">
        <f ca="1">+'QTR Raw'!T58</f>
        <v>#NAME?</v>
      </c>
      <c r="AZ113" s="38" t="e">
        <f ca="1">+'QTR Raw'!U58</f>
        <v>#NAME?</v>
      </c>
      <c r="BA113" s="38" t="e">
        <f ca="1">+'QTR Raw'!V58</f>
        <v>#NAME?</v>
      </c>
      <c r="BB113" s="38" t="e">
        <f ca="1">+'QTR Raw'!W58</f>
        <v>#NAME?</v>
      </c>
      <c r="BC113" s="38" t="e">
        <f ca="1">+'QTR Raw'!X58</f>
        <v>#NAME?</v>
      </c>
      <c r="BD113" s="38" t="e">
        <f ca="1">+'QTR Raw'!Y58</f>
        <v>#NAME?</v>
      </c>
      <c r="BE113" s="38" t="e">
        <f ca="1">+'QTR Raw'!Z58</f>
        <v>#NAME?</v>
      </c>
      <c r="BF113" s="38" t="e">
        <f ca="1">+'QTR Raw'!AA58</f>
        <v>#NAME?</v>
      </c>
      <c r="BG113" s="38" t="e">
        <f ca="1">+'QTR Raw'!AB58</f>
        <v>#NAME?</v>
      </c>
      <c r="BH113" s="38" t="e">
        <f ca="1">+'QTR Raw'!AC58</f>
        <v>#NAME?</v>
      </c>
      <c r="BI113" s="38" t="e">
        <f ca="1">+'QTR Raw'!AD58</f>
        <v>#NAME?</v>
      </c>
      <c r="BJ113" s="38" t="e">
        <f ca="1">+'QTR Raw'!AE58</f>
        <v>#NAME?</v>
      </c>
      <c r="BK113" s="38" t="e">
        <f ca="1">+'QTR Raw'!AF58</f>
        <v>#NAME?</v>
      </c>
      <c r="BL113" s="38" t="e">
        <f ca="1">+'QTR Raw'!AG58</f>
        <v>#NAME?</v>
      </c>
      <c r="BM113" s="38" t="e">
        <f ca="1">+'QTR Raw'!AH58</f>
        <v>#NAME?</v>
      </c>
      <c r="BN113" s="38" t="e">
        <f ca="1">+'QTR Raw'!AI58</f>
        <v>#NAME?</v>
      </c>
      <c r="BO113" s="38" t="e">
        <f ca="1">+'QTR Raw'!AJ58</f>
        <v>#NAME?</v>
      </c>
      <c r="BP113" s="38" t="e">
        <f ca="1">+'QTR Raw'!AK58</f>
        <v>#NAME?</v>
      </c>
      <c r="BQ113" s="38" t="e">
        <f ca="1">+'QTR Raw'!AL58</f>
        <v>#NAME?</v>
      </c>
      <c r="BR113" s="38" t="e">
        <f ca="1">+'QTR Raw'!AM58</f>
        <v>#NAME?</v>
      </c>
      <c r="BS113" s="38" t="e">
        <f ca="1">+'QTR Raw'!AN58</f>
        <v>#NAME?</v>
      </c>
      <c r="BT113" s="38" t="e">
        <f ca="1">+'QTR Raw'!AO58</f>
        <v>#NAME?</v>
      </c>
      <c r="BU113" s="38" t="e">
        <f ca="1">+'QTR Raw'!AP58</f>
        <v>#NAME?</v>
      </c>
      <c r="BV113" s="38" t="e">
        <f ca="1">+'QTR Raw'!AQ58</f>
        <v>#NAME?</v>
      </c>
      <c r="BW113" s="38" t="e">
        <f ca="1">+'QTR Raw'!AR58</f>
        <v>#NAME?</v>
      </c>
      <c r="BX113" s="38" t="e">
        <f ca="1">+'QTR Raw'!AS58</f>
        <v>#NAME?</v>
      </c>
      <c r="BY113" s="38" t="e">
        <f ca="1">+'QTR Raw'!AT58</f>
        <v>#NAME?</v>
      </c>
      <c r="BZ113" s="39" t="e">
        <f ca="1">+BV113+(BV113*BZ134)</f>
        <v>#NAME?</v>
      </c>
      <c r="CA113" s="39" t="e">
        <f t="shared" ref="CA113:CO113" ca="1" si="1201">+BW113+(BW113*CA134)</f>
        <v>#NAME?</v>
      </c>
      <c r="CB113" s="39" t="e">
        <f t="shared" ca="1" si="1201"/>
        <v>#NAME?</v>
      </c>
      <c r="CC113" s="39" t="e">
        <f t="shared" ca="1" si="1201"/>
        <v>#NAME?</v>
      </c>
      <c r="CD113" s="39" t="e">
        <f t="shared" ca="1" si="1201"/>
        <v>#NAME?</v>
      </c>
      <c r="CE113" s="39" t="e">
        <f t="shared" ca="1" si="1201"/>
        <v>#NAME?</v>
      </c>
      <c r="CF113" s="39" t="e">
        <f t="shared" ca="1" si="1201"/>
        <v>#NAME?</v>
      </c>
      <c r="CG113" s="39" t="e">
        <f t="shared" ca="1" si="1201"/>
        <v>#NAME?</v>
      </c>
      <c r="CH113" s="39" t="e">
        <f t="shared" ca="1" si="1201"/>
        <v>#NAME?</v>
      </c>
      <c r="CI113" s="39" t="e">
        <f t="shared" ca="1" si="1201"/>
        <v>#NAME?</v>
      </c>
      <c r="CJ113" s="39" t="e">
        <f t="shared" ca="1" si="1201"/>
        <v>#NAME?</v>
      </c>
      <c r="CK113" s="39" t="e">
        <f t="shared" ca="1" si="1201"/>
        <v>#NAME?</v>
      </c>
      <c r="CL113" s="39" t="e">
        <f t="shared" ca="1" si="1201"/>
        <v>#NAME?</v>
      </c>
      <c r="CM113" s="39" t="e">
        <f t="shared" ca="1" si="1201"/>
        <v>#NAME?</v>
      </c>
      <c r="CN113" s="39" t="e">
        <f t="shared" ca="1" si="1201"/>
        <v>#NAME?</v>
      </c>
      <c r="CO113" s="39" t="e">
        <f t="shared" ca="1" si="1201"/>
        <v>#NAME?</v>
      </c>
      <c r="CS113" s="38">
        <v>350564.37</v>
      </c>
    </row>
    <row r="114" spans="1:97" s="38" customFormat="1" x14ac:dyDescent="0.2">
      <c r="A114" s="38" t="s">
        <v>126</v>
      </c>
      <c r="B114" s="38" t="e">
        <f ca="1">+'Annual Raw'!C68</f>
        <v>#NAME?</v>
      </c>
      <c r="C114" s="38" t="e">
        <f ca="1">+'Annual Raw'!D68</f>
        <v>#NAME?</v>
      </c>
      <c r="D114" s="38" t="e">
        <f ca="1">+'Annual Raw'!E68</f>
        <v>#NAME?</v>
      </c>
      <c r="E114" s="38" t="e">
        <f ca="1">+'Annual Raw'!F68</f>
        <v>#NAME?</v>
      </c>
      <c r="F114" s="38" t="e">
        <f ca="1">+'Annual Raw'!G68</f>
        <v>#NAME?</v>
      </c>
      <c r="G114" s="38" t="e">
        <f ca="1">+'Annual Raw'!H68</f>
        <v>#NAME?</v>
      </c>
      <c r="H114" s="38" t="e">
        <f ca="1">+'Annual Raw'!I68</f>
        <v>#NAME?</v>
      </c>
      <c r="I114" s="38" t="e">
        <f ca="1">+'Annual Raw'!J68</f>
        <v>#NAME?</v>
      </c>
      <c r="J114" s="38" t="e">
        <f ca="1">+'Annual Raw'!K68</f>
        <v>#NAME?</v>
      </c>
      <c r="K114" s="38" t="e">
        <f ca="1">+'Annual Raw'!L68</f>
        <v>#NAME?</v>
      </c>
      <c r="L114" s="38" t="e">
        <f ca="1">+'Annual Raw'!M68</f>
        <v>#NAME?</v>
      </c>
      <c r="M114" s="38" t="e">
        <f ca="1">+'Annual Raw'!N68</f>
        <v>#NAME?</v>
      </c>
      <c r="N114" s="38" t="e">
        <f ca="1">+'Annual Raw'!O68</f>
        <v>#NAME?</v>
      </c>
      <c r="O114" s="38" t="e">
        <f ca="1">+'Annual Raw'!P68</f>
        <v>#NAME?</v>
      </c>
      <c r="P114" s="38" t="e">
        <f ca="1">+'Annual Raw'!Q68</f>
        <v>#NAME?</v>
      </c>
      <c r="Q114" s="38" t="e">
        <f ca="1">+'Annual Raw'!R68</f>
        <v>#NAME?</v>
      </c>
      <c r="R114" s="38" t="e">
        <f ca="1">+'Annual Raw'!S68</f>
        <v>#NAME?</v>
      </c>
      <c r="S114" s="38" t="e">
        <f ca="1">+'Annual Raw'!T68</f>
        <v>#NAME?</v>
      </c>
      <c r="T114" s="38" t="e">
        <f ca="1">+'Annual Raw'!U68</f>
        <v>#NAME?</v>
      </c>
      <c r="U114" s="38" t="e">
        <f ca="1">+'Annual Raw'!V68</f>
        <v>#NAME?</v>
      </c>
      <c r="V114" s="38" t="e">
        <f ca="1">+'Annual Raw'!W68</f>
        <v>#NAME?</v>
      </c>
      <c r="W114" s="38" t="e">
        <f ca="1">+'Annual Raw'!X68</f>
        <v>#NAME?</v>
      </c>
      <c r="X114" s="38" t="e">
        <f ca="1">+'Annual Raw'!Y68</f>
        <v>#NAME?</v>
      </c>
      <c r="Y114" s="38" t="e">
        <f ca="1">+'Annual Raw'!Z68</f>
        <v>#NAME?</v>
      </c>
      <c r="Z114" s="38" t="e">
        <f ca="1">+'Annual Raw'!AA68</f>
        <v>#NAME?</v>
      </c>
      <c r="AA114" s="38" t="e">
        <f ca="1">+'Annual Raw'!AB68</f>
        <v>#NAME?</v>
      </c>
      <c r="AB114" s="39" t="e">
        <f ca="1">CC114</f>
        <v>#NAME?</v>
      </c>
      <c r="AC114" s="39" t="e">
        <f ca="1">CG114</f>
        <v>#NAME?</v>
      </c>
      <c r="AD114" s="39" t="e">
        <f ca="1">CK114</f>
        <v>#NAME?</v>
      </c>
      <c r="AE114" s="39" t="e">
        <f ca="1">CO114</f>
        <v>#NAME?</v>
      </c>
      <c r="AG114" s="60"/>
      <c r="AH114" s="38" t="e">
        <f ca="1">+'QTR Raw'!C63</f>
        <v>#NAME?</v>
      </c>
      <c r="AI114" s="38" t="e">
        <f ca="1">+'QTR Raw'!D63</f>
        <v>#NAME?</v>
      </c>
      <c r="AJ114" s="38" t="e">
        <f ca="1">+'QTR Raw'!E63</f>
        <v>#NAME?</v>
      </c>
      <c r="AK114" s="38" t="e">
        <f ca="1">+'QTR Raw'!F63</f>
        <v>#NAME?</v>
      </c>
      <c r="AL114" s="38" t="e">
        <f ca="1">+'QTR Raw'!G63</f>
        <v>#NAME?</v>
      </c>
      <c r="AM114" s="38" t="e">
        <f ca="1">+'QTR Raw'!H63</f>
        <v>#NAME?</v>
      </c>
      <c r="AN114" s="38" t="e">
        <f ca="1">+'QTR Raw'!I63</f>
        <v>#NAME?</v>
      </c>
      <c r="AO114" s="38" t="e">
        <f ca="1">+'QTR Raw'!J63</f>
        <v>#NAME?</v>
      </c>
      <c r="AP114" s="38" t="e">
        <f ca="1">+'QTR Raw'!K63</f>
        <v>#NAME?</v>
      </c>
      <c r="AQ114" s="38" t="e">
        <f ca="1">+'QTR Raw'!L63</f>
        <v>#NAME?</v>
      </c>
      <c r="AR114" s="38" t="e">
        <f ca="1">+'QTR Raw'!M63</f>
        <v>#NAME?</v>
      </c>
      <c r="AS114" s="38" t="e">
        <f ca="1">+'QTR Raw'!N63</f>
        <v>#NAME?</v>
      </c>
      <c r="AT114" s="38" t="e">
        <f ca="1">+'QTR Raw'!O63</f>
        <v>#NAME?</v>
      </c>
      <c r="AU114" s="38" t="e">
        <f ca="1">+'QTR Raw'!P63</f>
        <v>#NAME?</v>
      </c>
      <c r="AV114" s="38" t="e">
        <f ca="1">+'QTR Raw'!Q63</f>
        <v>#NAME?</v>
      </c>
      <c r="AW114" s="38" t="e">
        <f ca="1">+'QTR Raw'!R63</f>
        <v>#NAME?</v>
      </c>
      <c r="AX114" s="38" t="e">
        <f ca="1">+'QTR Raw'!S63</f>
        <v>#NAME?</v>
      </c>
      <c r="AY114" s="38" t="e">
        <f ca="1">+'QTR Raw'!T63</f>
        <v>#NAME?</v>
      </c>
      <c r="AZ114" s="38" t="e">
        <f ca="1">+'QTR Raw'!U63</f>
        <v>#NAME?</v>
      </c>
      <c r="BA114" s="38" t="e">
        <f ca="1">+'QTR Raw'!V63</f>
        <v>#NAME?</v>
      </c>
      <c r="BB114" s="38" t="e">
        <f ca="1">+'QTR Raw'!W63</f>
        <v>#NAME?</v>
      </c>
      <c r="BC114" s="38" t="e">
        <f ca="1">+'QTR Raw'!X63</f>
        <v>#NAME?</v>
      </c>
      <c r="BD114" s="38" t="e">
        <f ca="1">+'QTR Raw'!Y63</f>
        <v>#NAME?</v>
      </c>
      <c r="BE114" s="38" t="e">
        <f ca="1">+'QTR Raw'!Z63</f>
        <v>#NAME?</v>
      </c>
      <c r="BF114" s="38" t="e">
        <f ca="1">+'QTR Raw'!AA63</f>
        <v>#NAME?</v>
      </c>
      <c r="BG114" s="38" t="e">
        <f ca="1">+'QTR Raw'!AB63</f>
        <v>#NAME?</v>
      </c>
      <c r="BH114" s="38" t="e">
        <f ca="1">+'QTR Raw'!AC63</f>
        <v>#NAME?</v>
      </c>
      <c r="BI114" s="38" t="e">
        <f ca="1">+'QTR Raw'!AD63</f>
        <v>#NAME?</v>
      </c>
      <c r="BJ114" s="38" t="e">
        <f ca="1">+'QTR Raw'!AE63</f>
        <v>#NAME?</v>
      </c>
      <c r="BK114" s="38" t="e">
        <f ca="1">+'QTR Raw'!AF63</f>
        <v>#NAME?</v>
      </c>
      <c r="BL114" s="38" t="e">
        <f ca="1">+'QTR Raw'!AG63</f>
        <v>#NAME?</v>
      </c>
      <c r="BM114" s="38" t="e">
        <f ca="1">+'QTR Raw'!AH63</f>
        <v>#NAME?</v>
      </c>
      <c r="BN114" s="38" t="e">
        <f ca="1">+'QTR Raw'!AI63</f>
        <v>#NAME?</v>
      </c>
      <c r="BO114" s="38" t="e">
        <f ca="1">+'QTR Raw'!AJ63</f>
        <v>#NAME?</v>
      </c>
      <c r="BP114" s="38" t="e">
        <f ca="1">+'QTR Raw'!AK63</f>
        <v>#NAME?</v>
      </c>
      <c r="BQ114" s="38" t="e">
        <f ca="1">+'QTR Raw'!AL63</f>
        <v>#NAME?</v>
      </c>
      <c r="BR114" s="38" t="e">
        <f ca="1">+'QTR Raw'!AM63</f>
        <v>#NAME?</v>
      </c>
      <c r="BS114" s="38" t="e">
        <f ca="1">+'QTR Raw'!AN63</f>
        <v>#NAME?</v>
      </c>
      <c r="BT114" s="38" t="e">
        <f ca="1">+'QTR Raw'!AO63</f>
        <v>#NAME?</v>
      </c>
      <c r="BU114" s="38" t="e">
        <f ca="1">+'QTR Raw'!AP63</f>
        <v>#NAME?</v>
      </c>
      <c r="BV114" s="38" t="e">
        <f ca="1">+'QTR Raw'!AQ63</f>
        <v>#NAME?</v>
      </c>
      <c r="BW114" s="38" t="e">
        <f ca="1">+'QTR Raw'!AR63</f>
        <v>#NAME?</v>
      </c>
      <c r="BX114" s="38" t="e">
        <f ca="1">+'QTR Raw'!AS63</f>
        <v>#NAME?</v>
      </c>
      <c r="BY114" s="38" t="e">
        <f ca="1">+'QTR Raw'!AT63</f>
        <v>#NAME?</v>
      </c>
      <c r="BZ114" s="39" t="e">
        <f t="shared" ref="BZ114:CO114" ca="1" si="1202">+BY114</f>
        <v>#NAME?</v>
      </c>
      <c r="CA114" s="39" t="e">
        <f t="shared" ca="1" si="1202"/>
        <v>#NAME?</v>
      </c>
      <c r="CB114" s="39" t="e">
        <f t="shared" ca="1" si="1202"/>
        <v>#NAME?</v>
      </c>
      <c r="CC114" s="39" t="e">
        <f t="shared" ca="1" si="1202"/>
        <v>#NAME?</v>
      </c>
      <c r="CD114" s="39" t="e">
        <f t="shared" ca="1" si="1202"/>
        <v>#NAME?</v>
      </c>
      <c r="CE114" s="39" t="e">
        <f t="shared" ca="1" si="1202"/>
        <v>#NAME?</v>
      </c>
      <c r="CF114" s="39" t="e">
        <f t="shared" ca="1" si="1202"/>
        <v>#NAME?</v>
      </c>
      <c r="CG114" s="39" t="e">
        <f t="shared" ca="1" si="1202"/>
        <v>#NAME?</v>
      </c>
      <c r="CH114" s="39" t="e">
        <f t="shared" ca="1" si="1202"/>
        <v>#NAME?</v>
      </c>
      <c r="CI114" s="39" t="e">
        <f t="shared" ca="1" si="1202"/>
        <v>#NAME?</v>
      </c>
      <c r="CJ114" s="39" t="e">
        <f t="shared" ca="1" si="1202"/>
        <v>#NAME?</v>
      </c>
      <c r="CK114" s="39" t="e">
        <f t="shared" ca="1" si="1202"/>
        <v>#NAME?</v>
      </c>
      <c r="CL114" s="39" t="e">
        <f t="shared" ca="1" si="1202"/>
        <v>#NAME?</v>
      </c>
      <c r="CM114" s="39" t="e">
        <f t="shared" ca="1" si="1202"/>
        <v>#NAME?</v>
      </c>
      <c r="CN114" s="39" t="e">
        <f t="shared" ca="1" si="1202"/>
        <v>#NAME?</v>
      </c>
      <c r="CO114" s="39" t="e">
        <f t="shared" ca="1" si="1202"/>
        <v>#NAME?</v>
      </c>
      <c r="CS114" s="43">
        <v>35233.58</v>
      </c>
    </row>
    <row r="115" spans="1:97" s="43" customFormat="1" x14ac:dyDescent="0.2">
      <c r="A115" s="43" t="s">
        <v>21</v>
      </c>
      <c r="B115" s="43" t="e">
        <f t="shared" ref="B115:AB115" ca="1" si="1203">SUM(B113:B114)</f>
        <v>#NAME?</v>
      </c>
      <c r="C115" s="43" t="e">
        <f t="shared" ca="1" si="1203"/>
        <v>#NAME?</v>
      </c>
      <c r="D115" s="43" t="e">
        <f t="shared" ca="1" si="1203"/>
        <v>#NAME?</v>
      </c>
      <c r="E115" s="43" t="e">
        <f t="shared" ca="1" si="1203"/>
        <v>#NAME?</v>
      </c>
      <c r="F115" s="43" t="e">
        <f t="shared" ca="1" si="1203"/>
        <v>#NAME?</v>
      </c>
      <c r="G115" s="43" t="e">
        <f t="shared" ca="1" si="1203"/>
        <v>#NAME?</v>
      </c>
      <c r="H115" s="43" t="e">
        <f t="shared" ca="1" si="1203"/>
        <v>#NAME?</v>
      </c>
      <c r="I115" s="43" t="e">
        <f t="shared" ca="1" si="1203"/>
        <v>#NAME?</v>
      </c>
      <c r="J115" s="43" t="e">
        <f t="shared" ca="1" si="1203"/>
        <v>#NAME?</v>
      </c>
      <c r="K115" s="43" t="e">
        <f t="shared" ca="1" si="1203"/>
        <v>#NAME?</v>
      </c>
      <c r="L115" s="43" t="e">
        <f t="shared" ca="1" si="1203"/>
        <v>#NAME?</v>
      </c>
      <c r="M115" s="43" t="e">
        <f t="shared" ca="1" si="1203"/>
        <v>#NAME?</v>
      </c>
      <c r="N115" s="43" t="e">
        <f t="shared" ca="1" si="1203"/>
        <v>#NAME?</v>
      </c>
      <c r="O115" s="43" t="e">
        <f t="shared" ca="1" si="1203"/>
        <v>#NAME?</v>
      </c>
      <c r="P115" s="43" t="e">
        <f t="shared" ca="1" si="1203"/>
        <v>#NAME?</v>
      </c>
      <c r="Q115" s="43" t="e">
        <f t="shared" ca="1" si="1203"/>
        <v>#NAME?</v>
      </c>
      <c r="R115" s="43" t="e">
        <f t="shared" ca="1" si="1203"/>
        <v>#NAME?</v>
      </c>
      <c r="S115" s="43" t="e">
        <f t="shared" ca="1" si="1203"/>
        <v>#NAME?</v>
      </c>
      <c r="T115" s="43" t="e">
        <f t="shared" ca="1" si="1203"/>
        <v>#NAME?</v>
      </c>
      <c r="U115" s="43" t="e">
        <f t="shared" ca="1" si="1203"/>
        <v>#NAME?</v>
      </c>
      <c r="V115" s="43" t="e">
        <f t="shared" ca="1" si="1203"/>
        <v>#NAME?</v>
      </c>
      <c r="W115" s="43" t="e">
        <f t="shared" ca="1" si="1203"/>
        <v>#NAME?</v>
      </c>
      <c r="X115" s="43" t="e">
        <f t="shared" ca="1" si="1203"/>
        <v>#NAME?</v>
      </c>
      <c r="Y115" s="43" t="e">
        <f t="shared" ca="1" si="1203"/>
        <v>#NAME?</v>
      </c>
      <c r="Z115" s="43" t="e">
        <f t="shared" ca="1" si="1203"/>
        <v>#NAME?</v>
      </c>
      <c r="AA115" s="43" t="e">
        <f t="shared" ref="AA115" ca="1" si="1204">SUM(AA113:AA114)</f>
        <v>#NAME?</v>
      </c>
      <c r="AB115" s="44" t="e">
        <f t="shared" ca="1" si="1203"/>
        <v>#NAME?</v>
      </c>
      <c r="AC115" s="44" t="e">
        <f t="shared" ref="AC115" ca="1" si="1205">SUM(AC113:AC114)</f>
        <v>#NAME?</v>
      </c>
      <c r="AD115" s="44" t="e">
        <f t="shared" ref="AD115" ca="1" si="1206">SUM(AD113:AD114)</f>
        <v>#NAME?</v>
      </c>
      <c r="AE115" s="44" t="e">
        <f t="shared" ref="AE115" ca="1" si="1207">SUM(AE113:AE114)</f>
        <v>#NAME?</v>
      </c>
      <c r="AG115" s="62"/>
      <c r="AH115" s="43" t="e">
        <f t="shared" ref="AH115" ca="1" si="1208">SUM(AH113:AH114)</f>
        <v>#NAME?</v>
      </c>
      <c r="AI115" s="43" t="e">
        <f t="shared" ref="AI115:BC115" ca="1" si="1209">SUM(AI113:AI114)</f>
        <v>#NAME?</v>
      </c>
      <c r="AJ115" s="43" t="e">
        <f t="shared" ca="1" si="1209"/>
        <v>#NAME?</v>
      </c>
      <c r="AK115" s="43" t="e">
        <f t="shared" ca="1" si="1209"/>
        <v>#NAME?</v>
      </c>
      <c r="AL115" s="43" t="e">
        <f t="shared" ca="1" si="1209"/>
        <v>#NAME?</v>
      </c>
      <c r="AM115" s="43" t="e">
        <f t="shared" ca="1" si="1209"/>
        <v>#NAME?</v>
      </c>
      <c r="AN115" s="43" t="e">
        <f t="shared" ca="1" si="1209"/>
        <v>#NAME?</v>
      </c>
      <c r="AO115" s="43" t="e">
        <f t="shared" ca="1" si="1209"/>
        <v>#NAME?</v>
      </c>
      <c r="AP115" s="43" t="e">
        <f t="shared" ca="1" si="1209"/>
        <v>#NAME?</v>
      </c>
      <c r="AQ115" s="43" t="e">
        <f t="shared" ca="1" si="1209"/>
        <v>#NAME?</v>
      </c>
      <c r="AR115" s="43" t="e">
        <f t="shared" ca="1" si="1209"/>
        <v>#NAME?</v>
      </c>
      <c r="AS115" s="43" t="e">
        <f t="shared" ca="1" si="1209"/>
        <v>#NAME?</v>
      </c>
      <c r="AT115" s="43" t="e">
        <f t="shared" ref="AT115:BB115" ca="1" si="1210">SUM(AT113:AT114)</f>
        <v>#NAME?</v>
      </c>
      <c r="AU115" s="43" t="e">
        <f t="shared" ca="1" si="1210"/>
        <v>#NAME?</v>
      </c>
      <c r="AV115" s="43" t="e">
        <f t="shared" ca="1" si="1210"/>
        <v>#NAME?</v>
      </c>
      <c r="AW115" s="43" t="e">
        <f t="shared" ca="1" si="1210"/>
        <v>#NAME?</v>
      </c>
      <c r="AX115" s="43" t="e">
        <f t="shared" ca="1" si="1210"/>
        <v>#NAME?</v>
      </c>
      <c r="AY115" s="43" t="e">
        <f t="shared" ca="1" si="1210"/>
        <v>#NAME?</v>
      </c>
      <c r="AZ115" s="43" t="e">
        <f t="shared" ca="1" si="1210"/>
        <v>#NAME?</v>
      </c>
      <c r="BA115" s="43" t="e">
        <f t="shared" ca="1" si="1210"/>
        <v>#NAME?</v>
      </c>
      <c r="BB115" s="43" t="e">
        <f t="shared" ca="1" si="1210"/>
        <v>#NAME?</v>
      </c>
      <c r="BC115" s="43" t="e">
        <f t="shared" ca="1" si="1209"/>
        <v>#NAME?</v>
      </c>
      <c r="BD115" s="43" t="e">
        <f t="shared" ref="BD115:BV115" ca="1" si="1211">SUM(BD113:BD114)</f>
        <v>#NAME?</v>
      </c>
      <c r="BE115" s="43" t="e">
        <f t="shared" ca="1" si="1211"/>
        <v>#NAME?</v>
      </c>
      <c r="BF115" s="43" t="e">
        <f t="shared" ca="1" si="1211"/>
        <v>#NAME?</v>
      </c>
      <c r="BG115" s="43" t="e">
        <f t="shared" ca="1" si="1211"/>
        <v>#NAME?</v>
      </c>
      <c r="BH115" s="43" t="e">
        <f t="shared" ca="1" si="1211"/>
        <v>#NAME?</v>
      </c>
      <c r="BI115" s="43" t="e">
        <f t="shared" ca="1" si="1211"/>
        <v>#NAME?</v>
      </c>
      <c r="BJ115" s="43" t="e">
        <f t="shared" ca="1" si="1211"/>
        <v>#NAME?</v>
      </c>
      <c r="BK115" s="43" t="e">
        <f t="shared" ca="1" si="1211"/>
        <v>#NAME?</v>
      </c>
      <c r="BL115" s="43" t="e">
        <f t="shared" ca="1" si="1211"/>
        <v>#NAME?</v>
      </c>
      <c r="BM115" s="43" t="e">
        <f t="shared" ca="1" si="1211"/>
        <v>#NAME?</v>
      </c>
      <c r="BN115" s="43" t="e">
        <f t="shared" ca="1" si="1211"/>
        <v>#NAME?</v>
      </c>
      <c r="BO115" s="43" t="e">
        <f t="shared" ca="1" si="1211"/>
        <v>#NAME?</v>
      </c>
      <c r="BP115" s="43" t="e">
        <f t="shared" ca="1" si="1211"/>
        <v>#NAME?</v>
      </c>
      <c r="BQ115" s="43" t="e">
        <f t="shared" ca="1" si="1211"/>
        <v>#NAME?</v>
      </c>
      <c r="BR115" s="43" t="e">
        <f t="shared" ca="1" si="1211"/>
        <v>#NAME?</v>
      </c>
      <c r="BS115" s="43" t="e">
        <f t="shared" ca="1" si="1211"/>
        <v>#NAME?</v>
      </c>
      <c r="BT115" s="43" t="e">
        <f t="shared" ca="1" si="1211"/>
        <v>#NAME?</v>
      </c>
      <c r="BU115" s="43" t="e">
        <f t="shared" ca="1" si="1211"/>
        <v>#NAME?</v>
      </c>
      <c r="BV115" s="43" t="e">
        <f t="shared" ca="1" si="1211"/>
        <v>#NAME?</v>
      </c>
      <c r="BW115" s="43" t="e">
        <f t="shared" ref="BW115:BX115" ca="1" si="1212">SUM(BW113:BW114)</f>
        <v>#NAME?</v>
      </c>
      <c r="BX115" s="43" t="e">
        <f t="shared" ca="1" si="1212"/>
        <v>#NAME?</v>
      </c>
      <c r="BY115" s="43" t="e">
        <f t="shared" ref="BY115" ca="1" si="1213">SUM(BY113:BY114)</f>
        <v>#NAME?</v>
      </c>
      <c r="BZ115" s="44" t="e">
        <f t="shared" ref="BZ115:CO115" ca="1" si="1214">SUM(BZ113:BZ114)</f>
        <v>#NAME?</v>
      </c>
      <c r="CA115" s="44" t="e">
        <f t="shared" ca="1" si="1214"/>
        <v>#NAME?</v>
      </c>
      <c r="CB115" s="44" t="e">
        <f t="shared" ca="1" si="1214"/>
        <v>#NAME?</v>
      </c>
      <c r="CC115" s="44" t="e">
        <f t="shared" ca="1" si="1214"/>
        <v>#NAME?</v>
      </c>
      <c r="CD115" s="44" t="e">
        <f t="shared" ca="1" si="1214"/>
        <v>#NAME?</v>
      </c>
      <c r="CE115" s="44" t="e">
        <f t="shared" ca="1" si="1214"/>
        <v>#NAME?</v>
      </c>
      <c r="CF115" s="44" t="e">
        <f t="shared" ca="1" si="1214"/>
        <v>#NAME?</v>
      </c>
      <c r="CG115" s="44" t="e">
        <f t="shared" ca="1" si="1214"/>
        <v>#NAME?</v>
      </c>
      <c r="CH115" s="44" t="e">
        <f t="shared" ca="1" si="1214"/>
        <v>#NAME?</v>
      </c>
      <c r="CI115" s="44" t="e">
        <f t="shared" ca="1" si="1214"/>
        <v>#NAME?</v>
      </c>
      <c r="CJ115" s="44" t="e">
        <f t="shared" ca="1" si="1214"/>
        <v>#NAME?</v>
      </c>
      <c r="CK115" s="44" t="e">
        <f t="shared" ca="1" si="1214"/>
        <v>#NAME?</v>
      </c>
      <c r="CL115" s="44" t="e">
        <f t="shared" ca="1" si="1214"/>
        <v>#NAME?</v>
      </c>
      <c r="CM115" s="44" t="e">
        <f t="shared" ca="1" si="1214"/>
        <v>#NAME?</v>
      </c>
      <c r="CN115" s="44" t="e">
        <f t="shared" ca="1" si="1214"/>
        <v>#NAME?</v>
      </c>
      <c r="CO115" s="44" t="e">
        <f t="shared" ca="1" si="1214"/>
        <v>#NAME?</v>
      </c>
      <c r="CS115" s="40">
        <v>385797.95</v>
      </c>
    </row>
    <row r="116" spans="1:97" s="40" customFormat="1" x14ac:dyDescent="0.2">
      <c r="A116" s="40" t="s">
        <v>55</v>
      </c>
      <c r="B116" s="40" t="e">
        <f t="shared" ref="B116:AB116" ca="1" si="1215">B115+B111+B109</f>
        <v>#NAME?</v>
      </c>
      <c r="C116" s="40" t="e">
        <f t="shared" ca="1" si="1215"/>
        <v>#NAME?</v>
      </c>
      <c r="D116" s="40" t="e">
        <f t="shared" ca="1" si="1215"/>
        <v>#NAME?</v>
      </c>
      <c r="E116" s="40" t="e">
        <f t="shared" ca="1" si="1215"/>
        <v>#NAME?</v>
      </c>
      <c r="F116" s="40" t="e">
        <f t="shared" ca="1" si="1215"/>
        <v>#NAME?</v>
      </c>
      <c r="G116" s="40" t="e">
        <f t="shared" ca="1" si="1215"/>
        <v>#NAME?</v>
      </c>
      <c r="H116" s="40" t="e">
        <f t="shared" ca="1" si="1215"/>
        <v>#NAME?</v>
      </c>
      <c r="I116" s="40" t="e">
        <f t="shared" ca="1" si="1215"/>
        <v>#NAME?</v>
      </c>
      <c r="J116" s="40" t="e">
        <f t="shared" ca="1" si="1215"/>
        <v>#NAME?</v>
      </c>
      <c r="K116" s="40" t="e">
        <f t="shared" ca="1" si="1215"/>
        <v>#NAME?</v>
      </c>
      <c r="L116" s="40" t="e">
        <f t="shared" ca="1" si="1215"/>
        <v>#NAME?</v>
      </c>
      <c r="M116" s="40" t="e">
        <f t="shared" ca="1" si="1215"/>
        <v>#NAME?</v>
      </c>
      <c r="N116" s="40" t="e">
        <f t="shared" ca="1" si="1215"/>
        <v>#NAME?</v>
      </c>
      <c r="O116" s="40" t="e">
        <f t="shared" ca="1" si="1215"/>
        <v>#NAME?</v>
      </c>
      <c r="P116" s="40" t="e">
        <f t="shared" ca="1" si="1215"/>
        <v>#NAME?</v>
      </c>
      <c r="Q116" s="40" t="e">
        <f t="shared" ca="1" si="1215"/>
        <v>#NAME?</v>
      </c>
      <c r="R116" s="40" t="e">
        <f t="shared" ca="1" si="1215"/>
        <v>#NAME?</v>
      </c>
      <c r="S116" s="40" t="e">
        <f t="shared" ca="1" si="1215"/>
        <v>#NAME?</v>
      </c>
      <c r="T116" s="40" t="e">
        <f t="shared" ca="1" si="1215"/>
        <v>#NAME?</v>
      </c>
      <c r="U116" s="40" t="e">
        <f t="shared" ca="1" si="1215"/>
        <v>#NAME?</v>
      </c>
      <c r="V116" s="40" t="e">
        <f t="shared" ca="1" si="1215"/>
        <v>#NAME?</v>
      </c>
      <c r="W116" s="40" t="e">
        <f t="shared" ca="1" si="1215"/>
        <v>#NAME?</v>
      </c>
      <c r="X116" s="40" t="e">
        <f t="shared" ca="1" si="1215"/>
        <v>#NAME?</v>
      </c>
      <c r="Y116" s="40" t="e">
        <f t="shared" ca="1" si="1215"/>
        <v>#NAME?</v>
      </c>
      <c r="Z116" s="40" t="e">
        <f t="shared" ca="1" si="1215"/>
        <v>#NAME?</v>
      </c>
      <c r="AA116" s="40" t="e">
        <f t="shared" ref="AA116" ca="1" si="1216">AA115+AA111+AA109</f>
        <v>#NAME?</v>
      </c>
      <c r="AB116" s="41" t="e">
        <f t="shared" ca="1" si="1215"/>
        <v>#NAME?</v>
      </c>
      <c r="AC116" s="41" t="e">
        <f t="shared" ref="AC116" ca="1" si="1217">AC115+AC111+AC109</f>
        <v>#NAME?</v>
      </c>
      <c r="AD116" s="41" t="e">
        <f t="shared" ref="AD116" ca="1" si="1218">AD115+AD111+AD109</f>
        <v>#NAME?</v>
      </c>
      <c r="AE116" s="41" t="e">
        <f t="shared" ref="AE116" ca="1" si="1219">AE115+AE111+AE109</f>
        <v>#NAME?</v>
      </c>
      <c r="AG116" s="61"/>
      <c r="AH116" s="40" t="e">
        <f t="shared" ref="AH116" ca="1" si="1220">AH115+AH111+AH109</f>
        <v>#NAME?</v>
      </c>
      <c r="AI116" s="40" t="e">
        <f t="shared" ref="AI116:BC116" ca="1" si="1221">AI115+AI111+AI109</f>
        <v>#NAME?</v>
      </c>
      <c r="AJ116" s="40" t="e">
        <f t="shared" ca="1" si="1221"/>
        <v>#NAME?</v>
      </c>
      <c r="AK116" s="40" t="e">
        <f t="shared" ca="1" si="1221"/>
        <v>#NAME?</v>
      </c>
      <c r="AL116" s="40" t="e">
        <f t="shared" ca="1" si="1221"/>
        <v>#NAME?</v>
      </c>
      <c r="AM116" s="40" t="e">
        <f t="shared" ca="1" si="1221"/>
        <v>#NAME?</v>
      </c>
      <c r="AN116" s="40" t="e">
        <f t="shared" ca="1" si="1221"/>
        <v>#NAME?</v>
      </c>
      <c r="AO116" s="40" t="e">
        <f t="shared" ca="1" si="1221"/>
        <v>#NAME?</v>
      </c>
      <c r="AP116" s="40" t="e">
        <f t="shared" ca="1" si="1221"/>
        <v>#NAME?</v>
      </c>
      <c r="AQ116" s="40" t="e">
        <f t="shared" ca="1" si="1221"/>
        <v>#NAME?</v>
      </c>
      <c r="AR116" s="40" t="e">
        <f t="shared" ca="1" si="1221"/>
        <v>#NAME?</v>
      </c>
      <c r="AS116" s="40" t="e">
        <f t="shared" ca="1" si="1221"/>
        <v>#NAME?</v>
      </c>
      <c r="AT116" s="40" t="e">
        <f t="shared" ref="AT116:BB116" ca="1" si="1222">AT115+AT111+AT109</f>
        <v>#NAME?</v>
      </c>
      <c r="AU116" s="40" t="e">
        <f t="shared" ca="1" si="1222"/>
        <v>#NAME?</v>
      </c>
      <c r="AV116" s="40" t="e">
        <f t="shared" ca="1" si="1222"/>
        <v>#NAME?</v>
      </c>
      <c r="AW116" s="40" t="e">
        <f t="shared" ca="1" si="1222"/>
        <v>#NAME?</v>
      </c>
      <c r="AX116" s="40" t="e">
        <f t="shared" ca="1" si="1222"/>
        <v>#NAME?</v>
      </c>
      <c r="AY116" s="40" t="e">
        <f t="shared" ca="1" si="1222"/>
        <v>#NAME?</v>
      </c>
      <c r="AZ116" s="40" t="e">
        <f t="shared" ca="1" si="1222"/>
        <v>#NAME?</v>
      </c>
      <c r="BA116" s="40" t="e">
        <f t="shared" ca="1" si="1222"/>
        <v>#NAME?</v>
      </c>
      <c r="BB116" s="40" t="e">
        <f t="shared" ca="1" si="1222"/>
        <v>#NAME?</v>
      </c>
      <c r="BC116" s="40" t="e">
        <f t="shared" ca="1" si="1221"/>
        <v>#NAME?</v>
      </c>
      <c r="BD116" s="40" t="e">
        <f t="shared" ref="BD116:BV116" ca="1" si="1223">BD115+BD111+BD109</f>
        <v>#NAME?</v>
      </c>
      <c r="BE116" s="40" t="e">
        <f t="shared" ca="1" si="1223"/>
        <v>#NAME?</v>
      </c>
      <c r="BF116" s="40" t="e">
        <f t="shared" ca="1" si="1223"/>
        <v>#NAME?</v>
      </c>
      <c r="BG116" s="40" t="e">
        <f t="shared" ca="1" si="1223"/>
        <v>#NAME?</v>
      </c>
      <c r="BH116" s="40" t="e">
        <f t="shared" ca="1" si="1223"/>
        <v>#NAME?</v>
      </c>
      <c r="BI116" s="40" t="e">
        <f t="shared" ca="1" si="1223"/>
        <v>#NAME?</v>
      </c>
      <c r="BJ116" s="40" t="e">
        <f t="shared" ca="1" si="1223"/>
        <v>#NAME?</v>
      </c>
      <c r="BK116" s="40" t="e">
        <f t="shared" ca="1" si="1223"/>
        <v>#NAME?</v>
      </c>
      <c r="BL116" s="40" t="e">
        <f t="shared" ca="1" si="1223"/>
        <v>#NAME?</v>
      </c>
      <c r="BM116" s="40" t="e">
        <f t="shared" ca="1" si="1223"/>
        <v>#NAME?</v>
      </c>
      <c r="BN116" s="40" t="e">
        <f t="shared" ca="1" si="1223"/>
        <v>#NAME?</v>
      </c>
      <c r="BO116" s="40" t="e">
        <f t="shared" ca="1" si="1223"/>
        <v>#NAME?</v>
      </c>
      <c r="BP116" s="40" t="e">
        <f t="shared" ca="1" si="1223"/>
        <v>#NAME?</v>
      </c>
      <c r="BQ116" s="40" t="e">
        <f t="shared" ca="1" si="1223"/>
        <v>#NAME?</v>
      </c>
      <c r="BR116" s="40" t="e">
        <f t="shared" ca="1" si="1223"/>
        <v>#NAME?</v>
      </c>
      <c r="BS116" s="40" t="e">
        <f t="shared" ca="1" si="1223"/>
        <v>#NAME?</v>
      </c>
      <c r="BT116" s="40" t="e">
        <f t="shared" ca="1" si="1223"/>
        <v>#NAME?</v>
      </c>
      <c r="BU116" s="40" t="e">
        <f t="shared" ca="1" si="1223"/>
        <v>#NAME?</v>
      </c>
      <c r="BV116" s="40" t="e">
        <f t="shared" ca="1" si="1223"/>
        <v>#NAME?</v>
      </c>
      <c r="BW116" s="40" t="e">
        <f t="shared" ref="BW116:BX116" ca="1" si="1224">BW115+BW111+BW109</f>
        <v>#NAME?</v>
      </c>
      <c r="BX116" s="40" t="e">
        <f t="shared" ca="1" si="1224"/>
        <v>#NAME?</v>
      </c>
      <c r="BY116" s="40" t="e">
        <f t="shared" ref="BY116" ca="1" si="1225">BY115+BY111+BY109</f>
        <v>#NAME?</v>
      </c>
      <c r="BZ116" s="41" t="e">
        <f t="shared" ref="BZ116:CO116" ca="1" si="1226">BZ115+BZ111+BZ109</f>
        <v>#NAME?</v>
      </c>
      <c r="CA116" s="41" t="e">
        <f t="shared" ca="1" si="1226"/>
        <v>#NAME?</v>
      </c>
      <c r="CB116" s="41" t="e">
        <f t="shared" ca="1" si="1226"/>
        <v>#NAME?</v>
      </c>
      <c r="CC116" s="41" t="e">
        <f t="shared" ca="1" si="1226"/>
        <v>#NAME?</v>
      </c>
      <c r="CD116" s="41" t="e">
        <f t="shared" ca="1" si="1226"/>
        <v>#NAME?</v>
      </c>
      <c r="CE116" s="41" t="e">
        <f t="shared" ca="1" si="1226"/>
        <v>#NAME?</v>
      </c>
      <c r="CF116" s="41" t="e">
        <f t="shared" ca="1" si="1226"/>
        <v>#NAME?</v>
      </c>
      <c r="CG116" s="41" t="e">
        <f t="shared" ca="1" si="1226"/>
        <v>#NAME?</v>
      </c>
      <c r="CH116" s="41" t="e">
        <f t="shared" ca="1" si="1226"/>
        <v>#NAME?</v>
      </c>
      <c r="CI116" s="41" t="e">
        <f t="shared" ca="1" si="1226"/>
        <v>#NAME?</v>
      </c>
      <c r="CJ116" s="41" t="e">
        <f t="shared" ca="1" si="1226"/>
        <v>#NAME?</v>
      </c>
      <c r="CK116" s="41" t="e">
        <f t="shared" ca="1" si="1226"/>
        <v>#NAME?</v>
      </c>
      <c r="CL116" s="41" t="e">
        <f t="shared" ca="1" si="1226"/>
        <v>#NAME?</v>
      </c>
      <c r="CM116" s="41" t="e">
        <f t="shared" ca="1" si="1226"/>
        <v>#NAME?</v>
      </c>
      <c r="CN116" s="41" t="e">
        <f t="shared" ca="1" si="1226"/>
        <v>#NAME?</v>
      </c>
      <c r="CO116" s="41" t="e">
        <f t="shared" ca="1" si="1226"/>
        <v>#NAME?</v>
      </c>
      <c r="CS116" s="38">
        <v>418905.77</v>
      </c>
    </row>
    <row r="117" spans="1:97" s="38" customFormat="1" x14ac:dyDescent="0.2">
      <c r="AB117" s="39"/>
      <c r="AC117" s="39"/>
      <c r="AD117" s="39"/>
      <c r="AE117" s="39"/>
      <c r="AG117" s="60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7" s="38" customFormat="1" x14ac:dyDescent="0.2">
      <c r="A118" s="38" t="s">
        <v>131</v>
      </c>
      <c r="B118" s="38" t="e">
        <f ca="1">+'Annual Raw'!C73</f>
        <v>#NAME?</v>
      </c>
      <c r="C118" s="38" t="e">
        <f ca="1">+'Annual Raw'!D73</f>
        <v>#NAME?</v>
      </c>
      <c r="D118" s="38" t="e">
        <f ca="1">+'Annual Raw'!E73</f>
        <v>#NAME?</v>
      </c>
      <c r="E118" s="38" t="e">
        <f ca="1">+'Annual Raw'!F73</f>
        <v>#NAME?</v>
      </c>
      <c r="F118" s="38" t="e">
        <f ca="1">+'Annual Raw'!G73</f>
        <v>#NAME?</v>
      </c>
      <c r="G118" s="38" t="e">
        <f ca="1">+'Annual Raw'!H73</f>
        <v>#NAME?</v>
      </c>
      <c r="H118" s="38" t="e">
        <f ca="1">+'Annual Raw'!I73</f>
        <v>#NAME?</v>
      </c>
      <c r="I118" s="38" t="e">
        <f ca="1">+'Annual Raw'!J73</f>
        <v>#NAME?</v>
      </c>
      <c r="J118" s="38" t="e">
        <f ca="1">+'Annual Raw'!K73</f>
        <v>#NAME?</v>
      </c>
      <c r="K118" s="38" t="e">
        <f ca="1">+'Annual Raw'!L73</f>
        <v>#NAME?</v>
      </c>
      <c r="L118" s="38" t="e">
        <f ca="1">+'Annual Raw'!M73</f>
        <v>#NAME?</v>
      </c>
      <c r="M118" s="38" t="e">
        <f ca="1">+'Annual Raw'!N73</f>
        <v>#NAME?</v>
      </c>
      <c r="N118" s="38" t="e">
        <f ca="1">+'Annual Raw'!O73</f>
        <v>#NAME?</v>
      </c>
      <c r="O118" s="38" t="e">
        <f ca="1">+'Annual Raw'!P73</f>
        <v>#NAME?</v>
      </c>
      <c r="P118" s="38" t="e">
        <f ca="1">+'Annual Raw'!Q73</f>
        <v>#NAME?</v>
      </c>
      <c r="Q118" s="38" t="e">
        <f ca="1">+'Annual Raw'!R73</f>
        <v>#NAME?</v>
      </c>
      <c r="R118" s="38" t="e">
        <f ca="1">+'Annual Raw'!S73</f>
        <v>#NAME?</v>
      </c>
      <c r="S118" s="38" t="e">
        <f ca="1">+'Annual Raw'!T73</f>
        <v>#NAME?</v>
      </c>
      <c r="T118" s="38" t="e">
        <f ca="1">+'Annual Raw'!U73</f>
        <v>#NAME?</v>
      </c>
      <c r="U118" s="38" t="e">
        <f ca="1">+'Annual Raw'!V73</f>
        <v>#NAME?</v>
      </c>
      <c r="V118" s="38" t="e">
        <f ca="1">+'Annual Raw'!W73</f>
        <v>#NAME?</v>
      </c>
      <c r="W118" s="38" t="e">
        <f ca="1">+'Annual Raw'!X73</f>
        <v>#NAME?</v>
      </c>
      <c r="X118" s="38" t="e">
        <f ca="1">+'Annual Raw'!Y73</f>
        <v>#NAME?</v>
      </c>
      <c r="Y118" s="38" t="e">
        <f ca="1">+'Annual Raw'!Z73</f>
        <v>#NAME?</v>
      </c>
      <c r="Z118" s="38" t="e">
        <f ca="1">+'Annual Raw'!AA73</f>
        <v>#NAME?</v>
      </c>
      <c r="AA118" s="38" t="e">
        <f ca="1">+'Annual Raw'!AB73</f>
        <v>#NAME?</v>
      </c>
      <c r="AB118" s="39" t="e">
        <f ca="1">CC118</f>
        <v>#NAME?</v>
      </c>
      <c r="AC118" s="39" t="e">
        <f ca="1">CG118</f>
        <v>#NAME?</v>
      </c>
      <c r="AD118" s="39" t="e">
        <f ca="1">CK118</f>
        <v>#NAME?</v>
      </c>
      <c r="AE118" s="39" t="e">
        <f ca="1">CO118</f>
        <v>#NAME?</v>
      </c>
      <c r="AG118" s="60"/>
      <c r="AH118" s="38" t="e">
        <f ca="1">+'QTR Raw'!C68</f>
        <v>#NAME?</v>
      </c>
      <c r="AI118" s="38" t="e">
        <f ca="1">+'QTR Raw'!D68</f>
        <v>#NAME?</v>
      </c>
      <c r="AJ118" s="38" t="e">
        <f ca="1">+'QTR Raw'!E68</f>
        <v>#NAME?</v>
      </c>
      <c r="AK118" s="38" t="e">
        <f ca="1">+'QTR Raw'!F68</f>
        <v>#NAME?</v>
      </c>
      <c r="AL118" s="38" t="e">
        <f ca="1">+'QTR Raw'!G68</f>
        <v>#NAME?</v>
      </c>
      <c r="AM118" s="38" t="e">
        <f ca="1">+'QTR Raw'!H68</f>
        <v>#NAME?</v>
      </c>
      <c r="AN118" s="38" t="e">
        <f ca="1">+'QTR Raw'!I68</f>
        <v>#NAME?</v>
      </c>
      <c r="AO118" s="38" t="e">
        <f ca="1">+'QTR Raw'!J68</f>
        <v>#NAME?</v>
      </c>
      <c r="AP118" s="38" t="e">
        <f ca="1">+'QTR Raw'!K68</f>
        <v>#NAME?</v>
      </c>
      <c r="AQ118" s="38" t="e">
        <f ca="1">+'QTR Raw'!L68</f>
        <v>#NAME?</v>
      </c>
      <c r="AR118" s="38" t="e">
        <f ca="1">+'QTR Raw'!M68</f>
        <v>#NAME?</v>
      </c>
      <c r="AS118" s="38" t="e">
        <f ca="1">+'QTR Raw'!N68</f>
        <v>#NAME?</v>
      </c>
      <c r="AT118" s="38" t="e">
        <f ca="1">+'QTR Raw'!O68</f>
        <v>#NAME?</v>
      </c>
      <c r="AU118" s="38" t="e">
        <f ca="1">+'QTR Raw'!P68</f>
        <v>#NAME?</v>
      </c>
      <c r="AV118" s="38" t="e">
        <f ca="1">+'QTR Raw'!Q68</f>
        <v>#NAME?</v>
      </c>
      <c r="AW118" s="38" t="e">
        <f ca="1">+'QTR Raw'!R68</f>
        <v>#NAME?</v>
      </c>
      <c r="AX118" s="38" t="e">
        <f ca="1">+'QTR Raw'!S68</f>
        <v>#NAME?</v>
      </c>
      <c r="AY118" s="38" t="e">
        <f ca="1">+'QTR Raw'!T68</f>
        <v>#NAME?</v>
      </c>
      <c r="AZ118" s="38" t="e">
        <f ca="1">+'QTR Raw'!U68</f>
        <v>#NAME?</v>
      </c>
      <c r="BA118" s="38" t="e">
        <f ca="1">+'QTR Raw'!V68</f>
        <v>#NAME?</v>
      </c>
      <c r="BB118" s="38" t="e">
        <f ca="1">+'QTR Raw'!W68</f>
        <v>#NAME?</v>
      </c>
      <c r="BC118" s="38" t="e">
        <f ca="1">+'QTR Raw'!X68</f>
        <v>#NAME?</v>
      </c>
      <c r="BD118" s="38" t="e">
        <f ca="1">+'QTR Raw'!Y68</f>
        <v>#NAME?</v>
      </c>
      <c r="BE118" s="38" t="e">
        <f ca="1">+'QTR Raw'!Z68</f>
        <v>#NAME?</v>
      </c>
      <c r="BF118" s="38" t="e">
        <f ca="1">+'QTR Raw'!AA68</f>
        <v>#NAME?</v>
      </c>
      <c r="BG118" s="38" t="e">
        <f ca="1">+'QTR Raw'!AB68</f>
        <v>#NAME?</v>
      </c>
      <c r="BH118" s="38" t="e">
        <f ca="1">+'QTR Raw'!AC68</f>
        <v>#NAME?</v>
      </c>
      <c r="BI118" s="38" t="e">
        <f ca="1">+'QTR Raw'!AD68</f>
        <v>#NAME?</v>
      </c>
      <c r="BJ118" s="38" t="e">
        <f ca="1">+'QTR Raw'!AE68</f>
        <v>#NAME?</v>
      </c>
      <c r="BK118" s="38" t="e">
        <f ca="1">+'QTR Raw'!AF68</f>
        <v>#NAME?</v>
      </c>
      <c r="BL118" s="38" t="e">
        <f ca="1">+'QTR Raw'!AG68</f>
        <v>#NAME?</v>
      </c>
      <c r="BM118" s="38" t="e">
        <f ca="1">+'QTR Raw'!AH68</f>
        <v>#NAME?</v>
      </c>
      <c r="BN118" s="38" t="e">
        <f ca="1">+'QTR Raw'!AI68</f>
        <v>#NAME?</v>
      </c>
      <c r="BO118" s="38" t="e">
        <f ca="1">+'QTR Raw'!AJ68</f>
        <v>#NAME?</v>
      </c>
      <c r="BP118" s="38" t="e">
        <f ca="1">+'QTR Raw'!AK68</f>
        <v>#NAME?</v>
      </c>
      <c r="BQ118" s="38" t="e">
        <f ca="1">+'QTR Raw'!AL68</f>
        <v>#NAME?</v>
      </c>
      <c r="BR118" s="38" t="e">
        <f ca="1">+'QTR Raw'!AM68</f>
        <v>#NAME?</v>
      </c>
      <c r="BS118" s="38" t="e">
        <f ca="1">+'QTR Raw'!AN68</f>
        <v>#NAME?</v>
      </c>
      <c r="BT118" s="38" t="e">
        <f ca="1">+'QTR Raw'!AO68</f>
        <v>#NAME?</v>
      </c>
      <c r="BU118" s="38" t="e">
        <f ca="1">+'QTR Raw'!AP68</f>
        <v>#NAME?</v>
      </c>
      <c r="BV118" s="38" t="e">
        <f ca="1">+'QTR Raw'!AQ68</f>
        <v>#NAME?</v>
      </c>
      <c r="BW118" s="38" t="e">
        <f ca="1">+'QTR Raw'!AR68</f>
        <v>#NAME?</v>
      </c>
      <c r="BX118" s="38" t="e">
        <f ca="1">+'QTR Raw'!AS68</f>
        <v>#NAME?</v>
      </c>
      <c r="BY118" s="38" t="e">
        <f ca="1">+'QTR Raw'!AT68</f>
        <v>#NAME?</v>
      </c>
      <c r="BZ118" s="39" t="e">
        <f t="shared" ref="BZ118:CO118" ca="1" si="1227">+BZ115*BZ136</f>
        <v>#NAME?</v>
      </c>
      <c r="CA118" s="39" t="e">
        <f t="shared" ca="1" si="1227"/>
        <v>#NAME?</v>
      </c>
      <c r="CB118" s="39" t="e">
        <f t="shared" ca="1" si="1227"/>
        <v>#NAME?</v>
      </c>
      <c r="CC118" s="39" t="e">
        <f t="shared" ca="1" si="1227"/>
        <v>#NAME?</v>
      </c>
      <c r="CD118" s="39" t="e">
        <f t="shared" ca="1" si="1227"/>
        <v>#NAME?</v>
      </c>
      <c r="CE118" s="39" t="e">
        <f t="shared" ca="1" si="1227"/>
        <v>#NAME?</v>
      </c>
      <c r="CF118" s="39" t="e">
        <f t="shared" ca="1" si="1227"/>
        <v>#NAME?</v>
      </c>
      <c r="CG118" s="39" t="e">
        <f t="shared" ca="1" si="1227"/>
        <v>#NAME?</v>
      </c>
      <c r="CH118" s="39" t="e">
        <f t="shared" ca="1" si="1227"/>
        <v>#NAME?</v>
      </c>
      <c r="CI118" s="39" t="e">
        <f t="shared" ca="1" si="1227"/>
        <v>#NAME?</v>
      </c>
      <c r="CJ118" s="39" t="e">
        <f t="shared" ca="1" si="1227"/>
        <v>#NAME?</v>
      </c>
      <c r="CK118" s="39" t="e">
        <f t="shared" ca="1" si="1227"/>
        <v>#NAME?</v>
      </c>
      <c r="CL118" s="39" t="e">
        <f t="shared" ca="1" si="1227"/>
        <v>#NAME?</v>
      </c>
      <c r="CM118" s="39" t="e">
        <f t="shared" ca="1" si="1227"/>
        <v>#NAME?</v>
      </c>
      <c r="CN118" s="39" t="e">
        <f t="shared" ca="1" si="1227"/>
        <v>#NAME?</v>
      </c>
      <c r="CO118" s="39" t="e">
        <f t="shared" ca="1" si="1227"/>
        <v>#NAME?</v>
      </c>
      <c r="CS118" s="38">
        <v>101480.17</v>
      </c>
    </row>
    <row r="119" spans="1:97" s="38" customFormat="1" x14ac:dyDescent="0.2">
      <c r="A119" s="38" t="s">
        <v>50</v>
      </c>
      <c r="B119" s="38" t="e">
        <f ca="1">+'Annual Raw'!C74</f>
        <v>#NAME?</v>
      </c>
      <c r="C119" s="38" t="e">
        <f ca="1">+'Annual Raw'!D74</f>
        <v>#NAME?</v>
      </c>
      <c r="D119" s="38" t="e">
        <f ca="1">+'Annual Raw'!E74</f>
        <v>#NAME?</v>
      </c>
      <c r="E119" s="38" t="e">
        <f ca="1">+'Annual Raw'!F74</f>
        <v>#NAME?</v>
      </c>
      <c r="F119" s="38" t="e">
        <f ca="1">+'Annual Raw'!G74</f>
        <v>#NAME?</v>
      </c>
      <c r="G119" s="38" t="e">
        <f ca="1">+'Annual Raw'!H74</f>
        <v>#NAME?</v>
      </c>
      <c r="H119" s="38" t="e">
        <f ca="1">+'Annual Raw'!I74</f>
        <v>#NAME?</v>
      </c>
      <c r="I119" s="38" t="e">
        <f ca="1">+'Annual Raw'!J74</f>
        <v>#NAME?</v>
      </c>
      <c r="J119" s="38" t="e">
        <f ca="1">+'Annual Raw'!K74</f>
        <v>#NAME?</v>
      </c>
      <c r="K119" s="38" t="e">
        <f ca="1">+'Annual Raw'!L74</f>
        <v>#NAME?</v>
      </c>
      <c r="L119" s="38" t="e">
        <f ca="1">+'Annual Raw'!M74</f>
        <v>#NAME?</v>
      </c>
      <c r="M119" s="38" t="e">
        <f ca="1">+'Annual Raw'!N74</f>
        <v>#NAME?</v>
      </c>
      <c r="N119" s="38" t="e">
        <f ca="1">+'Annual Raw'!O74</f>
        <v>#NAME?</v>
      </c>
      <c r="O119" s="38" t="e">
        <f ca="1">+'Annual Raw'!P74</f>
        <v>#NAME?</v>
      </c>
      <c r="P119" s="38" t="e">
        <f ca="1">+'Annual Raw'!Q74</f>
        <v>#NAME?</v>
      </c>
      <c r="Q119" s="38" t="e">
        <f ca="1">+'Annual Raw'!R74</f>
        <v>#NAME?</v>
      </c>
      <c r="R119" s="38" t="e">
        <f ca="1">+'Annual Raw'!S74</f>
        <v>#NAME?</v>
      </c>
      <c r="S119" s="38" t="e">
        <f ca="1">+'Annual Raw'!T74</f>
        <v>#NAME?</v>
      </c>
      <c r="T119" s="38" t="e">
        <f ca="1">+'Annual Raw'!U74</f>
        <v>#NAME?</v>
      </c>
      <c r="U119" s="38" t="e">
        <f ca="1">+'Annual Raw'!V74</f>
        <v>#NAME?</v>
      </c>
      <c r="V119" s="38" t="e">
        <f ca="1">+'Annual Raw'!W74</f>
        <v>#NAME?</v>
      </c>
      <c r="W119" s="38" t="e">
        <f ca="1">+'Annual Raw'!X74</f>
        <v>#NAME?</v>
      </c>
      <c r="X119" s="38" t="e">
        <f ca="1">+'Annual Raw'!Y74</f>
        <v>#NAME?</v>
      </c>
      <c r="Y119" s="38" t="e">
        <f ca="1">+'Annual Raw'!Z74</f>
        <v>#NAME?</v>
      </c>
      <c r="Z119" s="38" t="e">
        <f ca="1">+'Annual Raw'!AA74</f>
        <v>#NAME?</v>
      </c>
      <c r="AA119" s="38" t="e">
        <f ca="1">+'Annual Raw'!AB74</f>
        <v>#NAME?</v>
      </c>
      <c r="AB119" s="39" t="e">
        <f ca="1">CC119</f>
        <v>#NAME?</v>
      </c>
      <c r="AC119" s="39" t="e">
        <f ca="1">CG119</f>
        <v>#NAME?</v>
      </c>
      <c r="AD119" s="39" t="e">
        <f ca="1">CK119</f>
        <v>#NAME?</v>
      </c>
      <c r="AE119" s="39" t="e">
        <f ca="1">CO119</f>
        <v>#NAME?</v>
      </c>
      <c r="AG119" s="60"/>
      <c r="AH119" s="38" t="e">
        <f ca="1">+'QTR Raw'!C69</f>
        <v>#NAME?</v>
      </c>
      <c r="AI119" s="38" t="e">
        <f ca="1">+'QTR Raw'!D69</f>
        <v>#NAME?</v>
      </c>
      <c r="AJ119" s="38" t="e">
        <f ca="1">+'QTR Raw'!E69</f>
        <v>#NAME?</v>
      </c>
      <c r="AK119" s="38" t="e">
        <f ca="1">+'QTR Raw'!F69</f>
        <v>#NAME?</v>
      </c>
      <c r="AL119" s="38" t="e">
        <f ca="1">+'QTR Raw'!G69</f>
        <v>#NAME?</v>
      </c>
      <c r="AM119" s="38" t="e">
        <f ca="1">+'QTR Raw'!H69</f>
        <v>#NAME?</v>
      </c>
      <c r="AN119" s="38" t="e">
        <f ca="1">+'QTR Raw'!I69</f>
        <v>#NAME?</v>
      </c>
      <c r="AO119" s="38" t="e">
        <f ca="1">+'QTR Raw'!J69</f>
        <v>#NAME?</v>
      </c>
      <c r="AP119" s="38" t="e">
        <f ca="1">+'QTR Raw'!K69</f>
        <v>#NAME?</v>
      </c>
      <c r="AQ119" s="38" t="e">
        <f ca="1">+'QTR Raw'!L69</f>
        <v>#NAME?</v>
      </c>
      <c r="AR119" s="38" t="e">
        <f ca="1">+'QTR Raw'!M69</f>
        <v>#NAME?</v>
      </c>
      <c r="AS119" s="38" t="e">
        <f ca="1">+'QTR Raw'!N69</f>
        <v>#NAME?</v>
      </c>
      <c r="AT119" s="38" t="e">
        <f ca="1">+'QTR Raw'!O69</f>
        <v>#NAME?</v>
      </c>
      <c r="AU119" s="38" t="e">
        <f ca="1">+'QTR Raw'!P69</f>
        <v>#NAME?</v>
      </c>
      <c r="AV119" s="38" t="e">
        <f ca="1">+'QTR Raw'!Q69</f>
        <v>#NAME?</v>
      </c>
      <c r="AW119" s="38" t="e">
        <f ca="1">+'QTR Raw'!R69</f>
        <v>#NAME?</v>
      </c>
      <c r="AX119" s="38" t="e">
        <f ca="1">+'QTR Raw'!S69</f>
        <v>#NAME?</v>
      </c>
      <c r="AY119" s="38" t="e">
        <f ca="1">+'QTR Raw'!T69</f>
        <v>#NAME?</v>
      </c>
      <c r="AZ119" s="38" t="e">
        <f ca="1">+'QTR Raw'!U69</f>
        <v>#NAME?</v>
      </c>
      <c r="BA119" s="38" t="e">
        <f ca="1">+'QTR Raw'!V69</f>
        <v>#NAME?</v>
      </c>
      <c r="BB119" s="38" t="e">
        <f ca="1">+'QTR Raw'!W69</f>
        <v>#NAME?</v>
      </c>
      <c r="BC119" s="38" t="e">
        <f ca="1">+'QTR Raw'!X69</f>
        <v>#NAME?</v>
      </c>
      <c r="BD119" s="38" t="e">
        <f ca="1">+'QTR Raw'!Y69</f>
        <v>#NAME?</v>
      </c>
      <c r="BE119" s="38" t="e">
        <f ca="1">+'QTR Raw'!Z69</f>
        <v>#NAME?</v>
      </c>
      <c r="BF119" s="38" t="e">
        <f ca="1">+'QTR Raw'!AA69</f>
        <v>#NAME?</v>
      </c>
      <c r="BG119" s="38" t="e">
        <f ca="1">+'QTR Raw'!AB69</f>
        <v>#NAME?</v>
      </c>
      <c r="BH119" s="38" t="e">
        <f ca="1">+'QTR Raw'!AC69</f>
        <v>#NAME?</v>
      </c>
      <c r="BI119" s="38" t="e">
        <f ca="1">+'QTR Raw'!AD69</f>
        <v>#NAME?</v>
      </c>
      <c r="BJ119" s="38" t="e">
        <f ca="1">+'QTR Raw'!AE69</f>
        <v>#NAME?</v>
      </c>
      <c r="BK119" s="38" t="e">
        <f ca="1">+'QTR Raw'!AF69</f>
        <v>#NAME?</v>
      </c>
      <c r="BL119" s="38" t="e">
        <f ca="1">+'QTR Raw'!AG69</f>
        <v>#NAME?</v>
      </c>
      <c r="BM119" s="38" t="e">
        <f ca="1">+'QTR Raw'!AH69</f>
        <v>#NAME?</v>
      </c>
      <c r="BN119" s="38" t="e">
        <f ca="1">+'QTR Raw'!AI69</f>
        <v>#NAME?</v>
      </c>
      <c r="BO119" s="38" t="e">
        <f ca="1">+'QTR Raw'!AJ69</f>
        <v>#NAME?</v>
      </c>
      <c r="BP119" s="38" t="e">
        <f ca="1">+'QTR Raw'!AK69</f>
        <v>#NAME?</v>
      </c>
      <c r="BQ119" s="38" t="e">
        <f ca="1">+'QTR Raw'!AL69</f>
        <v>#NAME?</v>
      </c>
      <c r="BR119" s="38" t="e">
        <f ca="1">+'QTR Raw'!AM69</f>
        <v>#NAME?</v>
      </c>
      <c r="BS119" s="38" t="e">
        <f ca="1">+'QTR Raw'!AN69</f>
        <v>#NAME?</v>
      </c>
      <c r="BT119" s="38" t="e">
        <f ca="1">+'QTR Raw'!AO69</f>
        <v>#NAME?</v>
      </c>
      <c r="BU119" s="38" t="e">
        <f ca="1">+'QTR Raw'!AP69</f>
        <v>#NAME?</v>
      </c>
      <c r="BV119" s="38" t="e">
        <f ca="1">+'QTR Raw'!AQ69</f>
        <v>#NAME?</v>
      </c>
      <c r="BW119" s="38" t="e">
        <f ca="1">+'QTR Raw'!AR69</f>
        <v>#NAME?</v>
      </c>
      <c r="BX119" s="38" t="e">
        <f ca="1">+'QTR Raw'!AS69</f>
        <v>#NAME?</v>
      </c>
      <c r="BY119" s="38" t="e">
        <f ca="1">+'QTR Raw'!AT69</f>
        <v>#NAME?</v>
      </c>
      <c r="BZ119" s="39" t="e">
        <f t="shared" ref="BZ119:CO119" ca="1" si="1228">+BV119+(BV119*BZ135)</f>
        <v>#NAME?</v>
      </c>
      <c r="CA119" s="39" t="e">
        <f t="shared" ca="1" si="1228"/>
        <v>#NAME?</v>
      </c>
      <c r="CB119" s="39" t="e">
        <f t="shared" ca="1" si="1228"/>
        <v>#NAME?</v>
      </c>
      <c r="CC119" s="39" t="e">
        <f t="shared" ca="1" si="1228"/>
        <v>#NAME?</v>
      </c>
      <c r="CD119" s="39" t="e">
        <f t="shared" ca="1" si="1228"/>
        <v>#NAME?</v>
      </c>
      <c r="CE119" s="39" t="e">
        <f t="shared" ca="1" si="1228"/>
        <v>#NAME?</v>
      </c>
      <c r="CF119" s="39" t="e">
        <f t="shared" ca="1" si="1228"/>
        <v>#NAME?</v>
      </c>
      <c r="CG119" s="39" t="e">
        <f t="shared" ca="1" si="1228"/>
        <v>#NAME?</v>
      </c>
      <c r="CH119" s="39" t="e">
        <f t="shared" ca="1" si="1228"/>
        <v>#NAME?</v>
      </c>
      <c r="CI119" s="39" t="e">
        <f t="shared" ca="1" si="1228"/>
        <v>#NAME?</v>
      </c>
      <c r="CJ119" s="39" t="e">
        <f t="shared" ca="1" si="1228"/>
        <v>#NAME?</v>
      </c>
      <c r="CK119" s="39" t="e">
        <f t="shared" ca="1" si="1228"/>
        <v>#NAME?</v>
      </c>
      <c r="CL119" s="39" t="e">
        <f t="shared" ca="1" si="1228"/>
        <v>#NAME?</v>
      </c>
      <c r="CM119" s="39" t="e">
        <f t="shared" ca="1" si="1228"/>
        <v>#NAME?</v>
      </c>
      <c r="CN119" s="39" t="e">
        <f t="shared" ca="1" si="1228"/>
        <v>#NAME?</v>
      </c>
      <c r="CO119" s="39" t="e">
        <f t="shared" ca="1" si="1228"/>
        <v>#NAME?</v>
      </c>
      <c r="CS119" s="38">
        <v>288104.3</v>
      </c>
    </row>
    <row r="120" spans="1:97" s="38" customFormat="1" x14ac:dyDescent="0.2">
      <c r="AB120" s="39"/>
      <c r="AC120" s="39"/>
      <c r="AD120" s="39"/>
      <c r="AE120" s="39"/>
      <c r="AG120" s="60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S120" s="43"/>
    </row>
    <row r="121" spans="1:97" s="43" customFormat="1" x14ac:dyDescent="0.2">
      <c r="A121" s="43" t="s">
        <v>197</v>
      </c>
      <c r="B121" s="43" t="e">
        <f ca="1">+'Annual Raw'!C78+'Annual Raw'!C79+'Annual Raw'!C80</f>
        <v>#NAME?</v>
      </c>
      <c r="C121" s="43" t="e">
        <f ca="1">+'Annual Raw'!D78+'Annual Raw'!D79+'Annual Raw'!D80</f>
        <v>#NAME?</v>
      </c>
      <c r="D121" s="43" t="e">
        <f ca="1">+'Annual Raw'!E78+'Annual Raw'!E79+'Annual Raw'!E80</f>
        <v>#NAME?</v>
      </c>
      <c r="E121" s="43" t="e">
        <f ca="1">+'Annual Raw'!F78+'Annual Raw'!F79+'Annual Raw'!F80</f>
        <v>#NAME?</v>
      </c>
      <c r="F121" s="43" t="e">
        <f ca="1">+'Annual Raw'!G78+'Annual Raw'!G79+'Annual Raw'!G80</f>
        <v>#NAME?</v>
      </c>
      <c r="G121" s="43" t="e">
        <f ca="1">+'Annual Raw'!H78+'Annual Raw'!H79+'Annual Raw'!H80</f>
        <v>#NAME?</v>
      </c>
      <c r="H121" s="43" t="e">
        <f ca="1">+'Annual Raw'!I78+'Annual Raw'!I79+'Annual Raw'!I80</f>
        <v>#NAME?</v>
      </c>
      <c r="I121" s="43" t="e">
        <f ca="1">+'Annual Raw'!J78+'Annual Raw'!J79+'Annual Raw'!J80</f>
        <v>#NAME?</v>
      </c>
      <c r="J121" s="43" t="e">
        <f ca="1">+'Annual Raw'!K78+'Annual Raw'!K79+'Annual Raw'!K80</f>
        <v>#NAME?</v>
      </c>
      <c r="K121" s="43" t="e">
        <f ca="1">+'Annual Raw'!L78+'Annual Raw'!L79+'Annual Raw'!L80</f>
        <v>#NAME?</v>
      </c>
      <c r="L121" s="43" t="e">
        <f ca="1">+'Annual Raw'!M78+'Annual Raw'!M79+'Annual Raw'!M80</f>
        <v>#NAME?</v>
      </c>
      <c r="M121" s="43" t="e">
        <f ca="1">+'Annual Raw'!N78+'Annual Raw'!N79+'Annual Raw'!N80</f>
        <v>#NAME?</v>
      </c>
      <c r="N121" s="43" t="e">
        <f ca="1">+'Annual Raw'!O78+'Annual Raw'!O79+'Annual Raw'!O80</f>
        <v>#NAME?</v>
      </c>
      <c r="O121" s="43" t="e">
        <f ca="1">+'Annual Raw'!P78+'Annual Raw'!P79+'Annual Raw'!P80</f>
        <v>#NAME?</v>
      </c>
      <c r="P121" s="43" t="e">
        <f ca="1">+'Annual Raw'!Q78+'Annual Raw'!Q79+'Annual Raw'!Q80</f>
        <v>#NAME?</v>
      </c>
      <c r="Q121" s="43" t="e">
        <f ca="1">+'Annual Raw'!R78+'Annual Raw'!R79+'Annual Raw'!R80</f>
        <v>#NAME?</v>
      </c>
      <c r="R121" s="43" t="e">
        <f ca="1">+'Annual Raw'!S78+'Annual Raw'!S79+'Annual Raw'!S80</f>
        <v>#NAME?</v>
      </c>
      <c r="S121" s="43" t="e">
        <f ca="1">+'Annual Raw'!T78+'Annual Raw'!T79+'Annual Raw'!T80</f>
        <v>#NAME?</v>
      </c>
      <c r="T121" s="43" t="e">
        <f ca="1">+'Annual Raw'!U78+'Annual Raw'!U79+'Annual Raw'!U80</f>
        <v>#NAME?</v>
      </c>
      <c r="U121" s="43" t="e">
        <f ca="1">+'Annual Raw'!V78+'Annual Raw'!V79+'Annual Raw'!V80</f>
        <v>#NAME?</v>
      </c>
      <c r="V121" s="43" t="e">
        <f ca="1">+'Annual Raw'!W78+'Annual Raw'!W79+'Annual Raw'!W80</f>
        <v>#NAME?</v>
      </c>
      <c r="W121" s="43" t="e">
        <f ca="1">+'Annual Raw'!X78+'Annual Raw'!X79+'Annual Raw'!X80</f>
        <v>#NAME?</v>
      </c>
      <c r="X121" s="43" t="e">
        <f ca="1">+'Annual Raw'!Y78+'Annual Raw'!Y79+'Annual Raw'!Y80</f>
        <v>#NAME?</v>
      </c>
      <c r="Y121" s="43" t="e">
        <f ca="1">+'Annual Raw'!Z78+'Annual Raw'!Z79+'Annual Raw'!Z80</f>
        <v>#NAME?</v>
      </c>
      <c r="Z121" s="43" t="e">
        <f ca="1">+'Annual Raw'!AA78+'Annual Raw'!AA79+'Annual Raw'!AA80</f>
        <v>#NAME?</v>
      </c>
      <c r="AA121" s="43" t="e">
        <f ca="1">+'Annual Raw'!AB78+'Annual Raw'!AB79+'Annual Raw'!AB80</f>
        <v>#NAME?</v>
      </c>
      <c r="AB121" s="44"/>
      <c r="AC121" s="44">
        <f>CG121</f>
        <v>0</v>
      </c>
      <c r="AD121" s="44">
        <f>CK121</f>
        <v>0</v>
      </c>
      <c r="AE121" s="44">
        <f>CO121</f>
        <v>0</v>
      </c>
      <c r="AG121" s="62"/>
      <c r="AH121" s="43" t="e">
        <f ca="1">+'QTR Raw'!C73</f>
        <v>#NAME?</v>
      </c>
      <c r="AI121" s="43" t="e">
        <f ca="1">+'QTR Raw'!D73</f>
        <v>#NAME?</v>
      </c>
      <c r="AJ121" s="43" t="e">
        <f ca="1">+'QTR Raw'!E73</f>
        <v>#NAME?</v>
      </c>
      <c r="AK121" s="43" t="e">
        <f ca="1">+'QTR Raw'!F73</f>
        <v>#NAME?</v>
      </c>
      <c r="AL121" s="43" t="e">
        <f ca="1">+'QTR Raw'!G73</f>
        <v>#NAME?</v>
      </c>
      <c r="AM121" s="43" t="e">
        <f ca="1">+'QTR Raw'!H73</f>
        <v>#NAME?</v>
      </c>
      <c r="AN121" s="43" t="e">
        <f ca="1">+'QTR Raw'!I73</f>
        <v>#NAME?</v>
      </c>
      <c r="AO121" s="43" t="e">
        <f ca="1">+'QTR Raw'!J73</f>
        <v>#NAME?</v>
      </c>
      <c r="AP121" s="43" t="e">
        <f ca="1">+'QTR Raw'!K73</f>
        <v>#NAME?</v>
      </c>
      <c r="AQ121" s="43" t="e">
        <f ca="1">+'QTR Raw'!L73</f>
        <v>#NAME?</v>
      </c>
      <c r="AR121" s="43" t="e">
        <f ca="1">+'QTR Raw'!M73</f>
        <v>#NAME?</v>
      </c>
      <c r="AS121" s="43" t="e">
        <f ca="1">+'QTR Raw'!N73</f>
        <v>#NAME?</v>
      </c>
      <c r="AT121" s="43" t="e">
        <f ca="1">+'QTR Raw'!O73</f>
        <v>#NAME?</v>
      </c>
      <c r="AU121" s="43" t="e">
        <f ca="1">+'QTR Raw'!P73</f>
        <v>#NAME?</v>
      </c>
      <c r="AV121" s="43" t="e">
        <f ca="1">+'QTR Raw'!Q73</f>
        <v>#NAME?</v>
      </c>
      <c r="AW121" s="43" t="e">
        <f ca="1">+'QTR Raw'!R73</f>
        <v>#NAME?</v>
      </c>
      <c r="AX121" s="43" t="e">
        <f ca="1">+'QTR Raw'!S73</f>
        <v>#NAME?</v>
      </c>
      <c r="AY121" s="43" t="e">
        <f ca="1">+'QTR Raw'!T73</f>
        <v>#NAME?</v>
      </c>
      <c r="AZ121" s="43" t="e">
        <f ca="1">+'QTR Raw'!U73</f>
        <v>#NAME?</v>
      </c>
      <c r="BA121" s="43" t="e">
        <f ca="1">+'QTR Raw'!V73</f>
        <v>#NAME?</v>
      </c>
      <c r="BB121" s="43" t="e">
        <f ca="1">+'QTR Raw'!W73</f>
        <v>#NAME?</v>
      </c>
      <c r="BC121" s="43" t="e">
        <f ca="1">+'QTR Raw'!X73</f>
        <v>#NAME?</v>
      </c>
      <c r="BD121" s="43" t="e">
        <f ca="1">+'QTR Raw'!Y73</f>
        <v>#NAME?</v>
      </c>
      <c r="BE121" s="43" t="e">
        <f ca="1">+'QTR Raw'!Z73</f>
        <v>#NAME?</v>
      </c>
      <c r="BF121" s="43" t="e">
        <f ca="1">+'QTR Raw'!AA73</f>
        <v>#NAME?</v>
      </c>
      <c r="BG121" s="43" t="e">
        <f ca="1">+'QTR Raw'!AB73</f>
        <v>#NAME?</v>
      </c>
      <c r="BH121" s="43" t="e">
        <f ca="1">+'QTR Raw'!AC73</f>
        <v>#NAME?</v>
      </c>
      <c r="BI121" s="43" t="e">
        <f ca="1">+'QTR Raw'!AD73</f>
        <v>#NAME?</v>
      </c>
      <c r="BJ121" s="43" t="e">
        <f ca="1">+'QTR Raw'!AE73</f>
        <v>#NAME?</v>
      </c>
      <c r="BK121" s="43" t="e">
        <f ca="1">+'QTR Raw'!AF73</f>
        <v>#NAME?</v>
      </c>
      <c r="BL121" s="43" t="e">
        <f ca="1">+'QTR Raw'!AG73</f>
        <v>#NAME?</v>
      </c>
      <c r="BM121" s="43" t="e">
        <f ca="1">+'QTR Raw'!AH73</f>
        <v>#NAME?</v>
      </c>
      <c r="BN121" s="43" t="e">
        <f ca="1">+'QTR Raw'!AI73</f>
        <v>#NAME?</v>
      </c>
      <c r="BO121" s="43" t="e">
        <f ca="1">+'QTR Raw'!AJ73</f>
        <v>#NAME?</v>
      </c>
      <c r="BP121" s="43" t="e">
        <f ca="1">+'QTR Raw'!AK73</f>
        <v>#NAME?</v>
      </c>
      <c r="BQ121" s="43" t="e">
        <f ca="1">+'QTR Raw'!AL73</f>
        <v>#NAME?</v>
      </c>
      <c r="BR121" s="43" t="e">
        <f ca="1">+'QTR Raw'!AM73</f>
        <v>#NAME?</v>
      </c>
      <c r="BS121" s="43" t="e">
        <f ca="1">+'QTR Raw'!AN73</f>
        <v>#NAME?</v>
      </c>
      <c r="BT121" s="43" t="e">
        <f ca="1">+'QTR Raw'!AO73</f>
        <v>#NAME?</v>
      </c>
      <c r="BU121" s="43" t="e">
        <f ca="1">+'QTR Raw'!AP73</f>
        <v>#NAME?</v>
      </c>
      <c r="BV121" s="43" t="e">
        <f ca="1">+'QTR Raw'!AQ73</f>
        <v>#NAME?</v>
      </c>
      <c r="BW121" s="43" t="e">
        <f ca="1">+'QTR Raw'!AR73</f>
        <v>#NAME?</v>
      </c>
      <c r="BX121" s="43" t="e">
        <f ca="1">+'QTR Raw'!AS73</f>
        <v>#NAME?</v>
      </c>
      <c r="BY121" s="43" t="e">
        <f ca="1">+'QTR Raw'!AT73</f>
        <v>#NAME?</v>
      </c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S121" s="38"/>
    </row>
    <row r="122" spans="1:97" s="38" customFormat="1" x14ac:dyDescent="0.2">
      <c r="A122" s="38" t="s">
        <v>198</v>
      </c>
      <c r="B122" s="38" t="e">
        <f ca="1">+'Annual Raw'!C71+'Annual Raw'!C72+'Annual Raw'!C81</f>
        <v>#NAME?</v>
      </c>
      <c r="C122" s="38" t="e">
        <f ca="1">+'Annual Raw'!D71+'Annual Raw'!D72+'Annual Raw'!D81</f>
        <v>#NAME?</v>
      </c>
      <c r="D122" s="38" t="e">
        <f ca="1">+'Annual Raw'!E71+'Annual Raw'!E72+'Annual Raw'!E81</f>
        <v>#NAME?</v>
      </c>
      <c r="E122" s="38" t="e">
        <f ca="1">+'Annual Raw'!F71+'Annual Raw'!F72+'Annual Raw'!F81</f>
        <v>#NAME?</v>
      </c>
      <c r="F122" s="38" t="e">
        <f ca="1">+'Annual Raw'!G71+'Annual Raw'!G72+'Annual Raw'!G81</f>
        <v>#NAME?</v>
      </c>
      <c r="G122" s="38" t="e">
        <f ca="1">+'Annual Raw'!H71+'Annual Raw'!H72+'Annual Raw'!H81</f>
        <v>#NAME?</v>
      </c>
      <c r="H122" s="38" t="e">
        <f ca="1">+'Annual Raw'!I71+'Annual Raw'!I72+'Annual Raw'!I81</f>
        <v>#NAME?</v>
      </c>
      <c r="I122" s="38" t="e">
        <f ca="1">+'Annual Raw'!J71+'Annual Raw'!J72+'Annual Raw'!J81</f>
        <v>#NAME?</v>
      </c>
      <c r="J122" s="38" t="e">
        <f ca="1">+'Annual Raw'!K71+'Annual Raw'!K72+'Annual Raw'!K81</f>
        <v>#NAME?</v>
      </c>
      <c r="K122" s="38" t="e">
        <f ca="1">+'Annual Raw'!L71+'Annual Raw'!L72+'Annual Raw'!L81</f>
        <v>#NAME?</v>
      </c>
      <c r="L122" s="38" t="e">
        <f ca="1">+'Annual Raw'!M71+'Annual Raw'!M72+'Annual Raw'!M81</f>
        <v>#NAME?</v>
      </c>
      <c r="M122" s="38" t="e">
        <f ca="1">+'Annual Raw'!N71+'Annual Raw'!N72+'Annual Raw'!N81</f>
        <v>#NAME?</v>
      </c>
      <c r="N122" s="38" t="e">
        <f ca="1">+'Annual Raw'!O71+'Annual Raw'!O72+'Annual Raw'!O81</f>
        <v>#NAME?</v>
      </c>
      <c r="O122" s="38" t="e">
        <f ca="1">+'Annual Raw'!P71+'Annual Raw'!P72+'Annual Raw'!P81</f>
        <v>#NAME?</v>
      </c>
      <c r="P122" s="38" t="e">
        <f ca="1">+'Annual Raw'!Q71+'Annual Raw'!Q72+'Annual Raw'!Q81</f>
        <v>#NAME?</v>
      </c>
      <c r="Q122" s="38" t="e">
        <f ca="1">+'Annual Raw'!R71+'Annual Raw'!R72+'Annual Raw'!R81</f>
        <v>#NAME?</v>
      </c>
      <c r="R122" s="38" t="e">
        <f ca="1">+'Annual Raw'!S71+'Annual Raw'!S72+'Annual Raw'!S81</f>
        <v>#NAME?</v>
      </c>
      <c r="S122" s="38" t="e">
        <f ca="1">+'Annual Raw'!T71+'Annual Raw'!T72+'Annual Raw'!T81</f>
        <v>#NAME?</v>
      </c>
      <c r="T122" s="38" t="e">
        <f ca="1">+'Annual Raw'!U71+'Annual Raw'!U72+'Annual Raw'!U81</f>
        <v>#NAME?</v>
      </c>
      <c r="U122" s="38" t="e">
        <f ca="1">+'Annual Raw'!V71+'Annual Raw'!V72+'Annual Raw'!V81</f>
        <v>#NAME?</v>
      </c>
      <c r="V122" s="38" t="e">
        <f ca="1">+'Annual Raw'!W71+'Annual Raw'!W72+'Annual Raw'!W81</f>
        <v>#NAME?</v>
      </c>
      <c r="W122" s="38" t="e">
        <f ca="1">+'Annual Raw'!X71+'Annual Raw'!X72+'Annual Raw'!X81</f>
        <v>#NAME?</v>
      </c>
      <c r="X122" s="38" t="e">
        <f ca="1">+'Annual Raw'!Y71+'Annual Raw'!Y72+'Annual Raw'!Y81</f>
        <v>#NAME?</v>
      </c>
      <c r="Y122" s="38" t="e">
        <f ca="1">+'Annual Raw'!Z71+'Annual Raw'!Z72+'Annual Raw'!Z81</f>
        <v>#NAME?</v>
      </c>
      <c r="Z122" s="38" t="e">
        <f ca="1">+'Annual Raw'!AA71+'Annual Raw'!AA72+'Annual Raw'!AA81</f>
        <v>#NAME?</v>
      </c>
      <c r="AA122" s="38" t="e">
        <f ca="1">+'Annual Raw'!AB71+'Annual Raw'!AB72+'Annual Raw'!AB81</f>
        <v>#NAME?</v>
      </c>
      <c r="AB122" s="39"/>
      <c r="AC122" s="39">
        <f>CG122</f>
        <v>0</v>
      </c>
      <c r="AD122" s="39">
        <f>CK122</f>
        <v>0</v>
      </c>
      <c r="AE122" s="39">
        <f>CO122</f>
        <v>0</v>
      </c>
      <c r="AG122" s="60"/>
      <c r="AH122" s="38" t="e">
        <f ca="1">+'QTR Raw'!C66+'QTR Raw'!C67+'QTR Raw'!C77+'QTR Raw'!C78</f>
        <v>#NAME?</v>
      </c>
      <c r="AI122" s="38" t="e">
        <f ca="1">+'QTR Raw'!D66+'QTR Raw'!D67+'QTR Raw'!D77+'QTR Raw'!D78</f>
        <v>#NAME?</v>
      </c>
      <c r="AJ122" s="38" t="e">
        <f ca="1">+'QTR Raw'!E66+'QTR Raw'!E67+'QTR Raw'!E77+'QTR Raw'!E78</f>
        <v>#NAME?</v>
      </c>
      <c r="AK122" s="38" t="e">
        <f ca="1">+'QTR Raw'!F66+'QTR Raw'!F67+'QTR Raw'!F77+'QTR Raw'!F78</f>
        <v>#NAME?</v>
      </c>
      <c r="AL122" s="38" t="e">
        <f ca="1">+'QTR Raw'!G66+'QTR Raw'!G67+'QTR Raw'!G77+'QTR Raw'!G78</f>
        <v>#NAME?</v>
      </c>
      <c r="AM122" s="38" t="e">
        <f ca="1">+'QTR Raw'!H66+'QTR Raw'!H67+'QTR Raw'!H77+'QTR Raw'!H78</f>
        <v>#NAME?</v>
      </c>
      <c r="AN122" s="38" t="e">
        <f ca="1">+'QTR Raw'!I66+'QTR Raw'!I67+'QTR Raw'!I77+'QTR Raw'!I78</f>
        <v>#NAME?</v>
      </c>
      <c r="AO122" s="38" t="e">
        <f ca="1">+'QTR Raw'!J66+'QTR Raw'!J67+'QTR Raw'!J77+'QTR Raw'!J78</f>
        <v>#NAME?</v>
      </c>
      <c r="AP122" s="38" t="e">
        <f ca="1">+'QTR Raw'!K66+'QTR Raw'!K67+'QTR Raw'!K77+'QTR Raw'!K78</f>
        <v>#NAME?</v>
      </c>
      <c r="AQ122" s="38" t="e">
        <f ca="1">+'QTR Raw'!L66+'QTR Raw'!L67+'QTR Raw'!L77+'QTR Raw'!L78</f>
        <v>#NAME?</v>
      </c>
      <c r="AR122" s="38" t="e">
        <f ca="1">+'QTR Raw'!M66+'QTR Raw'!M67+'QTR Raw'!M77+'QTR Raw'!M78</f>
        <v>#NAME?</v>
      </c>
      <c r="AS122" s="38" t="e">
        <f ca="1">+'QTR Raw'!N66+'QTR Raw'!N67+'QTR Raw'!N77+'QTR Raw'!N78</f>
        <v>#NAME?</v>
      </c>
      <c r="AT122" s="38" t="e">
        <f ca="1">+'QTR Raw'!O66+'QTR Raw'!O67+'QTR Raw'!O77+'QTR Raw'!O78</f>
        <v>#NAME?</v>
      </c>
      <c r="AU122" s="38" t="e">
        <f ca="1">+'QTR Raw'!P66+'QTR Raw'!P67+'QTR Raw'!P77+'QTR Raw'!P78</f>
        <v>#NAME?</v>
      </c>
      <c r="AV122" s="38" t="e">
        <f ca="1">+'QTR Raw'!Q66+'QTR Raw'!Q67+'QTR Raw'!Q77+'QTR Raw'!Q78</f>
        <v>#NAME?</v>
      </c>
      <c r="AW122" s="38" t="e">
        <f ca="1">+'QTR Raw'!R66+'QTR Raw'!R67+'QTR Raw'!R77+'QTR Raw'!R78</f>
        <v>#NAME?</v>
      </c>
      <c r="AX122" s="38" t="e">
        <f ca="1">+'QTR Raw'!S66+'QTR Raw'!S67+'QTR Raw'!S77+'QTR Raw'!S78</f>
        <v>#NAME?</v>
      </c>
      <c r="AY122" s="38" t="e">
        <f ca="1">+'QTR Raw'!T66+'QTR Raw'!T67+'QTR Raw'!T77+'QTR Raw'!T78</f>
        <v>#NAME?</v>
      </c>
      <c r="AZ122" s="38" t="e">
        <f ca="1">+'QTR Raw'!U66+'QTR Raw'!U67+'QTR Raw'!U77+'QTR Raw'!U78</f>
        <v>#NAME?</v>
      </c>
      <c r="BA122" s="38" t="e">
        <f ca="1">+'QTR Raw'!V66+'QTR Raw'!V67+'QTR Raw'!V77+'QTR Raw'!V78</f>
        <v>#NAME?</v>
      </c>
      <c r="BB122" s="38" t="e">
        <f ca="1">+'QTR Raw'!W66+'QTR Raw'!W67+'QTR Raw'!W77+'QTR Raw'!W78</f>
        <v>#NAME?</v>
      </c>
      <c r="BC122" s="38" t="e">
        <f ca="1">+'QTR Raw'!X66+'QTR Raw'!X67+'QTR Raw'!X77+'QTR Raw'!X78</f>
        <v>#NAME?</v>
      </c>
      <c r="BD122" s="38" t="e">
        <f ca="1">+'QTR Raw'!Y66+'QTR Raw'!Y67+'QTR Raw'!Y77+'QTR Raw'!Y78</f>
        <v>#NAME?</v>
      </c>
      <c r="BE122" s="38" t="e">
        <f ca="1">+'QTR Raw'!Z66+'QTR Raw'!Z67+'QTR Raw'!Z77+'QTR Raw'!Z78</f>
        <v>#NAME?</v>
      </c>
      <c r="BF122" s="38" t="e">
        <f ca="1">+'QTR Raw'!AA66+'QTR Raw'!AA67+'QTR Raw'!AA77+'QTR Raw'!AA78</f>
        <v>#NAME?</v>
      </c>
      <c r="BG122" s="38" t="e">
        <f ca="1">+'QTR Raw'!AB66+'QTR Raw'!AB67+'QTR Raw'!AB77+'QTR Raw'!AB78</f>
        <v>#NAME?</v>
      </c>
      <c r="BH122" s="38" t="e">
        <f ca="1">+'QTR Raw'!AC66+'QTR Raw'!AC67+'QTR Raw'!AC77+'QTR Raw'!AC78</f>
        <v>#NAME?</v>
      </c>
      <c r="BI122" s="38" t="e">
        <f ca="1">+'QTR Raw'!AD66+'QTR Raw'!AD67+'QTR Raw'!AD77+'QTR Raw'!AD78</f>
        <v>#NAME?</v>
      </c>
      <c r="BJ122" s="38" t="e">
        <f ca="1">+'QTR Raw'!AE66+'QTR Raw'!AE67+'QTR Raw'!AE77+'QTR Raw'!AE78</f>
        <v>#NAME?</v>
      </c>
      <c r="BK122" s="38" t="e">
        <f ca="1">+'QTR Raw'!AF66+'QTR Raw'!AF67+'QTR Raw'!AF77+'QTR Raw'!AF78</f>
        <v>#NAME?</v>
      </c>
      <c r="BL122" s="38" t="e">
        <f ca="1">+'QTR Raw'!AG66+'QTR Raw'!AG67+'QTR Raw'!AG77+'QTR Raw'!AG78</f>
        <v>#NAME?</v>
      </c>
      <c r="BM122" s="38" t="e">
        <f ca="1">+'QTR Raw'!AH66+'QTR Raw'!AH67+'QTR Raw'!AH77+'QTR Raw'!AH78</f>
        <v>#NAME?</v>
      </c>
      <c r="BN122" s="38" t="e">
        <f ca="1">+'QTR Raw'!AI66+'QTR Raw'!AI67+'QTR Raw'!AI77+'QTR Raw'!AI78</f>
        <v>#NAME?</v>
      </c>
      <c r="BO122" s="38" t="e">
        <f ca="1">+'QTR Raw'!AJ66+'QTR Raw'!AJ67+'QTR Raw'!AJ77+'QTR Raw'!AJ78</f>
        <v>#NAME?</v>
      </c>
      <c r="BP122" s="38" t="e">
        <f ca="1">+'QTR Raw'!AK66+'QTR Raw'!AK67+'QTR Raw'!AK77+'QTR Raw'!AK78</f>
        <v>#NAME?</v>
      </c>
      <c r="BQ122" s="38" t="e">
        <f ca="1">+'QTR Raw'!AL66+'QTR Raw'!AL67+'QTR Raw'!AL77+'QTR Raw'!AL78</f>
        <v>#NAME?</v>
      </c>
      <c r="BR122" s="38" t="e">
        <f ca="1">+'QTR Raw'!AM66+'QTR Raw'!AM67+'QTR Raw'!AM77+'QTR Raw'!AM78</f>
        <v>#NAME?</v>
      </c>
      <c r="BS122" s="38" t="e">
        <f ca="1">+'QTR Raw'!AN66+'QTR Raw'!AN67+'QTR Raw'!AN77+'QTR Raw'!AN78</f>
        <v>#NAME?</v>
      </c>
      <c r="BT122" s="38" t="e">
        <f ca="1">+'QTR Raw'!AO66+'QTR Raw'!AO67+'QTR Raw'!AO77+'QTR Raw'!AO78</f>
        <v>#NAME?</v>
      </c>
      <c r="BU122" s="38" t="e">
        <f ca="1">+'QTR Raw'!AP66+'QTR Raw'!AP67+'QTR Raw'!AP77+'QTR Raw'!AP78</f>
        <v>#NAME?</v>
      </c>
      <c r="BV122" s="38" t="e">
        <f ca="1">+'QTR Raw'!AQ66+'QTR Raw'!AQ67+'QTR Raw'!AQ77+'QTR Raw'!AQ78</f>
        <v>#NAME?</v>
      </c>
      <c r="BW122" s="38" t="e">
        <f ca="1">+'QTR Raw'!AR66+'QTR Raw'!AR67+'QTR Raw'!AR77+'QTR Raw'!AR78</f>
        <v>#NAME?</v>
      </c>
      <c r="BX122" s="38" t="e">
        <f ca="1">+'QTR Raw'!AS66+'QTR Raw'!AS67+'QTR Raw'!AS77+'QTR Raw'!AS78</f>
        <v>#NAME?</v>
      </c>
      <c r="BY122" s="38" t="e">
        <f ca="1">+'QTR Raw'!AT66+'QTR Raw'!AT67+'QTR Raw'!AT77+'QTR Raw'!AT78</f>
        <v>#NAME?</v>
      </c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7" s="38" customFormat="1" x14ac:dyDescent="0.2">
      <c r="A123" s="38" t="s">
        <v>199</v>
      </c>
      <c r="B123" s="38" t="e">
        <f ca="1">+'Annual Raw'!C69</f>
        <v>#NAME?</v>
      </c>
      <c r="C123" s="38" t="e">
        <f ca="1">+'Annual Raw'!D69</f>
        <v>#NAME?</v>
      </c>
      <c r="D123" s="38" t="e">
        <f ca="1">+'Annual Raw'!E69</f>
        <v>#NAME?</v>
      </c>
      <c r="E123" s="38" t="e">
        <f ca="1">+'Annual Raw'!F69</f>
        <v>#NAME?</v>
      </c>
      <c r="F123" s="38" t="e">
        <f ca="1">+'Annual Raw'!G69</f>
        <v>#NAME?</v>
      </c>
      <c r="G123" s="38" t="e">
        <f ca="1">+'Annual Raw'!H69</f>
        <v>#NAME?</v>
      </c>
      <c r="H123" s="38" t="e">
        <f ca="1">+'Annual Raw'!I69</f>
        <v>#NAME?</v>
      </c>
      <c r="I123" s="38" t="e">
        <f ca="1">+'Annual Raw'!J69</f>
        <v>#NAME?</v>
      </c>
      <c r="J123" s="38" t="e">
        <f ca="1">+'Annual Raw'!K69</f>
        <v>#NAME?</v>
      </c>
      <c r="K123" s="38" t="e">
        <f ca="1">+'Annual Raw'!L69</f>
        <v>#NAME?</v>
      </c>
      <c r="L123" s="38" t="e">
        <f ca="1">+'Annual Raw'!M69</f>
        <v>#NAME?</v>
      </c>
      <c r="M123" s="38" t="e">
        <f ca="1">+'Annual Raw'!N69</f>
        <v>#NAME?</v>
      </c>
      <c r="N123" s="38" t="e">
        <f ca="1">+'Annual Raw'!O69</f>
        <v>#NAME?</v>
      </c>
      <c r="O123" s="38" t="e">
        <f ca="1">+'Annual Raw'!P69</f>
        <v>#NAME?</v>
      </c>
      <c r="P123" s="38" t="e">
        <f ca="1">+'Annual Raw'!Q69</f>
        <v>#NAME?</v>
      </c>
      <c r="Q123" s="38" t="e">
        <f ca="1">+'Annual Raw'!R69</f>
        <v>#NAME?</v>
      </c>
      <c r="R123" s="38" t="e">
        <f ca="1">+'Annual Raw'!S69</f>
        <v>#NAME?</v>
      </c>
      <c r="S123" s="38" t="e">
        <f ca="1">+'Annual Raw'!T69</f>
        <v>#NAME?</v>
      </c>
      <c r="T123" s="38" t="e">
        <f ca="1">+'Annual Raw'!U69</f>
        <v>#NAME?</v>
      </c>
      <c r="U123" s="38" t="e">
        <f ca="1">+'Annual Raw'!V69</f>
        <v>#NAME?</v>
      </c>
      <c r="V123" s="38" t="e">
        <f ca="1">+'Annual Raw'!W69</f>
        <v>#NAME?</v>
      </c>
      <c r="W123" s="38" t="e">
        <f ca="1">+'Annual Raw'!X69</f>
        <v>#NAME?</v>
      </c>
      <c r="X123" s="38" t="e">
        <f ca="1">+'Annual Raw'!Y69</f>
        <v>#NAME?</v>
      </c>
      <c r="Y123" s="38" t="e">
        <f ca="1">+'Annual Raw'!Z69</f>
        <v>#NAME?</v>
      </c>
      <c r="Z123" s="38" t="e">
        <f ca="1">+'Annual Raw'!AA69</f>
        <v>#NAME?</v>
      </c>
      <c r="AA123" s="38" t="e">
        <f ca="1">+'Annual Raw'!AB69</f>
        <v>#NAME?</v>
      </c>
      <c r="AB123" s="39"/>
      <c r="AC123" s="39">
        <f>CG123</f>
        <v>0</v>
      </c>
      <c r="AD123" s="39">
        <f>CK123</f>
        <v>0</v>
      </c>
      <c r="AE123" s="39">
        <f>CO123</f>
        <v>0</v>
      </c>
      <c r="AG123" s="60"/>
      <c r="AH123" s="38" t="e">
        <f ca="1">+'QTR Raw'!C64</f>
        <v>#NAME?</v>
      </c>
      <c r="AI123" s="38" t="e">
        <f ca="1">+'QTR Raw'!D64</f>
        <v>#NAME?</v>
      </c>
      <c r="AJ123" s="38" t="e">
        <f ca="1">+'QTR Raw'!E64</f>
        <v>#NAME?</v>
      </c>
      <c r="AK123" s="38" t="e">
        <f ca="1">+'QTR Raw'!F64</f>
        <v>#NAME?</v>
      </c>
      <c r="AL123" s="38" t="e">
        <f ca="1">+'QTR Raw'!G64</f>
        <v>#NAME?</v>
      </c>
      <c r="AM123" s="38" t="e">
        <f ca="1">+'QTR Raw'!H64</f>
        <v>#NAME?</v>
      </c>
      <c r="AN123" s="38" t="e">
        <f ca="1">+'QTR Raw'!I64</f>
        <v>#NAME?</v>
      </c>
      <c r="AO123" s="38" t="e">
        <f ca="1">+'QTR Raw'!J64</f>
        <v>#NAME?</v>
      </c>
      <c r="AP123" s="38" t="e">
        <f ca="1">+'QTR Raw'!K64</f>
        <v>#NAME?</v>
      </c>
      <c r="AQ123" s="38" t="e">
        <f ca="1">+'QTR Raw'!L64</f>
        <v>#NAME?</v>
      </c>
      <c r="AR123" s="38" t="e">
        <f ca="1">+'QTR Raw'!M64</f>
        <v>#NAME?</v>
      </c>
      <c r="AS123" s="38" t="e">
        <f ca="1">+'QTR Raw'!N64</f>
        <v>#NAME?</v>
      </c>
      <c r="AT123" s="38" t="e">
        <f ca="1">+'QTR Raw'!O64</f>
        <v>#NAME?</v>
      </c>
      <c r="AU123" s="38" t="e">
        <f ca="1">+'QTR Raw'!P64</f>
        <v>#NAME?</v>
      </c>
      <c r="AV123" s="38" t="e">
        <f ca="1">+'QTR Raw'!Q64</f>
        <v>#NAME?</v>
      </c>
      <c r="AW123" s="38" t="e">
        <f ca="1">+'QTR Raw'!R64</f>
        <v>#NAME?</v>
      </c>
      <c r="AX123" s="38" t="e">
        <f ca="1">+'QTR Raw'!S64</f>
        <v>#NAME?</v>
      </c>
      <c r="AY123" s="38" t="e">
        <f ca="1">+'QTR Raw'!T64</f>
        <v>#NAME?</v>
      </c>
      <c r="AZ123" s="38" t="e">
        <f ca="1">+'QTR Raw'!U64</f>
        <v>#NAME?</v>
      </c>
      <c r="BA123" s="38" t="e">
        <f ca="1">+'QTR Raw'!V64</f>
        <v>#NAME?</v>
      </c>
      <c r="BB123" s="38" t="e">
        <f ca="1">+'QTR Raw'!W64</f>
        <v>#NAME?</v>
      </c>
      <c r="BC123" s="38" t="e">
        <f ca="1">+'QTR Raw'!X64</f>
        <v>#NAME?</v>
      </c>
      <c r="BD123" s="38" t="e">
        <f ca="1">+'QTR Raw'!Y64</f>
        <v>#NAME?</v>
      </c>
      <c r="BE123" s="38" t="e">
        <f ca="1">+'QTR Raw'!Z64</f>
        <v>#NAME?</v>
      </c>
      <c r="BF123" s="38" t="e">
        <f ca="1">+'QTR Raw'!AA64</f>
        <v>#NAME?</v>
      </c>
      <c r="BG123" s="38" t="e">
        <f ca="1">+'QTR Raw'!AB64</f>
        <v>#NAME?</v>
      </c>
      <c r="BH123" s="38" t="e">
        <f ca="1">+'QTR Raw'!AC64</f>
        <v>#NAME?</v>
      </c>
      <c r="BI123" s="38" t="e">
        <f ca="1">+'QTR Raw'!AD64</f>
        <v>#NAME?</v>
      </c>
      <c r="BJ123" s="38" t="e">
        <f ca="1">+'QTR Raw'!AE64</f>
        <v>#NAME?</v>
      </c>
      <c r="BK123" s="38" t="e">
        <f ca="1">+'QTR Raw'!AF64</f>
        <v>#NAME?</v>
      </c>
      <c r="BL123" s="38" t="e">
        <f ca="1">+'QTR Raw'!AG64</f>
        <v>#NAME?</v>
      </c>
      <c r="BM123" s="38" t="e">
        <f ca="1">+'QTR Raw'!AH64</f>
        <v>#NAME?</v>
      </c>
      <c r="BN123" s="38" t="e">
        <f ca="1">+'QTR Raw'!AI64</f>
        <v>#NAME?</v>
      </c>
      <c r="BO123" s="38" t="e">
        <f ca="1">+'QTR Raw'!AJ64</f>
        <v>#NAME?</v>
      </c>
      <c r="BP123" s="38" t="e">
        <f ca="1">+'QTR Raw'!AK64</f>
        <v>#NAME?</v>
      </c>
      <c r="BQ123" s="38" t="e">
        <f ca="1">+'QTR Raw'!AL64</f>
        <v>#NAME?</v>
      </c>
      <c r="BR123" s="38" t="e">
        <f ca="1">+'QTR Raw'!AM64</f>
        <v>#NAME?</v>
      </c>
      <c r="BS123" s="38" t="e">
        <f ca="1">+'QTR Raw'!AN64</f>
        <v>#NAME?</v>
      </c>
      <c r="BT123" s="38" t="e">
        <f ca="1">+'QTR Raw'!AO64</f>
        <v>#NAME?</v>
      </c>
      <c r="BU123" s="38" t="e">
        <f ca="1">+'QTR Raw'!AP64</f>
        <v>#NAME?</v>
      </c>
      <c r="BV123" s="38" t="e">
        <f ca="1">+'QTR Raw'!AQ64</f>
        <v>#NAME?</v>
      </c>
      <c r="BW123" s="38" t="e">
        <f ca="1">+'QTR Raw'!AR64</f>
        <v>#NAME?</v>
      </c>
      <c r="BX123" s="38" t="e">
        <f ca="1">+'QTR Raw'!AS64</f>
        <v>#NAME?</v>
      </c>
      <c r="BY123" s="38" t="e">
        <f ca="1">+'QTR Raw'!AT64</f>
        <v>#NAME?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7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7" s="38" customFormat="1" x14ac:dyDescent="0.2">
      <c r="A125" s="38" t="s">
        <v>22</v>
      </c>
      <c r="B125" s="38" t="e">
        <f t="shared" ref="B125:Z125" ca="1" si="1229">+B122-B123</f>
        <v>#NAME?</v>
      </c>
      <c r="C125" s="38" t="e">
        <f t="shared" ca="1" si="1229"/>
        <v>#NAME?</v>
      </c>
      <c r="D125" s="38" t="e">
        <f t="shared" ca="1" si="1229"/>
        <v>#NAME?</v>
      </c>
      <c r="E125" s="38" t="e">
        <f t="shared" ca="1" si="1229"/>
        <v>#NAME?</v>
      </c>
      <c r="F125" s="38" t="e">
        <f t="shared" ca="1" si="1229"/>
        <v>#NAME?</v>
      </c>
      <c r="G125" s="38" t="e">
        <f t="shared" ca="1" si="1229"/>
        <v>#NAME?</v>
      </c>
      <c r="H125" s="38" t="e">
        <f t="shared" ca="1" si="1229"/>
        <v>#NAME?</v>
      </c>
      <c r="I125" s="38" t="e">
        <f t="shared" ca="1" si="1229"/>
        <v>#NAME?</v>
      </c>
      <c r="J125" s="38" t="e">
        <f t="shared" ca="1" si="1229"/>
        <v>#NAME?</v>
      </c>
      <c r="K125" s="38" t="e">
        <f t="shared" ca="1" si="1229"/>
        <v>#NAME?</v>
      </c>
      <c r="L125" s="38" t="e">
        <f t="shared" ca="1" si="1229"/>
        <v>#NAME?</v>
      </c>
      <c r="M125" s="38" t="e">
        <f t="shared" ca="1" si="1229"/>
        <v>#NAME?</v>
      </c>
      <c r="N125" s="38" t="e">
        <f t="shared" ca="1" si="1229"/>
        <v>#NAME?</v>
      </c>
      <c r="O125" s="38" t="e">
        <f t="shared" ca="1" si="1229"/>
        <v>#NAME?</v>
      </c>
      <c r="P125" s="38" t="e">
        <f t="shared" ca="1" si="1229"/>
        <v>#NAME?</v>
      </c>
      <c r="Q125" s="38" t="e">
        <f t="shared" ca="1" si="1229"/>
        <v>#NAME?</v>
      </c>
      <c r="R125" s="38" t="e">
        <f t="shared" ca="1" si="1229"/>
        <v>#NAME?</v>
      </c>
      <c r="S125" s="38" t="e">
        <f t="shared" ca="1" si="1229"/>
        <v>#NAME?</v>
      </c>
      <c r="T125" s="38" t="e">
        <f t="shared" ca="1" si="1229"/>
        <v>#NAME?</v>
      </c>
      <c r="U125" s="38" t="e">
        <f t="shared" ca="1" si="1229"/>
        <v>#NAME?</v>
      </c>
      <c r="V125" s="38" t="e">
        <f t="shared" ca="1" si="1229"/>
        <v>#NAME?</v>
      </c>
      <c r="W125" s="38" t="e">
        <f t="shared" ca="1" si="1229"/>
        <v>#NAME?</v>
      </c>
      <c r="X125" s="38" t="e">
        <f t="shared" ca="1" si="1229"/>
        <v>#NAME?</v>
      </c>
      <c r="Y125" s="38" t="e">
        <f t="shared" ca="1" si="1229"/>
        <v>#NAME?</v>
      </c>
      <c r="Z125" s="38" t="e">
        <f t="shared" ca="1" si="1229"/>
        <v>#NAME?</v>
      </c>
      <c r="AA125" s="38" t="e">
        <f t="shared" ref="AA125" ca="1" si="1230">+AA122-AA123</f>
        <v>#NAME?</v>
      </c>
      <c r="AB125" s="39" t="e">
        <f ca="1">CC125</f>
        <v>#NAME?</v>
      </c>
      <c r="AC125" s="39" t="e">
        <f ca="1">CG125</f>
        <v>#NAME?</v>
      </c>
      <c r="AD125" s="39" t="e">
        <f ca="1">CK125</f>
        <v>#NAME?</v>
      </c>
      <c r="AE125" s="39" t="e">
        <f ca="1">CO125</f>
        <v>#NAME?</v>
      </c>
      <c r="AG125" s="60"/>
      <c r="AH125" s="38" t="e">
        <f ca="1">+AH122-AH123</f>
        <v>#NAME?</v>
      </c>
      <c r="AI125" s="38" t="e">
        <f t="shared" ref="AI125:BC125" ca="1" si="1231">+AI122-AI123</f>
        <v>#NAME?</v>
      </c>
      <c r="AJ125" s="38" t="e">
        <f t="shared" ca="1" si="1231"/>
        <v>#NAME?</v>
      </c>
      <c r="AK125" s="38" t="e">
        <f t="shared" ca="1" si="1231"/>
        <v>#NAME?</v>
      </c>
      <c r="AL125" s="38" t="e">
        <f t="shared" ca="1" si="1231"/>
        <v>#NAME?</v>
      </c>
      <c r="AM125" s="38" t="e">
        <f t="shared" ca="1" si="1231"/>
        <v>#NAME?</v>
      </c>
      <c r="AN125" s="38" t="e">
        <f t="shared" ca="1" si="1231"/>
        <v>#NAME?</v>
      </c>
      <c r="AO125" s="38" t="e">
        <f t="shared" ca="1" si="1231"/>
        <v>#NAME?</v>
      </c>
      <c r="AP125" s="38" t="e">
        <f t="shared" ca="1" si="1231"/>
        <v>#NAME?</v>
      </c>
      <c r="AQ125" s="38" t="e">
        <f t="shared" ca="1" si="1231"/>
        <v>#NAME?</v>
      </c>
      <c r="AR125" s="38" t="e">
        <f t="shared" ca="1" si="1231"/>
        <v>#NAME?</v>
      </c>
      <c r="AS125" s="38" t="e">
        <f t="shared" ca="1" si="1231"/>
        <v>#NAME?</v>
      </c>
      <c r="AT125" s="38" t="e">
        <f t="shared" ref="AT125:BB125" ca="1" si="1232">+AT122-AT123</f>
        <v>#NAME?</v>
      </c>
      <c r="AU125" s="38" t="e">
        <f t="shared" ca="1" si="1232"/>
        <v>#NAME?</v>
      </c>
      <c r="AV125" s="38" t="e">
        <f t="shared" ca="1" si="1232"/>
        <v>#NAME?</v>
      </c>
      <c r="AW125" s="38" t="e">
        <f t="shared" ca="1" si="1232"/>
        <v>#NAME?</v>
      </c>
      <c r="AX125" s="38" t="e">
        <f t="shared" ca="1" si="1232"/>
        <v>#NAME?</v>
      </c>
      <c r="AY125" s="38" t="e">
        <f t="shared" ca="1" si="1232"/>
        <v>#NAME?</v>
      </c>
      <c r="AZ125" s="38" t="e">
        <f t="shared" ca="1" si="1232"/>
        <v>#NAME?</v>
      </c>
      <c r="BA125" s="38" t="e">
        <f t="shared" ca="1" si="1232"/>
        <v>#NAME?</v>
      </c>
      <c r="BB125" s="38" t="e">
        <f t="shared" ca="1" si="1232"/>
        <v>#NAME?</v>
      </c>
      <c r="BC125" s="38" t="e">
        <f t="shared" ca="1" si="1231"/>
        <v>#NAME?</v>
      </c>
      <c r="BD125" s="38" t="e">
        <f t="shared" ref="BD125:BV125" ca="1" si="1233">+BD122-BD123</f>
        <v>#NAME?</v>
      </c>
      <c r="BE125" s="38" t="e">
        <f t="shared" ca="1" si="1233"/>
        <v>#NAME?</v>
      </c>
      <c r="BF125" s="38" t="e">
        <f t="shared" ca="1" si="1233"/>
        <v>#NAME?</v>
      </c>
      <c r="BG125" s="38" t="e">
        <f t="shared" ca="1" si="1233"/>
        <v>#NAME?</v>
      </c>
      <c r="BH125" s="38" t="e">
        <f t="shared" ca="1" si="1233"/>
        <v>#NAME?</v>
      </c>
      <c r="BI125" s="38" t="e">
        <f t="shared" ca="1" si="1233"/>
        <v>#NAME?</v>
      </c>
      <c r="BJ125" s="38" t="e">
        <f t="shared" ca="1" si="1233"/>
        <v>#NAME?</v>
      </c>
      <c r="BK125" s="38" t="e">
        <f t="shared" ca="1" si="1233"/>
        <v>#NAME?</v>
      </c>
      <c r="BL125" s="38" t="e">
        <f t="shared" ca="1" si="1233"/>
        <v>#NAME?</v>
      </c>
      <c r="BM125" s="38" t="e">
        <f t="shared" ca="1" si="1233"/>
        <v>#NAME?</v>
      </c>
      <c r="BN125" s="38" t="e">
        <f t="shared" ca="1" si="1233"/>
        <v>#NAME?</v>
      </c>
      <c r="BO125" s="38" t="e">
        <f t="shared" ca="1" si="1233"/>
        <v>#NAME?</v>
      </c>
      <c r="BP125" s="38" t="e">
        <f t="shared" ca="1" si="1233"/>
        <v>#NAME?</v>
      </c>
      <c r="BQ125" s="38" t="e">
        <f t="shared" ca="1" si="1233"/>
        <v>#NAME?</v>
      </c>
      <c r="BR125" s="38" t="e">
        <f t="shared" ca="1" si="1233"/>
        <v>#NAME?</v>
      </c>
      <c r="BS125" s="38" t="e">
        <f t="shared" ca="1" si="1233"/>
        <v>#NAME?</v>
      </c>
      <c r="BT125" s="38" t="e">
        <f t="shared" ca="1" si="1233"/>
        <v>#NAME?</v>
      </c>
      <c r="BU125" s="38" t="e">
        <f t="shared" ca="1" si="1233"/>
        <v>#NAME?</v>
      </c>
      <c r="BV125" s="38" t="e">
        <f t="shared" ca="1" si="1233"/>
        <v>#NAME?</v>
      </c>
      <c r="BW125" s="38" t="e">
        <f t="shared" ref="BW125:BX125" ca="1" si="1234">+BW122-BW123</f>
        <v>#NAME?</v>
      </c>
      <c r="BX125" s="38" t="e">
        <f t="shared" ca="1" si="1234"/>
        <v>#NAME?</v>
      </c>
      <c r="BY125" s="38" t="e">
        <f t="shared" ref="BY125" ca="1" si="1235">+BY122-BY123</f>
        <v>#NAME?</v>
      </c>
      <c r="BZ125" s="39" t="e">
        <f t="shared" ref="BZ125:CO125" ca="1" si="1236">+BZ116-BZ118-BZ119</f>
        <v>#NAME?</v>
      </c>
      <c r="CA125" s="39" t="e">
        <f t="shared" ca="1" si="1236"/>
        <v>#NAME?</v>
      </c>
      <c r="CB125" s="39" t="e">
        <f t="shared" ca="1" si="1236"/>
        <v>#NAME?</v>
      </c>
      <c r="CC125" s="39" t="e">
        <f t="shared" ca="1" si="1236"/>
        <v>#NAME?</v>
      </c>
      <c r="CD125" s="39" t="e">
        <f t="shared" ca="1" si="1236"/>
        <v>#NAME?</v>
      </c>
      <c r="CE125" s="39" t="e">
        <f t="shared" ca="1" si="1236"/>
        <v>#NAME?</v>
      </c>
      <c r="CF125" s="39" t="e">
        <f t="shared" ca="1" si="1236"/>
        <v>#NAME?</v>
      </c>
      <c r="CG125" s="39" t="e">
        <f t="shared" ca="1" si="1236"/>
        <v>#NAME?</v>
      </c>
      <c r="CH125" s="39" t="e">
        <f t="shared" ca="1" si="1236"/>
        <v>#NAME?</v>
      </c>
      <c r="CI125" s="39" t="e">
        <f t="shared" ca="1" si="1236"/>
        <v>#NAME?</v>
      </c>
      <c r="CJ125" s="39" t="e">
        <f t="shared" ca="1" si="1236"/>
        <v>#NAME?</v>
      </c>
      <c r="CK125" s="39" t="e">
        <f t="shared" ca="1" si="1236"/>
        <v>#NAME?</v>
      </c>
      <c r="CL125" s="39" t="e">
        <f t="shared" ca="1" si="1236"/>
        <v>#NAME?</v>
      </c>
      <c r="CM125" s="39" t="e">
        <f t="shared" ca="1" si="1236"/>
        <v>#NAME?</v>
      </c>
      <c r="CN125" s="39" t="e">
        <f t="shared" ca="1" si="1236"/>
        <v>#NAME?</v>
      </c>
      <c r="CO125" s="39" t="e">
        <f t="shared" ca="1" si="1236"/>
        <v>#NAME?</v>
      </c>
      <c r="CS125" s="43">
        <v>26359.530000000006</v>
      </c>
    </row>
    <row r="126" spans="1:97" s="43" customFormat="1" x14ac:dyDescent="0.2">
      <c r="AB126" s="44"/>
      <c r="AC126" s="44"/>
      <c r="AD126" s="44"/>
      <c r="AE126" s="44"/>
      <c r="AG126" s="62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</row>
    <row r="127" spans="1:97" s="43" customFormat="1" x14ac:dyDescent="0.2">
      <c r="AB127" s="44"/>
      <c r="AC127" s="44"/>
      <c r="AD127" s="44"/>
      <c r="AE127" s="44"/>
      <c r="AG127" s="62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S127" s="40"/>
    </row>
    <row r="128" spans="1:97" s="40" customFormat="1" x14ac:dyDescent="0.2">
      <c r="A128" s="40" t="s">
        <v>54</v>
      </c>
      <c r="B128" s="40" t="e">
        <f t="shared" ref="B128:AE128" ca="1" si="1237">+B125+B121+B119+B118</f>
        <v>#NAME?</v>
      </c>
      <c r="C128" s="40" t="e">
        <f t="shared" ca="1" si="1237"/>
        <v>#NAME?</v>
      </c>
      <c r="D128" s="40" t="e">
        <f t="shared" ca="1" si="1237"/>
        <v>#NAME?</v>
      </c>
      <c r="E128" s="40" t="e">
        <f t="shared" ca="1" si="1237"/>
        <v>#NAME?</v>
      </c>
      <c r="F128" s="40" t="e">
        <f t="shared" ca="1" si="1237"/>
        <v>#NAME?</v>
      </c>
      <c r="G128" s="40" t="e">
        <f t="shared" ca="1" si="1237"/>
        <v>#NAME?</v>
      </c>
      <c r="H128" s="40" t="e">
        <f t="shared" ca="1" si="1237"/>
        <v>#NAME?</v>
      </c>
      <c r="I128" s="40" t="e">
        <f t="shared" ca="1" si="1237"/>
        <v>#NAME?</v>
      </c>
      <c r="J128" s="40" t="e">
        <f t="shared" ca="1" si="1237"/>
        <v>#NAME?</v>
      </c>
      <c r="K128" s="40" t="e">
        <f t="shared" ca="1" si="1237"/>
        <v>#NAME?</v>
      </c>
      <c r="L128" s="40" t="e">
        <f t="shared" ca="1" si="1237"/>
        <v>#NAME?</v>
      </c>
      <c r="M128" s="40" t="e">
        <f t="shared" ca="1" si="1237"/>
        <v>#NAME?</v>
      </c>
      <c r="N128" s="40" t="e">
        <f t="shared" ca="1" si="1237"/>
        <v>#NAME?</v>
      </c>
      <c r="O128" s="40" t="e">
        <f t="shared" ca="1" si="1237"/>
        <v>#NAME?</v>
      </c>
      <c r="P128" s="40" t="e">
        <f t="shared" ca="1" si="1237"/>
        <v>#NAME?</v>
      </c>
      <c r="Q128" s="40" t="e">
        <f t="shared" ca="1" si="1237"/>
        <v>#NAME?</v>
      </c>
      <c r="R128" s="40" t="e">
        <f t="shared" ca="1" si="1237"/>
        <v>#NAME?</v>
      </c>
      <c r="S128" s="40" t="e">
        <f t="shared" ca="1" si="1237"/>
        <v>#NAME?</v>
      </c>
      <c r="T128" s="40" t="e">
        <f t="shared" ca="1" si="1237"/>
        <v>#NAME?</v>
      </c>
      <c r="U128" s="40" t="e">
        <f t="shared" ca="1" si="1237"/>
        <v>#NAME?</v>
      </c>
      <c r="V128" s="40" t="e">
        <f t="shared" ca="1" si="1237"/>
        <v>#NAME?</v>
      </c>
      <c r="W128" s="40" t="e">
        <f t="shared" ca="1" si="1237"/>
        <v>#NAME?</v>
      </c>
      <c r="X128" s="40" t="e">
        <f t="shared" ca="1" si="1237"/>
        <v>#NAME?</v>
      </c>
      <c r="Y128" s="40" t="e">
        <f t="shared" ca="1" si="1237"/>
        <v>#NAME?</v>
      </c>
      <c r="Z128" s="40" t="e">
        <f t="shared" ca="1" si="1237"/>
        <v>#NAME?</v>
      </c>
      <c r="AA128" s="40" t="e">
        <f t="shared" ref="AA128" ca="1" si="1238">+AA125+AA121+AA119+AA118</f>
        <v>#NAME?</v>
      </c>
      <c r="AB128" s="41" t="e">
        <f t="shared" ca="1" si="1237"/>
        <v>#NAME?</v>
      </c>
      <c r="AC128" s="41" t="e">
        <f t="shared" ca="1" si="1237"/>
        <v>#NAME?</v>
      </c>
      <c r="AD128" s="41" t="e">
        <f t="shared" ca="1" si="1237"/>
        <v>#NAME?</v>
      </c>
      <c r="AE128" s="41" t="e">
        <f t="shared" ca="1" si="1237"/>
        <v>#NAME?</v>
      </c>
      <c r="AG128" s="61"/>
      <c r="AH128" s="40" t="e">
        <f t="shared" ref="AH128:BC128" ca="1" si="1239">+AH118+AH119+AH121+AH125+AH127</f>
        <v>#NAME?</v>
      </c>
      <c r="AI128" s="40" t="e">
        <f t="shared" ca="1" si="1239"/>
        <v>#NAME?</v>
      </c>
      <c r="AJ128" s="40" t="e">
        <f t="shared" ca="1" si="1239"/>
        <v>#NAME?</v>
      </c>
      <c r="AK128" s="40" t="e">
        <f t="shared" ca="1" si="1239"/>
        <v>#NAME?</v>
      </c>
      <c r="AL128" s="40" t="e">
        <f t="shared" ca="1" si="1239"/>
        <v>#NAME?</v>
      </c>
      <c r="AM128" s="40" t="e">
        <f t="shared" ca="1" si="1239"/>
        <v>#NAME?</v>
      </c>
      <c r="AN128" s="40" t="e">
        <f t="shared" ca="1" si="1239"/>
        <v>#NAME?</v>
      </c>
      <c r="AO128" s="40" t="e">
        <f t="shared" ca="1" si="1239"/>
        <v>#NAME?</v>
      </c>
      <c r="AP128" s="40" t="e">
        <f t="shared" ca="1" si="1239"/>
        <v>#NAME?</v>
      </c>
      <c r="AQ128" s="40" t="e">
        <f t="shared" ca="1" si="1239"/>
        <v>#NAME?</v>
      </c>
      <c r="AR128" s="40" t="e">
        <f t="shared" ca="1" si="1239"/>
        <v>#NAME?</v>
      </c>
      <c r="AS128" s="40" t="e">
        <f t="shared" ca="1" si="1239"/>
        <v>#NAME?</v>
      </c>
      <c r="AT128" s="40" t="e">
        <f t="shared" ref="AT128:BB128" ca="1" si="1240">+AT118+AT119+AT121+AT125+AT127</f>
        <v>#NAME?</v>
      </c>
      <c r="AU128" s="40" t="e">
        <f t="shared" ca="1" si="1240"/>
        <v>#NAME?</v>
      </c>
      <c r="AV128" s="40" t="e">
        <f t="shared" ca="1" si="1240"/>
        <v>#NAME?</v>
      </c>
      <c r="AW128" s="40" t="e">
        <f t="shared" ca="1" si="1240"/>
        <v>#NAME?</v>
      </c>
      <c r="AX128" s="40" t="e">
        <f t="shared" ca="1" si="1240"/>
        <v>#NAME?</v>
      </c>
      <c r="AY128" s="40" t="e">
        <f t="shared" ca="1" si="1240"/>
        <v>#NAME?</v>
      </c>
      <c r="AZ128" s="40" t="e">
        <f t="shared" ca="1" si="1240"/>
        <v>#NAME?</v>
      </c>
      <c r="BA128" s="40" t="e">
        <f t="shared" ca="1" si="1240"/>
        <v>#NAME?</v>
      </c>
      <c r="BB128" s="40" t="e">
        <f t="shared" ca="1" si="1240"/>
        <v>#NAME?</v>
      </c>
      <c r="BC128" s="40" t="e">
        <f t="shared" ca="1" si="1239"/>
        <v>#NAME?</v>
      </c>
      <c r="BD128" s="40" t="e">
        <f t="shared" ref="BD128:BV128" ca="1" si="1241">+BD118+BD119+BD121+BD125+BD127</f>
        <v>#NAME?</v>
      </c>
      <c r="BE128" s="40" t="e">
        <f t="shared" ca="1" si="1241"/>
        <v>#NAME?</v>
      </c>
      <c r="BF128" s="40" t="e">
        <f t="shared" ca="1" si="1241"/>
        <v>#NAME?</v>
      </c>
      <c r="BG128" s="40" t="e">
        <f t="shared" ca="1" si="1241"/>
        <v>#NAME?</v>
      </c>
      <c r="BH128" s="40" t="e">
        <f t="shared" ca="1" si="1241"/>
        <v>#NAME?</v>
      </c>
      <c r="BI128" s="40" t="e">
        <f t="shared" ca="1" si="1241"/>
        <v>#NAME?</v>
      </c>
      <c r="BJ128" s="40" t="e">
        <f t="shared" ca="1" si="1241"/>
        <v>#NAME?</v>
      </c>
      <c r="BK128" s="40" t="e">
        <f t="shared" ca="1" si="1241"/>
        <v>#NAME?</v>
      </c>
      <c r="BL128" s="40" t="e">
        <f t="shared" ca="1" si="1241"/>
        <v>#NAME?</v>
      </c>
      <c r="BM128" s="40" t="e">
        <f t="shared" ca="1" si="1241"/>
        <v>#NAME?</v>
      </c>
      <c r="BN128" s="40" t="e">
        <f t="shared" ca="1" si="1241"/>
        <v>#NAME?</v>
      </c>
      <c r="BO128" s="40" t="e">
        <f t="shared" ca="1" si="1241"/>
        <v>#NAME?</v>
      </c>
      <c r="BP128" s="40" t="e">
        <f t="shared" ca="1" si="1241"/>
        <v>#NAME?</v>
      </c>
      <c r="BQ128" s="40" t="e">
        <f t="shared" ca="1" si="1241"/>
        <v>#NAME?</v>
      </c>
      <c r="BR128" s="40" t="e">
        <f t="shared" ca="1" si="1241"/>
        <v>#NAME?</v>
      </c>
      <c r="BS128" s="40" t="e">
        <f t="shared" ca="1" si="1241"/>
        <v>#NAME?</v>
      </c>
      <c r="BT128" s="40" t="e">
        <f t="shared" ca="1" si="1241"/>
        <v>#NAME?</v>
      </c>
      <c r="BU128" s="40" t="e">
        <f t="shared" ca="1" si="1241"/>
        <v>#NAME?</v>
      </c>
      <c r="BV128" s="40" t="e">
        <f t="shared" ca="1" si="1241"/>
        <v>#NAME?</v>
      </c>
      <c r="BW128" s="40" t="e">
        <f t="shared" ref="BW128:BX128" ca="1" si="1242">+BW118+BW119+BW121+BW125+BW127</f>
        <v>#NAME?</v>
      </c>
      <c r="BX128" s="40" t="e">
        <f t="shared" ca="1" si="1242"/>
        <v>#NAME?</v>
      </c>
      <c r="BY128" s="40" t="e">
        <f t="shared" ref="BY128" ca="1" si="1243">+BY118+BY119+BY121+BY125+BY127</f>
        <v>#NAME?</v>
      </c>
      <c r="BZ128" s="41" t="e">
        <f t="shared" ref="BZ128:CO128" ca="1" si="1244">+BZ118+BZ119+BZ121+BZ125+BZ127</f>
        <v>#NAME?</v>
      </c>
      <c r="CA128" s="41" t="e">
        <f t="shared" ca="1" si="1244"/>
        <v>#NAME?</v>
      </c>
      <c r="CB128" s="41" t="e">
        <f t="shared" ca="1" si="1244"/>
        <v>#NAME?</v>
      </c>
      <c r="CC128" s="41" t="e">
        <f t="shared" ca="1" si="1244"/>
        <v>#NAME?</v>
      </c>
      <c r="CD128" s="41" t="e">
        <f t="shared" ca="1" si="1244"/>
        <v>#NAME?</v>
      </c>
      <c r="CE128" s="41" t="e">
        <f t="shared" ca="1" si="1244"/>
        <v>#NAME?</v>
      </c>
      <c r="CF128" s="41" t="e">
        <f t="shared" ca="1" si="1244"/>
        <v>#NAME?</v>
      </c>
      <c r="CG128" s="41" t="e">
        <f t="shared" ca="1" si="1244"/>
        <v>#NAME?</v>
      </c>
      <c r="CH128" s="41" t="e">
        <f t="shared" ca="1" si="1244"/>
        <v>#NAME?</v>
      </c>
      <c r="CI128" s="41" t="e">
        <f t="shared" ca="1" si="1244"/>
        <v>#NAME?</v>
      </c>
      <c r="CJ128" s="41" t="e">
        <f t="shared" ca="1" si="1244"/>
        <v>#NAME?</v>
      </c>
      <c r="CK128" s="41" t="e">
        <f t="shared" ca="1" si="1244"/>
        <v>#NAME?</v>
      </c>
      <c r="CL128" s="41" t="e">
        <f t="shared" ca="1" si="1244"/>
        <v>#NAME?</v>
      </c>
      <c r="CM128" s="41" t="e">
        <f t="shared" ca="1" si="1244"/>
        <v>#NAME?</v>
      </c>
      <c r="CN128" s="41" t="e">
        <f t="shared" ca="1" si="1244"/>
        <v>#NAME?</v>
      </c>
      <c r="CO128" s="41" t="e">
        <f t="shared" ca="1" si="1244"/>
        <v>#NAME?</v>
      </c>
      <c r="CS128" s="38">
        <v>415944</v>
      </c>
    </row>
    <row r="129" spans="1:97" s="38" customFormat="1" x14ac:dyDescent="0.2">
      <c r="A129" s="38" t="s">
        <v>388</v>
      </c>
      <c r="B129" s="38" t="e">
        <f t="shared" ref="B129:AE129" ca="1" si="1245">B128-B116</f>
        <v>#NAME?</v>
      </c>
      <c r="C129" s="38" t="e">
        <f t="shared" ca="1" si="1245"/>
        <v>#NAME?</v>
      </c>
      <c r="D129" s="38" t="e">
        <f t="shared" ca="1" si="1245"/>
        <v>#NAME?</v>
      </c>
      <c r="E129" s="38" t="e">
        <f t="shared" ca="1" si="1245"/>
        <v>#NAME?</v>
      </c>
      <c r="F129" s="38" t="e">
        <f t="shared" ca="1" si="1245"/>
        <v>#NAME?</v>
      </c>
      <c r="G129" s="38" t="e">
        <f t="shared" ca="1" si="1245"/>
        <v>#NAME?</v>
      </c>
      <c r="H129" s="38" t="e">
        <f t="shared" ca="1" si="1245"/>
        <v>#NAME?</v>
      </c>
      <c r="I129" s="38" t="e">
        <f t="shared" ca="1" si="1245"/>
        <v>#NAME?</v>
      </c>
      <c r="J129" s="38" t="e">
        <f t="shared" ca="1" si="1245"/>
        <v>#NAME?</v>
      </c>
      <c r="K129" s="38" t="e">
        <f t="shared" ca="1" si="1245"/>
        <v>#NAME?</v>
      </c>
      <c r="L129" s="38" t="e">
        <f t="shared" ca="1" si="1245"/>
        <v>#NAME?</v>
      </c>
      <c r="M129" s="38" t="e">
        <f t="shared" ca="1" si="1245"/>
        <v>#NAME?</v>
      </c>
      <c r="N129" s="38" t="e">
        <f t="shared" ca="1" si="1245"/>
        <v>#NAME?</v>
      </c>
      <c r="O129" s="38" t="e">
        <f t="shared" ca="1" si="1245"/>
        <v>#NAME?</v>
      </c>
      <c r="P129" s="38" t="e">
        <f t="shared" ca="1" si="1245"/>
        <v>#NAME?</v>
      </c>
      <c r="Q129" s="38" t="e">
        <f t="shared" ca="1" si="1245"/>
        <v>#NAME?</v>
      </c>
      <c r="R129" s="38" t="e">
        <f t="shared" ca="1" si="1245"/>
        <v>#NAME?</v>
      </c>
      <c r="S129" s="38" t="e">
        <f t="shared" ca="1" si="1245"/>
        <v>#NAME?</v>
      </c>
      <c r="T129" s="38" t="e">
        <f t="shared" ca="1" si="1245"/>
        <v>#NAME?</v>
      </c>
      <c r="U129" s="38" t="e">
        <f t="shared" ca="1" si="1245"/>
        <v>#NAME?</v>
      </c>
      <c r="V129" s="38" t="e">
        <f t="shared" ca="1" si="1245"/>
        <v>#NAME?</v>
      </c>
      <c r="W129" s="38" t="e">
        <f t="shared" ca="1" si="1245"/>
        <v>#NAME?</v>
      </c>
      <c r="X129" s="38" t="e">
        <f t="shared" ca="1" si="1245"/>
        <v>#NAME?</v>
      </c>
      <c r="Y129" s="38" t="e">
        <f t="shared" ca="1" si="1245"/>
        <v>#NAME?</v>
      </c>
      <c r="Z129" s="38" t="e">
        <f t="shared" ca="1" si="1245"/>
        <v>#NAME?</v>
      </c>
      <c r="AA129" s="38" t="e">
        <f t="shared" ref="AA129" ca="1" si="1246">AA128-AA116</f>
        <v>#NAME?</v>
      </c>
      <c r="AB129" s="39" t="e">
        <f t="shared" ca="1" si="1245"/>
        <v>#NAME?</v>
      </c>
      <c r="AC129" s="39" t="e">
        <f t="shared" ca="1" si="1245"/>
        <v>#NAME?</v>
      </c>
      <c r="AD129" s="39" t="e">
        <f t="shared" ca="1" si="1245"/>
        <v>#NAME?</v>
      </c>
      <c r="AE129" s="39" t="e">
        <f t="shared" ca="1" si="1245"/>
        <v>#NAME?</v>
      </c>
      <c r="AG129" s="60"/>
      <c r="AH129" s="38" t="e">
        <f t="shared" ref="AH129:BC129" ca="1" si="1247">AH128-AH116</f>
        <v>#NAME?</v>
      </c>
      <c r="AI129" s="38" t="e">
        <f t="shared" ca="1" si="1247"/>
        <v>#NAME?</v>
      </c>
      <c r="AJ129" s="38" t="e">
        <f t="shared" ca="1" si="1247"/>
        <v>#NAME?</v>
      </c>
      <c r="AK129" s="38" t="e">
        <f t="shared" ca="1" si="1247"/>
        <v>#NAME?</v>
      </c>
      <c r="AL129" s="38" t="e">
        <f t="shared" ca="1" si="1247"/>
        <v>#NAME?</v>
      </c>
      <c r="AM129" s="38" t="e">
        <f t="shared" ca="1" si="1247"/>
        <v>#NAME?</v>
      </c>
      <c r="AN129" s="38" t="e">
        <f t="shared" ca="1" si="1247"/>
        <v>#NAME?</v>
      </c>
      <c r="AO129" s="38" t="e">
        <f t="shared" ca="1" si="1247"/>
        <v>#NAME?</v>
      </c>
      <c r="AP129" s="38" t="e">
        <f t="shared" ca="1" si="1247"/>
        <v>#NAME?</v>
      </c>
      <c r="AQ129" s="38" t="e">
        <f t="shared" ca="1" si="1247"/>
        <v>#NAME?</v>
      </c>
      <c r="AR129" s="38" t="e">
        <f t="shared" ca="1" si="1247"/>
        <v>#NAME?</v>
      </c>
      <c r="AS129" s="38" t="e">
        <f t="shared" ca="1" si="1247"/>
        <v>#NAME?</v>
      </c>
      <c r="AT129" s="38" t="e">
        <f t="shared" ref="AT129:BB129" ca="1" si="1248">AT128-AT116</f>
        <v>#NAME?</v>
      </c>
      <c r="AU129" s="38" t="e">
        <f t="shared" ca="1" si="1248"/>
        <v>#NAME?</v>
      </c>
      <c r="AV129" s="38" t="e">
        <f t="shared" ca="1" si="1248"/>
        <v>#NAME?</v>
      </c>
      <c r="AW129" s="38" t="e">
        <f t="shared" ca="1" si="1248"/>
        <v>#NAME?</v>
      </c>
      <c r="AX129" s="38" t="e">
        <f t="shared" ca="1" si="1248"/>
        <v>#NAME?</v>
      </c>
      <c r="AY129" s="38" t="e">
        <f t="shared" ca="1" si="1248"/>
        <v>#NAME?</v>
      </c>
      <c r="AZ129" s="38" t="e">
        <f t="shared" ca="1" si="1248"/>
        <v>#NAME?</v>
      </c>
      <c r="BA129" s="38" t="e">
        <f t="shared" ca="1" si="1248"/>
        <v>#NAME?</v>
      </c>
      <c r="BB129" s="38" t="e">
        <f t="shared" ca="1" si="1248"/>
        <v>#NAME?</v>
      </c>
      <c r="BC129" s="38" t="e">
        <f t="shared" ca="1" si="1247"/>
        <v>#NAME?</v>
      </c>
      <c r="BD129" s="38" t="e">
        <f t="shared" ref="BD129:BV129" ca="1" si="1249">BD128-BD116</f>
        <v>#NAME?</v>
      </c>
      <c r="BE129" s="38" t="e">
        <f t="shared" ca="1" si="1249"/>
        <v>#NAME?</v>
      </c>
      <c r="BF129" s="38" t="e">
        <f t="shared" ca="1" si="1249"/>
        <v>#NAME?</v>
      </c>
      <c r="BG129" s="38" t="e">
        <f t="shared" ca="1" si="1249"/>
        <v>#NAME?</v>
      </c>
      <c r="BH129" s="38" t="e">
        <f t="shared" ca="1" si="1249"/>
        <v>#NAME?</v>
      </c>
      <c r="BI129" s="38" t="e">
        <f t="shared" ca="1" si="1249"/>
        <v>#NAME?</v>
      </c>
      <c r="BJ129" s="38" t="e">
        <f t="shared" ca="1" si="1249"/>
        <v>#NAME?</v>
      </c>
      <c r="BK129" s="38" t="e">
        <f t="shared" ca="1" si="1249"/>
        <v>#NAME?</v>
      </c>
      <c r="BL129" s="38" t="e">
        <f t="shared" ca="1" si="1249"/>
        <v>#NAME?</v>
      </c>
      <c r="BM129" s="38" t="e">
        <f t="shared" ca="1" si="1249"/>
        <v>#NAME?</v>
      </c>
      <c r="BN129" s="38" t="e">
        <f t="shared" ca="1" si="1249"/>
        <v>#NAME?</v>
      </c>
      <c r="BO129" s="38" t="e">
        <f t="shared" ca="1" si="1249"/>
        <v>#NAME?</v>
      </c>
      <c r="BP129" s="38" t="e">
        <f t="shared" ca="1" si="1249"/>
        <v>#NAME?</v>
      </c>
      <c r="BQ129" s="38" t="e">
        <f t="shared" ca="1" si="1249"/>
        <v>#NAME?</v>
      </c>
      <c r="BR129" s="38" t="e">
        <f t="shared" ca="1" si="1249"/>
        <v>#NAME?</v>
      </c>
      <c r="BS129" s="38" t="e">
        <f t="shared" ca="1" si="1249"/>
        <v>#NAME?</v>
      </c>
      <c r="BT129" s="38" t="e">
        <f t="shared" ca="1" si="1249"/>
        <v>#NAME?</v>
      </c>
      <c r="BU129" s="38" t="e">
        <f t="shared" ca="1" si="1249"/>
        <v>#NAME?</v>
      </c>
      <c r="BV129" s="38" t="e">
        <f t="shared" ca="1" si="1249"/>
        <v>#NAME?</v>
      </c>
      <c r="BW129" s="38" t="e">
        <f t="shared" ref="BW129:BX129" ca="1" si="1250">BW128-BW116</f>
        <v>#NAME?</v>
      </c>
      <c r="BX129" s="38" t="e">
        <f t="shared" ca="1" si="1250"/>
        <v>#NAME?</v>
      </c>
      <c r="BY129" s="38" t="e">
        <f t="shared" ref="BY129" ca="1" si="1251">BY128-BY116</f>
        <v>#NAME?</v>
      </c>
      <c r="BZ129" s="39" t="e">
        <f t="shared" ref="BZ129:CO129" ca="1" si="1252">BZ128-BZ116</f>
        <v>#NAME?</v>
      </c>
      <c r="CA129" s="39" t="e">
        <f t="shared" ca="1" si="1252"/>
        <v>#NAME?</v>
      </c>
      <c r="CB129" s="39" t="e">
        <f t="shared" ca="1" si="1252"/>
        <v>#NAME?</v>
      </c>
      <c r="CC129" s="39" t="e">
        <f t="shared" ca="1" si="1252"/>
        <v>#NAME?</v>
      </c>
      <c r="CD129" s="39" t="e">
        <f t="shared" ca="1" si="1252"/>
        <v>#NAME?</v>
      </c>
      <c r="CE129" s="39" t="e">
        <f t="shared" ca="1" si="1252"/>
        <v>#NAME?</v>
      </c>
      <c r="CF129" s="39" t="e">
        <f t="shared" ca="1" si="1252"/>
        <v>#NAME?</v>
      </c>
      <c r="CG129" s="39" t="e">
        <f t="shared" ca="1" si="1252"/>
        <v>#NAME?</v>
      </c>
      <c r="CH129" s="39" t="e">
        <f t="shared" ca="1" si="1252"/>
        <v>#NAME?</v>
      </c>
      <c r="CI129" s="39" t="e">
        <f t="shared" ca="1" si="1252"/>
        <v>#NAME?</v>
      </c>
      <c r="CJ129" s="39" t="e">
        <f t="shared" ca="1" si="1252"/>
        <v>#NAME?</v>
      </c>
      <c r="CK129" s="39" t="e">
        <f t="shared" ca="1" si="1252"/>
        <v>#NAME?</v>
      </c>
      <c r="CL129" s="39" t="e">
        <f t="shared" ca="1" si="1252"/>
        <v>#NAME?</v>
      </c>
      <c r="CM129" s="39" t="e">
        <f t="shared" ca="1" si="1252"/>
        <v>#NAME?</v>
      </c>
      <c r="CN129" s="39" t="e">
        <f t="shared" ca="1" si="1252"/>
        <v>#NAME?</v>
      </c>
      <c r="CO129" s="39" t="e">
        <f t="shared" ca="1" si="1252"/>
        <v>#NAME?</v>
      </c>
      <c r="CS129" s="38">
        <v>-2961.7700000000186</v>
      </c>
    </row>
    <row r="130" spans="1:97" s="38" customFormat="1" x14ac:dyDescent="0.2">
      <c r="A130" s="122" t="s">
        <v>367</v>
      </c>
      <c r="AB130" s="39"/>
      <c r="AC130" s="39"/>
      <c r="AD130" s="39"/>
      <c r="AE130" s="39"/>
      <c r="AG130" s="60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7" s="38" customFormat="1" x14ac:dyDescent="0.2">
      <c r="A131" s="47"/>
      <c r="AB131" s="39"/>
      <c r="AC131" s="39"/>
      <c r="AD131" s="39"/>
      <c r="AE131" s="39"/>
      <c r="AG131" s="60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7" s="38" customFormat="1" x14ac:dyDescent="0.2">
      <c r="A132" s="38" t="s">
        <v>52</v>
      </c>
      <c r="AB132" s="39"/>
      <c r="AC132" s="39"/>
      <c r="AD132" s="39"/>
      <c r="AE132" s="39"/>
      <c r="AG132" s="60"/>
      <c r="AI132" s="38" t="e">
        <f t="shared" ref="AI132:AV132" ca="1" si="1253">+AI115/AI109</f>
        <v>#NAME?</v>
      </c>
      <c r="AJ132" s="38" t="e">
        <f t="shared" ca="1" si="1253"/>
        <v>#NAME?</v>
      </c>
      <c r="AK132" s="38" t="e">
        <f t="shared" ca="1" si="1253"/>
        <v>#NAME?</v>
      </c>
      <c r="AL132" s="38" t="e">
        <f t="shared" ca="1" si="1253"/>
        <v>#NAME?</v>
      </c>
      <c r="AM132" s="38" t="e">
        <f t="shared" ca="1" si="1253"/>
        <v>#NAME?</v>
      </c>
      <c r="AN132" s="38" t="e">
        <f t="shared" ca="1" si="1253"/>
        <v>#NAME?</v>
      </c>
      <c r="AO132" s="38" t="e">
        <f t="shared" ca="1" si="1253"/>
        <v>#NAME?</v>
      </c>
      <c r="AP132" s="38" t="e">
        <f t="shared" ca="1" si="1253"/>
        <v>#NAME?</v>
      </c>
      <c r="AQ132" s="38" t="e">
        <f t="shared" ca="1" si="1253"/>
        <v>#NAME?</v>
      </c>
      <c r="AR132" s="38" t="e">
        <f t="shared" ca="1" si="1253"/>
        <v>#NAME?</v>
      </c>
      <c r="AS132" s="38" t="e">
        <f t="shared" ca="1" si="1253"/>
        <v>#NAME?</v>
      </c>
      <c r="AT132" s="38" t="e">
        <f t="shared" ca="1" si="1253"/>
        <v>#NAME?</v>
      </c>
      <c r="AU132" s="38" t="e">
        <f t="shared" ca="1" si="1253"/>
        <v>#NAME?</v>
      </c>
      <c r="AV132" s="38" t="e">
        <f t="shared" ca="1" si="1253"/>
        <v>#NAME?</v>
      </c>
      <c r="AW132" s="38" t="e">
        <f t="shared" ref="AW132:CO132" ca="1" si="1254">+AW115/AW109</f>
        <v>#NAME?</v>
      </c>
      <c r="AX132" s="38" t="e">
        <f t="shared" ca="1" si="1254"/>
        <v>#NAME?</v>
      </c>
      <c r="AY132" s="38" t="e">
        <f t="shared" ca="1" si="1254"/>
        <v>#NAME?</v>
      </c>
      <c r="AZ132" s="38" t="e">
        <f t="shared" ca="1" si="1254"/>
        <v>#NAME?</v>
      </c>
      <c r="BA132" s="38" t="e">
        <f t="shared" ca="1" si="1254"/>
        <v>#NAME?</v>
      </c>
      <c r="BB132" s="38" t="e">
        <f t="shared" ca="1" si="1254"/>
        <v>#NAME?</v>
      </c>
      <c r="BC132" s="38" t="e">
        <f t="shared" ca="1" si="1254"/>
        <v>#NAME?</v>
      </c>
      <c r="BD132" s="38" t="e">
        <f t="shared" ca="1" si="1254"/>
        <v>#NAME?</v>
      </c>
      <c r="BE132" s="38" t="e">
        <f t="shared" ca="1" si="1254"/>
        <v>#NAME?</v>
      </c>
      <c r="BF132" s="38" t="e">
        <f t="shared" ca="1" si="1254"/>
        <v>#NAME?</v>
      </c>
      <c r="BG132" s="38" t="e">
        <f t="shared" ca="1" si="1254"/>
        <v>#NAME?</v>
      </c>
      <c r="BH132" s="38" t="e">
        <f t="shared" ca="1" si="1254"/>
        <v>#NAME?</v>
      </c>
      <c r="BI132" s="38" t="e">
        <f t="shared" ca="1" si="1254"/>
        <v>#NAME?</v>
      </c>
      <c r="BJ132" s="38" t="e">
        <f t="shared" ca="1" si="1254"/>
        <v>#NAME?</v>
      </c>
      <c r="BK132" s="38" t="e">
        <f t="shared" ca="1" si="1254"/>
        <v>#NAME?</v>
      </c>
      <c r="BL132" s="38" t="e">
        <f t="shared" ca="1" si="1254"/>
        <v>#NAME?</v>
      </c>
      <c r="BM132" s="38" t="e">
        <f t="shared" ca="1" si="1254"/>
        <v>#NAME?</v>
      </c>
      <c r="BN132" s="38" t="e">
        <f t="shared" ca="1" si="1254"/>
        <v>#NAME?</v>
      </c>
      <c r="BO132" s="38" t="e">
        <f t="shared" ca="1" si="1254"/>
        <v>#NAME?</v>
      </c>
      <c r="BP132" s="38" t="e">
        <f t="shared" ca="1" si="1254"/>
        <v>#NAME?</v>
      </c>
      <c r="BQ132" s="38" t="e">
        <f t="shared" ca="1" si="1254"/>
        <v>#NAME?</v>
      </c>
      <c r="BR132" s="38" t="e">
        <f t="shared" ca="1" si="1254"/>
        <v>#NAME?</v>
      </c>
      <c r="BS132" s="38" t="e">
        <f t="shared" ca="1" si="1254"/>
        <v>#NAME?</v>
      </c>
      <c r="BT132" s="38" t="e">
        <f t="shared" ca="1" si="1254"/>
        <v>#NAME?</v>
      </c>
      <c r="BU132" s="38" t="e">
        <f t="shared" ca="1" si="1254"/>
        <v>#NAME?</v>
      </c>
      <c r="BV132" s="38" t="e">
        <f t="shared" ca="1" si="1254"/>
        <v>#NAME?</v>
      </c>
      <c r="BW132" s="38" t="e">
        <f t="shared" ref="BW132:BX132" ca="1" si="1255">+BW115/BW109</f>
        <v>#NAME?</v>
      </c>
      <c r="BX132" s="38" t="e">
        <f t="shared" ca="1" si="1255"/>
        <v>#NAME?</v>
      </c>
      <c r="BY132" s="38" t="e">
        <f t="shared" ref="BY132" ca="1" si="1256">+BY115/BY109</f>
        <v>#NAME?</v>
      </c>
      <c r="BZ132" s="39" t="e">
        <f t="shared" ca="1" si="1254"/>
        <v>#NAME?</v>
      </c>
      <c r="CA132" s="39" t="e">
        <f t="shared" ca="1" si="1254"/>
        <v>#NAME?</v>
      </c>
      <c r="CB132" s="39" t="e">
        <f t="shared" ca="1" si="1254"/>
        <v>#NAME?</v>
      </c>
      <c r="CC132" s="39" t="e">
        <f t="shared" ca="1" si="1254"/>
        <v>#NAME?</v>
      </c>
      <c r="CD132" s="39" t="e">
        <f t="shared" ca="1" si="1254"/>
        <v>#NAME?</v>
      </c>
      <c r="CE132" s="39" t="e">
        <f t="shared" ca="1" si="1254"/>
        <v>#NAME?</v>
      </c>
      <c r="CF132" s="39" t="e">
        <f t="shared" ca="1" si="1254"/>
        <v>#NAME?</v>
      </c>
      <c r="CG132" s="39" t="e">
        <f t="shared" ca="1" si="1254"/>
        <v>#NAME?</v>
      </c>
      <c r="CH132" s="39" t="e">
        <f t="shared" ca="1" si="1254"/>
        <v>#NAME?</v>
      </c>
      <c r="CI132" s="39" t="e">
        <f t="shared" ca="1" si="1254"/>
        <v>#NAME?</v>
      </c>
      <c r="CJ132" s="39" t="e">
        <f t="shared" ca="1" si="1254"/>
        <v>#NAME?</v>
      </c>
      <c r="CK132" s="39" t="e">
        <f t="shared" ca="1" si="1254"/>
        <v>#NAME?</v>
      </c>
      <c r="CL132" s="39" t="e">
        <f t="shared" ca="1" si="1254"/>
        <v>#NAME?</v>
      </c>
      <c r="CM132" s="39" t="e">
        <f t="shared" ca="1" si="1254"/>
        <v>#NAME?</v>
      </c>
      <c r="CN132" s="39" t="e">
        <f t="shared" ca="1" si="1254"/>
        <v>#NAME?</v>
      </c>
      <c r="CO132" s="39" t="e">
        <f t="shared" ca="1" si="1254"/>
        <v>#NAME?</v>
      </c>
      <c r="CS132" s="48"/>
    </row>
    <row r="133" spans="1:97" x14ac:dyDescent="0.2">
      <c r="AA133" s="47"/>
      <c r="CS133" s="163"/>
    </row>
    <row r="134" spans="1:97" s="96" customFormat="1" x14ac:dyDescent="0.2">
      <c r="A134" s="96" t="s">
        <v>49</v>
      </c>
      <c r="C134" s="96" t="e">
        <f t="shared" ref="C134:AE134" ca="1" si="1257">+C113/B113-1</f>
        <v>#NAME?</v>
      </c>
      <c r="D134" s="96" t="e">
        <f t="shared" ca="1" si="1257"/>
        <v>#NAME?</v>
      </c>
      <c r="E134" s="96" t="e">
        <f t="shared" ca="1" si="1257"/>
        <v>#NAME?</v>
      </c>
      <c r="F134" s="96" t="e">
        <f t="shared" ca="1" si="1257"/>
        <v>#NAME?</v>
      </c>
      <c r="G134" s="96" t="e">
        <f t="shared" ca="1" si="1257"/>
        <v>#NAME?</v>
      </c>
      <c r="H134" s="96" t="e">
        <f t="shared" ca="1" si="1257"/>
        <v>#NAME?</v>
      </c>
      <c r="I134" s="96" t="e">
        <f t="shared" ca="1" si="1257"/>
        <v>#NAME?</v>
      </c>
      <c r="J134" s="96" t="e">
        <f t="shared" ca="1" si="1257"/>
        <v>#NAME?</v>
      </c>
      <c r="K134" s="96" t="e">
        <f t="shared" ca="1" si="1257"/>
        <v>#NAME?</v>
      </c>
      <c r="L134" s="96" t="e">
        <f t="shared" ca="1" si="1257"/>
        <v>#NAME?</v>
      </c>
      <c r="M134" s="96" t="e">
        <f t="shared" ca="1" si="1257"/>
        <v>#NAME?</v>
      </c>
      <c r="N134" s="96" t="e">
        <f t="shared" ca="1" si="1257"/>
        <v>#NAME?</v>
      </c>
      <c r="O134" s="96" t="e">
        <f t="shared" ca="1" si="1257"/>
        <v>#NAME?</v>
      </c>
      <c r="P134" s="96" t="e">
        <f t="shared" ca="1" si="1257"/>
        <v>#NAME?</v>
      </c>
      <c r="Q134" s="96" t="e">
        <f t="shared" ca="1" si="1257"/>
        <v>#NAME?</v>
      </c>
      <c r="R134" s="96" t="e">
        <f t="shared" ca="1" si="1257"/>
        <v>#NAME?</v>
      </c>
      <c r="S134" s="96" t="e">
        <f t="shared" ca="1" si="1257"/>
        <v>#NAME?</v>
      </c>
      <c r="T134" s="96" t="e">
        <f t="shared" ca="1" si="1257"/>
        <v>#NAME?</v>
      </c>
      <c r="U134" s="96" t="e">
        <f t="shared" ca="1" si="1257"/>
        <v>#NAME?</v>
      </c>
      <c r="V134" s="96" t="e">
        <f t="shared" ca="1" si="1257"/>
        <v>#NAME?</v>
      </c>
      <c r="W134" s="96" t="e">
        <f t="shared" ca="1" si="1257"/>
        <v>#NAME?</v>
      </c>
      <c r="X134" s="96" t="e">
        <f t="shared" ca="1" si="1257"/>
        <v>#NAME?</v>
      </c>
      <c r="Y134" s="96" t="e">
        <f t="shared" ca="1" si="1257"/>
        <v>#NAME?</v>
      </c>
      <c r="Z134" s="96" t="e">
        <f t="shared" ca="1" si="1257"/>
        <v>#NAME?</v>
      </c>
      <c r="AA134" s="96" t="e">
        <f t="shared" ca="1" si="1257"/>
        <v>#NAME?</v>
      </c>
      <c r="AB134" s="87" t="e">
        <f t="shared" ca="1" si="1257"/>
        <v>#NAME?</v>
      </c>
      <c r="AC134" s="87" t="e">
        <f t="shared" ca="1" si="1257"/>
        <v>#NAME?</v>
      </c>
      <c r="AD134" s="87" t="e">
        <f t="shared" ca="1" si="1257"/>
        <v>#NAME?</v>
      </c>
      <c r="AE134" s="87" t="e">
        <f t="shared" ca="1" si="1257"/>
        <v>#NAME?</v>
      </c>
      <c r="AG134" s="59"/>
      <c r="AI134" s="97"/>
      <c r="AJ134" s="97"/>
      <c r="AK134" s="97"/>
      <c r="AL134" s="97"/>
      <c r="AM134" s="97" t="e">
        <f ca="1">+AM113/AI113-1</f>
        <v>#NAME?</v>
      </c>
      <c r="AN134" s="97" t="e">
        <f t="shared" ref="AN134:BY134" ca="1" si="1258">+AN113/AJ113-1</f>
        <v>#NAME?</v>
      </c>
      <c r="AO134" s="97" t="e">
        <f t="shared" ca="1" si="1258"/>
        <v>#NAME?</v>
      </c>
      <c r="AP134" s="97" t="e">
        <f t="shared" ca="1" si="1258"/>
        <v>#NAME?</v>
      </c>
      <c r="AQ134" s="97" t="e">
        <f t="shared" ca="1" si="1258"/>
        <v>#NAME?</v>
      </c>
      <c r="AR134" s="97" t="e">
        <f t="shared" ca="1" si="1258"/>
        <v>#NAME?</v>
      </c>
      <c r="AS134" s="97" t="e">
        <f t="shared" ca="1" si="1258"/>
        <v>#NAME?</v>
      </c>
      <c r="AT134" s="97" t="e">
        <f t="shared" ca="1" si="1258"/>
        <v>#NAME?</v>
      </c>
      <c r="AU134" s="97" t="e">
        <f t="shared" ca="1" si="1258"/>
        <v>#NAME?</v>
      </c>
      <c r="AV134" s="97" t="e">
        <f t="shared" ca="1" si="1258"/>
        <v>#NAME?</v>
      </c>
      <c r="AW134" s="97" t="e">
        <f t="shared" ca="1" si="1258"/>
        <v>#NAME?</v>
      </c>
      <c r="AX134" s="97" t="e">
        <f t="shared" ca="1" si="1258"/>
        <v>#NAME?</v>
      </c>
      <c r="AY134" s="97" t="e">
        <f t="shared" ca="1" si="1258"/>
        <v>#NAME?</v>
      </c>
      <c r="AZ134" s="97" t="e">
        <f t="shared" ca="1" si="1258"/>
        <v>#NAME?</v>
      </c>
      <c r="BA134" s="97" t="e">
        <f t="shared" ca="1" si="1258"/>
        <v>#NAME?</v>
      </c>
      <c r="BB134" s="97" t="e">
        <f t="shared" ca="1" si="1258"/>
        <v>#NAME?</v>
      </c>
      <c r="BC134" s="97" t="e">
        <f t="shared" ca="1" si="1258"/>
        <v>#NAME?</v>
      </c>
      <c r="BD134" s="97" t="e">
        <f t="shared" ca="1" si="1258"/>
        <v>#NAME?</v>
      </c>
      <c r="BE134" s="97" t="e">
        <f t="shared" ca="1" si="1258"/>
        <v>#NAME?</v>
      </c>
      <c r="BF134" s="97" t="e">
        <f t="shared" ca="1" si="1258"/>
        <v>#NAME?</v>
      </c>
      <c r="BG134" s="97" t="e">
        <f t="shared" ca="1" si="1258"/>
        <v>#NAME?</v>
      </c>
      <c r="BH134" s="97" t="e">
        <f t="shared" ca="1" si="1258"/>
        <v>#NAME?</v>
      </c>
      <c r="BI134" s="97" t="e">
        <f t="shared" ca="1" si="1258"/>
        <v>#NAME?</v>
      </c>
      <c r="BJ134" s="97" t="e">
        <f t="shared" ca="1" si="1258"/>
        <v>#NAME?</v>
      </c>
      <c r="BK134" s="97" t="e">
        <f t="shared" ca="1" si="1258"/>
        <v>#NAME?</v>
      </c>
      <c r="BL134" s="97" t="e">
        <f t="shared" ca="1" si="1258"/>
        <v>#NAME?</v>
      </c>
      <c r="BM134" s="97" t="e">
        <f t="shared" ca="1" si="1258"/>
        <v>#NAME?</v>
      </c>
      <c r="BN134" s="97" t="e">
        <f t="shared" ca="1" si="1258"/>
        <v>#NAME?</v>
      </c>
      <c r="BO134" s="97" t="e">
        <f t="shared" ca="1" si="1258"/>
        <v>#NAME?</v>
      </c>
      <c r="BP134" s="97" t="e">
        <f t="shared" ca="1" si="1258"/>
        <v>#NAME?</v>
      </c>
      <c r="BQ134" s="97" t="e">
        <f t="shared" ca="1" si="1258"/>
        <v>#NAME?</v>
      </c>
      <c r="BR134" s="97" t="e">
        <f t="shared" ca="1" si="1258"/>
        <v>#NAME?</v>
      </c>
      <c r="BS134" s="97" t="e">
        <f t="shared" ca="1" si="1258"/>
        <v>#NAME?</v>
      </c>
      <c r="BT134" s="97" t="e">
        <f t="shared" ca="1" si="1258"/>
        <v>#NAME?</v>
      </c>
      <c r="BU134" s="97" t="e">
        <f t="shared" ca="1" si="1258"/>
        <v>#NAME?</v>
      </c>
      <c r="BV134" s="97" t="e">
        <f t="shared" ca="1" si="1258"/>
        <v>#NAME?</v>
      </c>
      <c r="BW134" s="97" t="e">
        <f t="shared" ca="1" si="1258"/>
        <v>#NAME?</v>
      </c>
      <c r="BX134" s="97" t="e">
        <f t="shared" ca="1" si="1258"/>
        <v>#NAME?</v>
      </c>
      <c r="BY134" s="97" t="e">
        <f t="shared" ca="1" si="1258"/>
        <v>#NAME?</v>
      </c>
      <c r="BZ134" s="87">
        <v>0.15</v>
      </c>
      <c r="CA134" s="87">
        <v>0.15</v>
      </c>
      <c r="CB134" s="87">
        <v>0.15</v>
      </c>
      <c r="CC134" s="87">
        <v>0.15</v>
      </c>
      <c r="CD134" s="87">
        <v>0.15</v>
      </c>
      <c r="CE134" s="87">
        <v>0.15</v>
      </c>
      <c r="CF134" s="87">
        <v>0.15</v>
      </c>
      <c r="CG134" s="87">
        <v>0.15</v>
      </c>
      <c r="CH134" s="87">
        <v>0.153</v>
      </c>
      <c r="CI134" s="87">
        <v>0.153</v>
      </c>
      <c r="CJ134" s="87">
        <v>0.153</v>
      </c>
      <c r="CK134" s="87">
        <v>0.153</v>
      </c>
      <c r="CL134" s="87">
        <v>0.153</v>
      </c>
      <c r="CM134" s="87">
        <v>0.153</v>
      </c>
      <c r="CN134" s="87">
        <v>0.153</v>
      </c>
      <c r="CO134" s="87">
        <v>0.153</v>
      </c>
      <c r="CS134" s="96">
        <v>0.14137330405810244</v>
      </c>
    </row>
    <row r="135" spans="1:97" s="96" customFormat="1" x14ac:dyDescent="0.2">
      <c r="A135" s="96" t="s">
        <v>50</v>
      </c>
      <c r="C135" s="96" t="e">
        <f t="shared" ref="C135:AE135" ca="1" si="1259">+C119/B119-1</f>
        <v>#NAME?</v>
      </c>
      <c r="D135" s="96" t="e">
        <f t="shared" ca="1" si="1259"/>
        <v>#NAME?</v>
      </c>
      <c r="E135" s="96" t="e">
        <f t="shared" ca="1" si="1259"/>
        <v>#NAME?</v>
      </c>
      <c r="F135" s="96" t="e">
        <f t="shared" ca="1" si="1259"/>
        <v>#NAME?</v>
      </c>
      <c r="G135" s="96" t="e">
        <f t="shared" ca="1" si="1259"/>
        <v>#NAME?</v>
      </c>
      <c r="H135" s="96" t="e">
        <f t="shared" ca="1" si="1259"/>
        <v>#NAME?</v>
      </c>
      <c r="I135" s="96" t="e">
        <f t="shared" ca="1" si="1259"/>
        <v>#NAME?</v>
      </c>
      <c r="J135" s="96" t="e">
        <f t="shared" ca="1" si="1259"/>
        <v>#NAME?</v>
      </c>
      <c r="K135" s="96" t="e">
        <f t="shared" ca="1" si="1259"/>
        <v>#NAME?</v>
      </c>
      <c r="L135" s="96" t="e">
        <f t="shared" ca="1" si="1259"/>
        <v>#NAME?</v>
      </c>
      <c r="M135" s="96" t="e">
        <f t="shared" ca="1" si="1259"/>
        <v>#NAME?</v>
      </c>
      <c r="N135" s="96" t="e">
        <f t="shared" ca="1" si="1259"/>
        <v>#NAME?</v>
      </c>
      <c r="O135" s="96" t="e">
        <f t="shared" ca="1" si="1259"/>
        <v>#NAME?</v>
      </c>
      <c r="P135" s="96" t="e">
        <f t="shared" ca="1" si="1259"/>
        <v>#NAME?</v>
      </c>
      <c r="Q135" s="96" t="e">
        <f t="shared" ca="1" si="1259"/>
        <v>#NAME?</v>
      </c>
      <c r="R135" s="96" t="e">
        <f t="shared" ca="1" si="1259"/>
        <v>#NAME?</v>
      </c>
      <c r="S135" s="96" t="e">
        <f t="shared" ca="1" si="1259"/>
        <v>#NAME?</v>
      </c>
      <c r="T135" s="96" t="e">
        <f t="shared" ca="1" si="1259"/>
        <v>#NAME?</v>
      </c>
      <c r="U135" s="96" t="e">
        <f t="shared" ca="1" si="1259"/>
        <v>#NAME?</v>
      </c>
      <c r="V135" s="96" t="e">
        <f t="shared" ca="1" si="1259"/>
        <v>#NAME?</v>
      </c>
      <c r="W135" s="96" t="e">
        <f t="shared" ca="1" si="1259"/>
        <v>#NAME?</v>
      </c>
      <c r="X135" s="96" t="e">
        <f t="shared" ca="1" si="1259"/>
        <v>#NAME?</v>
      </c>
      <c r="Y135" s="96" t="e">
        <f t="shared" ca="1" si="1259"/>
        <v>#NAME?</v>
      </c>
      <c r="Z135" s="96" t="e">
        <f t="shared" ca="1" si="1259"/>
        <v>#NAME?</v>
      </c>
      <c r="AA135" s="96" t="e">
        <f t="shared" ca="1" si="1259"/>
        <v>#NAME?</v>
      </c>
      <c r="AB135" s="87" t="e">
        <f t="shared" ca="1" si="1259"/>
        <v>#NAME?</v>
      </c>
      <c r="AC135" s="87" t="e">
        <f t="shared" ca="1" si="1259"/>
        <v>#NAME?</v>
      </c>
      <c r="AD135" s="87" t="e">
        <f t="shared" ca="1" si="1259"/>
        <v>#NAME?</v>
      </c>
      <c r="AE135" s="87" t="e">
        <f t="shared" ca="1" si="1259"/>
        <v>#NAME?</v>
      </c>
      <c r="AG135" s="59"/>
      <c r="AI135" s="97"/>
      <c r="AJ135" s="97"/>
      <c r="AK135" s="97"/>
      <c r="AL135" s="97"/>
      <c r="AM135" s="97" t="e">
        <f t="shared" ref="AM135" ca="1" si="1260">+AM119/AI119-1</f>
        <v>#NAME?</v>
      </c>
      <c r="AN135" s="97" t="e">
        <f t="shared" ref="AN135" ca="1" si="1261">+AN119/AJ119-1</f>
        <v>#NAME?</v>
      </c>
      <c r="AO135" s="97" t="e">
        <f t="shared" ref="AO135" ca="1" si="1262">+AO119/AK119-1</f>
        <v>#NAME?</v>
      </c>
      <c r="AP135" s="97" t="e">
        <f t="shared" ref="AP135" ca="1" si="1263">+AP119/AL119-1</f>
        <v>#NAME?</v>
      </c>
      <c r="AQ135" s="97" t="e">
        <f t="shared" ref="AQ135" ca="1" si="1264">+AQ119/AM119-1</f>
        <v>#NAME?</v>
      </c>
      <c r="AR135" s="97" t="e">
        <f t="shared" ref="AR135" ca="1" si="1265">+AR119/AN119-1</f>
        <v>#NAME?</v>
      </c>
      <c r="AS135" s="97" t="e">
        <f t="shared" ref="AS135" ca="1" si="1266">+AS119/AO119-1</f>
        <v>#NAME?</v>
      </c>
      <c r="AT135" s="97" t="e">
        <f t="shared" ref="AT135" ca="1" si="1267">+AT119/AP119-1</f>
        <v>#NAME?</v>
      </c>
      <c r="AU135" s="97" t="e">
        <f t="shared" ref="AU135" ca="1" si="1268">+AU119/AQ119-1</f>
        <v>#NAME?</v>
      </c>
      <c r="AV135" s="97" t="e">
        <f t="shared" ref="AV135" ca="1" si="1269">+AV119/AR119-1</f>
        <v>#NAME?</v>
      </c>
      <c r="AW135" s="97" t="e">
        <f t="shared" ref="AW135:BY135" ca="1" si="1270">+AW119/AS119-1</f>
        <v>#NAME?</v>
      </c>
      <c r="AX135" s="97" t="e">
        <f t="shared" ca="1" si="1270"/>
        <v>#NAME?</v>
      </c>
      <c r="AY135" s="97" t="e">
        <f t="shared" ca="1" si="1270"/>
        <v>#NAME?</v>
      </c>
      <c r="AZ135" s="97" t="e">
        <f t="shared" ca="1" si="1270"/>
        <v>#NAME?</v>
      </c>
      <c r="BA135" s="97" t="e">
        <f t="shared" ca="1" si="1270"/>
        <v>#NAME?</v>
      </c>
      <c r="BB135" s="97" t="e">
        <f t="shared" ca="1" si="1270"/>
        <v>#NAME?</v>
      </c>
      <c r="BC135" s="97" t="e">
        <f t="shared" ca="1" si="1270"/>
        <v>#NAME?</v>
      </c>
      <c r="BD135" s="97" t="e">
        <f t="shared" ca="1" si="1270"/>
        <v>#NAME?</v>
      </c>
      <c r="BE135" s="97" t="e">
        <f t="shared" ca="1" si="1270"/>
        <v>#NAME?</v>
      </c>
      <c r="BF135" s="97" t="e">
        <f t="shared" ca="1" si="1270"/>
        <v>#NAME?</v>
      </c>
      <c r="BG135" s="97" t="e">
        <f t="shared" ca="1" si="1270"/>
        <v>#NAME?</v>
      </c>
      <c r="BH135" s="97" t="e">
        <f t="shared" ca="1" si="1270"/>
        <v>#NAME?</v>
      </c>
      <c r="BI135" s="97" t="e">
        <f t="shared" ca="1" si="1270"/>
        <v>#NAME?</v>
      </c>
      <c r="BJ135" s="97" t="e">
        <f t="shared" ca="1" si="1270"/>
        <v>#NAME?</v>
      </c>
      <c r="BK135" s="97" t="e">
        <f t="shared" ca="1" si="1270"/>
        <v>#NAME?</v>
      </c>
      <c r="BL135" s="97" t="e">
        <f t="shared" ca="1" si="1270"/>
        <v>#NAME?</v>
      </c>
      <c r="BM135" s="97" t="e">
        <f t="shared" ca="1" si="1270"/>
        <v>#NAME?</v>
      </c>
      <c r="BN135" s="97" t="e">
        <f t="shared" ca="1" si="1270"/>
        <v>#NAME?</v>
      </c>
      <c r="BO135" s="97" t="e">
        <f t="shared" ca="1" si="1270"/>
        <v>#NAME?</v>
      </c>
      <c r="BP135" s="97" t="e">
        <f t="shared" ca="1" si="1270"/>
        <v>#NAME?</v>
      </c>
      <c r="BQ135" s="97" t="e">
        <f t="shared" ca="1" si="1270"/>
        <v>#NAME?</v>
      </c>
      <c r="BR135" s="97" t="e">
        <f t="shared" ca="1" si="1270"/>
        <v>#NAME?</v>
      </c>
      <c r="BS135" s="97" t="e">
        <f t="shared" ca="1" si="1270"/>
        <v>#NAME?</v>
      </c>
      <c r="BT135" s="97" t="e">
        <f t="shared" ca="1" si="1270"/>
        <v>#NAME?</v>
      </c>
      <c r="BU135" s="97" t="e">
        <f t="shared" ca="1" si="1270"/>
        <v>#NAME?</v>
      </c>
      <c r="BV135" s="97" t="e">
        <f t="shared" ca="1" si="1270"/>
        <v>#NAME?</v>
      </c>
      <c r="BW135" s="97" t="e">
        <f t="shared" ca="1" si="1270"/>
        <v>#NAME?</v>
      </c>
      <c r="BX135" s="97" t="e">
        <f t="shared" ca="1" si="1270"/>
        <v>#NAME?</v>
      </c>
      <c r="BY135" s="97" t="e">
        <f t="shared" ca="1" si="1270"/>
        <v>#NAME?</v>
      </c>
      <c r="BZ135" s="87">
        <v>0.2</v>
      </c>
      <c r="CA135" s="87">
        <v>0.2</v>
      </c>
      <c r="CB135" s="87">
        <v>0.2</v>
      </c>
      <c r="CC135" s="87">
        <v>0.2</v>
      </c>
      <c r="CD135" s="87">
        <v>0.2</v>
      </c>
      <c r="CE135" s="87">
        <v>0.2</v>
      </c>
      <c r="CF135" s="87">
        <v>0.2</v>
      </c>
      <c r="CG135" s="87">
        <v>0.2</v>
      </c>
      <c r="CH135" s="87">
        <v>0.18</v>
      </c>
      <c r="CI135" s="87">
        <v>0.18</v>
      </c>
      <c r="CJ135" s="87">
        <v>0.18</v>
      </c>
      <c r="CK135" s="87">
        <v>0.18</v>
      </c>
      <c r="CL135" s="87">
        <v>0.18</v>
      </c>
      <c r="CM135" s="87">
        <v>0.18</v>
      </c>
      <c r="CN135" s="87">
        <v>0.18</v>
      </c>
      <c r="CO135" s="87">
        <v>0.18</v>
      </c>
      <c r="CS135" s="96">
        <v>0.22034762967909627</v>
      </c>
    </row>
    <row r="136" spans="1:97" s="96" customFormat="1" x14ac:dyDescent="0.2">
      <c r="A136" s="96" t="s">
        <v>51</v>
      </c>
      <c r="B136" s="96" t="e">
        <f t="shared" ref="B136:AE136" ca="1" si="1271">+B118/B115</f>
        <v>#NAME?</v>
      </c>
      <c r="C136" s="96" t="e">
        <f t="shared" ca="1" si="1271"/>
        <v>#NAME?</v>
      </c>
      <c r="D136" s="96" t="e">
        <f t="shared" ca="1" si="1271"/>
        <v>#NAME?</v>
      </c>
      <c r="E136" s="96" t="e">
        <f t="shared" ca="1" si="1271"/>
        <v>#NAME?</v>
      </c>
      <c r="F136" s="96" t="e">
        <f t="shared" ca="1" si="1271"/>
        <v>#NAME?</v>
      </c>
      <c r="G136" s="96" t="e">
        <f t="shared" ca="1" si="1271"/>
        <v>#NAME?</v>
      </c>
      <c r="H136" s="96" t="e">
        <f t="shared" ca="1" si="1271"/>
        <v>#NAME?</v>
      </c>
      <c r="I136" s="96" t="e">
        <f t="shared" ca="1" si="1271"/>
        <v>#NAME?</v>
      </c>
      <c r="J136" s="96" t="e">
        <f t="shared" ca="1" si="1271"/>
        <v>#NAME?</v>
      </c>
      <c r="K136" s="96" t="e">
        <f t="shared" ca="1" si="1271"/>
        <v>#NAME?</v>
      </c>
      <c r="L136" s="96" t="e">
        <f t="shared" ca="1" si="1271"/>
        <v>#NAME?</v>
      </c>
      <c r="M136" s="96" t="e">
        <f t="shared" ca="1" si="1271"/>
        <v>#NAME?</v>
      </c>
      <c r="N136" s="96" t="e">
        <f t="shared" ca="1" si="1271"/>
        <v>#NAME?</v>
      </c>
      <c r="O136" s="96" t="e">
        <f t="shared" ca="1" si="1271"/>
        <v>#NAME?</v>
      </c>
      <c r="P136" s="96" t="e">
        <f t="shared" ca="1" si="1271"/>
        <v>#NAME?</v>
      </c>
      <c r="Q136" s="96" t="e">
        <f t="shared" ca="1" si="1271"/>
        <v>#NAME?</v>
      </c>
      <c r="R136" s="96" t="e">
        <f t="shared" ca="1" si="1271"/>
        <v>#NAME?</v>
      </c>
      <c r="S136" s="96" t="e">
        <f t="shared" ca="1" si="1271"/>
        <v>#NAME?</v>
      </c>
      <c r="T136" s="96" t="e">
        <f t="shared" ca="1" si="1271"/>
        <v>#NAME?</v>
      </c>
      <c r="U136" s="96" t="e">
        <f t="shared" ca="1" si="1271"/>
        <v>#NAME?</v>
      </c>
      <c r="V136" s="96" t="e">
        <f t="shared" ca="1" si="1271"/>
        <v>#NAME?</v>
      </c>
      <c r="W136" s="96" t="e">
        <f t="shared" ca="1" si="1271"/>
        <v>#NAME?</v>
      </c>
      <c r="X136" s="96" t="e">
        <f t="shared" ca="1" si="1271"/>
        <v>#NAME?</v>
      </c>
      <c r="Y136" s="96" t="e">
        <f t="shared" ca="1" si="1271"/>
        <v>#NAME?</v>
      </c>
      <c r="Z136" s="96" t="e">
        <f t="shared" ca="1" si="1271"/>
        <v>#NAME?</v>
      </c>
      <c r="AA136" s="96" t="e">
        <f t="shared" ref="AA136" ca="1" si="1272">+AA118/AA115</f>
        <v>#NAME?</v>
      </c>
      <c r="AB136" s="87" t="e">
        <f t="shared" ca="1" si="1271"/>
        <v>#NAME?</v>
      </c>
      <c r="AC136" s="87" t="e">
        <f t="shared" ca="1" si="1271"/>
        <v>#NAME?</v>
      </c>
      <c r="AD136" s="87" t="e">
        <f t="shared" ca="1" si="1271"/>
        <v>#NAME?</v>
      </c>
      <c r="AE136" s="87" t="e">
        <f t="shared" ca="1" si="1271"/>
        <v>#NAME?</v>
      </c>
      <c r="AG136" s="59"/>
      <c r="AI136" s="97" t="e">
        <f t="shared" ref="AI136:AV136" ca="1" si="1273">AI118/AI115</f>
        <v>#NAME?</v>
      </c>
      <c r="AJ136" s="97" t="e">
        <f t="shared" ca="1" si="1273"/>
        <v>#NAME?</v>
      </c>
      <c r="AK136" s="97" t="e">
        <f t="shared" ca="1" si="1273"/>
        <v>#NAME?</v>
      </c>
      <c r="AL136" s="97" t="e">
        <f t="shared" ca="1" si="1273"/>
        <v>#NAME?</v>
      </c>
      <c r="AM136" s="97" t="e">
        <f t="shared" ca="1" si="1273"/>
        <v>#NAME?</v>
      </c>
      <c r="AN136" s="97" t="e">
        <f t="shared" ca="1" si="1273"/>
        <v>#NAME?</v>
      </c>
      <c r="AO136" s="97" t="e">
        <f t="shared" ca="1" si="1273"/>
        <v>#NAME?</v>
      </c>
      <c r="AP136" s="97" t="e">
        <f t="shared" ca="1" si="1273"/>
        <v>#NAME?</v>
      </c>
      <c r="AQ136" s="97" t="e">
        <f t="shared" ca="1" si="1273"/>
        <v>#NAME?</v>
      </c>
      <c r="AR136" s="97" t="e">
        <f t="shared" ca="1" si="1273"/>
        <v>#NAME?</v>
      </c>
      <c r="AS136" s="97" t="e">
        <f t="shared" ca="1" si="1273"/>
        <v>#NAME?</v>
      </c>
      <c r="AT136" s="97" t="e">
        <f t="shared" ca="1" si="1273"/>
        <v>#NAME?</v>
      </c>
      <c r="AU136" s="97" t="e">
        <f t="shared" ca="1" si="1273"/>
        <v>#NAME?</v>
      </c>
      <c r="AV136" s="97" t="e">
        <f t="shared" ca="1" si="1273"/>
        <v>#NAME?</v>
      </c>
      <c r="AW136" s="97" t="e">
        <f t="shared" ref="AW136:BV136" ca="1" si="1274">AW118/AW115</f>
        <v>#NAME?</v>
      </c>
      <c r="AX136" s="97" t="e">
        <f t="shared" ca="1" si="1274"/>
        <v>#NAME?</v>
      </c>
      <c r="AY136" s="97" t="e">
        <f t="shared" ca="1" si="1274"/>
        <v>#NAME?</v>
      </c>
      <c r="AZ136" s="97" t="e">
        <f t="shared" ca="1" si="1274"/>
        <v>#NAME?</v>
      </c>
      <c r="BA136" s="97" t="e">
        <f t="shared" ca="1" si="1274"/>
        <v>#NAME?</v>
      </c>
      <c r="BB136" s="97" t="e">
        <f t="shared" ca="1" si="1274"/>
        <v>#NAME?</v>
      </c>
      <c r="BC136" s="97" t="e">
        <f t="shared" ca="1" si="1274"/>
        <v>#NAME?</v>
      </c>
      <c r="BD136" s="97" t="e">
        <f t="shared" ca="1" si="1274"/>
        <v>#NAME?</v>
      </c>
      <c r="BE136" s="97" t="e">
        <f t="shared" ca="1" si="1274"/>
        <v>#NAME?</v>
      </c>
      <c r="BF136" s="97" t="e">
        <f t="shared" ca="1" si="1274"/>
        <v>#NAME?</v>
      </c>
      <c r="BG136" s="97" t="e">
        <f t="shared" ca="1" si="1274"/>
        <v>#NAME?</v>
      </c>
      <c r="BH136" s="97" t="e">
        <f t="shared" ca="1" si="1274"/>
        <v>#NAME?</v>
      </c>
      <c r="BI136" s="97" t="e">
        <f t="shared" ca="1" si="1274"/>
        <v>#NAME?</v>
      </c>
      <c r="BJ136" s="97" t="e">
        <f t="shared" ca="1" si="1274"/>
        <v>#NAME?</v>
      </c>
      <c r="BK136" s="97" t="e">
        <f t="shared" ca="1" si="1274"/>
        <v>#NAME?</v>
      </c>
      <c r="BL136" s="97" t="e">
        <f t="shared" ca="1" si="1274"/>
        <v>#NAME?</v>
      </c>
      <c r="BM136" s="97" t="e">
        <f t="shared" ca="1" si="1274"/>
        <v>#NAME?</v>
      </c>
      <c r="BN136" s="97" t="e">
        <f t="shared" ca="1" si="1274"/>
        <v>#NAME?</v>
      </c>
      <c r="BO136" s="97" t="e">
        <f t="shared" ca="1" si="1274"/>
        <v>#NAME?</v>
      </c>
      <c r="BP136" s="97" t="e">
        <f t="shared" ca="1" si="1274"/>
        <v>#NAME?</v>
      </c>
      <c r="BQ136" s="97" t="e">
        <f t="shared" ca="1" si="1274"/>
        <v>#NAME?</v>
      </c>
      <c r="BR136" s="97" t="e">
        <f t="shared" ca="1" si="1274"/>
        <v>#NAME?</v>
      </c>
      <c r="BS136" s="97" t="e">
        <f t="shared" ca="1" si="1274"/>
        <v>#NAME?</v>
      </c>
      <c r="BT136" s="97" t="e">
        <f t="shared" ca="1" si="1274"/>
        <v>#NAME?</v>
      </c>
      <c r="BU136" s="97" t="e">
        <f t="shared" ca="1" si="1274"/>
        <v>#NAME?</v>
      </c>
      <c r="BV136" s="97" t="e">
        <f t="shared" ca="1" si="1274"/>
        <v>#NAME?</v>
      </c>
      <c r="BW136" s="97" t="e">
        <f t="shared" ref="BW136:BX136" ca="1" si="1275">BW118/BW115</f>
        <v>#NAME?</v>
      </c>
      <c r="BX136" s="97" t="e">
        <f t="shared" ca="1" si="1275"/>
        <v>#NAME?</v>
      </c>
      <c r="BY136" s="97" t="e">
        <f t="shared" ref="BY136" ca="1" si="1276">BY118/BY115</f>
        <v>#NAME?</v>
      </c>
      <c r="BZ136" s="87" t="e">
        <f t="shared" ref="BZ136:CO136" ca="1" si="1277">+AVERAGE(BV136:BY136)</f>
        <v>#NAME?</v>
      </c>
      <c r="CA136" s="87" t="e">
        <f t="shared" ca="1" si="1277"/>
        <v>#NAME?</v>
      </c>
      <c r="CB136" s="87" t="e">
        <f t="shared" ca="1" si="1277"/>
        <v>#NAME?</v>
      </c>
      <c r="CC136" s="87" t="e">
        <f t="shared" ca="1" si="1277"/>
        <v>#NAME?</v>
      </c>
      <c r="CD136" s="87" t="e">
        <f t="shared" ca="1" si="1277"/>
        <v>#NAME?</v>
      </c>
      <c r="CE136" s="87" t="e">
        <f t="shared" ca="1" si="1277"/>
        <v>#NAME?</v>
      </c>
      <c r="CF136" s="87" t="e">
        <f t="shared" ca="1" si="1277"/>
        <v>#NAME?</v>
      </c>
      <c r="CG136" s="87" t="e">
        <f t="shared" ca="1" si="1277"/>
        <v>#NAME?</v>
      </c>
      <c r="CH136" s="87" t="e">
        <f t="shared" ca="1" si="1277"/>
        <v>#NAME?</v>
      </c>
      <c r="CI136" s="87" t="e">
        <f t="shared" ca="1" si="1277"/>
        <v>#NAME?</v>
      </c>
      <c r="CJ136" s="87" t="e">
        <f t="shared" ca="1" si="1277"/>
        <v>#NAME?</v>
      </c>
      <c r="CK136" s="87" t="e">
        <f t="shared" ca="1" si="1277"/>
        <v>#NAME?</v>
      </c>
      <c r="CL136" s="87" t="e">
        <f t="shared" ca="1" si="1277"/>
        <v>#NAME?</v>
      </c>
      <c r="CM136" s="87" t="e">
        <f t="shared" ca="1" si="1277"/>
        <v>#NAME?</v>
      </c>
      <c r="CN136" s="87" t="e">
        <f t="shared" ca="1" si="1277"/>
        <v>#NAME?</v>
      </c>
      <c r="CO136" s="87" t="e">
        <f t="shared" ca="1" si="1277"/>
        <v>#NAME?</v>
      </c>
      <c r="CS136" s="164">
        <v>0.26303968178161652</v>
      </c>
    </row>
  </sheetData>
  <sortState xmlns:xlrd2="http://schemas.microsoft.com/office/spreadsheetml/2017/richdata2" ref="A40:CO45">
    <sortCondition descending="1" ref="Z40:Z45"/>
  </sortState>
  <pageMargins left="0.7" right="0.7" top="0.75" bottom="0.75" header="0.3" footer="0.3"/>
  <pageSetup paperSize="9" orientation="portrait" horizontalDpi="0" verticalDpi="0" r:id="rId1"/>
  <ignoredErrors>
    <ignoredError sqref="T50:W50 T52:W52 T56:W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132525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34" t="s">
        <v>389</v>
      </c>
      <c r="L2" s="134" t="s">
        <v>389</v>
      </c>
    </row>
    <row r="3" spans="1:18" x14ac:dyDescent="0.25">
      <c r="A3" s="135" t="s">
        <v>390</v>
      </c>
      <c r="B3" s="136" t="s">
        <v>392</v>
      </c>
      <c r="C3" s="136" t="s">
        <v>391</v>
      </c>
      <c r="D3" s="136" t="s">
        <v>393</v>
      </c>
      <c r="E3" s="136" t="s">
        <v>394</v>
      </c>
      <c r="F3" s="136" t="s">
        <v>395</v>
      </c>
      <c r="G3" s="136" t="s">
        <v>396</v>
      </c>
      <c r="H3" s="136"/>
      <c r="I3" s="136"/>
      <c r="J3" s="136"/>
      <c r="K3" s="136"/>
      <c r="L3" s="135" t="s">
        <v>390</v>
      </c>
      <c r="M3" s="137" t="s">
        <v>391</v>
      </c>
      <c r="N3" s="137" t="s">
        <v>392</v>
      </c>
      <c r="O3" s="137" t="s">
        <v>393</v>
      </c>
      <c r="P3" s="137" t="s">
        <v>394</v>
      </c>
      <c r="Q3" s="137" t="s">
        <v>395</v>
      </c>
      <c r="R3" s="136" t="s">
        <v>396</v>
      </c>
    </row>
    <row r="4" spans="1:18" x14ac:dyDescent="0.25">
      <c r="A4" s="134">
        <v>42005</v>
      </c>
      <c r="B4" s="110">
        <v>43.9</v>
      </c>
      <c r="C4" s="110">
        <v>43.4</v>
      </c>
      <c r="D4" s="110">
        <v>42.8</v>
      </c>
      <c r="E4" s="110">
        <v>43.2</v>
      </c>
      <c r="F4" s="110">
        <v>43.4</v>
      </c>
      <c r="G4">
        <v>87842</v>
      </c>
      <c r="H4" s="110"/>
      <c r="I4" s="110"/>
      <c r="L4" s="134">
        <v>42005</v>
      </c>
      <c r="M4" s="110">
        <v>43.3</v>
      </c>
      <c r="N4" s="110">
        <v>43.9</v>
      </c>
      <c r="O4" s="110">
        <v>42.55</v>
      </c>
      <c r="P4" s="110">
        <v>43.25</v>
      </c>
      <c r="Q4" s="110">
        <v>43.3</v>
      </c>
      <c r="R4">
        <v>359899</v>
      </c>
    </row>
    <row r="5" spans="1:18" x14ac:dyDescent="0.25">
      <c r="A5" s="134">
        <v>42006</v>
      </c>
      <c r="B5" s="110">
        <v>44.6</v>
      </c>
      <c r="C5" s="110">
        <v>44.25</v>
      </c>
      <c r="D5" s="110">
        <v>43.5</v>
      </c>
      <c r="E5" s="110">
        <v>43.7</v>
      </c>
      <c r="F5" s="110">
        <v>44.25</v>
      </c>
      <c r="G5">
        <v>93679</v>
      </c>
      <c r="H5" s="110"/>
      <c r="I5" s="110"/>
      <c r="L5" s="134">
        <v>42006</v>
      </c>
      <c r="M5" s="110">
        <v>44.2</v>
      </c>
      <c r="N5" s="110">
        <v>44.75</v>
      </c>
      <c r="O5" s="110">
        <v>43.45</v>
      </c>
      <c r="P5" s="110">
        <v>43.6</v>
      </c>
      <c r="Q5" s="110">
        <v>44.2</v>
      </c>
      <c r="R5">
        <v>439062</v>
      </c>
    </row>
    <row r="6" spans="1:18" x14ac:dyDescent="0.25">
      <c r="A6" s="134">
        <v>42009</v>
      </c>
      <c r="B6" s="110">
        <v>44.8</v>
      </c>
      <c r="C6" s="110">
        <v>43.8</v>
      </c>
      <c r="D6" s="110">
        <v>43.7</v>
      </c>
      <c r="E6" s="110">
        <v>44.75</v>
      </c>
      <c r="F6" s="110">
        <v>43.8</v>
      </c>
      <c r="G6">
        <v>54031</v>
      </c>
      <c r="H6" s="110"/>
      <c r="I6" s="110"/>
      <c r="L6" s="134">
        <v>42009</v>
      </c>
      <c r="M6" s="110">
        <v>43.75</v>
      </c>
      <c r="N6" s="110">
        <v>44.75</v>
      </c>
      <c r="O6" s="110">
        <v>43.6</v>
      </c>
      <c r="P6" s="110">
        <v>44.75</v>
      </c>
      <c r="Q6" s="110">
        <v>43.75</v>
      </c>
      <c r="R6">
        <v>233477</v>
      </c>
    </row>
    <row r="7" spans="1:18" x14ac:dyDescent="0.25">
      <c r="A7" s="134">
        <v>42010</v>
      </c>
      <c r="B7" s="110">
        <v>43.65</v>
      </c>
      <c r="C7" s="110">
        <v>42.6</v>
      </c>
      <c r="D7" s="110">
        <v>42.45</v>
      </c>
      <c r="E7" s="110">
        <v>43.65</v>
      </c>
      <c r="F7" s="110">
        <v>42.6</v>
      </c>
      <c r="G7">
        <v>41454</v>
      </c>
      <c r="H7" s="110"/>
      <c r="I7" s="110"/>
      <c r="L7" s="134">
        <v>42010</v>
      </c>
      <c r="M7" s="110">
        <v>42.75</v>
      </c>
      <c r="N7" s="110">
        <v>44</v>
      </c>
      <c r="O7" s="110">
        <v>42.6</v>
      </c>
      <c r="P7" s="110">
        <v>44</v>
      </c>
      <c r="Q7" s="110">
        <v>42.75</v>
      </c>
      <c r="R7">
        <v>183005</v>
      </c>
    </row>
    <row r="8" spans="1:18" x14ac:dyDescent="0.25">
      <c r="A8" s="134">
        <v>42011</v>
      </c>
      <c r="B8" s="110">
        <v>43.75</v>
      </c>
      <c r="C8" s="110">
        <v>42.35</v>
      </c>
      <c r="D8" s="110">
        <v>42.3</v>
      </c>
      <c r="E8" s="110">
        <v>43.75</v>
      </c>
      <c r="F8" s="110">
        <v>42.35</v>
      </c>
      <c r="G8">
        <v>36840</v>
      </c>
      <c r="H8" s="110"/>
      <c r="I8" s="110"/>
      <c r="L8" s="134">
        <v>42011</v>
      </c>
      <c r="M8" s="110">
        <v>42.5</v>
      </c>
      <c r="N8" s="110">
        <v>43.1</v>
      </c>
      <c r="O8" s="110">
        <v>42.25</v>
      </c>
      <c r="P8" s="110">
        <v>42.8</v>
      </c>
      <c r="Q8" s="110">
        <v>42.5</v>
      </c>
      <c r="R8">
        <v>116260</v>
      </c>
    </row>
    <row r="9" spans="1:18" x14ac:dyDescent="0.25">
      <c r="A9" s="134">
        <v>42012</v>
      </c>
      <c r="B9" s="110">
        <v>44.2</v>
      </c>
      <c r="C9" s="110">
        <v>43.65</v>
      </c>
      <c r="D9" s="110">
        <v>42.7</v>
      </c>
      <c r="E9" s="110">
        <v>42.95</v>
      </c>
      <c r="F9" s="110">
        <v>43.65</v>
      </c>
      <c r="G9">
        <v>105860</v>
      </c>
      <c r="H9" s="110"/>
      <c r="I9" s="110"/>
      <c r="L9" s="134">
        <v>42012</v>
      </c>
      <c r="M9" s="110">
        <v>43.9</v>
      </c>
      <c r="N9" s="110">
        <v>44.3</v>
      </c>
      <c r="O9" s="110">
        <v>42.75</v>
      </c>
      <c r="P9" s="110">
        <v>42.9</v>
      </c>
      <c r="Q9" s="110">
        <v>43.9</v>
      </c>
      <c r="R9">
        <v>351327</v>
      </c>
    </row>
    <row r="10" spans="1:18" x14ac:dyDescent="0.25">
      <c r="A10" s="134">
        <v>42013</v>
      </c>
      <c r="B10" s="110">
        <v>45.6</v>
      </c>
      <c r="C10" s="110">
        <v>44</v>
      </c>
      <c r="D10" s="110">
        <v>43.8</v>
      </c>
      <c r="E10" s="110">
        <v>45.1</v>
      </c>
      <c r="F10" s="110">
        <v>44</v>
      </c>
      <c r="G10">
        <v>162152</v>
      </c>
      <c r="H10" s="110"/>
      <c r="I10" s="110"/>
      <c r="L10" s="134">
        <v>42013</v>
      </c>
      <c r="M10" s="110">
        <v>44.1</v>
      </c>
      <c r="N10" s="110">
        <v>46</v>
      </c>
      <c r="O10" s="110">
        <v>43.9</v>
      </c>
      <c r="P10" s="110">
        <v>45.5</v>
      </c>
      <c r="Q10" s="110">
        <v>44.1</v>
      </c>
      <c r="R10">
        <v>790610</v>
      </c>
    </row>
    <row r="11" spans="1:18" x14ac:dyDescent="0.25">
      <c r="A11" s="134">
        <v>42016</v>
      </c>
      <c r="B11" s="110">
        <v>44.3</v>
      </c>
      <c r="C11" s="110">
        <v>44</v>
      </c>
      <c r="D11" s="110">
        <v>43.7</v>
      </c>
      <c r="E11" s="110">
        <v>44.1</v>
      </c>
      <c r="F11" s="110">
        <v>44</v>
      </c>
      <c r="G11">
        <v>47354</v>
      </c>
      <c r="H11" s="110"/>
      <c r="I11" s="110"/>
      <c r="L11" s="134">
        <v>42016</v>
      </c>
      <c r="M11" s="110">
        <v>43.95</v>
      </c>
      <c r="N11" s="110">
        <v>44.5</v>
      </c>
      <c r="O11" s="110">
        <v>43.8</v>
      </c>
      <c r="P11" s="110">
        <v>44.5</v>
      </c>
      <c r="Q11" s="110">
        <v>43.95</v>
      </c>
      <c r="R11">
        <v>166721</v>
      </c>
    </row>
    <row r="12" spans="1:18" x14ac:dyDescent="0.25">
      <c r="A12" s="134">
        <v>42017</v>
      </c>
      <c r="B12" s="110">
        <v>44.6</v>
      </c>
      <c r="C12" s="110">
        <v>43.75</v>
      </c>
      <c r="D12" s="110">
        <v>43.65</v>
      </c>
      <c r="E12" s="110">
        <v>44</v>
      </c>
      <c r="F12" s="110">
        <v>43.75</v>
      </c>
      <c r="G12">
        <v>61577</v>
      </c>
      <c r="H12" s="110"/>
      <c r="I12" s="110"/>
      <c r="L12" s="134">
        <v>42017</v>
      </c>
      <c r="M12" s="110">
        <v>43.8</v>
      </c>
      <c r="N12" s="110">
        <v>44.8</v>
      </c>
      <c r="O12" s="110">
        <v>43.65</v>
      </c>
      <c r="P12" s="110">
        <v>44.8</v>
      </c>
      <c r="Q12" s="110">
        <v>43.8</v>
      </c>
      <c r="R12">
        <v>188129</v>
      </c>
    </row>
    <row r="13" spans="1:18" x14ac:dyDescent="0.25">
      <c r="A13" s="134">
        <v>42018</v>
      </c>
      <c r="B13" s="110">
        <v>44.05</v>
      </c>
      <c r="C13" s="110">
        <v>43.3</v>
      </c>
      <c r="D13" s="110">
        <v>43</v>
      </c>
      <c r="E13" s="110">
        <v>44.05</v>
      </c>
      <c r="F13" s="110">
        <v>43.3</v>
      </c>
      <c r="G13">
        <v>22521</v>
      </c>
      <c r="H13" s="110"/>
      <c r="I13" s="110"/>
      <c r="L13" s="134">
        <v>42018</v>
      </c>
      <c r="M13" s="110">
        <v>43.1</v>
      </c>
      <c r="N13" s="110">
        <v>44</v>
      </c>
      <c r="O13" s="110">
        <v>42.9</v>
      </c>
      <c r="P13" s="110">
        <v>44</v>
      </c>
      <c r="Q13" s="110">
        <v>43.1</v>
      </c>
      <c r="R13">
        <v>131202</v>
      </c>
    </row>
    <row r="14" spans="1:18" x14ac:dyDescent="0.25">
      <c r="A14" s="134">
        <v>42019</v>
      </c>
      <c r="B14" s="110">
        <v>45</v>
      </c>
      <c r="C14" s="110">
        <v>44.1</v>
      </c>
      <c r="D14" s="110">
        <v>43.9</v>
      </c>
      <c r="E14" s="110">
        <v>44.2</v>
      </c>
      <c r="F14" s="110">
        <v>44.1</v>
      </c>
      <c r="G14">
        <v>120873</v>
      </c>
      <c r="H14" s="110"/>
      <c r="I14" s="110"/>
      <c r="L14" s="134">
        <v>42019</v>
      </c>
      <c r="M14" s="110">
        <v>44.15</v>
      </c>
      <c r="N14" s="110">
        <v>45</v>
      </c>
      <c r="O14" s="110">
        <v>44</v>
      </c>
      <c r="P14" s="110">
        <v>44.9</v>
      </c>
      <c r="Q14" s="110">
        <v>44.15</v>
      </c>
      <c r="R14">
        <v>361670</v>
      </c>
    </row>
    <row r="15" spans="1:18" x14ac:dyDescent="0.25">
      <c r="A15" s="134">
        <v>42020</v>
      </c>
      <c r="B15" s="110">
        <v>44.1</v>
      </c>
      <c r="C15" s="110">
        <v>43.65</v>
      </c>
      <c r="D15" s="110">
        <v>43.45</v>
      </c>
      <c r="E15" s="110">
        <v>44.1</v>
      </c>
      <c r="F15" s="110">
        <v>43.65</v>
      </c>
      <c r="G15">
        <v>27773</v>
      </c>
      <c r="H15" s="110"/>
      <c r="I15" s="110"/>
      <c r="L15" s="134">
        <v>42020</v>
      </c>
      <c r="M15" s="110">
        <v>43.6</v>
      </c>
      <c r="N15" s="110">
        <v>44.25</v>
      </c>
      <c r="O15" s="110">
        <v>43.4</v>
      </c>
      <c r="P15" s="110">
        <v>44.05</v>
      </c>
      <c r="Q15" s="110">
        <v>43.6</v>
      </c>
      <c r="R15">
        <v>98041</v>
      </c>
    </row>
    <row r="16" spans="1:18" x14ac:dyDescent="0.25">
      <c r="A16" s="134">
        <v>42023</v>
      </c>
      <c r="B16" s="110">
        <v>43.9</v>
      </c>
      <c r="C16" s="110">
        <v>43.7</v>
      </c>
      <c r="D16" s="110">
        <v>43.35</v>
      </c>
      <c r="E16" s="110">
        <v>43.6</v>
      </c>
      <c r="F16" s="110">
        <v>43.7</v>
      </c>
      <c r="G16">
        <v>31381</v>
      </c>
      <c r="H16" s="110"/>
      <c r="I16" s="110"/>
      <c r="L16" s="134">
        <v>42023</v>
      </c>
      <c r="M16" s="110">
        <v>43.55</v>
      </c>
      <c r="N16" s="110">
        <v>43.9</v>
      </c>
      <c r="O16" s="110">
        <v>43.3</v>
      </c>
      <c r="P16" s="110">
        <v>43.6</v>
      </c>
      <c r="Q16" s="110">
        <v>43.55</v>
      </c>
      <c r="R16">
        <v>109818</v>
      </c>
    </row>
    <row r="17" spans="1:18" x14ac:dyDescent="0.25">
      <c r="A17" s="134">
        <v>42024</v>
      </c>
      <c r="B17" s="110">
        <v>43.95</v>
      </c>
      <c r="C17" s="110">
        <v>43.6</v>
      </c>
      <c r="D17" s="110">
        <v>43.4</v>
      </c>
      <c r="E17" s="110">
        <v>43.8</v>
      </c>
      <c r="F17" s="110">
        <v>43.6</v>
      </c>
      <c r="G17">
        <v>42146</v>
      </c>
      <c r="H17" s="110"/>
      <c r="I17" s="110"/>
      <c r="L17" s="134">
        <v>42024</v>
      </c>
      <c r="M17" s="110">
        <v>43.4</v>
      </c>
      <c r="N17" s="110">
        <v>43.85</v>
      </c>
      <c r="O17" s="110">
        <v>43.25</v>
      </c>
      <c r="P17" s="110">
        <v>43.35</v>
      </c>
      <c r="Q17" s="110">
        <v>43.4</v>
      </c>
      <c r="R17">
        <v>153694</v>
      </c>
    </row>
    <row r="18" spans="1:18" x14ac:dyDescent="0.25">
      <c r="A18" s="134">
        <v>42025</v>
      </c>
      <c r="B18" s="110">
        <v>44.45</v>
      </c>
      <c r="C18" s="110">
        <v>43.8</v>
      </c>
      <c r="D18" s="110">
        <v>43.4</v>
      </c>
      <c r="E18" s="110">
        <v>43.45</v>
      </c>
      <c r="F18" s="110">
        <v>43.8</v>
      </c>
      <c r="G18">
        <v>43344</v>
      </c>
      <c r="H18" s="110"/>
      <c r="I18" s="110"/>
      <c r="L18" s="134">
        <v>42025</v>
      </c>
      <c r="M18" s="110">
        <v>43.75</v>
      </c>
      <c r="N18" s="110">
        <v>44.35</v>
      </c>
      <c r="O18" s="110">
        <v>43.4</v>
      </c>
      <c r="P18" s="110">
        <v>43.4</v>
      </c>
      <c r="Q18" s="110">
        <v>43.75</v>
      </c>
      <c r="R18">
        <v>200233</v>
      </c>
    </row>
    <row r="19" spans="1:18" x14ac:dyDescent="0.25">
      <c r="A19" s="134">
        <v>42026</v>
      </c>
      <c r="B19" s="110">
        <v>43.9</v>
      </c>
      <c r="C19" s="110">
        <v>43.05</v>
      </c>
      <c r="D19" s="110">
        <v>42.75</v>
      </c>
      <c r="E19" s="110">
        <v>42.75</v>
      </c>
      <c r="F19" s="110">
        <v>43.05</v>
      </c>
      <c r="G19">
        <v>73829</v>
      </c>
      <c r="H19" s="110"/>
      <c r="I19" s="110"/>
      <c r="L19" s="134">
        <v>42026</v>
      </c>
      <c r="M19" s="110">
        <v>43</v>
      </c>
      <c r="N19" s="110">
        <v>43.85</v>
      </c>
      <c r="O19" s="110">
        <v>42.9</v>
      </c>
      <c r="P19" s="110">
        <v>43.55</v>
      </c>
      <c r="Q19" s="110">
        <v>43</v>
      </c>
      <c r="R19">
        <v>197943</v>
      </c>
    </row>
    <row r="20" spans="1:18" x14ac:dyDescent="0.25">
      <c r="A20" s="134">
        <v>42027</v>
      </c>
      <c r="B20" s="110">
        <v>43.75</v>
      </c>
      <c r="C20" s="110">
        <v>42.85</v>
      </c>
      <c r="D20" s="110">
        <v>42.65</v>
      </c>
      <c r="E20" s="110">
        <v>43.3</v>
      </c>
      <c r="F20" s="110">
        <v>42.85</v>
      </c>
      <c r="G20">
        <v>52007</v>
      </c>
      <c r="H20" s="110"/>
      <c r="I20" s="110"/>
      <c r="L20" s="134">
        <v>42027</v>
      </c>
      <c r="M20" s="110">
        <v>42.8</v>
      </c>
      <c r="N20" s="110">
        <v>43.8</v>
      </c>
      <c r="O20" s="110">
        <v>42.65</v>
      </c>
      <c r="P20" s="110">
        <v>43.3</v>
      </c>
      <c r="Q20" s="110">
        <v>42.8</v>
      </c>
      <c r="R20">
        <v>143905</v>
      </c>
    </row>
    <row r="21" spans="1:18" x14ac:dyDescent="0.25">
      <c r="A21" s="134">
        <v>42031</v>
      </c>
      <c r="B21" s="110">
        <v>43.6</v>
      </c>
      <c r="C21" s="110">
        <v>42.7</v>
      </c>
      <c r="D21" s="110">
        <v>42.55</v>
      </c>
      <c r="E21" s="110">
        <v>43.1</v>
      </c>
      <c r="F21" s="110">
        <v>42.7</v>
      </c>
      <c r="G21">
        <v>26527</v>
      </c>
      <c r="H21" s="110"/>
      <c r="I21" s="110"/>
      <c r="L21" s="134">
        <v>42031</v>
      </c>
      <c r="M21" s="110">
        <v>42.7</v>
      </c>
      <c r="N21" s="110">
        <v>43.6</v>
      </c>
      <c r="O21" s="110">
        <v>42.55</v>
      </c>
      <c r="P21" s="110">
        <v>43</v>
      </c>
      <c r="Q21" s="110">
        <v>42.7</v>
      </c>
      <c r="R21">
        <v>154237</v>
      </c>
    </row>
    <row r="22" spans="1:18" x14ac:dyDescent="0.25">
      <c r="A22" s="134">
        <v>42032</v>
      </c>
      <c r="B22" s="110">
        <v>43.1</v>
      </c>
      <c r="C22" s="110">
        <v>42.25</v>
      </c>
      <c r="D22" s="110">
        <v>41.8</v>
      </c>
      <c r="E22" s="110">
        <v>42.55</v>
      </c>
      <c r="F22" s="110">
        <v>42.25</v>
      </c>
      <c r="G22">
        <v>54503</v>
      </c>
      <c r="H22" s="110"/>
      <c r="I22" s="110"/>
      <c r="L22" s="134">
        <v>42032</v>
      </c>
      <c r="M22" s="110">
        <v>42.15</v>
      </c>
      <c r="N22" s="110">
        <v>43</v>
      </c>
      <c r="O22" s="110">
        <v>41.9</v>
      </c>
      <c r="P22" s="110">
        <v>42.65</v>
      </c>
      <c r="Q22" s="110">
        <v>42.15</v>
      </c>
      <c r="R22">
        <v>158784</v>
      </c>
    </row>
    <row r="23" spans="1:18" x14ac:dyDescent="0.25">
      <c r="A23" s="134">
        <v>42033</v>
      </c>
      <c r="B23" s="110">
        <v>42.55</v>
      </c>
      <c r="C23" s="110">
        <v>42.1</v>
      </c>
      <c r="D23" s="110">
        <v>41.85</v>
      </c>
      <c r="E23" s="110">
        <v>42.25</v>
      </c>
      <c r="F23" s="110">
        <v>42.1</v>
      </c>
      <c r="G23">
        <v>27252</v>
      </c>
      <c r="H23" s="110"/>
      <c r="I23" s="110"/>
      <c r="L23" s="134">
        <v>42033</v>
      </c>
      <c r="M23" s="110">
        <v>41.95</v>
      </c>
      <c r="N23" s="110">
        <v>42.55</v>
      </c>
      <c r="O23" s="110">
        <v>41.75</v>
      </c>
      <c r="P23" s="110">
        <v>42.45</v>
      </c>
      <c r="Q23" s="110">
        <v>41.95</v>
      </c>
      <c r="R23">
        <v>113526</v>
      </c>
    </row>
    <row r="24" spans="1:18" x14ac:dyDescent="0.25">
      <c r="A24" s="134">
        <v>42034</v>
      </c>
      <c r="B24" s="110">
        <v>42.55</v>
      </c>
      <c r="C24" s="110">
        <v>41.8</v>
      </c>
      <c r="D24" s="110">
        <v>41.05</v>
      </c>
      <c r="E24" s="110">
        <v>42.35</v>
      </c>
      <c r="F24" s="110">
        <v>41.8</v>
      </c>
      <c r="G24">
        <v>75461</v>
      </c>
      <c r="H24" s="110"/>
      <c r="I24" s="110"/>
      <c r="L24" s="134">
        <v>42034</v>
      </c>
      <c r="M24" s="110">
        <v>41.6</v>
      </c>
      <c r="N24" s="110">
        <v>43.3</v>
      </c>
      <c r="O24" s="110">
        <v>41</v>
      </c>
      <c r="P24" s="110">
        <v>43.3</v>
      </c>
      <c r="Q24" s="110">
        <v>41.6</v>
      </c>
      <c r="R24">
        <v>254218</v>
      </c>
    </row>
    <row r="25" spans="1:18" x14ac:dyDescent="0.25">
      <c r="A25" s="134">
        <v>42037</v>
      </c>
      <c r="B25" s="110">
        <v>42</v>
      </c>
      <c r="C25" s="110">
        <v>41.7</v>
      </c>
      <c r="D25" s="110">
        <v>41.3</v>
      </c>
      <c r="E25" s="110">
        <v>41.3</v>
      </c>
      <c r="F25" s="110">
        <v>41.7</v>
      </c>
      <c r="G25">
        <v>46781</v>
      </c>
      <c r="H25" s="110"/>
      <c r="I25" s="110"/>
      <c r="L25" s="134">
        <v>42037</v>
      </c>
      <c r="M25" s="110">
        <v>41.7</v>
      </c>
      <c r="N25" s="110">
        <v>42</v>
      </c>
      <c r="O25" s="110">
        <v>41.4</v>
      </c>
      <c r="P25" s="110">
        <v>41.5</v>
      </c>
      <c r="Q25" s="110">
        <v>41.7</v>
      </c>
      <c r="R25">
        <v>145693</v>
      </c>
    </row>
    <row r="26" spans="1:18" x14ac:dyDescent="0.25">
      <c r="A26" s="134">
        <v>42038</v>
      </c>
      <c r="B26" s="110">
        <v>42.4</v>
      </c>
      <c r="C26" s="110">
        <v>41.45</v>
      </c>
      <c r="D26" s="110">
        <v>41.3</v>
      </c>
      <c r="E26" s="110">
        <v>42</v>
      </c>
      <c r="F26" s="110">
        <v>41.45</v>
      </c>
      <c r="G26">
        <v>47014</v>
      </c>
      <c r="H26" s="110"/>
      <c r="I26" s="110"/>
      <c r="L26" s="134">
        <v>42038</v>
      </c>
      <c r="M26" s="110">
        <v>41.35</v>
      </c>
      <c r="N26" s="110">
        <v>43</v>
      </c>
      <c r="O26" s="110">
        <v>41.1</v>
      </c>
      <c r="P26" s="110">
        <v>41.55</v>
      </c>
      <c r="Q26" s="110">
        <v>41.35</v>
      </c>
      <c r="R26">
        <v>181761</v>
      </c>
    </row>
    <row r="27" spans="1:18" x14ac:dyDescent="0.25">
      <c r="A27" s="134">
        <v>42039</v>
      </c>
      <c r="B27" s="110">
        <v>41.75</v>
      </c>
      <c r="C27" s="110">
        <v>41.05</v>
      </c>
      <c r="D27" s="110">
        <v>40.700000000000003</v>
      </c>
      <c r="E27" s="110">
        <v>41.65</v>
      </c>
      <c r="F27" s="110">
        <v>41.05</v>
      </c>
      <c r="G27">
        <v>34228</v>
      </c>
      <c r="H27" s="110"/>
      <c r="I27" s="110"/>
      <c r="L27" s="134">
        <v>42039</v>
      </c>
      <c r="M27" s="110">
        <v>41</v>
      </c>
      <c r="N27" s="110">
        <v>41.75</v>
      </c>
      <c r="O27" s="110">
        <v>40.75</v>
      </c>
      <c r="P27" s="110">
        <v>41.5</v>
      </c>
      <c r="Q27" s="110">
        <v>41</v>
      </c>
      <c r="R27">
        <v>122870</v>
      </c>
    </row>
    <row r="28" spans="1:18" x14ac:dyDescent="0.25">
      <c r="A28" s="134">
        <v>42040</v>
      </c>
      <c r="B28" s="110">
        <v>41.4</v>
      </c>
      <c r="C28" s="110">
        <v>40.799999999999997</v>
      </c>
      <c r="D28" s="110">
        <v>40.700000000000003</v>
      </c>
      <c r="E28" s="110">
        <v>41.15</v>
      </c>
      <c r="F28" s="110">
        <v>40.799999999999997</v>
      </c>
      <c r="G28">
        <v>39987</v>
      </c>
      <c r="H28" s="110"/>
      <c r="I28" s="110"/>
      <c r="L28" s="134">
        <v>42040</v>
      </c>
      <c r="M28" s="110">
        <v>40.65</v>
      </c>
      <c r="N28" s="110">
        <v>41.55</v>
      </c>
      <c r="O28" s="110">
        <v>40.5</v>
      </c>
      <c r="P28" s="110">
        <v>41.55</v>
      </c>
      <c r="Q28" s="110">
        <v>40.65</v>
      </c>
      <c r="R28">
        <v>114968</v>
      </c>
    </row>
    <row r="29" spans="1:18" x14ac:dyDescent="0.25">
      <c r="A29" s="134">
        <v>42041</v>
      </c>
      <c r="B29" s="110">
        <v>41.3</v>
      </c>
      <c r="C29" s="110">
        <v>40.35</v>
      </c>
      <c r="D29" s="110">
        <v>40</v>
      </c>
      <c r="E29" s="110">
        <v>40.799999999999997</v>
      </c>
      <c r="F29" s="110">
        <v>40.35</v>
      </c>
      <c r="G29">
        <v>87054</v>
      </c>
      <c r="H29" s="110"/>
      <c r="I29" s="110"/>
      <c r="L29" s="134">
        <v>42041</v>
      </c>
      <c r="M29" s="110">
        <v>40.35</v>
      </c>
      <c r="N29" s="110">
        <v>40.950000000000003</v>
      </c>
      <c r="O29" s="110">
        <v>40.049999999999997</v>
      </c>
      <c r="P29" s="110">
        <v>40.4</v>
      </c>
      <c r="Q29" s="110">
        <v>40.35</v>
      </c>
      <c r="R29">
        <v>133129</v>
      </c>
    </row>
    <row r="30" spans="1:18" x14ac:dyDescent="0.25">
      <c r="A30" s="134">
        <v>42044</v>
      </c>
      <c r="B30" s="110">
        <v>40.5</v>
      </c>
      <c r="C30" s="110">
        <v>39.549999999999997</v>
      </c>
      <c r="D30" s="110">
        <v>39.450000000000003</v>
      </c>
      <c r="E30" s="110">
        <v>40</v>
      </c>
      <c r="F30" s="110">
        <v>39.549999999999997</v>
      </c>
      <c r="G30">
        <v>42860</v>
      </c>
      <c r="H30" s="110"/>
      <c r="I30" s="110"/>
      <c r="L30" s="134">
        <v>42044</v>
      </c>
      <c r="M30" s="110">
        <v>39.549999999999997</v>
      </c>
      <c r="N30" s="110">
        <v>40.5</v>
      </c>
      <c r="O30" s="110">
        <v>39.4</v>
      </c>
      <c r="P30" s="110">
        <v>40.25</v>
      </c>
      <c r="Q30" s="110">
        <v>39.549999999999997</v>
      </c>
      <c r="R30">
        <v>186640</v>
      </c>
    </row>
    <row r="31" spans="1:18" x14ac:dyDescent="0.25">
      <c r="A31" s="134">
        <v>42045</v>
      </c>
      <c r="B31" s="110">
        <v>40.35</v>
      </c>
      <c r="C31" s="110">
        <v>39.700000000000003</v>
      </c>
      <c r="D31" s="110">
        <v>39.25</v>
      </c>
      <c r="E31" s="110">
        <v>39.25</v>
      </c>
      <c r="F31" s="110">
        <v>39.700000000000003</v>
      </c>
      <c r="G31">
        <v>29001</v>
      </c>
      <c r="H31" s="110"/>
      <c r="I31" s="110"/>
      <c r="L31" s="134">
        <v>42045</v>
      </c>
      <c r="M31" s="110">
        <v>39.799999999999997</v>
      </c>
      <c r="N31" s="110">
        <v>40.4</v>
      </c>
      <c r="O31" s="110">
        <v>39.1</v>
      </c>
      <c r="P31" s="110">
        <v>39.5</v>
      </c>
      <c r="Q31" s="110">
        <v>39.799999999999997</v>
      </c>
      <c r="R31">
        <v>101480</v>
      </c>
    </row>
    <row r="32" spans="1:18" x14ac:dyDescent="0.25">
      <c r="A32" s="134">
        <v>42046</v>
      </c>
      <c r="B32" s="110">
        <v>40.25</v>
      </c>
      <c r="C32" s="110">
        <v>40.1</v>
      </c>
      <c r="D32" s="110">
        <v>39.700000000000003</v>
      </c>
      <c r="E32" s="110">
        <v>40.049999999999997</v>
      </c>
      <c r="F32" s="110">
        <v>40.1</v>
      </c>
      <c r="G32">
        <v>19958</v>
      </c>
      <c r="H32" s="110"/>
      <c r="I32" s="110"/>
      <c r="L32" s="134">
        <v>42046</v>
      </c>
      <c r="M32" s="110">
        <v>40.15</v>
      </c>
      <c r="N32" s="110">
        <v>40.35</v>
      </c>
      <c r="O32" s="110">
        <v>39.5</v>
      </c>
      <c r="P32" s="110">
        <v>39.5</v>
      </c>
      <c r="Q32" s="110">
        <v>40.15</v>
      </c>
      <c r="R32">
        <v>81968</v>
      </c>
    </row>
    <row r="33" spans="1:18" x14ac:dyDescent="0.25">
      <c r="A33" s="134">
        <v>42047</v>
      </c>
      <c r="B33" s="110">
        <v>40.549999999999997</v>
      </c>
      <c r="C33" s="110">
        <v>40.1</v>
      </c>
      <c r="D33" s="110">
        <v>39.700000000000003</v>
      </c>
      <c r="E33" s="110">
        <v>40.1</v>
      </c>
      <c r="F33" s="110">
        <v>40.1</v>
      </c>
      <c r="G33">
        <v>41754</v>
      </c>
      <c r="H33" s="110"/>
      <c r="I33" s="110"/>
      <c r="L33" s="134">
        <v>42047</v>
      </c>
      <c r="M33" s="110">
        <v>40.15</v>
      </c>
      <c r="N33" s="110">
        <v>40.6</v>
      </c>
      <c r="O33" s="110">
        <v>39.6</v>
      </c>
      <c r="P33" s="110">
        <v>40.1</v>
      </c>
      <c r="Q33" s="110">
        <v>40.15</v>
      </c>
      <c r="R33">
        <v>207647</v>
      </c>
    </row>
    <row r="34" spans="1:18" x14ac:dyDescent="0.25">
      <c r="A34" s="134">
        <v>42048</v>
      </c>
      <c r="B34" s="110">
        <v>41</v>
      </c>
      <c r="C34" s="110">
        <v>40.6</v>
      </c>
      <c r="D34" s="110">
        <v>40.1</v>
      </c>
      <c r="E34" s="110">
        <v>40.1</v>
      </c>
      <c r="F34" s="110">
        <v>40.6</v>
      </c>
      <c r="G34">
        <v>80748</v>
      </c>
      <c r="H34" s="110"/>
      <c r="I34" s="110"/>
      <c r="L34" s="134">
        <v>42048</v>
      </c>
      <c r="M34" s="110">
        <v>40.5</v>
      </c>
      <c r="N34" s="110">
        <v>41.5</v>
      </c>
      <c r="O34" s="110">
        <v>40.200000000000003</v>
      </c>
      <c r="P34" s="110">
        <v>40.5</v>
      </c>
      <c r="Q34" s="110">
        <v>40.5</v>
      </c>
      <c r="R34">
        <v>281350</v>
      </c>
    </row>
    <row r="35" spans="1:18" x14ac:dyDescent="0.25">
      <c r="A35" s="134">
        <v>42051</v>
      </c>
      <c r="B35" s="110">
        <v>41.85</v>
      </c>
      <c r="C35" s="110">
        <v>40.700000000000003</v>
      </c>
      <c r="D35" s="110">
        <v>40.549999999999997</v>
      </c>
      <c r="E35" s="110">
        <v>40.549999999999997</v>
      </c>
      <c r="F35" s="110">
        <v>40.700000000000003</v>
      </c>
      <c r="G35">
        <v>71974</v>
      </c>
      <c r="H35" s="110"/>
      <c r="I35" s="110"/>
      <c r="L35" s="134">
        <v>42051</v>
      </c>
      <c r="M35" s="110">
        <v>40.799999999999997</v>
      </c>
      <c r="N35" s="110">
        <v>41.9</v>
      </c>
      <c r="O35" s="110">
        <v>40.5</v>
      </c>
      <c r="P35" s="110">
        <v>41.5</v>
      </c>
      <c r="Q35" s="110">
        <v>40.799999999999997</v>
      </c>
      <c r="R35">
        <v>459242</v>
      </c>
    </row>
    <row r="36" spans="1:18" x14ac:dyDescent="0.25">
      <c r="A36" s="134">
        <v>42053</v>
      </c>
      <c r="B36" s="110">
        <v>41.2</v>
      </c>
      <c r="C36" s="110">
        <v>40.450000000000003</v>
      </c>
      <c r="D36" s="110">
        <v>40.25</v>
      </c>
      <c r="E36" s="110">
        <v>41</v>
      </c>
      <c r="F36" s="110">
        <v>40.450000000000003</v>
      </c>
      <c r="G36">
        <v>35955</v>
      </c>
      <c r="H36" s="110"/>
      <c r="I36" s="110"/>
      <c r="L36" s="134">
        <v>42053</v>
      </c>
      <c r="M36" s="110">
        <v>40.4</v>
      </c>
      <c r="N36" s="110">
        <v>41.15</v>
      </c>
      <c r="O36" s="110">
        <v>40.299999999999997</v>
      </c>
      <c r="P36" s="110">
        <v>40.950000000000003</v>
      </c>
      <c r="Q36" s="110">
        <v>40.4</v>
      </c>
      <c r="R36">
        <v>224835</v>
      </c>
    </row>
    <row r="37" spans="1:18" x14ac:dyDescent="0.25">
      <c r="A37" s="134">
        <v>42054</v>
      </c>
      <c r="B37" s="110">
        <v>40.700000000000003</v>
      </c>
      <c r="C37" s="110">
        <v>40.200000000000003</v>
      </c>
      <c r="D37" s="110">
        <v>40</v>
      </c>
      <c r="E37" s="110">
        <v>40.5</v>
      </c>
      <c r="F37" s="110">
        <v>40.200000000000003</v>
      </c>
      <c r="G37">
        <v>35694</v>
      </c>
      <c r="H37" s="110"/>
      <c r="I37" s="110"/>
      <c r="L37" s="134">
        <v>42054</v>
      </c>
      <c r="M37" s="110">
        <v>40.15</v>
      </c>
      <c r="N37" s="110">
        <v>40.65</v>
      </c>
      <c r="O37" s="110">
        <v>40</v>
      </c>
      <c r="P37" s="110">
        <v>40.6</v>
      </c>
      <c r="Q37" s="110">
        <v>40.15</v>
      </c>
      <c r="R37">
        <v>127378</v>
      </c>
    </row>
    <row r="38" spans="1:18" x14ac:dyDescent="0.25">
      <c r="A38" s="134">
        <v>42055</v>
      </c>
      <c r="B38" s="110">
        <v>40.799999999999997</v>
      </c>
      <c r="C38" s="110">
        <v>40.4</v>
      </c>
      <c r="D38" s="110">
        <v>40.1</v>
      </c>
      <c r="E38" s="110">
        <v>40.5</v>
      </c>
      <c r="F38" s="110">
        <v>40.4</v>
      </c>
      <c r="G38">
        <v>47687</v>
      </c>
      <c r="H38" s="110"/>
      <c r="I38" s="110"/>
      <c r="L38" s="134">
        <v>42055</v>
      </c>
      <c r="M38" s="110">
        <v>40.299999999999997</v>
      </c>
      <c r="N38" s="110">
        <v>40.700000000000003</v>
      </c>
      <c r="O38" s="110">
        <v>40.049999999999997</v>
      </c>
      <c r="P38" s="110">
        <v>40.15</v>
      </c>
      <c r="Q38" s="110">
        <v>40.299999999999997</v>
      </c>
      <c r="R38">
        <v>184692</v>
      </c>
    </row>
    <row r="39" spans="1:18" x14ac:dyDescent="0.25">
      <c r="A39" s="134">
        <v>42058</v>
      </c>
      <c r="B39" s="110">
        <v>40.85</v>
      </c>
      <c r="C39" s="110">
        <v>39.9</v>
      </c>
      <c r="D39" s="110">
        <v>39.799999999999997</v>
      </c>
      <c r="E39" s="110">
        <v>40.5</v>
      </c>
      <c r="F39" s="110">
        <v>39.9</v>
      </c>
      <c r="G39">
        <v>50112</v>
      </c>
      <c r="H39" s="110"/>
      <c r="I39" s="110"/>
      <c r="L39" s="134">
        <v>42058</v>
      </c>
      <c r="M39" s="110">
        <v>40</v>
      </c>
      <c r="N39" s="110">
        <v>40.799999999999997</v>
      </c>
      <c r="O39" s="110">
        <v>39.85</v>
      </c>
      <c r="P39" s="110">
        <v>40.5</v>
      </c>
      <c r="Q39" s="110">
        <v>40</v>
      </c>
      <c r="R39">
        <v>159478</v>
      </c>
    </row>
    <row r="40" spans="1:18" x14ac:dyDescent="0.25">
      <c r="A40" s="134">
        <v>42059</v>
      </c>
      <c r="B40" s="110">
        <v>40.299999999999997</v>
      </c>
      <c r="C40" s="110">
        <v>39.75</v>
      </c>
      <c r="D40" s="110">
        <v>39.549999999999997</v>
      </c>
      <c r="E40" s="110">
        <v>40.299999999999997</v>
      </c>
      <c r="F40" s="110">
        <v>39.75</v>
      </c>
      <c r="G40">
        <v>23309</v>
      </c>
      <c r="H40" s="110"/>
      <c r="I40" s="110"/>
      <c r="L40" s="134">
        <v>42059</v>
      </c>
      <c r="M40" s="110">
        <v>39.65</v>
      </c>
      <c r="N40" s="110">
        <v>40</v>
      </c>
      <c r="O40" s="110">
        <v>39.5</v>
      </c>
      <c r="P40" s="110">
        <v>39.9</v>
      </c>
      <c r="Q40" s="110">
        <v>39.65</v>
      </c>
      <c r="R40">
        <v>107988</v>
      </c>
    </row>
    <row r="41" spans="1:18" x14ac:dyDescent="0.25">
      <c r="A41" s="134">
        <v>42060</v>
      </c>
      <c r="B41" s="110">
        <v>40.299999999999997</v>
      </c>
      <c r="C41" s="110">
        <v>39.65</v>
      </c>
      <c r="D41" s="110">
        <v>39.5</v>
      </c>
      <c r="E41" s="110">
        <v>40.049999999999997</v>
      </c>
      <c r="F41" s="110">
        <v>39.65</v>
      </c>
      <c r="G41">
        <v>32841</v>
      </c>
      <c r="H41" s="110"/>
      <c r="I41" s="110"/>
      <c r="L41" s="134">
        <v>42060</v>
      </c>
      <c r="M41" s="110">
        <v>39.65</v>
      </c>
      <c r="N41" s="110">
        <v>40.200000000000003</v>
      </c>
      <c r="O41" s="110">
        <v>39.549999999999997</v>
      </c>
      <c r="P41" s="110">
        <v>39.75</v>
      </c>
      <c r="Q41" s="110">
        <v>39.65</v>
      </c>
      <c r="R41">
        <v>107982</v>
      </c>
    </row>
    <row r="42" spans="1:18" x14ac:dyDescent="0.25">
      <c r="A42" s="134">
        <v>42061</v>
      </c>
      <c r="B42" s="110">
        <v>39.75</v>
      </c>
      <c r="C42" s="110">
        <v>39.299999999999997</v>
      </c>
      <c r="D42" s="110">
        <v>39.049999999999997</v>
      </c>
      <c r="E42" s="110">
        <v>39.75</v>
      </c>
      <c r="F42" s="110">
        <v>39.299999999999997</v>
      </c>
      <c r="G42">
        <v>22448</v>
      </c>
      <c r="H42" s="110"/>
      <c r="I42" s="110"/>
      <c r="L42" s="134">
        <v>42061</v>
      </c>
      <c r="M42" s="110">
        <v>39.25</v>
      </c>
      <c r="N42" s="110">
        <v>39.9</v>
      </c>
      <c r="O42" s="110">
        <v>39.049999999999997</v>
      </c>
      <c r="P42" s="110">
        <v>39.75</v>
      </c>
      <c r="Q42" s="110">
        <v>39.25</v>
      </c>
      <c r="R42">
        <v>100600</v>
      </c>
    </row>
    <row r="43" spans="1:18" x14ac:dyDescent="0.25">
      <c r="A43" s="134">
        <v>42062</v>
      </c>
      <c r="B43" s="110">
        <v>40.25</v>
      </c>
      <c r="C43" s="110">
        <v>40</v>
      </c>
      <c r="D43" s="110">
        <v>39.299999999999997</v>
      </c>
      <c r="E43" s="110">
        <v>39.5</v>
      </c>
      <c r="F43" s="110">
        <v>40</v>
      </c>
      <c r="G43">
        <v>43339</v>
      </c>
      <c r="H43" s="110"/>
      <c r="I43" s="110"/>
      <c r="L43" s="134">
        <v>42062</v>
      </c>
      <c r="M43" s="110">
        <v>39.950000000000003</v>
      </c>
      <c r="N43" s="110">
        <v>40.25</v>
      </c>
      <c r="O43" s="110">
        <v>39.200000000000003</v>
      </c>
      <c r="P43" s="110">
        <v>39.75</v>
      </c>
      <c r="Q43" s="110">
        <v>39.950000000000003</v>
      </c>
      <c r="R43">
        <v>179877</v>
      </c>
    </row>
    <row r="44" spans="1:18" x14ac:dyDescent="0.25">
      <c r="A44" s="134">
        <v>42063</v>
      </c>
      <c r="B44" s="110">
        <v>40.950000000000003</v>
      </c>
      <c r="C44" s="110">
        <v>39.85</v>
      </c>
      <c r="D44" s="110">
        <v>39.65</v>
      </c>
      <c r="E44" s="110">
        <v>40.5</v>
      </c>
      <c r="F44" s="110">
        <v>39.85</v>
      </c>
      <c r="G44">
        <v>30535</v>
      </c>
      <c r="H44" s="110"/>
      <c r="I44" s="110"/>
      <c r="L44" s="134">
        <v>42063</v>
      </c>
      <c r="M44" s="110">
        <v>39.65</v>
      </c>
      <c r="N44" s="110">
        <v>40.799999999999997</v>
      </c>
      <c r="O44" s="110">
        <v>39.450000000000003</v>
      </c>
      <c r="P44" s="110">
        <v>40.75</v>
      </c>
      <c r="Q44" s="110">
        <v>39.65</v>
      </c>
      <c r="R44">
        <v>222846</v>
      </c>
    </row>
    <row r="45" spans="1:18" x14ac:dyDescent="0.25">
      <c r="A45" s="134">
        <v>42065</v>
      </c>
      <c r="B45" s="110">
        <v>40.15</v>
      </c>
      <c r="C45" s="110">
        <v>39.700000000000003</v>
      </c>
      <c r="D45" s="110">
        <v>39.5</v>
      </c>
      <c r="E45" s="110">
        <v>40.15</v>
      </c>
      <c r="F45" s="110">
        <v>39.700000000000003</v>
      </c>
      <c r="G45">
        <v>29807</v>
      </c>
      <c r="H45" s="110"/>
      <c r="I45" s="110"/>
      <c r="L45" s="134">
        <v>42065</v>
      </c>
      <c r="M45" s="110">
        <v>39.85</v>
      </c>
      <c r="N45" s="110">
        <v>40.1</v>
      </c>
      <c r="O45" s="110">
        <v>39.450000000000003</v>
      </c>
      <c r="P45" s="110">
        <v>40</v>
      </c>
      <c r="Q45" s="110">
        <v>39.85</v>
      </c>
      <c r="R45">
        <v>112746</v>
      </c>
    </row>
    <row r="46" spans="1:18" x14ac:dyDescent="0.25">
      <c r="A46" s="134">
        <v>42066</v>
      </c>
      <c r="B46" s="110">
        <v>40.25</v>
      </c>
      <c r="C46" s="110">
        <v>40.1</v>
      </c>
      <c r="D46" s="110">
        <v>39.5</v>
      </c>
      <c r="E46" s="110">
        <v>40.049999999999997</v>
      </c>
      <c r="F46" s="110">
        <v>40.1</v>
      </c>
      <c r="G46">
        <v>31965</v>
      </c>
      <c r="H46" s="110"/>
      <c r="I46" s="110"/>
      <c r="L46" s="134">
        <v>42066</v>
      </c>
      <c r="M46" s="110">
        <v>40.15</v>
      </c>
      <c r="N46" s="110">
        <v>40.299999999999997</v>
      </c>
      <c r="O46" s="110">
        <v>39.450000000000003</v>
      </c>
      <c r="P46" s="110">
        <v>40.049999999999997</v>
      </c>
      <c r="Q46" s="110">
        <v>40.15</v>
      </c>
      <c r="R46">
        <v>141405</v>
      </c>
    </row>
    <row r="47" spans="1:18" x14ac:dyDescent="0.25">
      <c r="A47" s="134">
        <v>42067</v>
      </c>
      <c r="B47" s="110">
        <v>41.7</v>
      </c>
      <c r="C47" s="110">
        <v>39.9</v>
      </c>
      <c r="D47" s="110">
        <v>39.75</v>
      </c>
      <c r="E47" s="110">
        <v>41</v>
      </c>
      <c r="F47" s="110">
        <v>39.9</v>
      </c>
      <c r="G47">
        <v>92241</v>
      </c>
      <c r="H47" s="110"/>
      <c r="I47" s="110"/>
      <c r="L47" s="134">
        <v>42067</v>
      </c>
      <c r="M47" s="110">
        <v>39.9</v>
      </c>
      <c r="N47" s="110">
        <v>42</v>
      </c>
      <c r="O47" s="110">
        <v>39.75</v>
      </c>
      <c r="P47" s="110">
        <v>41</v>
      </c>
      <c r="Q47" s="110">
        <v>39.9</v>
      </c>
      <c r="R47">
        <v>255945</v>
      </c>
    </row>
    <row r="48" spans="1:18" x14ac:dyDescent="0.25">
      <c r="A48" s="134">
        <v>42068</v>
      </c>
      <c r="B48" s="110">
        <v>40.25</v>
      </c>
      <c r="C48" s="110">
        <v>39.450000000000003</v>
      </c>
      <c r="D48" s="110">
        <v>39.299999999999997</v>
      </c>
      <c r="E48" s="110">
        <v>40.049999999999997</v>
      </c>
      <c r="F48" s="110">
        <v>39.450000000000003</v>
      </c>
      <c r="G48">
        <v>31584</v>
      </c>
      <c r="H48" s="110"/>
      <c r="I48" s="110"/>
      <c r="L48" s="134">
        <v>42068</v>
      </c>
      <c r="M48" s="110">
        <v>39.5</v>
      </c>
      <c r="N48" s="110">
        <v>40.25</v>
      </c>
      <c r="O48" s="110">
        <v>39.299999999999997</v>
      </c>
      <c r="P48" s="110">
        <v>39.950000000000003</v>
      </c>
      <c r="Q48" s="110">
        <v>39.5</v>
      </c>
      <c r="R48">
        <v>72586</v>
      </c>
    </row>
    <row r="49" spans="1:18" x14ac:dyDescent="0.25">
      <c r="A49" s="134">
        <v>42072</v>
      </c>
      <c r="B49" s="110">
        <v>39.5</v>
      </c>
      <c r="C49" s="110">
        <v>38.799999999999997</v>
      </c>
      <c r="D49" s="110">
        <v>38.65</v>
      </c>
      <c r="E49" s="110">
        <v>39.5</v>
      </c>
      <c r="F49" s="110">
        <v>38.799999999999997</v>
      </c>
      <c r="G49">
        <v>36528</v>
      </c>
      <c r="H49" s="110"/>
      <c r="I49" s="110"/>
      <c r="L49" s="134">
        <v>42072</v>
      </c>
      <c r="M49" s="110">
        <v>38.799999999999997</v>
      </c>
      <c r="N49" s="110">
        <v>39.700000000000003</v>
      </c>
      <c r="O49" s="110">
        <v>38.799999999999997</v>
      </c>
      <c r="P49" s="110">
        <v>39.4</v>
      </c>
      <c r="Q49" s="110">
        <v>38.799999999999997</v>
      </c>
      <c r="R49">
        <v>129813</v>
      </c>
    </row>
    <row r="50" spans="1:18" x14ac:dyDescent="0.25">
      <c r="A50" s="134">
        <v>42073</v>
      </c>
      <c r="B50" s="110">
        <v>39.299999999999997</v>
      </c>
      <c r="C50" s="110">
        <v>38.700000000000003</v>
      </c>
      <c r="D50" s="110">
        <v>38.4</v>
      </c>
      <c r="E50" s="110">
        <v>39</v>
      </c>
      <c r="F50" s="110">
        <v>38.700000000000003</v>
      </c>
      <c r="G50">
        <v>24839</v>
      </c>
      <c r="H50" s="110"/>
      <c r="I50" s="110"/>
      <c r="L50" s="134">
        <v>42073</v>
      </c>
      <c r="M50" s="110">
        <v>38.549999999999997</v>
      </c>
      <c r="N50" s="110">
        <v>39.299999999999997</v>
      </c>
      <c r="O50" s="110">
        <v>38.4</v>
      </c>
      <c r="P50" s="110">
        <v>39.299999999999997</v>
      </c>
      <c r="Q50" s="110">
        <v>38.549999999999997</v>
      </c>
      <c r="R50">
        <v>107441</v>
      </c>
    </row>
    <row r="51" spans="1:18" x14ac:dyDescent="0.25">
      <c r="A51" s="134">
        <v>42074</v>
      </c>
      <c r="B51" s="110">
        <v>38.799999999999997</v>
      </c>
      <c r="C51" s="110">
        <v>38.15</v>
      </c>
      <c r="D51" s="110">
        <v>38</v>
      </c>
      <c r="E51" s="110">
        <v>38.5</v>
      </c>
      <c r="F51" s="110">
        <v>38.15</v>
      </c>
      <c r="G51">
        <v>71125</v>
      </c>
      <c r="H51" s="110"/>
      <c r="I51" s="110"/>
      <c r="L51" s="134">
        <v>42074</v>
      </c>
      <c r="M51" s="110">
        <v>38.299999999999997</v>
      </c>
      <c r="N51" s="110">
        <v>39</v>
      </c>
      <c r="O51" s="110">
        <v>38.15</v>
      </c>
      <c r="P51" s="110">
        <v>38.200000000000003</v>
      </c>
      <c r="Q51" s="110">
        <v>38.299999999999997</v>
      </c>
      <c r="R51">
        <v>196261</v>
      </c>
    </row>
    <row r="52" spans="1:18" x14ac:dyDescent="0.25">
      <c r="A52" s="134">
        <v>42075</v>
      </c>
      <c r="B52" s="110">
        <v>38.75</v>
      </c>
      <c r="C52" s="110">
        <v>38.450000000000003</v>
      </c>
      <c r="D52" s="110">
        <v>38.200000000000003</v>
      </c>
      <c r="E52" s="110">
        <v>38.200000000000003</v>
      </c>
      <c r="F52" s="110">
        <v>38.450000000000003</v>
      </c>
      <c r="G52">
        <v>23128</v>
      </c>
      <c r="H52" s="110"/>
      <c r="I52" s="110"/>
      <c r="L52" s="134">
        <v>42075</v>
      </c>
      <c r="M52" s="110">
        <v>38.5</v>
      </c>
      <c r="N52" s="110">
        <v>38.75</v>
      </c>
      <c r="O52" s="110">
        <v>38.200000000000003</v>
      </c>
      <c r="P52" s="110">
        <v>38.299999999999997</v>
      </c>
      <c r="Q52" s="110">
        <v>38.5</v>
      </c>
      <c r="R52">
        <v>71239</v>
      </c>
    </row>
    <row r="53" spans="1:18" x14ac:dyDescent="0.25">
      <c r="A53" s="134">
        <v>42076</v>
      </c>
      <c r="B53" s="110">
        <v>39</v>
      </c>
      <c r="C53" s="110">
        <v>38.049999999999997</v>
      </c>
      <c r="D53" s="110">
        <v>38</v>
      </c>
      <c r="E53" s="110">
        <v>38.549999999999997</v>
      </c>
      <c r="F53" s="110">
        <v>38.049999999999997</v>
      </c>
      <c r="G53">
        <v>36311</v>
      </c>
      <c r="H53" s="110"/>
      <c r="I53" s="110"/>
      <c r="L53" s="134">
        <v>42076</v>
      </c>
      <c r="M53" s="110">
        <v>37.950000000000003</v>
      </c>
      <c r="N53" s="110">
        <v>38.9</v>
      </c>
      <c r="O53" s="110">
        <v>37.9</v>
      </c>
      <c r="P53" s="110">
        <v>38.700000000000003</v>
      </c>
      <c r="Q53" s="110">
        <v>37.950000000000003</v>
      </c>
      <c r="R53">
        <v>173735</v>
      </c>
    </row>
    <row r="54" spans="1:18" x14ac:dyDescent="0.25">
      <c r="A54" s="134">
        <v>42079</v>
      </c>
      <c r="B54" s="110">
        <v>38.049999999999997</v>
      </c>
      <c r="C54" s="110">
        <v>37.700000000000003</v>
      </c>
      <c r="D54" s="110">
        <v>37.25</v>
      </c>
      <c r="E54" s="110">
        <v>38.049999999999997</v>
      </c>
      <c r="F54" s="110">
        <v>37.700000000000003</v>
      </c>
      <c r="G54">
        <v>35841</v>
      </c>
      <c r="H54" s="110"/>
      <c r="I54" s="110"/>
      <c r="L54" s="134">
        <v>42079</v>
      </c>
      <c r="M54" s="110">
        <v>37.549999999999997</v>
      </c>
      <c r="N54" s="110">
        <v>38.200000000000003</v>
      </c>
      <c r="O54" s="110">
        <v>37.5</v>
      </c>
      <c r="P54" s="110">
        <v>38</v>
      </c>
      <c r="Q54" s="110">
        <v>37.549999999999997</v>
      </c>
      <c r="R54">
        <v>92970</v>
      </c>
    </row>
    <row r="55" spans="1:18" x14ac:dyDescent="0.25">
      <c r="A55" s="134">
        <v>42080</v>
      </c>
      <c r="B55" s="110">
        <v>37.950000000000003</v>
      </c>
      <c r="C55" s="110">
        <v>37.200000000000003</v>
      </c>
      <c r="D55" s="110">
        <v>37</v>
      </c>
      <c r="E55" s="110">
        <v>37.6</v>
      </c>
      <c r="F55" s="110">
        <v>37.200000000000003</v>
      </c>
      <c r="G55">
        <v>36522</v>
      </c>
      <c r="H55" s="110"/>
      <c r="I55" s="110"/>
      <c r="L55" s="134">
        <v>42080</v>
      </c>
      <c r="M55" s="110">
        <v>37.25</v>
      </c>
      <c r="N55" s="110">
        <v>38</v>
      </c>
      <c r="O55" s="110">
        <v>37.1</v>
      </c>
      <c r="P55" s="110">
        <v>37.6</v>
      </c>
      <c r="Q55" s="110">
        <v>37.25</v>
      </c>
      <c r="R55">
        <v>117115</v>
      </c>
    </row>
    <row r="56" spans="1:18" x14ac:dyDescent="0.25">
      <c r="A56" s="134">
        <v>42081</v>
      </c>
      <c r="B56" s="110">
        <v>38</v>
      </c>
      <c r="C56" s="110">
        <v>37.15</v>
      </c>
      <c r="D56" s="110">
        <v>36.6</v>
      </c>
      <c r="E56" s="110">
        <v>37.15</v>
      </c>
      <c r="F56" s="110">
        <v>37.15</v>
      </c>
      <c r="G56">
        <v>117750</v>
      </c>
      <c r="H56" s="110"/>
      <c r="I56" s="110"/>
      <c r="L56" s="134">
        <v>42081</v>
      </c>
      <c r="M56" s="110">
        <v>36.950000000000003</v>
      </c>
      <c r="N56" s="110">
        <v>38.049999999999997</v>
      </c>
      <c r="O56" s="110">
        <v>36.5</v>
      </c>
      <c r="P56" s="110">
        <v>37.450000000000003</v>
      </c>
      <c r="Q56" s="110">
        <v>36.950000000000003</v>
      </c>
      <c r="R56">
        <v>1254534</v>
      </c>
    </row>
    <row r="57" spans="1:18" x14ac:dyDescent="0.25">
      <c r="A57" s="134">
        <v>42082</v>
      </c>
      <c r="B57" s="110">
        <v>37.6</v>
      </c>
      <c r="C57" s="110">
        <v>36.6</v>
      </c>
      <c r="D57" s="110">
        <v>36.5</v>
      </c>
      <c r="E57" s="110">
        <v>37.200000000000003</v>
      </c>
      <c r="F57" s="110">
        <v>36.6</v>
      </c>
      <c r="G57">
        <v>40775</v>
      </c>
      <c r="H57" s="110"/>
      <c r="I57" s="110"/>
      <c r="L57" s="134">
        <v>42082</v>
      </c>
      <c r="M57" s="110">
        <v>36.549999999999997</v>
      </c>
      <c r="N57" s="110">
        <v>37.65</v>
      </c>
      <c r="O57" s="110">
        <v>36.5</v>
      </c>
      <c r="P57" s="110">
        <v>37.299999999999997</v>
      </c>
      <c r="Q57" s="110">
        <v>36.549999999999997</v>
      </c>
      <c r="R57">
        <v>1147892</v>
      </c>
    </row>
    <row r="58" spans="1:18" x14ac:dyDescent="0.25">
      <c r="A58" s="134">
        <v>42083</v>
      </c>
      <c r="B58" s="110">
        <v>36.5</v>
      </c>
      <c r="C58" s="110">
        <v>36.049999999999997</v>
      </c>
      <c r="D58" s="110">
        <v>36</v>
      </c>
      <c r="E58" s="110">
        <v>36.5</v>
      </c>
      <c r="F58" s="110">
        <v>36.049999999999997</v>
      </c>
      <c r="G58">
        <v>31526</v>
      </c>
      <c r="H58" s="110"/>
      <c r="I58" s="110"/>
      <c r="L58" s="134">
        <v>42083</v>
      </c>
      <c r="M58" s="110">
        <v>36.049999999999997</v>
      </c>
      <c r="N58" s="110">
        <v>36.85</v>
      </c>
      <c r="O58" s="110">
        <v>35.5</v>
      </c>
      <c r="P58" s="110">
        <v>36.85</v>
      </c>
      <c r="Q58" s="110">
        <v>36.049999999999997</v>
      </c>
      <c r="R58">
        <v>1107771</v>
      </c>
    </row>
    <row r="59" spans="1:18" x14ac:dyDescent="0.25">
      <c r="A59" s="134">
        <v>42086</v>
      </c>
      <c r="B59" s="110">
        <v>36.049999999999997</v>
      </c>
      <c r="C59" s="110">
        <v>35.299999999999997</v>
      </c>
      <c r="D59" s="110">
        <v>35.25</v>
      </c>
      <c r="E59" s="110">
        <v>36.049999999999997</v>
      </c>
      <c r="F59" s="110">
        <v>35.299999999999997</v>
      </c>
      <c r="G59">
        <v>48657</v>
      </c>
      <c r="H59" s="110"/>
      <c r="I59" s="110"/>
      <c r="L59" s="134">
        <v>42086</v>
      </c>
      <c r="M59" s="110">
        <v>35.450000000000003</v>
      </c>
      <c r="N59" s="110">
        <v>36.75</v>
      </c>
      <c r="O59" s="110">
        <v>35.299999999999997</v>
      </c>
      <c r="P59" s="110">
        <v>36.75</v>
      </c>
      <c r="Q59" s="110">
        <v>35.450000000000003</v>
      </c>
      <c r="R59">
        <v>1272406</v>
      </c>
    </row>
    <row r="60" spans="1:18" x14ac:dyDescent="0.25">
      <c r="A60" s="134">
        <v>42087</v>
      </c>
      <c r="B60" s="110">
        <v>35.6</v>
      </c>
      <c r="C60" s="110">
        <v>35</v>
      </c>
      <c r="D60" s="110">
        <v>35</v>
      </c>
      <c r="E60" s="110">
        <v>35.1</v>
      </c>
      <c r="F60" s="110">
        <v>35</v>
      </c>
      <c r="G60">
        <v>34389</v>
      </c>
      <c r="H60" s="110"/>
      <c r="I60" s="110"/>
      <c r="L60" s="134">
        <v>42087</v>
      </c>
      <c r="M60" s="110">
        <v>35.049999999999997</v>
      </c>
      <c r="N60" s="110">
        <v>35.5</v>
      </c>
      <c r="O60" s="110">
        <v>34.950000000000003</v>
      </c>
      <c r="P60" s="110">
        <v>35.450000000000003</v>
      </c>
      <c r="Q60" s="110">
        <v>35.049999999999997</v>
      </c>
      <c r="R60">
        <v>122893</v>
      </c>
    </row>
    <row r="61" spans="1:18" x14ac:dyDescent="0.25">
      <c r="A61" s="134">
        <v>42088</v>
      </c>
      <c r="B61" s="110">
        <v>35</v>
      </c>
      <c r="C61" s="110">
        <v>34.75</v>
      </c>
      <c r="D61" s="110">
        <v>34.6</v>
      </c>
      <c r="E61" s="110">
        <v>35</v>
      </c>
      <c r="F61" s="110">
        <v>34.75</v>
      </c>
      <c r="G61">
        <v>25707</v>
      </c>
      <c r="H61" s="110"/>
      <c r="I61" s="110"/>
      <c r="L61" s="134">
        <v>42088</v>
      </c>
      <c r="M61" s="110">
        <v>34.700000000000003</v>
      </c>
      <c r="N61" s="110">
        <v>35.35</v>
      </c>
      <c r="O61" s="110">
        <v>34.6</v>
      </c>
      <c r="P61" s="110">
        <v>35</v>
      </c>
      <c r="Q61" s="110">
        <v>34.700000000000003</v>
      </c>
      <c r="R61">
        <v>215293</v>
      </c>
    </row>
    <row r="62" spans="1:18" x14ac:dyDescent="0.25">
      <c r="A62" s="134">
        <v>42089</v>
      </c>
      <c r="B62" s="110">
        <v>35.4</v>
      </c>
      <c r="C62" s="110">
        <v>35.15</v>
      </c>
      <c r="D62" s="110">
        <v>34.1</v>
      </c>
      <c r="E62" s="110">
        <v>34.1</v>
      </c>
      <c r="F62" s="110">
        <v>35.15</v>
      </c>
      <c r="G62">
        <v>60552</v>
      </c>
      <c r="H62" s="110"/>
      <c r="I62" s="110"/>
      <c r="L62" s="134">
        <v>42089</v>
      </c>
      <c r="M62" s="110">
        <v>35.15</v>
      </c>
      <c r="N62" s="110">
        <v>35.450000000000003</v>
      </c>
      <c r="O62" s="110">
        <v>34.15</v>
      </c>
      <c r="P62" s="110">
        <v>34.5</v>
      </c>
      <c r="Q62" s="110">
        <v>35.15</v>
      </c>
      <c r="R62">
        <v>183477</v>
      </c>
    </row>
    <row r="63" spans="1:18" x14ac:dyDescent="0.25">
      <c r="A63" s="134">
        <v>42090</v>
      </c>
      <c r="B63" s="110">
        <v>36.299999999999997</v>
      </c>
      <c r="C63" s="110">
        <v>35.5</v>
      </c>
      <c r="D63" s="110">
        <v>34.6</v>
      </c>
      <c r="E63" s="110">
        <v>35.25</v>
      </c>
      <c r="F63" s="110">
        <v>35.5</v>
      </c>
      <c r="G63">
        <v>58426</v>
      </c>
      <c r="H63" s="110"/>
      <c r="I63" s="110"/>
      <c r="L63" s="134">
        <v>42090</v>
      </c>
      <c r="M63" s="110">
        <v>35.6</v>
      </c>
      <c r="N63" s="110">
        <v>36.1</v>
      </c>
      <c r="O63" s="110">
        <v>34.4</v>
      </c>
      <c r="P63" s="110">
        <v>34.4</v>
      </c>
      <c r="Q63" s="110">
        <v>35.6</v>
      </c>
      <c r="R63">
        <v>161755</v>
      </c>
    </row>
    <row r="64" spans="1:18" x14ac:dyDescent="0.25">
      <c r="A64" s="134">
        <v>42093</v>
      </c>
      <c r="B64" s="110">
        <v>36.75</v>
      </c>
      <c r="C64" s="110">
        <v>36.5</v>
      </c>
      <c r="D64" s="110">
        <v>35.5</v>
      </c>
      <c r="E64" s="110">
        <v>36.5</v>
      </c>
      <c r="F64" s="110">
        <v>36.5</v>
      </c>
      <c r="G64">
        <v>25735</v>
      </c>
      <c r="H64" s="110"/>
      <c r="I64" s="110"/>
      <c r="L64" s="134">
        <v>42093</v>
      </c>
      <c r="M64" s="110">
        <v>36.450000000000003</v>
      </c>
      <c r="N64" s="110">
        <v>36.700000000000003</v>
      </c>
      <c r="O64" s="110">
        <v>35.15</v>
      </c>
      <c r="P64" s="110">
        <v>35.15</v>
      </c>
      <c r="Q64" s="110">
        <v>36.450000000000003</v>
      </c>
      <c r="R64">
        <v>108981</v>
      </c>
    </row>
    <row r="65" spans="1:18" x14ac:dyDescent="0.25">
      <c r="A65" s="134">
        <v>42094</v>
      </c>
      <c r="B65" s="110">
        <v>37.4</v>
      </c>
      <c r="C65" s="110">
        <v>37.1</v>
      </c>
      <c r="D65" s="110">
        <v>36.4</v>
      </c>
      <c r="E65" s="110">
        <v>36.5</v>
      </c>
      <c r="F65" s="110">
        <v>37.1</v>
      </c>
      <c r="G65">
        <v>25458</v>
      </c>
      <c r="H65" s="110"/>
      <c r="I65" s="110"/>
      <c r="L65" s="134">
        <v>42094</v>
      </c>
      <c r="M65" s="110">
        <v>37.049999999999997</v>
      </c>
      <c r="N65" s="110">
        <v>37.5</v>
      </c>
      <c r="O65" s="110">
        <v>36.1</v>
      </c>
      <c r="P65" s="110">
        <v>36.1</v>
      </c>
      <c r="Q65" s="110">
        <v>37.049999999999997</v>
      </c>
      <c r="R65">
        <v>108692</v>
      </c>
    </row>
    <row r="66" spans="1:18" x14ac:dyDescent="0.25">
      <c r="A66" s="134">
        <v>42095</v>
      </c>
      <c r="B66" s="110">
        <v>37.9</v>
      </c>
      <c r="C66" s="110">
        <v>37.6</v>
      </c>
      <c r="D66" s="110">
        <v>36.85</v>
      </c>
      <c r="E66" s="110">
        <v>37.15</v>
      </c>
      <c r="F66" s="110">
        <v>37.6</v>
      </c>
      <c r="G66">
        <v>26737</v>
      </c>
      <c r="H66" s="110"/>
      <c r="I66" s="110"/>
      <c r="L66" s="134">
        <v>42095</v>
      </c>
      <c r="M66" s="110">
        <v>37.65</v>
      </c>
      <c r="N66" s="110">
        <v>38.1</v>
      </c>
      <c r="O66" s="110">
        <v>36.700000000000003</v>
      </c>
      <c r="P66" s="110">
        <v>37.5</v>
      </c>
      <c r="Q66" s="110">
        <v>37.65</v>
      </c>
      <c r="R66">
        <v>184183</v>
      </c>
    </row>
    <row r="67" spans="1:18" x14ac:dyDescent="0.25">
      <c r="A67" s="134">
        <v>42100</v>
      </c>
      <c r="B67" s="110">
        <v>38.4</v>
      </c>
      <c r="C67" s="110">
        <v>38.1</v>
      </c>
      <c r="D67" s="110">
        <v>37.5</v>
      </c>
      <c r="E67" s="110">
        <v>38.1</v>
      </c>
      <c r="F67" s="110">
        <v>38.1</v>
      </c>
      <c r="G67">
        <v>54198</v>
      </c>
      <c r="H67" s="110"/>
      <c r="I67" s="110"/>
      <c r="L67" s="134">
        <v>42100</v>
      </c>
      <c r="M67" s="110">
        <v>38.1</v>
      </c>
      <c r="N67" s="110">
        <v>38.5</v>
      </c>
      <c r="O67" s="110">
        <v>37.5</v>
      </c>
      <c r="P67" s="110">
        <v>37.75</v>
      </c>
      <c r="Q67" s="110">
        <v>38.1</v>
      </c>
      <c r="R67">
        <v>76750</v>
      </c>
    </row>
    <row r="68" spans="1:18" x14ac:dyDescent="0.25">
      <c r="A68" s="134">
        <v>42101</v>
      </c>
      <c r="B68" s="110">
        <v>38.9</v>
      </c>
      <c r="C68" s="110">
        <v>38.25</v>
      </c>
      <c r="D68" s="110">
        <v>37.700000000000003</v>
      </c>
      <c r="E68" s="110">
        <v>38.25</v>
      </c>
      <c r="F68" s="110">
        <v>38.25</v>
      </c>
      <c r="G68">
        <v>23840</v>
      </c>
      <c r="H68" s="110"/>
      <c r="I68" s="110"/>
      <c r="L68" s="134">
        <v>42101</v>
      </c>
      <c r="M68" s="110">
        <v>38.049999999999997</v>
      </c>
      <c r="N68" s="110">
        <v>38.950000000000003</v>
      </c>
      <c r="O68" s="110">
        <v>37.5</v>
      </c>
      <c r="P68" s="110">
        <v>38.15</v>
      </c>
      <c r="Q68" s="110">
        <v>38.049999999999997</v>
      </c>
      <c r="R68">
        <v>100578</v>
      </c>
    </row>
    <row r="69" spans="1:18" x14ac:dyDescent="0.25">
      <c r="A69" s="134">
        <v>42102</v>
      </c>
      <c r="B69" s="110">
        <v>39.25</v>
      </c>
      <c r="C69" s="110">
        <v>39.1</v>
      </c>
      <c r="D69" s="110">
        <v>37.799999999999997</v>
      </c>
      <c r="E69" s="110">
        <v>38.4</v>
      </c>
      <c r="F69" s="110">
        <v>39.1</v>
      </c>
      <c r="G69">
        <v>63638</v>
      </c>
      <c r="H69" s="110"/>
      <c r="I69" s="110"/>
      <c r="L69" s="134">
        <v>42102</v>
      </c>
      <c r="M69" s="110">
        <v>39.15</v>
      </c>
      <c r="N69" s="110">
        <v>39.4</v>
      </c>
      <c r="O69" s="110">
        <v>37.85</v>
      </c>
      <c r="P69" s="110">
        <v>38.700000000000003</v>
      </c>
      <c r="Q69" s="110">
        <v>39.15</v>
      </c>
      <c r="R69">
        <v>185070</v>
      </c>
    </row>
    <row r="70" spans="1:18" x14ac:dyDescent="0.25">
      <c r="A70" s="134">
        <v>42103</v>
      </c>
      <c r="B70" s="110">
        <v>40</v>
      </c>
      <c r="C70" s="110">
        <v>39.5</v>
      </c>
      <c r="D70" s="110">
        <v>38.65</v>
      </c>
      <c r="E70" s="110">
        <v>39.450000000000003</v>
      </c>
      <c r="F70" s="110">
        <v>39.5</v>
      </c>
      <c r="G70">
        <v>26439</v>
      </c>
      <c r="H70" s="110"/>
      <c r="I70" s="110"/>
      <c r="L70" s="134">
        <v>42103</v>
      </c>
      <c r="M70" s="110">
        <v>39.6</v>
      </c>
      <c r="N70" s="110">
        <v>40.1</v>
      </c>
      <c r="O70" s="110">
        <v>38.549999999999997</v>
      </c>
      <c r="P70" s="110">
        <v>39.299999999999997</v>
      </c>
      <c r="Q70" s="110">
        <v>39.6</v>
      </c>
      <c r="R70">
        <v>129999</v>
      </c>
    </row>
    <row r="71" spans="1:18" x14ac:dyDescent="0.25">
      <c r="A71" s="134">
        <v>42104</v>
      </c>
      <c r="B71" s="110">
        <v>40.25</v>
      </c>
      <c r="C71" s="110">
        <v>40</v>
      </c>
      <c r="D71" s="110">
        <v>39.25</v>
      </c>
      <c r="E71" s="110">
        <v>39.65</v>
      </c>
      <c r="F71" s="110">
        <v>40</v>
      </c>
      <c r="G71">
        <v>27896</v>
      </c>
      <c r="H71" s="110"/>
      <c r="I71" s="110"/>
      <c r="L71" s="134">
        <v>42104</v>
      </c>
      <c r="M71" s="110">
        <v>40.049999999999997</v>
      </c>
      <c r="N71" s="110">
        <v>40.200000000000003</v>
      </c>
      <c r="O71" s="110">
        <v>39.25</v>
      </c>
      <c r="P71" s="110">
        <v>39.549999999999997</v>
      </c>
      <c r="Q71" s="110">
        <v>40.049999999999997</v>
      </c>
      <c r="R71">
        <v>242833</v>
      </c>
    </row>
    <row r="72" spans="1:18" x14ac:dyDescent="0.25">
      <c r="A72" s="134">
        <v>42107</v>
      </c>
      <c r="B72" s="110">
        <v>40.4</v>
      </c>
      <c r="C72" s="110">
        <v>40.049999999999997</v>
      </c>
      <c r="D72" s="110">
        <v>39.549999999999997</v>
      </c>
      <c r="E72" s="110">
        <v>40</v>
      </c>
      <c r="F72" s="110">
        <v>40.049999999999997</v>
      </c>
      <c r="G72">
        <v>25365</v>
      </c>
      <c r="H72" s="110"/>
      <c r="I72" s="110"/>
      <c r="L72" s="134">
        <v>42107</v>
      </c>
      <c r="M72" s="110">
        <v>40.1</v>
      </c>
      <c r="N72" s="110">
        <v>40.549999999999997</v>
      </c>
      <c r="O72" s="110">
        <v>39.549999999999997</v>
      </c>
      <c r="P72" s="110">
        <v>39.549999999999997</v>
      </c>
      <c r="Q72" s="110">
        <v>40.1</v>
      </c>
      <c r="R72">
        <v>112137</v>
      </c>
    </row>
    <row r="73" spans="1:18" x14ac:dyDescent="0.25">
      <c r="A73" s="134">
        <v>42109</v>
      </c>
      <c r="B73" s="110">
        <v>40.799999999999997</v>
      </c>
      <c r="C73" s="110">
        <v>40.25</v>
      </c>
      <c r="D73" s="110">
        <v>39.9</v>
      </c>
      <c r="E73" s="110">
        <v>40.049999999999997</v>
      </c>
      <c r="F73" s="110">
        <v>40.25</v>
      </c>
      <c r="G73">
        <v>39470</v>
      </c>
      <c r="H73" s="110"/>
      <c r="I73" s="110"/>
      <c r="L73" s="134">
        <v>42109</v>
      </c>
      <c r="M73" s="110">
        <v>40.25</v>
      </c>
      <c r="N73" s="110">
        <v>40.9</v>
      </c>
      <c r="O73" s="110">
        <v>40</v>
      </c>
      <c r="P73" s="110">
        <v>40</v>
      </c>
      <c r="Q73" s="110">
        <v>40.25</v>
      </c>
      <c r="R73">
        <v>213363</v>
      </c>
    </row>
    <row r="74" spans="1:18" x14ac:dyDescent="0.25">
      <c r="A74" s="134">
        <v>42110</v>
      </c>
      <c r="B74" s="110">
        <v>40.549999999999997</v>
      </c>
      <c r="C74" s="110">
        <v>40</v>
      </c>
      <c r="D74" s="110">
        <v>39.75</v>
      </c>
      <c r="E74" s="110">
        <v>40.25</v>
      </c>
      <c r="F74" s="110">
        <v>40</v>
      </c>
      <c r="G74">
        <v>14938</v>
      </c>
      <c r="H74" s="110"/>
      <c r="I74" s="110"/>
      <c r="L74" s="134">
        <v>42110</v>
      </c>
      <c r="M74" s="110">
        <v>40.049999999999997</v>
      </c>
      <c r="N74" s="110">
        <v>40.65</v>
      </c>
      <c r="O74" s="110">
        <v>39.799999999999997</v>
      </c>
      <c r="P74" s="110">
        <v>40.1</v>
      </c>
      <c r="Q74" s="110">
        <v>40.049999999999997</v>
      </c>
      <c r="R74">
        <v>101797</v>
      </c>
    </row>
    <row r="75" spans="1:18" x14ac:dyDescent="0.25">
      <c r="A75" s="134">
        <v>42111</v>
      </c>
      <c r="B75" s="110">
        <v>40.1</v>
      </c>
      <c r="C75" s="110">
        <v>39.299999999999997</v>
      </c>
      <c r="D75" s="110">
        <v>39</v>
      </c>
      <c r="E75" s="110">
        <v>39.5</v>
      </c>
      <c r="F75" s="110">
        <v>39.299999999999997</v>
      </c>
      <c r="G75">
        <v>25208</v>
      </c>
      <c r="H75" s="110"/>
      <c r="I75" s="110"/>
      <c r="L75" s="134">
        <v>42111</v>
      </c>
      <c r="M75" s="110">
        <v>39.15</v>
      </c>
      <c r="N75" s="110">
        <v>40.049999999999997</v>
      </c>
      <c r="O75" s="110">
        <v>38.9</v>
      </c>
      <c r="P75" s="110">
        <v>39.5</v>
      </c>
      <c r="Q75" s="110">
        <v>39.15</v>
      </c>
      <c r="R75">
        <v>106235</v>
      </c>
    </row>
    <row r="76" spans="1:18" x14ac:dyDescent="0.25">
      <c r="A76" s="134">
        <v>42114</v>
      </c>
      <c r="B76" s="110">
        <v>39.299999999999997</v>
      </c>
      <c r="C76" s="110">
        <v>38.1</v>
      </c>
      <c r="D76" s="110">
        <v>37.85</v>
      </c>
      <c r="E76" s="110">
        <v>39.299999999999997</v>
      </c>
      <c r="F76" s="110">
        <v>38.1</v>
      </c>
      <c r="G76">
        <v>41856</v>
      </c>
      <c r="H76" s="110"/>
      <c r="I76" s="110"/>
      <c r="L76" s="134">
        <v>42114</v>
      </c>
      <c r="M76" s="110">
        <v>38.1</v>
      </c>
      <c r="N76" s="110">
        <v>39.4</v>
      </c>
      <c r="O76" s="110">
        <v>37.9</v>
      </c>
      <c r="P76" s="110">
        <v>39.200000000000003</v>
      </c>
      <c r="Q76" s="110">
        <v>38.1</v>
      </c>
      <c r="R76">
        <v>100628</v>
      </c>
    </row>
    <row r="77" spans="1:18" x14ac:dyDescent="0.25">
      <c r="A77" s="134">
        <v>42115</v>
      </c>
      <c r="B77" s="110">
        <v>38.700000000000003</v>
      </c>
      <c r="C77" s="110">
        <v>37.5</v>
      </c>
      <c r="D77" s="110">
        <v>36.950000000000003</v>
      </c>
      <c r="E77" s="110">
        <v>38.700000000000003</v>
      </c>
      <c r="F77" s="110">
        <v>37.5</v>
      </c>
      <c r="G77">
        <v>31991</v>
      </c>
      <c r="H77" s="110"/>
      <c r="I77" s="110"/>
      <c r="L77" s="134">
        <v>42115</v>
      </c>
      <c r="M77" s="110">
        <v>37.6</v>
      </c>
      <c r="N77" s="110">
        <v>38.65</v>
      </c>
      <c r="O77" s="110">
        <v>36.700000000000003</v>
      </c>
      <c r="P77" s="110">
        <v>38.25</v>
      </c>
      <c r="Q77" s="110">
        <v>37.6</v>
      </c>
      <c r="R77">
        <v>88595</v>
      </c>
    </row>
    <row r="78" spans="1:18" x14ac:dyDescent="0.25">
      <c r="A78" s="134">
        <v>42116</v>
      </c>
      <c r="B78" s="110">
        <v>38.25</v>
      </c>
      <c r="C78" s="110">
        <v>37.700000000000003</v>
      </c>
      <c r="D78" s="110">
        <v>37.450000000000003</v>
      </c>
      <c r="E78" s="110">
        <v>38</v>
      </c>
      <c r="F78" s="110">
        <v>37.700000000000003</v>
      </c>
      <c r="G78">
        <v>54147</v>
      </c>
      <c r="H78" s="110"/>
      <c r="I78" s="110"/>
      <c r="L78" s="134">
        <v>42116</v>
      </c>
      <c r="M78" s="110">
        <v>37.75</v>
      </c>
      <c r="N78" s="110">
        <v>38.4</v>
      </c>
      <c r="O78" s="110">
        <v>37.5</v>
      </c>
      <c r="P78" s="110">
        <v>38.25</v>
      </c>
      <c r="Q78" s="110">
        <v>37.75</v>
      </c>
      <c r="R78">
        <v>191624</v>
      </c>
    </row>
    <row r="79" spans="1:18" x14ac:dyDescent="0.25">
      <c r="A79" s="134">
        <v>42117</v>
      </c>
      <c r="B79" s="110">
        <v>38.5</v>
      </c>
      <c r="C79" s="110">
        <v>37.65</v>
      </c>
      <c r="D79" s="110">
        <v>37.5</v>
      </c>
      <c r="E79" s="110">
        <v>38</v>
      </c>
      <c r="F79" s="110">
        <v>37.65</v>
      </c>
      <c r="G79">
        <v>16011</v>
      </c>
      <c r="H79" s="110"/>
      <c r="I79" s="110"/>
      <c r="L79" s="134">
        <v>42117</v>
      </c>
      <c r="M79" s="110">
        <v>37.700000000000003</v>
      </c>
      <c r="N79" s="110">
        <v>38.450000000000003</v>
      </c>
      <c r="O79" s="110">
        <v>37.25</v>
      </c>
      <c r="P79" s="110">
        <v>38.049999999999997</v>
      </c>
      <c r="Q79" s="110">
        <v>37.700000000000003</v>
      </c>
      <c r="R79">
        <v>37124</v>
      </c>
    </row>
    <row r="80" spans="1:18" x14ac:dyDescent="0.25">
      <c r="A80" s="134">
        <v>42118</v>
      </c>
      <c r="B80" s="110">
        <v>38.299999999999997</v>
      </c>
      <c r="C80" s="110">
        <v>37.4</v>
      </c>
      <c r="D80" s="110">
        <v>37.299999999999997</v>
      </c>
      <c r="E80" s="110">
        <v>38.299999999999997</v>
      </c>
      <c r="F80" s="110">
        <v>37.4</v>
      </c>
      <c r="G80">
        <v>18554</v>
      </c>
      <c r="H80" s="110"/>
      <c r="I80" s="110"/>
      <c r="L80" s="134">
        <v>42118</v>
      </c>
      <c r="M80" s="110">
        <v>37.450000000000003</v>
      </c>
      <c r="N80" s="110">
        <v>38.200000000000003</v>
      </c>
      <c r="O80" s="110">
        <v>37.1</v>
      </c>
      <c r="P80" s="110">
        <v>38.200000000000003</v>
      </c>
      <c r="Q80" s="110">
        <v>37.450000000000003</v>
      </c>
      <c r="R80">
        <v>68681</v>
      </c>
    </row>
    <row r="81" spans="1:18" x14ac:dyDescent="0.25">
      <c r="A81" s="134">
        <v>42121</v>
      </c>
      <c r="B81" s="110">
        <v>37.700000000000003</v>
      </c>
      <c r="C81" s="110">
        <v>37</v>
      </c>
      <c r="D81" s="110">
        <v>36.450000000000003</v>
      </c>
      <c r="E81" s="110">
        <v>37.5</v>
      </c>
      <c r="F81" s="110">
        <v>37</v>
      </c>
      <c r="G81">
        <v>35626</v>
      </c>
      <c r="H81" s="110"/>
      <c r="I81" s="110"/>
      <c r="L81" s="134">
        <v>42121</v>
      </c>
      <c r="M81" s="110">
        <v>37.049999999999997</v>
      </c>
      <c r="N81" s="110">
        <v>37.75</v>
      </c>
      <c r="O81" s="110">
        <v>36.549999999999997</v>
      </c>
      <c r="P81" s="110">
        <v>37.5</v>
      </c>
      <c r="Q81" s="110">
        <v>37.049999999999997</v>
      </c>
      <c r="R81">
        <v>62002</v>
      </c>
    </row>
    <row r="82" spans="1:18" x14ac:dyDescent="0.25">
      <c r="A82" s="134">
        <v>42122</v>
      </c>
      <c r="B82" s="110">
        <v>37.549999999999997</v>
      </c>
      <c r="C82" s="110">
        <v>37.25</v>
      </c>
      <c r="D82" s="110">
        <v>36.75</v>
      </c>
      <c r="E82" s="110">
        <v>36.950000000000003</v>
      </c>
      <c r="F82" s="110">
        <v>37.25</v>
      </c>
      <c r="G82">
        <v>16132</v>
      </c>
      <c r="H82" s="110"/>
      <c r="I82" s="110"/>
      <c r="L82" s="134">
        <v>42122</v>
      </c>
      <c r="M82" s="110">
        <v>37.200000000000003</v>
      </c>
      <c r="N82" s="110">
        <v>37.75</v>
      </c>
      <c r="O82" s="110">
        <v>36.75</v>
      </c>
      <c r="P82" s="110">
        <v>37</v>
      </c>
      <c r="Q82" s="110">
        <v>37.200000000000003</v>
      </c>
      <c r="R82">
        <v>37731</v>
      </c>
    </row>
    <row r="83" spans="1:18" x14ac:dyDescent="0.25">
      <c r="A83" s="134">
        <v>42123</v>
      </c>
      <c r="B83" s="110">
        <v>37.65</v>
      </c>
      <c r="C83" s="110">
        <v>37.299999999999997</v>
      </c>
      <c r="D83" s="110">
        <v>37.15</v>
      </c>
      <c r="E83" s="110">
        <v>37.200000000000003</v>
      </c>
      <c r="F83" s="110">
        <v>37.299999999999997</v>
      </c>
      <c r="G83">
        <v>41789</v>
      </c>
      <c r="H83" s="110"/>
      <c r="I83" s="110"/>
      <c r="L83" s="134">
        <v>42123</v>
      </c>
      <c r="M83" s="110">
        <v>37.299999999999997</v>
      </c>
      <c r="N83" s="110">
        <v>37.75</v>
      </c>
      <c r="O83" s="110">
        <v>37</v>
      </c>
      <c r="P83" s="110">
        <v>37</v>
      </c>
      <c r="Q83" s="110">
        <v>37.299999999999997</v>
      </c>
      <c r="R83">
        <v>70344</v>
      </c>
    </row>
    <row r="84" spans="1:18" x14ac:dyDescent="0.25">
      <c r="A84" s="134">
        <v>42124</v>
      </c>
      <c r="B84" s="110">
        <v>37.25</v>
      </c>
      <c r="C84" s="110">
        <v>37.049999999999997</v>
      </c>
      <c r="D84" s="110">
        <v>36.799999999999997</v>
      </c>
      <c r="E84" s="110">
        <v>36.9</v>
      </c>
      <c r="F84" s="110">
        <v>37.049999999999997</v>
      </c>
      <c r="G84">
        <v>12124</v>
      </c>
      <c r="H84" s="110"/>
      <c r="I84" s="110"/>
      <c r="L84" s="134">
        <v>42124</v>
      </c>
      <c r="M84" s="110">
        <v>36.9</v>
      </c>
      <c r="N84" s="110">
        <v>37.200000000000003</v>
      </c>
      <c r="O84" s="110">
        <v>36.65</v>
      </c>
      <c r="P84" s="110">
        <v>36.65</v>
      </c>
      <c r="Q84" s="110">
        <v>36.9</v>
      </c>
      <c r="R84">
        <v>48664</v>
      </c>
    </row>
    <row r="85" spans="1:18" x14ac:dyDescent="0.25">
      <c r="A85" s="134">
        <v>42128</v>
      </c>
      <c r="B85" s="110">
        <v>38</v>
      </c>
      <c r="C85" s="110">
        <v>37.799999999999997</v>
      </c>
      <c r="D85" s="110">
        <v>37.200000000000003</v>
      </c>
      <c r="E85" s="110">
        <v>37.799999999999997</v>
      </c>
      <c r="F85" s="110">
        <v>37.799999999999997</v>
      </c>
      <c r="G85">
        <v>22512</v>
      </c>
      <c r="H85" s="110"/>
      <c r="I85" s="110"/>
      <c r="L85" s="134">
        <v>42128</v>
      </c>
      <c r="M85" s="110">
        <v>37.799999999999997</v>
      </c>
      <c r="N85" s="110">
        <v>38</v>
      </c>
      <c r="O85" s="110">
        <v>37</v>
      </c>
      <c r="P85" s="110">
        <v>38</v>
      </c>
      <c r="Q85" s="110">
        <v>37.799999999999997</v>
      </c>
      <c r="R85">
        <v>54019</v>
      </c>
    </row>
    <row r="86" spans="1:18" x14ac:dyDescent="0.25">
      <c r="A86" s="134">
        <v>42129</v>
      </c>
      <c r="B86" s="110">
        <v>38.049999999999997</v>
      </c>
      <c r="C86" s="110">
        <v>37.6</v>
      </c>
      <c r="D86" s="110">
        <v>37.35</v>
      </c>
      <c r="E86" s="110">
        <v>38.049999999999997</v>
      </c>
      <c r="F86" s="110">
        <v>37.6</v>
      </c>
      <c r="G86">
        <v>52951</v>
      </c>
      <c r="H86" s="110"/>
      <c r="I86" s="110"/>
      <c r="L86" s="134">
        <v>42129</v>
      </c>
      <c r="M86" s="110">
        <v>37.5</v>
      </c>
      <c r="N86" s="110">
        <v>37.950000000000003</v>
      </c>
      <c r="O86" s="110">
        <v>37.299999999999997</v>
      </c>
      <c r="P86" s="110">
        <v>37.950000000000003</v>
      </c>
      <c r="Q86" s="110">
        <v>37.5</v>
      </c>
      <c r="R86">
        <v>145999</v>
      </c>
    </row>
    <row r="87" spans="1:18" x14ac:dyDescent="0.25">
      <c r="A87" s="134">
        <v>42130</v>
      </c>
      <c r="B87" s="110">
        <v>37.700000000000003</v>
      </c>
      <c r="C87" s="110">
        <v>36.799999999999997</v>
      </c>
      <c r="D87" s="110">
        <v>36.049999999999997</v>
      </c>
      <c r="E87" s="110">
        <v>37.700000000000003</v>
      </c>
      <c r="F87" s="110">
        <v>36.799999999999997</v>
      </c>
      <c r="G87">
        <v>20570</v>
      </c>
      <c r="H87" s="110"/>
      <c r="I87" s="110"/>
      <c r="L87" s="134">
        <v>42130</v>
      </c>
      <c r="M87" s="110">
        <v>36.75</v>
      </c>
      <c r="N87" s="110">
        <v>37.5</v>
      </c>
      <c r="O87" s="110">
        <v>35.75</v>
      </c>
      <c r="P87" s="110">
        <v>37.5</v>
      </c>
      <c r="Q87" s="110">
        <v>36.75</v>
      </c>
      <c r="R87">
        <v>91614</v>
      </c>
    </row>
    <row r="88" spans="1:18" x14ac:dyDescent="0.25">
      <c r="A88" s="134">
        <v>42131</v>
      </c>
      <c r="B88" s="110">
        <v>36.549999999999997</v>
      </c>
      <c r="C88" s="110">
        <v>35.799999999999997</v>
      </c>
      <c r="D88" s="110">
        <v>35</v>
      </c>
      <c r="E88" s="110">
        <v>36.5</v>
      </c>
      <c r="F88" s="110">
        <v>35.799999999999997</v>
      </c>
      <c r="G88">
        <v>37907</v>
      </c>
      <c r="H88" s="110"/>
      <c r="I88" s="110"/>
      <c r="L88" s="134">
        <v>42131</v>
      </c>
      <c r="M88" s="110">
        <v>35.85</v>
      </c>
      <c r="N88" s="110">
        <v>36.85</v>
      </c>
      <c r="O88" s="110">
        <v>35.5</v>
      </c>
      <c r="P88" s="110">
        <v>36.75</v>
      </c>
      <c r="Q88" s="110">
        <v>35.85</v>
      </c>
      <c r="R88">
        <v>101927</v>
      </c>
    </row>
    <row r="89" spans="1:18" x14ac:dyDescent="0.25">
      <c r="A89" s="134">
        <v>42132</v>
      </c>
      <c r="B89" s="110">
        <v>36.700000000000003</v>
      </c>
      <c r="C89" s="110">
        <v>36.1</v>
      </c>
      <c r="D89" s="110">
        <v>35.75</v>
      </c>
      <c r="E89" s="110">
        <v>36.700000000000003</v>
      </c>
      <c r="F89" s="110">
        <v>36.1</v>
      </c>
      <c r="G89">
        <v>13863</v>
      </c>
      <c r="H89" s="110"/>
      <c r="I89" s="110"/>
      <c r="L89" s="134">
        <v>42132</v>
      </c>
      <c r="M89" s="110">
        <v>36.200000000000003</v>
      </c>
      <c r="N89" s="110">
        <v>36.75</v>
      </c>
      <c r="O89" s="110">
        <v>35.9</v>
      </c>
      <c r="P89" s="110">
        <v>36.299999999999997</v>
      </c>
      <c r="Q89" s="110">
        <v>36.200000000000003</v>
      </c>
      <c r="R89">
        <v>53306</v>
      </c>
    </row>
    <row r="90" spans="1:18" x14ac:dyDescent="0.25">
      <c r="A90" s="134">
        <v>42135</v>
      </c>
      <c r="B90" s="110">
        <v>37.799999999999997</v>
      </c>
      <c r="C90" s="110">
        <v>37.35</v>
      </c>
      <c r="D90" s="110">
        <v>36</v>
      </c>
      <c r="E90" s="110">
        <v>36.1</v>
      </c>
      <c r="F90" s="110">
        <v>37.35</v>
      </c>
      <c r="G90">
        <v>22060</v>
      </c>
      <c r="H90" s="110"/>
      <c r="I90" s="110"/>
      <c r="L90" s="134">
        <v>42135</v>
      </c>
      <c r="M90" s="110">
        <v>37.4</v>
      </c>
      <c r="N90" s="110">
        <v>37.799999999999997</v>
      </c>
      <c r="O90" s="110">
        <v>36.1</v>
      </c>
      <c r="P90" s="110">
        <v>36.5</v>
      </c>
      <c r="Q90" s="110">
        <v>37.4</v>
      </c>
      <c r="R90">
        <v>161866</v>
      </c>
    </row>
    <row r="91" spans="1:18" x14ac:dyDescent="0.25">
      <c r="A91" s="134">
        <v>42136</v>
      </c>
      <c r="B91" s="110">
        <v>37.5</v>
      </c>
      <c r="C91" s="110">
        <v>37.049999999999997</v>
      </c>
      <c r="D91" s="110">
        <v>36.799999999999997</v>
      </c>
      <c r="E91" s="110">
        <v>37.4</v>
      </c>
      <c r="F91" s="110">
        <v>37.049999999999997</v>
      </c>
      <c r="G91">
        <v>21615</v>
      </c>
      <c r="H91" s="110"/>
      <c r="I91" s="110"/>
      <c r="L91" s="134">
        <v>42136</v>
      </c>
      <c r="M91" s="110">
        <v>37.049999999999997</v>
      </c>
      <c r="N91" s="110">
        <v>37.6</v>
      </c>
      <c r="O91" s="110">
        <v>36.75</v>
      </c>
      <c r="P91" s="110">
        <v>37.4</v>
      </c>
      <c r="Q91" s="110">
        <v>37.049999999999997</v>
      </c>
      <c r="R91">
        <v>95537</v>
      </c>
    </row>
    <row r="92" spans="1:18" x14ac:dyDescent="0.25">
      <c r="A92" s="134">
        <v>42137</v>
      </c>
      <c r="B92" s="110">
        <v>37.65</v>
      </c>
      <c r="C92" s="110">
        <v>37.25</v>
      </c>
      <c r="D92" s="110">
        <v>37</v>
      </c>
      <c r="E92" s="110">
        <v>37.1</v>
      </c>
      <c r="F92" s="110">
        <v>37.25</v>
      </c>
      <c r="G92">
        <v>16764</v>
      </c>
      <c r="H92" s="110"/>
      <c r="I92" s="110"/>
      <c r="L92" s="134">
        <v>42137</v>
      </c>
      <c r="M92" s="110">
        <v>37.25</v>
      </c>
      <c r="N92" s="110">
        <v>37.700000000000003</v>
      </c>
      <c r="O92" s="110">
        <v>37</v>
      </c>
      <c r="P92" s="110">
        <v>37.65</v>
      </c>
      <c r="Q92" s="110">
        <v>37.25</v>
      </c>
      <c r="R92">
        <v>65565</v>
      </c>
    </row>
    <row r="93" spans="1:18" x14ac:dyDescent="0.25">
      <c r="A93" s="134">
        <v>42138</v>
      </c>
      <c r="B93" s="110">
        <v>38.4</v>
      </c>
      <c r="C93" s="110">
        <v>37.9</v>
      </c>
      <c r="D93" s="110">
        <v>37.1</v>
      </c>
      <c r="E93" s="110">
        <v>37.299999999999997</v>
      </c>
      <c r="F93" s="110">
        <v>37.9</v>
      </c>
      <c r="G93">
        <v>35800</v>
      </c>
      <c r="H93" s="110"/>
      <c r="I93" s="110"/>
      <c r="L93" s="134">
        <v>42138</v>
      </c>
      <c r="M93" s="110">
        <v>38</v>
      </c>
      <c r="N93" s="110">
        <v>38.450000000000003</v>
      </c>
      <c r="O93" s="110">
        <v>37.1</v>
      </c>
      <c r="P93" s="110">
        <v>37.25</v>
      </c>
      <c r="Q93" s="110">
        <v>38</v>
      </c>
      <c r="R93">
        <v>211569</v>
      </c>
    </row>
    <row r="94" spans="1:18" x14ac:dyDescent="0.25">
      <c r="A94" s="134">
        <v>42139</v>
      </c>
      <c r="B94" s="110">
        <v>44.15</v>
      </c>
      <c r="C94" s="110">
        <v>41.4</v>
      </c>
      <c r="D94" s="110">
        <v>41.05</v>
      </c>
      <c r="E94" s="110">
        <v>41.5</v>
      </c>
      <c r="F94" s="110">
        <v>41.4</v>
      </c>
      <c r="G94">
        <v>676562</v>
      </c>
      <c r="H94" s="110"/>
      <c r="I94" s="110"/>
      <c r="L94" s="134">
        <v>42139</v>
      </c>
      <c r="M94" s="110">
        <v>41.3</v>
      </c>
      <c r="N94" s="110">
        <v>44.5</v>
      </c>
      <c r="O94" s="110">
        <v>41</v>
      </c>
      <c r="P94" s="110">
        <v>42</v>
      </c>
      <c r="Q94" s="110">
        <v>41.3</v>
      </c>
      <c r="R94">
        <v>3140944</v>
      </c>
    </row>
    <row r="95" spans="1:18" x14ac:dyDescent="0.25">
      <c r="A95" s="134">
        <v>42142</v>
      </c>
      <c r="B95" s="110">
        <v>41.6</v>
      </c>
      <c r="C95" s="110">
        <v>40.35</v>
      </c>
      <c r="D95" s="110">
        <v>40.15</v>
      </c>
      <c r="E95" s="110">
        <v>41.6</v>
      </c>
      <c r="F95" s="110">
        <v>40.35</v>
      </c>
      <c r="G95">
        <v>81825</v>
      </c>
      <c r="H95" s="110"/>
      <c r="I95" s="110"/>
      <c r="L95" s="134">
        <v>42142</v>
      </c>
      <c r="M95" s="110">
        <v>40.200000000000003</v>
      </c>
      <c r="N95" s="110">
        <v>41.5</v>
      </c>
      <c r="O95" s="110">
        <v>40</v>
      </c>
      <c r="P95" s="110">
        <v>41.5</v>
      </c>
      <c r="Q95" s="110">
        <v>40.200000000000003</v>
      </c>
      <c r="R95">
        <v>396978</v>
      </c>
    </row>
    <row r="96" spans="1:18" x14ac:dyDescent="0.25">
      <c r="A96" s="134">
        <v>42143</v>
      </c>
      <c r="B96" s="110">
        <v>40.5</v>
      </c>
      <c r="C96" s="110">
        <v>39.450000000000003</v>
      </c>
      <c r="D96" s="110">
        <v>39.200000000000003</v>
      </c>
      <c r="E96" s="110">
        <v>40.4</v>
      </c>
      <c r="F96" s="110">
        <v>39.450000000000003</v>
      </c>
      <c r="G96">
        <v>59695</v>
      </c>
      <c r="H96" s="110"/>
      <c r="I96" s="110"/>
      <c r="L96" s="134">
        <v>42143</v>
      </c>
      <c r="M96" s="110">
        <v>39.5</v>
      </c>
      <c r="N96" s="110">
        <v>40.75</v>
      </c>
      <c r="O96" s="110">
        <v>39.25</v>
      </c>
      <c r="P96" s="110">
        <v>40.75</v>
      </c>
      <c r="Q96" s="110">
        <v>39.5</v>
      </c>
      <c r="R96">
        <v>235608</v>
      </c>
    </row>
    <row r="97" spans="1:18" x14ac:dyDescent="0.25">
      <c r="A97" s="134">
        <v>42144</v>
      </c>
      <c r="B97" s="110">
        <v>40.25</v>
      </c>
      <c r="C97" s="110">
        <v>39.299999999999997</v>
      </c>
      <c r="D97" s="110">
        <v>39.1</v>
      </c>
      <c r="E97" s="110">
        <v>39.5</v>
      </c>
      <c r="F97" s="110">
        <v>39.299999999999997</v>
      </c>
      <c r="G97">
        <v>42375</v>
      </c>
      <c r="H97" s="110"/>
      <c r="I97" s="110"/>
      <c r="L97" s="134">
        <v>42144</v>
      </c>
      <c r="M97" s="110">
        <v>39.25</v>
      </c>
      <c r="N97" s="110">
        <v>40.25</v>
      </c>
      <c r="O97" s="110">
        <v>39.1</v>
      </c>
      <c r="P97" s="110">
        <v>40</v>
      </c>
      <c r="Q97" s="110">
        <v>39.25</v>
      </c>
      <c r="R97">
        <v>168696</v>
      </c>
    </row>
    <row r="98" spans="1:18" x14ac:dyDescent="0.25">
      <c r="A98" s="134">
        <v>42145</v>
      </c>
      <c r="B98" s="110">
        <v>39.4</v>
      </c>
      <c r="C98" s="110">
        <v>38.950000000000003</v>
      </c>
      <c r="D98" s="110">
        <v>38.65</v>
      </c>
      <c r="E98" s="110">
        <v>39.299999999999997</v>
      </c>
      <c r="F98" s="110">
        <v>38.950000000000003</v>
      </c>
      <c r="G98">
        <v>28584</v>
      </c>
      <c r="H98" s="110"/>
      <c r="I98" s="110"/>
      <c r="L98" s="134">
        <v>42145</v>
      </c>
      <c r="M98" s="110">
        <v>38.85</v>
      </c>
      <c r="N98" s="110">
        <v>39.4</v>
      </c>
      <c r="O98" s="110">
        <v>38.6</v>
      </c>
      <c r="P98" s="110">
        <v>39.25</v>
      </c>
      <c r="Q98" s="110">
        <v>38.85</v>
      </c>
      <c r="R98">
        <v>158293</v>
      </c>
    </row>
    <row r="99" spans="1:18" x14ac:dyDescent="0.25">
      <c r="A99" s="134">
        <v>42146</v>
      </c>
      <c r="B99" s="110">
        <v>39.75</v>
      </c>
      <c r="C99" s="110">
        <v>38.950000000000003</v>
      </c>
      <c r="D99" s="110">
        <v>38.700000000000003</v>
      </c>
      <c r="E99" s="110">
        <v>38.950000000000003</v>
      </c>
      <c r="F99" s="110">
        <v>38.950000000000003</v>
      </c>
      <c r="G99">
        <v>56436</v>
      </c>
      <c r="H99" s="110"/>
      <c r="I99" s="110"/>
      <c r="L99" s="134">
        <v>42146</v>
      </c>
      <c r="M99" s="110">
        <v>39.049999999999997</v>
      </c>
      <c r="N99" s="110">
        <v>39.85</v>
      </c>
      <c r="O99" s="110">
        <v>38.700000000000003</v>
      </c>
      <c r="P99" s="110">
        <v>38.85</v>
      </c>
      <c r="Q99" s="110">
        <v>39.049999999999997</v>
      </c>
      <c r="R99">
        <v>244131</v>
      </c>
    </row>
    <row r="100" spans="1:18" x14ac:dyDescent="0.25">
      <c r="A100" s="134">
        <v>42149</v>
      </c>
      <c r="B100" s="110">
        <v>38.950000000000003</v>
      </c>
      <c r="C100" s="110">
        <v>38.4</v>
      </c>
      <c r="D100" s="110">
        <v>38.299999999999997</v>
      </c>
      <c r="E100" s="110">
        <v>38.85</v>
      </c>
      <c r="F100" s="110">
        <v>38.4</v>
      </c>
      <c r="G100">
        <v>40133</v>
      </c>
      <c r="H100" s="110"/>
      <c r="I100" s="110"/>
      <c r="L100" s="134">
        <v>42149</v>
      </c>
      <c r="M100" s="110">
        <v>38.5</v>
      </c>
      <c r="N100" s="110">
        <v>39.35</v>
      </c>
      <c r="O100" s="110">
        <v>38.1</v>
      </c>
      <c r="P100" s="110">
        <v>39.35</v>
      </c>
      <c r="Q100" s="110">
        <v>38.5</v>
      </c>
      <c r="R100">
        <v>99608</v>
      </c>
    </row>
    <row r="101" spans="1:18" x14ac:dyDescent="0.25">
      <c r="A101" s="134">
        <v>42150</v>
      </c>
      <c r="B101" s="110">
        <v>38.4</v>
      </c>
      <c r="C101" s="110">
        <v>38.15</v>
      </c>
      <c r="D101" s="110">
        <v>37.799999999999997</v>
      </c>
      <c r="E101" s="110">
        <v>38.4</v>
      </c>
      <c r="F101" s="110">
        <v>38.15</v>
      </c>
      <c r="G101">
        <v>22135</v>
      </c>
      <c r="H101" s="110"/>
      <c r="I101" s="110"/>
      <c r="L101" s="134">
        <v>42150</v>
      </c>
      <c r="M101" s="110">
        <v>38.1</v>
      </c>
      <c r="N101" s="110">
        <v>38.4</v>
      </c>
      <c r="O101" s="110">
        <v>37.799999999999997</v>
      </c>
      <c r="P101" s="110">
        <v>38.35</v>
      </c>
      <c r="Q101" s="110">
        <v>38.1</v>
      </c>
      <c r="R101">
        <v>150938</v>
      </c>
    </row>
    <row r="102" spans="1:18" x14ac:dyDescent="0.25">
      <c r="A102" s="134">
        <v>42151</v>
      </c>
      <c r="B102" s="110">
        <v>39</v>
      </c>
      <c r="C102" s="110">
        <v>38.6</v>
      </c>
      <c r="D102" s="110">
        <v>37.799999999999997</v>
      </c>
      <c r="E102" s="110">
        <v>37.950000000000003</v>
      </c>
      <c r="F102" s="110">
        <v>38.6</v>
      </c>
      <c r="G102">
        <v>61177</v>
      </c>
      <c r="H102" s="110"/>
      <c r="I102" s="110"/>
      <c r="L102" s="134">
        <v>42151</v>
      </c>
      <c r="M102" s="110">
        <v>38.549999999999997</v>
      </c>
      <c r="N102" s="110">
        <v>38.950000000000003</v>
      </c>
      <c r="O102" s="110">
        <v>37.75</v>
      </c>
      <c r="P102" s="110">
        <v>37.950000000000003</v>
      </c>
      <c r="Q102" s="110">
        <v>38.549999999999997</v>
      </c>
      <c r="R102">
        <v>190262</v>
      </c>
    </row>
    <row r="103" spans="1:18" x14ac:dyDescent="0.25">
      <c r="A103" s="134">
        <v>42152</v>
      </c>
      <c r="B103" s="110">
        <v>39</v>
      </c>
      <c r="C103" s="110">
        <v>38.75</v>
      </c>
      <c r="D103" s="110">
        <v>38.25</v>
      </c>
      <c r="E103" s="110">
        <v>38.450000000000003</v>
      </c>
      <c r="F103" s="110">
        <v>38.75</v>
      </c>
      <c r="G103">
        <v>42505</v>
      </c>
      <c r="H103" s="110"/>
      <c r="I103" s="110"/>
      <c r="L103" s="134">
        <v>42152</v>
      </c>
      <c r="M103" s="110">
        <v>38.75</v>
      </c>
      <c r="N103" s="110">
        <v>39</v>
      </c>
      <c r="O103" s="110">
        <v>38.049999999999997</v>
      </c>
      <c r="P103" s="110">
        <v>38.549999999999997</v>
      </c>
      <c r="Q103" s="110">
        <v>38.75</v>
      </c>
      <c r="R103">
        <v>147983</v>
      </c>
    </row>
    <row r="104" spans="1:18" x14ac:dyDescent="0.25">
      <c r="A104" s="134">
        <v>42153</v>
      </c>
      <c r="B104" s="110">
        <v>39.25</v>
      </c>
      <c r="C104" s="110">
        <v>39.1</v>
      </c>
      <c r="D104" s="110">
        <v>38.5</v>
      </c>
      <c r="E104" s="110">
        <v>38.5</v>
      </c>
      <c r="F104" s="110">
        <v>39.1</v>
      </c>
      <c r="G104">
        <v>16453</v>
      </c>
      <c r="H104" s="110"/>
      <c r="I104" s="110"/>
      <c r="L104" s="134">
        <v>42153</v>
      </c>
      <c r="M104" s="110">
        <v>39.1</v>
      </c>
      <c r="N104" s="110">
        <v>39.6</v>
      </c>
      <c r="O104" s="110">
        <v>38.1</v>
      </c>
      <c r="P104" s="110">
        <v>38.75</v>
      </c>
      <c r="Q104" s="110">
        <v>39.1</v>
      </c>
      <c r="R104">
        <v>153754</v>
      </c>
    </row>
    <row r="105" spans="1:18" x14ac:dyDescent="0.25">
      <c r="A105" s="134">
        <v>42156</v>
      </c>
      <c r="B105" s="110">
        <v>39.65</v>
      </c>
      <c r="C105" s="110">
        <v>39.049999999999997</v>
      </c>
      <c r="D105" s="110">
        <v>39</v>
      </c>
      <c r="E105" s="110">
        <v>39.65</v>
      </c>
      <c r="F105" s="110">
        <v>39.049999999999997</v>
      </c>
      <c r="G105">
        <v>10908</v>
      </c>
      <c r="H105" s="110"/>
      <c r="I105" s="110"/>
      <c r="L105" s="134">
        <v>42156</v>
      </c>
      <c r="M105" s="110">
        <v>39</v>
      </c>
      <c r="N105" s="110">
        <v>39.700000000000003</v>
      </c>
      <c r="O105" s="110">
        <v>38.799999999999997</v>
      </c>
      <c r="P105" s="110">
        <v>39.1</v>
      </c>
      <c r="Q105" s="110">
        <v>39</v>
      </c>
      <c r="R105">
        <v>74594</v>
      </c>
    </row>
    <row r="106" spans="1:18" x14ac:dyDescent="0.25">
      <c r="A106" s="134">
        <v>42157</v>
      </c>
      <c r="B106" s="110">
        <v>39.25</v>
      </c>
      <c r="C106" s="110">
        <v>38</v>
      </c>
      <c r="D106" s="110">
        <v>37.799999999999997</v>
      </c>
      <c r="E106" s="110">
        <v>39.25</v>
      </c>
      <c r="F106" s="110">
        <v>38</v>
      </c>
      <c r="G106">
        <v>39325</v>
      </c>
      <c r="H106" s="110"/>
      <c r="I106" s="110"/>
      <c r="L106" s="134">
        <v>42157</v>
      </c>
      <c r="M106" s="110">
        <v>37.9</v>
      </c>
      <c r="N106" s="110">
        <v>39.299999999999997</v>
      </c>
      <c r="O106" s="110">
        <v>37.5</v>
      </c>
      <c r="P106" s="110">
        <v>39.200000000000003</v>
      </c>
      <c r="Q106" s="110">
        <v>37.9</v>
      </c>
      <c r="R106">
        <v>137294</v>
      </c>
    </row>
    <row r="107" spans="1:18" x14ac:dyDescent="0.25">
      <c r="A107" s="134">
        <v>42158</v>
      </c>
      <c r="B107" s="110">
        <v>38.1</v>
      </c>
      <c r="C107" s="110">
        <v>36.5</v>
      </c>
      <c r="D107" s="110">
        <v>36</v>
      </c>
      <c r="E107" s="110">
        <v>37.799999999999997</v>
      </c>
      <c r="F107" s="110">
        <v>36.5</v>
      </c>
      <c r="G107">
        <v>37473</v>
      </c>
      <c r="H107" s="110"/>
      <c r="I107" s="110"/>
      <c r="L107" s="134">
        <v>42158</v>
      </c>
      <c r="M107" s="110">
        <v>36.35</v>
      </c>
      <c r="N107" s="110">
        <v>38.1</v>
      </c>
      <c r="O107" s="110">
        <v>36.1</v>
      </c>
      <c r="P107" s="110">
        <v>37.9</v>
      </c>
      <c r="Q107" s="110">
        <v>36.35</v>
      </c>
      <c r="R107">
        <v>192723</v>
      </c>
    </row>
    <row r="108" spans="1:18" x14ac:dyDescent="0.25">
      <c r="A108" s="134">
        <v>42159</v>
      </c>
      <c r="B108" s="110">
        <v>36.799999999999997</v>
      </c>
      <c r="C108" s="110">
        <v>36.35</v>
      </c>
      <c r="D108" s="110">
        <v>35.85</v>
      </c>
      <c r="E108" s="110">
        <v>35.85</v>
      </c>
      <c r="F108" s="110">
        <v>36.35</v>
      </c>
      <c r="G108">
        <v>29051</v>
      </c>
      <c r="H108" s="110"/>
      <c r="I108" s="110"/>
      <c r="L108" s="134">
        <v>42159</v>
      </c>
      <c r="M108" s="110">
        <v>36.35</v>
      </c>
      <c r="N108" s="110">
        <v>36.799999999999997</v>
      </c>
      <c r="O108" s="110">
        <v>35.75</v>
      </c>
      <c r="P108" s="110">
        <v>36.549999999999997</v>
      </c>
      <c r="Q108" s="110">
        <v>36.35</v>
      </c>
      <c r="R108">
        <v>130380</v>
      </c>
    </row>
    <row r="109" spans="1:18" x14ac:dyDescent="0.25">
      <c r="A109" s="134">
        <v>42160</v>
      </c>
      <c r="B109" s="110">
        <v>36.4</v>
      </c>
      <c r="C109" s="110">
        <v>36</v>
      </c>
      <c r="D109" s="110">
        <v>35.799999999999997</v>
      </c>
      <c r="E109" s="110">
        <v>36.25</v>
      </c>
      <c r="F109" s="110">
        <v>36</v>
      </c>
      <c r="G109">
        <v>18566</v>
      </c>
      <c r="H109" s="110"/>
      <c r="I109" s="110"/>
      <c r="L109" s="134">
        <v>42160</v>
      </c>
      <c r="M109" s="110">
        <v>35.950000000000003</v>
      </c>
      <c r="N109" s="110">
        <v>36.549999999999997</v>
      </c>
      <c r="O109" s="110">
        <v>35.799999999999997</v>
      </c>
      <c r="P109" s="110">
        <v>36.5</v>
      </c>
      <c r="Q109" s="110">
        <v>35.950000000000003</v>
      </c>
      <c r="R109">
        <v>137002</v>
      </c>
    </row>
    <row r="110" spans="1:18" x14ac:dyDescent="0.25">
      <c r="A110" s="134">
        <v>42163</v>
      </c>
      <c r="B110" s="110">
        <v>36.6</v>
      </c>
      <c r="C110" s="110">
        <v>35.799999999999997</v>
      </c>
      <c r="D110" s="110">
        <v>35.4</v>
      </c>
      <c r="E110" s="110">
        <v>36.5</v>
      </c>
      <c r="F110" s="110">
        <v>35.799999999999997</v>
      </c>
      <c r="G110">
        <v>29659</v>
      </c>
      <c r="H110" s="110"/>
      <c r="I110" s="110"/>
      <c r="L110" s="134">
        <v>42163</v>
      </c>
      <c r="M110" s="110">
        <v>35.799999999999997</v>
      </c>
      <c r="N110" s="110">
        <v>36.9</v>
      </c>
      <c r="O110" s="110">
        <v>35.5</v>
      </c>
      <c r="P110" s="110">
        <v>36.6</v>
      </c>
      <c r="Q110" s="110">
        <v>35.799999999999997</v>
      </c>
      <c r="R110">
        <v>174744</v>
      </c>
    </row>
    <row r="111" spans="1:18" x14ac:dyDescent="0.25">
      <c r="A111" s="134">
        <v>42164</v>
      </c>
      <c r="B111" s="110">
        <v>36.15</v>
      </c>
      <c r="C111" s="110">
        <v>35.65</v>
      </c>
      <c r="D111" s="110">
        <v>35.5</v>
      </c>
      <c r="E111" s="110">
        <v>35.5</v>
      </c>
      <c r="F111" s="110">
        <v>35.65</v>
      </c>
      <c r="G111">
        <v>23671</v>
      </c>
      <c r="H111" s="110"/>
      <c r="I111" s="110"/>
      <c r="L111" s="134">
        <v>42164</v>
      </c>
      <c r="M111" s="110">
        <v>35.65</v>
      </c>
      <c r="N111" s="110">
        <v>36.049999999999997</v>
      </c>
      <c r="O111" s="110">
        <v>35.450000000000003</v>
      </c>
      <c r="P111" s="110">
        <v>35.950000000000003</v>
      </c>
      <c r="Q111" s="110">
        <v>35.65</v>
      </c>
      <c r="R111">
        <v>96558</v>
      </c>
    </row>
    <row r="112" spans="1:18" x14ac:dyDescent="0.25">
      <c r="A112" s="134">
        <v>42165</v>
      </c>
      <c r="B112" s="110">
        <v>36.1</v>
      </c>
      <c r="C112" s="110">
        <v>35.950000000000003</v>
      </c>
      <c r="D112" s="110">
        <v>35.65</v>
      </c>
      <c r="E112" s="110">
        <v>35.9</v>
      </c>
      <c r="F112" s="110">
        <v>35.950000000000003</v>
      </c>
      <c r="G112">
        <v>35159</v>
      </c>
      <c r="H112" s="110"/>
      <c r="I112" s="110"/>
      <c r="L112" s="134">
        <v>42165</v>
      </c>
      <c r="M112" s="110">
        <v>35.85</v>
      </c>
      <c r="N112" s="110">
        <v>36.15</v>
      </c>
      <c r="O112" s="110">
        <v>35.549999999999997</v>
      </c>
      <c r="P112" s="110">
        <v>35.6</v>
      </c>
      <c r="Q112" s="110">
        <v>35.85</v>
      </c>
      <c r="R112">
        <v>74034</v>
      </c>
    </row>
    <row r="113" spans="1:18" x14ac:dyDescent="0.25">
      <c r="A113" s="134">
        <v>42166</v>
      </c>
      <c r="B113" s="110">
        <v>36.25</v>
      </c>
      <c r="C113" s="110">
        <v>35.5</v>
      </c>
      <c r="D113" s="110">
        <v>35.200000000000003</v>
      </c>
      <c r="E113" s="110">
        <v>36.15</v>
      </c>
      <c r="F113" s="110">
        <v>35.5</v>
      </c>
      <c r="G113">
        <v>32708</v>
      </c>
      <c r="H113" s="110"/>
      <c r="I113" s="110"/>
      <c r="L113" s="134">
        <v>42166</v>
      </c>
      <c r="M113" s="110">
        <v>35.299999999999997</v>
      </c>
      <c r="N113" s="110">
        <v>36.450000000000003</v>
      </c>
      <c r="O113" s="110">
        <v>35.1</v>
      </c>
      <c r="P113" s="110">
        <v>36.450000000000003</v>
      </c>
      <c r="Q113" s="110">
        <v>35.299999999999997</v>
      </c>
      <c r="R113">
        <v>95259</v>
      </c>
    </row>
    <row r="114" spans="1:18" x14ac:dyDescent="0.25">
      <c r="A114" s="134">
        <v>42167</v>
      </c>
      <c r="B114" s="110">
        <v>35.75</v>
      </c>
      <c r="C114" s="110">
        <v>35.549999999999997</v>
      </c>
      <c r="D114" s="110">
        <v>35</v>
      </c>
      <c r="E114" s="110">
        <v>35.299999999999997</v>
      </c>
      <c r="F114" s="110">
        <v>35.549999999999997</v>
      </c>
      <c r="G114">
        <v>16153</v>
      </c>
      <c r="H114" s="110"/>
      <c r="I114" s="110"/>
      <c r="L114" s="134">
        <v>42167</v>
      </c>
      <c r="M114" s="110">
        <v>35.6</v>
      </c>
      <c r="N114" s="110">
        <v>36</v>
      </c>
      <c r="O114" s="110">
        <v>34.9</v>
      </c>
      <c r="P114" s="110">
        <v>35.9</v>
      </c>
      <c r="Q114" s="110">
        <v>35.6</v>
      </c>
      <c r="R114">
        <v>68832</v>
      </c>
    </row>
    <row r="115" spans="1:18" x14ac:dyDescent="0.25">
      <c r="A115" s="134">
        <v>42170</v>
      </c>
      <c r="B115" s="110">
        <v>35.75</v>
      </c>
      <c r="C115" s="110">
        <v>35.549999999999997</v>
      </c>
      <c r="D115" s="110">
        <v>35.200000000000003</v>
      </c>
      <c r="E115" s="110">
        <v>35.450000000000003</v>
      </c>
      <c r="F115" s="110">
        <v>35.549999999999997</v>
      </c>
      <c r="G115">
        <v>9913</v>
      </c>
      <c r="H115" s="110"/>
      <c r="I115" s="110"/>
      <c r="L115" s="134">
        <v>42170</v>
      </c>
      <c r="M115" s="110">
        <v>35.65</v>
      </c>
      <c r="N115" s="110">
        <v>35.75</v>
      </c>
      <c r="O115" s="110">
        <v>35.25</v>
      </c>
      <c r="P115" s="110">
        <v>35.6</v>
      </c>
      <c r="Q115" s="110">
        <v>35.65</v>
      </c>
      <c r="R115">
        <v>61069</v>
      </c>
    </row>
    <row r="116" spans="1:18" x14ac:dyDescent="0.25">
      <c r="A116" s="134">
        <v>42171</v>
      </c>
      <c r="B116" s="110">
        <v>35.799999999999997</v>
      </c>
      <c r="C116" s="110">
        <v>35.6</v>
      </c>
      <c r="D116" s="110">
        <v>35.25</v>
      </c>
      <c r="E116" s="110">
        <v>35.6</v>
      </c>
      <c r="F116" s="110">
        <v>35.6</v>
      </c>
      <c r="G116">
        <v>11687</v>
      </c>
      <c r="H116" s="110"/>
      <c r="I116" s="110"/>
      <c r="L116" s="134">
        <v>42171</v>
      </c>
      <c r="M116" s="110">
        <v>35.6</v>
      </c>
      <c r="N116" s="110">
        <v>36</v>
      </c>
      <c r="O116" s="110">
        <v>35.25</v>
      </c>
      <c r="P116" s="110">
        <v>36</v>
      </c>
      <c r="Q116" s="110">
        <v>35.6</v>
      </c>
      <c r="R116">
        <v>71035</v>
      </c>
    </row>
    <row r="117" spans="1:18" x14ac:dyDescent="0.25">
      <c r="A117" s="134">
        <v>42172</v>
      </c>
      <c r="B117" s="110">
        <v>37.700000000000003</v>
      </c>
      <c r="C117" s="110">
        <v>36.799999999999997</v>
      </c>
      <c r="D117" s="110">
        <v>35.5</v>
      </c>
      <c r="E117" s="110">
        <v>35.65</v>
      </c>
      <c r="F117" s="110">
        <v>36.799999999999997</v>
      </c>
      <c r="G117">
        <v>63285</v>
      </c>
      <c r="H117" s="110"/>
      <c r="I117" s="110"/>
      <c r="L117" s="134">
        <v>42172</v>
      </c>
      <c r="M117" s="110">
        <v>36.75</v>
      </c>
      <c r="N117" s="110">
        <v>37.65</v>
      </c>
      <c r="O117" s="110">
        <v>35.35</v>
      </c>
      <c r="P117" s="110">
        <v>35.75</v>
      </c>
      <c r="Q117" s="110">
        <v>36.75</v>
      </c>
      <c r="R117">
        <v>332839</v>
      </c>
    </row>
    <row r="118" spans="1:18" x14ac:dyDescent="0.25">
      <c r="A118" s="134">
        <v>42173</v>
      </c>
      <c r="B118" s="110">
        <v>37</v>
      </c>
      <c r="C118" s="110">
        <v>36.9</v>
      </c>
      <c r="D118" s="110">
        <v>36.549999999999997</v>
      </c>
      <c r="E118" s="110">
        <v>36.549999999999997</v>
      </c>
      <c r="F118" s="110">
        <v>36.9</v>
      </c>
      <c r="G118">
        <v>46925</v>
      </c>
      <c r="H118" s="110"/>
      <c r="I118" s="110"/>
      <c r="L118" s="134">
        <v>42173</v>
      </c>
      <c r="M118" s="110">
        <v>36.9</v>
      </c>
      <c r="N118" s="110">
        <v>37.25</v>
      </c>
      <c r="O118" s="110">
        <v>36.15</v>
      </c>
      <c r="P118" s="110">
        <v>36.950000000000003</v>
      </c>
      <c r="Q118" s="110">
        <v>36.9</v>
      </c>
      <c r="R118">
        <v>152408</v>
      </c>
    </row>
    <row r="119" spans="1:18" x14ac:dyDescent="0.25">
      <c r="A119" s="134">
        <v>42174</v>
      </c>
      <c r="B119" s="110">
        <v>36.700000000000003</v>
      </c>
      <c r="C119" s="110">
        <v>36.299999999999997</v>
      </c>
      <c r="D119" s="110">
        <v>36.200000000000003</v>
      </c>
      <c r="E119" s="110">
        <v>36.700000000000003</v>
      </c>
      <c r="F119" s="110">
        <v>36.299999999999997</v>
      </c>
      <c r="G119">
        <v>21667</v>
      </c>
      <c r="H119" s="110"/>
      <c r="I119" s="110"/>
      <c r="L119" s="134">
        <v>42174</v>
      </c>
      <c r="M119" s="110">
        <v>36.299999999999997</v>
      </c>
      <c r="N119" s="110">
        <v>36.700000000000003</v>
      </c>
      <c r="O119" s="110">
        <v>36.15</v>
      </c>
      <c r="P119" s="110">
        <v>36.65</v>
      </c>
      <c r="Q119" s="110">
        <v>36.299999999999997</v>
      </c>
      <c r="R119">
        <v>118443</v>
      </c>
    </row>
    <row r="120" spans="1:18" x14ac:dyDescent="0.25">
      <c r="A120" s="134">
        <v>42177</v>
      </c>
      <c r="B120" s="110">
        <v>37.5</v>
      </c>
      <c r="C120" s="110">
        <v>37.049999999999997</v>
      </c>
      <c r="D120" s="110">
        <v>36.200000000000003</v>
      </c>
      <c r="E120" s="110">
        <v>36.299999999999997</v>
      </c>
      <c r="F120" s="110">
        <v>37.049999999999997</v>
      </c>
      <c r="G120">
        <v>35555</v>
      </c>
      <c r="H120" s="110"/>
      <c r="I120" s="110"/>
      <c r="L120" s="134">
        <v>42177</v>
      </c>
      <c r="M120" s="110">
        <v>37.15</v>
      </c>
      <c r="N120" s="110">
        <v>37.6</v>
      </c>
      <c r="O120" s="110">
        <v>36.299999999999997</v>
      </c>
      <c r="P120" s="110">
        <v>36.5</v>
      </c>
      <c r="Q120" s="110">
        <v>37.15</v>
      </c>
      <c r="R120">
        <v>151839</v>
      </c>
    </row>
    <row r="121" spans="1:18" x14ac:dyDescent="0.25">
      <c r="A121" s="134">
        <v>42178</v>
      </c>
      <c r="B121" s="110">
        <v>37.75</v>
      </c>
      <c r="C121" s="110">
        <v>37.15</v>
      </c>
      <c r="D121" s="110">
        <v>37.049999999999997</v>
      </c>
      <c r="E121" s="110">
        <v>37.5</v>
      </c>
      <c r="F121" s="110">
        <v>37.15</v>
      </c>
      <c r="G121">
        <v>30845</v>
      </c>
      <c r="H121" s="110"/>
      <c r="I121" s="110"/>
      <c r="L121" s="134">
        <v>42178</v>
      </c>
      <c r="M121" s="110">
        <v>37.1</v>
      </c>
      <c r="N121" s="110">
        <v>37.799999999999997</v>
      </c>
      <c r="O121" s="110">
        <v>36.9</v>
      </c>
      <c r="P121" s="110">
        <v>37.15</v>
      </c>
      <c r="Q121" s="110">
        <v>37.1</v>
      </c>
      <c r="R121">
        <v>124784</v>
      </c>
    </row>
    <row r="122" spans="1:18" x14ac:dyDescent="0.25">
      <c r="A122" s="134">
        <v>42179</v>
      </c>
      <c r="B122" s="110">
        <v>37.35</v>
      </c>
      <c r="C122" s="110">
        <v>36.65</v>
      </c>
      <c r="D122" s="110">
        <v>36.5</v>
      </c>
      <c r="E122" s="110">
        <v>36.950000000000003</v>
      </c>
      <c r="F122" s="110">
        <v>36.65</v>
      </c>
      <c r="G122">
        <v>10744</v>
      </c>
      <c r="H122" s="110"/>
      <c r="I122" s="110"/>
      <c r="L122" s="134">
        <v>42179</v>
      </c>
      <c r="M122" s="110">
        <v>36.65</v>
      </c>
      <c r="N122" s="110">
        <v>37.35</v>
      </c>
      <c r="O122" s="110">
        <v>36.450000000000003</v>
      </c>
      <c r="P122" s="110">
        <v>37.200000000000003</v>
      </c>
      <c r="Q122" s="110">
        <v>36.65</v>
      </c>
      <c r="R122">
        <v>76699</v>
      </c>
    </row>
    <row r="123" spans="1:18" x14ac:dyDescent="0.25">
      <c r="A123" s="134">
        <v>42180</v>
      </c>
      <c r="B123" s="110">
        <v>37</v>
      </c>
      <c r="C123" s="110">
        <v>36.5</v>
      </c>
      <c r="D123" s="110">
        <v>36.299999999999997</v>
      </c>
      <c r="E123" s="110">
        <v>37</v>
      </c>
      <c r="F123" s="110">
        <v>36.5</v>
      </c>
      <c r="G123">
        <v>21930</v>
      </c>
      <c r="H123" s="110"/>
      <c r="I123" s="110"/>
      <c r="L123" s="134">
        <v>42180</v>
      </c>
      <c r="M123" s="110">
        <v>36.5</v>
      </c>
      <c r="N123" s="110">
        <v>37</v>
      </c>
      <c r="O123" s="110">
        <v>36.1</v>
      </c>
      <c r="P123" s="110">
        <v>37</v>
      </c>
      <c r="Q123" s="110">
        <v>36.5</v>
      </c>
      <c r="R123">
        <v>52018</v>
      </c>
    </row>
    <row r="124" spans="1:18" x14ac:dyDescent="0.25">
      <c r="A124" s="134">
        <v>42181</v>
      </c>
      <c r="B124" s="110">
        <v>36.700000000000003</v>
      </c>
      <c r="C124" s="110">
        <v>36.25</v>
      </c>
      <c r="D124" s="110">
        <v>36.1</v>
      </c>
      <c r="E124" s="110">
        <v>36.700000000000003</v>
      </c>
      <c r="F124" s="110">
        <v>36.25</v>
      </c>
      <c r="G124">
        <v>13245</v>
      </c>
      <c r="H124" s="110"/>
      <c r="I124" s="110"/>
      <c r="L124" s="134">
        <v>42181</v>
      </c>
      <c r="M124" s="110">
        <v>36.299999999999997</v>
      </c>
      <c r="N124" s="110">
        <v>37</v>
      </c>
      <c r="O124" s="110">
        <v>36</v>
      </c>
      <c r="P124" s="110">
        <v>36.5</v>
      </c>
      <c r="Q124" s="110">
        <v>36.299999999999997</v>
      </c>
      <c r="R124">
        <v>46590</v>
      </c>
    </row>
    <row r="125" spans="1:18" x14ac:dyDescent="0.25">
      <c r="A125" s="134">
        <v>42184</v>
      </c>
      <c r="B125" s="110">
        <v>35.9</v>
      </c>
      <c r="C125" s="110">
        <v>35.450000000000003</v>
      </c>
      <c r="D125" s="110">
        <v>35.1</v>
      </c>
      <c r="E125" s="110">
        <v>35.5</v>
      </c>
      <c r="F125" s="110">
        <v>35.450000000000003</v>
      </c>
      <c r="G125">
        <v>14614</v>
      </c>
      <c r="H125" s="110"/>
      <c r="I125" s="110"/>
      <c r="L125" s="134">
        <v>42184</v>
      </c>
      <c r="M125" s="110">
        <v>35.450000000000003</v>
      </c>
      <c r="N125" s="110">
        <v>36</v>
      </c>
      <c r="O125" s="110">
        <v>35</v>
      </c>
      <c r="P125" s="110">
        <v>36</v>
      </c>
      <c r="Q125" s="110">
        <v>35.450000000000003</v>
      </c>
      <c r="R125">
        <v>82192</v>
      </c>
    </row>
    <row r="126" spans="1:18" x14ac:dyDescent="0.25">
      <c r="A126" s="134">
        <v>42185</v>
      </c>
      <c r="B126" s="110">
        <v>37</v>
      </c>
      <c r="C126" s="110">
        <v>35.9</v>
      </c>
      <c r="D126" s="110">
        <v>35.5</v>
      </c>
      <c r="E126" s="110">
        <v>35.65</v>
      </c>
      <c r="F126" s="110">
        <v>35.9</v>
      </c>
      <c r="G126">
        <v>50274</v>
      </c>
      <c r="H126" s="110"/>
      <c r="I126" s="110"/>
      <c r="L126" s="134">
        <v>42185</v>
      </c>
      <c r="M126" s="110">
        <v>36</v>
      </c>
      <c r="N126" s="110">
        <v>37.15</v>
      </c>
      <c r="O126" s="110">
        <v>35.5</v>
      </c>
      <c r="P126" s="110">
        <v>35.5</v>
      </c>
      <c r="Q126" s="110">
        <v>36</v>
      </c>
      <c r="R126">
        <v>223230</v>
      </c>
    </row>
    <row r="127" spans="1:18" x14ac:dyDescent="0.25">
      <c r="A127" s="134">
        <v>42186</v>
      </c>
      <c r="B127" s="110">
        <v>39.1</v>
      </c>
      <c r="C127" s="110">
        <v>38.65</v>
      </c>
      <c r="D127" s="110">
        <v>36.049999999999997</v>
      </c>
      <c r="E127" s="110">
        <v>36.5</v>
      </c>
      <c r="F127" s="110">
        <v>38.65</v>
      </c>
      <c r="G127">
        <v>92539</v>
      </c>
      <c r="H127" s="110"/>
      <c r="I127" s="110"/>
      <c r="L127" s="134">
        <v>42186</v>
      </c>
      <c r="M127" s="110">
        <v>38.65</v>
      </c>
      <c r="N127" s="110">
        <v>39</v>
      </c>
      <c r="O127" s="110">
        <v>36.1</v>
      </c>
      <c r="P127" s="110">
        <v>36.299999999999997</v>
      </c>
      <c r="Q127" s="110">
        <v>38.65</v>
      </c>
      <c r="R127">
        <v>518027</v>
      </c>
    </row>
    <row r="128" spans="1:18" x14ac:dyDescent="0.25">
      <c r="A128" s="134">
        <v>42187</v>
      </c>
      <c r="B128" s="110">
        <v>41.35</v>
      </c>
      <c r="C128" s="110">
        <v>38.700000000000003</v>
      </c>
      <c r="D128" s="110">
        <v>38.049999999999997</v>
      </c>
      <c r="E128" s="110">
        <v>40.5</v>
      </c>
      <c r="F128" s="110">
        <v>38.700000000000003</v>
      </c>
      <c r="G128">
        <v>238227</v>
      </c>
      <c r="H128" s="110"/>
      <c r="I128" s="110"/>
      <c r="L128" s="134">
        <v>42187</v>
      </c>
      <c r="M128" s="110">
        <v>38.6</v>
      </c>
      <c r="N128" s="110">
        <v>41.3</v>
      </c>
      <c r="O128" s="110">
        <v>38.200000000000003</v>
      </c>
      <c r="P128" s="110">
        <v>40.549999999999997</v>
      </c>
      <c r="Q128" s="110">
        <v>38.6</v>
      </c>
      <c r="R128">
        <v>1223289</v>
      </c>
    </row>
    <row r="129" spans="1:18" x14ac:dyDescent="0.25">
      <c r="A129" s="134">
        <v>42188</v>
      </c>
      <c r="B129" s="110">
        <v>38.5</v>
      </c>
      <c r="C129" s="110">
        <v>38</v>
      </c>
      <c r="D129" s="110">
        <v>37.85</v>
      </c>
      <c r="E129" s="110">
        <v>38.5</v>
      </c>
      <c r="F129" s="110">
        <v>38</v>
      </c>
      <c r="G129">
        <v>27788</v>
      </c>
      <c r="H129" s="110"/>
      <c r="I129" s="110"/>
      <c r="L129" s="134">
        <v>42188</v>
      </c>
      <c r="M129" s="110">
        <v>38.049999999999997</v>
      </c>
      <c r="N129" s="110">
        <v>38.6</v>
      </c>
      <c r="O129" s="110">
        <v>37.799999999999997</v>
      </c>
      <c r="P129" s="110">
        <v>38.6</v>
      </c>
      <c r="Q129" s="110">
        <v>38.049999999999997</v>
      </c>
      <c r="R129">
        <v>198045</v>
      </c>
    </row>
    <row r="130" spans="1:18" x14ac:dyDescent="0.25">
      <c r="A130" s="134">
        <v>42191</v>
      </c>
      <c r="B130" s="110">
        <v>37.9</v>
      </c>
      <c r="C130" s="110">
        <v>37.6</v>
      </c>
      <c r="D130" s="110">
        <v>36.700000000000003</v>
      </c>
      <c r="E130" s="110">
        <v>37</v>
      </c>
      <c r="F130" s="110">
        <v>37.6</v>
      </c>
      <c r="G130">
        <v>36139</v>
      </c>
      <c r="H130" s="110"/>
      <c r="I130" s="110"/>
      <c r="L130" s="134">
        <v>42191</v>
      </c>
      <c r="M130" s="110">
        <v>37.6</v>
      </c>
      <c r="N130" s="110">
        <v>37.9</v>
      </c>
      <c r="O130" s="110">
        <v>36.5</v>
      </c>
      <c r="P130" s="110">
        <v>37.6</v>
      </c>
      <c r="Q130" s="110">
        <v>37.6</v>
      </c>
      <c r="R130">
        <v>168008</v>
      </c>
    </row>
    <row r="131" spans="1:18" x14ac:dyDescent="0.25">
      <c r="A131" s="134">
        <v>42192</v>
      </c>
      <c r="B131" s="110">
        <v>40</v>
      </c>
      <c r="C131" s="110">
        <v>38.549999999999997</v>
      </c>
      <c r="D131" s="110">
        <v>38.25</v>
      </c>
      <c r="E131" s="110">
        <v>40</v>
      </c>
      <c r="F131" s="110">
        <v>38.549999999999997</v>
      </c>
      <c r="G131">
        <v>107443</v>
      </c>
      <c r="H131" s="110"/>
      <c r="I131" s="110"/>
      <c r="L131" s="134">
        <v>42192</v>
      </c>
      <c r="M131" s="110">
        <v>38.450000000000003</v>
      </c>
      <c r="N131" s="110">
        <v>39.700000000000003</v>
      </c>
      <c r="O131" s="110">
        <v>38.15</v>
      </c>
      <c r="P131" s="110">
        <v>39.5</v>
      </c>
      <c r="Q131" s="110">
        <v>38.450000000000003</v>
      </c>
      <c r="R131">
        <v>553980</v>
      </c>
    </row>
    <row r="132" spans="1:18" x14ac:dyDescent="0.25">
      <c r="A132" s="134">
        <v>42193</v>
      </c>
      <c r="B132" s="110">
        <v>38.200000000000003</v>
      </c>
      <c r="C132" s="110">
        <v>37.65</v>
      </c>
      <c r="D132" s="110">
        <v>37.200000000000003</v>
      </c>
      <c r="E132" s="110">
        <v>37.700000000000003</v>
      </c>
      <c r="F132" s="110">
        <v>37.65</v>
      </c>
      <c r="G132">
        <v>33756</v>
      </c>
      <c r="H132" s="110"/>
      <c r="I132" s="110"/>
      <c r="L132" s="134">
        <v>42193</v>
      </c>
      <c r="M132" s="110">
        <v>37.700000000000003</v>
      </c>
      <c r="N132" s="110">
        <v>38.35</v>
      </c>
      <c r="O132" s="110">
        <v>37.200000000000003</v>
      </c>
      <c r="P132" s="110">
        <v>38.35</v>
      </c>
      <c r="Q132" s="110">
        <v>37.700000000000003</v>
      </c>
      <c r="R132">
        <v>128550</v>
      </c>
    </row>
    <row r="133" spans="1:18" x14ac:dyDescent="0.25">
      <c r="A133" s="134">
        <v>42194</v>
      </c>
      <c r="B133" s="110">
        <v>38.200000000000003</v>
      </c>
      <c r="C133" s="110">
        <v>37.5</v>
      </c>
      <c r="D133" s="110">
        <v>37.35</v>
      </c>
      <c r="E133" s="110">
        <v>38.049999999999997</v>
      </c>
      <c r="F133" s="110">
        <v>37.5</v>
      </c>
      <c r="G133">
        <v>57451</v>
      </c>
      <c r="H133" s="110"/>
      <c r="I133" s="110"/>
      <c r="L133" s="134">
        <v>42194</v>
      </c>
      <c r="M133" s="110">
        <v>37.299999999999997</v>
      </c>
      <c r="N133" s="110">
        <v>38.200000000000003</v>
      </c>
      <c r="O133" s="110">
        <v>37.200000000000003</v>
      </c>
      <c r="P133" s="110">
        <v>37.4</v>
      </c>
      <c r="Q133" s="110">
        <v>37.299999999999997</v>
      </c>
      <c r="R133">
        <v>197637</v>
      </c>
    </row>
    <row r="134" spans="1:18" x14ac:dyDescent="0.25">
      <c r="A134" s="134">
        <v>42195</v>
      </c>
      <c r="B134" s="110">
        <v>37.75</v>
      </c>
      <c r="C134" s="110">
        <v>37.5</v>
      </c>
      <c r="D134" s="110">
        <v>37.299999999999997</v>
      </c>
      <c r="E134" s="110">
        <v>37.5</v>
      </c>
      <c r="F134" s="110">
        <v>37.5</v>
      </c>
      <c r="G134">
        <v>18122</v>
      </c>
      <c r="H134" s="110"/>
      <c r="I134" s="110"/>
      <c r="L134" s="134">
        <v>42195</v>
      </c>
      <c r="M134" s="110">
        <v>37.4</v>
      </c>
      <c r="N134" s="110">
        <v>37.85</v>
      </c>
      <c r="O134" s="110">
        <v>37.299999999999997</v>
      </c>
      <c r="P134" s="110">
        <v>37.549999999999997</v>
      </c>
      <c r="Q134" s="110">
        <v>37.4</v>
      </c>
      <c r="R134">
        <v>109542</v>
      </c>
    </row>
    <row r="135" spans="1:18" x14ac:dyDescent="0.25">
      <c r="A135" s="134">
        <v>42198</v>
      </c>
      <c r="B135" s="110">
        <v>38</v>
      </c>
      <c r="C135" s="110">
        <v>37.85</v>
      </c>
      <c r="D135" s="110">
        <v>37.1</v>
      </c>
      <c r="E135" s="110">
        <v>37.4</v>
      </c>
      <c r="F135" s="110">
        <v>37.85</v>
      </c>
      <c r="G135">
        <v>22710</v>
      </c>
      <c r="H135" s="110"/>
      <c r="I135" s="110"/>
      <c r="L135" s="134">
        <v>42198</v>
      </c>
      <c r="M135" s="110">
        <v>37.799999999999997</v>
      </c>
      <c r="N135" s="110">
        <v>37.950000000000003</v>
      </c>
      <c r="O135" s="110">
        <v>37</v>
      </c>
      <c r="P135" s="110">
        <v>37.4</v>
      </c>
      <c r="Q135" s="110">
        <v>37.799999999999997</v>
      </c>
      <c r="R135">
        <v>137398</v>
      </c>
    </row>
    <row r="136" spans="1:18" x14ac:dyDescent="0.25">
      <c r="A136" s="134">
        <v>42199</v>
      </c>
      <c r="B136" s="110">
        <v>37.950000000000003</v>
      </c>
      <c r="C136" s="110">
        <v>37.549999999999997</v>
      </c>
      <c r="D136" s="110">
        <v>37.4</v>
      </c>
      <c r="E136" s="110">
        <v>37.75</v>
      </c>
      <c r="F136" s="110">
        <v>37.549999999999997</v>
      </c>
      <c r="G136">
        <v>26202</v>
      </c>
      <c r="H136" s="110"/>
      <c r="I136" s="110"/>
      <c r="L136" s="134">
        <v>42199</v>
      </c>
      <c r="M136" s="110">
        <v>37.6</v>
      </c>
      <c r="N136" s="110">
        <v>38.1</v>
      </c>
      <c r="O136" s="110">
        <v>37.5</v>
      </c>
      <c r="P136" s="110">
        <v>37.85</v>
      </c>
      <c r="Q136" s="110">
        <v>37.6</v>
      </c>
      <c r="R136">
        <v>99253</v>
      </c>
    </row>
    <row r="137" spans="1:18" x14ac:dyDescent="0.25">
      <c r="A137" s="134">
        <v>42200</v>
      </c>
      <c r="B137" s="110">
        <v>37.950000000000003</v>
      </c>
      <c r="C137" s="110">
        <v>37.200000000000003</v>
      </c>
      <c r="D137" s="110">
        <v>37.049999999999997</v>
      </c>
      <c r="E137" s="110">
        <v>37.5</v>
      </c>
      <c r="F137" s="110">
        <v>37.200000000000003</v>
      </c>
      <c r="G137">
        <v>34221</v>
      </c>
      <c r="H137" s="110"/>
      <c r="I137" s="110"/>
      <c r="L137" s="134">
        <v>42200</v>
      </c>
      <c r="M137" s="110">
        <v>37.35</v>
      </c>
      <c r="N137" s="110">
        <v>37.85</v>
      </c>
      <c r="O137" s="110">
        <v>37.25</v>
      </c>
      <c r="P137" s="110">
        <v>37.65</v>
      </c>
      <c r="Q137" s="110">
        <v>37.35</v>
      </c>
      <c r="R137">
        <v>104830</v>
      </c>
    </row>
    <row r="138" spans="1:18" x14ac:dyDescent="0.25">
      <c r="A138" s="134">
        <v>42201</v>
      </c>
      <c r="B138" s="110">
        <v>37.85</v>
      </c>
      <c r="C138" s="110">
        <v>37.65</v>
      </c>
      <c r="D138" s="110">
        <v>37.25</v>
      </c>
      <c r="E138" s="110">
        <v>37.25</v>
      </c>
      <c r="F138" s="110">
        <v>37.65</v>
      </c>
      <c r="G138">
        <v>49540</v>
      </c>
      <c r="H138" s="110"/>
      <c r="I138" s="110"/>
      <c r="L138" s="134">
        <v>42201</v>
      </c>
      <c r="M138" s="110">
        <v>37.5</v>
      </c>
      <c r="N138" s="110">
        <v>37.799999999999997</v>
      </c>
      <c r="O138" s="110">
        <v>37.299999999999997</v>
      </c>
      <c r="P138" s="110">
        <v>37.4</v>
      </c>
      <c r="Q138" s="110">
        <v>37.5</v>
      </c>
      <c r="R138">
        <v>121570</v>
      </c>
    </row>
    <row r="139" spans="1:18" x14ac:dyDescent="0.25">
      <c r="A139" s="134">
        <v>42202</v>
      </c>
      <c r="B139" s="110">
        <v>39.549999999999997</v>
      </c>
      <c r="C139" s="110">
        <v>39.299999999999997</v>
      </c>
      <c r="D139" s="110">
        <v>37.25</v>
      </c>
      <c r="E139" s="110">
        <v>37.549999999999997</v>
      </c>
      <c r="F139" s="110">
        <v>39.299999999999997</v>
      </c>
      <c r="G139">
        <v>100970</v>
      </c>
      <c r="H139" s="110"/>
      <c r="I139" s="110"/>
      <c r="L139" s="134">
        <v>42202</v>
      </c>
      <c r="M139" s="110">
        <v>39.200000000000003</v>
      </c>
      <c r="N139" s="110">
        <v>39.450000000000003</v>
      </c>
      <c r="O139" s="110">
        <v>37.299999999999997</v>
      </c>
      <c r="P139" s="110">
        <v>37.549999999999997</v>
      </c>
      <c r="Q139" s="110">
        <v>39.200000000000003</v>
      </c>
      <c r="R139">
        <v>490172</v>
      </c>
    </row>
    <row r="140" spans="1:18" x14ac:dyDescent="0.25">
      <c r="A140" s="134">
        <v>42205</v>
      </c>
      <c r="B140" s="110">
        <v>40.6</v>
      </c>
      <c r="C140" s="110">
        <v>40.1</v>
      </c>
      <c r="D140" s="110">
        <v>38.5</v>
      </c>
      <c r="E140" s="110">
        <v>39.15</v>
      </c>
      <c r="F140" s="110">
        <v>40.1</v>
      </c>
      <c r="G140">
        <v>111346</v>
      </c>
      <c r="H140" s="110"/>
      <c r="I140" s="110"/>
      <c r="L140" s="134">
        <v>42205</v>
      </c>
      <c r="M140" s="110">
        <v>40.15</v>
      </c>
      <c r="N140" s="110">
        <v>40.5</v>
      </c>
      <c r="O140" s="110">
        <v>38.4</v>
      </c>
      <c r="P140" s="110">
        <v>39.4</v>
      </c>
      <c r="Q140" s="110">
        <v>40.15</v>
      </c>
      <c r="R140">
        <v>598875</v>
      </c>
    </row>
    <row r="141" spans="1:18" x14ac:dyDescent="0.25">
      <c r="A141" s="134">
        <v>42206</v>
      </c>
      <c r="B141" s="110">
        <v>42</v>
      </c>
      <c r="C141" s="110">
        <v>39.200000000000003</v>
      </c>
      <c r="D141" s="110">
        <v>39</v>
      </c>
      <c r="E141" s="110">
        <v>42</v>
      </c>
      <c r="F141" s="110">
        <v>39.200000000000003</v>
      </c>
      <c r="G141">
        <v>193166</v>
      </c>
      <c r="H141" s="110"/>
      <c r="I141" s="110"/>
      <c r="L141" s="134">
        <v>42206</v>
      </c>
      <c r="M141" s="110">
        <v>39.15</v>
      </c>
      <c r="N141" s="110">
        <v>41.95</v>
      </c>
      <c r="O141" s="110">
        <v>38.799999999999997</v>
      </c>
      <c r="P141" s="110">
        <v>41.9</v>
      </c>
      <c r="Q141" s="110">
        <v>39.15</v>
      </c>
      <c r="R141">
        <v>1134987</v>
      </c>
    </row>
    <row r="142" spans="1:18" x14ac:dyDescent="0.25">
      <c r="A142" s="134">
        <v>42207</v>
      </c>
      <c r="B142" s="110">
        <v>41</v>
      </c>
      <c r="C142" s="110">
        <v>39.5</v>
      </c>
      <c r="D142" s="110">
        <v>38.5</v>
      </c>
      <c r="E142" s="110">
        <v>39.5</v>
      </c>
      <c r="F142" s="110">
        <v>39.5</v>
      </c>
      <c r="G142">
        <v>63529</v>
      </c>
      <c r="H142" s="110"/>
      <c r="I142" s="110"/>
      <c r="L142" s="134">
        <v>42207</v>
      </c>
      <c r="M142" s="110">
        <v>39.35</v>
      </c>
      <c r="N142" s="110">
        <v>39.799999999999997</v>
      </c>
      <c r="O142" s="110">
        <v>38.5</v>
      </c>
      <c r="P142" s="110">
        <v>39.1</v>
      </c>
      <c r="Q142" s="110">
        <v>39.35</v>
      </c>
      <c r="R142">
        <v>204064</v>
      </c>
    </row>
    <row r="143" spans="1:18" x14ac:dyDescent="0.25">
      <c r="A143" s="134">
        <v>42208</v>
      </c>
      <c r="B143" s="110">
        <v>40.799999999999997</v>
      </c>
      <c r="C143" s="110">
        <v>39.25</v>
      </c>
      <c r="D143" s="110">
        <v>39.1</v>
      </c>
      <c r="E143" s="110">
        <v>40.65</v>
      </c>
      <c r="F143" s="110">
        <v>39.25</v>
      </c>
      <c r="G143">
        <v>164983</v>
      </c>
      <c r="H143" s="110"/>
      <c r="I143" s="110"/>
      <c r="L143" s="134">
        <v>42208</v>
      </c>
      <c r="M143" s="110">
        <v>39.25</v>
      </c>
      <c r="N143" s="110">
        <v>40.9</v>
      </c>
      <c r="O143" s="110">
        <v>39.049999999999997</v>
      </c>
      <c r="P143" s="110">
        <v>40.700000000000003</v>
      </c>
      <c r="Q143" s="110">
        <v>39.25</v>
      </c>
      <c r="R143">
        <v>686066</v>
      </c>
    </row>
    <row r="144" spans="1:18" x14ac:dyDescent="0.25">
      <c r="A144" s="134">
        <v>42209</v>
      </c>
      <c r="B144" s="110">
        <v>39.450000000000003</v>
      </c>
      <c r="C144" s="110">
        <v>38.200000000000003</v>
      </c>
      <c r="D144" s="110">
        <v>38</v>
      </c>
      <c r="E144" s="110">
        <v>39</v>
      </c>
      <c r="F144" s="110">
        <v>38.200000000000003</v>
      </c>
      <c r="G144">
        <v>40138</v>
      </c>
      <c r="H144" s="110"/>
      <c r="I144" s="110"/>
      <c r="L144" s="134">
        <v>42209</v>
      </c>
      <c r="M144" s="110">
        <v>38.200000000000003</v>
      </c>
      <c r="N144" s="110">
        <v>39.450000000000003</v>
      </c>
      <c r="O144" s="110">
        <v>38.049999999999997</v>
      </c>
      <c r="P144" s="110">
        <v>39.25</v>
      </c>
      <c r="Q144" s="110">
        <v>38.200000000000003</v>
      </c>
      <c r="R144">
        <v>148013</v>
      </c>
    </row>
    <row r="145" spans="1:18" x14ac:dyDescent="0.25">
      <c r="A145" s="134">
        <v>42212</v>
      </c>
      <c r="B145" s="110">
        <v>38.9</v>
      </c>
      <c r="C145" s="110">
        <v>37.049999999999997</v>
      </c>
      <c r="D145" s="110">
        <v>36.9</v>
      </c>
      <c r="E145" s="110">
        <v>38.9</v>
      </c>
      <c r="F145" s="110">
        <v>37.049999999999997</v>
      </c>
      <c r="G145">
        <v>42286</v>
      </c>
      <c r="H145" s="110"/>
      <c r="I145" s="110"/>
      <c r="L145" s="134">
        <v>42212</v>
      </c>
      <c r="M145" s="110">
        <v>36.9</v>
      </c>
      <c r="N145" s="110">
        <v>38.5</v>
      </c>
      <c r="O145" s="110">
        <v>36.65</v>
      </c>
      <c r="P145" s="110">
        <v>38</v>
      </c>
      <c r="Q145" s="110">
        <v>36.9</v>
      </c>
      <c r="R145">
        <v>171845</v>
      </c>
    </row>
    <row r="146" spans="1:18" x14ac:dyDescent="0.25">
      <c r="A146" s="134">
        <v>42213</v>
      </c>
      <c r="B146" s="110">
        <v>38.450000000000003</v>
      </c>
      <c r="C146" s="110">
        <v>37.5</v>
      </c>
      <c r="D146" s="110">
        <v>36.700000000000003</v>
      </c>
      <c r="E146" s="110">
        <v>38.450000000000003</v>
      </c>
      <c r="F146" s="110">
        <v>37.5</v>
      </c>
      <c r="G146">
        <v>49870</v>
      </c>
      <c r="H146" s="110"/>
      <c r="I146" s="110"/>
      <c r="L146" s="134">
        <v>42213</v>
      </c>
      <c r="M146" s="110">
        <v>37.6</v>
      </c>
      <c r="N146" s="110">
        <v>37.85</v>
      </c>
      <c r="O146" s="110">
        <v>36.5</v>
      </c>
      <c r="P146" s="110">
        <v>37.4</v>
      </c>
      <c r="Q146" s="110">
        <v>37.6</v>
      </c>
      <c r="R146">
        <v>309047</v>
      </c>
    </row>
    <row r="147" spans="1:18" x14ac:dyDescent="0.25">
      <c r="A147" s="134">
        <v>42214</v>
      </c>
      <c r="B147" s="110">
        <v>38.450000000000003</v>
      </c>
      <c r="C147" s="110">
        <v>37.85</v>
      </c>
      <c r="D147" s="110">
        <v>37.4</v>
      </c>
      <c r="E147" s="110">
        <v>38.4</v>
      </c>
      <c r="F147" s="110">
        <v>37.85</v>
      </c>
      <c r="G147">
        <v>113045</v>
      </c>
      <c r="H147" s="110"/>
      <c r="I147" s="110"/>
      <c r="L147" s="134">
        <v>42214</v>
      </c>
      <c r="M147" s="110">
        <v>37.9</v>
      </c>
      <c r="N147" s="110">
        <v>38.4</v>
      </c>
      <c r="O147" s="110">
        <v>37.25</v>
      </c>
      <c r="P147" s="110">
        <v>38.4</v>
      </c>
      <c r="Q147" s="110">
        <v>37.9</v>
      </c>
      <c r="R147">
        <v>465126</v>
      </c>
    </row>
    <row r="148" spans="1:18" x14ac:dyDescent="0.25">
      <c r="A148" s="134">
        <v>42215</v>
      </c>
      <c r="B148" s="110">
        <v>38.5</v>
      </c>
      <c r="C148" s="110">
        <v>37.950000000000003</v>
      </c>
      <c r="D148" s="110">
        <v>37.049999999999997</v>
      </c>
      <c r="E148" s="110">
        <v>38.5</v>
      </c>
      <c r="F148" s="110">
        <v>37.950000000000003</v>
      </c>
      <c r="G148">
        <v>65727</v>
      </c>
      <c r="H148" s="110"/>
      <c r="I148" s="110"/>
      <c r="L148" s="134">
        <v>42215</v>
      </c>
      <c r="M148" s="110">
        <v>38.049999999999997</v>
      </c>
      <c r="N148" s="110">
        <v>38.450000000000003</v>
      </c>
      <c r="O148" s="110">
        <v>37.5</v>
      </c>
      <c r="P148" s="110">
        <v>38.25</v>
      </c>
      <c r="Q148" s="110">
        <v>38.049999999999997</v>
      </c>
      <c r="R148">
        <v>214166</v>
      </c>
    </row>
    <row r="149" spans="1:18" x14ac:dyDescent="0.25">
      <c r="A149" s="134">
        <v>42216</v>
      </c>
      <c r="B149" s="110">
        <v>39.799999999999997</v>
      </c>
      <c r="C149" s="110">
        <v>38.450000000000003</v>
      </c>
      <c r="D149" s="110">
        <v>38.35</v>
      </c>
      <c r="E149" s="110">
        <v>39.4</v>
      </c>
      <c r="F149" s="110">
        <v>38.450000000000003</v>
      </c>
      <c r="G149">
        <v>256899</v>
      </c>
      <c r="H149" s="110"/>
      <c r="I149" s="110"/>
      <c r="L149" s="134">
        <v>42216</v>
      </c>
      <c r="M149" s="110">
        <v>38.549999999999997</v>
      </c>
      <c r="N149" s="110">
        <v>39.65</v>
      </c>
      <c r="O149" s="110">
        <v>38.4</v>
      </c>
      <c r="P149" s="110">
        <v>39.25</v>
      </c>
      <c r="Q149" s="110">
        <v>38.549999999999997</v>
      </c>
      <c r="R149">
        <v>1222361</v>
      </c>
    </row>
    <row r="150" spans="1:18" x14ac:dyDescent="0.25">
      <c r="A150" s="134">
        <v>42219</v>
      </c>
      <c r="B150" s="110">
        <v>39.25</v>
      </c>
      <c r="C150" s="110">
        <v>38.85</v>
      </c>
      <c r="D150" s="110">
        <v>38.450000000000003</v>
      </c>
      <c r="E150" s="110">
        <v>39</v>
      </c>
      <c r="F150" s="110">
        <v>38.85</v>
      </c>
      <c r="G150">
        <v>87557</v>
      </c>
      <c r="H150" s="110"/>
      <c r="I150" s="110"/>
      <c r="L150" s="134">
        <v>42219</v>
      </c>
      <c r="M150" s="110">
        <v>38.9</v>
      </c>
      <c r="N150" s="110">
        <v>39.35</v>
      </c>
      <c r="O150" s="110">
        <v>38.5</v>
      </c>
      <c r="P150" s="110">
        <v>38.549999999999997</v>
      </c>
      <c r="Q150" s="110">
        <v>38.9</v>
      </c>
      <c r="R150">
        <v>383587</v>
      </c>
    </row>
    <row r="151" spans="1:18" x14ac:dyDescent="0.25">
      <c r="A151" s="134">
        <v>42220</v>
      </c>
      <c r="B151" s="110">
        <v>39.1</v>
      </c>
      <c r="C151" s="110">
        <v>38.6</v>
      </c>
      <c r="D151" s="110">
        <v>38.25</v>
      </c>
      <c r="E151" s="110">
        <v>39.1</v>
      </c>
      <c r="F151" s="110">
        <v>38.6</v>
      </c>
      <c r="G151">
        <v>39570</v>
      </c>
      <c r="H151" s="110"/>
      <c r="I151" s="110"/>
      <c r="L151" s="134">
        <v>42220</v>
      </c>
      <c r="M151" s="110">
        <v>38.6</v>
      </c>
      <c r="N151" s="110">
        <v>39</v>
      </c>
      <c r="O151" s="110">
        <v>38.1</v>
      </c>
      <c r="P151" s="110">
        <v>39</v>
      </c>
      <c r="Q151" s="110">
        <v>38.6</v>
      </c>
      <c r="R151">
        <v>244806</v>
      </c>
    </row>
    <row r="152" spans="1:18" x14ac:dyDescent="0.25">
      <c r="A152" s="134">
        <v>42221</v>
      </c>
      <c r="B152" s="110">
        <v>39.450000000000003</v>
      </c>
      <c r="C152" s="110">
        <v>38.65</v>
      </c>
      <c r="D152" s="110">
        <v>38.549999999999997</v>
      </c>
      <c r="E152" s="110">
        <v>39.049999999999997</v>
      </c>
      <c r="F152" s="110">
        <v>38.65</v>
      </c>
      <c r="G152">
        <v>62002</v>
      </c>
      <c r="H152" s="110"/>
      <c r="I152" s="110"/>
      <c r="L152" s="134">
        <v>42221</v>
      </c>
      <c r="M152" s="110">
        <v>38.549999999999997</v>
      </c>
      <c r="N152" s="110">
        <v>39.200000000000003</v>
      </c>
      <c r="O152" s="110">
        <v>38.4</v>
      </c>
      <c r="P152" s="110">
        <v>38.950000000000003</v>
      </c>
      <c r="Q152" s="110">
        <v>38.549999999999997</v>
      </c>
      <c r="R152">
        <v>262101</v>
      </c>
    </row>
    <row r="153" spans="1:18" x14ac:dyDescent="0.25">
      <c r="A153" s="134">
        <v>42222</v>
      </c>
      <c r="B153" s="110">
        <v>38.9</v>
      </c>
      <c r="C153" s="110">
        <v>38.4</v>
      </c>
      <c r="D153" s="110">
        <v>38.200000000000003</v>
      </c>
      <c r="E153" s="110">
        <v>38.4</v>
      </c>
      <c r="F153" s="110">
        <v>38.4</v>
      </c>
      <c r="G153">
        <v>52621</v>
      </c>
      <c r="H153" s="110"/>
      <c r="I153" s="110"/>
      <c r="L153" s="134">
        <v>42222</v>
      </c>
      <c r="M153" s="110">
        <v>38.450000000000003</v>
      </c>
      <c r="N153" s="110">
        <v>38.950000000000003</v>
      </c>
      <c r="O153" s="110">
        <v>38.35</v>
      </c>
      <c r="P153" s="110">
        <v>38.549999999999997</v>
      </c>
      <c r="Q153" s="110">
        <v>38.450000000000003</v>
      </c>
      <c r="R153">
        <v>178611</v>
      </c>
    </row>
    <row r="154" spans="1:18" x14ac:dyDescent="0.25">
      <c r="A154" s="134">
        <v>42223</v>
      </c>
      <c r="B154" s="110">
        <v>38.5</v>
      </c>
      <c r="C154" s="110">
        <v>38.15</v>
      </c>
      <c r="D154" s="110">
        <v>37.9</v>
      </c>
      <c r="E154" s="110">
        <v>38.299999999999997</v>
      </c>
      <c r="F154" s="110">
        <v>38.15</v>
      </c>
      <c r="G154">
        <v>14949</v>
      </c>
      <c r="H154" s="110"/>
      <c r="I154" s="110"/>
      <c r="L154" s="134">
        <v>42223</v>
      </c>
      <c r="M154" s="110">
        <v>38.1</v>
      </c>
      <c r="N154" s="110">
        <v>38.549999999999997</v>
      </c>
      <c r="O154" s="110">
        <v>38</v>
      </c>
      <c r="P154" s="110">
        <v>38.299999999999997</v>
      </c>
      <c r="Q154" s="110">
        <v>38.1</v>
      </c>
      <c r="R154">
        <v>161811</v>
      </c>
    </row>
    <row r="155" spans="1:18" x14ac:dyDescent="0.25">
      <c r="A155" s="134">
        <v>42226</v>
      </c>
      <c r="B155" s="110">
        <v>38.450000000000003</v>
      </c>
      <c r="C155" s="110">
        <v>37.65</v>
      </c>
      <c r="D155" s="110">
        <v>37.4</v>
      </c>
      <c r="E155" s="110">
        <v>37.85</v>
      </c>
      <c r="F155" s="110">
        <v>37.65</v>
      </c>
      <c r="G155">
        <v>33743</v>
      </c>
      <c r="H155" s="110"/>
      <c r="I155" s="110"/>
      <c r="L155" s="134">
        <v>42226</v>
      </c>
      <c r="M155" s="110">
        <v>37.799999999999997</v>
      </c>
      <c r="N155" s="110">
        <v>38.25</v>
      </c>
      <c r="O155" s="110">
        <v>37.5</v>
      </c>
      <c r="P155" s="110">
        <v>38.15</v>
      </c>
      <c r="Q155" s="110">
        <v>37.799999999999997</v>
      </c>
      <c r="R155">
        <v>106776</v>
      </c>
    </row>
    <row r="156" spans="1:18" x14ac:dyDescent="0.25">
      <c r="A156" s="134">
        <v>42227</v>
      </c>
      <c r="B156" s="110">
        <v>38.299999999999997</v>
      </c>
      <c r="C156" s="110">
        <v>37.049999999999997</v>
      </c>
      <c r="D156" s="110">
        <v>36.85</v>
      </c>
      <c r="E156" s="110">
        <v>38.15</v>
      </c>
      <c r="F156" s="110">
        <v>37.049999999999997</v>
      </c>
      <c r="G156">
        <v>32300</v>
      </c>
      <c r="H156" s="110"/>
      <c r="I156" s="110"/>
      <c r="L156" s="134">
        <v>42227</v>
      </c>
      <c r="M156" s="110">
        <v>36.950000000000003</v>
      </c>
      <c r="N156" s="110">
        <v>38.299999999999997</v>
      </c>
      <c r="O156" s="110">
        <v>36.799999999999997</v>
      </c>
      <c r="P156" s="110">
        <v>38.049999999999997</v>
      </c>
      <c r="Q156" s="110">
        <v>36.950000000000003</v>
      </c>
      <c r="R156">
        <v>189746</v>
      </c>
    </row>
    <row r="157" spans="1:18" x14ac:dyDescent="0.25">
      <c r="A157" s="134">
        <v>42228</v>
      </c>
      <c r="B157" s="110">
        <v>38</v>
      </c>
      <c r="C157" s="110">
        <v>36.4</v>
      </c>
      <c r="D157" s="110">
        <v>36.25</v>
      </c>
      <c r="E157" s="110">
        <v>38</v>
      </c>
      <c r="F157" s="110">
        <v>36.4</v>
      </c>
      <c r="G157">
        <v>77784</v>
      </c>
      <c r="H157" s="110"/>
      <c r="I157" s="110"/>
      <c r="L157" s="134">
        <v>42228</v>
      </c>
      <c r="M157" s="110">
        <v>36.450000000000003</v>
      </c>
      <c r="N157" s="110">
        <v>37.450000000000003</v>
      </c>
      <c r="O157" s="110">
        <v>36.299999999999997</v>
      </c>
      <c r="P157" s="110">
        <v>36.950000000000003</v>
      </c>
      <c r="Q157" s="110">
        <v>36.450000000000003</v>
      </c>
      <c r="R157">
        <v>252307</v>
      </c>
    </row>
    <row r="158" spans="1:18" x14ac:dyDescent="0.25">
      <c r="A158" s="134">
        <v>42229</v>
      </c>
      <c r="B158" s="110">
        <v>35.950000000000003</v>
      </c>
      <c r="C158" s="110">
        <v>35.1</v>
      </c>
      <c r="D158" s="110">
        <v>34.85</v>
      </c>
      <c r="E158" s="110">
        <v>35</v>
      </c>
      <c r="F158" s="110">
        <v>35.1</v>
      </c>
      <c r="G158">
        <v>106855</v>
      </c>
      <c r="H158" s="110"/>
      <c r="I158" s="110"/>
      <c r="L158" s="134">
        <v>42229</v>
      </c>
      <c r="M158" s="110">
        <v>35</v>
      </c>
      <c r="N158" s="110">
        <v>35.950000000000003</v>
      </c>
      <c r="O158" s="110">
        <v>34.15</v>
      </c>
      <c r="P158" s="110">
        <v>35.700000000000003</v>
      </c>
      <c r="Q158" s="110">
        <v>35</v>
      </c>
      <c r="R158">
        <v>559557</v>
      </c>
    </row>
    <row r="159" spans="1:18" x14ac:dyDescent="0.25">
      <c r="A159" s="134">
        <v>42230</v>
      </c>
      <c r="B159" s="110">
        <v>35.65</v>
      </c>
      <c r="C159" s="110">
        <v>35.450000000000003</v>
      </c>
      <c r="D159" s="110">
        <v>34.5</v>
      </c>
      <c r="E159" s="110">
        <v>34.6</v>
      </c>
      <c r="F159" s="110">
        <v>35.450000000000003</v>
      </c>
      <c r="G159">
        <v>47971</v>
      </c>
      <c r="H159" s="110"/>
      <c r="I159" s="110"/>
      <c r="L159" s="134">
        <v>42230</v>
      </c>
      <c r="M159" s="110">
        <v>35.5</v>
      </c>
      <c r="N159" s="110">
        <v>35.6</v>
      </c>
      <c r="O159" s="110">
        <v>34.549999999999997</v>
      </c>
      <c r="P159" s="110">
        <v>35</v>
      </c>
      <c r="Q159" s="110">
        <v>35.5</v>
      </c>
      <c r="R159">
        <v>368483</v>
      </c>
    </row>
    <row r="160" spans="1:18" x14ac:dyDescent="0.25">
      <c r="A160" s="134">
        <v>42233</v>
      </c>
      <c r="B160" s="110">
        <v>37.15</v>
      </c>
      <c r="C160" s="110">
        <v>36.85</v>
      </c>
      <c r="D160" s="110">
        <v>35.799999999999997</v>
      </c>
      <c r="E160" s="110">
        <v>36</v>
      </c>
      <c r="F160" s="110">
        <v>36.85</v>
      </c>
      <c r="G160">
        <v>119380</v>
      </c>
      <c r="H160" s="110"/>
      <c r="I160" s="110"/>
      <c r="L160" s="134">
        <v>42233</v>
      </c>
      <c r="M160" s="110">
        <v>36.85</v>
      </c>
      <c r="N160" s="110">
        <v>37.15</v>
      </c>
      <c r="O160" s="110">
        <v>35.65</v>
      </c>
      <c r="P160" s="110">
        <v>35.75</v>
      </c>
      <c r="Q160" s="110">
        <v>36.85</v>
      </c>
      <c r="R160">
        <v>453442</v>
      </c>
    </row>
    <row r="161" spans="1:18" x14ac:dyDescent="0.25">
      <c r="A161" s="134">
        <v>42234</v>
      </c>
      <c r="B161" s="110">
        <v>38</v>
      </c>
      <c r="C161" s="110">
        <v>36.9</v>
      </c>
      <c r="D161" s="110">
        <v>36.549999999999997</v>
      </c>
      <c r="E161" s="110">
        <v>37.799999999999997</v>
      </c>
      <c r="F161" s="110">
        <v>36.9</v>
      </c>
      <c r="G161">
        <v>65599</v>
      </c>
      <c r="H161" s="110"/>
      <c r="I161" s="110"/>
      <c r="L161" s="134">
        <v>42234</v>
      </c>
      <c r="M161" s="110">
        <v>36.700000000000003</v>
      </c>
      <c r="N161" s="110">
        <v>38</v>
      </c>
      <c r="O161" s="110">
        <v>36.549999999999997</v>
      </c>
      <c r="P161" s="110">
        <v>37.1</v>
      </c>
      <c r="Q161" s="110">
        <v>36.700000000000003</v>
      </c>
      <c r="R161">
        <v>318336</v>
      </c>
    </row>
    <row r="162" spans="1:18" x14ac:dyDescent="0.25">
      <c r="A162" s="134">
        <v>42235</v>
      </c>
      <c r="B162" s="110">
        <v>37</v>
      </c>
      <c r="C162" s="110">
        <v>36.1</v>
      </c>
      <c r="D162" s="110">
        <v>36</v>
      </c>
      <c r="E162" s="110">
        <v>37</v>
      </c>
      <c r="F162" s="110">
        <v>36.1</v>
      </c>
      <c r="G162">
        <v>34660</v>
      </c>
      <c r="H162" s="110"/>
      <c r="I162" s="110"/>
      <c r="L162" s="134">
        <v>42235</v>
      </c>
      <c r="M162" s="110">
        <v>36.049999999999997</v>
      </c>
      <c r="N162" s="110">
        <v>36.700000000000003</v>
      </c>
      <c r="O162" s="110">
        <v>35.799999999999997</v>
      </c>
      <c r="P162" s="110">
        <v>36.549999999999997</v>
      </c>
      <c r="Q162" s="110">
        <v>36.049999999999997</v>
      </c>
      <c r="R162">
        <v>176065</v>
      </c>
    </row>
    <row r="163" spans="1:18" x14ac:dyDescent="0.25">
      <c r="A163" s="134">
        <v>42236</v>
      </c>
      <c r="B163" s="110">
        <v>36.299999999999997</v>
      </c>
      <c r="C163" s="110">
        <v>35.950000000000003</v>
      </c>
      <c r="D163" s="110">
        <v>35.35</v>
      </c>
      <c r="E163" s="110">
        <v>36</v>
      </c>
      <c r="F163" s="110">
        <v>35.950000000000003</v>
      </c>
      <c r="G163">
        <v>76551</v>
      </c>
      <c r="H163" s="110"/>
      <c r="I163" s="110"/>
      <c r="L163" s="134">
        <v>42236</v>
      </c>
      <c r="M163" s="110">
        <v>35.799999999999997</v>
      </c>
      <c r="N163" s="110">
        <v>36.200000000000003</v>
      </c>
      <c r="O163" s="110">
        <v>35.299999999999997</v>
      </c>
      <c r="P163" s="110">
        <v>35.950000000000003</v>
      </c>
      <c r="Q163" s="110">
        <v>35.799999999999997</v>
      </c>
      <c r="R163">
        <v>229694</v>
      </c>
    </row>
    <row r="164" spans="1:18" x14ac:dyDescent="0.25">
      <c r="A164" s="134">
        <v>42237</v>
      </c>
      <c r="B164" s="110">
        <v>35.299999999999997</v>
      </c>
      <c r="C164" s="110">
        <v>35.15</v>
      </c>
      <c r="D164" s="110">
        <v>34.4</v>
      </c>
      <c r="E164" s="110">
        <v>35.299999999999997</v>
      </c>
      <c r="F164" s="110">
        <v>35.15</v>
      </c>
      <c r="G164">
        <v>25287</v>
      </c>
      <c r="H164" s="110"/>
      <c r="I164" s="110"/>
      <c r="L164" s="134">
        <v>42237</v>
      </c>
      <c r="M164" s="110">
        <v>35.049999999999997</v>
      </c>
      <c r="N164" s="110">
        <v>35.5</v>
      </c>
      <c r="O164" s="110">
        <v>34</v>
      </c>
      <c r="P164" s="110">
        <v>35.1</v>
      </c>
      <c r="Q164" s="110">
        <v>35.049999999999997</v>
      </c>
      <c r="R164">
        <v>283771</v>
      </c>
    </row>
    <row r="165" spans="1:18" x14ac:dyDescent="0.25">
      <c r="A165" s="134">
        <v>42240</v>
      </c>
      <c r="B165" s="110">
        <v>35</v>
      </c>
      <c r="C165" s="110">
        <v>34.049999999999997</v>
      </c>
      <c r="D165" s="110">
        <v>33.549999999999997</v>
      </c>
      <c r="E165" s="110">
        <v>35</v>
      </c>
      <c r="F165" s="110">
        <v>34.049999999999997</v>
      </c>
      <c r="G165">
        <v>119787</v>
      </c>
      <c r="H165" s="110"/>
      <c r="I165" s="110"/>
      <c r="L165" s="134">
        <v>42240</v>
      </c>
      <c r="M165" s="110">
        <v>33.950000000000003</v>
      </c>
      <c r="N165" s="110">
        <v>34.5</v>
      </c>
      <c r="O165" s="110">
        <v>33.549999999999997</v>
      </c>
      <c r="P165" s="110">
        <v>34.4</v>
      </c>
      <c r="Q165" s="110">
        <v>33.950000000000003</v>
      </c>
      <c r="R165">
        <v>387149</v>
      </c>
    </row>
    <row r="166" spans="1:18" x14ac:dyDescent="0.25">
      <c r="A166" s="134">
        <v>42241</v>
      </c>
      <c r="B166" s="110">
        <v>34.5</v>
      </c>
      <c r="C166" s="110">
        <v>33.950000000000003</v>
      </c>
      <c r="D166" s="110">
        <v>32.6</v>
      </c>
      <c r="E166" s="110">
        <v>33.799999999999997</v>
      </c>
      <c r="F166" s="110">
        <v>33.950000000000003</v>
      </c>
      <c r="G166">
        <v>48362</v>
      </c>
      <c r="H166" s="110"/>
      <c r="I166" s="110"/>
      <c r="L166" s="134">
        <v>42241</v>
      </c>
      <c r="M166" s="110">
        <v>34</v>
      </c>
      <c r="N166" s="110">
        <v>34.85</v>
      </c>
      <c r="O166" s="110">
        <v>32.5</v>
      </c>
      <c r="P166" s="110">
        <v>34.15</v>
      </c>
      <c r="Q166" s="110">
        <v>34</v>
      </c>
      <c r="R166">
        <v>215060</v>
      </c>
    </row>
    <row r="167" spans="1:18" x14ac:dyDescent="0.25">
      <c r="A167" s="134">
        <v>42242</v>
      </c>
      <c r="B167" s="110">
        <v>34.5</v>
      </c>
      <c r="C167" s="110">
        <v>34.25</v>
      </c>
      <c r="D167" s="110">
        <v>33.549999999999997</v>
      </c>
      <c r="E167" s="110">
        <v>33.950000000000003</v>
      </c>
      <c r="F167" s="110">
        <v>34.25</v>
      </c>
      <c r="G167">
        <v>69524</v>
      </c>
      <c r="H167" s="110"/>
      <c r="I167" s="110"/>
      <c r="L167" s="134">
        <v>42242</v>
      </c>
      <c r="M167" s="110">
        <v>34.299999999999997</v>
      </c>
      <c r="N167" s="110">
        <v>34.6</v>
      </c>
      <c r="O167" s="110">
        <v>33.1</v>
      </c>
      <c r="P167" s="110">
        <v>33.85</v>
      </c>
      <c r="Q167" s="110">
        <v>34.299999999999997</v>
      </c>
      <c r="R167">
        <v>182203</v>
      </c>
    </row>
    <row r="168" spans="1:18" x14ac:dyDescent="0.25">
      <c r="A168" s="134">
        <v>42243</v>
      </c>
      <c r="B168" s="110">
        <v>35.1</v>
      </c>
      <c r="C168" s="110">
        <v>34.9</v>
      </c>
      <c r="D168" s="110">
        <v>34.049999999999997</v>
      </c>
      <c r="E168" s="110">
        <v>34.049999999999997</v>
      </c>
      <c r="F168" s="110">
        <v>34.9</v>
      </c>
      <c r="G168">
        <v>36736</v>
      </c>
      <c r="H168" s="110"/>
      <c r="I168" s="110"/>
      <c r="L168" s="134">
        <v>42243</v>
      </c>
      <c r="M168" s="110">
        <v>34.85</v>
      </c>
      <c r="N168" s="110">
        <v>35.4</v>
      </c>
      <c r="O168" s="110">
        <v>34.299999999999997</v>
      </c>
      <c r="P168" s="110">
        <v>34.549999999999997</v>
      </c>
      <c r="Q168" s="110">
        <v>34.85</v>
      </c>
      <c r="R168">
        <v>160358</v>
      </c>
    </row>
    <row r="169" spans="1:18" x14ac:dyDescent="0.25">
      <c r="A169" s="134">
        <v>42244</v>
      </c>
      <c r="B169" s="110">
        <v>35.450000000000003</v>
      </c>
      <c r="C169" s="110">
        <v>35.200000000000003</v>
      </c>
      <c r="D169" s="110">
        <v>35.15</v>
      </c>
      <c r="E169" s="110">
        <v>35.25</v>
      </c>
      <c r="F169" s="110">
        <v>35.200000000000003</v>
      </c>
      <c r="G169">
        <v>22627</v>
      </c>
      <c r="H169" s="110"/>
      <c r="I169" s="110"/>
      <c r="L169" s="134">
        <v>42244</v>
      </c>
      <c r="M169" s="110">
        <v>35.299999999999997</v>
      </c>
      <c r="N169" s="110">
        <v>35.75</v>
      </c>
      <c r="O169" s="110">
        <v>35.049999999999997</v>
      </c>
      <c r="P169" s="110">
        <v>35.450000000000003</v>
      </c>
      <c r="Q169" s="110">
        <v>35.299999999999997</v>
      </c>
      <c r="R169">
        <v>136064</v>
      </c>
    </row>
    <row r="170" spans="1:18" x14ac:dyDescent="0.25">
      <c r="A170" s="134">
        <v>42247</v>
      </c>
      <c r="B170" s="110">
        <v>35.299999999999997</v>
      </c>
      <c r="C170" s="110">
        <v>34.950000000000003</v>
      </c>
      <c r="D170" s="110">
        <v>34.75</v>
      </c>
      <c r="E170" s="110">
        <v>35.049999999999997</v>
      </c>
      <c r="F170" s="110">
        <v>34.950000000000003</v>
      </c>
      <c r="G170">
        <v>27939</v>
      </c>
      <c r="H170" s="110"/>
      <c r="I170" s="110"/>
      <c r="L170" s="134">
        <v>42247</v>
      </c>
      <c r="M170" s="110">
        <v>35</v>
      </c>
      <c r="N170" s="110">
        <v>35.299999999999997</v>
      </c>
      <c r="O170" s="110">
        <v>34.75</v>
      </c>
      <c r="P170" s="110">
        <v>35.299999999999997</v>
      </c>
      <c r="Q170" s="110">
        <v>35</v>
      </c>
      <c r="R170">
        <v>84028</v>
      </c>
    </row>
    <row r="171" spans="1:18" x14ac:dyDescent="0.25">
      <c r="A171" s="134">
        <v>42248</v>
      </c>
      <c r="B171" s="110">
        <v>34.950000000000003</v>
      </c>
      <c r="C171" s="110">
        <v>34.5</v>
      </c>
      <c r="D171" s="110">
        <v>33.9</v>
      </c>
      <c r="E171" s="110">
        <v>34.85</v>
      </c>
      <c r="F171" s="110">
        <v>34.5</v>
      </c>
      <c r="G171">
        <v>41333</v>
      </c>
      <c r="H171" s="110"/>
      <c r="I171" s="110"/>
      <c r="L171" s="134">
        <v>42248</v>
      </c>
      <c r="M171" s="110">
        <v>34.700000000000003</v>
      </c>
      <c r="N171" s="110">
        <v>35.35</v>
      </c>
      <c r="O171" s="110">
        <v>34</v>
      </c>
      <c r="P171" s="110">
        <v>34.799999999999997</v>
      </c>
      <c r="Q171" s="110">
        <v>34.700000000000003</v>
      </c>
      <c r="R171">
        <v>134365</v>
      </c>
    </row>
    <row r="172" spans="1:18" x14ac:dyDescent="0.25">
      <c r="A172" s="134">
        <v>42249</v>
      </c>
      <c r="B172" s="110">
        <v>35.1</v>
      </c>
      <c r="C172" s="110">
        <v>34.950000000000003</v>
      </c>
      <c r="D172" s="110">
        <v>34.25</v>
      </c>
      <c r="E172" s="110">
        <v>34.5</v>
      </c>
      <c r="F172" s="110">
        <v>34.950000000000003</v>
      </c>
      <c r="G172">
        <v>47621</v>
      </c>
      <c r="H172" s="110"/>
      <c r="I172" s="110"/>
      <c r="L172" s="134">
        <v>42249</v>
      </c>
      <c r="M172" s="110">
        <v>34.85</v>
      </c>
      <c r="N172" s="110">
        <v>35.200000000000003</v>
      </c>
      <c r="O172" s="110">
        <v>34.299999999999997</v>
      </c>
      <c r="P172" s="110">
        <v>35.049999999999997</v>
      </c>
      <c r="Q172" s="110">
        <v>34.85</v>
      </c>
      <c r="R172">
        <v>117231</v>
      </c>
    </row>
    <row r="173" spans="1:18" x14ac:dyDescent="0.25">
      <c r="A173" s="134">
        <v>42250</v>
      </c>
      <c r="B173" s="110">
        <v>35.15</v>
      </c>
      <c r="C173" s="110">
        <v>35.049999999999997</v>
      </c>
      <c r="D173" s="110">
        <v>34.6</v>
      </c>
      <c r="E173" s="110">
        <v>34.799999999999997</v>
      </c>
      <c r="F173" s="110">
        <v>35.049999999999997</v>
      </c>
      <c r="G173">
        <v>36216</v>
      </c>
      <c r="H173" s="110"/>
      <c r="I173" s="110"/>
      <c r="L173" s="134">
        <v>42250</v>
      </c>
      <c r="M173" s="110">
        <v>35.049999999999997</v>
      </c>
      <c r="N173" s="110">
        <v>35.4</v>
      </c>
      <c r="O173" s="110">
        <v>34.65</v>
      </c>
      <c r="P173" s="110">
        <v>34.85</v>
      </c>
      <c r="Q173" s="110">
        <v>35.049999999999997</v>
      </c>
      <c r="R173">
        <v>94790</v>
      </c>
    </row>
    <row r="174" spans="1:18" x14ac:dyDescent="0.25">
      <c r="A174" s="134">
        <v>42251</v>
      </c>
      <c r="B174" s="110">
        <v>35.200000000000003</v>
      </c>
      <c r="C174" s="110">
        <v>34.049999999999997</v>
      </c>
      <c r="D174" s="110">
        <v>33.450000000000003</v>
      </c>
      <c r="E174" s="110">
        <v>35.200000000000003</v>
      </c>
      <c r="F174" s="110">
        <v>34.049999999999997</v>
      </c>
      <c r="G174">
        <v>35683</v>
      </c>
      <c r="H174" s="110"/>
      <c r="I174" s="110"/>
      <c r="L174" s="134">
        <v>42251</v>
      </c>
      <c r="M174" s="110">
        <v>34</v>
      </c>
      <c r="N174" s="110">
        <v>35</v>
      </c>
      <c r="O174" s="110">
        <v>33.299999999999997</v>
      </c>
      <c r="P174" s="110">
        <v>35</v>
      </c>
      <c r="Q174" s="110">
        <v>34</v>
      </c>
      <c r="R174">
        <v>103919</v>
      </c>
    </row>
    <row r="175" spans="1:18" x14ac:dyDescent="0.25">
      <c r="A175" s="134">
        <v>42254</v>
      </c>
      <c r="B175" s="110">
        <v>34.5</v>
      </c>
      <c r="C175" s="110">
        <v>33.799999999999997</v>
      </c>
      <c r="D175" s="110">
        <v>33.5</v>
      </c>
      <c r="E175" s="110">
        <v>34.5</v>
      </c>
      <c r="F175" s="110">
        <v>33.799999999999997</v>
      </c>
      <c r="G175">
        <v>14979</v>
      </c>
      <c r="H175" s="110"/>
      <c r="I175" s="110"/>
      <c r="L175" s="134">
        <v>42254</v>
      </c>
      <c r="M175" s="110">
        <v>33.85</v>
      </c>
      <c r="N175" s="110">
        <v>34.5</v>
      </c>
      <c r="O175" s="110">
        <v>33.549999999999997</v>
      </c>
      <c r="P175" s="110">
        <v>34.15</v>
      </c>
      <c r="Q175" s="110">
        <v>33.85</v>
      </c>
      <c r="R175">
        <v>76337</v>
      </c>
    </row>
    <row r="176" spans="1:18" x14ac:dyDescent="0.25">
      <c r="A176" s="134">
        <v>42255</v>
      </c>
      <c r="B176" s="110">
        <v>34.35</v>
      </c>
      <c r="C176" s="110">
        <v>34.200000000000003</v>
      </c>
      <c r="D176" s="110">
        <v>33.4</v>
      </c>
      <c r="E176" s="110">
        <v>33.9</v>
      </c>
      <c r="F176" s="110">
        <v>34.200000000000003</v>
      </c>
      <c r="G176">
        <v>24587</v>
      </c>
      <c r="H176" s="110"/>
      <c r="I176" s="110"/>
      <c r="L176" s="134">
        <v>42255</v>
      </c>
      <c r="M176" s="110">
        <v>34.200000000000003</v>
      </c>
      <c r="N176" s="110">
        <v>34.4</v>
      </c>
      <c r="O176" s="110">
        <v>33.4</v>
      </c>
      <c r="P176" s="110">
        <v>34.4</v>
      </c>
      <c r="Q176" s="110">
        <v>34.200000000000003</v>
      </c>
      <c r="R176">
        <v>150592</v>
      </c>
    </row>
    <row r="177" spans="1:18" x14ac:dyDescent="0.25">
      <c r="A177" s="134">
        <v>42256</v>
      </c>
      <c r="B177" s="110">
        <v>35.9</v>
      </c>
      <c r="C177" s="110">
        <v>34.5</v>
      </c>
      <c r="D177" s="110">
        <v>34</v>
      </c>
      <c r="E177" s="110">
        <v>35.9</v>
      </c>
      <c r="F177" s="110">
        <v>34.5</v>
      </c>
      <c r="G177">
        <v>37261</v>
      </c>
      <c r="H177" s="110"/>
      <c r="I177" s="110"/>
      <c r="L177" s="134">
        <v>42256</v>
      </c>
      <c r="M177" s="110">
        <v>34.5</v>
      </c>
      <c r="N177" s="110">
        <v>35</v>
      </c>
      <c r="O177" s="110">
        <v>34.15</v>
      </c>
      <c r="P177" s="110">
        <v>34.799999999999997</v>
      </c>
      <c r="Q177" s="110">
        <v>34.5</v>
      </c>
      <c r="R177">
        <v>73995</v>
      </c>
    </row>
    <row r="178" spans="1:18" x14ac:dyDescent="0.25">
      <c r="A178" s="134">
        <v>42257</v>
      </c>
      <c r="B178" s="110">
        <v>34.299999999999997</v>
      </c>
      <c r="C178" s="110">
        <v>34.049999999999997</v>
      </c>
      <c r="D178" s="110">
        <v>33.799999999999997</v>
      </c>
      <c r="E178" s="110">
        <v>34.1</v>
      </c>
      <c r="F178" s="110">
        <v>34.049999999999997</v>
      </c>
      <c r="G178">
        <v>11184</v>
      </c>
      <c r="H178" s="110"/>
      <c r="I178" s="110"/>
      <c r="L178" s="134">
        <v>42257</v>
      </c>
      <c r="M178" s="110">
        <v>34.049999999999997</v>
      </c>
      <c r="N178" s="110">
        <v>34.4</v>
      </c>
      <c r="O178" s="110">
        <v>33.700000000000003</v>
      </c>
      <c r="P178" s="110">
        <v>34.4</v>
      </c>
      <c r="Q178" s="110">
        <v>34.049999999999997</v>
      </c>
      <c r="R178">
        <v>71429</v>
      </c>
    </row>
    <row r="179" spans="1:18" x14ac:dyDescent="0.25">
      <c r="A179" s="134">
        <v>42258</v>
      </c>
      <c r="B179" s="110">
        <v>35</v>
      </c>
      <c r="C179" s="110">
        <v>34.35</v>
      </c>
      <c r="D179" s="110">
        <v>34.15</v>
      </c>
      <c r="E179" s="110">
        <v>34.15</v>
      </c>
      <c r="F179" s="110">
        <v>34.35</v>
      </c>
      <c r="G179">
        <v>13898</v>
      </c>
      <c r="H179" s="110"/>
      <c r="I179" s="110"/>
      <c r="L179" s="134">
        <v>42258</v>
      </c>
      <c r="M179" s="110">
        <v>34.450000000000003</v>
      </c>
      <c r="N179" s="110">
        <v>35.15</v>
      </c>
      <c r="O179" s="110">
        <v>34.1</v>
      </c>
      <c r="P179" s="110">
        <v>34.299999999999997</v>
      </c>
      <c r="Q179" s="110">
        <v>34.450000000000003</v>
      </c>
      <c r="R179">
        <v>138227</v>
      </c>
    </row>
    <row r="180" spans="1:18" x14ac:dyDescent="0.25">
      <c r="A180" s="134">
        <v>42261</v>
      </c>
      <c r="B180" s="110">
        <v>35.4</v>
      </c>
      <c r="C180" s="110">
        <v>35.049999999999997</v>
      </c>
      <c r="D180" s="110">
        <v>34.15</v>
      </c>
      <c r="E180" s="110">
        <v>34.5</v>
      </c>
      <c r="F180" s="110">
        <v>35.049999999999997</v>
      </c>
      <c r="G180">
        <v>15214</v>
      </c>
      <c r="H180" s="110"/>
      <c r="I180" s="110"/>
      <c r="L180" s="134">
        <v>42261</v>
      </c>
      <c r="M180" s="110">
        <v>35.15</v>
      </c>
      <c r="N180" s="110">
        <v>35.25</v>
      </c>
      <c r="O180" s="110">
        <v>34.1</v>
      </c>
      <c r="P180" s="110">
        <v>34.450000000000003</v>
      </c>
      <c r="Q180" s="110">
        <v>35.15</v>
      </c>
      <c r="R180">
        <v>108456</v>
      </c>
    </row>
    <row r="181" spans="1:18" x14ac:dyDescent="0.25">
      <c r="A181" s="134">
        <v>42262</v>
      </c>
      <c r="B181" s="110">
        <v>35.25</v>
      </c>
      <c r="C181" s="110">
        <v>35</v>
      </c>
      <c r="D181" s="110">
        <v>34.549999999999997</v>
      </c>
      <c r="E181" s="110">
        <v>35</v>
      </c>
      <c r="F181" s="110">
        <v>35</v>
      </c>
      <c r="G181">
        <v>14195</v>
      </c>
      <c r="H181" s="110"/>
      <c r="I181" s="110"/>
      <c r="L181" s="134">
        <v>42262</v>
      </c>
      <c r="M181" s="110">
        <v>34.9</v>
      </c>
      <c r="N181" s="110">
        <v>35.25</v>
      </c>
      <c r="O181" s="110">
        <v>34.200000000000003</v>
      </c>
      <c r="P181" s="110">
        <v>35</v>
      </c>
      <c r="Q181" s="110">
        <v>34.9</v>
      </c>
      <c r="R181">
        <v>59925</v>
      </c>
    </row>
    <row r="182" spans="1:18" x14ac:dyDescent="0.25">
      <c r="A182" s="134">
        <v>42263</v>
      </c>
      <c r="B182" s="110">
        <v>35.1</v>
      </c>
      <c r="C182" s="110">
        <v>34.799999999999997</v>
      </c>
      <c r="D182" s="110">
        <v>34.549999999999997</v>
      </c>
      <c r="E182" s="110">
        <v>35</v>
      </c>
      <c r="F182" s="110">
        <v>34.799999999999997</v>
      </c>
      <c r="G182">
        <v>5276</v>
      </c>
      <c r="H182" s="110"/>
      <c r="I182" s="110"/>
      <c r="L182" s="134">
        <v>42263</v>
      </c>
      <c r="M182" s="110">
        <v>34.799999999999997</v>
      </c>
      <c r="N182" s="110">
        <v>35.35</v>
      </c>
      <c r="O182" s="110">
        <v>34.5</v>
      </c>
      <c r="P182" s="110">
        <v>35.35</v>
      </c>
      <c r="Q182" s="110">
        <v>34.799999999999997</v>
      </c>
      <c r="R182">
        <v>31025</v>
      </c>
    </row>
    <row r="183" spans="1:18" x14ac:dyDescent="0.25">
      <c r="A183" s="134">
        <v>42265</v>
      </c>
      <c r="B183" s="110">
        <v>35.299999999999997</v>
      </c>
      <c r="C183" s="110">
        <v>34.950000000000003</v>
      </c>
      <c r="D183" s="110">
        <v>34.25</v>
      </c>
      <c r="E183" s="110">
        <v>35.15</v>
      </c>
      <c r="F183" s="110">
        <v>34.950000000000003</v>
      </c>
      <c r="G183">
        <v>98259</v>
      </c>
      <c r="H183" s="110"/>
      <c r="I183" s="110"/>
      <c r="L183" s="134">
        <v>42265</v>
      </c>
      <c r="M183" s="110">
        <v>34.700000000000003</v>
      </c>
      <c r="N183" s="110">
        <v>35.25</v>
      </c>
      <c r="O183" s="110">
        <v>34.049999999999997</v>
      </c>
      <c r="P183" s="110">
        <v>35.15</v>
      </c>
      <c r="Q183" s="110">
        <v>34.700000000000003</v>
      </c>
      <c r="R183">
        <v>512395</v>
      </c>
    </row>
    <row r="184" spans="1:18" x14ac:dyDescent="0.25">
      <c r="A184" s="134">
        <v>42268</v>
      </c>
      <c r="B184" s="110">
        <v>34.85</v>
      </c>
      <c r="C184" s="110">
        <v>34.4</v>
      </c>
      <c r="D184" s="110">
        <v>34.1</v>
      </c>
      <c r="E184" s="110">
        <v>34.35</v>
      </c>
      <c r="F184" s="110">
        <v>34.4</v>
      </c>
      <c r="G184">
        <v>19751</v>
      </c>
      <c r="H184" s="110"/>
      <c r="I184" s="110"/>
      <c r="L184" s="134">
        <v>42268</v>
      </c>
      <c r="M184" s="110">
        <v>34.450000000000003</v>
      </c>
      <c r="N184" s="110">
        <v>34.799999999999997</v>
      </c>
      <c r="O184" s="110">
        <v>33.75</v>
      </c>
      <c r="P184" s="110">
        <v>34.25</v>
      </c>
      <c r="Q184" s="110">
        <v>34.450000000000003</v>
      </c>
      <c r="R184">
        <v>165457</v>
      </c>
    </row>
    <row r="185" spans="1:18" x14ac:dyDescent="0.25">
      <c r="A185" s="134">
        <v>42269</v>
      </c>
      <c r="B185" s="110">
        <v>34.85</v>
      </c>
      <c r="C185" s="110">
        <v>34.200000000000003</v>
      </c>
      <c r="D185" s="110">
        <v>34</v>
      </c>
      <c r="E185" s="110">
        <v>34.25</v>
      </c>
      <c r="F185" s="110">
        <v>34.200000000000003</v>
      </c>
      <c r="G185">
        <v>19592</v>
      </c>
      <c r="H185" s="110"/>
      <c r="I185" s="110"/>
      <c r="L185" s="134">
        <v>42269</v>
      </c>
      <c r="M185" s="110">
        <v>34.049999999999997</v>
      </c>
      <c r="N185" s="110">
        <v>34.950000000000003</v>
      </c>
      <c r="O185" s="110">
        <v>34</v>
      </c>
      <c r="P185" s="110">
        <v>34.65</v>
      </c>
      <c r="Q185" s="110">
        <v>34.049999999999997</v>
      </c>
      <c r="R185">
        <v>162847</v>
      </c>
    </row>
    <row r="186" spans="1:18" x14ac:dyDescent="0.25">
      <c r="A186" s="134">
        <v>42270</v>
      </c>
      <c r="B186" s="110">
        <v>34.6</v>
      </c>
      <c r="C186" s="110">
        <v>34.15</v>
      </c>
      <c r="D186" s="110">
        <v>33.450000000000003</v>
      </c>
      <c r="E186" s="110">
        <v>33.85</v>
      </c>
      <c r="F186" s="110">
        <v>34.15</v>
      </c>
      <c r="G186">
        <v>30536</v>
      </c>
      <c r="H186" s="110"/>
      <c r="I186" s="110"/>
      <c r="L186" s="134">
        <v>42270</v>
      </c>
      <c r="M186" s="110">
        <v>34.1</v>
      </c>
      <c r="N186" s="110">
        <v>34.5</v>
      </c>
      <c r="O186" s="110">
        <v>33.4</v>
      </c>
      <c r="P186" s="110">
        <v>33.75</v>
      </c>
      <c r="Q186" s="110">
        <v>34.1</v>
      </c>
      <c r="R186">
        <v>148633</v>
      </c>
    </row>
    <row r="187" spans="1:18" x14ac:dyDescent="0.25">
      <c r="A187" s="134">
        <v>42271</v>
      </c>
      <c r="B187" s="110">
        <v>34.549999999999997</v>
      </c>
      <c r="C187" s="110">
        <v>34.25</v>
      </c>
      <c r="D187" s="110">
        <v>34.1</v>
      </c>
      <c r="E187" s="110">
        <v>34.200000000000003</v>
      </c>
      <c r="F187" s="110">
        <v>34.25</v>
      </c>
      <c r="G187">
        <v>25555</v>
      </c>
      <c r="H187" s="110"/>
      <c r="I187" s="110"/>
      <c r="L187" s="134">
        <v>42271</v>
      </c>
      <c r="M187" s="110">
        <v>34.200000000000003</v>
      </c>
      <c r="N187" s="110">
        <v>34.450000000000003</v>
      </c>
      <c r="O187" s="110">
        <v>33.85</v>
      </c>
      <c r="P187" s="110">
        <v>34.200000000000003</v>
      </c>
      <c r="Q187" s="110">
        <v>34.200000000000003</v>
      </c>
      <c r="R187">
        <v>84464</v>
      </c>
    </row>
    <row r="188" spans="1:18" x14ac:dyDescent="0.25">
      <c r="A188" s="134">
        <v>42275</v>
      </c>
      <c r="B188" s="110">
        <v>34.9</v>
      </c>
      <c r="C188" s="110">
        <v>34.049999999999997</v>
      </c>
      <c r="D188" s="110">
        <v>33.950000000000003</v>
      </c>
      <c r="E188" s="110">
        <v>34.9</v>
      </c>
      <c r="F188" s="110">
        <v>34.049999999999997</v>
      </c>
      <c r="G188">
        <v>23916</v>
      </c>
      <c r="H188" s="110"/>
      <c r="I188" s="110"/>
      <c r="L188" s="134">
        <v>42275</v>
      </c>
      <c r="M188" s="110">
        <v>34.049999999999997</v>
      </c>
      <c r="N188" s="110">
        <v>34.549999999999997</v>
      </c>
      <c r="O188" s="110">
        <v>34</v>
      </c>
      <c r="P188" s="110">
        <v>34.200000000000003</v>
      </c>
      <c r="Q188" s="110">
        <v>34.049999999999997</v>
      </c>
      <c r="R188">
        <v>113399</v>
      </c>
    </row>
    <row r="189" spans="1:18" x14ac:dyDescent="0.25">
      <c r="A189" s="134">
        <v>42276</v>
      </c>
      <c r="B189" s="110">
        <v>34.35</v>
      </c>
      <c r="C189" s="110">
        <v>34</v>
      </c>
      <c r="D189" s="110">
        <v>33.4</v>
      </c>
      <c r="E189" s="110">
        <v>33.950000000000003</v>
      </c>
      <c r="F189" s="110">
        <v>34</v>
      </c>
      <c r="G189">
        <v>64114</v>
      </c>
      <c r="H189" s="110"/>
      <c r="I189" s="110"/>
      <c r="L189" s="134">
        <v>42276</v>
      </c>
      <c r="M189" s="110">
        <v>33.85</v>
      </c>
      <c r="N189" s="110">
        <v>34.299999999999997</v>
      </c>
      <c r="O189" s="110">
        <v>33</v>
      </c>
      <c r="P189" s="110">
        <v>34.049999999999997</v>
      </c>
      <c r="Q189" s="110">
        <v>33.85</v>
      </c>
      <c r="R189">
        <v>207083</v>
      </c>
    </row>
    <row r="190" spans="1:18" x14ac:dyDescent="0.25">
      <c r="A190" s="134">
        <v>42277</v>
      </c>
      <c r="B190" s="110">
        <v>34.299999999999997</v>
      </c>
      <c r="C190" s="110">
        <v>34</v>
      </c>
      <c r="D190" s="110">
        <v>33.9</v>
      </c>
      <c r="E190" s="110">
        <v>34.299999999999997</v>
      </c>
      <c r="F190" s="110">
        <v>34</v>
      </c>
      <c r="G190">
        <v>15538</v>
      </c>
      <c r="H190" s="110"/>
      <c r="I190" s="110"/>
      <c r="L190" s="134">
        <v>42277</v>
      </c>
      <c r="M190" s="110">
        <v>34</v>
      </c>
      <c r="N190" s="110">
        <v>34.35</v>
      </c>
      <c r="O190" s="110">
        <v>33.85</v>
      </c>
      <c r="P190" s="110">
        <v>33.950000000000003</v>
      </c>
      <c r="Q190" s="110">
        <v>34</v>
      </c>
      <c r="R190">
        <v>78391</v>
      </c>
    </row>
    <row r="191" spans="1:18" x14ac:dyDescent="0.25">
      <c r="A191" s="134">
        <v>42278</v>
      </c>
      <c r="B191" s="110">
        <v>34.15</v>
      </c>
      <c r="C191" s="110">
        <v>33.950000000000003</v>
      </c>
      <c r="D191" s="110">
        <v>33.75</v>
      </c>
      <c r="E191" s="110">
        <v>33.75</v>
      </c>
      <c r="F191" s="110">
        <v>33.950000000000003</v>
      </c>
      <c r="G191">
        <v>16005</v>
      </c>
      <c r="H191" s="110"/>
      <c r="I191" s="110"/>
      <c r="L191" s="134">
        <v>42278</v>
      </c>
      <c r="M191" s="110">
        <v>33.85</v>
      </c>
      <c r="N191" s="110">
        <v>34.200000000000003</v>
      </c>
      <c r="O191" s="110">
        <v>33.75</v>
      </c>
      <c r="P191" s="110">
        <v>34.200000000000003</v>
      </c>
      <c r="Q191" s="110">
        <v>33.85</v>
      </c>
      <c r="R191">
        <v>67313</v>
      </c>
    </row>
    <row r="192" spans="1:18" x14ac:dyDescent="0.25">
      <c r="A192" s="134">
        <v>42282</v>
      </c>
      <c r="B192" s="110">
        <v>34.4</v>
      </c>
      <c r="C192" s="110">
        <v>34.1</v>
      </c>
      <c r="D192" s="110">
        <v>33.85</v>
      </c>
      <c r="E192" s="110">
        <v>34.25</v>
      </c>
      <c r="F192" s="110">
        <v>34.1</v>
      </c>
      <c r="G192">
        <v>40503</v>
      </c>
      <c r="H192" s="110"/>
      <c r="I192" s="110"/>
      <c r="L192" s="134">
        <v>42282</v>
      </c>
      <c r="M192" s="110">
        <v>34.1</v>
      </c>
      <c r="N192" s="110">
        <v>34.799999999999997</v>
      </c>
      <c r="O192" s="110">
        <v>33.799999999999997</v>
      </c>
      <c r="P192" s="110">
        <v>33.799999999999997</v>
      </c>
      <c r="Q192" s="110">
        <v>34.1</v>
      </c>
      <c r="R192">
        <v>140916</v>
      </c>
    </row>
    <row r="193" spans="1:18" x14ac:dyDescent="0.25">
      <c r="A193" s="134">
        <v>42283</v>
      </c>
      <c r="B193" s="110">
        <v>34.4</v>
      </c>
      <c r="C193" s="110">
        <v>34.25</v>
      </c>
      <c r="D193" s="110">
        <v>34</v>
      </c>
      <c r="E193" s="110">
        <v>34.1</v>
      </c>
      <c r="F193" s="110">
        <v>34.25</v>
      </c>
      <c r="G193">
        <v>25883</v>
      </c>
      <c r="H193" s="110"/>
      <c r="I193" s="110"/>
      <c r="L193" s="134">
        <v>42283</v>
      </c>
      <c r="M193" s="110">
        <v>34.299999999999997</v>
      </c>
      <c r="N193" s="110">
        <v>34.4</v>
      </c>
      <c r="O193" s="110">
        <v>34.1</v>
      </c>
      <c r="P193" s="110">
        <v>34.299999999999997</v>
      </c>
      <c r="Q193" s="110">
        <v>34.299999999999997</v>
      </c>
      <c r="R193">
        <v>82533</v>
      </c>
    </row>
    <row r="194" spans="1:18" x14ac:dyDescent="0.25">
      <c r="A194" s="134">
        <v>42284</v>
      </c>
      <c r="B194" s="110">
        <v>34.700000000000003</v>
      </c>
      <c r="C194" s="110">
        <v>34.5</v>
      </c>
      <c r="D194" s="110">
        <v>34.200000000000003</v>
      </c>
      <c r="E194" s="110">
        <v>34.35</v>
      </c>
      <c r="F194" s="110">
        <v>34.5</v>
      </c>
      <c r="G194">
        <v>31423</v>
      </c>
      <c r="H194" s="110"/>
      <c r="I194" s="110"/>
      <c r="L194" s="134">
        <v>42284</v>
      </c>
      <c r="M194" s="110">
        <v>34.549999999999997</v>
      </c>
      <c r="N194" s="110">
        <v>34.75</v>
      </c>
      <c r="O194" s="110">
        <v>34.049999999999997</v>
      </c>
      <c r="P194" s="110">
        <v>34.5</v>
      </c>
      <c r="Q194" s="110">
        <v>34.549999999999997</v>
      </c>
      <c r="R194">
        <v>98145</v>
      </c>
    </row>
    <row r="195" spans="1:18" x14ac:dyDescent="0.25">
      <c r="A195" s="134">
        <v>42285</v>
      </c>
      <c r="B195" s="110">
        <v>34.950000000000003</v>
      </c>
      <c r="C195" s="110">
        <v>34.799999999999997</v>
      </c>
      <c r="D195" s="110">
        <v>34.15</v>
      </c>
      <c r="E195" s="110">
        <v>34.5</v>
      </c>
      <c r="F195" s="110">
        <v>34.799999999999997</v>
      </c>
      <c r="G195">
        <v>21125</v>
      </c>
      <c r="H195" s="110"/>
      <c r="I195" s="110"/>
      <c r="L195" s="134">
        <v>42285</v>
      </c>
      <c r="M195" s="110">
        <v>34.700000000000003</v>
      </c>
      <c r="N195" s="110">
        <v>34.950000000000003</v>
      </c>
      <c r="O195" s="110">
        <v>34.200000000000003</v>
      </c>
      <c r="P195" s="110">
        <v>34.4</v>
      </c>
      <c r="Q195" s="110">
        <v>34.700000000000003</v>
      </c>
      <c r="R195">
        <v>104464</v>
      </c>
    </row>
    <row r="196" spans="1:18" x14ac:dyDescent="0.25">
      <c r="A196" s="134">
        <v>42286</v>
      </c>
      <c r="B196" s="110">
        <v>35.049999999999997</v>
      </c>
      <c r="C196" s="110">
        <v>34.75</v>
      </c>
      <c r="D196" s="110">
        <v>34.65</v>
      </c>
      <c r="E196" s="110">
        <v>34.950000000000003</v>
      </c>
      <c r="F196" s="110">
        <v>34.75</v>
      </c>
      <c r="G196">
        <v>21389</v>
      </c>
      <c r="H196" s="110"/>
      <c r="I196" s="110"/>
      <c r="L196" s="134">
        <v>42286</v>
      </c>
      <c r="M196" s="110">
        <v>34.799999999999997</v>
      </c>
      <c r="N196" s="110">
        <v>35.15</v>
      </c>
      <c r="O196" s="110">
        <v>34.700000000000003</v>
      </c>
      <c r="P196" s="110">
        <v>34.799999999999997</v>
      </c>
      <c r="Q196" s="110">
        <v>34.799999999999997</v>
      </c>
      <c r="R196">
        <v>72485</v>
      </c>
    </row>
    <row r="197" spans="1:18" x14ac:dyDescent="0.25">
      <c r="A197" s="134">
        <v>42289</v>
      </c>
      <c r="B197" s="110">
        <v>34.799999999999997</v>
      </c>
      <c r="C197" s="110">
        <v>34.4</v>
      </c>
      <c r="D197" s="110">
        <v>34.200000000000003</v>
      </c>
      <c r="E197" s="110">
        <v>34.799999999999997</v>
      </c>
      <c r="F197" s="110">
        <v>34.4</v>
      </c>
      <c r="G197">
        <v>20095</v>
      </c>
      <c r="H197" s="110"/>
      <c r="I197" s="110"/>
      <c r="L197" s="134">
        <v>42289</v>
      </c>
      <c r="M197" s="110">
        <v>34.549999999999997</v>
      </c>
      <c r="N197" s="110">
        <v>35</v>
      </c>
      <c r="O197" s="110">
        <v>34.4</v>
      </c>
      <c r="P197" s="110">
        <v>34.9</v>
      </c>
      <c r="Q197" s="110">
        <v>34.549999999999997</v>
      </c>
      <c r="R197">
        <v>69899</v>
      </c>
    </row>
    <row r="198" spans="1:18" x14ac:dyDescent="0.25">
      <c r="A198" s="134">
        <v>42290</v>
      </c>
      <c r="B198" s="110">
        <v>34.75</v>
      </c>
      <c r="C198" s="110">
        <v>34.549999999999997</v>
      </c>
      <c r="D198" s="110">
        <v>34.25</v>
      </c>
      <c r="E198" s="110">
        <v>34.25</v>
      </c>
      <c r="F198" s="110">
        <v>34.549999999999997</v>
      </c>
      <c r="G198">
        <v>9153</v>
      </c>
      <c r="H198" s="110"/>
      <c r="I198" s="110"/>
      <c r="L198" s="134">
        <v>42290</v>
      </c>
      <c r="M198" s="110">
        <v>34.5</v>
      </c>
      <c r="N198" s="110">
        <v>34.75</v>
      </c>
      <c r="O198" s="110">
        <v>34.299999999999997</v>
      </c>
      <c r="P198" s="110">
        <v>34.75</v>
      </c>
      <c r="Q198" s="110">
        <v>34.5</v>
      </c>
      <c r="R198">
        <v>25187</v>
      </c>
    </row>
    <row r="199" spans="1:18" x14ac:dyDescent="0.25">
      <c r="A199" s="134">
        <v>42291</v>
      </c>
      <c r="B199" s="110">
        <v>34.799999999999997</v>
      </c>
      <c r="C199" s="110">
        <v>34.6</v>
      </c>
      <c r="D199" s="110">
        <v>34.549999999999997</v>
      </c>
      <c r="E199" s="110">
        <v>34.700000000000003</v>
      </c>
      <c r="F199" s="110">
        <v>34.6</v>
      </c>
      <c r="G199">
        <v>20177</v>
      </c>
      <c r="H199" s="110"/>
      <c r="I199" s="110"/>
      <c r="L199" s="134">
        <v>42291</v>
      </c>
      <c r="M199" s="110">
        <v>34.450000000000003</v>
      </c>
      <c r="N199" s="110">
        <v>34.75</v>
      </c>
      <c r="O199" s="110">
        <v>34.35</v>
      </c>
      <c r="P199" s="110">
        <v>34.450000000000003</v>
      </c>
      <c r="Q199" s="110">
        <v>34.450000000000003</v>
      </c>
      <c r="R199">
        <v>62628</v>
      </c>
    </row>
    <row r="200" spans="1:18" x14ac:dyDescent="0.25">
      <c r="A200" s="134">
        <v>42292</v>
      </c>
      <c r="B200" s="110">
        <v>35.200000000000003</v>
      </c>
      <c r="C200" s="110">
        <v>34.75</v>
      </c>
      <c r="D200" s="110">
        <v>34.65</v>
      </c>
      <c r="E200" s="110">
        <v>34.85</v>
      </c>
      <c r="F200" s="110">
        <v>34.75</v>
      </c>
      <c r="G200">
        <v>25919</v>
      </c>
      <c r="H200" s="110"/>
      <c r="I200" s="110"/>
      <c r="L200" s="134">
        <v>42292</v>
      </c>
      <c r="M200" s="110">
        <v>34.65</v>
      </c>
      <c r="N200" s="110">
        <v>35.200000000000003</v>
      </c>
      <c r="O200" s="110">
        <v>34.5</v>
      </c>
      <c r="P200" s="110">
        <v>34.549999999999997</v>
      </c>
      <c r="Q200" s="110">
        <v>34.65</v>
      </c>
      <c r="R200">
        <v>115732</v>
      </c>
    </row>
    <row r="201" spans="1:18" x14ac:dyDescent="0.25">
      <c r="A201" s="134">
        <v>42293</v>
      </c>
      <c r="B201" s="110">
        <v>35.299999999999997</v>
      </c>
      <c r="C201" s="110">
        <v>34.799999999999997</v>
      </c>
      <c r="D201" s="110">
        <v>34.65</v>
      </c>
      <c r="E201" s="110">
        <v>35</v>
      </c>
      <c r="F201" s="110">
        <v>34.799999999999997</v>
      </c>
      <c r="G201">
        <v>13947</v>
      </c>
      <c r="H201" s="110"/>
      <c r="I201" s="110"/>
      <c r="L201" s="134">
        <v>42293</v>
      </c>
      <c r="M201" s="110">
        <v>34.75</v>
      </c>
      <c r="N201" s="110">
        <v>35.25</v>
      </c>
      <c r="O201" s="110">
        <v>34.549999999999997</v>
      </c>
      <c r="P201" s="110">
        <v>34.85</v>
      </c>
      <c r="Q201" s="110">
        <v>34.75</v>
      </c>
      <c r="R201">
        <v>58823</v>
      </c>
    </row>
    <row r="202" spans="1:18" x14ac:dyDescent="0.25">
      <c r="A202" s="134">
        <v>42296</v>
      </c>
      <c r="B202" s="110">
        <v>34.9</v>
      </c>
      <c r="C202" s="110">
        <v>34.75</v>
      </c>
      <c r="D202" s="110">
        <v>34.4</v>
      </c>
      <c r="E202" s="110">
        <v>34.799999999999997</v>
      </c>
      <c r="F202" s="110">
        <v>34.75</v>
      </c>
      <c r="G202">
        <v>9109</v>
      </c>
      <c r="H202" s="110"/>
      <c r="I202" s="110"/>
      <c r="L202" s="134">
        <v>42296</v>
      </c>
      <c r="M202" s="110">
        <v>34.6</v>
      </c>
      <c r="N202" s="110">
        <v>35</v>
      </c>
      <c r="O202" s="110">
        <v>34.35</v>
      </c>
      <c r="P202" s="110">
        <v>35</v>
      </c>
      <c r="Q202" s="110">
        <v>34.6</v>
      </c>
      <c r="R202">
        <v>47298</v>
      </c>
    </row>
    <row r="203" spans="1:18" x14ac:dyDescent="0.25">
      <c r="A203" s="134">
        <v>42297</v>
      </c>
      <c r="B203" s="110">
        <v>35</v>
      </c>
      <c r="C203" s="110">
        <v>34.5</v>
      </c>
      <c r="D203" s="110">
        <v>34</v>
      </c>
      <c r="E203" s="110">
        <v>35</v>
      </c>
      <c r="F203" s="110">
        <v>34.5</v>
      </c>
      <c r="G203">
        <v>19112</v>
      </c>
      <c r="H203" s="110"/>
      <c r="I203" s="110"/>
      <c r="L203" s="134">
        <v>42297</v>
      </c>
      <c r="M203" s="110">
        <v>34.5</v>
      </c>
      <c r="N203" s="110">
        <v>35</v>
      </c>
      <c r="O203" s="110">
        <v>34.35</v>
      </c>
      <c r="P203" s="110">
        <v>34.6</v>
      </c>
      <c r="Q203" s="110">
        <v>34.5</v>
      </c>
      <c r="R203">
        <v>97192</v>
      </c>
    </row>
    <row r="204" spans="1:18" x14ac:dyDescent="0.25">
      <c r="A204" s="134">
        <v>42298</v>
      </c>
      <c r="B204" s="110">
        <v>34.799999999999997</v>
      </c>
      <c r="C204" s="110">
        <v>34.450000000000003</v>
      </c>
      <c r="D204" s="110">
        <v>34.200000000000003</v>
      </c>
      <c r="E204" s="110">
        <v>34.75</v>
      </c>
      <c r="F204" s="110">
        <v>34.450000000000003</v>
      </c>
      <c r="G204">
        <v>12584</v>
      </c>
      <c r="H204" s="110"/>
      <c r="I204" s="110"/>
      <c r="L204" s="134">
        <v>42298</v>
      </c>
      <c r="M204" s="110">
        <v>34.35</v>
      </c>
      <c r="N204" s="110">
        <v>34.799999999999997</v>
      </c>
      <c r="O204" s="110">
        <v>34.25</v>
      </c>
      <c r="P204" s="110">
        <v>34.4</v>
      </c>
      <c r="Q204" s="110">
        <v>34.35</v>
      </c>
      <c r="R204">
        <v>56288</v>
      </c>
    </row>
    <row r="205" spans="1:18" x14ac:dyDescent="0.25">
      <c r="A205" s="134">
        <v>42300</v>
      </c>
      <c r="B205" s="110">
        <v>34.6</v>
      </c>
      <c r="C205" s="110">
        <v>34.200000000000003</v>
      </c>
      <c r="D205" s="110">
        <v>34.049999999999997</v>
      </c>
      <c r="E205" s="110">
        <v>34.35</v>
      </c>
      <c r="F205" s="110">
        <v>34.200000000000003</v>
      </c>
      <c r="G205">
        <v>7044</v>
      </c>
      <c r="H205" s="110"/>
      <c r="I205" s="110"/>
      <c r="L205" s="134">
        <v>42300</v>
      </c>
      <c r="M205" s="110">
        <v>34.35</v>
      </c>
      <c r="N205" s="110">
        <v>34.65</v>
      </c>
      <c r="O205" s="110">
        <v>34.25</v>
      </c>
      <c r="P205" s="110">
        <v>34.450000000000003</v>
      </c>
      <c r="Q205" s="110">
        <v>34.35</v>
      </c>
      <c r="R205">
        <v>55602</v>
      </c>
    </row>
    <row r="206" spans="1:18" x14ac:dyDescent="0.25">
      <c r="A206" s="134">
        <v>42303</v>
      </c>
      <c r="B206" s="110">
        <v>34.4</v>
      </c>
      <c r="C206" s="110">
        <v>33.9</v>
      </c>
      <c r="D206" s="110">
        <v>33.700000000000003</v>
      </c>
      <c r="E206" s="110">
        <v>34.299999999999997</v>
      </c>
      <c r="F206" s="110">
        <v>33.9</v>
      </c>
      <c r="G206">
        <v>12176</v>
      </c>
      <c r="H206" s="110"/>
      <c r="I206" s="110"/>
      <c r="L206" s="134">
        <v>42303</v>
      </c>
      <c r="M206" s="110">
        <v>33.9</v>
      </c>
      <c r="N206" s="110">
        <v>34.6</v>
      </c>
      <c r="O206" s="110">
        <v>33.799999999999997</v>
      </c>
      <c r="P206" s="110">
        <v>34.5</v>
      </c>
      <c r="Q206" s="110">
        <v>33.9</v>
      </c>
      <c r="R206">
        <v>79919</v>
      </c>
    </row>
    <row r="207" spans="1:18" x14ac:dyDescent="0.25">
      <c r="A207" s="134">
        <v>42304</v>
      </c>
      <c r="B207" s="110">
        <v>34.25</v>
      </c>
      <c r="C207" s="110">
        <v>34</v>
      </c>
      <c r="D207" s="110">
        <v>33.700000000000003</v>
      </c>
      <c r="E207" s="110">
        <v>33.9</v>
      </c>
      <c r="F207" s="110">
        <v>34</v>
      </c>
      <c r="G207">
        <v>10170</v>
      </c>
      <c r="H207" s="110"/>
      <c r="I207" s="110"/>
      <c r="L207" s="134">
        <v>42304</v>
      </c>
      <c r="M207" s="110">
        <v>33.9</v>
      </c>
      <c r="N207" s="110">
        <v>34.25</v>
      </c>
      <c r="O207" s="110">
        <v>33.549999999999997</v>
      </c>
      <c r="P207" s="110">
        <v>34</v>
      </c>
      <c r="Q207" s="110">
        <v>33.9</v>
      </c>
      <c r="R207">
        <v>52065</v>
      </c>
    </row>
    <row r="208" spans="1:18" x14ac:dyDescent="0.25">
      <c r="A208" s="134">
        <v>42305</v>
      </c>
      <c r="B208" s="110">
        <v>34.1</v>
      </c>
      <c r="C208" s="110">
        <v>33.75</v>
      </c>
      <c r="D208" s="110">
        <v>33.549999999999997</v>
      </c>
      <c r="E208" s="110">
        <v>34.1</v>
      </c>
      <c r="F208" s="110">
        <v>33.75</v>
      </c>
      <c r="G208">
        <v>10709</v>
      </c>
      <c r="H208" s="110"/>
      <c r="I208" s="110"/>
      <c r="L208" s="134">
        <v>42305</v>
      </c>
      <c r="M208" s="110">
        <v>33.6</v>
      </c>
      <c r="N208" s="110">
        <v>34.1</v>
      </c>
      <c r="O208" s="110">
        <v>33.549999999999997</v>
      </c>
      <c r="P208" s="110">
        <v>33.9</v>
      </c>
      <c r="Q208" s="110">
        <v>33.6</v>
      </c>
      <c r="R208">
        <v>74058</v>
      </c>
    </row>
    <row r="209" spans="1:18" x14ac:dyDescent="0.25">
      <c r="A209" s="134">
        <v>42306</v>
      </c>
      <c r="B209" s="110">
        <v>34</v>
      </c>
      <c r="C209" s="110">
        <v>33.9</v>
      </c>
      <c r="D209" s="110">
        <v>33.549999999999997</v>
      </c>
      <c r="E209" s="110">
        <v>33.85</v>
      </c>
      <c r="F209" s="110">
        <v>33.9</v>
      </c>
      <c r="G209">
        <v>7674</v>
      </c>
      <c r="H209" s="110"/>
      <c r="I209" s="110"/>
      <c r="L209" s="134">
        <v>42306</v>
      </c>
      <c r="M209" s="110">
        <v>33.6</v>
      </c>
      <c r="N209" s="110">
        <v>34</v>
      </c>
      <c r="O209" s="110">
        <v>33.5</v>
      </c>
      <c r="P209" s="110">
        <v>34</v>
      </c>
      <c r="Q209" s="110">
        <v>33.6</v>
      </c>
      <c r="R209">
        <v>48527</v>
      </c>
    </row>
    <row r="210" spans="1:18" x14ac:dyDescent="0.25">
      <c r="A210" s="134">
        <v>42307</v>
      </c>
      <c r="B210" s="110">
        <v>34</v>
      </c>
      <c r="C210" s="110">
        <v>33.6</v>
      </c>
      <c r="D210" s="110">
        <v>33.450000000000003</v>
      </c>
      <c r="E210" s="110">
        <v>33.950000000000003</v>
      </c>
      <c r="F210" s="110">
        <v>33.6</v>
      </c>
      <c r="G210">
        <v>12686</v>
      </c>
      <c r="H210" s="110"/>
      <c r="I210" s="110"/>
      <c r="L210" s="134">
        <v>42307</v>
      </c>
      <c r="M210" s="110">
        <v>33.549999999999997</v>
      </c>
      <c r="N210" s="110">
        <v>34</v>
      </c>
      <c r="O210" s="110">
        <v>33.4</v>
      </c>
      <c r="P210" s="110">
        <v>33.75</v>
      </c>
      <c r="Q210" s="110">
        <v>33.549999999999997</v>
      </c>
      <c r="R210">
        <v>77417</v>
      </c>
    </row>
    <row r="211" spans="1:18" x14ac:dyDescent="0.25">
      <c r="A211" s="134">
        <v>42310</v>
      </c>
      <c r="B211" s="110">
        <v>33.5</v>
      </c>
      <c r="C211" s="110">
        <v>33.15</v>
      </c>
      <c r="D211" s="110">
        <v>32.9</v>
      </c>
      <c r="E211" s="110">
        <v>33.5</v>
      </c>
      <c r="F211" s="110">
        <v>33.15</v>
      </c>
      <c r="G211">
        <v>48770</v>
      </c>
      <c r="H211" s="110"/>
      <c r="I211" s="110"/>
      <c r="L211" s="134">
        <v>42310</v>
      </c>
      <c r="M211" s="110">
        <v>33.1</v>
      </c>
      <c r="N211" s="110">
        <v>33.799999999999997</v>
      </c>
      <c r="O211" s="110">
        <v>32.9</v>
      </c>
      <c r="P211" s="110">
        <v>33.75</v>
      </c>
      <c r="Q211" s="110">
        <v>33.1</v>
      </c>
      <c r="R211">
        <v>173863</v>
      </c>
    </row>
    <row r="212" spans="1:18" x14ac:dyDescent="0.25">
      <c r="A212" s="134">
        <v>42311</v>
      </c>
      <c r="B212" s="110">
        <v>33.549999999999997</v>
      </c>
      <c r="C212" s="110">
        <v>33.15</v>
      </c>
      <c r="D212" s="110">
        <v>33.049999999999997</v>
      </c>
      <c r="E212" s="110">
        <v>33.15</v>
      </c>
      <c r="F212" s="110">
        <v>33.15</v>
      </c>
      <c r="G212">
        <v>15082</v>
      </c>
      <c r="H212" s="110"/>
      <c r="I212" s="110"/>
      <c r="L212" s="134">
        <v>42311</v>
      </c>
      <c r="M212" s="110">
        <v>33.049999999999997</v>
      </c>
      <c r="N212" s="110">
        <v>33.700000000000003</v>
      </c>
      <c r="O212" s="110">
        <v>33</v>
      </c>
      <c r="P212" s="110">
        <v>33.1</v>
      </c>
      <c r="Q212" s="110">
        <v>33.049999999999997</v>
      </c>
      <c r="R212">
        <v>54276</v>
      </c>
    </row>
    <row r="213" spans="1:18" x14ac:dyDescent="0.25">
      <c r="A213" s="134">
        <v>42312</v>
      </c>
      <c r="B213" s="110">
        <v>33.6</v>
      </c>
      <c r="C213" s="110">
        <v>33.4</v>
      </c>
      <c r="D213" s="110">
        <v>33.25</v>
      </c>
      <c r="E213" s="110">
        <v>33.450000000000003</v>
      </c>
      <c r="F213" s="110">
        <v>33.4</v>
      </c>
      <c r="G213">
        <v>22032</v>
      </c>
      <c r="H213" s="110"/>
      <c r="I213" s="110"/>
      <c r="L213" s="134">
        <v>42312</v>
      </c>
      <c r="M213" s="110">
        <v>33.4</v>
      </c>
      <c r="N213" s="110">
        <v>33.5</v>
      </c>
      <c r="O213" s="110">
        <v>33.25</v>
      </c>
      <c r="P213" s="110">
        <v>33.35</v>
      </c>
      <c r="Q213" s="110">
        <v>33.4</v>
      </c>
      <c r="R213">
        <v>108501</v>
      </c>
    </row>
    <row r="214" spans="1:18" x14ac:dyDescent="0.25">
      <c r="A214" s="134">
        <v>42313</v>
      </c>
      <c r="B214" s="110">
        <v>33.35</v>
      </c>
      <c r="C214" s="110">
        <v>32.5</v>
      </c>
      <c r="D214" s="110">
        <v>32</v>
      </c>
      <c r="E214" s="110">
        <v>33.299999999999997</v>
      </c>
      <c r="F214" s="110">
        <v>32.5</v>
      </c>
      <c r="G214">
        <v>64895</v>
      </c>
      <c r="H214" s="110"/>
      <c r="I214" s="110"/>
      <c r="L214" s="134">
        <v>42313</v>
      </c>
      <c r="M214" s="110">
        <v>32.5</v>
      </c>
      <c r="N214" s="110">
        <v>33.299999999999997</v>
      </c>
      <c r="O214" s="110">
        <v>30.75</v>
      </c>
      <c r="P214" s="110">
        <v>33.200000000000003</v>
      </c>
      <c r="Q214" s="110">
        <v>32.5</v>
      </c>
      <c r="R214">
        <v>242831</v>
      </c>
    </row>
    <row r="215" spans="1:18" x14ac:dyDescent="0.25">
      <c r="A215" s="134">
        <v>42314</v>
      </c>
      <c r="B215" s="110">
        <v>32.549999999999997</v>
      </c>
      <c r="C215" s="110">
        <v>32.1</v>
      </c>
      <c r="D215" s="110">
        <v>32</v>
      </c>
      <c r="E215" s="110">
        <v>32.5</v>
      </c>
      <c r="F215" s="110">
        <v>32.1</v>
      </c>
      <c r="G215">
        <v>22977</v>
      </c>
      <c r="H215" s="110"/>
      <c r="I215" s="110"/>
      <c r="L215" s="134">
        <v>42314</v>
      </c>
      <c r="M215" s="110">
        <v>32.1</v>
      </c>
      <c r="N215" s="110">
        <v>32.85</v>
      </c>
      <c r="O215" s="110">
        <v>32</v>
      </c>
      <c r="P215" s="110">
        <v>32.85</v>
      </c>
      <c r="Q215" s="110">
        <v>32.1</v>
      </c>
      <c r="R215">
        <v>85582</v>
      </c>
    </row>
    <row r="216" spans="1:18" x14ac:dyDescent="0.25">
      <c r="A216" s="134">
        <v>42317</v>
      </c>
      <c r="B216" s="110">
        <v>32.549999999999997</v>
      </c>
      <c r="C216" s="110">
        <v>32.25</v>
      </c>
      <c r="D216" s="110">
        <v>31.8</v>
      </c>
      <c r="E216" s="110">
        <v>32</v>
      </c>
      <c r="F216" s="110">
        <v>32.25</v>
      </c>
      <c r="G216">
        <v>26029</v>
      </c>
      <c r="H216" s="110"/>
      <c r="I216" s="110"/>
      <c r="L216" s="134">
        <v>42317</v>
      </c>
      <c r="M216" s="110">
        <v>32.4</v>
      </c>
      <c r="N216" s="110">
        <v>32.5</v>
      </c>
      <c r="O216" s="110">
        <v>31.5</v>
      </c>
      <c r="P216" s="110">
        <v>32</v>
      </c>
      <c r="Q216" s="110">
        <v>32.4</v>
      </c>
      <c r="R216">
        <v>81664</v>
      </c>
    </row>
    <row r="217" spans="1:18" x14ac:dyDescent="0.25">
      <c r="A217" s="134">
        <v>42318</v>
      </c>
      <c r="B217" s="110">
        <v>32.65</v>
      </c>
      <c r="C217" s="110">
        <v>32.1</v>
      </c>
      <c r="D217" s="110">
        <v>32.1</v>
      </c>
      <c r="E217" s="110">
        <v>32.65</v>
      </c>
      <c r="F217" s="110">
        <v>32.1</v>
      </c>
      <c r="G217">
        <v>6209</v>
      </c>
      <c r="H217" s="110"/>
      <c r="I217" s="110"/>
      <c r="L217" s="134">
        <v>42318</v>
      </c>
      <c r="M217" s="110">
        <v>32.15</v>
      </c>
      <c r="N217" s="110">
        <v>32.6</v>
      </c>
      <c r="O217" s="110">
        <v>32</v>
      </c>
      <c r="P217" s="110">
        <v>32.299999999999997</v>
      </c>
      <c r="Q217" s="110">
        <v>32.15</v>
      </c>
      <c r="R217">
        <v>34274</v>
      </c>
    </row>
    <row r="218" spans="1:18" x14ac:dyDescent="0.25">
      <c r="A218" s="134">
        <v>42319</v>
      </c>
      <c r="B218" s="110">
        <v>33.9</v>
      </c>
      <c r="C218" s="110">
        <v>32.6</v>
      </c>
      <c r="D218" s="110">
        <v>32.4</v>
      </c>
      <c r="E218" s="110">
        <v>33.9</v>
      </c>
      <c r="F218" s="110">
        <v>32.6</v>
      </c>
      <c r="G218">
        <v>6384</v>
      </c>
      <c r="H218" s="110"/>
      <c r="I218" s="110"/>
      <c r="L218" s="134">
        <v>42319</v>
      </c>
      <c r="M218" s="110">
        <v>32.450000000000003</v>
      </c>
      <c r="N218" s="110">
        <v>32.700000000000003</v>
      </c>
      <c r="O218" s="110">
        <v>32.15</v>
      </c>
      <c r="P218" s="110">
        <v>32.700000000000003</v>
      </c>
      <c r="Q218" s="110">
        <v>32.450000000000003</v>
      </c>
      <c r="R218">
        <v>12023</v>
      </c>
    </row>
    <row r="219" spans="1:18" x14ac:dyDescent="0.25">
      <c r="A219" s="134">
        <v>42321</v>
      </c>
      <c r="B219" s="110">
        <v>32.450000000000003</v>
      </c>
      <c r="C219" s="110">
        <v>32.4</v>
      </c>
      <c r="D219" s="110">
        <v>32.1</v>
      </c>
      <c r="E219" s="110">
        <v>32.1</v>
      </c>
      <c r="F219" s="110">
        <v>32.4</v>
      </c>
      <c r="G219">
        <v>7650</v>
      </c>
      <c r="H219" s="110"/>
      <c r="I219" s="110"/>
      <c r="L219" s="134">
        <v>42321</v>
      </c>
      <c r="M219" s="110">
        <v>32.25</v>
      </c>
      <c r="N219" s="110">
        <v>32.799999999999997</v>
      </c>
      <c r="O219" s="110">
        <v>32</v>
      </c>
      <c r="P219" s="110">
        <v>32.799999999999997</v>
      </c>
      <c r="Q219" s="110">
        <v>32.25</v>
      </c>
      <c r="R219">
        <v>19562</v>
      </c>
    </row>
    <row r="220" spans="1:18" x14ac:dyDescent="0.25">
      <c r="A220" s="134">
        <v>42324</v>
      </c>
      <c r="B220" s="110">
        <v>32.450000000000003</v>
      </c>
      <c r="C220" s="110">
        <v>32.4</v>
      </c>
      <c r="D220" s="110">
        <v>32.15</v>
      </c>
      <c r="E220" s="110">
        <v>32.4</v>
      </c>
      <c r="F220" s="110">
        <v>32.4</v>
      </c>
      <c r="G220">
        <v>14132</v>
      </c>
      <c r="H220" s="110"/>
      <c r="I220" s="110"/>
      <c r="L220" s="134">
        <v>42324</v>
      </c>
      <c r="M220" s="110">
        <v>32.299999999999997</v>
      </c>
      <c r="N220" s="110">
        <v>32.450000000000003</v>
      </c>
      <c r="O220" s="110">
        <v>32.1</v>
      </c>
      <c r="P220" s="110">
        <v>32.200000000000003</v>
      </c>
      <c r="Q220" s="110">
        <v>32.299999999999997</v>
      </c>
      <c r="R220">
        <v>36074</v>
      </c>
    </row>
    <row r="221" spans="1:18" x14ac:dyDescent="0.25">
      <c r="A221" s="134">
        <v>42325</v>
      </c>
      <c r="B221" s="110">
        <v>32.450000000000003</v>
      </c>
      <c r="C221" s="110">
        <v>32.200000000000003</v>
      </c>
      <c r="D221" s="110">
        <v>32</v>
      </c>
      <c r="E221" s="110">
        <v>32.4</v>
      </c>
      <c r="F221" s="110">
        <v>32.200000000000003</v>
      </c>
      <c r="G221">
        <v>13268</v>
      </c>
      <c r="H221" s="110"/>
      <c r="I221" s="110"/>
      <c r="L221" s="134">
        <v>42325</v>
      </c>
      <c r="M221" s="110">
        <v>32.1</v>
      </c>
      <c r="N221" s="110">
        <v>32.5</v>
      </c>
      <c r="O221" s="110">
        <v>32</v>
      </c>
      <c r="P221" s="110">
        <v>32.4</v>
      </c>
      <c r="Q221" s="110">
        <v>32.1</v>
      </c>
      <c r="R221">
        <v>71094</v>
      </c>
    </row>
    <row r="222" spans="1:18" x14ac:dyDescent="0.25">
      <c r="A222" s="134">
        <v>42326</v>
      </c>
      <c r="B222" s="110">
        <v>32.35</v>
      </c>
      <c r="C222" s="110">
        <v>31.85</v>
      </c>
      <c r="D222" s="110">
        <v>31.7</v>
      </c>
      <c r="E222" s="110">
        <v>32.299999999999997</v>
      </c>
      <c r="F222" s="110">
        <v>31.85</v>
      </c>
      <c r="G222">
        <v>14935</v>
      </c>
      <c r="H222" s="110"/>
      <c r="I222" s="110"/>
      <c r="L222" s="134">
        <v>42326</v>
      </c>
      <c r="M222" s="110">
        <v>31.7</v>
      </c>
      <c r="N222" s="110">
        <v>32.4</v>
      </c>
      <c r="O222" s="110">
        <v>31.6</v>
      </c>
      <c r="P222" s="110">
        <v>32.1</v>
      </c>
      <c r="Q222" s="110">
        <v>31.7</v>
      </c>
      <c r="R222">
        <v>63288</v>
      </c>
    </row>
    <row r="223" spans="1:18" x14ac:dyDescent="0.25">
      <c r="A223" s="134">
        <v>42327</v>
      </c>
      <c r="B223" s="110">
        <v>32.15</v>
      </c>
      <c r="C223" s="110">
        <v>32.1</v>
      </c>
      <c r="D223" s="110">
        <v>31.8</v>
      </c>
      <c r="E223" s="110">
        <v>32</v>
      </c>
      <c r="F223" s="110">
        <v>32.1</v>
      </c>
      <c r="G223">
        <v>9953</v>
      </c>
      <c r="H223" s="110"/>
      <c r="I223" s="110"/>
      <c r="L223" s="134">
        <v>42327</v>
      </c>
      <c r="M223" s="110">
        <v>32.1</v>
      </c>
      <c r="N223" s="110">
        <v>32.299999999999997</v>
      </c>
      <c r="O223" s="110">
        <v>31.85</v>
      </c>
      <c r="P223" s="110">
        <v>31.85</v>
      </c>
      <c r="Q223" s="110">
        <v>32.1</v>
      </c>
      <c r="R223">
        <v>28698</v>
      </c>
    </row>
    <row r="224" spans="1:18" x14ac:dyDescent="0.25">
      <c r="A224" s="134">
        <v>42328</v>
      </c>
      <c r="B224" s="110">
        <v>32.299999999999997</v>
      </c>
      <c r="C224" s="110">
        <v>31.95</v>
      </c>
      <c r="D224" s="110">
        <v>31.85</v>
      </c>
      <c r="E224" s="110">
        <v>31.9</v>
      </c>
      <c r="F224" s="110">
        <v>31.95</v>
      </c>
      <c r="G224">
        <v>18208</v>
      </c>
      <c r="H224" s="110"/>
      <c r="I224" s="110"/>
      <c r="L224" s="134">
        <v>42328</v>
      </c>
      <c r="M224" s="110">
        <v>32</v>
      </c>
      <c r="N224" s="110">
        <v>32.35</v>
      </c>
      <c r="O224" s="110">
        <v>31.85</v>
      </c>
      <c r="P224" s="110">
        <v>32.25</v>
      </c>
      <c r="Q224" s="110">
        <v>32</v>
      </c>
      <c r="R224">
        <v>29630</v>
      </c>
    </row>
    <row r="225" spans="1:18" x14ac:dyDescent="0.25">
      <c r="A225" s="134">
        <v>42331</v>
      </c>
      <c r="B225" s="110">
        <v>32.25</v>
      </c>
      <c r="C225" s="110">
        <v>32.049999999999997</v>
      </c>
      <c r="D225" s="110">
        <v>31.95</v>
      </c>
      <c r="E225" s="110">
        <v>32.25</v>
      </c>
      <c r="F225" s="110">
        <v>32.049999999999997</v>
      </c>
      <c r="G225">
        <v>4375</v>
      </c>
      <c r="H225" s="110"/>
      <c r="I225" s="110"/>
      <c r="L225" s="134">
        <v>42331</v>
      </c>
      <c r="M225" s="110">
        <v>32.1</v>
      </c>
      <c r="N225" s="110">
        <v>32.299999999999997</v>
      </c>
      <c r="O225" s="110">
        <v>31.95</v>
      </c>
      <c r="P225" s="110">
        <v>32.1</v>
      </c>
      <c r="Q225" s="110">
        <v>32.1</v>
      </c>
      <c r="R225">
        <v>21365</v>
      </c>
    </row>
    <row r="226" spans="1:18" x14ac:dyDescent="0.25">
      <c r="A226" s="134">
        <v>42332</v>
      </c>
      <c r="B226" s="110">
        <v>32.200000000000003</v>
      </c>
      <c r="C226" s="110">
        <v>32</v>
      </c>
      <c r="D226" s="110">
        <v>31.85</v>
      </c>
      <c r="E226" s="110">
        <v>32.1</v>
      </c>
      <c r="F226" s="110">
        <v>32</v>
      </c>
      <c r="G226">
        <v>8197</v>
      </c>
      <c r="H226" s="110"/>
      <c r="I226" s="110"/>
      <c r="L226" s="134">
        <v>42332</v>
      </c>
      <c r="M226" s="110">
        <v>31.95</v>
      </c>
      <c r="N226" s="110">
        <v>32.25</v>
      </c>
      <c r="O226" s="110">
        <v>31.9</v>
      </c>
      <c r="P226" s="110">
        <v>32.200000000000003</v>
      </c>
      <c r="Q226" s="110">
        <v>31.95</v>
      </c>
      <c r="R226">
        <v>29264</v>
      </c>
    </row>
    <row r="227" spans="1:18" x14ac:dyDescent="0.25">
      <c r="A227" s="134">
        <v>42334</v>
      </c>
      <c r="B227" s="110">
        <v>32.299999999999997</v>
      </c>
      <c r="C227" s="110">
        <v>32.049999999999997</v>
      </c>
      <c r="D227" s="110">
        <v>31.9</v>
      </c>
      <c r="E227" s="110">
        <v>31.9</v>
      </c>
      <c r="F227" s="110">
        <v>32.049999999999997</v>
      </c>
      <c r="G227">
        <v>16349</v>
      </c>
      <c r="H227" s="110"/>
      <c r="I227" s="110"/>
      <c r="L227" s="134">
        <v>42334</v>
      </c>
      <c r="M227" s="110">
        <v>31.9</v>
      </c>
      <c r="N227" s="110">
        <v>32.25</v>
      </c>
      <c r="O227" s="110">
        <v>31.8</v>
      </c>
      <c r="P227" s="110">
        <v>31.95</v>
      </c>
      <c r="Q227" s="110">
        <v>31.9</v>
      </c>
      <c r="R227">
        <v>59277</v>
      </c>
    </row>
    <row r="228" spans="1:18" x14ac:dyDescent="0.25">
      <c r="A228" s="134">
        <v>42335</v>
      </c>
      <c r="B228" s="110">
        <v>32.450000000000003</v>
      </c>
      <c r="C228" s="110">
        <v>32.200000000000003</v>
      </c>
      <c r="D228" s="110">
        <v>31.95</v>
      </c>
      <c r="E228" s="110">
        <v>31.95</v>
      </c>
      <c r="F228" s="110">
        <v>32.200000000000003</v>
      </c>
      <c r="G228">
        <v>21303</v>
      </c>
      <c r="H228" s="110"/>
      <c r="I228" s="110"/>
      <c r="L228" s="134">
        <v>42335</v>
      </c>
      <c r="M228" s="110">
        <v>32.200000000000003</v>
      </c>
      <c r="N228" s="110">
        <v>32.5</v>
      </c>
      <c r="O228" s="110">
        <v>31.95</v>
      </c>
      <c r="P228" s="110">
        <v>32</v>
      </c>
      <c r="Q228" s="110">
        <v>32.200000000000003</v>
      </c>
      <c r="R228">
        <v>77086</v>
      </c>
    </row>
    <row r="229" spans="1:18" x14ac:dyDescent="0.25">
      <c r="A229" s="134">
        <v>42338</v>
      </c>
      <c r="B229" s="110">
        <v>32.950000000000003</v>
      </c>
      <c r="C229" s="110">
        <v>32.75</v>
      </c>
      <c r="D229" s="110">
        <v>32.35</v>
      </c>
      <c r="E229" s="110">
        <v>32.5</v>
      </c>
      <c r="F229" s="110">
        <v>32.75</v>
      </c>
      <c r="G229">
        <v>20457</v>
      </c>
      <c r="H229" s="110"/>
      <c r="I229" s="110"/>
      <c r="L229" s="134">
        <v>42338</v>
      </c>
      <c r="M229" s="110">
        <v>32.65</v>
      </c>
      <c r="N229" s="110">
        <v>33</v>
      </c>
      <c r="O229" s="110">
        <v>32.25</v>
      </c>
      <c r="P229" s="110">
        <v>32.5</v>
      </c>
      <c r="Q229" s="110">
        <v>32.65</v>
      </c>
      <c r="R229">
        <v>184772</v>
      </c>
    </row>
    <row r="230" spans="1:18" x14ac:dyDescent="0.25">
      <c r="A230" s="134">
        <v>42339</v>
      </c>
      <c r="B230" s="110">
        <v>34.35</v>
      </c>
      <c r="C230" s="110">
        <v>33.4</v>
      </c>
      <c r="D230" s="110">
        <v>32.25</v>
      </c>
      <c r="E230" s="110">
        <v>32.950000000000003</v>
      </c>
      <c r="F230" s="110">
        <v>33.4</v>
      </c>
      <c r="G230">
        <v>57325</v>
      </c>
      <c r="H230" s="110"/>
      <c r="I230" s="110"/>
      <c r="L230" s="134">
        <v>42339</v>
      </c>
      <c r="M230" s="110">
        <v>33.450000000000003</v>
      </c>
      <c r="N230" s="110">
        <v>34.4</v>
      </c>
      <c r="O230" s="110">
        <v>32.299999999999997</v>
      </c>
      <c r="P230" s="110">
        <v>32.65</v>
      </c>
      <c r="Q230" s="110">
        <v>33.450000000000003</v>
      </c>
      <c r="R230">
        <v>196730</v>
      </c>
    </row>
    <row r="231" spans="1:18" x14ac:dyDescent="0.25">
      <c r="A231" s="134">
        <v>42340</v>
      </c>
      <c r="B231" s="110">
        <v>34.5</v>
      </c>
      <c r="C231" s="110">
        <v>33.950000000000003</v>
      </c>
      <c r="D231" s="110">
        <v>32.9</v>
      </c>
      <c r="E231" s="110">
        <v>33.4</v>
      </c>
      <c r="F231" s="110">
        <v>33.950000000000003</v>
      </c>
      <c r="G231">
        <v>41068</v>
      </c>
      <c r="H231" s="110"/>
      <c r="I231" s="110"/>
      <c r="L231" s="134">
        <v>42340</v>
      </c>
      <c r="M231" s="110">
        <v>33.950000000000003</v>
      </c>
      <c r="N231" s="110">
        <v>34.15</v>
      </c>
      <c r="O231" s="110">
        <v>32.799999999999997</v>
      </c>
      <c r="P231" s="110">
        <v>33.450000000000003</v>
      </c>
      <c r="Q231" s="110">
        <v>33.950000000000003</v>
      </c>
      <c r="R231">
        <v>145443</v>
      </c>
    </row>
    <row r="232" spans="1:18" x14ac:dyDescent="0.25">
      <c r="A232" s="134">
        <v>42341</v>
      </c>
      <c r="B232" s="110">
        <v>34.85</v>
      </c>
      <c r="C232" s="110">
        <v>33.700000000000003</v>
      </c>
      <c r="D232" s="110">
        <v>33.5</v>
      </c>
      <c r="E232" s="110">
        <v>34.700000000000003</v>
      </c>
      <c r="F232" s="110">
        <v>33.700000000000003</v>
      </c>
      <c r="G232">
        <v>72543</v>
      </c>
      <c r="H232" s="110"/>
      <c r="I232" s="110"/>
      <c r="L232" s="134">
        <v>42341</v>
      </c>
      <c r="M232" s="110">
        <v>33.799999999999997</v>
      </c>
      <c r="N232" s="110">
        <v>34.799999999999997</v>
      </c>
      <c r="O232" s="110">
        <v>33.6</v>
      </c>
      <c r="P232" s="110">
        <v>34.65</v>
      </c>
      <c r="Q232" s="110">
        <v>33.799999999999997</v>
      </c>
      <c r="R232">
        <v>348169</v>
      </c>
    </row>
    <row r="233" spans="1:18" x14ac:dyDescent="0.25">
      <c r="A233" s="134">
        <v>42342</v>
      </c>
      <c r="B233" s="110">
        <v>33.65</v>
      </c>
      <c r="C233" s="110">
        <v>33.200000000000003</v>
      </c>
      <c r="D233" s="110">
        <v>33</v>
      </c>
      <c r="E233" s="110">
        <v>33.549999999999997</v>
      </c>
      <c r="F233" s="110">
        <v>33.200000000000003</v>
      </c>
      <c r="G233">
        <v>9623</v>
      </c>
      <c r="H233" s="110"/>
      <c r="I233" s="110"/>
      <c r="L233" s="134">
        <v>42342</v>
      </c>
      <c r="M233" s="110">
        <v>33.15</v>
      </c>
      <c r="N233" s="110">
        <v>33.700000000000003</v>
      </c>
      <c r="O233" s="110">
        <v>33</v>
      </c>
      <c r="P233" s="110">
        <v>33.700000000000003</v>
      </c>
      <c r="Q233" s="110">
        <v>33.15</v>
      </c>
      <c r="R233">
        <v>43937</v>
      </c>
    </row>
    <row r="234" spans="1:18" x14ac:dyDescent="0.25">
      <c r="A234" s="134">
        <v>42345</v>
      </c>
      <c r="B234" s="110">
        <v>33.950000000000003</v>
      </c>
      <c r="C234" s="110">
        <v>32.5</v>
      </c>
      <c r="D234" s="110">
        <v>32.4</v>
      </c>
      <c r="E234" s="110">
        <v>33.549999999999997</v>
      </c>
      <c r="F234" s="110">
        <v>32.5</v>
      </c>
      <c r="G234">
        <v>12294</v>
      </c>
      <c r="H234" s="110"/>
      <c r="I234" s="110"/>
      <c r="L234" s="134">
        <v>42345</v>
      </c>
      <c r="M234" s="110">
        <v>32.4</v>
      </c>
      <c r="N234" s="110">
        <v>34.4</v>
      </c>
      <c r="O234" s="110">
        <v>32.15</v>
      </c>
      <c r="P234" s="110">
        <v>33.15</v>
      </c>
      <c r="Q234" s="110">
        <v>32.4</v>
      </c>
      <c r="R234">
        <v>97691</v>
      </c>
    </row>
    <row r="235" spans="1:18" x14ac:dyDescent="0.25">
      <c r="A235" s="134">
        <v>42346</v>
      </c>
      <c r="B235" s="110">
        <v>32.5</v>
      </c>
      <c r="C235" s="110">
        <v>32.15</v>
      </c>
      <c r="D235" s="110">
        <v>32.049999999999997</v>
      </c>
      <c r="E235" s="110">
        <v>32.15</v>
      </c>
      <c r="F235" s="110">
        <v>32.15</v>
      </c>
      <c r="G235">
        <v>14015</v>
      </c>
      <c r="H235" s="110"/>
      <c r="I235" s="110"/>
      <c r="L235" s="134">
        <v>42346</v>
      </c>
      <c r="M235" s="110">
        <v>32.049999999999997</v>
      </c>
      <c r="N235" s="110">
        <v>32.5</v>
      </c>
      <c r="O235" s="110">
        <v>32</v>
      </c>
      <c r="P235" s="110">
        <v>32.049999999999997</v>
      </c>
      <c r="Q235" s="110">
        <v>32.049999999999997</v>
      </c>
      <c r="R235">
        <v>43910</v>
      </c>
    </row>
    <row r="236" spans="1:18" x14ac:dyDescent="0.25">
      <c r="A236" s="134">
        <v>42347</v>
      </c>
      <c r="B236" s="110">
        <v>32.15</v>
      </c>
      <c r="C236" s="110">
        <v>31.75</v>
      </c>
      <c r="D236" s="110">
        <v>31.6</v>
      </c>
      <c r="E236" s="110">
        <v>32</v>
      </c>
      <c r="F236" s="110">
        <v>31.75</v>
      </c>
      <c r="G236">
        <v>15536</v>
      </c>
      <c r="H236" s="110"/>
      <c r="I236" s="110"/>
      <c r="L236" s="134">
        <v>42347</v>
      </c>
      <c r="M236" s="110">
        <v>31.75</v>
      </c>
      <c r="N236" s="110">
        <v>32.15</v>
      </c>
      <c r="O236" s="110">
        <v>31.6</v>
      </c>
      <c r="P236" s="110">
        <v>32.15</v>
      </c>
      <c r="Q236" s="110">
        <v>31.75</v>
      </c>
      <c r="R236">
        <v>31213</v>
      </c>
    </row>
    <row r="237" spans="1:18" x14ac:dyDescent="0.25">
      <c r="A237" s="134">
        <v>42348</v>
      </c>
      <c r="B237" s="110">
        <v>32.450000000000003</v>
      </c>
      <c r="C237" s="110">
        <v>32.1</v>
      </c>
      <c r="D237" s="110">
        <v>31.5</v>
      </c>
      <c r="E237" s="110">
        <v>32.299999999999997</v>
      </c>
      <c r="F237" s="110">
        <v>32.1</v>
      </c>
      <c r="G237">
        <v>26381</v>
      </c>
      <c r="H237" s="110"/>
      <c r="I237" s="110"/>
      <c r="L237" s="134">
        <v>42348</v>
      </c>
      <c r="M237" s="110">
        <v>32.15</v>
      </c>
      <c r="N237" s="110">
        <v>32.700000000000003</v>
      </c>
      <c r="O237" s="110">
        <v>31.45</v>
      </c>
      <c r="P237" s="110">
        <v>32.700000000000003</v>
      </c>
      <c r="Q237" s="110">
        <v>32.15</v>
      </c>
      <c r="R237">
        <v>149019</v>
      </c>
    </row>
    <row r="238" spans="1:18" x14ac:dyDescent="0.25">
      <c r="A238" s="134">
        <v>42349</v>
      </c>
      <c r="B238" s="110">
        <v>34.5</v>
      </c>
      <c r="C238" s="110">
        <v>31.8</v>
      </c>
      <c r="D238" s="110">
        <v>31.5</v>
      </c>
      <c r="E238" s="110">
        <v>34.5</v>
      </c>
      <c r="F238" s="110">
        <v>31.8</v>
      </c>
      <c r="G238">
        <v>21150</v>
      </c>
      <c r="H238" s="110"/>
      <c r="I238" s="110"/>
      <c r="L238" s="134">
        <v>42349</v>
      </c>
      <c r="M238" s="110">
        <v>31.55</v>
      </c>
      <c r="N238" s="110">
        <v>32.5</v>
      </c>
      <c r="O238" s="110">
        <v>31.3</v>
      </c>
      <c r="P238" s="110">
        <v>32.200000000000003</v>
      </c>
      <c r="Q238" s="110">
        <v>31.55</v>
      </c>
      <c r="R238">
        <v>87883</v>
      </c>
    </row>
    <row r="239" spans="1:18" x14ac:dyDescent="0.25">
      <c r="A239" s="134">
        <v>42352</v>
      </c>
      <c r="B239" s="110">
        <v>31.75</v>
      </c>
      <c r="C239" s="110">
        <v>31.45</v>
      </c>
      <c r="D239" s="110">
        <v>31.3</v>
      </c>
      <c r="E239" s="110">
        <v>31.65</v>
      </c>
      <c r="F239" s="110">
        <v>31.45</v>
      </c>
      <c r="G239">
        <v>12047</v>
      </c>
      <c r="H239" s="110"/>
      <c r="I239" s="110"/>
      <c r="L239" s="134">
        <v>42352</v>
      </c>
      <c r="M239" s="110">
        <v>31.45</v>
      </c>
      <c r="N239" s="110">
        <v>31.65</v>
      </c>
      <c r="O239" s="110">
        <v>31.05</v>
      </c>
      <c r="P239" s="110">
        <v>31.5</v>
      </c>
      <c r="Q239" s="110">
        <v>31.45</v>
      </c>
      <c r="R239">
        <v>49852</v>
      </c>
    </row>
    <row r="240" spans="1:18" x14ac:dyDescent="0.25">
      <c r="A240" s="134">
        <v>42353</v>
      </c>
      <c r="B240" s="110">
        <v>31.8</v>
      </c>
      <c r="C240" s="110">
        <v>31.6</v>
      </c>
      <c r="D240" s="110">
        <v>31.3</v>
      </c>
      <c r="E240" s="110">
        <v>31.8</v>
      </c>
      <c r="F240" s="110">
        <v>31.6</v>
      </c>
      <c r="G240">
        <v>12322</v>
      </c>
      <c r="H240" s="110"/>
      <c r="I240" s="110"/>
      <c r="L240" s="134">
        <v>42353</v>
      </c>
      <c r="M240" s="110">
        <v>31.5</v>
      </c>
      <c r="N240" s="110">
        <v>31.75</v>
      </c>
      <c r="O240" s="110">
        <v>31.05</v>
      </c>
      <c r="P240" s="110">
        <v>31.5</v>
      </c>
      <c r="Q240" s="110">
        <v>31.5</v>
      </c>
      <c r="R240">
        <v>47946</v>
      </c>
    </row>
    <row r="241" spans="1:18" x14ac:dyDescent="0.25">
      <c r="A241" s="134">
        <v>42354</v>
      </c>
      <c r="B241" s="110">
        <v>32</v>
      </c>
      <c r="C241" s="110">
        <v>31.5</v>
      </c>
      <c r="D241" s="110">
        <v>31.5</v>
      </c>
      <c r="E241" s="110">
        <v>31.85</v>
      </c>
      <c r="F241" s="110">
        <v>31.5</v>
      </c>
      <c r="G241">
        <v>9728</v>
      </c>
      <c r="H241" s="110"/>
      <c r="I241" s="110"/>
      <c r="L241" s="134">
        <v>42354</v>
      </c>
      <c r="M241" s="110">
        <v>31.55</v>
      </c>
      <c r="N241" s="110">
        <v>32</v>
      </c>
      <c r="O241" s="110">
        <v>31.5</v>
      </c>
      <c r="P241" s="110">
        <v>31.8</v>
      </c>
      <c r="Q241" s="110">
        <v>31.55</v>
      </c>
      <c r="R241">
        <v>48843</v>
      </c>
    </row>
    <row r="242" spans="1:18" x14ac:dyDescent="0.25">
      <c r="A242" s="134">
        <v>42355</v>
      </c>
      <c r="B242" s="110">
        <v>32.35</v>
      </c>
      <c r="C242" s="110">
        <v>31.8</v>
      </c>
      <c r="D242" s="110">
        <v>31.7</v>
      </c>
      <c r="E242" s="110">
        <v>31.95</v>
      </c>
      <c r="F242" s="110">
        <v>31.8</v>
      </c>
      <c r="G242">
        <v>12023</v>
      </c>
      <c r="H242" s="110"/>
      <c r="I242" s="110"/>
      <c r="L242" s="134">
        <v>42355</v>
      </c>
      <c r="M242" s="110">
        <v>31.9</v>
      </c>
      <c r="N242" s="110">
        <v>32.4</v>
      </c>
      <c r="O242" s="110">
        <v>31.65</v>
      </c>
      <c r="P242" s="110">
        <v>31.65</v>
      </c>
      <c r="Q242" s="110">
        <v>31.9</v>
      </c>
      <c r="R242">
        <v>51854</v>
      </c>
    </row>
    <row r="243" spans="1:18" x14ac:dyDescent="0.25">
      <c r="A243" s="134">
        <v>42356</v>
      </c>
      <c r="B243" s="110">
        <v>32.5</v>
      </c>
      <c r="C243" s="110">
        <v>31.95</v>
      </c>
      <c r="D243" s="110">
        <v>31.6</v>
      </c>
      <c r="E243" s="110">
        <v>32</v>
      </c>
      <c r="F243" s="110">
        <v>31.95</v>
      </c>
      <c r="G243">
        <v>17264</v>
      </c>
      <c r="H243" s="110"/>
      <c r="I243" s="110"/>
      <c r="L243" s="134">
        <v>42356</v>
      </c>
      <c r="M243" s="110">
        <v>31.95</v>
      </c>
      <c r="N243" s="110">
        <v>32.450000000000003</v>
      </c>
      <c r="O243" s="110">
        <v>31.65</v>
      </c>
      <c r="P243" s="110">
        <v>31.9</v>
      </c>
      <c r="Q243" s="110">
        <v>31.95</v>
      </c>
      <c r="R243">
        <v>77117</v>
      </c>
    </row>
    <row r="244" spans="1:18" x14ac:dyDescent="0.25">
      <c r="A244" s="134">
        <v>42359</v>
      </c>
      <c r="B244" s="110">
        <v>32.1</v>
      </c>
      <c r="C244" s="110">
        <v>32.049999999999997</v>
      </c>
      <c r="D244" s="110">
        <v>31.85</v>
      </c>
      <c r="E244" s="110">
        <v>32</v>
      </c>
      <c r="F244" s="110">
        <v>32.049999999999997</v>
      </c>
      <c r="G244">
        <v>7682</v>
      </c>
      <c r="H244" s="110"/>
      <c r="I244" s="110"/>
      <c r="L244" s="134">
        <v>42359</v>
      </c>
      <c r="M244" s="110">
        <v>31.9</v>
      </c>
      <c r="N244" s="110">
        <v>32</v>
      </c>
      <c r="O244" s="110">
        <v>31.55</v>
      </c>
      <c r="P244" s="110">
        <v>31.55</v>
      </c>
      <c r="Q244" s="110">
        <v>31.9</v>
      </c>
      <c r="R244">
        <v>38404</v>
      </c>
    </row>
    <row r="245" spans="1:18" x14ac:dyDescent="0.25">
      <c r="A245" s="134">
        <v>42360</v>
      </c>
      <c r="B245" s="110">
        <v>32.299999999999997</v>
      </c>
      <c r="C245" s="110">
        <v>31.85</v>
      </c>
      <c r="D245" s="110">
        <v>31.7</v>
      </c>
      <c r="E245" s="110">
        <v>32.200000000000003</v>
      </c>
      <c r="F245" s="110">
        <v>31.85</v>
      </c>
      <c r="G245">
        <v>12367</v>
      </c>
      <c r="H245" s="110"/>
      <c r="I245" s="110"/>
      <c r="L245" s="134">
        <v>42360</v>
      </c>
      <c r="M245" s="110">
        <v>31.7</v>
      </c>
      <c r="N245" s="110">
        <v>32.15</v>
      </c>
      <c r="O245" s="110">
        <v>31.5</v>
      </c>
      <c r="P245" s="110">
        <v>32</v>
      </c>
      <c r="Q245" s="110">
        <v>31.7</v>
      </c>
      <c r="R245">
        <v>52944</v>
      </c>
    </row>
    <row r="246" spans="1:18" x14ac:dyDescent="0.25">
      <c r="A246" s="134">
        <v>42361</v>
      </c>
      <c r="B246" s="110">
        <v>32.1</v>
      </c>
      <c r="C246" s="110">
        <v>31.85</v>
      </c>
      <c r="D246" s="110">
        <v>31.65</v>
      </c>
      <c r="E246" s="110">
        <v>32.1</v>
      </c>
      <c r="F246" s="110">
        <v>31.85</v>
      </c>
      <c r="G246">
        <v>14356</v>
      </c>
      <c r="H246" s="110"/>
      <c r="I246" s="110"/>
      <c r="L246" s="134">
        <v>42361</v>
      </c>
      <c r="M246" s="110">
        <v>31.75</v>
      </c>
      <c r="N246" s="110">
        <v>32.049999999999997</v>
      </c>
      <c r="O246" s="110">
        <v>31.5</v>
      </c>
      <c r="P246" s="110">
        <v>31.8</v>
      </c>
      <c r="Q246" s="110">
        <v>31.75</v>
      </c>
      <c r="R246">
        <v>34821</v>
      </c>
    </row>
    <row r="247" spans="1:18" x14ac:dyDescent="0.25">
      <c r="A247" s="134">
        <v>42362</v>
      </c>
      <c r="B247" s="110">
        <v>33.200000000000003</v>
      </c>
      <c r="C247" s="110">
        <v>32.700000000000003</v>
      </c>
      <c r="D247" s="110">
        <v>31.75</v>
      </c>
      <c r="E247" s="110">
        <v>31.8</v>
      </c>
      <c r="F247" s="110">
        <v>32.700000000000003</v>
      </c>
      <c r="G247">
        <v>15954</v>
      </c>
      <c r="H247" s="110"/>
      <c r="I247" s="110"/>
      <c r="L247" s="134">
        <v>42362</v>
      </c>
      <c r="M247" s="110">
        <v>32.4</v>
      </c>
      <c r="N247" s="110">
        <v>32.950000000000003</v>
      </c>
      <c r="O247" s="110">
        <v>31.65</v>
      </c>
      <c r="P247" s="110">
        <v>31.8</v>
      </c>
      <c r="Q247" s="110">
        <v>32.4</v>
      </c>
      <c r="R247">
        <v>103678</v>
      </c>
    </row>
    <row r="248" spans="1:18" x14ac:dyDescent="0.25">
      <c r="A248" s="134">
        <v>42366</v>
      </c>
      <c r="B248" s="110">
        <v>33.5</v>
      </c>
      <c r="C248" s="110">
        <v>32.4</v>
      </c>
      <c r="D248" s="110">
        <v>32.15</v>
      </c>
      <c r="E248" s="110">
        <v>33.35</v>
      </c>
      <c r="F248" s="110">
        <v>32.4</v>
      </c>
      <c r="G248">
        <v>59697</v>
      </c>
      <c r="H248" s="110"/>
      <c r="I248" s="110"/>
      <c r="L248" s="134">
        <v>42366</v>
      </c>
      <c r="M248" s="110">
        <v>32.549999999999997</v>
      </c>
      <c r="N248" s="110">
        <v>33.5</v>
      </c>
      <c r="O248" s="110">
        <v>32.200000000000003</v>
      </c>
      <c r="P248" s="110">
        <v>33</v>
      </c>
      <c r="Q248" s="110">
        <v>32.549999999999997</v>
      </c>
      <c r="R248">
        <v>312781</v>
      </c>
    </row>
    <row r="249" spans="1:18" x14ac:dyDescent="0.25">
      <c r="A249" s="134">
        <v>42367</v>
      </c>
      <c r="B249" s="110">
        <v>32.799999999999997</v>
      </c>
      <c r="C249" s="110">
        <v>32.200000000000003</v>
      </c>
      <c r="D249" s="110">
        <v>32.1</v>
      </c>
      <c r="E249" s="110">
        <v>32.5</v>
      </c>
      <c r="F249" s="110">
        <v>32.200000000000003</v>
      </c>
      <c r="G249">
        <v>12951</v>
      </c>
      <c r="H249" s="110"/>
      <c r="I249" s="110"/>
      <c r="L249" s="134">
        <v>42367</v>
      </c>
      <c r="M249" s="110">
        <v>32.15</v>
      </c>
      <c r="N249" s="110">
        <v>32.75</v>
      </c>
      <c r="O249" s="110">
        <v>32</v>
      </c>
      <c r="P249" s="110">
        <v>32.4</v>
      </c>
      <c r="Q249" s="110">
        <v>32.15</v>
      </c>
      <c r="R249">
        <v>51326</v>
      </c>
    </row>
    <row r="250" spans="1:18" x14ac:dyDescent="0.25">
      <c r="A250" s="134">
        <v>42368</v>
      </c>
      <c r="B250" s="110">
        <v>32.35</v>
      </c>
      <c r="C250" s="110">
        <v>31.85</v>
      </c>
      <c r="D250" s="110">
        <v>31.8</v>
      </c>
      <c r="E250" s="110">
        <v>32.15</v>
      </c>
      <c r="F250" s="110">
        <v>31.85</v>
      </c>
      <c r="G250">
        <v>9490</v>
      </c>
      <c r="H250" s="110"/>
      <c r="I250" s="110"/>
      <c r="L250" s="134">
        <v>42368</v>
      </c>
      <c r="M250" s="110">
        <v>31.95</v>
      </c>
      <c r="N250" s="110">
        <v>32.4</v>
      </c>
      <c r="O250" s="110">
        <v>31.7</v>
      </c>
      <c r="P250" s="110">
        <v>32.1</v>
      </c>
      <c r="Q250" s="110">
        <v>31.95</v>
      </c>
      <c r="R250">
        <v>46319</v>
      </c>
    </row>
    <row r="251" spans="1:18" x14ac:dyDescent="0.25">
      <c r="A251" s="134">
        <v>42369</v>
      </c>
      <c r="B251" s="110">
        <v>32.049999999999997</v>
      </c>
      <c r="C251" s="110">
        <v>31.85</v>
      </c>
      <c r="D251" s="110">
        <v>31.6</v>
      </c>
      <c r="E251" s="110">
        <v>32</v>
      </c>
      <c r="F251" s="110">
        <v>31.85</v>
      </c>
      <c r="G251">
        <v>14891</v>
      </c>
      <c r="H251" s="110"/>
      <c r="I251" s="110"/>
      <c r="L251" s="134">
        <v>42369</v>
      </c>
      <c r="M251" s="110">
        <v>31.7</v>
      </c>
      <c r="N251" s="110">
        <v>32</v>
      </c>
      <c r="O251" s="110">
        <v>31.5</v>
      </c>
      <c r="P251" s="110">
        <v>31.95</v>
      </c>
      <c r="Q251" s="110">
        <v>31.7</v>
      </c>
      <c r="R251">
        <v>66498</v>
      </c>
    </row>
    <row r="252" spans="1:18" x14ac:dyDescent="0.25">
      <c r="A252" s="134">
        <v>42370</v>
      </c>
      <c r="B252" s="110">
        <v>32.450000000000003</v>
      </c>
      <c r="C252" s="110">
        <v>32.35</v>
      </c>
      <c r="D252" s="110">
        <v>31.8</v>
      </c>
      <c r="E252" s="110">
        <v>32</v>
      </c>
      <c r="F252" s="110">
        <v>32.35</v>
      </c>
      <c r="G252">
        <v>12602</v>
      </c>
      <c r="H252" s="110"/>
      <c r="I252" s="110"/>
      <c r="L252" s="134">
        <v>42370</v>
      </c>
      <c r="M252" s="110">
        <v>32.25</v>
      </c>
      <c r="N252" s="110">
        <v>32.35</v>
      </c>
      <c r="O252" s="110">
        <v>31.6</v>
      </c>
      <c r="P252" s="110">
        <v>31.75</v>
      </c>
      <c r="Q252" s="110">
        <v>32.25</v>
      </c>
      <c r="R252">
        <v>59597</v>
      </c>
    </row>
    <row r="253" spans="1:18" x14ac:dyDescent="0.25">
      <c r="A253" s="134">
        <v>42373</v>
      </c>
      <c r="B253" s="110">
        <v>32.5</v>
      </c>
      <c r="C253" s="110">
        <v>31.7</v>
      </c>
      <c r="D253" s="110">
        <v>31.6</v>
      </c>
      <c r="E253" s="110">
        <v>32.4</v>
      </c>
      <c r="F253" s="110">
        <v>31.7</v>
      </c>
      <c r="G253">
        <v>12060</v>
      </c>
      <c r="H253" s="110"/>
      <c r="I253" s="110"/>
      <c r="L253" s="134">
        <v>42373</v>
      </c>
      <c r="M253" s="110">
        <v>31.7</v>
      </c>
      <c r="N253" s="110">
        <v>32.450000000000003</v>
      </c>
      <c r="O253" s="110">
        <v>31.65</v>
      </c>
      <c r="P253" s="110">
        <v>32.25</v>
      </c>
      <c r="Q253" s="110">
        <v>31.7</v>
      </c>
      <c r="R253">
        <v>68117</v>
      </c>
    </row>
    <row r="254" spans="1:18" x14ac:dyDescent="0.25">
      <c r="A254" s="134">
        <v>42374</v>
      </c>
      <c r="B254" s="110">
        <v>32.4</v>
      </c>
      <c r="C254" s="110">
        <v>31.95</v>
      </c>
      <c r="D254" s="110">
        <v>31.75</v>
      </c>
      <c r="E254" s="110">
        <v>32.4</v>
      </c>
      <c r="F254" s="110">
        <v>31.95</v>
      </c>
      <c r="G254">
        <v>13606</v>
      </c>
      <c r="H254" s="110"/>
      <c r="I254" s="110"/>
      <c r="L254" s="134">
        <v>42374</v>
      </c>
      <c r="M254" s="110">
        <v>32.049999999999997</v>
      </c>
      <c r="N254" s="110">
        <v>32.25</v>
      </c>
      <c r="O254" s="110">
        <v>31.75</v>
      </c>
      <c r="P254" s="110">
        <v>31.95</v>
      </c>
      <c r="Q254" s="110">
        <v>32.049999999999997</v>
      </c>
      <c r="R254">
        <v>47338</v>
      </c>
    </row>
    <row r="255" spans="1:18" x14ac:dyDescent="0.25">
      <c r="A255" s="134">
        <v>42375</v>
      </c>
      <c r="B255" s="110">
        <v>32.200000000000003</v>
      </c>
      <c r="C255" s="110">
        <v>32</v>
      </c>
      <c r="D255" s="110">
        <v>31.8</v>
      </c>
      <c r="E255" s="110">
        <v>32</v>
      </c>
      <c r="F255" s="110">
        <v>32</v>
      </c>
      <c r="G255">
        <v>8492</v>
      </c>
      <c r="H255" s="110"/>
      <c r="I255" s="110"/>
      <c r="L255" s="134">
        <v>42375</v>
      </c>
      <c r="M255" s="110">
        <v>31.85</v>
      </c>
      <c r="N255" s="110">
        <v>32.200000000000003</v>
      </c>
      <c r="O255" s="110">
        <v>31.8</v>
      </c>
      <c r="P255" s="110">
        <v>32.049999999999997</v>
      </c>
      <c r="Q255" s="110">
        <v>31.85</v>
      </c>
      <c r="R255">
        <v>28269</v>
      </c>
    </row>
    <row r="256" spans="1:18" x14ac:dyDescent="0.25">
      <c r="A256" s="134">
        <v>42376</v>
      </c>
      <c r="B256" s="110">
        <v>31.7</v>
      </c>
      <c r="C256" s="110">
        <v>31.15</v>
      </c>
      <c r="D256" s="110">
        <v>31.1</v>
      </c>
      <c r="E256" s="110">
        <v>31.7</v>
      </c>
      <c r="F256" s="110">
        <v>31.15</v>
      </c>
      <c r="G256">
        <v>14376</v>
      </c>
      <c r="H256" s="110"/>
      <c r="I256" s="110"/>
      <c r="L256" s="134">
        <v>42376</v>
      </c>
      <c r="M256" s="110">
        <v>31.15</v>
      </c>
      <c r="N256" s="110">
        <v>32</v>
      </c>
      <c r="O256" s="110">
        <v>31.1</v>
      </c>
      <c r="P256" s="110">
        <v>31.75</v>
      </c>
      <c r="Q256" s="110">
        <v>31.15</v>
      </c>
      <c r="R256">
        <v>77835</v>
      </c>
    </row>
    <row r="257" spans="1:18" x14ac:dyDescent="0.25">
      <c r="A257" s="134">
        <v>42377</v>
      </c>
      <c r="B257" s="110">
        <v>31.85</v>
      </c>
      <c r="C257" s="110">
        <v>31.5</v>
      </c>
      <c r="D257" s="110">
        <v>31.15</v>
      </c>
      <c r="E257" s="110">
        <v>31.15</v>
      </c>
      <c r="F257" s="110">
        <v>31.5</v>
      </c>
      <c r="G257">
        <v>28568</v>
      </c>
      <c r="H257" s="110"/>
      <c r="I257" s="110"/>
      <c r="L257" s="134">
        <v>42377</v>
      </c>
      <c r="M257" s="110">
        <v>31.45</v>
      </c>
      <c r="N257" s="110">
        <v>31.7</v>
      </c>
      <c r="O257" s="110">
        <v>31.2</v>
      </c>
      <c r="P257" s="110">
        <v>31.45</v>
      </c>
      <c r="Q257" s="110">
        <v>31.45</v>
      </c>
      <c r="R257">
        <v>63296</v>
      </c>
    </row>
    <row r="258" spans="1:18" x14ac:dyDescent="0.25">
      <c r="A258" s="134">
        <v>42380</v>
      </c>
      <c r="B258" s="110">
        <v>32</v>
      </c>
      <c r="C258" s="110">
        <v>31.3</v>
      </c>
      <c r="D258" s="110">
        <v>31.15</v>
      </c>
      <c r="E258" s="110">
        <v>32</v>
      </c>
      <c r="F258" s="110">
        <v>31.3</v>
      </c>
      <c r="G258">
        <v>16772</v>
      </c>
      <c r="H258" s="110"/>
      <c r="I258" s="110"/>
      <c r="L258" s="134">
        <v>42380</v>
      </c>
      <c r="M258" s="110">
        <v>31.35</v>
      </c>
      <c r="N258" s="110">
        <v>31.45</v>
      </c>
      <c r="O258" s="110">
        <v>31.1</v>
      </c>
      <c r="P258" s="110">
        <v>31.35</v>
      </c>
      <c r="Q258" s="110">
        <v>31.35</v>
      </c>
      <c r="R258">
        <v>44490</v>
      </c>
    </row>
    <row r="259" spans="1:18" x14ac:dyDescent="0.25">
      <c r="A259" s="134">
        <v>42381</v>
      </c>
      <c r="B259" s="110">
        <v>31.4</v>
      </c>
      <c r="C259" s="110">
        <v>30.8</v>
      </c>
      <c r="D259" s="110">
        <v>30.7</v>
      </c>
      <c r="E259" s="110">
        <v>31.4</v>
      </c>
      <c r="F259" s="110">
        <v>30.8</v>
      </c>
      <c r="G259">
        <v>13471</v>
      </c>
      <c r="H259" s="110"/>
      <c r="I259" s="110"/>
      <c r="L259" s="134">
        <v>42381</v>
      </c>
      <c r="M259" s="110">
        <v>30.75</v>
      </c>
      <c r="N259" s="110">
        <v>31.55</v>
      </c>
      <c r="O259" s="110">
        <v>30.6</v>
      </c>
      <c r="P259" s="110">
        <v>31.5</v>
      </c>
      <c r="Q259" s="110">
        <v>30.75</v>
      </c>
      <c r="R259">
        <v>67010</v>
      </c>
    </row>
    <row r="260" spans="1:18" x14ac:dyDescent="0.25">
      <c r="A260" s="134">
        <v>42382</v>
      </c>
      <c r="B260" s="110">
        <v>31.4</v>
      </c>
      <c r="C260" s="110">
        <v>30.5</v>
      </c>
      <c r="D260" s="110">
        <v>30.2</v>
      </c>
      <c r="E260" s="110">
        <v>31.3</v>
      </c>
      <c r="F260" s="110">
        <v>30.5</v>
      </c>
      <c r="G260">
        <v>37514</v>
      </c>
      <c r="H260" s="110"/>
      <c r="I260" s="110"/>
      <c r="L260" s="134">
        <v>42382</v>
      </c>
      <c r="M260" s="110">
        <v>30.2</v>
      </c>
      <c r="N260" s="110">
        <v>31.25</v>
      </c>
      <c r="O260" s="110">
        <v>30.1</v>
      </c>
      <c r="P260" s="110">
        <v>31.05</v>
      </c>
      <c r="Q260" s="110">
        <v>30.2</v>
      </c>
      <c r="R260">
        <v>105969</v>
      </c>
    </row>
    <row r="261" spans="1:18" x14ac:dyDescent="0.25">
      <c r="A261" s="134">
        <v>42383</v>
      </c>
      <c r="B261" s="110">
        <v>30.4</v>
      </c>
      <c r="C261" s="110">
        <v>30.1</v>
      </c>
      <c r="D261" s="110">
        <v>29.6</v>
      </c>
      <c r="E261" s="110">
        <v>30</v>
      </c>
      <c r="F261" s="110">
        <v>30.1</v>
      </c>
      <c r="G261">
        <v>29883</v>
      </c>
      <c r="H261" s="110"/>
      <c r="I261" s="110"/>
      <c r="L261" s="134">
        <v>42383</v>
      </c>
      <c r="M261" s="110">
        <v>30.1</v>
      </c>
      <c r="N261" s="110">
        <v>30.45</v>
      </c>
      <c r="O261" s="110">
        <v>29.7</v>
      </c>
      <c r="P261" s="110">
        <v>30</v>
      </c>
      <c r="Q261" s="110">
        <v>30.1</v>
      </c>
      <c r="R261">
        <v>74683</v>
      </c>
    </row>
    <row r="262" spans="1:18" x14ac:dyDescent="0.25">
      <c r="A262" s="134">
        <v>42384</v>
      </c>
      <c r="B262" s="110">
        <v>30.35</v>
      </c>
      <c r="C262" s="110">
        <v>29.55</v>
      </c>
      <c r="D262" s="110">
        <v>29.3</v>
      </c>
      <c r="E262" s="110">
        <v>30.35</v>
      </c>
      <c r="F262" s="110">
        <v>29.55</v>
      </c>
      <c r="G262">
        <v>20450</v>
      </c>
      <c r="H262" s="110"/>
      <c r="I262" s="110"/>
      <c r="L262" s="134">
        <v>42384</v>
      </c>
      <c r="M262" s="110">
        <v>29.5</v>
      </c>
      <c r="N262" s="110">
        <v>30.35</v>
      </c>
      <c r="O262" s="110">
        <v>29.25</v>
      </c>
      <c r="P262" s="110">
        <v>30.35</v>
      </c>
      <c r="Q262" s="110">
        <v>29.5</v>
      </c>
      <c r="R262">
        <v>59547</v>
      </c>
    </row>
    <row r="263" spans="1:18" x14ac:dyDescent="0.25">
      <c r="A263" s="134">
        <v>42387</v>
      </c>
      <c r="B263" s="110">
        <v>30.9</v>
      </c>
      <c r="C263" s="110">
        <v>28.75</v>
      </c>
      <c r="D263" s="110">
        <v>28.4</v>
      </c>
      <c r="E263" s="110">
        <v>30.9</v>
      </c>
      <c r="F263" s="110">
        <v>28.75</v>
      </c>
      <c r="G263">
        <v>35132</v>
      </c>
      <c r="H263" s="110"/>
      <c r="I263" s="110"/>
      <c r="L263" s="134">
        <v>42387</v>
      </c>
      <c r="M263" s="110">
        <v>28.7</v>
      </c>
      <c r="N263" s="110">
        <v>29.95</v>
      </c>
      <c r="O263" s="110">
        <v>28.25</v>
      </c>
      <c r="P263" s="110">
        <v>29.95</v>
      </c>
      <c r="Q263" s="110">
        <v>28.7</v>
      </c>
      <c r="R263">
        <v>99946</v>
      </c>
    </row>
    <row r="264" spans="1:18" x14ac:dyDescent="0.25">
      <c r="A264" s="134">
        <v>42388</v>
      </c>
      <c r="B264" s="110">
        <v>29.1</v>
      </c>
      <c r="C264" s="110">
        <v>28.95</v>
      </c>
      <c r="D264" s="110">
        <v>28.55</v>
      </c>
      <c r="E264" s="110">
        <v>28.95</v>
      </c>
      <c r="F264" s="110">
        <v>28.95</v>
      </c>
      <c r="G264">
        <v>23550</v>
      </c>
      <c r="H264" s="110"/>
      <c r="I264" s="110"/>
      <c r="L264" s="134">
        <v>42388</v>
      </c>
      <c r="M264" s="110">
        <v>28.9</v>
      </c>
      <c r="N264" s="110">
        <v>29.05</v>
      </c>
      <c r="O264" s="110">
        <v>28.5</v>
      </c>
      <c r="P264" s="110">
        <v>28.9</v>
      </c>
      <c r="Q264" s="110">
        <v>28.9</v>
      </c>
      <c r="R264">
        <v>48856</v>
      </c>
    </row>
    <row r="265" spans="1:18" x14ac:dyDescent="0.25">
      <c r="A265" s="134">
        <v>42389</v>
      </c>
      <c r="B265" s="110">
        <v>28.85</v>
      </c>
      <c r="C265" s="110">
        <v>28.1</v>
      </c>
      <c r="D265" s="110">
        <v>27.95</v>
      </c>
      <c r="E265" s="110">
        <v>28.4</v>
      </c>
      <c r="F265" s="110">
        <v>28.1</v>
      </c>
      <c r="G265">
        <v>38495</v>
      </c>
      <c r="H265" s="110"/>
      <c r="I265" s="110"/>
      <c r="L265" s="134">
        <v>42389</v>
      </c>
      <c r="M265" s="110">
        <v>28.2</v>
      </c>
      <c r="N265" s="110">
        <v>28.9</v>
      </c>
      <c r="O265" s="110">
        <v>28</v>
      </c>
      <c r="P265" s="110">
        <v>28.9</v>
      </c>
      <c r="Q265" s="110">
        <v>28.2</v>
      </c>
      <c r="R265">
        <v>74510</v>
      </c>
    </row>
    <row r="266" spans="1:18" x14ac:dyDescent="0.25">
      <c r="A266" s="134">
        <v>42390</v>
      </c>
      <c r="B266" s="110">
        <v>29.45</v>
      </c>
      <c r="C266" s="110">
        <v>28.45</v>
      </c>
      <c r="D266" s="110">
        <v>28</v>
      </c>
      <c r="E266" s="110">
        <v>29.45</v>
      </c>
      <c r="F266" s="110">
        <v>28.45</v>
      </c>
      <c r="G266">
        <v>14516</v>
      </c>
      <c r="H266" s="110"/>
      <c r="I266" s="110"/>
      <c r="L266" s="134">
        <v>42390</v>
      </c>
      <c r="M266" s="110">
        <v>28.3</v>
      </c>
      <c r="N266" s="110">
        <v>29</v>
      </c>
      <c r="O266" s="110">
        <v>28.1</v>
      </c>
      <c r="P266" s="110">
        <v>28.85</v>
      </c>
      <c r="Q266" s="110">
        <v>28.3</v>
      </c>
      <c r="R266">
        <v>73491</v>
      </c>
    </row>
    <row r="267" spans="1:18" x14ac:dyDescent="0.25">
      <c r="A267" s="134">
        <v>42391</v>
      </c>
      <c r="B267" s="110">
        <v>29.45</v>
      </c>
      <c r="C267" s="110">
        <v>28.8</v>
      </c>
      <c r="D267" s="110">
        <v>28.3</v>
      </c>
      <c r="E267" s="110">
        <v>28.7</v>
      </c>
      <c r="F267" s="110">
        <v>28.8</v>
      </c>
      <c r="G267">
        <v>20194</v>
      </c>
      <c r="H267" s="110"/>
      <c r="I267" s="110"/>
      <c r="L267" s="134">
        <v>42391</v>
      </c>
      <c r="M267" s="110">
        <v>28.7</v>
      </c>
      <c r="N267" s="110">
        <v>28.95</v>
      </c>
      <c r="O267" s="110">
        <v>28.3</v>
      </c>
      <c r="P267" s="110">
        <v>28.95</v>
      </c>
      <c r="Q267" s="110">
        <v>28.7</v>
      </c>
      <c r="R267">
        <v>84425</v>
      </c>
    </row>
    <row r="268" spans="1:18" x14ac:dyDescent="0.25">
      <c r="A268" s="134">
        <v>42394</v>
      </c>
      <c r="B268" s="110">
        <v>30</v>
      </c>
      <c r="C268" s="110">
        <v>29.15</v>
      </c>
      <c r="D268" s="110">
        <v>28.9</v>
      </c>
      <c r="E268" s="110">
        <v>30</v>
      </c>
      <c r="F268" s="110">
        <v>29.15</v>
      </c>
      <c r="G268">
        <v>11706</v>
      </c>
      <c r="H268" s="110"/>
      <c r="I268" s="110"/>
      <c r="L268" s="134">
        <v>42394</v>
      </c>
      <c r="M268" s="110">
        <v>29.25</v>
      </c>
      <c r="N268" s="110">
        <v>29.5</v>
      </c>
      <c r="O268" s="110">
        <v>28.8</v>
      </c>
      <c r="P268" s="110">
        <v>29.5</v>
      </c>
      <c r="Q268" s="110">
        <v>29.25</v>
      </c>
      <c r="R268">
        <v>29075</v>
      </c>
    </row>
    <row r="269" spans="1:18" x14ac:dyDescent="0.25">
      <c r="A269" s="134">
        <v>42396</v>
      </c>
      <c r="B269" s="110">
        <v>30.2</v>
      </c>
      <c r="C269" s="110">
        <v>29.95</v>
      </c>
      <c r="D269" s="110">
        <v>29.45</v>
      </c>
      <c r="E269" s="110">
        <v>29.75</v>
      </c>
      <c r="F269" s="110">
        <v>29.95</v>
      </c>
      <c r="G269">
        <v>21082</v>
      </c>
      <c r="H269" s="110"/>
      <c r="I269" s="110"/>
      <c r="L269" s="134">
        <v>42396</v>
      </c>
      <c r="M269" s="110">
        <v>29.75</v>
      </c>
      <c r="N269" s="110">
        <v>29.9</v>
      </c>
      <c r="O269" s="110">
        <v>29.35</v>
      </c>
      <c r="P269" s="110">
        <v>29.9</v>
      </c>
      <c r="Q269" s="110">
        <v>29.75</v>
      </c>
      <c r="R269">
        <v>77724</v>
      </c>
    </row>
    <row r="270" spans="1:18" x14ac:dyDescent="0.25">
      <c r="A270" s="134">
        <v>42397</v>
      </c>
      <c r="B270" s="110">
        <v>30.2</v>
      </c>
      <c r="C270" s="110">
        <v>30.1</v>
      </c>
      <c r="D270" s="110">
        <v>29</v>
      </c>
      <c r="E270" s="110">
        <v>29</v>
      </c>
      <c r="F270" s="110">
        <v>30.1</v>
      </c>
      <c r="G270">
        <v>12125</v>
      </c>
      <c r="H270" s="110"/>
      <c r="I270" s="110"/>
      <c r="L270" s="134">
        <v>42397</v>
      </c>
      <c r="M270" s="110">
        <v>29.95</v>
      </c>
      <c r="N270" s="110">
        <v>30.4</v>
      </c>
      <c r="O270" s="110">
        <v>29.6</v>
      </c>
      <c r="P270" s="110">
        <v>30.05</v>
      </c>
      <c r="Q270" s="110">
        <v>29.95</v>
      </c>
      <c r="R270">
        <v>35054</v>
      </c>
    </row>
    <row r="271" spans="1:18" x14ac:dyDescent="0.25">
      <c r="A271" s="134">
        <v>42398</v>
      </c>
      <c r="B271" s="110">
        <v>29.85</v>
      </c>
      <c r="C271" s="110">
        <v>29.75</v>
      </c>
      <c r="D271" s="110">
        <v>29.4</v>
      </c>
      <c r="E271" s="110">
        <v>29.75</v>
      </c>
      <c r="F271" s="110">
        <v>29.75</v>
      </c>
      <c r="G271">
        <v>17982</v>
      </c>
      <c r="H271" s="110"/>
      <c r="I271" s="110"/>
      <c r="L271" s="134">
        <v>42398</v>
      </c>
      <c r="M271" s="110">
        <v>29.7</v>
      </c>
      <c r="N271" s="110">
        <v>30.15</v>
      </c>
      <c r="O271" s="110">
        <v>29.25</v>
      </c>
      <c r="P271" s="110">
        <v>30.15</v>
      </c>
      <c r="Q271" s="110">
        <v>29.7</v>
      </c>
      <c r="R271">
        <v>32847</v>
      </c>
    </row>
    <row r="272" spans="1:18" x14ac:dyDescent="0.25">
      <c r="A272" s="134">
        <v>42401</v>
      </c>
      <c r="B272" s="110">
        <v>29.8</v>
      </c>
      <c r="C272" s="110">
        <v>29.65</v>
      </c>
      <c r="D272" s="110">
        <v>29.5</v>
      </c>
      <c r="E272" s="110">
        <v>29.7</v>
      </c>
      <c r="F272" s="110">
        <v>29.65</v>
      </c>
      <c r="G272">
        <v>7383</v>
      </c>
      <c r="H272" s="110"/>
      <c r="I272" s="110"/>
      <c r="L272" s="134">
        <v>42401</v>
      </c>
      <c r="M272" s="110">
        <v>29.65</v>
      </c>
      <c r="N272" s="110">
        <v>30</v>
      </c>
      <c r="O272" s="110">
        <v>29.45</v>
      </c>
      <c r="P272" s="110">
        <v>30</v>
      </c>
      <c r="Q272" s="110">
        <v>29.65</v>
      </c>
      <c r="R272">
        <v>27205</v>
      </c>
    </row>
    <row r="273" spans="1:18" x14ac:dyDescent="0.25">
      <c r="A273" s="134">
        <v>42402</v>
      </c>
      <c r="B273" s="110">
        <v>30.4</v>
      </c>
      <c r="C273" s="110">
        <v>29.65</v>
      </c>
      <c r="D273" s="110">
        <v>29.25</v>
      </c>
      <c r="E273" s="110">
        <v>29.75</v>
      </c>
      <c r="F273" s="110">
        <v>29.65</v>
      </c>
      <c r="G273">
        <v>19598</v>
      </c>
      <c r="H273" s="110"/>
      <c r="I273" s="110"/>
      <c r="L273" s="134">
        <v>42402</v>
      </c>
      <c r="M273" s="110">
        <v>29.65</v>
      </c>
      <c r="N273" s="110">
        <v>30.3</v>
      </c>
      <c r="O273" s="110">
        <v>29.4</v>
      </c>
      <c r="P273" s="110">
        <v>29.95</v>
      </c>
      <c r="Q273" s="110">
        <v>29.65</v>
      </c>
      <c r="R273">
        <v>45263</v>
      </c>
    </row>
    <row r="274" spans="1:18" x14ac:dyDescent="0.25">
      <c r="A274" s="134">
        <v>42403</v>
      </c>
      <c r="B274" s="110">
        <v>29.9</v>
      </c>
      <c r="C274" s="110">
        <v>28.85</v>
      </c>
      <c r="D274" s="110">
        <v>28.5</v>
      </c>
      <c r="E274" s="110">
        <v>29.9</v>
      </c>
      <c r="F274" s="110">
        <v>28.85</v>
      </c>
      <c r="G274">
        <v>8785</v>
      </c>
      <c r="H274" s="110"/>
      <c r="I274" s="110"/>
      <c r="L274" s="134">
        <v>42403</v>
      </c>
      <c r="M274" s="110">
        <v>28.75</v>
      </c>
      <c r="N274" s="110">
        <v>29.35</v>
      </c>
      <c r="O274" s="110">
        <v>28.4</v>
      </c>
      <c r="P274" s="110">
        <v>29.35</v>
      </c>
      <c r="Q274" s="110">
        <v>28.75</v>
      </c>
      <c r="R274">
        <v>44067</v>
      </c>
    </row>
    <row r="275" spans="1:18" x14ac:dyDescent="0.25">
      <c r="A275" s="134">
        <v>42404</v>
      </c>
      <c r="B275" s="110">
        <v>29.1</v>
      </c>
      <c r="C275" s="110">
        <v>28.35</v>
      </c>
      <c r="D275" s="110">
        <v>28</v>
      </c>
      <c r="E275" s="110">
        <v>28.9</v>
      </c>
      <c r="F275" s="110">
        <v>28.35</v>
      </c>
      <c r="G275">
        <v>16814</v>
      </c>
      <c r="H275" s="110"/>
      <c r="I275" s="110"/>
      <c r="L275" s="134">
        <v>42404</v>
      </c>
      <c r="M275" s="110">
        <v>28.5</v>
      </c>
      <c r="N275" s="110">
        <v>29.05</v>
      </c>
      <c r="O275" s="110">
        <v>28.25</v>
      </c>
      <c r="P275" s="110">
        <v>28.9</v>
      </c>
      <c r="Q275" s="110">
        <v>28.5</v>
      </c>
      <c r="R275">
        <v>41468</v>
      </c>
    </row>
    <row r="276" spans="1:18" x14ac:dyDescent="0.25">
      <c r="A276" s="134">
        <v>42405</v>
      </c>
      <c r="B276" s="110">
        <v>30.2</v>
      </c>
      <c r="C276" s="110">
        <v>29.9</v>
      </c>
      <c r="D276" s="110">
        <v>28.25</v>
      </c>
      <c r="E276" s="110">
        <v>28.6</v>
      </c>
      <c r="F276" s="110">
        <v>29.9</v>
      </c>
      <c r="G276">
        <v>21910</v>
      </c>
      <c r="H276" s="110"/>
      <c r="I276" s="110"/>
      <c r="L276" s="134">
        <v>42405</v>
      </c>
      <c r="M276" s="110">
        <v>29.85</v>
      </c>
      <c r="N276" s="110">
        <v>30.3</v>
      </c>
      <c r="O276" s="110">
        <v>28.25</v>
      </c>
      <c r="P276" s="110">
        <v>28.4</v>
      </c>
      <c r="Q276" s="110">
        <v>29.85</v>
      </c>
      <c r="R276">
        <v>120718</v>
      </c>
    </row>
    <row r="277" spans="1:18" x14ac:dyDescent="0.25">
      <c r="A277" s="134">
        <v>42408</v>
      </c>
      <c r="B277" s="110">
        <v>30.5</v>
      </c>
      <c r="C277" s="110">
        <v>30</v>
      </c>
      <c r="D277" s="110">
        <v>29.75</v>
      </c>
      <c r="E277" s="110">
        <v>30.5</v>
      </c>
      <c r="F277" s="110">
        <v>30</v>
      </c>
      <c r="G277">
        <v>25406</v>
      </c>
      <c r="H277" s="110"/>
      <c r="I277" s="110"/>
      <c r="L277" s="134">
        <v>42408</v>
      </c>
      <c r="M277" s="110">
        <v>29.85</v>
      </c>
      <c r="N277" s="110">
        <v>30.55</v>
      </c>
      <c r="O277" s="110">
        <v>29.7</v>
      </c>
      <c r="P277" s="110">
        <v>30</v>
      </c>
      <c r="Q277" s="110">
        <v>29.85</v>
      </c>
      <c r="R277">
        <v>73166</v>
      </c>
    </row>
    <row r="278" spans="1:18" x14ac:dyDescent="0.25">
      <c r="A278" s="134">
        <v>42409</v>
      </c>
      <c r="B278" s="110">
        <v>29.75</v>
      </c>
      <c r="C278" s="110">
        <v>29.3</v>
      </c>
      <c r="D278" s="110">
        <v>29.15</v>
      </c>
      <c r="E278" s="110">
        <v>29.5</v>
      </c>
      <c r="F278" s="110">
        <v>29.3</v>
      </c>
      <c r="G278">
        <v>6786</v>
      </c>
      <c r="H278" s="110"/>
      <c r="I278" s="110"/>
      <c r="L278" s="134">
        <v>42409</v>
      </c>
      <c r="M278" s="110">
        <v>29.5</v>
      </c>
      <c r="N278" s="110">
        <v>29.75</v>
      </c>
      <c r="O278" s="110">
        <v>29.15</v>
      </c>
      <c r="P278" s="110">
        <v>29.4</v>
      </c>
      <c r="Q278" s="110">
        <v>29.5</v>
      </c>
      <c r="R278">
        <v>49012</v>
      </c>
    </row>
    <row r="279" spans="1:18" x14ac:dyDescent="0.25">
      <c r="A279" s="134">
        <v>42410</v>
      </c>
      <c r="B279" s="110">
        <v>33.450000000000003</v>
      </c>
      <c r="C279" s="110">
        <v>31.85</v>
      </c>
      <c r="D279" s="110">
        <v>28.1</v>
      </c>
      <c r="E279" s="110">
        <v>28.8</v>
      </c>
      <c r="F279" s="110">
        <v>31.85</v>
      </c>
      <c r="G279">
        <v>429281</v>
      </c>
      <c r="H279" s="110"/>
      <c r="I279" s="110"/>
      <c r="L279" s="134">
        <v>42410</v>
      </c>
      <c r="M279" s="110">
        <v>31.9</v>
      </c>
      <c r="N279" s="110">
        <v>33.450000000000003</v>
      </c>
      <c r="O279" s="110">
        <v>28</v>
      </c>
      <c r="P279" s="110">
        <v>29.05</v>
      </c>
      <c r="Q279" s="110">
        <v>31.9</v>
      </c>
      <c r="R279">
        <v>3348323</v>
      </c>
    </row>
    <row r="280" spans="1:18" x14ac:dyDescent="0.25">
      <c r="A280" s="134">
        <v>42411</v>
      </c>
      <c r="B280" s="110">
        <v>31.7</v>
      </c>
      <c r="C280" s="110">
        <v>29.45</v>
      </c>
      <c r="D280" s="110">
        <v>29.1</v>
      </c>
      <c r="E280" s="110">
        <v>31.7</v>
      </c>
      <c r="F280" s="110">
        <v>29.45</v>
      </c>
      <c r="G280">
        <v>67321</v>
      </c>
      <c r="H280" s="110"/>
      <c r="I280" s="110"/>
      <c r="L280" s="134">
        <v>42411</v>
      </c>
      <c r="M280" s="110">
        <v>29.35</v>
      </c>
      <c r="N280" s="110">
        <v>31.5</v>
      </c>
      <c r="O280" s="110">
        <v>29</v>
      </c>
      <c r="P280" s="110">
        <v>31.5</v>
      </c>
      <c r="Q280" s="110">
        <v>29.35</v>
      </c>
      <c r="R280">
        <v>573858</v>
      </c>
    </row>
    <row r="281" spans="1:18" x14ac:dyDescent="0.25">
      <c r="A281" s="134">
        <v>42412</v>
      </c>
      <c r="B281" s="110">
        <v>30</v>
      </c>
      <c r="C281" s="110">
        <v>28.4</v>
      </c>
      <c r="D281" s="110">
        <v>26.75</v>
      </c>
      <c r="E281" s="110">
        <v>29.4</v>
      </c>
      <c r="F281" s="110">
        <v>28.4</v>
      </c>
      <c r="G281">
        <v>91399</v>
      </c>
      <c r="H281" s="110"/>
      <c r="I281" s="110"/>
      <c r="L281" s="134">
        <v>42412</v>
      </c>
      <c r="M281" s="110">
        <v>28.2</v>
      </c>
      <c r="N281" s="110">
        <v>29.95</v>
      </c>
      <c r="O281" s="110">
        <v>26.05</v>
      </c>
      <c r="P281" s="110">
        <v>29.95</v>
      </c>
      <c r="Q281" s="110">
        <v>28.2</v>
      </c>
      <c r="R281">
        <v>351372</v>
      </c>
    </row>
    <row r="282" spans="1:18" x14ac:dyDescent="0.25">
      <c r="A282" s="134">
        <v>42415</v>
      </c>
      <c r="B282" s="110">
        <v>30.7</v>
      </c>
      <c r="C282" s="110">
        <v>30.1</v>
      </c>
      <c r="D282" s="110">
        <v>28.95</v>
      </c>
      <c r="E282" s="110">
        <v>29</v>
      </c>
      <c r="F282" s="110">
        <v>30.1</v>
      </c>
      <c r="G282">
        <v>76370</v>
      </c>
      <c r="H282" s="110"/>
      <c r="I282" s="110"/>
      <c r="L282" s="134">
        <v>42415</v>
      </c>
      <c r="M282" s="110">
        <v>29.95</v>
      </c>
      <c r="N282" s="110">
        <v>30.55</v>
      </c>
      <c r="O282" s="110">
        <v>28.3</v>
      </c>
      <c r="P282" s="110">
        <v>28.5</v>
      </c>
      <c r="Q282" s="110">
        <v>29.95</v>
      </c>
      <c r="R282">
        <v>242870</v>
      </c>
    </row>
    <row r="283" spans="1:18" x14ac:dyDescent="0.25">
      <c r="A283" s="134">
        <v>42416</v>
      </c>
      <c r="B283" s="110">
        <v>30.4</v>
      </c>
      <c r="C283" s="110">
        <v>28.75</v>
      </c>
      <c r="D283" s="110">
        <v>27.2</v>
      </c>
      <c r="E283" s="110">
        <v>30.35</v>
      </c>
      <c r="F283" s="110">
        <v>28.75</v>
      </c>
      <c r="G283">
        <v>36734</v>
      </c>
      <c r="H283" s="110"/>
      <c r="I283" s="110"/>
      <c r="L283" s="134">
        <v>42416</v>
      </c>
      <c r="M283" s="110">
        <v>28.95</v>
      </c>
      <c r="N283" s="110">
        <v>31.25</v>
      </c>
      <c r="O283" s="110">
        <v>28.5</v>
      </c>
      <c r="P283" s="110">
        <v>30.3</v>
      </c>
      <c r="Q283" s="110">
        <v>28.95</v>
      </c>
      <c r="R283">
        <v>120530</v>
      </c>
    </row>
    <row r="284" spans="1:18" x14ac:dyDescent="0.25">
      <c r="A284" s="134">
        <v>42417</v>
      </c>
      <c r="B284" s="110">
        <v>29.5</v>
      </c>
      <c r="C284" s="110">
        <v>28.95</v>
      </c>
      <c r="D284" s="110">
        <v>27.8</v>
      </c>
      <c r="E284" s="110">
        <v>28.9</v>
      </c>
      <c r="F284" s="110">
        <v>28.95</v>
      </c>
      <c r="G284">
        <v>42588</v>
      </c>
      <c r="H284" s="110"/>
      <c r="I284" s="110"/>
      <c r="L284" s="134">
        <v>42417</v>
      </c>
      <c r="M284" s="110">
        <v>29</v>
      </c>
      <c r="N284" s="110">
        <v>29.45</v>
      </c>
      <c r="O284" s="110">
        <v>27.85</v>
      </c>
      <c r="P284" s="110">
        <v>29.45</v>
      </c>
      <c r="Q284" s="110">
        <v>29</v>
      </c>
      <c r="R284">
        <v>140947</v>
      </c>
    </row>
    <row r="285" spans="1:18" x14ac:dyDescent="0.25">
      <c r="A285" s="134">
        <v>42418</v>
      </c>
      <c r="B285" s="110">
        <v>29.65</v>
      </c>
      <c r="C285" s="110">
        <v>28.7</v>
      </c>
      <c r="D285" s="110">
        <v>28.15</v>
      </c>
      <c r="E285" s="110">
        <v>29.25</v>
      </c>
      <c r="F285" s="110">
        <v>28.7</v>
      </c>
      <c r="G285">
        <v>17968</v>
      </c>
      <c r="H285" s="110"/>
      <c r="I285" s="110"/>
      <c r="L285" s="134">
        <v>42418</v>
      </c>
      <c r="M285" s="110">
        <v>28.55</v>
      </c>
      <c r="N285" s="110">
        <v>29.7</v>
      </c>
      <c r="O285" s="110">
        <v>28.05</v>
      </c>
      <c r="P285" s="110">
        <v>29.7</v>
      </c>
      <c r="Q285" s="110">
        <v>28.55</v>
      </c>
      <c r="R285">
        <v>101687</v>
      </c>
    </row>
    <row r="286" spans="1:18" x14ac:dyDescent="0.25">
      <c r="A286" s="134">
        <v>42419</v>
      </c>
      <c r="B286" s="110">
        <v>28.95</v>
      </c>
      <c r="C286" s="110">
        <v>28.75</v>
      </c>
      <c r="D286" s="110">
        <v>28.5</v>
      </c>
      <c r="E286" s="110">
        <v>28.5</v>
      </c>
      <c r="F286" s="110">
        <v>28.75</v>
      </c>
      <c r="G286">
        <v>17602</v>
      </c>
      <c r="H286" s="110"/>
      <c r="I286" s="110"/>
      <c r="L286" s="134">
        <v>42419</v>
      </c>
      <c r="M286" s="110">
        <v>28.75</v>
      </c>
      <c r="N286" s="110">
        <v>28.9</v>
      </c>
      <c r="O286" s="110">
        <v>28.2</v>
      </c>
      <c r="P286" s="110">
        <v>28.25</v>
      </c>
      <c r="Q286" s="110">
        <v>28.75</v>
      </c>
      <c r="R286">
        <v>70461</v>
      </c>
    </row>
    <row r="287" spans="1:18" x14ac:dyDescent="0.25">
      <c r="A287" s="134">
        <v>42422</v>
      </c>
      <c r="B287" s="110">
        <v>29.5</v>
      </c>
      <c r="C287" s="110">
        <v>29.35</v>
      </c>
      <c r="D287" s="110">
        <v>28.7</v>
      </c>
      <c r="E287" s="110">
        <v>28.8</v>
      </c>
      <c r="F287" s="110">
        <v>29.35</v>
      </c>
      <c r="G287">
        <v>18817</v>
      </c>
      <c r="H287" s="110"/>
      <c r="I287" s="110"/>
      <c r="L287" s="134">
        <v>42422</v>
      </c>
      <c r="M287" s="110">
        <v>29.2</v>
      </c>
      <c r="N287" s="110">
        <v>29.4</v>
      </c>
      <c r="O287" s="110">
        <v>28.55</v>
      </c>
      <c r="P287" s="110">
        <v>28.75</v>
      </c>
      <c r="Q287" s="110">
        <v>29.2</v>
      </c>
      <c r="R287">
        <v>87543</v>
      </c>
    </row>
    <row r="288" spans="1:18" x14ac:dyDescent="0.25">
      <c r="A288" s="134">
        <v>42423</v>
      </c>
      <c r="B288" s="110">
        <v>29.25</v>
      </c>
      <c r="C288" s="110">
        <v>28.65</v>
      </c>
      <c r="D288" s="110">
        <v>28.6</v>
      </c>
      <c r="E288" s="110">
        <v>29.2</v>
      </c>
      <c r="F288" s="110">
        <v>28.65</v>
      </c>
      <c r="G288">
        <v>16067</v>
      </c>
      <c r="H288" s="110"/>
      <c r="I288" s="110"/>
      <c r="L288" s="134">
        <v>42423</v>
      </c>
      <c r="M288" s="110">
        <v>28.7</v>
      </c>
      <c r="N288" s="110">
        <v>29.45</v>
      </c>
      <c r="O288" s="110">
        <v>28.55</v>
      </c>
      <c r="P288" s="110">
        <v>29.45</v>
      </c>
      <c r="Q288" s="110">
        <v>28.7</v>
      </c>
      <c r="R288">
        <v>83794</v>
      </c>
    </row>
    <row r="289" spans="1:18" x14ac:dyDescent="0.25">
      <c r="A289" s="134">
        <v>42424</v>
      </c>
      <c r="B289" s="110">
        <v>29</v>
      </c>
      <c r="C289" s="110">
        <v>28.85</v>
      </c>
      <c r="D289" s="110">
        <v>28.4</v>
      </c>
      <c r="E289" s="110">
        <v>28.5</v>
      </c>
      <c r="F289" s="110">
        <v>28.85</v>
      </c>
      <c r="G289">
        <v>15427</v>
      </c>
      <c r="H289" s="110"/>
      <c r="I289" s="110"/>
      <c r="L289" s="134">
        <v>42424</v>
      </c>
      <c r="M289" s="110">
        <v>28.75</v>
      </c>
      <c r="N289" s="110">
        <v>29</v>
      </c>
      <c r="O289" s="110">
        <v>28.1</v>
      </c>
      <c r="P289" s="110">
        <v>28.7</v>
      </c>
      <c r="Q289" s="110">
        <v>28.75</v>
      </c>
      <c r="R289">
        <v>40021</v>
      </c>
    </row>
    <row r="290" spans="1:18" x14ac:dyDescent="0.25">
      <c r="A290" s="134">
        <v>42425</v>
      </c>
      <c r="B290" s="110">
        <v>29.1</v>
      </c>
      <c r="C290" s="110">
        <v>28.9</v>
      </c>
      <c r="D290" s="110">
        <v>28.5</v>
      </c>
      <c r="E290" s="110">
        <v>29</v>
      </c>
      <c r="F290" s="110">
        <v>28.9</v>
      </c>
      <c r="G290">
        <v>44019</v>
      </c>
      <c r="H290" s="110"/>
      <c r="I290" s="110"/>
      <c r="L290" s="134">
        <v>42425</v>
      </c>
      <c r="M290" s="110">
        <v>28.7</v>
      </c>
      <c r="N290" s="110">
        <v>29.15</v>
      </c>
      <c r="O290" s="110">
        <v>28.4</v>
      </c>
      <c r="P290" s="110">
        <v>28.75</v>
      </c>
      <c r="Q290" s="110">
        <v>28.7</v>
      </c>
      <c r="R290">
        <v>67188</v>
      </c>
    </row>
    <row r="291" spans="1:18" x14ac:dyDescent="0.25">
      <c r="A291" s="134">
        <v>42426</v>
      </c>
      <c r="B291" s="110">
        <v>29.5</v>
      </c>
      <c r="C291" s="110">
        <v>28.45</v>
      </c>
      <c r="D291" s="110">
        <v>28.25</v>
      </c>
      <c r="E291" s="110">
        <v>29.5</v>
      </c>
      <c r="F291" s="110">
        <v>28.45</v>
      </c>
      <c r="G291">
        <v>14702</v>
      </c>
      <c r="H291" s="110"/>
      <c r="I291" s="110"/>
      <c r="L291" s="134">
        <v>42426</v>
      </c>
      <c r="M291" s="110">
        <v>28.35</v>
      </c>
      <c r="N291" s="110">
        <v>29.2</v>
      </c>
      <c r="O291" s="110">
        <v>28.2</v>
      </c>
      <c r="P291" s="110">
        <v>28.55</v>
      </c>
      <c r="Q291" s="110">
        <v>28.35</v>
      </c>
      <c r="R291">
        <v>70827</v>
      </c>
    </row>
    <row r="292" spans="1:18" x14ac:dyDescent="0.25">
      <c r="A292" s="134">
        <v>42429</v>
      </c>
      <c r="B292" s="110">
        <v>29.4</v>
      </c>
      <c r="C292" s="110">
        <v>28.9</v>
      </c>
      <c r="D292" s="110">
        <v>28.5</v>
      </c>
      <c r="E292" s="110">
        <v>28.9</v>
      </c>
      <c r="F292" s="110">
        <v>28.9</v>
      </c>
      <c r="G292">
        <v>77793</v>
      </c>
      <c r="H292" s="110"/>
      <c r="I292" s="110"/>
      <c r="L292" s="134">
        <v>42429</v>
      </c>
      <c r="M292" s="110">
        <v>28.7</v>
      </c>
      <c r="N292" s="110">
        <v>29.35</v>
      </c>
      <c r="O292" s="110">
        <v>28.4</v>
      </c>
      <c r="P292" s="110">
        <v>28.65</v>
      </c>
      <c r="Q292" s="110">
        <v>28.7</v>
      </c>
      <c r="R292">
        <v>173886</v>
      </c>
    </row>
    <row r="293" spans="1:18" x14ac:dyDescent="0.25">
      <c r="A293" s="134">
        <v>42430</v>
      </c>
      <c r="B293" s="110">
        <v>29.9</v>
      </c>
      <c r="C293" s="110">
        <v>29.1</v>
      </c>
      <c r="D293" s="110">
        <v>28.55</v>
      </c>
      <c r="E293" s="110">
        <v>28.65</v>
      </c>
      <c r="F293" s="110">
        <v>29.1</v>
      </c>
      <c r="G293">
        <v>29725</v>
      </c>
      <c r="H293" s="110"/>
      <c r="I293" s="110"/>
      <c r="L293" s="134">
        <v>42430</v>
      </c>
      <c r="M293" s="110">
        <v>28.95</v>
      </c>
      <c r="N293" s="110">
        <v>29.5</v>
      </c>
      <c r="O293" s="110">
        <v>28.75</v>
      </c>
      <c r="P293" s="110">
        <v>29.2</v>
      </c>
      <c r="Q293" s="110">
        <v>28.95</v>
      </c>
      <c r="R293">
        <v>120953</v>
      </c>
    </row>
    <row r="294" spans="1:18" x14ac:dyDescent="0.25">
      <c r="A294" s="134">
        <v>42431</v>
      </c>
      <c r="B294" s="110">
        <v>30.85</v>
      </c>
      <c r="C294" s="110">
        <v>30.2</v>
      </c>
      <c r="D294" s="110">
        <v>29.15</v>
      </c>
      <c r="E294" s="110">
        <v>29.15</v>
      </c>
      <c r="F294" s="110">
        <v>30.2</v>
      </c>
      <c r="G294">
        <v>77948</v>
      </c>
      <c r="H294" s="110"/>
      <c r="I294" s="110"/>
      <c r="L294" s="134">
        <v>42431</v>
      </c>
      <c r="M294" s="110">
        <v>30.15</v>
      </c>
      <c r="N294" s="110">
        <v>30.85</v>
      </c>
      <c r="O294" s="110">
        <v>29.5</v>
      </c>
      <c r="P294" s="110">
        <v>29.5</v>
      </c>
      <c r="Q294" s="110">
        <v>30.15</v>
      </c>
      <c r="R294">
        <v>440928</v>
      </c>
    </row>
    <row r="295" spans="1:18" x14ac:dyDescent="0.25">
      <c r="A295" s="134">
        <v>42432</v>
      </c>
      <c r="B295" s="110">
        <v>30.25</v>
      </c>
      <c r="C295" s="110">
        <v>29.75</v>
      </c>
      <c r="D295" s="110">
        <v>29.15</v>
      </c>
      <c r="E295" s="110">
        <v>29.15</v>
      </c>
      <c r="F295" s="110">
        <v>29.75</v>
      </c>
      <c r="G295">
        <v>42493</v>
      </c>
      <c r="H295" s="110"/>
      <c r="I295" s="110"/>
      <c r="L295" s="134">
        <v>42432</v>
      </c>
      <c r="M295" s="110">
        <v>29.65</v>
      </c>
      <c r="N295" s="110">
        <v>30.55</v>
      </c>
      <c r="O295" s="110">
        <v>29.25</v>
      </c>
      <c r="P295" s="110">
        <v>30.55</v>
      </c>
      <c r="Q295" s="110">
        <v>29.65</v>
      </c>
      <c r="R295">
        <v>284005</v>
      </c>
    </row>
    <row r="296" spans="1:18" x14ac:dyDescent="0.25">
      <c r="A296" s="134">
        <v>42433</v>
      </c>
      <c r="B296" s="110">
        <v>30.5</v>
      </c>
      <c r="C296" s="110">
        <v>29.95</v>
      </c>
      <c r="D296" s="110">
        <v>29.4</v>
      </c>
      <c r="E296" s="110">
        <v>29.95</v>
      </c>
      <c r="F296" s="110">
        <v>29.95</v>
      </c>
      <c r="G296">
        <v>80944</v>
      </c>
      <c r="H296" s="110"/>
      <c r="I296" s="110"/>
      <c r="L296" s="134">
        <v>42433</v>
      </c>
      <c r="M296" s="110">
        <v>29.9</v>
      </c>
      <c r="N296" s="110">
        <v>30.45</v>
      </c>
      <c r="O296" s="110">
        <v>29.3</v>
      </c>
      <c r="P296" s="110">
        <v>29.45</v>
      </c>
      <c r="Q296" s="110">
        <v>29.9</v>
      </c>
      <c r="R296">
        <v>328900</v>
      </c>
    </row>
    <row r="297" spans="1:18" x14ac:dyDescent="0.25">
      <c r="A297" s="134">
        <v>42437</v>
      </c>
      <c r="B297" s="110">
        <v>30.3</v>
      </c>
      <c r="C297" s="110">
        <v>29.65</v>
      </c>
      <c r="D297" s="110">
        <v>29.55</v>
      </c>
      <c r="E297" s="110">
        <v>30</v>
      </c>
      <c r="F297" s="110">
        <v>29.65</v>
      </c>
      <c r="G297">
        <v>24294</v>
      </c>
      <c r="H297" s="110"/>
      <c r="I297" s="110"/>
      <c r="L297" s="134">
        <v>42437</v>
      </c>
      <c r="M297" s="110">
        <v>29.6</v>
      </c>
      <c r="N297" s="110">
        <v>30.3</v>
      </c>
      <c r="O297" s="110">
        <v>29.5</v>
      </c>
      <c r="P297" s="110">
        <v>30.3</v>
      </c>
      <c r="Q297" s="110">
        <v>29.6</v>
      </c>
      <c r="R297">
        <v>248650</v>
      </c>
    </row>
    <row r="298" spans="1:18" x14ac:dyDescent="0.25">
      <c r="A298" s="134">
        <v>42438</v>
      </c>
      <c r="B298" s="110">
        <v>29.5</v>
      </c>
      <c r="C298" s="110">
        <v>29.15</v>
      </c>
      <c r="D298" s="110">
        <v>28.85</v>
      </c>
      <c r="E298" s="110">
        <v>29.5</v>
      </c>
      <c r="F298" s="110">
        <v>29.15</v>
      </c>
      <c r="G298">
        <v>23765</v>
      </c>
      <c r="H298" s="110"/>
      <c r="I298" s="110"/>
      <c r="L298" s="134">
        <v>42438</v>
      </c>
      <c r="M298" s="110">
        <v>29.3</v>
      </c>
      <c r="N298" s="110">
        <v>29.6</v>
      </c>
      <c r="O298" s="110">
        <v>29.2</v>
      </c>
      <c r="P298" s="110">
        <v>29.6</v>
      </c>
      <c r="Q298" s="110">
        <v>29.3</v>
      </c>
      <c r="R298">
        <v>123302</v>
      </c>
    </row>
    <row r="299" spans="1:18" x14ac:dyDescent="0.25">
      <c r="A299" s="134">
        <v>42439</v>
      </c>
      <c r="B299" s="110">
        <v>29.6</v>
      </c>
      <c r="C299" s="110">
        <v>29.25</v>
      </c>
      <c r="D299" s="110">
        <v>29.2</v>
      </c>
      <c r="E299" s="110">
        <v>29.55</v>
      </c>
      <c r="F299" s="110">
        <v>29.25</v>
      </c>
      <c r="G299">
        <v>14492</v>
      </c>
      <c r="H299" s="110"/>
      <c r="I299" s="110"/>
      <c r="L299" s="134">
        <v>42439</v>
      </c>
      <c r="M299" s="110">
        <v>29.25</v>
      </c>
      <c r="N299" s="110">
        <v>29.85</v>
      </c>
      <c r="O299" s="110">
        <v>29.1</v>
      </c>
      <c r="P299" s="110">
        <v>29.85</v>
      </c>
      <c r="Q299" s="110">
        <v>29.25</v>
      </c>
      <c r="R299">
        <v>55526</v>
      </c>
    </row>
    <row r="300" spans="1:18" x14ac:dyDescent="0.25">
      <c r="A300" s="134">
        <v>42440</v>
      </c>
      <c r="B300" s="110">
        <v>29.4</v>
      </c>
      <c r="C300" s="110">
        <v>28.8</v>
      </c>
      <c r="D300" s="110">
        <v>28.75</v>
      </c>
      <c r="E300" s="110">
        <v>29.2</v>
      </c>
      <c r="F300" s="110">
        <v>28.8</v>
      </c>
      <c r="G300">
        <v>16063</v>
      </c>
      <c r="H300" s="110"/>
      <c r="I300" s="110"/>
      <c r="L300" s="134">
        <v>42440</v>
      </c>
      <c r="M300" s="110">
        <v>28.85</v>
      </c>
      <c r="N300" s="110">
        <v>29.5</v>
      </c>
      <c r="O300" s="110">
        <v>28.8</v>
      </c>
      <c r="P300" s="110">
        <v>29.5</v>
      </c>
      <c r="Q300" s="110">
        <v>28.85</v>
      </c>
      <c r="R300">
        <v>63985</v>
      </c>
    </row>
    <row r="301" spans="1:18" x14ac:dyDescent="0.25">
      <c r="A301" s="134">
        <v>42443</v>
      </c>
      <c r="B301" s="110">
        <v>29.7</v>
      </c>
      <c r="C301" s="110">
        <v>29</v>
      </c>
      <c r="D301" s="110">
        <v>28.8</v>
      </c>
      <c r="E301" s="110">
        <v>28.8</v>
      </c>
      <c r="F301" s="110">
        <v>29</v>
      </c>
      <c r="G301">
        <v>17539</v>
      </c>
      <c r="H301" s="110"/>
      <c r="I301" s="110"/>
      <c r="L301" s="134">
        <v>42443</v>
      </c>
      <c r="M301" s="110">
        <v>29</v>
      </c>
      <c r="N301" s="110">
        <v>29.7</v>
      </c>
      <c r="O301" s="110">
        <v>28.55</v>
      </c>
      <c r="P301" s="110">
        <v>29.6</v>
      </c>
      <c r="Q301" s="110">
        <v>29</v>
      </c>
      <c r="R301">
        <v>62512</v>
      </c>
    </row>
    <row r="302" spans="1:18" x14ac:dyDescent="0.25">
      <c r="A302" s="134">
        <v>42444</v>
      </c>
      <c r="B302" s="110">
        <v>29.3</v>
      </c>
      <c r="C302" s="110">
        <v>29.2</v>
      </c>
      <c r="D302" s="110">
        <v>28.95</v>
      </c>
      <c r="E302" s="110">
        <v>29</v>
      </c>
      <c r="F302" s="110">
        <v>29.2</v>
      </c>
      <c r="G302">
        <v>11805</v>
      </c>
      <c r="H302" s="110"/>
      <c r="I302" s="110"/>
      <c r="L302" s="134">
        <v>42444</v>
      </c>
      <c r="M302" s="110">
        <v>29.15</v>
      </c>
      <c r="N302" s="110">
        <v>29.45</v>
      </c>
      <c r="O302" s="110">
        <v>28.9</v>
      </c>
      <c r="P302" s="110">
        <v>29.3</v>
      </c>
      <c r="Q302" s="110">
        <v>29.15</v>
      </c>
      <c r="R302">
        <v>68903</v>
      </c>
    </row>
    <row r="303" spans="1:18" x14ac:dyDescent="0.25">
      <c r="A303" s="134">
        <v>42445</v>
      </c>
      <c r="B303" s="110">
        <v>29.4</v>
      </c>
      <c r="C303" s="110">
        <v>29</v>
      </c>
      <c r="D303" s="110">
        <v>28.7</v>
      </c>
      <c r="E303" s="110">
        <v>29</v>
      </c>
      <c r="F303" s="110">
        <v>29</v>
      </c>
      <c r="G303">
        <v>15687</v>
      </c>
      <c r="H303" s="110"/>
      <c r="I303" s="110"/>
      <c r="L303" s="134">
        <v>42445</v>
      </c>
      <c r="M303" s="110">
        <v>28.85</v>
      </c>
      <c r="N303" s="110">
        <v>29.45</v>
      </c>
      <c r="O303" s="110">
        <v>28.6</v>
      </c>
      <c r="P303" s="110">
        <v>29.45</v>
      </c>
      <c r="Q303" s="110">
        <v>28.85</v>
      </c>
      <c r="R303">
        <v>93215</v>
      </c>
    </row>
    <row r="304" spans="1:18" x14ac:dyDescent="0.25">
      <c r="A304" s="134">
        <v>42446</v>
      </c>
      <c r="B304" s="110">
        <v>29.25</v>
      </c>
      <c r="C304" s="110">
        <v>29.1</v>
      </c>
      <c r="D304" s="110">
        <v>28.9</v>
      </c>
      <c r="E304" s="110">
        <v>29.05</v>
      </c>
      <c r="F304" s="110">
        <v>29.1</v>
      </c>
      <c r="G304">
        <v>15865</v>
      </c>
      <c r="H304" s="110"/>
      <c r="I304" s="110"/>
      <c r="L304" s="134">
        <v>42446</v>
      </c>
      <c r="M304" s="110">
        <v>29.05</v>
      </c>
      <c r="N304" s="110">
        <v>29.4</v>
      </c>
      <c r="O304" s="110">
        <v>28.85</v>
      </c>
      <c r="P304" s="110">
        <v>29.4</v>
      </c>
      <c r="Q304" s="110">
        <v>29.05</v>
      </c>
      <c r="R304">
        <v>78683</v>
      </c>
    </row>
    <row r="305" spans="1:18" x14ac:dyDescent="0.25">
      <c r="A305" s="134">
        <v>42447</v>
      </c>
      <c r="B305" s="110">
        <v>29.2</v>
      </c>
      <c r="C305" s="110">
        <v>28.95</v>
      </c>
      <c r="D305" s="110">
        <v>28.8</v>
      </c>
      <c r="E305" s="110">
        <v>28.8</v>
      </c>
      <c r="F305" s="110">
        <v>28.95</v>
      </c>
      <c r="G305">
        <v>15160</v>
      </c>
      <c r="H305" s="110"/>
      <c r="I305" s="110"/>
      <c r="L305" s="134">
        <v>42447</v>
      </c>
      <c r="M305" s="110">
        <v>28.9</v>
      </c>
      <c r="N305" s="110">
        <v>29.2</v>
      </c>
      <c r="O305" s="110">
        <v>28.75</v>
      </c>
      <c r="P305" s="110">
        <v>28.95</v>
      </c>
      <c r="Q305" s="110">
        <v>28.9</v>
      </c>
      <c r="R305">
        <v>55856</v>
      </c>
    </row>
    <row r="306" spans="1:18" x14ac:dyDescent="0.25">
      <c r="A306" s="134">
        <v>42450</v>
      </c>
      <c r="B306" s="110">
        <v>29.6</v>
      </c>
      <c r="C306" s="110">
        <v>29.25</v>
      </c>
      <c r="D306" s="110">
        <v>29.1</v>
      </c>
      <c r="E306" s="110">
        <v>29.35</v>
      </c>
      <c r="F306" s="110">
        <v>29.25</v>
      </c>
      <c r="G306">
        <v>19130</v>
      </c>
      <c r="H306" s="110"/>
      <c r="I306" s="110"/>
      <c r="L306" s="134">
        <v>42450</v>
      </c>
      <c r="M306" s="110">
        <v>29.35</v>
      </c>
      <c r="N306" s="110">
        <v>29.6</v>
      </c>
      <c r="O306" s="110">
        <v>29.05</v>
      </c>
      <c r="P306" s="110">
        <v>29.4</v>
      </c>
      <c r="Q306" s="110">
        <v>29.35</v>
      </c>
      <c r="R306">
        <v>120730</v>
      </c>
    </row>
    <row r="307" spans="1:18" x14ac:dyDescent="0.25">
      <c r="A307" s="134">
        <v>42451</v>
      </c>
      <c r="B307" s="110">
        <v>29.45</v>
      </c>
      <c r="C307" s="110">
        <v>29.25</v>
      </c>
      <c r="D307" s="110">
        <v>29</v>
      </c>
      <c r="E307" s="110">
        <v>29.05</v>
      </c>
      <c r="F307" s="110">
        <v>29.25</v>
      </c>
      <c r="G307">
        <v>12197</v>
      </c>
      <c r="H307" s="110"/>
      <c r="I307" s="110"/>
      <c r="L307" s="134">
        <v>42451</v>
      </c>
      <c r="M307" s="110">
        <v>29.1</v>
      </c>
      <c r="N307" s="110">
        <v>29.75</v>
      </c>
      <c r="O307" s="110">
        <v>29</v>
      </c>
      <c r="P307" s="110">
        <v>29.5</v>
      </c>
      <c r="Q307" s="110">
        <v>29.1</v>
      </c>
      <c r="R307">
        <v>63479</v>
      </c>
    </row>
    <row r="308" spans="1:18" x14ac:dyDescent="0.25">
      <c r="A308" s="134">
        <v>42452</v>
      </c>
      <c r="B308" s="110">
        <v>29.3</v>
      </c>
      <c r="C308" s="110">
        <v>29.25</v>
      </c>
      <c r="D308" s="110">
        <v>29</v>
      </c>
      <c r="E308" s="110">
        <v>29</v>
      </c>
      <c r="F308" s="110">
        <v>29.25</v>
      </c>
      <c r="G308">
        <v>8488</v>
      </c>
      <c r="H308" s="110"/>
      <c r="I308" s="110"/>
      <c r="L308" s="134">
        <v>42452</v>
      </c>
      <c r="M308" s="110">
        <v>29.15</v>
      </c>
      <c r="N308" s="110">
        <v>29.4</v>
      </c>
      <c r="O308" s="110">
        <v>28.9</v>
      </c>
      <c r="P308" s="110">
        <v>29.4</v>
      </c>
      <c r="Q308" s="110">
        <v>29.15</v>
      </c>
      <c r="R308">
        <v>73877</v>
      </c>
    </row>
    <row r="309" spans="1:18" x14ac:dyDescent="0.25">
      <c r="A309" s="134">
        <v>42457</v>
      </c>
      <c r="B309" s="110">
        <v>29.35</v>
      </c>
      <c r="C309" s="110">
        <v>28.65</v>
      </c>
      <c r="D309" s="110">
        <v>28.5</v>
      </c>
      <c r="E309" s="110">
        <v>29.35</v>
      </c>
      <c r="F309" s="110">
        <v>28.65</v>
      </c>
      <c r="G309">
        <v>18438</v>
      </c>
      <c r="H309" s="110"/>
      <c r="I309" s="110"/>
      <c r="L309" s="134">
        <v>42457</v>
      </c>
      <c r="M309" s="110">
        <v>28.75</v>
      </c>
      <c r="N309" s="110">
        <v>29.5</v>
      </c>
      <c r="O309" s="110">
        <v>28.6</v>
      </c>
      <c r="P309" s="110">
        <v>29</v>
      </c>
      <c r="Q309" s="110">
        <v>28.75</v>
      </c>
      <c r="R309">
        <v>74258</v>
      </c>
    </row>
    <row r="310" spans="1:18" x14ac:dyDescent="0.25">
      <c r="A310" s="134">
        <v>42458</v>
      </c>
      <c r="B310" s="110">
        <v>29</v>
      </c>
      <c r="C310" s="110">
        <v>28.45</v>
      </c>
      <c r="D310" s="110">
        <v>28.4</v>
      </c>
      <c r="E310" s="110">
        <v>28.4</v>
      </c>
      <c r="F310" s="110">
        <v>28.45</v>
      </c>
      <c r="G310">
        <v>29129</v>
      </c>
      <c r="H310" s="110"/>
      <c r="I310" s="110"/>
      <c r="L310" s="134">
        <v>42458</v>
      </c>
      <c r="M310" s="110">
        <v>28.55</v>
      </c>
      <c r="N310" s="110">
        <v>29</v>
      </c>
      <c r="O310" s="110">
        <v>28.5</v>
      </c>
      <c r="P310" s="110">
        <v>28.65</v>
      </c>
      <c r="Q310" s="110">
        <v>28.55</v>
      </c>
      <c r="R310">
        <v>74980</v>
      </c>
    </row>
    <row r="311" spans="1:18" x14ac:dyDescent="0.25">
      <c r="A311" s="134">
        <v>42459</v>
      </c>
      <c r="B311" s="110">
        <v>29.05</v>
      </c>
      <c r="C311" s="110">
        <v>28.95</v>
      </c>
      <c r="D311" s="110">
        <v>28.65</v>
      </c>
      <c r="E311" s="110">
        <v>29.05</v>
      </c>
      <c r="F311" s="110">
        <v>28.95</v>
      </c>
      <c r="G311">
        <v>11023</v>
      </c>
      <c r="H311" s="110"/>
      <c r="I311" s="110"/>
      <c r="L311" s="134">
        <v>42459</v>
      </c>
      <c r="M311" s="110">
        <v>28.9</v>
      </c>
      <c r="N311" s="110">
        <v>29.15</v>
      </c>
      <c r="O311" s="110">
        <v>28.65</v>
      </c>
      <c r="P311" s="110">
        <v>28.65</v>
      </c>
      <c r="Q311" s="110">
        <v>28.9</v>
      </c>
      <c r="R311">
        <v>69105</v>
      </c>
    </row>
    <row r="312" spans="1:18" x14ac:dyDescent="0.25">
      <c r="A312" s="134">
        <v>42460</v>
      </c>
      <c r="B312" s="110">
        <v>29.2</v>
      </c>
      <c r="C312" s="110">
        <v>29.1</v>
      </c>
      <c r="D312" s="110">
        <v>28.55</v>
      </c>
      <c r="E312" s="110">
        <v>28.55</v>
      </c>
      <c r="F312" s="110">
        <v>29.1</v>
      </c>
      <c r="G312">
        <v>12957</v>
      </c>
      <c r="H312" s="110"/>
      <c r="I312" s="110"/>
      <c r="L312" s="134">
        <v>42460</v>
      </c>
      <c r="M312" s="110">
        <v>28.95</v>
      </c>
      <c r="N312" s="110">
        <v>29.25</v>
      </c>
      <c r="O312" s="110">
        <v>28.8</v>
      </c>
      <c r="P312" s="110">
        <v>29.25</v>
      </c>
      <c r="Q312" s="110">
        <v>28.95</v>
      </c>
      <c r="R312">
        <v>67076</v>
      </c>
    </row>
    <row r="313" spans="1:18" x14ac:dyDescent="0.25">
      <c r="A313" s="134">
        <v>42461</v>
      </c>
      <c r="B313" s="110">
        <v>29.65</v>
      </c>
      <c r="C313" s="110">
        <v>29.55</v>
      </c>
      <c r="D313" s="110">
        <v>28.75</v>
      </c>
      <c r="E313" s="110">
        <v>29.1</v>
      </c>
      <c r="F313" s="110">
        <v>29.55</v>
      </c>
      <c r="G313">
        <v>18142</v>
      </c>
      <c r="H313" s="110"/>
      <c r="I313" s="110"/>
      <c r="L313" s="134">
        <v>42461</v>
      </c>
      <c r="M313" s="110">
        <v>29.65</v>
      </c>
      <c r="N313" s="110">
        <v>29.8</v>
      </c>
      <c r="O313" s="110">
        <v>28.95</v>
      </c>
      <c r="P313" s="110">
        <v>29.1</v>
      </c>
      <c r="Q313" s="110">
        <v>29.65</v>
      </c>
      <c r="R313">
        <v>114511</v>
      </c>
    </row>
    <row r="314" spans="1:18" x14ac:dyDescent="0.25">
      <c r="A314" s="134">
        <v>42464</v>
      </c>
      <c r="B314" s="110">
        <v>30.1</v>
      </c>
      <c r="C314" s="110">
        <v>30</v>
      </c>
      <c r="D314" s="110">
        <v>29.5</v>
      </c>
      <c r="E314" s="110">
        <v>29.95</v>
      </c>
      <c r="F314" s="110">
        <v>30</v>
      </c>
      <c r="G314">
        <v>27171</v>
      </c>
      <c r="H314" s="110"/>
      <c r="I314" s="110"/>
      <c r="L314" s="134">
        <v>42464</v>
      </c>
      <c r="M314" s="110">
        <v>30</v>
      </c>
      <c r="N314" s="110">
        <v>30.1</v>
      </c>
      <c r="O314" s="110">
        <v>29.65</v>
      </c>
      <c r="P314" s="110">
        <v>29.7</v>
      </c>
      <c r="Q314" s="110">
        <v>30</v>
      </c>
      <c r="R314">
        <v>108691</v>
      </c>
    </row>
    <row r="315" spans="1:18" x14ac:dyDescent="0.25">
      <c r="A315" s="134">
        <v>42465</v>
      </c>
      <c r="B315" s="110">
        <v>30.85</v>
      </c>
      <c r="C315" s="110">
        <v>29.7</v>
      </c>
      <c r="D315" s="110">
        <v>29.5</v>
      </c>
      <c r="E315" s="110">
        <v>30.1</v>
      </c>
      <c r="F315" s="110">
        <v>29.7</v>
      </c>
      <c r="G315">
        <v>35719</v>
      </c>
      <c r="H315" s="110"/>
      <c r="I315" s="110"/>
      <c r="L315" s="134">
        <v>42465</v>
      </c>
      <c r="M315" s="110">
        <v>29.75</v>
      </c>
      <c r="N315" s="110">
        <v>30.75</v>
      </c>
      <c r="O315" s="110">
        <v>29.4</v>
      </c>
      <c r="P315" s="110">
        <v>29.4</v>
      </c>
      <c r="Q315" s="110">
        <v>29.75</v>
      </c>
      <c r="R315">
        <v>161740</v>
      </c>
    </row>
    <row r="316" spans="1:18" x14ac:dyDescent="0.25">
      <c r="A316" s="134">
        <v>42466</v>
      </c>
      <c r="B316" s="110">
        <v>29.85</v>
      </c>
      <c r="C316" s="110">
        <v>29.35</v>
      </c>
      <c r="D316" s="110">
        <v>29.2</v>
      </c>
      <c r="E316" s="110">
        <v>29.85</v>
      </c>
      <c r="F316" s="110">
        <v>29.35</v>
      </c>
      <c r="G316">
        <v>20017</v>
      </c>
      <c r="H316" s="110"/>
      <c r="I316" s="110"/>
      <c r="L316" s="134">
        <v>42466</v>
      </c>
      <c r="M316" s="110">
        <v>29.4</v>
      </c>
      <c r="N316" s="110">
        <v>29.85</v>
      </c>
      <c r="O316" s="110">
        <v>29.25</v>
      </c>
      <c r="P316" s="110">
        <v>29.75</v>
      </c>
      <c r="Q316" s="110">
        <v>29.4</v>
      </c>
      <c r="R316">
        <v>40600</v>
      </c>
    </row>
    <row r="317" spans="1:18" x14ac:dyDescent="0.25">
      <c r="A317" s="134">
        <v>42467</v>
      </c>
      <c r="B317" s="110">
        <v>29.8</v>
      </c>
      <c r="C317" s="110">
        <v>29.45</v>
      </c>
      <c r="D317" s="110">
        <v>29.35</v>
      </c>
      <c r="E317" s="110">
        <v>29.65</v>
      </c>
      <c r="F317" s="110">
        <v>29.45</v>
      </c>
      <c r="G317">
        <v>5763</v>
      </c>
      <c r="H317" s="110"/>
      <c r="I317" s="110"/>
      <c r="L317" s="134">
        <v>42467</v>
      </c>
      <c r="M317" s="110">
        <v>29.35</v>
      </c>
      <c r="N317" s="110">
        <v>29.85</v>
      </c>
      <c r="O317" s="110">
        <v>29.25</v>
      </c>
      <c r="P317" s="110">
        <v>29.85</v>
      </c>
      <c r="Q317" s="110">
        <v>29.35</v>
      </c>
      <c r="R317">
        <v>45872</v>
      </c>
    </row>
    <row r="318" spans="1:18" x14ac:dyDescent="0.25">
      <c r="A318" s="134">
        <v>42468</v>
      </c>
      <c r="B318" s="110">
        <v>29.5</v>
      </c>
      <c r="C318" s="110">
        <v>29.3</v>
      </c>
      <c r="D318" s="110">
        <v>29.1</v>
      </c>
      <c r="E318" s="110">
        <v>29.2</v>
      </c>
      <c r="F318" s="110">
        <v>29.3</v>
      </c>
      <c r="G318">
        <v>11335</v>
      </c>
      <c r="H318" s="110"/>
      <c r="I318" s="110"/>
      <c r="L318" s="134">
        <v>42468</v>
      </c>
      <c r="M318" s="110">
        <v>29.2</v>
      </c>
      <c r="N318" s="110">
        <v>29.5</v>
      </c>
      <c r="O318" s="110">
        <v>29.1</v>
      </c>
      <c r="P318" s="110">
        <v>29.35</v>
      </c>
      <c r="Q318" s="110">
        <v>29.2</v>
      </c>
      <c r="R318">
        <v>65714</v>
      </c>
    </row>
    <row r="319" spans="1:18" x14ac:dyDescent="0.25">
      <c r="A319" s="134">
        <v>42471</v>
      </c>
      <c r="B319" s="110">
        <v>29.75</v>
      </c>
      <c r="C319" s="110">
        <v>29.65</v>
      </c>
      <c r="D319" s="110">
        <v>29.2</v>
      </c>
      <c r="E319" s="110">
        <v>29.5</v>
      </c>
      <c r="F319" s="110">
        <v>29.65</v>
      </c>
      <c r="G319">
        <v>5944</v>
      </c>
      <c r="H319" s="110"/>
      <c r="I319" s="110"/>
      <c r="L319" s="134">
        <v>42471</v>
      </c>
      <c r="M319" s="110">
        <v>29.6</v>
      </c>
      <c r="N319" s="110">
        <v>29.95</v>
      </c>
      <c r="O319" s="110">
        <v>29.1</v>
      </c>
      <c r="P319" s="110">
        <v>29.55</v>
      </c>
      <c r="Q319" s="110">
        <v>29.6</v>
      </c>
      <c r="R319">
        <v>59584</v>
      </c>
    </row>
    <row r="320" spans="1:18" x14ac:dyDescent="0.25">
      <c r="A320" s="134">
        <v>42472</v>
      </c>
      <c r="B320" s="110">
        <v>29.85</v>
      </c>
      <c r="C320" s="110">
        <v>29.45</v>
      </c>
      <c r="D320" s="110">
        <v>29.35</v>
      </c>
      <c r="E320" s="110">
        <v>29.85</v>
      </c>
      <c r="F320" s="110">
        <v>29.45</v>
      </c>
      <c r="G320">
        <v>9102</v>
      </c>
      <c r="H320" s="110"/>
      <c r="I320" s="110"/>
      <c r="L320" s="134">
        <v>42472</v>
      </c>
      <c r="M320" s="110">
        <v>29.55</v>
      </c>
      <c r="N320" s="110">
        <v>29.9</v>
      </c>
      <c r="O320" s="110">
        <v>29.4</v>
      </c>
      <c r="P320" s="110">
        <v>29.9</v>
      </c>
      <c r="Q320" s="110">
        <v>29.55</v>
      </c>
      <c r="R320">
        <v>40475</v>
      </c>
    </row>
    <row r="321" spans="1:18" x14ac:dyDescent="0.25">
      <c r="A321" s="134">
        <v>42473</v>
      </c>
      <c r="B321" s="110">
        <v>29.95</v>
      </c>
      <c r="C321" s="110">
        <v>29.7</v>
      </c>
      <c r="D321" s="110">
        <v>29.4</v>
      </c>
      <c r="E321" s="110">
        <v>29.65</v>
      </c>
      <c r="F321" s="110">
        <v>29.7</v>
      </c>
      <c r="G321">
        <v>34030</v>
      </c>
      <c r="H321" s="110"/>
      <c r="I321" s="110"/>
      <c r="L321" s="134">
        <v>42473</v>
      </c>
      <c r="M321" s="110">
        <v>29.4</v>
      </c>
      <c r="N321" s="110">
        <v>29.8</v>
      </c>
      <c r="O321" s="110">
        <v>29.15</v>
      </c>
      <c r="P321" s="110">
        <v>29.75</v>
      </c>
      <c r="Q321" s="110">
        <v>29.4</v>
      </c>
      <c r="R321">
        <v>145588</v>
      </c>
    </row>
    <row r="322" spans="1:18" x14ac:dyDescent="0.25">
      <c r="A322" s="134">
        <v>42478</v>
      </c>
      <c r="B322" s="110">
        <v>29.5</v>
      </c>
      <c r="C322" s="110">
        <v>29.35</v>
      </c>
      <c r="D322" s="110">
        <v>29.1</v>
      </c>
      <c r="E322" s="110">
        <v>29.4</v>
      </c>
      <c r="F322" s="110">
        <v>29.35</v>
      </c>
      <c r="G322">
        <v>11057</v>
      </c>
      <c r="H322" s="110"/>
      <c r="I322" s="110"/>
      <c r="L322" s="134">
        <v>42478</v>
      </c>
      <c r="M322" s="110">
        <v>29.25</v>
      </c>
      <c r="N322" s="110">
        <v>29.85</v>
      </c>
      <c r="O322" s="110">
        <v>29.2</v>
      </c>
      <c r="P322" s="110">
        <v>29.3</v>
      </c>
      <c r="Q322" s="110">
        <v>29.25</v>
      </c>
      <c r="R322">
        <v>59539</v>
      </c>
    </row>
    <row r="323" spans="1:18" x14ac:dyDescent="0.25">
      <c r="A323" s="134">
        <v>42480</v>
      </c>
      <c r="B323" s="110">
        <v>29.65</v>
      </c>
      <c r="C323" s="110">
        <v>29.5</v>
      </c>
      <c r="D323" s="110">
        <v>29.1</v>
      </c>
      <c r="E323" s="110">
        <v>29.25</v>
      </c>
      <c r="F323" s="110">
        <v>29.5</v>
      </c>
      <c r="G323">
        <v>16582</v>
      </c>
      <c r="H323" s="110"/>
      <c r="I323" s="110"/>
      <c r="L323" s="134">
        <v>42480</v>
      </c>
      <c r="M323" s="110">
        <v>29.45</v>
      </c>
      <c r="N323" s="110">
        <v>29.6</v>
      </c>
      <c r="O323" s="110">
        <v>29.1</v>
      </c>
      <c r="P323" s="110">
        <v>29.1</v>
      </c>
      <c r="Q323" s="110">
        <v>29.45</v>
      </c>
      <c r="R323">
        <v>70646</v>
      </c>
    </row>
    <row r="324" spans="1:18" x14ac:dyDescent="0.25">
      <c r="A324" s="134">
        <v>42481</v>
      </c>
      <c r="B324" s="110">
        <v>30.25</v>
      </c>
      <c r="C324" s="110">
        <v>29.95</v>
      </c>
      <c r="D324" s="110">
        <v>29.65</v>
      </c>
      <c r="E324" s="110">
        <v>29.75</v>
      </c>
      <c r="F324" s="110">
        <v>29.95</v>
      </c>
      <c r="G324">
        <v>33250</v>
      </c>
      <c r="H324" s="110"/>
      <c r="I324" s="110"/>
      <c r="L324" s="134">
        <v>42481</v>
      </c>
      <c r="M324" s="110">
        <v>30</v>
      </c>
      <c r="N324" s="110">
        <v>30.3</v>
      </c>
      <c r="O324" s="110">
        <v>29.35</v>
      </c>
      <c r="P324" s="110">
        <v>29.35</v>
      </c>
      <c r="Q324" s="110">
        <v>30</v>
      </c>
      <c r="R324">
        <v>153362</v>
      </c>
    </row>
    <row r="325" spans="1:18" x14ac:dyDescent="0.25">
      <c r="A325" s="134">
        <v>42482</v>
      </c>
      <c r="B325" s="110">
        <v>30.7</v>
      </c>
      <c r="C325" s="110">
        <v>30.45</v>
      </c>
      <c r="D325" s="110">
        <v>29.6</v>
      </c>
      <c r="E325" s="110">
        <v>30.45</v>
      </c>
      <c r="F325" s="110">
        <v>30.45</v>
      </c>
      <c r="G325">
        <v>26739</v>
      </c>
      <c r="H325" s="110"/>
      <c r="I325" s="110"/>
      <c r="L325" s="134">
        <v>42482</v>
      </c>
      <c r="M325" s="110">
        <v>30.5</v>
      </c>
      <c r="N325" s="110">
        <v>30.85</v>
      </c>
      <c r="O325" s="110">
        <v>29.15</v>
      </c>
      <c r="P325" s="110">
        <v>30</v>
      </c>
      <c r="Q325" s="110">
        <v>30.5</v>
      </c>
      <c r="R325">
        <v>167630</v>
      </c>
    </row>
    <row r="326" spans="1:18" x14ac:dyDescent="0.25">
      <c r="A326" s="134">
        <v>42485</v>
      </c>
      <c r="B326" s="110">
        <v>31</v>
      </c>
      <c r="C326" s="110">
        <v>30.3</v>
      </c>
      <c r="D326" s="110">
        <v>30.1</v>
      </c>
      <c r="E326" s="110">
        <v>30.8</v>
      </c>
      <c r="F326" s="110">
        <v>30.3</v>
      </c>
      <c r="G326">
        <v>15980</v>
      </c>
      <c r="H326" s="110"/>
      <c r="I326" s="110"/>
      <c r="L326" s="134">
        <v>42485</v>
      </c>
      <c r="M326" s="110">
        <v>30.25</v>
      </c>
      <c r="N326" s="110">
        <v>30.9</v>
      </c>
      <c r="O326" s="110">
        <v>30.1</v>
      </c>
      <c r="P326" s="110">
        <v>30.9</v>
      </c>
      <c r="Q326" s="110">
        <v>30.25</v>
      </c>
      <c r="R326">
        <v>121494</v>
      </c>
    </row>
    <row r="327" spans="1:18" x14ac:dyDescent="0.25">
      <c r="A327" s="134">
        <v>42486</v>
      </c>
      <c r="B327" s="110">
        <v>30.35</v>
      </c>
      <c r="C327" s="110">
        <v>30.2</v>
      </c>
      <c r="D327" s="110">
        <v>30</v>
      </c>
      <c r="E327" s="110">
        <v>30.15</v>
      </c>
      <c r="F327" s="110">
        <v>30.2</v>
      </c>
      <c r="G327">
        <v>18712</v>
      </c>
      <c r="H327" s="110"/>
      <c r="I327" s="110"/>
      <c r="L327" s="134">
        <v>42486</v>
      </c>
      <c r="M327" s="110">
        <v>30.25</v>
      </c>
      <c r="N327" s="110">
        <v>30.5</v>
      </c>
      <c r="O327" s="110">
        <v>30</v>
      </c>
      <c r="P327" s="110">
        <v>30.25</v>
      </c>
      <c r="Q327" s="110">
        <v>30.25</v>
      </c>
      <c r="R327">
        <v>97943</v>
      </c>
    </row>
    <row r="328" spans="1:18" x14ac:dyDescent="0.25">
      <c r="A328" s="134">
        <v>42487</v>
      </c>
      <c r="B328" s="110">
        <v>30.5</v>
      </c>
      <c r="C328" s="110">
        <v>30.15</v>
      </c>
      <c r="D328" s="110">
        <v>30.05</v>
      </c>
      <c r="E328" s="110">
        <v>30.05</v>
      </c>
      <c r="F328" s="110">
        <v>30.15</v>
      </c>
      <c r="G328">
        <v>5241</v>
      </c>
      <c r="H328" s="110"/>
      <c r="I328" s="110"/>
      <c r="L328" s="134">
        <v>42487</v>
      </c>
      <c r="M328" s="110">
        <v>30.1</v>
      </c>
      <c r="N328" s="110">
        <v>30.5</v>
      </c>
      <c r="O328" s="110">
        <v>30</v>
      </c>
      <c r="P328" s="110">
        <v>30.5</v>
      </c>
      <c r="Q328" s="110">
        <v>30.1</v>
      </c>
      <c r="R328">
        <v>44327</v>
      </c>
    </row>
    <row r="329" spans="1:18" x14ac:dyDescent="0.25">
      <c r="A329" s="134">
        <v>42488</v>
      </c>
      <c r="B329" s="110">
        <v>30.15</v>
      </c>
      <c r="C329" s="110">
        <v>29.9</v>
      </c>
      <c r="D329" s="110">
        <v>29.75</v>
      </c>
      <c r="E329" s="110">
        <v>30.1</v>
      </c>
      <c r="F329" s="110">
        <v>29.9</v>
      </c>
      <c r="G329">
        <v>12175</v>
      </c>
      <c r="H329" s="110"/>
      <c r="I329" s="110"/>
      <c r="L329" s="134">
        <v>42488</v>
      </c>
      <c r="M329" s="110">
        <v>30</v>
      </c>
      <c r="N329" s="110">
        <v>30.25</v>
      </c>
      <c r="O329" s="110">
        <v>29.85</v>
      </c>
      <c r="P329" s="110">
        <v>30.15</v>
      </c>
      <c r="Q329" s="110">
        <v>30</v>
      </c>
      <c r="R329">
        <v>55560</v>
      </c>
    </row>
    <row r="330" spans="1:18" x14ac:dyDescent="0.25">
      <c r="A330" s="134">
        <v>42489</v>
      </c>
      <c r="B330" s="110">
        <v>30.15</v>
      </c>
      <c r="C330" s="110">
        <v>29.75</v>
      </c>
      <c r="D330" s="110">
        <v>29.25</v>
      </c>
      <c r="E330" s="110">
        <v>30</v>
      </c>
      <c r="F330" s="110">
        <v>29.75</v>
      </c>
      <c r="G330">
        <v>18799</v>
      </c>
      <c r="H330" s="110"/>
      <c r="I330" s="110"/>
      <c r="L330" s="134">
        <v>42489</v>
      </c>
      <c r="M330" s="110">
        <v>29.6</v>
      </c>
      <c r="N330" s="110">
        <v>30.1</v>
      </c>
      <c r="O330" s="110">
        <v>29.3</v>
      </c>
      <c r="P330" s="110">
        <v>30.05</v>
      </c>
      <c r="Q330" s="110">
        <v>29.6</v>
      </c>
      <c r="R330">
        <v>74269</v>
      </c>
    </row>
    <row r="331" spans="1:18" x14ac:dyDescent="0.25">
      <c r="A331" s="134">
        <v>42492</v>
      </c>
      <c r="B331" s="110">
        <v>29.7</v>
      </c>
      <c r="C331" s="110">
        <v>29.35</v>
      </c>
      <c r="D331" s="110">
        <v>29.1</v>
      </c>
      <c r="E331" s="110">
        <v>29.3</v>
      </c>
      <c r="F331" s="110">
        <v>29.35</v>
      </c>
      <c r="G331">
        <v>9124</v>
      </c>
      <c r="H331" s="110"/>
      <c r="I331" s="110"/>
      <c r="L331" s="134">
        <v>42492</v>
      </c>
      <c r="M331" s="110">
        <v>29.35</v>
      </c>
      <c r="N331" s="110">
        <v>29.6</v>
      </c>
      <c r="O331" s="110">
        <v>29.2</v>
      </c>
      <c r="P331" s="110">
        <v>29.6</v>
      </c>
      <c r="Q331" s="110">
        <v>29.35</v>
      </c>
      <c r="R331">
        <v>34832</v>
      </c>
    </row>
    <row r="332" spans="1:18" x14ac:dyDescent="0.25">
      <c r="A332" s="134">
        <v>42493</v>
      </c>
      <c r="B332" s="110">
        <v>29.7</v>
      </c>
      <c r="C332" s="110">
        <v>29.3</v>
      </c>
      <c r="D332" s="110">
        <v>29.1</v>
      </c>
      <c r="E332" s="110">
        <v>29.5</v>
      </c>
      <c r="F332" s="110">
        <v>29.3</v>
      </c>
      <c r="G332">
        <v>12000</v>
      </c>
      <c r="H332" s="110"/>
      <c r="I332" s="110"/>
      <c r="L332" s="134">
        <v>42493</v>
      </c>
      <c r="M332" s="110">
        <v>29.3</v>
      </c>
      <c r="N332" s="110">
        <v>29.65</v>
      </c>
      <c r="O332" s="110">
        <v>29.2</v>
      </c>
      <c r="P332" s="110">
        <v>29.6</v>
      </c>
      <c r="Q332" s="110">
        <v>29.3</v>
      </c>
      <c r="R332">
        <v>38763</v>
      </c>
    </row>
    <row r="333" spans="1:18" x14ac:dyDescent="0.25">
      <c r="A333" s="134">
        <v>42494</v>
      </c>
      <c r="B333" s="110">
        <v>29.4</v>
      </c>
      <c r="C333" s="110">
        <v>29.1</v>
      </c>
      <c r="D333" s="110">
        <v>29.05</v>
      </c>
      <c r="E333" s="110">
        <v>29.1</v>
      </c>
      <c r="F333" s="110">
        <v>29.1</v>
      </c>
      <c r="G333">
        <v>7023</v>
      </c>
      <c r="H333" s="110"/>
      <c r="I333" s="110"/>
      <c r="L333" s="134">
        <v>42494</v>
      </c>
      <c r="M333" s="110">
        <v>29.1</v>
      </c>
      <c r="N333" s="110">
        <v>29.55</v>
      </c>
      <c r="O333" s="110">
        <v>29.05</v>
      </c>
      <c r="P333" s="110">
        <v>29.15</v>
      </c>
      <c r="Q333" s="110">
        <v>29.1</v>
      </c>
      <c r="R333">
        <v>60898</v>
      </c>
    </row>
    <row r="334" spans="1:18" x14ac:dyDescent="0.25">
      <c r="A334" s="134">
        <v>42495</v>
      </c>
      <c r="B334" s="110">
        <v>29.4</v>
      </c>
      <c r="C334" s="110">
        <v>29.1</v>
      </c>
      <c r="D334" s="110">
        <v>28.9</v>
      </c>
      <c r="E334" s="110">
        <v>29.3</v>
      </c>
      <c r="F334" s="110">
        <v>29.1</v>
      </c>
      <c r="G334">
        <v>8651</v>
      </c>
      <c r="H334" s="110"/>
      <c r="I334" s="110"/>
      <c r="L334" s="134">
        <v>42495</v>
      </c>
      <c r="M334" s="110">
        <v>28.95</v>
      </c>
      <c r="N334" s="110">
        <v>29.5</v>
      </c>
      <c r="O334" s="110">
        <v>28.7</v>
      </c>
      <c r="P334" s="110">
        <v>29.3</v>
      </c>
      <c r="Q334" s="110">
        <v>28.95</v>
      </c>
      <c r="R334">
        <v>80726</v>
      </c>
    </row>
    <row r="335" spans="1:18" x14ac:dyDescent="0.25">
      <c r="A335" s="134">
        <v>42496</v>
      </c>
      <c r="B335" s="110">
        <v>30</v>
      </c>
      <c r="C335" s="110">
        <v>29.65</v>
      </c>
      <c r="D335" s="110">
        <v>28.95</v>
      </c>
      <c r="E335" s="110">
        <v>29</v>
      </c>
      <c r="F335" s="110">
        <v>29.65</v>
      </c>
      <c r="G335">
        <v>13839</v>
      </c>
      <c r="H335" s="110"/>
      <c r="I335" s="110"/>
      <c r="L335" s="134">
        <v>42496</v>
      </c>
      <c r="M335" s="110">
        <v>29.7</v>
      </c>
      <c r="N335" s="110">
        <v>29.85</v>
      </c>
      <c r="O335" s="110">
        <v>28.95</v>
      </c>
      <c r="P335" s="110">
        <v>29</v>
      </c>
      <c r="Q335" s="110">
        <v>29.7</v>
      </c>
      <c r="R335">
        <v>112258</v>
      </c>
    </row>
    <row r="336" spans="1:18" x14ac:dyDescent="0.25">
      <c r="A336" s="134">
        <v>42499</v>
      </c>
      <c r="B336" s="110">
        <v>30</v>
      </c>
      <c r="C336" s="110">
        <v>29.85</v>
      </c>
      <c r="D336" s="110">
        <v>29.65</v>
      </c>
      <c r="E336" s="110">
        <v>29.65</v>
      </c>
      <c r="F336" s="110">
        <v>29.85</v>
      </c>
      <c r="G336">
        <v>6921</v>
      </c>
      <c r="H336" s="110"/>
      <c r="I336" s="110"/>
      <c r="L336" s="134">
        <v>42499</v>
      </c>
      <c r="M336" s="110">
        <v>29.8</v>
      </c>
      <c r="N336" s="110">
        <v>29.95</v>
      </c>
      <c r="O336" s="110">
        <v>29.55</v>
      </c>
      <c r="P336" s="110">
        <v>29.9</v>
      </c>
      <c r="Q336" s="110">
        <v>29.8</v>
      </c>
      <c r="R336">
        <v>32209</v>
      </c>
    </row>
    <row r="337" spans="1:18" x14ac:dyDescent="0.25">
      <c r="A337" s="134">
        <v>42500</v>
      </c>
      <c r="B337" s="110">
        <v>31.8</v>
      </c>
      <c r="C337" s="110">
        <v>30.25</v>
      </c>
      <c r="D337" s="110">
        <v>30.1</v>
      </c>
      <c r="E337" s="110">
        <v>30.1</v>
      </c>
      <c r="F337" s="110">
        <v>30.25</v>
      </c>
      <c r="G337">
        <v>24143</v>
      </c>
      <c r="H337" s="110"/>
      <c r="I337" s="110"/>
      <c r="L337" s="134">
        <v>42500</v>
      </c>
      <c r="M337" s="110">
        <v>30.25</v>
      </c>
      <c r="N337" s="110">
        <v>31.25</v>
      </c>
      <c r="O337" s="110">
        <v>29.8</v>
      </c>
      <c r="P337" s="110">
        <v>29.8</v>
      </c>
      <c r="Q337" s="110">
        <v>30.25</v>
      </c>
      <c r="R337">
        <v>181868</v>
      </c>
    </row>
    <row r="338" spans="1:18" x14ac:dyDescent="0.25">
      <c r="A338" s="134">
        <v>42501</v>
      </c>
      <c r="B338" s="110">
        <v>30.6</v>
      </c>
      <c r="C338" s="110">
        <v>29.7</v>
      </c>
      <c r="D338" s="110">
        <v>29.6</v>
      </c>
      <c r="E338" s="110">
        <v>29.95</v>
      </c>
      <c r="F338" s="110">
        <v>29.7</v>
      </c>
      <c r="G338">
        <v>27790</v>
      </c>
      <c r="H338" s="110"/>
      <c r="I338" s="110"/>
      <c r="L338" s="134">
        <v>42501</v>
      </c>
      <c r="M338" s="110">
        <v>29.7</v>
      </c>
      <c r="N338" s="110">
        <v>30.5</v>
      </c>
      <c r="O338" s="110">
        <v>29.4</v>
      </c>
      <c r="P338" s="110">
        <v>29.95</v>
      </c>
      <c r="Q338" s="110">
        <v>29.7</v>
      </c>
      <c r="R338">
        <v>118408</v>
      </c>
    </row>
    <row r="339" spans="1:18" x14ac:dyDescent="0.25">
      <c r="A339" s="134">
        <v>42502</v>
      </c>
      <c r="B339" s="110">
        <v>30.35</v>
      </c>
      <c r="C339" s="110">
        <v>29.7</v>
      </c>
      <c r="D339" s="110">
        <v>29.5</v>
      </c>
      <c r="E339" s="110">
        <v>29.9</v>
      </c>
      <c r="F339" s="110">
        <v>29.7</v>
      </c>
      <c r="G339">
        <v>32163</v>
      </c>
      <c r="H339" s="110"/>
      <c r="I339" s="110"/>
      <c r="L339" s="134">
        <v>42502</v>
      </c>
      <c r="M339" s="110">
        <v>29.7</v>
      </c>
      <c r="N339" s="110">
        <v>30.45</v>
      </c>
      <c r="O339" s="110">
        <v>29.35</v>
      </c>
      <c r="P339" s="110">
        <v>29.85</v>
      </c>
      <c r="Q339" s="110">
        <v>29.7</v>
      </c>
      <c r="R339">
        <v>238537</v>
      </c>
    </row>
    <row r="340" spans="1:18" x14ac:dyDescent="0.25">
      <c r="A340" s="134">
        <v>42503</v>
      </c>
      <c r="B340" s="110">
        <v>29.15</v>
      </c>
      <c r="C340" s="110">
        <v>28.95</v>
      </c>
      <c r="D340" s="110">
        <v>28.75</v>
      </c>
      <c r="E340" s="110">
        <v>29</v>
      </c>
      <c r="F340" s="110">
        <v>28.95</v>
      </c>
      <c r="G340">
        <v>36679</v>
      </c>
      <c r="H340" s="110"/>
      <c r="I340" s="110"/>
      <c r="L340" s="134">
        <v>42503</v>
      </c>
      <c r="M340" s="110">
        <v>29</v>
      </c>
      <c r="N340" s="110">
        <v>29.45</v>
      </c>
      <c r="O340" s="110">
        <v>28.8</v>
      </c>
      <c r="P340" s="110">
        <v>29.05</v>
      </c>
      <c r="Q340" s="110">
        <v>29</v>
      </c>
      <c r="R340">
        <v>170351</v>
      </c>
    </row>
    <row r="341" spans="1:18" x14ac:dyDescent="0.25">
      <c r="A341" s="134">
        <v>42506</v>
      </c>
      <c r="B341" s="110">
        <v>28.9</v>
      </c>
      <c r="C341" s="110">
        <v>28.65</v>
      </c>
      <c r="D341" s="110">
        <v>28.4</v>
      </c>
      <c r="E341" s="110">
        <v>28.6</v>
      </c>
      <c r="F341" s="110">
        <v>28.65</v>
      </c>
      <c r="G341">
        <v>21880</v>
      </c>
      <c r="H341" s="110"/>
      <c r="I341" s="110"/>
      <c r="L341" s="134">
        <v>42506</v>
      </c>
      <c r="M341" s="110">
        <v>28.6</v>
      </c>
      <c r="N341" s="110">
        <v>29.3</v>
      </c>
      <c r="O341" s="110">
        <v>28.5</v>
      </c>
      <c r="P341" s="110">
        <v>29.3</v>
      </c>
      <c r="Q341" s="110">
        <v>28.6</v>
      </c>
      <c r="R341">
        <v>91783</v>
      </c>
    </row>
    <row r="342" spans="1:18" x14ac:dyDescent="0.25">
      <c r="A342" s="134">
        <v>42507</v>
      </c>
      <c r="B342" s="110">
        <v>28.95</v>
      </c>
      <c r="C342" s="110">
        <v>28.75</v>
      </c>
      <c r="D342" s="110">
        <v>28.5</v>
      </c>
      <c r="E342" s="110">
        <v>28.6</v>
      </c>
      <c r="F342" s="110">
        <v>28.75</v>
      </c>
      <c r="G342">
        <v>10029</v>
      </c>
      <c r="H342" s="110"/>
      <c r="I342" s="110"/>
      <c r="L342" s="134">
        <v>42507</v>
      </c>
      <c r="M342" s="110">
        <v>28.6</v>
      </c>
      <c r="N342" s="110">
        <v>28.85</v>
      </c>
      <c r="O342" s="110">
        <v>28.5</v>
      </c>
      <c r="P342" s="110">
        <v>28.65</v>
      </c>
      <c r="Q342" s="110">
        <v>28.6</v>
      </c>
      <c r="R342">
        <v>72087</v>
      </c>
    </row>
    <row r="343" spans="1:18" x14ac:dyDescent="0.25">
      <c r="A343" s="134">
        <v>42508</v>
      </c>
      <c r="B343" s="110">
        <v>28.8</v>
      </c>
      <c r="C343" s="110">
        <v>28.6</v>
      </c>
      <c r="D343" s="110">
        <v>28.45</v>
      </c>
      <c r="E343" s="110">
        <v>28.8</v>
      </c>
      <c r="F343" s="110">
        <v>28.6</v>
      </c>
      <c r="G343">
        <v>16593</v>
      </c>
      <c r="H343" s="110"/>
      <c r="I343" s="110"/>
      <c r="L343" s="134">
        <v>42508</v>
      </c>
      <c r="M343" s="110">
        <v>28.5</v>
      </c>
      <c r="N343" s="110">
        <v>28.7</v>
      </c>
      <c r="O343" s="110">
        <v>28.3</v>
      </c>
      <c r="P343" s="110">
        <v>28.6</v>
      </c>
      <c r="Q343" s="110">
        <v>28.5</v>
      </c>
      <c r="R343">
        <v>54966</v>
      </c>
    </row>
    <row r="344" spans="1:18" x14ac:dyDescent="0.25">
      <c r="A344" s="134">
        <v>42509</v>
      </c>
      <c r="B344" s="110">
        <v>28.45</v>
      </c>
      <c r="C344" s="110">
        <v>28.2</v>
      </c>
      <c r="D344" s="110">
        <v>28.05</v>
      </c>
      <c r="E344" s="110">
        <v>28.3</v>
      </c>
      <c r="F344" s="110">
        <v>28.2</v>
      </c>
      <c r="G344">
        <v>13430</v>
      </c>
      <c r="H344" s="110"/>
      <c r="I344" s="110"/>
      <c r="L344" s="134">
        <v>42509</v>
      </c>
      <c r="M344" s="110">
        <v>28.05</v>
      </c>
      <c r="N344" s="110">
        <v>28.5</v>
      </c>
      <c r="O344" s="110">
        <v>27.8</v>
      </c>
      <c r="P344" s="110">
        <v>28.4</v>
      </c>
      <c r="Q344" s="110">
        <v>28.05</v>
      </c>
      <c r="R344">
        <v>99577</v>
      </c>
    </row>
    <row r="345" spans="1:18" x14ac:dyDescent="0.25">
      <c r="A345" s="134">
        <v>42510</v>
      </c>
      <c r="B345" s="110">
        <v>28.25</v>
      </c>
      <c r="C345" s="110">
        <v>28</v>
      </c>
      <c r="D345" s="110">
        <v>27.85</v>
      </c>
      <c r="E345" s="110">
        <v>28.25</v>
      </c>
      <c r="F345" s="110">
        <v>28</v>
      </c>
      <c r="G345">
        <v>6862</v>
      </c>
      <c r="H345" s="110"/>
      <c r="I345" s="110"/>
      <c r="L345" s="134">
        <v>42510</v>
      </c>
      <c r="M345" s="110">
        <v>28</v>
      </c>
      <c r="N345" s="110">
        <v>28.25</v>
      </c>
      <c r="O345" s="110">
        <v>27.95</v>
      </c>
      <c r="P345" s="110">
        <v>28.15</v>
      </c>
      <c r="Q345" s="110">
        <v>28</v>
      </c>
      <c r="R345">
        <v>30156</v>
      </c>
    </row>
    <row r="346" spans="1:18" x14ac:dyDescent="0.25">
      <c r="A346" s="134">
        <v>42513</v>
      </c>
      <c r="B346" s="110">
        <v>28.2</v>
      </c>
      <c r="C346" s="110">
        <v>27.75</v>
      </c>
      <c r="D346" s="110">
        <v>27.65</v>
      </c>
      <c r="E346" s="110">
        <v>28.2</v>
      </c>
      <c r="F346" s="110">
        <v>27.75</v>
      </c>
      <c r="G346">
        <v>11910</v>
      </c>
      <c r="H346" s="110"/>
      <c r="I346" s="110"/>
      <c r="L346" s="134">
        <v>42513</v>
      </c>
      <c r="M346" s="110">
        <v>27.75</v>
      </c>
      <c r="N346" s="110">
        <v>28.25</v>
      </c>
      <c r="O346" s="110">
        <v>27.65</v>
      </c>
      <c r="P346" s="110">
        <v>28</v>
      </c>
      <c r="Q346" s="110">
        <v>27.75</v>
      </c>
      <c r="R346">
        <v>49554</v>
      </c>
    </row>
    <row r="347" spans="1:18" x14ac:dyDescent="0.25">
      <c r="A347" s="134">
        <v>42514</v>
      </c>
      <c r="B347" s="110">
        <v>28</v>
      </c>
      <c r="C347" s="110">
        <v>27.65</v>
      </c>
      <c r="D347" s="110">
        <v>27.5</v>
      </c>
      <c r="E347" s="110">
        <v>27.6</v>
      </c>
      <c r="F347" s="110">
        <v>27.65</v>
      </c>
      <c r="G347">
        <v>9053</v>
      </c>
      <c r="H347" s="110"/>
      <c r="I347" s="110"/>
      <c r="L347" s="134">
        <v>42514</v>
      </c>
      <c r="M347" s="110">
        <v>27.5</v>
      </c>
      <c r="N347" s="110">
        <v>27.9</v>
      </c>
      <c r="O347" s="110">
        <v>27.4</v>
      </c>
      <c r="P347" s="110">
        <v>27.7</v>
      </c>
      <c r="Q347" s="110">
        <v>27.5</v>
      </c>
      <c r="R347">
        <v>49730</v>
      </c>
    </row>
    <row r="348" spans="1:18" x14ac:dyDescent="0.25">
      <c r="A348" s="134">
        <v>42515</v>
      </c>
      <c r="B348" s="110">
        <v>28</v>
      </c>
      <c r="C348" s="110">
        <v>27.8</v>
      </c>
      <c r="D348" s="110">
        <v>27.65</v>
      </c>
      <c r="E348" s="110">
        <v>27.65</v>
      </c>
      <c r="F348" s="110">
        <v>27.8</v>
      </c>
      <c r="G348">
        <v>12846</v>
      </c>
      <c r="H348" s="110"/>
      <c r="I348" s="110"/>
      <c r="L348" s="134">
        <v>42515</v>
      </c>
      <c r="M348" s="110">
        <v>27.6</v>
      </c>
      <c r="N348" s="110">
        <v>27.9</v>
      </c>
      <c r="O348" s="110">
        <v>27.4</v>
      </c>
      <c r="P348" s="110">
        <v>27.55</v>
      </c>
      <c r="Q348" s="110">
        <v>27.6</v>
      </c>
      <c r="R348">
        <v>53569</v>
      </c>
    </row>
    <row r="349" spans="1:18" x14ac:dyDescent="0.25">
      <c r="A349" s="134">
        <v>42516</v>
      </c>
      <c r="B349" s="110">
        <v>27.95</v>
      </c>
      <c r="C349" s="110">
        <v>27.9</v>
      </c>
      <c r="D349" s="110">
        <v>27.6</v>
      </c>
      <c r="E349" s="110">
        <v>27.85</v>
      </c>
      <c r="F349" s="110">
        <v>27.9</v>
      </c>
      <c r="G349">
        <v>6499</v>
      </c>
      <c r="H349" s="110"/>
      <c r="I349" s="110"/>
      <c r="L349" s="134">
        <v>42516</v>
      </c>
      <c r="M349" s="110">
        <v>27.65</v>
      </c>
      <c r="N349" s="110">
        <v>27.85</v>
      </c>
      <c r="O349" s="110">
        <v>27.5</v>
      </c>
      <c r="P349" s="110">
        <v>27.5</v>
      </c>
      <c r="Q349" s="110">
        <v>27.65</v>
      </c>
      <c r="R349">
        <v>36277</v>
      </c>
    </row>
    <row r="350" spans="1:18" x14ac:dyDescent="0.25">
      <c r="A350" s="134">
        <v>42517</v>
      </c>
      <c r="B350" s="110">
        <v>28.25</v>
      </c>
      <c r="C350" s="110">
        <v>27.95</v>
      </c>
      <c r="D350" s="110">
        <v>27.65</v>
      </c>
      <c r="E350" s="110">
        <v>27.95</v>
      </c>
      <c r="F350" s="110">
        <v>27.95</v>
      </c>
      <c r="G350">
        <v>18341</v>
      </c>
      <c r="H350" s="110"/>
      <c r="I350" s="110"/>
      <c r="L350" s="134">
        <v>42517</v>
      </c>
      <c r="M350" s="110">
        <v>27.9</v>
      </c>
      <c r="N350" s="110">
        <v>28.2</v>
      </c>
      <c r="O350" s="110">
        <v>27.65</v>
      </c>
      <c r="P350" s="110">
        <v>27.95</v>
      </c>
      <c r="Q350" s="110">
        <v>27.9</v>
      </c>
      <c r="R350">
        <v>77540</v>
      </c>
    </row>
    <row r="351" spans="1:18" x14ac:dyDescent="0.25">
      <c r="A351" s="134">
        <v>42520</v>
      </c>
      <c r="B351" s="110">
        <v>28.7</v>
      </c>
      <c r="C351" s="110">
        <v>28.2</v>
      </c>
      <c r="D351" s="110">
        <v>28.05</v>
      </c>
      <c r="E351" s="110">
        <v>28.5</v>
      </c>
      <c r="F351" s="110">
        <v>28.2</v>
      </c>
      <c r="G351">
        <v>6316</v>
      </c>
      <c r="H351" s="110"/>
      <c r="I351" s="110"/>
      <c r="L351" s="134">
        <v>42520</v>
      </c>
      <c r="M351" s="110">
        <v>28.1</v>
      </c>
      <c r="N351" s="110">
        <v>28.45</v>
      </c>
      <c r="O351" s="110">
        <v>28</v>
      </c>
      <c r="P351" s="110">
        <v>28.45</v>
      </c>
      <c r="Q351" s="110">
        <v>28.1</v>
      </c>
      <c r="R351">
        <v>34116</v>
      </c>
    </row>
    <row r="352" spans="1:18" x14ac:dyDescent="0.25">
      <c r="A352" s="134">
        <v>42521</v>
      </c>
      <c r="B352" s="110">
        <v>28.9</v>
      </c>
      <c r="C352" s="110">
        <v>28.15</v>
      </c>
      <c r="D352" s="110">
        <v>27.9</v>
      </c>
      <c r="E352" s="110">
        <v>28</v>
      </c>
      <c r="F352" s="110">
        <v>28.15</v>
      </c>
      <c r="G352">
        <v>26291</v>
      </c>
      <c r="H352" s="110"/>
      <c r="I352" s="110"/>
      <c r="L352" s="134">
        <v>42521</v>
      </c>
      <c r="M352" s="110">
        <v>28.15</v>
      </c>
      <c r="N352" s="110">
        <v>28.3</v>
      </c>
      <c r="O352" s="110">
        <v>27.9</v>
      </c>
      <c r="P352" s="110">
        <v>28.05</v>
      </c>
      <c r="Q352" s="110">
        <v>28.15</v>
      </c>
      <c r="R352">
        <v>64268</v>
      </c>
    </row>
    <row r="353" spans="1:18" x14ac:dyDescent="0.25">
      <c r="A353" s="134">
        <v>42522</v>
      </c>
      <c r="B353" s="110">
        <v>29.9</v>
      </c>
      <c r="C353" s="110">
        <v>27.85</v>
      </c>
      <c r="D353" s="110">
        <v>27.5</v>
      </c>
      <c r="E353" s="110">
        <v>29.9</v>
      </c>
      <c r="F353" s="110">
        <v>27.85</v>
      </c>
      <c r="G353">
        <v>21613</v>
      </c>
      <c r="H353" s="110"/>
      <c r="I353" s="110"/>
      <c r="L353" s="134">
        <v>42522</v>
      </c>
      <c r="M353" s="110">
        <v>27.85</v>
      </c>
      <c r="N353" s="110">
        <v>28.5</v>
      </c>
      <c r="O353" s="110">
        <v>27.6</v>
      </c>
      <c r="P353" s="110">
        <v>28.5</v>
      </c>
      <c r="Q353" s="110">
        <v>27.85</v>
      </c>
      <c r="R353">
        <v>73659</v>
      </c>
    </row>
    <row r="354" spans="1:18" x14ac:dyDescent="0.25">
      <c r="A354" s="134">
        <v>42523</v>
      </c>
      <c r="B354" s="110">
        <v>28.95</v>
      </c>
      <c r="C354" s="110">
        <v>28.45</v>
      </c>
      <c r="D354" s="110">
        <v>27.7</v>
      </c>
      <c r="E354" s="110">
        <v>27.9</v>
      </c>
      <c r="F354" s="110">
        <v>28.45</v>
      </c>
      <c r="G354">
        <v>33138</v>
      </c>
      <c r="H354" s="110"/>
      <c r="I354" s="110"/>
      <c r="L354" s="134">
        <v>42523</v>
      </c>
      <c r="M354" s="110">
        <v>28.55</v>
      </c>
      <c r="N354" s="110">
        <v>29</v>
      </c>
      <c r="O354" s="110">
        <v>27.4</v>
      </c>
      <c r="P354" s="110">
        <v>27.9</v>
      </c>
      <c r="Q354" s="110">
        <v>28.55</v>
      </c>
      <c r="R354">
        <v>229395</v>
      </c>
    </row>
    <row r="355" spans="1:18" x14ac:dyDescent="0.25">
      <c r="A355" s="134">
        <v>42524</v>
      </c>
      <c r="B355" s="110">
        <v>29.5</v>
      </c>
      <c r="C355" s="110">
        <v>28.5</v>
      </c>
      <c r="D355" s="110">
        <v>28.15</v>
      </c>
      <c r="E355" s="110">
        <v>28.95</v>
      </c>
      <c r="F355" s="110">
        <v>28.5</v>
      </c>
      <c r="G355">
        <v>17551</v>
      </c>
      <c r="H355" s="110"/>
      <c r="I355" s="110"/>
      <c r="L355" s="134">
        <v>42524</v>
      </c>
      <c r="M355" s="110">
        <v>28.35</v>
      </c>
      <c r="N355" s="110">
        <v>28.9</v>
      </c>
      <c r="O355" s="110">
        <v>28.15</v>
      </c>
      <c r="P355" s="110">
        <v>28.55</v>
      </c>
      <c r="Q355" s="110">
        <v>28.35</v>
      </c>
      <c r="R355">
        <v>67276</v>
      </c>
    </row>
    <row r="356" spans="1:18" x14ac:dyDescent="0.25">
      <c r="A356" s="134">
        <v>42527</v>
      </c>
      <c r="B356" s="110">
        <v>28.8</v>
      </c>
      <c r="C356" s="110">
        <v>28.45</v>
      </c>
      <c r="D356" s="110">
        <v>28.2</v>
      </c>
      <c r="E356" s="110">
        <v>28.7</v>
      </c>
      <c r="F356" s="110">
        <v>28.45</v>
      </c>
      <c r="G356">
        <v>16527</v>
      </c>
      <c r="H356" s="110"/>
      <c r="I356" s="110"/>
      <c r="L356" s="134">
        <v>42527</v>
      </c>
      <c r="M356" s="110">
        <v>28.4</v>
      </c>
      <c r="N356" s="110">
        <v>28.75</v>
      </c>
      <c r="O356" s="110">
        <v>28.25</v>
      </c>
      <c r="P356" s="110">
        <v>28.35</v>
      </c>
      <c r="Q356" s="110">
        <v>28.4</v>
      </c>
      <c r="R356">
        <v>39616</v>
      </c>
    </row>
    <row r="357" spans="1:18" x14ac:dyDescent="0.25">
      <c r="A357" s="134">
        <v>42528</v>
      </c>
      <c r="B357" s="110">
        <v>28.95</v>
      </c>
      <c r="C357" s="110">
        <v>28.45</v>
      </c>
      <c r="D357" s="110">
        <v>28.35</v>
      </c>
      <c r="E357" s="110">
        <v>28.7</v>
      </c>
      <c r="F357" s="110">
        <v>28.45</v>
      </c>
      <c r="G357">
        <v>11601</v>
      </c>
      <c r="H357" s="110"/>
      <c r="I357" s="110"/>
      <c r="L357" s="134">
        <v>42528</v>
      </c>
      <c r="M357" s="110">
        <v>28.55</v>
      </c>
      <c r="N357" s="110">
        <v>28.8</v>
      </c>
      <c r="O357" s="110">
        <v>28.3</v>
      </c>
      <c r="P357" s="110">
        <v>28.75</v>
      </c>
      <c r="Q357" s="110">
        <v>28.55</v>
      </c>
      <c r="R357">
        <v>61362</v>
      </c>
    </row>
    <row r="358" spans="1:18" x14ac:dyDescent="0.25">
      <c r="A358" s="134">
        <v>42529</v>
      </c>
      <c r="B358" s="110">
        <v>29</v>
      </c>
      <c r="C358" s="110">
        <v>28.65</v>
      </c>
      <c r="D358" s="110">
        <v>28</v>
      </c>
      <c r="E358" s="110">
        <v>28.35</v>
      </c>
      <c r="F358" s="110">
        <v>28.65</v>
      </c>
      <c r="G358">
        <v>20414</v>
      </c>
      <c r="H358" s="110"/>
      <c r="I358" s="110"/>
      <c r="L358" s="134">
        <v>42529</v>
      </c>
      <c r="M358" s="110">
        <v>28.65</v>
      </c>
      <c r="N358" s="110">
        <v>28.8</v>
      </c>
      <c r="O358" s="110">
        <v>28.2</v>
      </c>
      <c r="P358" s="110">
        <v>28.55</v>
      </c>
      <c r="Q358" s="110">
        <v>28.65</v>
      </c>
      <c r="R358">
        <v>58007</v>
      </c>
    </row>
    <row r="359" spans="1:18" x14ac:dyDescent="0.25">
      <c r="A359" s="134">
        <v>42530</v>
      </c>
      <c r="B359" s="110">
        <v>29.9</v>
      </c>
      <c r="C359" s="110">
        <v>29.35</v>
      </c>
      <c r="D359" s="110">
        <v>28.75</v>
      </c>
      <c r="E359" s="110">
        <v>29</v>
      </c>
      <c r="F359" s="110">
        <v>29.35</v>
      </c>
      <c r="G359">
        <v>54732</v>
      </c>
      <c r="H359" s="110"/>
      <c r="I359" s="110"/>
      <c r="L359" s="134">
        <v>42530</v>
      </c>
      <c r="M359" s="110">
        <v>29.45</v>
      </c>
      <c r="N359" s="110">
        <v>29.85</v>
      </c>
      <c r="O359" s="110">
        <v>28.7</v>
      </c>
      <c r="P359" s="110">
        <v>28.8</v>
      </c>
      <c r="Q359" s="110">
        <v>29.45</v>
      </c>
      <c r="R359">
        <v>175737</v>
      </c>
    </row>
    <row r="360" spans="1:18" x14ac:dyDescent="0.25">
      <c r="A360" s="134">
        <v>42531</v>
      </c>
      <c r="B360" s="110">
        <v>29.7</v>
      </c>
      <c r="C360" s="110">
        <v>29.3</v>
      </c>
      <c r="D360" s="110">
        <v>29.25</v>
      </c>
      <c r="E360" s="110">
        <v>29.4</v>
      </c>
      <c r="F360" s="110">
        <v>29.3</v>
      </c>
      <c r="G360">
        <v>9466</v>
      </c>
      <c r="H360" s="110"/>
      <c r="I360" s="110"/>
      <c r="L360" s="134">
        <v>42531</v>
      </c>
      <c r="M360" s="110">
        <v>29.15</v>
      </c>
      <c r="N360" s="110">
        <v>29.75</v>
      </c>
      <c r="O360" s="110">
        <v>29</v>
      </c>
      <c r="P360" s="110">
        <v>29.45</v>
      </c>
      <c r="Q360" s="110">
        <v>29.15</v>
      </c>
      <c r="R360">
        <v>98439</v>
      </c>
    </row>
    <row r="361" spans="1:18" x14ac:dyDescent="0.25">
      <c r="A361" s="134">
        <v>42534</v>
      </c>
      <c r="B361" s="110">
        <v>29</v>
      </c>
      <c r="C361" s="110">
        <v>28.9</v>
      </c>
      <c r="D361" s="110">
        <v>28.3</v>
      </c>
      <c r="E361" s="110">
        <v>29</v>
      </c>
      <c r="F361" s="110">
        <v>28.9</v>
      </c>
      <c r="G361">
        <v>11603</v>
      </c>
      <c r="H361" s="110"/>
      <c r="I361" s="110"/>
      <c r="L361" s="134">
        <v>42534</v>
      </c>
      <c r="M361" s="110">
        <v>28.9</v>
      </c>
      <c r="N361" s="110">
        <v>29.05</v>
      </c>
      <c r="O361" s="110">
        <v>28.3</v>
      </c>
      <c r="P361" s="110">
        <v>28.95</v>
      </c>
      <c r="Q361" s="110">
        <v>28.9</v>
      </c>
      <c r="R361">
        <v>59498</v>
      </c>
    </row>
    <row r="362" spans="1:18" x14ac:dyDescent="0.25">
      <c r="A362" s="134">
        <v>42535</v>
      </c>
      <c r="B362" s="110">
        <v>29.7</v>
      </c>
      <c r="C362" s="110">
        <v>29.3</v>
      </c>
      <c r="D362" s="110">
        <v>28.85</v>
      </c>
      <c r="E362" s="110">
        <v>29.1</v>
      </c>
      <c r="F362" s="110">
        <v>29.3</v>
      </c>
      <c r="G362">
        <v>20210</v>
      </c>
      <c r="H362" s="110"/>
      <c r="I362" s="110"/>
      <c r="L362" s="134">
        <v>42535</v>
      </c>
      <c r="M362" s="110">
        <v>29.2</v>
      </c>
      <c r="N362" s="110">
        <v>29.35</v>
      </c>
      <c r="O362" s="110">
        <v>29</v>
      </c>
      <c r="P362" s="110">
        <v>29.35</v>
      </c>
      <c r="Q362" s="110">
        <v>29.2</v>
      </c>
      <c r="R362">
        <v>75681</v>
      </c>
    </row>
    <row r="363" spans="1:18" x14ac:dyDescent="0.25">
      <c r="A363" s="134">
        <v>42536</v>
      </c>
      <c r="B363" s="110">
        <v>30</v>
      </c>
      <c r="C363" s="110">
        <v>29.85</v>
      </c>
      <c r="D363" s="110">
        <v>29.35</v>
      </c>
      <c r="E363" s="110">
        <v>29.5</v>
      </c>
      <c r="F363" s="110">
        <v>29.85</v>
      </c>
      <c r="G363">
        <v>24863</v>
      </c>
      <c r="H363" s="110"/>
      <c r="I363" s="110"/>
      <c r="L363" s="134">
        <v>42536</v>
      </c>
      <c r="M363" s="110">
        <v>29.75</v>
      </c>
      <c r="N363" s="110">
        <v>29.9</v>
      </c>
      <c r="O363" s="110">
        <v>29.35</v>
      </c>
      <c r="P363" s="110">
        <v>29.45</v>
      </c>
      <c r="Q363" s="110">
        <v>29.75</v>
      </c>
      <c r="R363">
        <v>125354</v>
      </c>
    </row>
    <row r="364" spans="1:18" x14ac:dyDescent="0.25">
      <c r="A364" s="134">
        <v>42537</v>
      </c>
      <c r="B364" s="110">
        <v>31</v>
      </c>
      <c r="C364" s="110">
        <v>30.75</v>
      </c>
      <c r="D364" s="110">
        <v>29.6</v>
      </c>
      <c r="E364" s="110">
        <v>29.6</v>
      </c>
      <c r="F364" s="110">
        <v>30.75</v>
      </c>
      <c r="G364">
        <v>89113</v>
      </c>
      <c r="H364" s="110"/>
      <c r="I364" s="110"/>
      <c r="L364" s="134">
        <v>42537</v>
      </c>
      <c r="M364" s="110">
        <v>30.7</v>
      </c>
      <c r="N364" s="110">
        <v>31.15</v>
      </c>
      <c r="O364" s="110">
        <v>29.75</v>
      </c>
      <c r="P364" s="110">
        <v>30.4</v>
      </c>
      <c r="Q364" s="110">
        <v>30.7</v>
      </c>
      <c r="R364">
        <v>486709</v>
      </c>
    </row>
    <row r="365" spans="1:18" x14ac:dyDescent="0.25">
      <c r="A365" s="134">
        <v>42538</v>
      </c>
      <c r="B365" s="110">
        <v>33.9</v>
      </c>
      <c r="C365" s="110">
        <v>33.25</v>
      </c>
      <c r="D365" s="110">
        <v>30.95</v>
      </c>
      <c r="E365" s="110">
        <v>31</v>
      </c>
      <c r="F365" s="110">
        <v>33.25</v>
      </c>
      <c r="G365">
        <v>324629</v>
      </c>
      <c r="H365" s="110"/>
      <c r="I365" s="110"/>
      <c r="L365" s="134">
        <v>42538</v>
      </c>
      <c r="M365" s="110">
        <v>33.200000000000003</v>
      </c>
      <c r="N365" s="110">
        <v>33.700000000000003</v>
      </c>
      <c r="O365" s="110">
        <v>30.8</v>
      </c>
      <c r="P365" s="110">
        <v>31.2</v>
      </c>
      <c r="Q365" s="110">
        <v>33.200000000000003</v>
      </c>
      <c r="R365">
        <v>1297107</v>
      </c>
    </row>
    <row r="366" spans="1:18" x14ac:dyDescent="0.25">
      <c r="A366" s="134">
        <v>42541</v>
      </c>
      <c r="B366" s="110">
        <v>34.35</v>
      </c>
      <c r="C366" s="110">
        <v>33.549999999999997</v>
      </c>
      <c r="D366" s="110">
        <v>32.5</v>
      </c>
      <c r="E366" s="110">
        <v>32.5</v>
      </c>
      <c r="F366" s="110">
        <v>33.549999999999997</v>
      </c>
      <c r="G366">
        <v>148563</v>
      </c>
      <c r="H366" s="110"/>
      <c r="I366" s="110"/>
      <c r="L366" s="134">
        <v>42541</v>
      </c>
      <c r="M366" s="110">
        <v>33.700000000000003</v>
      </c>
      <c r="N366" s="110">
        <v>34.4</v>
      </c>
      <c r="O366" s="110">
        <v>32.4</v>
      </c>
      <c r="P366" s="110">
        <v>32.549999999999997</v>
      </c>
      <c r="Q366" s="110">
        <v>33.700000000000003</v>
      </c>
      <c r="R366">
        <v>764891</v>
      </c>
    </row>
    <row r="367" spans="1:18" x14ac:dyDescent="0.25">
      <c r="A367" s="134">
        <v>42542</v>
      </c>
      <c r="B367" s="110">
        <v>33.85</v>
      </c>
      <c r="C367" s="110">
        <v>33.049999999999997</v>
      </c>
      <c r="D367" s="110">
        <v>32.700000000000003</v>
      </c>
      <c r="E367" s="110">
        <v>33.75</v>
      </c>
      <c r="F367" s="110">
        <v>33.049999999999997</v>
      </c>
      <c r="G367">
        <v>36582</v>
      </c>
      <c r="H367" s="110"/>
      <c r="I367" s="110"/>
      <c r="L367" s="134">
        <v>42542</v>
      </c>
      <c r="M367" s="110">
        <v>33.049999999999997</v>
      </c>
      <c r="N367" s="110">
        <v>34</v>
      </c>
      <c r="O367" s="110">
        <v>32.799999999999997</v>
      </c>
      <c r="P367" s="110">
        <v>33.950000000000003</v>
      </c>
      <c r="Q367" s="110">
        <v>33.049999999999997</v>
      </c>
      <c r="R367">
        <v>224776</v>
      </c>
    </row>
    <row r="368" spans="1:18" x14ac:dyDescent="0.25">
      <c r="A368" s="134">
        <v>42543</v>
      </c>
      <c r="B368" s="110">
        <v>34.85</v>
      </c>
      <c r="C368" s="110">
        <v>33.4</v>
      </c>
      <c r="D368" s="110">
        <v>32.5</v>
      </c>
      <c r="E368" s="110">
        <v>33.049999999999997</v>
      </c>
      <c r="F368" s="110">
        <v>33.4</v>
      </c>
      <c r="G368">
        <v>142076</v>
      </c>
      <c r="H368" s="110"/>
      <c r="I368" s="110"/>
      <c r="L368" s="134">
        <v>42543</v>
      </c>
      <c r="M368" s="110">
        <v>33.4</v>
      </c>
      <c r="N368" s="110">
        <v>34.9</v>
      </c>
      <c r="O368" s="110">
        <v>32.5</v>
      </c>
      <c r="P368" s="110">
        <v>33.1</v>
      </c>
      <c r="Q368" s="110">
        <v>33.4</v>
      </c>
      <c r="R368">
        <v>688156</v>
      </c>
    </row>
    <row r="369" spans="1:18" x14ac:dyDescent="0.25">
      <c r="A369" s="134">
        <v>42544</v>
      </c>
      <c r="B369" s="110">
        <v>33.549999999999997</v>
      </c>
      <c r="C369" s="110">
        <v>32.950000000000003</v>
      </c>
      <c r="D369" s="110">
        <v>32.799999999999997</v>
      </c>
      <c r="E369" s="110">
        <v>33.4</v>
      </c>
      <c r="F369" s="110">
        <v>32.950000000000003</v>
      </c>
      <c r="G369">
        <v>37517</v>
      </c>
      <c r="H369" s="110"/>
      <c r="I369" s="110"/>
      <c r="L369" s="134">
        <v>42544</v>
      </c>
      <c r="M369" s="110">
        <v>33</v>
      </c>
      <c r="N369" s="110">
        <v>33.799999999999997</v>
      </c>
      <c r="O369" s="110">
        <v>32.799999999999997</v>
      </c>
      <c r="P369" s="110">
        <v>33.75</v>
      </c>
      <c r="Q369" s="110">
        <v>33</v>
      </c>
      <c r="R369">
        <v>192332</v>
      </c>
    </row>
    <row r="370" spans="1:18" x14ac:dyDescent="0.25">
      <c r="A370" s="134">
        <v>42545</v>
      </c>
      <c r="B370" s="110">
        <v>32.450000000000003</v>
      </c>
      <c r="C370" s="110">
        <v>31.85</v>
      </c>
      <c r="D370" s="110">
        <v>30.9</v>
      </c>
      <c r="E370" s="110">
        <v>32</v>
      </c>
      <c r="F370" s="110">
        <v>31.85</v>
      </c>
      <c r="G370">
        <v>67594</v>
      </c>
      <c r="H370" s="110"/>
      <c r="I370" s="110"/>
      <c r="L370" s="134">
        <v>42545</v>
      </c>
      <c r="M370" s="110">
        <v>31.8</v>
      </c>
      <c r="N370" s="110">
        <v>32.450000000000003</v>
      </c>
      <c r="O370" s="110">
        <v>30.8</v>
      </c>
      <c r="P370" s="110">
        <v>31.95</v>
      </c>
      <c r="Q370" s="110">
        <v>31.8</v>
      </c>
      <c r="R370">
        <v>345834</v>
      </c>
    </row>
    <row r="371" spans="1:18" x14ac:dyDescent="0.25">
      <c r="A371" s="134">
        <v>42548</v>
      </c>
      <c r="B371" s="110">
        <v>33.5</v>
      </c>
      <c r="C371" s="110">
        <v>32.75</v>
      </c>
      <c r="D371" s="110">
        <v>31.6</v>
      </c>
      <c r="E371" s="110">
        <v>31.85</v>
      </c>
      <c r="F371" s="110">
        <v>32.75</v>
      </c>
      <c r="G371">
        <v>46789</v>
      </c>
      <c r="H371" s="110"/>
      <c r="I371" s="110"/>
      <c r="L371" s="134">
        <v>42548</v>
      </c>
      <c r="M371" s="110">
        <v>32.85</v>
      </c>
      <c r="N371" s="110">
        <v>33.450000000000003</v>
      </c>
      <c r="O371" s="110">
        <v>31.8</v>
      </c>
      <c r="P371" s="110">
        <v>32</v>
      </c>
      <c r="Q371" s="110">
        <v>32.85</v>
      </c>
      <c r="R371">
        <v>265963</v>
      </c>
    </row>
    <row r="372" spans="1:18" x14ac:dyDescent="0.25">
      <c r="A372" s="134">
        <v>42549</v>
      </c>
      <c r="B372" s="110">
        <v>33.299999999999997</v>
      </c>
      <c r="C372" s="110">
        <v>33.15</v>
      </c>
      <c r="D372" s="110">
        <v>32.799999999999997</v>
      </c>
      <c r="E372" s="110">
        <v>33</v>
      </c>
      <c r="F372" s="110">
        <v>33.15</v>
      </c>
      <c r="G372">
        <v>44353</v>
      </c>
      <c r="H372" s="110"/>
      <c r="I372" s="110"/>
      <c r="L372" s="134">
        <v>42549</v>
      </c>
      <c r="M372" s="110">
        <v>33.25</v>
      </c>
      <c r="N372" s="110">
        <v>33.5</v>
      </c>
      <c r="O372" s="110">
        <v>32.6</v>
      </c>
      <c r="P372" s="110">
        <v>32.85</v>
      </c>
      <c r="Q372" s="110">
        <v>33.25</v>
      </c>
      <c r="R372">
        <v>197253</v>
      </c>
    </row>
    <row r="373" spans="1:18" x14ac:dyDescent="0.25">
      <c r="A373" s="134">
        <v>42550</v>
      </c>
      <c r="B373" s="110">
        <v>33.9</v>
      </c>
      <c r="C373" s="110">
        <v>33.25</v>
      </c>
      <c r="D373" s="110">
        <v>33.1</v>
      </c>
      <c r="E373" s="110">
        <v>33.4</v>
      </c>
      <c r="F373" s="110">
        <v>33.25</v>
      </c>
      <c r="G373">
        <v>68522</v>
      </c>
      <c r="H373" s="110"/>
      <c r="I373" s="110"/>
      <c r="L373" s="134">
        <v>42550</v>
      </c>
      <c r="M373" s="110">
        <v>33.049999999999997</v>
      </c>
      <c r="N373" s="110">
        <v>33.85</v>
      </c>
      <c r="O373" s="110">
        <v>32.799999999999997</v>
      </c>
      <c r="P373" s="110">
        <v>33.35</v>
      </c>
      <c r="Q373" s="110">
        <v>33.049999999999997</v>
      </c>
      <c r="R373">
        <v>146462</v>
      </c>
    </row>
    <row r="374" spans="1:18" x14ac:dyDescent="0.25">
      <c r="A374" s="134">
        <v>42551</v>
      </c>
      <c r="B374" s="110">
        <v>33.85</v>
      </c>
      <c r="C374" s="110">
        <v>32.549999999999997</v>
      </c>
      <c r="D374" s="110">
        <v>32.200000000000003</v>
      </c>
      <c r="E374" s="110">
        <v>33.85</v>
      </c>
      <c r="F374" s="110">
        <v>32.549999999999997</v>
      </c>
      <c r="G374">
        <v>49535</v>
      </c>
      <c r="H374" s="110"/>
      <c r="I374" s="110"/>
      <c r="L374" s="134">
        <v>42551</v>
      </c>
      <c r="M374" s="110">
        <v>32.65</v>
      </c>
      <c r="N374" s="110">
        <v>33.549999999999997</v>
      </c>
      <c r="O374" s="110">
        <v>32.6</v>
      </c>
      <c r="P374" s="110">
        <v>33.549999999999997</v>
      </c>
      <c r="Q374" s="110">
        <v>32.65</v>
      </c>
      <c r="R374">
        <v>160756</v>
      </c>
    </row>
    <row r="375" spans="1:18" x14ac:dyDescent="0.25">
      <c r="A375" s="134">
        <v>42552</v>
      </c>
      <c r="B375" s="110">
        <v>33.35</v>
      </c>
      <c r="C375" s="110">
        <v>32.9</v>
      </c>
      <c r="D375" s="110">
        <v>32.700000000000003</v>
      </c>
      <c r="E375" s="110">
        <v>32.700000000000003</v>
      </c>
      <c r="F375" s="110">
        <v>32.9</v>
      </c>
      <c r="G375">
        <v>71986</v>
      </c>
      <c r="H375" s="110"/>
      <c r="I375" s="110"/>
      <c r="L375" s="134">
        <v>42552</v>
      </c>
      <c r="M375" s="110">
        <v>33.049999999999997</v>
      </c>
      <c r="N375" s="110">
        <v>33.5</v>
      </c>
      <c r="O375" s="110">
        <v>32.6</v>
      </c>
      <c r="P375" s="110">
        <v>32.6</v>
      </c>
      <c r="Q375" s="110">
        <v>33.049999999999997</v>
      </c>
      <c r="R375">
        <v>222297</v>
      </c>
    </row>
    <row r="376" spans="1:18" x14ac:dyDescent="0.25">
      <c r="A376" s="134">
        <v>42555</v>
      </c>
      <c r="B376" s="110">
        <v>34.5</v>
      </c>
      <c r="C376" s="110">
        <v>34</v>
      </c>
      <c r="D376" s="110">
        <v>33</v>
      </c>
      <c r="E376" s="110">
        <v>33.299999999999997</v>
      </c>
      <c r="F376" s="110">
        <v>34</v>
      </c>
      <c r="G376">
        <v>79009</v>
      </c>
      <c r="H376" s="110"/>
      <c r="I376" s="110"/>
      <c r="L376" s="134">
        <v>42555</v>
      </c>
      <c r="M376" s="110">
        <v>33.9</v>
      </c>
      <c r="N376" s="110">
        <v>34.5</v>
      </c>
      <c r="O376" s="110">
        <v>32.799999999999997</v>
      </c>
      <c r="P376" s="110">
        <v>32.799999999999997</v>
      </c>
      <c r="Q376" s="110">
        <v>33.9</v>
      </c>
      <c r="R376">
        <v>552909</v>
      </c>
    </row>
    <row r="377" spans="1:18" x14ac:dyDescent="0.25">
      <c r="A377" s="134">
        <v>42556</v>
      </c>
      <c r="B377" s="110">
        <v>35</v>
      </c>
      <c r="C377" s="110">
        <v>34.35</v>
      </c>
      <c r="D377" s="110">
        <v>33.9</v>
      </c>
      <c r="E377" s="110">
        <v>34</v>
      </c>
      <c r="F377" s="110">
        <v>34.35</v>
      </c>
      <c r="G377">
        <v>98313</v>
      </c>
      <c r="H377" s="110"/>
      <c r="I377" s="110"/>
      <c r="L377" s="134">
        <v>42556</v>
      </c>
      <c r="M377" s="110">
        <v>34.4</v>
      </c>
      <c r="N377" s="110">
        <v>35</v>
      </c>
      <c r="O377" s="110">
        <v>33.549999999999997</v>
      </c>
      <c r="P377" s="110">
        <v>33.549999999999997</v>
      </c>
      <c r="Q377" s="110">
        <v>34.4</v>
      </c>
      <c r="R377">
        <v>688018</v>
      </c>
    </row>
    <row r="378" spans="1:18" x14ac:dyDescent="0.25">
      <c r="A378" s="134">
        <v>42558</v>
      </c>
      <c r="B378" s="110">
        <v>37.4</v>
      </c>
      <c r="C378" s="110">
        <v>35</v>
      </c>
      <c r="D378" s="110">
        <v>34.200000000000003</v>
      </c>
      <c r="E378" s="110">
        <v>34.549999999999997</v>
      </c>
      <c r="F378" s="110">
        <v>35</v>
      </c>
      <c r="G378">
        <v>216744</v>
      </c>
      <c r="H378" s="110"/>
      <c r="I378" s="110"/>
      <c r="L378" s="134">
        <v>42558</v>
      </c>
      <c r="M378" s="110">
        <v>34.9</v>
      </c>
      <c r="N378" s="110">
        <v>37.4</v>
      </c>
      <c r="O378" s="110">
        <v>34.049999999999997</v>
      </c>
      <c r="P378" s="110">
        <v>34.299999999999997</v>
      </c>
      <c r="Q378" s="110">
        <v>34.9</v>
      </c>
      <c r="R378">
        <v>926328</v>
      </c>
    </row>
    <row r="379" spans="1:18" x14ac:dyDescent="0.25">
      <c r="A379" s="134">
        <v>42559</v>
      </c>
      <c r="B379" s="110">
        <v>35.549999999999997</v>
      </c>
      <c r="C379" s="110">
        <v>34.25</v>
      </c>
      <c r="D379" s="110">
        <v>34</v>
      </c>
      <c r="E379" s="110">
        <v>35.15</v>
      </c>
      <c r="F379" s="110">
        <v>34.25</v>
      </c>
      <c r="G379">
        <v>55701</v>
      </c>
      <c r="H379" s="110"/>
      <c r="I379" s="110"/>
      <c r="L379" s="134">
        <v>42559</v>
      </c>
      <c r="M379" s="110">
        <v>34.200000000000003</v>
      </c>
      <c r="N379" s="110">
        <v>35.450000000000003</v>
      </c>
      <c r="O379" s="110">
        <v>34.049999999999997</v>
      </c>
      <c r="P379" s="110">
        <v>35</v>
      </c>
      <c r="Q379" s="110">
        <v>34.200000000000003</v>
      </c>
      <c r="R379">
        <v>220588</v>
      </c>
    </row>
    <row r="380" spans="1:18" x14ac:dyDescent="0.25">
      <c r="A380" s="134">
        <v>42562</v>
      </c>
      <c r="B380" s="110">
        <v>35.200000000000003</v>
      </c>
      <c r="C380" s="110">
        <v>34.950000000000003</v>
      </c>
      <c r="D380" s="110">
        <v>34.4</v>
      </c>
      <c r="E380" s="110">
        <v>34.75</v>
      </c>
      <c r="F380" s="110">
        <v>34.950000000000003</v>
      </c>
      <c r="G380">
        <v>60367</v>
      </c>
      <c r="H380" s="110"/>
      <c r="I380" s="110"/>
      <c r="L380" s="134">
        <v>42562</v>
      </c>
      <c r="M380" s="110">
        <v>34.85</v>
      </c>
      <c r="N380" s="110">
        <v>35.200000000000003</v>
      </c>
      <c r="O380" s="110">
        <v>34.299999999999997</v>
      </c>
      <c r="P380" s="110">
        <v>34.65</v>
      </c>
      <c r="Q380" s="110">
        <v>34.85</v>
      </c>
      <c r="R380">
        <v>272411</v>
      </c>
    </row>
    <row r="381" spans="1:18" x14ac:dyDescent="0.25">
      <c r="A381" s="134">
        <v>42563</v>
      </c>
      <c r="B381" s="110">
        <v>35.35</v>
      </c>
      <c r="C381" s="110">
        <v>34.700000000000003</v>
      </c>
      <c r="D381" s="110">
        <v>34</v>
      </c>
      <c r="E381" s="110">
        <v>34</v>
      </c>
      <c r="F381" s="110">
        <v>34.700000000000003</v>
      </c>
      <c r="G381">
        <v>58502</v>
      </c>
      <c r="H381" s="110"/>
      <c r="I381" s="110"/>
      <c r="L381" s="134">
        <v>42563</v>
      </c>
      <c r="M381" s="110">
        <v>34.549999999999997</v>
      </c>
      <c r="N381" s="110">
        <v>35.200000000000003</v>
      </c>
      <c r="O381" s="110">
        <v>34.25</v>
      </c>
      <c r="P381" s="110">
        <v>34.85</v>
      </c>
      <c r="Q381" s="110">
        <v>34.549999999999997</v>
      </c>
      <c r="R381">
        <v>287104</v>
      </c>
    </row>
    <row r="382" spans="1:18" x14ac:dyDescent="0.25">
      <c r="A382" s="134">
        <v>42564</v>
      </c>
      <c r="B382" s="110">
        <v>34.549999999999997</v>
      </c>
      <c r="C382" s="110">
        <v>33.85</v>
      </c>
      <c r="D382" s="110">
        <v>33.6</v>
      </c>
      <c r="E382" s="110">
        <v>34.5</v>
      </c>
      <c r="F382" s="110">
        <v>33.85</v>
      </c>
      <c r="G382">
        <v>35175</v>
      </c>
      <c r="H382" s="110"/>
      <c r="I382" s="110"/>
      <c r="L382" s="134">
        <v>42564</v>
      </c>
      <c r="M382" s="110">
        <v>33.799999999999997</v>
      </c>
      <c r="N382" s="110">
        <v>34.700000000000003</v>
      </c>
      <c r="O382" s="110">
        <v>33.700000000000003</v>
      </c>
      <c r="P382" s="110">
        <v>34.700000000000003</v>
      </c>
      <c r="Q382" s="110">
        <v>33.799999999999997</v>
      </c>
      <c r="R382">
        <v>172374</v>
      </c>
    </row>
    <row r="383" spans="1:18" x14ac:dyDescent="0.25">
      <c r="A383" s="134">
        <v>42565</v>
      </c>
      <c r="B383" s="110">
        <v>35.4</v>
      </c>
      <c r="C383" s="110">
        <v>34.6</v>
      </c>
      <c r="D383" s="110">
        <v>33.6</v>
      </c>
      <c r="E383" s="110">
        <v>33.65</v>
      </c>
      <c r="F383" s="110">
        <v>34.6</v>
      </c>
      <c r="G383">
        <v>96987</v>
      </c>
      <c r="H383" s="110"/>
      <c r="I383" s="110"/>
      <c r="L383" s="134">
        <v>42565</v>
      </c>
      <c r="M383" s="110">
        <v>34.5</v>
      </c>
      <c r="N383" s="110">
        <v>35.35</v>
      </c>
      <c r="O383" s="110">
        <v>33.6</v>
      </c>
      <c r="P383" s="110">
        <v>33.950000000000003</v>
      </c>
      <c r="Q383" s="110">
        <v>34.5</v>
      </c>
      <c r="R383">
        <v>441378</v>
      </c>
    </row>
    <row r="384" spans="1:18" x14ac:dyDescent="0.25">
      <c r="A384" s="134">
        <v>42566</v>
      </c>
      <c r="B384" s="110">
        <v>35.65</v>
      </c>
      <c r="C384" s="110">
        <v>34.299999999999997</v>
      </c>
      <c r="D384" s="110">
        <v>34.049999999999997</v>
      </c>
      <c r="E384" s="110">
        <v>34.700000000000003</v>
      </c>
      <c r="F384" s="110">
        <v>34.299999999999997</v>
      </c>
      <c r="G384">
        <v>117597</v>
      </c>
      <c r="H384" s="110"/>
      <c r="I384" s="110"/>
      <c r="L384" s="134">
        <v>42566</v>
      </c>
      <c r="M384" s="110">
        <v>34.35</v>
      </c>
      <c r="N384" s="110">
        <v>35.75</v>
      </c>
      <c r="O384" s="110">
        <v>34.049999999999997</v>
      </c>
      <c r="P384" s="110">
        <v>34.5</v>
      </c>
      <c r="Q384" s="110">
        <v>34.35</v>
      </c>
      <c r="R384">
        <v>445114</v>
      </c>
    </row>
    <row r="385" spans="1:18" x14ac:dyDescent="0.25">
      <c r="A385" s="134">
        <v>42569</v>
      </c>
      <c r="B385" s="110">
        <v>34.85</v>
      </c>
      <c r="C385" s="110">
        <v>33.75</v>
      </c>
      <c r="D385" s="110">
        <v>33.549999999999997</v>
      </c>
      <c r="E385" s="110">
        <v>34.85</v>
      </c>
      <c r="F385" s="110">
        <v>33.75</v>
      </c>
      <c r="G385">
        <v>27282</v>
      </c>
      <c r="H385" s="110"/>
      <c r="I385" s="110"/>
      <c r="L385" s="134">
        <v>42569</v>
      </c>
      <c r="M385" s="110">
        <v>33.700000000000003</v>
      </c>
      <c r="N385" s="110">
        <v>34.9</v>
      </c>
      <c r="O385" s="110">
        <v>33.5</v>
      </c>
      <c r="P385" s="110">
        <v>34.9</v>
      </c>
      <c r="Q385" s="110">
        <v>33.700000000000003</v>
      </c>
      <c r="R385">
        <v>186192</v>
      </c>
    </row>
    <row r="386" spans="1:18" x14ac:dyDescent="0.25">
      <c r="A386" s="134">
        <v>42570</v>
      </c>
      <c r="B386" s="110">
        <v>34.5</v>
      </c>
      <c r="C386" s="110">
        <v>33.65</v>
      </c>
      <c r="D386" s="110">
        <v>33.200000000000003</v>
      </c>
      <c r="E386" s="110">
        <v>33.65</v>
      </c>
      <c r="F386" s="110">
        <v>33.65</v>
      </c>
      <c r="G386">
        <v>44801</v>
      </c>
      <c r="H386" s="110"/>
      <c r="I386" s="110"/>
      <c r="L386" s="134">
        <v>42570</v>
      </c>
      <c r="M386" s="110">
        <v>33.65</v>
      </c>
      <c r="N386" s="110">
        <v>34.65</v>
      </c>
      <c r="O386" s="110">
        <v>33.299999999999997</v>
      </c>
      <c r="P386" s="110">
        <v>34.299999999999997</v>
      </c>
      <c r="Q386" s="110">
        <v>33.65</v>
      </c>
      <c r="R386">
        <v>222441</v>
      </c>
    </row>
    <row r="387" spans="1:18" x14ac:dyDescent="0.25">
      <c r="A387" s="134">
        <v>42571</v>
      </c>
      <c r="B387" s="110">
        <v>34.5</v>
      </c>
      <c r="C387" s="110">
        <v>33.9</v>
      </c>
      <c r="D387" s="110">
        <v>33.75</v>
      </c>
      <c r="E387" s="110">
        <v>33.75</v>
      </c>
      <c r="F387" s="110">
        <v>33.9</v>
      </c>
      <c r="G387">
        <v>30729</v>
      </c>
      <c r="H387" s="110"/>
      <c r="I387" s="110"/>
      <c r="L387" s="134">
        <v>42571</v>
      </c>
      <c r="M387" s="110">
        <v>33.799999999999997</v>
      </c>
      <c r="N387" s="110">
        <v>34.549999999999997</v>
      </c>
      <c r="O387" s="110">
        <v>33.5</v>
      </c>
      <c r="P387" s="110">
        <v>33.700000000000003</v>
      </c>
      <c r="Q387" s="110">
        <v>33.799999999999997</v>
      </c>
      <c r="R387">
        <v>169457</v>
      </c>
    </row>
    <row r="388" spans="1:18" x14ac:dyDescent="0.25">
      <c r="A388" s="134">
        <v>42572</v>
      </c>
      <c r="B388" s="110">
        <v>34.1</v>
      </c>
      <c r="C388" s="110">
        <v>33.049999999999997</v>
      </c>
      <c r="D388" s="110">
        <v>33</v>
      </c>
      <c r="E388" s="110">
        <v>34</v>
      </c>
      <c r="F388" s="110">
        <v>33.049999999999997</v>
      </c>
      <c r="G388">
        <v>30888</v>
      </c>
      <c r="H388" s="110"/>
      <c r="I388" s="110"/>
      <c r="L388" s="134">
        <v>42572</v>
      </c>
      <c r="M388" s="110">
        <v>33.1</v>
      </c>
      <c r="N388" s="110">
        <v>34.25</v>
      </c>
      <c r="O388" s="110">
        <v>33</v>
      </c>
      <c r="P388" s="110">
        <v>34.25</v>
      </c>
      <c r="Q388" s="110">
        <v>33.1</v>
      </c>
      <c r="R388">
        <v>117521</v>
      </c>
    </row>
    <row r="389" spans="1:18" x14ac:dyDescent="0.25">
      <c r="A389" s="134">
        <v>42573</v>
      </c>
      <c r="B389" s="110">
        <v>33.15</v>
      </c>
      <c r="C389" s="110">
        <v>33.049999999999997</v>
      </c>
      <c r="D389" s="110">
        <v>32.75</v>
      </c>
      <c r="E389" s="110">
        <v>33.1</v>
      </c>
      <c r="F389" s="110">
        <v>33.049999999999997</v>
      </c>
      <c r="G389">
        <v>17268</v>
      </c>
      <c r="H389" s="110"/>
      <c r="I389" s="110"/>
      <c r="L389" s="134">
        <v>42573</v>
      </c>
      <c r="M389" s="110">
        <v>33</v>
      </c>
      <c r="N389" s="110">
        <v>33.450000000000003</v>
      </c>
      <c r="O389" s="110">
        <v>32.85</v>
      </c>
      <c r="P389" s="110">
        <v>33.1</v>
      </c>
      <c r="Q389" s="110">
        <v>33</v>
      </c>
      <c r="R389">
        <v>97808</v>
      </c>
    </row>
    <row r="390" spans="1:18" x14ac:dyDescent="0.25">
      <c r="A390" s="134">
        <v>42576</v>
      </c>
      <c r="B390" s="110">
        <v>34</v>
      </c>
      <c r="C390" s="110">
        <v>33.35</v>
      </c>
      <c r="D390" s="110">
        <v>32.75</v>
      </c>
      <c r="E390" s="110">
        <v>32.9</v>
      </c>
      <c r="F390" s="110">
        <v>33.35</v>
      </c>
      <c r="G390">
        <v>31660</v>
      </c>
      <c r="H390" s="110"/>
      <c r="I390" s="110"/>
      <c r="L390" s="134">
        <v>42576</v>
      </c>
      <c r="M390" s="110">
        <v>33.35</v>
      </c>
      <c r="N390" s="110">
        <v>33.9</v>
      </c>
      <c r="O390" s="110">
        <v>32.75</v>
      </c>
      <c r="P390" s="110">
        <v>33</v>
      </c>
      <c r="Q390" s="110">
        <v>33.35</v>
      </c>
      <c r="R390">
        <v>153821</v>
      </c>
    </row>
    <row r="391" spans="1:18" x14ac:dyDescent="0.25">
      <c r="A391" s="134">
        <v>42577</v>
      </c>
      <c r="B391" s="110">
        <v>34</v>
      </c>
      <c r="C391" s="110">
        <v>33.15</v>
      </c>
      <c r="D391" s="110">
        <v>33.1</v>
      </c>
      <c r="E391" s="110">
        <v>33.299999999999997</v>
      </c>
      <c r="F391" s="110">
        <v>33.15</v>
      </c>
      <c r="G391">
        <v>31901</v>
      </c>
      <c r="H391" s="110"/>
      <c r="I391" s="110"/>
      <c r="L391" s="134">
        <v>42577</v>
      </c>
      <c r="M391" s="110">
        <v>33.1</v>
      </c>
      <c r="N391" s="110">
        <v>33.950000000000003</v>
      </c>
      <c r="O391" s="110">
        <v>33.049999999999997</v>
      </c>
      <c r="P391" s="110">
        <v>33.5</v>
      </c>
      <c r="Q391" s="110">
        <v>33.1</v>
      </c>
      <c r="R391">
        <v>103906</v>
      </c>
    </row>
    <row r="392" spans="1:18" x14ac:dyDescent="0.25">
      <c r="A392" s="134">
        <v>42578</v>
      </c>
      <c r="B392" s="110">
        <v>33.25</v>
      </c>
      <c r="C392" s="110">
        <v>32.950000000000003</v>
      </c>
      <c r="D392" s="110">
        <v>32.9</v>
      </c>
      <c r="E392" s="110">
        <v>33.1</v>
      </c>
      <c r="F392" s="110">
        <v>32.950000000000003</v>
      </c>
      <c r="G392">
        <v>13580</v>
      </c>
      <c r="H392" s="110"/>
      <c r="I392" s="110"/>
      <c r="L392" s="134">
        <v>42578</v>
      </c>
      <c r="M392" s="110">
        <v>33</v>
      </c>
      <c r="N392" s="110">
        <v>33.5</v>
      </c>
      <c r="O392" s="110">
        <v>32.950000000000003</v>
      </c>
      <c r="P392" s="110">
        <v>33.450000000000003</v>
      </c>
      <c r="Q392" s="110">
        <v>33</v>
      </c>
      <c r="R392">
        <v>62367</v>
      </c>
    </row>
    <row r="393" spans="1:18" x14ac:dyDescent="0.25">
      <c r="A393" s="134">
        <v>42579</v>
      </c>
      <c r="B393" s="110">
        <v>33.4</v>
      </c>
      <c r="C393" s="110">
        <v>32.85</v>
      </c>
      <c r="D393" s="110">
        <v>32.700000000000003</v>
      </c>
      <c r="E393" s="110">
        <v>33.299999999999997</v>
      </c>
      <c r="F393" s="110">
        <v>32.85</v>
      </c>
      <c r="G393">
        <v>19673</v>
      </c>
      <c r="H393" s="110"/>
      <c r="I393" s="110"/>
      <c r="L393" s="134">
        <v>42579</v>
      </c>
      <c r="M393" s="110">
        <v>32.799999999999997</v>
      </c>
      <c r="N393" s="110">
        <v>33.35</v>
      </c>
      <c r="O393" s="110">
        <v>32.700000000000003</v>
      </c>
      <c r="P393" s="110">
        <v>33.25</v>
      </c>
      <c r="Q393" s="110">
        <v>32.799999999999997</v>
      </c>
      <c r="R393">
        <v>101859</v>
      </c>
    </row>
    <row r="394" spans="1:18" x14ac:dyDescent="0.25">
      <c r="A394" s="134">
        <v>42580</v>
      </c>
      <c r="B394" s="110">
        <v>32.9</v>
      </c>
      <c r="C394" s="110">
        <v>32.549999999999997</v>
      </c>
      <c r="D394" s="110">
        <v>32.35</v>
      </c>
      <c r="E394" s="110">
        <v>32.35</v>
      </c>
      <c r="F394" s="110">
        <v>32.549999999999997</v>
      </c>
      <c r="G394">
        <v>18940</v>
      </c>
      <c r="H394" s="110"/>
      <c r="I394" s="110"/>
      <c r="L394" s="134">
        <v>42580</v>
      </c>
      <c r="M394" s="110">
        <v>32.450000000000003</v>
      </c>
      <c r="N394" s="110">
        <v>32.9</v>
      </c>
      <c r="O394" s="110">
        <v>32.4</v>
      </c>
      <c r="P394" s="110">
        <v>32.799999999999997</v>
      </c>
      <c r="Q394" s="110">
        <v>32.450000000000003</v>
      </c>
      <c r="R394">
        <v>87240</v>
      </c>
    </row>
    <row r="395" spans="1:18" x14ac:dyDescent="0.25">
      <c r="A395" s="134">
        <v>42583</v>
      </c>
      <c r="B395" s="110">
        <v>32.85</v>
      </c>
      <c r="C395" s="110">
        <v>32.15</v>
      </c>
      <c r="D395" s="110">
        <v>32</v>
      </c>
      <c r="E395" s="110">
        <v>32.799999999999997</v>
      </c>
      <c r="F395" s="110">
        <v>32.15</v>
      </c>
      <c r="G395">
        <v>14037</v>
      </c>
      <c r="H395" s="110"/>
      <c r="I395" s="110"/>
      <c r="L395" s="134">
        <v>42583</v>
      </c>
      <c r="M395" s="110">
        <v>32.200000000000003</v>
      </c>
      <c r="N395" s="110">
        <v>32.9</v>
      </c>
      <c r="O395" s="110">
        <v>32.1</v>
      </c>
      <c r="P395" s="110">
        <v>32.9</v>
      </c>
      <c r="Q395" s="110">
        <v>32.200000000000003</v>
      </c>
      <c r="R395">
        <v>88404</v>
      </c>
    </row>
    <row r="396" spans="1:18" x14ac:dyDescent="0.25">
      <c r="A396" s="134">
        <v>42584</v>
      </c>
      <c r="B396" s="110">
        <v>32.35</v>
      </c>
      <c r="C396" s="110">
        <v>31.6</v>
      </c>
      <c r="D396" s="110">
        <v>31.4</v>
      </c>
      <c r="E396" s="110">
        <v>32.25</v>
      </c>
      <c r="F396" s="110">
        <v>31.6</v>
      </c>
      <c r="G396">
        <v>27942</v>
      </c>
      <c r="H396" s="110"/>
      <c r="I396" s="110"/>
      <c r="L396" s="134">
        <v>42584</v>
      </c>
      <c r="M396" s="110">
        <v>31.85</v>
      </c>
      <c r="N396" s="110">
        <v>32.299999999999997</v>
      </c>
      <c r="O396" s="110">
        <v>31.8</v>
      </c>
      <c r="P396" s="110">
        <v>32.299999999999997</v>
      </c>
      <c r="Q396" s="110">
        <v>31.85</v>
      </c>
      <c r="R396">
        <v>88935</v>
      </c>
    </row>
    <row r="397" spans="1:18" x14ac:dyDescent="0.25">
      <c r="A397" s="134">
        <v>42585</v>
      </c>
      <c r="B397" s="110">
        <v>31.9</v>
      </c>
      <c r="C397" s="110">
        <v>31.65</v>
      </c>
      <c r="D397" s="110">
        <v>31.5</v>
      </c>
      <c r="E397" s="110">
        <v>31.6</v>
      </c>
      <c r="F397" s="110">
        <v>31.65</v>
      </c>
      <c r="G397">
        <v>28962</v>
      </c>
      <c r="H397" s="110"/>
      <c r="I397" s="110"/>
      <c r="L397" s="134">
        <v>42585</v>
      </c>
      <c r="M397" s="110">
        <v>31.6</v>
      </c>
      <c r="N397" s="110">
        <v>31.95</v>
      </c>
      <c r="O397" s="110">
        <v>31.35</v>
      </c>
      <c r="P397" s="110">
        <v>31.9</v>
      </c>
      <c r="Q397" s="110">
        <v>31.6</v>
      </c>
      <c r="R397">
        <v>72837</v>
      </c>
    </row>
    <row r="398" spans="1:18" x14ac:dyDescent="0.25">
      <c r="A398" s="134">
        <v>42586</v>
      </c>
      <c r="B398" s="110">
        <v>31.9</v>
      </c>
      <c r="C398" s="110">
        <v>31.65</v>
      </c>
      <c r="D398" s="110">
        <v>31.15</v>
      </c>
      <c r="E398" s="110">
        <v>31.8</v>
      </c>
      <c r="F398" s="110">
        <v>31.65</v>
      </c>
      <c r="G398">
        <v>18906</v>
      </c>
      <c r="H398" s="110"/>
      <c r="I398" s="110"/>
      <c r="L398" s="134">
        <v>42586</v>
      </c>
      <c r="M398" s="110">
        <v>31.6</v>
      </c>
      <c r="N398" s="110">
        <v>31.95</v>
      </c>
      <c r="O398" s="110">
        <v>31.3</v>
      </c>
      <c r="P398" s="110">
        <v>31.85</v>
      </c>
      <c r="Q398" s="110">
        <v>31.6</v>
      </c>
      <c r="R398">
        <v>78196</v>
      </c>
    </row>
    <row r="399" spans="1:18" x14ac:dyDescent="0.25">
      <c r="A399" s="134">
        <v>42587</v>
      </c>
      <c r="B399" s="110">
        <v>32.15</v>
      </c>
      <c r="C399" s="110">
        <v>32</v>
      </c>
      <c r="D399" s="110">
        <v>31.65</v>
      </c>
      <c r="E399" s="110">
        <v>32</v>
      </c>
      <c r="F399" s="110">
        <v>32</v>
      </c>
      <c r="G399">
        <v>24223</v>
      </c>
      <c r="H399" s="110"/>
      <c r="I399" s="110"/>
      <c r="L399" s="134">
        <v>42587</v>
      </c>
      <c r="M399" s="110">
        <v>31.9</v>
      </c>
      <c r="N399" s="110">
        <v>32</v>
      </c>
      <c r="O399" s="110">
        <v>31.65</v>
      </c>
      <c r="P399" s="110">
        <v>31.9</v>
      </c>
      <c r="Q399" s="110">
        <v>31.9</v>
      </c>
      <c r="R399">
        <v>103126</v>
      </c>
    </row>
    <row r="400" spans="1:18" x14ac:dyDescent="0.25">
      <c r="A400" s="134">
        <v>42590</v>
      </c>
      <c r="B400" s="110">
        <v>32.25</v>
      </c>
      <c r="C400" s="110">
        <v>31.95</v>
      </c>
      <c r="D400" s="110">
        <v>31.4</v>
      </c>
      <c r="E400" s="110">
        <v>31.4</v>
      </c>
      <c r="F400" s="110">
        <v>31.95</v>
      </c>
      <c r="G400">
        <v>12712</v>
      </c>
      <c r="H400" s="110"/>
      <c r="I400" s="110"/>
      <c r="L400" s="134">
        <v>42590</v>
      </c>
      <c r="M400" s="110">
        <v>31.8</v>
      </c>
      <c r="N400" s="110">
        <v>32.25</v>
      </c>
      <c r="O400" s="110">
        <v>31.65</v>
      </c>
      <c r="P400" s="110">
        <v>32</v>
      </c>
      <c r="Q400" s="110">
        <v>31.8</v>
      </c>
      <c r="R400">
        <v>44253</v>
      </c>
    </row>
    <row r="401" spans="1:18" x14ac:dyDescent="0.25">
      <c r="A401" s="134">
        <v>42591</v>
      </c>
      <c r="B401" s="110">
        <v>32.15</v>
      </c>
      <c r="C401" s="110">
        <v>31.6</v>
      </c>
      <c r="D401" s="110">
        <v>31.5</v>
      </c>
      <c r="E401" s="110">
        <v>32</v>
      </c>
      <c r="F401" s="110">
        <v>31.6</v>
      </c>
      <c r="G401">
        <v>17122</v>
      </c>
      <c r="H401" s="110"/>
      <c r="I401" s="110"/>
      <c r="L401" s="134">
        <v>42591</v>
      </c>
      <c r="M401" s="110">
        <v>31.7</v>
      </c>
      <c r="N401" s="110">
        <v>32</v>
      </c>
      <c r="O401" s="110">
        <v>31.6</v>
      </c>
      <c r="P401" s="110">
        <v>31.95</v>
      </c>
      <c r="Q401" s="110">
        <v>31.7</v>
      </c>
      <c r="R401">
        <v>76745</v>
      </c>
    </row>
    <row r="402" spans="1:18" x14ac:dyDescent="0.25">
      <c r="A402" s="134">
        <v>42592</v>
      </c>
      <c r="B402" s="110">
        <v>32</v>
      </c>
      <c r="C402" s="110">
        <v>31.4</v>
      </c>
      <c r="D402" s="110">
        <v>31.3</v>
      </c>
      <c r="E402" s="110">
        <v>31.7</v>
      </c>
      <c r="F402" s="110">
        <v>31.4</v>
      </c>
      <c r="G402">
        <v>12779</v>
      </c>
      <c r="H402" s="110"/>
      <c r="I402" s="110"/>
      <c r="L402" s="134">
        <v>42592</v>
      </c>
      <c r="M402" s="110">
        <v>31.4</v>
      </c>
      <c r="N402" s="110">
        <v>31.85</v>
      </c>
      <c r="O402" s="110">
        <v>31.4</v>
      </c>
      <c r="P402" s="110">
        <v>31.7</v>
      </c>
      <c r="Q402" s="110">
        <v>31.4</v>
      </c>
      <c r="R402">
        <v>60510</v>
      </c>
    </row>
    <row r="403" spans="1:18" x14ac:dyDescent="0.25">
      <c r="A403" s="134">
        <v>42593</v>
      </c>
      <c r="B403" s="110">
        <v>31.25</v>
      </c>
      <c r="C403" s="110">
        <v>31.05</v>
      </c>
      <c r="D403" s="110">
        <v>30.95</v>
      </c>
      <c r="E403" s="110">
        <v>31.2</v>
      </c>
      <c r="F403" s="110">
        <v>31.05</v>
      </c>
      <c r="G403">
        <v>7572</v>
      </c>
      <c r="H403" s="110"/>
      <c r="I403" s="110"/>
      <c r="L403" s="134">
        <v>42593</v>
      </c>
      <c r="M403" s="110">
        <v>31.05</v>
      </c>
      <c r="N403" s="110">
        <v>31.45</v>
      </c>
      <c r="O403" s="110">
        <v>30.9</v>
      </c>
      <c r="P403" s="110">
        <v>31.45</v>
      </c>
      <c r="Q403" s="110">
        <v>31.05</v>
      </c>
      <c r="R403">
        <v>96106</v>
      </c>
    </row>
    <row r="404" spans="1:18" x14ac:dyDescent="0.25">
      <c r="A404" s="134">
        <v>42594</v>
      </c>
      <c r="B404" s="110">
        <v>32.200000000000003</v>
      </c>
      <c r="C404" s="110">
        <v>31.75</v>
      </c>
      <c r="D404" s="110">
        <v>30.75</v>
      </c>
      <c r="E404" s="110">
        <v>31.1</v>
      </c>
      <c r="F404" s="110">
        <v>31.75</v>
      </c>
      <c r="G404">
        <v>61331</v>
      </c>
      <c r="H404" s="110"/>
      <c r="I404" s="110"/>
      <c r="L404" s="134">
        <v>42594</v>
      </c>
      <c r="M404" s="110">
        <v>31.65</v>
      </c>
      <c r="N404" s="110">
        <v>32.35</v>
      </c>
      <c r="O404" s="110">
        <v>30.6</v>
      </c>
      <c r="P404" s="110">
        <v>31.15</v>
      </c>
      <c r="Q404" s="110">
        <v>31.65</v>
      </c>
      <c r="R404">
        <v>254702</v>
      </c>
    </row>
    <row r="405" spans="1:18" x14ac:dyDescent="0.25">
      <c r="A405" s="134">
        <v>42598</v>
      </c>
      <c r="B405" s="110">
        <v>31.5</v>
      </c>
      <c r="C405" s="110">
        <v>31</v>
      </c>
      <c r="D405" s="110">
        <v>29.95</v>
      </c>
      <c r="E405" s="110">
        <v>31.5</v>
      </c>
      <c r="F405" s="110">
        <v>31</v>
      </c>
      <c r="G405">
        <v>57902</v>
      </c>
      <c r="H405" s="110"/>
      <c r="I405" s="110"/>
      <c r="L405" s="134">
        <v>42598</v>
      </c>
      <c r="M405" s="110">
        <v>30.95</v>
      </c>
      <c r="N405" s="110">
        <v>31.3</v>
      </c>
      <c r="O405" s="110">
        <v>30.15</v>
      </c>
      <c r="P405" s="110">
        <v>30.7</v>
      </c>
      <c r="Q405" s="110">
        <v>30.95</v>
      </c>
      <c r="R405">
        <v>176103</v>
      </c>
    </row>
    <row r="406" spans="1:18" x14ac:dyDescent="0.25">
      <c r="A406" s="134">
        <v>42599</v>
      </c>
      <c r="B406" s="110">
        <v>31.25</v>
      </c>
      <c r="C406" s="110">
        <v>30.6</v>
      </c>
      <c r="D406" s="110">
        <v>30.5</v>
      </c>
      <c r="E406" s="110">
        <v>31.05</v>
      </c>
      <c r="F406" s="110">
        <v>30.6</v>
      </c>
      <c r="G406">
        <v>25306</v>
      </c>
      <c r="H406" s="110"/>
      <c r="I406" s="110"/>
      <c r="L406" s="134">
        <v>42599</v>
      </c>
      <c r="M406" s="110">
        <v>30.7</v>
      </c>
      <c r="N406" s="110">
        <v>31.15</v>
      </c>
      <c r="O406" s="110">
        <v>30.6</v>
      </c>
      <c r="P406" s="110">
        <v>31.05</v>
      </c>
      <c r="Q406" s="110">
        <v>30.7</v>
      </c>
      <c r="R406">
        <v>57642</v>
      </c>
    </row>
    <row r="407" spans="1:18" x14ac:dyDescent="0.25">
      <c r="A407" s="134">
        <v>42600</v>
      </c>
      <c r="B407" s="110">
        <v>31.5</v>
      </c>
      <c r="C407" s="110">
        <v>31.35</v>
      </c>
      <c r="D407" s="110">
        <v>30.9</v>
      </c>
      <c r="E407" s="110">
        <v>31.25</v>
      </c>
      <c r="F407" s="110">
        <v>31.35</v>
      </c>
      <c r="G407">
        <v>25220</v>
      </c>
      <c r="H407" s="110"/>
      <c r="I407" s="110"/>
      <c r="L407" s="134">
        <v>42600</v>
      </c>
      <c r="M407" s="110">
        <v>31.35</v>
      </c>
      <c r="N407" s="110">
        <v>31.7</v>
      </c>
      <c r="O407" s="110">
        <v>30.7</v>
      </c>
      <c r="P407" s="110">
        <v>31.15</v>
      </c>
      <c r="Q407" s="110">
        <v>31.35</v>
      </c>
      <c r="R407">
        <v>113933</v>
      </c>
    </row>
    <row r="408" spans="1:18" x14ac:dyDescent="0.25">
      <c r="A408" s="134">
        <v>42601</v>
      </c>
      <c r="B408" s="110">
        <v>31.9</v>
      </c>
      <c r="C408" s="110">
        <v>31.65</v>
      </c>
      <c r="D408" s="110">
        <v>31.3</v>
      </c>
      <c r="E408" s="110">
        <v>31.5</v>
      </c>
      <c r="F408" s="110">
        <v>31.65</v>
      </c>
      <c r="G408">
        <v>34326</v>
      </c>
      <c r="H408" s="110"/>
      <c r="I408" s="110"/>
      <c r="L408" s="134">
        <v>42601</v>
      </c>
      <c r="M408" s="110">
        <v>31.55</v>
      </c>
      <c r="N408" s="110">
        <v>31.9</v>
      </c>
      <c r="O408" s="110">
        <v>31.2</v>
      </c>
      <c r="P408" s="110">
        <v>31.5</v>
      </c>
      <c r="Q408" s="110">
        <v>31.55</v>
      </c>
      <c r="R408">
        <v>72527</v>
      </c>
    </row>
    <row r="409" spans="1:18" x14ac:dyDescent="0.25">
      <c r="A409" s="134">
        <v>42604</v>
      </c>
      <c r="B409" s="110">
        <v>31.65</v>
      </c>
      <c r="C409" s="110">
        <v>31.4</v>
      </c>
      <c r="D409" s="110">
        <v>31.15</v>
      </c>
      <c r="E409" s="110">
        <v>31.5</v>
      </c>
      <c r="F409" s="110">
        <v>31.4</v>
      </c>
      <c r="G409">
        <v>18755</v>
      </c>
      <c r="H409" s="110"/>
      <c r="I409" s="110"/>
      <c r="L409" s="134">
        <v>42604</v>
      </c>
      <c r="M409" s="110">
        <v>31.4</v>
      </c>
      <c r="N409" s="110">
        <v>31.85</v>
      </c>
      <c r="O409" s="110">
        <v>31.3</v>
      </c>
      <c r="P409" s="110">
        <v>31.55</v>
      </c>
      <c r="Q409" s="110">
        <v>31.4</v>
      </c>
      <c r="R409">
        <v>55365</v>
      </c>
    </row>
    <row r="410" spans="1:18" x14ac:dyDescent="0.25">
      <c r="A410" s="134">
        <v>42605</v>
      </c>
      <c r="B410" s="110">
        <v>31.6</v>
      </c>
      <c r="C410" s="110">
        <v>31.3</v>
      </c>
      <c r="D410" s="110">
        <v>31.2</v>
      </c>
      <c r="E410" s="110">
        <v>31.25</v>
      </c>
      <c r="F410" s="110">
        <v>31.3</v>
      </c>
      <c r="G410">
        <v>12008</v>
      </c>
      <c r="H410" s="110"/>
      <c r="I410" s="110"/>
      <c r="L410" s="134">
        <v>42605</v>
      </c>
      <c r="M410" s="110">
        <v>31.2</v>
      </c>
      <c r="N410" s="110">
        <v>31.7</v>
      </c>
      <c r="O410" s="110">
        <v>31.1</v>
      </c>
      <c r="P410" s="110">
        <v>31.5</v>
      </c>
      <c r="Q410" s="110">
        <v>31.2</v>
      </c>
      <c r="R410">
        <v>82011</v>
      </c>
    </row>
    <row r="411" spans="1:18" x14ac:dyDescent="0.25">
      <c r="A411" s="134">
        <v>42606</v>
      </c>
      <c r="B411" s="110">
        <v>31.45</v>
      </c>
      <c r="C411" s="110">
        <v>31.15</v>
      </c>
      <c r="D411" s="110">
        <v>31</v>
      </c>
      <c r="E411" s="110">
        <v>31.45</v>
      </c>
      <c r="F411" s="110">
        <v>31.15</v>
      </c>
      <c r="G411">
        <v>11469</v>
      </c>
      <c r="H411" s="110"/>
      <c r="I411" s="110"/>
      <c r="L411" s="134">
        <v>42606</v>
      </c>
      <c r="M411" s="110">
        <v>31.15</v>
      </c>
      <c r="N411" s="110">
        <v>31.6</v>
      </c>
      <c r="O411" s="110">
        <v>31.05</v>
      </c>
      <c r="P411" s="110">
        <v>31.5</v>
      </c>
      <c r="Q411" s="110">
        <v>31.15</v>
      </c>
      <c r="R411">
        <v>40245</v>
      </c>
    </row>
    <row r="412" spans="1:18" x14ac:dyDescent="0.25">
      <c r="A412" s="134">
        <v>42607</v>
      </c>
      <c r="B412" s="110">
        <v>31.4</v>
      </c>
      <c r="C412" s="110">
        <v>30.7</v>
      </c>
      <c r="D412" s="110">
        <v>30.5</v>
      </c>
      <c r="E412" s="110">
        <v>31.15</v>
      </c>
      <c r="F412" s="110">
        <v>30.7</v>
      </c>
      <c r="G412">
        <v>20283</v>
      </c>
      <c r="H412" s="110"/>
      <c r="I412" s="110"/>
      <c r="L412" s="134">
        <v>42607</v>
      </c>
      <c r="M412" s="110">
        <v>30.8</v>
      </c>
      <c r="N412" s="110">
        <v>31.5</v>
      </c>
      <c r="O412" s="110">
        <v>30.75</v>
      </c>
      <c r="P412" s="110">
        <v>31.25</v>
      </c>
      <c r="Q412" s="110">
        <v>30.8</v>
      </c>
      <c r="R412">
        <v>76043</v>
      </c>
    </row>
    <row r="413" spans="1:18" x14ac:dyDescent="0.25">
      <c r="A413" s="134">
        <v>42608</v>
      </c>
      <c r="B413" s="110">
        <v>30.95</v>
      </c>
      <c r="C413" s="110">
        <v>30.55</v>
      </c>
      <c r="D413" s="110">
        <v>30.05</v>
      </c>
      <c r="E413" s="110">
        <v>30.05</v>
      </c>
      <c r="F413" s="110">
        <v>30.55</v>
      </c>
      <c r="G413">
        <v>19110</v>
      </c>
      <c r="H413" s="110"/>
      <c r="I413" s="110"/>
      <c r="L413" s="134">
        <v>42608</v>
      </c>
      <c r="M413" s="110">
        <v>30.55</v>
      </c>
      <c r="N413" s="110">
        <v>31.35</v>
      </c>
      <c r="O413" s="110">
        <v>30.5</v>
      </c>
      <c r="P413" s="110">
        <v>31</v>
      </c>
      <c r="Q413" s="110">
        <v>30.55</v>
      </c>
      <c r="R413">
        <v>48921</v>
      </c>
    </row>
    <row r="414" spans="1:18" x14ac:dyDescent="0.25">
      <c r="A414" s="134">
        <v>42611</v>
      </c>
      <c r="B414" s="110">
        <v>30.75</v>
      </c>
      <c r="C414" s="110">
        <v>30.45</v>
      </c>
      <c r="D414" s="110">
        <v>30.25</v>
      </c>
      <c r="E414" s="110">
        <v>30.6</v>
      </c>
      <c r="F414" s="110">
        <v>30.45</v>
      </c>
      <c r="G414">
        <v>11490</v>
      </c>
      <c r="H414" s="110"/>
      <c r="I414" s="110"/>
      <c r="L414" s="134">
        <v>42611</v>
      </c>
      <c r="M414" s="110">
        <v>30.3</v>
      </c>
      <c r="N414" s="110">
        <v>30.8</v>
      </c>
      <c r="O414" s="110">
        <v>30.15</v>
      </c>
      <c r="P414" s="110">
        <v>30.65</v>
      </c>
      <c r="Q414" s="110">
        <v>30.3</v>
      </c>
      <c r="R414">
        <v>70200</v>
      </c>
    </row>
    <row r="415" spans="1:18" x14ac:dyDescent="0.25">
      <c r="A415" s="134">
        <v>42612</v>
      </c>
      <c r="B415" s="110">
        <v>30.95</v>
      </c>
      <c r="C415" s="110">
        <v>30.85</v>
      </c>
      <c r="D415" s="110">
        <v>30.3</v>
      </c>
      <c r="E415" s="110">
        <v>30.3</v>
      </c>
      <c r="F415" s="110">
        <v>30.85</v>
      </c>
      <c r="G415">
        <v>26333</v>
      </c>
      <c r="H415" s="110"/>
      <c r="I415" s="110"/>
      <c r="L415" s="134">
        <v>42612</v>
      </c>
      <c r="M415" s="110">
        <v>30.85</v>
      </c>
      <c r="N415" s="110">
        <v>31</v>
      </c>
      <c r="O415" s="110">
        <v>30.25</v>
      </c>
      <c r="P415" s="110">
        <v>30.3</v>
      </c>
      <c r="Q415" s="110">
        <v>30.85</v>
      </c>
      <c r="R415">
        <v>82742</v>
      </c>
    </row>
    <row r="416" spans="1:18" x14ac:dyDescent="0.25">
      <c r="A416" s="134">
        <v>42613</v>
      </c>
      <c r="B416" s="110">
        <v>32</v>
      </c>
      <c r="C416" s="110">
        <v>31.45</v>
      </c>
      <c r="D416" s="110">
        <v>30.7</v>
      </c>
      <c r="E416" s="110">
        <v>31</v>
      </c>
      <c r="F416" s="110">
        <v>31.45</v>
      </c>
      <c r="G416">
        <v>31809</v>
      </c>
      <c r="H416" s="110"/>
      <c r="I416" s="110"/>
      <c r="L416" s="134">
        <v>42613</v>
      </c>
      <c r="M416" s="110">
        <v>31.6</v>
      </c>
      <c r="N416" s="110">
        <v>31.8</v>
      </c>
      <c r="O416" s="110">
        <v>30.8</v>
      </c>
      <c r="P416" s="110">
        <v>31</v>
      </c>
      <c r="Q416" s="110">
        <v>31.6</v>
      </c>
      <c r="R416">
        <v>152164</v>
      </c>
    </row>
    <row r="417" spans="1:18" x14ac:dyDescent="0.25">
      <c r="A417" s="134">
        <v>42614</v>
      </c>
      <c r="B417" s="110">
        <v>31.75</v>
      </c>
      <c r="C417" s="110">
        <v>31</v>
      </c>
      <c r="D417" s="110">
        <v>30.85</v>
      </c>
      <c r="E417" s="110">
        <v>31.6</v>
      </c>
      <c r="F417" s="110">
        <v>31</v>
      </c>
      <c r="G417">
        <v>15597</v>
      </c>
      <c r="H417" s="110"/>
      <c r="I417" s="110"/>
      <c r="L417" s="134">
        <v>42614</v>
      </c>
      <c r="M417" s="110">
        <v>31.05</v>
      </c>
      <c r="N417" s="110">
        <v>31.75</v>
      </c>
      <c r="O417" s="110">
        <v>30.75</v>
      </c>
      <c r="P417" s="110">
        <v>31.6</v>
      </c>
      <c r="Q417" s="110">
        <v>31.05</v>
      </c>
      <c r="R417">
        <v>61368</v>
      </c>
    </row>
    <row r="418" spans="1:18" x14ac:dyDescent="0.25">
      <c r="A418" s="134">
        <v>42615</v>
      </c>
      <c r="B418" s="110">
        <v>31.25</v>
      </c>
      <c r="C418" s="110">
        <v>31</v>
      </c>
      <c r="D418" s="110">
        <v>30.55</v>
      </c>
      <c r="E418" s="110">
        <v>31.25</v>
      </c>
      <c r="F418" s="110">
        <v>31</v>
      </c>
      <c r="G418">
        <v>13064</v>
      </c>
      <c r="H418" s="110"/>
      <c r="I418" s="110"/>
      <c r="L418" s="134">
        <v>42615</v>
      </c>
      <c r="M418" s="110">
        <v>30.95</v>
      </c>
      <c r="N418" s="110">
        <v>31.2</v>
      </c>
      <c r="O418" s="110">
        <v>30.8</v>
      </c>
      <c r="P418" s="110">
        <v>31.05</v>
      </c>
      <c r="Q418" s="110">
        <v>30.95</v>
      </c>
      <c r="R418">
        <v>32761</v>
      </c>
    </row>
    <row r="419" spans="1:18" x14ac:dyDescent="0.25">
      <c r="A419" s="134">
        <v>42619</v>
      </c>
      <c r="B419" s="110">
        <v>31.7</v>
      </c>
      <c r="C419" s="110">
        <v>31.1</v>
      </c>
      <c r="D419" s="110">
        <v>31</v>
      </c>
      <c r="E419" s="110">
        <v>31.45</v>
      </c>
      <c r="F419" s="110">
        <v>31.1</v>
      </c>
      <c r="G419">
        <v>13750</v>
      </c>
      <c r="H419" s="110"/>
      <c r="I419" s="110"/>
      <c r="L419" s="134">
        <v>42619</v>
      </c>
      <c r="M419" s="110">
        <v>31.15</v>
      </c>
      <c r="N419" s="110">
        <v>31.7</v>
      </c>
      <c r="O419" s="110">
        <v>31</v>
      </c>
      <c r="P419" s="110">
        <v>31.3</v>
      </c>
      <c r="Q419" s="110">
        <v>31.15</v>
      </c>
      <c r="R419">
        <v>68544</v>
      </c>
    </row>
    <row r="420" spans="1:18" x14ac:dyDescent="0.25">
      <c r="A420" s="134">
        <v>42620</v>
      </c>
      <c r="B420" s="110">
        <v>32.5</v>
      </c>
      <c r="C420" s="110">
        <v>32.25</v>
      </c>
      <c r="D420" s="110">
        <v>31.25</v>
      </c>
      <c r="E420" s="110">
        <v>31.7</v>
      </c>
      <c r="F420" s="110">
        <v>32.25</v>
      </c>
      <c r="G420">
        <v>75432</v>
      </c>
      <c r="H420" s="110"/>
      <c r="I420" s="110"/>
      <c r="L420" s="134">
        <v>42620</v>
      </c>
      <c r="M420" s="110">
        <v>32.15</v>
      </c>
      <c r="N420" s="110">
        <v>32.5</v>
      </c>
      <c r="O420" s="110">
        <v>31.15</v>
      </c>
      <c r="P420" s="110">
        <v>31.15</v>
      </c>
      <c r="Q420" s="110">
        <v>32.15</v>
      </c>
      <c r="R420">
        <v>295228</v>
      </c>
    </row>
    <row r="421" spans="1:18" x14ac:dyDescent="0.25">
      <c r="A421" s="134">
        <v>42621</v>
      </c>
      <c r="B421" s="110">
        <v>34.15</v>
      </c>
      <c r="C421" s="110">
        <v>32.9</v>
      </c>
      <c r="D421" s="110">
        <v>32.200000000000003</v>
      </c>
      <c r="E421" s="110">
        <v>32.5</v>
      </c>
      <c r="F421" s="110">
        <v>32.9</v>
      </c>
      <c r="G421">
        <v>112498</v>
      </c>
      <c r="H421" s="110"/>
      <c r="I421" s="110"/>
      <c r="L421" s="134">
        <v>42621</v>
      </c>
      <c r="M421" s="110">
        <v>32.950000000000003</v>
      </c>
      <c r="N421" s="110">
        <v>34.200000000000003</v>
      </c>
      <c r="O421" s="110">
        <v>32.15</v>
      </c>
      <c r="P421" s="110">
        <v>32.15</v>
      </c>
      <c r="Q421" s="110">
        <v>32.950000000000003</v>
      </c>
      <c r="R421">
        <v>484471</v>
      </c>
    </row>
    <row r="422" spans="1:18" x14ac:dyDescent="0.25">
      <c r="A422" s="134">
        <v>42622</v>
      </c>
      <c r="B422" s="110">
        <v>33.200000000000003</v>
      </c>
      <c r="C422" s="110">
        <v>32.700000000000003</v>
      </c>
      <c r="D422" s="110">
        <v>32.549999999999997</v>
      </c>
      <c r="E422" s="110">
        <v>32.799999999999997</v>
      </c>
      <c r="F422" s="110">
        <v>32.700000000000003</v>
      </c>
      <c r="G422">
        <v>49191</v>
      </c>
      <c r="H422" s="110"/>
      <c r="I422" s="110"/>
      <c r="L422" s="134">
        <v>42622</v>
      </c>
      <c r="M422" s="110">
        <v>32.700000000000003</v>
      </c>
      <c r="N422" s="110">
        <v>33.4</v>
      </c>
      <c r="O422" s="110">
        <v>32.6</v>
      </c>
      <c r="P422" s="110">
        <v>32.950000000000003</v>
      </c>
      <c r="Q422" s="110">
        <v>32.700000000000003</v>
      </c>
      <c r="R422">
        <v>103389</v>
      </c>
    </row>
    <row r="423" spans="1:18" x14ac:dyDescent="0.25">
      <c r="A423" s="134">
        <v>42625</v>
      </c>
      <c r="B423" s="110">
        <v>31.9</v>
      </c>
      <c r="C423" s="110">
        <v>31.6</v>
      </c>
      <c r="D423" s="110">
        <v>31.45</v>
      </c>
      <c r="E423" s="110">
        <v>31.45</v>
      </c>
      <c r="F423" s="110">
        <v>31.6</v>
      </c>
      <c r="G423">
        <v>21925</v>
      </c>
      <c r="H423" s="110"/>
      <c r="I423" s="110"/>
      <c r="L423" s="134">
        <v>42625</v>
      </c>
      <c r="M423" s="110">
        <v>31.5</v>
      </c>
      <c r="N423" s="110">
        <v>32.4</v>
      </c>
      <c r="O423" s="110">
        <v>31.2</v>
      </c>
      <c r="P423" s="110">
        <v>31.2</v>
      </c>
      <c r="Q423" s="110">
        <v>31.5</v>
      </c>
      <c r="R423">
        <v>114024</v>
      </c>
    </row>
    <row r="424" spans="1:18" x14ac:dyDescent="0.25">
      <c r="A424" s="134">
        <v>42627</v>
      </c>
      <c r="B424" s="110">
        <v>32</v>
      </c>
      <c r="C424" s="110">
        <v>31.5</v>
      </c>
      <c r="D424" s="110">
        <v>31.4</v>
      </c>
      <c r="E424" s="110">
        <v>31.6</v>
      </c>
      <c r="F424" s="110">
        <v>31.5</v>
      </c>
      <c r="G424">
        <v>45707</v>
      </c>
      <c r="H424" s="110"/>
      <c r="I424" s="110"/>
      <c r="L424" s="134">
        <v>42627</v>
      </c>
      <c r="M424" s="110">
        <v>31.6</v>
      </c>
      <c r="N424" s="110">
        <v>32.200000000000003</v>
      </c>
      <c r="O424" s="110">
        <v>31.45</v>
      </c>
      <c r="P424" s="110">
        <v>32.200000000000003</v>
      </c>
      <c r="Q424" s="110">
        <v>31.6</v>
      </c>
      <c r="R424">
        <v>104717</v>
      </c>
    </row>
    <row r="425" spans="1:18" x14ac:dyDescent="0.25">
      <c r="A425" s="134">
        <v>42628</v>
      </c>
      <c r="B425" s="110">
        <v>31.95</v>
      </c>
      <c r="C425" s="110">
        <v>31.7</v>
      </c>
      <c r="D425" s="110">
        <v>31.55</v>
      </c>
      <c r="E425" s="110">
        <v>31.75</v>
      </c>
      <c r="F425" s="110">
        <v>31.7</v>
      </c>
      <c r="G425">
        <v>16251</v>
      </c>
      <c r="H425" s="110"/>
      <c r="I425" s="110"/>
      <c r="L425" s="134">
        <v>42628</v>
      </c>
      <c r="M425" s="110">
        <v>31.75</v>
      </c>
      <c r="N425" s="110">
        <v>32.25</v>
      </c>
      <c r="O425" s="110">
        <v>31.5</v>
      </c>
      <c r="P425" s="110">
        <v>31.5</v>
      </c>
      <c r="Q425" s="110">
        <v>31.75</v>
      </c>
      <c r="R425">
        <v>78520</v>
      </c>
    </row>
    <row r="426" spans="1:18" x14ac:dyDescent="0.25">
      <c r="A426" s="134">
        <v>42629</v>
      </c>
      <c r="B426" s="110">
        <v>32.4</v>
      </c>
      <c r="C426" s="110">
        <v>31.25</v>
      </c>
      <c r="D426" s="110">
        <v>31</v>
      </c>
      <c r="E426" s="110">
        <v>31.95</v>
      </c>
      <c r="F426" s="110">
        <v>31.25</v>
      </c>
      <c r="G426">
        <v>40806</v>
      </c>
      <c r="H426" s="110"/>
      <c r="I426" s="110"/>
      <c r="L426" s="134">
        <v>42629</v>
      </c>
      <c r="M426" s="110">
        <v>31.35</v>
      </c>
      <c r="N426" s="110">
        <v>32.35</v>
      </c>
      <c r="O426" s="110">
        <v>30.85</v>
      </c>
      <c r="P426" s="110">
        <v>31.8</v>
      </c>
      <c r="Q426" s="110">
        <v>31.35</v>
      </c>
      <c r="R426">
        <v>158420</v>
      </c>
    </row>
    <row r="427" spans="1:18" x14ac:dyDescent="0.25">
      <c r="A427" s="134">
        <v>42632</v>
      </c>
      <c r="B427" s="110">
        <v>31.7</v>
      </c>
      <c r="C427" s="110">
        <v>31.15</v>
      </c>
      <c r="D427" s="110">
        <v>31.1</v>
      </c>
      <c r="E427" s="110">
        <v>31.7</v>
      </c>
      <c r="F427" s="110">
        <v>31.15</v>
      </c>
      <c r="G427">
        <v>11808</v>
      </c>
      <c r="H427" s="110"/>
      <c r="I427" s="110"/>
      <c r="L427" s="134">
        <v>42632</v>
      </c>
      <c r="M427" s="110">
        <v>31.15</v>
      </c>
      <c r="N427" s="110">
        <v>31.9</v>
      </c>
      <c r="O427" s="110">
        <v>31.1</v>
      </c>
      <c r="P427" s="110">
        <v>31.9</v>
      </c>
      <c r="Q427" s="110">
        <v>31.15</v>
      </c>
      <c r="R427">
        <v>53259</v>
      </c>
    </row>
    <row r="428" spans="1:18" x14ac:dyDescent="0.25">
      <c r="A428" s="134">
        <v>42633</v>
      </c>
      <c r="B428" s="110">
        <v>31.4</v>
      </c>
      <c r="C428" s="110">
        <v>31</v>
      </c>
      <c r="D428" s="110">
        <v>30.9</v>
      </c>
      <c r="E428" s="110">
        <v>31.05</v>
      </c>
      <c r="F428" s="110">
        <v>31</v>
      </c>
      <c r="G428">
        <v>12903</v>
      </c>
      <c r="H428" s="110"/>
      <c r="I428" s="110"/>
      <c r="L428" s="134">
        <v>42633</v>
      </c>
      <c r="M428" s="110">
        <v>31.05</v>
      </c>
      <c r="N428" s="110">
        <v>31.35</v>
      </c>
      <c r="O428" s="110">
        <v>30.9</v>
      </c>
      <c r="P428" s="110">
        <v>31.05</v>
      </c>
      <c r="Q428" s="110">
        <v>31.05</v>
      </c>
      <c r="R428">
        <v>64514</v>
      </c>
    </row>
    <row r="429" spans="1:18" x14ac:dyDescent="0.25">
      <c r="A429" s="134">
        <v>42634</v>
      </c>
      <c r="B429" s="110">
        <v>31.4</v>
      </c>
      <c r="C429" s="110">
        <v>31.1</v>
      </c>
      <c r="D429" s="110">
        <v>30.95</v>
      </c>
      <c r="E429" s="110">
        <v>31.25</v>
      </c>
      <c r="F429" s="110">
        <v>31.1</v>
      </c>
      <c r="G429">
        <v>20954</v>
      </c>
      <c r="H429" s="110"/>
      <c r="I429" s="110"/>
      <c r="L429" s="134">
        <v>42634</v>
      </c>
      <c r="M429" s="110">
        <v>31.1</v>
      </c>
      <c r="N429" s="110">
        <v>31.35</v>
      </c>
      <c r="O429" s="110">
        <v>30.95</v>
      </c>
      <c r="P429" s="110">
        <v>31.05</v>
      </c>
      <c r="Q429" s="110">
        <v>31.1</v>
      </c>
      <c r="R429">
        <v>32113</v>
      </c>
    </row>
    <row r="430" spans="1:18" x14ac:dyDescent="0.25">
      <c r="A430" s="134">
        <v>42635</v>
      </c>
      <c r="B430" s="110">
        <v>31.5</v>
      </c>
      <c r="C430" s="110">
        <v>31.4</v>
      </c>
      <c r="D430" s="110">
        <v>31.1</v>
      </c>
      <c r="E430" s="110">
        <v>31.5</v>
      </c>
      <c r="F430" s="110">
        <v>31.4</v>
      </c>
      <c r="G430">
        <v>14136</v>
      </c>
      <c r="H430" s="110"/>
      <c r="I430" s="110"/>
      <c r="L430" s="134">
        <v>42635</v>
      </c>
      <c r="M430" s="110">
        <v>31.4</v>
      </c>
      <c r="N430" s="110">
        <v>31.85</v>
      </c>
      <c r="O430" s="110">
        <v>31.15</v>
      </c>
      <c r="P430" s="110">
        <v>31.3</v>
      </c>
      <c r="Q430" s="110">
        <v>31.4</v>
      </c>
      <c r="R430">
        <v>46793</v>
      </c>
    </row>
    <row r="431" spans="1:18" x14ac:dyDescent="0.25">
      <c r="A431" s="134">
        <v>42636</v>
      </c>
      <c r="B431" s="110">
        <v>31.55</v>
      </c>
      <c r="C431" s="110">
        <v>31.05</v>
      </c>
      <c r="D431" s="110">
        <v>31</v>
      </c>
      <c r="E431" s="110">
        <v>31.45</v>
      </c>
      <c r="F431" s="110">
        <v>31.05</v>
      </c>
      <c r="G431">
        <v>16263</v>
      </c>
      <c r="H431" s="110"/>
      <c r="I431" s="110"/>
      <c r="L431" s="134">
        <v>42636</v>
      </c>
      <c r="M431" s="110">
        <v>31.1</v>
      </c>
      <c r="N431" s="110">
        <v>31.7</v>
      </c>
      <c r="O431" s="110">
        <v>31</v>
      </c>
      <c r="P431" s="110">
        <v>31.4</v>
      </c>
      <c r="Q431" s="110">
        <v>31.1</v>
      </c>
      <c r="R431">
        <v>63922</v>
      </c>
    </row>
    <row r="432" spans="1:18" x14ac:dyDescent="0.25">
      <c r="A432" s="134">
        <v>42639</v>
      </c>
      <c r="B432" s="110">
        <v>31.35</v>
      </c>
      <c r="C432" s="110">
        <v>30.95</v>
      </c>
      <c r="D432" s="110">
        <v>30.85</v>
      </c>
      <c r="E432" s="110">
        <v>31.1</v>
      </c>
      <c r="F432" s="110">
        <v>30.95</v>
      </c>
      <c r="G432">
        <v>12151</v>
      </c>
      <c r="H432" s="110"/>
      <c r="I432" s="110"/>
      <c r="L432" s="134">
        <v>42639</v>
      </c>
      <c r="M432" s="110">
        <v>30.9</v>
      </c>
      <c r="N432" s="110">
        <v>31.35</v>
      </c>
      <c r="O432" s="110">
        <v>30.8</v>
      </c>
      <c r="P432" s="110">
        <v>31.3</v>
      </c>
      <c r="Q432" s="110">
        <v>30.9</v>
      </c>
      <c r="R432">
        <v>62426</v>
      </c>
    </row>
    <row r="433" spans="1:18" x14ac:dyDescent="0.25">
      <c r="A433" s="134">
        <v>42640</v>
      </c>
      <c r="B433" s="110">
        <v>31.65</v>
      </c>
      <c r="C433" s="110">
        <v>30.9</v>
      </c>
      <c r="D433" s="110">
        <v>30.5</v>
      </c>
      <c r="E433" s="110">
        <v>31.25</v>
      </c>
      <c r="F433" s="110">
        <v>30.9</v>
      </c>
      <c r="G433">
        <v>25005</v>
      </c>
      <c r="H433" s="110"/>
      <c r="I433" s="110"/>
      <c r="L433" s="134">
        <v>42640</v>
      </c>
      <c r="M433" s="110">
        <v>30.85</v>
      </c>
      <c r="N433" s="110">
        <v>31.5</v>
      </c>
      <c r="O433" s="110">
        <v>30.7</v>
      </c>
      <c r="P433" s="110">
        <v>31</v>
      </c>
      <c r="Q433" s="110">
        <v>30.85</v>
      </c>
      <c r="R433">
        <v>110569</v>
      </c>
    </row>
    <row r="434" spans="1:18" x14ac:dyDescent="0.25">
      <c r="A434" s="134">
        <v>42641</v>
      </c>
      <c r="B434" s="110">
        <v>31.55</v>
      </c>
      <c r="C434" s="110">
        <v>31.3</v>
      </c>
      <c r="D434" s="110">
        <v>30.95</v>
      </c>
      <c r="E434" s="110">
        <v>31</v>
      </c>
      <c r="F434" s="110">
        <v>31.3</v>
      </c>
      <c r="G434">
        <v>34126</v>
      </c>
      <c r="H434" s="110"/>
      <c r="I434" s="110"/>
      <c r="L434" s="134">
        <v>42641</v>
      </c>
      <c r="M434" s="110">
        <v>31.05</v>
      </c>
      <c r="N434" s="110">
        <v>31.5</v>
      </c>
      <c r="O434" s="110">
        <v>30.9</v>
      </c>
      <c r="P434" s="110">
        <v>30.9</v>
      </c>
      <c r="Q434" s="110">
        <v>31.05</v>
      </c>
      <c r="R434">
        <v>141681</v>
      </c>
    </row>
    <row r="435" spans="1:18" x14ac:dyDescent="0.25">
      <c r="A435" s="134">
        <v>42642</v>
      </c>
      <c r="B435" s="110">
        <v>31.5</v>
      </c>
      <c r="C435" s="110">
        <v>30</v>
      </c>
      <c r="D435" s="110">
        <v>29.8</v>
      </c>
      <c r="E435" s="110">
        <v>31.5</v>
      </c>
      <c r="F435" s="110">
        <v>30</v>
      </c>
      <c r="G435">
        <v>26834</v>
      </c>
      <c r="H435" s="110"/>
      <c r="I435" s="110"/>
      <c r="L435" s="134">
        <v>42642</v>
      </c>
      <c r="M435" s="110">
        <v>30.05</v>
      </c>
      <c r="N435" s="110">
        <v>31.5</v>
      </c>
      <c r="O435" s="110">
        <v>29.8</v>
      </c>
      <c r="P435" s="110">
        <v>31.5</v>
      </c>
      <c r="Q435" s="110">
        <v>30.05</v>
      </c>
      <c r="R435">
        <v>162314</v>
      </c>
    </row>
    <row r="436" spans="1:18" x14ac:dyDescent="0.25">
      <c r="A436" s="134">
        <v>42643</v>
      </c>
      <c r="B436" s="110">
        <v>30.9</v>
      </c>
      <c r="C436" s="110">
        <v>30.15</v>
      </c>
      <c r="D436" s="110">
        <v>29</v>
      </c>
      <c r="E436" s="110">
        <v>29</v>
      </c>
      <c r="F436" s="110">
        <v>30.15</v>
      </c>
      <c r="G436">
        <v>29036</v>
      </c>
      <c r="H436" s="110"/>
      <c r="I436" s="110"/>
      <c r="L436" s="134">
        <v>42643</v>
      </c>
      <c r="M436" s="110">
        <v>30.15</v>
      </c>
      <c r="N436" s="110">
        <v>30.45</v>
      </c>
      <c r="O436" s="110">
        <v>29.8</v>
      </c>
      <c r="P436" s="110">
        <v>30</v>
      </c>
      <c r="Q436" s="110">
        <v>30.15</v>
      </c>
      <c r="R436">
        <v>79455</v>
      </c>
    </row>
    <row r="437" spans="1:18" x14ac:dyDescent="0.25">
      <c r="A437" s="134">
        <v>42646</v>
      </c>
      <c r="B437" s="110">
        <v>30.9</v>
      </c>
      <c r="C437" s="110">
        <v>30.6</v>
      </c>
      <c r="D437" s="110">
        <v>30.1</v>
      </c>
      <c r="E437" s="110">
        <v>30.1</v>
      </c>
      <c r="F437" s="110">
        <v>30.6</v>
      </c>
      <c r="G437">
        <v>11376</v>
      </c>
      <c r="H437" s="110"/>
      <c r="I437" s="110"/>
      <c r="L437" s="134">
        <v>42646</v>
      </c>
      <c r="M437" s="110">
        <v>30.6</v>
      </c>
      <c r="N437" s="110">
        <v>31</v>
      </c>
      <c r="O437" s="110">
        <v>30.1</v>
      </c>
      <c r="P437" s="110">
        <v>30.1</v>
      </c>
      <c r="Q437" s="110">
        <v>30.6</v>
      </c>
      <c r="R437">
        <v>63716</v>
      </c>
    </row>
    <row r="438" spans="1:18" x14ac:dyDescent="0.25">
      <c r="A438" s="134">
        <v>42647</v>
      </c>
      <c r="B438" s="110">
        <v>31.5</v>
      </c>
      <c r="C438" s="110">
        <v>31.1</v>
      </c>
      <c r="D438" s="110">
        <v>30.75</v>
      </c>
      <c r="E438" s="110">
        <v>31</v>
      </c>
      <c r="F438" s="110">
        <v>31.1</v>
      </c>
      <c r="G438">
        <v>16746</v>
      </c>
      <c r="H438" s="110"/>
      <c r="I438" s="110"/>
      <c r="L438" s="134">
        <v>42647</v>
      </c>
      <c r="M438" s="110">
        <v>31.2</v>
      </c>
      <c r="N438" s="110">
        <v>31.7</v>
      </c>
      <c r="O438" s="110">
        <v>30.5</v>
      </c>
      <c r="P438" s="110">
        <v>31.7</v>
      </c>
      <c r="Q438" s="110">
        <v>31.2</v>
      </c>
      <c r="R438">
        <v>158151</v>
      </c>
    </row>
    <row r="439" spans="1:18" x14ac:dyDescent="0.25">
      <c r="A439" s="134">
        <v>42648</v>
      </c>
      <c r="B439" s="110">
        <v>31.5</v>
      </c>
      <c r="C439" s="110">
        <v>31.2</v>
      </c>
      <c r="D439" s="110">
        <v>31.1</v>
      </c>
      <c r="E439" s="110">
        <v>31.25</v>
      </c>
      <c r="F439" s="110">
        <v>31.2</v>
      </c>
      <c r="G439">
        <v>26929</v>
      </c>
      <c r="H439" s="110"/>
      <c r="I439" s="110"/>
      <c r="L439" s="134">
        <v>42648</v>
      </c>
      <c r="M439" s="110">
        <v>31.25</v>
      </c>
      <c r="N439" s="110">
        <v>31.5</v>
      </c>
      <c r="O439" s="110">
        <v>31.1</v>
      </c>
      <c r="P439" s="110">
        <v>31.5</v>
      </c>
      <c r="Q439" s="110">
        <v>31.25</v>
      </c>
      <c r="R439">
        <v>78134</v>
      </c>
    </row>
    <row r="440" spans="1:18" x14ac:dyDescent="0.25">
      <c r="A440" s="134">
        <v>42649</v>
      </c>
      <c r="B440" s="110">
        <v>31.35</v>
      </c>
      <c r="C440" s="110">
        <v>30.7</v>
      </c>
      <c r="D440" s="110">
        <v>30.6</v>
      </c>
      <c r="E440" s="110">
        <v>31.15</v>
      </c>
      <c r="F440" s="110">
        <v>30.7</v>
      </c>
      <c r="G440">
        <v>15773</v>
      </c>
      <c r="H440" s="110"/>
      <c r="I440" s="110"/>
      <c r="L440" s="134">
        <v>42649</v>
      </c>
      <c r="M440" s="110">
        <v>30.8</v>
      </c>
      <c r="N440" s="110">
        <v>31.5</v>
      </c>
      <c r="O440" s="110">
        <v>30.7</v>
      </c>
      <c r="P440" s="110">
        <v>31.5</v>
      </c>
      <c r="Q440" s="110">
        <v>30.8</v>
      </c>
      <c r="R440">
        <v>65600</v>
      </c>
    </row>
    <row r="441" spans="1:18" x14ac:dyDescent="0.25">
      <c r="A441" s="134">
        <v>42650</v>
      </c>
      <c r="B441" s="110">
        <v>30.9</v>
      </c>
      <c r="C441" s="110">
        <v>30.6</v>
      </c>
      <c r="D441" s="110">
        <v>30.2</v>
      </c>
      <c r="E441" s="110">
        <v>30.8</v>
      </c>
      <c r="F441" s="110">
        <v>30.6</v>
      </c>
      <c r="G441">
        <v>28816</v>
      </c>
      <c r="H441" s="110"/>
      <c r="I441" s="110"/>
      <c r="L441" s="134">
        <v>42650</v>
      </c>
      <c r="M441" s="110">
        <v>30.55</v>
      </c>
      <c r="N441" s="110">
        <v>30.95</v>
      </c>
      <c r="O441" s="110">
        <v>30</v>
      </c>
      <c r="P441" s="110">
        <v>30.8</v>
      </c>
      <c r="Q441" s="110">
        <v>30.55</v>
      </c>
      <c r="R441">
        <v>91189</v>
      </c>
    </row>
    <row r="442" spans="1:18" x14ac:dyDescent="0.25">
      <c r="A442" s="134">
        <v>42653</v>
      </c>
      <c r="B442" s="110">
        <v>31</v>
      </c>
      <c r="C442" s="110">
        <v>30.85</v>
      </c>
      <c r="D442" s="110">
        <v>30.7</v>
      </c>
      <c r="E442" s="110">
        <v>30.75</v>
      </c>
      <c r="F442" s="110">
        <v>30.85</v>
      </c>
      <c r="G442">
        <v>11744</v>
      </c>
      <c r="H442" s="110"/>
      <c r="I442" s="110"/>
      <c r="L442" s="134">
        <v>42653</v>
      </c>
      <c r="M442" s="110">
        <v>30.85</v>
      </c>
      <c r="N442" s="110">
        <v>31.2</v>
      </c>
      <c r="O442" s="110">
        <v>30.6</v>
      </c>
      <c r="P442" s="110">
        <v>31.1</v>
      </c>
      <c r="Q442" s="110">
        <v>30.85</v>
      </c>
      <c r="R442">
        <v>54348</v>
      </c>
    </row>
    <row r="443" spans="1:18" x14ac:dyDescent="0.25">
      <c r="A443" s="134">
        <v>42656</v>
      </c>
      <c r="B443" s="110">
        <v>31.2</v>
      </c>
      <c r="C443" s="110">
        <v>30.85</v>
      </c>
      <c r="D443" s="110">
        <v>30.6</v>
      </c>
      <c r="E443" s="110">
        <v>31</v>
      </c>
      <c r="F443" s="110">
        <v>30.85</v>
      </c>
      <c r="G443">
        <v>39613</v>
      </c>
      <c r="H443" s="110"/>
      <c r="I443" s="110"/>
      <c r="L443" s="134">
        <v>42656</v>
      </c>
      <c r="M443" s="110">
        <v>30.85</v>
      </c>
      <c r="N443" s="110">
        <v>31.2</v>
      </c>
      <c r="O443" s="110">
        <v>30.6</v>
      </c>
      <c r="P443" s="110">
        <v>30.85</v>
      </c>
      <c r="Q443" s="110">
        <v>30.85</v>
      </c>
      <c r="R443">
        <v>138115</v>
      </c>
    </row>
    <row r="444" spans="1:18" x14ac:dyDescent="0.25">
      <c r="A444" s="134">
        <v>42657</v>
      </c>
      <c r="B444" s="110">
        <v>31.1</v>
      </c>
      <c r="C444" s="110">
        <v>30.6</v>
      </c>
      <c r="D444" s="110">
        <v>30.5</v>
      </c>
      <c r="E444" s="110">
        <v>30.85</v>
      </c>
      <c r="F444" s="110">
        <v>30.6</v>
      </c>
      <c r="G444">
        <v>14196</v>
      </c>
      <c r="H444" s="110"/>
      <c r="I444" s="110"/>
      <c r="L444" s="134">
        <v>42657</v>
      </c>
      <c r="M444" s="110">
        <v>30.5</v>
      </c>
      <c r="N444" s="110">
        <v>31.1</v>
      </c>
      <c r="O444" s="110">
        <v>30.4</v>
      </c>
      <c r="P444" s="110">
        <v>31</v>
      </c>
      <c r="Q444" s="110">
        <v>30.5</v>
      </c>
      <c r="R444">
        <v>58079</v>
      </c>
    </row>
    <row r="445" spans="1:18" x14ac:dyDescent="0.25">
      <c r="A445" s="134">
        <v>42660</v>
      </c>
      <c r="B445" s="110">
        <v>31</v>
      </c>
      <c r="C445" s="110">
        <v>30.2</v>
      </c>
      <c r="D445" s="110">
        <v>30</v>
      </c>
      <c r="E445" s="110">
        <v>30.55</v>
      </c>
      <c r="F445" s="110">
        <v>30.2</v>
      </c>
      <c r="G445">
        <v>20661</v>
      </c>
      <c r="H445" s="110"/>
      <c r="I445" s="110"/>
      <c r="L445" s="134">
        <v>42660</v>
      </c>
      <c r="M445" s="110">
        <v>29.95</v>
      </c>
      <c r="N445" s="110">
        <v>31</v>
      </c>
      <c r="O445" s="110">
        <v>29.8</v>
      </c>
      <c r="P445" s="110">
        <v>31</v>
      </c>
      <c r="Q445" s="110">
        <v>29.95</v>
      </c>
      <c r="R445">
        <v>135166</v>
      </c>
    </row>
    <row r="446" spans="1:18" x14ac:dyDescent="0.25">
      <c r="A446" s="134">
        <v>42661</v>
      </c>
      <c r="B446" s="110">
        <v>31</v>
      </c>
      <c r="C446" s="110">
        <v>30.4</v>
      </c>
      <c r="D446" s="110">
        <v>30</v>
      </c>
      <c r="E446" s="110">
        <v>31</v>
      </c>
      <c r="F446" s="110">
        <v>30.4</v>
      </c>
      <c r="G446">
        <v>16847</v>
      </c>
      <c r="H446" s="110"/>
      <c r="I446" s="110"/>
      <c r="L446" s="134">
        <v>42661</v>
      </c>
      <c r="M446" s="110">
        <v>30.4</v>
      </c>
      <c r="N446" s="110">
        <v>30.6</v>
      </c>
      <c r="O446" s="110">
        <v>30</v>
      </c>
      <c r="P446" s="110">
        <v>30.5</v>
      </c>
      <c r="Q446" s="110">
        <v>30.4</v>
      </c>
      <c r="R446">
        <v>63104</v>
      </c>
    </row>
    <row r="447" spans="1:18" x14ac:dyDescent="0.25">
      <c r="A447" s="134">
        <v>42662</v>
      </c>
      <c r="B447" s="110">
        <v>30.95</v>
      </c>
      <c r="C447" s="110">
        <v>30.65</v>
      </c>
      <c r="D447" s="110">
        <v>30.1</v>
      </c>
      <c r="E447" s="110">
        <v>30.1</v>
      </c>
      <c r="F447" s="110">
        <v>30.65</v>
      </c>
      <c r="G447">
        <v>12807</v>
      </c>
      <c r="H447" s="110"/>
      <c r="I447" s="110"/>
      <c r="L447" s="134">
        <v>42662</v>
      </c>
      <c r="M447" s="110">
        <v>30.35</v>
      </c>
      <c r="N447" s="110">
        <v>30.75</v>
      </c>
      <c r="O447" s="110">
        <v>30.25</v>
      </c>
      <c r="P447" s="110">
        <v>30.4</v>
      </c>
      <c r="Q447" s="110">
        <v>30.35</v>
      </c>
      <c r="R447">
        <v>51600</v>
      </c>
    </row>
    <row r="448" spans="1:18" x14ac:dyDescent="0.25">
      <c r="A448" s="134">
        <v>42663</v>
      </c>
      <c r="B448" s="110">
        <v>31</v>
      </c>
      <c r="C448" s="110">
        <v>30.85</v>
      </c>
      <c r="D448" s="110">
        <v>30.2</v>
      </c>
      <c r="E448" s="110">
        <v>30.6</v>
      </c>
      <c r="F448" s="110">
        <v>30.85</v>
      </c>
      <c r="G448">
        <v>14345</v>
      </c>
      <c r="H448" s="110"/>
      <c r="I448" s="110"/>
      <c r="L448" s="134">
        <v>42663</v>
      </c>
      <c r="M448" s="110">
        <v>30.7</v>
      </c>
      <c r="N448" s="110">
        <v>31</v>
      </c>
      <c r="O448" s="110">
        <v>30.4</v>
      </c>
      <c r="P448" s="110">
        <v>30.65</v>
      </c>
      <c r="Q448" s="110">
        <v>30.7</v>
      </c>
      <c r="R448">
        <v>84130</v>
      </c>
    </row>
    <row r="449" spans="1:18" x14ac:dyDescent="0.25">
      <c r="A449" s="134">
        <v>42664</v>
      </c>
      <c r="B449" s="110">
        <v>31</v>
      </c>
      <c r="C449" s="110">
        <v>30.65</v>
      </c>
      <c r="D449" s="110">
        <v>30.35</v>
      </c>
      <c r="E449" s="110">
        <v>30.75</v>
      </c>
      <c r="F449" s="110">
        <v>30.65</v>
      </c>
      <c r="G449">
        <v>13686</v>
      </c>
      <c r="H449" s="110"/>
      <c r="I449" s="110"/>
      <c r="L449" s="134">
        <v>42664</v>
      </c>
      <c r="M449" s="110">
        <v>30.45</v>
      </c>
      <c r="N449" s="110">
        <v>30.9</v>
      </c>
      <c r="O449" s="110">
        <v>30.25</v>
      </c>
      <c r="P449" s="110">
        <v>30.7</v>
      </c>
      <c r="Q449" s="110">
        <v>30.45</v>
      </c>
      <c r="R449">
        <v>58154</v>
      </c>
    </row>
    <row r="450" spans="1:18" x14ac:dyDescent="0.25">
      <c r="A450" s="134">
        <v>42667</v>
      </c>
      <c r="B450" s="110">
        <v>30.95</v>
      </c>
      <c r="C450" s="110">
        <v>30.85</v>
      </c>
      <c r="D450" s="110">
        <v>30.5</v>
      </c>
      <c r="E450" s="110">
        <v>30.65</v>
      </c>
      <c r="F450" s="110">
        <v>30.85</v>
      </c>
      <c r="G450">
        <v>13314</v>
      </c>
      <c r="H450" s="110"/>
      <c r="I450" s="110"/>
      <c r="L450" s="134">
        <v>42667</v>
      </c>
      <c r="M450" s="110">
        <v>30.8</v>
      </c>
      <c r="N450" s="110">
        <v>30.95</v>
      </c>
      <c r="O450" s="110">
        <v>30.65</v>
      </c>
      <c r="P450" s="110">
        <v>30.75</v>
      </c>
      <c r="Q450" s="110">
        <v>30.8</v>
      </c>
      <c r="R450">
        <v>64665</v>
      </c>
    </row>
    <row r="451" spans="1:18" x14ac:dyDescent="0.25">
      <c r="A451" s="134">
        <v>42668</v>
      </c>
      <c r="B451" s="110">
        <v>30.85</v>
      </c>
      <c r="C451" s="110">
        <v>30.75</v>
      </c>
      <c r="D451" s="110">
        <v>30.5</v>
      </c>
      <c r="E451" s="110">
        <v>30.8</v>
      </c>
      <c r="F451" s="110">
        <v>30.75</v>
      </c>
      <c r="G451">
        <v>4566</v>
      </c>
      <c r="H451" s="110"/>
      <c r="I451" s="110"/>
      <c r="L451" s="134">
        <v>42668</v>
      </c>
      <c r="M451" s="110">
        <v>30.6</v>
      </c>
      <c r="N451" s="110">
        <v>30.95</v>
      </c>
      <c r="O451" s="110">
        <v>30.5</v>
      </c>
      <c r="P451" s="110">
        <v>30.8</v>
      </c>
      <c r="Q451" s="110">
        <v>30.6</v>
      </c>
      <c r="R451">
        <v>25128</v>
      </c>
    </row>
    <row r="452" spans="1:18" x14ac:dyDescent="0.25">
      <c r="A452" s="134">
        <v>42669</v>
      </c>
      <c r="B452" s="110">
        <v>30.9</v>
      </c>
      <c r="C452" s="110">
        <v>30.7</v>
      </c>
      <c r="D452" s="110">
        <v>30.3</v>
      </c>
      <c r="E452" s="110">
        <v>30.6</v>
      </c>
      <c r="F452" s="110">
        <v>30.7</v>
      </c>
      <c r="G452">
        <v>11835</v>
      </c>
      <c r="H452" s="110"/>
      <c r="I452" s="110"/>
      <c r="L452" s="134">
        <v>42669</v>
      </c>
      <c r="M452" s="110">
        <v>30.7</v>
      </c>
      <c r="N452" s="110">
        <v>30.8</v>
      </c>
      <c r="O452" s="110">
        <v>30.2</v>
      </c>
      <c r="P452" s="110">
        <v>30.6</v>
      </c>
      <c r="Q452" s="110">
        <v>30.7</v>
      </c>
      <c r="R452">
        <v>70158</v>
      </c>
    </row>
    <row r="453" spans="1:18" x14ac:dyDescent="0.25">
      <c r="A453" s="134">
        <v>42670</v>
      </c>
      <c r="B453" s="110">
        <v>30.9</v>
      </c>
      <c r="C453" s="110">
        <v>30.75</v>
      </c>
      <c r="D453" s="110">
        <v>30.5</v>
      </c>
      <c r="E453" s="110">
        <v>30.7</v>
      </c>
      <c r="F453" s="110">
        <v>30.75</v>
      </c>
      <c r="G453">
        <v>22360</v>
      </c>
      <c r="H453" s="110"/>
      <c r="I453" s="110"/>
      <c r="L453" s="134">
        <v>42670</v>
      </c>
      <c r="M453" s="110">
        <v>30.75</v>
      </c>
      <c r="N453" s="110">
        <v>30.95</v>
      </c>
      <c r="O453" s="110">
        <v>30.4</v>
      </c>
      <c r="P453" s="110">
        <v>30.95</v>
      </c>
      <c r="Q453" s="110">
        <v>30.75</v>
      </c>
      <c r="R453">
        <v>67727</v>
      </c>
    </row>
    <row r="454" spans="1:18" x14ac:dyDescent="0.25">
      <c r="A454" s="134">
        <v>42671</v>
      </c>
      <c r="B454" s="110">
        <v>30.9</v>
      </c>
      <c r="C454" s="110">
        <v>30.75</v>
      </c>
      <c r="D454" s="110">
        <v>30.35</v>
      </c>
      <c r="E454" s="110">
        <v>30.35</v>
      </c>
      <c r="F454" s="110">
        <v>30.75</v>
      </c>
      <c r="G454">
        <v>16209</v>
      </c>
      <c r="H454" s="110"/>
      <c r="I454" s="110"/>
      <c r="L454" s="134">
        <v>42671</v>
      </c>
      <c r="M454" s="110">
        <v>30.75</v>
      </c>
      <c r="N454" s="110">
        <v>30.9</v>
      </c>
      <c r="O454" s="110">
        <v>30.4</v>
      </c>
      <c r="P454" s="110">
        <v>30.5</v>
      </c>
      <c r="Q454" s="110">
        <v>30.75</v>
      </c>
      <c r="R454">
        <v>69236</v>
      </c>
    </row>
    <row r="455" spans="1:18" x14ac:dyDescent="0.25">
      <c r="A455" s="134">
        <v>42673</v>
      </c>
      <c r="B455" s="110">
        <v>31.95</v>
      </c>
      <c r="C455" s="110">
        <v>31.15</v>
      </c>
      <c r="D455" s="110">
        <v>30.55</v>
      </c>
      <c r="E455" s="110">
        <v>31.95</v>
      </c>
      <c r="F455" s="110">
        <v>31.15</v>
      </c>
      <c r="G455">
        <v>10219</v>
      </c>
      <c r="H455" s="110"/>
      <c r="I455" s="110"/>
      <c r="L455" s="134">
        <v>42673</v>
      </c>
      <c r="M455" s="110">
        <v>31.15</v>
      </c>
      <c r="N455" s="110">
        <v>31.25</v>
      </c>
      <c r="O455" s="110">
        <v>30.65</v>
      </c>
      <c r="P455" s="110">
        <v>31</v>
      </c>
      <c r="Q455" s="110">
        <v>31.15</v>
      </c>
      <c r="R455">
        <v>55778</v>
      </c>
    </row>
    <row r="456" spans="1:18" x14ac:dyDescent="0.25">
      <c r="A456" s="134">
        <v>42675</v>
      </c>
      <c r="B456" s="110">
        <v>31.25</v>
      </c>
      <c r="C456" s="110">
        <v>29.4</v>
      </c>
      <c r="D456" s="110">
        <v>29.1</v>
      </c>
      <c r="E456" s="110">
        <v>31</v>
      </c>
      <c r="F456" s="110">
        <v>29.4</v>
      </c>
      <c r="G456">
        <v>66904</v>
      </c>
      <c r="H456" s="110"/>
      <c r="I456" s="110"/>
      <c r="L456" s="134">
        <v>42675</v>
      </c>
      <c r="M456" s="110">
        <v>29.2</v>
      </c>
      <c r="N456" s="110">
        <v>31.2</v>
      </c>
      <c r="O456" s="110">
        <v>28.8</v>
      </c>
      <c r="P456" s="110">
        <v>30.6</v>
      </c>
      <c r="Q456" s="110">
        <v>29.2</v>
      </c>
      <c r="R456">
        <v>457602</v>
      </c>
    </row>
    <row r="457" spans="1:18" x14ac:dyDescent="0.25">
      <c r="A457" s="134">
        <v>42676</v>
      </c>
      <c r="B457" s="110">
        <v>29.95</v>
      </c>
      <c r="C457" s="110">
        <v>29.55</v>
      </c>
      <c r="D457" s="110">
        <v>29.4</v>
      </c>
      <c r="E457" s="110">
        <v>29.4</v>
      </c>
      <c r="F457" s="110">
        <v>29.55</v>
      </c>
      <c r="G457">
        <v>22744</v>
      </c>
      <c r="H457" s="110"/>
      <c r="I457" s="110"/>
      <c r="L457" s="134">
        <v>42676</v>
      </c>
      <c r="M457" s="110">
        <v>29.55</v>
      </c>
      <c r="N457" s="110">
        <v>29.9</v>
      </c>
      <c r="O457" s="110">
        <v>29.2</v>
      </c>
      <c r="P457" s="110">
        <v>29.55</v>
      </c>
      <c r="Q457" s="110">
        <v>29.55</v>
      </c>
      <c r="R457">
        <v>134153</v>
      </c>
    </row>
    <row r="458" spans="1:18" x14ac:dyDescent="0.25">
      <c r="A458" s="134">
        <v>42677</v>
      </c>
      <c r="B458" s="110">
        <v>29.95</v>
      </c>
      <c r="C458" s="110">
        <v>29.75</v>
      </c>
      <c r="D458" s="110">
        <v>29.6</v>
      </c>
      <c r="E458" s="110">
        <v>29.75</v>
      </c>
      <c r="F458" s="110">
        <v>29.75</v>
      </c>
      <c r="G458">
        <v>22584</v>
      </c>
      <c r="H458" s="110"/>
      <c r="I458" s="110"/>
      <c r="L458" s="134">
        <v>42677</v>
      </c>
      <c r="M458" s="110">
        <v>29.6</v>
      </c>
      <c r="N458" s="110">
        <v>29.85</v>
      </c>
      <c r="O458" s="110">
        <v>29.45</v>
      </c>
      <c r="P458" s="110">
        <v>29.75</v>
      </c>
      <c r="Q458" s="110">
        <v>29.6</v>
      </c>
      <c r="R458">
        <v>69548</v>
      </c>
    </row>
    <row r="459" spans="1:18" x14ac:dyDescent="0.25">
      <c r="A459" s="134">
        <v>42678</v>
      </c>
      <c r="B459" s="110">
        <v>29.7</v>
      </c>
      <c r="C459" s="110">
        <v>29.15</v>
      </c>
      <c r="D459" s="110">
        <v>29</v>
      </c>
      <c r="E459" s="110">
        <v>29.65</v>
      </c>
      <c r="F459" s="110">
        <v>29.15</v>
      </c>
      <c r="G459">
        <v>22473</v>
      </c>
      <c r="H459" s="110"/>
      <c r="I459" s="110"/>
      <c r="L459" s="134">
        <v>42678</v>
      </c>
      <c r="M459" s="110">
        <v>29.1</v>
      </c>
      <c r="N459" s="110">
        <v>29.8</v>
      </c>
      <c r="O459" s="110">
        <v>28.9</v>
      </c>
      <c r="P459" s="110">
        <v>29.5</v>
      </c>
      <c r="Q459" s="110">
        <v>29.1</v>
      </c>
      <c r="R459">
        <v>88131</v>
      </c>
    </row>
    <row r="460" spans="1:18" x14ac:dyDescent="0.25">
      <c r="A460" s="134">
        <v>42681</v>
      </c>
      <c r="B460" s="110">
        <v>29.35</v>
      </c>
      <c r="C460" s="110">
        <v>28.95</v>
      </c>
      <c r="D460" s="110">
        <v>28.5</v>
      </c>
      <c r="E460" s="110">
        <v>29.05</v>
      </c>
      <c r="F460" s="110">
        <v>28.95</v>
      </c>
      <c r="G460">
        <v>31913</v>
      </c>
      <c r="H460" s="110"/>
      <c r="I460" s="110"/>
      <c r="L460" s="134">
        <v>42681</v>
      </c>
      <c r="M460" s="110">
        <v>28.95</v>
      </c>
      <c r="N460" s="110">
        <v>29.5</v>
      </c>
      <c r="O460" s="110">
        <v>28.45</v>
      </c>
      <c r="P460" s="110">
        <v>28.8</v>
      </c>
      <c r="Q460" s="110">
        <v>28.95</v>
      </c>
      <c r="R460">
        <v>146067</v>
      </c>
    </row>
    <row r="461" spans="1:18" x14ac:dyDescent="0.25">
      <c r="A461" s="134">
        <v>42682</v>
      </c>
      <c r="B461" s="110">
        <v>29.05</v>
      </c>
      <c r="C461" s="110">
        <v>28.75</v>
      </c>
      <c r="D461" s="110">
        <v>28.5</v>
      </c>
      <c r="E461" s="110">
        <v>29.05</v>
      </c>
      <c r="F461" s="110">
        <v>28.75</v>
      </c>
      <c r="G461">
        <v>13126</v>
      </c>
      <c r="H461" s="110"/>
      <c r="I461" s="110"/>
      <c r="L461" s="134">
        <v>42682</v>
      </c>
      <c r="M461" s="110">
        <v>28.65</v>
      </c>
      <c r="N461" s="110">
        <v>29.4</v>
      </c>
      <c r="O461" s="110">
        <v>28.45</v>
      </c>
      <c r="P461" s="110">
        <v>29.4</v>
      </c>
      <c r="Q461" s="110">
        <v>28.65</v>
      </c>
      <c r="R461">
        <v>91196</v>
      </c>
    </row>
    <row r="462" spans="1:18" x14ac:dyDescent="0.25">
      <c r="A462" s="134">
        <v>42683</v>
      </c>
      <c r="B462" s="110">
        <v>28.65</v>
      </c>
      <c r="C462" s="110">
        <v>28.35</v>
      </c>
      <c r="D462" s="110">
        <v>25</v>
      </c>
      <c r="E462" s="110">
        <v>28.5</v>
      </c>
      <c r="F462" s="110">
        <v>28.35</v>
      </c>
      <c r="G462">
        <v>61383</v>
      </c>
      <c r="H462" s="110"/>
      <c r="I462" s="110"/>
      <c r="L462" s="134">
        <v>42683</v>
      </c>
      <c r="M462" s="110">
        <v>28.3</v>
      </c>
      <c r="N462" s="110">
        <v>28.6</v>
      </c>
      <c r="O462" s="110">
        <v>23.2</v>
      </c>
      <c r="P462" s="110">
        <v>27.95</v>
      </c>
      <c r="Q462" s="110">
        <v>28.3</v>
      </c>
      <c r="R462">
        <v>317210</v>
      </c>
    </row>
    <row r="463" spans="1:18" x14ac:dyDescent="0.25">
      <c r="A463" s="134">
        <v>42684</v>
      </c>
      <c r="B463" s="110">
        <v>31.6</v>
      </c>
      <c r="C463" s="110">
        <v>31.05</v>
      </c>
      <c r="D463" s="110">
        <v>28.9</v>
      </c>
      <c r="E463" s="110">
        <v>28.9</v>
      </c>
      <c r="F463" s="110">
        <v>31.05</v>
      </c>
      <c r="G463">
        <v>149015</v>
      </c>
      <c r="H463" s="110"/>
      <c r="I463" s="110"/>
      <c r="L463" s="134">
        <v>42684</v>
      </c>
      <c r="M463" s="110">
        <v>30.95</v>
      </c>
      <c r="N463" s="110">
        <v>31.45</v>
      </c>
      <c r="O463" s="110">
        <v>29</v>
      </c>
      <c r="P463" s="110">
        <v>29</v>
      </c>
      <c r="Q463" s="110">
        <v>30.95</v>
      </c>
      <c r="R463">
        <v>640986</v>
      </c>
    </row>
    <row r="464" spans="1:18" x14ac:dyDescent="0.25">
      <c r="A464" s="134">
        <v>42685</v>
      </c>
      <c r="B464" s="110">
        <v>32.5</v>
      </c>
      <c r="C464" s="110">
        <v>30.65</v>
      </c>
      <c r="D464" s="110">
        <v>30.3</v>
      </c>
      <c r="E464" s="110">
        <v>31</v>
      </c>
      <c r="F464" s="110">
        <v>30.65</v>
      </c>
      <c r="G464">
        <v>84407</v>
      </c>
      <c r="H464" s="110"/>
      <c r="I464" s="110"/>
      <c r="L464" s="134">
        <v>42685</v>
      </c>
      <c r="M464" s="110">
        <v>30.35</v>
      </c>
      <c r="N464" s="110">
        <v>32.450000000000003</v>
      </c>
      <c r="O464" s="110">
        <v>30.05</v>
      </c>
      <c r="P464" s="110">
        <v>31</v>
      </c>
      <c r="Q464" s="110">
        <v>30.35</v>
      </c>
      <c r="R464">
        <v>442118</v>
      </c>
    </row>
    <row r="465" spans="1:18" x14ac:dyDescent="0.25">
      <c r="A465" s="134">
        <v>42689</v>
      </c>
      <c r="B465" s="110">
        <v>31.6</v>
      </c>
      <c r="C465" s="110">
        <v>30.65</v>
      </c>
      <c r="D465" s="110">
        <v>30.3</v>
      </c>
      <c r="E465" s="110">
        <v>31</v>
      </c>
      <c r="F465" s="110">
        <v>30.65</v>
      </c>
      <c r="G465">
        <v>66847</v>
      </c>
      <c r="H465" s="110"/>
      <c r="I465" s="110"/>
      <c r="L465" s="134">
        <v>42689</v>
      </c>
      <c r="M465" s="110">
        <v>30.65</v>
      </c>
      <c r="N465" s="110">
        <v>31.5</v>
      </c>
      <c r="O465" s="110">
        <v>30.35</v>
      </c>
      <c r="P465" s="110">
        <v>31</v>
      </c>
      <c r="Q465" s="110">
        <v>30.65</v>
      </c>
      <c r="R465">
        <v>299215</v>
      </c>
    </row>
    <row r="466" spans="1:18" x14ac:dyDescent="0.25">
      <c r="A466" s="134">
        <v>42690</v>
      </c>
      <c r="B466" s="110">
        <v>31.2</v>
      </c>
      <c r="C466" s="110">
        <v>29.7</v>
      </c>
      <c r="D466" s="110">
        <v>29.1</v>
      </c>
      <c r="E466" s="110">
        <v>31.2</v>
      </c>
      <c r="F466" s="110">
        <v>29.7</v>
      </c>
      <c r="G466">
        <v>49180</v>
      </c>
      <c r="H466" s="110"/>
      <c r="I466" s="110"/>
      <c r="L466" s="134">
        <v>42690</v>
      </c>
      <c r="M466" s="110">
        <v>29.6</v>
      </c>
      <c r="N466" s="110">
        <v>31.25</v>
      </c>
      <c r="O466" s="110">
        <v>28.8</v>
      </c>
      <c r="P466" s="110">
        <v>31.2</v>
      </c>
      <c r="Q466" s="110">
        <v>29.6</v>
      </c>
      <c r="R466">
        <v>215116</v>
      </c>
    </row>
    <row r="467" spans="1:18" x14ac:dyDescent="0.25">
      <c r="A467" s="134">
        <v>42691</v>
      </c>
      <c r="B467" s="110">
        <v>30.85</v>
      </c>
      <c r="C467" s="110">
        <v>30</v>
      </c>
      <c r="D467" s="110">
        <v>29.4</v>
      </c>
      <c r="E467" s="110">
        <v>29.4</v>
      </c>
      <c r="F467" s="110">
        <v>30</v>
      </c>
      <c r="G467">
        <v>27173</v>
      </c>
      <c r="H467" s="110"/>
      <c r="I467" s="110"/>
      <c r="L467" s="134">
        <v>42691</v>
      </c>
      <c r="M467" s="110">
        <v>29.9</v>
      </c>
      <c r="N467" s="110">
        <v>30.4</v>
      </c>
      <c r="O467" s="110">
        <v>29.65</v>
      </c>
      <c r="P467" s="110">
        <v>29.9</v>
      </c>
      <c r="Q467" s="110">
        <v>29.9</v>
      </c>
      <c r="R467">
        <v>80436</v>
      </c>
    </row>
    <row r="468" spans="1:18" x14ac:dyDescent="0.25">
      <c r="A468" s="134">
        <v>42692</v>
      </c>
      <c r="B468" s="110">
        <v>30.2</v>
      </c>
      <c r="C468" s="110">
        <v>29.75</v>
      </c>
      <c r="D468" s="110">
        <v>29.6</v>
      </c>
      <c r="E468" s="110">
        <v>29.8</v>
      </c>
      <c r="F468" s="110">
        <v>29.75</v>
      </c>
      <c r="G468">
        <v>27018</v>
      </c>
      <c r="H468" s="110"/>
      <c r="I468" s="110"/>
      <c r="L468" s="134">
        <v>42692</v>
      </c>
      <c r="M468" s="110">
        <v>29.8</v>
      </c>
      <c r="N468" s="110">
        <v>30.35</v>
      </c>
      <c r="O468" s="110">
        <v>29.35</v>
      </c>
      <c r="P468" s="110">
        <v>30</v>
      </c>
      <c r="Q468" s="110">
        <v>29.8</v>
      </c>
      <c r="R468">
        <v>92235</v>
      </c>
    </row>
    <row r="469" spans="1:18" x14ac:dyDescent="0.25">
      <c r="A469" s="134">
        <v>42695</v>
      </c>
      <c r="B469" s="110">
        <v>30</v>
      </c>
      <c r="C469" s="110">
        <v>28.95</v>
      </c>
      <c r="D469" s="110">
        <v>28.8</v>
      </c>
      <c r="E469" s="110">
        <v>30</v>
      </c>
      <c r="F469" s="110">
        <v>28.95</v>
      </c>
      <c r="G469">
        <v>22164</v>
      </c>
      <c r="H469" s="110"/>
      <c r="I469" s="110"/>
      <c r="L469" s="134">
        <v>42695</v>
      </c>
      <c r="M469" s="110">
        <v>29.05</v>
      </c>
      <c r="N469" s="110">
        <v>30.3</v>
      </c>
      <c r="O469" s="110">
        <v>28.5</v>
      </c>
      <c r="P469" s="110">
        <v>29.8</v>
      </c>
      <c r="Q469" s="110">
        <v>29.05</v>
      </c>
      <c r="R469">
        <v>208211</v>
      </c>
    </row>
    <row r="470" spans="1:18" x14ac:dyDescent="0.25">
      <c r="A470" s="134">
        <v>42696</v>
      </c>
      <c r="B470" s="110">
        <v>29.3</v>
      </c>
      <c r="C470" s="110">
        <v>28.75</v>
      </c>
      <c r="D470" s="110">
        <v>28.5</v>
      </c>
      <c r="E470" s="110">
        <v>29.3</v>
      </c>
      <c r="F470" s="110">
        <v>28.75</v>
      </c>
      <c r="G470">
        <v>20049</v>
      </c>
      <c r="H470" s="110"/>
      <c r="I470" s="110"/>
      <c r="L470" s="134">
        <v>42696</v>
      </c>
      <c r="M470" s="110">
        <v>29</v>
      </c>
      <c r="N470" s="110">
        <v>29.35</v>
      </c>
      <c r="O470" s="110">
        <v>28.4</v>
      </c>
      <c r="P470" s="110">
        <v>29.35</v>
      </c>
      <c r="Q470" s="110">
        <v>29</v>
      </c>
      <c r="R470">
        <v>99421</v>
      </c>
    </row>
    <row r="471" spans="1:18" x14ac:dyDescent="0.25">
      <c r="A471" s="134">
        <v>42697</v>
      </c>
      <c r="B471" s="110">
        <v>29.2</v>
      </c>
      <c r="C471" s="110">
        <v>28.8</v>
      </c>
      <c r="D471" s="110">
        <v>28.75</v>
      </c>
      <c r="E471" s="110">
        <v>29.1</v>
      </c>
      <c r="F471" s="110">
        <v>28.8</v>
      </c>
      <c r="G471">
        <v>19276</v>
      </c>
      <c r="H471" s="110"/>
      <c r="I471" s="110"/>
      <c r="L471" s="134">
        <v>42697</v>
      </c>
      <c r="M471" s="110">
        <v>28.7</v>
      </c>
      <c r="N471" s="110">
        <v>29.15</v>
      </c>
      <c r="O471" s="110">
        <v>28.55</v>
      </c>
      <c r="P471" s="110">
        <v>28.7</v>
      </c>
      <c r="Q471" s="110">
        <v>28.7</v>
      </c>
      <c r="R471">
        <v>73276</v>
      </c>
    </row>
    <row r="472" spans="1:18" x14ac:dyDescent="0.25">
      <c r="A472" s="134">
        <v>42698</v>
      </c>
      <c r="B472" s="110">
        <v>29.4</v>
      </c>
      <c r="C472" s="110">
        <v>29.2</v>
      </c>
      <c r="D472" s="110">
        <v>28.5</v>
      </c>
      <c r="E472" s="110">
        <v>28.65</v>
      </c>
      <c r="F472" s="110">
        <v>29.2</v>
      </c>
      <c r="G472">
        <v>15083</v>
      </c>
      <c r="H472" s="110"/>
      <c r="I472" s="110"/>
      <c r="L472" s="134">
        <v>42698</v>
      </c>
      <c r="M472" s="110">
        <v>29</v>
      </c>
      <c r="N472" s="110">
        <v>29.4</v>
      </c>
      <c r="O472" s="110">
        <v>28.6</v>
      </c>
      <c r="P472" s="110">
        <v>28.75</v>
      </c>
      <c r="Q472" s="110">
        <v>29</v>
      </c>
      <c r="R472">
        <v>42467</v>
      </c>
    </row>
    <row r="473" spans="1:18" x14ac:dyDescent="0.25">
      <c r="A473" s="134">
        <v>42699</v>
      </c>
      <c r="B473" s="110">
        <v>29.95</v>
      </c>
      <c r="C473" s="110">
        <v>29.5</v>
      </c>
      <c r="D473" s="110">
        <v>28.85</v>
      </c>
      <c r="E473" s="110">
        <v>29.4</v>
      </c>
      <c r="F473" s="110">
        <v>29.5</v>
      </c>
      <c r="G473">
        <v>28459</v>
      </c>
      <c r="H473" s="110"/>
      <c r="I473" s="110"/>
      <c r="L473" s="134">
        <v>42699</v>
      </c>
      <c r="M473" s="110">
        <v>29.35</v>
      </c>
      <c r="N473" s="110">
        <v>29.5</v>
      </c>
      <c r="O473" s="110">
        <v>28.9</v>
      </c>
      <c r="P473" s="110">
        <v>29.25</v>
      </c>
      <c r="Q473" s="110">
        <v>29.35</v>
      </c>
      <c r="R473">
        <v>45001</v>
      </c>
    </row>
    <row r="474" spans="1:18" x14ac:dyDescent="0.25">
      <c r="A474" s="134">
        <v>42702</v>
      </c>
      <c r="B474" s="110">
        <v>29.5</v>
      </c>
      <c r="C474" s="110">
        <v>29.3</v>
      </c>
      <c r="D474" s="110">
        <v>28.65</v>
      </c>
      <c r="E474" s="110">
        <v>28.95</v>
      </c>
      <c r="F474" s="110">
        <v>29.3</v>
      </c>
      <c r="G474">
        <v>11402</v>
      </c>
      <c r="H474" s="110"/>
      <c r="I474" s="110"/>
      <c r="L474" s="134">
        <v>42702</v>
      </c>
      <c r="M474" s="110">
        <v>29.3</v>
      </c>
      <c r="N474" s="110">
        <v>29.7</v>
      </c>
      <c r="O474" s="110">
        <v>28.8</v>
      </c>
      <c r="P474" s="110">
        <v>28.9</v>
      </c>
      <c r="Q474" s="110">
        <v>29.3</v>
      </c>
      <c r="R474">
        <v>63391</v>
      </c>
    </row>
    <row r="475" spans="1:18" x14ac:dyDescent="0.25">
      <c r="A475" s="134">
        <v>42703</v>
      </c>
      <c r="B475" s="110">
        <v>29.7</v>
      </c>
      <c r="C475" s="110">
        <v>29.4</v>
      </c>
      <c r="D475" s="110">
        <v>29.25</v>
      </c>
      <c r="E475" s="110">
        <v>29.4</v>
      </c>
      <c r="F475" s="110">
        <v>29.4</v>
      </c>
      <c r="G475">
        <v>8570</v>
      </c>
      <c r="H475" s="110"/>
      <c r="I475" s="110"/>
      <c r="L475" s="134">
        <v>42703</v>
      </c>
      <c r="M475" s="110">
        <v>29.3</v>
      </c>
      <c r="N475" s="110">
        <v>29.6</v>
      </c>
      <c r="O475" s="110">
        <v>29.15</v>
      </c>
      <c r="P475" s="110">
        <v>29.3</v>
      </c>
      <c r="Q475" s="110">
        <v>29.3</v>
      </c>
      <c r="R475">
        <v>31248</v>
      </c>
    </row>
    <row r="476" spans="1:18" x14ac:dyDescent="0.25">
      <c r="A476" s="134">
        <v>42704</v>
      </c>
      <c r="B476" s="110">
        <v>29.75</v>
      </c>
      <c r="C476" s="110">
        <v>29.65</v>
      </c>
      <c r="D476" s="110">
        <v>29.2</v>
      </c>
      <c r="E476" s="110">
        <v>29.35</v>
      </c>
      <c r="F476" s="110">
        <v>29.65</v>
      </c>
      <c r="G476">
        <v>14039</v>
      </c>
      <c r="H476" s="110"/>
      <c r="I476" s="110"/>
      <c r="L476" s="134">
        <v>42704</v>
      </c>
      <c r="M476" s="110">
        <v>29.7</v>
      </c>
      <c r="N476" s="110">
        <v>29.85</v>
      </c>
      <c r="O476" s="110">
        <v>29.3</v>
      </c>
      <c r="P476" s="110">
        <v>29.3</v>
      </c>
      <c r="Q476" s="110">
        <v>29.7</v>
      </c>
      <c r="R476">
        <v>39567</v>
      </c>
    </row>
    <row r="477" spans="1:18" x14ac:dyDescent="0.25">
      <c r="A477" s="134">
        <v>42705</v>
      </c>
      <c r="B477" s="110">
        <v>30</v>
      </c>
      <c r="C477" s="110">
        <v>29.55</v>
      </c>
      <c r="D477" s="110">
        <v>29.1</v>
      </c>
      <c r="E477" s="110">
        <v>30</v>
      </c>
      <c r="F477" s="110">
        <v>29.55</v>
      </c>
      <c r="G477">
        <v>15940</v>
      </c>
      <c r="H477" s="110"/>
      <c r="I477" s="110"/>
      <c r="L477" s="134">
        <v>42705</v>
      </c>
      <c r="M477" s="110">
        <v>29.35</v>
      </c>
      <c r="N477" s="110">
        <v>29.95</v>
      </c>
      <c r="O477" s="110">
        <v>29.15</v>
      </c>
      <c r="P477" s="110">
        <v>29.7</v>
      </c>
      <c r="Q477" s="110">
        <v>29.35</v>
      </c>
      <c r="R477">
        <v>64380</v>
      </c>
    </row>
    <row r="478" spans="1:18" x14ac:dyDescent="0.25">
      <c r="A478" s="134">
        <v>42706</v>
      </c>
      <c r="B478" s="110">
        <v>29.6</v>
      </c>
      <c r="C478" s="110">
        <v>29.25</v>
      </c>
      <c r="D478" s="110">
        <v>29.05</v>
      </c>
      <c r="E478" s="110">
        <v>29.45</v>
      </c>
      <c r="F478" s="110">
        <v>29.25</v>
      </c>
      <c r="G478">
        <v>13054</v>
      </c>
      <c r="H478" s="110"/>
      <c r="I478" s="110"/>
      <c r="L478" s="134">
        <v>42706</v>
      </c>
      <c r="M478" s="110">
        <v>29.15</v>
      </c>
      <c r="N478" s="110">
        <v>29.9</v>
      </c>
      <c r="O478" s="110">
        <v>29.05</v>
      </c>
      <c r="P478" s="110">
        <v>29.3</v>
      </c>
      <c r="Q478" s="110">
        <v>29.15</v>
      </c>
      <c r="R478">
        <v>59660</v>
      </c>
    </row>
    <row r="479" spans="1:18" x14ac:dyDescent="0.25">
      <c r="A479" s="134">
        <v>42709</v>
      </c>
      <c r="B479" s="110">
        <v>29.95</v>
      </c>
      <c r="C479" s="110">
        <v>29.8</v>
      </c>
      <c r="D479" s="110">
        <v>29.1</v>
      </c>
      <c r="E479" s="110">
        <v>29.1</v>
      </c>
      <c r="F479" s="110">
        <v>29.8</v>
      </c>
      <c r="G479">
        <v>10184</v>
      </c>
      <c r="H479" s="110"/>
      <c r="I479" s="110"/>
      <c r="L479" s="134">
        <v>42709</v>
      </c>
      <c r="M479" s="110">
        <v>29.8</v>
      </c>
      <c r="N479" s="110">
        <v>29.95</v>
      </c>
      <c r="O479" s="110">
        <v>29.1</v>
      </c>
      <c r="P479" s="110">
        <v>29.2</v>
      </c>
      <c r="Q479" s="110">
        <v>29.8</v>
      </c>
      <c r="R479">
        <v>69681</v>
      </c>
    </row>
    <row r="480" spans="1:18" x14ac:dyDescent="0.25">
      <c r="A480" s="134">
        <v>42710</v>
      </c>
      <c r="B480" s="110">
        <v>30.1</v>
      </c>
      <c r="C480" s="110">
        <v>29.75</v>
      </c>
      <c r="D480" s="110">
        <v>29.5</v>
      </c>
      <c r="E480" s="110">
        <v>30</v>
      </c>
      <c r="F480" s="110">
        <v>29.75</v>
      </c>
      <c r="G480">
        <v>15952</v>
      </c>
      <c r="H480" s="110"/>
      <c r="I480" s="110"/>
      <c r="L480" s="134">
        <v>42710</v>
      </c>
      <c r="M480" s="110">
        <v>29.55</v>
      </c>
      <c r="N480" s="110">
        <v>30.1</v>
      </c>
      <c r="O480" s="110">
        <v>29.35</v>
      </c>
      <c r="P480" s="110">
        <v>29.5</v>
      </c>
      <c r="Q480" s="110">
        <v>29.55</v>
      </c>
      <c r="R480">
        <v>46031</v>
      </c>
    </row>
    <row r="481" spans="1:18" x14ac:dyDescent="0.25">
      <c r="A481" s="134">
        <v>42711</v>
      </c>
      <c r="B481" s="110">
        <v>29.9</v>
      </c>
      <c r="C481" s="110">
        <v>29.55</v>
      </c>
      <c r="D481" s="110">
        <v>29.45</v>
      </c>
      <c r="E481" s="110">
        <v>29.7</v>
      </c>
      <c r="F481" s="110">
        <v>29.55</v>
      </c>
      <c r="G481">
        <v>8953</v>
      </c>
      <c r="H481" s="110"/>
      <c r="I481" s="110"/>
      <c r="L481" s="134">
        <v>42711</v>
      </c>
      <c r="M481" s="110">
        <v>29.4</v>
      </c>
      <c r="N481" s="110">
        <v>29.95</v>
      </c>
      <c r="O481" s="110">
        <v>29.2</v>
      </c>
      <c r="P481" s="110">
        <v>29.8</v>
      </c>
      <c r="Q481" s="110">
        <v>29.4</v>
      </c>
      <c r="R481">
        <v>75084</v>
      </c>
    </row>
    <row r="482" spans="1:18" x14ac:dyDescent="0.25">
      <c r="A482" s="134">
        <v>42712</v>
      </c>
      <c r="B482" s="110">
        <v>30</v>
      </c>
      <c r="C482" s="110">
        <v>29.55</v>
      </c>
      <c r="D482" s="110">
        <v>29.35</v>
      </c>
      <c r="E482" s="110">
        <v>29.55</v>
      </c>
      <c r="F482" s="110">
        <v>29.55</v>
      </c>
      <c r="G482">
        <v>12809</v>
      </c>
      <c r="H482" s="110"/>
      <c r="I482" s="110"/>
      <c r="L482" s="134">
        <v>42712</v>
      </c>
      <c r="M482" s="110">
        <v>29.4</v>
      </c>
      <c r="N482" s="110">
        <v>29.7</v>
      </c>
      <c r="O482" s="110">
        <v>29.3</v>
      </c>
      <c r="P482" s="110">
        <v>29.3</v>
      </c>
      <c r="Q482" s="110">
        <v>29.4</v>
      </c>
      <c r="R482">
        <v>47840</v>
      </c>
    </row>
    <row r="483" spans="1:18" x14ac:dyDescent="0.25">
      <c r="A483" s="134">
        <v>42713</v>
      </c>
      <c r="B483" s="110">
        <v>29.85</v>
      </c>
      <c r="C483" s="110">
        <v>29.7</v>
      </c>
      <c r="D483" s="110">
        <v>29.3</v>
      </c>
      <c r="E483" s="110">
        <v>29.4</v>
      </c>
      <c r="F483" s="110">
        <v>29.7</v>
      </c>
      <c r="G483">
        <v>15370</v>
      </c>
      <c r="H483" s="110"/>
      <c r="I483" s="110"/>
      <c r="L483" s="134">
        <v>42713</v>
      </c>
      <c r="M483" s="110">
        <v>29.55</v>
      </c>
      <c r="N483" s="110">
        <v>29.7</v>
      </c>
      <c r="O483" s="110">
        <v>29.4</v>
      </c>
      <c r="P483" s="110">
        <v>29.5</v>
      </c>
      <c r="Q483" s="110">
        <v>29.55</v>
      </c>
      <c r="R483">
        <v>64289</v>
      </c>
    </row>
    <row r="484" spans="1:18" x14ac:dyDescent="0.25">
      <c r="A484" s="134">
        <v>42716</v>
      </c>
      <c r="B484" s="110">
        <v>29.75</v>
      </c>
      <c r="C484" s="110">
        <v>29.55</v>
      </c>
      <c r="D484" s="110">
        <v>29.4</v>
      </c>
      <c r="E484" s="110">
        <v>29.55</v>
      </c>
      <c r="F484" s="110">
        <v>29.55</v>
      </c>
      <c r="G484">
        <v>3198</v>
      </c>
      <c r="H484" s="110"/>
      <c r="I484" s="110"/>
      <c r="L484" s="134">
        <v>42716</v>
      </c>
      <c r="M484" s="110">
        <v>29.4</v>
      </c>
      <c r="N484" s="110">
        <v>29.7</v>
      </c>
      <c r="O484" s="110">
        <v>29.2</v>
      </c>
      <c r="P484" s="110">
        <v>29.5</v>
      </c>
      <c r="Q484" s="110">
        <v>29.4</v>
      </c>
      <c r="R484">
        <v>25129</v>
      </c>
    </row>
    <row r="485" spans="1:18" x14ac:dyDescent="0.25">
      <c r="A485" s="134">
        <v>42717</v>
      </c>
      <c r="B485" s="110">
        <v>29.7</v>
      </c>
      <c r="C485" s="110">
        <v>29.25</v>
      </c>
      <c r="D485" s="110">
        <v>29</v>
      </c>
      <c r="E485" s="110">
        <v>29.5</v>
      </c>
      <c r="F485" s="110">
        <v>29.25</v>
      </c>
      <c r="G485">
        <v>13752</v>
      </c>
      <c r="H485" s="110"/>
      <c r="I485" s="110"/>
      <c r="L485" s="134">
        <v>42717</v>
      </c>
      <c r="M485" s="110">
        <v>29.4</v>
      </c>
      <c r="N485" s="110">
        <v>29.7</v>
      </c>
      <c r="O485" s="110">
        <v>29.1</v>
      </c>
      <c r="P485" s="110">
        <v>29.7</v>
      </c>
      <c r="Q485" s="110">
        <v>29.4</v>
      </c>
      <c r="R485">
        <v>38585</v>
      </c>
    </row>
    <row r="486" spans="1:18" x14ac:dyDescent="0.25">
      <c r="A486" s="134">
        <v>42718</v>
      </c>
      <c r="B486" s="110">
        <v>29.9</v>
      </c>
      <c r="C486" s="110">
        <v>29.45</v>
      </c>
      <c r="D486" s="110">
        <v>29.3</v>
      </c>
      <c r="E486" s="110">
        <v>29.5</v>
      </c>
      <c r="F486" s="110">
        <v>29.45</v>
      </c>
      <c r="G486">
        <v>6823</v>
      </c>
      <c r="H486" s="110"/>
      <c r="I486" s="110"/>
      <c r="L486" s="134">
        <v>42718</v>
      </c>
      <c r="M486" s="110">
        <v>29.35</v>
      </c>
      <c r="N486" s="110">
        <v>30.05</v>
      </c>
      <c r="O486" s="110">
        <v>29.1</v>
      </c>
      <c r="P486" s="110">
        <v>29.5</v>
      </c>
      <c r="Q486" s="110">
        <v>29.35</v>
      </c>
      <c r="R486">
        <v>42740</v>
      </c>
    </row>
    <row r="487" spans="1:18" x14ac:dyDescent="0.25">
      <c r="A487" s="134">
        <v>42719</v>
      </c>
      <c r="B487" s="110">
        <v>29.65</v>
      </c>
      <c r="C487" s="110">
        <v>29.15</v>
      </c>
      <c r="D487" s="110">
        <v>29.1</v>
      </c>
      <c r="E487" s="110">
        <v>29.65</v>
      </c>
      <c r="F487" s="110">
        <v>29.15</v>
      </c>
      <c r="G487">
        <v>19381</v>
      </c>
      <c r="H487" s="110"/>
      <c r="I487" s="110"/>
      <c r="L487" s="134">
        <v>42719</v>
      </c>
      <c r="M487" s="110">
        <v>29.25</v>
      </c>
      <c r="N487" s="110">
        <v>29.9</v>
      </c>
      <c r="O487" s="110">
        <v>29.05</v>
      </c>
      <c r="P487" s="110">
        <v>29.5</v>
      </c>
      <c r="Q487" s="110">
        <v>29.25</v>
      </c>
      <c r="R487">
        <v>52405</v>
      </c>
    </row>
    <row r="488" spans="1:18" x14ac:dyDescent="0.25">
      <c r="A488" s="134">
        <v>42720</v>
      </c>
      <c r="B488" s="110">
        <v>29.4</v>
      </c>
      <c r="C488" s="110">
        <v>29.15</v>
      </c>
      <c r="D488" s="110">
        <v>29.05</v>
      </c>
      <c r="E488" s="110">
        <v>29.35</v>
      </c>
      <c r="F488" s="110">
        <v>29.15</v>
      </c>
      <c r="G488">
        <v>7372</v>
      </c>
      <c r="H488" s="110"/>
      <c r="I488" s="110"/>
      <c r="L488" s="134">
        <v>42720</v>
      </c>
      <c r="M488" s="110">
        <v>29.2</v>
      </c>
      <c r="N488" s="110">
        <v>29.55</v>
      </c>
      <c r="O488" s="110">
        <v>29.1</v>
      </c>
      <c r="P488" s="110">
        <v>29.55</v>
      </c>
      <c r="Q488" s="110">
        <v>29.2</v>
      </c>
      <c r="R488">
        <v>43984</v>
      </c>
    </row>
    <row r="489" spans="1:18" x14ac:dyDescent="0.25">
      <c r="A489" s="134">
        <v>42723</v>
      </c>
      <c r="B489" s="110">
        <v>31.5</v>
      </c>
      <c r="C489" s="110">
        <v>30.8</v>
      </c>
      <c r="D489" s="110">
        <v>28.25</v>
      </c>
      <c r="E489" s="110">
        <v>29.5</v>
      </c>
      <c r="F489" s="110">
        <v>30.8</v>
      </c>
      <c r="G489">
        <v>43681</v>
      </c>
      <c r="H489" s="110"/>
      <c r="I489" s="110"/>
      <c r="L489" s="134">
        <v>42723</v>
      </c>
      <c r="M489" s="110">
        <v>30.95</v>
      </c>
      <c r="N489" s="110">
        <v>32</v>
      </c>
      <c r="O489" s="110">
        <v>29.1</v>
      </c>
      <c r="P489" s="110">
        <v>29.3</v>
      </c>
      <c r="Q489" s="110">
        <v>30.95</v>
      </c>
      <c r="R489">
        <v>213308</v>
      </c>
    </row>
    <row r="490" spans="1:18" x14ac:dyDescent="0.25">
      <c r="A490" s="134">
        <v>42724</v>
      </c>
      <c r="B490" s="110">
        <v>31.2</v>
      </c>
      <c r="C490" s="110">
        <v>29.45</v>
      </c>
      <c r="D490" s="110">
        <v>29.15</v>
      </c>
      <c r="E490" s="110">
        <v>30.8</v>
      </c>
      <c r="F490" s="110">
        <v>29.45</v>
      </c>
      <c r="G490">
        <v>57049</v>
      </c>
      <c r="H490" s="110"/>
      <c r="I490" s="110"/>
      <c r="L490" s="134">
        <v>42724</v>
      </c>
      <c r="M490" s="110">
        <v>29.3</v>
      </c>
      <c r="N490" s="110">
        <v>31.25</v>
      </c>
      <c r="O490" s="110">
        <v>29.05</v>
      </c>
      <c r="P490" s="110">
        <v>31.25</v>
      </c>
      <c r="Q490" s="110">
        <v>29.3</v>
      </c>
      <c r="R490">
        <v>281716</v>
      </c>
    </row>
    <row r="491" spans="1:18" x14ac:dyDescent="0.25">
      <c r="A491" s="134">
        <v>42725</v>
      </c>
      <c r="B491" s="110">
        <v>29.85</v>
      </c>
      <c r="C491" s="110">
        <v>29.15</v>
      </c>
      <c r="D491" s="110">
        <v>29</v>
      </c>
      <c r="E491" s="110">
        <v>29.75</v>
      </c>
      <c r="F491" s="110">
        <v>29.15</v>
      </c>
      <c r="G491">
        <v>13757</v>
      </c>
      <c r="H491" s="110"/>
      <c r="I491" s="110"/>
      <c r="L491" s="134">
        <v>42725</v>
      </c>
      <c r="M491" s="110">
        <v>29.15</v>
      </c>
      <c r="N491" s="110">
        <v>29.75</v>
      </c>
      <c r="O491" s="110">
        <v>29</v>
      </c>
      <c r="P491" s="110">
        <v>29.3</v>
      </c>
      <c r="Q491" s="110">
        <v>29.15</v>
      </c>
      <c r="R491">
        <v>57243</v>
      </c>
    </row>
    <row r="492" spans="1:18" x14ac:dyDescent="0.25">
      <c r="A492" s="134">
        <v>42726</v>
      </c>
      <c r="B492" s="110">
        <v>29.2</v>
      </c>
      <c r="C492" s="110">
        <v>28.95</v>
      </c>
      <c r="D492" s="110">
        <v>28.75</v>
      </c>
      <c r="E492" s="110">
        <v>28.75</v>
      </c>
      <c r="F492" s="110">
        <v>28.95</v>
      </c>
      <c r="G492">
        <v>6343</v>
      </c>
      <c r="H492" s="110"/>
      <c r="I492" s="110"/>
      <c r="L492" s="134">
        <v>42726</v>
      </c>
      <c r="M492" s="110">
        <v>28.9</v>
      </c>
      <c r="N492" s="110">
        <v>29.45</v>
      </c>
      <c r="O492" s="110">
        <v>28.7</v>
      </c>
      <c r="P492" s="110">
        <v>29.15</v>
      </c>
      <c r="Q492" s="110">
        <v>28.9</v>
      </c>
      <c r="R492">
        <v>44131</v>
      </c>
    </row>
    <row r="493" spans="1:18" x14ac:dyDescent="0.25">
      <c r="A493" s="134">
        <v>42727</v>
      </c>
      <c r="B493" s="110">
        <v>29.35</v>
      </c>
      <c r="C493" s="110">
        <v>28.9</v>
      </c>
      <c r="D493" s="110">
        <v>28.4</v>
      </c>
      <c r="E493" s="110">
        <v>29.35</v>
      </c>
      <c r="F493" s="110">
        <v>28.9</v>
      </c>
      <c r="G493">
        <v>14109</v>
      </c>
      <c r="H493" s="110"/>
      <c r="I493" s="110"/>
      <c r="L493" s="134">
        <v>42727</v>
      </c>
      <c r="M493" s="110">
        <v>29</v>
      </c>
      <c r="N493" s="110">
        <v>29.15</v>
      </c>
      <c r="O493" s="110">
        <v>28.5</v>
      </c>
      <c r="P493" s="110">
        <v>28.5</v>
      </c>
      <c r="Q493" s="110">
        <v>29</v>
      </c>
      <c r="R493">
        <v>31188</v>
      </c>
    </row>
    <row r="494" spans="1:18" x14ac:dyDescent="0.25">
      <c r="A494" s="134">
        <v>42730</v>
      </c>
      <c r="B494" s="110">
        <v>28.85</v>
      </c>
      <c r="C494" s="110">
        <v>28.45</v>
      </c>
      <c r="D494" s="110">
        <v>28.3</v>
      </c>
      <c r="E494" s="110">
        <v>28.85</v>
      </c>
      <c r="F494" s="110">
        <v>28.45</v>
      </c>
      <c r="G494">
        <v>7442</v>
      </c>
      <c r="H494" s="110"/>
      <c r="I494" s="110"/>
      <c r="L494" s="134">
        <v>42730</v>
      </c>
      <c r="M494" s="110">
        <v>28.3</v>
      </c>
      <c r="N494" s="110">
        <v>29.15</v>
      </c>
      <c r="O494" s="110">
        <v>28.2</v>
      </c>
      <c r="P494" s="110">
        <v>29</v>
      </c>
      <c r="Q494" s="110">
        <v>28.3</v>
      </c>
      <c r="R494">
        <v>50614</v>
      </c>
    </row>
    <row r="495" spans="1:18" x14ac:dyDescent="0.25">
      <c r="A495" s="134">
        <v>42731</v>
      </c>
      <c r="B495" s="110">
        <v>28.65</v>
      </c>
      <c r="C495" s="110">
        <v>28.55</v>
      </c>
      <c r="D495" s="110">
        <v>28.2</v>
      </c>
      <c r="E495" s="110">
        <v>28.2</v>
      </c>
      <c r="F495" s="110">
        <v>28.55</v>
      </c>
      <c r="G495">
        <v>6140</v>
      </c>
      <c r="H495" s="110"/>
      <c r="I495" s="110"/>
      <c r="L495" s="134">
        <v>42731</v>
      </c>
      <c r="M495" s="110">
        <v>28.45</v>
      </c>
      <c r="N495" s="110">
        <v>28.6</v>
      </c>
      <c r="O495" s="110">
        <v>28.1</v>
      </c>
      <c r="P495" s="110">
        <v>28.25</v>
      </c>
      <c r="Q495" s="110">
        <v>28.45</v>
      </c>
      <c r="R495">
        <v>43596</v>
      </c>
    </row>
    <row r="496" spans="1:18" x14ac:dyDescent="0.25">
      <c r="A496" s="134">
        <v>42732</v>
      </c>
      <c r="B496" s="110">
        <v>29.1</v>
      </c>
      <c r="C496" s="110">
        <v>28.6</v>
      </c>
      <c r="D496" s="110">
        <v>28.5</v>
      </c>
      <c r="E496" s="110">
        <v>28.5</v>
      </c>
      <c r="F496" s="110">
        <v>28.6</v>
      </c>
      <c r="G496">
        <v>10060</v>
      </c>
      <c r="H496" s="110"/>
      <c r="I496" s="110"/>
      <c r="L496" s="134">
        <v>42732</v>
      </c>
      <c r="M496" s="110">
        <v>28.45</v>
      </c>
      <c r="N496" s="110">
        <v>29.25</v>
      </c>
      <c r="O496" s="110">
        <v>28.2</v>
      </c>
      <c r="P496" s="110">
        <v>28.5</v>
      </c>
      <c r="Q496" s="110">
        <v>28.45</v>
      </c>
      <c r="R496">
        <v>46182</v>
      </c>
    </row>
    <row r="497" spans="1:18" x14ac:dyDescent="0.25">
      <c r="A497" s="134">
        <v>42733</v>
      </c>
      <c r="B497" s="110">
        <v>28.85</v>
      </c>
      <c r="C497" s="110">
        <v>28.7</v>
      </c>
      <c r="D497" s="110">
        <v>28.5</v>
      </c>
      <c r="E497" s="110">
        <v>28.5</v>
      </c>
      <c r="F497" s="110">
        <v>28.7</v>
      </c>
      <c r="G497">
        <v>5299</v>
      </c>
      <c r="H497" s="110"/>
      <c r="I497" s="110"/>
      <c r="L497" s="134">
        <v>42733</v>
      </c>
      <c r="M497" s="110">
        <v>28.75</v>
      </c>
      <c r="N497" s="110">
        <v>28.9</v>
      </c>
      <c r="O497" s="110">
        <v>28.2</v>
      </c>
      <c r="P497" s="110">
        <v>28.2</v>
      </c>
      <c r="Q497" s="110">
        <v>28.75</v>
      </c>
      <c r="R497">
        <v>16377</v>
      </c>
    </row>
    <row r="498" spans="1:18" x14ac:dyDescent="0.25">
      <c r="A498" s="134">
        <v>42734</v>
      </c>
      <c r="B498" s="110">
        <v>29.15</v>
      </c>
      <c r="C498" s="110">
        <v>28.6</v>
      </c>
      <c r="D498" s="110">
        <v>28.1</v>
      </c>
      <c r="E498" s="110">
        <v>28.9</v>
      </c>
      <c r="F498" s="110">
        <v>28.6</v>
      </c>
      <c r="G498">
        <v>21477</v>
      </c>
      <c r="H498" s="110"/>
      <c r="I498" s="110"/>
      <c r="L498" s="134">
        <v>42734</v>
      </c>
      <c r="M498" s="110">
        <v>28.65</v>
      </c>
      <c r="N498" s="110">
        <v>29.2</v>
      </c>
      <c r="O498" s="110">
        <v>28.55</v>
      </c>
      <c r="P498" s="110">
        <v>28.75</v>
      </c>
      <c r="Q498" s="110">
        <v>28.65</v>
      </c>
      <c r="R498">
        <v>98596</v>
      </c>
    </row>
    <row r="499" spans="1:18" x14ac:dyDescent="0.25">
      <c r="A499" s="134">
        <v>42737</v>
      </c>
      <c r="B499" s="110">
        <v>29.15</v>
      </c>
      <c r="C499" s="110">
        <v>29.05</v>
      </c>
      <c r="D499" s="110">
        <v>28.7</v>
      </c>
      <c r="E499" s="110">
        <v>29</v>
      </c>
      <c r="F499" s="110">
        <v>29.05</v>
      </c>
      <c r="G499">
        <v>5986</v>
      </c>
      <c r="H499" s="110"/>
      <c r="I499" s="110"/>
      <c r="L499" s="134">
        <v>42737</v>
      </c>
      <c r="M499" s="110">
        <v>29.05</v>
      </c>
      <c r="N499" s="110">
        <v>29.2</v>
      </c>
      <c r="O499" s="110">
        <v>28.7</v>
      </c>
      <c r="P499" s="110">
        <v>28.95</v>
      </c>
      <c r="Q499" s="110">
        <v>29.05</v>
      </c>
      <c r="R499">
        <v>30565</v>
      </c>
    </row>
    <row r="500" spans="1:18" x14ac:dyDescent="0.25">
      <c r="A500" s="134">
        <v>42738</v>
      </c>
      <c r="B500" s="110">
        <v>29.5</v>
      </c>
      <c r="C500" s="110">
        <v>29.1</v>
      </c>
      <c r="D500" s="110">
        <v>29.1</v>
      </c>
      <c r="E500" s="110">
        <v>29.5</v>
      </c>
      <c r="F500" s="110">
        <v>29.1</v>
      </c>
      <c r="G500">
        <v>11791</v>
      </c>
      <c r="H500" s="110"/>
      <c r="I500" s="110"/>
      <c r="L500" s="134">
        <v>42738</v>
      </c>
      <c r="M500" s="110">
        <v>29.15</v>
      </c>
      <c r="N500" s="110">
        <v>29.4</v>
      </c>
      <c r="O500" s="110">
        <v>29.1</v>
      </c>
      <c r="P500" s="110">
        <v>29.35</v>
      </c>
      <c r="Q500" s="110">
        <v>29.15</v>
      </c>
      <c r="R500">
        <v>31465</v>
      </c>
    </row>
    <row r="501" spans="1:18" x14ac:dyDescent="0.25">
      <c r="A501" s="134">
        <v>42739</v>
      </c>
      <c r="B501" s="110">
        <v>29.4</v>
      </c>
      <c r="C501" s="110">
        <v>29.35</v>
      </c>
      <c r="D501" s="110">
        <v>29</v>
      </c>
      <c r="E501" s="110">
        <v>29.05</v>
      </c>
      <c r="F501" s="110">
        <v>29.35</v>
      </c>
      <c r="G501">
        <v>9558</v>
      </c>
      <c r="H501" s="110"/>
      <c r="I501" s="110"/>
      <c r="L501" s="134">
        <v>42739</v>
      </c>
      <c r="M501" s="110">
        <v>29.15</v>
      </c>
      <c r="N501" s="110">
        <v>29.4</v>
      </c>
      <c r="O501" s="110">
        <v>29.1</v>
      </c>
      <c r="P501" s="110">
        <v>29.15</v>
      </c>
      <c r="Q501" s="110">
        <v>29.15</v>
      </c>
      <c r="R501">
        <v>16977</v>
      </c>
    </row>
    <row r="502" spans="1:18" x14ac:dyDescent="0.25">
      <c r="A502" s="134">
        <v>42740</v>
      </c>
      <c r="B502" s="110">
        <v>29.45</v>
      </c>
      <c r="C502" s="110">
        <v>29.2</v>
      </c>
      <c r="D502" s="110">
        <v>29.1</v>
      </c>
      <c r="E502" s="110">
        <v>29.35</v>
      </c>
      <c r="F502" s="110">
        <v>29.2</v>
      </c>
      <c r="G502">
        <v>22343</v>
      </c>
      <c r="H502" s="110"/>
      <c r="I502" s="110"/>
      <c r="L502" s="134">
        <v>42740</v>
      </c>
      <c r="M502" s="110">
        <v>29.25</v>
      </c>
      <c r="N502" s="110">
        <v>29.6</v>
      </c>
      <c r="O502" s="110">
        <v>29</v>
      </c>
      <c r="P502" s="110">
        <v>29</v>
      </c>
      <c r="Q502" s="110">
        <v>29.25</v>
      </c>
      <c r="R502">
        <v>47533</v>
      </c>
    </row>
    <row r="503" spans="1:18" x14ac:dyDescent="0.25">
      <c r="A503" s="134">
        <v>42741</v>
      </c>
      <c r="B503" s="110">
        <v>29.65</v>
      </c>
      <c r="C503" s="110">
        <v>29.25</v>
      </c>
      <c r="D503" s="110">
        <v>29.05</v>
      </c>
      <c r="E503" s="110">
        <v>29.2</v>
      </c>
      <c r="F503" s="110">
        <v>29.25</v>
      </c>
      <c r="G503">
        <v>13955</v>
      </c>
      <c r="H503" s="110"/>
      <c r="I503" s="110"/>
      <c r="L503" s="134">
        <v>42741</v>
      </c>
      <c r="M503" s="110">
        <v>29.2</v>
      </c>
      <c r="N503" s="110">
        <v>29.7</v>
      </c>
      <c r="O503" s="110">
        <v>29.1</v>
      </c>
      <c r="P503" s="110">
        <v>29.55</v>
      </c>
      <c r="Q503" s="110">
        <v>29.2</v>
      </c>
      <c r="R503">
        <v>52331</v>
      </c>
    </row>
    <row r="504" spans="1:18" x14ac:dyDescent="0.25">
      <c r="A504" s="134">
        <v>42744</v>
      </c>
      <c r="B504" s="110">
        <v>30</v>
      </c>
      <c r="C504" s="110">
        <v>29.5</v>
      </c>
      <c r="D504" s="110">
        <v>29.1</v>
      </c>
      <c r="E504" s="110">
        <v>30</v>
      </c>
      <c r="F504" s="110">
        <v>29.5</v>
      </c>
      <c r="G504">
        <v>13237</v>
      </c>
      <c r="H504" s="110"/>
      <c r="I504" s="110"/>
      <c r="L504" s="134">
        <v>42744</v>
      </c>
      <c r="M504" s="110">
        <v>29.35</v>
      </c>
      <c r="N504" s="110">
        <v>29.5</v>
      </c>
      <c r="O504" s="110">
        <v>29</v>
      </c>
      <c r="P504" s="110">
        <v>29.45</v>
      </c>
      <c r="Q504" s="110">
        <v>29.35</v>
      </c>
      <c r="R504">
        <v>45915</v>
      </c>
    </row>
    <row r="505" spans="1:18" x14ac:dyDescent="0.25">
      <c r="A505" s="134">
        <v>42745</v>
      </c>
      <c r="B505" s="110">
        <v>29.6</v>
      </c>
      <c r="C505" s="110">
        <v>29</v>
      </c>
      <c r="D505" s="110">
        <v>28.4</v>
      </c>
      <c r="E505" s="110">
        <v>29.6</v>
      </c>
      <c r="F505" s="110">
        <v>29</v>
      </c>
      <c r="G505">
        <v>50168</v>
      </c>
      <c r="H505" s="110"/>
      <c r="I505" s="110"/>
      <c r="L505" s="134">
        <v>42745</v>
      </c>
      <c r="M505" s="110">
        <v>29.05</v>
      </c>
      <c r="N505" s="110">
        <v>29.55</v>
      </c>
      <c r="O505" s="110">
        <v>28.5</v>
      </c>
      <c r="P505" s="110">
        <v>29.5</v>
      </c>
      <c r="Q505" s="110">
        <v>29.05</v>
      </c>
      <c r="R505">
        <v>82590</v>
      </c>
    </row>
    <row r="506" spans="1:18" x14ac:dyDescent="0.25">
      <c r="A506" s="134">
        <v>42746</v>
      </c>
      <c r="B506" s="110">
        <v>29.7</v>
      </c>
      <c r="C506" s="110">
        <v>29.55</v>
      </c>
      <c r="D506" s="110">
        <v>29</v>
      </c>
      <c r="E506" s="110">
        <v>29</v>
      </c>
      <c r="F506" s="110">
        <v>29.55</v>
      </c>
      <c r="G506">
        <v>26599</v>
      </c>
      <c r="H506" s="110"/>
      <c r="I506" s="110"/>
      <c r="L506" s="134">
        <v>42746</v>
      </c>
      <c r="M506" s="110">
        <v>29.6</v>
      </c>
      <c r="N506" s="110">
        <v>29.7</v>
      </c>
      <c r="O506" s="110">
        <v>29.1</v>
      </c>
      <c r="P506" s="110">
        <v>29.1</v>
      </c>
      <c r="Q506" s="110">
        <v>29.6</v>
      </c>
      <c r="R506">
        <v>128626</v>
      </c>
    </row>
    <row r="507" spans="1:18" x14ac:dyDescent="0.25">
      <c r="A507" s="134">
        <v>42747</v>
      </c>
      <c r="B507" s="110">
        <v>29.95</v>
      </c>
      <c r="C507" s="110">
        <v>29.5</v>
      </c>
      <c r="D507" s="110">
        <v>29.3</v>
      </c>
      <c r="E507" s="110">
        <v>29.35</v>
      </c>
      <c r="F507" s="110">
        <v>29.5</v>
      </c>
      <c r="G507">
        <v>7586</v>
      </c>
      <c r="H507" s="110"/>
      <c r="I507" s="110"/>
      <c r="L507" s="134">
        <v>42747</v>
      </c>
      <c r="M507" s="110">
        <v>29.5</v>
      </c>
      <c r="N507" s="110">
        <v>29.7</v>
      </c>
      <c r="O507" s="110">
        <v>29.25</v>
      </c>
      <c r="P507" s="110">
        <v>29.7</v>
      </c>
      <c r="Q507" s="110">
        <v>29.5</v>
      </c>
      <c r="R507">
        <v>54179</v>
      </c>
    </row>
    <row r="508" spans="1:18" x14ac:dyDescent="0.25">
      <c r="A508" s="134">
        <v>42748</v>
      </c>
      <c r="B508" s="110">
        <v>29.6</v>
      </c>
      <c r="C508" s="110">
        <v>29.45</v>
      </c>
      <c r="D508" s="110">
        <v>29.3</v>
      </c>
      <c r="E508" s="110">
        <v>29.55</v>
      </c>
      <c r="F508" s="110">
        <v>29.45</v>
      </c>
      <c r="G508">
        <v>10135</v>
      </c>
      <c r="H508" s="110"/>
      <c r="I508" s="110"/>
      <c r="L508" s="134">
        <v>42748</v>
      </c>
      <c r="M508" s="110">
        <v>29.45</v>
      </c>
      <c r="N508" s="110">
        <v>29.9</v>
      </c>
      <c r="O508" s="110">
        <v>29.35</v>
      </c>
      <c r="P508" s="110">
        <v>29.9</v>
      </c>
      <c r="Q508" s="110">
        <v>29.45</v>
      </c>
      <c r="R508">
        <v>44454</v>
      </c>
    </row>
    <row r="509" spans="1:18" x14ac:dyDescent="0.25">
      <c r="A509" s="134">
        <v>42751</v>
      </c>
      <c r="B509" s="110">
        <v>30.65</v>
      </c>
      <c r="C509" s="110">
        <v>30.05</v>
      </c>
      <c r="D509" s="110">
        <v>29.75</v>
      </c>
      <c r="E509" s="110">
        <v>30.4</v>
      </c>
      <c r="F509" s="110">
        <v>30.05</v>
      </c>
      <c r="G509">
        <v>34633</v>
      </c>
      <c r="H509" s="110"/>
      <c r="I509" s="110"/>
      <c r="L509" s="134">
        <v>42751</v>
      </c>
      <c r="M509" s="110">
        <v>30.1</v>
      </c>
      <c r="N509" s="110">
        <v>30.7</v>
      </c>
      <c r="O509" s="110">
        <v>29.45</v>
      </c>
      <c r="P509" s="110">
        <v>29.45</v>
      </c>
      <c r="Q509" s="110">
        <v>30.1</v>
      </c>
      <c r="R509">
        <v>198716</v>
      </c>
    </row>
    <row r="510" spans="1:18" x14ac:dyDescent="0.25">
      <c r="A510" s="134">
        <v>42752</v>
      </c>
      <c r="B510" s="110">
        <v>30.9</v>
      </c>
      <c r="C510" s="110">
        <v>30.3</v>
      </c>
      <c r="D510" s="110">
        <v>30.05</v>
      </c>
      <c r="E510" s="110">
        <v>30.85</v>
      </c>
      <c r="F510" s="110">
        <v>30.3</v>
      </c>
      <c r="G510">
        <v>28131</v>
      </c>
      <c r="H510" s="110"/>
      <c r="I510" s="110"/>
      <c r="L510" s="134">
        <v>42752</v>
      </c>
      <c r="M510" s="110">
        <v>30.15</v>
      </c>
      <c r="N510" s="110">
        <v>30.75</v>
      </c>
      <c r="O510" s="110">
        <v>30</v>
      </c>
      <c r="P510" s="110">
        <v>30.2</v>
      </c>
      <c r="Q510" s="110">
        <v>30.15</v>
      </c>
      <c r="R510">
        <v>51971</v>
      </c>
    </row>
    <row r="511" spans="1:18" x14ac:dyDescent="0.25">
      <c r="A511" s="134">
        <v>42753</v>
      </c>
      <c r="B511" s="110">
        <v>30.4</v>
      </c>
      <c r="C511" s="110">
        <v>30.15</v>
      </c>
      <c r="D511" s="110">
        <v>30</v>
      </c>
      <c r="E511" s="110">
        <v>30.1</v>
      </c>
      <c r="F511" s="110">
        <v>30.15</v>
      </c>
      <c r="G511">
        <v>6912</v>
      </c>
      <c r="H511" s="110"/>
      <c r="I511" s="110"/>
      <c r="L511" s="134">
        <v>42753</v>
      </c>
      <c r="M511" s="110">
        <v>30.05</v>
      </c>
      <c r="N511" s="110">
        <v>30.5</v>
      </c>
      <c r="O511" s="110">
        <v>30</v>
      </c>
      <c r="P511" s="110">
        <v>30.2</v>
      </c>
      <c r="Q511" s="110">
        <v>30.05</v>
      </c>
      <c r="R511">
        <v>33967</v>
      </c>
    </row>
    <row r="512" spans="1:18" x14ac:dyDescent="0.25">
      <c r="A512" s="134">
        <v>42754</v>
      </c>
      <c r="B512" s="110">
        <v>30.2</v>
      </c>
      <c r="C512" s="110">
        <v>29.9</v>
      </c>
      <c r="D512" s="110">
        <v>29.8</v>
      </c>
      <c r="E512" s="110">
        <v>29.8</v>
      </c>
      <c r="F512" s="110">
        <v>29.9</v>
      </c>
      <c r="G512">
        <v>9944</v>
      </c>
      <c r="H512" s="110"/>
      <c r="I512" s="110"/>
      <c r="L512" s="134">
        <v>42754</v>
      </c>
      <c r="M512" s="110">
        <v>29.95</v>
      </c>
      <c r="N512" s="110">
        <v>30.5</v>
      </c>
      <c r="O512" s="110">
        <v>29.7</v>
      </c>
      <c r="P512" s="110">
        <v>30.5</v>
      </c>
      <c r="Q512" s="110">
        <v>29.95</v>
      </c>
      <c r="R512">
        <v>29098</v>
      </c>
    </row>
    <row r="513" spans="1:18" x14ac:dyDescent="0.25">
      <c r="A513" s="134">
        <v>42755</v>
      </c>
      <c r="B513" s="110">
        <v>30.15</v>
      </c>
      <c r="C513" s="110">
        <v>29.2</v>
      </c>
      <c r="D513" s="110">
        <v>29</v>
      </c>
      <c r="E513" s="110">
        <v>30.15</v>
      </c>
      <c r="F513" s="110">
        <v>29.2</v>
      </c>
      <c r="G513">
        <v>20995</v>
      </c>
      <c r="H513" s="110"/>
      <c r="I513" s="110"/>
      <c r="L513" s="134">
        <v>42755</v>
      </c>
      <c r="M513" s="110">
        <v>29.35</v>
      </c>
      <c r="N513" s="110">
        <v>30.3</v>
      </c>
      <c r="O513" s="110">
        <v>29.2</v>
      </c>
      <c r="P513" s="110">
        <v>29.95</v>
      </c>
      <c r="Q513" s="110">
        <v>29.35</v>
      </c>
      <c r="R513">
        <v>56592</v>
      </c>
    </row>
    <row r="514" spans="1:18" x14ac:dyDescent="0.25">
      <c r="A514" s="134">
        <v>42758</v>
      </c>
      <c r="B514" s="110">
        <v>30.95</v>
      </c>
      <c r="C514" s="110">
        <v>29.4</v>
      </c>
      <c r="D514" s="110">
        <v>29.25</v>
      </c>
      <c r="E514" s="110">
        <v>30.95</v>
      </c>
      <c r="F514" s="110">
        <v>29.4</v>
      </c>
      <c r="G514">
        <v>4623</v>
      </c>
      <c r="H514" s="110"/>
      <c r="I514" s="110"/>
      <c r="L514" s="134">
        <v>42758</v>
      </c>
      <c r="M514" s="110">
        <v>29.25</v>
      </c>
      <c r="N514" s="110">
        <v>29.9</v>
      </c>
      <c r="O514" s="110">
        <v>29.1</v>
      </c>
      <c r="P514" s="110">
        <v>29.5</v>
      </c>
      <c r="Q514" s="110">
        <v>29.25</v>
      </c>
      <c r="R514">
        <v>42702</v>
      </c>
    </row>
    <row r="515" spans="1:18" x14ac:dyDescent="0.25">
      <c r="A515" s="134">
        <v>42759</v>
      </c>
      <c r="B515" s="110">
        <v>30.1</v>
      </c>
      <c r="C515" s="110">
        <v>29.3</v>
      </c>
      <c r="D515" s="110">
        <v>29.1</v>
      </c>
      <c r="E515" s="110">
        <v>29.4</v>
      </c>
      <c r="F515" s="110">
        <v>29.3</v>
      </c>
      <c r="G515">
        <v>19705</v>
      </c>
      <c r="H515" s="110"/>
      <c r="I515" s="110"/>
      <c r="L515" s="134">
        <v>42759</v>
      </c>
      <c r="M515" s="110">
        <v>29.3</v>
      </c>
      <c r="N515" s="110">
        <v>29.7</v>
      </c>
      <c r="O515" s="110">
        <v>29.2</v>
      </c>
      <c r="P515" s="110">
        <v>29.2</v>
      </c>
      <c r="Q515" s="110">
        <v>29.3</v>
      </c>
      <c r="R515">
        <v>37334</v>
      </c>
    </row>
    <row r="516" spans="1:18" x14ac:dyDescent="0.25">
      <c r="A516" s="134">
        <v>42760</v>
      </c>
      <c r="B516" s="110">
        <v>29.65</v>
      </c>
      <c r="C516" s="110">
        <v>29.6</v>
      </c>
      <c r="D516" s="110">
        <v>29.25</v>
      </c>
      <c r="E516" s="110">
        <v>29.35</v>
      </c>
      <c r="F516" s="110">
        <v>29.6</v>
      </c>
      <c r="G516">
        <v>7608</v>
      </c>
      <c r="H516" s="110"/>
      <c r="I516" s="110"/>
      <c r="L516" s="134">
        <v>42760</v>
      </c>
      <c r="M516" s="110">
        <v>29.55</v>
      </c>
      <c r="N516" s="110">
        <v>29.7</v>
      </c>
      <c r="O516" s="110">
        <v>29.35</v>
      </c>
      <c r="P516" s="110">
        <v>29.7</v>
      </c>
      <c r="Q516" s="110">
        <v>29.55</v>
      </c>
      <c r="R516">
        <v>41624</v>
      </c>
    </row>
    <row r="517" spans="1:18" x14ac:dyDescent="0.25">
      <c r="A517" s="134">
        <v>42762</v>
      </c>
      <c r="B517" s="110">
        <v>30.25</v>
      </c>
      <c r="C517" s="110">
        <v>29.9</v>
      </c>
      <c r="D517" s="110">
        <v>29.5</v>
      </c>
      <c r="E517" s="110">
        <v>29.75</v>
      </c>
      <c r="F517" s="110">
        <v>29.9</v>
      </c>
      <c r="G517">
        <v>34487</v>
      </c>
      <c r="H517" s="110"/>
      <c r="I517" s="110"/>
      <c r="L517" s="134">
        <v>42762</v>
      </c>
      <c r="M517" s="110">
        <v>29.8</v>
      </c>
      <c r="N517" s="110">
        <v>30.3</v>
      </c>
      <c r="O517" s="110">
        <v>29.5</v>
      </c>
      <c r="P517" s="110">
        <v>29.75</v>
      </c>
      <c r="Q517" s="110">
        <v>29.8</v>
      </c>
      <c r="R517">
        <v>247127</v>
      </c>
    </row>
    <row r="518" spans="1:18" x14ac:dyDescent="0.25">
      <c r="A518" s="134">
        <v>42765</v>
      </c>
      <c r="B518" s="110">
        <v>32.65</v>
      </c>
      <c r="C518" s="110">
        <v>32.5</v>
      </c>
      <c r="D518" s="110">
        <v>30.05</v>
      </c>
      <c r="E518" s="110">
        <v>30.05</v>
      </c>
      <c r="F518" s="110">
        <v>32.5</v>
      </c>
      <c r="G518">
        <v>246993</v>
      </c>
      <c r="H518" s="110"/>
      <c r="I518" s="110"/>
      <c r="L518" s="134">
        <v>42765</v>
      </c>
      <c r="M518" s="110">
        <v>32.299999999999997</v>
      </c>
      <c r="N518" s="110">
        <v>32.5</v>
      </c>
      <c r="O518" s="110">
        <v>30.55</v>
      </c>
      <c r="P518" s="110">
        <v>31.3</v>
      </c>
      <c r="Q518" s="110">
        <v>32.299999999999997</v>
      </c>
      <c r="R518">
        <v>1039240</v>
      </c>
    </row>
    <row r="519" spans="1:18" x14ac:dyDescent="0.25">
      <c r="A519" s="134">
        <v>42766</v>
      </c>
      <c r="B519" s="110">
        <v>33.700000000000003</v>
      </c>
      <c r="C519" s="110">
        <v>33.299999999999997</v>
      </c>
      <c r="D519" s="110">
        <v>32.299999999999997</v>
      </c>
      <c r="E519" s="110">
        <v>32.85</v>
      </c>
      <c r="F519" s="110">
        <v>33.299999999999997</v>
      </c>
      <c r="G519">
        <v>161616</v>
      </c>
      <c r="H519" s="110"/>
      <c r="I519" s="110"/>
      <c r="L519" s="134">
        <v>42766</v>
      </c>
      <c r="M519" s="110">
        <v>33.15</v>
      </c>
      <c r="N519" s="110">
        <v>33.6</v>
      </c>
      <c r="O519" s="110">
        <v>32.200000000000003</v>
      </c>
      <c r="P519" s="110">
        <v>32.65</v>
      </c>
      <c r="Q519" s="110">
        <v>33.15</v>
      </c>
      <c r="R519">
        <v>604202</v>
      </c>
    </row>
    <row r="520" spans="1:18" x14ac:dyDescent="0.25">
      <c r="A520" s="134">
        <v>42767</v>
      </c>
      <c r="B520" s="110">
        <v>33.35</v>
      </c>
      <c r="C520" s="110">
        <v>32.75</v>
      </c>
      <c r="D520" s="110">
        <v>32.1</v>
      </c>
      <c r="E520" s="110">
        <v>33.35</v>
      </c>
      <c r="F520" s="110">
        <v>32.75</v>
      </c>
      <c r="G520">
        <v>133450</v>
      </c>
      <c r="H520" s="110"/>
      <c r="I520" s="110"/>
      <c r="L520" s="134">
        <v>42767</v>
      </c>
      <c r="M520" s="110">
        <v>32.85</v>
      </c>
      <c r="N520" s="110">
        <v>33.200000000000003</v>
      </c>
      <c r="O520" s="110">
        <v>32.049999999999997</v>
      </c>
      <c r="P520" s="110">
        <v>33.1</v>
      </c>
      <c r="Q520" s="110">
        <v>32.85</v>
      </c>
      <c r="R520">
        <v>380956</v>
      </c>
    </row>
    <row r="521" spans="1:18" x14ac:dyDescent="0.25">
      <c r="A521" s="134">
        <v>42768</v>
      </c>
      <c r="B521" s="110">
        <v>35.25</v>
      </c>
      <c r="C521" s="110">
        <v>34.35</v>
      </c>
      <c r="D521" s="110">
        <v>32.799999999999997</v>
      </c>
      <c r="E521" s="110">
        <v>32.799999999999997</v>
      </c>
      <c r="F521" s="110">
        <v>34.35</v>
      </c>
      <c r="G521">
        <v>243217</v>
      </c>
      <c r="H521" s="110"/>
      <c r="I521" s="110"/>
      <c r="L521" s="134">
        <v>42768</v>
      </c>
      <c r="M521" s="110">
        <v>34.450000000000003</v>
      </c>
      <c r="N521" s="110">
        <v>35.299999999999997</v>
      </c>
      <c r="O521" s="110">
        <v>32.799999999999997</v>
      </c>
      <c r="P521" s="110">
        <v>32.9</v>
      </c>
      <c r="Q521" s="110">
        <v>34.450000000000003</v>
      </c>
      <c r="R521">
        <v>1273872</v>
      </c>
    </row>
    <row r="522" spans="1:18" x14ac:dyDescent="0.25">
      <c r="A522" s="134">
        <v>42769</v>
      </c>
      <c r="B522" s="110">
        <v>35.1</v>
      </c>
      <c r="C522" s="110">
        <v>34.700000000000003</v>
      </c>
      <c r="D522" s="110">
        <v>33.700000000000003</v>
      </c>
      <c r="E522" s="110">
        <v>35</v>
      </c>
      <c r="F522" s="110">
        <v>34.700000000000003</v>
      </c>
      <c r="G522">
        <v>171748</v>
      </c>
      <c r="H522" s="110"/>
      <c r="I522" s="110"/>
      <c r="L522" s="134">
        <v>42769</v>
      </c>
      <c r="M522" s="110">
        <v>34.65</v>
      </c>
      <c r="N522" s="110">
        <v>35.700000000000003</v>
      </c>
      <c r="O522" s="110">
        <v>31.3</v>
      </c>
      <c r="P522" s="110">
        <v>34.950000000000003</v>
      </c>
      <c r="Q522" s="110">
        <v>34.65</v>
      </c>
      <c r="R522">
        <v>849608</v>
      </c>
    </row>
    <row r="523" spans="1:18" x14ac:dyDescent="0.25">
      <c r="A523" s="134">
        <v>42772</v>
      </c>
      <c r="B523" s="110">
        <v>35.799999999999997</v>
      </c>
      <c r="C523" s="110">
        <v>34.799999999999997</v>
      </c>
      <c r="D523" s="110">
        <v>34.5</v>
      </c>
      <c r="E523" s="110">
        <v>35.799999999999997</v>
      </c>
      <c r="F523" s="110">
        <v>34.799999999999997</v>
      </c>
      <c r="G523">
        <v>115147</v>
      </c>
      <c r="H523" s="110"/>
      <c r="I523" s="110"/>
      <c r="L523" s="134">
        <v>42772</v>
      </c>
      <c r="M523" s="110">
        <v>34.700000000000003</v>
      </c>
      <c r="N523" s="110">
        <v>35.6</v>
      </c>
      <c r="O523" s="110">
        <v>34.25</v>
      </c>
      <c r="P523" s="110">
        <v>35.5</v>
      </c>
      <c r="Q523" s="110">
        <v>34.700000000000003</v>
      </c>
      <c r="R523">
        <v>347859</v>
      </c>
    </row>
    <row r="524" spans="1:18" x14ac:dyDescent="0.25">
      <c r="A524" s="134">
        <v>42773</v>
      </c>
      <c r="B524" s="110">
        <v>35.299999999999997</v>
      </c>
      <c r="C524" s="110">
        <v>35.049999999999997</v>
      </c>
      <c r="D524" s="110">
        <v>34.799999999999997</v>
      </c>
      <c r="E524" s="110">
        <v>35.049999999999997</v>
      </c>
      <c r="F524" s="110">
        <v>35.049999999999997</v>
      </c>
      <c r="G524">
        <v>99628</v>
      </c>
      <c r="H524" s="110"/>
      <c r="I524" s="110"/>
      <c r="L524" s="134">
        <v>42773</v>
      </c>
      <c r="M524" s="110">
        <v>35.299999999999997</v>
      </c>
      <c r="N524" s="110">
        <v>35.450000000000003</v>
      </c>
      <c r="O524" s="110">
        <v>34.75</v>
      </c>
      <c r="P524" s="110">
        <v>35.200000000000003</v>
      </c>
      <c r="Q524" s="110">
        <v>35.299999999999997</v>
      </c>
      <c r="R524">
        <v>644256</v>
      </c>
    </row>
    <row r="525" spans="1:18" x14ac:dyDescent="0.25">
      <c r="A525" s="134">
        <v>42774</v>
      </c>
      <c r="B525" s="110">
        <v>35.5</v>
      </c>
      <c r="C525" s="110">
        <v>34.35</v>
      </c>
      <c r="D525" s="110">
        <v>34</v>
      </c>
      <c r="E525" s="110">
        <v>35.200000000000003</v>
      </c>
      <c r="F525" s="110">
        <v>34.35</v>
      </c>
      <c r="G525">
        <v>102684</v>
      </c>
      <c r="H525" s="110"/>
      <c r="I525" s="110"/>
      <c r="L525" s="134">
        <v>42774</v>
      </c>
      <c r="M525" s="110">
        <v>34.549999999999997</v>
      </c>
      <c r="N525" s="110">
        <v>35.6</v>
      </c>
      <c r="O525" s="110">
        <v>34</v>
      </c>
      <c r="P525" s="110">
        <v>35.4</v>
      </c>
      <c r="Q525" s="110">
        <v>34.549999999999997</v>
      </c>
      <c r="R525">
        <v>444953</v>
      </c>
    </row>
    <row r="526" spans="1:18" x14ac:dyDescent="0.25">
      <c r="A526" s="134">
        <v>42775</v>
      </c>
      <c r="B526" s="110">
        <v>35.1</v>
      </c>
      <c r="C526" s="110">
        <v>33.6</v>
      </c>
      <c r="D526" s="110">
        <v>33.200000000000003</v>
      </c>
      <c r="E526" s="110">
        <v>34.5</v>
      </c>
      <c r="F526" s="110">
        <v>33.6</v>
      </c>
      <c r="G526">
        <v>98464</v>
      </c>
      <c r="H526" s="110"/>
      <c r="I526" s="110"/>
      <c r="L526" s="134">
        <v>42775</v>
      </c>
      <c r="M526" s="110">
        <v>33.450000000000003</v>
      </c>
      <c r="N526" s="110">
        <v>35</v>
      </c>
      <c r="O526" s="110">
        <v>33.1</v>
      </c>
      <c r="P526" s="110">
        <v>34.9</v>
      </c>
      <c r="Q526" s="110">
        <v>33.450000000000003</v>
      </c>
      <c r="R526">
        <v>468261</v>
      </c>
    </row>
    <row r="527" spans="1:18" x14ac:dyDescent="0.25">
      <c r="A527" s="134">
        <v>42776</v>
      </c>
      <c r="B527" s="110">
        <v>34</v>
      </c>
      <c r="C527" s="110">
        <v>33.700000000000003</v>
      </c>
      <c r="D527" s="110">
        <v>33.5</v>
      </c>
      <c r="E527" s="110">
        <v>34</v>
      </c>
      <c r="F527" s="110">
        <v>33.700000000000003</v>
      </c>
      <c r="G527">
        <v>39959</v>
      </c>
      <c r="H527" s="110"/>
      <c r="I527" s="110"/>
      <c r="L527" s="134">
        <v>42776</v>
      </c>
      <c r="M527" s="110">
        <v>33.700000000000003</v>
      </c>
      <c r="N527" s="110">
        <v>34</v>
      </c>
      <c r="O527" s="110">
        <v>33.549999999999997</v>
      </c>
      <c r="P527" s="110">
        <v>33.75</v>
      </c>
      <c r="Q527" s="110">
        <v>33.700000000000003</v>
      </c>
      <c r="R527">
        <v>210143</v>
      </c>
    </row>
    <row r="528" spans="1:18" x14ac:dyDescent="0.25">
      <c r="A528" s="134">
        <v>42779</v>
      </c>
      <c r="B528" s="110">
        <v>34</v>
      </c>
      <c r="C528" s="110">
        <v>33.1</v>
      </c>
      <c r="D528" s="110">
        <v>33</v>
      </c>
      <c r="E528" s="110">
        <v>34</v>
      </c>
      <c r="F528" s="110">
        <v>33.1</v>
      </c>
      <c r="G528">
        <v>60132</v>
      </c>
      <c r="H528" s="110"/>
      <c r="I528" s="110"/>
      <c r="L528" s="134">
        <v>42779</v>
      </c>
      <c r="M528" s="110">
        <v>33.299999999999997</v>
      </c>
      <c r="N528" s="110">
        <v>34.200000000000003</v>
      </c>
      <c r="O528" s="110">
        <v>33.200000000000003</v>
      </c>
      <c r="P528" s="110">
        <v>34.049999999999997</v>
      </c>
      <c r="Q528" s="110">
        <v>33.299999999999997</v>
      </c>
      <c r="R528">
        <v>156474</v>
      </c>
    </row>
    <row r="529" spans="1:18" x14ac:dyDescent="0.25">
      <c r="A529" s="134">
        <v>42780</v>
      </c>
      <c r="B529" s="110">
        <v>33.75</v>
      </c>
      <c r="C529" s="110">
        <v>33.450000000000003</v>
      </c>
      <c r="D529" s="110">
        <v>33.1</v>
      </c>
      <c r="E529" s="110">
        <v>33.450000000000003</v>
      </c>
      <c r="F529" s="110">
        <v>33.450000000000003</v>
      </c>
      <c r="G529">
        <v>34525</v>
      </c>
      <c r="H529" s="110"/>
      <c r="I529" s="110"/>
      <c r="L529" s="134">
        <v>42780</v>
      </c>
      <c r="M529" s="110">
        <v>33.35</v>
      </c>
      <c r="N529" s="110">
        <v>33.75</v>
      </c>
      <c r="O529" s="110">
        <v>33.049999999999997</v>
      </c>
      <c r="P529" s="110">
        <v>33.75</v>
      </c>
      <c r="Q529" s="110">
        <v>33.35</v>
      </c>
      <c r="R529">
        <v>85958</v>
      </c>
    </row>
    <row r="530" spans="1:18" x14ac:dyDescent="0.25">
      <c r="A530" s="134">
        <v>42781</v>
      </c>
      <c r="B530" s="110">
        <v>33.35</v>
      </c>
      <c r="C530" s="110">
        <v>32.65</v>
      </c>
      <c r="D530" s="110">
        <v>32.5</v>
      </c>
      <c r="E530" s="110">
        <v>33</v>
      </c>
      <c r="F530" s="110">
        <v>32.65</v>
      </c>
      <c r="G530">
        <v>21540</v>
      </c>
      <c r="H530" s="110"/>
      <c r="I530" s="110"/>
      <c r="L530" s="134">
        <v>42781</v>
      </c>
      <c r="M530" s="110">
        <v>32.6</v>
      </c>
      <c r="N530" s="110">
        <v>33.5</v>
      </c>
      <c r="O530" s="110">
        <v>32.5</v>
      </c>
      <c r="P530" s="110">
        <v>33.200000000000003</v>
      </c>
      <c r="Q530" s="110">
        <v>32.6</v>
      </c>
      <c r="R530">
        <v>87966</v>
      </c>
    </row>
    <row r="531" spans="1:18" x14ac:dyDescent="0.25">
      <c r="A531" s="134">
        <v>42782</v>
      </c>
      <c r="B531" s="110">
        <v>33.700000000000003</v>
      </c>
      <c r="C531" s="110">
        <v>32.9</v>
      </c>
      <c r="D531" s="110">
        <v>32.5</v>
      </c>
      <c r="E531" s="110">
        <v>33</v>
      </c>
      <c r="F531" s="110">
        <v>32.9</v>
      </c>
      <c r="G531">
        <v>28537</v>
      </c>
      <c r="H531" s="110"/>
      <c r="I531" s="110"/>
      <c r="L531" s="134">
        <v>42782</v>
      </c>
      <c r="M531" s="110">
        <v>32.9</v>
      </c>
      <c r="N531" s="110">
        <v>33.75</v>
      </c>
      <c r="O531" s="110">
        <v>32.5</v>
      </c>
      <c r="P531" s="110">
        <v>33.549999999999997</v>
      </c>
      <c r="Q531" s="110">
        <v>32.9</v>
      </c>
      <c r="R531">
        <v>198703</v>
      </c>
    </row>
    <row r="532" spans="1:18" x14ac:dyDescent="0.25">
      <c r="A532" s="134">
        <v>42783</v>
      </c>
      <c r="B532" s="110">
        <v>33.299999999999997</v>
      </c>
      <c r="C532" s="110">
        <v>32.65</v>
      </c>
      <c r="D532" s="110">
        <v>32.5</v>
      </c>
      <c r="E532" s="110">
        <v>33.049999999999997</v>
      </c>
      <c r="F532" s="110">
        <v>32.65</v>
      </c>
      <c r="G532">
        <v>22474</v>
      </c>
      <c r="H532" s="110"/>
      <c r="I532" s="110"/>
      <c r="L532" s="134">
        <v>42783</v>
      </c>
      <c r="M532" s="110">
        <v>32.65</v>
      </c>
      <c r="N532" s="110">
        <v>33.5</v>
      </c>
      <c r="O532" s="110">
        <v>32.5</v>
      </c>
      <c r="P532" s="110">
        <v>33.200000000000003</v>
      </c>
      <c r="Q532" s="110">
        <v>32.65</v>
      </c>
      <c r="R532">
        <v>88766</v>
      </c>
    </row>
    <row r="533" spans="1:18" x14ac:dyDescent="0.25">
      <c r="A533" s="134">
        <v>42786</v>
      </c>
      <c r="B533" s="110">
        <v>33.1</v>
      </c>
      <c r="C533" s="110">
        <v>32.549999999999997</v>
      </c>
      <c r="D533" s="110">
        <v>32.299999999999997</v>
      </c>
      <c r="E533" s="110">
        <v>33</v>
      </c>
      <c r="F533" s="110">
        <v>32.549999999999997</v>
      </c>
      <c r="G533">
        <v>39270</v>
      </c>
      <c r="H533" s="110"/>
      <c r="I533" s="110"/>
      <c r="L533" s="134">
        <v>42786</v>
      </c>
      <c r="M533" s="110">
        <v>32.549999999999997</v>
      </c>
      <c r="N533" s="110">
        <v>33.25</v>
      </c>
      <c r="O533" s="110">
        <v>32.299999999999997</v>
      </c>
      <c r="P533" s="110">
        <v>32.9</v>
      </c>
      <c r="Q533" s="110">
        <v>32.549999999999997</v>
      </c>
      <c r="R533">
        <v>235254</v>
      </c>
    </row>
    <row r="534" spans="1:18" x14ac:dyDescent="0.25">
      <c r="A534" s="134">
        <v>42787</v>
      </c>
      <c r="B534" s="110">
        <v>38.700000000000003</v>
      </c>
      <c r="C534" s="110">
        <v>37.049999999999997</v>
      </c>
      <c r="D534" s="110">
        <v>32.549999999999997</v>
      </c>
      <c r="E534" s="110">
        <v>32.799999999999997</v>
      </c>
      <c r="F534" s="110">
        <v>37.049999999999997</v>
      </c>
      <c r="G534">
        <v>741362</v>
      </c>
      <c r="H534" s="110"/>
      <c r="I534" s="110"/>
      <c r="L534" s="134">
        <v>42787</v>
      </c>
      <c r="M534" s="110">
        <v>37.1</v>
      </c>
      <c r="N534" s="110">
        <v>38.700000000000003</v>
      </c>
      <c r="O534" s="110">
        <v>32.6</v>
      </c>
      <c r="P534" s="110">
        <v>32.799999999999997</v>
      </c>
      <c r="Q534" s="110">
        <v>37.1</v>
      </c>
      <c r="R534">
        <v>4367966</v>
      </c>
    </row>
    <row r="535" spans="1:18" x14ac:dyDescent="0.25">
      <c r="A535" s="134">
        <v>42788</v>
      </c>
      <c r="B535" s="110">
        <v>37</v>
      </c>
      <c r="C535" s="110">
        <v>34.950000000000003</v>
      </c>
      <c r="D535" s="110">
        <v>34.799999999999997</v>
      </c>
      <c r="E535" s="110">
        <v>37</v>
      </c>
      <c r="F535" s="110">
        <v>34.950000000000003</v>
      </c>
      <c r="G535">
        <v>123182</v>
      </c>
      <c r="H535" s="110"/>
      <c r="I535" s="110"/>
      <c r="L535" s="134">
        <v>42788</v>
      </c>
      <c r="M535" s="110">
        <v>34.85</v>
      </c>
      <c r="N535" s="110">
        <v>37.15</v>
      </c>
      <c r="O535" s="110">
        <v>34.4</v>
      </c>
      <c r="P535" s="110">
        <v>37.15</v>
      </c>
      <c r="Q535" s="110">
        <v>34.85</v>
      </c>
      <c r="R535">
        <v>990826</v>
      </c>
    </row>
    <row r="536" spans="1:18" x14ac:dyDescent="0.25">
      <c r="A536" s="134">
        <v>42789</v>
      </c>
      <c r="B536" s="110">
        <v>35.700000000000003</v>
      </c>
      <c r="C536" s="110">
        <v>34.299999999999997</v>
      </c>
      <c r="D536" s="110">
        <v>34.1</v>
      </c>
      <c r="E536" s="110">
        <v>35</v>
      </c>
      <c r="F536" s="110">
        <v>34.299999999999997</v>
      </c>
      <c r="G536">
        <v>142559</v>
      </c>
      <c r="H536" s="110"/>
      <c r="I536" s="110"/>
      <c r="L536" s="134">
        <v>42789</v>
      </c>
      <c r="M536" s="110">
        <v>34.4</v>
      </c>
      <c r="N536" s="110">
        <v>35.6</v>
      </c>
      <c r="O536" s="110">
        <v>34.200000000000003</v>
      </c>
      <c r="P536" s="110">
        <v>34.75</v>
      </c>
      <c r="Q536" s="110">
        <v>34.4</v>
      </c>
      <c r="R536">
        <v>602339</v>
      </c>
    </row>
    <row r="537" spans="1:18" x14ac:dyDescent="0.25">
      <c r="A537" s="134">
        <v>42793</v>
      </c>
      <c r="B537" s="110">
        <v>34.85</v>
      </c>
      <c r="C537" s="110">
        <v>34.4</v>
      </c>
      <c r="D537" s="110">
        <v>34.25</v>
      </c>
      <c r="E537" s="110">
        <v>34.4</v>
      </c>
      <c r="F537" s="110">
        <v>34.4</v>
      </c>
      <c r="G537">
        <v>51304</v>
      </c>
      <c r="H537" s="110"/>
      <c r="I537" s="110"/>
      <c r="L537" s="134">
        <v>42793</v>
      </c>
      <c r="M537" s="110">
        <v>34.25</v>
      </c>
      <c r="N537" s="110">
        <v>34.9</v>
      </c>
      <c r="O537" s="110">
        <v>34</v>
      </c>
      <c r="P537" s="110">
        <v>34.6</v>
      </c>
      <c r="Q537" s="110">
        <v>34.25</v>
      </c>
      <c r="R537">
        <v>200515</v>
      </c>
    </row>
    <row r="538" spans="1:18" x14ac:dyDescent="0.25">
      <c r="A538" s="134">
        <v>42794</v>
      </c>
      <c r="B538" s="110">
        <v>34.799999999999997</v>
      </c>
      <c r="C538" s="110">
        <v>34.4</v>
      </c>
      <c r="D538" s="110">
        <v>34.15</v>
      </c>
      <c r="E538" s="110">
        <v>34.549999999999997</v>
      </c>
      <c r="F538" s="110">
        <v>34.4</v>
      </c>
      <c r="G538">
        <v>28593</v>
      </c>
      <c r="H538" s="110"/>
      <c r="I538" s="110"/>
      <c r="L538" s="134">
        <v>42794</v>
      </c>
      <c r="M538" s="110">
        <v>34.25</v>
      </c>
      <c r="N538" s="110">
        <v>34.799999999999997</v>
      </c>
      <c r="O538" s="110">
        <v>34.049999999999997</v>
      </c>
      <c r="P538" s="110">
        <v>34.6</v>
      </c>
      <c r="Q538" s="110">
        <v>34.25</v>
      </c>
      <c r="R538">
        <v>163906</v>
      </c>
    </row>
    <row r="539" spans="1:18" x14ac:dyDescent="0.25">
      <c r="A539" s="134">
        <v>42795</v>
      </c>
      <c r="B539" s="110">
        <v>35</v>
      </c>
      <c r="C539" s="110">
        <v>34.5</v>
      </c>
      <c r="D539" s="110">
        <v>34.299999999999997</v>
      </c>
      <c r="E539" s="110">
        <v>34.4</v>
      </c>
      <c r="F539" s="110">
        <v>34.5</v>
      </c>
      <c r="G539">
        <v>45011</v>
      </c>
      <c r="H539" s="110"/>
      <c r="I539" s="110"/>
      <c r="L539" s="134">
        <v>42795</v>
      </c>
      <c r="M539" s="110">
        <v>34.549999999999997</v>
      </c>
      <c r="N539" s="110">
        <v>35</v>
      </c>
      <c r="O539" s="110">
        <v>34.4</v>
      </c>
      <c r="P539" s="110">
        <v>34.799999999999997</v>
      </c>
      <c r="Q539" s="110">
        <v>34.549999999999997</v>
      </c>
      <c r="R539">
        <v>238988</v>
      </c>
    </row>
    <row r="540" spans="1:18" x14ac:dyDescent="0.25">
      <c r="A540" s="134">
        <v>42796</v>
      </c>
      <c r="B540" s="110">
        <v>34.950000000000003</v>
      </c>
      <c r="C540" s="110">
        <v>33.799999999999997</v>
      </c>
      <c r="D540" s="110">
        <v>33.65</v>
      </c>
      <c r="E540" s="110">
        <v>34.9</v>
      </c>
      <c r="F540" s="110">
        <v>33.799999999999997</v>
      </c>
      <c r="G540">
        <v>36153</v>
      </c>
      <c r="H540" s="110"/>
      <c r="I540" s="110"/>
      <c r="L540" s="134">
        <v>42796</v>
      </c>
      <c r="M540" s="110">
        <v>33.85</v>
      </c>
      <c r="N540" s="110">
        <v>34.950000000000003</v>
      </c>
      <c r="O540" s="110">
        <v>33.75</v>
      </c>
      <c r="P540" s="110">
        <v>34.85</v>
      </c>
      <c r="Q540" s="110">
        <v>33.85</v>
      </c>
      <c r="R540">
        <v>194539</v>
      </c>
    </row>
    <row r="541" spans="1:18" x14ac:dyDescent="0.25">
      <c r="A541" s="134">
        <v>42797</v>
      </c>
      <c r="B541" s="110">
        <v>34</v>
      </c>
      <c r="C541" s="110">
        <v>33.799999999999997</v>
      </c>
      <c r="D541" s="110">
        <v>33.5</v>
      </c>
      <c r="E541" s="110">
        <v>34</v>
      </c>
      <c r="F541" s="110">
        <v>33.799999999999997</v>
      </c>
      <c r="G541">
        <v>28090</v>
      </c>
      <c r="H541" s="110"/>
      <c r="I541" s="110"/>
      <c r="L541" s="134">
        <v>42797</v>
      </c>
      <c r="M541" s="110">
        <v>33.700000000000003</v>
      </c>
      <c r="N541" s="110">
        <v>34</v>
      </c>
      <c r="O541" s="110">
        <v>33.450000000000003</v>
      </c>
      <c r="P541" s="110">
        <v>34</v>
      </c>
      <c r="Q541" s="110">
        <v>33.700000000000003</v>
      </c>
      <c r="R541">
        <v>101069</v>
      </c>
    </row>
    <row r="542" spans="1:18" x14ac:dyDescent="0.25">
      <c r="A542" s="134">
        <v>42800</v>
      </c>
      <c r="B542" s="110">
        <v>34</v>
      </c>
      <c r="C542" s="110">
        <v>33.450000000000003</v>
      </c>
      <c r="D542" s="110">
        <v>33.299999999999997</v>
      </c>
      <c r="E542" s="110">
        <v>33.950000000000003</v>
      </c>
      <c r="F542" s="110">
        <v>33.450000000000003</v>
      </c>
      <c r="G542">
        <v>21185</v>
      </c>
      <c r="H542" s="110"/>
      <c r="I542" s="110"/>
      <c r="L542" s="134">
        <v>42800</v>
      </c>
      <c r="M542" s="110">
        <v>33.549999999999997</v>
      </c>
      <c r="N542" s="110">
        <v>33.950000000000003</v>
      </c>
      <c r="O542" s="110">
        <v>33.299999999999997</v>
      </c>
      <c r="P542" s="110">
        <v>33.700000000000003</v>
      </c>
      <c r="Q542" s="110">
        <v>33.549999999999997</v>
      </c>
      <c r="R542">
        <v>146198</v>
      </c>
    </row>
    <row r="543" spans="1:18" x14ac:dyDescent="0.25">
      <c r="A543" s="134">
        <v>42801</v>
      </c>
      <c r="B543" s="110">
        <v>33.65</v>
      </c>
      <c r="C543" s="110">
        <v>33.450000000000003</v>
      </c>
      <c r="D543" s="110">
        <v>33.299999999999997</v>
      </c>
      <c r="E543" s="110">
        <v>33.6</v>
      </c>
      <c r="F543" s="110">
        <v>33.450000000000003</v>
      </c>
      <c r="G543">
        <v>13090</v>
      </c>
      <c r="H543" s="110"/>
      <c r="I543" s="110"/>
      <c r="L543" s="134">
        <v>42801</v>
      </c>
      <c r="M543" s="110">
        <v>33.450000000000003</v>
      </c>
      <c r="N543" s="110">
        <v>33.700000000000003</v>
      </c>
      <c r="O543" s="110">
        <v>33.200000000000003</v>
      </c>
      <c r="P543" s="110">
        <v>33.700000000000003</v>
      </c>
      <c r="Q543" s="110">
        <v>33.450000000000003</v>
      </c>
      <c r="R543">
        <v>109125</v>
      </c>
    </row>
    <row r="544" spans="1:18" x14ac:dyDescent="0.25">
      <c r="A544" s="134">
        <v>42802</v>
      </c>
      <c r="B544" s="110">
        <v>33.4</v>
      </c>
      <c r="C544" s="110">
        <v>33.049999999999997</v>
      </c>
      <c r="D544" s="110">
        <v>33</v>
      </c>
      <c r="E544" s="110">
        <v>33.200000000000003</v>
      </c>
      <c r="F544" s="110">
        <v>33.049999999999997</v>
      </c>
      <c r="G544">
        <v>24871</v>
      </c>
      <c r="H544" s="110"/>
      <c r="I544" s="110"/>
      <c r="L544" s="134">
        <v>42802</v>
      </c>
      <c r="M544" s="110">
        <v>32.9</v>
      </c>
      <c r="N544" s="110">
        <v>33.5</v>
      </c>
      <c r="O544" s="110">
        <v>32.799999999999997</v>
      </c>
      <c r="P544" s="110">
        <v>33.450000000000003</v>
      </c>
      <c r="Q544" s="110">
        <v>32.9</v>
      </c>
      <c r="R544">
        <v>157312</v>
      </c>
    </row>
    <row r="545" spans="1:18" x14ac:dyDescent="0.25">
      <c r="A545" s="134">
        <v>42803</v>
      </c>
      <c r="B545" s="110">
        <v>33.049999999999997</v>
      </c>
      <c r="C545" s="110">
        <v>32.700000000000003</v>
      </c>
      <c r="D545" s="110">
        <v>32.65</v>
      </c>
      <c r="E545" s="110">
        <v>33</v>
      </c>
      <c r="F545" s="110">
        <v>32.700000000000003</v>
      </c>
      <c r="G545">
        <v>16527</v>
      </c>
      <c r="H545" s="110"/>
      <c r="I545" s="110"/>
      <c r="L545" s="134">
        <v>42803</v>
      </c>
      <c r="M545" s="110">
        <v>32.65</v>
      </c>
      <c r="N545" s="110">
        <v>33.15</v>
      </c>
      <c r="O545" s="110">
        <v>32.549999999999997</v>
      </c>
      <c r="P545" s="110">
        <v>33</v>
      </c>
      <c r="Q545" s="110">
        <v>32.65</v>
      </c>
      <c r="R545">
        <v>81812</v>
      </c>
    </row>
    <row r="546" spans="1:18" x14ac:dyDescent="0.25">
      <c r="A546" s="134">
        <v>42804</v>
      </c>
      <c r="B546" s="110">
        <v>32.75</v>
      </c>
      <c r="C546" s="110">
        <v>32.4</v>
      </c>
      <c r="D546" s="110">
        <v>32.299999999999997</v>
      </c>
      <c r="E546" s="110">
        <v>32.700000000000003</v>
      </c>
      <c r="F546" s="110">
        <v>32.4</v>
      </c>
      <c r="G546">
        <v>31288</v>
      </c>
      <c r="H546" s="110"/>
      <c r="I546" s="110"/>
      <c r="L546" s="134">
        <v>42804</v>
      </c>
      <c r="M546" s="110">
        <v>32.4</v>
      </c>
      <c r="N546" s="110">
        <v>33.1</v>
      </c>
      <c r="O546" s="110">
        <v>32.299999999999997</v>
      </c>
      <c r="P546" s="110">
        <v>33</v>
      </c>
      <c r="Q546" s="110">
        <v>32.4</v>
      </c>
      <c r="R546">
        <v>132069</v>
      </c>
    </row>
    <row r="547" spans="1:18" x14ac:dyDescent="0.25">
      <c r="A547" s="134">
        <v>42808</v>
      </c>
      <c r="B547" s="110">
        <v>33</v>
      </c>
      <c r="C547" s="110">
        <v>32.299999999999997</v>
      </c>
      <c r="D547" s="110">
        <v>32.25</v>
      </c>
      <c r="E547" s="110">
        <v>33</v>
      </c>
      <c r="F547" s="110">
        <v>32.299999999999997</v>
      </c>
      <c r="G547">
        <v>33349</v>
      </c>
      <c r="H547" s="110"/>
      <c r="I547" s="110"/>
      <c r="L547" s="134">
        <v>42808</v>
      </c>
      <c r="M547" s="110">
        <v>32.299999999999997</v>
      </c>
      <c r="N547" s="110">
        <v>33</v>
      </c>
      <c r="O547" s="110">
        <v>32.15</v>
      </c>
      <c r="P547" s="110">
        <v>33</v>
      </c>
      <c r="Q547" s="110">
        <v>32.299999999999997</v>
      </c>
      <c r="R547">
        <v>127450</v>
      </c>
    </row>
    <row r="548" spans="1:18" x14ac:dyDescent="0.25">
      <c r="A548" s="134">
        <v>42809</v>
      </c>
      <c r="B548" s="110">
        <v>33</v>
      </c>
      <c r="C548" s="110">
        <v>32.25</v>
      </c>
      <c r="D548" s="110">
        <v>32.15</v>
      </c>
      <c r="E548" s="110">
        <v>32.200000000000003</v>
      </c>
      <c r="F548" s="110">
        <v>32.25</v>
      </c>
      <c r="G548">
        <v>21211</v>
      </c>
      <c r="H548" s="110"/>
      <c r="I548" s="110"/>
      <c r="L548" s="134">
        <v>42809</v>
      </c>
      <c r="M548" s="110">
        <v>32.299999999999997</v>
      </c>
      <c r="N548" s="110">
        <v>32.9</v>
      </c>
      <c r="O548" s="110">
        <v>32.15</v>
      </c>
      <c r="P548" s="110">
        <v>32.299999999999997</v>
      </c>
      <c r="Q548" s="110">
        <v>32.299999999999997</v>
      </c>
      <c r="R548">
        <v>239029</v>
      </c>
    </row>
    <row r="549" spans="1:18" x14ac:dyDescent="0.25">
      <c r="A549" s="134">
        <v>42810</v>
      </c>
      <c r="B549" s="110">
        <v>32.700000000000003</v>
      </c>
      <c r="C549" s="110">
        <v>32.299999999999997</v>
      </c>
      <c r="D549" s="110">
        <v>32.15</v>
      </c>
      <c r="E549" s="110">
        <v>32.700000000000003</v>
      </c>
      <c r="F549" s="110">
        <v>32.299999999999997</v>
      </c>
      <c r="G549">
        <v>39102</v>
      </c>
      <c r="H549" s="110"/>
      <c r="I549" s="110"/>
      <c r="L549" s="134">
        <v>42810</v>
      </c>
      <c r="M549" s="110">
        <v>32.4</v>
      </c>
      <c r="N549" s="110">
        <v>32.700000000000003</v>
      </c>
      <c r="O549" s="110">
        <v>32.299999999999997</v>
      </c>
      <c r="P549" s="110">
        <v>32.6</v>
      </c>
      <c r="Q549" s="110">
        <v>32.4</v>
      </c>
      <c r="R549">
        <v>150227</v>
      </c>
    </row>
    <row r="550" spans="1:18" x14ac:dyDescent="0.25">
      <c r="A550" s="134">
        <v>42811</v>
      </c>
      <c r="B550" s="110">
        <v>32.75</v>
      </c>
      <c r="C550" s="110">
        <v>32.450000000000003</v>
      </c>
      <c r="D550" s="110">
        <v>32.25</v>
      </c>
      <c r="E550" s="110">
        <v>32.35</v>
      </c>
      <c r="F550" s="110">
        <v>32.450000000000003</v>
      </c>
      <c r="G550">
        <v>22694</v>
      </c>
      <c r="H550" s="110"/>
      <c r="I550" s="110"/>
      <c r="L550" s="134">
        <v>42811</v>
      </c>
      <c r="M550" s="110">
        <v>32.450000000000003</v>
      </c>
      <c r="N550" s="110">
        <v>32.700000000000003</v>
      </c>
      <c r="O550" s="110">
        <v>32.25</v>
      </c>
      <c r="P550" s="110">
        <v>32.700000000000003</v>
      </c>
      <c r="Q550" s="110">
        <v>32.450000000000003</v>
      </c>
      <c r="R550">
        <v>140644</v>
      </c>
    </row>
    <row r="551" spans="1:18" x14ac:dyDescent="0.25">
      <c r="A551" s="134">
        <v>42814</v>
      </c>
      <c r="B551" s="110">
        <v>32.799999999999997</v>
      </c>
      <c r="C551" s="110">
        <v>32.549999999999997</v>
      </c>
      <c r="D551" s="110">
        <v>32.299999999999997</v>
      </c>
      <c r="E551" s="110">
        <v>32.5</v>
      </c>
      <c r="F551" s="110">
        <v>32.549999999999997</v>
      </c>
      <c r="G551">
        <v>25459</v>
      </c>
      <c r="H551" s="110"/>
      <c r="I551" s="110"/>
      <c r="L551" s="134">
        <v>42814</v>
      </c>
      <c r="M551" s="110">
        <v>32.549999999999997</v>
      </c>
      <c r="N551" s="110">
        <v>32.85</v>
      </c>
      <c r="O551" s="110">
        <v>32.299999999999997</v>
      </c>
      <c r="P551" s="110">
        <v>32.75</v>
      </c>
      <c r="Q551" s="110">
        <v>32.549999999999997</v>
      </c>
      <c r="R551">
        <v>103481</v>
      </c>
    </row>
    <row r="552" spans="1:18" x14ac:dyDescent="0.25">
      <c r="A552" s="134">
        <v>42815</v>
      </c>
      <c r="B552" s="110">
        <v>34.25</v>
      </c>
      <c r="C552" s="110">
        <v>33.049999999999997</v>
      </c>
      <c r="D552" s="110">
        <v>32.5</v>
      </c>
      <c r="E552" s="110">
        <v>32.75</v>
      </c>
      <c r="F552" s="110">
        <v>33.049999999999997</v>
      </c>
      <c r="G552">
        <v>81857</v>
      </c>
      <c r="H552" s="110"/>
      <c r="I552" s="110"/>
      <c r="L552" s="134">
        <v>42815</v>
      </c>
      <c r="M552" s="110">
        <v>33</v>
      </c>
      <c r="N552" s="110">
        <v>34.25</v>
      </c>
      <c r="O552" s="110">
        <v>32.5</v>
      </c>
      <c r="P552" s="110">
        <v>32.5</v>
      </c>
      <c r="Q552" s="110">
        <v>33</v>
      </c>
      <c r="R552">
        <v>583625</v>
      </c>
    </row>
    <row r="553" spans="1:18" x14ac:dyDescent="0.25">
      <c r="A553" s="134">
        <v>42816</v>
      </c>
      <c r="B553" s="110">
        <v>35.9</v>
      </c>
      <c r="C553" s="110">
        <v>34.25</v>
      </c>
      <c r="D553" s="110">
        <v>33.299999999999997</v>
      </c>
      <c r="E553" s="110">
        <v>33.799999999999997</v>
      </c>
      <c r="F553" s="110">
        <v>34.25</v>
      </c>
      <c r="G553">
        <v>442122</v>
      </c>
      <c r="H553" s="110"/>
      <c r="I553" s="110"/>
      <c r="L553" s="134">
        <v>42816</v>
      </c>
      <c r="M553" s="110">
        <v>34.200000000000003</v>
      </c>
      <c r="N553" s="110">
        <v>35.950000000000003</v>
      </c>
      <c r="O553" s="110">
        <v>33.25</v>
      </c>
      <c r="P553" s="110">
        <v>33.4</v>
      </c>
      <c r="Q553" s="110">
        <v>34.200000000000003</v>
      </c>
      <c r="R553">
        <v>3359656</v>
      </c>
    </row>
    <row r="554" spans="1:18" x14ac:dyDescent="0.25">
      <c r="A554" s="134">
        <v>42817</v>
      </c>
      <c r="B554" s="110">
        <v>34.35</v>
      </c>
      <c r="C554" s="110">
        <v>33.700000000000003</v>
      </c>
      <c r="D554" s="110">
        <v>33.5</v>
      </c>
      <c r="E554" s="110">
        <v>34.299999999999997</v>
      </c>
      <c r="F554" s="110">
        <v>33.700000000000003</v>
      </c>
      <c r="G554">
        <v>59188</v>
      </c>
      <c r="H554" s="110"/>
      <c r="I554" s="110"/>
      <c r="L554" s="134">
        <v>42817</v>
      </c>
      <c r="M554" s="110">
        <v>33.65</v>
      </c>
      <c r="N554" s="110">
        <v>34.450000000000003</v>
      </c>
      <c r="O554" s="110">
        <v>33.549999999999997</v>
      </c>
      <c r="P554" s="110">
        <v>34.4</v>
      </c>
      <c r="Q554" s="110">
        <v>33.65</v>
      </c>
      <c r="R554">
        <v>293235</v>
      </c>
    </row>
    <row r="555" spans="1:18" x14ac:dyDescent="0.25">
      <c r="A555" s="134">
        <v>42818</v>
      </c>
      <c r="B555" s="110">
        <v>34.9</v>
      </c>
      <c r="C555" s="110">
        <v>34.1</v>
      </c>
      <c r="D555" s="110">
        <v>33.5</v>
      </c>
      <c r="E555" s="110">
        <v>33.549999999999997</v>
      </c>
      <c r="F555" s="110">
        <v>34.1</v>
      </c>
      <c r="G555">
        <v>71449</v>
      </c>
      <c r="H555" s="110"/>
      <c r="I555" s="110"/>
      <c r="L555" s="134">
        <v>42818</v>
      </c>
      <c r="M555" s="110">
        <v>34.200000000000003</v>
      </c>
      <c r="N555" s="110">
        <v>34.950000000000003</v>
      </c>
      <c r="O555" s="110">
        <v>33.450000000000003</v>
      </c>
      <c r="P555" s="110">
        <v>33.9</v>
      </c>
      <c r="Q555" s="110">
        <v>34.200000000000003</v>
      </c>
      <c r="R555">
        <v>563007</v>
      </c>
    </row>
    <row r="556" spans="1:18" x14ac:dyDescent="0.25">
      <c r="A556" s="134">
        <v>42821</v>
      </c>
      <c r="B556" s="110">
        <v>34.700000000000003</v>
      </c>
      <c r="C556" s="110">
        <v>33.6</v>
      </c>
      <c r="D556" s="110">
        <v>33.5</v>
      </c>
      <c r="E556" s="110">
        <v>34</v>
      </c>
      <c r="F556" s="110">
        <v>33.6</v>
      </c>
      <c r="G556">
        <v>43990</v>
      </c>
      <c r="H556" s="110"/>
      <c r="I556" s="110"/>
      <c r="L556" s="134">
        <v>42821</v>
      </c>
      <c r="M556" s="110">
        <v>33.700000000000003</v>
      </c>
      <c r="N556" s="110">
        <v>34.799999999999997</v>
      </c>
      <c r="O556" s="110">
        <v>33.6</v>
      </c>
      <c r="P556" s="110">
        <v>34.049999999999997</v>
      </c>
      <c r="Q556" s="110">
        <v>33.700000000000003</v>
      </c>
      <c r="R556">
        <v>230096</v>
      </c>
    </row>
    <row r="557" spans="1:18" x14ac:dyDescent="0.25">
      <c r="A557" s="134">
        <v>42822</v>
      </c>
      <c r="B557" s="110">
        <v>34</v>
      </c>
      <c r="C557" s="110">
        <v>33.450000000000003</v>
      </c>
      <c r="D557" s="110">
        <v>33.4</v>
      </c>
      <c r="E557" s="110">
        <v>33.85</v>
      </c>
      <c r="F557" s="110">
        <v>33.450000000000003</v>
      </c>
      <c r="G557">
        <v>30539</v>
      </c>
      <c r="H557" s="110"/>
      <c r="I557" s="110"/>
      <c r="L557" s="134">
        <v>42822</v>
      </c>
      <c r="M557" s="110">
        <v>33.549999999999997</v>
      </c>
      <c r="N557" s="110">
        <v>34.200000000000003</v>
      </c>
      <c r="O557" s="110">
        <v>33.5</v>
      </c>
      <c r="P557" s="110">
        <v>33.700000000000003</v>
      </c>
      <c r="Q557" s="110">
        <v>33.549999999999997</v>
      </c>
      <c r="R557">
        <v>118089</v>
      </c>
    </row>
    <row r="558" spans="1:18" x14ac:dyDescent="0.25">
      <c r="A558" s="134">
        <v>42823</v>
      </c>
      <c r="B558" s="110">
        <v>33.9</v>
      </c>
      <c r="C558" s="110">
        <v>33.5</v>
      </c>
      <c r="D558" s="110">
        <v>33.4</v>
      </c>
      <c r="E558" s="110">
        <v>33.6</v>
      </c>
      <c r="F558" s="110">
        <v>33.5</v>
      </c>
      <c r="G558">
        <v>30392</v>
      </c>
      <c r="H558" s="110"/>
      <c r="I558" s="110"/>
      <c r="L558" s="134">
        <v>42823</v>
      </c>
      <c r="M558" s="110">
        <v>33.5</v>
      </c>
      <c r="N558" s="110">
        <v>33.9</v>
      </c>
      <c r="O558" s="110">
        <v>33.200000000000003</v>
      </c>
      <c r="P558" s="110">
        <v>33.6</v>
      </c>
      <c r="Q558" s="110">
        <v>33.5</v>
      </c>
      <c r="R558">
        <v>206657</v>
      </c>
    </row>
    <row r="559" spans="1:18" x14ac:dyDescent="0.25">
      <c r="A559" s="134">
        <v>42824</v>
      </c>
      <c r="B559" s="110">
        <v>34</v>
      </c>
      <c r="C559" s="110">
        <v>33.5</v>
      </c>
      <c r="D559" s="110">
        <v>33.4</v>
      </c>
      <c r="E559" s="110">
        <v>33.9</v>
      </c>
      <c r="F559" s="110">
        <v>33.5</v>
      </c>
      <c r="G559">
        <v>18178</v>
      </c>
      <c r="H559" s="110"/>
      <c r="I559" s="110"/>
      <c r="L559" s="134">
        <v>42824</v>
      </c>
      <c r="M559" s="110">
        <v>33.5</v>
      </c>
      <c r="N559" s="110">
        <v>34.1</v>
      </c>
      <c r="O559" s="110">
        <v>33.4</v>
      </c>
      <c r="P559" s="110">
        <v>33.799999999999997</v>
      </c>
      <c r="Q559" s="110">
        <v>33.5</v>
      </c>
      <c r="R559">
        <v>225104</v>
      </c>
    </row>
    <row r="560" spans="1:18" x14ac:dyDescent="0.25">
      <c r="A560" s="134">
        <v>42825</v>
      </c>
      <c r="B560" s="110">
        <v>34.25</v>
      </c>
      <c r="C560" s="110">
        <v>33.6</v>
      </c>
      <c r="D560" s="110">
        <v>33.4</v>
      </c>
      <c r="E560" s="110">
        <v>33.65</v>
      </c>
      <c r="F560" s="110">
        <v>33.6</v>
      </c>
      <c r="G560">
        <v>44625</v>
      </c>
      <c r="H560" s="110"/>
      <c r="I560" s="110"/>
      <c r="L560" s="134">
        <v>42825</v>
      </c>
      <c r="M560" s="110">
        <v>33.65</v>
      </c>
      <c r="N560" s="110">
        <v>34.35</v>
      </c>
      <c r="O560" s="110">
        <v>33.299999999999997</v>
      </c>
      <c r="P560" s="110">
        <v>33.5</v>
      </c>
      <c r="Q560" s="110">
        <v>33.65</v>
      </c>
      <c r="R560">
        <v>338146</v>
      </c>
    </row>
    <row r="561" spans="1:18" x14ac:dyDescent="0.25">
      <c r="A561" s="134">
        <v>42828</v>
      </c>
      <c r="B561" s="110">
        <v>34</v>
      </c>
      <c r="C561" s="110">
        <v>33.6</v>
      </c>
      <c r="D561" s="110">
        <v>33.5</v>
      </c>
      <c r="E561" s="110">
        <v>34</v>
      </c>
      <c r="F561" s="110">
        <v>33.6</v>
      </c>
      <c r="G561">
        <v>36731</v>
      </c>
      <c r="H561" s="110"/>
      <c r="I561" s="110"/>
      <c r="L561" s="134">
        <v>42828</v>
      </c>
      <c r="M561" s="110">
        <v>33.65</v>
      </c>
      <c r="N561" s="110">
        <v>34.1</v>
      </c>
      <c r="O561" s="110">
        <v>33.5</v>
      </c>
      <c r="P561" s="110">
        <v>33.5</v>
      </c>
      <c r="Q561" s="110">
        <v>33.65</v>
      </c>
      <c r="R561">
        <v>143816</v>
      </c>
    </row>
    <row r="562" spans="1:18" x14ac:dyDescent="0.25">
      <c r="A562" s="134">
        <v>42830</v>
      </c>
      <c r="B562" s="110">
        <v>35.1</v>
      </c>
      <c r="C562" s="110">
        <v>34.6</v>
      </c>
      <c r="D562" s="110">
        <v>33.299999999999997</v>
      </c>
      <c r="E562" s="110">
        <v>33.75</v>
      </c>
      <c r="F562" s="110">
        <v>34.6</v>
      </c>
      <c r="G562">
        <v>133219</v>
      </c>
      <c r="H562" s="110"/>
      <c r="I562" s="110"/>
      <c r="L562" s="134">
        <v>42830</v>
      </c>
      <c r="M562" s="110">
        <v>34.85</v>
      </c>
      <c r="N562" s="110">
        <v>35.25</v>
      </c>
      <c r="O562" s="110">
        <v>33.549999999999997</v>
      </c>
      <c r="P562" s="110">
        <v>33.65</v>
      </c>
      <c r="Q562" s="110">
        <v>34.85</v>
      </c>
      <c r="R562">
        <v>718877</v>
      </c>
    </row>
    <row r="563" spans="1:18" x14ac:dyDescent="0.25">
      <c r="A563" s="134">
        <v>42831</v>
      </c>
      <c r="B563" s="110">
        <v>35.200000000000003</v>
      </c>
      <c r="C563" s="110">
        <v>34.4</v>
      </c>
      <c r="D563" s="110">
        <v>34.299999999999997</v>
      </c>
      <c r="E563" s="110">
        <v>34.5</v>
      </c>
      <c r="F563" s="110">
        <v>34.4</v>
      </c>
      <c r="G563">
        <v>49780</v>
      </c>
      <c r="H563" s="110"/>
      <c r="I563" s="110"/>
      <c r="L563" s="134">
        <v>42831</v>
      </c>
      <c r="M563" s="110">
        <v>34.35</v>
      </c>
      <c r="N563" s="110">
        <v>35.450000000000003</v>
      </c>
      <c r="O563" s="110">
        <v>34.299999999999997</v>
      </c>
      <c r="P563" s="110">
        <v>34.5</v>
      </c>
      <c r="Q563" s="110">
        <v>34.35</v>
      </c>
      <c r="R563">
        <v>296623</v>
      </c>
    </row>
    <row r="564" spans="1:18" x14ac:dyDescent="0.25">
      <c r="A564" s="134">
        <v>42832</v>
      </c>
      <c r="B564" s="110">
        <v>35.700000000000003</v>
      </c>
      <c r="C564" s="110">
        <v>34.6</v>
      </c>
      <c r="D564" s="110">
        <v>34.200000000000003</v>
      </c>
      <c r="E564" s="110">
        <v>34.4</v>
      </c>
      <c r="F564" s="110">
        <v>34.6</v>
      </c>
      <c r="G564">
        <v>146647</v>
      </c>
      <c r="H564" s="110"/>
      <c r="I564" s="110"/>
      <c r="L564" s="134">
        <v>42832</v>
      </c>
      <c r="M564" s="110">
        <v>34.6</v>
      </c>
      <c r="N564" s="110">
        <v>35.700000000000003</v>
      </c>
      <c r="O564" s="110">
        <v>34.1</v>
      </c>
      <c r="P564" s="110">
        <v>34.35</v>
      </c>
      <c r="Q564" s="110">
        <v>34.6</v>
      </c>
      <c r="R564">
        <v>1007595</v>
      </c>
    </row>
    <row r="565" spans="1:18" x14ac:dyDescent="0.25">
      <c r="A565" s="134">
        <v>42835</v>
      </c>
      <c r="B565" s="110">
        <v>35.450000000000003</v>
      </c>
      <c r="C565" s="110">
        <v>34.85</v>
      </c>
      <c r="D565" s="110">
        <v>34.299999999999997</v>
      </c>
      <c r="E565" s="110">
        <v>34.299999999999997</v>
      </c>
      <c r="F565" s="110">
        <v>34.85</v>
      </c>
      <c r="G565">
        <v>56847</v>
      </c>
      <c r="H565" s="110"/>
      <c r="I565" s="110"/>
      <c r="L565" s="134">
        <v>42835</v>
      </c>
      <c r="M565" s="110">
        <v>34.799999999999997</v>
      </c>
      <c r="N565" s="110">
        <v>35.6</v>
      </c>
      <c r="O565" s="110">
        <v>34.549999999999997</v>
      </c>
      <c r="P565" s="110">
        <v>34.9</v>
      </c>
      <c r="Q565" s="110">
        <v>34.799999999999997</v>
      </c>
      <c r="R565">
        <v>319117</v>
      </c>
    </row>
    <row r="566" spans="1:18" x14ac:dyDescent="0.25">
      <c r="A566" s="134">
        <v>42836</v>
      </c>
      <c r="B566" s="110">
        <v>36.049999999999997</v>
      </c>
      <c r="C566" s="110">
        <v>35.799999999999997</v>
      </c>
      <c r="D566" s="110">
        <v>34.75</v>
      </c>
      <c r="E566" s="110">
        <v>35</v>
      </c>
      <c r="F566" s="110">
        <v>35.799999999999997</v>
      </c>
      <c r="G566">
        <v>80477</v>
      </c>
      <c r="H566" s="110"/>
      <c r="I566" s="110"/>
      <c r="L566" s="134">
        <v>42836</v>
      </c>
      <c r="M566" s="110">
        <v>35.9</v>
      </c>
      <c r="N566" s="110">
        <v>36.1</v>
      </c>
      <c r="O566" s="110">
        <v>34.549999999999997</v>
      </c>
      <c r="P566" s="110">
        <v>34.549999999999997</v>
      </c>
      <c r="Q566" s="110">
        <v>35.9</v>
      </c>
      <c r="R566">
        <v>859406</v>
      </c>
    </row>
    <row r="567" spans="1:18" x14ac:dyDescent="0.25">
      <c r="A567" s="134">
        <v>42837</v>
      </c>
      <c r="B567" s="110">
        <v>36.25</v>
      </c>
      <c r="C567" s="110">
        <v>35.35</v>
      </c>
      <c r="D567" s="110">
        <v>35</v>
      </c>
      <c r="E567" s="110">
        <v>35.85</v>
      </c>
      <c r="F567" s="110">
        <v>35.35</v>
      </c>
      <c r="G567">
        <v>82545</v>
      </c>
      <c r="H567" s="110"/>
      <c r="I567" s="110"/>
      <c r="L567" s="134">
        <v>42837</v>
      </c>
      <c r="M567" s="110">
        <v>35.200000000000003</v>
      </c>
      <c r="N567" s="110">
        <v>36.299999999999997</v>
      </c>
      <c r="O567" s="110">
        <v>34.9</v>
      </c>
      <c r="P567" s="110">
        <v>35.950000000000003</v>
      </c>
      <c r="Q567" s="110">
        <v>35.200000000000003</v>
      </c>
      <c r="R567">
        <v>347084</v>
      </c>
    </row>
    <row r="568" spans="1:18" x14ac:dyDescent="0.25">
      <c r="A568" s="134">
        <v>42838</v>
      </c>
      <c r="B568" s="110">
        <v>35.5</v>
      </c>
      <c r="C568" s="110">
        <v>34.700000000000003</v>
      </c>
      <c r="D568" s="110">
        <v>34.549999999999997</v>
      </c>
      <c r="E568" s="110">
        <v>35</v>
      </c>
      <c r="F568" s="110">
        <v>34.700000000000003</v>
      </c>
      <c r="G568">
        <v>43091</v>
      </c>
      <c r="H568" s="110"/>
      <c r="I568" s="110"/>
      <c r="L568" s="134">
        <v>42838</v>
      </c>
      <c r="M568" s="110">
        <v>34.65</v>
      </c>
      <c r="N568" s="110">
        <v>35.450000000000003</v>
      </c>
      <c r="O568" s="110">
        <v>34.5</v>
      </c>
      <c r="P568" s="110">
        <v>35.200000000000003</v>
      </c>
      <c r="Q568" s="110">
        <v>34.65</v>
      </c>
      <c r="R568">
        <v>249669</v>
      </c>
    </row>
    <row r="569" spans="1:18" x14ac:dyDescent="0.25">
      <c r="A569" s="134">
        <v>42842</v>
      </c>
      <c r="B569" s="110">
        <v>34.9</v>
      </c>
      <c r="C569" s="110">
        <v>34.5</v>
      </c>
      <c r="D569" s="110">
        <v>34.35</v>
      </c>
      <c r="E569" s="110">
        <v>34.6</v>
      </c>
      <c r="F569" s="110">
        <v>34.5</v>
      </c>
      <c r="G569">
        <v>26935</v>
      </c>
      <c r="H569" s="110"/>
      <c r="I569" s="110"/>
      <c r="L569" s="134">
        <v>42842</v>
      </c>
      <c r="M569" s="110">
        <v>34.65</v>
      </c>
      <c r="N569" s="110">
        <v>35</v>
      </c>
      <c r="O569" s="110">
        <v>34.200000000000003</v>
      </c>
      <c r="P569" s="110">
        <v>34.75</v>
      </c>
      <c r="Q569" s="110">
        <v>34.65</v>
      </c>
      <c r="R569">
        <v>133655</v>
      </c>
    </row>
    <row r="570" spans="1:18" x14ac:dyDescent="0.25">
      <c r="A570" s="134">
        <v>42843</v>
      </c>
      <c r="B570" s="110">
        <v>35.9</v>
      </c>
      <c r="C570" s="110">
        <v>34.450000000000003</v>
      </c>
      <c r="D570" s="110">
        <v>34.25</v>
      </c>
      <c r="E570" s="110">
        <v>34.5</v>
      </c>
      <c r="F570" s="110">
        <v>34.450000000000003</v>
      </c>
      <c r="G570">
        <v>71701</v>
      </c>
      <c r="H570" s="110"/>
      <c r="I570" s="110"/>
      <c r="L570" s="134">
        <v>42843</v>
      </c>
      <c r="M570" s="110">
        <v>34.299999999999997</v>
      </c>
      <c r="N570" s="110">
        <v>35.549999999999997</v>
      </c>
      <c r="O570" s="110">
        <v>34.1</v>
      </c>
      <c r="P570" s="110">
        <v>34.65</v>
      </c>
      <c r="Q570" s="110">
        <v>34.299999999999997</v>
      </c>
      <c r="R570">
        <v>304841</v>
      </c>
    </row>
    <row r="571" spans="1:18" x14ac:dyDescent="0.25">
      <c r="A571" s="134">
        <v>42844</v>
      </c>
      <c r="B571" s="110">
        <v>34.5</v>
      </c>
      <c r="C571" s="110">
        <v>33.65</v>
      </c>
      <c r="D571" s="110">
        <v>33.35</v>
      </c>
      <c r="E571" s="110">
        <v>34.1</v>
      </c>
      <c r="F571" s="110">
        <v>33.65</v>
      </c>
      <c r="G571">
        <v>30848</v>
      </c>
      <c r="H571" s="110"/>
      <c r="I571" s="110"/>
      <c r="L571" s="134">
        <v>42844</v>
      </c>
      <c r="M571" s="110">
        <v>33.799999999999997</v>
      </c>
      <c r="N571" s="110">
        <v>34.5</v>
      </c>
      <c r="O571" s="110">
        <v>33.299999999999997</v>
      </c>
      <c r="P571" s="110">
        <v>34.049999999999997</v>
      </c>
      <c r="Q571" s="110">
        <v>33.799999999999997</v>
      </c>
      <c r="R571">
        <v>132555</v>
      </c>
    </row>
    <row r="572" spans="1:18" x14ac:dyDescent="0.25">
      <c r="A572" s="134">
        <v>42845</v>
      </c>
      <c r="B572" s="110">
        <v>34.549999999999997</v>
      </c>
      <c r="C572" s="110">
        <v>33.799999999999997</v>
      </c>
      <c r="D572" s="110">
        <v>33.700000000000003</v>
      </c>
      <c r="E572" s="110">
        <v>33.700000000000003</v>
      </c>
      <c r="F572" s="110">
        <v>33.799999999999997</v>
      </c>
      <c r="G572">
        <v>21120</v>
      </c>
      <c r="H572" s="110"/>
      <c r="I572" s="110"/>
      <c r="L572" s="134">
        <v>42845</v>
      </c>
      <c r="M572" s="110">
        <v>33.75</v>
      </c>
      <c r="N572" s="110">
        <v>34.6</v>
      </c>
      <c r="O572" s="110">
        <v>33.4</v>
      </c>
      <c r="P572" s="110">
        <v>33.950000000000003</v>
      </c>
      <c r="Q572" s="110">
        <v>33.75</v>
      </c>
      <c r="R572">
        <v>260069</v>
      </c>
    </row>
    <row r="573" spans="1:18" x14ac:dyDescent="0.25">
      <c r="A573" s="134">
        <v>42846</v>
      </c>
      <c r="B573" s="110">
        <v>34.35</v>
      </c>
      <c r="C573" s="110">
        <v>33.799999999999997</v>
      </c>
      <c r="D573" s="110">
        <v>33.700000000000003</v>
      </c>
      <c r="E573" s="110">
        <v>33.9</v>
      </c>
      <c r="F573" s="110">
        <v>33.799999999999997</v>
      </c>
      <c r="G573">
        <v>24235</v>
      </c>
      <c r="H573" s="110"/>
      <c r="I573" s="110"/>
      <c r="L573" s="134">
        <v>42846</v>
      </c>
      <c r="M573" s="110">
        <v>33.85</v>
      </c>
      <c r="N573" s="110">
        <v>34.5</v>
      </c>
      <c r="O573" s="110">
        <v>33.700000000000003</v>
      </c>
      <c r="P573" s="110">
        <v>34</v>
      </c>
      <c r="Q573" s="110">
        <v>33.85</v>
      </c>
      <c r="R573">
        <v>159655</v>
      </c>
    </row>
    <row r="574" spans="1:18" x14ac:dyDescent="0.25">
      <c r="A574" s="134">
        <v>42849</v>
      </c>
      <c r="B574" s="110">
        <v>34.700000000000003</v>
      </c>
      <c r="C574" s="110">
        <v>34.5</v>
      </c>
      <c r="D574" s="110">
        <v>33.6</v>
      </c>
      <c r="E574" s="110">
        <v>34.15</v>
      </c>
      <c r="F574" s="110">
        <v>34.5</v>
      </c>
      <c r="G574">
        <v>26883</v>
      </c>
      <c r="H574" s="110"/>
      <c r="I574" s="110"/>
      <c r="L574" s="134">
        <v>42849</v>
      </c>
      <c r="M574" s="110">
        <v>34.549999999999997</v>
      </c>
      <c r="N574" s="110">
        <v>34.9</v>
      </c>
      <c r="O574" s="110">
        <v>33.85</v>
      </c>
      <c r="P574" s="110">
        <v>34</v>
      </c>
      <c r="Q574" s="110">
        <v>34.549999999999997</v>
      </c>
      <c r="R574">
        <v>411781</v>
      </c>
    </row>
    <row r="575" spans="1:18" x14ac:dyDescent="0.25">
      <c r="A575" s="134">
        <v>42850</v>
      </c>
      <c r="B575" s="110">
        <v>35.200000000000003</v>
      </c>
      <c r="C575" s="110">
        <v>34.6</v>
      </c>
      <c r="D575" s="110">
        <v>34.5</v>
      </c>
      <c r="E575" s="110">
        <v>34.75</v>
      </c>
      <c r="F575" s="110">
        <v>34.6</v>
      </c>
      <c r="G575">
        <v>52218</v>
      </c>
      <c r="H575" s="110"/>
      <c r="I575" s="110"/>
      <c r="L575" s="134">
        <v>42850</v>
      </c>
      <c r="M575" s="110">
        <v>34.6</v>
      </c>
      <c r="N575" s="110">
        <v>35.15</v>
      </c>
      <c r="O575" s="110">
        <v>34.5</v>
      </c>
      <c r="P575" s="110">
        <v>34.799999999999997</v>
      </c>
      <c r="Q575" s="110">
        <v>34.6</v>
      </c>
      <c r="R575">
        <v>374231</v>
      </c>
    </row>
    <row r="576" spans="1:18" x14ac:dyDescent="0.25">
      <c r="A576" s="134">
        <v>42851</v>
      </c>
      <c r="B576" s="110">
        <v>35.200000000000003</v>
      </c>
      <c r="C576" s="110">
        <v>34.65</v>
      </c>
      <c r="D576" s="110">
        <v>34.35</v>
      </c>
      <c r="E576" s="110">
        <v>34.9</v>
      </c>
      <c r="F576" s="110">
        <v>34.65</v>
      </c>
      <c r="G576">
        <v>64813</v>
      </c>
      <c r="H576" s="110"/>
      <c r="I576" s="110"/>
      <c r="L576" s="134">
        <v>42851</v>
      </c>
      <c r="M576" s="110">
        <v>34.65</v>
      </c>
      <c r="N576" s="110">
        <v>35.25</v>
      </c>
      <c r="O576" s="110">
        <v>34.299999999999997</v>
      </c>
      <c r="P576" s="110">
        <v>34.9</v>
      </c>
      <c r="Q576" s="110">
        <v>34.65</v>
      </c>
      <c r="R576">
        <v>334992</v>
      </c>
    </row>
    <row r="577" spans="1:18" x14ac:dyDescent="0.25">
      <c r="A577" s="134">
        <v>42852</v>
      </c>
      <c r="B577" s="110">
        <v>35</v>
      </c>
      <c r="C577" s="110">
        <v>34.6</v>
      </c>
      <c r="D577" s="110">
        <v>34.5</v>
      </c>
      <c r="E577" s="110">
        <v>34.950000000000003</v>
      </c>
      <c r="F577" s="110">
        <v>34.6</v>
      </c>
      <c r="G577">
        <v>15684</v>
      </c>
      <c r="H577" s="110"/>
      <c r="I577" s="110"/>
      <c r="L577" s="134">
        <v>42852</v>
      </c>
      <c r="M577" s="110">
        <v>34.6</v>
      </c>
      <c r="N577" s="110">
        <v>34.85</v>
      </c>
      <c r="O577" s="110">
        <v>34.35</v>
      </c>
      <c r="P577" s="110">
        <v>34.5</v>
      </c>
      <c r="Q577" s="110">
        <v>34.6</v>
      </c>
      <c r="R577">
        <v>149402</v>
      </c>
    </row>
    <row r="578" spans="1:18" x14ac:dyDescent="0.25">
      <c r="A578" s="134">
        <v>42853</v>
      </c>
      <c r="B578" s="110">
        <v>37</v>
      </c>
      <c r="C578" s="110">
        <v>36.5</v>
      </c>
      <c r="D578" s="110">
        <v>34.5</v>
      </c>
      <c r="E578" s="110">
        <v>34.85</v>
      </c>
      <c r="F578" s="110">
        <v>36.5</v>
      </c>
      <c r="G578">
        <v>303489</v>
      </c>
      <c r="H578" s="110"/>
      <c r="I578" s="110"/>
      <c r="L578" s="134">
        <v>42853</v>
      </c>
      <c r="M578" s="110">
        <v>36.450000000000003</v>
      </c>
      <c r="N578" s="110">
        <v>37.049999999999997</v>
      </c>
      <c r="O578" s="110">
        <v>34.549999999999997</v>
      </c>
      <c r="P578" s="110">
        <v>34.75</v>
      </c>
      <c r="Q578" s="110">
        <v>36.450000000000003</v>
      </c>
      <c r="R578">
        <v>2104316</v>
      </c>
    </row>
    <row r="579" spans="1:18" x14ac:dyDescent="0.25">
      <c r="A579" s="134">
        <v>42857</v>
      </c>
      <c r="B579" s="110">
        <v>38</v>
      </c>
      <c r="C579" s="110">
        <v>37.299999999999997</v>
      </c>
      <c r="D579" s="110">
        <v>36.700000000000003</v>
      </c>
      <c r="E579" s="110">
        <v>37</v>
      </c>
      <c r="F579" s="110">
        <v>37.299999999999997</v>
      </c>
      <c r="G579">
        <v>238706</v>
      </c>
      <c r="H579" s="110"/>
      <c r="I579" s="110"/>
      <c r="L579" s="134">
        <v>42857</v>
      </c>
      <c r="M579" s="110">
        <v>37.25</v>
      </c>
      <c r="N579" s="110">
        <v>38.1</v>
      </c>
      <c r="O579" s="110">
        <v>36.700000000000003</v>
      </c>
      <c r="P579" s="110">
        <v>36.700000000000003</v>
      </c>
      <c r="Q579" s="110">
        <v>37.25</v>
      </c>
      <c r="R579">
        <v>1365827</v>
      </c>
    </row>
    <row r="580" spans="1:18" x14ac:dyDescent="0.25">
      <c r="A580" s="134">
        <v>42858</v>
      </c>
      <c r="B580" s="110">
        <v>38.6</v>
      </c>
      <c r="C580" s="110">
        <v>37.85</v>
      </c>
      <c r="D580" s="110">
        <v>36</v>
      </c>
      <c r="E580" s="110">
        <v>37.9</v>
      </c>
      <c r="F580" s="110">
        <v>37.85</v>
      </c>
      <c r="G580">
        <v>247064</v>
      </c>
      <c r="H580" s="110"/>
      <c r="I580" s="110"/>
      <c r="L580" s="134">
        <v>42858</v>
      </c>
      <c r="M580" s="110">
        <v>38</v>
      </c>
      <c r="N580" s="110">
        <v>38.65</v>
      </c>
      <c r="O580" s="110">
        <v>36.75</v>
      </c>
      <c r="P580" s="110">
        <v>37.450000000000003</v>
      </c>
      <c r="Q580" s="110">
        <v>38</v>
      </c>
      <c r="R580">
        <v>1328615</v>
      </c>
    </row>
    <row r="581" spans="1:18" x14ac:dyDescent="0.25">
      <c r="A581" s="134">
        <v>42859</v>
      </c>
      <c r="B581" s="110">
        <v>40.700000000000003</v>
      </c>
      <c r="C581" s="110">
        <v>37.5</v>
      </c>
      <c r="D581" s="110">
        <v>36.85</v>
      </c>
      <c r="E581" s="110">
        <v>38.5</v>
      </c>
      <c r="F581" s="110">
        <v>37.5</v>
      </c>
      <c r="G581">
        <v>1087850</v>
      </c>
      <c r="H581" s="110"/>
      <c r="I581" s="110"/>
      <c r="L581" s="134">
        <v>42859</v>
      </c>
      <c r="M581" s="110">
        <v>37.6</v>
      </c>
      <c r="N581" s="110">
        <v>40.75</v>
      </c>
      <c r="O581" s="110">
        <v>36.85</v>
      </c>
      <c r="P581" s="110">
        <v>38.6</v>
      </c>
      <c r="Q581" s="110">
        <v>37.6</v>
      </c>
      <c r="R581">
        <v>7795409</v>
      </c>
    </row>
    <row r="582" spans="1:18" x14ac:dyDescent="0.25">
      <c r="A582" s="134">
        <v>42860</v>
      </c>
      <c r="B582" s="110">
        <v>37.4</v>
      </c>
      <c r="C582" s="110">
        <v>35.450000000000003</v>
      </c>
      <c r="D582" s="110">
        <v>35.049999999999997</v>
      </c>
      <c r="E582" s="110">
        <v>37.200000000000003</v>
      </c>
      <c r="F582" s="110">
        <v>35.450000000000003</v>
      </c>
      <c r="G582">
        <v>362000</v>
      </c>
      <c r="H582" s="110"/>
      <c r="I582" s="110"/>
      <c r="L582" s="134">
        <v>42860</v>
      </c>
      <c r="M582" s="110">
        <v>35.299999999999997</v>
      </c>
      <c r="N582" s="110">
        <v>37.450000000000003</v>
      </c>
      <c r="O582" s="110">
        <v>35</v>
      </c>
      <c r="P582" s="110">
        <v>37.4</v>
      </c>
      <c r="Q582" s="110">
        <v>35.299999999999997</v>
      </c>
      <c r="R582">
        <v>2196319</v>
      </c>
    </row>
    <row r="583" spans="1:18" x14ac:dyDescent="0.25">
      <c r="A583" s="134">
        <v>42863</v>
      </c>
      <c r="B583" s="110">
        <v>36.299999999999997</v>
      </c>
      <c r="C583" s="110">
        <v>35.950000000000003</v>
      </c>
      <c r="D583" s="110">
        <v>35.15</v>
      </c>
      <c r="E583" s="110">
        <v>35.4</v>
      </c>
      <c r="F583" s="110">
        <v>35.950000000000003</v>
      </c>
      <c r="G583">
        <v>108459</v>
      </c>
      <c r="H583" s="110"/>
      <c r="I583" s="110"/>
      <c r="L583" s="134">
        <v>42863</v>
      </c>
      <c r="M583" s="110">
        <v>36</v>
      </c>
      <c r="N583" s="110">
        <v>36.35</v>
      </c>
      <c r="O583" s="110">
        <v>35.15</v>
      </c>
      <c r="P583" s="110">
        <v>35.15</v>
      </c>
      <c r="Q583" s="110">
        <v>36</v>
      </c>
      <c r="R583">
        <v>637702</v>
      </c>
    </row>
    <row r="584" spans="1:18" x14ac:dyDescent="0.25">
      <c r="A584" s="134">
        <v>42864</v>
      </c>
      <c r="B584" s="110">
        <v>36.5</v>
      </c>
      <c r="C584" s="110">
        <v>35.65</v>
      </c>
      <c r="D584" s="110">
        <v>35.4</v>
      </c>
      <c r="E584" s="110">
        <v>36.299999999999997</v>
      </c>
      <c r="F584" s="110">
        <v>35.65</v>
      </c>
      <c r="G584">
        <v>99824</v>
      </c>
      <c r="H584" s="110"/>
      <c r="I584" s="110"/>
      <c r="L584" s="134">
        <v>42864</v>
      </c>
      <c r="M584" s="110">
        <v>35.65</v>
      </c>
      <c r="N584" s="110">
        <v>36.5</v>
      </c>
      <c r="O584" s="110">
        <v>35.4</v>
      </c>
      <c r="P584" s="110">
        <v>36.200000000000003</v>
      </c>
      <c r="Q584" s="110">
        <v>35.65</v>
      </c>
      <c r="R584">
        <v>559011</v>
      </c>
    </row>
    <row r="585" spans="1:18" x14ac:dyDescent="0.25">
      <c r="A585" s="134">
        <v>42865</v>
      </c>
      <c r="B585" s="110">
        <v>36.200000000000003</v>
      </c>
      <c r="C585" s="110">
        <v>35.450000000000003</v>
      </c>
      <c r="D585" s="110">
        <v>35.299999999999997</v>
      </c>
      <c r="E585" s="110">
        <v>35.5</v>
      </c>
      <c r="F585" s="110">
        <v>35.450000000000003</v>
      </c>
      <c r="G585">
        <v>93618</v>
      </c>
      <c r="H585" s="110"/>
      <c r="I585" s="110"/>
      <c r="L585" s="134">
        <v>42865</v>
      </c>
      <c r="M585" s="110">
        <v>35.450000000000003</v>
      </c>
      <c r="N585" s="110">
        <v>36.200000000000003</v>
      </c>
      <c r="O585" s="110">
        <v>35.25</v>
      </c>
      <c r="P585" s="110">
        <v>36</v>
      </c>
      <c r="Q585" s="110">
        <v>35.450000000000003</v>
      </c>
      <c r="R585">
        <v>298555</v>
      </c>
    </row>
    <row r="586" spans="1:18" x14ac:dyDescent="0.25">
      <c r="A586" s="134">
        <v>42866</v>
      </c>
      <c r="B586" s="110">
        <v>35.799999999999997</v>
      </c>
      <c r="C586" s="110">
        <v>35.15</v>
      </c>
      <c r="D586" s="110">
        <v>35.049999999999997</v>
      </c>
      <c r="E586" s="110">
        <v>35.299999999999997</v>
      </c>
      <c r="F586" s="110">
        <v>35.15</v>
      </c>
      <c r="G586">
        <v>42380</v>
      </c>
      <c r="H586" s="110"/>
      <c r="I586" s="110"/>
      <c r="L586" s="134">
        <v>42866</v>
      </c>
      <c r="M586" s="110">
        <v>35.1</v>
      </c>
      <c r="N586" s="110">
        <v>35.85</v>
      </c>
      <c r="O586" s="110">
        <v>35</v>
      </c>
      <c r="P586" s="110">
        <v>35.85</v>
      </c>
      <c r="Q586" s="110">
        <v>35.1</v>
      </c>
      <c r="R586">
        <v>334331</v>
      </c>
    </row>
    <row r="587" spans="1:18" x14ac:dyDescent="0.25">
      <c r="A587" s="134">
        <v>42867</v>
      </c>
      <c r="B587" s="110">
        <v>35.4</v>
      </c>
      <c r="C587" s="110">
        <v>33.950000000000003</v>
      </c>
      <c r="D587" s="110">
        <v>33.799999999999997</v>
      </c>
      <c r="E587" s="110">
        <v>35.15</v>
      </c>
      <c r="F587" s="110">
        <v>33.950000000000003</v>
      </c>
      <c r="G587">
        <v>68955</v>
      </c>
      <c r="H587" s="110"/>
      <c r="I587" s="110"/>
      <c r="L587" s="134">
        <v>42867</v>
      </c>
      <c r="M587" s="110">
        <v>33.950000000000003</v>
      </c>
      <c r="N587" s="110">
        <v>35.299999999999997</v>
      </c>
      <c r="O587" s="110">
        <v>33.799999999999997</v>
      </c>
      <c r="P587" s="110">
        <v>35.049999999999997</v>
      </c>
      <c r="Q587" s="110">
        <v>33.950000000000003</v>
      </c>
      <c r="R587">
        <v>379941</v>
      </c>
    </row>
    <row r="588" spans="1:18" x14ac:dyDescent="0.25">
      <c r="A588" s="134">
        <v>42870</v>
      </c>
      <c r="B588" s="110">
        <v>34.299999999999997</v>
      </c>
      <c r="C588" s="110">
        <v>33.799999999999997</v>
      </c>
      <c r="D588" s="110">
        <v>33.6</v>
      </c>
      <c r="E588" s="110">
        <v>34.299999999999997</v>
      </c>
      <c r="F588" s="110">
        <v>33.799999999999997</v>
      </c>
      <c r="G588">
        <v>56681</v>
      </c>
      <c r="H588" s="110"/>
      <c r="I588" s="110"/>
      <c r="L588" s="134">
        <v>42870</v>
      </c>
      <c r="M588" s="110">
        <v>33.75</v>
      </c>
      <c r="N588" s="110">
        <v>34.4</v>
      </c>
      <c r="O588" s="110">
        <v>33.5</v>
      </c>
      <c r="P588" s="110">
        <v>34.4</v>
      </c>
      <c r="Q588" s="110">
        <v>33.75</v>
      </c>
      <c r="R588">
        <v>258614</v>
      </c>
    </row>
    <row r="589" spans="1:18" x14ac:dyDescent="0.25">
      <c r="A589" s="134">
        <v>42871</v>
      </c>
      <c r="B589" s="110">
        <v>34.450000000000003</v>
      </c>
      <c r="C589" s="110">
        <v>33.9</v>
      </c>
      <c r="D589" s="110">
        <v>33.65</v>
      </c>
      <c r="E589" s="110">
        <v>33.799999999999997</v>
      </c>
      <c r="F589" s="110">
        <v>33.9</v>
      </c>
      <c r="G589">
        <v>52989</v>
      </c>
      <c r="H589" s="110"/>
      <c r="I589" s="110"/>
      <c r="L589" s="134">
        <v>42871</v>
      </c>
      <c r="M589" s="110">
        <v>33.9</v>
      </c>
      <c r="N589" s="110">
        <v>34.4</v>
      </c>
      <c r="O589" s="110">
        <v>33.700000000000003</v>
      </c>
      <c r="P589" s="110">
        <v>34.1</v>
      </c>
      <c r="Q589" s="110">
        <v>33.9</v>
      </c>
      <c r="R589">
        <v>269198</v>
      </c>
    </row>
    <row r="590" spans="1:18" x14ac:dyDescent="0.25">
      <c r="A590" s="134">
        <v>42872</v>
      </c>
      <c r="B590" s="110">
        <v>33.9</v>
      </c>
      <c r="C590" s="110">
        <v>33.799999999999997</v>
      </c>
      <c r="D590" s="110">
        <v>33.65</v>
      </c>
      <c r="E590" s="110">
        <v>33.85</v>
      </c>
      <c r="F590" s="110">
        <v>33.799999999999997</v>
      </c>
      <c r="G590">
        <v>38313</v>
      </c>
      <c r="H590" s="110"/>
      <c r="I590" s="110"/>
      <c r="L590" s="134">
        <v>42872</v>
      </c>
      <c r="M590" s="110">
        <v>33.75</v>
      </c>
      <c r="N590" s="110">
        <v>34</v>
      </c>
      <c r="O590" s="110">
        <v>33.65</v>
      </c>
      <c r="P590" s="110">
        <v>34</v>
      </c>
      <c r="Q590" s="110">
        <v>33.75</v>
      </c>
      <c r="R590">
        <v>182580</v>
      </c>
    </row>
    <row r="591" spans="1:18" x14ac:dyDescent="0.25">
      <c r="A591" s="134">
        <v>42873</v>
      </c>
      <c r="B591" s="110">
        <v>33.700000000000003</v>
      </c>
      <c r="C591" s="110">
        <v>33.200000000000003</v>
      </c>
      <c r="D591" s="110">
        <v>33</v>
      </c>
      <c r="E591" s="110">
        <v>33.700000000000003</v>
      </c>
      <c r="F591" s="110">
        <v>33.200000000000003</v>
      </c>
      <c r="G591">
        <v>28759</v>
      </c>
      <c r="H591" s="110"/>
      <c r="I591" s="110"/>
      <c r="L591" s="134">
        <v>42873</v>
      </c>
      <c r="M591" s="110">
        <v>33.15</v>
      </c>
      <c r="N591" s="110">
        <v>33.75</v>
      </c>
      <c r="O591" s="110">
        <v>33</v>
      </c>
      <c r="P591" s="110">
        <v>33.75</v>
      </c>
      <c r="Q591" s="110">
        <v>33.15</v>
      </c>
      <c r="R591">
        <v>188262</v>
      </c>
    </row>
    <row r="592" spans="1:18" x14ac:dyDescent="0.25">
      <c r="A592" s="134">
        <v>42874</v>
      </c>
      <c r="B592" s="110">
        <v>33.65</v>
      </c>
      <c r="C592" s="110">
        <v>33.1</v>
      </c>
      <c r="D592" s="110">
        <v>33</v>
      </c>
      <c r="E592" s="110">
        <v>33.4</v>
      </c>
      <c r="F592" s="110">
        <v>33.1</v>
      </c>
      <c r="G592">
        <v>35000</v>
      </c>
      <c r="H592" s="110"/>
      <c r="I592" s="110"/>
      <c r="L592" s="134">
        <v>42874</v>
      </c>
      <c r="M592" s="110">
        <v>33.049999999999997</v>
      </c>
      <c r="N592" s="110">
        <v>33.700000000000003</v>
      </c>
      <c r="O592" s="110">
        <v>33</v>
      </c>
      <c r="P592" s="110">
        <v>33.700000000000003</v>
      </c>
      <c r="Q592" s="110">
        <v>33.049999999999997</v>
      </c>
      <c r="R592">
        <v>142599</v>
      </c>
    </row>
    <row r="593" spans="1:18" x14ac:dyDescent="0.25">
      <c r="A593" s="134">
        <v>42877</v>
      </c>
      <c r="B593" s="110">
        <v>33.4</v>
      </c>
      <c r="C593" s="110">
        <v>31.9</v>
      </c>
      <c r="D593" s="110">
        <v>31.8</v>
      </c>
      <c r="E593" s="110">
        <v>33.4</v>
      </c>
      <c r="F593" s="110">
        <v>31.9</v>
      </c>
      <c r="G593">
        <v>44668</v>
      </c>
      <c r="H593" s="110"/>
      <c r="I593" s="110"/>
      <c r="L593" s="134">
        <v>42877</v>
      </c>
      <c r="M593" s="110">
        <v>31.8</v>
      </c>
      <c r="N593" s="110">
        <v>33.25</v>
      </c>
      <c r="O593" s="110">
        <v>31.7</v>
      </c>
      <c r="P593" s="110">
        <v>32.549999999999997</v>
      </c>
      <c r="Q593" s="110">
        <v>31.8</v>
      </c>
      <c r="R593">
        <v>248042</v>
      </c>
    </row>
    <row r="594" spans="1:18" x14ac:dyDescent="0.25">
      <c r="A594" s="134">
        <v>42878</v>
      </c>
      <c r="B594" s="110">
        <v>31.9</v>
      </c>
      <c r="C594" s="110">
        <v>31.45</v>
      </c>
      <c r="D594" s="110">
        <v>30.65</v>
      </c>
      <c r="E594" s="110">
        <v>31.9</v>
      </c>
      <c r="F594" s="110">
        <v>31.45</v>
      </c>
      <c r="G594">
        <v>40886</v>
      </c>
      <c r="H594" s="110"/>
      <c r="I594" s="110"/>
      <c r="L594" s="134">
        <v>42878</v>
      </c>
      <c r="M594" s="110">
        <v>31.3</v>
      </c>
      <c r="N594" s="110">
        <v>32</v>
      </c>
      <c r="O594" s="110">
        <v>30.7</v>
      </c>
      <c r="P594" s="110">
        <v>32</v>
      </c>
      <c r="Q594" s="110">
        <v>31.3</v>
      </c>
      <c r="R594">
        <v>216925</v>
      </c>
    </row>
    <row r="595" spans="1:18" x14ac:dyDescent="0.25">
      <c r="A595" s="134">
        <v>42879</v>
      </c>
      <c r="B595" s="110">
        <v>31.55</v>
      </c>
      <c r="C595" s="110">
        <v>30.25</v>
      </c>
      <c r="D595" s="110">
        <v>30.05</v>
      </c>
      <c r="E595" s="110">
        <v>31.55</v>
      </c>
      <c r="F595" s="110">
        <v>30.25</v>
      </c>
      <c r="G595">
        <v>42109</v>
      </c>
      <c r="H595" s="110"/>
      <c r="I595" s="110"/>
      <c r="L595" s="134">
        <v>42879</v>
      </c>
      <c r="M595" s="110">
        <v>30.2</v>
      </c>
      <c r="N595" s="110">
        <v>31.8</v>
      </c>
      <c r="O595" s="110">
        <v>30.1</v>
      </c>
      <c r="P595" s="110">
        <v>31.3</v>
      </c>
      <c r="Q595" s="110">
        <v>30.2</v>
      </c>
      <c r="R595">
        <v>190580</v>
      </c>
    </row>
    <row r="596" spans="1:18" x14ac:dyDescent="0.25">
      <c r="A596" s="134">
        <v>42880</v>
      </c>
      <c r="B596" s="110">
        <v>30.65</v>
      </c>
      <c r="C596" s="110">
        <v>30.5</v>
      </c>
      <c r="D596" s="110">
        <v>29.9</v>
      </c>
      <c r="E596" s="110">
        <v>30.1</v>
      </c>
      <c r="F596" s="110">
        <v>30.5</v>
      </c>
      <c r="G596">
        <v>38917</v>
      </c>
      <c r="H596" s="110"/>
      <c r="I596" s="110"/>
      <c r="L596" s="134">
        <v>42880</v>
      </c>
      <c r="M596" s="110">
        <v>30.4</v>
      </c>
      <c r="N596" s="110">
        <v>30.65</v>
      </c>
      <c r="O596" s="110">
        <v>29.75</v>
      </c>
      <c r="P596" s="110">
        <v>30.5</v>
      </c>
      <c r="Q596" s="110">
        <v>30.4</v>
      </c>
      <c r="R596">
        <v>199035</v>
      </c>
    </row>
    <row r="597" spans="1:18" x14ac:dyDescent="0.25">
      <c r="A597" s="134">
        <v>42881</v>
      </c>
      <c r="B597" s="110">
        <v>31.6</v>
      </c>
      <c r="C597" s="110">
        <v>31.3</v>
      </c>
      <c r="D597" s="110">
        <v>30.4</v>
      </c>
      <c r="E597" s="110">
        <v>30.7</v>
      </c>
      <c r="F597" s="110">
        <v>31.3</v>
      </c>
      <c r="G597">
        <v>32672</v>
      </c>
      <c r="H597" s="110"/>
      <c r="I597" s="110"/>
      <c r="L597" s="134">
        <v>42881</v>
      </c>
      <c r="M597" s="110">
        <v>31.3</v>
      </c>
      <c r="N597" s="110">
        <v>31.5</v>
      </c>
      <c r="O597" s="110">
        <v>30.2</v>
      </c>
      <c r="P597" s="110">
        <v>30.7</v>
      </c>
      <c r="Q597" s="110">
        <v>31.3</v>
      </c>
      <c r="R597">
        <v>161723</v>
      </c>
    </row>
    <row r="598" spans="1:18" x14ac:dyDescent="0.25">
      <c r="A598" s="134">
        <v>42884</v>
      </c>
      <c r="B598" s="110">
        <v>31.5</v>
      </c>
      <c r="C598" s="110">
        <v>30.55</v>
      </c>
      <c r="D598" s="110">
        <v>29.8</v>
      </c>
      <c r="E598" s="110">
        <v>31.25</v>
      </c>
      <c r="F598" s="110">
        <v>30.55</v>
      </c>
      <c r="G598">
        <v>24135</v>
      </c>
      <c r="H598" s="110"/>
      <c r="I598" s="110"/>
      <c r="L598" s="134">
        <v>42884</v>
      </c>
      <c r="M598" s="110">
        <v>30.45</v>
      </c>
      <c r="N598" s="110">
        <v>31.5</v>
      </c>
      <c r="O598" s="110">
        <v>29.8</v>
      </c>
      <c r="P598" s="110">
        <v>31.5</v>
      </c>
      <c r="Q598" s="110">
        <v>30.45</v>
      </c>
      <c r="R598">
        <v>197846</v>
      </c>
    </row>
    <row r="599" spans="1:18" x14ac:dyDescent="0.25">
      <c r="A599" s="134">
        <v>42885</v>
      </c>
      <c r="B599" s="110">
        <v>30.55</v>
      </c>
      <c r="C599" s="110">
        <v>30.45</v>
      </c>
      <c r="D599" s="110">
        <v>30</v>
      </c>
      <c r="E599" s="110">
        <v>30.45</v>
      </c>
      <c r="F599" s="110">
        <v>30.45</v>
      </c>
      <c r="G599">
        <v>14731</v>
      </c>
      <c r="H599" s="110"/>
      <c r="I599" s="110"/>
      <c r="L599" s="134">
        <v>42885</v>
      </c>
      <c r="M599" s="110">
        <v>30.45</v>
      </c>
      <c r="N599" s="110">
        <v>30.55</v>
      </c>
      <c r="O599" s="110">
        <v>30</v>
      </c>
      <c r="P599" s="110">
        <v>30.45</v>
      </c>
      <c r="Q599" s="110">
        <v>30.45</v>
      </c>
      <c r="R599">
        <v>73672</v>
      </c>
    </row>
    <row r="600" spans="1:18" x14ac:dyDescent="0.25">
      <c r="A600" s="134">
        <v>42886</v>
      </c>
      <c r="B600" s="110">
        <v>30.95</v>
      </c>
      <c r="C600" s="110">
        <v>30.65</v>
      </c>
      <c r="D600" s="110">
        <v>30</v>
      </c>
      <c r="E600" s="110">
        <v>30.2</v>
      </c>
      <c r="F600" s="110">
        <v>30.65</v>
      </c>
      <c r="G600">
        <v>27463</v>
      </c>
      <c r="H600" s="110"/>
      <c r="I600" s="110"/>
      <c r="L600" s="134">
        <v>42886</v>
      </c>
      <c r="M600" s="110">
        <v>30.6</v>
      </c>
      <c r="N600" s="110">
        <v>30.9</v>
      </c>
      <c r="O600" s="110">
        <v>30.1</v>
      </c>
      <c r="P600" s="110">
        <v>30.65</v>
      </c>
      <c r="Q600" s="110">
        <v>30.6</v>
      </c>
      <c r="R600">
        <v>158433</v>
      </c>
    </row>
    <row r="601" spans="1:18" x14ac:dyDescent="0.25">
      <c r="A601" s="134">
        <v>42887</v>
      </c>
      <c r="B601" s="110">
        <v>30.8</v>
      </c>
      <c r="C601" s="110">
        <v>30.25</v>
      </c>
      <c r="D601" s="110">
        <v>30.1</v>
      </c>
      <c r="E601" s="110">
        <v>30.75</v>
      </c>
      <c r="F601" s="110">
        <v>30.25</v>
      </c>
      <c r="G601">
        <v>17686</v>
      </c>
      <c r="H601" s="110"/>
      <c r="I601" s="110"/>
      <c r="L601" s="134">
        <v>42887</v>
      </c>
      <c r="M601" s="110">
        <v>30.25</v>
      </c>
      <c r="N601" s="110">
        <v>30.7</v>
      </c>
      <c r="O601" s="110">
        <v>30</v>
      </c>
      <c r="P601" s="110">
        <v>30.6</v>
      </c>
      <c r="Q601" s="110">
        <v>30.25</v>
      </c>
      <c r="R601">
        <v>206527</v>
      </c>
    </row>
    <row r="602" spans="1:18" x14ac:dyDescent="0.25">
      <c r="A602" s="134">
        <v>42888</v>
      </c>
      <c r="B602" s="110">
        <v>30.65</v>
      </c>
      <c r="C602" s="110">
        <v>30.3</v>
      </c>
      <c r="D602" s="110">
        <v>30.15</v>
      </c>
      <c r="E602" s="110">
        <v>30.55</v>
      </c>
      <c r="F602" s="110">
        <v>30.3</v>
      </c>
      <c r="G602">
        <v>18909</v>
      </c>
      <c r="H602" s="110"/>
      <c r="I602" s="110"/>
      <c r="L602" s="134">
        <v>42888</v>
      </c>
      <c r="M602" s="110">
        <v>30.2</v>
      </c>
      <c r="N602" s="110">
        <v>30.5</v>
      </c>
      <c r="O602" s="110">
        <v>30.1</v>
      </c>
      <c r="P602" s="110">
        <v>30.45</v>
      </c>
      <c r="Q602" s="110">
        <v>30.2</v>
      </c>
      <c r="R602">
        <v>150223</v>
      </c>
    </row>
    <row r="603" spans="1:18" x14ac:dyDescent="0.25">
      <c r="A603" s="134">
        <v>42891</v>
      </c>
      <c r="B603" s="110">
        <v>30.5</v>
      </c>
      <c r="C603" s="110">
        <v>30.15</v>
      </c>
      <c r="D603" s="110">
        <v>30.1</v>
      </c>
      <c r="E603" s="110">
        <v>30.2</v>
      </c>
      <c r="F603" s="110">
        <v>30.15</v>
      </c>
      <c r="G603">
        <v>22212</v>
      </c>
      <c r="H603" s="110"/>
      <c r="I603" s="110"/>
      <c r="L603" s="134">
        <v>42891</v>
      </c>
      <c r="M603" s="110">
        <v>30.05</v>
      </c>
      <c r="N603" s="110">
        <v>30.5</v>
      </c>
      <c r="O603" s="110">
        <v>30</v>
      </c>
      <c r="P603" s="110">
        <v>30.2</v>
      </c>
      <c r="Q603" s="110">
        <v>30.05</v>
      </c>
      <c r="R603">
        <v>175990</v>
      </c>
    </row>
    <row r="604" spans="1:18" x14ac:dyDescent="0.25">
      <c r="A604" s="134">
        <v>42892</v>
      </c>
      <c r="B604" s="110">
        <v>30.3</v>
      </c>
      <c r="C604" s="110">
        <v>30.15</v>
      </c>
      <c r="D604" s="110">
        <v>30</v>
      </c>
      <c r="E604" s="110">
        <v>30</v>
      </c>
      <c r="F604" s="110">
        <v>30.15</v>
      </c>
      <c r="G604">
        <v>27498</v>
      </c>
      <c r="H604" s="110"/>
      <c r="I604" s="110"/>
      <c r="L604" s="134">
        <v>42892</v>
      </c>
      <c r="M604" s="110">
        <v>30.1</v>
      </c>
      <c r="N604" s="110">
        <v>30.35</v>
      </c>
      <c r="O604" s="110">
        <v>30</v>
      </c>
      <c r="P604" s="110">
        <v>30.25</v>
      </c>
      <c r="Q604" s="110">
        <v>30.1</v>
      </c>
      <c r="R604">
        <v>118221</v>
      </c>
    </row>
    <row r="605" spans="1:18" x14ac:dyDescent="0.25">
      <c r="A605" s="134">
        <v>42893</v>
      </c>
      <c r="B605" s="110">
        <v>30.3</v>
      </c>
      <c r="C605" s="110">
        <v>29.95</v>
      </c>
      <c r="D605" s="110">
        <v>29.9</v>
      </c>
      <c r="E605" s="110">
        <v>30</v>
      </c>
      <c r="F605" s="110">
        <v>29.95</v>
      </c>
      <c r="G605">
        <v>18211</v>
      </c>
      <c r="H605" s="110"/>
      <c r="I605" s="110"/>
      <c r="L605" s="134">
        <v>42893</v>
      </c>
      <c r="M605" s="110">
        <v>29.9</v>
      </c>
      <c r="N605" s="110">
        <v>30.45</v>
      </c>
      <c r="O605" s="110">
        <v>29.85</v>
      </c>
      <c r="P605" s="110">
        <v>30.3</v>
      </c>
      <c r="Q605" s="110">
        <v>29.9</v>
      </c>
      <c r="R605">
        <v>139424</v>
      </c>
    </row>
    <row r="606" spans="1:18" x14ac:dyDescent="0.25">
      <c r="A606" s="134">
        <v>42894</v>
      </c>
      <c r="B606" s="110">
        <v>30</v>
      </c>
      <c r="C606" s="110">
        <v>29.8</v>
      </c>
      <c r="D606" s="110">
        <v>29.7</v>
      </c>
      <c r="E606" s="110">
        <v>30</v>
      </c>
      <c r="F606" s="110">
        <v>29.8</v>
      </c>
      <c r="G606">
        <v>18570</v>
      </c>
      <c r="H606" s="110"/>
      <c r="I606" s="110"/>
      <c r="L606" s="134">
        <v>42894</v>
      </c>
      <c r="M606" s="110">
        <v>29.75</v>
      </c>
      <c r="N606" s="110">
        <v>30.2</v>
      </c>
      <c r="O606" s="110">
        <v>29.75</v>
      </c>
      <c r="P606" s="110">
        <v>29.9</v>
      </c>
      <c r="Q606" s="110">
        <v>29.75</v>
      </c>
      <c r="R606">
        <v>90033</v>
      </c>
    </row>
    <row r="607" spans="1:18" x14ac:dyDescent="0.25">
      <c r="A607" s="134">
        <v>42895</v>
      </c>
      <c r="B607" s="110">
        <v>30.05</v>
      </c>
      <c r="C607" s="110">
        <v>29.7</v>
      </c>
      <c r="D607" s="110">
        <v>29.5</v>
      </c>
      <c r="E607" s="110">
        <v>29.55</v>
      </c>
      <c r="F607" s="110">
        <v>29.7</v>
      </c>
      <c r="G607">
        <v>16342</v>
      </c>
      <c r="H607" s="110"/>
      <c r="I607" s="110"/>
      <c r="L607" s="134">
        <v>42895</v>
      </c>
      <c r="M607" s="110">
        <v>29.7</v>
      </c>
      <c r="N607" s="110">
        <v>30</v>
      </c>
      <c r="O607" s="110">
        <v>29.5</v>
      </c>
      <c r="P607" s="110">
        <v>29.5</v>
      </c>
      <c r="Q607" s="110">
        <v>29.7</v>
      </c>
      <c r="R607">
        <v>104859</v>
      </c>
    </row>
    <row r="608" spans="1:18" x14ac:dyDescent="0.25">
      <c r="A608" s="134">
        <v>42898</v>
      </c>
      <c r="B608" s="110">
        <v>30.5</v>
      </c>
      <c r="C608" s="110">
        <v>30.1</v>
      </c>
      <c r="D608" s="110">
        <v>29.5</v>
      </c>
      <c r="E608" s="110">
        <v>30</v>
      </c>
      <c r="F608" s="110">
        <v>30.1</v>
      </c>
      <c r="G608">
        <v>26359</v>
      </c>
      <c r="H608" s="110"/>
      <c r="I608" s="110"/>
      <c r="L608" s="134">
        <v>42898</v>
      </c>
      <c r="M608" s="110">
        <v>29.95</v>
      </c>
      <c r="N608" s="110">
        <v>30.35</v>
      </c>
      <c r="O608" s="110">
        <v>29.3</v>
      </c>
      <c r="P608" s="110">
        <v>29.7</v>
      </c>
      <c r="Q608" s="110">
        <v>29.95</v>
      </c>
      <c r="R608">
        <v>187030</v>
      </c>
    </row>
    <row r="609" spans="1:18" x14ac:dyDescent="0.25">
      <c r="A609" s="134">
        <v>42899</v>
      </c>
      <c r="B609" s="110">
        <v>30.25</v>
      </c>
      <c r="C609" s="110">
        <v>29.75</v>
      </c>
      <c r="D609" s="110">
        <v>29.6</v>
      </c>
      <c r="E609" s="110">
        <v>30</v>
      </c>
      <c r="F609" s="110">
        <v>29.75</v>
      </c>
      <c r="G609">
        <v>12437</v>
      </c>
      <c r="H609" s="110"/>
      <c r="I609" s="110"/>
      <c r="L609" s="134">
        <v>42899</v>
      </c>
      <c r="M609" s="110">
        <v>29.75</v>
      </c>
      <c r="N609" s="110">
        <v>30.25</v>
      </c>
      <c r="O609" s="110">
        <v>29.7</v>
      </c>
      <c r="P609" s="110">
        <v>30.05</v>
      </c>
      <c r="Q609" s="110">
        <v>29.75</v>
      </c>
      <c r="R609">
        <v>76792</v>
      </c>
    </row>
    <row r="610" spans="1:18" x14ac:dyDescent="0.25">
      <c r="A610" s="134">
        <v>42900</v>
      </c>
      <c r="B610" s="110">
        <v>31.6</v>
      </c>
      <c r="C610" s="110">
        <v>30.8</v>
      </c>
      <c r="D610" s="110">
        <v>29.65</v>
      </c>
      <c r="E610" s="110">
        <v>29.75</v>
      </c>
      <c r="F610" s="110">
        <v>30.8</v>
      </c>
      <c r="G610">
        <v>85353</v>
      </c>
      <c r="H610" s="110"/>
      <c r="I610" s="110"/>
      <c r="L610" s="134">
        <v>42900</v>
      </c>
      <c r="M610" s="110">
        <v>30.75</v>
      </c>
      <c r="N610" s="110">
        <v>31.5</v>
      </c>
      <c r="O610" s="110">
        <v>29.6</v>
      </c>
      <c r="P610" s="110">
        <v>29.75</v>
      </c>
      <c r="Q610" s="110">
        <v>30.75</v>
      </c>
      <c r="R610">
        <v>424712</v>
      </c>
    </row>
    <row r="611" spans="1:18" x14ac:dyDescent="0.25">
      <c r="A611" s="134">
        <v>42901</v>
      </c>
      <c r="B611" s="110">
        <v>30.9</v>
      </c>
      <c r="C611" s="110">
        <v>30.15</v>
      </c>
      <c r="D611" s="110">
        <v>29.95</v>
      </c>
      <c r="E611" s="110">
        <v>30.9</v>
      </c>
      <c r="F611" s="110">
        <v>30.15</v>
      </c>
      <c r="G611">
        <v>18863</v>
      </c>
      <c r="H611" s="110"/>
      <c r="I611" s="110"/>
      <c r="L611" s="134">
        <v>42901</v>
      </c>
      <c r="M611" s="110">
        <v>30</v>
      </c>
      <c r="N611" s="110">
        <v>31.2</v>
      </c>
      <c r="O611" s="110">
        <v>29.8</v>
      </c>
      <c r="P611" s="110">
        <v>31.05</v>
      </c>
      <c r="Q611" s="110">
        <v>30</v>
      </c>
      <c r="R611">
        <v>166083</v>
      </c>
    </row>
    <row r="612" spans="1:18" x14ac:dyDescent="0.25">
      <c r="A612" s="134">
        <v>42902</v>
      </c>
      <c r="B612" s="110">
        <v>31</v>
      </c>
      <c r="C612" s="110">
        <v>30.85</v>
      </c>
      <c r="D612" s="110">
        <v>29.85</v>
      </c>
      <c r="E612" s="110">
        <v>30.15</v>
      </c>
      <c r="F612" s="110">
        <v>30.85</v>
      </c>
      <c r="G612">
        <v>22235</v>
      </c>
      <c r="H612" s="110"/>
      <c r="I612" s="110"/>
      <c r="L612" s="134">
        <v>42902</v>
      </c>
      <c r="M612" s="110">
        <v>31</v>
      </c>
      <c r="N612" s="110">
        <v>31.15</v>
      </c>
      <c r="O612" s="110">
        <v>30</v>
      </c>
      <c r="P612" s="110">
        <v>30.3</v>
      </c>
      <c r="Q612" s="110">
        <v>31</v>
      </c>
      <c r="R612">
        <v>245147</v>
      </c>
    </row>
    <row r="613" spans="1:18" x14ac:dyDescent="0.25">
      <c r="A613" s="134">
        <v>42905</v>
      </c>
      <c r="B613" s="110">
        <v>30.5</v>
      </c>
      <c r="C613" s="110">
        <v>29.8</v>
      </c>
      <c r="D613" s="110">
        <v>29.5</v>
      </c>
      <c r="E613" s="110">
        <v>30.5</v>
      </c>
      <c r="F613" s="110">
        <v>29.8</v>
      </c>
      <c r="G613">
        <v>99168</v>
      </c>
      <c r="H613" s="110"/>
      <c r="I613" s="110"/>
      <c r="L613" s="134">
        <v>42905</v>
      </c>
      <c r="M613" s="110">
        <v>29.85</v>
      </c>
      <c r="N613" s="110">
        <v>30.2</v>
      </c>
      <c r="O613" s="110">
        <v>29.35</v>
      </c>
      <c r="P613" s="110">
        <v>30.1</v>
      </c>
      <c r="Q613" s="110">
        <v>29.85</v>
      </c>
      <c r="R613">
        <v>680051</v>
      </c>
    </row>
    <row r="614" spans="1:18" x14ac:dyDescent="0.25">
      <c r="A614" s="134">
        <v>42906</v>
      </c>
      <c r="B614" s="110">
        <v>29.75</v>
      </c>
      <c r="C614" s="110">
        <v>29.35</v>
      </c>
      <c r="D614" s="110">
        <v>29.15</v>
      </c>
      <c r="E614" s="110">
        <v>29.75</v>
      </c>
      <c r="F614" s="110">
        <v>29.35</v>
      </c>
      <c r="G614">
        <v>23407</v>
      </c>
      <c r="H614" s="110"/>
      <c r="I614" s="110"/>
      <c r="L614" s="134">
        <v>42906</v>
      </c>
      <c r="M614" s="110">
        <v>29.45</v>
      </c>
      <c r="N614" s="110">
        <v>29.8</v>
      </c>
      <c r="O614" s="110">
        <v>29</v>
      </c>
      <c r="P614" s="110">
        <v>29.8</v>
      </c>
      <c r="Q614" s="110">
        <v>29.45</v>
      </c>
      <c r="R614">
        <v>250268</v>
      </c>
    </row>
    <row r="615" spans="1:18" x14ac:dyDescent="0.25">
      <c r="A615" s="134">
        <v>42907</v>
      </c>
      <c r="B615" s="110">
        <v>29.4</v>
      </c>
      <c r="C615" s="110">
        <v>29.2</v>
      </c>
      <c r="D615" s="110">
        <v>29.1</v>
      </c>
      <c r="E615" s="110">
        <v>29.25</v>
      </c>
      <c r="F615" s="110">
        <v>29.2</v>
      </c>
      <c r="G615">
        <v>23315</v>
      </c>
      <c r="H615" s="110"/>
      <c r="I615" s="110"/>
      <c r="L615" s="134">
        <v>42907</v>
      </c>
      <c r="M615" s="110">
        <v>29.15</v>
      </c>
      <c r="N615" s="110">
        <v>29.4</v>
      </c>
      <c r="O615" s="110">
        <v>29.05</v>
      </c>
      <c r="P615" s="110">
        <v>29.2</v>
      </c>
      <c r="Q615" s="110">
        <v>29.15</v>
      </c>
      <c r="R615">
        <v>131130</v>
      </c>
    </row>
    <row r="616" spans="1:18" x14ac:dyDescent="0.25">
      <c r="A616" s="134">
        <v>42908</v>
      </c>
      <c r="B616" s="110">
        <v>29.5</v>
      </c>
      <c r="C616" s="110">
        <v>29.05</v>
      </c>
      <c r="D616" s="110">
        <v>29</v>
      </c>
      <c r="E616" s="110">
        <v>29.1</v>
      </c>
      <c r="F616" s="110">
        <v>29.05</v>
      </c>
      <c r="G616">
        <v>15174</v>
      </c>
      <c r="H616" s="110"/>
      <c r="I616" s="110"/>
      <c r="L616" s="134">
        <v>42908</v>
      </c>
      <c r="M616" s="110">
        <v>29.05</v>
      </c>
      <c r="N616" s="110">
        <v>29.5</v>
      </c>
      <c r="O616" s="110">
        <v>29</v>
      </c>
      <c r="P616" s="110">
        <v>29.2</v>
      </c>
      <c r="Q616" s="110">
        <v>29.05</v>
      </c>
      <c r="R616">
        <v>99852</v>
      </c>
    </row>
    <row r="617" spans="1:18" x14ac:dyDescent="0.25">
      <c r="A617" s="134">
        <v>42909</v>
      </c>
      <c r="B617" s="110">
        <v>29</v>
      </c>
      <c r="C617" s="110">
        <v>28.55</v>
      </c>
      <c r="D617" s="110">
        <v>28.4</v>
      </c>
      <c r="E617" s="110">
        <v>29</v>
      </c>
      <c r="F617" s="110">
        <v>28.55</v>
      </c>
      <c r="G617">
        <v>22955</v>
      </c>
      <c r="H617" s="110"/>
      <c r="I617" s="110"/>
      <c r="L617" s="134">
        <v>42909</v>
      </c>
      <c r="M617" s="110">
        <v>28.5</v>
      </c>
      <c r="N617" s="110">
        <v>29.1</v>
      </c>
      <c r="O617" s="110">
        <v>28.35</v>
      </c>
      <c r="P617" s="110">
        <v>29</v>
      </c>
      <c r="Q617" s="110">
        <v>28.5</v>
      </c>
      <c r="R617">
        <v>152034</v>
      </c>
    </row>
    <row r="618" spans="1:18" x14ac:dyDescent="0.25">
      <c r="A618" s="134">
        <v>42913</v>
      </c>
      <c r="B618" s="110">
        <v>28.55</v>
      </c>
      <c r="C618" s="110">
        <v>27.75</v>
      </c>
      <c r="D618" s="110">
        <v>27.6</v>
      </c>
      <c r="E618" s="110">
        <v>28.5</v>
      </c>
      <c r="F618" s="110">
        <v>27.75</v>
      </c>
      <c r="G618">
        <v>30181</v>
      </c>
      <c r="H618" s="110"/>
      <c r="I618" s="110"/>
      <c r="L618" s="134">
        <v>42913</v>
      </c>
      <c r="M618" s="110">
        <v>27.65</v>
      </c>
      <c r="N618" s="110">
        <v>28.6</v>
      </c>
      <c r="O618" s="110">
        <v>27.6</v>
      </c>
      <c r="P618" s="110">
        <v>28.5</v>
      </c>
      <c r="Q618" s="110">
        <v>27.65</v>
      </c>
      <c r="R618">
        <v>146238</v>
      </c>
    </row>
    <row r="619" spans="1:18" x14ac:dyDescent="0.25">
      <c r="A619" s="134">
        <v>42914</v>
      </c>
      <c r="B619" s="110">
        <v>28</v>
      </c>
      <c r="C619" s="110">
        <v>27.7</v>
      </c>
      <c r="D619" s="110">
        <v>27.5</v>
      </c>
      <c r="E619" s="110">
        <v>27.5</v>
      </c>
      <c r="F619" s="110">
        <v>27.7</v>
      </c>
      <c r="G619">
        <v>19961</v>
      </c>
      <c r="H619" s="110"/>
      <c r="I619" s="110"/>
      <c r="L619" s="134">
        <v>42914</v>
      </c>
      <c r="M619" s="110">
        <v>27.55</v>
      </c>
      <c r="N619" s="110">
        <v>27.95</v>
      </c>
      <c r="O619" s="110">
        <v>27.4</v>
      </c>
      <c r="P619" s="110">
        <v>27.5</v>
      </c>
      <c r="Q619" s="110">
        <v>27.55</v>
      </c>
      <c r="R619">
        <v>121071</v>
      </c>
    </row>
    <row r="620" spans="1:18" x14ac:dyDescent="0.25">
      <c r="A620" s="134">
        <v>42915</v>
      </c>
      <c r="B620" s="110">
        <v>28.25</v>
      </c>
      <c r="C620" s="110">
        <v>27.95</v>
      </c>
      <c r="D620" s="110">
        <v>27.5</v>
      </c>
      <c r="E620" s="110">
        <v>27.5</v>
      </c>
      <c r="F620" s="110">
        <v>27.95</v>
      </c>
      <c r="G620">
        <v>28608</v>
      </c>
      <c r="H620" s="110"/>
      <c r="I620" s="110"/>
      <c r="L620" s="134">
        <v>42915</v>
      </c>
      <c r="M620" s="110">
        <v>27.95</v>
      </c>
      <c r="N620" s="110">
        <v>28.15</v>
      </c>
      <c r="O620" s="110">
        <v>27.45</v>
      </c>
      <c r="P620" s="110">
        <v>27.45</v>
      </c>
      <c r="Q620" s="110">
        <v>27.95</v>
      </c>
      <c r="R620">
        <v>84559</v>
      </c>
    </row>
    <row r="621" spans="1:18" x14ac:dyDescent="0.25">
      <c r="A621" s="134">
        <v>42916</v>
      </c>
      <c r="B621" s="110">
        <v>28.45</v>
      </c>
      <c r="C621" s="110">
        <v>28.1</v>
      </c>
      <c r="D621" s="110">
        <v>27.7</v>
      </c>
      <c r="E621" s="110">
        <v>27.8</v>
      </c>
      <c r="F621" s="110">
        <v>28.1</v>
      </c>
      <c r="G621">
        <v>17540</v>
      </c>
      <c r="H621" s="110"/>
      <c r="I621" s="110"/>
      <c r="L621" s="134">
        <v>42916</v>
      </c>
      <c r="M621" s="110">
        <v>28.15</v>
      </c>
      <c r="N621" s="110">
        <v>28.2</v>
      </c>
      <c r="O621" s="110">
        <v>27.75</v>
      </c>
      <c r="P621" s="110">
        <v>27.95</v>
      </c>
      <c r="Q621" s="110">
        <v>28.15</v>
      </c>
      <c r="R621">
        <v>67280</v>
      </c>
    </row>
    <row r="622" spans="1:18" x14ac:dyDescent="0.25">
      <c r="A622" s="134">
        <v>42919</v>
      </c>
      <c r="B622" s="110">
        <v>28.5</v>
      </c>
      <c r="C622" s="110">
        <v>28.1</v>
      </c>
      <c r="D622" s="110">
        <v>27.9</v>
      </c>
      <c r="E622" s="110">
        <v>28.2</v>
      </c>
      <c r="F622" s="110">
        <v>28.1</v>
      </c>
      <c r="G622">
        <v>21256</v>
      </c>
      <c r="H622" s="110"/>
      <c r="I622" s="110"/>
      <c r="L622" s="134">
        <v>42919</v>
      </c>
      <c r="M622" s="110">
        <v>28.1</v>
      </c>
      <c r="N622" s="110">
        <v>28.75</v>
      </c>
      <c r="O622" s="110">
        <v>28</v>
      </c>
      <c r="P622" s="110">
        <v>28.75</v>
      </c>
      <c r="Q622" s="110">
        <v>28.1</v>
      </c>
      <c r="R622">
        <v>77919</v>
      </c>
    </row>
    <row r="623" spans="1:18" x14ac:dyDescent="0.25">
      <c r="A623" s="134">
        <v>42920</v>
      </c>
      <c r="B623" s="110">
        <v>28.5</v>
      </c>
      <c r="C623" s="110">
        <v>28.05</v>
      </c>
      <c r="D623" s="110">
        <v>28</v>
      </c>
      <c r="E623" s="110">
        <v>28.1</v>
      </c>
      <c r="F623" s="110">
        <v>28.05</v>
      </c>
      <c r="G623">
        <v>20883</v>
      </c>
      <c r="H623" s="110"/>
      <c r="I623" s="110"/>
      <c r="L623" s="134">
        <v>42920</v>
      </c>
      <c r="M623" s="110">
        <v>28.15</v>
      </c>
      <c r="N623" s="110">
        <v>28.5</v>
      </c>
      <c r="O623" s="110">
        <v>28.05</v>
      </c>
      <c r="P623" s="110">
        <v>28.5</v>
      </c>
      <c r="Q623" s="110">
        <v>28.15</v>
      </c>
      <c r="R623">
        <v>55035</v>
      </c>
    </row>
    <row r="624" spans="1:18" x14ac:dyDescent="0.25">
      <c r="A624" s="134">
        <v>42921</v>
      </c>
      <c r="B624" s="110">
        <v>28.35</v>
      </c>
      <c r="C624" s="110">
        <v>28.3</v>
      </c>
      <c r="D624" s="110">
        <v>27.8</v>
      </c>
      <c r="E624" s="110">
        <v>28.1</v>
      </c>
      <c r="F624" s="110">
        <v>28.3</v>
      </c>
      <c r="G624">
        <v>36010</v>
      </c>
      <c r="H624" s="110"/>
      <c r="I624" s="110"/>
      <c r="L624" s="134">
        <v>42921</v>
      </c>
      <c r="M624" s="110">
        <v>28.35</v>
      </c>
      <c r="N624" s="110">
        <v>28.5</v>
      </c>
      <c r="O624" s="110">
        <v>27.9</v>
      </c>
      <c r="P624" s="110">
        <v>28</v>
      </c>
      <c r="Q624" s="110">
        <v>28.35</v>
      </c>
      <c r="R624">
        <v>93303</v>
      </c>
    </row>
    <row r="625" spans="1:18" x14ac:dyDescent="0.25">
      <c r="A625" s="134">
        <v>42922</v>
      </c>
      <c r="B625" s="110">
        <v>29.35</v>
      </c>
      <c r="C625" s="110">
        <v>28.85</v>
      </c>
      <c r="D625" s="110">
        <v>28.4</v>
      </c>
      <c r="E625" s="110">
        <v>28.4</v>
      </c>
      <c r="F625" s="110">
        <v>28.85</v>
      </c>
      <c r="G625">
        <v>29851</v>
      </c>
      <c r="H625" s="110"/>
      <c r="I625" s="110"/>
      <c r="L625" s="134">
        <v>42922</v>
      </c>
      <c r="M625" s="110">
        <v>28.95</v>
      </c>
      <c r="N625" s="110">
        <v>29.4</v>
      </c>
      <c r="O625" s="110">
        <v>28.1</v>
      </c>
      <c r="P625" s="110">
        <v>28.1</v>
      </c>
      <c r="Q625" s="110">
        <v>28.95</v>
      </c>
      <c r="R625">
        <v>179887</v>
      </c>
    </row>
    <row r="626" spans="1:18" x14ac:dyDescent="0.25">
      <c r="A626" s="134">
        <v>42923</v>
      </c>
      <c r="B626" s="110">
        <v>29.4</v>
      </c>
      <c r="C626" s="110">
        <v>29.15</v>
      </c>
      <c r="D626" s="110">
        <v>28.8</v>
      </c>
      <c r="E626" s="110">
        <v>28.8</v>
      </c>
      <c r="F626" s="110">
        <v>29.15</v>
      </c>
      <c r="G626">
        <v>16702</v>
      </c>
      <c r="H626" s="110"/>
      <c r="I626" s="110"/>
      <c r="L626" s="134">
        <v>42923</v>
      </c>
      <c r="M626" s="110">
        <v>29.05</v>
      </c>
      <c r="N626" s="110">
        <v>29.5</v>
      </c>
      <c r="O626" s="110">
        <v>29</v>
      </c>
      <c r="P626" s="110">
        <v>29.3</v>
      </c>
      <c r="Q626" s="110">
        <v>29.05</v>
      </c>
      <c r="R626">
        <v>108501</v>
      </c>
    </row>
    <row r="627" spans="1:18" x14ac:dyDescent="0.25">
      <c r="A627" s="134">
        <v>42926</v>
      </c>
      <c r="B627" s="110">
        <v>29.85</v>
      </c>
      <c r="C627" s="110">
        <v>29.35</v>
      </c>
      <c r="D627" s="110">
        <v>29.1</v>
      </c>
      <c r="E627" s="110">
        <v>29.85</v>
      </c>
      <c r="F627" s="110">
        <v>29.35</v>
      </c>
      <c r="G627">
        <v>50909</v>
      </c>
      <c r="H627" s="110"/>
      <c r="I627" s="110"/>
      <c r="L627" s="134">
        <v>42926</v>
      </c>
      <c r="M627" s="110">
        <v>29.25</v>
      </c>
      <c r="N627" s="110">
        <v>29.75</v>
      </c>
      <c r="O627" s="110">
        <v>29.05</v>
      </c>
      <c r="P627" s="110">
        <v>29.05</v>
      </c>
      <c r="Q627" s="110">
        <v>29.25</v>
      </c>
      <c r="R627">
        <v>25202</v>
      </c>
    </row>
    <row r="628" spans="1:18" x14ac:dyDescent="0.25">
      <c r="A628" s="134">
        <v>42927</v>
      </c>
      <c r="B628" s="110">
        <v>29.65</v>
      </c>
      <c r="C628" s="110">
        <v>29.15</v>
      </c>
      <c r="D628" s="110">
        <v>28.85</v>
      </c>
      <c r="E628" s="110">
        <v>29.65</v>
      </c>
      <c r="F628" s="110">
        <v>29.15</v>
      </c>
      <c r="G628">
        <v>22096</v>
      </c>
      <c r="H628" s="110"/>
      <c r="I628" s="110"/>
      <c r="L628" s="134">
        <v>42927</v>
      </c>
      <c r="M628" s="110">
        <v>29</v>
      </c>
      <c r="N628" s="110">
        <v>29.6</v>
      </c>
      <c r="O628" s="110">
        <v>28.9</v>
      </c>
      <c r="P628" s="110">
        <v>29.3</v>
      </c>
      <c r="Q628" s="110">
        <v>29</v>
      </c>
      <c r="R628">
        <v>85950</v>
      </c>
    </row>
    <row r="629" spans="1:18" x14ac:dyDescent="0.25">
      <c r="A629" s="134">
        <v>42928</v>
      </c>
      <c r="B629" s="110">
        <v>29.3</v>
      </c>
      <c r="C629" s="110">
        <v>28.95</v>
      </c>
      <c r="D629" s="110">
        <v>28.75</v>
      </c>
      <c r="E629" s="110">
        <v>29</v>
      </c>
      <c r="F629" s="110">
        <v>28.95</v>
      </c>
      <c r="G629">
        <v>17995</v>
      </c>
      <c r="H629" s="110"/>
      <c r="I629" s="110"/>
      <c r="L629" s="134">
        <v>42928</v>
      </c>
      <c r="M629" s="110">
        <v>28.95</v>
      </c>
      <c r="N629" s="110">
        <v>29.35</v>
      </c>
      <c r="O629" s="110">
        <v>28.85</v>
      </c>
      <c r="P629" s="110">
        <v>29</v>
      </c>
      <c r="Q629" s="110">
        <v>28.95</v>
      </c>
      <c r="R629">
        <v>42477</v>
      </c>
    </row>
    <row r="630" spans="1:18" x14ac:dyDescent="0.25">
      <c r="A630" s="134">
        <v>42929</v>
      </c>
      <c r="B630" s="110">
        <v>29.45</v>
      </c>
      <c r="C630" s="110">
        <v>29.05</v>
      </c>
      <c r="D630" s="110">
        <v>28.8</v>
      </c>
      <c r="E630" s="110">
        <v>29.2</v>
      </c>
      <c r="F630" s="110">
        <v>29.05</v>
      </c>
      <c r="G630">
        <v>26220</v>
      </c>
      <c r="H630" s="110"/>
      <c r="I630" s="110"/>
      <c r="L630" s="134">
        <v>42929</v>
      </c>
      <c r="M630" s="110">
        <v>29.15</v>
      </c>
      <c r="N630" s="110">
        <v>29.45</v>
      </c>
      <c r="O630" s="110">
        <v>28.65</v>
      </c>
      <c r="P630" s="110">
        <v>29.25</v>
      </c>
      <c r="Q630" s="110">
        <v>29.15</v>
      </c>
      <c r="R630">
        <v>106057</v>
      </c>
    </row>
    <row r="631" spans="1:18" x14ac:dyDescent="0.25">
      <c r="A631" s="134">
        <v>42930</v>
      </c>
      <c r="B631" s="110">
        <v>29.15</v>
      </c>
      <c r="C631" s="110">
        <v>29</v>
      </c>
      <c r="D631" s="110">
        <v>28.75</v>
      </c>
      <c r="E631" s="110">
        <v>29</v>
      </c>
      <c r="F631" s="110">
        <v>29</v>
      </c>
      <c r="G631">
        <v>7488</v>
      </c>
      <c r="H631" s="110"/>
      <c r="I631" s="110"/>
      <c r="L631" s="134">
        <v>42930</v>
      </c>
      <c r="M631" s="110">
        <v>28.95</v>
      </c>
      <c r="N631" s="110">
        <v>29.15</v>
      </c>
      <c r="O631" s="110">
        <v>28.8</v>
      </c>
      <c r="P631" s="110">
        <v>29.15</v>
      </c>
      <c r="Q631" s="110">
        <v>28.95</v>
      </c>
      <c r="R631">
        <v>75642</v>
      </c>
    </row>
    <row r="632" spans="1:18" x14ac:dyDescent="0.25">
      <c r="A632" s="134">
        <v>42933</v>
      </c>
      <c r="B632" s="110">
        <v>29.1</v>
      </c>
      <c r="C632" s="110">
        <v>28.7</v>
      </c>
      <c r="D632" s="110">
        <v>28.5</v>
      </c>
      <c r="E632" s="110">
        <v>29.1</v>
      </c>
      <c r="F632" s="110">
        <v>28.7</v>
      </c>
      <c r="G632">
        <v>36674</v>
      </c>
      <c r="H632" s="110"/>
      <c r="I632" s="110"/>
      <c r="L632" s="134">
        <v>42933</v>
      </c>
      <c r="M632" s="110">
        <v>28.75</v>
      </c>
      <c r="N632" s="110">
        <v>29.15</v>
      </c>
      <c r="O632" s="110">
        <v>28.55</v>
      </c>
      <c r="P632" s="110">
        <v>28.9</v>
      </c>
      <c r="Q632" s="110">
        <v>28.75</v>
      </c>
      <c r="R632">
        <v>100871</v>
      </c>
    </row>
    <row r="633" spans="1:18" x14ac:dyDescent="0.25">
      <c r="A633" s="134">
        <v>42934</v>
      </c>
      <c r="B633" s="110">
        <v>29</v>
      </c>
      <c r="C633" s="110">
        <v>28.35</v>
      </c>
      <c r="D633" s="110">
        <v>28.25</v>
      </c>
      <c r="E633" s="110">
        <v>29</v>
      </c>
      <c r="F633" s="110">
        <v>28.35</v>
      </c>
      <c r="G633">
        <v>26168</v>
      </c>
      <c r="H633" s="110"/>
      <c r="I633" s="110"/>
      <c r="L633" s="134">
        <v>42934</v>
      </c>
      <c r="M633" s="110">
        <v>28.4</v>
      </c>
      <c r="N633" s="110">
        <v>28.9</v>
      </c>
      <c r="O633" s="110">
        <v>28.3</v>
      </c>
      <c r="P633" s="110">
        <v>28.5</v>
      </c>
      <c r="Q633" s="110">
        <v>28.4</v>
      </c>
      <c r="R633">
        <v>142697</v>
      </c>
    </row>
    <row r="634" spans="1:18" x14ac:dyDescent="0.25">
      <c r="A634" s="134">
        <v>42935</v>
      </c>
      <c r="B634" s="110">
        <v>29.1</v>
      </c>
      <c r="C634" s="110">
        <v>28.8</v>
      </c>
      <c r="D634" s="110">
        <v>28.7</v>
      </c>
      <c r="E634" s="110">
        <v>28.85</v>
      </c>
      <c r="F634" s="110">
        <v>28.8</v>
      </c>
      <c r="G634">
        <v>24716</v>
      </c>
      <c r="H634" s="110"/>
      <c r="I634" s="110"/>
      <c r="L634" s="134">
        <v>42935</v>
      </c>
      <c r="M634" s="110">
        <v>28.8</v>
      </c>
      <c r="N634" s="110">
        <v>29.25</v>
      </c>
      <c r="O634" s="110">
        <v>28.55</v>
      </c>
      <c r="P634" s="110">
        <v>28.9</v>
      </c>
      <c r="Q634" s="110">
        <v>28.8</v>
      </c>
      <c r="R634">
        <v>104238</v>
      </c>
    </row>
    <row r="635" spans="1:18" x14ac:dyDescent="0.25">
      <c r="A635" s="134">
        <v>42936</v>
      </c>
      <c r="B635" s="110">
        <v>29.1</v>
      </c>
      <c r="C635" s="110">
        <v>28.85</v>
      </c>
      <c r="D635" s="110">
        <v>28.8</v>
      </c>
      <c r="E635" s="110">
        <v>29.1</v>
      </c>
      <c r="F635" s="110">
        <v>28.85</v>
      </c>
      <c r="G635">
        <v>24186</v>
      </c>
      <c r="H635" s="110"/>
      <c r="I635" s="110"/>
      <c r="L635" s="134">
        <v>42936</v>
      </c>
      <c r="M635" s="110">
        <v>28.8</v>
      </c>
      <c r="N635" s="110">
        <v>29.15</v>
      </c>
      <c r="O635" s="110">
        <v>28.55</v>
      </c>
      <c r="P635" s="110">
        <v>28.55</v>
      </c>
      <c r="Q635" s="110">
        <v>28.8</v>
      </c>
      <c r="R635">
        <v>72453</v>
      </c>
    </row>
    <row r="636" spans="1:18" x14ac:dyDescent="0.25">
      <c r="A636" s="134">
        <v>42937</v>
      </c>
      <c r="B636" s="110">
        <v>29</v>
      </c>
      <c r="C636" s="110">
        <v>28.4</v>
      </c>
      <c r="D636" s="110">
        <v>28.25</v>
      </c>
      <c r="E636" s="110">
        <v>28.8</v>
      </c>
      <c r="F636" s="110">
        <v>28.4</v>
      </c>
      <c r="G636">
        <v>21981</v>
      </c>
      <c r="H636" s="110"/>
      <c r="I636" s="110"/>
      <c r="L636" s="134">
        <v>42937</v>
      </c>
      <c r="M636" s="110">
        <v>28.35</v>
      </c>
      <c r="N636" s="110">
        <v>29</v>
      </c>
      <c r="O636" s="110">
        <v>28.25</v>
      </c>
      <c r="P636" s="110">
        <v>28.5</v>
      </c>
      <c r="Q636" s="110">
        <v>28.35</v>
      </c>
      <c r="R636">
        <v>113773</v>
      </c>
    </row>
    <row r="637" spans="1:18" x14ac:dyDescent="0.25">
      <c r="A637" s="134">
        <v>42940</v>
      </c>
      <c r="B637" s="110">
        <v>29.4</v>
      </c>
      <c r="C637" s="110">
        <v>28.95</v>
      </c>
      <c r="D637" s="110">
        <v>28.45</v>
      </c>
      <c r="E637" s="110">
        <v>28.45</v>
      </c>
      <c r="F637" s="110">
        <v>28.95</v>
      </c>
      <c r="G637">
        <v>38120</v>
      </c>
      <c r="H637" s="110"/>
      <c r="I637" s="110"/>
      <c r="L637" s="134">
        <v>42940</v>
      </c>
      <c r="M637" s="110">
        <v>28.85</v>
      </c>
      <c r="N637" s="110">
        <v>29.4</v>
      </c>
      <c r="O637" s="110">
        <v>28.75</v>
      </c>
      <c r="P637" s="110">
        <v>29</v>
      </c>
      <c r="Q637" s="110">
        <v>28.85</v>
      </c>
      <c r="R637">
        <v>248278</v>
      </c>
    </row>
    <row r="638" spans="1:18" x14ac:dyDescent="0.25">
      <c r="A638" s="134">
        <v>42941</v>
      </c>
      <c r="B638" s="110">
        <v>29.65</v>
      </c>
      <c r="C638" s="110">
        <v>28.9</v>
      </c>
      <c r="D638" s="110">
        <v>28.75</v>
      </c>
      <c r="E638" s="110">
        <v>29.1</v>
      </c>
      <c r="F638" s="110">
        <v>28.9</v>
      </c>
      <c r="G638">
        <v>29812</v>
      </c>
      <c r="H638" s="110"/>
      <c r="I638" s="110"/>
      <c r="L638" s="134">
        <v>42941</v>
      </c>
      <c r="M638" s="110">
        <v>28.85</v>
      </c>
      <c r="N638" s="110">
        <v>29.2</v>
      </c>
      <c r="O638" s="110">
        <v>28.7</v>
      </c>
      <c r="P638" s="110">
        <v>28.9</v>
      </c>
      <c r="Q638" s="110">
        <v>28.85</v>
      </c>
      <c r="R638">
        <v>133202</v>
      </c>
    </row>
    <row r="639" spans="1:18" x14ac:dyDescent="0.25">
      <c r="A639" s="134">
        <v>42942</v>
      </c>
      <c r="B639" s="110">
        <v>29.15</v>
      </c>
      <c r="C639" s="110">
        <v>28.95</v>
      </c>
      <c r="D639" s="110">
        <v>28.85</v>
      </c>
      <c r="E639" s="110">
        <v>28.85</v>
      </c>
      <c r="F639" s="110">
        <v>28.95</v>
      </c>
      <c r="G639">
        <v>11788</v>
      </c>
      <c r="H639" s="110"/>
      <c r="I639" s="110"/>
      <c r="L639" s="134">
        <v>42942</v>
      </c>
      <c r="M639" s="110">
        <v>29.05</v>
      </c>
      <c r="N639" s="110">
        <v>29.4</v>
      </c>
      <c r="O639" s="110">
        <v>28.9</v>
      </c>
      <c r="P639" s="110">
        <v>29.4</v>
      </c>
      <c r="Q639" s="110">
        <v>29.05</v>
      </c>
      <c r="R639">
        <v>119174</v>
      </c>
    </row>
    <row r="640" spans="1:18" x14ac:dyDescent="0.25">
      <c r="A640" s="134">
        <v>42943</v>
      </c>
      <c r="B640" s="110">
        <v>29.2</v>
      </c>
      <c r="C640" s="110">
        <v>28.75</v>
      </c>
      <c r="D640" s="110">
        <v>28.6</v>
      </c>
      <c r="E640" s="110">
        <v>28.9</v>
      </c>
      <c r="F640" s="110">
        <v>28.75</v>
      </c>
      <c r="G640">
        <v>23407</v>
      </c>
      <c r="H640" s="110"/>
      <c r="I640" s="110"/>
      <c r="L640" s="134">
        <v>42943</v>
      </c>
      <c r="M640" s="110">
        <v>28.7</v>
      </c>
      <c r="N640" s="110">
        <v>29.2</v>
      </c>
      <c r="O640" s="110">
        <v>28.55</v>
      </c>
      <c r="P640" s="110">
        <v>29.15</v>
      </c>
      <c r="Q640" s="110">
        <v>28.7</v>
      </c>
      <c r="R640">
        <v>73719</v>
      </c>
    </row>
    <row r="641" spans="1:18" x14ac:dyDescent="0.25">
      <c r="A641" s="134">
        <v>42944</v>
      </c>
      <c r="B641" s="110">
        <v>29</v>
      </c>
      <c r="C641" s="110">
        <v>28.6</v>
      </c>
      <c r="D641" s="110">
        <v>28.45</v>
      </c>
      <c r="E641" s="110">
        <v>29</v>
      </c>
      <c r="F641" s="110">
        <v>28.6</v>
      </c>
      <c r="G641">
        <v>10996</v>
      </c>
      <c r="H641" s="110"/>
      <c r="I641" s="110"/>
      <c r="L641" s="134">
        <v>42944</v>
      </c>
      <c r="M641" s="110">
        <v>28.5</v>
      </c>
      <c r="N641" s="110">
        <v>28.9</v>
      </c>
      <c r="O641" s="110">
        <v>28.4</v>
      </c>
      <c r="P641" s="110">
        <v>28.6</v>
      </c>
      <c r="Q641" s="110">
        <v>28.5</v>
      </c>
      <c r="R641">
        <v>57843</v>
      </c>
    </row>
    <row r="642" spans="1:18" x14ac:dyDescent="0.25">
      <c r="A642" s="134">
        <v>42947</v>
      </c>
      <c r="B642" s="110">
        <v>30</v>
      </c>
      <c r="C642" s="110">
        <v>29.1</v>
      </c>
      <c r="D642" s="110">
        <v>26.9</v>
      </c>
      <c r="E642" s="110">
        <v>28.75</v>
      </c>
      <c r="F642" s="110">
        <v>29.1</v>
      </c>
      <c r="G642">
        <v>186568</v>
      </c>
      <c r="H642" s="110"/>
      <c r="I642" s="110"/>
      <c r="L642" s="134">
        <v>42947</v>
      </c>
      <c r="M642" s="110">
        <v>29.2</v>
      </c>
      <c r="N642" s="110">
        <v>30.15</v>
      </c>
      <c r="O642" s="110">
        <v>26.85</v>
      </c>
      <c r="P642" s="110">
        <v>28.1</v>
      </c>
      <c r="Q642" s="110">
        <v>29.2</v>
      </c>
      <c r="R642">
        <v>2079218</v>
      </c>
    </row>
    <row r="643" spans="1:18" x14ac:dyDescent="0.25">
      <c r="A643" s="134">
        <v>42948</v>
      </c>
      <c r="B643" s="110">
        <v>29.1</v>
      </c>
      <c r="C643" s="110">
        <v>28.45</v>
      </c>
      <c r="D643" s="110">
        <v>28.35</v>
      </c>
      <c r="E643" s="110">
        <v>29.1</v>
      </c>
      <c r="F643" s="110">
        <v>28.45</v>
      </c>
      <c r="G643">
        <v>30714</v>
      </c>
      <c r="H643" s="110"/>
      <c r="I643" s="110"/>
      <c r="L643" s="134">
        <v>42948</v>
      </c>
      <c r="M643" s="110">
        <v>28.45</v>
      </c>
      <c r="N643" s="110">
        <v>29</v>
      </c>
      <c r="O643" s="110">
        <v>28.3</v>
      </c>
      <c r="P643" s="110">
        <v>28.75</v>
      </c>
      <c r="Q643" s="110">
        <v>28.45</v>
      </c>
      <c r="R643">
        <v>175609</v>
      </c>
    </row>
    <row r="644" spans="1:18" x14ac:dyDescent="0.25">
      <c r="A644" s="134">
        <v>42949</v>
      </c>
      <c r="B644" s="110">
        <v>29</v>
      </c>
      <c r="C644" s="110">
        <v>28.55</v>
      </c>
      <c r="D644" s="110">
        <v>28.4</v>
      </c>
      <c r="E644" s="110">
        <v>28.9</v>
      </c>
      <c r="F644" s="110">
        <v>28.55</v>
      </c>
      <c r="G644">
        <v>21757</v>
      </c>
      <c r="H644" s="110"/>
      <c r="I644" s="110"/>
      <c r="L644" s="134">
        <v>42949</v>
      </c>
      <c r="M644" s="110">
        <v>28.5</v>
      </c>
      <c r="N644" s="110">
        <v>29.15</v>
      </c>
      <c r="O644" s="110">
        <v>28.3</v>
      </c>
      <c r="P644" s="110">
        <v>29</v>
      </c>
      <c r="Q644" s="110">
        <v>28.5</v>
      </c>
      <c r="R644">
        <v>115929</v>
      </c>
    </row>
    <row r="645" spans="1:18" x14ac:dyDescent="0.25">
      <c r="A645" s="134">
        <v>42950</v>
      </c>
      <c r="B645" s="110">
        <v>28.9</v>
      </c>
      <c r="C645" s="110">
        <v>27.95</v>
      </c>
      <c r="D645" s="110">
        <v>27.75</v>
      </c>
      <c r="E645" s="110">
        <v>28.2</v>
      </c>
      <c r="F645" s="110">
        <v>27.95</v>
      </c>
      <c r="G645">
        <v>12677</v>
      </c>
      <c r="H645" s="110"/>
      <c r="I645" s="110"/>
      <c r="L645" s="134">
        <v>42950</v>
      </c>
      <c r="M645" s="110">
        <v>27.95</v>
      </c>
      <c r="N645" s="110">
        <v>28.8</v>
      </c>
      <c r="O645" s="110">
        <v>27.85</v>
      </c>
      <c r="P645" s="110">
        <v>28.8</v>
      </c>
      <c r="Q645" s="110">
        <v>27.95</v>
      </c>
      <c r="R645">
        <v>83317</v>
      </c>
    </row>
    <row r="646" spans="1:18" x14ac:dyDescent="0.25">
      <c r="A646" s="134">
        <v>42951</v>
      </c>
      <c r="B646" s="110">
        <v>28.7</v>
      </c>
      <c r="C646" s="110">
        <v>27.75</v>
      </c>
      <c r="D646" s="110">
        <v>27.15</v>
      </c>
      <c r="E646" s="110">
        <v>28.7</v>
      </c>
      <c r="F646" s="110">
        <v>27.75</v>
      </c>
      <c r="G646">
        <v>17739</v>
      </c>
      <c r="H646" s="110"/>
      <c r="I646" s="110"/>
      <c r="L646" s="134">
        <v>42951</v>
      </c>
      <c r="M646" s="110">
        <v>27.8</v>
      </c>
      <c r="N646" s="110">
        <v>28.3</v>
      </c>
      <c r="O646" s="110">
        <v>27.6</v>
      </c>
      <c r="P646" s="110">
        <v>27.95</v>
      </c>
      <c r="Q646" s="110">
        <v>27.8</v>
      </c>
      <c r="R646">
        <v>61440</v>
      </c>
    </row>
    <row r="647" spans="1:18" x14ac:dyDescent="0.25">
      <c r="A647" s="134">
        <v>42954</v>
      </c>
      <c r="B647" s="110">
        <v>28.05</v>
      </c>
      <c r="C647" s="110">
        <v>27.75</v>
      </c>
      <c r="D647" s="110">
        <v>27.5</v>
      </c>
      <c r="E647" s="110">
        <v>27.85</v>
      </c>
      <c r="F647" s="110">
        <v>27.75</v>
      </c>
      <c r="G647">
        <v>31184</v>
      </c>
      <c r="H647" s="110"/>
      <c r="I647" s="110"/>
      <c r="L647" s="134">
        <v>42954</v>
      </c>
      <c r="M647" s="110">
        <v>27.7</v>
      </c>
      <c r="N647" s="110">
        <v>28.2</v>
      </c>
      <c r="O647" s="110">
        <v>27.5</v>
      </c>
      <c r="P647" s="110">
        <v>27.8</v>
      </c>
      <c r="Q647" s="110">
        <v>27.7</v>
      </c>
      <c r="R647">
        <v>88577</v>
      </c>
    </row>
    <row r="648" spans="1:18" x14ac:dyDescent="0.25">
      <c r="A648" s="134">
        <v>42955</v>
      </c>
      <c r="B648" s="110">
        <v>27.8</v>
      </c>
      <c r="C648" s="110">
        <v>27.05</v>
      </c>
      <c r="D648" s="110">
        <v>26.8</v>
      </c>
      <c r="E648" s="110">
        <v>27.8</v>
      </c>
      <c r="F648" s="110">
        <v>27.05</v>
      </c>
      <c r="G648">
        <v>21674</v>
      </c>
      <c r="H648" s="110"/>
      <c r="I648" s="110"/>
      <c r="L648" s="134">
        <v>42955</v>
      </c>
      <c r="M648" s="110">
        <v>27.05</v>
      </c>
      <c r="N648" s="110">
        <v>28</v>
      </c>
      <c r="O648" s="110">
        <v>26.9</v>
      </c>
      <c r="P648" s="110">
        <v>28</v>
      </c>
      <c r="Q648" s="110">
        <v>27.05</v>
      </c>
      <c r="R648">
        <v>137884</v>
      </c>
    </row>
    <row r="649" spans="1:18" x14ac:dyDescent="0.25">
      <c r="A649" s="134">
        <v>42956</v>
      </c>
      <c r="B649" s="110">
        <v>27.95</v>
      </c>
      <c r="C649" s="110">
        <v>27.05</v>
      </c>
      <c r="D649" s="110">
        <v>26.9</v>
      </c>
      <c r="E649" s="110">
        <v>27</v>
      </c>
      <c r="F649" s="110">
        <v>27.05</v>
      </c>
      <c r="G649">
        <v>14385</v>
      </c>
      <c r="H649" s="110"/>
      <c r="I649" s="110"/>
      <c r="L649" s="134">
        <v>42956</v>
      </c>
      <c r="M649" s="110">
        <v>27.05</v>
      </c>
      <c r="N649" s="110">
        <v>27.5</v>
      </c>
      <c r="O649" s="110">
        <v>26.85</v>
      </c>
      <c r="P649" s="110">
        <v>27.3</v>
      </c>
      <c r="Q649" s="110">
        <v>27.05</v>
      </c>
      <c r="R649">
        <v>112986</v>
      </c>
    </row>
    <row r="650" spans="1:18" x14ac:dyDescent="0.25">
      <c r="A650" s="134">
        <v>42957</v>
      </c>
      <c r="B650" s="110">
        <v>27.15</v>
      </c>
      <c r="C650" s="110">
        <v>26.25</v>
      </c>
      <c r="D650" s="110">
        <v>26.15</v>
      </c>
      <c r="E650" s="110">
        <v>27.15</v>
      </c>
      <c r="F650" s="110">
        <v>26.25</v>
      </c>
      <c r="G650">
        <v>25777</v>
      </c>
      <c r="H650" s="110"/>
      <c r="I650" s="110"/>
      <c r="L650" s="134">
        <v>42957</v>
      </c>
      <c r="M650" s="110">
        <v>26.15</v>
      </c>
      <c r="N650" s="110">
        <v>27</v>
      </c>
      <c r="O650" s="110">
        <v>26.1</v>
      </c>
      <c r="P650" s="110">
        <v>26.65</v>
      </c>
      <c r="Q650" s="110">
        <v>26.15</v>
      </c>
      <c r="R650">
        <v>118146</v>
      </c>
    </row>
    <row r="651" spans="1:18" x14ac:dyDescent="0.25">
      <c r="A651" s="134">
        <v>42958</v>
      </c>
      <c r="B651" s="110">
        <v>28.25</v>
      </c>
      <c r="C651" s="110">
        <v>26.1</v>
      </c>
      <c r="D651" s="110">
        <v>25.1</v>
      </c>
      <c r="E651" s="110">
        <v>26</v>
      </c>
      <c r="F651" s="110">
        <v>26.1</v>
      </c>
      <c r="G651">
        <v>56702</v>
      </c>
      <c r="H651" s="110"/>
      <c r="I651" s="110"/>
      <c r="L651" s="134">
        <v>42958</v>
      </c>
      <c r="M651" s="110">
        <v>26.05</v>
      </c>
      <c r="N651" s="110">
        <v>29.3</v>
      </c>
      <c r="O651" s="110">
        <v>25</v>
      </c>
      <c r="P651" s="110">
        <v>25.5</v>
      </c>
      <c r="Q651" s="110">
        <v>26.05</v>
      </c>
      <c r="R651">
        <v>445101</v>
      </c>
    </row>
    <row r="652" spans="1:18" x14ac:dyDescent="0.25">
      <c r="A652" s="134">
        <v>42961</v>
      </c>
      <c r="B652" s="110">
        <v>26.8</v>
      </c>
      <c r="C652" s="110">
        <v>26.65</v>
      </c>
      <c r="D652" s="110">
        <v>26.1</v>
      </c>
      <c r="E652" s="110">
        <v>26.1</v>
      </c>
      <c r="F652" s="110">
        <v>26.65</v>
      </c>
      <c r="G652">
        <v>24053</v>
      </c>
      <c r="H652" s="110"/>
      <c r="I652" s="110"/>
      <c r="L652" s="134">
        <v>42961</v>
      </c>
      <c r="M652" s="110">
        <v>26.65</v>
      </c>
      <c r="N652" s="110">
        <v>26.8</v>
      </c>
      <c r="O652" s="110">
        <v>26</v>
      </c>
      <c r="P652" s="110">
        <v>26</v>
      </c>
      <c r="Q652" s="110">
        <v>26.65</v>
      </c>
      <c r="R652">
        <v>89137</v>
      </c>
    </row>
    <row r="653" spans="1:18" x14ac:dyDescent="0.25">
      <c r="A653" s="134">
        <v>42963</v>
      </c>
      <c r="B653" s="110">
        <v>27.2</v>
      </c>
      <c r="C653" s="110">
        <v>26.85</v>
      </c>
      <c r="D653" s="110">
        <v>26.55</v>
      </c>
      <c r="E653" s="110">
        <v>26.8</v>
      </c>
      <c r="F653" s="110">
        <v>26.85</v>
      </c>
      <c r="G653">
        <v>11251</v>
      </c>
      <c r="H653" s="110"/>
      <c r="I653" s="110"/>
      <c r="L653" s="134">
        <v>42963</v>
      </c>
      <c r="M653" s="110">
        <v>27</v>
      </c>
      <c r="N653" s="110">
        <v>27.2</v>
      </c>
      <c r="O653" s="110">
        <v>26.6</v>
      </c>
      <c r="P653" s="110">
        <v>26.95</v>
      </c>
      <c r="Q653" s="110">
        <v>27</v>
      </c>
      <c r="R653">
        <v>77356</v>
      </c>
    </row>
    <row r="654" spans="1:18" x14ac:dyDescent="0.25">
      <c r="A654" s="134">
        <v>42964</v>
      </c>
      <c r="B654" s="110">
        <v>27.75</v>
      </c>
      <c r="C654" s="110">
        <v>26.95</v>
      </c>
      <c r="D654" s="110">
        <v>26.85</v>
      </c>
      <c r="E654" s="110">
        <v>27.1</v>
      </c>
      <c r="F654" s="110">
        <v>26.95</v>
      </c>
      <c r="G654">
        <v>15197</v>
      </c>
      <c r="H654" s="110"/>
      <c r="I654" s="110"/>
      <c r="L654" s="134">
        <v>42964</v>
      </c>
      <c r="M654" s="110">
        <v>26.9</v>
      </c>
      <c r="N654" s="110">
        <v>28.3</v>
      </c>
      <c r="O654" s="110">
        <v>26.55</v>
      </c>
      <c r="P654" s="110">
        <v>28.3</v>
      </c>
      <c r="Q654" s="110">
        <v>26.9</v>
      </c>
      <c r="R654">
        <v>89537</v>
      </c>
    </row>
    <row r="655" spans="1:18" x14ac:dyDescent="0.25">
      <c r="A655" s="134">
        <v>42965</v>
      </c>
      <c r="B655" s="110">
        <v>28</v>
      </c>
      <c r="C655" s="110">
        <v>27.1</v>
      </c>
      <c r="D655" s="110">
        <v>26.55</v>
      </c>
      <c r="E655" s="110">
        <v>26.7</v>
      </c>
      <c r="F655" s="110">
        <v>27.1</v>
      </c>
      <c r="G655">
        <v>20450</v>
      </c>
      <c r="H655" s="110"/>
      <c r="I655" s="110"/>
      <c r="L655" s="134">
        <v>42965</v>
      </c>
      <c r="M655" s="110">
        <v>26.75</v>
      </c>
      <c r="N655" s="110">
        <v>26.9</v>
      </c>
      <c r="O655" s="110">
        <v>26.5</v>
      </c>
      <c r="P655" s="110">
        <v>26.8</v>
      </c>
      <c r="Q655" s="110">
        <v>26.75</v>
      </c>
      <c r="R655">
        <v>63309</v>
      </c>
    </row>
    <row r="656" spans="1:18" x14ac:dyDescent="0.25">
      <c r="A656" s="134">
        <v>42968</v>
      </c>
      <c r="B656" s="110">
        <v>28</v>
      </c>
      <c r="C656" s="110">
        <v>27</v>
      </c>
      <c r="D656" s="110">
        <v>26.9</v>
      </c>
      <c r="E656" s="110">
        <v>28</v>
      </c>
      <c r="F656" s="110">
        <v>27</v>
      </c>
      <c r="G656">
        <v>21940</v>
      </c>
      <c r="H656" s="110"/>
      <c r="I656" s="110"/>
      <c r="L656" s="134">
        <v>42968</v>
      </c>
      <c r="M656" s="110">
        <v>26.95</v>
      </c>
      <c r="N656" s="110">
        <v>27.5</v>
      </c>
      <c r="O656" s="110">
        <v>26.75</v>
      </c>
      <c r="P656" s="110">
        <v>26.75</v>
      </c>
      <c r="Q656" s="110">
        <v>26.95</v>
      </c>
      <c r="R656">
        <v>111131</v>
      </c>
    </row>
    <row r="657" spans="1:18" x14ac:dyDescent="0.25">
      <c r="A657" s="134">
        <v>42969</v>
      </c>
      <c r="B657" s="110">
        <v>27.75</v>
      </c>
      <c r="C657" s="110">
        <v>26.55</v>
      </c>
      <c r="D657" s="110">
        <v>26.1</v>
      </c>
      <c r="E657" s="110">
        <v>27.75</v>
      </c>
      <c r="F657" s="110">
        <v>26.55</v>
      </c>
      <c r="G657">
        <v>19450</v>
      </c>
      <c r="H657" s="110"/>
      <c r="I657" s="110"/>
      <c r="L657" s="134">
        <v>42969</v>
      </c>
      <c r="M657" s="110">
        <v>26.7</v>
      </c>
      <c r="N657" s="110">
        <v>27.3</v>
      </c>
      <c r="O657" s="110">
        <v>26.45</v>
      </c>
      <c r="P657" s="110">
        <v>26.85</v>
      </c>
      <c r="Q657" s="110">
        <v>26.7</v>
      </c>
      <c r="R657">
        <v>72102</v>
      </c>
    </row>
    <row r="658" spans="1:18" x14ac:dyDescent="0.25">
      <c r="A658" s="134">
        <v>42970</v>
      </c>
      <c r="B658" s="110">
        <v>27.45</v>
      </c>
      <c r="C658" s="110">
        <v>27.15</v>
      </c>
      <c r="D658" s="110">
        <v>26.85</v>
      </c>
      <c r="E658" s="110">
        <v>26.85</v>
      </c>
      <c r="F658" s="110">
        <v>27.15</v>
      </c>
      <c r="G658">
        <v>17955</v>
      </c>
      <c r="H658" s="110"/>
      <c r="I658" s="110"/>
      <c r="L658" s="134">
        <v>42970</v>
      </c>
      <c r="M658" s="110">
        <v>27.2</v>
      </c>
      <c r="N658" s="110">
        <v>27.45</v>
      </c>
      <c r="O658" s="110">
        <v>26.7</v>
      </c>
      <c r="P658" s="110">
        <v>26.7</v>
      </c>
      <c r="Q658" s="110">
        <v>27.2</v>
      </c>
      <c r="R658">
        <v>117613</v>
      </c>
    </row>
    <row r="659" spans="1:18" x14ac:dyDescent="0.25">
      <c r="A659" s="134">
        <v>42971</v>
      </c>
      <c r="B659" s="110">
        <v>27.35</v>
      </c>
      <c r="C659" s="110">
        <v>27.3</v>
      </c>
      <c r="D659" s="110">
        <v>26.9</v>
      </c>
      <c r="E659" s="110">
        <v>27.3</v>
      </c>
      <c r="F659" s="110">
        <v>27.3</v>
      </c>
      <c r="G659">
        <v>17073</v>
      </c>
      <c r="H659" s="110"/>
      <c r="I659" s="110"/>
      <c r="L659" s="134">
        <v>42971</v>
      </c>
      <c r="M659" s="110">
        <v>27.15</v>
      </c>
      <c r="N659" s="110">
        <v>27.75</v>
      </c>
      <c r="O659" s="110">
        <v>26.7</v>
      </c>
      <c r="P659" s="110">
        <v>27.75</v>
      </c>
      <c r="Q659" s="110">
        <v>27.15</v>
      </c>
      <c r="R659">
        <v>81591</v>
      </c>
    </row>
    <row r="660" spans="1:18" x14ac:dyDescent="0.25">
      <c r="A660" s="134">
        <v>42975</v>
      </c>
      <c r="B660" s="110">
        <v>27.45</v>
      </c>
      <c r="C660" s="110">
        <v>27.05</v>
      </c>
      <c r="D660" s="110">
        <v>26.55</v>
      </c>
      <c r="E660" s="110">
        <v>27.45</v>
      </c>
      <c r="F660" s="110">
        <v>27.05</v>
      </c>
      <c r="G660">
        <v>23200</v>
      </c>
      <c r="H660" s="110"/>
      <c r="I660" s="110"/>
      <c r="L660" s="134">
        <v>42975</v>
      </c>
      <c r="M660" s="110">
        <v>27</v>
      </c>
      <c r="N660" s="110">
        <v>27.45</v>
      </c>
      <c r="O660" s="110">
        <v>26.9</v>
      </c>
      <c r="P660" s="110">
        <v>27.45</v>
      </c>
      <c r="Q660" s="110">
        <v>27</v>
      </c>
      <c r="R660">
        <v>70270</v>
      </c>
    </row>
    <row r="661" spans="1:18" x14ac:dyDescent="0.25">
      <c r="A661" s="134">
        <v>42976</v>
      </c>
      <c r="B661" s="110">
        <v>27.35</v>
      </c>
      <c r="C661" s="110">
        <v>26.9</v>
      </c>
      <c r="D661" s="110">
        <v>26.8</v>
      </c>
      <c r="E661" s="110">
        <v>27.35</v>
      </c>
      <c r="F661" s="110">
        <v>26.9</v>
      </c>
      <c r="G661">
        <v>7021</v>
      </c>
      <c r="H661" s="110"/>
      <c r="I661" s="110"/>
      <c r="L661" s="134">
        <v>42976</v>
      </c>
      <c r="M661" s="110">
        <v>26.9</v>
      </c>
      <c r="N661" s="110">
        <v>27.35</v>
      </c>
      <c r="O661" s="110">
        <v>26.85</v>
      </c>
      <c r="P661" s="110">
        <v>27.3</v>
      </c>
      <c r="Q661" s="110">
        <v>26.9</v>
      </c>
      <c r="R661">
        <v>80329</v>
      </c>
    </row>
    <row r="662" spans="1:18" x14ac:dyDescent="0.25">
      <c r="A662" s="134">
        <v>42977</v>
      </c>
      <c r="B662" s="110">
        <v>27.2</v>
      </c>
      <c r="C662" s="110">
        <v>26.9</v>
      </c>
      <c r="D662" s="110">
        <v>26.7</v>
      </c>
      <c r="E662" s="110">
        <v>27.05</v>
      </c>
      <c r="F662" s="110">
        <v>26.9</v>
      </c>
      <c r="G662">
        <v>7287</v>
      </c>
      <c r="H662" s="110"/>
      <c r="I662" s="110"/>
      <c r="L662" s="134">
        <v>42977</v>
      </c>
      <c r="M662" s="110">
        <v>26.85</v>
      </c>
      <c r="N662" s="110">
        <v>27.2</v>
      </c>
      <c r="O662" s="110">
        <v>26.75</v>
      </c>
      <c r="P662" s="110">
        <v>26.9</v>
      </c>
      <c r="Q662" s="110">
        <v>26.85</v>
      </c>
      <c r="R662">
        <v>46297</v>
      </c>
    </row>
    <row r="663" spans="1:18" x14ac:dyDescent="0.25">
      <c r="A663" s="134">
        <v>42978</v>
      </c>
      <c r="B663" s="110">
        <v>27</v>
      </c>
      <c r="C663" s="110">
        <v>26.65</v>
      </c>
      <c r="D663" s="110">
        <v>26.55</v>
      </c>
      <c r="E663" s="110">
        <v>26.8</v>
      </c>
      <c r="F663" s="110">
        <v>26.65</v>
      </c>
      <c r="G663">
        <v>7657</v>
      </c>
      <c r="H663" s="110"/>
      <c r="I663" s="110"/>
      <c r="L663" s="134">
        <v>42978</v>
      </c>
      <c r="M663" s="110">
        <v>26.55</v>
      </c>
      <c r="N663" s="110">
        <v>27.1</v>
      </c>
      <c r="O663" s="110">
        <v>26.45</v>
      </c>
      <c r="P663" s="110">
        <v>26.85</v>
      </c>
      <c r="Q663" s="110">
        <v>26.55</v>
      </c>
      <c r="R663">
        <v>70757</v>
      </c>
    </row>
    <row r="664" spans="1:18" x14ac:dyDescent="0.25">
      <c r="A664" s="134">
        <v>42979</v>
      </c>
      <c r="B664" s="110">
        <v>27</v>
      </c>
      <c r="C664" s="110">
        <v>26.55</v>
      </c>
      <c r="D664" s="110">
        <v>26.5</v>
      </c>
      <c r="E664" s="110">
        <v>26.8</v>
      </c>
      <c r="F664" s="110">
        <v>26.55</v>
      </c>
      <c r="G664">
        <v>17257</v>
      </c>
      <c r="H664" s="110"/>
      <c r="I664" s="110"/>
      <c r="L664" s="134">
        <v>42979</v>
      </c>
      <c r="M664" s="110">
        <v>26.55</v>
      </c>
      <c r="N664" s="110">
        <v>27</v>
      </c>
      <c r="O664" s="110">
        <v>26.5</v>
      </c>
      <c r="P664" s="110">
        <v>26.8</v>
      </c>
      <c r="Q664" s="110">
        <v>26.55</v>
      </c>
      <c r="R664">
        <v>149079</v>
      </c>
    </row>
    <row r="665" spans="1:18" x14ac:dyDescent="0.25">
      <c r="A665" s="134">
        <v>42982</v>
      </c>
      <c r="B665" s="110">
        <v>26.65</v>
      </c>
      <c r="C665" s="110">
        <v>26.4</v>
      </c>
      <c r="D665" s="110">
        <v>26</v>
      </c>
      <c r="E665" s="110">
        <v>26.55</v>
      </c>
      <c r="F665" s="110">
        <v>26.4</v>
      </c>
      <c r="G665">
        <v>13072</v>
      </c>
      <c r="H665" s="110"/>
      <c r="I665" s="110"/>
      <c r="L665" s="134">
        <v>42982</v>
      </c>
      <c r="M665" s="110">
        <v>26.45</v>
      </c>
      <c r="N665" s="110">
        <v>26.7</v>
      </c>
      <c r="O665" s="110">
        <v>26.1</v>
      </c>
      <c r="P665" s="110">
        <v>26.6</v>
      </c>
      <c r="Q665" s="110">
        <v>26.45</v>
      </c>
      <c r="R665">
        <v>65235</v>
      </c>
    </row>
    <row r="666" spans="1:18" x14ac:dyDescent="0.25">
      <c r="A666" s="134">
        <v>42983</v>
      </c>
      <c r="B666" s="110">
        <v>26.65</v>
      </c>
      <c r="C666" s="110">
        <v>26.3</v>
      </c>
      <c r="D666" s="110">
        <v>26.2</v>
      </c>
      <c r="E666" s="110">
        <v>26.4</v>
      </c>
      <c r="F666" s="110">
        <v>26.3</v>
      </c>
      <c r="G666">
        <v>20345</v>
      </c>
      <c r="H666" s="110"/>
      <c r="I666" s="110"/>
      <c r="L666" s="134">
        <v>42983</v>
      </c>
      <c r="M666" s="110">
        <v>26.35</v>
      </c>
      <c r="N666" s="110">
        <v>26.65</v>
      </c>
      <c r="O666" s="110">
        <v>26.25</v>
      </c>
      <c r="P666" s="110">
        <v>26.4</v>
      </c>
      <c r="Q666" s="110">
        <v>26.35</v>
      </c>
      <c r="R666">
        <v>100922</v>
      </c>
    </row>
    <row r="667" spans="1:18" x14ac:dyDescent="0.25">
      <c r="A667" s="134">
        <v>42984</v>
      </c>
      <c r="B667" s="110">
        <v>26.7</v>
      </c>
      <c r="C667" s="110">
        <v>26.55</v>
      </c>
      <c r="D667" s="110">
        <v>26.4</v>
      </c>
      <c r="E667" s="110">
        <v>26.4</v>
      </c>
      <c r="F667" s="110">
        <v>26.55</v>
      </c>
      <c r="G667">
        <v>17956</v>
      </c>
      <c r="H667" s="110"/>
      <c r="I667" s="110"/>
      <c r="L667" s="134">
        <v>42984</v>
      </c>
      <c r="M667" s="110">
        <v>26.5</v>
      </c>
      <c r="N667" s="110">
        <v>26.7</v>
      </c>
      <c r="O667" s="110">
        <v>26.25</v>
      </c>
      <c r="P667" s="110">
        <v>26.25</v>
      </c>
      <c r="Q667" s="110">
        <v>26.5</v>
      </c>
      <c r="R667">
        <v>79556</v>
      </c>
    </row>
    <row r="668" spans="1:18" x14ac:dyDescent="0.25">
      <c r="A668" s="134">
        <v>42985</v>
      </c>
      <c r="B668" s="110">
        <v>26.85</v>
      </c>
      <c r="C668" s="110">
        <v>26.45</v>
      </c>
      <c r="D668" s="110">
        <v>26.25</v>
      </c>
      <c r="E668" s="110">
        <v>26.85</v>
      </c>
      <c r="F668" s="110">
        <v>26.45</v>
      </c>
      <c r="G668">
        <v>14642</v>
      </c>
      <c r="H668" s="110"/>
      <c r="I668" s="110"/>
      <c r="L668" s="134">
        <v>42985</v>
      </c>
      <c r="M668" s="110">
        <v>26.4</v>
      </c>
      <c r="N668" s="110">
        <v>26.8</v>
      </c>
      <c r="O668" s="110">
        <v>26.1</v>
      </c>
      <c r="P668" s="110">
        <v>26.8</v>
      </c>
      <c r="Q668" s="110">
        <v>26.4</v>
      </c>
      <c r="R668">
        <v>67224</v>
      </c>
    </row>
    <row r="669" spans="1:18" x14ac:dyDescent="0.25">
      <c r="A669" s="134">
        <v>42986</v>
      </c>
      <c r="B669" s="110">
        <v>27</v>
      </c>
      <c r="C669" s="110">
        <v>26.3</v>
      </c>
      <c r="D669" s="110">
        <v>25.9</v>
      </c>
      <c r="E669" s="110">
        <v>26.4</v>
      </c>
      <c r="F669" s="110">
        <v>26.3</v>
      </c>
      <c r="G669">
        <v>21110</v>
      </c>
      <c r="H669" s="110"/>
      <c r="I669" s="110"/>
      <c r="L669" s="134">
        <v>42986</v>
      </c>
      <c r="M669" s="110">
        <v>26.15</v>
      </c>
      <c r="N669" s="110">
        <v>26.75</v>
      </c>
      <c r="O669" s="110">
        <v>25.05</v>
      </c>
      <c r="P669" s="110">
        <v>26.75</v>
      </c>
      <c r="Q669" s="110">
        <v>26.15</v>
      </c>
      <c r="R669">
        <v>125980</v>
      </c>
    </row>
    <row r="670" spans="1:18" x14ac:dyDescent="0.25">
      <c r="A670" s="134">
        <v>42989</v>
      </c>
      <c r="B670" s="110">
        <v>26.9</v>
      </c>
      <c r="C670" s="110">
        <v>26.15</v>
      </c>
      <c r="D670" s="110">
        <v>25</v>
      </c>
      <c r="E670" s="110">
        <v>26.9</v>
      </c>
      <c r="F670" s="110">
        <v>26.15</v>
      </c>
      <c r="G670">
        <v>26579</v>
      </c>
      <c r="H670" s="110"/>
      <c r="I670" s="110"/>
      <c r="L670" s="134">
        <v>42989</v>
      </c>
      <c r="M670" s="110">
        <v>26.15</v>
      </c>
      <c r="N670" s="110">
        <v>26.9</v>
      </c>
      <c r="O670" s="110">
        <v>26.1</v>
      </c>
      <c r="P670" s="110">
        <v>26.9</v>
      </c>
      <c r="Q670" s="110">
        <v>26.15</v>
      </c>
      <c r="R670">
        <v>78855</v>
      </c>
    </row>
    <row r="671" spans="1:18" x14ac:dyDescent="0.25">
      <c r="A671" s="134">
        <v>42990</v>
      </c>
      <c r="B671" s="110">
        <v>26.55</v>
      </c>
      <c r="C671" s="110">
        <v>26.35</v>
      </c>
      <c r="D671" s="110">
        <v>26.15</v>
      </c>
      <c r="E671" s="110">
        <v>26.55</v>
      </c>
      <c r="F671" s="110">
        <v>26.35</v>
      </c>
      <c r="G671">
        <v>14123</v>
      </c>
      <c r="H671" s="110"/>
      <c r="I671" s="110"/>
      <c r="L671" s="134">
        <v>42990</v>
      </c>
      <c r="M671" s="110">
        <v>26.35</v>
      </c>
      <c r="N671" s="110">
        <v>26.75</v>
      </c>
      <c r="O671" s="110">
        <v>26.2</v>
      </c>
      <c r="P671" s="110">
        <v>26.35</v>
      </c>
      <c r="Q671" s="110">
        <v>26.35</v>
      </c>
      <c r="R671">
        <v>130370</v>
      </c>
    </row>
    <row r="672" spans="1:18" x14ac:dyDescent="0.25">
      <c r="A672" s="134">
        <v>42991</v>
      </c>
      <c r="B672" s="110">
        <v>26.85</v>
      </c>
      <c r="C672" s="110">
        <v>26.45</v>
      </c>
      <c r="D672" s="110">
        <v>26.3</v>
      </c>
      <c r="E672" s="110">
        <v>26.3</v>
      </c>
      <c r="F672" s="110">
        <v>26.45</v>
      </c>
      <c r="G672">
        <v>15650</v>
      </c>
      <c r="H672" s="110"/>
      <c r="I672" s="110"/>
      <c r="L672" s="134">
        <v>42991</v>
      </c>
      <c r="M672" s="110">
        <v>26.35</v>
      </c>
      <c r="N672" s="110">
        <v>26.8</v>
      </c>
      <c r="O672" s="110">
        <v>26.25</v>
      </c>
      <c r="P672" s="110">
        <v>26.35</v>
      </c>
      <c r="Q672" s="110">
        <v>26.35</v>
      </c>
      <c r="R672">
        <v>104021</v>
      </c>
    </row>
    <row r="673" spans="1:18" x14ac:dyDescent="0.25">
      <c r="A673" s="134">
        <v>42992</v>
      </c>
      <c r="B673" s="110">
        <v>26.65</v>
      </c>
      <c r="C673" s="110">
        <v>26.15</v>
      </c>
      <c r="D673" s="110">
        <v>26</v>
      </c>
      <c r="E673" s="110">
        <v>26.35</v>
      </c>
      <c r="F673" s="110">
        <v>26.15</v>
      </c>
      <c r="G673">
        <v>17165</v>
      </c>
      <c r="H673" s="110"/>
      <c r="I673" s="110"/>
      <c r="L673" s="134">
        <v>42992</v>
      </c>
      <c r="M673" s="110">
        <v>26.05</v>
      </c>
      <c r="N673" s="110">
        <v>26.6</v>
      </c>
      <c r="O673" s="110">
        <v>26</v>
      </c>
      <c r="P673" s="110">
        <v>26.6</v>
      </c>
      <c r="Q673" s="110">
        <v>26.05</v>
      </c>
      <c r="R673">
        <v>118870</v>
      </c>
    </row>
    <row r="674" spans="1:18" x14ac:dyDescent="0.25">
      <c r="A674" s="134">
        <v>42993</v>
      </c>
      <c r="B674" s="110">
        <v>26.45</v>
      </c>
      <c r="C674" s="110">
        <v>25.95</v>
      </c>
      <c r="D674" s="110">
        <v>25.8</v>
      </c>
      <c r="E674" s="110">
        <v>26.25</v>
      </c>
      <c r="F674" s="110">
        <v>25.95</v>
      </c>
      <c r="G674">
        <v>40019</v>
      </c>
      <c r="H674" s="110"/>
      <c r="I674" s="110"/>
      <c r="L674" s="134">
        <v>42993</v>
      </c>
      <c r="M674" s="110">
        <v>25.9</v>
      </c>
      <c r="N674" s="110">
        <v>26.5</v>
      </c>
      <c r="O674" s="110">
        <v>25.7</v>
      </c>
      <c r="P674" s="110">
        <v>26.1</v>
      </c>
      <c r="Q674" s="110">
        <v>25.9</v>
      </c>
      <c r="R674">
        <v>229501</v>
      </c>
    </row>
    <row r="675" spans="1:18" x14ac:dyDescent="0.25">
      <c r="A675" s="134">
        <v>42996</v>
      </c>
      <c r="B675" s="110">
        <v>26.5</v>
      </c>
      <c r="C675" s="110">
        <v>26.1</v>
      </c>
      <c r="D675" s="110">
        <v>26</v>
      </c>
      <c r="E675" s="110">
        <v>26.5</v>
      </c>
      <c r="F675" s="110">
        <v>26.1</v>
      </c>
      <c r="G675">
        <v>21144</v>
      </c>
      <c r="H675" s="110"/>
      <c r="I675" s="110"/>
      <c r="L675" s="134">
        <v>42996</v>
      </c>
      <c r="M675" s="110">
        <v>26.1</v>
      </c>
      <c r="N675" s="110">
        <v>26.3</v>
      </c>
      <c r="O675" s="110">
        <v>25.95</v>
      </c>
      <c r="P675" s="110">
        <v>25.95</v>
      </c>
      <c r="Q675" s="110">
        <v>26.1</v>
      </c>
      <c r="R675">
        <v>94308</v>
      </c>
    </row>
    <row r="676" spans="1:18" x14ac:dyDescent="0.25">
      <c r="A676" s="134">
        <v>42997</v>
      </c>
      <c r="B676" s="110">
        <v>26.35</v>
      </c>
      <c r="C676" s="110">
        <v>26.05</v>
      </c>
      <c r="D676" s="110">
        <v>25.55</v>
      </c>
      <c r="E676" s="110">
        <v>26.1</v>
      </c>
      <c r="F676" s="110">
        <v>26.05</v>
      </c>
      <c r="G676">
        <v>42826</v>
      </c>
      <c r="H676" s="110"/>
      <c r="I676" s="110"/>
      <c r="L676" s="134">
        <v>42997</v>
      </c>
      <c r="M676" s="110">
        <v>26.05</v>
      </c>
      <c r="N676" s="110">
        <v>26.4</v>
      </c>
      <c r="O676" s="110">
        <v>25.55</v>
      </c>
      <c r="P676" s="110">
        <v>25.55</v>
      </c>
      <c r="Q676" s="110">
        <v>26.05</v>
      </c>
      <c r="R676">
        <v>132745</v>
      </c>
    </row>
    <row r="677" spans="1:18" x14ac:dyDescent="0.25">
      <c r="A677" s="134">
        <v>42998</v>
      </c>
      <c r="B677" s="110">
        <v>26.25</v>
      </c>
      <c r="C677" s="110">
        <v>25.95</v>
      </c>
      <c r="D677" s="110">
        <v>25.7</v>
      </c>
      <c r="E677" s="110">
        <v>26.25</v>
      </c>
      <c r="F677" s="110">
        <v>25.95</v>
      </c>
      <c r="G677">
        <v>41631</v>
      </c>
      <c r="H677" s="110"/>
      <c r="I677" s="110"/>
      <c r="L677" s="134">
        <v>42998</v>
      </c>
      <c r="M677" s="110">
        <v>25.95</v>
      </c>
      <c r="N677" s="110">
        <v>26.3</v>
      </c>
      <c r="O677" s="110">
        <v>25.75</v>
      </c>
      <c r="P677" s="110">
        <v>26.3</v>
      </c>
      <c r="Q677" s="110">
        <v>25.95</v>
      </c>
      <c r="R677">
        <v>107889</v>
      </c>
    </row>
    <row r="678" spans="1:18" x14ac:dyDescent="0.25">
      <c r="A678" s="134">
        <v>42999</v>
      </c>
      <c r="B678" s="110">
        <v>26.15</v>
      </c>
      <c r="C678" s="110">
        <v>25.9</v>
      </c>
      <c r="D678" s="110">
        <v>25.7</v>
      </c>
      <c r="E678" s="110">
        <v>25.95</v>
      </c>
      <c r="F678" s="110">
        <v>25.9</v>
      </c>
      <c r="G678">
        <v>17277</v>
      </c>
      <c r="H678" s="110"/>
      <c r="I678" s="110"/>
      <c r="L678" s="134">
        <v>42999</v>
      </c>
      <c r="M678" s="110">
        <v>25.8</v>
      </c>
      <c r="N678" s="110">
        <v>26.2</v>
      </c>
      <c r="O678" s="110">
        <v>25.65</v>
      </c>
      <c r="P678" s="110">
        <v>25.8</v>
      </c>
      <c r="Q678" s="110">
        <v>25.8</v>
      </c>
      <c r="R678">
        <v>74747</v>
      </c>
    </row>
    <row r="679" spans="1:18" x14ac:dyDescent="0.25">
      <c r="A679" s="134">
        <v>43000</v>
      </c>
      <c r="B679" s="110">
        <v>26.85</v>
      </c>
      <c r="C679" s="110">
        <v>25.95</v>
      </c>
      <c r="D679" s="110">
        <v>25.75</v>
      </c>
      <c r="E679" s="110">
        <v>25.75</v>
      </c>
      <c r="F679" s="110">
        <v>25.95</v>
      </c>
      <c r="G679">
        <v>67938</v>
      </c>
      <c r="H679" s="110"/>
      <c r="I679" s="110"/>
      <c r="L679" s="134">
        <v>43000</v>
      </c>
      <c r="M679" s="110">
        <v>25.95</v>
      </c>
      <c r="N679" s="110">
        <v>26.8</v>
      </c>
      <c r="O679" s="110">
        <v>25.7</v>
      </c>
      <c r="P679" s="110">
        <v>25.9</v>
      </c>
      <c r="Q679" s="110">
        <v>25.95</v>
      </c>
      <c r="R679">
        <v>414275</v>
      </c>
    </row>
    <row r="680" spans="1:18" x14ac:dyDescent="0.25">
      <c r="A680" s="134">
        <v>43003</v>
      </c>
      <c r="B680" s="110">
        <v>25.9</v>
      </c>
      <c r="C680" s="110">
        <v>25.5</v>
      </c>
      <c r="D680" s="110">
        <v>25.35</v>
      </c>
      <c r="E680" s="110">
        <v>25.9</v>
      </c>
      <c r="F680" s="110">
        <v>25.5</v>
      </c>
      <c r="G680">
        <v>15181</v>
      </c>
      <c r="H680" s="110"/>
      <c r="I680" s="110"/>
      <c r="L680" s="134">
        <v>43003</v>
      </c>
      <c r="M680" s="110">
        <v>25.5</v>
      </c>
      <c r="N680" s="110">
        <v>26.1</v>
      </c>
      <c r="O680" s="110">
        <v>25.4</v>
      </c>
      <c r="P680" s="110">
        <v>26</v>
      </c>
      <c r="Q680" s="110">
        <v>25.5</v>
      </c>
      <c r="R680">
        <v>102456</v>
      </c>
    </row>
    <row r="681" spans="1:18" x14ac:dyDescent="0.25">
      <c r="A681" s="134">
        <v>43004</v>
      </c>
      <c r="B681" s="110">
        <v>26.7</v>
      </c>
      <c r="C681" s="110">
        <v>25.5</v>
      </c>
      <c r="D681" s="110">
        <v>25.4</v>
      </c>
      <c r="E681" s="110">
        <v>26.7</v>
      </c>
      <c r="F681" s="110">
        <v>25.5</v>
      </c>
      <c r="G681">
        <v>14123</v>
      </c>
      <c r="H681" s="110"/>
      <c r="I681" s="110"/>
      <c r="L681" s="134">
        <v>43004</v>
      </c>
      <c r="M681" s="110">
        <v>25.55</v>
      </c>
      <c r="N681" s="110">
        <v>25.85</v>
      </c>
      <c r="O681" s="110">
        <v>25.3</v>
      </c>
      <c r="P681" s="110">
        <v>25.3</v>
      </c>
      <c r="Q681" s="110">
        <v>25.55</v>
      </c>
      <c r="R681">
        <v>54533</v>
      </c>
    </row>
    <row r="682" spans="1:18" x14ac:dyDescent="0.25">
      <c r="A682" s="134">
        <v>43005</v>
      </c>
      <c r="B682" s="110">
        <v>25.8</v>
      </c>
      <c r="C682" s="110">
        <v>25.15</v>
      </c>
      <c r="D682" s="110">
        <v>25.1</v>
      </c>
      <c r="E682" s="110">
        <v>25.55</v>
      </c>
      <c r="F682" s="110">
        <v>25.15</v>
      </c>
      <c r="G682">
        <v>13578</v>
      </c>
      <c r="H682" s="110"/>
      <c r="I682" s="110"/>
      <c r="L682" s="134">
        <v>43005</v>
      </c>
      <c r="M682" s="110">
        <v>25.2</v>
      </c>
      <c r="N682" s="110">
        <v>25.65</v>
      </c>
      <c r="O682" s="110">
        <v>25.15</v>
      </c>
      <c r="P682" s="110">
        <v>25.3</v>
      </c>
      <c r="Q682" s="110">
        <v>25.2</v>
      </c>
      <c r="R682">
        <v>81991</v>
      </c>
    </row>
    <row r="683" spans="1:18" x14ac:dyDescent="0.25">
      <c r="A683" s="134">
        <v>43006</v>
      </c>
      <c r="B683" s="110">
        <v>25.25</v>
      </c>
      <c r="C683" s="110">
        <v>25.15</v>
      </c>
      <c r="D683" s="110">
        <v>25.05</v>
      </c>
      <c r="E683" s="110">
        <v>25.15</v>
      </c>
      <c r="F683" s="110">
        <v>25.15</v>
      </c>
      <c r="G683">
        <v>13170</v>
      </c>
      <c r="H683" s="110"/>
      <c r="I683" s="110"/>
      <c r="L683" s="134">
        <v>43006</v>
      </c>
      <c r="M683" s="110">
        <v>25.1</v>
      </c>
      <c r="N683" s="110">
        <v>25.3</v>
      </c>
      <c r="O683" s="110">
        <v>25</v>
      </c>
      <c r="P683" s="110">
        <v>25.15</v>
      </c>
      <c r="Q683" s="110">
        <v>25.1</v>
      </c>
      <c r="R683">
        <v>101776</v>
      </c>
    </row>
    <row r="684" spans="1:18" x14ac:dyDescent="0.25">
      <c r="A684" s="134">
        <v>43007</v>
      </c>
      <c r="B684" s="110">
        <v>25.4</v>
      </c>
      <c r="C684" s="110">
        <v>25.1</v>
      </c>
      <c r="D684" s="110">
        <v>25.05</v>
      </c>
      <c r="E684" s="110">
        <v>25.4</v>
      </c>
      <c r="F684" s="110">
        <v>25.1</v>
      </c>
      <c r="G684">
        <v>9226</v>
      </c>
      <c r="H684" s="110"/>
      <c r="I684" s="110"/>
      <c r="L684" s="134">
        <v>43007</v>
      </c>
      <c r="M684" s="110">
        <v>25.1</v>
      </c>
      <c r="N684" s="110">
        <v>25.35</v>
      </c>
      <c r="O684" s="110">
        <v>25.05</v>
      </c>
      <c r="P684" s="110">
        <v>25.35</v>
      </c>
      <c r="Q684" s="110">
        <v>25.1</v>
      </c>
      <c r="R684">
        <v>50199</v>
      </c>
    </row>
    <row r="685" spans="1:18" x14ac:dyDescent="0.25">
      <c r="A685" s="134">
        <v>43011</v>
      </c>
      <c r="B685" s="110">
        <v>25.25</v>
      </c>
      <c r="C685" s="110">
        <v>25.15</v>
      </c>
      <c r="D685" s="110">
        <v>25</v>
      </c>
      <c r="E685" s="110">
        <v>25.15</v>
      </c>
      <c r="F685" s="110">
        <v>25.15</v>
      </c>
      <c r="G685">
        <v>11782</v>
      </c>
      <c r="H685" s="110"/>
      <c r="I685" s="110"/>
      <c r="L685" s="134">
        <v>43011</v>
      </c>
      <c r="M685" s="110">
        <v>25.1</v>
      </c>
      <c r="N685" s="110">
        <v>25.6</v>
      </c>
      <c r="O685" s="110">
        <v>25</v>
      </c>
      <c r="P685" s="110">
        <v>25.05</v>
      </c>
      <c r="Q685" s="110">
        <v>25.1</v>
      </c>
      <c r="R685">
        <v>67323</v>
      </c>
    </row>
    <row r="686" spans="1:18" x14ac:dyDescent="0.25">
      <c r="A686" s="134">
        <v>43012</v>
      </c>
      <c r="B686" s="110">
        <v>25.4</v>
      </c>
      <c r="C686" s="110">
        <v>25.15</v>
      </c>
      <c r="D686" s="110">
        <v>25.05</v>
      </c>
      <c r="E686" s="110">
        <v>25.05</v>
      </c>
      <c r="F686" s="110">
        <v>25.15</v>
      </c>
      <c r="G686">
        <v>19332</v>
      </c>
      <c r="H686" s="110"/>
      <c r="I686" s="110"/>
      <c r="L686" s="134">
        <v>43012</v>
      </c>
      <c r="M686" s="110">
        <v>25.2</v>
      </c>
      <c r="N686" s="110">
        <v>25.4</v>
      </c>
      <c r="O686" s="110">
        <v>25.1</v>
      </c>
      <c r="P686" s="110">
        <v>25.1</v>
      </c>
      <c r="Q686" s="110">
        <v>25.2</v>
      </c>
      <c r="R686">
        <v>43516</v>
      </c>
    </row>
    <row r="687" spans="1:18" x14ac:dyDescent="0.25">
      <c r="A687" s="134">
        <v>43013</v>
      </c>
      <c r="B687" s="110">
        <v>25.5</v>
      </c>
      <c r="C687" s="110">
        <v>25.2</v>
      </c>
      <c r="D687" s="110">
        <v>25.15</v>
      </c>
      <c r="E687" s="110">
        <v>25.4</v>
      </c>
      <c r="F687" s="110">
        <v>25.2</v>
      </c>
      <c r="G687">
        <v>17321</v>
      </c>
      <c r="H687" s="110"/>
      <c r="I687" s="110"/>
      <c r="L687" s="134">
        <v>43013</v>
      </c>
      <c r="M687" s="110">
        <v>25.15</v>
      </c>
      <c r="N687" s="110">
        <v>25.35</v>
      </c>
      <c r="O687" s="110">
        <v>25.05</v>
      </c>
      <c r="P687" s="110">
        <v>25.3</v>
      </c>
      <c r="Q687" s="110">
        <v>25.15</v>
      </c>
      <c r="R687">
        <v>42615</v>
      </c>
    </row>
    <row r="688" spans="1:18" x14ac:dyDescent="0.25">
      <c r="A688" s="134">
        <v>43014</v>
      </c>
      <c r="B688" s="110">
        <v>25.45</v>
      </c>
      <c r="C688" s="110">
        <v>25.2</v>
      </c>
      <c r="D688" s="110">
        <v>25.1</v>
      </c>
      <c r="E688" s="110">
        <v>25.1</v>
      </c>
      <c r="F688" s="110">
        <v>25.2</v>
      </c>
      <c r="G688">
        <v>7182</v>
      </c>
      <c r="H688" s="110"/>
      <c r="I688" s="110"/>
      <c r="L688" s="134">
        <v>43014</v>
      </c>
      <c r="M688" s="110">
        <v>25.3</v>
      </c>
      <c r="N688" s="110">
        <v>25.6</v>
      </c>
      <c r="O688" s="110">
        <v>25.05</v>
      </c>
      <c r="P688" s="110">
        <v>25.05</v>
      </c>
      <c r="Q688" s="110">
        <v>25.3</v>
      </c>
      <c r="R688">
        <v>67090</v>
      </c>
    </row>
    <row r="689" spans="1:18" x14ac:dyDescent="0.25">
      <c r="A689" s="134">
        <v>43017</v>
      </c>
      <c r="B689" s="110">
        <v>25.4</v>
      </c>
      <c r="C689" s="110">
        <v>25.2</v>
      </c>
      <c r="D689" s="110">
        <v>25.05</v>
      </c>
      <c r="E689" s="110">
        <v>25.3</v>
      </c>
      <c r="F689" s="110">
        <v>25.2</v>
      </c>
      <c r="G689">
        <v>5248</v>
      </c>
      <c r="H689" s="110"/>
      <c r="I689" s="110"/>
      <c r="L689" s="134">
        <v>43017</v>
      </c>
      <c r="M689" s="110">
        <v>25.15</v>
      </c>
      <c r="N689" s="110">
        <v>25.5</v>
      </c>
      <c r="O689" s="110">
        <v>25.1</v>
      </c>
      <c r="P689" s="110">
        <v>25.5</v>
      </c>
      <c r="Q689" s="110">
        <v>25.15</v>
      </c>
      <c r="R689">
        <v>30315</v>
      </c>
    </row>
    <row r="690" spans="1:18" x14ac:dyDescent="0.25">
      <c r="A690" s="134">
        <v>43018</v>
      </c>
      <c r="B690" s="110">
        <v>25.3</v>
      </c>
      <c r="C690" s="110">
        <v>25.15</v>
      </c>
      <c r="D690" s="110">
        <v>25</v>
      </c>
      <c r="E690" s="110">
        <v>25.2</v>
      </c>
      <c r="F690" s="110">
        <v>25.15</v>
      </c>
      <c r="G690">
        <v>15929</v>
      </c>
      <c r="H690" s="110"/>
      <c r="I690" s="110"/>
      <c r="L690" s="134">
        <v>43018</v>
      </c>
      <c r="M690" s="110">
        <v>25.1</v>
      </c>
      <c r="N690" s="110">
        <v>25.3</v>
      </c>
      <c r="O690" s="110">
        <v>25.05</v>
      </c>
      <c r="P690" s="110">
        <v>25.05</v>
      </c>
      <c r="Q690" s="110">
        <v>25.1</v>
      </c>
      <c r="R690">
        <v>60416</v>
      </c>
    </row>
    <row r="691" spans="1:18" x14ac:dyDescent="0.25">
      <c r="A691" s="134">
        <v>43019</v>
      </c>
      <c r="B691" s="110">
        <v>25.35</v>
      </c>
      <c r="C691" s="110">
        <v>25</v>
      </c>
      <c r="D691" s="110">
        <v>25</v>
      </c>
      <c r="E691" s="110">
        <v>25.15</v>
      </c>
      <c r="F691" s="110">
        <v>25</v>
      </c>
      <c r="G691">
        <v>14298</v>
      </c>
      <c r="H691" s="110"/>
      <c r="I691" s="110"/>
      <c r="L691" s="134">
        <v>43019</v>
      </c>
      <c r="M691" s="110">
        <v>25.05</v>
      </c>
      <c r="N691" s="110">
        <v>25.4</v>
      </c>
      <c r="O691" s="110">
        <v>25</v>
      </c>
      <c r="P691" s="110">
        <v>25.05</v>
      </c>
      <c r="Q691" s="110">
        <v>25.05</v>
      </c>
      <c r="R691">
        <v>103274</v>
      </c>
    </row>
    <row r="692" spans="1:18" x14ac:dyDescent="0.25">
      <c r="A692" s="134">
        <v>43020</v>
      </c>
      <c r="B692" s="110">
        <v>25.2</v>
      </c>
      <c r="C692" s="110">
        <v>25.05</v>
      </c>
      <c r="D692" s="110">
        <v>24.85</v>
      </c>
      <c r="E692" s="110">
        <v>25.1</v>
      </c>
      <c r="F692" s="110">
        <v>25.05</v>
      </c>
      <c r="G692">
        <v>17278</v>
      </c>
      <c r="H692" s="110"/>
      <c r="I692" s="110"/>
      <c r="L692" s="134">
        <v>43020</v>
      </c>
      <c r="M692" s="110">
        <v>25.15</v>
      </c>
      <c r="N692" s="110">
        <v>25.2</v>
      </c>
      <c r="O692" s="110">
        <v>24.95</v>
      </c>
      <c r="P692" s="110">
        <v>25.2</v>
      </c>
      <c r="Q692" s="110">
        <v>25.15</v>
      </c>
      <c r="R692">
        <v>46145</v>
      </c>
    </row>
    <row r="693" spans="1:18" x14ac:dyDescent="0.25">
      <c r="A693" s="134">
        <v>43021</v>
      </c>
      <c r="B693" s="110">
        <v>25.3</v>
      </c>
      <c r="C693" s="110">
        <v>25.05</v>
      </c>
      <c r="D693" s="110">
        <v>25.05</v>
      </c>
      <c r="E693" s="110">
        <v>25.05</v>
      </c>
      <c r="F693" s="110">
        <v>25.05</v>
      </c>
      <c r="G693">
        <v>11232</v>
      </c>
      <c r="H693" s="110"/>
      <c r="I693" s="110"/>
      <c r="L693" s="134">
        <v>43021</v>
      </c>
      <c r="M693" s="110">
        <v>25</v>
      </c>
      <c r="N693" s="110">
        <v>25.3</v>
      </c>
      <c r="O693" s="110">
        <v>24.7</v>
      </c>
      <c r="P693" s="110">
        <v>24.7</v>
      </c>
      <c r="Q693" s="110">
        <v>25</v>
      </c>
      <c r="R693">
        <v>76928</v>
      </c>
    </row>
    <row r="694" spans="1:18" x14ac:dyDescent="0.25">
      <c r="A694" s="134">
        <v>43024</v>
      </c>
      <c r="B694" s="110">
        <v>25.2</v>
      </c>
      <c r="C694" s="110">
        <v>24.95</v>
      </c>
      <c r="D694" s="110">
        <v>24.8</v>
      </c>
      <c r="E694" s="110">
        <v>25.2</v>
      </c>
      <c r="F694" s="110">
        <v>24.95</v>
      </c>
      <c r="G694">
        <v>9235</v>
      </c>
      <c r="H694" s="110"/>
      <c r="I694" s="110"/>
      <c r="L694" s="134">
        <v>43024</v>
      </c>
      <c r="M694" s="110">
        <v>25</v>
      </c>
      <c r="N694" s="110">
        <v>25.2</v>
      </c>
      <c r="O694" s="110">
        <v>24.9</v>
      </c>
      <c r="P694" s="110">
        <v>25</v>
      </c>
      <c r="Q694" s="110">
        <v>25</v>
      </c>
      <c r="R694">
        <v>41281</v>
      </c>
    </row>
    <row r="695" spans="1:18" x14ac:dyDescent="0.25">
      <c r="A695" s="134">
        <v>43025</v>
      </c>
      <c r="B695" s="110">
        <v>25</v>
      </c>
      <c r="C695" s="110">
        <v>24.9</v>
      </c>
      <c r="D695" s="110">
        <v>24.8</v>
      </c>
      <c r="E695" s="110">
        <v>25</v>
      </c>
      <c r="F695" s="110">
        <v>24.9</v>
      </c>
      <c r="G695">
        <v>7789</v>
      </c>
      <c r="H695" s="110"/>
      <c r="I695" s="110"/>
      <c r="L695" s="134">
        <v>43025</v>
      </c>
      <c r="M695" s="110">
        <v>24.85</v>
      </c>
      <c r="N695" s="110">
        <v>25.15</v>
      </c>
      <c r="O695" s="110">
        <v>24.8</v>
      </c>
      <c r="P695" s="110">
        <v>25.05</v>
      </c>
      <c r="Q695" s="110">
        <v>24.85</v>
      </c>
      <c r="R695">
        <v>54405</v>
      </c>
    </row>
    <row r="696" spans="1:18" x14ac:dyDescent="0.25">
      <c r="A696" s="134">
        <v>43026</v>
      </c>
      <c r="B696" s="110">
        <v>24.85</v>
      </c>
      <c r="C696" s="110">
        <v>24.6</v>
      </c>
      <c r="D696" s="110">
        <v>24.55</v>
      </c>
      <c r="E696" s="110">
        <v>24.8</v>
      </c>
      <c r="F696" s="110">
        <v>24.6</v>
      </c>
      <c r="G696">
        <v>12529</v>
      </c>
      <c r="H696" s="110"/>
      <c r="I696" s="110"/>
      <c r="L696" s="134">
        <v>43026</v>
      </c>
      <c r="M696" s="110">
        <v>24.65</v>
      </c>
      <c r="N696" s="110">
        <v>24.95</v>
      </c>
      <c r="O696" s="110">
        <v>24.6</v>
      </c>
      <c r="P696" s="110">
        <v>24.75</v>
      </c>
      <c r="Q696" s="110">
        <v>24.65</v>
      </c>
      <c r="R696">
        <v>79363</v>
      </c>
    </row>
    <row r="697" spans="1:18" x14ac:dyDescent="0.25">
      <c r="A697" s="134">
        <v>43027</v>
      </c>
      <c r="B697" s="110">
        <v>25.85</v>
      </c>
      <c r="C697" s="110">
        <v>25</v>
      </c>
      <c r="D697" s="110">
        <v>24.8</v>
      </c>
      <c r="E697" s="110">
        <v>25.85</v>
      </c>
      <c r="F697" s="110">
        <v>25</v>
      </c>
      <c r="G697">
        <v>8162</v>
      </c>
      <c r="H697" s="110"/>
      <c r="I697" s="110"/>
      <c r="L697" s="134">
        <v>43027</v>
      </c>
      <c r="M697" s="110">
        <v>24.95</v>
      </c>
      <c r="N697" s="110">
        <v>25.1</v>
      </c>
      <c r="O697" s="110">
        <v>24.75</v>
      </c>
      <c r="P697" s="110">
        <v>25.1</v>
      </c>
      <c r="Q697" s="110">
        <v>24.95</v>
      </c>
      <c r="R697">
        <v>27834</v>
      </c>
    </row>
    <row r="698" spans="1:18" x14ac:dyDescent="0.25">
      <c r="A698" s="134">
        <v>43031</v>
      </c>
      <c r="B698" s="110">
        <v>25</v>
      </c>
      <c r="C698" s="110">
        <v>24.75</v>
      </c>
      <c r="D698" s="110">
        <v>24.5</v>
      </c>
      <c r="E698" s="110">
        <v>25</v>
      </c>
      <c r="F698" s="110">
        <v>24.75</v>
      </c>
      <c r="G698">
        <v>17533</v>
      </c>
      <c r="H698" s="110"/>
      <c r="I698" s="110"/>
      <c r="L698" s="134">
        <v>43031</v>
      </c>
      <c r="M698" s="110">
        <v>24.65</v>
      </c>
      <c r="N698" s="110">
        <v>25</v>
      </c>
      <c r="O698" s="110">
        <v>24.5</v>
      </c>
      <c r="P698" s="110">
        <v>24.7</v>
      </c>
      <c r="Q698" s="110">
        <v>24.65</v>
      </c>
      <c r="R698">
        <v>55557</v>
      </c>
    </row>
    <row r="699" spans="1:18" x14ac:dyDescent="0.25">
      <c r="A699" s="134">
        <v>43032</v>
      </c>
      <c r="B699" s="110">
        <v>25.4</v>
      </c>
      <c r="C699" s="110">
        <v>25.3</v>
      </c>
      <c r="D699" s="110">
        <v>24.95</v>
      </c>
      <c r="E699" s="110">
        <v>25</v>
      </c>
      <c r="F699" s="110">
        <v>25.3</v>
      </c>
      <c r="G699">
        <v>30623</v>
      </c>
      <c r="H699" s="110"/>
      <c r="I699" s="110"/>
      <c r="L699" s="134">
        <v>43032</v>
      </c>
      <c r="M699" s="110">
        <v>25.2</v>
      </c>
      <c r="N699" s="110">
        <v>25.35</v>
      </c>
      <c r="O699" s="110">
        <v>24.95</v>
      </c>
      <c r="P699" s="110">
        <v>25.1</v>
      </c>
      <c r="Q699" s="110">
        <v>25.2</v>
      </c>
      <c r="R699">
        <v>176462</v>
      </c>
    </row>
    <row r="700" spans="1:18" x14ac:dyDescent="0.25">
      <c r="A700" s="134">
        <v>43033</v>
      </c>
      <c r="B700" s="110">
        <v>30.25</v>
      </c>
      <c r="C700" s="110">
        <v>29.75</v>
      </c>
      <c r="D700" s="110">
        <v>27.45</v>
      </c>
      <c r="E700" s="110">
        <v>27.95</v>
      </c>
      <c r="F700" s="110">
        <v>29.75</v>
      </c>
      <c r="G700">
        <v>694933</v>
      </c>
      <c r="H700" s="110"/>
      <c r="I700" s="110"/>
      <c r="L700" s="134">
        <v>43033</v>
      </c>
      <c r="M700" s="110">
        <v>29.7</v>
      </c>
      <c r="N700" s="110">
        <v>30.2</v>
      </c>
      <c r="O700" s="110">
        <v>27.2</v>
      </c>
      <c r="P700" s="110">
        <v>28.95</v>
      </c>
      <c r="Q700" s="110">
        <v>29.7</v>
      </c>
      <c r="R700">
        <v>3668577</v>
      </c>
    </row>
    <row r="701" spans="1:18" x14ac:dyDescent="0.25">
      <c r="A701" s="134">
        <v>43034</v>
      </c>
      <c r="B701" s="110">
        <v>29.9</v>
      </c>
      <c r="C701" s="110">
        <v>27.85</v>
      </c>
      <c r="D701" s="110">
        <v>27.7</v>
      </c>
      <c r="E701" s="110">
        <v>29.7</v>
      </c>
      <c r="F701" s="110">
        <v>27.85</v>
      </c>
      <c r="G701">
        <v>190954</v>
      </c>
      <c r="H701" s="110"/>
      <c r="I701" s="110"/>
      <c r="L701" s="134">
        <v>43034</v>
      </c>
      <c r="M701" s="110">
        <v>27.9</v>
      </c>
      <c r="N701" s="110">
        <v>30</v>
      </c>
      <c r="O701" s="110">
        <v>27.35</v>
      </c>
      <c r="P701" s="110">
        <v>29.5</v>
      </c>
      <c r="Q701" s="110">
        <v>27.9</v>
      </c>
      <c r="R701">
        <v>1212109</v>
      </c>
    </row>
    <row r="702" spans="1:18" x14ac:dyDescent="0.25">
      <c r="A702" s="134">
        <v>43035</v>
      </c>
      <c r="B702" s="110">
        <v>28.5</v>
      </c>
      <c r="C702" s="110">
        <v>27.25</v>
      </c>
      <c r="D702" s="110">
        <v>27.05</v>
      </c>
      <c r="E702" s="110">
        <v>28.5</v>
      </c>
      <c r="F702" s="110">
        <v>27.25</v>
      </c>
      <c r="G702">
        <v>45596</v>
      </c>
      <c r="H702" s="110"/>
      <c r="I702" s="110"/>
      <c r="L702" s="134">
        <v>43035</v>
      </c>
      <c r="M702" s="110">
        <v>27.15</v>
      </c>
      <c r="N702" s="110">
        <v>28.5</v>
      </c>
      <c r="O702" s="110">
        <v>27.1</v>
      </c>
      <c r="P702" s="110">
        <v>28.5</v>
      </c>
      <c r="Q702" s="110">
        <v>27.15</v>
      </c>
      <c r="R702">
        <v>318364</v>
      </c>
    </row>
    <row r="703" spans="1:18" x14ac:dyDescent="0.25">
      <c r="A703" s="134">
        <v>43038</v>
      </c>
      <c r="B703" s="110">
        <v>28.45</v>
      </c>
      <c r="C703" s="110">
        <v>27.75</v>
      </c>
      <c r="D703" s="110">
        <v>26.8</v>
      </c>
      <c r="E703" s="110">
        <v>27.1</v>
      </c>
      <c r="F703" s="110">
        <v>27.75</v>
      </c>
      <c r="G703">
        <v>52157</v>
      </c>
      <c r="H703" s="110"/>
      <c r="I703" s="110"/>
      <c r="L703" s="134">
        <v>43038</v>
      </c>
      <c r="M703" s="110">
        <v>27.75</v>
      </c>
      <c r="N703" s="110">
        <v>28.5</v>
      </c>
      <c r="O703" s="110">
        <v>26.75</v>
      </c>
      <c r="P703" s="110">
        <v>27</v>
      </c>
      <c r="Q703" s="110">
        <v>27.75</v>
      </c>
      <c r="R703">
        <v>322855</v>
      </c>
    </row>
    <row r="704" spans="1:18" x14ac:dyDescent="0.25">
      <c r="A704" s="134">
        <v>43039</v>
      </c>
      <c r="B704" s="110">
        <v>28.25</v>
      </c>
      <c r="C704" s="110">
        <v>27.6</v>
      </c>
      <c r="D704" s="110">
        <v>27.4</v>
      </c>
      <c r="E704" s="110">
        <v>27.55</v>
      </c>
      <c r="F704" s="110">
        <v>27.6</v>
      </c>
      <c r="G704">
        <v>39424</v>
      </c>
      <c r="H704" s="110"/>
      <c r="I704" s="110"/>
      <c r="L704" s="134">
        <v>43039</v>
      </c>
      <c r="M704" s="110">
        <v>27.8</v>
      </c>
      <c r="N704" s="110">
        <v>28.25</v>
      </c>
      <c r="O704" s="110">
        <v>27.4</v>
      </c>
      <c r="P704" s="110">
        <v>28</v>
      </c>
      <c r="Q704" s="110">
        <v>27.8</v>
      </c>
      <c r="R704">
        <v>203094</v>
      </c>
    </row>
    <row r="705" spans="1:18" x14ac:dyDescent="0.25">
      <c r="A705" s="134">
        <v>43040</v>
      </c>
      <c r="B705" s="110">
        <v>29</v>
      </c>
      <c r="C705" s="110">
        <v>28.15</v>
      </c>
      <c r="D705" s="110">
        <v>27.75</v>
      </c>
      <c r="E705" s="110">
        <v>27.75</v>
      </c>
      <c r="F705" s="110">
        <v>28.15</v>
      </c>
      <c r="G705">
        <v>69702</v>
      </c>
      <c r="H705" s="110"/>
      <c r="I705" s="110"/>
      <c r="L705" s="134">
        <v>43040</v>
      </c>
      <c r="M705" s="110">
        <v>28.2</v>
      </c>
      <c r="N705" s="110">
        <v>29</v>
      </c>
      <c r="O705" s="110">
        <v>27.75</v>
      </c>
      <c r="P705" s="110">
        <v>27.85</v>
      </c>
      <c r="Q705" s="110">
        <v>28.2</v>
      </c>
      <c r="R705">
        <v>340554</v>
      </c>
    </row>
    <row r="706" spans="1:18" x14ac:dyDescent="0.25">
      <c r="A706" s="134">
        <v>43041</v>
      </c>
      <c r="B706" s="110">
        <v>28.55</v>
      </c>
      <c r="C706" s="110">
        <v>28.15</v>
      </c>
      <c r="D706" s="110">
        <v>27.85</v>
      </c>
      <c r="E706" s="110">
        <v>28.55</v>
      </c>
      <c r="F706" s="110">
        <v>28.15</v>
      </c>
      <c r="G706">
        <v>53177</v>
      </c>
      <c r="H706" s="110"/>
      <c r="I706" s="110"/>
      <c r="L706" s="134">
        <v>43041</v>
      </c>
      <c r="M706" s="110">
        <v>28.3</v>
      </c>
      <c r="N706" s="110">
        <v>28.75</v>
      </c>
      <c r="O706" s="110">
        <v>27.9</v>
      </c>
      <c r="P706" s="110">
        <v>28.3</v>
      </c>
      <c r="Q706" s="110">
        <v>28.3</v>
      </c>
      <c r="R706">
        <v>315841</v>
      </c>
    </row>
    <row r="707" spans="1:18" x14ac:dyDescent="0.25">
      <c r="A707" s="134">
        <v>43042</v>
      </c>
      <c r="B707" s="110">
        <v>28.6</v>
      </c>
      <c r="C707" s="110">
        <v>28.3</v>
      </c>
      <c r="D707" s="110">
        <v>28.05</v>
      </c>
      <c r="E707" s="110">
        <v>28.2</v>
      </c>
      <c r="F707" s="110">
        <v>28.3</v>
      </c>
      <c r="G707">
        <v>51535</v>
      </c>
      <c r="H707" s="110"/>
      <c r="I707" s="110"/>
      <c r="L707" s="134">
        <v>43042</v>
      </c>
      <c r="M707" s="110">
        <v>28</v>
      </c>
      <c r="N707" s="110">
        <v>28.75</v>
      </c>
      <c r="O707" s="110">
        <v>27.9</v>
      </c>
      <c r="P707" s="110">
        <v>28.75</v>
      </c>
      <c r="Q707" s="110">
        <v>28</v>
      </c>
      <c r="R707">
        <v>174902</v>
      </c>
    </row>
    <row r="708" spans="1:18" x14ac:dyDescent="0.25">
      <c r="A708" s="134">
        <v>43045</v>
      </c>
      <c r="B708" s="110">
        <v>28</v>
      </c>
      <c r="C708" s="110">
        <v>27.65</v>
      </c>
      <c r="D708" s="110">
        <v>27.45</v>
      </c>
      <c r="E708" s="110">
        <v>28</v>
      </c>
      <c r="F708" s="110">
        <v>27.65</v>
      </c>
      <c r="G708">
        <v>66466</v>
      </c>
      <c r="H708" s="110"/>
      <c r="I708" s="110"/>
      <c r="L708" s="134">
        <v>43045</v>
      </c>
      <c r="M708" s="110">
        <v>27.7</v>
      </c>
      <c r="N708" s="110">
        <v>28.3</v>
      </c>
      <c r="O708" s="110">
        <v>27.5</v>
      </c>
      <c r="P708" s="110">
        <v>28</v>
      </c>
      <c r="Q708" s="110">
        <v>27.7</v>
      </c>
      <c r="R708">
        <v>164296</v>
      </c>
    </row>
    <row r="709" spans="1:18" x14ac:dyDescent="0.25">
      <c r="A709" s="134">
        <v>43046</v>
      </c>
      <c r="B709" s="110">
        <v>28.5</v>
      </c>
      <c r="C709" s="110">
        <v>27.9</v>
      </c>
      <c r="D709" s="110">
        <v>27.15</v>
      </c>
      <c r="E709" s="110">
        <v>27.15</v>
      </c>
      <c r="F709" s="110">
        <v>27.9</v>
      </c>
      <c r="G709">
        <v>101868</v>
      </c>
      <c r="H709" s="110"/>
      <c r="I709" s="110"/>
      <c r="L709" s="134">
        <v>43046</v>
      </c>
      <c r="M709" s="110">
        <v>27.85</v>
      </c>
      <c r="N709" s="110">
        <v>28.7</v>
      </c>
      <c r="O709" s="110">
        <v>27.3</v>
      </c>
      <c r="P709" s="110">
        <v>27.8</v>
      </c>
      <c r="Q709" s="110">
        <v>27.85</v>
      </c>
      <c r="R709">
        <v>514628</v>
      </c>
    </row>
    <row r="710" spans="1:18" x14ac:dyDescent="0.25">
      <c r="A710" s="134">
        <v>43047</v>
      </c>
      <c r="B710" s="110">
        <v>28.3</v>
      </c>
      <c r="C710" s="110">
        <v>27.5</v>
      </c>
      <c r="D710" s="110">
        <v>27.35</v>
      </c>
      <c r="E710" s="110">
        <v>27.9</v>
      </c>
      <c r="F710" s="110">
        <v>27.5</v>
      </c>
      <c r="G710">
        <v>39959</v>
      </c>
      <c r="H710" s="110"/>
      <c r="I710" s="110"/>
      <c r="L710" s="134">
        <v>43047</v>
      </c>
      <c r="M710" s="110">
        <v>27.45</v>
      </c>
      <c r="N710" s="110">
        <v>28.2</v>
      </c>
      <c r="O710" s="110">
        <v>27.35</v>
      </c>
      <c r="P710" s="110">
        <v>27.6</v>
      </c>
      <c r="Q710" s="110">
        <v>27.45</v>
      </c>
      <c r="R710">
        <v>127673</v>
      </c>
    </row>
    <row r="711" spans="1:18" x14ac:dyDescent="0.25">
      <c r="A711" s="134">
        <v>43048</v>
      </c>
      <c r="B711" s="110">
        <v>28.15</v>
      </c>
      <c r="C711" s="110">
        <v>27.7</v>
      </c>
      <c r="D711" s="110">
        <v>27.35</v>
      </c>
      <c r="E711" s="110">
        <v>27.5</v>
      </c>
      <c r="F711" s="110">
        <v>27.7</v>
      </c>
      <c r="G711">
        <v>24786</v>
      </c>
      <c r="H711" s="110"/>
      <c r="I711" s="110"/>
      <c r="L711" s="134">
        <v>43048</v>
      </c>
      <c r="M711" s="110">
        <v>27.8</v>
      </c>
      <c r="N711" s="110">
        <v>28.3</v>
      </c>
      <c r="O711" s="110">
        <v>27.25</v>
      </c>
      <c r="P711" s="110">
        <v>27.25</v>
      </c>
      <c r="Q711" s="110">
        <v>27.8</v>
      </c>
      <c r="R711">
        <v>112027</v>
      </c>
    </row>
    <row r="712" spans="1:18" x14ac:dyDescent="0.25">
      <c r="A712" s="134">
        <v>43049</v>
      </c>
      <c r="B712" s="110">
        <v>29.9</v>
      </c>
      <c r="C712" s="110">
        <v>28.2</v>
      </c>
      <c r="D712" s="110">
        <v>27.4</v>
      </c>
      <c r="E712" s="110">
        <v>27.6</v>
      </c>
      <c r="F712" s="110">
        <v>28.2</v>
      </c>
      <c r="G712">
        <v>316520</v>
      </c>
      <c r="H712" s="110"/>
      <c r="I712" s="110"/>
      <c r="L712" s="134">
        <v>43049</v>
      </c>
      <c r="M712" s="110">
        <v>28</v>
      </c>
      <c r="N712" s="110">
        <v>29.4</v>
      </c>
      <c r="O712" s="110">
        <v>27.3</v>
      </c>
      <c r="P712" s="110">
        <v>27.65</v>
      </c>
      <c r="Q712" s="110">
        <v>28</v>
      </c>
      <c r="R712">
        <v>1751759</v>
      </c>
    </row>
    <row r="713" spans="1:18" x14ac:dyDescent="0.25">
      <c r="A713" s="134">
        <v>43052</v>
      </c>
      <c r="B713" s="110">
        <v>28.25</v>
      </c>
      <c r="C713" s="110">
        <v>27.2</v>
      </c>
      <c r="D713" s="110">
        <v>27.1</v>
      </c>
      <c r="E713" s="110">
        <v>28.25</v>
      </c>
      <c r="F713" s="110">
        <v>27.2</v>
      </c>
      <c r="G713">
        <v>32833</v>
      </c>
      <c r="H713" s="110"/>
      <c r="I713" s="110"/>
      <c r="L713" s="134">
        <v>43052</v>
      </c>
      <c r="M713" s="110">
        <v>27.15</v>
      </c>
      <c r="N713" s="110">
        <v>28.15</v>
      </c>
      <c r="O713" s="110">
        <v>27.1</v>
      </c>
      <c r="P713" s="110">
        <v>28</v>
      </c>
      <c r="Q713" s="110">
        <v>27.15</v>
      </c>
      <c r="R713">
        <v>240038</v>
      </c>
    </row>
    <row r="714" spans="1:18" x14ac:dyDescent="0.25">
      <c r="A714" s="134">
        <v>43053</v>
      </c>
      <c r="B714" s="110">
        <v>27.35</v>
      </c>
      <c r="C714" s="110">
        <v>27</v>
      </c>
      <c r="D714" s="110">
        <v>26.8</v>
      </c>
      <c r="E714" s="110">
        <v>27</v>
      </c>
      <c r="F714" s="110">
        <v>27</v>
      </c>
      <c r="G714">
        <v>13534</v>
      </c>
      <c r="H714" s="110"/>
      <c r="I714" s="110"/>
      <c r="L714" s="134">
        <v>43053</v>
      </c>
      <c r="M714" s="110">
        <v>27.05</v>
      </c>
      <c r="N714" s="110">
        <v>27.35</v>
      </c>
      <c r="O714" s="110">
        <v>26.8</v>
      </c>
      <c r="P714" s="110">
        <v>27.05</v>
      </c>
      <c r="Q714" s="110">
        <v>27.05</v>
      </c>
      <c r="R714">
        <v>84218</v>
      </c>
    </row>
    <row r="715" spans="1:18" x14ac:dyDescent="0.25">
      <c r="A715" s="134">
        <v>43054</v>
      </c>
      <c r="B715" s="110">
        <v>27.35</v>
      </c>
      <c r="C715" s="110">
        <v>26.5</v>
      </c>
      <c r="D715" s="110">
        <v>26.45</v>
      </c>
      <c r="E715" s="110">
        <v>27.35</v>
      </c>
      <c r="F715" s="110">
        <v>26.5</v>
      </c>
      <c r="G715">
        <v>24525</v>
      </c>
      <c r="H715" s="110"/>
      <c r="I715" s="110"/>
      <c r="L715" s="134">
        <v>43054</v>
      </c>
      <c r="M715" s="110">
        <v>26.6</v>
      </c>
      <c r="N715" s="110">
        <v>27.3</v>
      </c>
      <c r="O715" s="110">
        <v>26.5</v>
      </c>
      <c r="P715" s="110">
        <v>27</v>
      </c>
      <c r="Q715" s="110">
        <v>26.6</v>
      </c>
      <c r="R715">
        <v>93943</v>
      </c>
    </row>
    <row r="716" spans="1:18" x14ac:dyDescent="0.25">
      <c r="A716" s="134">
        <v>43055</v>
      </c>
      <c r="B716" s="110">
        <v>26.95</v>
      </c>
      <c r="C716" s="110">
        <v>26.65</v>
      </c>
      <c r="D716" s="110">
        <v>26.4</v>
      </c>
      <c r="E716" s="110">
        <v>26.5</v>
      </c>
      <c r="F716" s="110">
        <v>26.65</v>
      </c>
      <c r="G716">
        <v>25989</v>
      </c>
      <c r="H716" s="110"/>
      <c r="I716" s="110"/>
      <c r="L716" s="134">
        <v>43055</v>
      </c>
      <c r="M716" s="110">
        <v>26.75</v>
      </c>
      <c r="N716" s="110">
        <v>26.95</v>
      </c>
      <c r="O716" s="110">
        <v>26.05</v>
      </c>
      <c r="P716" s="110">
        <v>26.05</v>
      </c>
      <c r="Q716" s="110">
        <v>26.75</v>
      </c>
      <c r="R716">
        <v>98352</v>
      </c>
    </row>
    <row r="717" spans="1:18" x14ac:dyDescent="0.25">
      <c r="A717" s="134">
        <v>43056</v>
      </c>
      <c r="B717" s="110">
        <v>28.2</v>
      </c>
      <c r="C717" s="110">
        <v>27.25</v>
      </c>
      <c r="D717" s="110">
        <v>27.1</v>
      </c>
      <c r="E717" s="110">
        <v>27.45</v>
      </c>
      <c r="F717" s="110">
        <v>27.25</v>
      </c>
      <c r="G717">
        <v>58054</v>
      </c>
      <c r="H717" s="110"/>
      <c r="I717" s="110"/>
      <c r="L717" s="134">
        <v>43056</v>
      </c>
      <c r="M717" s="110">
        <v>27.1</v>
      </c>
      <c r="N717" s="110">
        <v>28.2</v>
      </c>
      <c r="O717" s="110">
        <v>26.9</v>
      </c>
      <c r="P717" s="110">
        <v>27.5</v>
      </c>
      <c r="Q717" s="110">
        <v>27.1</v>
      </c>
      <c r="R717">
        <v>351959</v>
      </c>
    </row>
    <row r="718" spans="1:18" x14ac:dyDescent="0.25">
      <c r="A718" s="134">
        <v>43059</v>
      </c>
      <c r="B718" s="110">
        <v>27.25</v>
      </c>
      <c r="C718" s="110">
        <v>27</v>
      </c>
      <c r="D718" s="110">
        <v>26.9</v>
      </c>
      <c r="E718" s="110">
        <v>27.15</v>
      </c>
      <c r="F718" s="110">
        <v>27</v>
      </c>
      <c r="G718">
        <v>18426</v>
      </c>
      <c r="H718" s="110"/>
      <c r="I718" s="110"/>
      <c r="L718" s="134">
        <v>43059</v>
      </c>
      <c r="M718" s="110">
        <v>27</v>
      </c>
      <c r="N718" s="110">
        <v>27.3</v>
      </c>
      <c r="O718" s="110">
        <v>26.9</v>
      </c>
      <c r="P718" s="110">
        <v>27.3</v>
      </c>
      <c r="Q718" s="110">
        <v>27</v>
      </c>
      <c r="R718">
        <v>49155</v>
      </c>
    </row>
    <row r="719" spans="1:18" x14ac:dyDescent="0.25">
      <c r="A719" s="134">
        <v>43060</v>
      </c>
      <c r="B719" s="110">
        <v>27.25</v>
      </c>
      <c r="C719" s="110">
        <v>26.75</v>
      </c>
      <c r="D719" s="110">
        <v>26.65</v>
      </c>
      <c r="E719" s="110">
        <v>27.05</v>
      </c>
      <c r="F719" s="110">
        <v>26.75</v>
      </c>
      <c r="G719">
        <v>20836</v>
      </c>
      <c r="H719" s="110"/>
      <c r="I719" s="110"/>
      <c r="L719" s="134">
        <v>43060</v>
      </c>
      <c r="M719" s="110">
        <v>26.55</v>
      </c>
      <c r="N719" s="110">
        <v>27.25</v>
      </c>
      <c r="O719" s="110">
        <v>26.1</v>
      </c>
      <c r="P719" s="110">
        <v>27</v>
      </c>
      <c r="Q719" s="110">
        <v>26.55</v>
      </c>
      <c r="R719">
        <v>122673</v>
      </c>
    </row>
    <row r="720" spans="1:18" x14ac:dyDescent="0.25">
      <c r="A720" s="134">
        <v>43061</v>
      </c>
      <c r="B720" s="110">
        <v>27</v>
      </c>
      <c r="C720" s="110">
        <v>26.65</v>
      </c>
      <c r="D720" s="110">
        <v>26.4</v>
      </c>
      <c r="E720" s="110">
        <v>26.55</v>
      </c>
      <c r="F720" s="110">
        <v>26.65</v>
      </c>
      <c r="G720">
        <v>22873</v>
      </c>
      <c r="H720" s="110"/>
      <c r="I720" s="110"/>
      <c r="L720" s="134">
        <v>43061</v>
      </c>
      <c r="M720" s="110">
        <v>26.6</v>
      </c>
      <c r="N720" s="110">
        <v>26.85</v>
      </c>
      <c r="O720" s="110">
        <v>26.05</v>
      </c>
      <c r="P720" s="110">
        <v>26.85</v>
      </c>
      <c r="Q720" s="110">
        <v>26.6</v>
      </c>
      <c r="R720">
        <v>110591</v>
      </c>
    </row>
    <row r="721" spans="1:18" x14ac:dyDescent="0.25">
      <c r="A721" s="134">
        <v>43062</v>
      </c>
      <c r="B721" s="110">
        <v>27</v>
      </c>
      <c r="C721" s="110">
        <v>26.75</v>
      </c>
      <c r="D721" s="110">
        <v>26.6</v>
      </c>
      <c r="E721" s="110">
        <v>27</v>
      </c>
      <c r="F721" s="110">
        <v>26.75</v>
      </c>
      <c r="G721">
        <v>22319</v>
      </c>
      <c r="H721" s="110"/>
      <c r="I721" s="110"/>
      <c r="L721" s="134">
        <v>43062</v>
      </c>
      <c r="M721" s="110">
        <v>26.7</v>
      </c>
      <c r="N721" s="110">
        <v>26.95</v>
      </c>
      <c r="O721" s="110">
        <v>26.6</v>
      </c>
      <c r="P721" s="110">
        <v>26.75</v>
      </c>
      <c r="Q721" s="110">
        <v>26.7</v>
      </c>
      <c r="R721">
        <v>122780</v>
      </c>
    </row>
    <row r="722" spans="1:18" x14ac:dyDescent="0.25">
      <c r="A722" s="134">
        <v>43063</v>
      </c>
      <c r="B722" s="110">
        <v>27.05</v>
      </c>
      <c r="C722" s="110">
        <v>26.75</v>
      </c>
      <c r="D722" s="110">
        <v>26.55</v>
      </c>
      <c r="E722" s="110">
        <v>27</v>
      </c>
      <c r="F722" s="110">
        <v>26.75</v>
      </c>
      <c r="G722">
        <v>27037</v>
      </c>
      <c r="H722" s="110"/>
      <c r="I722" s="110"/>
      <c r="L722" s="134">
        <v>43063</v>
      </c>
      <c r="M722" s="110">
        <v>26.65</v>
      </c>
      <c r="N722" s="110">
        <v>27</v>
      </c>
      <c r="O722" s="110">
        <v>26.4</v>
      </c>
      <c r="P722" s="110">
        <v>26.7</v>
      </c>
      <c r="Q722" s="110">
        <v>26.65</v>
      </c>
      <c r="R722">
        <v>119471</v>
      </c>
    </row>
    <row r="723" spans="1:18" x14ac:dyDescent="0.25">
      <c r="A723" s="134">
        <v>43066</v>
      </c>
      <c r="B723" s="110">
        <v>27.2</v>
      </c>
      <c r="C723" s="110">
        <v>26.85</v>
      </c>
      <c r="D723" s="110">
        <v>26.8</v>
      </c>
      <c r="E723" s="110">
        <v>26.95</v>
      </c>
      <c r="F723" s="110">
        <v>26.85</v>
      </c>
      <c r="G723">
        <v>17030</v>
      </c>
      <c r="H723" s="110"/>
      <c r="I723" s="110"/>
      <c r="L723" s="134">
        <v>43066</v>
      </c>
      <c r="M723" s="110">
        <v>26.8</v>
      </c>
      <c r="N723" s="110">
        <v>27.15</v>
      </c>
      <c r="O723" s="110">
        <v>26.7</v>
      </c>
      <c r="P723" s="110">
        <v>26.8</v>
      </c>
      <c r="Q723" s="110">
        <v>26.8</v>
      </c>
      <c r="R723">
        <v>91639</v>
      </c>
    </row>
    <row r="724" spans="1:18" x14ac:dyDescent="0.25">
      <c r="A724" s="134">
        <v>43067</v>
      </c>
      <c r="B724" s="110">
        <v>29</v>
      </c>
      <c r="C724" s="110">
        <v>27.55</v>
      </c>
      <c r="D724" s="110">
        <v>26.8</v>
      </c>
      <c r="E724" s="110">
        <v>26.8</v>
      </c>
      <c r="F724" s="110">
        <v>27.55</v>
      </c>
      <c r="G724">
        <v>43898</v>
      </c>
      <c r="H724" s="110"/>
      <c r="I724" s="110"/>
      <c r="L724" s="134">
        <v>43067</v>
      </c>
      <c r="M724" s="110">
        <v>27.4</v>
      </c>
      <c r="N724" s="110">
        <v>28.8</v>
      </c>
      <c r="O724" s="110">
        <v>26.8</v>
      </c>
      <c r="P724" s="110">
        <v>26.9</v>
      </c>
      <c r="Q724" s="110">
        <v>27.4</v>
      </c>
      <c r="R724">
        <v>362819</v>
      </c>
    </row>
    <row r="725" spans="1:18" x14ac:dyDescent="0.25">
      <c r="A725" s="134">
        <v>43068</v>
      </c>
      <c r="B725" s="110">
        <v>27.95</v>
      </c>
      <c r="C725" s="110">
        <v>27.25</v>
      </c>
      <c r="D725" s="110">
        <v>27.1</v>
      </c>
      <c r="E725" s="110">
        <v>27.15</v>
      </c>
      <c r="F725" s="110">
        <v>27.25</v>
      </c>
      <c r="G725">
        <v>20641</v>
      </c>
      <c r="H725" s="110"/>
      <c r="I725" s="110"/>
      <c r="L725" s="134">
        <v>43068</v>
      </c>
      <c r="M725" s="110">
        <v>27.3</v>
      </c>
      <c r="N725" s="110">
        <v>28</v>
      </c>
      <c r="O725" s="110">
        <v>27.1</v>
      </c>
      <c r="P725" s="110">
        <v>27.1</v>
      </c>
      <c r="Q725" s="110">
        <v>27.3</v>
      </c>
      <c r="R725">
        <v>89717</v>
      </c>
    </row>
    <row r="726" spans="1:18" x14ac:dyDescent="0.25">
      <c r="A726" s="134">
        <v>43069</v>
      </c>
      <c r="B726" s="110">
        <v>27.4</v>
      </c>
      <c r="C726" s="110">
        <v>27</v>
      </c>
      <c r="D726" s="110">
        <v>26.85</v>
      </c>
      <c r="E726" s="110">
        <v>27.25</v>
      </c>
      <c r="F726" s="110">
        <v>27</v>
      </c>
      <c r="G726">
        <v>16988</v>
      </c>
      <c r="H726" s="110"/>
      <c r="I726" s="110"/>
      <c r="L726" s="134">
        <v>43069</v>
      </c>
      <c r="M726" s="110">
        <v>26.9</v>
      </c>
      <c r="N726" s="110">
        <v>27.5</v>
      </c>
      <c r="O726" s="110">
        <v>26.5</v>
      </c>
      <c r="P726" s="110">
        <v>27.1</v>
      </c>
      <c r="Q726" s="110">
        <v>26.9</v>
      </c>
      <c r="R726">
        <v>92756</v>
      </c>
    </row>
    <row r="727" spans="1:18" x14ac:dyDescent="0.25">
      <c r="A727" s="134">
        <v>43070</v>
      </c>
      <c r="B727" s="110">
        <v>27.25</v>
      </c>
      <c r="C727" s="110">
        <v>26.7</v>
      </c>
      <c r="D727" s="110">
        <v>26.5</v>
      </c>
      <c r="E727" s="110">
        <v>27</v>
      </c>
      <c r="F727" s="110">
        <v>26.7</v>
      </c>
      <c r="G727">
        <v>8996</v>
      </c>
      <c r="H727" s="110"/>
      <c r="I727" s="110"/>
      <c r="L727" s="134">
        <v>43070</v>
      </c>
      <c r="M727" s="110">
        <v>26.6</v>
      </c>
      <c r="N727" s="110">
        <v>27.3</v>
      </c>
      <c r="O727" s="110">
        <v>26.5</v>
      </c>
      <c r="P727" s="110">
        <v>26.95</v>
      </c>
      <c r="Q727" s="110">
        <v>26.6</v>
      </c>
      <c r="R727">
        <v>109803</v>
      </c>
    </row>
    <row r="728" spans="1:18" x14ac:dyDescent="0.25">
      <c r="A728" s="134">
        <v>43073</v>
      </c>
      <c r="B728" s="110">
        <v>26.85</v>
      </c>
      <c r="C728" s="110">
        <v>26.15</v>
      </c>
      <c r="D728" s="110">
        <v>25.9</v>
      </c>
      <c r="E728" s="110">
        <v>26.5</v>
      </c>
      <c r="F728" s="110">
        <v>26.15</v>
      </c>
      <c r="G728">
        <v>30908</v>
      </c>
      <c r="H728" s="110"/>
      <c r="I728" s="110"/>
      <c r="L728" s="134">
        <v>43073</v>
      </c>
      <c r="M728" s="110">
        <v>26.05</v>
      </c>
      <c r="N728" s="110">
        <v>27</v>
      </c>
      <c r="O728" s="110">
        <v>25.8</v>
      </c>
      <c r="P728" s="110">
        <v>26.8</v>
      </c>
      <c r="Q728" s="110">
        <v>26.05</v>
      </c>
      <c r="R728">
        <v>174984</v>
      </c>
    </row>
    <row r="729" spans="1:18" x14ac:dyDescent="0.25">
      <c r="A729" s="134">
        <v>43074</v>
      </c>
      <c r="B729" s="110">
        <v>26.9</v>
      </c>
      <c r="C729" s="110">
        <v>26.65</v>
      </c>
      <c r="D729" s="110">
        <v>26.25</v>
      </c>
      <c r="E729" s="110">
        <v>26.25</v>
      </c>
      <c r="F729" s="110">
        <v>26.65</v>
      </c>
      <c r="G729">
        <v>47929</v>
      </c>
      <c r="H729" s="110"/>
      <c r="I729" s="110"/>
      <c r="L729" s="134">
        <v>43074</v>
      </c>
      <c r="M729" s="110">
        <v>26.4</v>
      </c>
      <c r="N729" s="110">
        <v>27.4</v>
      </c>
      <c r="O729" s="110">
        <v>26</v>
      </c>
      <c r="P729" s="110">
        <v>26.6</v>
      </c>
      <c r="Q729" s="110">
        <v>26.4</v>
      </c>
      <c r="R729">
        <v>202931</v>
      </c>
    </row>
    <row r="730" spans="1:18" x14ac:dyDescent="0.25">
      <c r="A730" s="134">
        <v>43075</v>
      </c>
      <c r="B730" s="110">
        <v>26.95</v>
      </c>
      <c r="C730" s="110">
        <v>25.7</v>
      </c>
      <c r="D730" s="110">
        <v>25.55</v>
      </c>
      <c r="E730" s="110">
        <v>26.95</v>
      </c>
      <c r="F730" s="110">
        <v>25.7</v>
      </c>
      <c r="G730">
        <v>50830</v>
      </c>
      <c r="H730" s="110"/>
      <c r="I730" s="110"/>
      <c r="L730" s="134">
        <v>43075</v>
      </c>
      <c r="M730" s="110">
        <v>25.65</v>
      </c>
      <c r="N730" s="110">
        <v>26.5</v>
      </c>
      <c r="O730" s="110">
        <v>25.5</v>
      </c>
      <c r="P730" s="110">
        <v>26.4</v>
      </c>
      <c r="Q730" s="110">
        <v>25.65</v>
      </c>
      <c r="R730">
        <v>157612</v>
      </c>
    </row>
    <row r="731" spans="1:18" x14ac:dyDescent="0.25">
      <c r="A731" s="134">
        <v>43076</v>
      </c>
      <c r="B731" s="110">
        <v>26.15</v>
      </c>
      <c r="C731" s="110">
        <v>26</v>
      </c>
      <c r="D731" s="110">
        <v>25.6</v>
      </c>
      <c r="E731" s="110">
        <v>25.6</v>
      </c>
      <c r="F731" s="110">
        <v>26</v>
      </c>
      <c r="G731">
        <v>14405</v>
      </c>
      <c r="H731" s="110"/>
      <c r="I731" s="110"/>
      <c r="L731" s="134">
        <v>43076</v>
      </c>
      <c r="M731" s="110">
        <v>26.1</v>
      </c>
      <c r="N731" s="110">
        <v>26.15</v>
      </c>
      <c r="O731" s="110">
        <v>25.65</v>
      </c>
      <c r="P731" s="110">
        <v>25.65</v>
      </c>
      <c r="Q731" s="110">
        <v>26.1</v>
      </c>
      <c r="R731">
        <v>72175</v>
      </c>
    </row>
    <row r="732" spans="1:18" x14ac:dyDescent="0.25">
      <c r="A732" s="134">
        <v>43077</v>
      </c>
      <c r="B732" s="110">
        <v>26.65</v>
      </c>
      <c r="C732" s="110">
        <v>26</v>
      </c>
      <c r="D732" s="110">
        <v>25.85</v>
      </c>
      <c r="E732" s="110">
        <v>26.65</v>
      </c>
      <c r="F732" s="110">
        <v>26</v>
      </c>
      <c r="G732">
        <v>54316</v>
      </c>
      <c r="H732" s="110"/>
      <c r="I732" s="110"/>
      <c r="L732" s="134">
        <v>43077</v>
      </c>
      <c r="M732" s="110">
        <v>26.1</v>
      </c>
      <c r="N732" s="110">
        <v>26.7</v>
      </c>
      <c r="O732" s="110">
        <v>26</v>
      </c>
      <c r="P732" s="110">
        <v>26.7</v>
      </c>
      <c r="Q732" s="110">
        <v>26.1</v>
      </c>
      <c r="R732">
        <v>150701</v>
      </c>
    </row>
    <row r="733" spans="1:18" x14ac:dyDescent="0.25">
      <c r="A733" s="134">
        <v>43080</v>
      </c>
      <c r="B733" s="110">
        <v>26.45</v>
      </c>
      <c r="C733" s="110">
        <v>26.15</v>
      </c>
      <c r="D733" s="110">
        <v>25.8</v>
      </c>
      <c r="E733" s="110">
        <v>26.1</v>
      </c>
      <c r="F733" s="110">
        <v>26.15</v>
      </c>
      <c r="G733">
        <v>33073</v>
      </c>
      <c r="H733" s="110"/>
      <c r="I733" s="110"/>
      <c r="L733" s="134">
        <v>43080</v>
      </c>
      <c r="M733" s="110">
        <v>25.95</v>
      </c>
      <c r="N733" s="110">
        <v>26.25</v>
      </c>
      <c r="O733" s="110">
        <v>25.8</v>
      </c>
      <c r="P733" s="110">
        <v>26.1</v>
      </c>
      <c r="Q733" s="110">
        <v>25.95</v>
      </c>
      <c r="R733">
        <v>109862</v>
      </c>
    </row>
    <row r="734" spans="1:18" x14ac:dyDescent="0.25">
      <c r="A734" s="134">
        <v>43081</v>
      </c>
      <c r="B734" s="110">
        <v>26.1</v>
      </c>
      <c r="C734" s="110">
        <v>26</v>
      </c>
      <c r="D734" s="110">
        <v>25.8</v>
      </c>
      <c r="E734" s="110">
        <v>26</v>
      </c>
      <c r="F734" s="110">
        <v>26</v>
      </c>
      <c r="G734">
        <v>12575</v>
      </c>
      <c r="H734" s="110"/>
      <c r="I734" s="110"/>
      <c r="L734" s="134">
        <v>43081</v>
      </c>
      <c r="M734" s="110">
        <v>25.9</v>
      </c>
      <c r="N734" s="110">
        <v>26.05</v>
      </c>
      <c r="O734" s="110">
        <v>25.8</v>
      </c>
      <c r="P734" s="110">
        <v>26.05</v>
      </c>
      <c r="Q734" s="110">
        <v>25.9</v>
      </c>
      <c r="R734">
        <v>45733</v>
      </c>
    </row>
    <row r="735" spans="1:18" x14ac:dyDescent="0.25">
      <c r="A735" s="134">
        <v>43082</v>
      </c>
      <c r="B735" s="110">
        <v>26.15</v>
      </c>
      <c r="C735" s="110">
        <v>25.6</v>
      </c>
      <c r="D735" s="110">
        <v>25.55</v>
      </c>
      <c r="E735" s="110">
        <v>25.8</v>
      </c>
      <c r="F735" s="110">
        <v>25.6</v>
      </c>
      <c r="G735">
        <v>17593</v>
      </c>
      <c r="H735" s="110"/>
      <c r="I735" s="110"/>
      <c r="L735" s="134">
        <v>43082</v>
      </c>
      <c r="M735" s="110">
        <v>25.75</v>
      </c>
      <c r="N735" s="110">
        <v>26.25</v>
      </c>
      <c r="O735" s="110">
        <v>25.65</v>
      </c>
      <c r="P735" s="110">
        <v>25.85</v>
      </c>
      <c r="Q735" s="110">
        <v>25.75</v>
      </c>
      <c r="R735">
        <v>73465</v>
      </c>
    </row>
    <row r="736" spans="1:18" x14ac:dyDescent="0.25">
      <c r="A736" s="134">
        <v>43083</v>
      </c>
      <c r="B736" s="110">
        <v>26</v>
      </c>
      <c r="C736" s="110">
        <v>25.85</v>
      </c>
      <c r="D736" s="110">
        <v>25.1</v>
      </c>
      <c r="E736" s="110">
        <v>25.6</v>
      </c>
      <c r="F736" s="110">
        <v>25.85</v>
      </c>
      <c r="G736">
        <v>13606</v>
      </c>
      <c r="H736" s="110"/>
      <c r="I736" s="110"/>
      <c r="L736" s="134">
        <v>43083</v>
      </c>
      <c r="M736" s="110">
        <v>25.75</v>
      </c>
      <c r="N736" s="110">
        <v>25.95</v>
      </c>
      <c r="O736" s="110">
        <v>25.6</v>
      </c>
      <c r="P736" s="110">
        <v>25.7</v>
      </c>
      <c r="Q736" s="110">
        <v>25.75</v>
      </c>
      <c r="R736">
        <v>79916</v>
      </c>
    </row>
    <row r="737" spans="1:18" x14ac:dyDescent="0.25">
      <c r="A737" s="134">
        <v>43084</v>
      </c>
      <c r="B737" s="110">
        <v>25.55</v>
      </c>
      <c r="C737" s="110">
        <v>21.25</v>
      </c>
      <c r="D737" s="110">
        <v>21.05</v>
      </c>
      <c r="E737" s="110">
        <v>25.55</v>
      </c>
      <c r="F737" s="110">
        <v>21.25</v>
      </c>
      <c r="G737">
        <v>1438614</v>
      </c>
      <c r="H737" s="110"/>
      <c r="I737" s="110"/>
      <c r="L737" s="134">
        <v>43084</v>
      </c>
      <c r="M737" s="110">
        <v>21</v>
      </c>
      <c r="N737" s="110">
        <v>25.5</v>
      </c>
      <c r="O737" s="110">
        <v>20.75</v>
      </c>
      <c r="P737" s="110">
        <v>25.5</v>
      </c>
      <c r="Q737" s="110">
        <v>21</v>
      </c>
      <c r="R737">
        <v>14430868</v>
      </c>
    </row>
    <row r="738" spans="1:18" x14ac:dyDescent="0.25">
      <c r="A738" s="134">
        <v>43087</v>
      </c>
      <c r="B738" s="110">
        <v>21.9</v>
      </c>
      <c r="C738" s="110">
        <v>21.3</v>
      </c>
      <c r="D738" s="110">
        <v>20.8</v>
      </c>
      <c r="E738" s="110">
        <v>21</v>
      </c>
      <c r="F738" s="110">
        <v>21.3</v>
      </c>
      <c r="G738">
        <v>347876</v>
      </c>
      <c r="H738" s="110"/>
      <c r="I738" s="110"/>
      <c r="L738" s="134">
        <v>43087</v>
      </c>
      <c r="M738" s="110">
        <v>21.25</v>
      </c>
      <c r="N738" s="110">
        <v>21.85</v>
      </c>
      <c r="O738" s="110">
        <v>20.6</v>
      </c>
      <c r="P738" s="110">
        <v>21.3</v>
      </c>
      <c r="Q738" s="110">
        <v>21.25</v>
      </c>
      <c r="R738">
        <v>3095050</v>
      </c>
    </row>
    <row r="739" spans="1:18" x14ac:dyDescent="0.25">
      <c r="A739" s="134">
        <v>43088</v>
      </c>
      <c r="B739" s="110">
        <v>21.65</v>
      </c>
      <c r="C739" s="110">
        <v>21.25</v>
      </c>
      <c r="D739" s="110">
        <v>21.1</v>
      </c>
      <c r="E739" s="110">
        <v>21.5</v>
      </c>
      <c r="F739" s="110">
        <v>21.25</v>
      </c>
      <c r="G739">
        <v>147983</v>
      </c>
      <c r="H739" s="110"/>
      <c r="I739" s="110"/>
      <c r="L739" s="134">
        <v>43088</v>
      </c>
      <c r="M739" s="110">
        <v>21.05</v>
      </c>
      <c r="N739" s="110">
        <v>21.6</v>
      </c>
      <c r="O739" s="110">
        <v>20.95</v>
      </c>
      <c r="P739" s="110">
        <v>21.6</v>
      </c>
      <c r="Q739" s="110">
        <v>21.05</v>
      </c>
      <c r="R739">
        <v>1036761</v>
      </c>
    </row>
    <row r="740" spans="1:18" x14ac:dyDescent="0.25">
      <c r="A740" s="134">
        <v>43089</v>
      </c>
      <c r="B740" s="110">
        <v>21.4</v>
      </c>
      <c r="C740" s="110">
        <v>21.1</v>
      </c>
      <c r="D740" s="110">
        <v>21</v>
      </c>
      <c r="E740" s="110">
        <v>21.2</v>
      </c>
      <c r="F740" s="110">
        <v>21.1</v>
      </c>
      <c r="G740">
        <v>161426</v>
      </c>
      <c r="H740" s="110"/>
      <c r="I740" s="110"/>
      <c r="L740" s="134">
        <v>43089</v>
      </c>
      <c r="M740" s="110">
        <v>21.05</v>
      </c>
      <c r="N740" s="110">
        <v>21.35</v>
      </c>
      <c r="O740" s="110">
        <v>20.9</v>
      </c>
      <c r="P740" s="110">
        <v>21.15</v>
      </c>
      <c r="Q740" s="110">
        <v>21.05</v>
      </c>
      <c r="R740">
        <v>1125983</v>
      </c>
    </row>
    <row r="741" spans="1:18" x14ac:dyDescent="0.25">
      <c r="A741" s="134">
        <v>43090</v>
      </c>
      <c r="B741" s="110">
        <v>21.6</v>
      </c>
      <c r="C741" s="110">
        <v>21.35</v>
      </c>
      <c r="D741" s="110">
        <v>21.05</v>
      </c>
      <c r="E741" s="110">
        <v>21.1</v>
      </c>
      <c r="F741" s="110">
        <v>21.35</v>
      </c>
      <c r="G741">
        <v>161383</v>
      </c>
      <c r="H741" s="110"/>
      <c r="I741" s="110"/>
      <c r="L741" s="134">
        <v>43090</v>
      </c>
      <c r="M741" s="110">
        <v>21.35</v>
      </c>
      <c r="N741" s="110">
        <v>21.55</v>
      </c>
      <c r="O741" s="110">
        <v>21</v>
      </c>
      <c r="P741" s="110">
        <v>21.1</v>
      </c>
      <c r="Q741" s="110">
        <v>21.35</v>
      </c>
      <c r="R741">
        <v>1298751</v>
      </c>
    </row>
    <row r="742" spans="1:18" x14ac:dyDescent="0.25">
      <c r="A742" s="134">
        <v>43091</v>
      </c>
      <c r="B742" s="110">
        <v>22.25</v>
      </c>
      <c r="C742" s="110">
        <v>21.95</v>
      </c>
      <c r="D742" s="110">
        <v>21.4</v>
      </c>
      <c r="E742" s="110">
        <v>21.4</v>
      </c>
      <c r="F742" s="110">
        <v>21.95</v>
      </c>
      <c r="G742">
        <v>184903</v>
      </c>
      <c r="H742" s="110"/>
      <c r="I742" s="110"/>
      <c r="L742" s="134">
        <v>43091</v>
      </c>
      <c r="M742" s="110">
        <v>21.9</v>
      </c>
      <c r="N742" s="110">
        <v>22.2</v>
      </c>
      <c r="O742" s="110">
        <v>21.45</v>
      </c>
      <c r="P742" s="110">
        <v>21.6</v>
      </c>
      <c r="Q742" s="110">
        <v>21.9</v>
      </c>
      <c r="R742">
        <v>1933263</v>
      </c>
    </row>
    <row r="743" spans="1:18" x14ac:dyDescent="0.25">
      <c r="A743" s="134">
        <v>43095</v>
      </c>
      <c r="B743" s="110">
        <v>22.3</v>
      </c>
      <c r="C743" s="110">
        <v>22.15</v>
      </c>
      <c r="D743" s="110">
        <v>21.85</v>
      </c>
      <c r="E743" s="110">
        <v>22</v>
      </c>
      <c r="F743" s="110">
        <v>22.15</v>
      </c>
      <c r="G743">
        <v>197603</v>
      </c>
      <c r="H743" s="110"/>
      <c r="I743" s="110"/>
      <c r="L743" s="134">
        <v>43095</v>
      </c>
      <c r="M743" s="110">
        <v>22.15</v>
      </c>
      <c r="N743" s="110">
        <v>22.35</v>
      </c>
      <c r="O743" s="110">
        <v>21.6</v>
      </c>
      <c r="P743" s="110">
        <v>22.35</v>
      </c>
      <c r="Q743" s="110">
        <v>22.15</v>
      </c>
      <c r="R743">
        <v>1101209</v>
      </c>
    </row>
    <row r="744" spans="1:18" x14ac:dyDescent="0.25">
      <c r="A744" s="134">
        <v>43096</v>
      </c>
      <c r="B744" s="110">
        <v>22.3</v>
      </c>
      <c r="C744" s="110">
        <v>22</v>
      </c>
      <c r="D744" s="110">
        <v>21.8</v>
      </c>
      <c r="E744" s="110">
        <v>22.1</v>
      </c>
      <c r="F744" s="110">
        <v>22</v>
      </c>
      <c r="G744">
        <v>138463</v>
      </c>
      <c r="H744" s="110"/>
      <c r="I744" s="110"/>
      <c r="L744" s="134">
        <v>43096</v>
      </c>
      <c r="M744" s="110">
        <v>21.95</v>
      </c>
      <c r="N744" s="110">
        <v>22.3</v>
      </c>
      <c r="O744" s="110">
        <v>21.8</v>
      </c>
      <c r="P744" s="110">
        <v>22.15</v>
      </c>
      <c r="Q744" s="110">
        <v>21.95</v>
      </c>
      <c r="R744">
        <v>944771</v>
      </c>
    </row>
    <row r="745" spans="1:18" x14ac:dyDescent="0.25">
      <c r="A745" s="134">
        <v>43097</v>
      </c>
      <c r="B745" s="110">
        <v>22.55</v>
      </c>
      <c r="C745" s="110">
        <v>22.4</v>
      </c>
      <c r="D745" s="110">
        <v>22</v>
      </c>
      <c r="E745" s="110">
        <v>22.15</v>
      </c>
      <c r="F745" s="110">
        <v>22.4</v>
      </c>
      <c r="G745">
        <v>160121</v>
      </c>
      <c r="H745" s="110"/>
      <c r="I745" s="110"/>
      <c r="L745" s="134">
        <v>43097</v>
      </c>
      <c r="M745" s="110">
        <v>22.35</v>
      </c>
      <c r="N745" s="110">
        <v>22.7</v>
      </c>
      <c r="O745" s="110">
        <v>21.95</v>
      </c>
      <c r="P745" s="110">
        <v>22.05</v>
      </c>
      <c r="Q745" s="110">
        <v>22.35</v>
      </c>
      <c r="R745">
        <v>2003606</v>
      </c>
    </row>
    <row r="746" spans="1:18" x14ac:dyDescent="0.25">
      <c r="A746" s="134">
        <v>43098</v>
      </c>
      <c r="B746" s="110">
        <v>23.5</v>
      </c>
      <c r="C746" s="110">
        <v>22.85</v>
      </c>
      <c r="D746" s="110">
        <v>22.7</v>
      </c>
      <c r="E746" s="110">
        <v>23</v>
      </c>
      <c r="F746" s="110">
        <v>22.85</v>
      </c>
      <c r="G746">
        <v>264649</v>
      </c>
      <c r="H746" s="110"/>
      <c r="I746" s="110"/>
      <c r="L746" s="134">
        <v>43098</v>
      </c>
      <c r="M746" s="110">
        <v>22.85</v>
      </c>
      <c r="N746" s="110">
        <v>23.1</v>
      </c>
      <c r="O746" s="110">
        <v>22.6</v>
      </c>
      <c r="P746" s="110">
        <v>23.1</v>
      </c>
      <c r="Q746" s="110">
        <v>22.85</v>
      </c>
      <c r="R746">
        <v>1974055</v>
      </c>
    </row>
    <row r="747" spans="1:18" x14ac:dyDescent="0.25">
      <c r="A747" s="134">
        <v>43101</v>
      </c>
      <c r="B747" s="110">
        <v>24.1</v>
      </c>
      <c r="C747" s="110">
        <v>23.25</v>
      </c>
      <c r="D747" s="110">
        <v>23</v>
      </c>
      <c r="E747" s="110">
        <v>23.25</v>
      </c>
      <c r="F747" s="110">
        <v>23.25</v>
      </c>
      <c r="G747">
        <v>293563</v>
      </c>
      <c r="H747" s="110"/>
      <c r="I747" s="110"/>
      <c r="L747" s="134">
        <v>43101</v>
      </c>
      <c r="M747" s="110">
        <v>23.3</v>
      </c>
      <c r="N747" s="110">
        <v>23.55</v>
      </c>
      <c r="O747" s="110">
        <v>23</v>
      </c>
      <c r="P747" s="110">
        <v>23</v>
      </c>
      <c r="Q747" s="110">
        <v>23.3</v>
      </c>
      <c r="R747">
        <v>1850925</v>
      </c>
    </row>
    <row r="748" spans="1:18" x14ac:dyDescent="0.25">
      <c r="A748" s="134">
        <v>43102</v>
      </c>
      <c r="B748" s="110">
        <v>23.95</v>
      </c>
      <c r="C748" s="110">
        <v>23</v>
      </c>
      <c r="D748" s="110">
        <v>22.8</v>
      </c>
      <c r="E748" s="110">
        <v>23.5</v>
      </c>
      <c r="F748" s="110">
        <v>23</v>
      </c>
      <c r="G748">
        <v>148123</v>
      </c>
      <c r="H748" s="110"/>
      <c r="I748" s="110"/>
      <c r="L748" s="134">
        <v>43102</v>
      </c>
      <c r="M748" s="110">
        <v>22.95</v>
      </c>
      <c r="N748" s="110">
        <v>23.6</v>
      </c>
      <c r="O748" s="110">
        <v>22.75</v>
      </c>
      <c r="P748" s="110">
        <v>23.45</v>
      </c>
      <c r="Q748" s="110">
        <v>22.95</v>
      </c>
      <c r="R748">
        <v>1326321</v>
      </c>
    </row>
    <row r="749" spans="1:18" x14ac:dyDescent="0.25">
      <c r="A749" s="134">
        <v>43103</v>
      </c>
      <c r="B749" s="110">
        <v>23.45</v>
      </c>
      <c r="C749" s="110">
        <v>23.05</v>
      </c>
      <c r="D749" s="110">
        <v>23</v>
      </c>
      <c r="E749" s="110">
        <v>23.4</v>
      </c>
      <c r="F749" s="110">
        <v>23.05</v>
      </c>
      <c r="G749">
        <v>126446</v>
      </c>
      <c r="H749" s="110"/>
      <c r="I749" s="110"/>
      <c r="L749" s="134">
        <v>43103</v>
      </c>
      <c r="M749" s="110">
        <v>23.05</v>
      </c>
      <c r="N749" s="110">
        <v>23.4</v>
      </c>
      <c r="O749" s="110">
        <v>23</v>
      </c>
      <c r="P749" s="110">
        <v>23.35</v>
      </c>
      <c r="Q749" s="110">
        <v>23.05</v>
      </c>
      <c r="R749">
        <v>739321</v>
      </c>
    </row>
    <row r="750" spans="1:18" x14ac:dyDescent="0.25">
      <c r="A750" s="134">
        <v>43104</v>
      </c>
      <c r="B750" s="110">
        <v>24.75</v>
      </c>
      <c r="C750" s="110">
        <v>23.6</v>
      </c>
      <c r="D750" s="110">
        <v>23.4</v>
      </c>
      <c r="E750" s="110">
        <v>24.7</v>
      </c>
      <c r="F750" s="110">
        <v>23.6</v>
      </c>
      <c r="G750">
        <v>588468</v>
      </c>
      <c r="H750" s="110"/>
      <c r="I750" s="110"/>
      <c r="L750" s="134">
        <v>43104</v>
      </c>
      <c r="M750" s="110">
        <v>23.6</v>
      </c>
      <c r="N750" s="110">
        <v>25</v>
      </c>
      <c r="O750" s="110">
        <v>23.35</v>
      </c>
      <c r="P750" s="110">
        <v>25</v>
      </c>
      <c r="Q750" s="110">
        <v>23.6</v>
      </c>
      <c r="R750">
        <v>3945256</v>
      </c>
    </row>
    <row r="751" spans="1:18" x14ac:dyDescent="0.25">
      <c r="A751" s="134">
        <v>43105</v>
      </c>
      <c r="B751" s="110">
        <v>24.15</v>
      </c>
      <c r="C751" s="110">
        <v>23.65</v>
      </c>
      <c r="D751" s="110">
        <v>23.5</v>
      </c>
      <c r="E751" s="110">
        <v>24</v>
      </c>
      <c r="F751" s="110">
        <v>23.65</v>
      </c>
      <c r="G751">
        <v>199076</v>
      </c>
      <c r="H751" s="110"/>
      <c r="I751" s="110"/>
      <c r="L751" s="134">
        <v>43105</v>
      </c>
      <c r="M751" s="110">
        <v>23.65</v>
      </c>
      <c r="N751" s="110">
        <v>24.2</v>
      </c>
      <c r="O751" s="110">
        <v>23.5</v>
      </c>
      <c r="P751" s="110">
        <v>23.95</v>
      </c>
      <c r="Q751" s="110">
        <v>23.65</v>
      </c>
      <c r="R751">
        <v>1237293</v>
      </c>
    </row>
    <row r="752" spans="1:18" x14ac:dyDescent="0.25">
      <c r="A752" s="134">
        <v>43108</v>
      </c>
      <c r="B752" s="110">
        <v>24</v>
      </c>
      <c r="C752" s="110">
        <v>23.6</v>
      </c>
      <c r="D752" s="110">
        <v>23.5</v>
      </c>
      <c r="E752" s="110">
        <v>23.85</v>
      </c>
      <c r="F752" s="110">
        <v>23.6</v>
      </c>
      <c r="G752">
        <v>99941</v>
      </c>
      <c r="H752" s="110"/>
      <c r="I752" s="110"/>
      <c r="L752" s="134">
        <v>43108</v>
      </c>
      <c r="M752" s="110">
        <v>23.55</v>
      </c>
      <c r="N752" s="110">
        <v>23.9</v>
      </c>
      <c r="O752" s="110">
        <v>23.5</v>
      </c>
      <c r="P752" s="110">
        <v>23.7</v>
      </c>
      <c r="Q752" s="110">
        <v>23.55</v>
      </c>
      <c r="R752">
        <v>745829</v>
      </c>
    </row>
    <row r="753" spans="1:18" x14ac:dyDescent="0.25">
      <c r="A753" s="134">
        <v>43109</v>
      </c>
      <c r="B753" s="110">
        <v>23.8</v>
      </c>
      <c r="C753" s="110">
        <v>23.25</v>
      </c>
      <c r="D753" s="110">
        <v>23.1</v>
      </c>
      <c r="E753" s="110">
        <v>23.7</v>
      </c>
      <c r="F753" s="110">
        <v>23.25</v>
      </c>
      <c r="G753">
        <v>187956</v>
      </c>
      <c r="H753" s="110"/>
      <c r="I753" s="110"/>
      <c r="L753" s="134">
        <v>43109</v>
      </c>
      <c r="M753" s="110">
        <v>23.25</v>
      </c>
      <c r="N753" s="110">
        <v>23.8</v>
      </c>
      <c r="O753" s="110">
        <v>23.1</v>
      </c>
      <c r="P753" s="110">
        <v>23.6</v>
      </c>
      <c r="Q753" s="110">
        <v>23.25</v>
      </c>
      <c r="R753">
        <v>544286</v>
      </c>
    </row>
    <row r="754" spans="1:18" x14ac:dyDescent="0.25">
      <c r="A754" s="134">
        <v>43110</v>
      </c>
      <c r="B754" s="110">
        <v>23.4</v>
      </c>
      <c r="C754" s="110">
        <v>22.9</v>
      </c>
      <c r="D754" s="110">
        <v>22.75</v>
      </c>
      <c r="E754" s="110">
        <v>23.1</v>
      </c>
      <c r="F754" s="110">
        <v>22.9</v>
      </c>
      <c r="G754">
        <v>145932</v>
      </c>
      <c r="H754" s="110"/>
      <c r="I754" s="110"/>
      <c r="L754" s="134">
        <v>43110</v>
      </c>
      <c r="M754" s="110">
        <v>22.75</v>
      </c>
      <c r="N754" s="110">
        <v>23.35</v>
      </c>
      <c r="O754" s="110">
        <v>22.7</v>
      </c>
      <c r="P754" s="110">
        <v>23.25</v>
      </c>
      <c r="Q754" s="110">
        <v>22.75</v>
      </c>
      <c r="R754">
        <v>750499</v>
      </c>
    </row>
    <row r="755" spans="1:18" x14ac:dyDescent="0.25">
      <c r="A755" s="134">
        <v>43111</v>
      </c>
      <c r="B755" s="110">
        <v>22.8</v>
      </c>
      <c r="C755" s="110">
        <v>22.55</v>
      </c>
      <c r="D755" s="110">
        <v>22.45</v>
      </c>
      <c r="E755" s="110">
        <v>22.7</v>
      </c>
      <c r="F755" s="110">
        <v>22.55</v>
      </c>
      <c r="G755">
        <v>125704</v>
      </c>
      <c r="H755" s="110"/>
      <c r="I755" s="110"/>
      <c r="L755" s="134">
        <v>43111</v>
      </c>
      <c r="M755" s="110">
        <v>22.45</v>
      </c>
      <c r="N755" s="110">
        <v>22.8</v>
      </c>
      <c r="O755" s="110">
        <v>22.4</v>
      </c>
      <c r="P755" s="110">
        <v>22.8</v>
      </c>
      <c r="Q755" s="110">
        <v>22.45</v>
      </c>
      <c r="R755">
        <v>784039</v>
      </c>
    </row>
    <row r="756" spans="1:18" x14ac:dyDescent="0.25">
      <c r="A756" s="134">
        <v>43112</v>
      </c>
      <c r="B756" s="110">
        <v>22.7</v>
      </c>
      <c r="C756" s="110">
        <v>22.45</v>
      </c>
      <c r="D756" s="110">
        <v>22.4</v>
      </c>
      <c r="E756" s="110">
        <v>22.45</v>
      </c>
      <c r="F756" s="110">
        <v>22.45</v>
      </c>
      <c r="G756">
        <v>107496</v>
      </c>
      <c r="H756" s="110"/>
      <c r="I756" s="110"/>
      <c r="L756" s="134">
        <v>43112</v>
      </c>
      <c r="M756" s="110">
        <v>22.4</v>
      </c>
      <c r="N756" s="110">
        <v>22.7</v>
      </c>
      <c r="O756" s="110">
        <v>22.35</v>
      </c>
      <c r="P756" s="110">
        <v>22.7</v>
      </c>
      <c r="Q756" s="110">
        <v>22.4</v>
      </c>
      <c r="R756">
        <v>596199</v>
      </c>
    </row>
    <row r="757" spans="1:18" x14ac:dyDescent="0.25">
      <c r="A757" s="134">
        <v>43115</v>
      </c>
      <c r="B757" s="110">
        <v>22.7</v>
      </c>
      <c r="C757" s="110">
        <v>22.3</v>
      </c>
      <c r="D757" s="110">
        <v>22.2</v>
      </c>
      <c r="E757" s="110">
        <v>22.45</v>
      </c>
      <c r="F757" s="110">
        <v>22.3</v>
      </c>
      <c r="G757">
        <v>132633</v>
      </c>
      <c r="H757" s="110"/>
      <c r="I757" s="110"/>
      <c r="L757" s="134">
        <v>43115</v>
      </c>
      <c r="M757" s="110">
        <v>22.1</v>
      </c>
      <c r="N757" s="110">
        <v>22.6</v>
      </c>
      <c r="O757" s="110">
        <v>22</v>
      </c>
      <c r="P757" s="110">
        <v>22.55</v>
      </c>
      <c r="Q757" s="110">
        <v>22.1</v>
      </c>
      <c r="R757">
        <v>871664</v>
      </c>
    </row>
    <row r="758" spans="1:18" x14ac:dyDescent="0.25">
      <c r="A758" s="134">
        <v>43116</v>
      </c>
      <c r="B758" s="110">
        <v>22.2</v>
      </c>
      <c r="C758" s="110">
        <v>21.85</v>
      </c>
      <c r="D758" s="110">
        <v>21.7</v>
      </c>
      <c r="E758" s="110">
        <v>22.15</v>
      </c>
      <c r="F758" s="110">
        <v>21.85</v>
      </c>
      <c r="G758">
        <v>99065</v>
      </c>
      <c r="H758" s="110"/>
      <c r="I758" s="110"/>
      <c r="L758" s="134">
        <v>43116</v>
      </c>
      <c r="M758" s="110">
        <v>21.8</v>
      </c>
      <c r="N758" s="110">
        <v>22.2</v>
      </c>
      <c r="O758" s="110">
        <v>21.7</v>
      </c>
      <c r="P758" s="110">
        <v>22.2</v>
      </c>
      <c r="Q758" s="110">
        <v>21.8</v>
      </c>
      <c r="R758">
        <v>771690</v>
      </c>
    </row>
    <row r="759" spans="1:18" x14ac:dyDescent="0.25">
      <c r="A759" s="134">
        <v>43117</v>
      </c>
      <c r="B759" s="110">
        <v>21.75</v>
      </c>
      <c r="C759" s="110">
        <v>21.55</v>
      </c>
      <c r="D759" s="110">
        <v>21.2</v>
      </c>
      <c r="E759" s="110">
        <v>21.75</v>
      </c>
      <c r="F759" s="110">
        <v>21.55</v>
      </c>
      <c r="G759">
        <v>149521</v>
      </c>
      <c r="H759" s="110"/>
      <c r="I759" s="110"/>
      <c r="L759" s="134">
        <v>43117</v>
      </c>
      <c r="M759" s="110">
        <v>21.6</v>
      </c>
      <c r="N759" s="110">
        <v>21.7</v>
      </c>
      <c r="O759" s="110">
        <v>21.25</v>
      </c>
      <c r="P759" s="110">
        <v>21.6</v>
      </c>
      <c r="Q759" s="110">
        <v>21.6</v>
      </c>
      <c r="R759">
        <v>1047762</v>
      </c>
    </row>
    <row r="760" spans="1:18" x14ac:dyDescent="0.25">
      <c r="A760" s="134">
        <v>43118</v>
      </c>
      <c r="B760" s="110">
        <v>22.75</v>
      </c>
      <c r="C760" s="110">
        <v>21.25</v>
      </c>
      <c r="D760" s="110">
        <v>21.15</v>
      </c>
      <c r="E760" s="110">
        <v>22.1</v>
      </c>
      <c r="F760" s="110">
        <v>21.25</v>
      </c>
      <c r="G760">
        <v>250562</v>
      </c>
      <c r="H760" s="110"/>
      <c r="I760" s="110"/>
      <c r="L760" s="134">
        <v>43118</v>
      </c>
      <c r="M760" s="110">
        <v>21.15</v>
      </c>
      <c r="N760" s="110">
        <v>22.7</v>
      </c>
      <c r="O760" s="110">
        <v>21</v>
      </c>
      <c r="P760" s="110">
        <v>22.5</v>
      </c>
      <c r="Q760" s="110">
        <v>21.15</v>
      </c>
      <c r="R760">
        <v>2169427</v>
      </c>
    </row>
    <row r="761" spans="1:18" x14ac:dyDescent="0.25">
      <c r="A761" s="134">
        <v>43119</v>
      </c>
      <c r="B761" s="110">
        <v>21.9</v>
      </c>
      <c r="C761" s="110">
        <v>21.2</v>
      </c>
      <c r="D761" s="110">
        <v>20.95</v>
      </c>
      <c r="E761" s="110">
        <v>21.25</v>
      </c>
      <c r="F761" s="110">
        <v>21.2</v>
      </c>
      <c r="G761">
        <v>192959</v>
      </c>
      <c r="H761" s="110"/>
      <c r="I761" s="110"/>
      <c r="L761" s="134">
        <v>43119</v>
      </c>
      <c r="M761" s="110">
        <v>21</v>
      </c>
      <c r="N761" s="110">
        <v>21.35</v>
      </c>
      <c r="O761" s="110">
        <v>20.9</v>
      </c>
      <c r="P761" s="110">
        <v>21.35</v>
      </c>
      <c r="Q761" s="110">
        <v>21</v>
      </c>
      <c r="R761">
        <v>1232404</v>
      </c>
    </row>
    <row r="762" spans="1:18" x14ac:dyDescent="0.25">
      <c r="A762" s="134">
        <v>43122</v>
      </c>
      <c r="B762" s="110">
        <v>21.25</v>
      </c>
      <c r="C762" s="110">
        <v>21</v>
      </c>
      <c r="D762" s="110">
        <v>20.9</v>
      </c>
      <c r="E762" s="110">
        <v>21.2</v>
      </c>
      <c r="F762" s="110">
        <v>21</v>
      </c>
      <c r="G762">
        <v>105702</v>
      </c>
      <c r="H762" s="110"/>
      <c r="I762" s="110"/>
      <c r="L762" s="134">
        <v>43122</v>
      </c>
      <c r="M762" s="110">
        <v>21</v>
      </c>
      <c r="N762" s="110">
        <v>21.25</v>
      </c>
      <c r="O762" s="110">
        <v>20.85</v>
      </c>
      <c r="P762" s="110">
        <v>21.1</v>
      </c>
      <c r="Q762" s="110">
        <v>21</v>
      </c>
      <c r="R762">
        <v>954291</v>
      </c>
    </row>
    <row r="763" spans="1:18" x14ac:dyDescent="0.25">
      <c r="A763" s="134">
        <v>43123</v>
      </c>
      <c r="B763" s="110">
        <v>21.3</v>
      </c>
      <c r="C763" s="110">
        <v>21.15</v>
      </c>
      <c r="D763" s="110">
        <v>20.85</v>
      </c>
      <c r="E763" s="110">
        <v>21.1</v>
      </c>
      <c r="F763" s="110">
        <v>21.15</v>
      </c>
      <c r="G763">
        <v>144101</v>
      </c>
      <c r="H763" s="110"/>
      <c r="I763" s="110"/>
      <c r="L763" s="134">
        <v>43123</v>
      </c>
      <c r="M763" s="110">
        <v>21.15</v>
      </c>
      <c r="N763" s="110">
        <v>21.25</v>
      </c>
      <c r="O763" s="110">
        <v>20.85</v>
      </c>
      <c r="P763" s="110">
        <v>21.1</v>
      </c>
      <c r="Q763" s="110">
        <v>21.15</v>
      </c>
      <c r="R763">
        <v>1281203</v>
      </c>
    </row>
    <row r="764" spans="1:18" x14ac:dyDescent="0.25">
      <c r="A764" s="134">
        <v>43124</v>
      </c>
      <c r="B764" s="110">
        <v>21.5</v>
      </c>
      <c r="C764" s="110">
        <v>21.2</v>
      </c>
      <c r="D764" s="110">
        <v>20.9</v>
      </c>
      <c r="E764" s="110">
        <v>21.25</v>
      </c>
      <c r="F764" s="110">
        <v>21.2</v>
      </c>
      <c r="G764">
        <v>174413</v>
      </c>
      <c r="H764" s="110"/>
      <c r="I764" s="110"/>
      <c r="L764" s="134">
        <v>43124</v>
      </c>
      <c r="M764" s="110">
        <v>21.15</v>
      </c>
      <c r="N764" s="110">
        <v>21.35</v>
      </c>
      <c r="O764" s="110">
        <v>20.9</v>
      </c>
      <c r="P764" s="110">
        <v>21.25</v>
      </c>
      <c r="Q764" s="110">
        <v>21.15</v>
      </c>
      <c r="R764">
        <v>1519396</v>
      </c>
    </row>
    <row r="765" spans="1:18" x14ac:dyDescent="0.25">
      <c r="A765" s="134">
        <v>43125</v>
      </c>
      <c r="B765" s="110">
        <v>22.55</v>
      </c>
      <c r="C765" s="110">
        <v>20.7</v>
      </c>
      <c r="D765" s="110">
        <v>20.55</v>
      </c>
      <c r="E765" s="110">
        <v>22.35</v>
      </c>
      <c r="F765" s="110">
        <v>20.7</v>
      </c>
      <c r="G765">
        <v>693267</v>
      </c>
      <c r="H765" s="110"/>
      <c r="I765" s="110"/>
      <c r="L765" s="134">
        <v>43125</v>
      </c>
      <c r="M765" s="110">
        <v>20.65</v>
      </c>
      <c r="N765" s="110">
        <v>22.5</v>
      </c>
      <c r="O765" s="110">
        <v>20.55</v>
      </c>
      <c r="P765" s="110">
        <v>22.5</v>
      </c>
      <c r="Q765" s="110">
        <v>20.65</v>
      </c>
      <c r="R765">
        <v>4283710</v>
      </c>
    </row>
    <row r="766" spans="1:18" x14ac:dyDescent="0.25">
      <c r="A766" s="134">
        <v>43129</v>
      </c>
      <c r="B766" s="110">
        <v>21.2</v>
      </c>
      <c r="C766" s="110">
        <v>20.7</v>
      </c>
      <c r="D766" s="110">
        <v>20.65</v>
      </c>
      <c r="E766" s="110">
        <v>21.2</v>
      </c>
      <c r="F766" s="110">
        <v>20.7</v>
      </c>
      <c r="G766">
        <v>197120</v>
      </c>
      <c r="H766" s="110"/>
      <c r="I766" s="110"/>
      <c r="L766" s="134">
        <v>43129</v>
      </c>
      <c r="M766" s="110">
        <v>20.6</v>
      </c>
      <c r="N766" s="110">
        <v>21.05</v>
      </c>
      <c r="O766" s="110">
        <v>20.55</v>
      </c>
      <c r="P766" s="110">
        <v>21</v>
      </c>
      <c r="Q766" s="110">
        <v>20.6</v>
      </c>
      <c r="R766">
        <v>1096865</v>
      </c>
    </row>
    <row r="767" spans="1:18" x14ac:dyDescent="0.25">
      <c r="A767" s="134">
        <v>43130</v>
      </c>
      <c r="B767" s="110">
        <v>21</v>
      </c>
      <c r="C767" s="110">
        <v>19.850000000000001</v>
      </c>
      <c r="D767" s="110">
        <v>19.399999999999999</v>
      </c>
      <c r="E767" s="110">
        <v>21</v>
      </c>
      <c r="F767" s="110">
        <v>19.850000000000001</v>
      </c>
      <c r="G767">
        <v>430810</v>
      </c>
      <c r="H767" s="110"/>
      <c r="I767" s="110"/>
      <c r="L767" s="134">
        <v>43130</v>
      </c>
      <c r="M767" s="110">
        <v>19.8</v>
      </c>
      <c r="N767" s="110">
        <v>20.9</v>
      </c>
      <c r="O767" s="110">
        <v>19.399999999999999</v>
      </c>
      <c r="P767" s="110">
        <v>20.9</v>
      </c>
      <c r="Q767" s="110">
        <v>19.8</v>
      </c>
      <c r="R767">
        <v>3379356</v>
      </c>
    </row>
    <row r="768" spans="1:18" x14ac:dyDescent="0.25">
      <c r="A768" s="134">
        <v>43131</v>
      </c>
      <c r="B768" s="110">
        <v>20</v>
      </c>
      <c r="C768" s="110">
        <v>19.95</v>
      </c>
      <c r="D768" s="110">
        <v>19.5</v>
      </c>
      <c r="E768" s="110">
        <v>19.850000000000001</v>
      </c>
      <c r="F768" s="110">
        <v>19.95</v>
      </c>
      <c r="G768">
        <v>150833</v>
      </c>
      <c r="H768" s="110"/>
      <c r="I768" s="110"/>
      <c r="L768" s="134">
        <v>43131</v>
      </c>
      <c r="M768" s="110">
        <v>19.850000000000001</v>
      </c>
      <c r="N768" s="110">
        <v>19.899999999999999</v>
      </c>
      <c r="O768" s="110">
        <v>19.399999999999999</v>
      </c>
      <c r="P768" s="110">
        <v>19.899999999999999</v>
      </c>
      <c r="Q768" s="110">
        <v>19.850000000000001</v>
      </c>
      <c r="R768">
        <v>1572355</v>
      </c>
    </row>
    <row r="769" spans="1:18" x14ac:dyDescent="0.25">
      <c r="A769" s="134">
        <v>43132</v>
      </c>
      <c r="B769" s="110">
        <v>20.45</v>
      </c>
      <c r="C769" s="110">
        <v>19.899999999999999</v>
      </c>
      <c r="D769" s="110">
        <v>19.75</v>
      </c>
      <c r="E769" s="110">
        <v>20.45</v>
      </c>
      <c r="F769" s="110">
        <v>19.899999999999999</v>
      </c>
      <c r="G769">
        <v>281275</v>
      </c>
      <c r="H769" s="110"/>
      <c r="I769" s="110"/>
      <c r="L769" s="134">
        <v>43132</v>
      </c>
      <c r="M769" s="110">
        <v>19.850000000000001</v>
      </c>
      <c r="N769" s="110">
        <v>20.2</v>
      </c>
      <c r="O769" s="110">
        <v>19.5</v>
      </c>
      <c r="P769" s="110">
        <v>20</v>
      </c>
      <c r="Q769" s="110">
        <v>19.850000000000001</v>
      </c>
      <c r="R769">
        <v>1429375</v>
      </c>
    </row>
    <row r="770" spans="1:18" x14ac:dyDescent="0.25">
      <c r="A770" s="134">
        <v>43133</v>
      </c>
      <c r="B770" s="110">
        <v>19.75</v>
      </c>
      <c r="C770" s="110">
        <v>19.2</v>
      </c>
      <c r="D770" s="110">
        <v>19.05</v>
      </c>
      <c r="E770" s="110">
        <v>19.75</v>
      </c>
      <c r="F770" s="110">
        <v>19.2</v>
      </c>
      <c r="G770">
        <v>204032</v>
      </c>
      <c r="H770" s="110"/>
      <c r="I770" s="110"/>
      <c r="L770" s="134">
        <v>43133</v>
      </c>
      <c r="M770" s="110">
        <v>19.149999999999999</v>
      </c>
      <c r="N770" s="110">
        <v>19.8</v>
      </c>
      <c r="O770" s="110">
        <v>19.05</v>
      </c>
      <c r="P770" s="110">
        <v>19.55</v>
      </c>
      <c r="Q770" s="110">
        <v>19.149999999999999</v>
      </c>
      <c r="R770">
        <v>1514110</v>
      </c>
    </row>
    <row r="771" spans="1:18" x14ac:dyDescent="0.25">
      <c r="A771" s="134">
        <v>43136</v>
      </c>
      <c r="B771" s="110">
        <v>19.5</v>
      </c>
      <c r="C771" s="110">
        <v>19.350000000000001</v>
      </c>
      <c r="D771" s="110">
        <v>18.75</v>
      </c>
      <c r="E771" s="110">
        <v>19</v>
      </c>
      <c r="F771" s="110">
        <v>19.350000000000001</v>
      </c>
      <c r="G771">
        <v>151835</v>
      </c>
      <c r="H771" s="110"/>
      <c r="I771" s="110"/>
      <c r="L771" s="134">
        <v>43136</v>
      </c>
      <c r="M771" s="110">
        <v>19.350000000000001</v>
      </c>
      <c r="N771" s="110">
        <v>19.55</v>
      </c>
      <c r="O771" s="110">
        <v>18.75</v>
      </c>
      <c r="P771" s="110">
        <v>19.100000000000001</v>
      </c>
      <c r="Q771" s="110">
        <v>19.350000000000001</v>
      </c>
      <c r="R771">
        <v>990372</v>
      </c>
    </row>
    <row r="772" spans="1:18" x14ac:dyDescent="0.25">
      <c r="A772" s="134">
        <v>43137</v>
      </c>
      <c r="B772" s="110">
        <v>19.8</v>
      </c>
      <c r="C772" s="110">
        <v>19.100000000000001</v>
      </c>
      <c r="D772" s="110">
        <v>18.649999999999999</v>
      </c>
      <c r="E772" s="110">
        <v>19.25</v>
      </c>
      <c r="F772" s="110">
        <v>19.100000000000001</v>
      </c>
      <c r="G772">
        <v>307846</v>
      </c>
      <c r="H772" s="110"/>
      <c r="I772" s="110"/>
      <c r="L772" s="134">
        <v>43137</v>
      </c>
      <c r="M772" s="110">
        <v>19.100000000000001</v>
      </c>
      <c r="N772" s="110">
        <v>19.95</v>
      </c>
      <c r="O772" s="110">
        <v>18.600000000000001</v>
      </c>
      <c r="P772" s="110">
        <v>19</v>
      </c>
      <c r="Q772" s="110">
        <v>19.100000000000001</v>
      </c>
      <c r="R772">
        <v>2041131</v>
      </c>
    </row>
    <row r="773" spans="1:18" x14ac:dyDescent="0.25">
      <c r="A773" s="134">
        <v>43138</v>
      </c>
      <c r="B773" s="110">
        <v>19.45</v>
      </c>
      <c r="C773" s="110">
        <v>18.899999999999999</v>
      </c>
      <c r="D773" s="110">
        <v>18.850000000000001</v>
      </c>
      <c r="E773" s="110">
        <v>19.45</v>
      </c>
      <c r="F773" s="110">
        <v>18.899999999999999</v>
      </c>
      <c r="G773">
        <v>138850</v>
      </c>
      <c r="H773" s="110"/>
      <c r="I773" s="110"/>
      <c r="L773" s="134">
        <v>43138</v>
      </c>
      <c r="M773" s="110">
        <v>18.899999999999999</v>
      </c>
      <c r="N773" s="110">
        <v>19.399999999999999</v>
      </c>
      <c r="O773" s="110">
        <v>18.850000000000001</v>
      </c>
      <c r="P773" s="110">
        <v>19.149999999999999</v>
      </c>
      <c r="Q773" s="110">
        <v>18.899999999999999</v>
      </c>
      <c r="R773">
        <v>756063</v>
      </c>
    </row>
    <row r="774" spans="1:18" x14ac:dyDescent="0.25">
      <c r="A774" s="134">
        <v>43139</v>
      </c>
      <c r="B774" s="110">
        <v>19.2</v>
      </c>
      <c r="C774" s="110">
        <v>19.05</v>
      </c>
      <c r="D774" s="110">
        <v>18.600000000000001</v>
      </c>
      <c r="E774" s="110">
        <v>19.2</v>
      </c>
      <c r="F774" s="110">
        <v>19.05</v>
      </c>
      <c r="G774">
        <v>84836</v>
      </c>
      <c r="H774" s="110"/>
      <c r="I774" s="110"/>
      <c r="L774" s="134">
        <v>43139</v>
      </c>
      <c r="M774" s="110">
        <v>19</v>
      </c>
      <c r="N774" s="110">
        <v>19.2</v>
      </c>
      <c r="O774" s="110">
        <v>18.899999999999999</v>
      </c>
      <c r="P774" s="110">
        <v>19.2</v>
      </c>
      <c r="Q774" s="110">
        <v>19</v>
      </c>
      <c r="R774">
        <v>594422</v>
      </c>
    </row>
    <row r="775" spans="1:18" x14ac:dyDescent="0.25">
      <c r="A775" s="134">
        <v>43140</v>
      </c>
      <c r="B775" s="110">
        <v>19.05</v>
      </c>
      <c r="C775" s="110">
        <v>18.899999999999999</v>
      </c>
      <c r="D775" s="110">
        <v>18.5</v>
      </c>
      <c r="E775" s="110">
        <v>19.05</v>
      </c>
      <c r="F775" s="110">
        <v>18.899999999999999</v>
      </c>
      <c r="G775">
        <v>111498</v>
      </c>
      <c r="H775" s="110"/>
      <c r="I775" s="110"/>
      <c r="L775" s="134">
        <v>43140</v>
      </c>
      <c r="M775" s="110">
        <v>18.8</v>
      </c>
      <c r="N775" s="110">
        <v>19</v>
      </c>
      <c r="O775" s="110">
        <v>18.75</v>
      </c>
      <c r="P775" s="110">
        <v>19</v>
      </c>
      <c r="Q775" s="110">
        <v>18.8</v>
      </c>
      <c r="R775">
        <v>488173</v>
      </c>
    </row>
    <row r="776" spans="1:18" x14ac:dyDescent="0.25">
      <c r="A776" s="134">
        <v>43143</v>
      </c>
      <c r="B776" s="110">
        <v>19.2</v>
      </c>
      <c r="C776" s="110">
        <v>18.95</v>
      </c>
      <c r="D776" s="110">
        <v>18.850000000000001</v>
      </c>
      <c r="E776" s="110">
        <v>18.899999999999999</v>
      </c>
      <c r="F776" s="110">
        <v>18.95</v>
      </c>
      <c r="G776">
        <v>125327</v>
      </c>
      <c r="H776" s="110"/>
      <c r="I776" s="110"/>
      <c r="L776" s="134">
        <v>43143</v>
      </c>
      <c r="M776" s="110">
        <v>19</v>
      </c>
      <c r="N776" s="110">
        <v>19.149999999999999</v>
      </c>
      <c r="O776" s="110">
        <v>18.7</v>
      </c>
      <c r="P776" s="110">
        <v>18.899999999999999</v>
      </c>
      <c r="Q776" s="110">
        <v>19</v>
      </c>
      <c r="R776">
        <v>558269</v>
      </c>
    </row>
    <row r="777" spans="1:18" x14ac:dyDescent="0.25">
      <c r="A777" s="134">
        <v>43145</v>
      </c>
      <c r="B777" s="110">
        <v>19.350000000000001</v>
      </c>
      <c r="C777" s="110">
        <v>18.899999999999999</v>
      </c>
      <c r="D777" s="110">
        <v>18.8</v>
      </c>
      <c r="E777" s="110">
        <v>19.2</v>
      </c>
      <c r="F777" s="110">
        <v>18.899999999999999</v>
      </c>
      <c r="G777">
        <v>124298</v>
      </c>
      <c r="H777" s="110"/>
      <c r="I777" s="110"/>
      <c r="L777" s="134">
        <v>43145</v>
      </c>
      <c r="M777" s="110">
        <v>18.850000000000001</v>
      </c>
      <c r="N777" s="110">
        <v>19.3</v>
      </c>
      <c r="O777" s="110">
        <v>18.8</v>
      </c>
      <c r="P777" s="110">
        <v>18.95</v>
      </c>
      <c r="Q777" s="110">
        <v>18.850000000000001</v>
      </c>
      <c r="R777">
        <v>1132549</v>
      </c>
    </row>
    <row r="778" spans="1:18" x14ac:dyDescent="0.25">
      <c r="A778" s="134">
        <v>43146</v>
      </c>
      <c r="B778" s="110">
        <v>19</v>
      </c>
      <c r="C778" s="110">
        <v>18.649999999999999</v>
      </c>
      <c r="D778" s="110">
        <v>18.55</v>
      </c>
      <c r="E778" s="110">
        <v>18.899999999999999</v>
      </c>
      <c r="F778" s="110">
        <v>18.649999999999999</v>
      </c>
      <c r="G778">
        <v>123501</v>
      </c>
      <c r="H778" s="110"/>
      <c r="I778" s="110"/>
      <c r="L778" s="134">
        <v>43146</v>
      </c>
      <c r="M778" s="110">
        <v>18.75</v>
      </c>
      <c r="N778" s="110">
        <v>19</v>
      </c>
      <c r="O778" s="110">
        <v>18.600000000000001</v>
      </c>
      <c r="P778" s="110">
        <v>18.8</v>
      </c>
      <c r="Q778" s="110">
        <v>18.75</v>
      </c>
      <c r="R778">
        <v>765326</v>
      </c>
    </row>
    <row r="779" spans="1:18" x14ac:dyDescent="0.25">
      <c r="A779" s="134">
        <v>43147</v>
      </c>
      <c r="B779" s="110">
        <v>18.850000000000001</v>
      </c>
      <c r="C779" s="110">
        <v>18.399999999999999</v>
      </c>
      <c r="D779" s="110">
        <v>18.350000000000001</v>
      </c>
      <c r="E779" s="110">
        <v>18.7</v>
      </c>
      <c r="F779" s="110">
        <v>18.399999999999999</v>
      </c>
      <c r="G779">
        <v>288423</v>
      </c>
      <c r="H779" s="110"/>
      <c r="I779" s="110"/>
      <c r="L779" s="134">
        <v>43147</v>
      </c>
      <c r="M779" s="110">
        <v>18.45</v>
      </c>
      <c r="N779" s="110">
        <v>18.8</v>
      </c>
      <c r="O779" s="110">
        <v>18.350000000000001</v>
      </c>
      <c r="P779" s="110">
        <v>18.8</v>
      </c>
      <c r="Q779" s="110">
        <v>18.45</v>
      </c>
      <c r="R779">
        <v>1147275</v>
      </c>
    </row>
    <row r="780" spans="1:18" x14ac:dyDescent="0.25">
      <c r="A780" s="134">
        <v>43150</v>
      </c>
      <c r="B780" s="110">
        <v>19</v>
      </c>
      <c r="C780" s="110">
        <v>17.149999999999999</v>
      </c>
      <c r="D780" s="110">
        <v>16.899999999999999</v>
      </c>
      <c r="E780" s="110">
        <v>19</v>
      </c>
      <c r="F780" s="110">
        <v>17.149999999999999</v>
      </c>
      <c r="G780">
        <v>328740</v>
      </c>
      <c r="H780" s="110"/>
      <c r="I780" s="110"/>
      <c r="L780" s="134">
        <v>43150</v>
      </c>
      <c r="M780" s="110">
        <v>16.899999999999999</v>
      </c>
      <c r="N780" s="110">
        <v>18.5</v>
      </c>
      <c r="O780" s="110">
        <v>16.75</v>
      </c>
      <c r="P780" s="110">
        <v>18.45</v>
      </c>
      <c r="Q780" s="110">
        <v>16.899999999999999</v>
      </c>
      <c r="R780">
        <v>3145674</v>
      </c>
    </row>
    <row r="781" spans="1:18" x14ac:dyDescent="0.25">
      <c r="A781" s="134">
        <v>43151</v>
      </c>
      <c r="B781" s="110">
        <v>17.149999999999999</v>
      </c>
      <c r="C781" s="110">
        <v>16.899999999999999</v>
      </c>
      <c r="D781" s="110">
        <v>16.100000000000001</v>
      </c>
      <c r="E781" s="110">
        <v>17.149999999999999</v>
      </c>
      <c r="F781" s="110">
        <v>16.899999999999999</v>
      </c>
      <c r="G781">
        <v>219835</v>
      </c>
      <c r="H781" s="110"/>
      <c r="I781" s="110"/>
      <c r="L781" s="134">
        <v>43151</v>
      </c>
      <c r="M781" s="110">
        <v>16.8</v>
      </c>
      <c r="N781" s="110">
        <v>17.100000000000001</v>
      </c>
      <c r="O781" s="110">
        <v>16</v>
      </c>
      <c r="P781" s="110">
        <v>16.7</v>
      </c>
      <c r="Q781" s="110">
        <v>16.8</v>
      </c>
      <c r="R781">
        <v>1291255</v>
      </c>
    </row>
    <row r="782" spans="1:18" x14ac:dyDescent="0.25">
      <c r="A782" s="134">
        <v>43152</v>
      </c>
      <c r="B782" s="110">
        <v>17.05</v>
      </c>
      <c r="C782" s="110">
        <v>16.899999999999999</v>
      </c>
      <c r="D782" s="110">
        <v>16.600000000000001</v>
      </c>
      <c r="E782" s="110">
        <v>17</v>
      </c>
      <c r="F782" s="110">
        <v>16.899999999999999</v>
      </c>
      <c r="G782">
        <v>262565</v>
      </c>
      <c r="H782" s="110"/>
      <c r="I782" s="110"/>
      <c r="L782" s="134">
        <v>43152</v>
      </c>
      <c r="M782" s="110">
        <v>16.899999999999999</v>
      </c>
      <c r="N782" s="110">
        <v>17.100000000000001</v>
      </c>
      <c r="O782" s="110">
        <v>16.649999999999999</v>
      </c>
      <c r="P782" s="110">
        <v>16.95</v>
      </c>
      <c r="Q782" s="110">
        <v>16.899999999999999</v>
      </c>
      <c r="R782">
        <v>733397</v>
      </c>
    </row>
    <row r="783" spans="1:18" x14ac:dyDescent="0.25">
      <c r="A783" s="134">
        <v>43153</v>
      </c>
      <c r="B783" s="110">
        <v>17</v>
      </c>
      <c r="C783" s="110">
        <v>16.75</v>
      </c>
      <c r="D783" s="110">
        <v>16.649999999999999</v>
      </c>
      <c r="E783" s="110">
        <v>16.95</v>
      </c>
      <c r="F783" s="110">
        <v>16.75</v>
      </c>
      <c r="G783">
        <v>126404</v>
      </c>
      <c r="H783" s="110"/>
      <c r="I783" s="110"/>
      <c r="L783" s="134">
        <v>43153</v>
      </c>
      <c r="M783" s="110">
        <v>16.7</v>
      </c>
      <c r="N783" s="110">
        <v>17</v>
      </c>
      <c r="O783" s="110">
        <v>16.55</v>
      </c>
      <c r="P783" s="110">
        <v>17</v>
      </c>
      <c r="Q783" s="110">
        <v>16.7</v>
      </c>
      <c r="R783">
        <v>828008</v>
      </c>
    </row>
    <row r="784" spans="1:18" x14ac:dyDescent="0.25">
      <c r="A784" s="134">
        <v>43154</v>
      </c>
      <c r="B784" s="110">
        <v>16.899999999999999</v>
      </c>
      <c r="C784" s="110">
        <v>16.8</v>
      </c>
      <c r="D784" s="110">
        <v>16.649999999999999</v>
      </c>
      <c r="E784" s="110">
        <v>16.75</v>
      </c>
      <c r="F784" s="110">
        <v>16.8</v>
      </c>
      <c r="G784">
        <v>136317</v>
      </c>
      <c r="H784" s="110"/>
      <c r="I784" s="110"/>
      <c r="L784" s="134">
        <v>43154</v>
      </c>
      <c r="M784" s="110">
        <v>16.75</v>
      </c>
      <c r="N784" s="110">
        <v>17</v>
      </c>
      <c r="O784" s="110">
        <v>16.55</v>
      </c>
      <c r="P784" s="110">
        <v>17</v>
      </c>
      <c r="Q784" s="110">
        <v>16.75</v>
      </c>
      <c r="R784">
        <v>661385</v>
      </c>
    </row>
    <row r="785" spans="1:18" x14ac:dyDescent="0.25">
      <c r="A785" s="134">
        <v>43157</v>
      </c>
      <c r="B785" s="110">
        <v>17.100000000000001</v>
      </c>
      <c r="C785" s="110">
        <v>16.850000000000001</v>
      </c>
      <c r="D785" s="110">
        <v>16.75</v>
      </c>
      <c r="E785" s="110">
        <v>16.8</v>
      </c>
      <c r="F785" s="110">
        <v>16.850000000000001</v>
      </c>
      <c r="G785">
        <v>111432</v>
      </c>
      <c r="H785" s="110"/>
      <c r="I785" s="110"/>
      <c r="L785" s="134">
        <v>43157</v>
      </c>
      <c r="M785" s="110">
        <v>16.850000000000001</v>
      </c>
      <c r="N785" s="110">
        <v>16.95</v>
      </c>
      <c r="O785" s="110">
        <v>16.75</v>
      </c>
      <c r="P785" s="110">
        <v>16.95</v>
      </c>
      <c r="Q785" s="110">
        <v>16.850000000000001</v>
      </c>
      <c r="R785">
        <v>855943</v>
      </c>
    </row>
    <row r="786" spans="1:18" x14ac:dyDescent="0.25">
      <c r="A786" s="134">
        <v>43158</v>
      </c>
      <c r="B786" s="110">
        <v>16.850000000000001</v>
      </c>
      <c r="C786" s="110">
        <v>16.55</v>
      </c>
      <c r="D786" s="110">
        <v>16.399999999999999</v>
      </c>
      <c r="E786" s="110">
        <v>16.75</v>
      </c>
      <c r="F786" s="110">
        <v>16.55</v>
      </c>
      <c r="G786">
        <v>65455</v>
      </c>
      <c r="H786" s="110"/>
      <c r="I786" s="110"/>
      <c r="L786" s="134">
        <v>43158</v>
      </c>
      <c r="M786" s="110">
        <v>16.55</v>
      </c>
      <c r="N786" s="110">
        <v>16.95</v>
      </c>
      <c r="O786" s="110">
        <v>16.399999999999999</v>
      </c>
      <c r="P786" s="110">
        <v>16.95</v>
      </c>
      <c r="Q786" s="110">
        <v>16.55</v>
      </c>
      <c r="R786">
        <v>572616</v>
      </c>
    </row>
    <row r="787" spans="1:18" x14ac:dyDescent="0.25">
      <c r="A787" s="134">
        <v>43159</v>
      </c>
      <c r="B787" s="110">
        <v>16.899999999999999</v>
      </c>
      <c r="C787" s="110">
        <v>16.75</v>
      </c>
      <c r="D787" s="110">
        <v>16</v>
      </c>
      <c r="E787" s="110">
        <v>16.399999999999999</v>
      </c>
      <c r="F787" s="110">
        <v>16.75</v>
      </c>
      <c r="G787">
        <v>134962</v>
      </c>
      <c r="H787" s="110"/>
      <c r="I787" s="110"/>
      <c r="L787" s="134">
        <v>43159</v>
      </c>
      <c r="M787" s="110">
        <v>16.8</v>
      </c>
      <c r="N787" s="110">
        <v>17.149999999999999</v>
      </c>
      <c r="O787" s="110">
        <v>16</v>
      </c>
      <c r="P787" s="110">
        <v>16.55</v>
      </c>
      <c r="Q787" s="110">
        <v>16.8</v>
      </c>
      <c r="R787">
        <v>1415271</v>
      </c>
    </row>
    <row r="788" spans="1:18" x14ac:dyDescent="0.25">
      <c r="A788" s="134">
        <v>43160</v>
      </c>
      <c r="B788" s="110">
        <v>16.95</v>
      </c>
      <c r="C788" s="110">
        <v>16.649999999999999</v>
      </c>
      <c r="D788" s="110">
        <v>16.5</v>
      </c>
      <c r="E788" s="110">
        <v>16.8</v>
      </c>
      <c r="F788" s="110">
        <v>16.649999999999999</v>
      </c>
      <c r="G788">
        <v>88486</v>
      </c>
      <c r="H788" s="110"/>
      <c r="I788" s="110"/>
      <c r="L788" s="134">
        <v>43160</v>
      </c>
      <c r="M788" s="110">
        <v>16.649999999999999</v>
      </c>
      <c r="N788" s="110">
        <v>16.95</v>
      </c>
      <c r="O788" s="110">
        <v>16.399999999999999</v>
      </c>
      <c r="P788" s="110">
        <v>16.7</v>
      </c>
      <c r="Q788" s="110">
        <v>16.649999999999999</v>
      </c>
      <c r="R788">
        <v>742374</v>
      </c>
    </row>
    <row r="789" spans="1:18" x14ac:dyDescent="0.25">
      <c r="A789" s="134">
        <v>43164</v>
      </c>
      <c r="B789" s="110">
        <v>16.899999999999999</v>
      </c>
      <c r="C789" s="110">
        <v>16.05</v>
      </c>
      <c r="D789" s="110">
        <v>15.9</v>
      </c>
      <c r="E789" s="110">
        <v>16.5</v>
      </c>
      <c r="F789" s="110">
        <v>16.05</v>
      </c>
      <c r="G789">
        <v>94225</v>
      </c>
      <c r="H789" s="110"/>
      <c r="I789" s="110"/>
      <c r="L789" s="134">
        <v>43164</v>
      </c>
      <c r="M789" s="110">
        <v>15.95</v>
      </c>
      <c r="N789" s="110">
        <v>16.850000000000001</v>
      </c>
      <c r="O789" s="110">
        <v>15.8</v>
      </c>
      <c r="P789" s="110">
        <v>16.649999999999999</v>
      </c>
      <c r="Q789" s="110">
        <v>15.95</v>
      </c>
      <c r="R789">
        <v>1529134</v>
      </c>
    </row>
    <row r="790" spans="1:18" x14ac:dyDescent="0.25">
      <c r="A790" s="134">
        <v>43165</v>
      </c>
      <c r="B790" s="110">
        <v>16.350000000000001</v>
      </c>
      <c r="C790" s="110">
        <v>15.3</v>
      </c>
      <c r="D790" s="110">
        <v>15.2</v>
      </c>
      <c r="E790" s="110">
        <v>16.100000000000001</v>
      </c>
      <c r="F790" s="110">
        <v>15.3</v>
      </c>
      <c r="G790">
        <v>258379</v>
      </c>
      <c r="H790" s="110"/>
      <c r="I790" s="110"/>
      <c r="L790" s="134">
        <v>43165</v>
      </c>
      <c r="M790" s="110">
        <v>15.35</v>
      </c>
      <c r="N790" s="110">
        <v>16.3</v>
      </c>
      <c r="O790" s="110">
        <v>15.2</v>
      </c>
      <c r="P790" s="110">
        <v>16.2</v>
      </c>
      <c r="Q790" s="110">
        <v>15.35</v>
      </c>
      <c r="R790">
        <v>2349552</v>
      </c>
    </row>
    <row r="791" spans="1:18" x14ac:dyDescent="0.25">
      <c r="A791" s="134">
        <v>43166</v>
      </c>
      <c r="B791" s="110">
        <v>15.35</v>
      </c>
      <c r="C791" s="110">
        <v>14.55</v>
      </c>
      <c r="D791" s="110">
        <v>14.4</v>
      </c>
      <c r="E791" s="110">
        <v>15.35</v>
      </c>
      <c r="F791" s="110">
        <v>14.55</v>
      </c>
      <c r="G791">
        <v>343853</v>
      </c>
      <c r="H791" s="110"/>
      <c r="I791" s="110"/>
      <c r="L791" s="134">
        <v>43166</v>
      </c>
      <c r="M791" s="110">
        <v>14.4</v>
      </c>
      <c r="N791" s="110">
        <v>15.35</v>
      </c>
      <c r="O791" s="110">
        <v>14.3</v>
      </c>
      <c r="P791" s="110">
        <v>15.35</v>
      </c>
      <c r="Q791" s="110">
        <v>14.4</v>
      </c>
      <c r="R791">
        <v>3025939</v>
      </c>
    </row>
    <row r="792" spans="1:18" x14ac:dyDescent="0.25">
      <c r="A792" s="134">
        <v>43167</v>
      </c>
      <c r="B792" s="110">
        <v>15.6</v>
      </c>
      <c r="C792" s="110">
        <v>14.85</v>
      </c>
      <c r="D792" s="110">
        <v>14.1</v>
      </c>
      <c r="E792" s="110">
        <v>14.15</v>
      </c>
      <c r="F792" s="110">
        <v>14.85</v>
      </c>
      <c r="G792">
        <v>422491</v>
      </c>
      <c r="H792" s="110"/>
      <c r="I792" s="110"/>
      <c r="L792" s="134">
        <v>43167</v>
      </c>
      <c r="M792" s="110">
        <v>14.9</v>
      </c>
      <c r="N792" s="110">
        <v>15.9</v>
      </c>
      <c r="O792" s="110">
        <v>14</v>
      </c>
      <c r="P792" s="110">
        <v>14</v>
      </c>
      <c r="Q792" s="110">
        <v>14.9</v>
      </c>
      <c r="R792">
        <v>1966267</v>
      </c>
    </row>
    <row r="793" spans="1:18" x14ac:dyDescent="0.25">
      <c r="A793" s="134">
        <v>43168</v>
      </c>
      <c r="B793" s="110">
        <v>15.4</v>
      </c>
      <c r="C793" s="110">
        <v>14.8</v>
      </c>
      <c r="D793" s="110">
        <v>14.7</v>
      </c>
      <c r="E793" s="110">
        <v>15.05</v>
      </c>
      <c r="F793" s="110">
        <v>14.8</v>
      </c>
      <c r="G793">
        <v>201610</v>
      </c>
      <c r="H793" s="110"/>
      <c r="I793" s="110"/>
      <c r="L793" s="134">
        <v>43168</v>
      </c>
      <c r="M793" s="110">
        <v>14.75</v>
      </c>
      <c r="N793" s="110">
        <v>15.25</v>
      </c>
      <c r="O793" s="110">
        <v>14.65</v>
      </c>
      <c r="P793" s="110">
        <v>14.9</v>
      </c>
      <c r="Q793" s="110">
        <v>14.75</v>
      </c>
      <c r="R793">
        <v>810930</v>
      </c>
    </row>
    <row r="794" spans="1:18" x14ac:dyDescent="0.25">
      <c r="A794" s="134">
        <v>43171</v>
      </c>
      <c r="B794" s="110">
        <v>15</v>
      </c>
      <c r="C794" s="110">
        <v>14.35</v>
      </c>
      <c r="D794" s="110">
        <v>14</v>
      </c>
      <c r="E794" s="110">
        <v>15</v>
      </c>
      <c r="F794" s="110">
        <v>14.35</v>
      </c>
      <c r="G794">
        <v>194136</v>
      </c>
      <c r="H794" s="110"/>
      <c r="I794" s="110"/>
      <c r="L794" s="134">
        <v>43171</v>
      </c>
      <c r="M794" s="110">
        <v>14.25</v>
      </c>
      <c r="N794" s="110">
        <v>15</v>
      </c>
      <c r="O794" s="110">
        <v>13.95</v>
      </c>
      <c r="P794" s="110">
        <v>15</v>
      </c>
      <c r="Q794" s="110">
        <v>14.25</v>
      </c>
      <c r="R794">
        <v>1207719</v>
      </c>
    </row>
    <row r="795" spans="1:18" x14ac:dyDescent="0.25">
      <c r="A795" s="134">
        <v>43172</v>
      </c>
      <c r="B795" s="110">
        <v>15.35</v>
      </c>
      <c r="C795" s="110">
        <v>15.05</v>
      </c>
      <c r="D795" s="110">
        <v>14.05</v>
      </c>
      <c r="E795" s="110">
        <v>14.05</v>
      </c>
      <c r="F795" s="110">
        <v>15.05</v>
      </c>
      <c r="G795">
        <v>223856</v>
      </c>
      <c r="H795" s="110"/>
      <c r="I795" s="110"/>
      <c r="L795" s="134">
        <v>43172</v>
      </c>
      <c r="M795" s="110">
        <v>15</v>
      </c>
      <c r="N795" s="110">
        <v>15.4</v>
      </c>
      <c r="O795" s="110">
        <v>14.15</v>
      </c>
      <c r="P795" s="110">
        <v>14.2</v>
      </c>
      <c r="Q795" s="110">
        <v>15</v>
      </c>
      <c r="R795">
        <v>1523419</v>
      </c>
    </row>
    <row r="796" spans="1:18" x14ac:dyDescent="0.25">
      <c r="A796" s="134">
        <v>43173</v>
      </c>
      <c r="B796" s="110">
        <v>15</v>
      </c>
      <c r="C796" s="110">
        <v>14.85</v>
      </c>
      <c r="D796" s="110">
        <v>14.75</v>
      </c>
      <c r="E796" s="110">
        <v>15</v>
      </c>
      <c r="F796" s="110">
        <v>14.85</v>
      </c>
      <c r="G796">
        <v>220255</v>
      </c>
      <c r="H796" s="110"/>
      <c r="I796" s="110"/>
      <c r="L796" s="134">
        <v>43173</v>
      </c>
      <c r="M796" s="110">
        <v>14.8</v>
      </c>
      <c r="N796" s="110">
        <v>15.1</v>
      </c>
      <c r="O796" s="110">
        <v>14.7</v>
      </c>
      <c r="P796" s="110">
        <v>15.1</v>
      </c>
      <c r="Q796" s="110">
        <v>14.8</v>
      </c>
      <c r="R796">
        <v>1298056</v>
      </c>
    </row>
    <row r="797" spans="1:18" x14ac:dyDescent="0.25">
      <c r="A797" s="134">
        <v>43174</v>
      </c>
      <c r="B797" s="110">
        <v>15.15</v>
      </c>
      <c r="C797" s="110">
        <v>14.8</v>
      </c>
      <c r="D797" s="110">
        <v>14.75</v>
      </c>
      <c r="E797" s="110">
        <v>14.75</v>
      </c>
      <c r="F797" s="110">
        <v>14.8</v>
      </c>
      <c r="G797">
        <v>251474</v>
      </c>
      <c r="H797" s="110"/>
      <c r="I797" s="110"/>
      <c r="L797" s="134">
        <v>43174</v>
      </c>
      <c r="M797" s="110">
        <v>14.75</v>
      </c>
      <c r="N797" s="110">
        <v>15.1</v>
      </c>
      <c r="O797" s="110">
        <v>14.7</v>
      </c>
      <c r="P797" s="110">
        <v>15</v>
      </c>
      <c r="Q797" s="110">
        <v>14.75</v>
      </c>
      <c r="R797">
        <v>1254121</v>
      </c>
    </row>
    <row r="798" spans="1:18" x14ac:dyDescent="0.25">
      <c r="A798" s="134">
        <v>43175</v>
      </c>
      <c r="B798" s="110">
        <v>15.15</v>
      </c>
      <c r="C798" s="110">
        <v>14.85</v>
      </c>
      <c r="D798" s="110">
        <v>14.75</v>
      </c>
      <c r="E798" s="110">
        <v>15</v>
      </c>
      <c r="F798" s="110">
        <v>14.85</v>
      </c>
      <c r="G798">
        <v>336967</v>
      </c>
      <c r="H798" s="110"/>
      <c r="I798" s="110"/>
      <c r="L798" s="134">
        <v>43175</v>
      </c>
      <c r="M798" s="110">
        <v>14.8</v>
      </c>
      <c r="N798" s="110">
        <v>15.15</v>
      </c>
      <c r="O798" s="110">
        <v>14.75</v>
      </c>
      <c r="P798" s="110">
        <v>14.9</v>
      </c>
      <c r="Q798" s="110">
        <v>14.8</v>
      </c>
      <c r="R798">
        <v>2520180</v>
      </c>
    </row>
    <row r="799" spans="1:18" x14ac:dyDescent="0.25">
      <c r="A799" s="134">
        <v>43178</v>
      </c>
      <c r="B799" s="110">
        <v>15.1</v>
      </c>
      <c r="C799" s="110">
        <v>14.6</v>
      </c>
      <c r="D799" s="110">
        <v>14.55</v>
      </c>
      <c r="E799" s="110">
        <v>14.85</v>
      </c>
      <c r="F799" s="110">
        <v>14.6</v>
      </c>
      <c r="G799">
        <v>112841</v>
      </c>
      <c r="H799" s="110"/>
      <c r="I799" s="110"/>
      <c r="L799" s="134">
        <v>43178</v>
      </c>
      <c r="M799" s="110">
        <v>14.6</v>
      </c>
      <c r="N799" s="110">
        <v>15.1</v>
      </c>
      <c r="O799" s="110">
        <v>14.5</v>
      </c>
      <c r="P799" s="110">
        <v>15</v>
      </c>
      <c r="Q799" s="110">
        <v>14.6</v>
      </c>
      <c r="R799">
        <v>930498</v>
      </c>
    </row>
    <row r="800" spans="1:18" x14ac:dyDescent="0.25">
      <c r="A800" s="134">
        <v>43179</v>
      </c>
      <c r="B800" s="110">
        <v>14.75</v>
      </c>
      <c r="C800" s="110">
        <v>14.45</v>
      </c>
      <c r="D800" s="110">
        <v>14.35</v>
      </c>
      <c r="E800" s="110">
        <v>14.5</v>
      </c>
      <c r="F800" s="110">
        <v>14.45</v>
      </c>
      <c r="G800">
        <v>207160</v>
      </c>
      <c r="H800" s="110"/>
      <c r="I800" s="110"/>
      <c r="L800" s="134">
        <v>43179</v>
      </c>
      <c r="M800" s="110">
        <v>14.4</v>
      </c>
      <c r="N800" s="110">
        <v>14.8</v>
      </c>
      <c r="O800" s="110">
        <v>14.3</v>
      </c>
      <c r="P800" s="110">
        <v>14.55</v>
      </c>
      <c r="Q800" s="110">
        <v>14.4</v>
      </c>
      <c r="R800">
        <v>851862</v>
      </c>
    </row>
    <row r="801" spans="1:18" x14ac:dyDescent="0.25">
      <c r="A801" s="134">
        <v>43180</v>
      </c>
      <c r="B801" s="110">
        <v>14.65</v>
      </c>
      <c r="C801" s="110">
        <v>14.35</v>
      </c>
      <c r="D801" s="110">
        <v>14.1</v>
      </c>
      <c r="E801" s="110">
        <v>14.45</v>
      </c>
      <c r="F801" s="110">
        <v>14.35</v>
      </c>
      <c r="G801">
        <v>104264</v>
      </c>
      <c r="H801" s="110"/>
      <c r="I801" s="110"/>
      <c r="L801" s="134">
        <v>43180</v>
      </c>
      <c r="M801" s="110">
        <v>14.4</v>
      </c>
      <c r="N801" s="110">
        <v>14.65</v>
      </c>
      <c r="O801" s="110">
        <v>14.35</v>
      </c>
      <c r="P801" s="110">
        <v>14.45</v>
      </c>
      <c r="Q801" s="110">
        <v>14.4</v>
      </c>
      <c r="R801">
        <v>847840</v>
      </c>
    </row>
    <row r="802" spans="1:18" x14ac:dyDescent="0.25">
      <c r="A802" s="134">
        <v>43181</v>
      </c>
      <c r="B802" s="110">
        <v>14.45</v>
      </c>
      <c r="C802" s="110">
        <v>14</v>
      </c>
      <c r="D802" s="110">
        <v>13.95</v>
      </c>
      <c r="E802" s="110">
        <v>14.4</v>
      </c>
      <c r="F802" s="110">
        <v>14</v>
      </c>
      <c r="G802">
        <v>306700</v>
      </c>
      <c r="H802" s="110"/>
      <c r="I802" s="110"/>
      <c r="L802" s="134">
        <v>43181</v>
      </c>
      <c r="M802" s="110">
        <v>14.1</v>
      </c>
      <c r="N802" s="110">
        <v>14.45</v>
      </c>
      <c r="O802" s="110">
        <v>14</v>
      </c>
      <c r="P802" s="110">
        <v>14.45</v>
      </c>
      <c r="Q802" s="110">
        <v>14.1</v>
      </c>
      <c r="R802">
        <v>1121475</v>
      </c>
    </row>
    <row r="803" spans="1:18" x14ac:dyDescent="0.25">
      <c r="A803" s="134">
        <v>43182</v>
      </c>
      <c r="B803" s="110">
        <v>13.9</v>
      </c>
      <c r="C803" s="110">
        <v>13.75</v>
      </c>
      <c r="D803" s="110">
        <v>13.65</v>
      </c>
      <c r="E803" s="110">
        <v>13.9</v>
      </c>
      <c r="F803" s="110">
        <v>13.75</v>
      </c>
      <c r="G803">
        <v>176946</v>
      </c>
      <c r="H803" s="110"/>
      <c r="I803" s="110"/>
      <c r="L803" s="134">
        <v>43182</v>
      </c>
      <c r="M803" s="110">
        <v>13.65</v>
      </c>
      <c r="N803" s="110">
        <v>13.9</v>
      </c>
      <c r="O803" s="110">
        <v>13.6</v>
      </c>
      <c r="P803" s="110">
        <v>13.9</v>
      </c>
      <c r="Q803" s="110">
        <v>13.65</v>
      </c>
      <c r="R803">
        <v>1001009</v>
      </c>
    </row>
    <row r="804" spans="1:18" x14ac:dyDescent="0.25">
      <c r="A804" s="134">
        <v>43185</v>
      </c>
      <c r="B804" s="110">
        <v>13.95</v>
      </c>
      <c r="C804" s="110">
        <v>13.6</v>
      </c>
      <c r="D804" s="110">
        <v>13.5</v>
      </c>
      <c r="E804" s="110">
        <v>13.95</v>
      </c>
      <c r="F804" s="110">
        <v>13.6</v>
      </c>
      <c r="G804">
        <v>241720</v>
      </c>
      <c r="H804" s="110"/>
      <c r="I804" s="110"/>
      <c r="L804" s="134">
        <v>43185</v>
      </c>
      <c r="M804" s="110">
        <v>13.6</v>
      </c>
      <c r="N804" s="110">
        <v>13.85</v>
      </c>
      <c r="O804" s="110">
        <v>13.35</v>
      </c>
      <c r="P804" s="110">
        <v>13.65</v>
      </c>
      <c r="Q804" s="110">
        <v>13.6</v>
      </c>
      <c r="R804">
        <v>1173619</v>
      </c>
    </row>
    <row r="805" spans="1:18" x14ac:dyDescent="0.25">
      <c r="A805" s="134">
        <v>43186</v>
      </c>
      <c r="B805" s="110">
        <v>14.35</v>
      </c>
      <c r="C805" s="110">
        <v>14</v>
      </c>
      <c r="D805" s="110">
        <v>13.75</v>
      </c>
      <c r="E805" s="110">
        <v>14</v>
      </c>
      <c r="F805" s="110">
        <v>14</v>
      </c>
      <c r="G805">
        <v>142974</v>
      </c>
      <c r="H805" s="110"/>
      <c r="I805" s="110"/>
      <c r="L805" s="134">
        <v>43186</v>
      </c>
      <c r="M805" s="110">
        <v>13.95</v>
      </c>
      <c r="N805" s="110">
        <v>14.4</v>
      </c>
      <c r="O805" s="110">
        <v>13.75</v>
      </c>
      <c r="P805" s="110">
        <v>13.8</v>
      </c>
      <c r="Q805" s="110">
        <v>13.95</v>
      </c>
      <c r="R805">
        <v>1079090</v>
      </c>
    </row>
    <row r="806" spans="1:18" x14ac:dyDescent="0.25">
      <c r="A806" s="134">
        <v>43187</v>
      </c>
      <c r="B806" s="110">
        <v>13.9</v>
      </c>
      <c r="C806" s="110">
        <v>13.6</v>
      </c>
      <c r="D806" s="110">
        <v>13.55</v>
      </c>
      <c r="E806" s="110">
        <v>13.9</v>
      </c>
      <c r="F806" s="110">
        <v>13.6</v>
      </c>
      <c r="G806">
        <v>201941</v>
      </c>
      <c r="H806" s="110"/>
      <c r="I806" s="110"/>
      <c r="L806" s="134">
        <v>43187</v>
      </c>
      <c r="M806" s="110">
        <v>13.6</v>
      </c>
      <c r="N806" s="110">
        <v>13.85</v>
      </c>
      <c r="O806" s="110">
        <v>13.5</v>
      </c>
      <c r="P806" s="110">
        <v>13.75</v>
      </c>
      <c r="Q806" s="110">
        <v>13.6</v>
      </c>
      <c r="R806">
        <v>1013112</v>
      </c>
    </row>
    <row r="807" spans="1:18" x14ac:dyDescent="0.25">
      <c r="A807" s="134">
        <v>43192</v>
      </c>
      <c r="B807" s="110">
        <v>13.95</v>
      </c>
      <c r="C807" s="110">
        <v>13.75</v>
      </c>
      <c r="D807" s="110">
        <v>13.6</v>
      </c>
      <c r="E807" s="110">
        <v>13.75</v>
      </c>
      <c r="F807" s="110">
        <v>13.75</v>
      </c>
      <c r="G807">
        <v>100267</v>
      </c>
      <c r="H807" s="110"/>
      <c r="I807" s="110"/>
      <c r="L807" s="134">
        <v>43192</v>
      </c>
      <c r="M807" s="110">
        <v>13.75</v>
      </c>
      <c r="N807" s="110">
        <v>13.95</v>
      </c>
      <c r="O807" s="110">
        <v>13.6</v>
      </c>
      <c r="P807" s="110">
        <v>13.95</v>
      </c>
      <c r="Q807" s="110">
        <v>13.75</v>
      </c>
      <c r="R807">
        <v>743445</v>
      </c>
    </row>
    <row r="808" spans="1:18" x14ac:dyDescent="0.25">
      <c r="A808" s="134">
        <v>43193</v>
      </c>
      <c r="B808" s="110">
        <v>14.1</v>
      </c>
      <c r="C808" s="110">
        <v>14</v>
      </c>
      <c r="D808" s="110">
        <v>13.8</v>
      </c>
      <c r="E808" s="110">
        <v>13.9</v>
      </c>
      <c r="F808" s="110">
        <v>14</v>
      </c>
      <c r="G808">
        <v>227758</v>
      </c>
      <c r="H808" s="110"/>
      <c r="I808" s="110"/>
      <c r="L808" s="134">
        <v>43193</v>
      </c>
      <c r="M808" s="110">
        <v>14</v>
      </c>
      <c r="N808" s="110">
        <v>14.1</v>
      </c>
      <c r="O808" s="110">
        <v>13.75</v>
      </c>
      <c r="P808" s="110">
        <v>13.8</v>
      </c>
      <c r="Q808" s="110">
        <v>14</v>
      </c>
      <c r="R808">
        <v>1031669</v>
      </c>
    </row>
    <row r="809" spans="1:18" x14ac:dyDescent="0.25">
      <c r="A809" s="134">
        <v>43194</v>
      </c>
      <c r="B809" s="110">
        <v>14.3</v>
      </c>
      <c r="C809" s="110">
        <v>13.9</v>
      </c>
      <c r="D809" s="110">
        <v>13.85</v>
      </c>
      <c r="E809" s="110">
        <v>13.95</v>
      </c>
      <c r="F809" s="110">
        <v>13.9</v>
      </c>
      <c r="G809">
        <v>228515</v>
      </c>
      <c r="H809" s="110"/>
      <c r="I809" s="110"/>
      <c r="L809" s="134">
        <v>43194</v>
      </c>
      <c r="M809" s="110">
        <v>13.85</v>
      </c>
      <c r="N809" s="110">
        <v>14.25</v>
      </c>
      <c r="O809" s="110">
        <v>13.8</v>
      </c>
      <c r="P809" s="110">
        <v>14.05</v>
      </c>
      <c r="Q809" s="110">
        <v>13.85</v>
      </c>
      <c r="R809">
        <v>906481</v>
      </c>
    </row>
    <row r="810" spans="1:18" x14ac:dyDescent="0.25">
      <c r="A810" s="134">
        <v>43195</v>
      </c>
      <c r="B810" s="110">
        <v>14.4</v>
      </c>
      <c r="C810" s="110">
        <v>14.2</v>
      </c>
      <c r="D810" s="110">
        <v>13.95</v>
      </c>
      <c r="E810" s="110">
        <v>14.3</v>
      </c>
      <c r="F810" s="110">
        <v>14.2</v>
      </c>
      <c r="G810">
        <v>179574</v>
      </c>
      <c r="H810" s="110"/>
      <c r="I810" s="110"/>
      <c r="L810" s="134">
        <v>43195</v>
      </c>
      <c r="M810" s="110">
        <v>14.2</v>
      </c>
      <c r="N810" s="110">
        <v>14.45</v>
      </c>
      <c r="O810" s="110">
        <v>13.95</v>
      </c>
      <c r="P810" s="110">
        <v>14.25</v>
      </c>
      <c r="Q810" s="110">
        <v>14.2</v>
      </c>
      <c r="R810">
        <v>968400</v>
      </c>
    </row>
    <row r="811" spans="1:18" x14ac:dyDescent="0.25">
      <c r="A811" s="134">
        <v>43196</v>
      </c>
      <c r="B811" s="110">
        <v>14.7</v>
      </c>
      <c r="C811" s="110">
        <v>14.3</v>
      </c>
      <c r="D811" s="110">
        <v>14.05</v>
      </c>
      <c r="E811" s="110">
        <v>14.7</v>
      </c>
      <c r="F811" s="110">
        <v>14.3</v>
      </c>
      <c r="G811">
        <v>105567</v>
      </c>
      <c r="H811" s="110"/>
      <c r="I811" s="110"/>
      <c r="L811" s="134">
        <v>43196</v>
      </c>
      <c r="M811" s="110">
        <v>14.3</v>
      </c>
      <c r="N811" s="110">
        <v>14.45</v>
      </c>
      <c r="O811" s="110">
        <v>14.05</v>
      </c>
      <c r="P811" s="110">
        <v>14.25</v>
      </c>
      <c r="Q811" s="110">
        <v>14.3</v>
      </c>
      <c r="R811">
        <v>780925</v>
      </c>
    </row>
    <row r="812" spans="1:18" x14ac:dyDescent="0.25">
      <c r="A812" s="134">
        <v>43199</v>
      </c>
      <c r="B812" s="110">
        <v>14.85</v>
      </c>
      <c r="C812" s="110">
        <v>14.8</v>
      </c>
      <c r="D812" s="110">
        <v>14.35</v>
      </c>
      <c r="E812" s="110">
        <v>14.45</v>
      </c>
      <c r="F812" s="110">
        <v>14.8</v>
      </c>
      <c r="G812">
        <v>164243</v>
      </c>
      <c r="H812" s="110"/>
      <c r="I812" s="110"/>
      <c r="L812" s="134">
        <v>43199</v>
      </c>
      <c r="M812" s="110">
        <v>14.8</v>
      </c>
      <c r="N812" s="110">
        <v>14.95</v>
      </c>
      <c r="O812" s="110">
        <v>14.3</v>
      </c>
      <c r="P812" s="110">
        <v>14.45</v>
      </c>
      <c r="Q812" s="110">
        <v>14.8</v>
      </c>
      <c r="R812">
        <v>960191</v>
      </c>
    </row>
    <row r="813" spans="1:18" x14ac:dyDescent="0.25">
      <c r="A813" s="134">
        <v>43200</v>
      </c>
      <c r="B813" s="110">
        <v>14.9</v>
      </c>
      <c r="C813" s="110">
        <v>14.75</v>
      </c>
      <c r="D813" s="110">
        <v>14.65</v>
      </c>
      <c r="E813" s="110">
        <v>14.8</v>
      </c>
      <c r="F813" s="110">
        <v>14.75</v>
      </c>
      <c r="G813">
        <v>81705</v>
      </c>
      <c r="H813" s="110"/>
      <c r="I813" s="110"/>
      <c r="L813" s="134">
        <v>43200</v>
      </c>
      <c r="M813" s="110">
        <v>14.65</v>
      </c>
      <c r="N813" s="110">
        <v>14.9</v>
      </c>
      <c r="O813" s="110">
        <v>14.6</v>
      </c>
      <c r="P813" s="110">
        <v>14.85</v>
      </c>
      <c r="Q813" s="110">
        <v>14.65</v>
      </c>
      <c r="R813">
        <v>557134</v>
      </c>
    </row>
    <row r="814" spans="1:18" x14ac:dyDescent="0.25">
      <c r="A814" s="134">
        <v>43201</v>
      </c>
      <c r="B814" s="110">
        <v>14.8</v>
      </c>
      <c r="C814" s="110">
        <v>14.65</v>
      </c>
      <c r="D814" s="110">
        <v>14.5</v>
      </c>
      <c r="E814" s="110">
        <v>14.75</v>
      </c>
      <c r="F814" s="110">
        <v>14.65</v>
      </c>
      <c r="G814">
        <v>48997</v>
      </c>
      <c r="H814" s="110"/>
      <c r="I814" s="110"/>
      <c r="L814" s="134">
        <v>43201</v>
      </c>
      <c r="M814" s="110">
        <v>14.65</v>
      </c>
      <c r="N814" s="110">
        <v>14.8</v>
      </c>
      <c r="O814" s="110">
        <v>14.5</v>
      </c>
      <c r="P814" s="110">
        <v>14.75</v>
      </c>
      <c r="Q814" s="110">
        <v>14.65</v>
      </c>
      <c r="R814">
        <v>998674</v>
      </c>
    </row>
    <row r="815" spans="1:18" x14ac:dyDescent="0.25">
      <c r="A815" s="134">
        <v>43202</v>
      </c>
      <c r="B815" s="110">
        <v>14.65</v>
      </c>
      <c r="C815" s="110">
        <v>14.35</v>
      </c>
      <c r="D815" s="110">
        <v>14.3</v>
      </c>
      <c r="E815" s="110">
        <v>14.65</v>
      </c>
      <c r="F815" s="110">
        <v>14.35</v>
      </c>
      <c r="G815">
        <v>31839</v>
      </c>
      <c r="H815" s="110"/>
      <c r="I815" s="110"/>
      <c r="L815" s="134">
        <v>43202</v>
      </c>
      <c r="M815" s="110">
        <v>14.35</v>
      </c>
      <c r="N815" s="110">
        <v>14.65</v>
      </c>
      <c r="O815" s="110">
        <v>14.25</v>
      </c>
      <c r="P815" s="110">
        <v>14.65</v>
      </c>
      <c r="Q815" s="110">
        <v>14.35</v>
      </c>
      <c r="R815">
        <v>349811</v>
      </c>
    </row>
    <row r="816" spans="1:18" x14ac:dyDescent="0.25">
      <c r="A816" s="134">
        <v>43203</v>
      </c>
      <c r="B816" s="110">
        <v>14.55</v>
      </c>
      <c r="C816" s="110">
        <v>14.4</v>
      </c>
      <c r="D816" s="110">
        <v>14.35</v>
      </c>
      <c r="E816" s="110">
        <v>14.4</v>
      </c>
      <c r="F816" s="110">
        <v>14.4</v>
      </c>
      <c r="G816">
        <v>63486</v>
      </c>
      <c r="H816" s="110"/>
      <c r="I816" s="110"/>
      <c r="L816" s="134">
        <v>43203</v>
      </c>
      <c r="M816" s="110">
        <v>14.4</v>
      </c>
      <c r="N816" s="110">
        <v>14.55</v>
      </c>
      <c r="O816" s="110">
        <v>14.3</v>
      </c>
      <c r="P816" s="110">
        <v>14.55</v>
      </c>
      <c r="Q816" s="110">
        <v>14.4</v>
      </c>
      <c r="R816">
        <v>447198</v>
      </c>
    </row>
    <row r="817" spans="1:18" x14ac:dyDescent="0.25">
      <c r="A817" s="134">
        <v>43206</v>
      </c>
      <c r="B817" s="110">
        <v>14.4</v>
      </c>
      <c r="C817" s="110">
        <v>14.25</v>
      </c>
      <c r="D817" s="110">
        <v>14.1</v>
      </c>
      <c r="E817" s="110">
        <v>14.3</v>
      </c>
      <c r="F817" s="110">
        <v>14.25</v>
      </c>
      <c r="G817">
        <v>66648</v>
      </c>
      <c r="H817" s="110"/>
      <c r="I817" s="110"/>
      <c r="L817" s="134">
        <v>43206</v>
      </c>
      <c r="M817" s="110">
        <v>14.3</v>
      </c>
      <c r="N817" s="110">
        <v>14.4</v>
      </c>
      <c r="O817" s="110">
        <v>14.1</v>
      </c>
      <c r="P817" s="110">
        <v>14.3</v>
      </c>
      <c r="Q817" s="110">
        <v>14.3</v>
      </c>
      <c r="R817">
        <v>332504</v>
      </c>
    </row>
    <row r="818" spans="1:18" x14ac:dyDescent="0.25">
      <c r="A818" s="134">
        <v>43207</v>
      </c>
      <c r="B818" s="110">
        <v>14.5</v>
      </c>
      <c r="C818" s="110">
        <v>14.4</v>
      </c>
      <c r="D818" s="110">
        <v>14.25</v>
      </c>
      <c r="E818" s="110">
        <v>14.25</v>
      </c>
      <c r="F818" s="110">
        <v>14.4</v>
      </c>
      <c r="G818">
        <v>63770</v>
      </c>
      <c r="H818" s="110"/>
      <c r="I818" s="110"/>
      <c r="L818" s="134">
        <v>43207</v>
      </c>
      <c r="M818" s="110">
        <v>14.35</v>
      </c>
      <c r="N818" s="110">
        <v>14.45</v>
      </c>
      <c r="O818" s="110">
        <v>14.25</v>
      </c>
      <c r="P818" s="110">
        <v>14.3</v>
      </c>
      <c r="Q818" s="110">
        <v>14.35</v>
      </c>
      <c r="R818">
        <v>381770</v>
      </c>
    </row>
    <row r="819" spans="1:18" x14ac:dyDescent="0.25">
      <c r="A819" s="134">
        <v>43208</v>
      </c>
      <c r="B819" s="110">
        <v>14.5</v>
      </c>
      <c r="C819" s="110">
        <v>14.3</v>
      </c>
      <c r="D819" s="110">
        <v>14.2</v>
      </c>
      <c r="E819" s="110">
        <v>14.4</v>
      </c>
      <c r="F819" s="110">
        <v>14.3</v>
      </c>
      <c r="G819">
        <v>36379</v>
      </c>
      <c r="H819" s="110"/>
      <c r="I819" s="110"/>
      <c r="L819" s="134">
        <v>43208</v>
      </c>
      <c r="M819" s="110">
        <v>14.15</v>
      </c>
      <c r="N819" s="110">
        <v>14.45</v>
      </c>
      <c r="O819" s="110">
        <v>14</v>
      </c>
      <c r="P819" s="110">
        <v>14.45</v>
      </c>
      <c r="Q819" s="110">
        <v>14.15</v>
      </c>
      <c r="R819">
        <v>477143</v>
      </c>
    </row>
    <row r="820" spans="1:18" x14ac:dyDescent="0.25">
      <c r="A820" s="134">
        <v>43209</v>
      </c>
      <c r="B820" s="110">
        <v>14.25</v>
      </c>
      <c r="C820" s="110">
        <v>14.1</v>
      </c>
      <c r="D820" s="110">
        <v>14.05</v>
      </c>
      <c r="E820" s="110">
        <v>14.15</v>
      </c>
      <c r="F820" s="110">
        <v>14.1</v>
      </c>
      <c r="G820">
        <v>43901</v>
      </c>
      <c r="H820" s="110"/>
      <c r="I820" s="110"/>
      <c r="L820" s="134">
        <v>43209</v>
      </c>
      <c r="M820" s="110">
        <v>14.1</v>
      </c>
      <c r="N820" s="110">
        <v>14.25</v>
      </c>
      <c r="O820" s="110">
        <v>14.05</v>
      </c>
      <c r="P820" s="110">
        <v>14.15</v>
      </c>
      <c r="Q820" s="110">
        <v>14.1</v>
      </c>
      <c r="R820">
        <v>177940</v>
      </c>
    </row>
    <row r="821" spans="1:18" x14ac:dyDescent="0.25">
      <c r="A821" s="134">
        <v>43210</v>
      </c>
      <c r="B821" s="110">
        <v>14.3</v>
      </c>
      <c r="C821" s="110">
        <v>14.05</v>
      </c>
      <c r="D821" s="110">
        <v>14</v>
      </c>
      <c r="E821" s="110">
        <v>14.25</v>
      </c>
      <c r="F821" s="110">
        <v>14.05</v>
      </c>
      <c r="G821">
        <v>85534</v>
      </c>
      <c r="H821" s="110"/>
      <c r="I821" s="110"/>
      <c r="L821" s="134">
        <v>43210</v>
      </c>
      <c r="M821" s="110">
        <v>14</v>
      </c>
      <c r="N821" s="110">
        <v>14.4</v>
      </c>
      <c r="O821" s="110">
        <v>13.95</v>
      </c>
      <c r="P821" s="110">
        <v>14.2</v>
      </c>
      <c r="Q821" s="110">
        <v>14</v>
      </c>
      <c r="R821">
        <v>487488</v>
      </c>
    </row>
    <row r="822" spans="1:18" x14ac:dyDescent="0.25">
      <c r="A822" s="134">
        <v>43213</v>
      </c>
      <c r="B822" s="110">
        <v>14.25</v>
      </c>
      <c r="C822" s="110">
        <v>14.1</v>
      </c>
      <c r="D822" s="110">
        <v>13.95</v>
      </c>
      <c r="E822" s="110">
        <v>14.2</v>
      </c>
      <c r="F822" s="110">
        <v>14.1</v>
      </c>
      <c r="G822">
        <v>42427</v>
      </c>
      <c r="H822" s="110"/>
      <c r="I822" s="110"/>
      <c r="L822" s="134">
        <v>43213</v>
      </c>
      <c r="M822" s="110">
        <v>14.1</v>
      </c>
      <c r="N822" s="110">
        <v>14.3</v>
      </c>
      <c r="O822" s="110">
        <v>14</v>
      </c>
      <c r="P822" s="110">
        <v>14.2</v>
      </c>
      <c r="Q822" s="110">
        <v>14.1</v>
      </c>
      <c r="R822">
        <v>268849</v>
      </c>
    </row>
    <row r="823" spans="1:18" x14ac:dyDescent="0.25">
      <c r="A823" s="134">
        <v>43214</v>
      </c>
      <c r="B823" s="110">
        <v>14.25</v>
      </c>
      <c r="C823" s="110">
        <v>13.9</v>
      </c>
      <c r="D823" s="110">
        <v>13.85</v>
      </c>
      <c r="E823" s="110">
        <v>14.1</v>
      </c>
      <c r="F823" s="110">
        <v>13.9</v>
      </c>
      <c r="G823">
        <v>74573</v>
      </c>
      <c r="H823" s="110"/>
      <c r="I823" s="110"/>
      <c r="L823" s="134">
        <v>43214</v>
      </c>
      <c r="M823" s="110">
        <v>13.85</v>
      </c>
      <c r="N823" s="110">
        <v>14.25</v>
      </c>
      <c r="O823" s="110">
        <v>13.8</v>
      </c>
      <c r="P823" s="110">
        <v>14.1</v>
      </c>
      <c r="Q823" s="110">
        <v>13.85</v>
      </c>
      <c r="R823">
        <v>421142</v>
      </c>
    </row>
    <row r="824" spans="1:18" x14ac:dyDescent="0.25">
      <c r="A824" s="134">
        <v>43215</v>
      </c>
      <c r="B824" s="110">
        <v>14</v>
      </c>
      <c r="C824" s="110">
        <v>13.75</v>
      </c>
      <c r="D824" s="110">
        <v>13.7</v>
      </c>
      <c r="E824" s="110">
        <v>13.75</v>
      </c>
      <c r="F824" s="110">
        <v>13.75</v>
      </c>
      <c r="G824">
        <v>26962</v>
      </c>
      <c r="H824" s="110"/>
      <c r="I824" s="110"/>
      <c r="L824" s="134">
        <v>43215</v>
      </c>
      <c r="M824" s="110">
        <v>13.7</v>
      </c>
      <c r="N824" s="110">
        <v>14</v>
      </c>
      <c r="O824" s="110">
        <v>13.65</v>
      </c>
      <c r="P824" s="110">
        <v>13.8</v>
      </c>
      <c r="Q824" s="110">
        <v>13.7</v>
      </c>
      <c r="R824">
        <v>486253</v>
      </c>
    </row>
    <row r="825" spans="1:18" x14ac:dyDescent="0.25">
      <c r="A825" s="134">
        <v>43216</v>
      </c>
      <c r="B825" s="110">
        <v>13.9</v>
      </c>
      <c r="C825" s="110">
        <v>13.75</v>
      </c>
      <c r="D825" s="110">
        <v>13.6</v>
      </c>
      <c r="E825" s="110">
        <v>13.75</v>
      </c>
      <c r="F825" s="110">
        <v>13.75</v>
      </c>
      <c r="G825">
        <v>121942</v>
      </c>
      <c r="H825" s="110"/>
      <c r="I825" s="110"/>
      <c r="L825" s="134">
        <v>43216</v>
      </c>
      <c r="M825" s="110">
        <v>13.65</v>
      </c>
      <c r="N825" s="110">
        <v>14</v>
      </c>
      <c r="O825" s="110">
        <v>13.5</v>
      </c>
      <c r="P825" s="110">
        <v>13.9</v>
      </c>
      <c r="Q825" s="110">
        <v>13.65</v>
      </c>
      <c r="R825">
        <v>592271</v>
      </c>
    </row>
    <row r="826" spans="1:18" x14ac:dyDescent="0.25">
      <c r="A826" s="134">
        <v>43217</v>
      </c>
      <c r="B826" s="110">
        <v>13.85</v>
      </c>
      <c r="C826" s="110">
        <v>13.7</v>
      </c>
      <c r="D826" s="110">
        <v>13.5</v>
      </c>
      <c r="E826" s="110">
        <v>13.75</v>
      </c>
      <c r="F826" s="110">
        <v>13.7</v>
      </c>
      <c r="G826">
        <v>121154</v>
      </c>
      <c r="H826" s="110"/>
      <c r="I826" s="110"/>
      <c r="L826" s="134">
        <v>43217</v>
      </c>
      <c r="M826" s="110">
        <v>13.75</v>
      </c>
      <c r="N826" s="110">
        <v>13.85</v>
      </c>
      <c r="O826" s="110">
        <v>13.45</v>
      </c>
      <c r="P826" s="110">
        <v>13.55</v>
      </c>
      <c r="Q826" s="110">
        <v>13.75</v>
      </c>
      <c r="R826">
        <v>1238758</v>
      </c>
    </row>
    <row r="827" spans="1:18" x14ac:dyDescent="0.25">
      <c r="A827" s="134">
        <v>43220</v>
      </c>
      <c r="B827" s="110">
        <v>14</v>
      </c>
      <c r="C827" s="110">
        <v>13.95</v>
      </c>
      <c r="D827" s="110">
        <v>13.65</v>
      </c>
      <c r="E827" s="110">
        <v>13.65</v>
      </c>
      <c r="F827" s="110">
        <v>13.95</v>
      </c>
      <c r="G827">
        <v>33186</v>
      </c>
      <c r="H827" s="110"/>
      <c r="I827" s="110"/>
      <c r="L827" s="134">
        <v>43220</v>
      </c>
      <c r="M827" s="110">
        <v>13.95</v>
      </c>
      <c r="N827" s="110">
        <v>13.95</v>
      </c>
      <c r="O827" s="110">
        <v>13.75</v>
      </c>
      <c r="P827" s="110">
        <v>13.85</v>
      </c>
      <c r="Q827" s="110">
        <v>13.95</v>
      </c>
      <c r="R827">
        <v>356393</v>
      </c>
    </row>
    <row r="828" spans="1:18" x14ac:dyDescent="0.25">
      <c r="A828" s="134">
        <v>43222</v>
      </c>
      <c r="B828" s="110">
        <v>14</v>
      </c>
      <c r="C828" s="110">
        <v>13.75</v>
      </c>
      <c r="D828" s="110">
        <v>13.7</v>
      </c>
      <c r="E828" s="110">
        <v>14</v>
      </c>
      <c r="F828" s="110">
        <v>13.75</v>
      </c>
      <c r="G828">
        <v>113583</v>
      </c>
      <c r="H828" s="110"/>
      <c r="I828" s="110"/>
      <c r="L828" s="134">
        <v>43222</v>
      </c>
      <c r="M828" s="110">
        <v>13.75</v>
      </c>
      <c r="N828" s="110">
        <v>14</v>
      </c>
      <c r="O828" s="110">
        <v>13.7</v>
      </c>
      <c r="P828" s="110">
        <v>14</v>
      </c>
      <c r="Q828" s="110">
        <v>13.75</v>
      </c>
      <c r="R828">
        <v>303393</v>
      </c>
    </row>
    <row r="829" spans="1:18" x14ac:dyDescent="0.25">
      <c r="A829" s="134">
        <v>43223</v>
      </c>
      <c r="B829" s="110">
        <v>13.75</v>
      </c>
      <c r="C829" s="110">
        <v>13.54</v>
      </c>
      <c r="D829" s="110">
        <v>13.44</v>
      </c>
      <c r="E829" s="110">
        <v>13.75</v>
      </c>
      <c r="F829" s="110">
        <v>13.54</v>
      </c>
      <c r="G829">
        <v>99480</v>
      </c>
      <c r="H829" s="110"/>
      <c r="I829" s="110"/>
      <c r="L829" s="134">
        <v>43223</v>
      </c>
      <c r="M829" s="110">
        <v>13.55</v>
      </c>
      <c r="N829" s="110">
        <v>13.95</v>
      </c>
      <c r="O829" s="110">
        <v>13.45</v>
      </c>
      <c r="P829" s="110">
        <v>13.95</v>
      </c>
      <c r="Q829" s="110">
        <v>13.55</v>
      </c>
      <c r="R829">
        <v>384933</v>
      </c>
    </row>
    <row r="830" spans="1:18" x14ac:dyDescent="0.25">
      <c r="A830" s="134">
        <v>43224</v>
      </c>
      <c r="B830" s="110">
        <v>15.09</v>
      </c>
      <c r="C830" s="110">
        <v>14.63</v>
      </c>
      <c r="D830" s="110">
        <v>13.61</v>
      </c>
      <c r="E830" s="110">
        <v>13.61</v>
      </c>
      <c r="F830" s="110">
        <v>14.63</v>
      </c>
      <c r="G830">
        <v>560726</v>
      </c>
      <c r="H830" s="110"/>
      <c r="I830" s="110"/>
      <c r="L830" s="134">
        <v>43224</v>
      </c>
      <c r="M830" s="110">
        <v>14.6</v>
      </c>
      <c r="N830" s="110">
        <v>15.15</v>
      </c>
      <c r="O830" s="110">
        <v>13.6</v>
      </c>
      <c r="P830" s="110">
        <v>13.75</v>
      </c>
      <c r="Q830" s="110">
        <v>14.6</v>
      </c>
      <c r="R830">
        <v>5208197</v>
      </c>
    </row>
    <row r="831" spans="1:18" x14ac:dyDescent="0.25">
      <c r="A831" s="134">
        <v>43227</v>
      </c>
      <c r="B831" s="110">
        <v>14.84</v>
      </c>
      <c r="C831" s="110">
        <v>14.53</v>
      </c>
      <c r="D831" s="110">
        <v>14.49</v>
      </c>
      <c r="E831" s="110">
        <v>14.7</v>
      </c>
      <c r="F831" s="110">
        <v>14.53</v>
      </c>
      <c r="G831">
        <v>232403</v>
      </c>
      <c r="H831" s="110"/>
      <c r="I831" s="110"/>
      <c r="L831" s="134">
        <v>43227</v>
      </c>
      <c r="M831" s="110">
        <v>14.6</v>
      </c>
      <c r="N831" s="110">
        <v>14.85</v>
      </c>
      <c r="O831" s="110">
        <v>14.4</v>
      </c>
      <c r="P831" s="110">
        <v>14.7</v>
      </c>
      <c r="Q831" s="110">
        <v>14.6</v>
      </c>
      <c r="R831">
        <v>1178545</v>
      </c>
    </row>
    <row r="832" spans="1:18" x14ac:dyDescent="0.25">
      <c r="A832" s="134">
        <v>43228</v>
      </c>
      <c r="B832" s="110">
        <v>14.77</v>
      </c>
      <c r="C832" s="110">
        <v>14.28</v>
      </c>
      <c r="D832" s="110">
        <v>14.23</v>
      </c>
      <c r="E832" s="110">
        <v>14.77</v>
      </c>
      <c r="F832" s="110">
        <v>14.28</v>
      </c>
      <c r="G832">
        <v>93251</v>
      </c>
      <c r="H832" s="110"/>
      <c r="I832" s="110"/>
      <c r="L832" s="134">
        <v>43228</v>
      </c>
      <c r="M832" s="110">
        <v>14.25</v>
      </c>
      <c r="N832" s="110">
        <v>14.6</v>
      </c>
      <c r="O832" s="110">
        <v>14.2</v>
      </c>
      <c r="P832" s="110">
        <v>14.45</v>
      </c>
      <c r="Q832" s="110">
        <v>14.25</v>
      </c>
      <c r="R832">
        <v>706211</v>
      </c>
    </row>
    <row r="833" spans="1:18" x14ac:dyDescent="0.25">
      <c r="A833" s="134">
        <v>43229</v>
      </c>
      <c r="B833" s="110">
        <v>14.6</v>
      </c>
      <c r="C833" s="110">
        <v>14.08</v>
      </c>
      <c r="D833" s="110">
        <v>14</v>
      </c>
      <c r="E833" s="110">
        <v>14.6</v>
      </c>
      <c r="F833" s="110">
        <v>14.08</v>
      </c>
      <c r="G833">
        <v>75977</v>
      </c>
      <c r="H833" s="110"/>
      <c r="I833" s="110"/>
      <c r="L833" s="134">
        <v>43229</v>
      </c>
      <c r="M833" s="110">
        <v>14</v>
      </c>
      <c r="N833" s="110">
        <v>14.25</v>
      </c>
      <c r="O833" s="110">
        <v>13.95</v>
      </c>
      <c r="P833" s="110">
        <v>14.1</v>
      </c>
      <c r="Q833" s="110">
        <v>14</v>
      </c>
      <c r="R833">
        <v>270470</v>
      </c>
    </row>
    <row r="834" spans="1:18" x14ac:dyDescent="0.25">
      <c r="A834" s="134">
        <v>43230</v>
      </c>
      <c r="B834" s="110">
        <v>14.1</v>
      </c>
      <c r="C834" s="110">
        <v>13.78</v>
      </c>
      <c r="D834" s="110">
        <v>13.66</v>
      </c>
      <c r="E834" s="110">
        <v>14.09</v>
      </c>
      <c r="F834" s="110">
        <v>13.78</v>
      </c>
      <c r="G834">
        <v>86690</v>
      </c>
      <c r="H834" s="110"/>
      <c r="I834" s="110"/>
      <c r="L834" s="134">
        <v>43230</v>
      </c>
      <c r="M834" s="110">
        <v>13.75</v>
      </c>
      <c r="N834" s="110">
        <v>14.15</v>
      </c>
      <c r="O834" s="110">
        <v>13.7</v>
      </c>
      <c r="P834" s="110">
        <v>14.1</v>
      </c>
      <c r="Q834" s="110">
        <v>13.75</v>
      </c>
      <c r="R834">
        <v>303226</v>
      </c>
    </row>
    <row r="835" spans="1:18" x14ac:dyDescent="0.25">
      <c r="A835" s="134">
        <v>43231</v>
      </c>
      <c r="B835" s="110">
        <v>13.84</v>
      </c>
      <c r="C835" s="110">
        <v>13.69</v>
      </c>
      <c r="D835" s="110">
        <v>13.6</v>
      </c>
      <c r="E835" s="110">
        <v>13.67</v>
      </c>
      <c r="F835" s="110">
        <v>13.69</v>
      </c>
      <c r="G835">
        <v>63677</v>
      </c>
      <c r="H835" s="110"/>
      <c r="I835" s="110"/>
      <c r="L835" s="134">
        <v>43231</v>
      </c>
      <c r="M835" s="110">
        <v>13.65</v>
      </c>
      <c r="N835" s="110">
        <v>13.8</v>
      </c>
      <c r="O835" s="110">
        <v>13.55</v>
      </c>
      <c r="P835" s="110">
        <v>13.75</v>
      </c>
      <c r="Q835" s="110">
        <v>13.65</v>
      </c>
      <c r="R835">
        <v>406759</v>
      </c>
    </row>
    <row r="836" spans="1:18" x14ac:dyDescent="0.25">
      <c r="A836" s="134">
        <v>43234</v>
      </c>
      <c r="B836" s="110">
        <v>13.69</v>
      </c>
      <c r="C836" s="110">
        <v>13.54</v>
      </c>
      <c r="D836" s="110">
        <v>13.44</v>
      </c>
      <c r="E836" s="110">
        <v>13.69</v>
      </c>
      <c r="F836" s="110">
        <v>13.54</v>
      </c>
      <c r="G836">
        <v>84902</v>
      </c>
      <c r="H836" s="110"/>
      <c r="I836" s="110"/>
      <c r="L836" s="134">
        <v>43234</v>
      </c>
      <c r="M836" s="110">
        <v>13.55</v>
      </c>
      <c r="N836" s="110">
        <v>13.7</v>
      </c>
      <c r="O836" s="110">
        <v>13.5</v>
      </c>
      <c r="P836" s="110">
        <v>13.65</v>
      </c>
      <c r="Q836" s="110">
        <v>13.55</v>
      </c>
      <c r="R836">
        <v>786960</v>
      </c>
    </row>
    <row r="837" spans="1:18" x14ac:dyDescent="0.25">
      <c r="A837" s="134">
        <v>43235</v>
      </c>
      <c r="B837" s="110">
        <v>13.68</v>
      </c>
      <c r="C837" s="110">
        <v>13.55</v>
      </c>
      <c r="D837" s="110">
        <v>13.45</v>
      </c>
      <c r="E837" s="110">
        <v>13.6</v>
      </c>
      <c r="F837" s="110">
        <v>13.55</v>
      </c>
      <c r="G837">
        <v>67055</v>
      </c>
      <c r="H837" s="110"/>
      <c r="I837" s="110"/>
      <c r="L837" s="134">
        <v>43235</v>
      </c>
      <c r="M837" s="110">
        <v>13.55</v>
      </c>
      <c r="N837" s="110">
        <v>13.65</v>
      </c>
      <c r="O837" s="110">
        <v>13.4</v>
      </c>
      <c r="P837" s="110">
        <v>13.6</v>
      </c>
      <c r="Q837" s="110">
        <v>13.55</v>
      </c>
      <c r="R837">
        <v>475329</v>
      </c>
    </row>
    <row r="838" spans="1:18" x14ac:dyDescent="0.25">
      <c r="A838" s="134">
        <v>43236</v>
      </c>
      <c r="B838" s="110">
        <v>13.44</v>
      </c>
      <c r="C838" s="110">
        <v>13.12</v>
      </c>
      <c r="D838" s="110">
        <v>13</v>
      </c>
      <c r="E838" s="110">
        <v>13.44</v>
      </c>
      <c r="F838" s="110">
        <v>13.12</v>
      </c>
      <c r="G838">
        <v>94968</v>
      </c>
      <c r="H838" s="110"/>
      <c r="I838" s="110"/>
      <c r="L838" s="134">
        <v>43236</v>
      </c>
      <c r="M838" s="110">
        <v>13.1</v>
      </c>
      <c r="N838" s="110">
        <v>13.5</v>
      </c>
      <c r="O838" s="110">
        <v>12.95</v>
      </c>
      <c r="P838" s="110">
        <v>13.5</v>
      </c>
      <c r="Q838" s="110">
        <v>13.1</v>
      </c>
      <c r="R838">
        <v>859659</v>
      </c>
    </row>
    <row r="839" spans="1:18" x14ac:dyDescent="0.25">
      <c r="A839" s="134">
        <v>43237</v>
      </c>
      <c r="B839" s="110">
        <v>13.44</v>
      </c>
      <c r="C839" s="110">
        <v>13.24</v>
      </c>
      <c r="D839" s="110">
        <v>13.01</v>
      </c>
      <c r="E839" s="110">
        <v>13.44</v>
      </c>
      <c r="F839" s="110">
        <v>13.24</v>
      </c>
      <c r="G839">
        <v>29187</v>
      </c>
      <c r="H839" s="110"/>
      <c r="I839" s="110"/>
      <c r="L839" s="134">
        <v>43237</v>
      </c>
      <c r="M839" s="110">
        <v>13.15</v>
      </c>
      <c r="N839" s="110">
        <v>13.3</v>
      </c>
      <c r="O839" s="110">
        <v>13.05</v>
      </c>
      <c r="P839" s="110">
        <v>13.3</v>
      </c>
      <c r="Q839" s="110">
        <v>13.15</v>
      </c>
      <c r="R839">
        <v>257549</v>
      </c>
    </row>
    <row r="840" spans="1:18" x14ac:dyDescent="0.25">
      <c r="A840" s="134">
        <v>43238</v>
      </c>
      <c r="B840" s="110">
        <v>13.68</v>
      </c>
      <c r="C840" s="110">
        <v>13.19</v>
      </c>
      <c r="D840" s="110">
        <v>13.1</v>
      </c>
      <c r="E840" s="110">
        <v>13.23</v>
      </c>
      <c r="F840" s="110">
        <v>13.19</v>
      </c>
      <c r="G840">
        <v>97841</v>
      </c>
      <c r="H840" s="110"/>
      <c r="I840" s="110"/>
      <c r="L840" s="134">
        <v>43238</v>
      </c>
      <c r="M840" s="110">
        <v>13.15</v>
      </c>
      <c r="N840" s="110">
        <v>13.7</v>
      </c>
      <c r="O840" s="110">
        <v>13.05</v>
      </c>
      <c r="P840" s="110">
        <v>13.35</v>
      </c>
      <c r="Q840" s="110">
        <v>13.15</v>
      </c>
      <c r="R840">
        <v>646499</v>
      </c>
    </row>
    <row r="841" spans="1:18" x14ac:dyDescent="0.25">
      <c r="A841" s="134">
        <v>43241</v>
      </c>
      <c r="B841" s="110">
        <v>13.7</v>
      </c>
      <c r="C841" s="110">
        <v>13.59</v>
      </c>
      <c r="D841" s="110">
        <v>13.3</v>
      </c>
      <c r="E841" s="110">
        <v>13.5</v>
      </c>
      <c r="F841" s="110">
        <v>13.59</v>
      </c>
      <c r="G841">
        <v>81028</v>
      </c>
      <c r="H841" s="110"/>
      <c r="I841" s="110"/>
      <c r="L841" s="134">
        <v>43241</v>
      </c>
      <c r="M841" s="110">
        <v>13.5</v>
      </c>
      <c r="N841" s="110">
        <v>13.85</v>
      </c>
      <c r="O841" s="110">
        <v>13.25</v>
      </c>
      <c r="P841" s="110">
        <v>13.8</v>
      </c>
      <c r="Q841" s="110">
        <v>13.5</v>
      </c>
      <c r="R841">
        <v>743721</v>
      </c>
    </row>
    <row r="842" spans="1:18" x14ac:dyDescent="0.25">
      <c r="A842" s="134">
        <v>43242</v>
      </c>
      <c r="B842" s="110">
        <v>13.8</v>
      </c>
      <c r="C842" s="110">
        <v>13.34</v>
      </c>
      <c r="D842" s="110">
        <v>13.3</v>
      </c>
      <c r="E842" s="110">
        <v>13.5</v>
      </c>
      <c r="F842" s="110">
        <v>13.34</v>
      </c>
      <c r="G842">
        <v>54485</v>
      </c>
      <c r="H842" s="110"/>
      <c r="I842" s="110"/>
      <c r="L842" s="134">
        <v>43242</v>
      </c>
      <c r="M842" s="110">
        <v>13.4</v>
      </c>
      <c r="N842" s="110">
        <v>13.6</v>
      </c>
      <c r="O842" s="110">
        <v>13.3</v>
      </c>
      <c r="P842" s="110">
        <v>13.55</v>
      </c>
      <c r="Q842" s="110">
        <v>13.4</v>
      </c>
      <c r="R842">
        <v>311674</v>
      </c>
    </row>
    <row r="843" spans="1:18" x14ac:dyDescent="0.25">
      <c r="A843" s="134">
        <v>43243</v>
      </c>
      <c r="B843" s="110">
        <v>13.63</v>
      </c>
      <c r="C843" s="110">
        <v>13.12</v>
      </c>
      <c r="D843" s="110">
        <v>13</v>
      </c>
      <c r="E843" s="110">
        <v>13.1</v>
      </c>
      <c r="F843" s="110">
        <v>13.12</v>
      </c>
      <c r="G843">
        <v>91276</v>
      </c>
      <c r="H843" s="110"/>
      <c r="I843" s="110"/>
      <c r="L843" s="134">
        <v>43243</v>
      </c>
      <c r="M843" s="110">
        <v>13.05</v>
      </c>
      <c r="N843" s="110">
        <v>13.65</v>
      </c>
      <c r="O843" s="110">
        <v>12.9</v>
      </c>
      <c r="P843" s="110">
        <v>13.4</v>
      </c>
      <c r="Q843" s="110">
        <v>13.05</v>
      </c>
      <c r="R843">
        <v>1055210</v>
      </c>
    </row>
    <row r="844" spans="1:18" x14ac:dyDescent="0.25">
      <c r="A844" s="134">
        <v>43244</v>
      </c>
      <c r="B844" s="110">
        <v>13.25</v>
      </c>
      <c r="C844" s="110">
        <v>13.02</v>
      </c>
      <c r="D844" s="110">
        <v>12.95</v>
      </c>
      <c r="E844" s="110">
        <v>13.25</v>
      </c>
      <c r="F844" s="110">
        <v>13.02</v>
      </c>
      <c r="G844">
        <v>118353</v>
      </c>
      <c r="H844" s="110"/>
      <c r="I844" s="110"/>
      <c r="L844" s="134">
        <v>43244</v>
      </c>
      <c r="M844" s="110">
        <v>13.05</v>
      </c>
      <c r="N844" s="110">
        <v>13.2</v>
      </c>
      <c r="O844" s="110">
        <v>12.9</v>
      </c>
      <c r="P844" s="110">
        <v>13.15</v>
      </c>
      <c r="Q844" s="110">
        <v>13.05</v>
      </c>
      <c r="R844">
        <v>348247</v>
      </c>
    </row>
    <row r="845" spans="1:18" x14ac:dyDescent="0.25">
      <c r="A845" s="134">
        <v>43245</v>
      </c>
      <c r="B845" s="110">
        <v>13.3</v>
      </c>
      <c r="C845" s="110">
        <v>13.24</v>
      </c>
      <c r="D845" s="110">
        <v>12.6</v>
      </c>
      <c r="E845" s="110">
        <v>12.6</v>
      </c>
      <c r="F845" s="110">
        <v>13.24</v>
      </c>
      <c r="G845">
        <v>34088</v>
      </c>
      <c r="H845" s="110"/>
      <c r="I845" s="110"/>
      <c r="L845" s="134">
        <v>43245</v>
      </c>
      <c r="M845" s="110">
        <v>13.25</v>
      </c>
      <c r="N845" s="110">
        <v>13.3</v>
      </c>
      <c r="O845" s="110">
        <v>13.05</v>
      </c>
      <c r="P845" s="110">
        <v>13.2</v>
      </c>
      <c r="Q845" s="110">
        <v>13.25</v>
      </c>
      <c r="R845">
        <v>212776</v>
      </c>
    </row>
    <row r="846" spans="1:18" x14ac:dyDescent="0.25">
      <c r="A846" s="134">
        <v>43248</v>
      </c>
      <c r="B846" s="110">
        <v>13.65</v>
      </c>
      <c r="C846" s="110">
        <v>13.59</v>
      </c>
      <c r="D846" s="110">
        <v>13.19</v>
      </c>
      <c r="E846" s="110">
        <v>13.19</v>
      </c>
      <c r="F846" s="110">
        <v>13.59</v>
      </c>
      <c r="G846">
        <v>57667</v>
      </c>
      <c r="H846" s="110"/>
      <c r="I846" s="110"/>
      <c r="L846" s="134">
        <v>43248</v>
      </c>
      <c r="M846" s="110">
        <v>13.65</v>
      </c>
      <c r="N846" s="110">
        <v>13.7</v>
      </c>
      <c r="O846" s="110">
        <v>13.25</v>
      </c>
      <c r="P846" s="110">
        <v>13.45</v>
      </c>
      <c r="Q846" s="110">
        <v>13.65</v>
      </c>
      <c r="R846">
        <v>502973</v>
      </c>
    </row>
    <row r="847" spans="1:18" x14ac:dyDescent="0.25">
      <c r="A847" s="134">
        <v>43249</v>
      </c>
      <c r="B847" s="110">
        <v>13.79</v>
      </c>
      <c r="C847" s="110">
        <v>13.53</v>
      </c>
      <c r="D847" s="110">
        <v>13.5</v>
      </c>
      <c r="E847" s="110">
        <v>13.59</v>
      </c>
      <c r="F847" s="110">
        <v>13.53</v>
      </c>
      <c r="G847">
        <v>46013</v>
      </c>
      <c r="H847" s="110"/>
      <c r="I847" s="110"/>
      <c r="L847" s="134">
        <v>43249</v>
      </c>
      <c r="M847" s="110">
        <v>13.45</v>
      </c>
      <c r="N847" s="110">
        <v>13.8</v>
      </c>
      <c r="O847" s="110">
        <v>13.4</v>
      </c>
      <c r="P847" s="110">
        <v>13.65</v>
      </c>
      <c r="Q847" s="110">
        <v>13.45</v>
      </c>
      <c r="R847">
        <v>387471</v>
      </c>
    </row>
    <row r="848" spans="1:18" x14ac:dyDescent="0.25">
      <c r="A848" s="134">
        <v>43250</v>
      </c>
      <c r="B848" s="110">
        <v>13.8</v>
      </c>
      <c r="C848" s="110">
        <v>13.63</v>
      </c>
      <c r="D848" s="110">
        <v>13.45</v>
      </c>
      <c r="E848" s="110">
        <v>13.45</v>
      </c>
      <c r="F848" s="110">
        <v>13.63</v>
      </c>
      <c r="G848">
        <v>24852</v>
      </c>
      <c r="H848" s="110"/>
      <c r="I848" s="110"/>
      <c r="L848" s="134">
        <v>43250</v>
      </c>
      <c r="M848" s="110">
        <v>13.5</v>
      </c>
      <c r="N848" s="110">
        <v>13.65</v>
      </c>
      <c r="O848" s="110">
        <v>13.3</v>
      </c>
      <c r="P848" s="110">
        <v>13.4</v>
      </c>
      <c r="Q848" s="110">
        <v>13.5</v>
      </c>
      <c r="R848">
        <v>303712</v>
      </c>
    </row>
    <row r="849" spans="1:18" x14ac:dyDescent="0.25">
      <c r="A849" s="134">
        <v>43251</v>
      </c>
      <c r="B849" s="110">
        <v>13.63</v>
      </c>
      <c r="C849" s="110">
        <v>13.53</v>
      </c>
      <c r="D849" s="110">
        <v>13.4</v>
      </c>
      <c r="E849" s="110">
        <v>13.63</v>
      </c>
      <c r="F849" s="110">
        <v>13.53</v>
      </c>
      <c r="G849">
        <v>37657</v>
      </c>
      <c r="H849" s="110"/>
      <c r="I849" s="110"/>
      <c r="L849" s="134">
        <v>43251</v>
      </c>
      <c r="M849" s="110">
        <v>13.45</v>
      </c>
      <c r="N849" s="110">
        <v>13.65</v>
      </c>
      <c r="O849" s="110">
        <v>13.4</v>
      </c>
      <c r="P849" s="110">
        <v>13.65</v>
      </c>
      <c r="Q849" s="110">
        <v>13.45</v>
      </c>
      <c r="R849">
        <v>183687</v>
      </c>
    </row>
    <row r="850" spans="1:18" x14ac:dyDescent="0.25">
      <c r="A850" s="134">
        <v>43252</v>
      </c>
      <c r="B850" s="110">
        <v>13.67</v>
      </c>
      <c r="C850" s="110">
        <v>13.39</v>
      </c>
      <c r="D850" s="110">
        <v>13.3</v>
      </c>
      <c r="E850" s="110">
        <v>13.52</v>
      </c>
      <c r="F850" s="110">
        <v>13.39</v>
      </c>
      <c r="G850">
        <v>27466</v>
      </c>
      <c r="H850" s="110"/>
      <c r="I850" s="110"/>
      <c r="L850" s="134">
        <v>43252</v>
      </c>
      <c r="M850" s="110">
        <v>13.35</v>
      </c>
      <c r="N850" s="110">
        <v>13.6</v>
      </c>
      <c r="O850" s="110">
        <v>13.25</v>
      </c>
      <c r="P850" s="110">
        <v>13.5</v>
      </c>
      <c r="Q850" s="110">
        <v>13.35</v>
      </c>
      <c r="R850">
        <v>213805</v>
      </c>
    </row>
    <row r="851" spans="1:18" x14ac:dyDescent="0.25">
      <c r="A851" s="134">
        <v>43255</v>
      </c>
      <c r="B851" s="110">
        <v>13.69</v>
      </c>
      <c r="C851" s="110">
        <v>12.97</v>
      </c>
      <c r="D851" s="110">
        <v>12.92</v>
      </c>
      <c r="E851" s="110">
        <v>13.4</v>
      </c>
      <c r="F851" s="110">
        <v>12.97</v>
      </c>
      <c r="G851">
        <v>54217</v>
      </c>
      <c r="H851" s="110"/>
      <c r="I851" s="110"/>
      <c r="L851" s="134">
        <v>43255</v>
      </c>
      <c r="M851" s="110">
        <v>12.9</v>
      </c>
      <c r="N851" s="110">
        <v>13.6</v>
      </c>
      <c r="O851" s="110">
        <v>12.85</v>
      </c>
      <c r="P851" s="110">
        <v>13.6</v>
      </c>
      <c r="Q851" s="110">
        <v>12.9</v>
      </c>
      <c r="R851">
        <v>388735</v>
      </c>
    </row>
    <row r="852" spans="1:18" x14ac:dyDescent="0.25">
      <c r="A852" s="134">
        <v>43256</v>
      </c>
      <c r="B852" s="110">
        <v>13.1</v>
      </c>
      <c r="C852" s="110">
        <v>12.73</v>
      </c>
      <c r="D852" s="110">
        <v>12.6</v>
      </c>
      <c r="E852" s="110">
        <v>13.1</v>
      </c>
      <c r="F852" s="110">
        <v>12.73</v>
      </c>
      <c r="G852">
        <v>70131</v>
      </c>
      <c r="H852" s="110"/>
      <c r="I852" s="110"/>
      <c r="L852" s="134">
        <v>43256</v>
      </c>
      <c r="M852" s="110">
        <v>12.7</v>
      </c>
      <c r="N852" s="110">
        <v>13</v>
      </c>
      <c r="O852" s="110">
        <v>12.5</v>
      </c>
      <c r="P852" s="110">
        <v>13</v>
      </c>
      <c r="Q852" s="110">
        <v>12.7</v>
      </c>
      <c r="R852">
        <v>432384</v>
      </c>
    </row>
    <row r="853" spans="1:18" x14ac:dyDescent="0.25">
      <c r="A853" s="134">
        <v>43257</v>
      </c>
      <c r="B853" s="110">
        <v>13.25</v>
      </c>
      <c r="C853" s="110">
        <v>13.2</v>
      </c>
      <c r="D853" s="110">
        <v>12.73</v>
      </c>
      <c r="E853" s="110">
        <v>12.73</v>
      </c>
      <c r="F853" s="110">
        <v>13.2</v>
      </c>
      <c r="G853">
        <v>26690</v>
      </c>
      <c r="H853" s="110"/>
      <c r="I853" s="110"/>
      <c r="L853" s="134">
        <v>43257</v>
      </c>
      <c r="M853" s="110">
        <v>13.15</v>
      </c>
      <c r="N853" s="110">
        <v>13.25</v>
      </c>
      <c r="O853" s="110">
        <v>12.7</v>
      </c>
      <c r="P853" s="110">
        <v>12.95</v>
      </c>
      <c r="Q853" s="110">
        <v>13.15</v>
      </c>
      <c r="R853">
        <v>423182</v>
      </c>
    </row>
    <row r="854" spans="1:18" x14ac:dyDescent="0.25">
      <c r="A854" s="134">
        <v>43258</v>
      </c>
      <c r="B854" s="110">
        <v>13.59</v>
      </c>
      <c r="C854" s="110">
        <v>13.47</v>
      </c>
      <c r="D854" s="110">
        <v>13.25</v>
      </c>
      <c r="E854" s="110">
        <v>13.39</v>
      </c>
      <c r="F854" s="110">
        <v>13.47</v>
      </c>
      <c r="G854">
        <v>38661</v>
      </c>
      <c r="H854" s="110"/>
      <c r="I854" s="110"/>
      <c r="L854" s="134">
        <v>43258</v>
      </c>
      <c r="M854" s="110">
        <v>13.45</v>
      </c>
      <c r="N854" s="110">
        <v>13.75</v>
      </c>
      <c r="O854" s="110">
        <v>13.2</v>
      </c>
      <c r="P854" s="110">
        <v>13.75</v>
      </c>
      <c r="Q854" s="110">
        <v>13.45</v>
      </c>
      <c r="R854">
        <v>315494</v>
      </c>
    </row>
    <row r="855" spans="1:18" x14ac:dyDescent="0.25">
      <c r="A855" s="134">
        <v>43259</v>
      </c>
      <c r="B855" s="110">
        <v>14.2</v>
      </c>
      <c r="C855" s="110">
        <v>14.12</v>
      </c>
      <c r="D855" s="110">
        <v>13.43</v>
      </c>
      <c r="E855" s="110">
        <v>13.59</v>
      </c>
      <c r="F855" s="110">
        <v>14.12</v>
      </c>
      <c r="G855">
        <v>174159</v>
      </c>
      <c r="H855" s="110"/>
      <c r="I855" s="110"/>
      <c r="L855" s="134">
        <v>43259</v>
      </c>
      <c r="M855" s="110">
        <v>14</v>
      </c>
      <c r="N855" s="110">
        <v>14.1</v>
      </c>
      <c r="O855" s="110">
        <v>13.4</v>
      </c>
      <c r="P855" s="110">
        <v>13.5</v>
      </c>
      <c r="Q855" s="110">
        <v>14</v>
      </c>
      <c r="R855">
        <v>1105578</v>
      </c>
    </row>
    <row r="856" spans="1:18" x14ac:dyDescent="0.25">
      <c r="A856" s="134">
        <v>43262</v>
      </c>
      <c r="B856" s="110">
        <v>14.2</v>
      </c>
      <c r="C856" s="110">
        <v>14.01</v>
      </c>
      <c r="D856" s="110">
        <v>13.86</v>
      </c>
      <c r="E856" s="110">
        <v>14</v>
      </c>
      <c r="F856" s="110">
        <v>14.01</v>
      </c>
      <c r="G856">
        <v>48334</v>
      </c>
      <c r="H856" s="110"/>
      <c r="I856" s="110"/>
      <c r="L856" s="134">
        <v>43262</v>
      </c>
      <c r="M856" s="110">
        <v>14</v>
      </c>
      <c r="N856" s="110">
        <v>14.2</v>
      </c>
      <c r="O856" s="110">
        <v>13.85</v>
      </c>
      <c r="P856" s="110">
        <v>13.95</v>
      </c>
      <c r="Q856" s="110">
        <v>14</v>
      </c>
      <c r="R856">
        <v>634207</v>
      </c>
    </row>
    <row r="857" spans="1:18" x14ac:dyDescent="0.25">
      <c r="A857" s="134">
        <v>43263</v>
      </c>
      <c r="B857" s="110">
        <v>14.09</v>
      </c>
      <c r="C857" s="110">
        <v>13.87</v>
      </c>
      <c r="D857" s="110">
        <v>13.82</v>
      </c>
      <c r="E857" s="110">
        <v>14.01</v>
      </c>
      <c r="F857" s="110">
        <v>13.87</v>
      </c>
      <c r="G857">
        <v>26399</v>
      </c>
      <c r="H857" s="110"/>
      <c r="I857" s="110"/>
      <c r="L857" s="134">
        <v>43263</v>
      </c>
      <c r="M857" s="110">
        <v>13.85</v>
      </c>
      <c r="N857" s="110">
        <v>14.25</v>
      </c>
      <c r="O857" s="110">
        <v>13.8</v>
      </c>
      <c r="P857" s="110">
        <v>14.25</v>
      </c>
      <c r="Q857" s="110">
        <v>13.85</v>
      </c>
      <c r="R857">
        <v>223601</v>
      </c>
    </row>
    <row r="858" spans="1:18" x14ac:dyDescent="0.25">
      <c r="A858" s="134">
        <v>43264</v>
      </c>
      <c r="B858" s="110">
        <v>14</v>
      </c>
      <c r="C858" s="110">
        <v>13.89</v>
      </c>
      <c r="D858" s="110">
        <v>13.81</v>
      </c>
      <c r="E858" s="110">
        <v>14</v>
      </c>
      <c r="F858" s="110">
        <v>13.89</v>
      </c>
      <c r="G858">
        <v>17314</v>
      </c>
      <c r="H858" s="110"/>
      <c r="I858" s="110"/>
      <c r="L858" s="134">
        <v>43264</v>
      </c>
      <c r="M858" s="110">
        <v>13.85</v>
      </c>
      <c r="N858" s="110">
        <v>14</v>
      </c>
      <c r="O858" s="110">
        <v>13.8</v>
      </c>
      <c r="P858" s="110">
        <v>13.95</v>
      </c>
      <c r="Q858" s="110">
        <v>13.85</v>
      </c>
      <c r="R858">
        <v>306167</v>
      </c>
    </row>
    <row r="859" spans="1:18" x14ac:dyDescent="0.25">
      <c r="A859" s="134">
        <v>43265</v>
      </c>
      <c r="B859" s="110">
        <v>13.82</v>
      </c>
      <c r="C859" s="110">
        <v>13.72</v>
      </c>
      <c r="D859" s="110">
        <v>13.69</v>
      </c>
      <c r="E859" s="110">
        <v>13.8</v>
      </c>
      <c r="F859" s="110">
        <v>13.72</v>
      </c>
      <c r="G859">
        <v>21560</v>
      </c>
      <c r="H859" s="110"/>
      <c r="I859" s="110"/>
      <c r="L859" s="134">
        <v>43265</v>
      </c>
      <c r="M859" s="110">
        <v>13.75</v>
      </c>
      <c r="N859" s="110">
        <v>13.95</v>
      </c>
      <c r="O859" s="110">
        <v>13.7</v>
      </c>
      <c r="P859" s="110">
        <v>13.85</v>
      </c>
      <c r="Q859" s="110">
        <v>13.75</v>
      </c>
      <c r="R859">
        <v>206029</v>
      </c>
    </row>
    <row r="860" spans="1:18" x14ac:dyDescent="0.25">
      <c r="A860" s="134">
        <v>43266</v>
      </c>
      <c r="B860" s="110">
        <v>13.85</v>
      </c>
      <c r="C860" s="110">
        <v>13.56</v>
      </c>
      <c r="D860" s="110">
        <v>13.5</v>
      </c>
      <c r="E860" s="110">
        <v>13.59</v>
      </c>
      <c r="F860" s="110">
        <v>13.56</v>
      </c>
      <c r="G860">
        <v>33179</v>
      </c>
      <c r="H860" s="110"/>
      <c r="I860" s="110"/>
      <c r="L860" s="134">
        <v>43266</v>
      </c>
      <c r="M860" s="110">
        <v>13.55</v>
      </c>
      <c r="N860" s="110">
        <v>13.85</v>
      </c>
      <c r="O860" s="110">
        <v>13.5</v>
      </c>
      <c r="P860" s="110">
        <v>13.85</v>
      </c>
      <c r="Q860" s="110">
        <v>13.55</v>
      </c>
      <c r="R860">
        <v>248537</v>
      </c>
    </row>
    <row r="861" spans="1:18" x14ac:dyDescent="0.25">
      <c r="A861" s="134">
        <v>43269</v>
      </c>
      <c r="B861" s="110">
        <v>13.69</v>
      </c>
      <c r="C861" s="110">
        <v>13.49</v>
      </c>
      <c r="D861" s="110">
        <v>13.36</v>
      </c>
      <c r="E861" s="110">
        <v>13.64</v>
      </c>
      <c r="F861" s="110">
        <v>13.49</v>
      </c>
      <c r="G861">
        <v>24640</v>
      </c>
      <c r="H861" s="110"/>
      <c r="I861" s="110"/>
      <c r="L861" s="134">
        <v>43269</v>
      </c>
      <c r="M861" s="110">
        <v>13.4</v>
      </c>
      <c r="N861" s="110">
        <v>13.6</v>
      </c>
      <c r="O861" s="110">
        <v>13.3</v>
      </c>
      <c r="P861" s="110">
        <v>13.45</v>
      </c>
      <c r="Q861" s="110">
        <v>13.4</v>
      </c>
      <c r="R861">
        <v>201516</v>
      </c>
    </row>
    <row r="862" spans="1:18" x14ac:dyDescent="0.25">
      <c r="A862" s="134">
        <v>43270</v>
      </c>
      <c r="B862" s="110">
        <v>13.7</v>
      </c>
      <c r="C862" s="110">
        <v>13.51</v>
      </c>
      <c r="D862" s="110">
        <v>13.3</v>
      </c>
      <c r="E862" s="110">
        <v>13.4</v>
      </c>
      <c r="F862" s="110">
        <v>13.51</v>
      </c>
      <c r="G862">
        <v>21444</v>
      </c>
      <c r="H862" s="110"/>
      <c r="I862" s="110"/>
      <c r="L862" s="134">
        <v>43270</v>
      </c>
      <c r="M862" s="110">
        <v>13.5</v>
      </c>
      <c r="N862" s="110">
        <v>13.65</v>
      </c>
      <c r="O862" s="110">
        <v>13.3</v>
      </c>
      <c r="P862" s="110">
        <v>13.5</v>
      </c>
      <c r="Q862" s="110">
        <v>13.5</v>
      </c>
      <c r="R862">
        <v>267869</v>
      </c>
    </row>
    <row r="863" spans="1:18" x14ac:dyDescent="0.25">
      <c r="A863" s="134">
        <v>43271</v>
      </c>
      <c r="B863" s="110">
        <v>13.69</v>
      </c>
      <c r="C863" s="110">
        <v>13.47</v>
      </c>
      <c r="D863" s="110">
        <v>12.6</v>
      </c>
      <c r="E863" s="110">
        <v>13.31</v>
      </c>
      <c r="F863" s="110">
        <v>13.47</v>
      </c>
      <c r="G863">
        <v>279624</v>
      </c>
      <c r="H863" s="110"/>
      <c r="I863" s="110"/>
      <c r="L863" s="134">
        <v>43271</v>
      </c>
      <c r="M863" s="110">
        <v>13.35</v>
      </c>
      <c r="N863" s="110">
        <v>13.7</v>
      </c>
      <c r="O863" s="110">
        <v>12.4</v>
      </c>
      <c r="P863" s="110">
        <v>13.7</v>
      </c>
      <c r="Q863" s="110">
        <v>13.35</v>
      </c>
      <c r="R863">
        <v>2617048</v>
      </c>
    </row>
    <row r="864" spans="1:18" x14ac:dyDescent="0.25">
      <c r="A864" s="134">
        <v>43272</v>
      </c>
      <c r="B864" s="110">
        <v>13.5</v>
      </c>
      <c r="C864" s="110">
        <v>13.31</v>
      </c>
      <c r="D864" s="110">
        <v>12.5</v>
      </c>
      <c r="E864" s="110">
        <v>12.75</v>
      </c>
      <c r="F864" s="110">
        <v>13.31</v>
      </c>
      <c r="G864">
        <v>274889</v>
      </c>
      <c r="H864" s="110"/>
      <c r="I864" s="110"/>
      <c r="L864" s="134">
        <v>43272</v>
      </c>
      <c r="M864" s="110">
        <v>13.3</v>
      </c>
      <c r="N864" s="110">
        <v>13.65</v>
      </c>
      <c r="O864" s="110">
        <v>12.4</v>
      </c>
      <c r="P864" s="110">
        <v>12.8</v>
      </c>
      <c r="Q864" s="110">
        <v>13.3</v>
      </c>
      <c r="R864">
        <v>2034992</v>
      </c>
    </row>
    <row r="865" spans="1:18" x14ac:dyDescent="0.25">
      <c r="A865" s="134">
        <v>43273</v>
      </c>
      <c r="B865" s="110">
        <v>13.44</v>
      </c>
      <c r="C865" s="110">
        <v>13.31</v>
      </c>
      <c r="D865" s="110">
        <v>12.9</v>
      </c>
      <c r="E865" s="110">
        <v>12.9</v>
      </c>
      <c r="F865" s="110">
        <v>13.31</v>
      </c>
      <c r="G865">
        <v>73057</v>
      </c>
      <c r="H865" s="110"/>
      <c r="I865" s="110"/>
      <c r="L865" s="134">
        <v>43273</v>
      </c>
      <c r="M865" s="110">
        <v>13.2</v>
      </c>
      <c r="N865" s="110">
        <v>13.4</v>
      </c>
      <c r="O865" s="110">
        <v>13.05</v>
      </c>
      <c r="P865" s="110">
        <v>13.05</v>
      </c>
      <c r="Q865" s="110">
        <v>13.2</v>
      </c>
      <c r="R865">
        <v>833164</v>
      </c>
    </row>
    <row r="866" spans="1:18" x14ac:dyDescent="0.25">
      <c r="A866" s="134">
        <v>43276</v>
      </c>
      <c r="B866" s="110">
        <v>13.34</v>
      </c>
      <c r="C866" s="110">
        <v>13.13</v>
      </c>
      <c r="D866" s="110">
        <v>13.05</v>
      </c>
      <c r="E866" s="110">
        <v>13.1</v>
      </c>
      <c r="F866" s="110">
        <v>13.13</v>
      </c>
      <c r="G866">
        <v>47984</v>
      </c>
      <c r="H866" s="110"/>
      <c r="I866" s="110"/>
      <c r="L866" s="134">
        <v>43276</v>
      </c>
      <c r="M866" s="110">
        <v>13.05</v>
      </c>
      <c r="N866" s="110">
        <v>13.25</v>
      </c>
      <c r="O866" s="110">
        <v>12.95</v>
      </c>
      <c r="P866" s="110">
        <v>13.1</v>
      </c>
      <c r="Q866" s="110">
        <v>13.05</v>
      </c>
      <c r="R866">
        <v>522331</v>
      </c>
    </row>
    <row r="867" spans="1:18" x14ac:dyDescent="0.25">
      <c r="A867" s="134">
        <v>43277</v>
      </c>
      <c r="B867" s="110">
        <v>13.5</v>
      </c>
      <c r="C867" s="110">
        <v>12.89</v>
      </c>
      <c r="D867" s="110">
        <v>12.85</v>
      </c>
      <c r="E867" s="110">
        <v>13.5</v>
      </c>
      <c r="F867" s="110">
        <v>12.89</v>
      </c>
      <c r="G867">
        <v>50018</v>
      </c>
      <c r="H867" s="110"/>
      <c r="I867" s="110"/>
      <c r="L867" s="134">
        <v>43277</v>
      </c>
      <c r="M867" s="110">
        <v>12.85</v>
      </c>
      <c r="N867" s="110">
        <v>13.15</v>
      </c>
      <c r="O867" s="110">
        <v>12.7</v>
      </c>
      <c r="P867" s="110">
        <v>13.05</v>
      </c>
      <c r="Q867" s="110">
        <v>12.85</v>
      </c>
      <c r="R867">
        <v>390824</v>
      </c>
    </row>
    <row r="868" spans="1:18" x14ac:dyDescent="0.25">
      <c r="A868" s="134">
        <v>43278</v>
      </c>
      <c r="B868" s="110">
        <v>13.04</v>
      </c>
      <c r="C868" s="110">
        <v>12.57</v>
      </c>
      <c r="D868" s="110">
        <v>12.5</v>
      </c>
      <c r="E868" s="110">
        <v>12.95</v>
      </c>
      <c r="F868" s="110">
        <v>12.57</v>
      </c>
      <c r="G868">
        <v>90543</v>
      </c>
      <c r="H868" s="110"/>
      <c r="I868" s="110"/>
      <c r="L868" s="134">
        <v>43278</v>
      </c>
      <c r="M868" s="110">
        <v>12.55</v>
      </c>
      <c r="N868" s="110">
        <v>13.05</v>
      </c>
      <c r="O868" s="110">
        <v>12.4</v>
      </c>
      <c r="P868" s="110">
        <v>13.05</v>
      </c>
      <c r="Q868" s="110">
        <v>12.55</v>
      </c>
      <c r="R868">
        <v>363834</v>
      </c>
    </row>
    <row r="869" spans="1:18" x14ac:dyDescent="0.25">
      <c r="A869" s="134">
        <v>43279</v>
      </c>
      <c r="B869" s="110">
        <v>12.85</v>
      </c>
      <c r="C869" s="110">
        <v>12.31</v>
      </c>
      <c r="D869" s="110">
        <v>12.25</v>
      </c>
      <c r="E869" s="110">
        <v>12.8</v>
      </c>
      <c r="F869" s="110">
        <v>12.31</v>
      </c>
      <c r="G869">
        <v>72675</v>
      </c>
      <c r="H869" s="110"/>
      <c r="I869" s="110"/>
      <c r="L869" s="134">
        <v>43279</v>
      </c>
      <c r="M869" s="110">
        <v>12.3</v>
      </c>
      <c r="N869" s="110">
        <v>12.75</v>
      </c>
      <c r="O869" s="110">
        <v>12.2</v>
      </c>
      <c r="P869" s="110">
        <v>12.55</v>
      </c>
      <c r="Q869" s="110">
        <v>12.3</v>
      </c>
      <c r="R869">
        <v>516089</v>
      </c>
    </row>
    <row r="870" spans="1:18" x14ac:dyDescent="0.25">
      <c r="A870" s="134">
        <v>43280</v>
      </c>
      <c r="B870" s="110">
        <v>12.68</v>
      </c>
      <c r="C870" s="110">
        <v>12.58</v>
      </c>
      <c r="D870" s="110">
        <v>12.26</v>
      </c>
      <c r="E870" s="110">
        <v>12.41</v>
      </c>
      <c r="F870" s="110">
        <v>12.58</v>
      </c>
      <c r="G870">
        <v>44952</v>
      </c>
      <c r="H870" s="110"/>
      <c r="I870" s="110"/>
      <c r="L870" s="134">
        <v>43280</v>
      </c>
      <c r="M870" s="110">
        <v>12.5</v>
      </c>
      <c r="N870" s="110">
        <v>12.6</v>
      </c>
      <c r="O870" s="110">
        <v>12.2</v>
      </c>
      <c r="P870" s="110">
        <v>12.3</v>
      </c>
      <c r="Q870" s="110">
        <v>12.5</v>
      </c>
      <c r="R870">
        <v>585435</v>
      </c>
    </row>
    <row r="871" spans="1:18" x14ac:dyDescent="0.25">
      <c r="A871" s="134">
        <v>43283</v>
      </c>
      <c r="B871" s="110">
        <v>13.04</v>
      </c>
      <c r="C871" s="110">
        <v>12.51</v>
      </c>
      <c r="D871" s="110">
        <v>12.46</v>
      </c>
      <c r="E871" s="110">
        <v>13.04</v>
      </c>
      <c r="F871" s="110">
        <v>12.51</v>
      </c>
      <c r="G871">
        <v>159026</v>
      </c>
      <c r="H871" s="110"/>
      <c r="I871" s="110"/>
      <c r="L871" s="134">
        <v>43283</v>
      </c>
      <c r="M871" s="110">
        <v>12.45</v>
      </c>
      <c r="N871" s="110">
        <v>13</v>
      </c>
      <c r="O871" s="110">
        <v>12.4</v>
      </c>
      <c r="P871" s="110">
        <v>12.8</v>
      </c>
      <c r="Q871" s="110">
        <v>12.45</v>
      </c>
      <c r="R871">
        <v>1062506</v>
      </c>
    </row>
    <row r="872" spans="1:18" x14ac:dyDescent="0.25">
      <c r="A872" s="134">
        <v>43284</v>
      </c>
      <c r="B872" s="110">
        <v>12.64</v>
      </c>
      <c r="C872" s="110">
        <v>12.59</v>
      </c>
      <c r="D872" s="110">
        <v>12.5</v>
      </c>
      <c r="E872" s="110">
        <v>12.64</v>
      </c>
      <c r="F872" s="110">
        <v>12.59</v>
      </c>
      <c r="G872">
        <v>47093</v>
      </c>
      <c r="H872" s="110"/>
      <c r="I872" s="110"/>
      <c r="L872" s="134">
        <v>43284</v>
      </c>
      <c r="M872" s="110">
        <v>12.55</v>
      </c>
      <c r="N872" s="110">
        <v>12.65</v>
      </c>
      <c r="O872" s="110">
        <v>12.45</v>
      </c>
      <c r="P872" s="110">
        <v>12.55</v>
      </c>
      <c r="Q872" s="110">
        <v>12.55</v>
      </c>
      <c r="R872">
        <v>486296</v>
      </c>
    </row>
    <row r="873" spans="1:18" x14ac:dyDescent="0.25">
      <c r="A873" s="134">
        <v>43285</v>
      </c>
      <c r="B873" s="110">
        <v>12.66</v>
      </c>
      <c r="C873" s="110">
        <v>12.59</v>
      </c>
      <c r="D873" s="110">
        <v>12.52</v>
      </c>
      <c r="E873" s="110">
        <v>12.6</v>
      </c>
      <c r="F873" s="110">
        <v>12.59</v>
      </c>
      <c r="G873">
        <v>44994</v>
      </c>
      <c r="H873" s="110"/>
      <c r="I873" s="110"/>
      <c r="L873" s="134">
        <v>43285</v>
      </c>
      <c r="M873" s="110">
        <v>12.6</v>
      </c>
      <c r="N873" s="110">
        <v>12.65</v>
      </c>
      <c r="O873" s="110">
        <v>12.5</v>
      </c>
      <c r="P873" s="110">
        <v>12.6</v>
      </c>
      <c r="Q873" s="110">
        <v>12.6</v>
      </c>
      <c r="R873">
        <v>299509</v>
      </c>
    </row>
    <row r="874" spans="1:18" x14ac:dyDescent="0.25">
      <c r="A874" s="134">
        <v>43286</v>
      </c>
      <c r="B874" s="110">
        <v>12.74</v>
      </c>
      <c r="C874" s="110">
        <v>12.38</v>
      </c>
      <c r="D874" s="110">
        <v>12.25</v>
      </c>
      <c r="E874" s="110">
        <v>12.67</v>
      </c>
      <c r="F874" s="110">
        <v>12.38</v>
      </c>
      <c r="G874">
        <v>112538</v>
      </c>
      <c r="H874" s="110"/>
      <c r="I874" s="110"/>
      <c r="L874" s="134">
        <v>43286</v>
      </c>
      <c r="M874" s="110">
        <v>12.25</v>
      </c>
      <c r="N874" s="110">
        <v>12.75</v>
      </c>
      <c r="O874" s="110">
        <v>12.15</v>
      </c>
      <c r="P874" s="110">
        <v>12.65</v>
      </c>
      <c r="Q874" s="110">
        <v>12.25</v>
      </c>
      <c r="R874">
        <v>430756</v>
      </c>
    </row>
    <row r="875" spans="1:18" x14ac:dyDescent="0.25">
      <c r="A875" s="134">
        <v>43287</v>
      </c>
      <c r="B875" s="110">
        <v>12.45</v>
      </c>
      <c r="C875" s="110">
        <v>12.39</v>
      </c>
      <c r="D875" s="110">
        <v>12.18</v>
      </c>
      <c r="E875" s="110">
        <v>12.2</v>
      </c>
      <c r="F875" s="110">
        <v>12.39</v>
      </c>
      <c r="G875">
        <v>72788</v>
      </c>
      <c r="H875" s="110"/>
      <c r="I875" s="110"/>
      <c r="L875" s="134">
        <v>43287</v>
      </c>
      <c r="M875" s="110">
        <v>12.35</v>
      </c>
      <c r="N875" s="110">
        <v>12.4</v>
      </c>
      <c r="O875" s="110">
        <v>12.1</v>
      </c>
      <c r="P875" s="110">
        <v>12.15</v>
      </c>
      <c r="Q875" s="110">
        <v>12.35</v>
      </c>
      <c r="R875">
        <v>379850</v>
      </c>
    </row>
    <row r="876" spans="1:18" x14ac:dyDescent="0.25">
      <c r="A876" s="134">
        <v>43290</v>
      </c>
      <c r="B876" s="110">
        <v>12.7</v>
      </c>
      <c r="C876" s="110">
        <v>12.5</v>
      </c>
      <c r="D876" s="110">
        <v>12.31</v>
      </c>
      <c r="E876" s="110">
        <v>12.41</v>
      </c>
      <c r="F876" s="110">
        <v>12.5</v>
      </c>
      <c r="G876">
        <v>87673</v>
      </c>
      <c r="H876" s="110"/>
      <c r="I876" s="110"/>
      <c r="L876" s="134">
        <v>43290</v>
      </c>
      <c r="M876" s="110">
        <v>12.35</v>
      </c>
      <c r="N876" s="110">
        <v>12.6</v>
      </c>
      <c r="O876" s="110">
        <v>12.3</v>
      </c>
      <c r="P876" s="110">
        <v>12.6</v>
      </c>
      <c r="Q876" s="110">
        <v>12.35</v>
      </c>
      <c r="R876">
        <v>434861</v>
      </c>
    </row>
    <row r="877" spans="1:18" x14ac:dyDescent="0.25">
      <c r="A877" s="134">
        <v>43291</v>
      </c>
      <c r="B877" s="110">
        <v>12.6</v>
      </c>
      <c r="C877" s="110">
        <v>12.51</v>
      </c>
      <c r="D877" s="110">
        <v>12.33</v>
      </c>
      <c r="E877" s="110">
        <v>12.5</v>
      </c>
      <c r="F877" s="110">
        <v>12.51</v>
      </c>
      <c r="G877">
        <v>45727</v>
      </c>
      <c r="H877" s="110"/>
      <c r="I877" s="110"/>
      <c r="L877" s="134">
        <v>43291</v>
      </c>
      <c r="M877" s="110">
        <v>12.45</v>
      </c>
      <c r="N877" s="110">
        <v>12.5</v>
      </c>
      <c r="O877" s="110">
        <v>12.35</v>
      </c>
      <c r="P877" s="110">
        <v>12.45</v>
      </c>
      <c r="Q877" s="110">
        <v>12.45</v>
      </c>
      <c r="R877">
        <v>222187</v>
      </c>
    </row>
    <row r="878" spans="1:18" x14ac:dyDescent="0.25">
      <c r="A878" s="134">
        <v>43292</v>
      </c>
      <c r="B878" s="110">
        <v>12.5</v>
      </c>
      <c r="C878" s="110">
        <v>12.29</v>
      </c>
      <c r="D878" s="110">
        <v>12.26</v>
      </c>
      <c r="E878" s="110">
        <v>12.5</v>
      </c>
      <c r="F878" s="110">
        <v>12.29</v>
      </c>
      <c r="G878">
        <v>59556</v>
      </c>
      <c r="H878" s="110"/>
      <c r="I878" s="110"/>
      <c r="L878" s="134">
        <v>43292</v>
      </c>
      <c r="M878" s="110">
        <v>12.25</v>
      </c>
      <c r="N878" s="110">
        <v>12.5</v>
      </c>
      <c r="O878" s="110">
        <v>12.2</v>
      </c>
      <c r="P878" s="110">
        <v>12.45</v>
      </c>
      <c r="Q878" s="110">
        <v>12.25</v>
      </c>
      <c r="R878">
        <v>356216</v>
      </c>
    </row>
    <row r="879" spans="1:18" x14ac:dyDescent="0.25">
      <c r="A879" s="134">
        <v>43293</v>
      </c>
      <c r="B879" s="110">
        <v>12.4</v>
      </c>
      <c r="C879" s="110">
        <v>12.15</v>
      </c>
      <c r="D879" s="110">
        <v>12.1</v>
      </c>
      <c r="E879" s="110">
        <v>12.25</v>
      </c>
      <c r="F879" s="110">
        <v>12.15</v>
      </c>
      <c r="G879">
        <v>118213</v>
      </c>
      <c r="H879" s="110"/>
      <c r="I879" s="110"/>
      <c r="L879" s="134">
        <v>43293</v>
      </c>
      <c r="M879" s="110">
        <v>12.2</v>
      </c>
      <c r="N879" s="110">
        <v>12.4</v>
      </c>
      <c r="O879" s="110">
        <v>12.15</v>
      </c>
      <c r="P879" s="110">
        <v>12.3</v>
      </c>
      <c r="Q879" s="110">
        <v>12.2</v>
      </c>
      <c r="R879">
        <v>215002</v>
      </c>
    </row>
    <row r="880" spans="1:18" x14ac:dyDescent="0.25">
      <c r="A880" s="134">
        <v>43294</v>
      </c>
      <c r="B880" s="110">
        <v>12.38</v>
      </c>
      <c r="C880" s="110">
        <v>12.11</v>
      </c>
      <c r="D880" s="110">
        <v>12</v>
      </c>
      <c r="E880" s="110">
        <v>12.38</v>
      </c>
      <c r="F880" s="110">
        <v>12.11</v>
      </c>
      <c r="G880">
        <v>79707</v>
      </c>
      <c r="H880" s="110"/>
      <c r="I880" s="110"/>
      <c r="L880" s="134">
        <v>43294</v>
      </c>
      <c r="M880" s="110">
        <v>12.05</v>
      </c>
      <c r="N880" s="110">
        <v>12.3</v>
      </c>
      <c r="O880" s="110">
        <v>11.9</v>
      </c>
      <c r="P880" s="110">
        <v>12.3</v>
      </c>
      <c r="Q880" s="110">
        <v>12.05</v>
      </c>
      <c r="R880">
        <v>426530</v>
      </c>
    </row>
    <row r="881" spans="1:18" x14ac:dyDescent="0.25">
      <c r="A881" s="134">
        <v>43297</v>
      </c>
      <c r="B881" s="110">
        <v>12.3</v>
      </c>
      <c r="C881" s="110">
        <v>11.92</v>
      </c>
      <c r="D881" s="110">
        <v>11.88</v>
      </c>
      <c r="E881" s="110">
        <v>12.11</v>
      </c>
      <c r="F881" s="110">
        <v>11.92</v>
      </c>
      <c r="G881">
        <v>79433</v>
      </c>
      <c r="H881" s="110"/>
      <c r="I881" s="110"/>
      <c r="L881" s="134">
        <v>43297</v>
      </c>
      <c r="M881" s="110">
        <v>11.9</v>
      </c>
      <c r="N881" s="110">
        <v>12.15</v>
      </c>
      <c r="O881" s="110">
        <v>11.85</v>
      </c>
      <c r="P881" s="110">
        <v>12.15</v>
      </c>
      <c r="Q881" s="110">
        <v>11.9</v>
      </c>
      <c r="R881">
        <v>254573</v>
      </c>
    </row>
    <row r="882" spans="1:18" x14ac:dyDescent="0.25">
      <c r="A882" s="134">
        <v>43298</v>
      </c>
      <c r="B882" s="110">
        <v>12.34</v>
      </c>
      <c r="C882" s="110">
        <v>12.19</v>
      </c>
      <c r="D882" s="110">
        <v>11.9</v>
      </c>
      <c r="E882" s="110">
        <v>11.9</v>
      </c>
      <c r="F882" s="110">
        <v>12.19</v>
      </c>
      <c r="G882">
        <v>38941</v>
      </c>
      <c r="H882" s="110"/>
      <c r="I882" s="110"/>
      <c r="L882" s="134">
        <v>43298</v>
      </c>
      <c r="M882" s="110">
        <v>12.15</v>
      </c>
      <c r="N882" s="110">
        <v>12.25</v>
      </c>
      <c r="O882" s="110">
        <v>11.85</v>
      </c>
      <c r="P882" s="110">
        <v>11.95</v>
      </c>
      <c r="Q882" s="110">
        <v>12.15</v>
      </c>
      <c r="R882">
        <v>438015</v>
      </c>
    </row>
    <row r="883" spans="1:18" x14ac:dyDescent="0.25">
      <c r="A883" s="134">
        <v>43299</v>
      </c>
      <c r="B883" s="110">
        <v>12.49</v>
      </c>
      <c r="C883" s="110">
        <v>12.04</v>
      </c>
      <c r="D883" s="110">
        <v>11.93</v>
      </c>
      <c r="E883" s="110">
        <v>12.25</v>
      </c>
      <c r="F883" s="110">
        <v>12.04</v>
      </c>
      <c r="G883">
        <v>62318</v>
      </c>
      <c r="H883" s="110"/>
      <c r="I883" s="110"/>
      <c r="L883" s="134">
        <v>43299</v>
      </c>
      <c r="M883" s="110">
        <v>11.9</v>
      </c>
      <c r="N883" s="110">
        <v>12.4</v>
      </c>
      <c r="O883" s="110">
        <v>11.85</v>
      </c>
      <c r="P883" s="110">
        <v>12.2</v>
      </c>
      <c r="Q883" s="110">
        <v>11.9</v>
      </c>
      <c r="R883">
        <v>622866</v>
      </c>
    </row>
    <row r="884" spans="1:18" x14ac:dyDescent="0.25">
      <c r="A884" s="134">
        <v>43300</v>
      </c>
      <c r="B884" s="110">
        <v>12.27</v>
      </c>
      <c r="C884" s="110">
        <v>12.06</v>
      </c>
      <c r="D884" s="110">
        <v>11.87</v>
      </c>
      <c r="E884" s="110">
        <v>11.87</v>
      </c>
      <c r="F884" s="110">
        <v>12.06</v>
      </c>
      <c r="G884">
        <v>34652</v>
      </c>
      <c r="H884" s="110"/>
      <c r="I884" s="110"/>
      <c r="L884" s="134">
        <v>43300</v>
      </c>
      <c r="M884" s="110">
        <v>12.1</v>
      </c>
      <c r="N884" s="110">
        <v>12.3</v>
      </c>
      <c r="O884" s="110">
        <v>11.85</v>
      </c>
      <c r="P884" s="110">
        <v>11.95</v>
      </c>
      <c r="Q884" s="110">
        <v>12.1</v>
      </c>
      <c r="R884">
        <v>518898</v>
      </c>
    </row>
    <row r="885" spans="1:18" x14ac:dyDescent="0.25">
      <c r="A885" s="134">
        <v>43301</v>
      </c>
      <c r="B885" s="110">
        <v>12.18</v>
      </c>
      <c r="C885" s="110">
        <v>11.98</v>
      </c>
      <c r="D885" s="110">
        <v>11.85</v>
      </c>
      <c r="E885" s="110">
        <v>12.18</v>
      </c>
      <c r="F885" s="110">
        <v>11.98</v>
      </c>
      <c r="G885">
        <v>46602</v>
      </c>
      <c r="H885" s="110"/>
      <c r="I885" s="110"/>
      <c r="L885" s="134">
        <v>43301</v>
      </c>
      <c r="M885" s="110">
        <v>11.9</v>
      </c>
      <c r="N885" s="110">
        <v>12.15</v>
      </c>
      <c r="O885" s="110">
        <v>11.85</v>
      </c>
      <c r="P885" s="110">
        <v>12.15</v>
      </c>
      <c r="Q885" s="110">
        <v>11.9</v>
      </c>
      <c r="R885">
        <v>248469</v>
      </c>
    </row>
    <row r="886" spans="1:18" x14ac:dyDescent="0.25">
      <c r="A886" s="134">
        <v>43304</v>
      </c>
      <c r="B886" s="110">
        <v>12.12</v>
      </c>
      <c r="C886" s="110">
        <v>11.93</v>
      </c>
      <c r="D886" s="110">
        <v>11.83</v>
      </c>
      <c r="E886" s="110">
        <v>12</v>
      </c>
      <c r="F886" s="110">
        <v>11.93</v>
      </c>
      <c r="G886">
        <v>78537</v>
      </c>
      <c r="H886" s="110"/>
      <c r="I886" s="110"/>
      <c r="L886" s="134">
        <v>43304</v>
      </c>
      <c r="M886" s="110">
        <v>11.95</v>
      </c>
      <c r="N886" s="110">
        <v>12.05</v>
      </c>
      <c r="O886" s="110">
        <v>11.8</v>
      </c>
      <c r="P886" s="110">
        <v>11.9</v>
      </c>
      <c r="Q886" s="110">
        <v>11.95</v>
      </c>
      <c r="R886">
        <v>361529</v>
      </c>
    </row>
    <row r="887" spans="1:18" x14ac:dyDescent="0.25">
      <c r="A887" s="134">
        <v>43305</v>
      </c>
      <c r="B887" s="110">
        <v>12.22</v>
      </c>
      <c r="C887" s="110">
        <v>12.15</v>
      </c>
      <c r="D887" s="110">
        <v>11.91</v>
      </c>
      <c r="E887" s="110">
        <v>11.97</v>
      </c>
      <c r="F887" s="110">
        <v>12.15</v>
      </c>
      <c r="G887">
        <v>56742</v>
      </c>
      <c r="H887" s="110"/>
      <c r="I887" s="110"/>
      <c r="L887" s="134">
        <v>43305</v>
      </c>
      <c r="M887" s="110">
        <v>12.15</v>
      </c>
      <c r="N887" s="110">
        <v>12.25</v>
      </c>
      <c r="O887" s="110">
        <v>11.95</v>
      </c>
      <c r="P887" s="110">
        <v>12</v>
      </c>
      <c r="Q887" s="110">
        <v>12.15</v>
      </c>
      <c r="R887">
        <v>363229</v>
      </c>
    </row>
    <row r="888" spans="1:18" x14ac:dyDescent="0.25">
      <c r="A888" s="134">
        <v>43306</v>
      </c>
      <c r="B888" s="110">
        <v>12.29</v>
      </c>
      <c r="C888" s="110">
        <v>12.17</v>
      </c>
      <c r="D888" s="110">
        <v>12.15</v>
      </c>
      <c r="E888" s="110">
        <v>12.25</v>
      </c>
      <c r="F888" s="110">
        <v>12.17</v>
      </c>
      <c r="G888">
        <v>33090</v>
      </c>
      <c r="H888" s="110"/>
      <c r="I888" s="110"/>
      <c r="L888" s="134">
        <v>43306</v>
      </c>
      <c r="M888" s="110">
        <v>12.2</v>
      </c>
      <c r="N888" s="110">
        <v>12.3</v>
      </c>
      <c r="O888" s="110">
        <v>12.15</v>
      </c>
      <c r="P888" s="110">
        <v>12.15</v>
      </c>
      <c r="Q888" s="110">
        <v>12.2</v>
      </c>
      <c r="R888">
        <v>219801</v>
      </c>
    </row>
    <row r="889" spans="1:18" x14ac:dyDescent="0.25">
      <c r="A889" s="134">
        <v>43307</v>
      </c>
      <c r="B889" s="110">
        <v>12.4</v>
      </c>
      <c r="C889" s="110">
        <v>12.22</v>
      </c>
      <c r="D889" s="110">
        <v>12.15</v>
      </c>
      <c r="E889" s="110">
        <v>12.28</v>
      </c>
      <c r="F889" s="110">
        <v>12.22</v>
      </c>
      <c r="G889">
        <v>46361</v>
      </c>
      <c r="H889" s="110"/>
      <c r="I889" s="110"/>
      <c r="L889" s="134">
        <v>43307</v>
      </c>
      <c r="M889" s="110">
        <v>12.15</v>
      </c>
      <c r="N889" s="110">
        <v>12.4</v>
      </c>
      <c r="O889" s="110">
        <v>12.1</v>
      </c>
      <c r="P889" s="110">
        <v>12.25</v>
      </c>
      <c r="Q889" s="110">
        <v>12.15</v>
      </c>
      <c r="R889">
        <v>578590</v>
      </c>
    </row>
    <row r="890" spans="1:18" x14ac:dyDescent="0.25">
      <c r="A890" s="134">
        <v>43308</v>
      </c>
      <c r="B890" s="110">
        <v>12.59</v>
      </c>
      <c r="C890" s="110">
        <v>12.55</v>
      </c>
      <c r="D890" s="110">
        <v>12.15</v>
      </c>
      <c r="E890" s="110">
        <v>12.15</v>
      </c>
      <c r="F890" s="110">
        <v>12.55</v>
      </c>
      <c r="G890">
        <v>51772</v>
      </c>
      <c r="H890" s="110"/>
      <c r="I890" s="110"/>
      <c r="L890" s="134">
        <v>43308</v>
      </c>
      <c r="M890" s="110">
        <v>12.5</v>
      </c>
      <c r="N890" s="110">
        <v>12.6</v>
      </c>
      <c r="O890" s="110">
        <v>12.2</v>
      </c>
      <c r="P890" s="110">
        <v>12.25</v>
      </c>
      <c r="Q890" s="110">
        <v>12.5</v>
      </c>
      <c r="R890">
        <v>501028</v>
      </c>
    </row>
    <row r="891" spans="1:18" x14ac:dyDescent="0.25">
      <c r="A891" s="134">
        <v>43311</v>
      </c>
      <c r="B891" s="110">
        <v>13.45</v>
      </c>
      <c r="C891" s="110">
        <v>13.14</v>
      </c>
      <c r="D891" s="110">
        <v>12.5</v>
      </c>
      <c r="E891" s="110">
        <v>12.51</v>
      </c>
      <c r="F891" s="110">
        <v>13.14</v>
      </c>
      <c r="G891">
        <v>169710</v>
      </c>
      <c r="H891" s="110"/>
      <c r="I891" s="110"/>
      <c r="L891" s="134">
        <v>43311</v>
      </c>
      <c r="M891" s="110">
        <v>13.15</v>
      </c>
      <c r="N891" s="110">
        <v>13.45</v>
      </c>
      <c r="O891" s="110">
        <v>12.55</v>
      </c>
      <c r="P891" s="110">
        <v>12.55</v>
      </c>
      <c r="Q891" s="110">
        <v>13.15</v>
      </c>
      <c r="R891">
        <v>1027095</v>
      </c>
    </row>
    <row r="892" spans="1:18" x14ac:dyDescent="0.25">
      <c r="A892" s="134">
        <v>43312</v>
      </c>
      <c r="B892" s="110">
        <v>13.5</v>
      </c>
      <c r="C892" s="110">
        <v>13.32</v>
      </c>
      <c r="D892" s="110">
        <v>13.11</v>
      </c>
      <c r="E892" s="110">
        <v>13.2</v>
      </c>
      <c r="F892" s="110">
        <v>13.32</v>
      </c>
      <c r="G892">
        <v>149906</v>
      </c>
      <c r="H892" s="110"/>
      <c r="I892" s="110"/>
      <c r="L892" s="134">
        <v>43312</v>
      </c>
      <c r="M892" s="110">
        <v>13.2</v>
      </c>
      <c r="N892" s="110">
        <v>13.4</v>
      </c>
      <c r="O892" s="110">
        <v>13.1</v>
      </c>
      <c r="P892" s="110">
        <v>13.25</v>
      </c>
      <c r="Q892" s="110">
        <v>13.2</v>
      </c>
      <c r="R892">
        <v>715324</v>
      </c>
    </row>
    <row r="893" spans="1:18" x14ac:dyDescent="0.25">
      <c r="A893" s="134">
        <v>43313</v>
      </c>
      <c r="B893" s="110">
        <v>13.5</v>
      </c>
      <c r="C893" s="110">
        <v>13.42</v>
      </c>
      <c r="D893" s="110">
        <v>13.25</v>
      </c>
      <c r="E893" s="110">
        <v>13.3</v>
      </c>
      <c r="F893" s="110">
        <v>13.42</v>
      </c>
      <c r="G893">
        <v>46173</v>
      </c>
      <c r="H893" s="110"/>
      <c r="I893" s="110"/>
      <c r="L893" s="134">
        <v>43313</v>
      </c>
      <c r="M893" s="110">
        <v>13.45</v>
      </c>
      <c r="N893" s="110">
        <v>13.65</v>
      </c>
      <c r="O893" s="110">
        <v>13.2</v>
      </c>
      <c r="P893" s="110">
        <v>13.25</v>
      </c>
      <c r="Q893" s="110">
        <v>13.45</v>
      </c>
      <c r="R893">
        <v>632916</v>
      </c>
    </row>
    <row r="894" spans="1:18" x14ac:dyDescent="0.25">
      <c r="A894" s="134">
        <v>43314</v>
      </c>
      <c r="B894" s="110">
        <v>13.65</v>
      </c>
      <c r="C894" s="110">
        <v>13.46</v>
      </c>
      <c r="D894" s="110">
        <v>13.21</v>
      </c>
      <c r="E894" s="110">
        <v>13.65</v>
      </c>
      <c r="F894" s="110">
        <v>13.46</v>
      </c>
      <c r="G894">
        <v>75542</v>
      </c>
      <c r="H894" s="110"/>
      <c r="I894" s="110"/>
      <c r="L894" s="134">
        <v>43314</v>
      </c>
      <c r="M894" s="110">
        <v>13.4</v>
      </c>
      <c r="N894" s="110">
        <v>13.45</v>
      </c>
      <c r="O894" s="110">
        <v>13.2</v>
      </c>
      <c r="P894" s="110">
        <v>13.45</v>
      </c>
      <c r="Q894" s="110">
        <v>13.4</v>
      </c>
      <c r="R894">
        <v>296999</v>
      </c>
    </row>
    <row r="895" spans="1:18" x14ac:dyDescent="0.25">
      <c r="A895" s="134">
        <v>43315</v>
      </c>
      <c r="B895" s="110">
        <v>14.04</v>
      </c>
      <c r="C895" s="110">
        <v>13.19</v>
      </c>
      <c r="D895" s="110">
        <v>12.51</v>
      </c>
      <c r="E895" s="110">
        <v>13.56</v>
      </c>
      <c r="F895" s="110">
        <v>13.19</v>
      </c>
      <c r="G895">
        <v>443035</v>
      </c>
      <c r="H895" s="110"/>
      <c r="I895" s="110"/>
      <c r="L895" s="134">
        <v>43315</v>
      </c>
      <c r="M895" s="110">
        <v>13.25</v>
      </c>
      <c r="N895" s="110">
        <v>14.05</v>
      </c>
      <c r="O895" s="110">
        <v>12.3</v>
      </c>
      <c r="P895" s="110">
        <v>13.65</v>
      </c>
      <c r="Q895" s="110">
        <v>13.25</v>
      </c>
      <c r="R895">
        <v>3780706</v>
      </c>
    </row>
    <row r="896" spans="1:18" x14ac:dyDescent="0.25">
      <c r="A896" s="134">
        <v>43318</v>
      </c>
      <c r="B896" s="110">
        <v>13.8</v>
      </c>
      <c r="C896" s="110">
        <v>13.09</v>
      </c>
      <c r="D896" s="110">
        <v>12.96</v>
      </c>
      <c r="E896" s="110">
        <v>13.8</v>
      </c>
      <c r="F896" s="110">
        <v>13.09</v>
      </c>
      <c r="G896">
        <v>165350</v>
      </c>
      <c r="H896" s="110"/>
      <c r="I896" s="110"/>
      <c r="L896" s="134">
        <v>43318</v>
      </c>
      <c r="M896" s="110">
        <v>13.05</v>
      </c>
      <c r="N896" s="110">
        <v>13.25</v>
      </c>
      <c r="O896" s="110">
        <v>13</v>
      </c>
      <c r="P896" s="110">
        <v>13.15</v>
      </c>
      <c r="Q896" s="110">
        <v>13.05</v>
      </c>
      <c r="R896">
        <v>840599</v>
      </c>
    </row>
    <row r="897" spans="1:18" x14ac:dyDescent="0.25">
      <c r="A897" s="134">
        <v>43319</v>
      </c>
      <c r="B897" s="110">
        <v>13.14</v>
      </c>
      <c r="C897" s="110">
        <v>12.87</v>
      </c>
      <c r="D897" s="110">
        <v>12.81</v>
      </c>
      <c r="E897" s="110">
        <v>12.99</v>
      </c>
      <c r="F897" s="110">
        <v>12.87</v>
      </c>
      <c r="G897">
        <v>55909</v>
      </c>
      <c r="H897" s="110"/>
      <c r="I897" s="110"/>
      <c r="L897" s="134">
        <v>43319</v>
      </c>
      <c r="M897" s="110">
        <v>12.8</v>
      </c>
      <c r="N897" s="110">
        <v>13.15</v>
      </c>
      <c r="O897" s="110">
        <v>12.75</v>
      </c>
      <c r="P897" s="110">
        <v>13.1</v>
      </c>
      <c r="Q897" s="110">
        <v>12.8</v>
      </c>
      <c r="R897">
        <v>448093</v>
      </c>
    </row>
    <row r="898" spans="1:18" x14ac:dyDescent="0.25">
      <c r="A898" s="134">
        <v>43320</v>
      </c>
      <c r="B898" s="110">
        <v>12.93</v>
      </c>
      <c r="C898" s="110">
        <v>12.7</v>
      </c>
      <c r="D898" s="110">
        <v>12.67</v>
      </c>
      <c r="E898" s="110">
        <v>12.86</v>
      </c>
      <c r="F898" s="110">
        <v>12.7</v>
      </c>
      <c r="G898">
        <v>46167</v>
      </c>
      <c r="H898" s="110"/>
      <c r="I898" s="110"/>
      <c r="L898" s="134">
        <v>43320</v>
      </c>
      <c r="M898" s="110">
        <v>12.75</v>
      </c>
      <c r="N898" s="110">
        <v>12.9</v>
      </c>
      <c r="O898" s="110">
        <v>12.7</v>
      </c>
      <c r="P898" s="110">
        <v>12.85</v>
      </c>
      <c r="Q898" s="110">
        <v>12.75</v>
      </c>
      <c r="R898">
        <v>336303</v>
      </c>
    </row>
    <row r="899" spans="1:18" x14ac:dyDescent="0.25">
      <c r="A899" s="134">
        <v>43321</v>
      </c>
      <c r="B899" s="110">
        <v>13.75</v>
      </c>
      <c r="C899" s="110">
        <v>13.34</v>
      </c>
      <c r="D899" s="110">
        <v>12.74</v>
      </c>
      <c r="E899" s="110">
        <v>12.93</v>
      </c>
      <c r="F899" s="110">
        <v>13.34</v>
      </c>
      <c r="G899">
        <v>203038</v>
      </c>
      <c r="H899" s="110"/>
      <c r="I899" s="110"/>
      <c r="L899" s="134">
        <v>43321</v>
      </c>
      <c r="M899" s="110">
        <v>13.3</v>
      </c>
      <c r="N899" s="110">
        <v>13.75</v>
      </c>
      <c r="O899" s="110">
        <v>12.85</v>
      </c>
      <c r="P899" s="110">
        <v>12.9</v>
      </c>
      <c r="Q899" s="110">
        <v>13.3</v>
      </c>
      <c r="R899">
        <v>1134403</v>
      </c>
    </row>
    <row r="900" spans="1:18" x14ac:dyDescent="0.25">
      <c r="A900" s="134">
        <v>43322</v>
      </c>
      <c r="B900" s="110">
        <v>13.43</v>
      </c>
      <c r="C900" s="110">
        <v>13.04</v>
      </c>
      <c r="D900" s="110">
        <v>12.75</v>
      </c>
      <c r="E900" s="110">
        <v>13.25</v>
      </c>
      <c r="F900" s="110">
        <v>13.04</v>
      </c>
      <c r="G900">
        <v>83168</v>
      </c>
      <c r="H900" s="110"/>
      <c r="I900" s="110"/>
      <c r="L900" s="134">
        <v>43322</v>
      </c>
      <c r="M900" s="110">
        <v>13</v>
      </c>
      <c r="N900" s="110">
        <v>13.4</v>
      </c>
      <c r="O900" s="110">
        <v>13</v>
      </c>
      <c r="P900" s="110">
        <v>13.4</v>
      </c>
      <c r="Q900" s="110">
        <v>13</v>
      </c>
      <c r="R900">
        <v>371144</v>
      </c>
    </row>
    <row r="901" spans="1:18" x14ac:dyDescent="0.25">
      <c r="A901" s="134">
        <v>43325</v>
      </c>
      <c r="B901" s="110">
        <v>13.09</v>
      </c>
      <c r="C901" s="110">
        <v>12.87</v>
      </c>
      <c r="D901" s="110">
        <v>12.8</v>
      </c>
      <c r="E901" s="110">
        <v>13</v>
      </c>
      <c r="F901" s="110">
        <v>12.87</v>
      </c>
      <c r="G901">
        <v>113143</v>
      </c>
      <c r="H901" s="110"/>
      <c r="I901" s="110"/>
      <c r="L901" s="134">
        <v>43325</v>
      </c>
      <c r="M901" s="110">
        <v>12.95</v>
      </c>
      <c r="N901" s="110">
        <v>13.15</v>
      </c>
      <c r="O901" s="110">
        <v>12.9</v>
      </c>
      <c r="P901" s="110">
        <v>13</v>
      </c>
      <c r="Q901" s="110">
        <v>12.95</v>
      </c>
      <c r="R901">
        <v>401510</v>
      </c>
    </row>
    <row r="902" spans="1:18" x14ac:dyDescent="0.25">
      <c r="A902" s="134">
        <v>43326</v>
      </c>
      <c r="B902" s="110">
        <v>13</v>
      </c>
      <c r="C902" s="110">
        <v>12.83</v>
      </c>
      <c r="D902" s="110">
        <v>12.8</v>
      </c>
      <c r="E902" s="110">
        <v>12.95</v>
      </c>
      <c r="F902" s="110">
        <v>12.83</v>
      </c>
      <c r="G902">
        <v>89798</v>
      </c>
      <c r="H902" s="110"/>
      <c r="I902" s="110"/>
      <c r="L902" s="134">
        <v>43326</v>
      </c>
      <c r="M902" s="110">
        <v>12.85</v>
      </c>
      <c r="N902" s="110">
        <v>13</v>
      </c>
      <c r="O902" s="110">
        <v>12.8</v>
      </c>
      <c r="P902" s="110">
        <v>13</v>
      </c>
      <c r="Q902" s="110">
        <v>12.85</v>
      </c>
      <c r="R902">
        <v>210552</v>
      </c>
    </row>
    <row r="903" spans="1:18" x14ac:dyDescent="0.25">
      <c r="A903" s="134">
        <v>43328</v>
      </c>
      <c r="B903" s="110">
        <v>13.09</v>
      </c>
      <c r="C903" s="110">
        <v>12.86</v>
      </c>
      <c r="D903" s="110">
        <v>12.81</v>
      </c>
      <c r="E903" s="110">
        <v>12.84</v>
      </c>
      <c r="F903" s="110">
        <v>12.86</v>
      </c>
      <c r="G903">
        <v>40085</v>
      </c>
      <c r="H903" s="110"/>
      <c r="I903" s="110"/>
      <c r="L903" s="134">
        <v>43328</v>
      </c>
      <c r="M903" s="110">
        <v>12.85</v>
      </c>
      <c r="N903" s="110">
        <v>13.1</v>
      </c>
      <c r="O903" s="110">
        <v>12.8</v>
      </c>
      <c r="P903" s="110">
        <v>12.95</v>
      </c>
      <c r="Q903" s="110">
        <v>12.85</v>
      </c>
      <c r="R903">
        <v>287494</v>
      </c>
    </row>
    <row r="904" spans="1:18" x14ac:dyDescent="0.25">
      <c r="A904" s="134">
        <v>43329</v>
      </c>
      <c r="B904" s="110">
        <v>13.19</v>
      </c>
      <c r="C904" s="110">
        <v>13.04</v>
      </c>
      <c r="D904" s="110">
        <v>12.97</v>
      </c>
      <c r="E904" s="110">
        <v>13.19</v>
      </c>
      <c r="F904" s="110">
        <v>13.04</v>
      </c>
      <c r="G904">
        <v>49684</v>
      </c>
      <c r="H904" s="110"/>
      <c r="I904" s="110"/>
      <c r="L904" s="134">
        <v>43329</v>
      </c>
      <c r="M904" s="110">
        <v>13</v>
      </c>
      <c r="N904" s="110">
        <v>13.1</v>
      </c>
      <c r="O904" s="110">
        <v>12.9</v>
      </c>
      <c r="P904" s="110">
        <v>12.9</v>
      </c>
      <c r="Q904" s="110">
        <v>13</v>
      </c>
      <c r="R904">
        <v>210479</v>
      </c>
    </row>
    <row r="905" spans="1:18" x14ac:dyDescent="0.25">
      <c r="A905" s="134">
        <v>43332</v>
      </c>
      <c r="B905" s="110">
        <v>13.15</v>
      </c>
      <c r="C905" s="110">
        <v>13.1</v>
      </c>
      <c r="D905" s="110">
        <v>13</v>
      </c>
      <c r="E905" s="110">
        <v>13.04</v>
      </c>
      <c r="F905" s="110">
        <v>13.1</v>
      </c>
      <c r="G905">
        <v>37951</v>
      </c>
      <c r="H905" s="110"/>
      <c r="I905" s="110"/>
      <c r="L905" s="134">
        <v>43332</v>
      </c>
      <c r="M905" s="110">
        <v>13.05</v>
      </c>
      <c r="N905" s="110">
        <v>13.15</v>
      </c>
      <c r="O905" s="110">
        <v>13</v>
      </c>
      <c r="P905" s="110">
        <v>13.05</v>
      </c>
      <c r="Q905" s="110">
        <v>13.05</v>
      </c>
      <c r="R905">
        <v>212389</v>
      </c>
    </row>
    <row r="906" spans="1:18" x14ac:dyDescent="0.25">
      <c r="A906" s="134">
        <v>43333</v>
      </c>
      <c r="B906" s="110">
        <v>13.19</v>
      </c>
      <c r="C906" s="110">
        <v>13.03</v>
      </c>
      <c r="D906" s="110">
        <v>12.83</v>
      </c>
      <c r="E906" s="110">
        <v>12.83</v>
      </c>
      <c r="F906" s="110">
        <v>13.03</v>
      </c>
      <c r="G906">
        <v>33148</v>
      </c>
      <c r="H906" s="110"/>
      <c r="I906" s="110"/>
      <c r="L906" s="134">
        <v>43333</v>
      </c>
      <c r="M906" s="110">
        <v>13.05</v>
      </c>
      <c r="N906" s="110">
        <v>13.2</v>
      </c>
      <c r="O906" s="110">
        <v>13</v>
      </c>
      <c r="P906" s="110">
        <v>13.1</v>
      </c>
      <c r="Q906" s="110">
        <v>13.05</v>
      </c>
      <c r="R906">
        <v>226969</v>
      </c>
    </row>
    <row r="907" spans="1:18" x14ac:dyDescent="0.25">
      <c r="A907" s="134">
        <v>43335</v>
      </c>
      <c r="B907" s="110">
        <v>13.07</v>
      </c>
      <c r="C907" s="110">
        <v>13</v>
      </c>
      <c r="D907" s="110">
        <v>12.87</v>
      </c>
      <c r="E907" s="110">
        <v>12.96</v>
      </c>
      <c r="F907" s="110">
        <v>13</v>
      </c>
      <c r="G907">
        <v>57822</v>
      </c>
      <c r="H907" s="110"/>
      <c r="I907" s="110"/>
      <c r="L907" s="134">
        <v>43335</v>
      </c>
      <c r="M907" s="110">
        <v>12.9</v>
      </c>
      <c r="N907" s="110">
        <v>13.1</v>
      </c>
      <c r="O907" s="110">
        <v>12.85</v>
      </c>
      <c r="P907" s="110">
        <v>13.05</v>
      </c>
      <c r="Q907" s="110">
        <v>12.9</v>
      </c>
      <c r="R907">
        <v>564178</v>
      </c>
    </row>
    <row r="908" spans="1:18" x14ac:dyDescent="0.25">
      <c r="A908" s="134">
        <v>43336</v>
      </c>
      <c r="B908" s="110">
        <v>12.95</v>
      </c>
      <c r="C908" s="110">
        <v>12.85</v>
      </c>
      <c r="D908" s="110">
        <v>12.83</v>
      </c>
      <c r="E908" s="110">
        <v>12.9</v>
      </c>
      <c r="F908" s="110">
        <v>12.85</v>
      </c>
      <c r="G908">
        <v>14071</v>
      </c>
      <c r="H908" s="110"/>
      <c r="I908" s="110"/>
      <c r="L908" s="134">
        <v>43336</v>
      </c>
      <c r="M908" s="110">
        <v>12.85</v>
      </c>
      <c r="N908" s="110">
        <v>12.95</v>
      </c>
      <c r="O908" s="110">
        <v>12.8</v>
      </c>
      <c r="P908" s="110">
        <v>12.95</v>
      </c>
      <c r="Q908" s="110">
        <v>12.85</v>
      </c>
      <c r="R908">
        <v>245148</v>
      </c>
    </row>
    <row r="909" spans="1:18" x14ac:dyDescent="0.25">
      <c r="A909" s="134">
        <v>43339</v>
      </c>
      <c r="B909" s="110">
        <v>13.14</v>
      </c>
      <c r="C909" s="110">
        <v>12.9</v>
      </c>
      <c r="D909" s="110">
        <v>12.85</v>
      </c>
      <c r="E909" s="110">
        <v>12.87</v>
      </c>
      <c r="F909" s="110">
        <v>12.9</v>
      </c>
      <c r="G909">
        <v>32028</v>
      </c>
      <c r="H909" s="110"/>
      <c r="I909" s="110"/>
      <c r="L909" s="134">
        <v>43339</v>
      </c>
      <c r="M909" s="110">
        <v>12.9</v>
      </c>
      <c r="N909" s="110">
        <v>13.05</v>
      </c>
      <c r="O909" s="110">
        <v>12.85</v>
      </c>
      <c r="P909" s="110">
        <v>13.05</v>
      </c>
      <c r="Q909" s="110">
        <v>12.9</v>
      </c>
      <c r="R909">
        <v>277804</v>
      </c>
    </row>
    <row r="910" spans="1:18" x14ac:dyDescent="0.25">
      <c r="A910" s="134">
        <v>43340</v>
      </c>
      <c r="B910" s="110">
        <v>12.98</v>
      </c>
      <c r="C910" s="110">
        <v>12.88</v>
      </c>
      <c r="D910" s="110">
        <v>12.81</v>
      </c>
      <c r="E910" s="110">
        <v>12.97</v>
      </c>
      <c r="F910" s="110">
        <v>12.88</v>
      </c>
      <c r="G910">
        <v>22287</v>
      </c>
      <c r="H910" s="110"/>
      <c r="I910" s="110"/>
      <c r="L910" s="134">
        <v>43340</v>
      </c>
      <c r="M910" s="110">
        <v>12.85</v>
      </c>
      <c r="N910" s="110">
        <v>12.95</v>
      </c>
      <c r="O910" s="110">
        <v>12.8</v>
      </c>
      <c r="P910" s="110">
        <v>12.95</v>
      </c>
      <c r="Q910" s="110">
        <v>12.85</v>
      </c>
      <c r="R910">
        <v>136949</v>
      </c>
    </row>
    <row r="911" spans="1:18" x14ac:dyDescent="0.25">
      <c r="A911" s="134">
        <v>43341</v>
      </c>
      <c r="B911" s="110">
        <v>12.91</v>
      </c>
      <c r="C911" s="110">
        <v>12.83</v>
      </c>
      <c r="D911" s="110">
        <v>12.76</v>
      </c>
      <c r="E911" s="110">
        <v>12.76</v>
      </c>
      <c r="F911" s="110">
        <v>12.83</v>
      </c>
      <c r="G911">
        <v>25767</v>
      </c>
      <c r="H911" s="110"/>
      <c r="I911" s="110"/>
      <c r="L911" s="134">
        <v>43341</v>
      </c>
      <c r="M911" s="110">
        <v>12.85</v>
      </c>
      <c r="N911" s="110">
        <v>12.95</v>
      </c>
      <c r="O911" s="110">
        <v>12.8</v>
      </c>
      <c r="P911" s="110">
        <v>12.85</v>
      </c>
      <c r="Q911" s="110">
        <v>12.85</v>
      </c>
      <c r="R911">
        <v>152435</v>
      </c>
    </row>
    <row r="912" spans="1:18" x14ac:dyDescent="0.25">
      <c r="A912" s="134">
        <v>43342</v>
      </c>
      <c r="B912" s="110">
        <v>13.25</v>
      </c>
      <c r="C912" s="110">
        <v>13.11</v>
      </c>
      <c r="D912" s="110">
        <v>12.9</v>
      </c>
      <c r="E912" s="110">
        <v>12.9</v>
      </c>
      <c r="F912" s="110">
        <v>13.11</v>
      </c>
      <c r="G912">
        <v>72545</v>
      </c>
      <c r="H912" s="110"/>
      <c r="I912" s="110"/>
      <c r="L912" s="134">
        <v>43342</v>
      </c>
      <c r="M912" s="110">
        <v>13.1</v>
      </c>
      <c r="N912" s="110">
        <v>13.3</v>
      </c>
      <c r="O912" s="110">
        <v>13.05</v>
      </c>
      <c r="P912" s="110">
        <v>13.05</v>
      </c>
      <c r="Q912" s="110">
        <v>13.1</v>
      </c>
      <c r="R912">
        <v>797628</v>
      </c>
    </row>
    <row r="913" spans="1:18" x14ac:dyDescent="0.25">
      <c r="A913" s="134">
        <v>43343</v>
      </c>
      <c r="B913" s="110">
        <v>13.5</v>
      </c>
      <c r="C913" s="110">
        <v>13.31</v>
      </c>
      <c r="D913" s="110">
        <v>13</v>
      </c>
      <c r="E913" s="110">
        <v>13.5</v>
      </c>
      <c r="F913" s="110">
        <v>13.31</v>
      </c>
      <c r="G913">
        <v>88801</v>
      </c>
      <c r="H913" s="110"/>
      <c r="I913" s="110"/>
      <c r="L913" s="134">
        <v>43343</v>
      </c>
      <c r="M913" s="110">
        <v>13.15</v>
      </c>
      <c r="N913" s="110">
        <v>13.2</v>
      </c>
      <c r="O913" s="110">
        <v>12.95</v>
      </c>
      <c r="P913" s="110">
        <v>13.1</v>
      </c>
      <c r="Q913" s="110">
        <v>13.15</v>
      </c>
      <c r="R913">
        <v>359746</v>
      </c>
    </row>
    <row r="914" spans="1:18" x14ac:dyDescent="0.25">
      <c r="A914" s="134">
        <v>43346</v>
      </c>
      <c r="B914" s="110">
        <v>13.26</v>
      </c>
      <c r="C914" s="110">
        <v>13.06</v>
      </c>
      <c r="D914" s="110">
        <v>13.01</v>
      </c>
      <c r="E914" s="110">
        <v>13.2</v>
      </c>
      <c r="F914" s="110">
        <v>13.06</v>
      </c>
      <c r="G914">
        <v>44859</v>
      </c>
      <c r="H914" s="110"/>
      <c r="I914" s="110"/>
      <c r="L914" s="134">
        <v>43346</v>
      </c>
      <c r="M914" s="110">
        <v>13.05</v>
      </c>
      <c r="N914" s="110">
        <v>13.25</v>
      </c>
      <c r="O914" s="110">
        <v>13</v>
      </c>
      <c r="P914" s="110">
        <v>13.15</v>
      </c>
      <c r="Q914" s="110">
        <v>13.05</v>
      </c>
      <c r="R914">
        <v>408580</v>
      </c>
    </row>
    <row r="915" spans="1:18" x14ac:dyDescent="0.25">
      <c r="A915" s="134">
        <v>43347</v>
      </c>
      <c r="B915" s="110">
        <v>13.13</v>
      </c>
      <c r="C915" s="110">
        <v>12.93</v>
      </c>
      <c r="D915" s="110">
        <v>12.9</v>
      </c>
      <c r="E915" s="110">
        <v>13.05</v>
      </c>
      <c r="F915" s="110">
        <v>12.93</v>
      </c>
      <c r="G915">
        <v>29990</v>
      </c>
      <c r="H915" s="110"/>
      <c r="I915" s="110"/>
      <c r="L915" s="134">
        <v>43347</v>
      </c>
      <c r="M915" s="110">
        <v>12.95</v>
      </c>
      <c r="N915" s="110">
        <v>13.1</v>
      </c>
      <c r="O915" s="110">
        <v>12.9</v>
      </c>
      <c r="P915" s="110">
        <v>13.05</v>
      </c>
      <c r="Q915" s="110">
        <v>12.95</v>
      </c>
      <c r="R915">
        <v>483693</v>
      </c>
    </row>
    <row r="916" spans="1:18" x14ac:dyDescent="0.25">
      <c r="A916" s="134">
        <v>43348</v>
      </c>
      <c r="B916" s="110">
        <v>13</v>
      </c>
      <c r="C916" s="110">
        <v>12.8</v>
      </c>
      <c r="D916" s="110">
        <v>12.68</v>
      </c>
      <c r="E916" s="110">
        <v>12.93</v>
      </c>
      <c r="F916" s="110">
        <v>12.8</v>
      </c>
      <c r="G916">
        <v>35064</v>
      </c>
      <c r="H916" s="110"/>
      <c r="I916" s="110"/>
      <c r="L916" s="134">
        <v>43348</v>
      </c>
      <c r="M916" s="110">
        <v>12.75</v>
      </c>
      <c r="N916" s="110">
        <v>13</v>
      </c>
      <c r="O916" s="110">
        <v>12.7</v>
      </c>
      <c r="P916" s="110">
        <v>13</v>
      </c>
      <c r="Q916" s="110">
        <v>12.75</v>
      </c>
      <c r="R916">
        <v>276513</v>
      </c>
    </row>
    <row r="917" spans="1:18" x14ac:dyDescent="0.25">
      <c r="A917" s="134">
        <v>43349</v>
      </c>
      <c r="B917" s="110">
        <v>12.89</v>
      </c>
      <c r="C917" s="110">
        <v>12.81</v>
      </c>
      <c r="D917" s="110">
        <v>12.73</v>
      </c>
      <c r="E917" s="110">
        <v>12.76</v>
      </c>
      <c r="F917" s="110">
        <v>12.81</v>
      </c>
      <c r="G917">
        <v>26403</v>
      </c>
      <c r="H917" s="110"/>
      <c r="I917" s="110"/>
      <c r="L917" s="134">
        <v>43349</v>
      </c>
      <c r="M917" s="110">
        <v>12.7</v>
      </c>
      <c r="N917" s="110">
        <v>12.95</v>
      </c>
      <c r="O917" s="110">
        <v>12.7</v>
      </c>
      <c r="P917" s="110">
        <v>12.85</v>
      </c>
      <c r="Q917" s="110">
        <v>12.7</v>
      </c>
      <c r="R917">
        <v>172503</v>
      </c>
    </row>
    <row r="918" spans="1:18" x14ac:dyDescent="0.25">
      <c r="A918" s="134">
        <v>43350</v>
      </c>
      <c r="B918" s="110">
        <v>12.79</v>
      </c>
      <c r="C918" s="110">
        <v>12.74</v>
      </c>
      <c r="D918" s="110">
        <v>12.64</v>
      </c>
      <c r="E918" s="110">
        <v>12.64</v>
      </c>
      <c r="F918" s="110">
        <v>12.74</v>
      </c>
      <c r="G918">
        <v>11280</v>
      </c>
      <c r="H918" s="110"/>
      <c r="I918" s="110"/>
      <c r="L918" s="134">
        <v>43350</v>
      </c>
      <c r="M918" s="110">
        <v>12.75</v>
      </c>
      <c r="N918" s="110">
        <v>12.8</v>
      </c>
      <c r="O918" s="110">
        <v>12.7</v>
      </c>
      <c r="P918" s="110">
        <v>12.75</v>
      </c>
      <c r="Q918" s="110">
        <v>12.75</v>
      </c>
      <c r="R918">
        <v>100264</v>
      </c>
    </row>
    <row r="919" spans="1:18" x14ac:dyDescent="0.25">
      <c r="A919" s="134">
        <v>43353</v>
      </c>
      <c r="B919" s="110">
        <v>12.79</v>
      </c>
      <c r="C919" s="110">
        <v>12.69</v>
      </c>
      <c r="D919" s="110">
        <v>12.61</v>
      </c>
      <c r="E919" s="110">
        <v>12.61</v>
      </c>
      <c r="F919" s="110">
        <v>12.69</v>
      </c>
      <c r="G919">
        <v>22653</v>
      </c>
      <c r="H919" s="110"/>
      <c r="I919" s="110"/>
      <c r="L919" s="134">
        <v>43353</v>
      </c>
      <c r="M919" s="110">
        <v>12.7</v>
      </c>
      <c r="N919" s="110">
        <v>12.8</v>
      </c>
      <c r="O919" s="110">
        <v>12.65</v>
      </c>
      <c r="P919" s="110">
        <v>12.7</v>
      </c>
      <c r="Q919" s="110">
        <v>12.7</v>
      </c>
      <c r="R919">
        <v>218739</v>
      </c>
    </row>
    <row r="920" spans="1:18" x14ac:dyDescent="0.25">
      <c r="A920" s="134">
        <v>43354</v>
      </c>
      <c r="B920" s="110">
        <v>12.84</v>
      </c>
      <c r="C920" s="110">
        <v>12.62</v>
      </c>
      <c r="D920" s="110">
        <v>12.56</v>
      </c>
      <c r="E920" s="110">
        <v>12.7</v>
      </c>
      <c r="F920" s="110">
        <v>12.62</v>
      </c>
      <c r="G920">
        <v>14888</v>
      </c>
      <c r="H920" s="110"/>
      <c r="I920" s="110"/>
      <c r="L920" s="134">
        <v>43354</v>
      </c>
      <c r="M920" s="110">
        <v>12.6</v>
      </c>
      <c r="N920" s="110">
        <v>12.8</v>
      </c>
      <c r="O920" s="110">
        <v>12.55</v>
      </c>
      <c r="P920" s="110">
        <v>12.75</v>
      </c>
      <c r="Q920" s="110">
        <v>12.6</v>
      </c>
      <c r="R920">
        <v>180004</v>
      </c>
    </row>
    <row r="921" spans="1:18" x14ac:dyDescent="0.25">
      <c r="A921" s="134">
        <v>43355</v>
      </c>
      <c r="B921" s="110">
        <v>12.74</v>
      </c>
      <c r="C921" s="110">
        <v>12.5</v>
      </c>
      <c r="D921" s="110">
        <v>12.32</v>
      </c>
      <c r="E921" s="110">
        <v>12.74</v>
      </c>
      <c r="F921" s="110">
        <v>12.5</v>
      </c>
      <c r="G921">
        <v>47287</v>
      </c>
      <c r="H921" s="110"/>
      <c r="I921" s="110"/>
      <c r="L921" s="134">
        <v>43355</v>
      </c>
      <c r="M921" s="110">
        <v>12.5</v>
      </c>
      <c r="N921" s="110">
        <v>12.65</v>
      </c>
      <c r="O921" s="110">
        <v>12.4</v>
      </c>
      <c r="P921" s="110">
        <v>12.6</v>
      </c>
      <c r="Q921" s="110">
        <v>12.5</v>
      </c>
      <c r="R921">
        <v>255392</v>
      </c>
    </row>
    <row r="922" spans="1:18" x14ac:dyDescent="0.25">
      <c r="A922" s="134">
        <v>43357</v>
      </c>
      <c r="B922" s="110">
        <v>12.8</v>
      </c>
      <c r="C922" s="110">
        <v>12.53</v>
      </c>
      <c r="D922" s="110">
        <v>12.5</v>
      </c>
      <c r="E922" s="110">
        <v>12.8</v>
      </c>
      <c r="F922" s="110">
        <v>12.53</v>
      </c>
      <c r="G922">
        <v>61581</v>
      </c>
      <c r="H922" s="110"/>
      <c r="I922" s="110"/>
      <c r="L922" s="134">
        <v>43357</v>
      </c>
      <c r="M922" s="110">
        <v>12.55</v>
      </c>
      <c r="N922" s="110">
        <v>12.7</v>
      </c>
      <c r="O922" s="110">
        <v>12.5</v>
      </c>
      <c r="P922" s="110">
        <v>12.55</v>
      </c>
      <c r="Q922" s="110">
        <v>12.55</v>
      </c>
      <c r="R922">
        <v>410171</v>
      </c>
    </row>
    <row r="923" spans="1:18" x14ac:dyDescent="0.25">
      <c r="A923" s="134">
        <v>43360</v>
      </c>
      <c r="B923" s="110">
        <v>12.79</v>
      </c>
      <c r="C923" s="110">
        <v>12.66</v>
      </c>
      <c r="D923" s="110">
        <v>12.42</v>
      </c>
      <c r="E923" s="110">
        <v>12.72</v>
      </c>
      <c r="F923" s="110">
        <v>12.66</v>
      </c>
      <c r="G923">
        <v>51684</v>
      </c>
      <c r="H923" s="110"/>
      <c r="I923" s="110"/>
      <c r="L923" s="134">
        <v>43360</v>
      </c>
      <c r="M923" s="110">
        <v>12.55</v>
      </c>
      <c r="N923" s="110">
        <v>12.65</v>
      </c>
      <c r="O923" s="110">
        <v>12.45</v>
      </c>
      <c r="P923" s="110">
        <v>12.65</v>
      </c>
      <c r="Q923" s="110">
        <v>12.55</v>
      </c>
      <c r="R923">
        <v>212085</v>
      </c>
    </row>
    <row r="924" spans="1:18" x14ac:dyDescent="0.25">
      <c r="A924" s="134">
        <v>43361</v>
      </c>
      <c r="B924" s="110">
        <v>13.9</v>
      </c>
      <c r="C924" s="110">
        <v>12.78</v>
      </c>
      <c r="D924" s="110">
        <v>12.66</v>
      </c>
      <c r="E924" s="110">
        <v>13.62</v>
      </c>
      <c r="F924" s="110">
        <v>12.78</v>
      </c>
      <c r="G924">
        <v>547824</v>
      </c>
      <c r="H924" s="110"/>
      <c r="I924" s="110"/>
      <c r="L924" s="134">
        <v>43361</v>
      </c>
      <c r="M924" s="110">
        <v>12.7</v>
      </c>
      <c r="N924" s="110">
        <v>13.9</v>
      </c>
      <c r="O924" s="110">
        <v>12.6</v>
      </c>
      <c r="P924" s="110">
        <v>13.65</v>
      </c>
      <c r="Q924" s="110">
        <v>12.7</v>
      </c>
      <c r="R924">
        <v>2492683</v>
      </c>
    </row>
    <row r="925" spans="1:18" x14ac:dyDescent="0.25">
      <c r="A925" s="134">
        <v>43362</v>
      </c>
      <c r="B925" s="110">
        <v>12.97</v>
      </c>
      <c r="C925" s="110">
        <v>12.45</v>
      </c>
      <c r="D925" s="110">
        <v>12.42</v>
      </c>
      <c r="E925" s="110">
        <v>12.97</v>
      </c>
      <c r="F925" s="110">
        <v>12.45</v>
      </c>
      <c r="G925">
        <v>131710</v>
      </c>
      <c r="H925" s="110"/>
      <c r="I925" s="110"/>
      <c r="L925" s="134">
        <v>43362</v>
      </c>
      <c r="M925" s="110">
        <v>12.5</v>
      </c>
      <c r="N925" s="110">
        <v>12.8</v>
      </c>
      <c r="O925" s="110">
        <v>12.45</v>
      </c>
      <c r="P925" s="110">
        <v>12.8</v>
      </c>
      <c r="Q925" s="110">
        <v>12.5</v>
      </c>
      <c r="R925">
        <v>898001</v>
      </c>
    </row>
    <row r="926" spans="1:18" x14ac:dyDescent="0.25">
      <c r="A926" s="134">
        <v>43364</v>
      </c>
      <c r="B926" s="110">
        <v>12.86</v>
      </c>
      <c r="C926" s="110">
        <v>12.17</v>
      </c>
      <c r="D926" s="110">
        <v>12.05</v>
      </c>
      <c r="E926" s="110">
        <v>12.86</v>
      </c>
      <c r="F926" s="110">
        <v>12.17</v>
      </c>
      <c r="G926">
        <v>128132</v>
      </c>
      <c r="H926" s="110"/>
      <c r="I926" s="110"/>
      <c r="L926" s="134">
        <v>43364</v>
      </c>
      <c r="M926" s="110">
        <v>12.15</v>
      </c>
      <c r="N926" s="110">
        <v>12.6</v>
      </c>
      <c r="O926" s="110">
        <v>12.1</v>
      </c>
      <c r="P926" s="110">
        <v>12.6</v>
      </c>
      <c r="Q926" s="110">
        <v>12.15</v>
      </c>
      <c r="R926">
        <v>785910</v>
      </c>
    </row>
    <row r="927" spans="1:18" x14ac:dyDescent="0.25">
      <c r="A927" s="134">
        <v>43367</v>
      </c>
      <c r="B927" s="110">
        <v>12.47</v>
      </c>
      <c r="C927" s="110">
        <v>11.92</v>
      </c>
      <c r="D927" s="110">
        <v>11.85</v>
      </c>
      <c r="E927" s="110">
        <v>12</v>
      </c>
      <c r="F927" s="110">
        <v>11.92</v>
      </c>
      <c r="G927">
        <v>35447</v>
      </c>
      <c r="H927" s="110"/>
      <c r="I927" s="110"/>
      <c r="L927" s="134">
        <v>43367</v>
      </c>
      <c r="M927" s="110">
        <v>11.9</v>
      </c>
      <c r="N927" s="110">
        <v>12.15</v>
      </c>
      <c r="O927" s="110">
        <v>11.85</v>
      </c>
      <c r="P927" s="110">
        <v>12.1</v>
      </c>
      <c r="Q927" s="110">
        <v>11.9</v>
      </c>
      <c r="R927">
        <v>339389</v>
      </c>
    </row>
    <row r="928" spans="1:18" x14ac:dyDescent="0.25">
      <c r="A928" s="134">
        <v>43368</v>
      </c>
      <c r="B928" s="110">
        <v>11.93</v>
      </c>
      <c r="C928" s="110">
        <v>11.6</v>
      </c>
      <c r="D928" s="110">
        <v>11.5</v>
      </c>
      <c r="E928" s="110">
        <v>11.93</v>
      </c>
      <c r="F928" s="110">
        <v>11.6</v>
      </c>
      <c r="G928">
        <v>94871</v>
      </c>
      <c r="H928" s="110"/>
      <c r="I928" s="110"/>
      <c r="L928" s="134">
        <v>43368</v>
      </c>
      <c r="M928" s="110">
        <v>11.6</v>
      </c>
      <c r="N928" s="110">
        <v>12</v>
      </c>
      <c r="O928" s="110">
        <v>11.55</v>
      </c>
      <c r="P928" s="110">
        <v>11.95</v>
      </c>
      <c r="Q928" s="110">
        <v>11.6</v>
      </c>
      <c r="R928">
        <v>467590</v>
      </c>
    </row>
    <row r="929" spans="1:18" x14ac:dyDescent="0.25">
      <c r="A929" s="134">
        <v>43369</v>
      </c>
      <c r="B929" s="110">
        <v>11.89</v>
      </c>
      <c r="C929" s="110">
        <v>11.72</v>
      </c>
      <c r="D929" s="110">
        <v>11.61</v>
      </c>
      <c r="E929" s="110">
        <v>11.8</v>
      </c>
      <c r="F929" s="110">
        <v>11.72</v>
      </c>
      <c r="G929">
        <v>43764</v>
      </c>
      <c r="H929" s="110"/>
      <c r="I929" s="110"/>
      <c r="L929" s="134">
        <v>43369</v>
      </c>
      <c r="M929" s="110">
        <v>11.7</v>
      </c>
      <c r="N929" s="110">
        <v>11.9</v>
      </c>
      <c r="O929" s="110">
        <v>11.7</v>
      </c>
      <c r="P929" s="110">
        <v>11.7</v>
      </c>
      <c r="Q929" s="110">
        <v>11.7</v>
      </c>
      <c r="R929">
        <v>271461</v>
      </c>
    </row>
    <row r="930" spans="1:18" x14ac:dyDescent="0.25">
      <c r="A930" s="134">
        <v>43370</v>
      </c>
      <c r="B930" s="110">
        <v>11.8</v>
      </c>
      <c r="C930" s="110">
        <v>11.27</v>
      </c>
      <c r="D930" s="110">
        <v>11.25</v>
      </c>
      <c r="E930" s="110">
        <v>11.62</v>
      </c>
      <c r="F930" s="110">
        <v>11.27</v>
      </c>
      <c r="G930">
        <v>92170</v>
      </c>
      <c r="H930" s="110"/>
      <c r="I930" s="110"/>
      <c r="L930" s="134">
        <v>43370</v>
      </c>
      <c r="M930" s="110">
        <v>11.2</v>
      </c>
      <c r="N930" s="110">
        <v>11.75</v>
      </c>
      <c r="O930" s="110">
        <v>11.15</v>
      </c>
      <c r="P930" s="110">
        <v>11.7</v>
      </c>
      <c r="Q930" s="110">
        <v>11.2</v>
      </c>
      <c r="R930">
        <v>736465</v>
      </c>
    </row>
    <row r="931" spans="1:18" x14ac:dyDescent="0.25">
      <c r="A931" s="134">
        <v>43371</v>
      </c>
      <c r="B931" s="110">
        <v>11.39</v>
      </c>
      <c r="C931" s="110">
        <v>11.12</v>
      </c>
      <c r="D931" s="110">
        <v>11.06</v>
      </c>
      <c r="E931" s="110">
        <v>11.3</v>
      </c>
      <c r="F931" s="110">
        <v>11.12</v>
      </c>
      <c r="G931">
        <v>51737</v>
      </c>
      <c r="H931" s="110"/>
      <c r="I931" s="110"/>
      <c r="L931" s="134">
        <v>43371</v>
      </c>
      <c r="M931" s="110">
        <v>11.1</v>
      </c>
      <c r="N931" s="110">
        <v>11.4</v>
      </c>
      <c r="O931" s="110">
        <v>11.05</v>
      </c>
      <c r="P931" s="110">
        <v>11.3</v>
      </c>
      <c r="Q931" s="110">
        <v>11.1</v>
      </c>
      <c r="R931">
        <v>342204</v>
      </c>
    </row>
    <row r="932" spans="1:18" x14ac:dyDescent="0.25">
      <c r="A932" s="134">
        <v>43374</v>
      </c>
      <c r="B932" s="110">
        <v>11.35</v>
      </c>
      <c r="C932" s="110">
        <v>11.27</v>
      </c>
      <c r="D932" s="110">
        <v>11</v>
      </c>
      <c r="E932" s="110">
        <v>11.15</v>
      </c>
      <c r="F932" s="110">
        <v>11.27</v>
      </c>
      <c r="G932">
        <v>37656</v>
      </c>
      <c r="H932" s="110"/>
      <c r="I932" s="110"/>
      <c r="L932" s="134">
        <v>43374</v>
      </c>
      <c r="M932" s="110">
        <v>11.3</v>
      </c>
      <c r="N932" s="110">
        <v>11.4</v>
      </c>
      <c r="O932" s="110">
        <v>11</v>
      </c>
      <c r="P932" s="110">
        <v>11.25</v>
      </c>
      <c r="Q932" s="110">
        <v>11.3</v>
      </c>
      <c r="R932">
        <v>338308</v>
      </c>
    </row>
    <row r="933" spans="1:18" x14ac:dyDescent="0.25">
      <c r="A933" s="134">
        <v>43376</v>
      </c>
      <c r="B933" s="110">
        <v>11.8</v>
      </c>
      <c r="C933" s="110">
        <v>11.5</v>
      </c>
      <c r="D933" s="110">
        <v>11.2</v>
      </c>
      <c r="E933" s="110">
        <v>11.3</v>
      </c>
      <c r="F933" s="110">
        <v>11.5</v>
      </c>
      <c r="G933">
        <v>45810</v>
      </c>
      <c r="H933" s="110"/>
      <c r="I933" s="110"/>
      <c r="L933" s="134">
        <v>43376</v>
      </c>
      <c r="M933" s="110">
        <v>11.4</v>
      </c>
      <c r="N933" s="110">
        <v>11.65</v>
      </c>
      <c r="O933" s="110">
        <v>11.1</v>
      </c>
      <c r="P933" s="110">
        <v>11.35</v>
      </c>
      <c r="Q933" s="110">
        <v>11.4</v>
      </c>
      <c r="R933">
        <v>261974</v>
      </c>
    </row>
    <row r="934" spans="1:18" x14ac:dyDescent="0.25">
      <c r="A934" s="134">
        <v>43377</v>
      </c>
      <c r="B934" s="110">
        <v>11.59</v>
      </c>
      <c r="C934" s="110">
        <v>11.34</v>
      </c>
      <c r="D934" s="110">
        <v>11.16</v>
      </c>
      <c r="E934" s="110">
        <v>11.59</v>
      </c>
      <c r="F934" s="110">
        <v>11.34</v>
      </c>
      <c r="G934">
        <v>36101</v>
      </c>
      <c r="H934" s="110"/>
      <c r="I934" s="110"/>
      <c r="L934" s="134">
        <v>43377</v>
      </c>
      <c r="M934" s="110">
        <v>11.4</v>
      </c>
      <c r="N934" s="110">
        <v>11.45</v>
      </c>
      <c r="O934" s="110">
        <v>11.15</v>
      </c>
      <c r="P934" s="110">
        <v>11.3</v>
      </c>
      <c r="Q934" s="110">
        <v>11.4</v>
      </c>
      <c r="R934">
        <v>263198</v>
      </c>
    </row>
    <row r="935" spans="1:18" x14ac:dyDescent="0.25">
      <c r="A935" s="134">
        <v>43378</v>
      </c>
      <c r="B935" s="110">
        <v>11.5</v>
      </c>
      <c r="C935" s="110">
        <v>11.21</v>
      </c>
      <c r="D935" s="110">
        <v>11.16</v>
      </c>
      <c r="E935" s="110">
        <v>11.5</v>
      </c>
      <c r="F935" s="110">
        <v>11.21</v>
      </c>
      <c r="G935">
        <v>42092</v>
      </c>
      <c r="H935" s="110"/>
      <c r="I935" s="110"/>
      <c r="L935" s="134">
        <v>43378</v>
      </c>
      <c r="M935" s="110">
        <v>11.2</v>
      </c>
      <c r="N935" s="110">
        <v>11.35</v>
      </c>
      <c r="O935" s="110">
        <v>11.15</v>
      </c>
      <c r="P935" s="110">
        <v>11.35</v>
      </c>
      <c r="Q935" s="110">
        <v>11.2</v>
      </c>
      <c r="R935">
        <v>285727</v>
      </c>
    </row>
    <row r="936" spans="1:18" x14ac:dyDescent="0.25">
      <c r="A936" s="134">
        <v>43381</v>
      </c>
      <c r="B936" s="110">
        <v>11.21</v>
      </c>
      <c r="C936" s="110">
        <v>10.95</v>
      </c>
      <c r="D936" s="110">
        <v>10.91</v>
      </c>
      <c r="E936" s="110">
        <v>11.21</v>
      </c>
      <c r="F936" s="110">
        <v>10.95</v>
      </c>
      <c r="G936">
        <v>49382</v>
      </c>
      <c r="H936" s="110"/>
      <c r="I936" s="110"/>
      <c r="L936" s="134">
        <v>43381</v>
      </c>
      <c r="M936" s="110">
        <v>10.9</v>
      </c>
      <c r="N936" s="110">
        <v>11.15</v>
      </c>
      <c r="O936" s="110">
        <v>10.85</v>
      </c>
      <c r="P936" s="110">
        <v>11</v>
      </c>
      <c r="Q936" s="110">
        <v>10.9</v>
      </c>
      <c r="R936">
        <v>379707</v>
      </c>
    </row>
    <row r="937" spans="1:18" x14ac:dyDescent="0.25">
      <c r="A937" s="134">
        <v>43382</v>
      </c>
      <c r="B937" s="110">
        <v>11</v>
      </c>
      <c r="C937" s="110">
        <v>10.84</v>
      </c>
      <c r="D937" s="110">
        <v>10.73</v>
      </c>
      <c r="E937" s="110">
        <v>11</v>
      </c>
      <c r="F937" s="110">
        <v>10.84</v>
      </c>
      <c r="G937">
        <v>46744</v>
      </c>
      <c r="H937" s="110"/>
      <c r="I937" s="110"/>
      <c r="L937" s="134">
        <v>43382</v>
      </c>
      <c r="M937" s="110">
        <v>10.8</v>
      </c>
      <c r="N937" s="110">
        <v>11</v>
      </c>
      <c r="O937" s="110">
        <v>10.75</v>
      </c>
      <c r="P937" s="110">
        <v>10.95</v>
      </c>
      <c r="Q937" s="110">
        <v>10.8</v>
      </c>
      <c r="R937">
        <v>255900</v>
      </c>
    </row>
    <row r="938" spans="1:18" x14ac:dyDescent="0.25">
      <c r="A938" s="134">
        <v>43383</v>
      </c>
      <c r="B938" s="110">
        <v>11.2</v>
      </c>
      <c r="C938" s="110">
        <v>11.12</v>
      </c>
      <c r="D938" s="110">
        <v>10.8</v>
      </c>
      <c r="E938" s="110">
        <v>10.97</v>
      </c>
      <c r="F938" s="110">
        <v>11.12</v>
      </c>
      <c r="G938">
        <v>40954</v>
      </c>
      <c r="H938" s="110"/>
      <c r="I938" s="110"/>
      <c r="L938" s="134">
        <v>43383</v>
      </c>
      <c r="M938" s="110">
        <v>11.05</v>
      </c>
      <c r="N938" s="110">
        <v>11.1</v>
      </c>
      <c r="O938" s="110">
        <v>10.75</v>
      </c>
      <c r="P938" s="110">
        <v>10.8</v>
      </c>
      <c r="Q938" s="110">
        <v>11.05</v>
      </c>
      <c r="R938">
        <v>187842</v>
      </c>
    </row>
    <row r="939" spans="1:18" x14ac:dyDescent="0.25">
      <c r="A939" s="134">
        <v>43384</v>
      </c>
      <c r="B939" s="110">
        <v>10.95</v>
      </c>
      <c r="C939" s="110">
        <v>10.84</v>
      </c>
      <c r="D939" s="110">
        <v>10.75</v>
      </c>
      <c r="E939" s="110">
        <v>10.89</v>
      </c>
      <c r="F939" s="110">
        <v>10.84</v>
      </c>
      <c r="G939">
        <v>48295</v>
      </c>
      <c r="H939" s="110"/>
      <c r="I939" s="110"/>
      <c r="L939" s="134">
        <v>43384</v>
      </c>
      <c r="M939" s="110">
        <v>10.75</v>
      </c>
      <c r="N939" s="110">
        <v>10.95</v>
      </c>
      <c r="O939" s="110">
        <v>10.7</v>
      </c>
      <c r="P939" s="110">
        <v>10.8</v>
      </c>
      <c r="Q939" s="110">
        <v>10.75</v>
      </c>
      <c r="R939">
        <v>287902</v>
      </c>
    </row>
    <row r="940" spans="1:18" x14ac:dyDescent="0.25">
      <c r="A940" s="134">
        <v>43385</v>
      </c>
      <c r="B940" s="110">
        <v>11.15</v>
      </c>
      <c r="C940" s="110">
        <v>11.03</v>
      </c>
      <c r="D940" s="110">
        <v>10.82</v>
      </c>
      <c r="E940" s="110">
        <v>11</v>
      </c>
      <c r="F940" s="110">
        <v>11.03</v>
      </c>
      <c r="G940">
        <v>55877</v>
      </c>
      <c r="H940" s="110"/>
      <c r="I940" s="110"/>
      <c r="L940" s="134">
        <v>43385</v>
      </c>
      <c r="M940" s="110">
        <v>10.85</v>
      </c>
      <c r="N940" s="110">
        <v>11.1</v>
      </c>
      <c r="O940" s="110">
        <v>10.75</v>
      </c>
      <c r="P940" s="110">
        <v>11.05</v>
      </c>
      <c r="Q940" s="110">
        <v>10.85</v>
      </c>
      <c r="R940">
        <v>706516</v>
      </c>
    </row>
    <row r="941" spans="1:18" x14ac:dyDescent="0.25">
      <c r="A941" s="134">
        <v>43388</v>
      </c>
      <c r="B941" s="110">
        <v>11.1</v>
      </c>
      <c r="C941" s="110">
        <v>10.91</v>
      </c>
      <c r="D941" s="110">
        <v>10.85</v>
      </c>
      <c r="E941" s="110">
        <v>11.1</v>
      </c>
      <c r="F941" s="110">
        <v>10.91</v>
      </c>
      <c r="G941">
        <v>65213</v>
      </c>
      <c r="H941" s="110"/>
      <c r="I941" s="110"/>
      <c r="L941" s="134">
        <v>43388</v>
      </c>
      <c r="M941" s="110">
        <v>10.9</v>
      </c>
      <c r="N941" s="110">
        <v>11.05</v>
      </c>
      <c r="O941" s="110">
        <v>10.85</v>
      </c>
      <c r="P941" s="110">
        <v>11.05</v>
      </c>
      <c r="Q941" s="110">
        <v>10.9</v>
      </c>
      <c r="R941">
        <v>324507</v>
      </c>
    </row>
    <row r="942" spans="1:18" x14ac:dyDescent="0.25">
      <c r="A942" s="134">
        <v>43389</v>
      </c>
      <c r="B942" s="110">
        <v>11.6</v>
      </c>
      <c r="C942" s="110">
        <v>11.57</v>
      </c>
      <c r="D942" s="110">
        <v>10.9</v>
      </c>
      <c r="E942" s="110">
        <v>11.03</v>
      </c>
      <c r="F942" s="110">
        <v>11.57</v>
      </c>
      <c r="G942">
        <v>40376</v>
      </c>
      <c r="H942" s="110"/>
      <c r="I942" s="110"/>
      <c r="L942" s="134">
        <v>43389</v>
      </c>
      <c r="M942" s="110">
        <v>11.5</v>
      </c>
      <c r="N942" s="110">
        <v>11.6</v>
      </c>
      <c r="O942" s="110">
        <v>10.95</v>
      </c>
      <c r="P942" s="110">
        <v>11</v>
      </c>
      <c r="Q942" s="110">
        <v>11.5</v>
      </c>
      <c r="R942">
        <v>492751</v>
      </c>
    </row>
    <row r="943" spans="1:18" x14ac:dyDescent="0.25">
      <c r="A943" s="134">
        <v>43390</v>
      </c>
      <c r="B943" s="110">
        <v>11.81</v>
      </c>
      <c r="C943" s="110">
        <v>11.35</v>
      </c>
      <c r="D943" s="110">
        <v>11.3</v>
      </c>
      <c r="E943" s="110">
        <v>11.6</v>
      </c>
      <c r="F943" s="110">
        <v>11.35</v>
      </c>
      <c r="G943">
        <v>81706</v>
      </c>
      <c r="H943" s="110"/>
      <c r="I943" s="110"/>
      <c r="L943" s="134">
        <v>43390</v>
      </c>
      <c r="M943" s="110">
        <v>11.25</v>
      </c>
      <c r="N943" s="110">
        <v>11.85</v>
      </c>
      <c r="O943" s="110">
        <v>11.1</v>
      </c>
      <c r="P943" s="110">
        <v>11.6</v>
      </c>
      <c r="Q943" s="110">
        <v>11.25</v>
      </c>
      <c r="R943">
        <v>364002</v>
      </c>
    </row>
    <row r="944" spans="1:18" x14ac:dyDescent="0.25">
      <c r="A944" s="134">
        <v>43392</v>
      </c>
      <c r="B944" s="110">
        <v>11.85</v>
      </c>
      <c r="C944" s="110">
        <v>11.38</v>
      </c>
      <c r="D944" s="110">
        <v>11.01</v>
      </c>
      <c r="E944" s="110">
        <v>11.49</v>
      </c>
      <c r="F944" s="110">
        <v>11.38</v>
      </c>
      <c r="G944">
        <v>56423</v>
      </c>
      <c r="H944" s="110"/>
      <c r="I944" s="110"/>
      <c r="L944" s="134">
        <v>43392</v>
      </c>
      <c r="M944" s="110">
        <v>11.35</v>
      </c>
      <c r="N944" s="110">
        <v>12.85</v>
      </c>
      <c r="O944" s="110">
        <v>11.1</v>
      </c>
      <c r="P944" s="110">
        <v>11.15</v>
      </c>
      <c r="Q944" s="110">
        <v>11.35</v>
      </c>
      <c r="R944">
        <v>436912</v>
      </c>
    </row>
    <row r="945" spans="1:18" x14ac:dyDescent="0.25">
      <c r="A945" s="134">
        <v>43395</v>
      </c>
      <c r="B945" s="110">
        <v>11.47</v>
      </c>
      <c r="C945" s="110">
        <v>11.11</v>
      </c>
      <c r="D945" s="110">
        <v>11.01</v>
      </c>
      <c r="E945" s="110">
        <v>11.38</v>
      </c>
      <c r="F945" s="110">
        <v>11.11</v>
      </c>
      <c r="G945">
        <v>80708</v>
      </c>
      <c r="H945" s="110"/>
      <c r="I945" s="110"/>
      <c r="L945" s="134">
        <v>43395</v>
      </c>
      <c r="M945" s="110">
        <v>11.15</v>
      </c>
      <c r="N945" s="110">
        <v>11.4</v>
      </c>
      <c r="O945" s="110">
        <v>11.05</v>
      </c>
      <c r="P945" s="110">
        <v>11.4</v>
      </c>
      <c r="Q945" s="110">
        <v>11.15</v>
      </c>
      <c r="R945">
        <v>194042</v>
      </c>
    </row>
    <row r="946" spans="1:18" x14ac:dyDescent="0.25">
      <c r="A946" s="134">
        <v>43396</v>
      </c>
      <c r="B946" s="110">
        <v>11.29</v>
      </c>
      <c r="C946" s="110">
        <v>11.14</v>
      </c>
      <c r="D946" s="110">
        <v>11.06</v>
      </c>
      <c r="E946" s="110">
        <v>11.09</v>
      </c>
      <c r="F946" s="110">
        <v>11.14</v>
      </c>
      <c r="G946">
        <v>19216</v>
      </c>
      <c r="H946" s="110"/>
      <c r="I946" s="110"/>
      <c r="L946" s="134">
        <v>43396</v>
      </c>
      <c r="M946" s="110">
        <v>11.1</v>
      </c>
      <c r="N946" s="110">
        <v>11.3</v>
      </c>
      <c r="O946" s="110">
        <v>11.1</v>
      </c>
      <c r="P946" s="110">
        <v>11.3</v>
      </c>
      <c r="Q946" s="110">
        <v>11.1</v>
      </c>
      <c r="R946">
        <v>156319</v>
      </c>
    </row>
    <row r="947" spans="1:18" x14ac:dyDescent="0.25">
      <c r="A947" s="134">
        <v>43397</v>
      </c>
      <c r="B947" s="110">
        <v>11.4</v>
      </c>
      <c r="C947" s="110">
        <v>11.32</v>
      </c>
      <c r="D947" s="110">
        <v>11.06</v>
      </c>
      <c r="E947" s="110">
        <v>11.07</v>
      </c>
      <c r="F947" s="110">
        <v>11.32</v>
      </c>
      <c r="G947">
        <v>17493</v>
      </c>
      <c r="H947" s="110"/>
      <c r="I947" s="110"/>
      <c r="L947" s="134">
        <v>43397</v>
      </c>
      <c r="M947" s="110">
        <v>11.4</v>
      </c>
      <c r="N947" s="110">
        <v>11.5</v>
      </c>
      <c r="O947" s="110">
        <v>11.15</v>
      </c>
      <c r="P947" s="110">
        <v>11.15</v>
      </c>
      <c r="Q947" s="110">
        <v>11.4</v>
      </c>
      <c r="R947">
        <v>245291</v>
      </c>
    </row>
    <row r="948" spans="1:18" x14ac:dyDescent="0.25">
      <c r="A948" s="134">
        <v>43398</v>
      </c>
      <c r="B948" s="110">
        <v>11.38</v>
      </c>
      <c r="C948" s="110">
        <v>11.09</v>
      </c>
      <c r="D948" s="110">
        <v>11.05</v>
      </c>
      <c r="E948" s="110">
        <v>11.31</v>
      </c>
      <c r="F948" s="110">
        <v>11.09</v>
      </c>
      <c r="G948">
        <v>106778</v>
      </c>
      <c r="H948" s="110"/>
      <c r="I948" s="110"/>
      <c r="L948" s="134">
        <v>43398</v>
      </c>
      <c r="M948" s="110">
        <v>11.1</v>
      </c>
      <c r="N948" s="110">
        <v>11.4</v>
      </c>
      <c r="O948" s="110">
        <v>11.1</v>
      </c>
      <c r="P948" s="110">
        <v>11.3</v>
      </c>
      <c r="Q948" s="110">
        <v>11.1</v>
      </c>
      <c r="R948">
        <v>156671</v>
      </c>
    </row>
    <row r="949" spans="1:18" x14ac:dyDescent="0.25">
      <c r="A949" s="134">
        <v>43399</v>
      </c>
      <c r="B949" s="110">
        <v>11.1</v>
      </c>
      <c r="C949" s="110">
        <v>10.89</v>
      </c>
      <c r="D949" s="110">
        <v>10.85</v>
      </c>
      <c r="E949" s="110">
        <v>11.01</v>
      </c>
      <c r="F949" s="110">
        <v>10.89</v>
      </c>
      <c r="G949">
        <v>62062</v>
      </c>
      <c r="H949" s="110"/>
      <c r="I949" s="110"/>
      <c r="L949" s="134">
        <v>43399</v>
      </c>
      <c r="M949" s="110">
        <v>10.9</v>
      </c>
      <c r="N949" s="110">
        <v>11.15</v>
      </c>
      <c r="O949" s="110">
        <v>10.85</v>
      </c>
      <c r="P949" s="110">
        <v>11.15</v>
      </c>
      <c r="Q949" s="110">
        <v>10.9</v>
      </c>
      <c r="R949">
        <v>273405</v>
      </c>
    </row>
    <row r="950" spans="1:18" x14ac:dyDescent="0.25">
      <c r="A950" s="134">
        <v>43402</v>
      </c>
      <c r="B950" s="110">
        <v>11.74</v>
      </c>
      <c r="C950" s="110">
        <v>11.68</v>
      </c>
      <c r="D950" s="110">
        <v>10.89</v>
      </c>
      <c r="E950" s="110">
        <v>10.9</v>
      </c>
      <c r="F950" s="110">
        <v>11.68</v>
      </c>
      <c r="G950">
        <v>154958</v>
      </c>
      <c r="H950" s="110"/>
      <c r="I950" s="110"/>
      <c r="L950" s="134">
        <v>43402</v>
      </c>
      <c r="M950" s="110">
        <v>11.6</v>
      </c>
      <c r="N950" s="110">
        <v>11.65</v>
      </c>
      <c r="O950" s="110">
        <v>10.9</v>
      </c>
      <c r="P950" s="110">
        <v>10.95</v>
      </c>
      <c r="Q950" s="110">
        <v>11.6</v>
      </c>
      <c r="R950">
        <v>444096</v>
      </c>
    </row>
    <row r="951" spans="1:18" x14ac:dyDescent="0.25">
      <c r="A951" s="134">
        <v>43403</v>
      </c>
      <c r="B951" s="110">
        <v>14.01</v>
      </c>
      <c r="C951" s="110">
        <v>13.95</v>
      </c>
      <c r="D951" s="110">
        <v>11.65</v>
      </c>
      <c r="E951" s="110">
        <v>11.83</v>
      </c>
      <c r="F951" s="110">
        <v>13.95</v>
      </c>
      <c r="G951">
        <v>2314738</v>
      </c>
      <c r="H951" s="110"/>
      <c r="I951" s="110"/>
      <c r="L951" s="134">
        <v>43403</v>
      </c>
      <c r="M951" s="110">
        <v>13.9</v>
      </c>
      <c r="N951" s="110">
        <v>13.9</v>
      </c>
      <c r="O951" s="110">
        <v>11.6</v>
      </c>
      <c r="P951" s="110">
        <v>11.7</v>
      </c>
      <c r="Q951" s="110">
        <v>13.9</v>
      </c>
      <c r="R951">
        <v>8874909</v>
      </c>
    </row>
    <row r="952" spans="1:18" x14ac:dyDescent="0.25">
      <c r="A952" s="134">
        <v>43404</v>
      </c>
      <c r="B952" s="110">
        <v>14.34</v>
      </c>
      <c r="C952" s="110">
        <v>13.53</v>
      </c>
      <c r="D952" s="110">
        <v>13.17</v>
      </c>
      <c r="E952" s="110">
        <v>14.04</v>
      </c>
      <c r="F952" s="110">
        <v>13.53</v>
      </c>
      <c r="G952">
        <v>520587</v>
      </c>
      <c r="H952" s="110"/>
      <c r="I952" s="110"/>
      <c r="L952" s="134">
        <v>43404</v>
      </c>
      <c r="M952" s="110">
        <v>13.5</v>
      </c>
      <c r="N952" s="110">
        <v>14.7</v>
      </c>
      <c r="O952" s="110">
        <v>13.25</v>
      </c>
      <c r="P952" s="110">
        <v>14</v>
      </c>
      <c r="Q952" s="110">
        <v>13.5</v>
      </c>
      <c r="R952">
        <v>2549606</v>
      </c>
    </row>
    <row r="953" spans="1:18" x14ac:dyDescent="0.25">
      <c r="A953" s="134">
        <v>43405</v>
      </c>
      <c r="B953" s="110">
        <v>13.87</v>
      </c>
      <c r="C953" s="110">
        <v>13.44</v>
      </c>
      <c r="D953" s="110">
        <v>13.35</v>
      </c>
      <c r="E953" s="110">
        <v>13.85</v>
      </c>
      <c r="F953" s="110">
        <v>13.44</v>
      </c>
      <c r="G953">
        <v>97284</v>
      </c>
      <c r="H953" s="110"/>
      <c r="I953" s="110"/>
      <c r="L953" s="134">
        <v>43405</v>
      </c>
      <c r="M953" s="110">
        <v>13.35</v>
      </c>
      <c r="N953" s="110">
        <v>13.95</v>
      </c>
      <c r="O953" s="110">
        <v>13.3</v>
      </c>
      <c r="P953" s="110">
        <v>13.6</v>
      </c>
      <c r="Q953" s="110">
        <v>13.35</v>
      </c>
      <c r="R953">
        <v>780158</v>
      </c>
    </row>
    <row r="954" spans="1:18" x14ac:dyDescent="0.25">
      <c r="A954" s="134">
        <v>43406</v>
      </c>
      <c r="B954" s="110">
        <v>13.75</v>
      </c>
      <c r="C954" s="110">
        <v>13.18</v>
      </c>
      <c r="D954" s="110">
        <v>13</v>
      </c>
      <c r="E954" s="110">
        <v>13.5</v>
      </c>
      <c r="F954" s="110">
        <v>13.18</v>
      </c>
      <c r="G954">
        <v>148656</v>
      </c>
      <c r="H954" s="110"/>
      <c r="I954" s="110"/>
      <c r="L954" s="134">
        <v>43406</v>
      </c>
      <c r="M954" s="110">
        <v>13.05</v>
      </c>
      <c r="N954" s="110">
        <v>13.75</v>
      </c>
      <c r="O954" s="110">
        <v>13</v>
      </c>
      <c r="P954" s="110">
        <v>13.45</v>
      </c>
      <c r="Q954" s="110">
        <v>13.05</v>
      </c>
      <c r="R954">
        <v>842094</v>
      </c>
    </row>
    <row r="955" spans="1:18" x14ac:dyDescent="0.25">
      <c r="A955" s="134">
        <v>43409</v>
      </c>
      <c r="B955" s="110">
        <v>13.5</v>
      </c>
      <c r="C955" s="110">
        <v>13.37</v>
      </c>
      <c r="D955" s="110">
        <v>13</v>
      </c>
      <c r="E955" s="110">
        <v>13.2</v>
      </c>
      <c r="F955" s="110">
        <v>13.37</v>
      </c>
      <c r="G955">
        <v>66148</v>
      </c>
      <c r="H955" s="110"/>
      <c r="I955" s="110"/>
      <c r="L955" s="134">
        <v>43409</v>
      </c>
      <c r="M955" s="110">
        <v>13.4</v>
      </c>
      <c r="N955" s="110">
        <v>13.5</v>
      </c>
      <c r="O955" s="110">
        <v>12.9</v>
      </c>
      <c r="P955" s="110">
        <v>13.15</v>
      </c>
      <c r="Q955" s="110">
        <v>13.4</v>
      </c>
      <c r="R955">
        <v>632753</v>
      </c>
    </row>
    <row r="956" spans="1:18" x14ac:dyDescent="0.25">
      <c r="A956" s="134">
        <v>43410</v>
      </c>
      <c r="B956" s="110">
        <v>13.96</v>
      </c>
      <c r="C956" s="110">
        <v>13.52</v>
      </c>
      <c r="D956" s="110">
        <v>13.45</v>
      </c>
      <c r="E956" s="110">
        <v>13.89</v>
      </c>
      <c r="F956" s="110">
        <v>13.52</v>
      </c>
      <c r="G956">
        <v>70353</v>
      </c>
      <c r="H956" s="110"/>
      <c r="I956" s="110"/>
      <c r="L956" s="134">
        <v>43410</v>
      </c>
      <c r="M956" s="110">
        <v>13.55</v>
      </c>
      <c r="N956" s="110">
        <v>13.95</v>
      </c>
      <c r="O956" s="110">
        <v>13.4</v>
      </c>
      <c r="P956" s="110">
        <v>13.6</v>
      </c>
      <c r="Q956" s="110">
        <v>13.55</v>
      </c>
      <c r="R956">
        <v>548110</v>
      </c>
    </row>
    <row r="957" spans="1:18" x14ac:dyDescent="0.25">
      <c r="A957" s="134">
        <v>43411</v>
      </c>
      <c r="B957" s="110">
        <v>13.85</v>
      </c>
      <c r="C957" s="110">
        <v>13.63</v>
      </c>
      <c r="D957" s="110">
        <v>13.5</v>
      </c>
      <c r="E957" s="110">
        <v>13.85</v>
      </c>
      <c r="F957" s="110">
        <v>13.63</v>
      </c>
      <c r="G957">
        <v>21987</v>
      </c>
      <c r="H957" s="110"/>
      <c r="I957" s="110"/>
      <c r="L957" s="134">
        <v>43411</v>
      </c>
      <c r="M957" s="110">
        <v>13.6</v>
      </c>
      <c r="N957" s="110">
        <v>13.75</v>
      </c>
      <c r="O957" s="110">
        <v>13.5</v>
      </c>
      <c r="P957" s="110">
        <v>13.55</v>
      </c>
      <c r="Q957" s="110">
        <v>13.6</v>
      </c>
      <c r="R957">
        <v>165028</v>
      </c>
    </row>
    <row r="958" spans="1:18" x14ac:dyDescent="0.25">
      <c r="A958" s="134">
        <v>43413</v>
      </c>
      <c r="B958" s="110">
        <v>13.95</v>
      </c>
      <c r="C958" s="110">
        <v>13.78</v>
      </c>
      <c r="D958" s="110">
        <v>13.7</v>
      </c>
      <c r="E958" s="110">
        <v>13.72</v>
      </c>
      <c r="F958" s="110">
        <v>13.78</v>
      </c>
      <c r="G958">
        <v>94686</v>
      </c>
      <c r="H958" s="110"/>
      <c r="I958" s="110"/>
      <c r="L958" s="134">
        <v>43413</v>
      </c>
      <c r="M958" s="110">
        <v>13.75</v>
      </c>
      <c r="N958" s="110">
        <v>13.95</v>
      </c>
      <c r="O958" s="110">
        <v>13.6</v>
      </c>
      <c r="P958" s="110">
        <v>13.6</v>
      </c>
      <c r="Q958" s="110">
        <v>13.75</v>
      </c>
      <c r="R958">
        <v>825603</v>
      </c>
    </row>
    <row r="959" spans="1:18" x14ac:dyDescent="0.25">
      <c r="A959" s="134">
        <v>43416</v>
      </c>
      <c r="B959" s="110">
        <v>14.01</v>
      </c>
      <c r="C959" s="110">
        <v>13.73</v>
      </c>
      <c r="D959" s="110">
        <v>13.65</v>
      </c>
      <c r="E959" s="110">
        <v>13.78</v>
      </c>
      <c r="F959" s="110">
        <v>13.73</v>
      </c>
      <c r="G959">
        <v>65412</v>
      </c>
      <c r="H959" s="110"/>
      <c r="I959" s="110"/>
      <c r="L959" s="134">
        <v>43416</v>
      </c>
      <c r="M959" s="110">
        <v>13.6</v>
      </c>
      <c r="N959" s="110">
        <v>14</v>
      </c>
      <c r="O959" s="110">
        <v>13.45</v>
      </c>
      <c r="P959" s="110">
        <v>14</v>
      </c>
      <c r="Q959" s="110">
        <v>13.6</v>
      </c>
      <c r="R959">
        <v>782965</v>
      </c>
    </row>
    <row r="960" spans="1:18" x14ac:dyDescent="0.25">
      <c r="A960" s="134">
        <v>43417</v>
      </c>
      <c r="B960" s="110">
        <v>14.2</v>
      </c>
      <c r="C960" s="110">
        <v>13.91</v>
      </c>
      <c r="D960" s="110">
        <v>13.7</v>
      </c>
      <c r="E960" s="110">
        <v>14.2</v>
      </c>
      <c r="F960" s="110">
        <v>13.91</v>
      </c>
      <c r="G960">
        <v>136523</v>
      </c>
      <c r="H960" s="110"/>
      <c r="I960" s="110"/>
      <c r="L960" s="134">
        <v>43417</v>
      </c>
      <c r="M960" s="110">
        <v>13.95</v>
      </c>
      <c r="N960" s="110">
        <v>14.15</v>
      </c>
      <c r="O960" s="110">
        <v>13.75</v>
      </c>
      <c r="P960" s="110">
        <v>14</v>
      </c>
      <c r="Q960" s="110">
        <v>13.95</v>
      </c>
      <c r="R960">
        <v>1108855</v>
      </c>
    </row>
    <row r="961" spans="1:18" x14ac:dyDescent="0.25">
      <c r="A961" s="134">
        <v>43418</v>
      </c>
      <c r="B961" s="110">
        <v>14</v>
      </c>
      <c r="C961" s="110">
        <v>13.6</v>
      </c>
      <c r="D961" s="110">
        <v>13.55</v>
      </c>
      <c r="E961" s="110">
        <v>13.93</v>
      </c>
      <c r="F961" s="110">
        <v>13.6</v>
      </c>
      <c r="G961">
        <v>74397</v>
      </c>
      <c r="H961" s="110"/>
      <c r="I961" s="110"/>
      <c r="L961" s="134">
        <v>43418</v>
      </c>
      <c r="M961" s="110">
        <v>13.6</v>
      </c>
      <c r="N961" s="110">
        <v>14</v>
      </c>
      <c r="O961" s="110">
        <v>13.55</v>
      </c>
      <c r="P961" s="110">
        <v>14</v>
      </c>
      <c r="Q961" s="110">
        <v>13.6</v>
      </c>
      <c r="R961">
        <v>795193</v>
      </c>
    </row>
    <row r="962" spans="1:18" x14ac:dyDescent="0.25">
      <c r="A962" s="134">
        <v>43419</v>
      </c>
      <c r="B962" s="110">
        <v>13.74</v>
      </c>
      <c r="C962" s="110">
        <v>13.69</v>
      </c>
      <c r="D962" s="110">
        <v>13.4</v>
      </c>
      <c r="E962" s="110">
        <v>13.55</v>
      </c>
      <c r="F962" s="110">
        <v>13.69</v>
      </c>
      <c r="G962">
        <v>34538</v>
      </c>
      <c r="H962" s="110"/>
      <c r="I962" s="110"/>
      <c r="L962" s="134">
        <v>43419</v>
      </c>
      <c r="M962" s="110">
        <v>13.7</v>
      </c>
      <c r="N962" s="110">
        <v>13.8</v>
      </c>
      <c r="O962" s="110">
        <v>13.35</v>
      </c>
      <c r="P962" s="110">
        <v>13.6</v>
      </c>
      <c r="Q962" s="110">
        <v>13.7</v>
      </c>
      <c r="R962">
        <v>348434</v>
      </c>
    </row>
    <row r="963" spans="1:18" x14ac:dyDescent="0.25">
      <c r="A963" s="134">
        <v>43420</v>
      </c>
      <c r="B963" s="110">
        <v>13.85</v>
      </c>
      <c r="C963" s="110">
        <v>13.66</v>
      </c>
      <c r="D963" s="110">
        <v>13.62</v>
      </c>
      <c r="E963" s="110">
        <v>13.7</v>
      </c>
      <c r="F963" s="110">
        <v>13.66</v>
      </c>
      <c r="G963">
        <v>84799</v>
      </c>
      <c r="H963" s="110"/>
      <c r="I963" s="110"/>
      <c r="L963" s="134">
        <v>43420</v>
      </c>
      <c r="M963" s="110">
        <v>13.6</v>
      </c>
      <c r="N963" s="110">
        <v>13.9</v>
      </c>
      <c r="O963" s="110">
        <v>13.55</v>
      </c>
      <c r="P963" s="110">
        <v>13.75</v>
      </c>
      <c r="Q963" s="110">
        <v>13.6</v>
      </c>
      <c r="R963">
        <v>628900</v>
      </c>
    </row>
    <row r="964" spans="1:18" x14ac:dyDescent="0.25">
      <c r="A964" s="134">
        <v>43423</v>
      </c>
      <c r="B964" s="110">
        <v>15.25</v>
      </c>
      <c r="C964" s="110">
        <v>14.78</v>
      </c>
      <c r="D964" s="110">
        <v>13.7</v>
      </c>
      <c r="E964" s="110">
        <v>13.85</v>
      </c>
      <c r="F964" s="110">
        <v>14.78</v>
      </c>
      <c r="G964">
        <v>359742</v>
      </c>
      <c r="H964" s="110"/>
      <c r="I964" s="110"/>
      <c r="L964" s="134">
        <v>43423</v>
      </c>
      <c r="M964" s="110">
        <v>14.8</v>
      </c>
      <c r="N964" s="110">
        <v>15.3</v>
      </c>
      <c r="O964" s="110">
        <v>13.7</v>
      </c>
      <c r="P964" s="110">
        <v>14</v>
      </c>
      <c r="Q964" s="110">
        <v>14.8</v>
      </c>
      <c r="R964">
        <v>3853474</v>
      </c>
    </row>
    <row r="965" spans="1:18" x14ac:dyDescent="0.25">
      <c r="A965" s="134">
        <v>43424</v>
      </c>
      <c r="B965" s="110">
        <v>14.4</v>
      </c>
      <c r="C965" s="110">
        <v>14.18</v>
      </c>
      <c r="D965" s="110">
        <v>13.76</v>
      </c>
      <c r="E965" s="110">
        <v>14.4</v>
      </c>
      <c r="F965" s="110">
        <v>14.18</v>
      </c>
      <c r="G965">
        <v>124149</v>
      </c>
      <c r="H965" s="110"/>
      <c r="I965" s="110"/>
      <c r="L965" s="134">
        <v>43424</v>
      </c>
      <c r="M965" s="110">
        <v>14.25</v>
      </c>
      <c r="N965" s="110">
        <v>14.45</v>
      </c>
      <c r="O965" s="110">
        <v>13.7</v>
      </c>
      <c r="P965" s="110">
        <v>14</v>
      </c>
      <c r="Q965" s="110">
        <v>14.25</v>
      </c>
      <c r="R965">
        <v>1246486</v>
      </c>
    </row>
    <row r="966" spans="1:18" x14ac:dyDescent="0.25">
      <c r="A966" s="134">
        <v>43425</v>
      </c>
      <c r="B966" s="110">
        <v>14.4</v>
      </c>
      <c r="C966" s="110">
        <v>14.18</v>
      </c>
      <c r="D966" s="110">
        <v>14.06</v>
      </c>
      <c r="E966" s="110">
        <v>14.2</v>
      </c>
      <c r="F966" s="110">
        <v>14.18</v>
      </c>
      <c r="G966">
        <v>57435</v>
      </c>
      <c r="H966" s="110"/>
      <c r="I966" s="110"/>
      <c r="L966" s="134">
        <v>43425</v>
      </c>
      <c r="M966" s="110">
        <v>14.1</v>
      </c>
      <c r="N966" s="110">
        <v>14.5</v>
      </c>
      <c r="O966" s="110">
        <v>14</v>
      </c>
      <c r="P966" s="110">
        <v>14.15</v>
      </c>
      <c r="Q966" s="110">
        <v>14.1</v>
      </c>
      <c r="R966">
        <v>631907</v>
      </c>
    </row>
    <row r="967" spans="1:18" x14ac:dyDescent="0.25">
      <c r="A967" s="134">
        <v>43426</v>
      </c>
      <c r="B967" s="110">
        <v>14.14</v>
      </c>
      <c r="C967" s="110">
        <v>13.98</v>
      </c>
      <c r="D967" s="110">
        <v>13.9</v>
      </c>
      <c r="E967" s="110">
        <v>14.1</v>
      </c>
      <c r="F967" s="110">
        <v>13.98</v>
      </c>
      <c r="G967">
        <v>86958</v>
      </c>
      <c r="H967" s="110"/>
      <c r="I967" s="110"/>
      <c r="L967" s="134">
        <v>43426</v>
      </c>
      <c r="M967" s="110">
        <v>13.9</v>
      </c>
      <c r="N967" s="110">
        <v>14.25</v>
      </c>
      <c r="O967" s="110">
        <v>13.85</v>
      </c>
      <c r="P967" s="110">
        <v>14.15</v>
      </c>
      <c r="Q967" s="110">
        <v>13.9</v>
      </c>
      <c r="R967">
        <v>302857</v>
      </c>
    </row>
    <row r="968" spans="1:18" x14ac:dyDescent="0.25">
      <c r="A968" s="134">
        <v>43430</v>
      </c>
      <c r="B968" s="110">
        <v>13.9</v>
      </c>
      <c r="C968" s="110">
        <v>13.64</v>
      </c>
      <c r="D968" s="110">
        <v>13.51</v>
      </c>
      <c r="E968" s="110">
        <v>13.9</v>
      </c>
      <c r="F968" s="110">
        <v>13.64</v>
      </c>
      <c r="G968">
        <v>60995</v>
      </c>
      <c r="H968" s="110"/>
      <c r="I968" s="110"/>
      <c r="L968" s="134">
        <v>43430</v>
      </c>
      <c r="M968" s="110">
        <v>13.6</v>
      </c>
      <c r="N968" s="110">
        <v>13.9</v>
      </c>
      <c r="O968" s="110">
        <v>13.5</v>
      </c>
      <c r="P968" s="110">
        <v>13.75</v>
      </c>
      <c r="Q968" s="110">
        <v>13.6</v>
      </c>
      <c r="R968">
        <v>624703</v>
      </c>
    </row>
    <row r="969" spans="1:18" x14ac:dyDescent="0.25">
      <c r="A969" s="134">
        <v>43431</v>
      </c>
      <c r="B969" s="110">
        <v>13.66</v>
      </c>
      <c r="C969" s="110">
        <v>13.23</v>
      </c>
      <c r="D969" s="110">
        <v>13.06</v>
      </c>
      <c r="E969" s="110">
        <v>13.66</v>
      </c>
      <c r="F969" s="110">
        <v>13.23</v>
      </c>
      <c r="G969">
        <v>156564</v>
      </c>
      <c r="H969" s="110"/>
      <c r="I969" s="110"/>
      <c r="L969" s="134">
        <v>43431</v>
      </c>
      <c r="M969" s="110">
        <v>13.3</v>
      </c>
      <c r="N969" s="110">
        <v>13.9</v>
      </c>
      <c r="O969" s="110">
        <v>13.2</v>
      </c>
      <c r="P969" s="110">
        <v>13.6</v>
      </c>
      <c r="Q969" s="110">
        <v>13.3</v>
      </c>
      <c r="R969">
        <v>1029529</v>
      </c>
    </row>
    <row r="970" spans="1:18" x14ac:dyDescent="0.25">
      <c r="A970" s="134">
        <v>43432</v>
      </c>
      <c r="B970" s="110">
        <v>13.42</v>
      </c>
      <c r="C970" s="110">
        <v>13.18</v>
      </c>
      <c r="D970" s="110">
        <v>13.02</v>
      </c>
      <c r="E970" s="110">
        <v>13.26</v>
      </c>
      <c r="F970" s="110">
        <v>13.18</v>
      </c>
      <c r="G970">
        <v>105855</v>
      </c>
      <c r="H970" s="110"/>
      <c r="I970" s="110"/>
      <c r="L970" s="134">
        <v>43432</v>
      </c>
      <c r="M970" s="110">
        <v>13.1</v>
      </c>
      <c r="N970" s="110">
        <v>13.45</v>
      </c>
      <c r="O970" s="110">
        <v>13</v>
      </c>
      <c r="P970" s="110">
        <v>13.35</v>
      </c>
      <c r="Q970" s="110">
        <v>13.1</v>
      </c>
      <c r="R970">
        <v>501127</v>
      </c>
    </row>
    <row r="971" spans="1:18" x14ac:dyDescent="0.25">
      <c r="A971" s="134">
        <v>43433</v>
      </c>
      <c r="B971" s="110">
        <v>13.49</v>
      </c>
      <c r="C971" s="110">
        <v>13.12</v>
      </c>
      <c r="D971" s="110">
        <v>13.01</v>
      </c>
      <c r="E971" s="110">
        <v>13.01</v>
      </c>
      <c r="F971" s="110">
        <v>13.12</v>
      </c>
      <c r="G971">
        <v>62697</v>
      </c>
      <c r="H971" s="110"/>
      <c r="I971" s="110"/>
      <c r="L971" s="134">
        <v>43433</v>
      </c>
      <c r="M971" s="110">
        <v>13.1</v>
      </c>
      <c r="N971" s="110">
        <v>13.4</v>
      </c>
      <c r="O971" s="110">
        <v>13.05</v>
      </c>
      <c r="P971" s="110">
        <v>13.15</v>
      </c>
      <c r="Q971" s="110">
        <v>13.1</v>
      </c>
      <c r="R971">
        <v>502471</v>
      </c>
    </row>
    <row r="972" spans="1:18" x14ac:dyDescent="0.25">
      <c r="A972" s="134">
        <v>43434</v>
      </c>
      <c r="B972" s="110">
        <v>13.15</v>
      </c>
      <c r="C972" s="110">
        <v>12.99</v>
      </c>
      <c r="D972" s="110">
        <v>12.95</v>
      </c>
      <c r="E972" s="110">
        <v>13.06</v>
      </c>
      <c r="F972" s="110">
        <v>12.99</v>
      </c>
      <c r="G972">
        <v>50022</v>
      </c>
      <c r="H972" s="110"/>
      <c r="I972" s="110"/>
      <c r="L972" s="134">
        <v>43434</v>
      </c>
      <c r="M972" s="110">
        <v>13</v>
      </c>
      <c r="N972" s="110">
        <v>13.15</v>
      </c>
      <c r="O972" s="110">
        <v>12.95</v>
      </c>
      <c r="P972" s="110">
        <v>13</v>
      </c>
      <c r="Q972" s="110">
        <v>13</v>
      </c>
      <c r="R972">
        <v>219545</v>
      </c>
    </row>
    <row r="973" spans="1:18" x14ac:dyDescent="0.25">
      <c r="A973" s="134">
        <v>43437</v>
      </c>
      <c r="B973" s="110">
        <v>13.3</v>
      </c>
      <c r="C973" s="110">
        <v>13.05</v>
      </c>
      <c r="D973" s="110">
        <v>13</v>
      </c>
      <c r="E973" s="110">
        <v>13.2</v>
      </c>
      <c r="F973" s="110">
        <v>13.05</v>
      </c>
      <c r="G973">
        <v>25480</v>
      </c>
      <c r="H973" s="110"/>
      <c r="I973" s="110"/>
      <c r="L973" s="134">
        <v>43437</v>
      </c>
      <c r="M973" s="110">
        <v>13.05</v>
      </c>
      <c r="N973" s="110">
        <v>13.35</v>
      </c>
      <c r="O973" s="110">
        <v>13</v>
      </c>
      <c r="P973" s="110">
        <v>13.15</v>
      </c>
      <c r="Q973" s="110">
        <v>13.05</v>
      </c>
      <c r="R973">
        <v>383428</v>
      </c>
    </row>
    <row r="974" spans="1:18" x14ac:dyDescent="0.25">
      <c r="A974" s="134">
        <v>43438</v>
      </c>
      <c r="B974" s="110">
        <v>13.13</v>
      </c>
      <c r="C974" s="110">
        <v>13.01</v>
      </c>
      <c r="D974" s="110">
        <v>13</v>
      </c>
      <c r="E974" s="110">
        <v>13.07</v>
      </c>
      <c r="F974" s="110">
        <v>13.01</v>
      </c>
      <c r="G974">
        <v>26597</v>
      </c>
      <c r="H974" s="110"/>
      <c r="I974" s="110"/>
      <c r="L974" s="134">
        <v>43438</v>
      </c>
      <c r="M974" s="110">
        <v>13.05</v>
      </c>
      <c r="N974" s="110">
        <v>13.15</v>
      </c>
      <c r="O974" s="110">
        <v>13</v>
      </c>
      <c r="P974" s="110">
        <v>13.15</v>
      </c>
      <c r="Q974" s="110">
        <v>13.05</v>
      </c>
      <c r="R974">
        <v>316040</v>
      </c>
    </row>
    <row r="975" spans="1:18" x14ac:dyDescent="0.25">
      <c r="A975" s="134">
        <v>43439</v>
      </c>
      <c r="B975" s="110">
        <v>13.13</v>
      </c>
      <c r="C975" s="110">
        <v>12.96</v>
      </c>
      <c r="D975" s="110">
        <v>12.86</v>
      </c>
      <c r="E975" s="110">
        <v>12.86</v>
      </c>
      <c r="F975" s="110">
        <v>12.96</v>
      </c>
      <c r="G975">
        <v>44412</v>
      </c>
      <c r="H975" s="110"/>
      <c r="I975" s="110"/>
      <c r="L975" s="134">
        <v>43439</v>
      </c>
      <c r="M975" s="110">
        <v>12.95</v>
      </c>
      <c r="N975" s="110">
        <v>13.1</v>
      </c>
      <c r="O975" s="110">
        <v>12.9</v>
      </c>
      <c r="P975" s="110">
        <v>13</v>
      </c>
      <c r="Q975" s="110">
        <v>12.95</v>
      </c>
      <c r="R975">
        <v>192212</v>
      </c>
    </row>
    <row r="976" spans="1:18" x14ac:dyDescent="0.25">
      <c r="A976" s="134">
        <v>43440</v>
      </c>
      <c r="B976" s="110">
        <v>12.95</v>
      </c>
      <c r="C976" s="110">
        <v>12.62</v>
      </c>
      <c r="D976" s="110">
        <v>12.5</v>
      </c>
      <c r="E976" s="110">
        <v>12.95</v>
      </c>
      <c r="F976" s="110">
        <v>12.62</v>
      </c>
      <c r="G976">
        <v>50921</v>
      </c>
      <c r="H976" s="110"/>
      <c r="I976" s="110"/>
      <c r="L976" s="134">
        <v>43440</v>
      </c>
      <c r="M976" s="110">
        <v>12.55</v>
      </c>
      <c r="N976" s="110">
        <v>12.9</v>
      </c>
      <c r="O976" s="110">
        <v>12.4</v>
      </c>
      <c r="P976" s="110">
        <v>12.8</v>
      </c>
      <c r="Q976" s="110">
        <v>12.55</v>
      </c>
      <c r="R976">
        <v>266628</v>
      </c>
    </row>
    <row r="977" spans="1:18" x14ac:dyDescent="0.25">
      <c r="A977" s="134">
        <v>43441</v>
      </c>
      <c r="B977" s="110">
        <v>12.9</v>
      </c>
      <c r="C977" s="110">
        <v>12.53</v>
      </c>
      <c r="D977" s="110">
        <v>12.5</v>
      </c>
      <c r="E977" s="110">
        <v>12.56</v>
      </c>
      <c r="F977" s="110">
        <v>12.53</v>
      </c>
      <c r="G977">
        <v>22098</v>
      </c>
      <c r="H977" s="110"/>
      <c r="I977" s="110"/>
      <c r="L977" s="134">
        <v>43441</v>
      </c>
      <c r="M977" s="110">
        <v>12.55</v>
      </c>
      <c r="N977" s="110">
        <v>12.8</v>
      </c>
      <c r="O977" s="110">
        <v>12.5</v>
      </c>
      <c r="P977" s="110">
        <v>12.65</v>
      </c>
      <c r="Q977" s="110">
        <v>12.55</v>
      </c>
      <c r="R977">
        <v>207208</v>
      </c>
    </row>
    <row r="978" spans="1:18" x14ac:dyDescent="0.25">
      <c r="A978" s="134">
        <v>43444</v>
      </c>
      <c r="B978" s="110">
        <v>12.54</v>
      </c>
      <c r="C978" s="110">
        <v>12.2</v>
      </c>
      <c r="D978" s="110">
        <v>12.16</v>
      </c>
      <c r="E978" s="110">
        <v>12.4</v>
      </c>
      <c r="F978" s="110">
        <v>12.2</v>
      </c>
      <c r="G978">
        <v>45664</v>
      </c>
      <c r="H978" s="110"/>
      <c r="I978" s="110"/>
      <c r="L978" s="134">
        <v>43444</v>
      </c>
      <c r="M978" s="110">
        <v>12.15</v>
      </c>
      <c r="N978" s="110">
        <v>12.5</v>
      </c>
      <c r="O978" s="110">
        <v>12.05</v>
      </c>
      <c r="P978" s="110">
        <v>12.1</v>
      </c>
      <c r="Q978" s="110">
        <v>12.15</v>
      </c>
      <c r="R978">
        <v>208788</v>
      </c>
    </row>
    <row r="979" spans="1:18" x14ac:dyDescent="0.25">
      <c r="A979" s="134">
        <v>43445</v>
      </c>
      <c r="B979" s="110">
        <v>12.66</v>
      </c>
      <c r="C979" s="110">
        <v>12.64</v>
      </c>
      <c r="D979" s="110">
        <v>12.05</v>
      </c>
      <c r="E979" s="110">
        <v>12.45</v>
      </c>
      <c r="F979" s="110">
        <v>12.64</v>
      </c>
      <c r="G979">
        <v>39883</v>
      </c>
      <c r="H979" s="110"/>
      <c r="I979" s="110"/>
      <c r="L979" s="134">
        <v>43445</v>
      </c>
      <c r="M979" s="110">
        <v>12.6</v>
      </c>
      <c r="N979" s="110">
        <v>12.75</v>
      </c>
      <c r="O979" s="110">
        <v>12</v>
      </c>
      <c r="P979" s="110">
        <v>12.05</v>
      </c>
      <c r="Q979" s="110">
        <v>12.6</v>
      </c>
      <c r="R979">
        <v>346567</v>
      </c>
    </row>
    <row r="980" spans="1:18" x14ac:dyDescent="0.25">
      <c r="A980" s="134">
        <v>43446</v>
      </c>
      <c r="B980" s="110">
        <v>13.93</v>
      </c>
      <c r="C980" s="110">
        <v>13.61</v>
      </c>
      <c r="D980" s="110">
        <v>12.8</v>
      </c>
      <c r="E980" s="110">
        <v>12.8</v>
      </c>
      <c r="F980" s="110">
        <v>13.61</v>
      </c>
      <c r="G980">
        <v>111365</v>
      </c>
      <c r="H980" s="110"/>
      <c r="I980" s="110"/>
      <c r="L980" s="134">
        <v>43446</v>
      </c>
      <c r="M980" s="110">
        <v>13.6</v>
      </c>
      <c r="N980" s="110">
        <v>13.95</v>
      </c>
      <c r="O980" s="110">
        <v>12.9</v>
      </c>
      <c r="P980" s="110">
        <v>13</v>
      </c>
      <c r="Q980" s="110">
        <v>13.6</v>
      </c>
      <c r="R980">
        <v>1088278</v>
      </c>
    </row>
    <row r="981" spans="1:18" x14ac:dyDescent="0.25">
      <c r="A981" s="134">
        <v>43447</v>
      </c>
      <c r="B981" s="110">
        <v>13.85</v>
      </c>
      <c r="C981" s="110">
        <v>13.43</v>
      </c>
      <c r="D981" s="110">
        <v>13.35</v>
      </c>
      <c r="E981" s="110">
        <v>13.83</v>
      </c>
      <c r="F981" s="110">
        <v>13.43</v>
      </c>
      <c r="G981">
        <v>78904</v>
      </c>
      <c r="H981" s="110"/>
      <c r="I981" s="110"/>
      <c r="L981" s="134">
        <v>43447</v>
      </c>
      <c r="M981" s="110">
        <v>13.45</v>
      </c>
      <c r="N981" s="110">
        <v>13.95</v>
      </c>
      <c r="O981" s="110">
        <v>13.3</v>
      </c>
      <c r="P981" s="110">
        <v>13.9</v>
      </c>
      <c r="Q981" s="110">
        <v>13.45</v>
      </c>
      <c r="R981">
        <v>932221</v>
      </c>
    </row>
    <row r="982" spans="1:18" x14ac:dyDescent="0.25">
      <c r="A982" s="134">
        <v>43448</v>
      </c>
      <c r="B982" s="110">
        <v>13.76</v>
      </c>
      <c r="C982" s="110">
        <v>13.57</v>
      </c>
      <c r="D982" s="110">
        <v>13.4</v>
      </c>
      <c r="E982" s="110">
        <v>13.6</v>
      </c>
      <c r="F982" s="110">
        <v>13.57</v>
      </c>
      <c r="G982">
        <v>84443</v>
      </c>
      <c r="H982" s="110"/>
      <c r="I982" s="110"/>
      <c r="L982" s="134">
        <v>43448</v>
      </c>
      <c r="M982" s="110">
        <v>13.6</v>
      </c>
      <c r="N982" s="110">
        <v>13.8</v>
      </c>
      <c r="O982" s="110">
        <v>13.35</v>
      </c>
      <c r="P982" s="110">
        <v>13.7</v>
      </c>
      <c r="Q982" s="110">
        <v>13.6</v>
      </c>
      <c r="R982">
        <v>696740</v>
      </c>
    </row>
    <row r="983" spans="1:18" x14ac:dyDescent="0.25">
      <c r="A983" s="134">
        <v>43451</v>
      </c>
      <c r="B983" s="110">
        <v>13.6</v>
      </c>
      <c r="C983" s="110">
        <v>13.44</v>
      </c>
      <c r="D983" s="110">
        <v>13.32</v>
      </c>
      <c r="E983" s="110">
        <v>13.6</v>
      </c>
      <c r="F983" s="110">
        <v>13.44</v>
      </c>
      <c r="G983">
        <v>27477</v>
      </c>
      <c r="H983" s="110"/>
      <c r="I983" s="110"/>
      <c r="L983" s="134">
        <v>43451</v>
      </c>
      <c r="M983" s="110">
        <v>13.45</v>
      </c>
      <c r="N983" s="110">
        <v>13.6</v>
      </c>
      <c r="O983" s="110">
        <v>13.3</v>
      </c>
      <c r="P983" s="110">
        <v>13.6</v>
      </c>
      <c r="Q983" s="110">
        <v>13.45</v>
      </c>
      <c r="R983">
        <v>202785</v>
      </c>
    </row>
    <row r="984" spans="1:18" x14ac:dyDescent="0.25">
      <c r="A984" s="134">
        <v>43452</v>
      </c>
      <c r="B984" s="110">
        <v>13.68</v>
      </c>
      <c r="C984" s="110">
        <v>13.56</v>
      </c>
      <c r="D984" s="110">
        <v>13.36</v>
      </c>
      <c r="E984" s="110">
        <v>13.4</v>
      </c>
      <c r="F984" s="110">
        <v>13.56</v>
      </c>
      <c r="G984">
        <v>40027</v>
      </c>
      <c r="H984" s="110"/>
      <c r="I984" s="110"/>
      <c r="L984" s="134">
        <v>43452</v>
      </c>
      <c r="M984" s="110">
        <v>13.55</v>
      </c>
      <c r="N984" s="110">
        <v>13.7</v>
      </c>
      <c r="O984" s="110">
        <v>13.3</v>
      </c>
      <c r="P984" s="110">
        <v>13.4</v>
      </c>
      <c r="Q984" s="110">
        <v>13.55</v>
      </c>
      <c r="R984">
        <v>360189</v>
      </c>
    </row>
    <row r="985" spans="1:18" x14ac:dyDescent="0.25">
      <c r="A985" s="134">
        <v>43453</v>
      </c>
      <c r="B985" s="110">
        <v>15.33</v>
      </c>
      <c r="C985" s="110">
        <v>14.76</v>
      </c>
      <c r="D985" s="110">
        <v>13.5</v>
      </c>
      <c r="E985" s="110">
        <v>13.75</v>
      </c>
      <c r="F985" s="110">
        <v>14.76</v>
      </c>
      <c r="G985">
        <v>318787</v>
      </c>
      <c r="H985" s="110"/>
      <c r="I985" s="110"/>
      <c r="L985" s="134">
        <v>43453</v>
      </c>
      <c r="M985" s="110">
        <v>14.8</v>
      </c>
      <c r="N985" s="110">
        <v>15.45</v>
      </c>
      <c r="O985" s="110">
        <v>13.6</v>
      </c>
      <c r="P985" s="110">
        <v>13.6</v>
      </c>
      <c r="Q985" s="110">
        <v>14.8</v>
      </c>
      <c r="R985">
        <v>2854456</v>
      </c>
    </row>
    <row r="986" spans="1:18" x14ac:dyDescent="0.25">
      <c r="A986" s="134">
        <v>43454</v>
      </c>
      <c r="B986" s="110">
        <v>15.45</v>
      </c>
      <c r="C986" s="110">
        <v>15.02</v>
      </c>
      <c r="D986" s="110">
        <v>14.78</v>
      </c>
      <c r="E986" s="110">
        <v>15</v>
      </c>
      <c r="F986" s="110">
        <v>15.02</v>
      </c>
      <c r="G986">
        <v>750966</v>
      </c>
      <c r="H986" s="110"/>
      <c r="I986" s="110"/>
      <c r="L986" s="134">
        <v>43454</v>
      </c>
      <c r="M986" s="110">
        <v>15</v>
      </c>
      <c r="N986" s="110">
        <v>15.25</v>
      </c>
      <c r="O986" s="110">
        <v>14.8</v>
      </c>
      <c r="P986" s="110">
        <v>14.95</v>
      </c>
      <c r="Q986" s="110">
        <v>15</v>
      </c>
      <c r="R986">
        <v>3458130</v>
      </c>
    </row>
    <row r="987" spans="1:18" x14ac:dyDescent="0.25">
      <c r="A987" s="134">
        <v>43455</v>
      </c>
      <c r="B987" s="110">
        <v>15.24</v>
      </c>
      <c r="C987" s="110">
        <v>14.63</v>
      </c>
      <c r="D987" s="110">
        <v>14.58</v>
      </c>
      <c r="E987" s="110">
        <v>15.1</v>
      </c>
      <c r="F987" s="110">
        <v>14.63</v>
      </c>
      <c r="G987">
        <v>422546</v>
      </c>
      <c r="H987" s="110"/>
      <c r="I987" s="110"/>
      <c r="L987" s="134">
        <v>43455</v>
      </c>
      <c r="M987" s="110">
        <v>14.7</v>
      </c>
      <c r="N987" s="110">
        <v>15.3</v>
      </c>
      <c r="O987" s="110">
        <v>14.6</v>
      </c>
      <c r="P987" s="110">
        <v>15.2</v>
      </c>
      <c r="Q987" s="110">
        <v>14.7</v>
      </c>
      <c r="R987">
        <v>1706862</v>
      </c>
    </row>
    <row r="988" spans="1:18" x14ac:dyDescent="0.25">
      <c r="A988" s="134">
        <v>43458</v>
      </c>
      <c r="B988" s="110">
        <v>14.82</v>
      </c>
      <c r="C988" s="110">
        <v>14.4</v>
      </c>
      <c r="D988" s="110">
        <v>14.28</v>
      </c>
      <c r="E988" s="110">
        <v>14.45</v>
      </c>
      <c r="F988" s="110">
        <v>14.4</v>
      </c>
      <c r="G988">
        <v>146575</v>
      </c>
      <c r="H988" s="110"/>
      <c r="I988" s="110"/>
      <c r="L988" s="134">
        <v>43458</v>
      </c>
      <c r="M988" s="110">
        <v>14.35</v>
      </c>
      <c r="N988" s="110">
        <v>14.85</v>
      </c>
      <c r="O988" s="110">
        <v>14.2</v>
      </c>
      <c r="P988" s="110">
        <v>14.7</v>
      </c>
      <c r="Q988" s="110">
        <v>14.35</v>
      </c>
      <c r="R988">
        <v>953928</v>
      </c>
    </row>
    <row r="989" spans="1:18" x14ac:dyDescent="0.25">
      <c r="A989" s="134">
        <v>43460</v>
      </c>
      <c r="B989" s="110">
        <v>14.69</v>
      </c>
      <c r="C989" s="110">
        <v>13.98</v>
      </c>
      <c r="D989" s="110">
        <v>13.84</v>
      </c>
      <c r="E989" s="110">
        <v>14.69</v>
      </c>
      <c r="F989" s="110">
        <v>13.98</v>
      </c>
      <c r="G989">
        <v>130442</v>
      </c>
      <c r="H989" s="110"/>
      <c r="I989" s="110"/>
      <c r="L989" s="134">
        <v>43460</v>
      </c>
      <c r="M989" s="110">
        <v>13.95</v>
      </c>
      <c r="N989" s="110">
        <v>14.25</v>
      </c>
      <c r="O989" s="110">
        <v>13.8</v>
      </c>
      <c r="P989" s="110">
        <v>14.2</v>
      </c>
      <c r="Q989" s="110">
        <v>13.95</v>
      </c>
      <c r="R989">
        <v>752649</v>
      </c>
    </row>
    <row r="990" spans="1:18" x14ac:dyDescent="0.25">
      <c r="A990" s="134">
        <v>43461</v>
      </c>
      <c r="B990" s="110">
        <v>15.4</v>
      </c>
      <c r="C990" s="110">
        <v>14.87</v>
      </c>
      <c r="D990" s="110">
        <v>14.21</v>
      </c>
      <c r="E990" s="110">
        <v>14.21</v>
      </c>
      <c r="F990" s="110">
        <v>14.87</v>
      </c>
      <c r="G990">
        <v>642951</v>
      </c>
      <c r="H990" s="110"/>
      <c r="I990" s="110"/>
      <c r="L990" s="134">
        <v>43461</v>
      </c>
      <c r="M990" s="110">
        <v>14.95</v>
      </c>
      <c r="N990" s="110">
        <v>15.5</v>
      </c>
      <c r="O990" s="110">
        <v>14.3</v>
      </c>
      <c r="P990" s="110">
        <v>14.5</v>
      </c>
      <c r="Q990" s="110">
        <v>14.95</v>
      </c>
      <c r="R990">
        <v>4963507</v>
      </c>
    </row>
    <row r="991" spans="1:18" x14ac:dyDescent="0.25">
      <c r="A991" s="134">
        <v>43462</v>
      </c>
      <c r="B991" s="110">
        <v>15.24</v>
      </c>
      <c r="C991" s="110">
        <v>15.1</v>
      </c>
      <c r="D991" s="110">
        <v>14.71</v>
      </c>
      <c r="E991" s="110">
        <v>15.11</v>
      </c>
      <c r="F991" s="110">
        <v>15.1</v>
      </c>
      <c r="G991">
        <v>248937</v>
      </c>
      <c r="H991" s="110"/>
      <c r="I991" s="110"/>
      <c r="L991" s="134">
        <v>43462</v>
      </c>
      <c r="M991" s="110">
        <v>15.05</v>
      </c>
      <c r="N991" s="110">
        <v>15.3</v>
      </c>
      <c r="O991" s="110">
        <v>15</v>
      </c>
      <c r="P991" s="110">
        <v>15.25</v>
      </c>
      <c r="Q991" s="110">
        <v>15.05</v>
      </c>
      <c r="R991">
        <v>1261678</v>
      </c>
    </row>
    <row r="992" spans="1:18" x14ac:dyDescent="0.25">
      <c r="A992" s="134">
        <v>43465</v>
      </c>
      <c r="B992" s="110">
        <v>15.15</v>
      </c>
      <c r="C992" s="110">
        <v>14.89</v>
      </c>
      <c r="D992" s="110">
        <v>14.85</v>
      </c>
      <c r="E992" s="110">
        <v>15.1</v>
      </c>
      <c r="F992" s="110">
        <v>14.89</v>
      </c>
      <c r="G992">
        <v>103316</v>
      </c>
      <c r="H992" s="110"/>
      <c r="I992" s="110"/>
      <c r="L992" s="134">
        <v>43465</v>
      </c>
      <c r="M992" s="110">
        <v>14.9</v>
      </c>
      <c r="N992" s="110">
        <v>15.25</v>
      </c>
      <c r="O992" s="110">
        <v>14.85</v>
      </c>
      <c r="P992" s="110">
        <v>15.25</v>
      </c>
      <c r="Q992" s="110">
        <v>14.9</v>
      </c>
      <c r="R992">
        <v>677366</v>
      </c>
    </row>
    <row r="993" spans="1:18" x14ac:dyDescent="0.25">
      <c r="A993" s="134">
        <v>43466</v>
      </c>
      <c r="B993" s="110">
        <v>15.71</v>
      </c>
      <c r="C993" s="110">
        <v>15.46</v>
      </c>
      <c r="D993" s="110">
        <v>15.2</v>
      </c>
      <c r="E993" s="110">
        <v>15.33</v>
      </c>
      <c r="F993" s="110">
        <v>15.46</v>
      </c>
      <c r="G993">
        <v>370135</v>
      </c>
      <c r="H993" s="110"/>
      <c r="I993" s="110"/>
      <c r="L993" s="134">
        <v>43466</v>
      </c>
      <c r="M993" s="110">
        <v>15.4</v>
      </c>
      <c r="N993" s="110">
        <v>15.7</v>
      </c>
      <c r="O993" s="110">
        <v>15.1</v>
      </c>
      <c r="P993" s="110">
        <v>15.2</v>
      </c>
      <c r="Q993" s="110">
        <v>15.4</v>
      </c>
      <c r="R993">
        <v>2356629</v>
      </c>
    </row>
    <row r="994" spans="1:18" x14ac:dyDescent="0.25">
      <c r="A994" s="134">
        <v>43467</v>
      </c>
      <c r="B994" s="110">
        <v>15.9</v>
      </c>
      <c r="C994" s="110">
        <v>15.59</v>
      </c>
      <c r="D994" s="110">
        <v>15.3</v>
      </c>
      <c r="E994" s="110">
        <v>15.8</v>
      </c>
      <c r="F994" s="110">
        <v>15.59</v>
      </c>
      <c r="G994">
        <v>273515</v>
      </c>
      <c r="H994" s="110"/>
      <c r="I994" s="110"/>
      <c r="L994" s="134">
        <v>43467</v>
      </c>
      <c r="M994" s="110">
        <v>15.65</v>
      </c>
      <c r="N994" s="110">
        <v>15.95</v>
      </c>
      <c r="O994" s="110">
        <v>15.25</v>
      </c>
      <c r="P994" s="110">
        <v>15.8</v>
      </c>
      <c r="Q994" s="110">
        <v>15.65</v>
      </c>
      <c r="R994">
        <v>3027148</v>
      </c>
    </row>
    <row r="995" spans="1:18" x14ac:dyDescent="0.25">
      <c r="A995" s="134">
        <v>43468</v>
      </c>
      <c r="B995" s="110">
        <v>15.6</v>
      </c>
      <c r="C995" s="110">
        <v>15.12</v>
      </c>
      <c r="D995" s="110">
        <v>15</v>
      </c>
      <c r="E995" s="110">
        <v>15.5</v>
      </c>
      <c r="F995" s="110">
        <v>15.12</v>
      </c>
      <c r="G995">
        <v>353944</v>
      </c>
      <c r="H995" s="110"/>
      <c r="I995" s="110"/>
      <c r="L995" s="134">
        <v>43468</v>
      </c>
      <c r="M995" s="110">
        <v>15.1</v>
      </c>
      <c r="N995" s="110">
        <v>15.7</v>
      </c>
      <c r="O995" s="110">
        <v>15</v>
      </c>
      <c r="P995" s="110">
        <v>15.35</v>
      </c>
      <c r="Q995" s="110">
        <v>15.1</v>
      </c>
      <c r="R995">
        <v>2517516</v>
      </c>
    </row>
    <row r="996" spans="1:18" x14ac:dyDescent="0.25">
      <c r="A996" s="134">
        <v>43469</v>
      </c>
      <c r="B996" s="110">
        <v>15.5</v>
      </c>
      <c r="C996" s="110">
        <v>15.44</v>
      </c>
      <c r="D996" s="110">
        <v>15.2</v>
      </c>
      <c r="E996" s="110">
        <v>15.3</v>
      </c>
      <c r="F996" s="110">
        <v>15.44</v>
      </c>
      <c r="G996">
        <v>257127</v>
      </c>
      <c r="H996" s="110"/>
      <c r="I996" s="110"/>
      <c r="L996" s="134">
        <v>43469</v>
      </c>
      <c r="M996" s="110">
        <v>15.45</v>
      </c>
      <c r="N996" s="110">
        <v>15.6</v>
      </c>
      <c r="O996" s="110">
        <v>15.2</v>
      </c>
      <c r="P996" s="110">
        <v>15.25</v>
      </c>
      <c r="Q996" s="110">
        <v>15.45</v>
      </c>
      <c r="R996">
        <v>2198152</v>
      </c>
    </row>
    <row r="997" spans="1:18" x14ac:dyDescent="0.25">
      <c r="A997" s="134">
        <v>43472</v>
      </c>
      <c r="B997" s="110">
        <v>15.8</v>
      </c>
      <c r="C997" s="110">
        <v>15.18</v>
      </c>
      <c r="D997" s="110">
        <v>15.16</v>
      </c>
      <c r="E997" s="110">
        <v>15.8</v>
      </c>
      <c r="F997" s="110">
        <v>15.18</v>
      </c>
      <c r="G997">
        <v>149441</v>
      </c>
      <c r="H997" s="110"/>
      <c r="I997" s="110"/>
      <c r="L997" s="134">
        <v>43472</v>
      </c>
      <c r="M997" s="110">
        <v>15.2</v>
      </c>
      <c r="N997" s="110">
        <v>15.7</v>
      </c>
      <c r="O997" s="110">
        <v>15.1</v>
      </c>
      <c r="P997" s="110">
        <v>15.7</v>
      </c>
      <c r="Q997" s="110">
        <v>15.2</v>
      </c>
      <c r="R997">
        <v>819177</v>
      </c>
    </row>
    <row r="998" spans="1:18" x14ac:dyDescent="0.25">
      <c r="A998" s="134">
        <v>43473</v>
      </c>
      <c r="B998" s="110">
        <v>15.5</v>
      </c>
      <c r="C998" s="110">
        <v>15.21</v>
      </c>
      <c r="D998" s="110">
        <v>15.1</v>
      </c>
      <c r="E998" s="110">
        <v>15.5</v>
      </c>
      <c r="F998" s="110">
        <v>15.21</v>
      </c>
      <c r="G998">
        <v>81178</v>
      </c>
      <c r="H998" s="110"/>
      <c r="I998" s="110"/>
      <c r="L998" s="134">
        <v>43473</v>
      </c>
      <c r="M998" s="110">
        <v>15.25</v>
      </c>
      <c r="N998" s="110">
        <v>15.5</v>
      </c>
      <c r="O998" s="110">
        <v>15.05</v>
      </c>
      <c r="P998" s="110">
        <v>15.25</v>
      </c>
      <c r="Q998" s="110">
        <v>15.25</v>
      </c>
      <c r="R998">
        <v>750451</v>
      </c>
    </row>
    <row r="999" spans="1:18" x14ac:dyDescent="0.25">
      <c r="A999" s="134">
        <v>43474</v>
      </c>
      <c r="B999" s="110">
        <v>15.8</v>
      </c>
      <c r="C999" s="110">
        <v>15.29</v>
      </c>
      <c r="D999" s="110">
        <v>15.21</v>
      </c>
      <c r="E999" s="110">
        <v>15.6</v>
      </c>
      <c r="F999" s="110">
        <v>15.29</v>
      </c>
      <c r="G999">
        <v>130447</v>
      </c>
      <c r="H999" s="110"/>
      <c r="I999" s="110"/>
      <c r="L999" s="134">
        <v>43474</v>
      </c>
      <c r="M999" s="110">
        <v>15.2</v>
      </c>
      <c r="N999" s="110">
        <v>15.6</v>
      </c>
      <c r="O999" s="110">
        <v>15.1</v>
      </c>
      <c r="P999" s="110">
        <v>15.5</v>
      </c>
      <c r="Q999" s="110">
        <v>15.2</v>
      </c>
      <c r="R999">
        <v>1176666</v>
      </c>
    </row>
    <row r="1000" spans="1:18" x14ac:dyDescent="0.25">
      <c r="A1000" s="134">
        <v>43475</v>
      </c>
      <c r="B1000" s="110">
        <v>15.29</v>
      </c>
      <c r="C1000" s="110">
        <v>15.14</v>
      </c>
      <c r="D1000" s="110">
        <v>15.06</v>
      </c>
      <c r="E1000" s="110">
        <v>15.2</v>
      </c>
      <c r="F1000" s="110">
        <v>15.14</v>
      </c>
      <c r="G1000">
        <v>87625</v>
      </c>
      <c r="H1000" s="110"/>
      <c r="I1000" s="110"/>
      <c r="L1000" s="134">
        <v>43475</v>
      </c>
      <c r="M1000" s="110">
        <v>15.05</v>
      </c>
      <c r="N1000" s="110">
        <v>15.2</v>
      </c>
      <c r="O1000" s="110">
        <v>15.05</v>
      </c>
      <c r="P1000" s="110">
        <v>15.2</v>
      </c>
      <c r="Q1000" s="110">
        <v>15.05</v>
      </c>
      <c r="R1000">
        <v>425809</v>
      </c>
    </row>
    <row r="1001" spans="1:18" x14ac:dyDescent="0.25">
      <c r="A1001" s="134">
        <v>43476</v>
      </c>
      <c r="B1001" s="110">
        <v>15.3</v>
      </c>
      <c r="C1001" s="110">
        <v>14.99</v>
      </c>
      <c r="D1001" s="110">
        <v>14.95</v>
      </c>
      <c r="E1001" s="110">
        <v>15.29</v>
      </c>
      <c r="F1001" s="110">
        <v>14.99</v>
      </c>
      <c r="G1001">
        <v>72630</v>
      </c>
      <c r="H1001" s="110"/>
      <c r="I1001" s="110"/>
      <c r="L1001" s="134">
        <v>43476</v>
      </c>
      <c r="M1001" s="110">
        <v>15.05</v>
      </c>
      <c r="N1001" s="110">
        <v>15.3</v>
      </c>
      <c r="O1001" s="110">
        <v>15</v>
      </c>
      <c r="P1001" s="110">
        <v>15.25</v>
      </c>
      <c r="Q1001" s="110">
        <v>15.05</v>
      </c>
      <c r="R1001">
        <v>380949</v>
      </c>
    </row>
    <row r="1002" spans="1:18" x14ac:dyDescent="0.25">
      <c r="A1002" s="134">
        <v>43479</v>
      </c>
      <c r="B1002" s="110">
        <v>15.19</v>
      </c>
      <c r="C1002" s="110">
        <v>14.68</v>
      </c>
      <c r="D1002" s="110">
        <v>14.65</v>
      </c>
      <c r="E1002" s="110">
        <v>15.19</v>
      </c>
      <c r="F1002" s="110">
        <v>14.68</v>
      </c>
      <c r="G1002">
        <v>65253</v>
      </c>
      <c r="H1002" s="110"/>
      <c r="I1002" s="110"/>
      <c r="L1002" s="134">
        <v>43479</v>
      </c>
      <c r="M1002" s="110">
        <v>14.75</v>
      </c>
      <c r="N1002" s="110">
        <v>15</v>
      </c>
      <c r="O1002" s="110">
        <v>14.7</v>
      </c>
      <c r="P1002" s="110">
        <v>14.95</v>
      </c>
      <c r="Q1002" s="110">
        <v>14.75</v>
      </c>
      <c r="R1002">
        <v>344803</v>
      </c>
    </row>
    <row r="1003" spans="1:18" x14ac:dyDescent="0.25">
      <c r="A1003" s="134">
        <v>43480</v>
      </c>
      <c r="B1003" s="110">
        <v>14.94</v>
      </c>
      <c r="C1003" s="110">
        <v>14.68</v>
      </c>
      <c r="D1003" s="110">
        <v>14.62</v>
      </c>
      <c r="E1003" s="110">
        <v>14.71</v>
      </c>
      <c r="F1003" s="110">
        <v>14.68</v>
      </c>
      <c r="G1003">
        <v>49934</v>
      </c>
      <c r="H1003" s="110"/>
      <c r="I1003" s="110"/>
      <c r="L1003" s="134">
        <v>43480</v>
      </c>
      <c r="M1003" s="110">
        <v>14.65</v>
      </c>
      <c r="N1003" s="110">
        <v>14.9</v>
      </c>
      <c r="O1003" s="110">
        <v>14.6</v>
      </c>
      <c r="P1003" s="110">
        <v>14.75</v>
      </c>
      <c r="Q1003" s="110">
        <v>14.65</v>
      </c>
      <c r="R1003">
        <v>317983</v>
      </c>
    </row>
    <row r="1004" spans="1:18" x14ac:dyDescent="0.25">
      <c r="A1004" s="134">
        <v>43481</v>
      </c>
      <c r="B1004" s="110">
        <v>15.16</v>
      </c>
      <c r="C1004" s="110">
        <v>15.01</v>
      </c>
      <c r="D1004" s="110">
        <v>14.6</v>
      </c>
      <c r="E1004" s="110">
        <v>14.97</v>
      </c>
      <c r="F1004" s="110">
        <v>15.01</v>
      </c>
      <c r="G1004">
        <v>115705</v>
      </c>
      <c r="H1004" s="110"/>
      <c r="I1004" s="110"/>
      <c r="L1004" s="134">
        <v>43481</v>
      </c>
      <c r="M1004" s="110">
        <v>14.95</v>
      </c>
      <c r="N1004" s="110">
        <v>15.15</v>
      </c>
      <c r="O1004" s="110">
        <v>14.6</v>
      </c>
      <c r="P1004" s="110">
        <v>14.65</v>
      </c>
      <c r="Q1004" s="110">
        <v>14.95</v>
      </c>
      <c r="R1004">
        <v>809192</v>
      </c>
    </row>
    <row r="1005" spans="1:18" x14ac:dyDescent="0.25">
      <c r="A1005" s="134">
        <v>43482</v>
      </c>
      <c r="B1005" s="110">
        <v>15.1</v>
      </c>
      <c r="C1005" s="110">
        <v>14.9</v>
      </c>
      <c r="D1005" s="110">
        <v>14.8</v>
      </c>
      <c r="E1005" s="110">
        <v>15.09</v>
      </c>
      <c r="F1005" s="110">
        <v>14.9</v>
      </c>
      <c r="G1005">
        <v>85470</v>
      </c>
      <c r="H1005" s="110"/>
      <c r="I1005" s="110"/>
      <c r="L1005" s="134">
        <v>43482</v>
      </c>
      <c r="M1005" s="110">
        <v>14.8</v>
      </c>
      <c r="N1005" s="110">
        <v>15.05</v>
      </c>
      <c r="O1005" s="110">
        <v>14.75</v>
      </c>
      <c r="P1005" s="110">
        <v>15.05</v>
      </c>
      <c r="Q1005" s="110">
        <v>14.8</v>
      </c>
      <c r="R1005">
        <v>437815</v>
      </c>
    </row>
    <row r="1006" spans="1:18" x14ac:dyDescent="0.25">
      <c r="A1006" s="134">
        <v>43483</v>
      </c>
      <c r="B1006" s="110">
        <v>15</v>
      </c>
      <c r="C1006" s="110">
        <v>14.71</v>
      </c>
      <c r="D1006" s="110">
        <v>14.63</v>
      </c>
      <c r="E1006" s="110">
        <v>15</v>
      </c>
      <c r="F1006" s="110">
        <v>14.71</v>
      </c>
      <c r="G1006">
        <v>87125</v>
      </c>
      <c r="H1006" s="110"/>
      <c r="I1006" s="110"/>
      <c r="L1006" s="134">
        <v>43483</v>
      </c>
      <c r="M1006" s="110">
        <v>14.65</v>
      </c>
      <c r="N1006" s="110">
        <v>14.9</v>
      </c>
      <c r="O1006" s="110">
        <v>14.55</v>
      </c>
      <c r="P1006" s="110">
        <v>14.75</v>
      </c>
      <c r="Q1006" s="110">
        <v>14.65</v>
      </c>
      <c r="R1006">
        <v>308860</v>
      </c>
    </row>
    <row r="1007" spans="1:18" x14ac:dyDescent="0.25">
      <c r="A1007" s="134">
        <v>43486</v>
      </c>
      <c r="B1007" s="110">
        <v>14.91</v>
      </c>
      <c r="C1007" s="110">
        <v>14.61</v>
      </c>
      <c r="D1007" s="110">
        <v>14.45</v>
      </c>
      <c r="E1007" s="110">
        <v>14.75</v>
      </c>
      <c r="F1007" s="110">
        <v>14.61</v>
      </c>
      <c r="G1007">
        <v>170583</v>
      </c>
      <c r="H1007" s="110"/>
      <c r="I1007" s="110"/>
      <c r="L1007" s="134">
        <v>43486</v>
      </c>
      <c r="M1007" s="110">
        <v>14.5</v>
      </c>
      <c r="N1007" s="110">
        <v>15</v>
      </c>
      <c r="O1007" s="110">
        <v>14.35</v>
      </c>
      <c r="P1007" s="110">
        <v>14.75</v>
      </c>
      <c r="Q1007" s="110">
        <v>14.5</v>
      </c>
      <c r="R1007">
        <v>530756</v>
      </c>
    </row>
    <row r="1008" spans="1:18" x14ac:dyDescent="0.25">
      <c r="A1008" s="134">
        <v>43487</v>
      </c>
      <c r="B1008" s="110">
        <v>14.6</v>
      </c>
      <c r="C1008" s="110">
        <v>14.23</v>
      </c>
      <c r="D1008" s="110">
        <v>14.15</v>
      </c>
      <c r="E1008" s="110">
        <v>14.6</v>
      </c>
      <c r="F1008" s="110">
        <v>14.23</v>
      </c>
      <c r="G1008">
        <v>153349</v>
      </c>
      <c r="H1008" s="110"/>
      <c r="I1008" s="110"/>
      <c r="L1008" s="134">
        <v>43487</v>
      </c>
      <c r="M1008" s="110">
        <v>14.2</v>
      </c>
      <c r="N1008" s="110">
        <v>14.6</v>
      </c>
      <c r="O1008" s="110">
        <v>14.05</v>
      </c>
      <c r="P1008" s="110">
        <v>14.55</v>
      </c>
      <c r="Q1008" s="110">
        <v>14.2</v>
      </c>
      <c r="R1008">
        <v>493907</v>
      </c>
    </row>
    <row r="1009" spans="1:18" x14ac:dyDescent="0.25">
      <c r="A1009" s="134">
        <v>43488</v>
      </c>
      <c r="B1009" s="110">
        <v>15.58</v>
      </c>
      <c r="C1009" s="110">
        <v>14.47</v>
      </c>
      <c r="D1009" s="110">
        <v>14.28</v>
      </c>
      <c r="E1009" s="110">
        <v>14.3</v>
      </c>
      <c r="F1009" s="110">
        <v>14.47</v>
      </c>
      <c r="G1009">
        <v>804359</v>
      </c>
      <c r="H1009" s="110"/>
      <c r="I1009" s="110"/>
      <c r="L1009" s="134">
        <v>43488</v>
      </c>
      <c r="M1009" s="110">
        <v>14.55</v>
      </c>
      <c r="N1009" s="110">
        <v>15.7</v>
      </c>
      <c r="O1009" s="110">
        <v>14.2</v>
      </c>
      <c r="P1009" s="110">
        <v>14.25</v>
      </c>
      <c r="Q1009" s="110">
        <v>14.55</v>
      </c>
      <c r="R1009">
        <v>6913089</v>
      </c>
    </row>
    <row r="1010" spans="1:18" x14ac:dyDescent="0.25">
      <c r="A1010" s="134">
        <v>43489</v>
      </c>
      <c r="B1010" s="110">
        <v>14.5</v>
      </c>
      <c r="C1010" s="110">
        <v>13.98</v>
      </c>
      <c r="D1010" s="110">
        <v>13.55</v>
      </c>
      <c r="E1010" s="110">
        <v>13.8</v>
      </c>
      <c r="F1010" s="110">
        <v>13.98</v>
      </c>
      <c r="G1010">
        <v>322131</v>
      </c>
      <c r="H1010" s="110"/>
      <c r="I1010" s="110"/>
      <c r="L1010" s="134">
        <v>43489</v>
      </c>
      <c r="M1010" s="110">
        <v>13.95</v>
      </c>
      <c r="N1010" s="110">
        <v>14.55</v>
      </c>
      <c r="O1010" s="110">
        <v>13.65</v>
      </c>
      <c r="P1010" s="110">
        <v>13.9</v>
      </c>
      <c r="Q1010" s="110">
        <v>13.95</v>
      </c>
      <c r="R1010">
        <v>1669691</v>
      </c>
    </row>
    <row r="1011" spans="1:18" x14ac:dyDescent="0.25">
      <c r="A1011" s="134">
        <v>43490</v>
      </c>
      <c r="B1011" s="110">
        <v>14.39</v>
      </c>
      <c r="C1011" s="110">
        <v>14.04</v>
      </c>
      <c r="D1011" s="110">
        <v>14</v>
      </c>
      <c r="E1011" s="110">
        <v>14.25</v>
      </c>
      <c r="F1011" s="110">
        <v>14.04</v>
      </c>
      <c r="G1011">
        <v>82964</v>
      </c>
      <c r="H1011" s="110"/>
      <c r="I1011" s="110"/>
      <c r="L1011" s="134">
        <v>43490</v>
      </c>
      <c r="M1011" s="110">
        <v>14.05</v>
      </c>
      <c r="N1011" s="110">
        <v>14.5</v>
      </c>
      <c r="O1011" s="110">
        <v>14</v>
      </c>
      <c r="P1011" s="110">
        <v>14.2</v>
      </c>
      <c r="Q1011" s="110">
        <v>14.05</v>
      </c>
      <c r="R1011">
        <v>696548</v>
      </c>
    </row>
    <row r="1012" spans="1:18" x14ac:dyDescent="0.25">
      <c r="A1012" s="134">
        <v>43493</v>
      </c>
      <c r="B1012" s="110">
        <v>14.21</v>
      </c>
      <c r="C1012" s="110">
        <v>13.76</v>
      </c>
      <c r="D1012" s="110">
        <v>13.69</v>
      </c>
      <c r="E1012" s="110">
        <v>14.15</v>
      </c>
      <c r="F1012" s="110">
        <v>13.76</v>
      </c>
      <c r="G1012">
        <v>68738</v>
      </c>
      <c r="H1012" s="110"/>
      <c r="I1012" s="110"/>
      <c r="L1012" s="134">
        <v>43493</v>
      </c>
      <c r="M1012" s="110">
        <v>13.75</v>
      </c>
      <c r="N1012" s="110">
        <v>14.2</v>
      </c>
      <c r="O1012" s="110">
        <v>13.7</v>
      </c>
      <c r="P1012" s="110">
        <v>14.2</v>
      </c>
      <c r="Q1012" s="110">
        <v>13.75</v>
      </c>
      <c r="R1012">
        <v>501820</v>
      </c>
    </row>
    <row r="1013" spans="1:18" x14ac:dyDescent="0.25">
      <c r="A1013" s="134">
        <v>43494</v>
      </c>
      <c r="B1013" s="110">
        <v>14</v>
      </c>
      <c r="C1013" s="110">
        <v>13.84</v>
      </c>
      <c r="D1013" s="110">
        <v>13.4</v>
      </c>
      <c r="E1013" s="110">
        <v>13.69</v>
      </c>
      <c r="F1013" s="110">
        <v>13.84</v>
      </c>
      <c r="G1013">
        <v>64323</v>
      </c>
      <c r="H1013" s="110"/>
      <c r="I1013" s="110"/>
      <c r="L1013" s="134">
        <v>43494</v>
      </c>
      <c r="M1013" s="110">
        <v>13.85</v>
      </c>
      <c r="N1013" s="110">
        <v>13.95</v>
      </c>
      <c r="O1013" s="110">
        <v>13.3</v>
      </c>
      <c r="P1013" s="110">
        <v>13.6</v>
      </c>
      <c r="Q1013" s="110">
        <v>13.85</v>
      </c>
      <c r="R1013">
        <v>449465</v>
      </c>
    </row>
    <row r="1014" spans="1:18" x14ac:dyDescent="0.25">
      <c r="A1014" s="134">
        <v>43495</v>
      </c>
      <c r="B1014" s="110">
        <v>14.83</v>
      </c>
      <c r="C1014" s="110">
        <v>14.11</v>
      </c>
      <c r="D1014" s="110">
        <v>13.7</v>
      </c>
      <c r="E1014" s="110">
        <v>13.71</v>
      </c>
      <c r="F1014" s="110">
        <v>14.11</v>
      </c>
      <c r="G1014">
        <v>129410</v>
      </c>
      <c r="H1014" s="110"/>
      <c r="I1014" s="110"/>
      <c r="L1014" s="134">
        <v>43495</v>
      </c>
      <c r="M1014" s="110">
        <v>14.1</v>
      </c>
      <c r="N1014" s="110">
        <v>14.95</v>
      </c>
      <c r="O1014" s="110">
        <v>13.5</v>
      </c>
      <c r="P1014" s="110">
        <v>13.5</v>
      </c>
      <c r="Q1014" s="110">
        <v>14.1</v>
      </c>
      <c r="R1014">
        <v>1175168</v>
      </c>
    </row>
    <row r="1015" spans="1:18" x14ac:dyDescent="0.25">
      <c r="A1015" s="134">
        <v>43496</v>
      </c>
      <c r="B1015" s="110">
        <v>15.1</v>
      </c>
      <c r="C1015" s="110">
        <v>14.79</v>
      </c>
      <c r="D1015" s="110">
        <v>14.11</v>
      </c>
      <c r="E1015" s="110">
        <v>14.11</v>
      </c>
      <c r="F1015" s="110">
        <v>14.79</v>
      </c>
      <c r="G1015">
        <v>171349</v>
      </c>
      <c r="H1015" s="110"/>
      <c r="I1015" s="110"/>
      <c r="L1015" s="134">
        <v>43496</v>
      </c>
      <c r="M1015" s="110">
        <v>14.55</v>
      </c>
      <c r="N1015" s="110">
        <v>14.9</v>
      </c>
      <c r="O1015" s="110">
        <v>14.1</v>
      </c>
      <c r="P1015" s="110">
        <v>14.15</v>
      </c>
      <c r="Q1015" s="110">
        <v>14.55</v>
      </c>
      <c r="R1015">
        <v>1118550</v>
      </c>
    </row>
    <row r="1016" spans="1:18" x14ac:dyDescent="0.25">
      <c r="A1016" s="134">
        <v>43497</v>
      </c>
      <c r="B1016" s="110">
        <v>16.93</v>
      </c>
      <c r="C1016" s="110">
        <v>14.96</v>
      </c>
      <c r="D1016" s="110">
        <v>14.48</v>
      </c>
      <c r="E1016" s="110">
        <v>16.899999999999999</v>
      </c>
      <c r="F1016" s="110">
        <v>14.96</v>
      </c>
      <c r="G1016">
        <v>855418</v>
      </c>
      <c r="H1016" s="110"/>
      <c r="I1016" s="110"/>
      <c r="L1016" s="134">
        <v>43497</v>
      </c>
      <c r="M1016" s="110">
        <v>14.85</v>
      </c>
      <c r="N1016" s="110">
        <v>16.600000000000001</v>
      </c>
      <c r="O1016" s="110">
        <v>14.45</v>
      </c>
      <c r="P1016" s="110">
        <v>16.5</v>
      </c>
      <c r="Q1016" s="110">
        <v>14.85</v>
      </c>
      <c r="R1016">
        <v>7376335</v>
      </c>
    </row>
    <row r="1017" spans="1:18" x14ac:dyDescent="0.25">
      <c r="A1017" s="134">
        <v>43500</v>
      </c>
      <c r="B1017" s="110">
        <v>14.96</v>
      </c>
      <c r="C1017" s="110">
        <v>14.2</v>
      </c>
      <c r="D1017" s="110">
        <v>13.85</v>
      </c>
      <c r="E1017" s="110">
        <v>14.96</v>
      </c>
      <c r="F1017" s="110">
        <v>14.2</v>
      </c>
      <c r="G1017">
        <v>205081</v>
      </c>
      <c r="H1017" s="110"/>
      <c r="I1017" s="110"/>
      <c r="L1017" s="134">
        <v>43500</v>
      </c>
      <c r="M1017" s="110">
        <v>14.15</v>
      </c>
      <c r="N1017" s="110">
        <v>14.8</v>
      </c>
      <c r="O1017" s="110">
        <v>13.8</v>
      </c>
      <c r="P1017" s="110">
        <v>14.5</v>
      </c>
      <c r="Q1017" s="110">
        <v>14.15</v>
      </c>
      <c r="R1017">
        <v>926640</v>
      </c>
    </row>
    <row r="1018" spans="1:18" x14ac:dyDescent="0.25">
      <c r="A1018" s="134">
        <v>43501</v>
      </c>
      <c r="B1018" s="110">
        <v>14.2</v>
      </c>
      <c r="C1018" s="110">
        <v>13.64</v>
      </c>
      <c r="D1018" s="110">
        <v>13.56</v>
      </c>
      <c r="E1018" s="110">
        <v>14.02</v>
      </c>
      <c r="F1018" s="110">
        <v>13.64</v>
      </c>
      <c r="G1018">
        <v>116511</v>
      </c>
      <c r="H1018" s="110"/>
      <c r="I1018" s="110"/>
      <c r="L1018" s="134">
        <v>43501</v>
      </c>
      <c r="M1018" s="110">
        <v>13.7</v>
      </c>
      <c r="N1018" s="110">
        <v>14.2</v>
      </c>
      <c r="O1018" s="110">
        <v>13.65</v>
      </c>
      <c r="P1018" s="110">
        <v>14.1</v>
      </c>
      <c r="Q1018" s="110">
        <v>13.7</v>
      </c>
      <c r="R1018">
        <v>490508</v>
      </c>
    </row>
    <row r="1019" spans="1:18" x14ac:dyDescent="0.25">
      <c r="A1019" s="134">
        <v>43502</v>
      </c>
      <c r="B1019" s="110">
        <v>13.86</v>
      </c>
      <c r="C1019" s="110">
        <v>13.72</v>
      </c>
      <c r="D1019" s="110">
        <v>13.5</v>
      </c>
      <c r="E1019" s="110">
        <v>13.64</v>
      </c>
      <c r="F1019" s="110">
        <v>13.72</v>
      </c>
      <c r="G1019">
        <v>54913</v>
      </c>
      <c r="H1019" s="110"/>
      <c r="I1019" s="110"/>
      <c r="L1019" s="134">
        <v>43502</v>
      </c>
      <c r="M1019" s="110">
        <v>13.7</v>
      </c>
      <c r="N1019" s="110">
        <v>13.9</v>
      </c>
      <c r="O1019" s="110">
        <v>13.45</v>
      </c>
      <c r="P1019" s="110">
        <v>13.6</v>
      </c>
      <c r="Q1019" s="110">
        <v>13.7</v>
      </c>
      <c r="R1019">
        <v>450383</v>
      </c>
    </row>
    <row r="1020" spans="1:18" x14ac:dyDescent="0.25">
      <c r="A1020" s="134">
        <v>43503</v>
      </c>
      <c r="B1020" s="110">
        <v>14.03</v>
      </c>
      <c r="C1020" s="110">
        <v>13.7</v>
      </c>
      <c r="D1020" s="110">
        <v>13.61</v>
      </c>
      <c r="E1020" s="110">
        <v>13.61</v>
      </c>
      <c r="F1020" s="110">
        <v>13.7</v>
      </c>
      <c r="G1020">
        <v>60079</v>
      </c>
      <c r="H1020" s="110"/>
      <c r="I1020" s="110"/>
      <c r="L1020" s="134">
        <v>43503</v>
      </c>
      <c r="M1020" s="110">
        <v>13.75</v>
      </c>
      <c r="N1020" s="110">
        <v>14.1</v>
      </c>
      <c r="O1020" s="110">
        <v>13.65</v>
      </c>
      <c r="P1020" s="110">
        <v>13.7</v>
      </c>
      <c r="Q1020" s="110">
        <v>13.75</v>
      </c>
      <c r="R1020">
        <v>499198</v>
      </c>
    </row>
    <row r="1021" spans="1:18" x14ac:dyDescent="0.25">
      <c r="A1021" s="134">
        <v>43504</v>
      </c>
      <c r="B1021" s="110">
        <v>13.9</v>
      </c>
      <c r="C1021" s="110">
        <v>13.52</v>
      </c>
      <c r="D1021" s="110">
        <v>13.42</v>
      </c>
      <c r="E1021" s="110">
        <v>13.71</v>
      </c>
      <c r="F1021" s="110">
        <v>13.52</v>
      </c>
      <c r="G1021">
        <v>47375</v>
      </c>
      <c r="H1021" s="110"/>
      <c r="I1021" s="110"/>
      <c r="L1021" s="134">
        <v>43504</v>
      </c>
      <c r="M1021" s="110">
        <v>13.5</v>
      </c>
      <c r="N1021" s="110">
        <v>13.95</v>
      </c>
      <c r="O1021" s="110">
        <v>13.4</v>
      </c>
      <c r="P1021" s="110">
        <v>13.7</v>
      </c>
      <c r="Q1021" s="110">
        <v>13.5</v>
      </c>
      <c r="R1021">
        <v>434645</v>
      </c>
    </row>
    <row r="1022" spans="1:18" x14ac:dyDescent="0.25">
      <c r="A1022" s="134">
        <v>43507</v>
      </c>
      <c r="B1022" s="110">
        <v>13.5</v>
      </c>
      <c r="C1022" s="110">
        <v>13.35</v>
      </c>
      <c r="D1022" s="110">
        <v>13.22</v>
      </c>
      <c r="E1022" s="110">
        <v>13.5</v>
      </c>
      <c r="F1022" s="110">
        <v>13.35</v>
      </c>
      <c r="G1022">
        <v>219082</v>
      </c>
      <c r="H1022" s="110"/>
      <c r="I1022" s="110"/>
      <c r="L1022" s="134">
        <v>43507</v>
      </c>
      <c r="M1022" s="110">
        <v>13.2</v>
      </c>
      <c r="N1022" s="110">
        <v>13.5</v>
      </c>
      <c r="O1022" s="110">
        <v>13.1</v>
      </c>
      <c r="P1022" s="110">
        <v>13.4</v>
      </c>
      <c r="Q1022" s="110">
        <v>13.2</v>
      </c>
      <c r="R1022">
        <v>348708</v>
      </c>
    </row>
    <row r="1023" spans="1:18" x14ac:dyDescent="0.25">
      <c r="A1023" s="134">
        <v>43508</v>
      </c>
      <c r="B1023" s="110">
        <v>13.29</v>
      </c>
      <c r="C1023" s="110">
        <v>13.01</v>
      </c>
      <c r="D1023" s="110">
        <v>13</v>
      </c>
      <c r="E1023" s="110">
        <v>13.2</v>
      </c>
      <c r="F1023" s="110">
        <v>13.01</v>
      </c>
      <c r="G1023">
        <v>45344</v>
      </c>
      <c r="H1023" s="110"/>
      <c r="I1023" s="110"/>
      <c r="L1023" s="134">
        <v>43508</v>
      </c>
      <c r="M1023" s="110">
        <v>13.05</v>
      </c>
      <c r="N1023" s="110">
        <v>13.25</v>
      </c>
      <c r="O1023" s="110">
        <v>13</v>
      </c>
      <c r="P1023" s="110">
        <v>13.2</v>
      </c>
      <c r="Q1023" s="110">
        <v>13.05</v>
      </c>
      <c r="R1023">
        <v>261124</v>
      </c>
    </row>
    <row r="1024" spans="1:18" x14ac:dyDescent="0.25">
      <c r="A1024" s="134">
        <v>43509</v>
      </c>
      <c r="B1024" s="110">
        <v>13.15</v>
      </c>
      <c r="C1024" s="110">
        <v>13</v>
      </c>
      <c r="D1024" s="110">
        <v>12.9</v>
      </c>
      <c r="E1024" s="110">
        <v>13.05</v>
      </c>
      <c r="F1024" s="110">
        <v>13</v>
      </c>
      <c r="G1024">
        <v>22521</v>
      </c>
      <c r="H1024" s="110"/>
      <c r="I1024" s="110"/>
      <c r="L1024" s="134">
        <v>43509</v>
      </c>
      <c r="M1024" s="110">
        <v>13</v>
      </c>
      <c r="N1024" s="110">
        <v>13.15</v>
      </c>
      <c r="O1024" s="110">
        <v>12.95</v>
      </c>
      <c r="P1024" s="110">
        <v>13.1</v>
      </c>
      <c r="Q1024" s="110">
        <v>13</v>
      </c>
      <c r="R1024">
        <v>228381</v>
      </c>
    </row>
    <row r="1025" spans="1:18" x14ac:dyDescent="0.25">
      <c r="A1025" s="134">
        <v>43510</v>
      </c>
      <c r="B1025" s="110">
        <v>13.1</v>
      </c>
      <c r="C1025" s="110">
        <v>12.89</v>
      </c>
      <c r="D1025" s="110">
        <v>12.81</v>
      </c>
      <c r="E1025" s="110">
        <v>12.9</v>
      </c>
      <c r="F1025" s="110">
        <v>12.89</v>
      </c>
      <c r="G1025">
        <v>46444</v>
      </c>
      <c r="H1025" s="110"/>
      <c r="I1025" s="110"/>
      <c r="L1025" s="134">
        <v>43510</v>
      </c>
      <c r="M1025" s="110">
        <v>12.95</v>
      </c>
      <c r="N1025" s="110">
        <v>13.05</v>
      </c>
      <c r="O1025" s="110">
        <v>12.75</v>
      </c>
      <c r="P1025" s="110">
        <v>12.9</v>
      </c>
      <c r="Q1025" s="110">
        <v>12.95</v>
      </c>
      <c r="R1025">
        <v>462005</v>
      </c>
    </row>
    <row r="1026" spans="1:18" x14ac:dyDescent="0.25">
      <c r="A1026" s="134">
        <v>43511</v>
      </c>
      <c r="B1026" s="110">
        <v>12.94</v>
      </c>
      <c r="C1026" s="110">
        <v>12.77</v>
      </c>
      <c r="D1026" s="110">
        <v>12.5</v>
      </c>
      <c r="E1026" s="110">
        <v>12.5</v>
      </c>
      <c r="F1026" s="110">
        <v>12.77</v>
      </c>
      <c r="G1026">
        <v>48317</v>
      </c>
      <c r="H1026" s="110"/>
      <c r="I1026" s="110"/>
      <c r="L1026" s="134">
        <v>43511</v>
      </c>
      <c r="M1026" s="110">
        <v>12.65</v>
      </c>
      <c r="N1026" s="110">
        <v>12.95</v>
      </c>
      <c r="O1026" s="110">
        <v>12.6</v>
      </c>
      <c r="P1026" s="110">
        <v>12.85</v>
      </c>
      <c r="Q1026" s="110">
        <v>12.65</v>
      </c>
      <c r="R1026">
        <v>308506</v>
      </c>
    </row>
    <row r="1027" spans="1:18" x14ac:dyDescent="0.25">
      <c r="A1027" s="134">
        <v>43514</v>
      </c>
      <c r="B1027" s="110">
        <v>12.5</v>
      </c>
      <c r="C1027" s="110">
        <v>12.37</v>
      </c>
      <c r="D1027" s="110">
        <v>12.26</v>
      </c>
      <c r="E1027" s="110">
        <v>12.5</v>
      </c>
      <c r="F1027" s="110">
        <v>12.37</v>
      </c>
      <c r="G1027">
        <v>30780</v>
      </c>
      <c r="H1027" s="110"/>
      <c r="I1027" s="110"/>
      <c r="L1027" s="134">
        <v>43514</v>
      </c>
      <c r="M1027" s="110">
        <v>12.35</v>
      </c>
      <c r="N1027" s="110">
        <v>12.5</v>
      </c>
      <c r="O1027" s="110">
        <v>12.25</v>
      </c>
      <c r="P1027" s="110">
        <v>12.3</v>
      </c>
      <c r="Q1027" s="110">
        <v>12.35</v>
      </c>
      <c r="R1027">
        <v>405614</v>
      </c>
    </row>
    <row r="1028" spans="1:18" x14ac:dyDescent="0.25">
      <c r="A1028" s="134">
        <v>43515</v>
      </c>
      <c r="B1028" s="110">
        <v>12.41</v>
      </c>
      <c r="C1028" s="110">
        <v>12.27</v>
      </c>
      <c r="D1028" s="110">
        <v>12.16</v>
      </c>
      <c r="E1028" s="110">
        <v>12.35</v>
      </c>
      <c r="F1028" s="110">
        <v>12.27</v>
      </c>
      <c r="G1028">
        <v>81935</v>
      </c>
      <c r="H1028" s="110"/>
      <c r="I1028" s="110"/>
      <c r="L1028" s="134">
        <v>43515</v>
      </c>
      <c r="M1028" s="110">
        <v>12.3</v>
      </c>
      <c r="N1028" s="110">
        <v>12.4</v>
      </c>
      <c r="O1028" s="110">
        <v>12.05</v>
      </c>
      <c r="P1028" s="110">
        <v>12.25</v>
      </c>
      <c r="Q1028" s="110">
        <v>12.3</v>
      </c>
      <c r="R1028">
        <v>374882</v>
      </c>
    </row>
    <row r="1029" spans="1:18" x14ac:dyDescent="0.25">
      <c r="A1029" s="134">
        <v>43516</v>
      </c>
      <c r="B1029" s="110">
        <v>12.63</v>
      </c>
      <c r="C1029" s="110">
        <v>12.36</v>
      </c>
      <c r="D1029" s="110">
        <v>12.25</v>
      </c>
      <c r="E1029" s="110">
        <v>12.25</v>
      </c>
      <c r="F1029" s="110">
        <v>12.36</v>
      </c>
      <c r="G1029">
        <v>95294</v>
      </c>
      <c r="H1029" s="110"/>
      <c r="I1029" s="110"/>
      <c r="L1029" s="134">
        <v>43516</v>
      </c>
      <c r="M1029" s="110">
        <v>12.3</v>
      </c>
      <c r="N1029" s="110">
        <v>12.6</v>
      </c>
      <c r="O1029" s="110">
        <v>12.2</v>
      </c>
      <c r="P1029" s="110">
        <v>12.35</v>
      </c>
      <c r="Q1029" s="110">
        <v>12.3</v>
      </c>
      <c r="R1029">
        <v>778014</v>
      </c>
    </row>
    <row r="1030" spans="1:18" x14ac:dyDescent="0.25">
      <c r="A1030" s="134">
        <v>43517</v>
      </c>
      <c r="B1030" s="110">
        <v>13.7</v>
      </c>
      <c r="C1030" s="110">
        <v>12.85</v>
      </c>
      <c r="D1030" s="110">
        <v>12.73</v>
      </c>
      <c r="E1030" s="110">
        <v>13</v>
      </c>
      <c r="F1030" s="110">
        <v>12.85</v>
      </c>
      <c r="G1030">
        <v>221850</v>
      </c>
      <c r="H1030" s="110"/>
      <c r="I1030" s="110"/>
      <c r="L1030" s="134">
        <v>43517</v>
      </c>
      <c r="M1030" s="110">
        <v>12.9</v>
      </c>
      <c r="N1030" s="110">
        <v>13.95</v>
      </c>
      <c r="O1030" s="110">
        <v>12.7</v>
      </c>
      <c r="P1030" s="110">
        <v>13</v>
      </c>
      <c r="Q1030" s="110">
        <v>12.9</v>
      </c>
      <c r="R1030">
        <v>1293773</v>
      </c>
    </row>
    <row r="1031" spans="1:18" x14ac:dyDescent="0.25">
      <c r="A1031" s="134">
        <v>43518</v>
      </c>
      <c r="B1031" s="110">
        <v>12.9</v>
      </c>
      <c r="C1031" s="110">
        <v>12.73</v>
      </c>
      <c r="D1031" s="110">
        <v>12.5</v>
      </c>
      <c r="E1031" s="110">
        <v>12.5</v>
      </c>
      <c r="F1031" s="110">
        <v>12.73</v>
      </c>
      <c r="G1031">
        <v>76782</v>
      </c>
      <c r="H1031" s="110"/>
      <c r="I1031" s="110"/>
      <c r="L1031" s="134">
        <v>43518</v>
      </c>
      <c r="M1031" s="110">
        <v>12.7</v>
      </c>
      <c r="N1031" s="110">
        <v>12.9</v>
      </c>
      <c r="O1031" s="110">
        <v>12.6</v>
      </c>
      <c r="P1031" s="110">
        <v>12.9</v>
      </c>
      <c r="Q1031" s="110">
        <v>12.7</v>
      </c>
      <c r="R1031">
        <v>431293</v>
      </c>
    </row>
    <row r="1032" spans="1:18" x14ac:dyDescent="0.25">
      <c r="A1032" s="134">
        <v>43521</v>
      </c>
      <c r="B1032" s="110">
        <v>13.06</v>
      </c>
      <c r="C1032" s="110">
        <v>12.96</v>
      </c>
      <c r="D1032" s="110">
        <v>12.73</v>
      </c>
      <c r="E1032" s="110">
        <v>12.73</v>
      </c>
      <c r="F1032" s="110">
        <v>12.96</v>
      </c>
      <c r="G1032">
        <v>47201</v>
      </c>
      <c r="H1032" s="110"/>
      <c r="I1032" s="110"/>
      <c r="L1032" s="134">
        <v>43521</v>
      </c>
      <c r="M1032" s="110">
        <v>12.95</v>
      </c>
      <c r="N1032" s="110">
        <v>13</v>
      </c>
      <c r="O1032" s="110">
        <v>12.6</v>
      </c>
      <c r="P1032" s="110">
        <v>12.6</v>
      </c>
      <c r="Q1032" s="110">
        <v>12.95</v>
      </c>
      <c r="R1032">
        <v>342318</v>
      </c>
    </row>
    <row r="1033" spans="1:18" x14ac:dyDescent="0.25">
      <c r="A1033" s="134">
        <v>43522</v>
      </c>
      <c r="B1033" s="110">
        <v>13.45</v>
      </c>
      <c r="C1033" s="110">
        <v>12.79</v>
      </c>
      <c r="D1033" s="110">
        <v>12.5</v>
      </c>
      <c r="E1033" s="110">
        <v>12.93</v>
      </c>
      <c r="F1033" s="110">
        <v>12.79</v>
      </c>
      <c r="G1033">
        <v>114732</v>
      </c>
      <c r="H1033" s="110"/>
      <c r="I1033" s="110"/>
      <c r="L1033" s="134">
        <v>43522</v>
      </c>
      <c r="M1033" s="110">
        <v>12.85</v>
      </c>
      <c r="N1033" s="110">
        <v>13.4</v>
      </c>
      <c r="O1033" s="110">
        <v>12.6</v>
      </c>
      <c r="P1033" s="110">
        <v>12.8</v>
      </c>
      <c r="Q1033" s="110">
        <v>12.85</v>
      </c>
      <c r="R1033">
        <v>631755</v>
      </c>
    </row>
    <row r="1034" spans="1:18" x14ac:dyDescent="0.25">
      <c r="A1034" s="134">
        <v>43523</v>
      </c>
      <c r="B1034" s="110">
        <v>13.15</v>
      </c>
      <c r="C1034" s="110">
        <v>12.84</v>
      </c>
      <c r="D1034" s="110">
        <v>12.75</v>
      </c>
      <c r="E1034" s="110">
        <v>12.85</v>
      </c>
      <c r="F1034" s="110">
        <v>12.84</v>
      </c>
      <c r="G1034">
        <v>62345</v>
      </c>
      <c r="H1034" s="110"/>
      <c r="I1034" s="110"/>
      <c r="L1034" s="134">
        <v>43523</v>
      </c>
      <c r="M1034" s="110">
        <v>12.85</v>
      </c>
      <c r="N1034" s="110">
        <v>13.25</v>
      </c>
      <c r="O1034" s="110">
        <v>12.8</v>
      </c>
      <c r="P1034" s="110">
        <v>13.25</v>
      </c>
      <c r="Q1034" s="110">
        <v>12.85</v>
      </c>
      <c r="R1034">
        <v>410882</v>
      </c>
    </row>
    <row r="1035" spans="1:18" x14ac:dyDescent="0.25">
      <c r="A1035" s="134">
        <v>43524</v>
      </c>
      <c r="B1035" s="110">
        <v>12.9</v>
      </c>
      <c r="C1035" s="110">
        <v>12.81</v>
      </c>
      <c r="D1035" s="110">
        <v>12.56</v>
      </c>
      <c r="E1035" s="110">
        <v>12.9</v>
      </c>
      <c r="F1035" s="110">
        <v>12.81</v>
      </c>
      <c r="G1035">
        <v>83817</v>
      </c>
      <c r="H1035" s="110"/>
      <c r="I1035" s="110"/>
      <c r="L1035" s="134">
        <v>43524</v>
      </c>
      <c r="M1035" s="110">
        <v>12.75</v>
      </c>
      <c r="N1035" s="110">
        <v>12.95</v>
      </c>
      <c r="O1035" s="110">
        <v>12.5</v>
      </c>
      <c r="P1035" s="110">
        <v>12.95</v>
      </c>
      <c r="Q1035" s="110">
        <v>12.75</v>
      </c>
      <c r="R1035">
        <v>356263</v>
      </c>
    </row>
    <row r="1036" spans="1:18" x14ac:dyDescent="0.25">
      <c r="A1036" s="134">
        <v>43525</v>
      </c>
      <c r="B1036" s="110">
        <v>13.1</v>
      </c>
      <c r="C1036" s="110">
        <v>12.98</v>
      </c>
      <c r="D1036" s="110">
        <v>12.8</v>
      </c>
      <c r="E1036" s="110">
        <v>12.81</v>
      </c>
      <c r="F1036" s="110">
        <v>12.98</v>
      </c>
      <c r="G1036">
        <v>70719</v>
      </c>
      <c r="H1036" s="110"/>
      <c r="I1036" s="110"/>
      <c r="L1036" s="134">
        <v>43525</v>
      </c>
      <c r="M1036" s="110">
        <v>13</v>
      </c>
      <c r="N1036" s="110">
        <v>13.05</v>
      </c>
      <c r="O1036" s="110">
        <v>12.7</v>
      </c>
      <c r="P1036" s="110">
        <v>12.75</v>
      </c>
      <c r="Q1036" s="110">
        <v>13</v>
      </c>
      <c r="R1036">
        <v>623784</v>
      </c>
    </row>
    <row r="1037" spans="1:18" x14ac:dyDescent="0.25">
      <c r="A1037" s="134">
        <v>43529</v>
      </c>
      <c r="B1037" s="110">
        <v>13.49</v>
      </c>
      <c r="C1037" s="110">
        <v>13.38</v>
      </c>
      <c r="D1037" s="110">
        <v>12.96</v>
      </c>
      <c r="E1037" s="110">
        <v>13</v>
      </c>
      <c r="F1037" s="110">
        <v>13.38</v>
      </c>
      <c r="G1037">
        <v>135433</v>
      </c>
      <c r="H1037" s="110"/>
      <c r="I1037" s="110"/>
      <c r="L1037" s="134">
        <v>43529</v>
      </c>
      <c r="M1037" s="110">
        <v>13.4</v>
      </c>
      <c r="N1037" s="110">
        <v>13.5</v>
      </c>
      <c r="O1037" s="110">
        <v>12.95</v>
      </c>
      <c r="P1037" s="110">
        <v>13</v>
      </c>
      <c r="Q1037" s="110">
        <v>13.4</v>
      </c>
      <c r="R1037">
        <v>869228</v>
      </c>
    </row>
    <row r="1038" spans="1:18" x14ac:dyDescent="0.25">
      <c r="A1038" s="134">
        <v>43530</v>
      </c>
      <c r="B1038" s="110">
        <v>13.98</v>
      </c>
      <c r="C1038" s="110">
        <v>13.39</v>
      </c>
      <c r="D1038" s="110">
        <v>13.32</v>
      </c>
      <c r="E1038" s="110">
        <v>13.98</v>
      </c>
      <c r="F1038" s="110">
        <v>13.39</v>
      </c>
      <c r="G1038">
        <v>67010</v>
      </c>
      <c r="H1038" s="110"/>
      <c r="I1038" s="110"/>
      <c r="L1038" s="134">
        <v>43530</v>
      </c>
      <c r="M1038" s="110">
        <v>13.4</v>
      </c>
      <c r="N1038" s="110">
        <v>13.6</v>
      </c>
      <c r="O1038" s="110">
        <v>13.25</v>
      </c>
      <c r="P1038" s="110">
        <v>13.4</v>
      </c>
      <c r="Q1038" s="110">
        <v>13.4</v>
      </c>
      <c r="R1038">
        <v>463946</v>
      </c>
    </row>
    <row r="1039" spans="1:18" x14ac:dyDescent="0.25">
      <c r="A1039" s="134">
        <v>43531</v>
      </c>
      <c r="B1039" s="110">
        <v>13.55</v>
      </c>
      <c r="C1039" s="110">
        <v>13.34</v>
      </c>
      <c r="D1039" s="110">
        <v>13.25</v>
      </c>
      <c r="E1039" s="110">
        <v>13.38</v>
      </c>
      <c r="F1039" s="110">
        <v>13.34</v>
      </c>
      <c r="G1039">
        <v>130454</v>
      </c>
      <c r="H1039" s="110"/>
      <c r="I1039" s="110"/>
      <c r="L1039" s="134">
        <v>43531</v>
      </c>
      <c r="M1039" s="110">
        <v>13.3</v>
      </c>
      <c r="N1039" s="110">
        <v>13.65</v>
      </c>
      <c r="O1039" s="110">
        <v>13.25</v>
      </c>
      <c r="P1039" s="110">
        <v>13.35</v>
      </c>
      <c r="Q1039" s="110">
        <v>13.3</v>
      </c>
      <c r="R1039">
        <v>607745</v>
      </c>
    </row>
    <row r="1040" spans="1:18" x14ac:dyDescent="0.25">
      <c r="A1040" s="134">
        <v>43532</v>
      </c>
      <c r="B1040" s="110">
        <v>13.33</v>
      </c>
      <c r="C1040" s="110">
        <v>13.01</v>
      </c>
      <c r="D1040" s="110">
        <v>12.8</v>
      </c>
      <c r="E1040" s="110">
        <v>13.32</v>
      </c>
      <c r="F1040" s="110">
        <v>13.01</v>
      </c>
      <c r="G1040">
        <v>79480</v>
      </c>
      <c r="H1040" s="110"/>
      <c r="I1040" s="110"/>
      <c r="L1040" s="134">
        <v>43532</v>
      </c>
      <c r="M1040" s="110">
        <v>13.05</v>
      </c>
      <c r="N1040" s="110">
        <v>13.3</v>
      </c>
      <c r="O1040" s="110">
        <v>12.3</v>
      </c>
      <c r="P1040" s="110">
        <v>13.25</v>
      </c>
      <c r="Q1040" s="110">
        <v>13.05</v>
      </c>
      <c r="R1040">
        <v>524512</v>
      </c>
    </row>
    <row r="1041" spans="1:18" x14ac:dyDescent="0.25">
      <c r="A1041" s="134">
        <v>43535</v>
      </c>
      <c r="B1041" s="110">
        <v>13.45</v>
      </c>
      <c r="C1041" s="110">
        <v>13.4</v>
      </c>
      <c r="D1041" s="110">
        <v>13</v>
      </c>
      <c r="E1041" s="110">
        <v>13</v>
      </c>
      <c r="F1041" s="110">
        <v>13.4</v>
      </c>
      <c r="G1041">
        <v>68726</v>
      </c>
      <c r="H1041" s="110"/>
      <c r="I1041" s="110"/>
      <c r="L1041" s="134">
        <v>43535</v>
      </c>
      <c r="M1041" s="110">
        <v>13.4</v>
      </c>
      <c r="N1041" s="110">
        <v>13.5</v>
      </c>
      <c r="O1041" s="110">
        <v>12.95</v>
      </c>
      <c r="P1041" s="110">
        <v>13</v>
      </c>
      <c r="Q1041" s="110">
        <v>13.4</v>
      </c>
      <c r="R1041">
        <v>541042</v>
      </c>
    </row>
    <row r="1042" spans="1:18" x14ac:dyDescent="0.25">
      <c r="A1042" s="134">
        <v>43536</v>
      </c>
      <c r="B1042" s="110">
        <v>13.91</v>
      </c>
      <c r="C1042" s="110">
        <v>13.48</v>
      </c>
      <c r="D1042" s="110">
        <v>13.41</v>
      </c>
      <c r="E1042" s="110">
        <v>13.91</v>
      </c>
      <c r="F1042" s="110">
        <v>13.48</v>
      </c>
      <c r="G1042">
        <v>32723</v>
      </c>
      <c r="H1042" s="110"/>
      <c r="I1042" s="110"/>
      <c r="L1042" s="134">
        <v>43536</v>
      </c>
      <c r="M1042" s="110">
        <v>13.45</v>
      </c>
      <c r="N1042" s="110">
        <v>13.85</v>
      </c>
      <c r="O1042" s="110">
        <v>13.4</v>
      </c>
      <c r="P1042" s="110">
        <v>13.55</v>
      </c>
      <c r="Q1042" s="110">
        <v>13.45</v>
      </c>
      <c r="R1042">
        <v>784324</v>
      </c>
    </row>
    <row r="1043" spans="1:18" x14ac:dyDescent="0.25">
      <c r="A1043" s="134">
        <v>43537</v>
      </c>
      <c r="B1043" s="110">
        <v>13.48</v>
      </c>
      <c r="C1043" s="110">
        <v>13.33</v>
      </c>
      <c r="D1043" s="110">
        <v>13</v>
      </c>
      <c r="E1043" s="110">
        <v>13.48</v>
      </c>
      <c r="F1043" s="110">
        <v>13.33</v>
      </c>
      <c r="G1043">
        <v>78692</v>
      </c>
      <c r="H1043" s="110"/>
      <c r="I1043" s="110"/>
      <c r="L1043" s="134">
        <v>43537</v>
      </c>
      <c r="M1043" s="110">
        <v>13.35</v>
      </c>
      <c r="N1043" s="110">
        <v>13.45</v>
      </c>
      <c r="O1043" s="110">
        <v>13.2</v>
      </c>
      <c r="P1043" s="110">
        <v>13.45</v>
      </c>
      <c r="Q1043" s="110">
        <v>13.35</v>
      </c>
      <c r="R1043">
        <v>526281</v>
      </c>
    </row>
    <row r="1044" spans="1:18" x14ac:dyDescent="0.25">
      <c r="A1044" s="134">
        <v>43538</v>
      </c>
      <c r="B1044" s="110">
        <v>13.65</v>
      </c>
      <c r="C1044" s="110">
        <v>13.43</v>
      </c>
      <c r="D1044" s="110">
        <v>13.34</v>
      </c>
      <c r="E1044" s="110">
        <v>13.4</v>
      </c>
      <c r="F1044" s="110">
        <v>13.43</v>
      </c>
      <c r="G1044">
        <v>23204</v>
      </c>
      <c r="H1044" s="110"/>
      <c r="I1044" s="110"/>
      <c r="L1044" s="134">
        <v>43538</v>
      </c>
      <c r="M1044" s="110">
        <v>13.4</v>
      </c>
      <c r="N1044" s="110">
        <v>13.7</v>
      </c>
      <c r="O1044" s="110">
        <v>13.35</v>
      </c>
      <c r="P1044" s="110">
        <v>13.45</v>
      </c>
      <c r="Q1044" s="110">
        <v>13.4</v>
      </c>
      <c r="R1044">
        <v>365874</v>
      </c>
    </row>
    <row r="1045" spans="1:18" x14ac:dyDescent="0.25">
      <c r="A1045" s="134">
        <v>43539</v>
      </c>
      <c r="B1045" s="110">
        <v>13.55</v>
      </c>
      <c r="C1045" s="110">
        <v>13.36</v>
      </c>
      <c r="D1045" s="110">
        <v>13</v>
      </c>
      <c r="E1045" s="110">
        <v>13.39</v>
      </c>
      <c r="F1045" s="110">
        <v>13.36</v>
      </c>
      <c r="G1045">
        <v>106360</v>
      </c>
      <c r="H1045" s="110"/>
      <c r="I1045" s="110"/>
      <c r="L1045" s="134">
        <v>43539</v>
      </c>
      <c r="M1045" s="110">
        <v>13.4</v>
      </c>
      <c r="N1045" s="110">
        <v>13.6</v>
      </c>
      <c r="O1045" s="110">
        <v>13.3</v>
      </c>
      <c r="P1045" s="110">
        <v>13.5</v>
      </c>
      <c r="Q1045" s="110">
        <v>13.4</v>
      </c>
      <c r="R1045">
        <v>525762</v>
      </c>
    </row>
    <row r="1046" spans="1:18" x14ac:dyDescent="0.25">
      <c r="A1046" s="134">
        <v>43542</v>
      </c>
      <c r="B1046" s="110">
        <v>13.4</v>
      </c>
      <c r="C1046" s="110">
        <v>13.32</v>
      </c>
      <c r="D1046" s="110">
        <v>13.2</v>
      </c>
      <c r="E1046" s="110">
        <v>13.36</v>
      </c>
      <c r="F1046" s="110">
        <v>13.32</v>
      </c>
      <c r="G1046">
        <v>98670</v>
      </c>
      <c r="H1046" s="110"/>
      <c r="I1046" s="110"/>
      <c r="L1046" s="134">
        <v>43542</v>
      </c>
      <c r="M1046" s="110">
        <v>13.3</v>
      </c>
      <c r="N1046" s="110">
        <v>13.5</v>
      </c>
      <c r="O1046" s="110">
        <v>13</v>
      </c>
      <c r="P1046" s="110">
        <v>13.4</v>
      </c>
      <c r="Q1046" s="110">
        <v>13.3</v>
      </c>
      <c r="R1046">
        <v>415490</v>
      </c>
    </row>
    <row r="1047" spans="1:18" x14ac:dyDescent="0.25">
      <c r="A1047" s="134">
        <v>43543</v>
      </c>
      <c r="B1047" s="110">
        <v>13.73</v>
      </c>
      <c r="C1047" s="110">
        <v>13.42</v>
      </c>
      <c r="D1047" s="110">
        <v>13.33</v>
      </c>
      <c r="E1047" s="110">
        <v>13.4</v>
      </c>
      <c r="F1047" s="110">
        <v>13.42</v>
      </c>
      <c r="G1047">
        <v>168588</v>
      </c>
      <c r="H1047" s="110"/>
      <c r="I1047" s="110"/>
      <c r="L1047" s="134">
        <v>43543</v>
      </c>
      <c r="M1047" s="110">
        <v>13.45</v>
      </c>
      <c r="N1047" s="110">
        <v>13.75</v>
      </c>
      <c r="O1047" s="110">
        <v>13.35</v>
      </c>
      <c r="P1047" s="110">
        <v>13.5</v>
      </c>
      <c r="Q1047" s="110">
        <v>13.45</v>
      </c>
      <c r="R1047">
        <v>980324</v>
      </c>
    </row>
    <row r="1048" spans="1:18" x14ac:dyDescent="0.25">
      <c r="A1048" s="134">
        <v>43544</v>
      </c>
      <c r="B1048" s="110">
        <v>13.68</v>
      </c>
      <c r="C1048" s="110">
        <v>13.54</v>
      </c>
      <c r="D1048" s="110">
        <v>13.43</v>
      </c>
      <c r="E1048" s="110">
        <v>13.43</v>
      </c>
      <c r="F1048" s="110">
        <v>13.54</v>
      </c>
      <c r="G1048">
        <v>71394</v>
      </c>
      <c r="H1048" s="110"/>
      <c r="I1048" s="110"/>
      <c r="L1048" s="134">
        <v>43544</v>
      </c>
      <c r="M1048" s="110">
        <v>13.5</v>
      </c>
      <c r="N1048" s="110">
        <v>13.7</v>
      </c>
      <c r="O1048" s="110">
        <v>13.4</v>
      </c>
      <c r="P1048" s="110">
        <v>13.4</v>
      </c>
      <c r="Q1048" s="110">
        <v>13.5</v>
      </c>
      <c r="R1048">
        <v>421477</v>
      </c>
    </row>
    <row r="1049" spans="1:18" x14ac:dyDescent="0.25">
      <c r="A1049" s="134">
        <v>43546</v>
      </c>
      <c r="B1049" s="110">
        <v>13.65</v>
      </c>
      <c r="C1049" s="110">
        <v>13.42</v>
      </c>
      <c r="D1049" s="110">
        <v>13.4</v>
      </c>
      <c r="E1049" s="110">
        <v>13.65</v>
      </c>
      <c r="F1049" s="110">
        <v>13.42</v>
      </c>
      <c r="G1049">
        <v>50966</v>
      </c>
      <c r="H1049" s="110"/>
      <c r="I1049" s="110"/>
      <c r="L1049" s="134">
        <v>43546</v>
      </c>
      <c r="M1049" s="110">
        <v>13.4</v>
      </c>
      <c r="N1049" s="110">
        <v>13.55</v>
      </c>
      <c r="O1049" s="110">
        <v>13.35</v>
      </c>
      <c r="P1049" s="110">
        <v>13.55</v>
      </c>
      <c r="Q1049" s="110">
        <v>13.4</v>
      </c>
      <c r="R1049">
        <v>248287</v>
      </c>
    </row>
    <row r="1050" spans="1:18" x14ac:dyDescent="0.25">
      <c r="A1050" s="134">
        <v>43549</v>
      </c>
      <c r="B1050" s="110">
        <v>13.29</v>
      </c>
      <c r="C1050" s="110">
        <v>13.15</v>
      </c>
      <c r="D1050" s="110">
        <v>13.12</v>
      </c>
      <c r="E1050" s="110">
        <v>13.16</v>
      </c>
      <c r="F1050" s="110">
        <v>13.15</v>
      </c>
      <c r="G1050">
        <v>22315</v>
      </c>
      <c r="H1050" s="110"/>
      <c r="I1050" s="110"/>
      <c r="L1050" s="134">
        <v>43549</v>
      </c>
      <c r="M1050" s="110">
        <v>13.2</v>
      </c>
      <c r="N1050" s="110">
        <v>13.3</v>
      </c>
      <c r="O1050" s="110">
        <v>13.05</v>
      </c>
      <c r="P1050" s="110">
        <v>13.25</v>
      </c>
      <c r="Q1050" s="110">
        <v>13.2</v>
      </c>
      <c r="R1050">
        <v>262171</v>
      </c>
    </row>
    <row r="1051" spans="1:18" x14ac:dyDescent="0.25">
      <c r="A1051" s="134">
        <v>43550</v>
      </c>
      <c r="B1051" s="110">
        <v>13.5</v>
      </c>
      <c r="C1051" s="110">
        <v>13.32</v>
      </c>
      <c r="D1051" s="110">
        <v>13.13</v>
      </c>
      <c r="E1051" s="110">
        <v>13.14</v>
      </c>
      <c r="F1051" s="110">
        <v>13.32</v>
      </c>
      <c r="G1051">
        <v>29495</v>
      </c>
      <c r="H1051" s="110"/>
      <c r="I1051" s="110"/>
      <c r="L1051" s="134">
        <v>43550</v>
      </c>
      <c r="M1051" s="110">
        <v>13.35</v>
      </c>
      <c r="N1051" s="110">
        <v>13.55</v>
      </c>
      <c r="O1051" s="110">
        <v>13.15</v>
      </c>
      <c r="P1051" s="110">
        <v>13.15</v>
      </c>
      <c r="Q1051" s="110">
        <v>13.35</v>
      </c>
      <c r="R1051">
        <v>376777</v>
      </c>
    </row>
    <row r="1052" spans="1:18" x14ac:dyDescent="0.25">
      <c r="A1052" s="134">
        <v>43551</v>
      </c>
      <c r="B1052" s="110">
        <v>13.55</v>
      </c>
      <c r="C1052" s="110">
        <v>13.27</v>
      </c>
      <c r="D1052" s="110">
        <v>13.2</v>
      </c>
      <c r="E1052" s="110">
        <v>13.45</v>
      </c>
      <c r="F1052" s="110">
        <v>13.27</v>
      </c>
      <c r="G1052">
        <v>39755</v>
      </c>
      <c r="H1052" s="110"/>
      <c r="I1052" s="110"/>
      <c r="L1052" s="134">
        <v>43551</v>
      </c>
      <c r="M1052" s="110">
        <v>13.3</v>
      </c>
      <c r="N1052" s="110">
        <v>13.55</v>
      </c>
      <c r="O1052" s="110">
        <v>13.25</v>
      </c>
      <c r="P1052" s="110">
        <v>13.35</v>
      </c>
      <c r="Q1052" s="110">
        <v>13.3</v>
      </c>
      <c r="R1052">
        <v>417515</v>
      </c>
    </row>
    <row r="1053" spans="1:18" x14ac:dyDescent="0.25">
      <c r="A1053" s="134">
        <v>43552</v>
      </c>
      <c r="B1053" s="110">
        <v>13.69</v>
      </c>
      <c r="C1053" s="110">
        <v>13.61</v>
      </c>
      <c r="D1053" s="110">
        <v>13.28</v>
      </c>
      <c r="E1053" s="110">
        <v>13.28</v>
      </c>
      <c r="F1053" s="110">
        <v>13.61</v>
      </c>
      <c r="G1053">
        <v>83723</v>
      </c>
      <c r="H1053" s="110"/>
      <c r="I1053" s="110"/>
      <c r="L1053" s="134">
        <v>43552</v>
      </c>
      <c r="M1053" s="110">
        <v>13.6</v>
      </c>
      <c r="N1053" s="110">
        <v>13.7</v>
      </c>
      <c r="O1053" s="110">
        <v>13.35</v>
      </c>
      <c r="P1053" s="110">
        <v>13.45</v>
      </c>
      <c r="Q1053" s="110">
        <v>13.6</v>
      </c>
      <c r="R1053">
        <v>944023</v>
      </c>
    </row>
    <row r="1054" spans="1:18" x14ac:dyDescent="0.25">
      <c r="A1054" s="134">
        <v>43553</v>
      </c>
      <c r="B1054" s="110">
        <v>13.98</v>
      </c>
      <c r="C1054" s="110">
        <v>13.69</v>
      </c>
      <c r="D1054" s="110">
        <v>13.6</v>
      </c>
      <c r="E1054" s="110">
        <v>13.98</v>
      </c>
      <c r="F1054" s="110">
        <v>13.69</v>
      </c>
      <c r="G1054">
        <v>78946</v>
      </c>
      <c r="H1054" s="110"/>
      <c r="I1054" s="110"/>
      <c r="L1054" s="134">
        <v>43553</v>
      </c>
      <c r="M1054" s="110">
        <v>13.75</v>
      </c>
      <c r="N1054" s="110">
        <v>13.9</v>
      </c>
      <c r="O1054" s="110">
        <v>13.55</v>
      </c>
      <c r="P1054" s="110">
        <v>13.7</v>
      </c>
      <c r="Q1054" s="110">
        <v>13.75</v>
      </c>
      <c r="R1054">
        <v>735885</v>
      </c>
    </row>
    <row r="1055" spans="1:18" x14ac:dyDescent="0.25">
      <c r="A1055" s="134">
        <v>43556</v>
      </c>
      <c r="B1055" s="110">
        <v>14.72</v>
      </c>
      <c r="C1055" s="110">
        <v>14.34</v>
      </c>
      <c r="D1055" s="110">
        <v>13.74</v>
      </c>
      <c r="E1055" s="110">
        <v>14.1</v>
      </c>
      <c r="F1055" s="110">
        <v>14.34</v>
      </c>
      <c r="G1055">
        <v>396724</v>
      </c>
      <c r="H1055" s="110"/>
      <c r="I1055" s="110"/>
      <c r="L1055" s="134">
        <v>43556</v>
      </c>
      <c r="M1055" s="110">
        <v>14.3</v>
      </c>
      <c r="N1055" s="110">
        <v>14.7</v>
      </c>
      <c r="O1055" s="110">
        <v>13.8</v>
      </c>
      <c r="P1055" s="110">
        <v>13.85</v>
      </c>
      <c r="Q1055" s="110">
        <v>14.3</v>
      </c>
      <c r="R1055">
        <v>2084132</v>
      </c>
    </row>
    <row r="1056" spans="1:18" x14ac:dyDescent="0.25">
      <c r="A1056" s="134">
        <v>43557</v>
      </c>
      <c r="B1056" s="110">
        <v>14.71</v>
      </c>
      <c r="C1056" s="110">
        <v>14.17</v>
      </c>
      <c r="D1056" s="110">
        <v>13.75</v>
      </c>
      <c r="E1056" s="110">
        <v>14.4</v>
      </c>
      <c r="F1056" s="110">
        <v>14.17</v>
      </c>
      <c r="G1056">
        <v>176458</v>
      </c>
      <c r="H1056" s="110"/>
      <c r="I1056" s="110"/>
      <c r="L1056" s="134">
        <v>43557</v>
      </c>
      <c r="M1056" s="110">
        <v>14.25</v>
      </c>
      <c r="N1056" s="110">
        <v>14.6</v>
      </c>
      <c r="O1056" s="110">
        <v>14.15</v>
      </c>
      <c r="P1056" s="110">
        <v>14.3</v>
      </c>
      <c r="Q1056" s="110">
        <v>14.25</v>
      </c>
      <c r="R1056">
        <v>977810</v>
      </c>
    </row>
    <row r="1057" spans="1:18" x14ac:dyDescent="0.25">
      <c r="A1057" s="134">
        <v>43558</v>
      </c>
      <c r="B1057" s="110">
        <v>14.4</v>
      </c>
      <c r="C1057" s="110">
        <v>13.95</v>
      </c>
      <c r="D1057" s="110">
        <v>13.91</v>
      </c>
      <c r="E1057" s="110">
        <v>14.19</v>
      </c>
      <c r="F1057" s="110">
        <v>13.95</v>
      </c>
      <c r="G1057">
        <v>67166</v>
      </c>
      <c r="H1057" s="110"/>
      <c r="I1057" s="110"/>
      <c r="L1057" s="134">
        <v>43558</v>
      </c>
      <c r="M1057" s="110">
        <v>14</v>
      </c>
      <c r="N1057" s="110">
        <v>14.45</v>
      </c>
      <c r="O1057" s="110">
        <v>13.9</v>
      </c>
      <c r="P1057" s="110">
        <v>14.35</v>
      </c>
      <c r="Q1057" s="110">
        <v>14</v>
      </c>
      <c r="R1057">
        <v>698708</v>
      </c>
    </row>
    <row r="1058" spans="1:18" x14ac:dyDescent="0.25">
      <c r="A1058" s="134">
        <v>43559</v>
      </c>
      <c r="B1058" s="110">
        <v>14.06</v>
      </c>
      <c r="C1058" s="110">
        <v>13.83</v>
      </c>
      <c r="D1058" s="110">
        <v>13.8</v>
      </c>
      <c r="E1058" s="110">
        <v>13.95</v>
      </c>
      <c r="F1058" s="110">
        <v>13.83</v>
      </c>
      <c r="G1058">
        <v>42007</v>
      </c>
      <c r="H1058" s="110"/>
      <c r="I1058" s="110"/>
      <c r="L1058" s="134">
        <v>43559</v>
      </c>
      <c r="M1058" s="110">
        <v>13.9</v>
      </c>
      <c r="N1058" s="110">
        <v>14.1</v>
      </c>
      <c r="O1058" s="110">
        <v>13.85</v>
      </c>
      <c r="P1058" s="110">
        <v>14</v>
      </c>
      <c r="Q1058" s="110">
        <v>13.9</v>
      </c>
      <c r="R1058">
        <v>344092</v>
      </c>
    </row>
    <row r="1059" spans="1:18" x14ac:dyDescent="0.25">
      <c r="A1059" s="134">
        <v>43560</v>
      </c>
      <c r="B1059" s="110">
        <v>14.2</v>
      </c>
      <c r="C1059" s="110">
        <v>14.06</v>
      </c>
      <c r="D1059" s="110">
        <v>13.83</v>
      </c>
      <c r="E1059" s="110">
        <v>13.83</v>
      </c>
      <c r="F1059" s="110">
        <v>14.06</v>
      </c>
      <c r="G1059">
        <v>69846</v>
      </c>
      <c r="H1059" s="110"/>
      <c r="I1059" s="110"/>
      <c r="L1059" s="134">
        <v>43560</v>
      </c>
      <c r="M1059" s="110">
        <v>14.1</v>
      </c>
      <c r="N1059" s="110">
        <v>14.25</v>
      </c>
      <c r="O1059" s="110">
        <v>13.8</v>
      </c>
      <c r="P1059" s="110">
        <v>13.85</v>
      </c>
      <c r="Q1059" s="110">
        <v>14.1</v>
      </c>
      <c r="R1059">
        <v>399707</v>
      </c>
    </row>
    <row r="1060" spans="1:18" x14ac:dyDescent="0.25">
      <c r="A1060" s="134">
        <v>43563</v>
      </c>
      <c r="B1060" s="110">
        <v>14.59</v>
      </c>
      <c r="C1060" s="110">
        <v>14.24</v>
      </c>
      <c r="D1060" s="110">
        <v>14.08</v>
      </c>
      <c r="E1060" s="110">
        <v>14.1</v>
      </c>
      <c r="F1060" s="110">
        <v>14.24</v>
      </c>
      <c r="G1060">
        <v>77184</v>
      </c>
      <c r="H1060" s="110"/>
      <c r="I1060" s="110"/>
      <c r="L1060" s="134">
        <v>43563</v>
      </c>
      <c r="M1060" s="110">
        <v>14.2</v>
      </c>
      <c r="N1060" s="110">
        <v>14.65</v>
      </c>
      <c r="O1060" s="110">
        <v>14.1</v>
      </c>
      <c r="P1060" s="110">
        <v>14.1</v>
      </c>
      <c r="Q1060" s="110">
        <v>14.2</v>
      </c>
      <c r="R1060">
        <v>789736</v>
      </c>
    </row>
    <row r="1061" spans="1:18" x14ac:dyDescent="0.25">
      <c r="A1061" s="134">
        <v>43564</v>
      </c>
      <c r="B1061" s="110">
        <v>14.36</v>
      </c>
      <c r="C1061" s="110">
        <v>14.19</v>
      </c>
      <c r="D1061" s="110">
        <v>13.95</v>
      </c>
      <c r="E1061" s="110">
        <v>14.25</v>
      </c>
      <c r="F1061" s="110">
        <v>14.19</v>
      </c>
      <c r="G1061">
        <v>18991</v>
      </c>
      <c r="H1061" s="110"/>
      <c r="I1061" s="110"/>
      <c r="L1061" s="134">
        <v>43564</v>
      </c>
      <c r="M1061" s="110">
        <v>14.2</v>
      </c>
      <c r="N1061" s="110">
        <v>14.35</v>
      </c>
      <c r="O1061" s="110">
        <v>13.95</v>
      </c>
      <c r="P1061" s="110">
        <v>14.2</v>
      </c>
      <c r="Q1061" s="110">
        <v>14.2</v>
      </c>
      <c r="R1061">
        <v>265454</v>
      </c>
    </row>
    <row r="1062" spans="1:18" x14ac:dyDescent="0.25">
      <c r="A1062" s="134">
        <v>43565</v>
      </c>
      <c r="B1062" s="110">
        <v>14.41</v>
      </c>
      <c r="C1062" s="110">
        <v>14.28</v>
      </c>
      <c r="D1062" s="110">
        <v>14.06</v>
      </c>
      <c r="E1062" s="110">
        <v>14.2</v>
      </c>
      <c r="F1062" s="110">
        <v>14.28</v>
      </c>
      <c r="G1062">
        <v>43732</v>
      </c>
      <c r="H1062" s="110"/>
      <c r="I1062" s="110"/>
      <c r="L1062" s="134">
        <v>43565</v>
      </c>
      <c r="M1062" s="110">
        <v>14.25</v>
      </c>
      <c r="N1062" s="110">
        <v>14.7</v>
      </c>
      <c r="O1062" s="110">
        <v>14.1</v>
      </c>
      <c r="P1062" s="110">
        <v>14.2</v>
      </c>
      <c r="Q1062" s="110">
        <v>14.25</v>
      </c>
      <c r="R1062">
        <v>383377</v>
      </c>
    </row>
    <row r="1063" spans="1:18" x14ac:dyDescent="0.25">
      <c r="A1063" s="134">
        <v>43566</v>
      </c>
      <c r="B1063" s="110">
        <v>14.49</v>
      </c>
      <c r="C1063" s="110">
        <v>14.35</v>
      </c>
      <c r="D1063" s="110">
        <v>14.04</v>
      </c>
      <c r="E1063" s="110">
        <v>14.4</v>
      </c>
      <c r="F1063" s="110">
        <v>14.35</v>
      </c>
      <c r="G1063">
        <v>37618</v>
      </c>
      <c r="H1063" s="110"/>
      <c r="I1063" s="110"/>
      <c r="L1063" s="134">
        <v>43566</v>
      </c>
      <c r="M1063" s="110">
        <v>14.3</v>
      </c>
      <c r="N1063" s="110">
        <v>14.4</v>
      </c>
      <c r="O1063" s="110">
        <v>14.15</v>
      </c>
      <c r="P1063" s="110">
        <v>14.4</v>
      </c>
      <c r="Q1063" s="110">
        <v>14.3</v>
      </c>
      <c r="R1063">
        <v>287539</v>
      </c>
    </row>
    <row r="1064" spans="1:18" x14ac:dyDescent="0.25">
      <c r="A1064" s="134">
        <v>43567</v>
      </c>
      <c r="B1064" s="110">
        <v>14.5</v>
      </c>
      <c r="C1064" s="110">
        <v>14.39</v>
      </c>
      <c r="D1064" s="110">
        <v>14.2</v>
      </c>
      <c r="E1064" s="110">
        <v>14.26</v>
      </c>
      <c r="F1064" s="110">
        <v>14.39</v>
      </c>
      <c r="G1064">
        <v>38608</v>
      </c>
      <c r="H1064" s="110"/>
      <c r="I1064" s="110"/>
      <c r="L1064" s="134">
        <v>43567</v>
      </c>
      <c r="M1064" s="110">
        <v>14.4</v>
      </c>
      <c r="N1064" s="110">
        <v>14.55</v>
      </c>
      <c r="O1064" s="110">
        <v>14.1</v>
      </c>
      <c r="P1064" s="110">
        <v>14.3</v>
      </c>
      <c r="Q1064" s="110">
        <v>14.4</v>
      </c>
      <c r="R1064">
        <v>561642</v>
      </c>
    </row>
    <row r="1065" spans="1:18" x14ac:dyDescent="0.25">
      <c r="A1065" s="134">
        <v>43570</v>
      </c>
      <c r="B1065" s="110">
        <v>15</v>
      </c>
      <c r="C1065" s="110">
        <v>14.79</v>
      </c>
      <c r="D1065" s="110">
        <v>14.4</v>
      </c>
      <c r="E1065" s="110">
        <v>14.5</v>
      </c>
      <c r="F1065" s="110">
        <v>14.79</v>
      </c>
      <c r="G1065">
        <v>235618</v>
      </c>
      <c r="H1065" s="110"/>
      <c r="I1065" s="110"/>
      <c r="L1065" s="134">
        <v>43570</v>
      </c>
      <c r="M1065" s="110">
        <v>14.75</v>
      </c>
      <c r="N1065" s="110">
        <v>14.85</v>
      </c>
      <c r="O1065" s="110">
        <v>14.35</v>
      </c>
      <c r="P1065" s="110">
        <v>14.4</v>
      </c>
      <c r="Q1065" s="110">
        <v>14.75</v>
      </c>
      <c r="R1065">
        <v>984833</v>
      </c>
    </row>
    <row r="1066" spans="1:18" x14ac:dyDescent="0.25">
      <c r="A1066" s="134">
        <v>43571</v>
      </c>
      <c r="B1066" s="110">
        <v>16.8</v>
      </c>
      <c r="C1066" s="110">
        <v>15.87</v>
      </c>
      <c r="D1066" s="110">
        <v>14.79</v>
      </c>
      <c r="E1066" s="110">
        <v>14.79</v>
      </c>
      <c r="F1066" s="110">
        <v>15.87</v>
      </c>
      <c r="G1066">
        <v>533456</v>
      </c>
      <c r="H1066" s="110"/>
      <c r="I1066" s="110"/>
      <c r="L1066" s="134">
        <v>43571</v>
      </c>
      <c r="M1066" s="110">
        <v>15.95</v>
      </c>
      <c r="N1066" s="110">
        <v>16.850000000000001</v>
      </c>
      <c r="O1066" s="110">
        <v>14.8</v>
      </c>
      <c r="P1066" s="110">
        <v>14.8</v>
      </c>
      <c r="Q1066" s="110">
        <v>15.95</v>
      </c>
      <c r="R1066">
        <v>4998357</v>
      </c>
    </row>
    <row r="1067" spans="1:18" x14ac:dyDescent="0.25">
      <c r="A1067" s="134">
        <v>43573</v>
      </c>
      <c r="B1067" s="110">
        <v>16.399999999999999</v>
      </c>
      <c r="C1067" s="110">
        <v>15.84</v>
      </c>
      <c r="D1067" s="110">
        <v>15.51</v>
      </c>
      <c r="E1067" s="110">
        <v>16.399999999999999</v>
      </c>
      <c r="F1067" s="110">
        <v>15.84</v>
      </c>
      <c r="G1067">
        <v>94606</v>
      </c>
      <c r="H1067" s="110"/>
      <c r="I1067" s="110"/>
      <c r="L1067" s="134">
        <v>43573</v>
      </c>
      <c r="M1067" s="110">
        <v>15.85</v>
      </c>
      <c r="N1067" s="110">
        <v>16.149999999999999</v>
      </c>
      <c r="O1067" s="110">
        <v>15.5</v>
      </c>
      <c r="P1067" s="110">
        <v>16.149999999999999</v>
      </c>
      <c r="Q1067" s="110">
        <v>15.85</v>
      </c>
      <c r="R1067">
        <v>896343</v>
      </c>
    </row>
    <row r="1068" spans="1:18" x14ac:dyDescent="0.25">
      <c r="A1068" s="134">
        <v>43577</v>
      </c>
      <c r="B1068" s="110">
        <v>15.8</v>
      </c>
      <c r="C1068" s="110">
        <v>15.62</v>
      </c>
      <c r="D1068" s="110">
        <v>15.33</v>
      </c>
      <c r="E1068" s="110">
        <v>15.8</v>
      </c>
      <c r="F1068" s="110">
        <v>15.62</v>
      </c>
      <c r="G1068">
        <v>153920</v>
      </c>
      <c r="H1068" s="110"/>
      <c r="I1068" s="110"/>
      <c r="L1068" s="134">
        <v>43577</v>
      </c>
      <c r="M1068" s="110">
        <v>15.5</v>
      </c>
      <c r="N1068" s="110">
        <v>15.85</v>
      </c>
      <c r="O1068" s="110">
        <v>15.35</v>
      </c>
      <c r="P1068" s="110">
        <v>15.8</v>
      </c>
      <c r="Q1068" s="110">
        <v>15.5</v>
      </c>
      <c r="R1068">
        <v>508228</v>
      </c>
    </row>
    <row r="1069" spans="1:18" x14ac:dyDescent="0.25">
      <c r="A1069" s="134">
        <v>43578</v>
      </c>
      <c r="B1069" s="110">
        <v>16.350000000000001</v>
      </c>
      <c r="C1069" s="110">
        <v>16.25</v>
      </c>
      <c r="D1069" s="110">
        <v>15.55</v>
      </c>
      <c r="E1069" s="110">
        <v>15.6</v>
      </c>
      <c r="F1069" s="110">
        <v>16.25</v>
      </c>
      <c r="G1069">
        <v>226061</v>
      </c>
      <c r="H1069" s="110"/>
      <c r="I1069" s="110"/>
      <c r="L1069" s="134">
        <v>43578</v>
      </c>
      <c r="M1069" s="110">
        <v>16.2</v>
      </c>
      <c r="N1069" s="110">
        <v>16.399999999999999</v>
      </c>
      <c r="O1069" s="110">
        <v>15.4</v>
      </c>
      <c r="P1069" s="110">
        <v>15.4</v>
      </c>
      <c r="Q1069" s="110">
        <v>16.2</v>
      </c>
      <c r="R1069">
        <v>3201383</v>
      </c>
    </row>
    <row r="1070" spans="1:18" x14ac:dyDescent="0.25">
      <c r="A1070" s="134">
        <v>43579</v>
      </c>
      <c r="B1070" s="110">
        <v>18.600000000000001</v>
      </c>
      <c r="C1070" s="110">
        <v>18.07</v>
      </c>
      <c r="D1070" s="110">
        <v>16.25</v>
      </c>
      <c r="E1070" s="110">
        <v>16.25</v>
      </c>
      <c r="F1070" s="110">
        <v>18.07</v>
      </c>
      <c r="G1070">
        <v>1631871</v>
      </c>
      <c r="H1070" s="110"/>
      <c r="I1070" s="110"/>
      <c r="L1070" s="134">
        <v>43579</v>
      </c>
      <c r="M1070" s="110">
        <v>18</v>
      </c>
      <c r="N1070" s="110">
        <v>18.7</v>
      </c>
      <c r="O1070" s="110">
        <v>16.399999999999999</v>
      </c>
      <c r="P1070" s="110">
        <v>16.5</v>
      </c>
      <c r="Q1070" s="110">
        <v>18</v>
      </c>
      <c r="R1070">
        <v>12069748</v>
      </c>
    </row>
    <row r="1071" spans="1:18" x14ac:dyDescent="0.25">
      <c r="A1071" s="134">
        <v>43580</v>
      </c>
      <c r="B1071" s="110">
        <v>19.399999999999999</v>
      </c>
      <c r="C1071" s="110">
        <v>18.66</v>
      </c>
      <c r="D1071" s="110">
        <v>17.8</v>
      </c>
      <c r="E1071" s="110">
        <v>17.989999999999998</v>
      </c>
      <c r="F1071" s="110">
        <v>18.66</v>
      </c>
      <c r="G1071">
        <v>839724</v>
      </c>
      <c r="H1071" s="110"/>
      <c r="I1071" s="110"/>
      <c r="L1071" s="134">
        <v>43580</v>
      </c>
      <c r="M1071" s="110">
        <v>18.649999999999999</v>
      </c>
      <c r="N1071" s="110">
        <v>19.399999999999999</v>
      </c>
      <c r="O1071" s="110">
        <v>17.8</v>
      </c>
      <c r="P1071" s="110">
        <v>18</v>
      </c>
      <c r="Q1071" s="110">
        <v>18.649999999999999</v>
      </c>
      <c r="R1071">
        <v>6209468</v>
      </c>
    </row>
    <row r="1072" spans="1:18" x14ac:dyDescent="0.25">
      <c r="A1072" s="134">
        <v>43581</v>
      </c>
      <c r="B1072" s="110">
        <v>19.55</v>
      </c>
      <c r="C1072" s="110">
        <v>19.3</v>
      </c>
      <c r="D1072" s="110">
        <v>18.850000000000001</v>
      </c>
      <c r="E1072" s="110">
        <v>18.850000000000001</v>
      </c>
      <c r="F1072" s="110">
        <v>19.3</v>
      </c>
      <c r="G1072">
        <v>877647</v>
      </c>
      <c r="H1072" s="110"/>
      <c r="I1072" s="110"/>
      <c r="L1072" s="134">
        <v>43581</v>
      </c>
      <c r="M1072" s="110">
        <v>19.2</v>
      </c>
      <c r="N1072" s="110">
        <v>19.55</v>
      </c>
      <c r="O1072" s="110">
        <v>18.8</v>
      </c>
      <c r="P1072" s="110">
        <v>18.850000000000001</v>
      </c>
      <c r="Q1072" s="110">
        <v>19.2</v>
      </c>
      <c r="R1072">
        <v>5515163</v>
      </c>
    </row>
    <row r="1073" spans="1:18" x14ac:dyDescent="0.25">
      <c r="A1073" s="134">
        <v>43585</v>
      </c>
      <c r="B1073" s="110">
        <v>20</v>
      </c>
      <c r="C1073" s="110">
        <v>18.170000000000002</v>
      </c>
      <c r="D1073" s="110">
        <v>17.670000000000002</v>
      </c>
      <c r="E1073" s="110">
        <v>19.899999999999999</v>
      </c>
      <c r="F1073" s="110">
        <v>18.170000000000002</v>
      </c>
      <c r="G1073">
        <v>1295832</v>
      </c>
      <c r="H1073" s="110"/>
      <c r="I1073" s="110"/>
      <c r="L1073" s="134">
        <v>43585</v>
      </c>
      <c r="M1073" s="110">
        <v>18.100000000000001</v>
      </c>
      <c r="N1073" s="110">
        <v>19.899999999999999</v>
      </c>
      <c r="O1073" s="110">
        <v>17.5</v>
      </c>
      <c r="P1073" s="110">
        <v>19.8</v>
      </c>
      <c r="Q1073" s="110">
        <v>18.100000000000001</v>
      </c>
      <c r="R1073">
        <v>9546571</v>
      </c>
    </row>
    <row r="1074" spans="1:18" x14ac:dyDescent="0.25">
      <c r="A1074" s="134">
        <v>43587</v>
      </c>
      <c r="B1074" s="110">
        <v>18.2</v>
      </c>
      <c r="C1074" s="110">
        <v>16.850000000000001</v>
      </c>
      <c r="D1074" s="110">
        <v>16.7</v>
      </c>
      <c r="E1074" s="110">
        <v>18.2</v>
      </c>
      <c r="F1074" s="110">
        <v>16.850000000000001</v>
      </c>
      <c r="G1074">
        <v>386316</v>
      </c>
      <c r="H1074" s="110"/>
      <c r="I1074" s="110"/>
      <c r="L1074" s="134">
        <v>43587</v>
      </c>
      <c r="M1074" s="110">
        <v>16.75</v>
      </c>
      <c r="N1074" s="110">
        <v>18.100000000000001</v>
      </c>
      <c r="O1074" s="110">
        <v>16.649999999999999</v>
      </c>
      <c r="P1074" s="110">
        <v>18.05</v>
      </c>
      <c r="Q1074" s="110">
        <v>16.75</v>
      </c>
      <c r="R1074">
        <v>3511648</v>
      </c>
    </row>
    <row r="1075" spans="1:18" x14ac:dyDescent="0.25">
      <c r="A1075" s="134">
        <v>43588</v>
      </c>
      <c r="B1075" s="110">
        <v>16.95</v>
      </c>
      <c r="C1075" s="110">
        <v>16.3</v>
      </c>
      <c r="D1075" s="110">
        <v>16.100000000000001</v>
      </c>
      <c r="E1075" s="110">
        <v>16.8</v>
      </c>
      <c r="F1075" s="110">
        <v>16.3</v>
      </c>
      <c r="G1075">
        <v>299199</v>
      </c>
      <c r="H1075" s="110"/>
      <c r="I1075" s="110"/>
      <c r="L1075" s="134">
        <v>43588</v>
      </c>
      <c r="M1075" s="110">
        <v>16.350000000000001</v>
      </c>
      <c r="N1075" s="110">
        <v>16.899999999999999</v>
      </c>
      <c r="O1075" s="110">
        <v>16.149999999999999</v>
      </c>
      <c r="P1075" s="110">
        <v>16.75</v>
      </c>
      <c r="Q1075" s="110">
        <v>16.350000000000001</v>
      </c>
      <c r="R1075">
        <v>2161831</v>
      </c>
    </row>
    <row r="1076" spans="1:18" x14ac:dyDescent="0.25">
      <c r="A1076" s="134">
        <v>43591</v>
      </c>
      <c r="B1076" s="110">
        <v>16.25</v>
      </c>
      <c r="C1076" s="110">
        <v>15.45</v>
      </c>
      <c r="D1076" s="110">
        <v>15.3</v>
      </c>
      <c r="E1076" s="110">
        <v>16</v>
      </c>
      <c r="F1076" s="110">
        <v>15.45</v>
      </c>
      <c r="G1076">
        <v>188534</v>
      </c>
      <c r="H1076" s="110"/>
      <c r="I1076" s="110"/>
      <c r="L1076" s="134">
        <v>43591</v>
      </c>
      <c r="M1076" s="110">
        <v>15.45</v>
      </c>
      <c r="N1076" s="110">
        <v>16.2</v>
      </c>
      <c r="O1076" s="110">
        <v>15.35</v>
      </c>
      <c r="P1076" s="110">
        <v>15.75</v>
      </c>
      <c r="Q1076" s="110">
        <v>15.45</v>
      </c>
      <c r="R1076">
        <v>1800203</v>
      </c>
    </row>
    <row r="1077" spans="1:18" x14ac:dyDescent="0.25">
      <c r="A1077" s="134">
        <v>43592</v>
      </c>
      <c r="B1077" s="110">
        <v>15.75</v>
      </c>
      <c r="C1077" s="110">
        <v>15.2</v>
      </c>
      <c r="D1077" s="110">
        <v>15.1</v>
      </c>
      <c r="E1077" s="110">
        <v>15.55</v>
      </c>
      <c r="F1077" s="110">
        <v>15.2</v>
      </c>
      <c r="G1077">
        <v>188247</v>
      </c>
      <c r="H1077" s="110"/>
      <c r="I1077" s="110"/>
      <c r="L1077" s="134">
        <v>43592</v>
      </c>
      <c r="M1077" s="110">
        <v>15.2</v>
      </c>
      <c r="N1077" s="110">
        <v>15.75</v>
      </c>
      <c r="O1077" s="110">
        <v>15.1</v>
      </c>
      <c r="P1077" s="110">
        <v>15.6</v>
      </c>
      <c r="Q1077" s="110">
        <v>15.2</v>
      </c>
      <c r="R1077">
        <v>1190863</v>
      </c>
    </row>
    <row r="1078" spans="1:18" x14ac:dyDescent="0.25">
      <c r="A1078" s="134">
        <v>43593</v>
      </c>
      <c r="B1078" s="110">
        <v>15.4</v>
      </c>
      <c r="C1078" s="110">
        <v>15.05</v>
      </c>
      <c r="D1078" s="110">
        <v>14.85</v>
      </c>
      <c r="E1078" s="110">
        <v>15.35</v>
      </c>
      <c r="F1078" s="110">
        <v>15.05</v>
      </c>
      <c r="G1078">
        <v>158487</v>
      </c>
      <c r="H1078" s="110"/>
      <c r="I1078" s="110"/>
      <c r="L1078" s="134">
        <v>43593</v>
      </c>
      <c r="M1078" s="110">
        <v>15</v>
      </c>
      <c r="N1078" s="110">
        <v>15.35</v>
      </c>
      <c r="O1078" s="110">
        <v>14.85</v>
      </c>
      <c r="P1078" s="110">
        <v>15.15</v>
      </c>
      <c r="Q1078" s="110">
        <v>15</v>
      </c>
      <c r="R1078">
        <v>1385786</v>
      </c>
    </row>
    <row r="1079" spans="1:18" x14ac:dyDescent="0.25">
      <c r="A1079" s="134">
        <v>43594</v>
      </c>
      <c r="B1079" s="110">
        <v>16.2</v>
      </c>
      <c r="C1079" s="110">
        <v>15.9</v>
      </c>
      <c r="D1079" s="110">
        <v>15</v>
      </c>
      <c r="E1079" s="110">
        <v>15.2</v>
      </c>
      <c r="F1079" s="110">
        <v>15.9</v>
      </c>
      <c r="G1079">
        <v>206423</v>
      </c>
      <c r="H1079" s="110"/>
      <c r="I1079" s="110"/>
      <c r="L1079" s="134">
        <v>43594</v>
      </c>
      <c r="M1079" s="110">
        <v>15.9</v>
      </c>
      <c r="N1079" s="110">
        <v>16.2</v>
      </c>
      <c r="O1079" s="110">
        <v>14.95</v>
      </c>
      <c r="P1079" s="110">
        <v>15.2</v>
      </c>
      <c r="Q1079" s="110">
        <v>15.9</v>
      </c>
      <c r="R1079">
        <v>2249861</v>
      </c>
    </row>
    <row r="1080" spans="1:18" x14ac:dyDescent="0.25">
      <c r="A1080" s="134">
        <v>43595</v>
      </c>
      <c r="B1080" s="110">
        <v>16.399999999999999</v>
      </c>
      <c r="C1080" s="110">
        <v>15.8</v>
      </c>
      <c r="D1080" s="110">
        <v>15.4</v>
      </c>
      <c r="E1080" s="110">
        <v>16.100000000000001</v>
      </c>
      <c r="F1080" s="110">
        <v>15.8</v>
      </c>
      <c r="G1080">
        <v>154562</v>
      </c>
      <c r="H1080" s="110"/>
      <c r="I1080" s="110"/>
      <c r="L1080" s="134">
        <v>43595</v>
      </c>
      <c r="M1080" s="110">
        <v>15.75</v>
      </c>
      <c r="N1080" s="110">
        <v>16.5</v>
      </c>
      <c r="O1080" s="110">
        <v>15.4</v>
      </c>
      <c r="P1080" s="110">
        <v>16</v>
      </c>
      <c r="Q1080" s="110">
        <v>15.75</v>
      </c>
      <c r="R1080">
        <v>1576920</v>
      </c>
    </row>
    <row r="1081" spans="1:18" x14ac:dyDescent="0.25">
      <c r="A1081" s="134">
        <v>43598</v>
      </c>
      <c r="B1081" s="110">
        <v>16.100000000000001</v>
      </c>
      <c r="C1081" s="110">
        <v>15.2</v>
      </c>
      <c r="D1081" s="110">
        <v>15.05</v>
      </c>
      <c r="E1081" s="110">
        <v>16.100000000000001</v>
      </c>
      <c r="F1081" s="110">
        <v>15.2</v>
      </c>
      <c r="G1081">
        <v>130931</v>
      </c>
      <c r="H1081" s="110"/>
      <c r="I1081" s="110"/>
      <c r="L1081" s="134">
        <v>43598</v>
      </c>
      <c r="M1081" s="110">
        <v>15.2</v>
      </c>
      <c r="N1081" s="110">
        <v>16</v>
      </c>
      <c r="O1081" s="110">
        <v>15.1</v>
      </c>
      <c r="P1081" s="110">
        <v>15.8</v>
      </c>
      <c r="Q1081" s="110">
        <v>15.2</v>
      </c>
      <c r="R1081">
        <v>1135627</v>
      </c>
    </row>
    <row r="1082" spans="1:18" x14ac:dyDescent="0.25">
      <c r="A1082" s="134">
        <v>43599</v>
      </c>
      <c r="B1082" s="110">
        <v>15.4</v>
      </c>
      <c r="C1082" s="110">
        <v>15.25</v>
      </c>
      <c r="D1082" s="110">
        <v>14.95</v>
      </c>
      <c r="E1082" s="110">
        <v>15.35</v>
      </c>
      <c r="F1082" s="110">
        <v>15.25</v>
      </c>
      <c r="G1082">
        <v>123546</v>
      </c>
      <c r="H1082" s="110"/>
      <c r="I1082" s="110"/>
      <c r="L1082" s="134">
        <v>43599</v>
      </c>
      <c r="M1082" s="110">
        <v>15.2</v>
      </c>
      <c r="N1082" s="110">
        <v>15.4</v>
      </c>
      <c r="O1082" s="110">
        <v>14.95</v>
      </c>
      <c r="P1082" s="110">
        <v>15.25</v>
      </c>
      <c r="Q1082" s="110">
        <v>15.2</v>
      </c>
      <c r="R1082">
        <v>822446</v>
      </c>
    </row>
    <row r="1083" spans="1:18" x14ac:dyDescent="0.25">
      <c r="A1083" s="134">
        <v>43600</v>
      </c>
      <c r="B1083" s="110">
        <v>15.45</v>
      </c>
      <c r="C1083" s="110">
        <v>14.8</v>
      </c>
      <c r="D1083" s="110">
        <v>14.35</v>
      </c>
      <c r="E1083" s="110">
        <v>15.3</v>
      </c>
      <c r="F1083" s="110">
        <v>14.8</v>
      </c>
      <c r="G1083">
        <v>118500</v>
      </c>
      <c r="H1083" s="110"/>
      <c r="I1083" s="110"/>
      <c r="L1083" s="134">
        <v>43600</v>
      </c>
      <c r="M1083" s="110">
        <v>14.75</v>
      </c>
      <c r="N1083" s="110">
        <v>15.55</v>
      </c>
      <c r="O1083" s="110">
        <v>14.45</v>
      </c>
      <c r="P1083" s="110">
        <v>15.35</v>
      </c>
      <c r="Q1083" s="110">
        <v>14.75</v>
      </c>
      <c r="R1083">
        <v>890338</v>
      </c>
    </row>
    <row r="1084" spans="1:18" x14ac:dyDescent="0.25">
      <c r="A1084" s="134">
        <v>43601</v>
      </c>
      <c r="B1084" s="110">
        <v>14.7</v>
      </c>
      <c r="C1084" s="110">
        <v>14.45</v>
      </c>
      <c r="D1084" s="110">
        <v>14.3</v>
      </c>
      <c r="E1084" s="110">
        <v>14.6</v>
      </c>
      <c r="F1084" s="110">
        <v>14.45</v>
      </c>
      <c r="G1084">
        <v>80593</v>
      </c>
      <c r="H1084" s="110"/>
      <c r="I1084" s="110"/>
      <c r="L1084" s="134">
        <v>43601</v>
      </c>
      <c r="M1084" s="110">
        <v>14.45</v>
      </c>
      <c r="N1084" s="110">
        <v>14.75</v>
      </c>
      <c r="O1084" s="110">
        <v>14.3</v>
      </c>
      <c r="P1084" s="110">
        <v>14.6</v>
      </c>
      <c r="Q1084" s="110">
        <v>14.45</v>
      </c>
      <c r="R1084">
        <v>782116</v>
      </c>
    </row>
    <row r="1085" spans="1:18" x14ac:dyDescent="0.25">
      <c r="A1085" s="134">
        <v>43602</v>
      </c>
      <c r="B1085" s="110">
        <v>14.5</v>
      </c>
      <c r="C1085" s="110">
        <v>14.2</v>
      </c>
      <c r="D1085" s="110">
        <v>14.1</v>
      </c>
      <c r="E1085" s="110">
        <v>14.5</v>
      </c>
      <c r="F1085" s="110">
        <v>14.2</v>
      </c>
      <c r="G1085">
        <v>143644</v>
      </c>
      <c r="H1085" s="110"/>
      <c r="I1085" s="110"/>
      <c r="L1085" s="134">
        <v>43602</v>
      </c>
      <c r="M1085" s="110">
        <v>14.2</v>
      </c>
      <c r="N1085" s="110">
        <v>14.5</v>
      </c>
      <c r="O1085" s="110">
        <v>14.05</v>
      </c>
      <c r="P1085" s="110">
        <v>14.45</v>
      </c>
      <c r="Q1085" s="110">
        <v>14.2</v>
      </c>
      <c r="R1085">
        <v>698271</v>
      </c>
    </row>
    <row r="1086" spans="1:18" x14ac:dyDescent="0.25">
      <c r="A1086" s="134">
        <v>43605</v>
      </c>
      <c r="B1086" s="110">
        <v>16.350000000000001</v>
      </c>
      <c r="C1086" s="110">
        <v>16.100000000000001</v>
      </c>
      <c r="D1086" s="110">
        <v>14.55</v>
      </c>
      <c r="E1086" s="110">
        <v>14.55</v>
      </c>
      <c r="F1086" s="110">
        <v>16.100000000000001</v>
      </c>
      <c r="G1086">
        <v>326802</v>
      </c>
      <c r="H1086" s="110"/>
      <c r="I1086" s="110"/>
      <c r="L1086" s="134">
        <v>43605</v>
      </c>
      <c r="M1086" s="110">
        <v>16.2</v>
      </c>
      <c r="N1086" s="110">
        <v>16.399999999999999</v>
      </c>
      <c r="O1086" s="110">
        <v>14.55</v>
      </c>
      <c r="P1086" s="110">
        <v>14.55</v>
      </c>
      <c r="Q1086" s="110">
        <v>16.2</v>
      </c>
      <c r="R1086">
        <v>3112725</v>
      </c>
    </row>
    <row r="1087" spans="1:18" x14ac:dyDescent="0.25">
      <c r="A1087" s="134">
        <v>43606</v>
      </c>
      <c r="B1087" s="110">
        <v>16.8</v>
      </c>
      <c r="C1087" s="110">
        <v>15.75</v>
      </c>
      <c r="D1087" s="110">
        <v>15.5</v>
      </c>
      <c r="E1087" s="110">
        <v>16.8</v>
      </c>
      <c r="F1087" s="110">
        <v>15.75</v>
      </c>
      <c r="G1087">
        <v>146905</v>
      </c>
      <c r="H1087" s="110"/>
      <c r="I1087" s="110"/>
      <c r="L1087" s="134">
        <v>43606</v>
      </c>
      <c r="M1087" s="110">
        <v>15.8</v>
      </c>
      <c r="N1087" s="110">
        <v>16.7</v>
      </c>
      <c r="O1087" s="110">
        <v>15.6</v>
      </c>
      <c r="P1087" s="110">
        <v>16.350000000000001</v>
      </c>
      <c r="Q1087" s="110">
        <v>15.8</v>
      </c>
      <c r="R1087">
        <v>1449389</v>
      </c>
    </row>
    <row r="1088" spans="1:18" x14ac:dyDescent="0.25">
      <c r="A1088" s="134">
        <v>43607</v>
      </c>
      <c r="B1088" s="110">
        <v>16.25</v>
      </c>
      <c r="C1088" s="110">
        <v>16.100000000000001</v>
      </c>
      <c r="D1088" s="110">
        <v>15.5</v>
      </c>
      <c r="E1088" s="110">
        <v>16</v>
      </c>
      <c r="F1088" s="110">
        <v>16.100000000000001</v>
      </c>
      <c r="G1088">
        <v>81321</v>
      </c>
      <c r="H1088" s="110"/>
      <c r="I1088" s="110"/>
      <c r="L1088" s="134">
        <v>43607</v>
      </c>
      <c r="M1088" s="110">
        <v>16.149999999999999</v>
      </c>
      <c r="N1088" s="110">
        <v>16.25</v>
      </c>
      <c r="O1088" s="110">
        <v>15.5</v>
      </c>
      <c r="P1088" s="110">
        <v>15.6</v>
      </c>
      <c r="Q1088" s="110">
        <v>16.149999999999999</v>
      </c>
      <c r="R1088">
        <v>736703</v>
      </c>
    </row>
    <row r="1089" spans="1:18" x14ac:dyDescent="0.25">
      <c r="A1089" s="134">
        <v>43608</v>
      </c>
      <c r="B1089" s="110">
        <v>17.100000000000001</v>
      </c>
      <c r="C1089" s="110">
        <v>15.85</v>
      </c>
      <c r="D1089" s="110">
        <v>15.55</v>
      </c>
      <c r="E1089" s="110">
        <v>16.850000000000001</v>
      </c>
      <c r="F1089" s="110">
        <v>15.85</v>
      </c>
      <c r="G1089">
        <v>256106</v>
      </c>
      <c r="H1089" s="110"/>
      <c r="I1089" s="110"/>
      <c r="L1089" s="134">
        <v>43608</v>
      </c>
      <c r="M1089" s="110">
        <v>15.8</v>
      </c>
      <c r="N1089" s="110">
        <v>17.100000000000001</v>
      </c>
      <c r="O1089" s="110">
        <v>15.7</v>
      </c>
      <c r="P1089" s="110">
        <v>16.5</v>
      </c>
      <c r="Q1089" s="110">
        <v>15.8</v>
      </c>
      <c r="R1089">
        <v>1946965</v>
      </c>
    </row>
    <row r="1090" spans="1:18" x14ac:dyDescent="0.25">
      <c r="A1090" s="134">
        <v>43609</v>
      </c>
      <c r="B1090" s="110">
        <v>16.3</v>
      </c>
      <c r="C1090" s="110">
        <v>16.149999999999999</v>
      </c>
      <c r="D1090" s="110">
        <v>15.75</v>
      </c>
      <c r="E1090" s="110">
        <v>15.85</v>
      </c>
      <c r="F1090" s="110">
        <v>16.149999999999999</v>
      </c>
      <c r="G1090">
        <v>104023</v>
      </c>
      <c r="H1090" s="110"/>
      <c r="I1090" s="110"/>
      <c r="L1090" s="134">
        <v>43609</v>
      </c>
      <c r="M1090" s="110">
        <v>16.149999999999999</v>
      </c>
      <c r="N1090" s="110">
        <v>16.25</v>
      </c>
      <c r="O1090" s="110">
        <v>15.75</v>
      </c>
      <c r="P1090" s="110">
        <v>15.85</v>
      </c>
      <c r="Q1090" s="110">
        <v>16.149999999999999</v>
      </c>
      <c r="R1090">
        <v>856360</v>
      </c>
    </row>
    <row r="1091" spans="1:18" x14ac:dyDescent="0.25">
      <c r="A1091" s="134">
        <v>43612</v>
      </c>
      <c r="B1091" s="110">
        <v>16.7</v>
      </c>
      <c r="C1091" s="110">
        <v>16.25</v>
      </c>
      <c r="D1091" s="110">
        <v>15.5</v>
      </c>
      <c r="E1091" s="110">
        <v>15.8</v>
      </c>
      <c r="F1091" s="110">
        <v>16.25</v>
      </c>
      <c r="G1091">
        <v>123674</v>
      </c>
      <c r="H1091" s="110"/>
      <c r="I1091" s="110"/>
      <c r="L1091" s="134">
        <v>43612</v>
      </c>
      <c r="M1091" s="110">
        <v>16.149999999999999</v>
      </c>
      <c r="N1091" s="110">
        <v>16.600000000000001</v>
      </c>
      <c r="O1091" s="110">
        <v>15.8</v>
      </c>
      <c r="P1091" s="110">
        <v>16.05</v>
      </c>
      <c r="Q1091" s="110">
        <v>16.149999999999999</v>
      </c>
      <c r="R1091">
        <v>783810</v>
      </c>
    </row>
    <row r="1092" spans="1:18" x14ac:dyDescent="0.25">
      <c r="A1092" s="134">
        <v>43613</v>
      </c>
      <c r="B1092" s="110">
        <v>16.899999999999999</v>
      </c>
      <c r="C1092" s="110">
        <v>16.7</v>
      </c>
      <c r="D1092" s="110">
        <v>16.3</v>
      </c>
      <c r="E1092" s="110">
        <v>16.3</v>
      </c>
      <c r="F1092" s="110">
        <v>16.7</v>
      </c>
      <c r="G1092">
        <v>130976</v>
      </c>
      <c r="H1092" s="110"/>
      <c r="I1092" s="110"/>
      <c r="L1092" s="134">
        <v>43613</v>
      </c>
      <c r="M1092" s="110">
        <v>16.7</v>
      </c>
      <c r="N1092" s="110">
        <v>16.95</v>
      </c>
      <c r="O1092" s="110">
        <v>16.3</v>
      </c>
      <c r="P1092" s="110">
        <v>16.399999999999999</v>
      </c>
      <c r="Q1092" s="110">
        <v>16.7</v>
      </c>
      <c r="R1092">
        <v>1211338</v>
      </c>
    </row>
    <row r="1093" spans="1:18" x14ac:dyDescent="0.25">
      <c r="A1093" s="134">
        <v>43614</v>
      </c>
      <c r="B1093" s="110">
        <v>16.95</v>
      </c>
      <c r="C1093" s="110">
        <v>16.3</v>
      </c>
      <c r="D1093" s="110">
        <v>16.149999999999999</v>
      </c>
      <c r="E1093" s="110">
        <v>16.55</v>
      </c>
      <c r="F1093" s="110">
        <v>16.3</v>
      </c>
      <c r="G1093">
        <v>118572</v>
      </c>
      <c r="H1093" s="110"/>
      <c r="I1093" s="110"/>
      <c r="L1093" s="134">
        <v>43614</v>
      </c>
      <c r="M1093" s="110">
        <v>16.25</v>
      </c>
      <c r="N1093" s="110">
        <v>16.899999999999999</v>
      </c>
      <c r="O1093" s="110">
        <v>16.149999999999999</v>
      </c>
      <c r="P1093" s="110">
        <v>16.55</v>
      </c>
      <c r="Q1093" s="110">
        <v>16.25</v>
      </c>
      <c r="R1093">
        <v>511719</v>
      </c>
    </row>
    <row r="1094" spans="1:18" x14ac:dyDescent="0.25">
      <c r="A1094" s="134">
        <v>43615</v>
      </c>
      <c r="B1094" s="110">
        <v>16.45</v>
      </c>
      <c r="C1094" s="110">
        <v>16.149999999999999</v>
      </c>
      <c r="D1094" s="110">
        <v>15.9</v>
      </c>
      <c r="E1094" s="110">
        <v>16.3</v>
      </c>
      <c r="F1094" s="110">
        <v>16.149999999999999</v>
      </c>
      <c r="G1094">
        <v>81900</v>
      </c>
      <c r="H1094" s="110"/>
      <c r="I1094" s="110"/>
      <c r="L1094" s="134">
        <v>43615</v>
      </c>
      <c r="M1094" s="110">
        <v>16.100000000000001</v>
      </c>
      <c r="N1094" s="110">
        <v>16.5</v>
      </c>
      <c r="O1094" s="110">
        <v>15.8</v>
      </c>
      <c r="P1094" s="110">
        <v>16.399999999999999</v>
      </c>
      <c r="Q1094" s="110">
        <v>16.100000000000001</v>
      </c>
      <c r="R1094">
        <v>536853</v>
      </c>
    </row>
    <row r="1095" spans="1:18" x14ac:dyDescent="0.25">
      <c r="A1095" s="134">
        <v>43616</v>
      </c>
      <c r="B1095" s="110">
        <v>16.55</v>
      </c>
      <c r="C1095" s="110">
        <v>15.7</v>
      </c>
      <c r="D1095" s="110">
        <v>15.55</v>
      </c>
      <c r="E1095" s="110">
        <v>16.350000000000001</v>
      </c>
      <c r="F1095" s="110">
        <v>15.7</v>
      </c>
      <c r="G1095">
        <v>61328</v>
      </c>
      <c r="H1095" s="110"/>
      <c r="I1095" s="110"/>
      <c r="L1095" s="134">
        <v>43616</v>
      </c>
      <c r="M1095" s="110">
        <v>15.65</v>
      </c>
      <c r="N1095" s="110">
        <v>16.5</v>
      </c>
      <c r="O1095" s="110">
        <v>15.55</v>
      </c>
      <c r="P1095" s="110">
        <v>16.3</v>
      </c>
      <c r="Q1095" s="110">
        <v>15.65</v>
      </c>
      <c r="R1095">
        <v>705339</v>
      </c>
    </row>
    <row r="1096" spans="1:18" x14ac:dyDescent="0.25">
      <c r="A1096" s="134">
        <v>43619</v>
      </c>
      <c r="B1096" s="110">
        <v>15.9</v>
      </c>
      <c r="C1096" s="110">
        <v>15.45</v>
      </c>
      <c r="D1096" s="110">
        <v>15.25</v>
      </c>
      <c r="E1096" s="110">
        <v>15.75</v>
      </c>
      <c r="F1096" s="110">
        <v>15.45</v>
      </c>
      <c r="G1096">
        <v>117797</v>
      </c>
      <c r="H1096" s="110"/>
      <c r="I1096" s="110"/>
      <c r="L1096" s="134">
        <v>43619</v>
      </c>
      <c r="M1096" s="110">
        <v>15.45</v>
      </c>
      <c r="N1096" s="110">
        <v>15.95</v>
      </c>
      <c r="O1096" s="110">
        <v>15.3</v>
      </c>
      <c r="P1096" s="110">
        <v>15.95</v>
      </c>
      <c r="Q1096" s="110">
        <v>15.45</v>
      </c>
      <c r="R1096">
        <v>653262</v>
      </c>
    </row>
    <row r="1097" spans="1:18" x14ac:dyDescent="0.25">
      <c r="A1097" s="134">
        <v>43620</v>
      </c>
      <c r="B1097" s="110">
        <v>16.149999999999999</v>
      </c>
      <c r="C1097" s="110">
        <v>15.95</v>
      </c>
      <c r="D1097" s="110">
        <v>15.35</v>
      </c>
      <c r="E1097" s="110">
        <v>15.45</v>
      </c>
      <c r="F1097" s="110">
        <v>15.95</v>
      </c>
      <c r="G1097">
        <v>157522</v>
      </c>
      <c r="H1097" s="110"/>
      <c r="I1097" s="110"/>
      <c r="L1097" s="134">
        <v>43620</v>
      </c>
      <c r="M1097" s="110">
        <v>16</v>
      </c>
      <c r="N1097" s="110">
        <v>16.149999999999999</v>
      </c>
      <c r="O1097" s="110">
        <v>15.2</v>
      </c>
      <c r="P1097" s="110">
        <v>15.65</v>
      </c>
      <c r="Q1097" s="110">
        <v>16</v>
      </c>
      <c r="R1097">
        <v>812767</v>
      </c>
    </row>
    <row r="1098" spans="1:18" x14ac:dyDescent="0.25">
      <c r="A1098" s="134">
        <v>43622</v>
      </c>
      <c r="B1098" s="110">
        <v>16.5</v>
      </c>
      <c r="C1098" s="110">
        <v>16.2</v>
      </c>
      <c r="D1098" s="110">
        <v>15.8</v>
      </c>
      <c r="E1098" s="110">
        <v>16</v>
      </c>
      <c r="F1098" s="110">
        <v>16.2</v>
      </c>
      <c r="G1098">
        <v>194840</v>
      </c>
      <c r="H1098" s="110"/>
      <c r="I1098" s="110"/>
      <c r="L1098" s="134">
        <v>43622</v>
      </c>
      <c r="M1098" s="110">
        <v>16.25</v>
      </c>
      <c r="N1098" s="110">
        <v>16.600000000000001</v>
      </c>
      <c r="O1098" s="110">
        <v>15.85</v>
      </c>
      <c r="P1098" s="110">
        <v>16.25</v>
      </c>
      <c r="Q1098" s="110">
        <v>16.25</v>
      </c>
      <c r="R1098">
        <v>1237636</v>
      </c>
    </row>
    <row r="1099" spans="1:18" x14ac:dyDescent="0.25">
      <c r="A1099" s="134">
        <v>43623</v>
      </c>
      <c r="B1099" s="110">
        <v>16.2</v>
      </c>
      <c r="C1099" s="110">
        <v>15.8</v>
      </c>
      <c r="D1099" s="110">
        <v>15.7</v>
      </c>
      <c r="E1099" s="110">
        <v>16.149999999999999</v>
      </c>
      <c r="F1099" s="110">
        <v>15.8</v>
      </c>
      <c r="G1099">
        <v>63252</v>
      </c>
      <c r="H1099" s="110"/>
      <c r="I1099" s="110"/>
      <c r="L1099" s="134">
        <v>43623</v>
      </c>
      <c r="M1099" s="110">
        <v>15.8</v>
      </c>
      <c r="N1099" s="110">
        <v>16.3</v>
      </c>
      <c r="O1099" s="110">
        <v>15.7</v>
      </c>
      <c r="P1099" s="110">
        <v>16.149999999999999</v>
      </c>
      <c r="Q1099" s="110">
        <v>15.8</v>
      </c>
      <c r="R1099">
        <v>650777</v>
      </c>
    </row>
    <row r="1100" spans="1:18" x14ac:dyDescent="0.25">
      <c r="A1100" s="134">
        <v>43626</v>
      </c>
      <c r="B1100" s="110">
        <v>16.100000000000001</v>
      </c>
      <c r="C1100" s="110">
        <v>15.7</v>
      </c>
      <c r="D1100" s="110">
        <v>15.65</v>
      </c>
      <c r="E1100" s="110">
        <v>15.85</v>
      </c>
      <c r="F1100" s="110">
        <v>15.7</v>
      </c>
      <c r="G1100">
        <v>94523</v>
      </c>
      <c r="H1100" s="110"/>
      <c r="I1100" s="110"/>
      <c r="L1100" s="134">
        <v>43626</v>
      </c>
      <c r="M1100" s="110">
        <v>15.65</v>
      </c>
      <c r="N1100" s="110">
        <v>16.149999999999999</v>
      </c>
      <c r="O1100" s="110">
        <v>15.6</v>
      </c>
      <c r="P1100" s="110">
        <v>15.95</v>
      </c>
      <c r="Q1100" s="110">
        <v>15.65</v>
      </c>
      <c r="R1100">
        <v>608703</v>
      </c>
    </row>
    <row r="1101" spans="1:18" x14ac:dyDescent="0.25">
      <c r="A1101" s="134">
        <v>43627</v>
      </c>
      <c r="B1101" s="110">
        <v>16.75</v>
      </c>
      <c r="C1101" s="110">
        <v>16.5</v>
      </c>
      <c r="D1101" s="110">
        <v>15.45</v>
      </c>
      <c r="E1101" s="110">
        <v>15.6</v>
      </c>
      <c r="F1101" s="110">
        <v>16.5</v>
      </c>
      <c r="G1101">
        <v>220018</v>
      </c>
      <c r="H1101" s="110"/>
      <c r="I1101" s="110"/>
      <c r="L1101" s="134">
        <v>43627</v>
      </c>
      <c r="M1101" s="110">
        <v>16.55</v>
      </c>
      <c r="N1101" s="110">
        <v>16.899999999999999</v>
      </c>
      <c r="O1101" s="110">
        <v>15.45</v>
      </c>
      <c r="P1101" s="110">
        <v>15.7</v>
      </c>
      <c r="Q1101" s="110">
        <v>16.55</v>
      </c>
      <c r="R1101">
        <v>2102339</v>
      </c>
    </row>
    <row r="1102" spans="1:18" x14ac:dyDescent="0.25">
      <c r="A1102" s="134">
        <v>43628</v>
      </c>
      <c r="B1102" s="110">
        <v>16.649999999999999</v>
      </c>
      <c r="C1102" s="110">
        <v>16.399999999999999</v>
      </c>
      <c r="D1102" s="110">
        <v>15.95</v>
      </c>
      <c r="E1102" s="110">
        <v>16.600000000000001</v>
      </c>
      <c r="F1102" s="110">
        <v>16.399999999999999</v>
      </c>
      <c r="G1102">
        <v>95074</v>
      </c>
      <c r="H1102" s="110"/>
      <c r="I1102" s="110"/>
      <c r="L1102" s="134">
        <v>43628</v>
      </c>
      <c r="M1102" s="110">
        <v>16.5</v>
      </c>
      <c r="N1102" s="110">
        <v>16.7</v>
      </c>
      <c r="O1102" s="110">
        <v>16.25</v>
      </c>
      <c r="P1102" s="110">
        <v>16.7</v>
      </c>
      <c r="Q1102" s="110">
        <v>16.5</v>
      </c>
      <c r="R1102">
        <v>881557</v>
      </c>
    </row>
    <row r="1103" spans="1:18" x14ac:dyDescent="0.25">
      <c r="A1103" s="134">
        <v>43629</v>
      </c>
      <c r="B1103" s="110">
        <v>16.649999999999999</v>
      </c>
      <c r="C1103" s="110">
        <v>16.100000000000001</v>
      </c>
      <c r="D1103" s="110">
        <v>15.95</v>
      </c>
      <c r="E1103" s="110">
        <v>16.45</v>
      </c>
      <c r="F1103" s="110">
        <v>16.100000000000001</v>
      </c>
      <c r="G1103">
        <v>117491</v>
      </c>
      <c r="H1103" s="110"/>
      <c r="I1103" s="110"/>
      <c r="L1103" s="134">
        <v>43629</v>
      </c>
      <c r="M1103" s="110">
        <v>16.149999999999999</v>
      </c>
      <c r="N1103" s="110">
        <v>16.649999999999999</v>
      </c>
      <c r="O1103" s="110">
        <v>16</v>
      </c>
      <c r="P1103" s="110">
        <v>16.649999999999999</v>
      </c>
      <c r="Q1103" s="110">
        <v>16.149999999999999</v>
      </c>
      <c r="R1103">
        <v>656767</v>
      </c>
    </row>
    <row r="1104" spans="1:18" x14ac:dyDescent="0.25">
      <c r="A1104" s="134">
        <v>43630</v>
      </c>
      <c r="B1104" s="110">
        <v>16.2</v>
      </c>
      <c r="C1104" s="110">
        <v>15.95</v>
      </c>
      <c r="D1104" s="110">
        <v>15.7</v>
      </c>
      <c r="E1104" s="110">
        <v>16.100000000000001</v>
      </c>
      <c r="F1104" s="110">
        <v>15.95</v>
      </c>
      <c r="G1104">
        <v>59364</v>
      </c>
      <c r="H1104" s="110"/>
      <c r="I1104" s="110"/>
      <c r="L1104" s="134">
        <v>43630</v>
      </c>
      <c r="M1104" s="110">
        <v>15.9</v>
      </c>
      <c r="N1104" s="110">
        <v>16.399999999999999</v>
      </c>
      <c r="O1104" s="110">
        <v>15.7</v>
      </c>
      <c r="P1104" s="110">
        <v>16.399999999999999</v>
      </c>
      <c r="Q1104" s="110">
        <v>15.9</v>
      </c>
      <c r="R1104">
        <v>385342</v>
      </c>
    </row>
    <row r="1105" spans="1:18" x14ac:dyDescent="0.25">
      <c r="A1105" s="134">
        <v>43633</v>
      </c>
      <c r="B1105" s="110">
        <v>16.05</v>
      </c>
      <c r="C1105" s="110">
        <v>15.7</v>
      </c>
      <c r="D1105" s="110">
        <v>15.65</v>
      </c>
      <c r="E1105" s="110">
        <v>16</v>
      </c>
      <c r="F1105" s="110">
        <v>15.7</v>
      </c>
      <c r="G1105">
        <v>29389</v>
      </c>
      <c r="H1105" s="110"/>
      <c r="I1105" s="110"/>
      <c r="L1105" s="134">
        <v>43633</v>
      </c>
      <c r="M1105" s="110">
        <v>15.75</v>
      </c>
      <c r="N1105" s="110">
        <v>16.149999999999999</v>
      </c>
      <c r="O1105" s="110">
        <v>15.7</v>
      </c>
      <c r="P1105" s="110">
        <v>16.149999999999999</v>
      </c>
      <c r="Q1105" s="110">
        <v>15.75</v>
      </c>
      <c r="R1105">
        <v>311881</v>
      </c>
    </row>
    <row r="1106" spans="1:18" x14ac:dyDescent="0.25">
      <c r="A1106" s="134">
        <v>43634</v>
      </c>
      <c r="B1106" s="110">
        <v>16</v>
      </c>
      <c r="C1106" s="110">
        <v>15.6</v>
      </c>
      <c r="D1106" s="110">
        <v>15.4</v>
      </c>
      <c r="E1106" s="110">
        <v>15.7</v>
      </c>
      <c r="F1106" s="110">
        <v>15.6</v>
      </c>
      <c r="G1106">
        <v>69004</v>
      </c>
      <c r="H1106" s="110"/>
      <c r="I1106" s="110"/>
      <c r="L1106" s="134">
        <v>43634</v>
      </c>
      <c r="M1106" s="110">
        <v>15.55</v>
      </c>
      <c r="N1106" s="110">
        <v>16</v>
      </c>
      <c r="O1106" s="110">
        <v>15.35</v>
      </c>
      <c r="P1106" s="110">
        <v>15.75</v>
      </c>
      <c r="Q1106" s="110">
        <v>15.55</v>
      </c>
      <c r="R1106">
        <v>464080</v>
      </c>
    </row>
    <row r="1107" spans="1:18" x14ac:dyDescent="0.25">
      <c r="A1107" s="134">
        <v>43635</v>
      </c>
      <c r="B1107" s="110">
        <v>15.9</v>
      </c>
      <c r="C1107" s="110">
        <v>14.6</v>
      </c>
      <c r="D1107" s="110">
        <v>14.4</v>
      </c>
      <c r="E1107" s="110">
        <v>15.6</v>
      </c>
      <c r="F1107" s="110">
        <v>14.6</v>
      </c>
      <c r="G1107">
        <v>157083</v>
      </c>
      <c r="H1107" s="110"/>
      <c r="I1107" s="110"/>
      <c r="L1107" s="134">
        <v>43635</v>
      </c>
      <c r="M1107" s="110">
        <v>14.5</v>
      </c>
      <c r="N1107" s="110">
        <v>15.85</v>
      </c>
      <c r="O1107" s="110">
        <v>14.3</v>
      </c>
      <c r="P1107" s="110">
        <v>15.55</v>
      </c>
      <c r="Q1107" s="110">
        <v>14.5</v>
      </c>
      <c r="R1107">
        <v>1168092</v>
      </c>
    </row>
    <row r="1108" spans="1:18" x14ac:dyDescent="0.25">
      <c r="A1108" s="134">
        <v>43636</v>
      </c>
      <c r="B1108" s="110">
        <v>15.15</v>
      </c>
      <c r="C1108" s="110">
        <v>14.95</v>
      </c>
      <c r="D1108" s="110">
        <v>14.25</v>
      </c>
      <c r="E1108" s="110">
        <v>14.55</v>
      </c>
      <c r="F1108" s="110">
        <v>14.95</v>
      </c>
      <c r="G1108">
        <v>94789</v>
      </c>
      <c r="H1108" s="110"/>
      <c r="I1108" s="110"/>
      <c r="L1108" s="134">
        <v>43636</v>
      </c>
      <c r="M1108" s="110">
        <v>14.95</v>
      </c>
      <c r="N1108" s="110">
        <v>15.15</v>
      </c>
      <c r="O1108" s="110">
        <v>14.25</v>
      </c>
      <c r="P1108" s="110">
        <v>14.4</v>
      </c>
      <c r="Q1108" s="110">
        <v>14.95</v>
      </c>
      <c r="R1108">
        <v>707100</v>
      </c>
    </row>
    <row r="1109" spans="1:18" x14ac:dyDescent="0.25">
      <c r="A1109" s="134">
        <v>43637</v>
      </c>
      <c r="B1109" s="110">
        <v>15.2</v>
      </c>
      <c r="C1109" s="110">
        <v>14.95</v>
      </c>
      <c r="D1109" s="110">
        <v>14.7</v>
      </c>
      <c r="E1109" s="110">
        <v>14.85</v>
      </c>
      <c r="F1109" s="110">
        <v>14.95</v>
      </c>
      <c r="G1109">
        <v>64090</v>
      </c>
      <c r="H1109" s="110"/>
      <c r="I1109" s="110"/>
      <c r="L1109" s="134">
        <v>43637</v>
      </c>
      <c r="M1109" s="110">
        <v>15</v>
      </c>
      <c r="N1109" s="110">
        <v>15.3</v>
      </c>
      <c r="O1109" s="110">
        <v>14.8</v>
      </c>
      <c r="P1109" s="110">
        <v>14.95</v>
      </c>
      <c r="Q1109" s="110">
        <v>15</v>
      </c>
      <c r="R1109">
        <v>494572</v>
      </c>
    </row>
    <row r="1110" spans="1:18" x14ac:dyDescent="0.25">
      <c r="A1110" s="134">
        <v>43640</v>
      </c>
      <c r="B1110" s="110">
        <v>15.4</v>
      </c>
      <c r="C1110" s="110">
        <v>14.9</v>
      </c>
      <c r="D1110" s="110">
        <v>14.75</v>
      </c>
      <c r="E1110" s="110">
        <v>14.95</v>
      </c>
      <c r="F1110" s="110">
        <v>14.9</v>
      </c>
      <c r="G1110">
        <v>78749</v>
      </c>
      <c r="H1110" s="110"/>
      <c r="I1110" s="110"/>
      <c r="L1110" s="134">
        <v>43640</v>
      </c>
      <c r="M1110" s="110">
        <v>14.9</v>
      </c>
      <c r="N1110" s="110">
        <v>15.45</v>
      </c>
      <c r="O1110" s="110">
        <v>14.8</v>
      </c>
      <c r="P1110" s="110">
        <v>14.95</v>
      </c>
      <c r="Q1110" s="110">
        <v>14.9</v>
      </c>
      <c r="R1110">
        <v>432713</v>
      </c>
    </row>
    <row r="1111" spans="1:18" x14ac:dyDescent="0.25">
      <c r="A1111" s="134">
        <v>43641</v>
      </c>
      <c r="B1111" s="110">
        <v>15.4</v>
      </c>
      <c r="C1111" s="110">
        <v>15.25</v>
      </c>
      <c r="D1111" s="110">
        <v>14.9</v>
      </c>
      <c r="E1111" s="110">
        <v>14.9</v>
      </c>
      <c r="F1111" s="110">
        <v>15.25</v>
      </c>
      <c r="G1111">
        <v>48496</v>
      </c>
      <c r="H1111" s="110"/>
      <c r="I1111" s="110"/>
      <c r="L1111" s="134">
        <v>43641</v>
      </c>
      <c r="M1111" s="110">
        <v>15.3</v>
      </c>
      <c r="N1111" s="110">
        <v>15.35</v>
      </c>
      <c r="O1111" s="110">
        <v>14.7</v>
      </c>
      <c r="P1111" s="110">
        <v>14.9</v>
      </c>
      <c r="Q1111" s="110">
        <v>15.3</v>
      </c>
      <c r="R1111">
        <v>400765</v>
      </c>
    </row>
    <row r="1112" spans="1:18" x14ac:dyDescent="0.25">
      <c r="A1112" s="134">
        <v>43642</v>
      </c>
      <c r="B1112" s="110">
        <v>16.75</v>
      </c>
      <c r="C1112" s="110">
        <v>15.55</v>
      </c>
      <c r="D1112" s="110">
        <v>15.2</v>
      </c>
      <c r="E1112" s="110">
        <v>15.2</v>
      </c>
      <c r="F1112" s="110">
        <v>15.55</v>
      </c>
      <c r="G1112">
        <v>72150</v>
      </c>
      <c r="H1112" s="110"/>
      <c r="I1112" s="110"/>
      <c r="L1112" s="134">
        <v>43642</v>
      </c>
      <c r="M1112" s="110">
        <v>15.55</v>
      </c>
      <c r="N1112" s="110">
        <v>15.75</v>
      </c>
      <c r="O1112" s="110">
        <v>15.2</v>
      </c>
      <c r="P1112" s="110">
        <v>15.3</v>
      </c>
      <c r="Q1112" s="110">
        <v>15.55</v>
      </c>
      <c r="R1112">
        <v>537605</v>
      </c>
    </row>
    <row r="1113" spans="1:18" x14ac:dyDescent="0.25">
      <c r="A1113" s="134">
        <v>43643</v>
      </c>
      <c r="B1113" s="110">
        <v>15.75</v>
      </c>
      <c r="C1113" s="110">
        <v>15.55</v>
      </c>
      <c r="D1113" s="110">
        <v>15.5</v>
      </c>
      <c r="E1113" s="110">
        <v>15.55</v>
      </c>
      <c r="F1113" s="110">
        <v>15.55</v>
      </c>
      <c r="G1113">
        <v>44057</v>
      </c>
      <c r="H1113" s="110"/>
      <c r="I1113" s="110"/>
      <c r="L1113" s="134">
        <v>43643</v>
      </c>
      <c r="M1113" s="110">
        <v>15.6</v>
      </c>
      <c r="N1113" s="110">
        <v>15.75</v>
      </c>
      <c r="O1113" s="110">
        <v>15.5</v>
      </c>
      <c r="P1113" s="110">
        <v>15.6</v>
      </c>
      <c r="Q1113" s="110">
        <v>15.6</v>
      </c>
      <c r="R1113">
        <v>319369</v>
      </c>
    </row>
    <row r="1114" spans="1:18" x14ac:dyDescent="0.25">
      <c r="A1114" s="134">
        <v>43644</v>
      </c>
      <c r="B1114" s="110">
        <v>16.399999999999999</v>
      </c>
      <c r="C1114" s="110">
        <v>15.75</v>
      </c>
      <c r="D1114" s="110">
        <v>15.7</v>
      </c>
      <c r="E1114" s="110">
        <v>16.05</v>
      </c>
      <c r="F1114" s="110">
        <v>15.75</v>
      </c>
      <c r="G1114">
        <v>192554</v>
      </c>
      <c r="H1114" s="110"/>
      <c r="I1114" s="110"/>
      <c r="L1114" s="134">
        <v>43644</v>
      </c>
      <c r="M1114" s="110">
        <v>15.75</v>
      </c>
      <c r="N1114" s="110">
        <v>16.3</v>
      </c>
      <c r="O1114" s="110">
        <v>15.65</v>
      </c>
      <c r="P1114" s="110">
        <v>16</v>
      </c>
      <c r="Q1114" s="110">
        <v>15.75</v>
      </c>
      <c r="R1114">
        <v>1093376</v>
      </c>
    </row>
    <row r="1115" spans="1:18" x14ac:dyDescent="0.25">
      <c r="A1115" s="134">
        <v>43647</v>
      </c>
      <c r="B1115" s="110">
        <v>16</v>
      </c>
      <c r="C1115" s="110">
        <v>15.9</v>
      </c>
      <c r="D1115" s="110">
        <v>15.7</v>
      </c>
      <c r="E1115" s="110">
        <v>15.75</v>
      </c>
      <c r="F1115" s="110">
        <v>15.9</v>
      </c>
      <c r="G1115">
        <v>24748</v>
      </c>
      <c r="H1115" s="110"/>
      <c r="I1115" s="110"/>
      <c r="L1115" s="134">
        <v>43647</v>
      </c>
      <c r="M1115" s="110">
        <v>15.95</v>
      </c>
      <c r="N1115" s="110">
        <v>16.05</v>
      </c>
      <c r="O1115" s="110">
        <v>15.85</v>
      </c>
      <c r="P1115" s="110">
        <v>16.05</v>
      </c>
      <c r="Q1115" s="110">
        <v>15.95</v>
      </c>
      <c r="R1115">
        <v>206543</v>
      </c>
    </row>
    <row r="1116" spans="1:18" x14ac:dyDescent="0.25">
      <c r="A1116" s="134">
        <v>43648</v>
      </c>
      <c r="B1116" s="110">
        <v>15.95</v>
      </c>
      <c r="C1116" s="110">
        <v>15.6</v>
      </c>
      <c r="D1116" s="110">
        <v>15.25</v>
      </c>
      <c r="E1116" s="110">
        <v>15.85</v>
      </c>
      <c r="F1116" s="110">
        <v>15.6</v>
      </c>
      <c r="G1116">
        <v>70264</v>
      </c>
      <c r="H1116" s="110"/>
      <c r="I1116" s="110"/>
      <c r="L1116" s="134">
        <v>43648</v>
      </c>
      <c r="M1116" s="110">
        <v>15.6</v>
      </c>
      <c r="N1116" s="110">
        <v>16</v>
      </c>
      <c r="O1116" s="110">
        <v>15.25</v>
      </c>
      <c r="P1116" s="110">
        <v>16</v>
      </c>
      <c r="Q1116" s="110">
        <v>15.6</v>
      </c>
      <c r="R1116">
        <v>547622</v>
      </c>
    </row>
    <row r="1117" spans="1:18" x14ac:dyDescent="0.25">
      <c r="A1117" s="134">
        <v>43649</v>
      </c>
      <c r="B1117" s="110">
        <v>16.100000000000001</v>
      </c>
      <c r="C1117" s="110">
        <v>16</v>
      </c>
      <c r="D1117" s="110">
        <v>15.55</v>
      </c>
      <c r="E1117" s="110">
        <v>16</v>
      </c>
      <c r="F1117" s="110">
        <v>16</v>
      </c>
      <c r="G1117">
        <v>39317</v>
      </c>
      <c r="H1117" s="110"/>
      <c r="I1117" s="110"/>
      <c r="L1117" s="134">
        <v>43649</v>
      </c>
      <c r="M1117" s="110">
        <v>16</v>
      </c>
      <c r="N1117" s="110">
        <v>16.05</v>
      </c>
      <c r="O1117" s="110">
        <v>15.5</v>
      </c>
      <c r="P1117" s="110">
        <v>15.5</v>
      </c>
      <c r="Q1117" s="110">
        <v>16</v>
      </c>
      <c r="R1117">
        <v>646755</v>
      </c>
    </row>
    <row r="1118" spans="1:18" x14ac:dyDescent="0.25">
      <c r="A1118" s="134">
        <v>43650</v>
      </c>
      <c r="B1118" s="110">
        <v>17</v>
      </c>
      <c r="C1118" s="110">
        <v>16.5</v>
      </c>
      <c r="D1118" s="110">
        <v>16.3</v>
      </c>
      <c r="E1118" s="110">
        <v>17</v>
      </c>
      <c r="F1118" s="110">
        <v>16.5</v>
      </c>
      <c r="G1118">
        <v>72552</v>
      </c>
      <c r="H1118" s="110"/>
      <c r="I1118" s="110"/>
      <c r="L1118" s="134">
        <v>43650</v>
      </c>
      <c r="M1118" s="110">
        <v>16.5</v>
      </c>
      <c r="N1118" s="110">
        <v>16.649999999999999</v>
      </c>
      <c r="O1118" s="110">
        <v>16.2</v>
      </c>
      <c r="P1118" s="110">
        <v>16.25</v>
      </c>
      <c r="Q1118" s="110">
        <v>16.5</v>
      </c>
      <c r="R1118">
        <v>1055681</v>
      </c>
    </row>
    <row r="1119" spans="1:18" x14ac:dyDescent="0.25">
      <c r="A1119" s="134">
        <v>43651</v>
      </c>
      <c r="B1119" s="110">
        <v>16.75</v>
      </c>
      <c r="C1119" s="110">
        <v>16.600000000000001</v>
      </c>
      <c r="D1119" s="110">
        <v>16.3</v>
      </c>
      <c r="E1119" s="110">
        <v>16.600000000000001</v>
      </c>
      <c r="F1119" s="110">
        <v>16.600000000000001</v>
      </c>
      <c r="G1119">
        <v>99273</v>
      </c>
      <c r="H1119" s="110"/>
      <c r="I1119" s="110"/>
      <c r="L1119" s="134">
        <v>43651</v>
      </c>
      <c r="M1119" s="110">
        <v>16.649999999999999</v>
      </c>
      <c r="N1119" s="110">
        <v>16.75</v>
      </c>
      <c r="O1119" s="110">
        <v>16.149999999999999</v>
      </c>
      <c r="P1119" s="110">
        <v>16.7</v>
      </c>
      <c r="Q1119" s="110">
        <v>16.649999999999999</v>
      </c>
      <c r="R1119">
        <v>1890702</v>
      </c>
    </row>
    <row r="1120" spans="1:18" x14ac:dyDescent="0.25">
      <c r="A1120" s="134">
        <v>43654</v>
      </c>
      <c r="B1120" s="110">
        <v>16.7</v>
      </c>
      <c r="C1120" s="110">
        <v>16.100000000000001</v>
      </c>
      <c r="D1120" s="110">
        <v>15.9</v>
      </c>
      <c r="E1120" s="110">
        <v>16.7</v>
      </c>
      <c r="F1120" s="110">
        <v>16.100000000000001</v>
      </c>
      <c r="G1120">
        <v>60502</v>
      </c>
      <c r="H1120" s="110"/>
      <c r="I1120" s="110"/>
      <c r="L1120" s="134">
        <v>43654</v>
      </c>
      <c r="M1120" s="110">
        <v>16.05</v>
      </c>
      <c r="N1120" s="110">
        <v>16.649999999999999</v>
      </c>
      <c r="O1120" s="110">
        <v>15.85</v>
      </c>
      <c r="P1120" s="110">
        <v>16.649999999999999</v>
      </c>
      <c r="Q1120" s="110">
        <v>16.05</v>
      </c>
      <c r="R1120">
        <v>669212</v>
      </c>
    </row>
    <row r="1121" spans="1:18" x14ac:dyDescent="0.25">
      <c r="A1121" s="134">
        <v>43655</v>
      </c>
      <c r="B1121" s="110">
        <v>16.100000000000001</v>
      </c>
      <c r="C1121" s="110">
        <v>16</v>
      </c>
      <c r="D1121" s="110">
        <v>15.75</v>
      </c>
      <c r="E1121" s="110">
        <v>16</v>
      </c>
      <c r="F1121" s="110">
        <v>16</v>
      </c>
      <c r="G1121">
        <v>71178</v>
      </c>
      <c r="H1121" s="110"/>
      <c r="I1121" s="110"/>
      <c r="L1121" s="134">
        <v>43655</v>
      </c>
      <c r="M1121" s="110">
        <v>16</v>
      </c>
      <c r="N1121" s="110">
        <v>16.05</v>
      </c>
      <c r="O1121" s="110">
        <v>15.6</v>
      </c>
      <c r="P1121" s="110">
        <v>16</v>
      </c>
      <c r="Q1121" s="110">
        <v>16</v>
      </c>
      <c r="R1121">
        <v>350418</v>
      </c>
    </row>
    <row r="1122" spans="1:18" x14ac:dyDescent="0.25">
      <c r="A1122" s="134">
        <v>43656</v>
      </c>
      <c r="B1122" s="110">
        <v>16.600000000000001</v>
      </c>
      <c r="C1122" s="110">
        <v>16</v>
      </c>
      <c r="D1122" s="110">
        <v>15.8</v>
      </c>
      <c r="E1122" s="110">
        <v>16.05</v>
      </c>
      <c r="F1122" s="110">
        <v>16</v>
      </c>
      <c r="G1122">
        <v>164176</v>
      </c>
      <c r="H1122" s="110"/>
      <c r="I1122" s="110"/>
      <c r="L1122" s="134">
        <v>43656</v>
      </c>
      <c r="M1122" s="110">
        <v>16</v>
      </c>
      <c r="N1122" s="110">
        <v>16.600000000000001</v>
      </c>
      <c r="O1122" s="110">
        <v>15.85</v>
      </c>
      <c r="P1122" s="110">
        <v>16.100000000000001</v>
      </c>
      <c r="Q1122" s="110">
        <v>16</v>
      </c>
      <c r="R1122">
        <v>828567</v>
      </c>
    </row>
    <row r="1123" spans="1:18" x14ac:dyDescent="0.25">
      <c r="A1123" s="134">
        <v>43657</v>
      </c>
      <c r="B1123" s="110">
        <v>16.25</v>
      </c>
      <c r="C1123" s="110">
        <v>16.100000000000001</v>
      </c>
      <c r="D1123" s="110">
        <v>16</v>
      </c>
      <c r="E1123" s="110">
        <v>16.05</v>
      </c>
      <c r="F1123" s="110">
        <v>16.100000000000001</v>
      </c>
      <c r="G1123">
        <v>40847</v>
      </c>
      <c r="H1123" s="110"/>
      <c r="I1123" s="110"/>
      <c r="L1123" s="134">
        <v>43657</v>
      </c>
      <c r="M1123" s="110">
        <v>16.05</v>
      </c>
      <c r="N1123" s="110">
        <v>16.25</v>
      </c>
      <c r="O1123" s="110">
        <v>16</v>
      </c>
      <c r="P1123" s="110">
        <v>16.100000000000001</v>
      </c>
      <c r="Q1123" s="110">
        <v>16.05</v>
      </c>
      <c r="R1123">
        <v>216928</v>
      </c>
    </row>
    <row r="1124" spans="1:18" x14ac:dyDescent="0.25">
      <c r="A1124" s="134">
        <v>43658</v>
      </c>
      <c r="B1124" s="110">
        <v>16.3</v>
      </c>
      <c r="C1124" s="110">
        <v>15.9</v>
      </c>
      <c r="D1124" s="110">
        <v>15.85</v>
      </c>
      <c r="E1124" s="110">
        <v>16.3</v>
      </c>
      <c r="F1124" s="110">
        <v>15.9</v>
      </c>
      <c r="G1124">
        <v>15090</v>
      </c>
      <c r="H1124" s="110"/>
      <c r="I1124" s="110"/>
      <c r="L1124" s="134">
        <v>43658</v>
      </c>
      <c r="M1124" s="110">
        <v>15.9</v>
      </c>
      <c r="N1124" s="110">
        <v>16.25</v>
      </c>
      <c r="O1124" s="110">
        <v>15.85</v>
      </c>
      <c r="P1124" s="110">
        <v>16.2</v>
      </c>
      <c r="Q1124" s="110">
        <v>15.9</v>
      </c>
      <c r="R1124">
        <v>308756</v>
      </c>
    </row>
    <row r="1125" spans="1:18" x14ac:dyDescent="0.25">
      <c r="A1125" s="134">
        <v>43661</v>
      </c>
      <c r="B1125" s="110">
        <v>15.9</v>
      </c>
      <c r="C1125" s="110">
        <v>15.75</v>
      </c>
      <c r="D1125" s="110">
        <v>15.75</v>
      </c>
      <c r="E1125" s="110">
        <v>15.9</v>
      </c>
      <c r="F1125" s="110">
        <v>15.75</v>
      </c>
      <c r="G1125">
        <v>21343</v>
      </c>
      <c r="H1125" s="110"/>
      <c r="I1125" s="110"/>
      <c r="L1125" s="134">
        <v>43661</v>
      </c>
      <c r="M1125" s="110">
        <v>15.8</v>
      </c>
      <c r="N1125" s="110">
        <v>16</v>
      </c>
      <c r="O1125" s="110">
        <v>15.75</v>
      </c>
      <c r="P1125" s="110">
        <v>15.9</v>
      </c>
      <c r="Q1125" s="110">
        <v>15.8</v>
      </c>
      <c r="R1125">
        <v>213281</v>
      </c>
    </row>
    <row r="1126" spans="1:18" x14ac:dyDescent="0.25">
      <c r="A1126" s="134">
        <v>43662</v>
      </c>
      <c r="B1126" s="110">
        <v>16</v>
      </c>
      <c r="C1126" s="110">
        <v>15.85</v>
      </c>
      <c r="D1126" s="110">
        <v>15.7</v>
      </c>
      <c r="E1126" s="110">
        <v>15.8</v>
      </c>
      <c r="F1126" s="110">
        <v>15.85</v>
      </c>
      <c r="G1126">
        <v>72711</v>
      </c>
      <c r="H1126" s="110"/>
      <c r="I1126" s="110"/>
      <c r="L1126" s="134">
        <v>43662</v>
      </c>
      <c r="M1126" s="110">
        <v>15.85</v>
      </c>
      <c r="N1126" s="110">
        <v>16</v>
      </c>
      <c r="O1126" s="110">
        <v>15.5</v>
      </c>
      <c r="P1126" s="110">
        <v>15.8</v>
      </c>
      <c r="Q1126" s="110">
        <v>15.85</v>
      </c>
      <c r="R1126">
        <v>208654</v>
      </c>
    </row>
    <row r="1127" spans="1:18" x14ac:dyDescent="0.25">
      <c r="A1127" s="134">
        <v>43663</v>
      </c>
      <c r="B1127" s="110">
        <v>15.95</v>
      </c>
      <c r="C1127" s="110">
        <v>15.8</v>
      </c>
      <c r="D1127" s="110">
        <v>15.7</v>
      </c>
      <c r="E1127" s="110">
        <v>15.85</v>
      </c>
      <c r="F1127" s="110">
        <v>15.8</v>
      </c>
      <c r="G1127">
        <v>45737</v>
      </c>
      <c r="H1127" s="110"/>
      <c r="I1127" s="110"/>
      <c r="L1127" s="134">
        <v>43663</v>
      </c>
      <c r="M1127" s="110">
        <v>15.85</v>
      </c>
      <c r="N1127" s="110">
        <v>16</v>
      </c>
      <c r="O1127" s="110">
        <v>15.75</v>
      </c>
      <c r="P1127" s="110">
        <v>16</v>
      </c>
      <c r="Q1127" s="110">
        <v>15.85</v>
      </c>
      <c r="R1127">
        <v>175995</v>
      </c>
    </row>
    <row r="1128" spans="1:18" x14ac:dyDescent="0.25">
      <c r="A1128" s="134">
        <v>43664</v>
      </c>
      <c r="B1128" s="110">
        <v>15.8</v>
      </c>
      <c r="C1128" s="110">
        <v>15.55</v>
      </c>
      <c r="D1128" s="110">
        <v>15.5</v>
      </c>
      <c r="E1128" s="110">
        <v>15.8</v>
      </c>
      <c r="F1128" s="110">
        <v>15.55</v>
      </c>
      <c r="G1128">
        <v>22319</v>
      </c>
      <c r="H1128" s="110"/>
      <c r="I1128" s="110"/>
      <c r="L1128" s="134">
        <v>43664</v>
      </c>
      <c r="M1128" s="110">
        <v>15.5</v>
      </c>
      <c r="N1128" s="110">
        <v>15.85</v>
      </c>
      <c r="O1128" s="110">
        <v>15.5</v>
      </c>
      <c r="P1128" s="110">
        <v>15.85</v>
      </c>
      <c r="Q1128" s="110">
        <v>15.5</v>
      </c>
      <c r="R1128">
        <v>176335</v>
      </c>
    </row>
    <row r="1129" spans="1:18" x14ac:dyDescent="0.25">
      <c r="A1129" s="134">
        <v>43665</v>
      </c>
      <c r="B1129" s="110">
        <v>15.6</v>
      </c>
      <c r="C1129" s="110">
        <v>14.95</v>
      </c>
      <c r="D1129" s="110">
        <v>14.8</v>
      </c>
      <c r="E1129" s="110">
        <v>15.55</v>
      </c>
      <c r="F1129" s="110">
        <v>14.95</v>
      </c>
      <c r="G1129">
        <v>87269</v>
      </c>
      <c r="H1129" s="110"/>
      <c r="I1129" s="110"/>
      <c r="L1129" s="134">
        <v>43665</v>
      </c>
      <c r="M1129" s="110">
        <v>14.9</v>
      </c>
      <c r="N1129" s="110">
        <v>15.75</v>
      </c>
      <c r="O1129" s="110">
        <v>14.85</v>
      </c>
      <c r="P1129" s="110">
        <v>15.55</v>
      </c>
      <c r="Q1129" s="110">
        <v>14.9</v>
      </c>
      <c r="R1129">
        <v>462006</v>
      </c>
    </row>
    <row r="1130" spans="1:18" x14ac:dyDescent="0.25">
      <c r="A1130" s="134">
        <v>43668</v>
      </c>
      <c r="B1130" s="110">
        <v>14.9</v>
      </c>
      <c r="C1130" s="110">
        <v>14.65</v>
      </c>
      <c r="D1130" s="110">
        <v>14.3</v>
      </c>
      <c r="E1130" s="110">
        <v>14.9</v>
      </c>
      <c r="F1130" s="110">
        <v>14.65</v>
      </c>
      <c r="G1130">
        <v>61288</v>
      </c>
      <c r="H1130" s="110"/>
      <c r="I1130" s="110"/>
      <c r="L1130" s="134">
        <v>43668</v>
      </c>
      <c r="M1130" s="110">
        <v>14.6</v>
      </c>
      <c r="N1130" s="110">
        <v>14.85</v>
      </c>
      <c r="O1130" s="110">
        <v>14.3</v>
      </c>
      <c r="P1130" s="110">
        <v>14.85</v>
      </c>
      <c r="Q1130" s="110">
        <v>14.6</v>
      </c>
      <c r="R1130">
        <v>570010</v>
      </c>
    </row>
    <row r="1131" spans="1:18" x14ac:dyDescent="0.25">
      <c r="A1131" s="134">
        <v>43669</v>
      </c>
      <c r="B1131" s="110">
        <v>14.95</v>
      </c>
      <c r="C1131" s="110">
        <v>14.5</v>
      </c>
      <c r="D1131" s="110">
        <v>14.4</v>
      </c>
      <c r="E1131" s="110">
        <v>14.95</v>
      </c>
      <c r="F1131" s="110">
        <v>14.5</v>
      </c>
      <c r="G1131">
        <v>120015</v>
      </c>
      <c r="H1131" s="110"/>
      <c r="I1131" s="110"/>
      <c r="L1131" s="134">
        <v>43669</v>
      </c>
      <c r="M1131" s="110">
        <v>14.45</v>
      </c>
      <c r="N1131" s="110">
        <v>14.95</v>
      </c>
      <c r="O1131" s="110">
        <v>14.4</v>
      </c>
      <c r="P1131" s="110">
        <v>14.7</v>
      </c>
      <c r="Q1131" s="110">
        <v>14.45</v>
      </c>
      <c r="R1131">
        <v>471576</v>
      </c>
    </row>
    <row r="1132" spans="1:18" x14ac:dyDescent="0.25">
      <c r="A1132" s="134">
        <v>43670</v>
      </c>
      <c r="B1132" s="110">
        <v>14.5</v>
      </c>
      <c r="C1132" s="110">
        <v>14.3</v>
      </c>
      <c r="D1132" s="110">
        <v>14.2</v>
      </c>
      <c r="E1132" s="110">
        <v>14.5</v>
      </c>
      <c r="F1132" s="110">
        <v>14.3</v>
      </c>
      <c r="G1132">
        <v>42848</v>
      </c>
      <c r="H1132" s="110"/>
      <c r="I1132" s="110"/>
      <c r="L1132" s="134">
        <v>43670</v>
      </c>
      <c r="M1132" s="110">
        <v>14.35</v>
      </c>
      <c r="N1132" s="110">
        <v>14.55</v>
      </c>
      <c r="O1132" s="110">
        <v>14.15</v>
      </c>
      <c r="P1132" s="110">
        <v>14.55</v>
      </c>
      <c r="Q1132" s="110">
        <v>14.35</v>
      </c>
      <c r="R1132">
        <v>347388</v>
      </c>
    </row>
    <row r="1133" spans="1:18" x14ac:dyDescent="0.25">
      <c r="A1133" s="134">
        <v>43671</v>
      </c>
      <c r="B1133" s="110">
        <v>14.5</v>
      </c>
      <c r="C1133" s="110">
        <v>14.2</v>
      </c>
      <c r="D1133" s="110">
        <v>14.2</v>
      </c>
      <c r="E1133" s="110">
        <v>14.35</v>
      </c>
      <c r="F1133" s="110">
        <v>14.2</v>
      </c>
      <c r="G1133">
        <v>27419</v>
      </c>
      <c r="H1133" s="110"/>
      <c r="I1133" s="110"/>
      <c r="L1133" s="134">
        <v>43671</v>
      </c>
      <c r="M1133" s="110">
        <v>14.25</v>
      </c>
      <c r="N1133" s="110">
        <v>14.55</v>
      </c>
      <c r="O1133" s="110">
        <v>14.2</v>
      </c>
      <c r="P1133" s="110">
        <v>14.35</v>
      </c>
      <c r="Q1133" s="110">
        <v>14.25</v>
      </c>
      <c r="R1133">
        <v>218228</v>
      </c>
    </row>
    <row r="1134" spans="1:18" x14ac:dyDescent="0.25">
      <c r="A1134" s="134">
        <v>43672</v>
      </c>
      <c r="B1134" s="110">
        <v>14.65</v>
      </c>
      <c r="C1134" s="110">
        <v>14.5</v>
      </c>
      <c r="D1134" s="110">
        <v>14.15</v>
      </c>
      <c r="E1134" s="110">
        <v>14.3</v>
      </c>
      <c r="F1134" s="110">
        <v>14.5</v>
      </c>
      <c r="G1134">
        <v>65527</v>
      </c>
      <c r="H1134" s="110"/>
      <c r="I1134" s="110"/>
      <c r="L1134" s="134">
        <v>43672</v>
      </c>
      <c r="M1134" s="110">
        <v>14.5</v>
      </c>
      <c r="N1134" s="110">
        <v>14.65</v>
      </c>
      <c r="O1134" s="110">
        <v>14.05</v>
      </c>
      <c r="P1134" s="110">
        <v>14.05</v>
      </c>
      <c r="Q1134" s="110">
        <v>14.5</v>
      </c>
      <c r="R1134">
        <v>412131</v>
      </c>
    </row>
    <row r="1135" spans="1:18" x14ac:dyDescent="0.25">
      <c r="A1135" s="134">
        <v>43675</v>
      </c>
      <c r="B1135" s="110">
        <v>14.9</v>
      </c>
      <c r="C1135" s="110">
        <v>14.2</v>
      </c>
      <c r="D1135" s="110">
        <v>14.1</v>
      </c>
      <c r="E1135" s="110">
        <v>14.55</v>
      </c>
      <c r="F1135" s="110">
        <v>14.2</v>
      </c>
      <c r="G1135">
        <v>326923</v>
      </c>
      <c r="H1135" s="110"/>
      <c r="I1135" s="110"/>
      <c r="L1135" s="134">
        <v>43675</v>
      </c>
      <c r="M1135" s="110">
        <v>14.2</v>
      </c>
      <c r="N1135" s="110">
        <v>14.9</v>
      </c>
      <c r="O1135" s="110">
        <v>14.1</v>
      </c>
      <c r="P1135" s="110">
        <v>14.5</v>
      </c>
      <c r="Q1135" s="110">
        <v>14.2</v>
      </c>
      <c r="R1135">
        <v>3543836</v>
      </c>
    </row>
    <row r="1136" spans="1:18" x14ac:dyDescent="0.25">
      <c r="A1136" s="134">
        <v>43676</v>
      </c>
      <c r="B1136" s="110">
        <v>14.45</v>
      </c>
      <c r="C1136" s="110">
        <v>13.3</v>
      </c>
      <c r="D1136" s="110">
        <v>13.1</v>
      </c>
      <c r="E1136" s="110">
        <v>14.4</v>
      </c>
      <c r="F1136" s="110">
        <v>13.3</v>
      </c>
      <c r="G1136">
        <v>123801</v>
      </c>
      <c r="H1136" s="110"/>
      <c r="I1136" s="110"/>
      <c r="L1136" s="134">
        <v>43676</v>
      </c>
      <c r="M1136" s="110">
        <v>13.25</v>
      </c>
      <c r="N1136" s="110">
        <v>14.45</v>
      </c>
      <c r="O1136" s="110">
        <v>13.1</v>
      </c>
      <c r="P1136" s="110">
        <v>14.4</v>
      </c>
      <c r="Q1136" s="110">
        <v>13.25</v>
      </c>
      <c r="R1136">
        <v>1112817</v>
      </c>
    </row>
    <row r="1137" spans="1:18" x14ac:dyDescent="0.25">
      <c r="A1137" s="134">
        <v>43677</v>
      </c>
      <c r="B1137" s="110">
        <v>13.45</v>
      </c>
      <c r="C1137" s="110">
        <v>12.95</v>
      </c>
      <c r="D1137" s="110">
        <v>12.65</v>
      </c>
      <c r="E1137" s="110">
        <v>13.45</v>
      </c>
      <c r="F1137" s="110">
        <v>12.95</v>
      </c>
      <c r="G1137">
        <v>73278</v>
      </c>
      <c r="H1137" s="110"/>
      <c r="I1137" s="110"/>
      <c r="L1137" s="134">
        <v>43677</v>
      </c>
      <c r="M1137" s="110">
        <v>12.9</v>
      </c>
      <c r="N1137" s="110">
        <v>13.15</v>
      </c>
      <c r="O1137" s="110">
        <v>12.8</v>
      </c>
      <c r="P1137" s="110">
        <v>12.8</v>
      </c>
      <c r="Q1137" s="110">
        <v>12.9</v>
      </c>
      <c r="R1137">
        <v>750321</v>
      </c>
    </row>
    <row r="1138" spans="1:18" x14ac:dyDescent="0.25">
      <c r="A1138" s="134">
        <v>43678</v>
      </c>
      <c r="B1138" s="110">
        <v>13.13</v>
      </c>
      <c r="C1138" s="110">
        <v>12.8</v>
      </c>
      <c r="D1138" s="110">
        <v>12.61</v>
      </c>
      <c r="E1138" s="110">
        <v>12.97</v>
      </c>
      <c r="F1138" s="110">
        <v>12.8</v>
      </c>
      <c r="G1138">
        <v>56982</v>
      </c>
      <c r="H1138" s="110"/>
      <c r="I1138" s="110"/>
      <c r="L1138" s="134">
        <v>43678</v>
      </c>
      <c r="M1138" s="110">
        <v>12.75</v>
      </c>
      <c r="N1138" s="110">
        <v>13.1</v>
      </c>
      <c r="O1138" s="110">
        <v>12.55</v>
      </c>
      <c r="P1138" s="110">
        <v>12.9</v>
      </c>
      <c r="Q1138" s="110">
        <v>12.75</v>
      </c>
      <c r="R1138">
        <v>438919</v>
      </c>
    </row>
    <row r="1139" spans="1:18" x14ac:dyDescent="0.25">
      <c r="A1139" s="134">
        <v>43679</v>
      </c>
      <c r="B1139" s="110">
        <v>13</v>
      </c>
      <c r="C1139" s="110">
        <v>12.82</v>
      </c>
      <c r="D1139" s="110">
        <v>12.54</v>
      </c>
      <c r="E1139" s="110">
        <v>12.65</v>
      </c>
      <c r="F1139" s="110">
        <v>12.82</v>
      </c>
      <c r="G1139">
        <v>112697</v>
      </c>
      <c r="H1139" s="110"/>
      <c r="I1139" s="110"/>
      <c r="L1139" s="134">
        <v>43679</v>
      </c>
      <c r="M1139" s="110">
        <v>12.8</v>
      </c>
      <c r="N1139" s="110">
        <v>12.95</v>
      </c>
      <c r="O1139" s="110">
        <v>12.55</v>
      </c>
      <c r="P1139" s="110">
        <v>12.7</v>
      </c>
      <c r="Q1139" s="110">
        <v>12.8</v>
      </c>
      <c r="R1139">
        <v>499786</v>
      </c>
    </row>
    <row r="1140" spans="1:18" x14ac:dyDescent="0.25">
      <c r="A1140" s="134">
        <v>43682</v>
      </c>
      <c r="B1140" s="110">
        <v>12.8</v>
      </c>
      <c r="C1140" s="110">
        <v>12.28</v>
      </c>
      <c r="D1140" s="110">
        <v>12.01</v>
      </c>
      <c r="E1140" s="110">
        <v>12.8</v>
      </c>
      <c r="F1140" s="110">
        <v>12.28</v>
      </c>
      <c r="G1140">
        <v>44443</v>
      </c>
      <c r="H1140" s="110"/>
      <c r="I1140" s="110"/>
      <c r="L1140" s="134">
        <v>43682</v>
      </c>
      <c r="M1140" s="110">
        <v>12.25</v>
      </c>
      <c r="N1140" s="110">
        <v>12.7</v>
      </c>
      <c r="O1140" s="110">
        <v>12</v>
      </c>
      <c r="P1140" s="110">
        <v>12.7</v>
      </c>
      <c r="Q1140" s="110">
        <v>12.25</v>
      </c>
      <c r="R1140">
        <v>523374</v>
      </c>
    </row>
    <row r="1141" spans="1:18" x14ac:dyDescent="0.25">
      <c r="A1141" s="134">
        <v>43683</v>
      </c>
      <c r="B1141" s="110">
        <v>12.45</v>
      </c>
      <c r="C1141" s="110">
        <v>12.29</v>
      </c>
      <c r="D1141" s="110">
        <v>12.03</v>
      </c>
      <c r="E1141" s="110">
        <v>12.28</v>
      </c>
      <c r="F1141" s="110">
        <v>12.29</v>
      </c>
      <c r="G1141">
        <v>36680</v>
      </c>
      <c r="H1141" s="110"/>
      <c r="I1141" s="110"/>
      <c r="L1141" s="134">
        <v>43683</v>
      </c>
      <c r="M1141" s="110">
        <v>12.25</v>
      </c>
      <c r="N1141" s="110">
        <v>12.4</v>
      </c>
      <c r="O1141" s="110">
        <v>12.15</v>
      </c>
      <c r="P1141" s="110">
        <v>12.15</v>
      </c>
      <c r="Q1141" s="110">
        <v>12.25</v>
      </c>
      <c r="R1141">
        <v>421299</v>
      </c>
    </row>
    <row r="1142" spans="1:18" x14ac:dyDescent="0.25">
      <c r="A1142" s="134">
        <v>43684</v>
      </c>
      <c r="B1142" s="110">
        <v>12.57</v>
      </c>
      <c r="C1142" s="110">
        <v>12.27</v>
      </c>
      <c r="D1142" s="110">
        <v>12.2</v>
      </c>
      <c r="E1142" s="110">
        <v>12.48</v>
      </c>
      <c r="F1142" s="110">
        <v>12.27</v>
      </c>
      <c r="G1142">
        <v>34378</v>
      </c>
      <c r="H1142" s="110"/>
      <c r="I1142" s="110"/>
      <c r="L1142" s="134">
        <v>43684</v>
      </c>
      <c r="M1142" s="110">
        <v>12.25</v>
      </c>
      <c r="N1142" s="110">
        <v>12.6</v>
      </c>
      <c r="O1142" s="110">
        <v>12.2</v>
      </c>
      <c r="P1142" s="110">
        <v>12.5</v>
      </c>
      <c r="Q1142" s="110">
        <v>12.25</v>
      </c>
      <c r="R1142">
        <v>336141</v>
      </c>
    </row>
    <row r="1143" spans="1:18" x14ac:dyDescent="0.25">
      <c r="A1143" s="134">
        <v>43685</v>
      </c>
      <c r="B1143" s="110">
        <v>12.4</v>
      </c>
      <c r="C1143" s="110">
        <v>12.13</v>
      </c>
      <c r="D1143" s="110">
        <v>12</v>
      </c>
      <c r="E1143" s="110">
        <v>12.4</v>
      </c>
      <c r="F1143" s="110">
        <v>12.13</v>
      </c>
      <c r="G1143">
        <v>68366</v>
      </c>
      <c r="H1143" s="110"/>
      <c r="I1143" s="110"/>
      <c r="L1143" s="134">
        <v>43685</v>
      </c>
      <c r="M1143" s="110">
        <v>12.15</v>
      </c>
      <c r="N1143" s="110">
        <v>12.45</v>
      </c>
      <c r="O1143" s="110">
        <v>12.05</v>
      </c>
      <c r="P1143" s="110">
        <v>12.3</v>
      </c>
      <c r="Q1143" s="110">
        <v>12.15</v>
      </c>
      <c r="R1143">
        <v>503222</v>
      </c>
    </row>
    <row r="1144" spans="1:18" x14ac:dyDescent="0.25">
      <c r="A1144" s="134">
        <v>43686</v>
      </c>
      <c r="B1144" s="110">
        <v>12.35</v>
      </c>
      <c r="C1144" s="110">
        <v>12.17</v>
      </c>
      <c r="D1144" s="110">
        <v>12.14</v>
      </c>
      <c r="E1144" s="110">
        <v>12.25</v>
      </c>
      <c r="F1144" s="110">
        <v>12.17</v>
      </c>
      <c r="G1144">
        <v>37963</v>
      </c>
      <c r="H1144" s="110"/>
      <c r="I1144" s="110"/>
      <c r="L1144" s="134">
        <v>43686</v>
      </c>
      <c r="M1144" s="110">
        <v>12.15</v>
      </c>
      <c r="N1144" s="110">
        <v>12.35</v>
      </c>
      <c r="O1144" s="110">
        <v>12.1</v>
      </c>
      <c r="P1144" s="110">
        <v>12.2</v>
      </c>
      <c r="Q1144" s="110">
        <v>12.15</v>
      </c>
      <c r="R1144">
        <v>590004</v>
      </c>
    </row>
    <row r="1145" spans="1:18" x14ac:dyDescent="0.25">
      <c r="A1145" s="134">
        <v>43690</v>
      </c>
      <c r="B1145" s="110">
        <v>12.15</v>
      </c>
      <c r="C1145" s="110">
        <v>12.05</v>
      </c>
      <c r="D1145" s="110">
        <v>11.92</v>
      </c>
      <c r="E1145" s="110">
        <v>12.1</v>
      </c>
      <c r="F1145" s="110">
        <v>12.05</v>
      </c>
      <c r="G1145">
        <v>45925</v>
      </c>
      <c r="H1145" s="110"/>
      <c r="I1145" s="110"/>
      <c r="L1145" s="134">
        <v>43690</v>
      </c>
      <c r="M1145" s="110">
        <v>12.05</v>
      </c>
      <c r="N1145" s="110">
        <v>12.35</v>
      </c>
      <c r="O1145" s="110">
        <v>11.9</v>
      </c>
      <c r="P1145" s="110">
        <v>12.35</v>
      </c>
      <c r="Q1145" s="110">
        <v>12.05</v>
      </c>
      <c r="R1145">
        <v>327722</v>
      </c>
    </row>
    <row r="1146" spans="1:18" x14ac:dyDescent="0.25">
      <c r="A1146" s="134">
        <v>43691</v>
      </c>
      <c r="B1146" s="110">
        <v>12.03</v>
      </c>
      <c r="C1146" s="110">
        <v>11.88</v>
      </c>
      <c r="D1146" s="110">
        <v>11.83</v>
      </c>
      <c r="E1146" s="110">
        <v>12.03</v>
      </c>
      <c r="F1146" s="110">
        <v>11.88</v>
      </c>
      <c r="G1146">
        <v>32232</v>
      </c>
      <c r="H1146" s="110"/>
      <c r="I1146" s="110"/>
      <c r="L1146" s="134">
        <v>43691</v>
      </c>
      <c r="M1146" s="110">
        <v>11.9</v>
      </c>
      <c r="N1146" s="110">
        <v>12.1</v>
      </c>
      <c r="O1146" s="110">
        <v>11.8</v>
      </c>
      <c r="P1146" s="110">
        <v>12.05</v>
      </c>
      <c r="Q1146" s="110">
        <v>11.9</v>
      </c>
      <c r="R1146">
        <v>345512</v>
      </c>
    </row>
    <row r="1147" spans="1:18" x14ac:dyDescent="0.25">
      <c r="A1147" s="134">
        <v>43693</v>
      </c>
      <c r="B1147" s="110">
        <v>12.13</v>
      </c>
      <c r="C1147" s="110">
        <v>11.99</v>
      </c>
      <c r="D1147" s="110">
        <v>11.83</v>
      </c>
      <c r="E1147" s="110">
        <v>12</v>
      </c>
      <c r="F1147" s="110">
        <v>11.99</v>
      </c>
      <c r="G1147">
        <v>30200</v>
      </c>
      <c r="H1147" s="110"/>
      <c r="I1147" s="110"/>
      <c r="L1147" s="134">
        <v>43693</v>
      </c>
      <c r="M1147" s="110">
        <v>11.95</v>
      </c>
      <c r="N1147" s="110">
        <v>12.1</v>
      </c>
      <c r="O1147" s="110">
        <v>11.8</v>
      </c>
      <c r="P1147" s="110">
        <v>11.9</v>
      </c>
      <c r="Q1147" s="110">
        <v>11.95</v>
      </c>
      <c r="R1147">
        <v>350940</v>
      </c>
    </row>
    <row r="1148" spans="1:18" x14ac:dyDescent="0.25">
      <c r="A1148" s="134">
        <v>43696</v>
      </c>
      <c r="B1148" s="110">
        <v>12.2</v>
      </c>
      <c r="C1148" s="110">
        <v>11.89</v>
      </c>
      <c r="D1148" s="110">
        <v>11.82</v>
      </c>
      <c r="E1148" s="110">
        <v>12.2</v>
      </c>
      <c r="F1148" s="110">
        <v>11.89</v>
      </c>
      <c r="G1148">
        <v>13654</v>
      </c>
      <c r="H1148" s="110"/>
      <c r="I1148" s="110"/>
      <c r="L1148" s="134">
        <v>43696</v>
      </c>
      <c r="M1148" s="110">
        <v>11.9</v>
      </c>
      <c r="N1148" s="110">
        <v>12.1</v>
      </c>
      <c r="O1148" s="110">
        <v>11.8</v>
      </c>
      <c r="P1148" s="110">
        <v>11.95</v>
      </c>
      <c r="Q1148" s="110">
        <v>11.9</v>
      </c>
      <c r="R1148">
        <v>245559</v>
      </c>
    </row>
    <row r="1149" spans="1:18" x14ac:dyDescent="0.25">
      <c r="A1149" s="134">
        <v>43697</v>
      </c>
      <c r="B1149" s="110">
        <v>11.94</v>
      </c>
      <c r="C1149" s="110">
        <v>11.84</v>
      </c>
      <c r="D1149" s="110">
        <v>11.75</v>
      </c>
      <c r="E1149" s="110">
        <v>11.91</v>
      </c>
      <c r="F1149" s="110">
        <v>11.84</v>
      </c>
      <c r="G1149">
        <v>30419</v>
      </c>
      <c r="H1149" s="110"/>
      <c r="I1149" s="110"/>
      <c r="L1149" s="134">
        <v>43697</v>
      </c>
      <c r="M1149" s="110">
        <v>11.85</v>
      </c>
      <c r="N1149" s="110">
        <v>12.05</v>
      </c>
      <c r="O1149" s="110">
        <v>11.8</v>
      </c>
      <c r="P1149" s="110">
        <v>12.05</v>
      </c>
      <c r="Q1149" s="110">
        <v>11.85</v>
      </c>
      <c r="R1149">
        <v>359049</v>
      </c>
    </row>
    <row r="1150" spans="1:18" x14ac:dyDescent="0.25">
      <c r="A1150" s="134">
        <v>43698</v>
      </c>
      <c r="B1150" s="110">
        <v>11.91</v>
      </c>
      <c r="C1150" s="110">
        <v>11.66</v>
      </c>
      <c r="D1150" s="110">
        <v>11.61</v>
      </c>
      <c r="E1150" s="110">
        <v>11.91</v>
      </c>
      <c r="F1150" s="110">
        <v>11.66</v>
      </c>
      <c r="G1150">
        <v>17204</v>
      </c>
      <c r="H1150" s="110"/>
      <c r="I1150" s="110"/>
      <c r="L1150" s="134">
        <v>43698</v>
      </c>
      <c r="M1150" s="110">
        <v>11.65</v>
      </c>
      <c r="N1150" s="110">
        <v>11.9</v>
      </c>
      <c r="O1150" s="110">
        <v>11.65</v>
      </c>
      <c r="P1150" s="110">
        <v>11.9</v>
      </c>
      <c r="Q1150" s="110">
        <v>11.65</v>
      </c>
      <c r="R1150">
        <v>206715</v>
      </c>
    </row>
    <row r="1151" spans="1:18" x14ac:dyDescent="0.25">
      <c r="A1151" s="134">
        <v>43699</v>
      </c>
      <c r="B1151" s="110">
        <v>11.71</v>
      </c>
      <c r="C1151" s="110">
        <v>11.32</v>
      </c>
      <c r="D1151" s="110">
        <v>10.8</v>
      </c>
      <c r="E1151" s="110">
        <v>11.65</v>
      </c>
      <c r="F1151" s="110">
        <v>11.32</v>
      </c>
      <c r="G1151">
        <v>56573</v>
      </c>
      <c r="H1151" s="110"/>
      <c r="I1151" s="110"/>
      <c r="L1151" s="134">
        <v>43699</v>
      </c>
      <c r="M1151" s="110">
        <v>11.3</v>
      </c>
      <c r="N1151" s="110">
        <v>11.7</v>
      </c>
      <c r="O1151" s="110">
        <v>10.7</v>
      </c>
      <c r="P1151" s="110">
        <v>11.6</v>
      </c>
      <c r="Q1151" s="110">
        <v>11.3</v>
      </c>
      <c r="R1151">
        <v>489089</v>
      </c>
    </row>
    <row r="1152" spans="1:18" x14ac:dyDescent="0.25">
      <c r="A1152" s="134">
        <v>43700</v>
      </c>
      <c r="B1152" s="110">
        <v>11.5</v>
      </c>
      <c r="C1152" s="110">
        <v>11.38</v>
      </c>
      <c r="D1152" s="110">
        <v>11</v>
      </c>
      <c r="E1152" s="110">
        <v>11.4</v>
      </c>
      <c r="F1152" s="110">
        <v>11.38</v>
      </c>
      <c r="G1152">
        <v>23018</v>
      </c>
      <c r="H1152" s="110"/>
      <c r="I1152" s="110"/>
      <c r="L1152" s="134">
        <v>43700</v>
      </c>
      <c r="M1152" s="110">
        <v>11.4</v>
      </c>
      <c r="N1152" s="110">
        <v>11.55</v>
      </c>
      <c r="O1152" s="110">
        <v>11.15</v>
      </c>
      <c r="P1152" s="110">
        <v>11.4</v>
      </c>
      <c r="Q1152" s="110">
        <v>11.4</v>
      </c>
      <c r="R1152">
        <v>242865</v>
      </c>
    </row>
    <row r="1153" spans="1:18" x14ac:dyDescent="0.25">
      <c r="A1153" s="134">
        <v>43703</v>
      </c>
      <c r="B1153" s="110">
        <v>12.2</v>
      </c>
      <c r="C1153" s="110">
        <v>12.06</v>
      </c>
      <c r="D1153" s="110">
        <v>11.9</v>
      </c>
      <c r="E1153" s="110">
        <v>12</v>
      </c>
      <c r="F1153" s="110">
        <v>12.06</v>
      </c>
      <c r="G1153">
        <v>68352</v>
      </c>
      <c r="H1153" s="110"/>
      <c r="I1153" s="110"/>
      <c r="L1153" s="134">
        <v>43703</v>
      </c>
      <c r="M1153" s="110">
        <v>12.05</v>
      </c>
      <c r="N1153" s="110">
        <v>12.2</v>
      </c>
      <c r="O1153" s="110">
        <v>11.8</v>
      </c>
      <c r="P1153" s="110">
        <v>12</v>
      </c>
      <c r="Q1153" s="110">
        <v>12.05</v>
      </c>
      <c r="R1153">
        <v>481793</v>
      </c>
    </row>
    <row r="1154" spans="1:18" x14ac:dyDescent="0.25">
      <c r="A1154" s="134">
        <v>43704</v>
      </c>
      <c r="B1154" s="110">
        <v>12.31</v>
      </c>
      <c r="C1154" s="110">
        <v>12.11</v>
      </c>
      <c r="D1154" s="110">
        <v>12.03</v>
      </c>
      <c r="E1154" s="110">
        <v>12.25</v>
      </c>
      <c r="F1154" s="110">
        <v>12.11</v>
      </c>
      <c r="G1154">
        <v>72207</v>
      </c>
      <c r="H1154" s="110"/>
      <c r="I1154" s="110"/>
      <c r="L1154" s="134">
        <v>43704</v>
      </c>
      <c r="M1154" s="110">
        <v>12.1</v>
      </c>
      <c r="N1154" s="110">
        <v>12.3</v>
      </c>
      <c r="O1154" s="110">
        <v>12.05</v>
      </c>
      <c r="P1154" s="110">
        <v>12.25</v>
      </c>
      <c r="Q1154" s="110">
        <v>12.1</v>
      </c>
      <c r="R1154">
        <v>458561</v>
      </c>
    </row>
    <row r="1155" spans="1:18" x14ac:dyDescent="0.25">
      <c r="A1155" s="134">
        <v>43705</v>
      </c>
      <c r="B1155" s="110">
        <v>12.14</v>
      </c>
      <c r="C1155" s="110">
        <v>11.97</v>
      </c>
      <c r="D1155" s="110">
        <v>11.71</v>
      </c>
      <c r="E1155" s="110">
        <v>12.01</v>
      </c>
      <c r="F1155" s="110">
        <v>11.97</v>
      </c>
      <c r="G1155">
        <v>26425</v>
      </c>
      <c r="H1155" s="110"/>
      <c r="I1155" s="110"/>
      <c r="L1155" s="134">
        <v>43705</v>
      </c>
      <c r="M1155" s="110">
        <v>12</v>
      </c>
      <c r="N1155" s="110">
        <v>12.25</v>
      </c>
      <c r="O1155" s="110">
        <v>11.9</v>
      </c>
      <c r="P1155" s="110">
        <v>12.05</v>
      </c>
      <c r="Q1155" s="110">
        <v>12</v>
      </c>
      <c r="R1155">
        <v>381453</v>
      </c>
    </row>
    <row r="1156" spans="1:18" x14ac:dyDescent="0.25">
      <c r="A1156" s="134">
        <v>43706</v>
      </c>
      <c r="B1156" s="110">
        <v>12.79</v>
      </c>
      <c r="C1156" s="110">
        <v>11.77</v>
      </c>
      <c r="D1156" s="110">
        <v>11.7</v>
      </c>
      <c r="E1156" s="110">
        <v>12.79</v>
      </c>
      <c r="F1156" s="110">
        <v>11.77</v>
      </c>
      <c r="G1156">
        <v>53202</v>
      </c>
      <c r="H1156" s="110"/>
      <c r="I1156" s="110"/>
      <c r="L1156" s="134">
        <v>43706</v>
      </c>
      <c r="M1156" s="110">
        <v>11.75</v>
      </c>
      <c r="N1156" s="110">
        <v>12</v>
      </c>
      <c r="O1156" s="110">
        <v>11.6</v>
      </c>
      <c r="P1156" s="110">
        <v>11.6</v>
      </c>
      <c r="Q1156" s="110">
        <v>11.75</v>
      </c>
      <c r="R1156">
        <v>243893</v>
      </c>
    </row>
    <row r="1157" spans="1:18" x14ac:dyDescent="0.25">
      <c r="A1157" s="134">
        <v>43707</v>
      </c>
      <c r="B1157" s="110">
        <v>12.65</v>
      </c>
      <c r="C1157" s="110">
        <v>12.53</v>
      </c>
      <c r="D1157" s="110">
        <v>11.8</v>
      </c>
      <c r="E1157" s="110">
        <v>11.98</v>
      </c>
      <c r="F1157" s="110">
        <v>12.53</v>
      </c>
      <c r="G1157">
        <v>134547</v>
      </c>
      <c r="H1157" s="110"/>
      <c r="I1157" s="110"/>
      <c r="L1157" s="134">
        <v>43707</v>
      </c>
      <c r="M1157" s="110">
        <v>12.55</v>
      </c>
      <c r="N1157" s="110">
        <v>12.7</v>
      </c>
      <c r="O1157" s="110">
        <v>11.8</v>
      </c>
      <c r="P1157" s="110">
        <v>11.9</v>
      </c>
      <c r="Q1157" s="110">
        <v>12.55</v>
      </c>
      <c r="R1157">
        <v>998695</v>
      </c>
    </row>
    <row r="1158" spans="1:18" x14ac:dyDescent="0.25">
      <c r="A1158" s="134">
        <v>43711</v>
      </c>
      <c r="B1158" s="110">
        <v>12.55</v>
      </c>
      <c r="C1158" s="110">
        <v>12.23</v>
      </c>
      <c r="D1158" s="110">
        <v>11.95</v>
      </c>
      <c r="E1158" s="110">
        <v>12.55</v>
      </c>
      <c r="F1158" s="110">
        <v>12.23</v>
      </c>
      <c r="G1158">
        <v>96920</v>
      </c>
      <c r="H1158" s="110"/>
      <c r="I1158" s="110"/>
      <c r="L1158" s="134">
        <v>43711</v>
      </c>
      <c r="M1158" s="110">
        <v>12.2</v>
      </c>
      <c r="N1158" s="110">
        <v>12.35</v>
      </c>
      <c r="O1158" s="110">
        <v>11.9</v>
      </c>
      <c r="P1158" s="110">
        <v>12.35</v>
      </c>
      <c r="Q1158" s="110">
        <v>12.2</v>
      </c>
      <c r="R1158">
        <v>390241</v>
      </c>
    </row>
    <row r="1159" spans="1:18" x14ac:dyDescent="0.25">
      <c r="A1159" s="134">
        <v>43712</v>
      </c>
      <c r="B1159" s="110">
        <v>12.26</v>
      </c>
      <c r="C1159" s="110">
        <v>12.08</v>
      </c>
      <c r="D1159" s="110">
        <v>12</v>
      </c>
      <c r="E1159" s="110">
        <v>12.1</v>
      </c>
      <c r="F1159" s="110">
        <v>12.08</v>
      </c>
      <c r="G1159">
        <v>19931</v>
      </c>
      <c r="H1159" s="110"/>
      <c r="I1159" s="110"/>
      <c r="L1159" s="134">
        <v>43712</v>
      </c>
      <c r="M1159" s="110">
        <v>12.1</v>
      </c>
      <c r="N1159" s="110">
        <v>12.35</v>
      </c>
      <c r="O1159" s="110">
        <v>12</v>
      </c>
      <c r="P1159" s="110">
        <v>12.25</v>
      </c>
      <c r="Q1159" s="110">
        <v>12.1</v>
      </c>
      <c r="R1159">
        <v>274577</v>
      </c>
    </row>
    <row r="1160" spans="1:18" x14ac:dyDescent="0.25">
      <c r="A1160" s="134">
        <v>43713</v>
      </c>
      <c r="B1160" s="110">
        <v>12.1</v>
      </c>
      <c r="C1160" s="110">
        <v>12.03</v>
      </c>
      <c r="D1160" s="110">
        <v>11.97</v>
      </c>
      <c r="E1160" s="110">
        <v>12.06</v>
      </c>
      <c r="F1160" s="110">
        <v>12.03</v>
      </c>
      <c r="G1160">
        <v>49888</v>
      </c>
      <c r="H1160" s="110"/>
      <c r="I1160" s="110"/>
      <c r="L1160" s="134">
        <v>43713</v>
      </c>
      <c r="M1160" s="110">
        <v>12</v>
      </c>
      <c r="N1160" s="110">
        <v>12.2</v>
      </c>
      <c r="O1160" s="110">
        <v>11.95</v>
      </c>
      <c r="P1160" s="110">
        <v>12.1</v>
      </c>
      <c r="Q1160" s="110">
        <v>12</v>
      </c>
      <c r="R1160">
        <v>389634</v>
      </c>
    </row>
    <row r="1161" spans="1:18" x14ac:dyDescent="0.25">
      <c r="A1161" s="134">
        <v>43714</v>
      </c>
      <c r="B1161" s="110">
        <v>12.18</v>
      </c>
      <c r="C1161" s="110">
        <v>11.98</v>
      </c>
      <c r="D1161" s="110">
        <v>11.92</v>
      </c>
      <c r="E1161" s="110">
        <v>12.05</v>
      </c>
      <c r="F1161" s="110">
        <v>11.98</v>
      </c>
      <c r="G1161">
        <v>17045</v>
      </c>
      <c r="H1161" s="110"/>
      <c r="I1161" s="110"/>
      <c r="L1161" s="134">
        <v>43714</v>
      </c>
      <c r="M1161" s="110">
        <v>11.95</v>
      </c>
      <c r="N1161" s="110">
        <v>12.15</v>
      </c>
      <c r="O1161" s="110">
        <v>11.9</v>
      </c>
      <c r="P1161" s="110">
        <v>12</v>
      </c>
      <c r="Q1161" s="110">
        <v>11.95</v>
      </c>
      <c r="R1161">
        <v>288221</v>
      </c>
    </row>
    <row r="1162" spans="1:18" x14ac:dyDescent="0.25">
      <c r="A1162" s="134">
        <v>43717</v>
      </c>
      <c r="B1162" s="110">
        <v>12.08</v>
      </c>
      <c r="C1162" s="110">
        <v>11.89</v>
      </c>
      <c r="D1162" s="110">
        <v>11.8</v>
      </c>
      <c r="E1162" s="110">
        <v>12</v>
      </c>
      <c r="F1162" s="110">
        <v>11.89</v>
      </c>
      <c r="G1162">
        <v>35362</v>
      </c>
      <c r="H1162" s="110"/>
      <c r="I1162" s="110"/>
      <c r="L1162" s="134">
        <v>43717</v>
      </c>
      <c r="M1162" s="110">
        <v>11.9</v>
      </c>
      <c r="N1162" s="110">
        <v>12.1</v>
      </c>
      <c r="O1162" s="110">
        <v>11.8</v>
      </c>
      <c r="P1162" s="110">
        <v>12</v>
      </c>
      <c r="Q1162" s="110">
        <v>11.9</v>
      </c>
      <c r="R1162">
        <v>415086</v>
      </c>
    </row>
    <row r="1163" spans="1:18" x14ac:dyDescent="0.25">
      <c r="A1163" s="134">
        <v>43719</v>
      </c>
      <c r="B1163" s="110">
        <v>12.17</v>
      </c>
      <c r="C1163" s="110">
        <v>12.01</v>
      </c>
      <c r="D1163" s="110">
        <v>11.75</v>
      </c>
      <c r="E1163" s="110">
        <v>11.75</v>
      </c>
      <c r="F1163" s="110">
        <v>12.01</v>
      </c>
      <c r="G1163">
        <v>65204</v>
      </c>
      <c r="H1163" s="110"/>
      <c r="I1163" s="110"/>
      <c r="L1163" s="134">
        <v>43719</v>
      </c>
      <c r="M1163" s="110">
        <v>12</v>
      </c>
      <c r="N1163" s="110">
        <v>12.1</v>
      </c>
      <c r="O1163" s="110">
        <v>11.85</v>
      </c>
      <c r="P1163" s="110">
        <v>11.85</v>
      </c>
      <c r="Q1163" s="110">
        <v>12</v>
      </c>
      <c r="R1163">
        <v>347068</v>
      </c>
    </row>
    <row r="1164" spans="1:18" x14ac:dyDescent="0.25">
      <c r="A1164" s="134">
        <v>43720</v>
      </c>
      <c r="B1164" s="110">
        <v>12.2</v>
      </c>
      <c r="C1164" s="110">
        <v>12.07</v>
      </c>
      <c r="D1164" s="110">
        <v>12.01</v>
      </c>
      <c r="E1164" s="110">
        <v>12.13</v>
      </c>
      <c r="F1164" s="110">
        <v>12.07</v>
      </c>
      <c r="G1164">
        <v>13044</v>
      </c>
      <c r="H1164" s="110"/>
      <c r="I1164" s="110"/>
      <c r="L1164" s="134">
        <v>43720</v>
      </c>
      <c r="M1164" s="110">
        <v>12.1</v>
      </c>
      <c r="N1164" s="110">
        <v>12.2</v>
      </c>
      <c r="O1164" s="110">
        <v>12</v>
      </c>
      <c r="P1164" s="110">
        <v>12</v>
      </c>
      <c r="Q1164" s="110">
        <v>12.1</v>
      </c>
      <c r="R1164">
        <v>214102</v>
      </c>
    </row>
    <row r="1165" spans="1:18" x14ac:dyDescent="0.25">
      <c r="A1165" s="134">
        <v>43721</v>
      </c>
      <c r="B1165" s="110">
        <v>12.31</v>
      </c>
      <c r="C1165" s="110">
        <v>12.12</v>
      </c>
      <c r="D1165" s="110">
        <v>12</v>
      </c>
      <c r="E1165" s="110">
        <v>12.1</v>
      </c>
      <c r="F1165" s="110">
        <v>12.12</v>
      </c>
      <c r="G1165">
        <v>49289</v>
      </c>
      <c r="H1165" s="110"/>
      <c r="I1165" s="110"/>
      <c r="L1165" s="134">
        <v>43721</v>
      </c>
      <c r="M1165" s="110">
        <v>12.15</v>
      </c>
      <c r="N1165" s="110">
        <v>12.3</v>
      </c>
      <c r="O1165" s="110">
        <v>12</v>
      </c>
      <c r="P1165" s="110">
        <v>12.2</v>
      </c>
      <c r="Q1165" s="110">
        <v>12.15</v>
      </c>
      <c r="R1165">
        <v>251657</v>
      </c>
    </row>
    <row r="1166" spans="1:18" x14ac:dyDescent="0.25">
      <c r="A1166" s="134">
        <v>43724</v>
      </c>
      <c r="B1166" s="110">
        <v>12.17</v>
      </c>
      <c r="C1166" s="110">
        <v>12.09</v>
      </c>
      <c r="D1166" s="110">
        <v>12</v>
      </c>
      <c r="E1166" s="110">
        <v>12.1</v>
      </c>
      <c r="F1166" s="110">
        <v>12.09</v>
      </c>
      <c r="G1166">
        <v>28960</v>
      </c>
      <c r="H1166" s="110"/>
      <c r="I1166" s="110"/>
      <c r="L1166" s="134">
        <v>43724</v>
      </c>
      <c r="M1166" s="110">
        <v>12.05</v>
      </c>
      <c r="N1166" s="110">
        <v>12.15</v>
      </c>
      <c r="O1166" s="110">
        <v>12</v>
      </c>
      <c r="P1166" s="110">
        <v>12.05</v>
      </c>
      <c r="Q1166" s="110">
        <v>12.05</v>
      </c>
      <c r="R1166">
        <v>124417</v>
      </c>
    </row>
    <row r="1167" spans="1:18" x14ac:dyDescent="0.25">
      <c r="A1167" s="134">
        <v>43725</v>
      </c>
      <c r="B1167" s="110">
        <v>12.12</v>
      </c>
      <c r="C1167" s="110">
        <v>11.99</v>
      </c>
      <c r="D1167" s="110">
        <v>11.92</v>
      </c>
      <c r="E1167" s="110">
        <v>12.09</v>
      </c>
      <c r="F1167" s="110">
        <v>11.99</v>
      </c>
      <c r="G1167">
        <v>12619</v>
      </c>
      <c r="H1167" s="110"/>
      <c r="I1167" s="110"/>
      <c r="L1167" s="134">
        <v>43725</v>
      </c>
      <c r="M1167" s="110">
        <v>11.95</v>
      </c>
      <c r="N1167" s="110">
        <v>12.15</v>
      </c>
      <c r="O1167" s="110">
        <v>11.95</v>
      </c>
      <c r="P1167" s="110">
        <v>12.15</v>
      </c>
      <c r="Q1167" s="110">
        <v>11.95</v>
      </c>
      <c r="R1167">
        <v>112175</v>
      </c>
    </row>
    <row r="1168" spans="1:18" x14ac:dyDescent="0.25">
      <c r="A1168" s="134">
        <v>43726</v>
      </c>
      <c r="B1168" s="110">
        <v>12.99</v>
      </c>
      <c r="C1168" s="110">
        <v>12.07</v>
      </c>
      <c r="D1168" s="110">
        <v>11.75</v>
      </c>
      <c r="E1168" s="110">
        <v>12.99</v>
      </c>
      <c r="F1168" s="110">
        <v>12.07</v>
      </c>
      <c r="G1168">
        <v>20677</v>
      </c>
      <c r="H1168" s="110"/>
      <c r="I1168" s="110"/>
      <c r="L1168" s="134">
        <v>43726</v>
      </c>
      <c r="M1168" s="110">
        <v>12.1</v>
      </c>
      <c r="N1168" s="110">
        <v>12.15</v>
      </c>
      <c r="O1168" s="110">
        <v>11.95</v>
      </c>
      <c r="P1168" s="110">
        <v>12</v>
      </c>
      <c r="Q1168" s="110">
        <v>12.1</v>
      </c>
      <c r="R1168">
        <v>199686</v>
      </c>
    </row>
    <row r="1169" spans="1:18" x14ac:dyDescent="0.25">
      <c r="A1169" s="134">
        <v>43727</v>
      </c>
      <c r="B1169" s="110">
        <v>12.09</v>
      </c>
      <c r="C1169" s="110">
        <v>11.88</v>
      </c>
      <c r="D1169" s="110">
        <v>11.79</v>
      </c>
      <c r="E1169" s="110">
        <v>12</v>
      </c>
      <c r="F1169" s="110">
        <v>11.88</v>
      </c>
      <c r="G1169">
        <v>19802</v>
      </c>
      <c r="H1169" s="110"/>
      <c r="I1169" s="110"/>
      <c r="L1169" s="134">
        <v>43727</v>
      </c>
      <c r="M1169" s="110">
        <v>11.85</v>
      </c>
      <c r="N1169" s="110">
        <v>12.1</v>
      </c>
      <c r="O1169" s="110">
        <v>11.75</v>
      </c>
      <c r="P1169" s="110">
        <v>12.1</v>
      </c>
      <c r="Q1169" s="110">
        <v>11.85</v>
      </c>
      <c r="R1169">
        <v>214914</v>
      </c>
    </row>
    <row r="1170" spans="1:18" x14ac:dyDescent="0.25">
      <c r="A1170" s="134">
        <v>43728</v>
      </c>
      <c r="B1170" s="110">
        <v>12.25</v>
      </c>
      <c r="C1170" s="110">
        <v>12</v>
      </c>
      <c r="D1170" s="110">
        <v>11.91</v>
      </c>
      <c r="E1170" s="110">
        <v>11.91</v>
      </c>
      <c r="F1170" s="110">
        <v>12</v>
      </c>
      <c r="G1170">
        <v>174852</v>
      </c>
      <c r="H1170" s="110"/>
      <c r="I1170" s="110"/>
      <c r="L1170" s="134">
        <v>43728</v>
      </c>
      <c r="M1170" s="110">
        <v>12</v>
      </c>
      <c r="N1170" s="110">
        <v>12.25</v>
      </c>
      <c r="O1170" s="110">
        <v>11.85</v>
      </c>
      <c r="P1170" s="110">
        <v>11.95</v>
      </c>
      <c r="Q1170" s="110">
        <v>12</v>
      </c>
      <c r="R1170">
        <v>680910</v>
      </c>
    </row>
    <row r="1171" spans="1:18" x14ac:dyDescent="0.25">
      <c r="A1171" s="134">
        <v>43731</v>
      </c>
      <c r="B1171" s="110">
        <v>12.25</v>
      </c>
      <c r="C1171" s="110">
        <v>12.12</v>
      </c>
      <c r="D1171" s="110">
        <v>12.04</v>
      </c>
      <c r="E1171" s="110">
        <v>12.2</v>
      </c>
      <c r="F1171" s="110">
        <v>12.12</v>
      </c>
      <c r="G1171">
        <v>47605</v>
      </c>
      <c r="H1171" s="110"/>
      <c r="I1171" s="110"/>
      <c r="L1171" s="134">
        <v>43731</v>
      </c>
      <c r="M1171" s="110">
        <v>12.1</v>
      </c>
      <c r="N1171" s="110">
        <v>12.25</v>
      </c>
      <c r="O1171" s="110">
        <v>12.05</v>
      </c>
      <c r="P1171" s="110">
        <v>12.1</v>
      </c>
      <c r="Q1171" s="110">
        <v>12.1</v>
      </c>
      <c r="R1171">
        <v>439939</v>
      </c>
    </row>
    <row r="1172" spans="1:18" x14ac:dyDescent="0.25">
      <c r="A1172" s="134">
        <v>43732</v>
      </c>
      <c r="B1172" s="110">
        <v>12.11</v>
      </c>
      <c r="C1172" s="110">
        <v>11.92</v>
      </c>
      <c r="D1172" s="110">
        <v>11.91</v>
      </c>
      <c r="E1172" s="110">
        <v>12.1</v>
      </c>
      <c r="F1172" s="110">
        <v>11.92</v>
      </c>
      <c r="G1172">
        <v>6453</v>
      </c>
      <c r="H1172" s="110"/>
      <c r="I1172" s="110"/>
      <c r="L1172" s="134">
        <v>43732</v>
      </c>
      <c r="M1172" s="110">
        <v>11.9</v>
      </c>
      <c r="N1172" s="110">
        <v>12.15</v>
      </c>
      <c r="O1172" s="110">
        <v>11.9</v>
      </c>
      <c r="P1172" s="110">
        <v>12.1</v>
      </c>
      <c r="Q1172" s="110">
        <v>11.9</v>
      </c>
      <c r="R1172">
        <v>296520</v>
      </c>
    </row>
    <row r="1173" spans="1:18" x14ac:dyDescent="0.25">
      <c r="A1173" s="134">
        <v>43733</v>
      </c>
      <c r="B1173" s="110">
        <v>11.92</v>
      </c>
      <c r="C1173" s="110">
        <v>11.71</v>
      </c>
      <c r="D1173" s="110">
        <v>11.67</v>
      </c>
      <c r="E1173" s="110">
        <v>11.92</v>
      </c>
      <c r="F1173" s="110">
        <v>11.71</v>
      </c>
      <c r="G1173">
        <v>30663</v>
      </c>
      <c r="H1173" s="110"/>
      <c r="I1173" s="110"/>
      <c r="L1173" s="134">
        <v>43733</v>
      </c>
      <c r="M1173" s="110">
        <v>11.75</v>
      </c>
      <c r="N1173" s="110">
        <v>11.9</v>
      </c>
      <c r="O1173" s="110">
        <v>11.65</v>
      </c>
      <c r="P1173" s="110">
        <v>11.85</v>
      </c>
      <c r="Q1173" s="110">
        <v>11.75</v>
      </c>
      <c r="R1173">
        <v>359827</v>
      </c>
    </row>
    <row r="1174" spans="1:18" x14ac:dyDescent="0.25">
      <c r="A1174" s="134">
        <v>43734</v>
      </c>
      <c r="B1174" s="110">
        <v>11.89</v>
      </c>
      <c r="C1174" s="110">
        <v>11.61</v>
      </c>
      <c r="D1174" s="110">
        <v>11.51</v>
      </c>
      <c r="E1174" s="110">
        <v>11.89</v>
      </c>
      <c r="F1174" s="110">
        <v>11.61</v>
      </c>
      <c r="G1174">
        <v>43056</v>
      </c>
      <c r="H1174" s="110"/>
      <c r="I1174" s="110"/>
      <c r="L1174" s="134">
        <v>43734</v>
      </c>
      <c r="M1174" s="110">
        <v>11.55</v>
      </c>
      <c r="N1174" s="110">
        <v>11.85</v>
      </c>
      <c r="O1174" s="110">
        <v>11.4</v>
      </c>
      <c r="P1174" s="110">
        <v>11.75</v>
      </c>
      <c r="Q1174" s="110">
        <v>11.55</v>
      </c>
      <c r="R1174">
        <v>358508</v>
      </c>
    </row>
    <row r="1175" spans="1:18" x14ac:dyDescent="0.25">
      <c r="A1175" s="134">
        <v>43735</v>
      </c>
      <c r="B1175" s="110">
        <v>11.54</v>
      </c>
      <c r="C1175" s="110">
        <v>11.43</v>
      </c>
      <c r="D1175" s="110">
        <v>11.4</v>
      </c>
      <c r="E1175" s="110">
        <v>11.53</v>
      </c>
      <c r="F1175" s="110">
        <v>11.43</v>
      </c>
      <c r="G1175">
        <v>48555</v>
      </c>
      <c r="H1175" s="110"/>
      <c r="I1175" s="110"/>
      <c r="L1175" s="134">
        <v>43735</v>
      </c>
      <c r="M1175" s="110">
        <v>11.45</v>
      </c>
      <c r="N1175" s="110">
        <v>11.6</v>
      </c>
      <c r="O1175" s="110">
        <v>11.4</v>
      </c>
      <c r="P1175" s="110">
        <v>11.6</v>
      </c>
      <c r="Q1175" s="110">
        <v>11.45</v>
      </c>
      <c r="R1175">
        <v>313337</v>
      </c>
    </row>
    <row r="1176" spans="1:18" x14ac:dyDescent="0.25">
      <c r="A1176" s="134">
        <v>43738</v>
      </c>
      <c r="B1176" s="110">
        <v>11.35</v>
      </c>
      <c r="C1176" s="110">
        <v>11.07</v>
      </c>
      <c r="D1176" s="110">
        <v>10.96</v>
      </c>
      <c r="E1176" s="110">
        <v>11.3</v>
      </c>
      <c r="F1176" s="110">
        <v>11.07</v>
      </c>
      <c r="G1176">
        <v>34326</v>
      </c>
      <c r="H1176" s="110"/>
      <c r="I1176" s="110"/>
      <c r="L1176" s="134">
        <v>43738</v>
      </c>
      <c r="M1176" s="110">
        <v>11.05</v>
      </c>
      <c r="N1176" s="110">
        <v>11.45</v>
      </c>
      <c r="O1176" s="110">
        <v>10.9</v>
      </c>
      <c r="P1176" s="110">
        <v>11.45</v>
      </c>
      <c r="Q1176" s="110">
        <v>11.05</v>
      </c>
      <c r="R1176">
        <v>335378</v>
      </c>
    </row>
    <row r="1177" spans="1:18" x14ac:dyDescent="0.25">
      <c r="A1177" s="134">
        <v>43739</v>
      </c>
      <c r="B1177" s="110">
        <v>11.78</v>
      </c>
      <c r="C1177" s="110">
        <v>11.05</v>
      </c>
      <c r="D1177" s="110">
        <v>10.85</v>
      </c>
      <c r="E1177" s="110">
        <v>11</v>
      </c>
      <c r="F1177" s="110">
        <v>11.05</v>
      </c>
      <c r="G1177">
        <v>50121</v>
      </c>
      <c r="H1177" s="110"/>
      <c r="I1177" s="110"/>
      <c r="L1177" s="134">
        <v>43739</v>
      </c>
      <c r="M1177" s="110">
        <v>11.05</v>
      </c>
      <c r="N1177" s="110">
        <v>13</v>
      </c>
      <c r="O1177" s="110">
        <v>10.85</v>
      </c>
      <c r="P1177" s="110">
        <v>11.05</v>
      </c>
      <c r="Q1177" s="110">
        <v>11.05</v>
      </c>
      <c r="R1177">
        <v>457463</v>
      </c>
    </row>
    <row r="1178" spans="1:18" x14ac:dyDescent="0.25">
      <c r="A1178" s="134">
        <v>43741</v>
      </c>
      <c r="B1178" s="110">
        <v>11.33</v>
      </c>
      <c r="C1178" s="110">
        <v>11.13</v>
      </c>
      <c r="D1178" s="110">
        <v>11.01</v>
      </c>
      <c r="E1178" s="110">
        <v>11.24</v>
      </c>
      <c r="F1178" s="110">
        <v>11.13</v>
      </c>
      <c r="G1178">
        <v>19437</v>
      </c>
      <c r="H1178" s="110"/>
      <c r="I1178" s="110"/>
      <c r="L1178" s="134">
        <v>43741</v>
      </c>
      <c r="M1178" s="110">
        <v>11.05</v>
      </c>
      <c r="N1178" s="110">
        <v>11.5</v>
      </c>
      <c r="O1178" s="110">
        <v>11</v>
      </c>
      <c r="P1178" s="110">
        <v>11.15</v>
      </c>
      <c r="Q1178" s="110">
        <v>11.05</v>
      </c>
      <c r="R1178">
        <v>197620</v>
      </c>
    </row>
    <row r="1179" spans="1:18" x14ac:dyDescent="0.25">
      <c r="A1179" s="134">
        <v>43742</v>
      </c>
      <c r="B1179" s="110">
        <v>12</v>
      </c>
      <c r="C1179" s="110">
        <v>11.08</v>
      </c>
      <c r="D1179" s="110">
        <v>11.01</v>
      </c>
      <c r="E1179" s="110">
        <v>12</v>
      </c>
      <c r="F1179" s="110">
        <v>11.08</v>
      </c>
      <c r="G1179">
        <v>34890</v>
      </c>
      <c r="H1179" s="110"/>
      <c r="I1179" s="110"/>
      <c r="L1179" s="134">
        <v>43742</v>
      </c>
      <c r="M1179" s="110">
        <v>11.05</v>
      </c>
      <c r="N1179" s="110">
        <v>11.35</v>
      </c>
      <c r="O1179" s="110">
        <v>11</v>
      </c>
      <c r="P1179" s="110">
        <v>11.35</v>
      </c>
      <c r="Q1179" s="110">
        <v>11.05</v>
      </c>
      <c r="R1179">
        <v>209801</v>
      </c>
    </row>
    <row r="1180" spans="1:18" x14ac:dyDescent="0.25">
      <c r="A1180" s="134">
        <v>43745</v>
      </c>
      <c r="B1180" s="110">
        <v>11.5</v>
      </c>
      <c r="C1180" s="110">
        <v>11.02</v>
      </c>
      <c r="D1180" s="110">
        <v>10.95</v>
      </c>
      <c r="E1180" s="110">
        <v>11.5</v>
      </c>
      <c r="F1180" s="110">
        <v>11.02</v>
      </c>
      <c r="G1180">
        <v>50355</v>
      </c>
      <c r="H1180" s="110"/>
      <c r="I1180" s="110"/>
      <c r="L1180" s="134">
        <v>43745</v>
      </c>
      <c r="M1180" s="110">
        <v>11</v>
      </c>
      <c r="N1180" s="110">
        <v>11.2</v>
      </c>
      <c r="O1180" s="110">
        <v>10.9</v>
      </c>
      <c r="P1180" s="110">
        <v>11.15</v>
      </c>
      <c r="Q1180" s="110">
        <v>11</v>
      </c>
      <c r="R1180">
        <v>313667</v>
      </c>
    </row>
    <row r="1181" spans="1:18" x14ac:dyDescent="0.25">
      <c r="A1181" s="134">
        <v>43747</v>
      </c>
      <c r="B1181" s="110">
        <v>11.08</v>
      </c>
      <c r="C1181" s="110">
        <v>10.8</v>
      </c>
      <c r="D1181" s="110">
        <v>10.7</v>
      </c>
      <c r="E1181" s="110">
        <v>11.08</v>
      </c>
      <c r="F1181" s="110">
        <v>10.8</v>
      </c>
      <c r="G1181">
        <v>41741</v>
      </c>
      <c r="H1181" s="110"/>
      <c r="I1181" s="110"/>
      <c r="L1181" s="134">
        <v>43747</v>
      </c>
      <c r="M1181" s="110">
        <v>10.8</v>
      </c>
      <c r="N1181" s="110">
        <v>11.05</v>
      </c>
      <c r="O1181" s="110">
        <v>10.65</v>
      </c>
      <c r="P1181" s="110">
        <v>11</v>
      </c>
      <c r="Q1181" s="110">
        <v>10.8</v>
      </c>
      <c r="R1181">
        <v>323915</v>
      </c>
    </row>
    <row r="1182" spans="1:18" x14ac:dyDescent="0.25">
      <c r="A1182" s="134">
        <v>43748</v>
      </c>
      <c r="B1182" s="110">
        <v>10.8</v>
      </c>
      <c r="C1182" s="110">
        <v>10.36</v>
      </c>
      <c r="D1182" s="110">
        <v>10.34</v>
      </c>
      <c r="E1182" s="110">
        <v>10.8</v>
      </c>
      <c r="F1182" s="110">
        <v>10.36</v>
      </c>
      <c r="G1182">
        <v>61301</v>
      </c>
      <c r="H1182" s="110"/>
      <c r="I1182" s="110"/>
      <c r="L1182" s="134">
        <v>43748</v>
      </c>
      <c r="M1182" s="110">
        <v>10.35</v>
      </c>
      <c r="N1182" s="110">
        <v>10.8</v>
      </c>
      <c r="O1182" s="110">
        <v>10.35</v>
      </c>
      <c r="P1182" s="110">
        <v>10.7</v>
      </c>
      <c r="Q1182" s="110">
        <v>10.35</v>
      </c>
      <c r="R1182">
        <v>707205</v>
      </c>
    </row>
    <row r="1183" spans="1:18" x14ac:dyDescent="0.25">
      <c r="A1183" s="134">
        <v>43749</v>
      </c>
      <c r="B1183" s="110">
        <v>10.5</v>
      </c>
      <c r="C1183" s="110">
        <v>10.36</v>
      </c>
      <c r="D1183" s="110">
        <v>10.07</v>
      </c>
      <c r="E1183" s="110">
        <v>10.42</v>
      </c>
      <c r="F1183" s="110">
        <v>10.36</v>
      </c>
      <c r="G1183">
        <v>101334</v>
      </c>
      <c r="H1183" s="110"/>
      <c r="I1183" s="110"/>
      <c r="L1183" s="134">
        <v>43749</v>
      </c>
      <c r="M1183" s="110">
        <v>10.35</v>
      </c>
      <c r="N1183" s="110">
        <v>10.45</v>
      </c>
      <c r="O1183" s="110">
        <v>10.050000000000001</v>
      </c>
      <c r="P1183" s="110">
        <v>10.4</v>
      </c>
      <c r="Q1183" s="110">
        <v>10.35</v>
      </c>
      <c r="R1183">
        <v>410831</v>
      </c>
    </row>
    <row r="1184" spans="1:18" x14ac:dyDescent="0.25">
      <c r="A1184" s="134">
        <v>43752</v>
      </c>
      <c r="B1184" s="110">
        <v>10.5</v>
      </c>
      <c r="C1184" s="110">
        <v>10.16</v>
      </c>
      <c r="D1184" s="110">
        <v>10.06</v>
      </c>
      <c r="E1184" s="110">
        <v>10.4</v>
      </c>
      <c r="F1184" s="110">
        <v>10.16</v>
      </c>
      <c r="G1184">
        <v>36494</v>
      </c>
      <c r="H1184" s="110"/>
      <c r="I1184" s="110"/>
      <c r="L1184" s="134">
        <v>43752</v>
      </c>
      <c r="M1184" s="110">
        <v>10.1</v>
      </c>
      <c r="N1184" s="110">
        <v>10.5</v>
      </c>
      <c r="O1184" s="110">
        <v>10.050000000000001</v>
      </c>
      <c r="P1184" s="110">
        <v>10.4</v>
      </c>
      <c r="Q1184" s="110">
        <v>10.1</v>
      </c>
      <c r="R1184">
        <v>536489</v>
      </c>
    </row>
    <row r="1185" spans="1:18" x14ac:dyDescent="0.25">
      <c r="A1185" s="134">
        <v>43753</v>
      </c>
      <c r="B1185" s="110">
        <v>10.23</v>
      </c>
      <c r="C1185" s="110">
        <v>9.4</v>
      </c>
      <c r="D1185" s="110">
        <v>8.67</v>
      </c>
      <c r="E1185" s="110">
        <v>10.23</v>
      </c>
      <c r="F1185" s="110">
        <v>9.4</v>
      </c>
      <c r="G1185">
        <v>765233</v>
      </c>
      <c r="H1185" s="110"/>
      <c r="I1185" s="110"/>
      <c r="L1185" s="134">
        <v>43753</v>
      </c>
      <c r="M1185" s="110">
        <v>9.35</v>
      </c>
      <c r="N1185" s="110">
        <v>10.199999999999999</v>
      </c>
      <c r="O1185" s="110">
        <v>8.65</v>
      </c>
      <c r="P1185" s="110">
        <v>10.1</v>
      </c>
      <c r="Q1185" s="110">
        <v>9.35</v>
      </c>
      <c r="R1185">
        <v>1546915</v>
      </c>
    </row>
    <row r="1186" spans="1:18" x14ac:dyDescent="0.25">
      <c r="A1186" s="134">
        <v>43754</v>
      </c>
      <c r="B1186" s="110">
        <v>9.8699999999999992</v>
      </c>
      <c r="C1186" s="110">
        <v>9.51</v>
      </c>
      <c r="D1186" s="110">
        <v>9.26</v>
      </c>
      <c r="E1186" s="110">
        <v>9.4</v>
      </c>
      <c r="F1186" s="110">
        <v>9.51</v>
      </c>
      <c r="G1186">
        <v>33320</v>
      </c>
      <c r="H1186" s="110"/>
      <c r="I1186" s="110"/>
      <c r="L1186" s="134">
        <v>43754</v>
      </c>
      <c r="M1186" s="110">
        <v>9.4499999999999993</v>
      </c>
      <c r="N1186" s="110">
        <v>9.9</v>
      </c>
      <c r="O1186" s="110">
        <v>9.4</v>
      </c>
      <c r="P1186" s="110">
        <v>9.5500000000000007</v>
      </c>
      <c r="Q1186" s="110">
        <v>9.4499999999999993</v>
      </c>
      <c r="R1186">
        <v>722413</v>
      </c>
    </row>
    <row r="1187" spans="1:18" x14ac:dyDescent="0.25">
      <c r="A1187" s="134">
        <v>43755</v>
      </c>
      <c r="B1187" s="110">
        <v>9.75</v>
      </c>
      <c r="C1187" s="110">
        <v>9.6</v>
      </c>
      <c r="D1187" s="110">
        <v>9.49</v>
      </c>
      <c r="E1187" s="110">
        <v>9.75</v>
      </c>
      <c r="F1187" s="110">
        <v>9.6</v>
      </c>
      <c r="G1187">
        <v>34092</v>
      </c>
      <c r="H1187" s="110"/>
      <c r="I1187" s="110"/>
      <c r="L1187" s="134">
        <v>43755</v>
      </c>
      <c r="M1187" s="110">
        <v>9.6</v>
      </c>
      <c r="N1187" s="110">
        <v>9.75</v>
      </c>
      <c r="O1187" s="110">
        <v>9.4499999999999993</v>
      </c>
      <c r="P1187" s="110">
        <v>9.4499999999999993</v>
      </c>
      <c r="Q1187" s="110">
        <v>9.6</v>
      </c>
      <c r="R1187">
        <v>428387</v>
      </c>
    </row>
    <row r="1188" spans="1:18" x14ac:dyDescent="0.25">
      <c r="A1188" s="134">
        <v>43756</v>
      </c>
      <c r="B1188" s="110">
        <v>9.9</v>
      </c>
      <c r="C1188" s="110">
        <v>9.75</v>
      </c>
      <c r="D1188" s="110">
        <v>9.5</v>
      </c>
      <c r="E1188" s="110">
        <v>9.6</v>
      </c>
      <c r="F1188" s="110">
        <v>9.75</v>
      </c>
      <c r="G1188">
        <v>40365</v>
      </c>
      <c r="H1188" s="110"/>
      <c r="I1188" s="110"/>
      <c r="L1188" s="134">
        <v>43756</v>
      </c>
      <c r="M1188" s="110">
        <v>9.75</v>
      </c>
      <c r="N1188" s="110">
        <v>9.9</v>
      </c>
      <c r="O1188" s="110">
        <v>9.5</v>
      </c>
      <c r="P1188" s="110">
        <v>9.6</v>
      </c>
      <c r="Q1188" s="110">
        <v>9.75</v>
      </c>
      <c r="R1188">
        <v>741510</v>
      </c>
    </row>
    <row r="1189" spans="1:18" x14ac:dyDescent="0.25">
      <c r="A1189" s="134">
        <v>43760</v>
      </c>
      <c r="B1189" s="110">
        <v>11.5</v>
      </c>
      <c r="C1189" s="110">
        <v>11.05</v>
      </c>
      <c r="D1189" s="110">
        <v>9.7100000000000009</v>
      </c>
      <c r="E1189" s="110">
        <v>10</v>
      </c>
      <c r="F1189" s="110">
        <v>11.05</v>
      </c>
      <c r="G1189">
        <v>432935</v>
      </c>
      <c r="H1189" s="110"/>
      <c r="I1189" s="110"/>
      <c r="L1189" s="134">
        <v>43760</v>
      </c>
      <c r="M1189" s="110">
        <v>11</v>
      </c>
      <c r="N1189" s="110">
        <v>11.55</v>
      </c>
      <c r="O1189" s="110">
        <v>9.6999999999999993</v>
      </c>
      <c r="P1189" s="110">
        <v>9.9</v>
      </c>
      <c r="Q1189" s="110">
        <v>11</v>
      </c>
      <c r="R1189">
        <v>6189341</v>
      </c>
    </row>
    <row r="1190" spans="1:18" x14ac:dyDescent="0.25">
      <c r="A1190" s="134">
        <v>43761</v>
      </c>
      <c r="B1190" s="110">
        <v>11.9</v>
      </c>
      <c r="C1190" s="110">
        <v>10.88</v>
      </c>
      <c r="D1190" s="110">
        <v>10.81</v>
      </c>
      <c r="E1190" s="110">
        <v>11.9</v>
      </c>
      <c r="F1190" s="110">
        <v>10.88</v>
      </c>
      <c r="G1190">
        <v>252274</v>
      </c>
      <c r="H1190" s="110"/>
      <c r="I1190" s="110"/>
      <c r="L1190" s="134">
        <v>43761</v>
      </c>
      <c r="M1190" s="110">
        <v>10.85</v>
      </c>
      <c r="N1190" s="110">
        <v>11.9</v>
      </c>
      <c r="O1190" s="110">
        <v>10.8</v>
      </c>
      <c r="P1190" s="110">
        <v>11.9</v>
      </c>
      <c r="Q1190" s="110">
        <v>10.85</v>
      </c>
      <c r="R1190">
        <v>2076786</v>
      </c>
    </row>
    <row r="1191" spans="1:18" x14ac:dyDescent="0.25">
      <c r="A1191" s="134">
        <v>43762</v>
      </c>
      <c r="B1191" s="110">
        <v>11.55</v>
      </c>
      <c r="C1191" s="110">
        <v>10.68</v>
      </c>
      <c r="D1191" s="110">
        <v>10.6</v>
      </c>
      <c r="E1191" s="110">
        <v>11.55</v>
      </c>
      <c r="F1191" s="110">
        <v>10.68</v>
      </c>
      <c r="G1191">
        <v>57976</v>
      </c>
      <c r="H1191" s="110"/>
      <c r="I1191" s="110"/>
      <c r="L1191" s="134">
        <v>43762</v>
      </c>
      <c r="M1191" s="110">
        <v>10.7</v>
      </c>
      <c r="N1191" s="110">
        <v>11.2</v>
      </c>
      <c r="O1191" s="110">
        <v>10.65</v>
      </c>
      <c r="P1191" s="110">
        <v>11</v>
      </c>
      <c r="Q1191" s="110">
        <v>10.7</v>
      </c>
      <c r="R1191">
        <v>901439</v>
      </c>
    </row>
    <row r="1192" spans="1:18" x14ac:dyDescent="0.25">
      <c r="A1192" s="134">
        <v>43763</v>
      </c>
      <c r="B1192" s="110">
        <v>10.84</v>
      </c>
      <c r="C1192" s="110">
        <v>10.78</v>
      </c>
      <c r="D1192" s="110">
        <v>10.63</v>
      </c>
      <c r="E1192" s="110">
        <v>10.83</v>
      </c>
      <c r="F1192" s="110">
        <v>10.78</v>
      </c>
      <c r="G1192">
        <v>17401</v>
      </c>
      <c r="H1192" s="110"/>
      <c r="I1192" s="110"/>
      <c r="L1192" s="134">
        <v>43763</v>
      </c>
      <c r="M1192" s="110">
        <v>10.75</v>
      </c>
      <c r="N1192" s="110">
        <v>10.95</v>
      </c>
      <c r="O1192" s="110">
        <v>10.65</v>
      </c>
      <c r="P1192" s="110">
        <v>10.75</v>
      </c>
      <c r="Q1192" s="110">
        <v>10.75</v>
      </c>
      <c r="R1192">
        <v>362288</v>
      </c>
    </row>
    <row r="1193" spans="1:18" x14ac:dyDescent="0.25">
      <c r="A1193" s="134">
        <v>43765</v>
      </c>
      <c r="B1193" s="110">
        <v>11.17</v>
      </c>
      <c r="C1193" s="110">
        <v>11.1</v>
      </c>
      <c r="D1193" s="110">
        <v>10.97</v>
      </c>
      <c r="E1193" s="110">
        <v>11.09</v>
      </c>
      <c r="F1193" s="110">
        <v>11.1</v>
      </c>
      <c r="G1193">
        <v>34490</v>
      </c>
      <c r="H1193" s="110"/>
      <c r="I1193" s="110"/>
      <c r="L1193" s="134">
        <v>43765</v>
      </c>
      <c r="M1193" s="110">
        <v>11.05</v>
      </c>
      <c r="N1193" s="110">
        <v>11.15</v>
      </c>
      <c r="O1193" s="110">
        <v>10.85</v>
      </c>
      <c r="P1193" s="110">
        <v>10.9</v>
      </c>
      <c r="Q1193" s="110">
        <v>11.05</v>
      </c>
      <c r="R1193">
        <v>337684</v>
      </c>
    </row>
    <row r="1194" spans="1:18" x14ac:dyDescent="0.25">
      <c r="A1194" s="134">
        <v>43767</v>
      </c>
      <c r="B1194" s="110">
        <v>11.28</v>
      </c>
      <c r="C1194" s="110">
        <v>11.02</v>
      </c>
      <c r="D1194" s="110">
        <v>10.5</v>
      </c>
      <c r="E1194" s="110">
        <v>11.17</v>
      </c>
      <c r="F1194" s="110">
        <v>11.02</v>
      </c>
      <c r="G1194">
        <v>85675</v>
      </c>
      <c r="H1194" s="110"/>
      <c r="I1194" s="110"/>
      <c r="L1194" s="134">
        <v>43767</v>
      </c>
      <c r="M1194" s="110">
        <v>11</v>
      </c>
      <c r="N1194" s="110">
        <v>11.3</v>
      </c>
      <c r="O1194" s="110">
        <v>10.9</v>
      </c>
      <c r="P1194" s="110">
        <v>11.3</v>
      </c>
      <c r="Q1194" s="110">
        <v>11</v>
      </c>
      <c r="R1194">
        <v>736094</v>
      </c>
    </row>
    <row r="1195" spans="1:18" x14ac:dyDescent="0.25">
      <c r="A1195" s="134">
        <v>43768</v>
      </c>
      <c r="B1195" s="110">
        <v>11.45</v>
      </c>
      <c r="C1195" s="110">
        <v>11.27</v>
      </c>
      <c r="D1195" s="110">
        <v>11.02</v>
      </c>
      <c r="E1195" s="110">
        <v>11.05</v>
      </c>
      <c r="F1195" s="110">
        <v>11.27</v>
      </c>
      <c r="G1195">
        <v>88582</v>
      </c>
      <c r="H1195" s="110"/>
      <c r="I1195" s="110"/>
      <c r="L1195" s="134">
        <v>43768</v>
      </c>
      <c r="M1195" s="110">
        <v>11.3</v>
      </c>
      <c r="N1195" s="110">
        <v>11.45</v>
      </c>
      <c r="O1195" s="110">
        <v>11</v>
      </c>
      <c r="P1195" s="110">
        <v>11.15</v>
      </c>
      <c r="Q1195" s="110">
        <v>11.3</v>
      </c>
      <c r="R1195">
        <v>956202</v>
      </c>
    </row>
    <row r="1196" spans="1:18" x14ac:dyDescent="0.25">
      <c r="A1196" s="134">
        <v>43769</v>
      </c>
      <c r="B1196" s="110">
        <v>12.07</v>
      </c>
      <c r="C1196" s="110">
        <v>11.85</v>
      </c>
      <c r="D1196" s="110">
        <v>11.2</v>
      </c>
      <c r="E1196" s="110">
        <v>11.58</v>
      </c>
      <c r="F1196" s="110">
        <v>11.85</v>
      </c>
      <c r="G1196">
        <v>208131</v>
      </c>
      <c r="H1196" s="110"/>
      <c r="I1196" s="110"/>
      <c r="L1196" s="134">
        <v>43769</v>
      </c>
      <c r="M1196" s="110">
        <v>11.8</v>
      </c>
      <c r="N1196" s="110">
        <v>12.05</v>
      </c>
      <c r="O1196" s="110">
        <v>11.45</v>
      </c>
      <c r="P1196" s="110">
        <v>11.45</v>
      </c>
      <c r="Q1196" s="110">
        <v>11.8</v>
      </c>
      <c r="R1196">
        <v>1701301</v>
      </c>
    </row>
    <row r="1197" spans="1:18" x14ac:dyDescent="0.25">
      <c r="A1197" s="134">
        <v>43770</v>
      </c>
      <c r="B1197" s="110">
        <v>12.79</v>
      </c>
      <c r="C1197" s="110">
        <v>12.4</v>
      </c>
      <c r="D1197" s="110">
        <v>11.89</v>
      </c>
      <c r="E1197" s="110">
        <v>11.9</v>
      </c>
      <c r="F1197" s="110">
        <v>12.4</v>
      </c>
      <c r="G1197">
        <v>188567</v>
      </c>
      <c r="H1197" s="110"/>
      <c r="I1197" s="110"/>
      <c r="L1197" s="134">
        <v>43770</v>
      </c>
      <c r="M1197" s="110">
        <v>12.4</v>
      </c>
      <c r="N1197" s="110">
        <v>12.85</v>
      </c>
      <c r="O1197" s="110">
        <v>11.85</v>
      </c>
      <c r="P1197" s="110">
        <v>11.9</v>
      </c>
      <c r="Q1197" s="110">
        <v>12.4</v>
      </c>
      <c r="R1197">
        <v>2057746</v>
      </c>
    </row>
    <row r="1198" spans="1:18" x14ac:dyDescent="0.25">
      <c r="A1198" s="134">
        <v>43773</v>
      </c>
      <c r="B1198" s="110">
        <v>13.66</v>
      </c>
      <c r="C1198" s="110">
        <v>12.97</v>
      </c>
      <c r="D1198" s="110">
        <v>12.4</v>
      </c>
      <c r="E1198" s="110">
        <v>12.4</v>
      </c>
      <c r="F1198" s="110">
        <v>12.97</v>
      </c>
      <c r="G1198">
        <v>236814</v>
      </c>
      <c r="H1198" s="110"/>
      <c r="I1198" s="110"/>
      <c r="L1198" s="134">
        <v>43773</v>
      </c>
      <c r="M1198" s="110">
        <v>12.95</v>
      </c>
      <c r="N1198" s="110">
        <v>13.75</v>
      </c>
      <c r="O1198" s="110">
        <v>12.5</v>
      </c>
      <c r="P1198" s="110">
        <v>12.5</v>
      </c>
      <c r="Q1198" s="110">
        <v>12.95</v>
      </c>
      <c r="R1198">
        <v>1746193</v>
      </c>
    </row>
    <row r="1199" spans="1:18" x14ac:dyDescent="0.25">
      <c r="A1199" s="134">
        <v>43774</v>
      </c>
      <c r="B1199" s="110">
        <v>13.12</v>
      </c>
      <c r="C1199" s="110">
        <v>12.59</v>
      </c>
      <c r="D1199" s="110">
        <v>12.55</v>
      </c>
      <c r="E1199" s="110">
        <v>13</v>
      </c>
      <c r="F1199" s="110">
        <v>12.59</v>
      </c>
      <c r="G1199">
        <v>86766</v>
      </c>
      <c r="H1199" s="110"/>
      <c r="I1199" s="110"/>
      <c r="L1199" s="134">
        <v>43774</v>
      </c>
      <c r="M1199" s="110">
        <v>12.6</v>
      </c>
      <c r="N1199" s="110">
        <v>13.15</v>
      </c>
      <c r="O1199" s="110">
        <v>12.5</v>
      </c>
      <c r="P1199" s="110">
        <v>13.1</v>
      </c>
      <c r="Q1199" s="110">
        <v>12.6</v>
      </c>
      <c r="R1199">
        <v>730224</v>
      </c>
    </row>
    <row r="1200" spans="1:18" x14ac:dyDescent="0.25">
      <c r="A1200" s="134">
        <v>43775</v>
      </c>
      <c r="B1200" s="110">
        <v>12.5</v>
      </c>
      <c r="C1200" s="110">
        <v>12.19</v>
      </c>
      <c r="D1200" s="110">
        <v>11.91</v>
      </c>
      <c r="E1200" s="110">
        <v>12.5</v>
      </c>
      <c r="F1200" s="110">
        <v>12.19</v>
      </c>
      <c r="G1200">
        <v>101705</v>
      </c>
      <c r="H1200" s="110"/>
      <c r="I1200" s="110"/>
      <c r="L1200" s="134">
        <v>43775</v>
      </c>
      <c r="M1200" s="110">
        <v>12.15</v>
      </c>
      <c r="N1200" s="110">
        <v>12.5</v>
      </c>
      <c r="O1200" s="110">
        <v>11.9</v>
      </c>
      <c r="P1200" s="110">
        <v>12.5</v>
      </c>
      <c r="Q1200" s="110">
        <v>12.15</v>
      </c>
      <c r="R1200">
        <v>690370</v>
      </c>
    </row>
    <row r="1201" spans="1:18" x14ac:dyDescent="0.25">
      <c r="A1201" s="134">
        <v>43776</v>
      </c>
      <c r="B1201" s="110">
        <v>12.37</v>
      </c>
      <c r="C1201" s="110">
        <v>12.14</v>
      </c>
      <c r="D1201" s="110">
        <v>12.1</v>
      </c>
      <c r="E1201" s="110">
        <v>12.26</v>
      </c>
      <c r="F1201" s="110">
        <v>12.14</v>
      </c>
      <c r="G1201">
        <v>21422</v>
      </c>
      <c r="H1201" s="110"/>
      <c r="I1201" s="110"/>
      <c r="L1201" s="134">
        <v>43776</v>
      </c>
      <c r="M1201" s="110">
        <v>12.1</v>
      </c>
      <c r="N1201" s="110">
        <v>12.5</v>
      </c>
      <c r="O1201" s="110">
        <v>12.1</v>
      </c>
      <c r="P1201" s="110">
        <v>12.5</v>
      </c>
      <c r="Q1201" s="110">
        <v>12.1</v>
      </c>
      <c r="R1201">
        <v>451693</v>
      </c>
    </row>
    <row r="1202" spans="1:18" x14ac:dyDescent="0.25">
      <c r="A1202" s="134">
        <v>43777</v>
      </c>
      <c r="B1202" s="110">
        <v>12.15</v>
      </c>
      <c r="C1202" s="110">
        <v>11.82</v>
      </c>
      <c r="D1202" s="110">
        <v>11.75</v>
      </c>
      <c r="E1202" s="110">
        <v>12.14</v>
      </c>
      <c r="F1202" s="110">
        <v>11.82</v>
      </c>
      <c r="G1202">
        <v>45747</v>
      </c>
      <c r="H1202" s="110"/>
      <c r="I1202" s="110"/>
      <c r="L1202" s="134">
        <v>43777</v>
      </c>
      <c r="M1202" s="110">
        <v>11.8</v>
      </c>
      <c r="N1202" s="110">
        <v>12.2</v>
      </c>
      <c r="O1202" s="110">
        <v>11.7</v>
      </c>
      <c r="P1202" s="110">
        <v>12.1</v>
      </c>
      <c r="Q1202" s="110">
        <v>11.8</v>
      </c>
      <c r="R1202">
        <v>418992</v>
      </c>
    </row>
    <row r="1203" spans="1:18" x14ac:dyDescent="0.25">
      <c r="A1203" s="134">
        <v>43780</v>
      </c>
      <c r="B1203" s="110">
        <v>12.3</v>
      </c>
      <c r="C1203" s="110">
        <v>11.53</v>
      </c>
      <c r="D1203" s="110">
        <v>11.26</v>
      </c>
      <c r="E1203" s="110">
        <v>12.3</v>
      </c>
      <c r="F1203" s="110">
        <v>11.53</v>
      </c>
      <c r="G1203">
        <v>42779</v>
      </c>
      <c r="H1203" s="110"/>
      <c r="I1203" s="110"/>
      <c r="L1203" s="134">
        <v>43780</v>
      </c>
      <c r="M1203" s="110">
        <v>11.55</v>
      </c>
      <c r="N1203" s="110">
        <v>11.75</v>
      </c>
      <c r="O1203" s="110">
        <v>11.05</v>
      </c>
      <c r="P1203" s="110">
        <v>11.65</v>
      </c>
      <c r="Q1203" s="110">
        <v>11.55</v>
      </c>
      <c r="R1203">
        <v>319435</v>
      </c>
    </row>
    <row r="1204" spans="1:18" x14ac:dyDescent="0.25">
      <c r="A1204" s="134">
        <v>43782</v>
      </c>
      <c r="B1204" s="110">
        <v>11.7</v>
      </c>
      <c r="C1204" s="110">
        <v>11.33</v>
      </c>
      <c r="D1204" s="110">
        <v>11.22</v>
      </c>
      <c r="E1204" s="110">
        <v>11.53</v>
      </c>
      <c r="F1204" s="110">
        <v>11.33</v>
      </c>
      <c r="G1204">
        <v>55614</v>
      </c>
      <c r="H1204" s="110"/>
      <c r="I1204" s="110"/>
      <c r="L1204" s="134">
        <v>43782</v>
      </c>
      <c r="M1204" s="110">
        <v>11.35</v>
      </c>
      <c r="N1204" s="110">
        <v>11.7</v>
      </c>
      <c r="O1204" s="110">
        <v>11.25</v>
      </c>
      <c r="P1204" s="110">
        <v>11.55</v>
      </c>
      <c r="Q1204" s="110">
        <v>11.35</v>
      </c>
      <c r="R1204">
        <v>423698</v>
      </c>
    </row>
    <row r="1205" spans="1:18" x14ac:dyDescent="0.25">
      <c r="A1205" s="134">
        <v>43783</v>
      </c>
      <c r="B1205" s="110">
        <v>11.33</v>
      </c>
      <c r="C1205" s="110">
        <v>11.2</v>
      </c>
      <c r="D1205" s="110">
        <v>11.01</v>
      </c>
      <c r="E1205" s="110">
        <v>11.24</v>
      </c>
      <c r="F1205" s="110">
        <v>11.2</v>
      </c>
      <c r="G1205">
        <v>41371</v>
      </c>
      <c r="H1205" s="110"/>
      <c r="I1205" s="110"/>
      <c r="L1205" s="134">
        <v>43783</v>
      </c>
      <c r="M1205" s="110">
        <v>11.2</v>
      </c>
      <c r="N1205" s="110">
        <v>11.5</v>
      </c>
      <c r="O1205" s="110">
        <v>11.1</v>
      </c>
      <c r="P1205" s="110">
        <v>11.35</v>
      </c>
      <c r="Q1205" s="110">
        <v>11.2</v>
      </c>
      <c r="R1205">
        <v>313723</v>
      </c>
    </row>
    <row r="1206" spans="1:18" x14ac:dyDescent="0.25">
      <c r="A1206" s="134">
        <v>43784</v>
      </c>
      <c r="B1206" s="110">
        <v>11.79</v>
      </c>
      <c r="C1206" s="110">
        <v>11.45</v>
      </c>
      <c r="D1206" s="110">
        <v>11.22</v>
      </c>
      <c r="E1206" s="110">
        <v>11.79</v>
      </c>
      <c r="F1206" s="110">
        <v>11.45</v>
      </c>
      <c r="G1206">
        <v>39318</v>
      </c>
      <c r="H1206" s="110"/>
      <c r="I1206" s="110"/>
      <c r="L1206" s="134">
        <v>43784</v>
      </c>
      <c r="M1206" s="110">
        <v>11.4</v>
      </c>
      <c r="N1206" s="110">
        <v>11.7</v>
      </c>
      <c r="O1206" s="110">
        <v>11.2</v>
      </c>
      <c r="P1206" s="110">
        <v>11.3</v>
      </c>
      <c r="Q1206" s="110">
        <v>11.4</v>
      </c>
      <c r="R1206">
        <v>524392</v>
      </c>
    </row>
    <row r="1207" spans="1:18" x14ac:dyDescent="0.25">
      <c r="A1207" s="134">
        <v>43787</v>
      </c>
      <c r="B1207" s="110">
        <v>11.6</v>
      </c>
      <c r="C1207" s="110">
        <v>11.52</v>
      </c>
      <c r="D1207" s="110">
        <v>11.3</v>
      </c>
      <c r="E1207" s="110">
        <v>11.42</v>
      </c>
      <c r="F1207" s="110">
        <v>11.52</v>
      </c>
      <c r="G1207">
        <v>15786</v>
      </c>
      <c r="H1207" s="110"/>
      <c r="I1207" s="110"/>
      <c r="L1207" s="134">
        <v>43787</v>
      </c>
      <c r="M1207" s="110">
        <v>11.5</v>
      </c>
      <c r="N1207" s="110">
        <v>11.6</v>
      </c>
      <c r="O1207" s="110">
        <v>11.15</v>
      </c>
      <c r="P1207" s="110">
        <v>11.15</v>
      </c>
      <c r="Q1207" s="110">
        <v>11.5</v>
      </c>
      <c r="R1207">
        <v>251285</v>
      </c>
    </row>
    <row r="1208" spans="1:18" x14ac:dyDescent="0.25">
      <c r="A1208" s="134">
        <v>43788</v>
      </c>
      <c r="B1208" s="110">
        <v>13.11</v>
      </c>
      <c r="C1208" s="110">
        <v>12.56</v>
      </c>
      <c r="D1208" s="110">
        <v>11.5</v>
      </c>
      <c r="E1208" s="110">
        <v>11.95</v>
      </c>
      <c r="F1208" s="110">
        <v>12.56</v>
      </c>
      <c r="G1208">
        <v>218250</v>
      </c>
      <c r="H1208" s="110"/>
      <c r="I1208" s="110"/>
      <c r="L1208" s="134">
        <v>43788</v>
      </c>
      <c r="M1208" s="110">
        <v>12.55</v>
      </c>
      <c r="N1208" s="110">
        <v>13.2</v>
      </c>
      <c r="O1208" s="110">
        <v>11.3</v>
      </c>
      <c r="P1208" s="110">
        <v>11.55</v>
      </c>
      <c r="Q1208" s="110">
        <v>12.55</v>
      </c>
      <c r="R1208">
        <v>3778918</v>
      </c>
    </row>
    <row r="1209" spans="1:18" x14ac:dyDescent="0.25">
      <c r="A1209" s="134">
        <v>43789</v>
      </c>
      <c r="B1209" s="110">
        <v>13.4</v>
      </c>
      <c r="C1209" s="110">
        <v>12.8</v>
      </c>
      <c r="D1209" s="110">
        <v>12.56</v>
      </c>
      <c r="E1209" s="110">
        <v>12.56</v>
      </c>
      <c r="F1209" s="110">
        <v>12.8</v>
      </c>
      <c r="G1209">
        <v>238052</v>
      </c>
      <c r="H1209" s="110"/>
      <c r="I1209" s="110"/>
      <c r="L1209" s="134">
        <v>43789</v>
      </c>
      <c r="M1209" s="110">
        <v>12.8</v>
      </c>
      <c r="N1209" s="110">
        <v>13.4</v>
      </c>
      <c r="O1209" s="110">
        <v>12.55</v>
      </c>
      <c r="P1209" s="110">
        <v>12.8</v>
      </c>
      <c r="Q1209" s="110">
        <v>12.8</v>
      </c>
      <c r="R1209">
        <v>1902828</v>
      </c>
    </row>
    <row r="1210" spans="1:18" x14ac:dyDescent="0.25">
      <c r="A1210" s="134">
        <v>43790</v>
      </c>
      <c r="B1210" s="110">
        <v>12.97</v>
      </c>
      <c r="C1210" s="110">
        <v>12.68</v>
      </c>
      <c r="D1210" s="110">
        <v>12.47</v>
      </c>
      <c r="E1210" s="110">
        <v>12.85</v>
      </c>
      <c r="F1210" s="110">
        <v>12.68</v>
      </c>
      <c r="G1210">
        <v>55056</v>
      </c>
      <c r="H1210" s="110"/>
      <c r="I1210" s="110"/>
      <c r="L1210" s="134">
        <v>43790</v>
      </c>
      <c r="M1210" s="110">
        <v>12.65</v>
      </c>
      <c r="N1210" s="110">
        <v>13</v>
      </c>
      <c r="O1210" s="110">
        <v>12.3</v>
      </c>
      <c r="P1210" s="110">
        <v>12.9</v>
      </c>
      <c r="Q1210" s="110">
        <v>12.65</v>
      </c>
      <c r="R1210">
        <v>624784</v>
      </c>
    </row>
    <row r="1211" spans="1:18" x14ac:dyDescent="0.25">
      <c r="A1211" s="134">
        <v>43791</v>
      </c>
      <c r="B1211" s="110">
        <v>12.9</v>
      </c>
      <c r="C1211" s="110">
        <v>12.53</v>
      </c>
      <c r="D1211" s="110">
        <v>12.39</v>
      </c>
      <c r="E1211" s="110">
        <v>12.9</v>
      </c>
      <c r="F1211" s="110">
        <v>12.53</v>
      </c>
      <c r="G1211">
        <v>36998</v>
      </c>
      <c r="H1211" s="110"/>
      <c r="I1211" s="110"/>
      <c r="L1211" s="134">
        <v>43791</v>
      </c>
      <c r="M1211" s="110">
        <v>12.5</v>
      </c>
      <c r="N1211" s="110">
        <v>12.65</v>
      </c>
      <c r="O1211" s="110">
        <v>12.35</v>
      </c>
      <c r="P1211" s="110">
        <v>12.5</v>
      </c>
      <c r="Q1211" s="110">
        <v>12.5</v>
      </c>
      <c r="R1211">
        <v>443951</v>
      </c>
    </row>
    <row r="1212" spans="1:18" x14ac:dyDescent="0.25">
      <c r="A1212" s="134">
        <v>43794</v>
      </c>
      <c r="B1212" s="110">
        <v>12.82</v>
      </c>
      <c r="C1212" s="110">
        <v>12.55</v>
      </c>
      <c r="D1212" s="110">
        <v>12.51</v>
      </c>
      <c r="E1212" s="110">
        <v>12.51</v>
      </c>
      <c r="F1212" s="110">
        <v>12.55</v>
      </c>
      <c r="G1212">
        <v>82193</v>
      </c>
      <c r="H1212" s="110"/>
      <c r="I1212" s="110"/>
      <c r="L1212" s="134">
        <v>43794</v>
      </c>
      <c r="M1212" s="110">
        <v>12.55</v>
      </c>
      <c r="N1212" s="110">
        <v>12.8</v>
      </c>
      <c r="O1212" s="110">
        <v>12.45</v>
      </c>
      <c r="P1212" s="110">
        <v>12.5</v>
      </c>
      <c r="Q1212" s="110">
        <v>12.55</v>
      </c>
      <c r="R1212">
        <v>566539</v>
      </c>
    </row>
    <row r="1213" spans="1:18" x14ac:dyDescent="0.25">
      <c r="A1213" s="134">
        <v>43795</v>
      </c>
      <c r="B1213" s="110">
        <v>12.7</v>
      </c>
      <c r="C1213" s="110">
        <v>12.29</v>
      </c>
      <c r="D1213" s="110">
        <v>12.28</v>
      </c>
      <c r="E1213" s="110">
        <v>12.52</v>
      </c>
      <c r="F1213" s="110">
        <v>12.29</v>
      </c>
      <c r="G1213">
        <v>26468</v>
      </c>
      <c r="H1213" s="110"/>
      <c r="I1213" s="110"/>
      <c r="L1213" s="134">
        <v>43795</v>
      </c>
      <c r="M1213" s="110">
        <v>12.3</v>
      </c>
      <c r="N1213" s="110">
        <v>12.7</v>
      </c>
      <c r="O1213" s="110">
        <v>12.25</v>
      </c>
      <c r="P1213" s="110">
        <v>12.7</v>
      </c>
      <c r="Q1213" s="110">
        <v>12.3</v>
      </c>
      <c r="R1213">
        <v>564778</v>
      </c>
    </row>
    <row r="1214" spans="1:18" x14ac:dyDescent="0.25">
      <c r="A1214" s="134">
        <v>43796</v>
      </c>
      <c r="B1214" s="110">
        <v>12.52</v>
      </c>
      <c r="C1214" s="110">
        <v>12.15</v>
      </c>
      <c r="D1214" s="110">
        <v>12.07</v>
      </c>
      <c r="E1214" s="110">
        <v>12.52</v>
      </c>
      <c r="F1214" s="110">
        <v>12.15</v>
      </c>
      <c r="G1214">
        <v>62332</v>
      </c>
      <c r="H1214" s="110"/>
      <c r="I1214" s="110"/>
      <c r="L1214" s="134">
        <v>43796</v>
      </c>
      <c r="M1214" s="110">
        <v>12.1</v>
      </c>
      <c r="N1214" s="110">
        <v>12.5</v>
      </c>
      <c r="O1214" s="110">
        <v>12.05</v>
      </c>
      <c r="P1214" s="110">
        <v>12.5</v>
      </c>
      <c r="Q1214" s="110">
        <v>12.1</v>
      </c>
      <c r="R1214">
        <v>502879</v>
      </c>
    </row>
    <row r="1215" spans="1:18" x14ac:dyDescent="0.25">
      <c r="A1215" s="134">
        <v>43797</v>
      </c>
      <c r="B1215" s="110">
        <v>12.8</v>
      </c>
      <c r="C1215" s="110">
        <v>12.62</v>
      </c>
      <c r="D1215" s="110">
        <v>12</v>
      </c>
      <c r="E1215" s="110">
        <v>12.17</v>
      </c>
      <c r="F1215" s="110">
        <v>12.62</v>
      </c>
      <c r="G1215">
        <v>115568</v>
      </c>
      <c r="H1215" s="110"/>
      <c r="I1215" s="110"/>
      <c r="L1215" s="134">
        <v>43797</v>
      </c>
      <c r="M1215" s="110">
        <v>12.65</v>
      </c>
      <c r="N1215" s="110">
        <v>12.8</v>
      </c>
      <c r="O1215" s="110">
        <v>12</v>
      </c>
      <c r="P1215" s="110">
        <v>12.25</v>
      </c>
      <c r="Q1215" s="110">
        <v>12.65</v>
      </c>
      <c r="R1215">
        <v>1154192</v>
      </c>
    </row>
    <row r="1216" spans="1:18" x14ac:dyDescent="0.25">
      <c r="A1216" s="134">
        <v>43798</v>
      </c>
      <c r="B1216" s="110">
        <v>12.73</v>
      </c>
      <c r="C1216" s="110">
        <v>12.41</v>
      </c>
      <c r="D1216" s="110">
        <v>12.35</v>
      </c>
      <c r="E1216" s="110">
        <v>12.73</v>
      </c>
      <c r="F1216" s="110">
        <v>12.41</v>
      </c>
      <c r="G1216">
        <v>141773</v>
      </c>
      <c r="H1216" s="110"/>
      <c r="I1216" s="110"/>
      <c r="L1216" s="134">
        <v>43798</v>
      </c>
      <c r="M1216" s="110">
        <v>12.45</v>
      </c>
      <c r="N1216" s="110">
        <v>12.8</v>
      </c>
      <c r="O1216" s="110">
        <v>12.35</v>
      </c>
      <c r="P1216" s="110">
        <v>12.8</v>
      </c>
      <c r="Q1216" s="110">
        <v>12.45</v>
      </c>
      <c r="R1216">
        <v>501078</v>
      </c>
    </row>
    <row r="1217" spans="1:18" x14ac:dyDescent="0.25">
      <c r="A1217" s="134">
        <v>43801</v>
      </c>
      <c r="B1217" s="110">
        <v>12.47</v>
      </c>
      <c r="C1217" s="110">
        <v>12.15</v>
      </c>
      <c r="D1217" s="110">
        <v>12.12</v>
      </c>
      <c r="E1217" s="110">
        <v>12.36</v>
      </c>
      <c r="F1217" s="110">
        <v>12.15</v>
      </c>
      <c r="G1217">
        <v>38842</v>
      </c>
      <c r="H1217" s="110"/>
      <c r="I1217" s="110"/>
      <c r="L1217" s="134">
        <v>43801</v>
      </c>
      <c r="M1217" s="110">
        <v>12.15</v>
      </c>
      <c r="N1217" s="110">
        <v>12.5</v>
      </c>
      <c r="O1217" s="110">
        <v>12.05</v>
      </c>
      <c r="P1217" s="110">
        <v>12.15</v>
      </c>
      <c r="Q1217" s="110">
        <v>12.15</v>
      </c>
      <c r="R1217">
        <v>343925</v>
      </c>
    </row>
    <row r="1218" spans="1:18" x14ac:dyDescent="0.25">
      <c r="A1218" s="134">
        <v>43802</v>
      </c>
      <c r="B1218" s="110">
        <v>12.41</v>
      </c>
      <c r="C1218" s="110">
        <v>12.17</v>
      </c>
      <c r="D1218" s="110">
        <v>12.01</v>
      </c>
      <c r="E1218" s="110">
        <v>12.26</v>
      </c>
      <c r="F1218" s="110">
        <v>12.17</v>
      </c>
      <c r="G1218">
        <v>62329</v>
      </c>
      <c r="H1218" s="110"/>
      <c r="I1218" s="110"/>
      <c r="L1218" s="134">
        <v>43802</v>
      </c>
      <c r="M1218" s="110">
        <v>12.2</v>
      </c>
      <c r="N1218" s="110">
        <v>12.4</v>
      </c>
      <c r="O1218" s="110">
        <v>12</v>
      </c>
      <c r="P1218" s="110">
        <v>12.3</v>
      </c>
      <c r="Q1218" s="110">
        <v>12.2</v>
      </c>
      <c r="R1218">
        <v>522239</v>
      </c>
    </row>
    <row r="1219" spans="1:18" x14ac:dyDescent="0.25">
      <c r="A1219" s="134">
        <v>43803</v>
      </c>
      <c r="B1219" s="110">
        <v>12.88</v>
      </c>
      <c r="C1219" s="110">
        <v>12.39</v>
      </c>
      <c r="D1219" s="110">
        <v>12.03</v>
      </c>
      <c r="E1219" s="110">
        <v>12.88</v>
      </c>
      <c r="F1219" s="110">
        <v>12.39</v>
      </c>
      <c r="G1219">
        <v>94116</v>
      </c>
      <c r="H1219" s="110"/>
      <c r="I1219" s="110"/>
      <c r="L1219" s="134">
        <v>43803</v>
      </c>
      <c r="M1219" s="110">
        <v>12.4</v>
      </c>
      <c r="N1219" s="110">
        <v>12.45</v>
      </c>
      <c r="O1219" s="110">
        <v>12</v>
      </c>
      <c r="P1219" s="110">
        <v>12.25</v>
      </c>
      <c r="Q1219" s="110">
        <v>12.4</v>
      </c>
      <c r="R1219">
        <v>470802</v>
      </c>
    </row>
    <row r="1220" spans="1:18" x14ac:dyDescent="0.25">
      <c r="A1220" s="134">
        <v>43804</v>
      </c>
      <c r="B1220" s="110">
        <v>12.9</v>
      </c>
      <c r="C1220" s="110">
        <v>12.29</v>
      </c>
      <c r="D1220" s="110">
        <v>12.24</v>
      </c>
      <c r="E1220" s="110">
        <v>12.9</v>
      </c>
      <c r="F1220" s="110">
        <v>12.29</v>
      </c>
      <c r="G1220">
        <v>10908</v>
      </c>
      <c r="H1220" s="110"/>
      <c r="I1220" s="110"/>
      <c r="L1220" s="134">
        <v>43804</v>
      </c>
      <c r="M1220" s="110">
        <v>12.3</v>
      </c>
      <c r="N1220" s="110">
        <v>12.5</v>
      </c>
      <c r="O1220" s="110">
        <v>12.25</v>
      </c>
      <c r="P1220" s="110">
        <v>12.25</v>
      </c>
      <c r="Q1220" s="110">
        <v>12.3</v>
      </c>
      <c r="R1220">
        <v>254007</v>
      </c>
    </row>
    <row r="1221" spans="1:18" x14ac:dyDescent="0.25">
      <c r="A1221" s="134">
        <v>43805</v>
      </c>
      <c r="B1221" s="110">
        <v>12.7</v>
      </c>
      <c r="C1221" s="110">
        <v>11.99</v>
      </c>
      <c r="D1221" s="110">
        <v>11.95</v>
      </c>
      <c r="E1221" s="110">
        <v>12.7</v>
      </c>
      <c r="F1221" s="110">
        <v>11.99</v>
      </c>
      <c r="G1221">
        <v>27571</v>
      </c>
      <c r="H1221" s="110"/>
      <c r="I1221" s="110"/>
      <c r="L1221" s="134">
        <v>43805</v>
      </c>
      <c r="M1221" s="110">
        <v>11.9</v>
      </c>
      <c r="N1221" s="110">
        <v>12.4</v>
      </c>
      <c r="O1221" s="110">
        <v>11.9</v>
      </c>
      <c r="P1221" s="110">
        <v>12.4</v>
      </c>
      <c r="Q1221" s="110">
        <v>11.9</v>
      </c>
      <c r="R1221">
        <v>323472</v>
      </c>
    </row>
    <row r="1222" spans="1:18" x14ac:dyDescent="0.25">
      <c r="A1222" s="134">
        <v>43808</v>
      </c>
      <c r="B1222" s="110">
        <v>12.09</v>
      </c>
      <c r="C1222" s="110">
        <v>12</v>
      </c>
      <c r="D1222" s="110">
        <v>11.84</v>
      </c>
      <c r="E1222" s="110">
        <v>11.9</v>
      </c>
      <c r="F1222" s="110">
        <v>12</v>
      </c>
      <c r="G1222">
        <v>21561</v>
      </c>
      <c r="H1222" s="110"/>
      <c r="I1222" s="110"/>
      <c r="L1222" s="134">
        <v>43808</v>
      </c>
      <c r="M1222" s="110">
        <v>11.95</v>
      </c>
      <c r="N1222" s="110">
        <v>12.1</v>
      </c>
      <c r="O1222" s="110">
        <v>11.7</v>
      </c>
      <c r="P1222" s="110">
        <v>11.9</v>
      </c>
      <c r="Q1222" s="110">
        <v>11.95</v>
      </c>
      <c r="R1222">
        <v>198116</v>
      </c>
    </row>
    <row r="1223" spans="1:18" x14ac:dyDescent="0.25">
      <c r="A1223" s="134">
        <v>43809</v>
      </c>
      <c r="B1223" s="110">
        <v>12.03</v>
      </c>
      <c r="C1223" s="110">
        <v>11.83</v>
      </c>
      <c r="D1223" s="110">
        <v>11.79</v>
      </c>
      <c r="E1223" s="110">
        <v>11.93</v>
      </c>
      <c r="F1223" s="110">
        <v>11.83</v>
      </c>
      <c r="G1223">
        <v>16475</v>
      </c>
      <c r="H1223" s="110"/>
      <c r="I1223" s="110"/>
      <c r="L1223" s="134">
        <v>43809</v>
      </c>
      <c r="M1223" s="110">
        <v>11.8</v>
      </c>
      <c r="N1223" s="110">
        <v>12.1</v>
      </c>
      <c r="O1223" s="110">
        <v>11.8</v>
      </c>
      <c r="P1223" s="110">
        <v>12.1</v>
      </c>
      <c r="Q1223" s="110">
        <v>11.8</v>
      </c>
      <c r="R1223">
        <v>204368</v>
      </c>
    </row>
    <row r="1224" spans="1:18" x14ac:dyDescent="0.25">
      <c r="A1224" s="134">
        <v>43810</v>
      </c>
      <c r="B1224" s="110">
        <v>11.88</v>
      </c>
      <c r="C1224" s="110">
        <v>11.62</v>
      </c>
      <c r="D1224" s="110">
        <v>11.53</v>
      </c>
      <c r="E1224" s="110">
        <v>11.79</v>
      </c>
      <c r="F1224" s="110">
        <v>11.62</v>
      </c>
      <c r="G1224">
        <v>33582</v>
      </c>
      <c r="H1224" s="110"/>
      <c r="I1224" s="110"/>
      <c r="L1224" s="134">
        <v>43810</v>
      </c>
      <c r="M1224" s="110">
        <v>11.55</v>
      </c>
      <c r="N1224" s="110">
        <v>11.85</v>
      </c>
      <c r="O1224" s="110">
        <v>11.5</v>
      </c>
      <c r="P1224" s="110">
        <v>11.8</v>
      </c>
      <c r="Q1224" s="110">
        <v>11.55</v>
      </c>
      <c r="R1224">
        <v>312681</v>
      </c>
    </row>
    <row r="1225" spans="1:18" x14ac:dyDescent="0.25">
      <c r="A1225" s="134">
        <v>43811</v>
      </c>
      <c r="B1225" s="110">
        <v>11.85</v>
      </c>
      <c r="C1225" s="110">
        <v>11.63</v>
      </c>
      <c r="D1225" s="110">
        <v>11.54</v>
      </c>
      <c r="E1225" s="110">
        <v>11.76</v>
      </c>
      <c r="F1225" s="110">
        <v>11.63</v>
      </c>
      <c r="G1225">
        <v>8001</v>
      </c>
      <c r="H1225" s="110"/>
      <c r="I1225" s="110"/>
      <c r="L1225" s="134">
        <v>43811</v>
      </c>
      <c r="M1225" s="110">
        <v>11.6</v>
      </c>
      <c r="N1225" s="110">
        <v>11.9</v>
      </c>
      <c r="O1225" s="110">
        <v>11.55</v>
      </c>
      <c r="P1225" s="110">
        <v>11.75</v>
      </c>
      <c r="Q1225" s="110">
        <v>11.6</v>
      </c>
      <c r="R1225">
        <v>323154</v>
      </c>
    </row>
    <row r="1226" spans="1:18" x14ac:dyDescent="0.25">
      <c r="A1226" s="134">
        <v>43812</v>
      </c>
      <c r="B1226" s="110">
        <v>11.91</v>
      </c>
      <c r="C1226" s="110">
        <v>11.76</v>
      </c>
      <c r="D1226" s="110">
        <v>11.7</v>
      </c>
      <c r="E1226" s="110">
        <v>11.85</v>
      </c>
      <c r="F1226" s="110">
        <v>11.76</v>
      </c>
      <c r="G1226">
        <v>41519</v>
      </c>
      <c r="H1226" s="110"/>
      <c r="I1226" s="110"/>
      <c r="L1226" s="134">
        <v>43812</v>
      </c>
      <c r="M1226" s="110">
        <v>11.75</v>
      </c>
      <c r="N1226" s="110">
        <v>11.95</v>
      </c>
      <c r="O1226" s="110">
        <v>11.65</v>
      </c>
      <c r="P1226" s="110">
        <v>11.65</v>
      </c>
      <c r="Q1226" s="110">
        <v>11.75</v>
      </c>
      <c r="R1226">
        <v>556184</v>
      </c>
    </row>
    <row r="1227" spans="1:18" x14ac:dyDescent="0.25">
      <c r="A1227" s="134">
        <v>43815</v>
      </c>
      <c r="B1227" s="110">
        <v>12</v>
      </c>
      <c r="C1227" s="110">
        <v>11.7</v>
      </c>
      <c r="D1227" s="110">
        <v>11.65</v>
      </c>
      <c r="E1227" s="110">
        <v>12</v>
      </c>
      <c r="F1227" s="110">
        <v>11.7</v>
      </c>
      <c r="G1227">
        <v>13189</v>
      </c>
      <c r="H1227" s="110"/>
      <c r="I1227" s="110"/>
      <c r="L1227" s="134">
        <v>43815</v>
      </c>
      <c r="M1227" s="110">
        <v>11.65</v>
      </c>
      <c r="N1227" s="110">
        <v>12</v>
      </c>
      <c r="O1227" s="110">
        <v>11.6</v>
      </c>
      <c r="P1227" s="110">
        <v>12</v>
      </c>
      <c r="Q1227" s="110">
        <v>11.65</v>
      </c>
      <c r="R1227">
        <v>220710</v>
      </c>
    </row>
    <row r="1228" spans="1:18" x14ac:dyDescent="0.25">
      <c r="A1228" s="134">
        <v>43816</v>
      </c>
      <c r="B1228" s="110">
        <v>11.81</v>
      </c>
      <c r="C1228" s="110">
        <v>11.65</v>
      </c>
      <c r="D1228" s="110">
        <v>11.59</v>
      </c>
      <c r="E1228" s="110">
        <v>11.65</v>
      </c>
      <c r="F1228" s="110">
        <v>11.65</v>
      </c>
      <c r="G1228">
        <v>30398</v>
      </c>
      <c r="H1228" s="110"/>
      <c r="I1228" s="110"/>
      <c r="L1228" s="134">
        <v>43816</v>
      </c>
      <c r="M1228" s="110">
        <v>11.6</v>
      </c>
      <c r="N1228" s="110">
        <v>11.8</v>
      </c>
      <c r="O1228" s="110">
        <v>11.6</v>
      </c>
      <c r="P1228" s="110">
        <v>11.8</v>
      </c>
      <c r="Q1228" s="110">
        <v>11.6</v>
      </c>
      <c r="R1228">
        <v>251775</v>
      </c>
    </row>
    <row r="1229" spans="1:18" x14ac:dyDescent="0.25">
      <c r="A1229" s="134">
        <v>43817</v>
      </c>
      <c r="B1229" s="110">
        <v>11.71</v>
      </c>
      <c r="C1229" s="110">
        <v>11.67</v>
      </c>
      <c r="D1229" s="110">
        <v>11.55</v>
      </c>
      <c r="E1229" s="110">
        <v>11.67</v>
      </c>
      <c r="F1229" s="110">
        <v>11.67</v>
      </c>
      <c r="G1229">
        <v>61510</v>
      </c>
      <c r="H1229" s="110"/>
      <c r="I1229" s="110"/>
      <c r="L1229" s="134">
        <v>43817</v>
      </c>
      <c r="M1229" s="110">
        <v>11.65</v>
      </c>
      <c r="N1229" s="110">
        <v>11.75</v>
      </c>
      <c r="O1229" s="110">
        <v>11.55</v>
      </c>
      <c r="P1229" s="110">
        <v>11.65</v>
      </c>
      <c r="Q1229" s="110">
        <v>11.65</v>
      </c>
      <c r="R1229">
        <v>238854</v>
      </c>
    </row>
    <row r="1230" spans="1:18" x14ac:dyDescent="0.25">
      <c r="A1230" s="134">
        <v>43818</v>
      </c>
      <c r="B1230" s="110">
        <v>11.71</v>
      </c>
      <c r="C1230" s="110">
        <v>11.59</v>
      </c>
      <c r="D1230" s="110">
        <v>11.51</v>
      </c>
      <c r="E1230" s="110">
        <v>11.67</v>
      </c>
      <c r="F1230" s="110">
        <v>11.59</v>
      </c>
      <c r="G1230">
        <v>10906</v>
      </c>
      <c r="H1230" s="110"/>
      <c r="I1230" s="110"/>
      <c r="L1230" s="134">
        <v>43818</v>
      </c>
      <c r="M1230" s="110">
        <v>11.55</v>
      </c>
      <c r="N1230" s="110">
        <v>11.7</v>
      </c>
      <c r="O1230" s="110">
        <v>11.5</v>
      </c>
      <c r="P1230" s="110">
        <v>11.7</v>
      </c>
      <c r="Q1230" s="110">
        <v>11.55</v>
      </c>
      <c r="R1230">
        <v>175132</v>
      </c>
    </row>
    <row r="1231" spans="1:18" x14ac:dyDescent="0.25">
      <c r="A1231" s="134">
        <v>43819</v>
      </c>
      <c r="B1231" s="110">
        <v>12.29</v>
      </c>
      <c r="C1231" s="110">
        <v>11.81</v>
      </c>
      <c r="D1231" s="110">
        <v>11.74</v>
      </c>
      <c r="E1231" s="110">
        <v>12</v>
      </c>
      <c r="F1231" s="110">
        <v>11.81</v>
      </c>
      <c r="G1231">
        <v>101984</v>
      </c>
      <c r="H1231" s="110"/>
      <c r="I1231" s="110"/>
      <c r="L1231" s="134">
        <v>43819</v>
      </c>
      <c r="M1231" s="110">
        <v>11.85</v>
      </c>
      <c r="N1231" s="110">
        <v>12.25</v>
      </c>
      <c r="O1231" s="110">
        <v>11.75</v>
      </c>
      <c r="P1231" s="110">
        <v>11.9</v>
      </c>
      <c r="Q1231" s="110">
        <v>11.85</v>
      </c>
      <c r="R1231">
        <v>977624</v>
      </c>
    </row>
    <row r="1232" spans="1:18" x14ac:dyDescent="0.25">
      <c r="A1232" s="134">
        <v>43822</v>
      </c>
      <c r="B1232" s="110">
        <v>11.94</v>
      </c>
      <c r="C1232" s="110">
        <v>11.68</v>
      </c>
      <c r="D1232" s="110">
        <v>11.6</v>
      </c>
      <c r="E1232" s="110">
        <v>11.84</v>
      </c>
      <c r="F1232" s="110">
        <v>11.68</v>
      </c>
      <c r="G1232">
        <v>38342</v>
      </c>
      <c r="H1232" s="110"/>
      <c r="I1232" s="110"/>
      <c r="L1232" s="134">
        <v>43822</v>
      </c>
      <c r="M1232" s="110">
        <v>11.7</v>
      </c>
      <c r="N1232" s="110">
        <v>11.95</v>
      </c>
      <c r="O1232" s="110">
        <v>11.7</v>
      </c>
      <c r="P1232" s="110">
        <v>11.85</v>
      </c>
      <c r="Q1232" s="110">
        <v>11.7</v>
      </c>
      <c r="R1232">
        <v>236371</v>
      </c>
    </row>
    <row r="1233" spans="1:18" x14ac:dyDescent="0.25">
      <c r="A1233" s="134">
        <v>43823</v>
      </c>
      <c r="B1233" s="110">
        <v>11.85</v>
      </c>
      <c r="C1233" s="110">
        <v>11.8</v>
      </c>
      <c r="D1233" s="110">
        <v>11.71</v>
      </c>
      <c r="E1233" s="110">
        <v>11.75</v>
      </c>
      <c r="F1233" s="110">
        <v>11.8</v>
      </c>
      <c r="G1233">
        <v>41667</v>
      </c>
      <c r="H1233" s="110"/>
      <c r="I1233" s="110"/>
      <c r="L1233" s="134">
        <v>43823</v>
      </c>
      <c r="M1233" s="110">
        <v>11.8</v>
      </c>
      <c r="N1233" s="110">
        <v>11.9</v>
      </c>
      <c r="O1233" s="110">
        <v>11.7</v>
      </c>
      <c r="P1233" s="110">
        <v>11.75</v>
      </c>
      <c r="Q1233" s="110">
        <v>11.8</v>
      </c>
      <c r="R1233">
        <v>263083</v>
      </c>
    </row>
    <row r="1234" spans="1:18" x14ac:dyDescent="0.25">
      <c r="A1234" s="134">
        <v>43825</v>
      </c>
      <c r="B1234" s="110">
        <v>14.16</v>
      </c>
      <c r="C1234" s="110">
        <v>12.78</v>
      </c>
      <c r="D1234" s="110">
        <v>11.78</v>
      </c>
      <c r="E1234" s="110">
        <v>12</v>
      </c>
      <c r="F1234" s="110">
        <v>12.78</v>
      </c>
      <c r="G1234">
        <v>69013</v>
      </c>
      <c r="H1234" s="110"/>
      <c r="I1234" s="110"/>
      <c r="L1234" s="134">
        <v>43825</v>
      </c>
      <c r="M1234" s="110">
        <v>13.3</v>
      </c>
      <c r="N1234" s="110">
        <v>14.15</v>
      </c>
      <c r="O1234" s="110">
        <v>11.8</v>
      </c>
      <c r="P1234" s="110">
        <v>11.85</v>
      </c>
      <c r="Q1234" s="110">
        <v>13.3</v>
      </c>
      <c r="R1234">
        <v>1741621</v>
      </c>
    </row>
    <row r="1235" spans="1:18" x14ac:dyDescent="0.25">
      <c r="A1235" s="134">
        <v>43826</v>
      </c>
      <c r="B1235" s="110">
        <v>13.93</v>
      </c>
      <c r="C1235" s="110">
        <v>13.18</v>
      </c>
      <c r="D1235" s="110">
        <v>12.72</v>
      </c>
      <c r="E1235" s="110">
        <v>13.9</v>
      </c>
      <c r="F1235" s="110">
        <v>13.18</v>
      </c>
      <c r="G1235">
        <v>376989</v>
      </c>
      <c r="H1235" s="110"/>
      <c r="I1235" s="110"/>
      <c r="L1235" s="134">
        <v>43826</v>
      </c>
      <c r="M1235" s="110">
        <v>13.2</v>
      </c>
      <c r="N1235" s="110">
        <v>14</v>
      </c>
      <c r="O1235" s="110">
        <v>12.65</v>
      </c>
      <c r="P1235" s="110">
        <v>14</v>
      </c>
      <c r="Q1235" s="110">
        <v>13.2</v>
      </c>
      <c r="R1235">
        <v>2469651</v>
      </c>
    </row>
    <row r="1236" spans="1:18" x14ac:dyDescent="0.25">
      <c r="A1236" s="134">
        <v>43829</v>
      </c>
      <c r="B1236" s="110">
        <v>13.85</v>
      </c>
      <c r="C1236" s="110">
        <v>13.02</v>
      </c>
      <c r="D1236" s="110">
        <v>12.82</v>
      </c>
      <c r="E1236" s="110">
        <v>13.85</v>
      </c>
      <c r="F1236" s="110">
        <v>13.02</v>
      </c>
      <c r="G1236">
        <v>40871</v>
      </c>
      <c r="H1236" s="110"/>
      <c r="I1236" s="110"/>
      <c r="L1236" s="134">
        <v>43829</v>
      </c>
      <c r="M1236" s="110">
        <v>13</v>
      </c>
      <c r="N1236" s="110">
        <v>13.2</v>
      </c>
      <c r="O1236" s="110">
        <v>12.8</v>
      </c>
      <c r="P1236" s="110">
        <v>13.1</v>
      </c>
      <c r="Q1236" s="110">
        <v>13</v>
      </c>
      <c r="R1236">
        <v>522684</v>
      </c>
    </row>
    <row r="1237" spans="1:18" x14ac:dyDescent="0.25">
      <c r="A1237" s="134">
        <v>43830</v>
      </c>
      <c r="B1237" s="110">
        <v>13.22</v>
      </c>
      <c r="C1237" s="110">
        <v>12.96</v>
      </c>
      <c r="D1237" s="110">
        <v>12.85</v>
      </c>
      <c r="E1237" s="110">
        <v>12.89</v>
      </c>
      <c r="F1237" s="110">
        <v>12.96</v>
      </c>
      <c r="G1237">
        <v>32155</v>
      </c>
      <c r="H1237" s="110"/>
      <c r="I1237" s="110"/>
      <c r="L1237" s="134">
        <v>43830</v>
      </c>
      <c r="M1237" s="110">
        <v>12.9</v>
      </c>
      <c r="N1237" s="110">
        <v>13.25</v>
      </c>
      <c r="O1237" s="110">
        <v>12.85</v>
      </c>
      <c r="P1237" s="110">
        <v>12.85</v>
      </c>
      <c r="Q1237" s="110">
        <v>12.9</v>
      </c>
      <c r="R1237">
        <v>482343</v>
      </c>
    </row>
    <row r="1238" spans="1:18" x14ac:dyDescent="0.25">
      <c r="A1238" s="134">
        <v>43831</v>
      </c>
      <c r="B1238" s="110">
        <v>13.02</v>
      </c>
      <c r="C1238" s="110">
        <v>12.91</v>
      </c>
      <c r="D1238" s="110">
        <v>12.72</v>
      </c>
      <c r="E1238" s="110">
        <v>12.87</v>
      </c>
      <c r="F1238" s="110">
        <v>12.91</v>
      </c>
      <c r="G1238">
        <v>43204</v>
      </c>
      <c r="H1238" s="110"/>
      <c r="I1238" s="110"/>
      <c r="L1238" s="134">
        <v>43831</v>
      </c>
      <c r="M1238" s="110">
        <v>12.9</v>
      </c>
      <c r="N1238" s="110">
        <v>13</v>
      </c>
      <c r="O1238" s="110">
        <v>12.7</v>
      </c>
      <c r="P1238" s="110">
        <v>12.8</v>
      </c>
      <c r="Q1238" s="110">
        <v>12.9</v>
      </c>
      <c r="R1238">
        <v>252522</v>
      </c>
    </row>
    <row r="1239" spans="1:18" x14ac:dyDescent="0.25">
      <c r="A1239" s="134">
        <v>43832</v>
      </c>
      <c r="B1239" s="110">
        <v>13.18</v>
      </c>
      <c r="C1239" s="110">
        <v>12.92</v>
      </c>
      <c r="D1239" s="110">
        <v>12.88</v>
      </c>
      <c r="E1239" s="110">
        <v>12.88</v>
      </c>
      <c r="F1239" s="110">
        <v>12.92</v>
      </c>
      <c r="G1239">
        <v>40260</v>
      </c>
      <c r="H1239" s="110"/>
      <c r="I1239" s="110"/>
      <c r="L1239" s="134">
        <v>43832</v>
      </c>
      <c r="M1239" s="110">
        <v>12.95</v>
      </c>
      <c r="N1239" s="110">
        <v>13.2</v>
      </c>
      <c r="O1239" s="110">
        <v>12.85</v>
      </c>
      <c r="P1239" s="110">
        <v>12.95</v>
      </c>
      <c r="Q1239" s="110">
        <v>12.95</v>
      </c>
      <c r="R1239">
        <v>432532</v>
      </c>
    </row>
    <row r="1240" spans="1:18" x14ac:dyDescent="0.25">
      <c r="A1240" s="134">
        <v>43833</v>
      </c>
      <c r="B1240" s="110">
        <v>13.03</v>
      </c>
      <c r="C1240" s="110">
        <v>12.87</v>
      </c>
      <c r="D1240" s="110">
        <v>12.84</v>
      </c>
      <c r="E1240" s="110">
        <v>12.88</v>
      </c>
      <c r="F1240" s="110">
        <v>12.87</v>
      </c>
      <c r="G1240">
        <v>17435</v>
      </c>
      <c r="H1240" s="110"/>
      <c r="I1240" s="110"/>
      <c r="L1240" s="134">
        <v>43833</v>
      </c>
      <c r="M1240" s="110">
        <v>12.85</v>
      </c>
      <c r="N1240" s="110">
        <v>13.05</v>
      </c>
      <c r="O1240" s="110">
        <v>12.8</v>
      </c>
      <c r="P1240" s="110">
        <v>13</v>
      </c>
      <c r="Q1240" s="110">
        <v>12.85</v>
      </c>
      <c r="R1240">
        <v>470447</v>
      </c>
    </row>
    <row r="1241" spans="1:18" x14ac:dyDescent="0.25">
      <c r="A1241" s="134">
        <v>43836</v>
      </c>
      <c r="B1241" s="110">
        <v>12.9</v>
      </c>
      <c r="C1241" s="110">
        <v>12.46</v>
      </c>
      <c r="D1241" s="110">
        <v>12.27</v>
      </c>
      <c r="E1241" s="110">
        <v>12.9</v>
      </c>
      <c r="F1241" s="110">
        <v>12.46</v>
      </c>
      <c r="G1241">
        <v>36875</v>
      </c>
      <c r="H1241" s="110"/>
      <c r="I1241" s="110"/>
      <c r="L1241" s="134">
        <v>43836</v>
      </c>
      <c r="M1241" s="110">
        <v>12.35</v>
      </c>
      <c r="N1241" s="110">
        <v>12.85</v>
      </c>
      <c r="O1241" s="110">
        <v>12</v>
      </c>
      <c r="P1241" s="110">
        <v>12.85</v>
      </c>
      <c r="Q1241" s="110">
        <v>12.35</v>
      </c>
      <c r="R1241">
        <v>484036</v>
      </c>
    </row>
    <row r="1242" spans="1:18" x14ac:dyDescent="0.25">
      <c r="A1242" s="134">
        <v>43837</v>
      </c>
      <c r="B1242" s="110">
        <v>12.8</v>
      </c>
      <c r="C1242" s="110">
        <v>12.46</v>
      </c>
      <c r="D1242" s="110">
        <v>12.27</v>
      </c>
      <c r="E1242" s="110">
        <v>12.8</v>
      </c>
      <c r="F1242" s="110">
        <v>12.46</v>
      </c>
      <c r="G1242">
        <v>23418</v>
      </c>
      <c r="H1242" s="110"/>
      <c r="I1242" s="110"/>
      <c r="L1242" s="134">
        <v>43837</v>
      </c>
      <c r="M1242" s="110">
        <v>12.45</v>
      </c>
      <c r="N1242" s="110">
        <v>12.65</v>
      </c>
      <c r="O1242" s="110">
        <v>12.3</v>
      </c>
      <c r="P1242" s="110">
        <v>12.35</v>
      </c>
      <c r="Q1242" s="110">
        <v>12.45</v>
      </c>
      <c r="R1242">
        <v>566553</v>
      </c>
    </row>
    <row r="1243" spans="1:18" x14ac:dyDescent="0.25">
      <c r="A1243" s="134">
        <v>43838</v>
      </c>
      <c r="B1243" s="110">
        <v>12.4</v>
      </c>
      <c r="C1243" s="110">
        <v>12.25</v>
      </c>
      <c r="D1243" s="110">
        <v>12.19</v>
      </c>
      <c r="E1243" s="110">
        <v>12.19</v>
      </c>
      <c r="F1243" s="110">
        <v>12.25</v>
      </c>
      <c r="G1243">
        <v>21775</v>
      </c>
      <c r="H1243" s="110"/>
      <c r="I1243" s="110"/>
      <c r="L1243" s="134">
        <v>43838</v>
      </c>
      <c r="M1243" s="110">
        <v>12.3</v>
      </c>
      <c r="N1243" s="110">
        <v>12.4</v>
      </c>
      <c r="O1243" s="110">
        <v>12</v>
      </c>
      <c r="P1243" s="110">
        <v>12</v>
      </c>
      <c r="Q1243" s="110">
        <v>12.3</v>
      </c>
      <c r="R1243">
        <v>187383</v>
      </c>
    </row>
    <row r="1244" spans="1:18" x14ac:dyDescent="0.25">
      <c r="A1244" s="134">
        <v>43839</v>
      </c>
      <c r="B1244" s="110">
        <v>12.73</v>
      </c>
      <c r="C1244" s="110">
        <v>12.61</v>
      </c>
      <c r="D1244" s="110">
        <v>12.56</v>
      </c>
      <c r="E1244" s="110">
        <v>12.58</v>
      </c>
      <c r="F1244" s="110">
        <v>12.61</v>
      </c>
      <c r="G1244">
        <v>21944</v>
      </c>
      <c r="H1244" s="110"/>
      <c r="I1244" s="110"/>
      <c r="L1244" s="134">
        <v>43839</v>
      </c>
      <c r="M1244" s="110">
        <v>12.6</v>
      </c>
      <c r="N1244" s="110">
        <v>12.75</v>
      </c>
      <c r="O1244" s="110">
        <v>12.5</v>
      </c>
      <c r="P1244" s="110">
        <v>12.5</v>
      </c>
      <c r="Q1244" s="110">
        <v>12.6</v>
      </c>
      <c r="R1244">
        <v>320648</v>
      </c>
    </row>
    <row r="1245" spans="1:18" x14ac:dyDescent="0.25">
      <c r="A1245" s="134">
        <v>43840</v>
      </c>
      <c r="B1245" s="110">
        <v>12.77</v>
      </c>
      <c r="C1245" s="110">
        <v>12.68</v>
      </c>
      <c r="D1245" s="110">
        <v>12.2</v>
      </c>
      <c r="E1245" s="110">
        <v>12.62</v>
      </c>
      <c r="F1245" s="110">
        <v>12.68</v>
      </c>
      <c r="G1245">
        <v>39411</v>
      </c>
      <c r="H1245" s="110"/>
      <c r="I1245" s="110"/>
      <c r="L1245" s="134">
        <v>43840</v>
      </c>
      <c r="M1245" s="110">
        <v>12.7</v>
      </c>
      <c r="N1245" s="110">
        <v>12.8</v>
      </c>
      <c r="O1245" s="110">
        <v>12.6</v>
      </c>
      <c r="P1245" s="110">
        <v>12.6</v>
      </c>
      <c r="Q1245" s="110">
        <v>12.7</v>
      </c>
      <c r="R1245">
        <v>257586</v>
      </c>
    </row>
    <row r="1246" spans="1:18" x14ac:dyDescent="0.25">
      <c r="A1246" s="134">
        <v>43843</v>
      </c>
      <c r="B1246" s="110">
        <v>13.4</v>
      </c>
      <c r="C1246" s="110">
        <v>13.14</v>
      </c>
      <c r="D1246" s="110">
        <v>12.78</v>
      </c>
      <c r="E1246" s="110">
        <v>13.29</v>
      </c>
      <c r="F1246" s="110">
        <v>13.14</v>
      </c>
      <c r="G1246">
        <v>72562</v>
      </c>
      <c r="H1246" s="110"/>
      <c r="I1246" s="110"/>
      <c r="L1246" s="134">
        <v>43843</v>
      </c>
      <c r="M1246" s="110">
        <v>13.15</v>
      </c>
      <c r="N1246" s="110">
        <v>13.4</v>
      </c>
      <c r="O1246" s="110">
        <v>12.75</v>
      </c>
      <c r="P1246" s="110">
        <v>12.8</v>
      </c>
      <c r="Q1246" s="110">
        <v>13.15</v>
      </c>
      <c r="R1246">
        <v>816853</v>
      </c>
    </row>
    <row r="1247" spans="1:18" x14ac:dyDescent="0.25">
      <c r="A1247" s="134">
        <v>43844</v>
      </c>
      <c r="B1247" s="110">
        <v>13.4</v>
      </c>
      <c r="C1247" s="110">
        <v>13.24</v>
      </c>
      <c r="D1247" s="110">
        <v>13.16</v>
      </c>
      <c r="E1247" s="110">
        <v>13.16</v>
      </c>
      <c r="F1247" s="110">
        <v>13.24</v>
      </c>
      <c r="G1247">
        <v>50662</v>
      </c>
      <c r="H1247" s="110"/>
      <c r="I1247" s="110"/>
      <c r="L1247" s="134">
        <v>43844</v>
      </c>
      <c r="M1247" s="110">
        <v>13.3</v>
      </c>
      <c r="N1247" s="110">
        <v>13.45</v>
      </c>
      <c r="O1247" s="110">
        <v>13.15</v>
      </c>
      <c r="P1247" s="110">
        <v>13.2</v>
      </c>
      <c r="Q1247" s="110">
        <v>13.3</v>
      </c>
      <c r="R1247">
        <v>478163</v>
      </c>
    </row>
    <row r="1248" spans="1:18" x14ac:dyDescent="0.25">
      <c r="A1248" s="134">
        <v>43845</v>
      </c>
      <c r="B1248" s="110">
        <v>13.45</v>
      </c>
      <c r="C1248" s="110">
        <v>13.23</v>
      </c>
      <c r="D1248" s="110">
        <v>13.1</v>
      </c>
      <c r="E1248" s="110">
        <v>13.45</v>
      </c>
      <c r="F1248" s="110">
        <v>13.23</v>
      </c>
      <c r="G1248">
        <v>17014</v>
      </c>
      <c r="H1248" s="110"/>
      <c r="I1248" s="110"/>
      <c r="L1248" s="134">
        <v>43845</v>
      </c>
      <c r="M1248" s="110">
        <v>13.2</v>
      </c>
      <c r="N1248" s="110">
        <v>13.4</v>
      </c>
      <c r="O1248" s="110">
        <v>13.1</v>
      </c>
      <c r="P1248" s="110">
        <v>13.4</v>
      </c>
      <c r="Q1248" s="110">
        <v>13.2</v>
      </c>
      <c r="R1248">
        <v>279812</v>
      </c>
    </row>
    <row r="1249" spans="1:18" x14ac:dyDescent="0.25">
      <c r="A1249" s="134">
        <v>43846</v>
      </c>
      <c r="B1249" s="110">
        <v>13.67</v>
      </c>
      <c r="C1249" s="110">
        <v>13.52</v>
      </c>
      <c r="D1249" s="110">
        <v>13.32</v>
      </c>
      <c r="E1249" s="110">
        <v>13.47</v>
      </c>
      <c r="F1249" s="110">
        <v>13.52</v>
      </c>
      <c r="G1249">
        <v>39279</v>
      </c>
      <c r="H1249" s="110"/>
      <c r="I1249" s="110"/>
      <c r="L1249" s="134">
        <v>43846</v>
      </c>
      <c r="M1249" s="110">
        <v>13.55</v>
      </c>
      <c r="N1249" s="110">
        <v>13.65</v>
      </c>
      <c r="O1249" s="110">
        <v>13.25</v>
      </c>
      <c r="P1249" s="110">
        <v>13.25</v>
      </c>
      <c r="Q1249" s="110">
        <v>13.55</v>
      </c>
      <c r="R1249">
        <v>554759</v>
      </c>
    </row>
    <row r="1250" spans="1:18" x14ac:dyDescent="0.25">
      <c r="A1250" s="134">
        <v>43847</v>
      </c>
      <c r="B1250" s="110">
        <v>13.78</v>
      </c>
      <c r="C1250" s="110">
        <v>13.6</v>
      </c>
      <c r="D1250" s="110">
        <v>13.34</v>
      </c>
      <c r="E1250" s="110">
        <v>13.53</v>
      </c>
      <c r="F1250" s="110">
        <v>13.6</v>
      </c>
      <c r="G1250">
        <v>22510</v>
      </c>
      <c r="H1250" s="110"/>
      <c r="I1250" s="110"/>
      <c r="L1250" s="134">
        <v>43847</v>
      </c>
      <c r="M1250" s="110">
        <v>13.6</v>
      </c>
      <c r="N1250" s="110">
        <v>13.8</v>
      </c>
      <c r="O1250" s="110">
        <v>13.3</v>
      </c>
      <c r="P1250" s="110">
        <v>13.3</v>
      </c>
      <c r="Q1250" s="110">
        <v>13.6</v>
      </c>
      <c r="R1250">
        <v>515166</v>
      </c>
    </row>
    <row r="1251" spans="1:18" x14ac:dyDescent="0.25">
      <c r="A1251" s="134">
        <v>43850</v>
      </c>
      <c r="B1251" s="110">
        <v>15.24</v>
      </c>
      <c r="C1251" s="110">
        <v>14.33</v>
      </c>
      <c r="D1251" s="110">
        <v>13.5</v>
      </c>
      <c r="E1251" s="110">
        <v>13.8</v>
      </c>
      <c r="F1251" s="110">
        <v>14.33</v>
      </c>
      <c r="G1251">
        <v>498746</v>
      </c>
      <c r="H1251" s="110"/>
      <c r="I1251" s="110"/>
      <c r="L1251" s="134">
        <v>43850</v>
      </c>
      <c r="M1251" s="110">
        <v>14.35</v>
      </c>
      <c r="N1251" s="110">
        <v>15.25</v>
      </c>
      <c r="O1251" s="110">
        <v>13.5</v>
      </c>
      <c r="P1251" s="110">
        <v>13.75</v>
      </c>
      <c r="Q1251" s="110">
        <v>14.35</v>
      </c>
      <c r="R1251">
        <v>8867100</v>
      </c>
    </row>
    <row r="1252" spans="1:18" x14ac:dyDescent="0.25">
      <c r="A1252" s="134">
        <v>43851</v>
      </c>
      <c r="B1252" s="110">
        <v>14.96</v>
      </c>
      <c r="C1252" s="110">
        <v>13.87</v>
      </c>
      <c r="D1252" s="110">
        <v>13.4</v>
      </c>
      <c r="E1252" s="110">
        <v>14.65</v>
      </c>
      <c r="F1252" s="110">
        <v>13.87</v>
      </c>
      <c r="G1252">
        <v>190505</v>
      </c>
      <c r="H1252" s="110"/>
      <c r="I1252" s="110"/>
      <c r="L1252" s="134">
        <v>43851</v>
      </c>
      <c r="M1252" s="110">
        <v>13.85</v>
      </c>
      <c r="N1252" s="110">
        <v>14.85</v>
      </c>
      <c r="O1252" s="110">
        <v>13.05</v>
      </c>
      <c r="P1252" s="110">
        <v>14.45</v>
      </c>
      <c r="Q1252" s="110">
        <v>13.85</v>
      </c>
      <c r="R1252">
        <v>2188868</v>
      </c>
    </row>
    <row r="1253" spans="1:18" x14ac:dyDescent="0.25">
      <c r="A1253" s="134">
        <v>43852</v>
      </c>
      <c r="B1253" s="110">
        <v>13.93</v>
      </c>
      <c r="C1253" s="110">
        <v>13.23</v>
      </c>
      <c r="D1253" s="110">
        <v>13.17</v>
      </c>
      <c r="E1253" s="110">
        <v>13.93</v>
      </c>
      <c r="F1253" s="110">
        <v>13.23</v>
      </c>
      <c r="G1253">
        <v>67991</v>
      </c>
      <c r="H1253" s="110"/>
      <c r="I1253" s="110"/>
      <c r="L1253" s="134">
        <v>43852</v>
      </c>
      <c r="M1253" s="110">
        <v>13.25</v>
      </c>
      <c r="N1253" s="110">
        <v>14</v>
      </c>
      <c r="O1253" s="110">
        <v>13.15</v>
      </c>
      <c r="P1253" s="110">
        <v>13.8</v>
      </c>
      <c r="Q1253" s="110">
        <v>13.25</v>
      </c>
      <c r="R1253">
        <v>953444</v>
      </c>
    </row>
    <row r="1254" spans="1:18" x14ac:dyDescent="0.25">
      <c r="A1254" s="134">
        <v>43853</v>
      </c>
      <c r="B1254" s="110">
        <v>13.5</v>
      </c>
      <c r="C1254" s="110">
        <v>13.28</v>
      </c>
      <c r="D1254" s="110">
        <v>13.23</v>
      </c>
      <c r="E1254" s="110">
        <v>13.34</v>
      </c>
      <c r="F1254" s="110">
        <v>13.28</v>
      </c>
      <c r="G1254">
        <v>47811</v>
      </c>
      <c r="H1254" s="110"/>
      <c r="I1254" s="110"/>
      <c r="L1254" s="134">
        <v>43853</v>
      </c>
      <c r="M1254" s="110">
        <v>13.3</v>
      </c>
      <c r="N1254" s="110">
        <v>13.6</v>
      </c>
      <c r="O1254" s="110">
        <v>13.25</v>
      </c>
      <c r="P1254" s="110">
        <v>13.25</v>
      </c>
      <c r="Q1254" s="110">
        <v>13.3</v>
      </c>
      <c r="R1254">
        <v>556752</v>
      </c>
    </row>
    <row r="1255" spans="1:18" x14ac:dyDescent="0.25">
      <c r="A1255" s="134">
        <v>43854</v>
      </c>
      <c r="B1255" s="110">
        <v>13.43</v>
      </c>
      <c r="C1255" s="110">
        <v>13.3</v>
      </c>
      <c r="D1255" s="110">
        <v>13.25</v>
      </c>
      <c r="E1255" s="110">
        <v>13.4</v>
      </c>
      <c r="F1255" s="110">
        <v>13.3</v>
      </c>
      <c r="G1255">
        <v>25124</v>
      </c>
      <c r="H1255" s="110"/>
      <c r="I1255" s="110"/>
      <c r="L1255" s="134">
        <v>43854</v>
      </c>
      <c r="M1255" s="110">
        <v>13.3</v>
      </c>
      <c r="N1255" s="110">
        <v>13.5</v>
      </c>
      <c r="O1255" s="110">
        <v>13.25</v>
      </c>
      <c r="P1255" s="110">
        <v>13.4</v>
      </c>
      <c r="Q1255" s="110">
        <v>13.3</v>
      </c>
      <c r="R1255">
        <v>365583</v>
      </c>
    </row>
    <row r="1256" spans="1:18" x14ac:dyDescent="0.25">
      <c r="A1256" s="134">
        <v>43857</v>
      </c>
      <c r="B1256" s="110">
        <v>13.35</v>
      </c>
      <c r="C1256" s="110">
        <v>13.19</v>
      </c>
      <c r="D1256" s="110">
        <v>13.16</v>
      </c>
      <c r="E1256" s="110">
        <v>13.3</v>
      </c>
      <c r="F1256" s="110">
        <v>13.19</v>
      </c>
      <c r="G1256">
        <v>22762</v>
      </c>
      <c r="H1256" s="110"/>
      <c r="I1256" s="110"/>
      <c r="L1256" s="134">
        <v>43857</v>
      </c>
      <c r="M1256" s="110">
        <v>13.2</v>
      </c>
      <c r="N1256" s="110">
        <v>13.4</v>
      </c>
      <c r="O1256" s="110">
        <v>13.1</v>
      </c>
      <c r="P1256" s="110">
        <v>13.4</v>
      </c>
      <c r="Q1256" s="110">
        <v>13.2</v>
      </c>
      <c r="R1256">
        <v>308982</v>
      </c>
    </row>
    <row r="1257" spans="1:18" x14ac:dyDescent="0.25">
      <c r="A1257" s="134">
        <v>43858</v>
      </c>
      <c r="B1257" s="110">
        <v>13.5</v>
      </c>
      <c r="C1257" s="110">
        <v>13.01</v>
      </c>
      <c r="D1257" s="110">
        <v>12.95</v>
      </c>
      <c r="E1257" s="110">
        <v>13.5</v>
      </c>
      <c r="F1257" s="110">
        <v>13.01</v>
      </c>
      <c r="G1257">
        <v>17205</v>
      </c>
      <c r="H1257" s="110"/>
      <c r="I1257" s="110"/>
      <c r="L1257" s="134">
        <v>43858</v>
      </c>
      <c r="M1257" s="110">
        <v>13</v>
      </c>
      <c r="N1257" s="110">
        <v>13.35</v>
      </c>
      <c r="O1257" s="110">
        <v>12.9</v>
      </c>
      <c r="P1257" s="110">
        <v>13.2</v>
      </c>
      <c r="Q1257" s="110">
        <v>13</v>
      </c>
      <c r="R1257">
        <v>475853</v>
      </c>
    </row>
    <row r="1258" spans="1:18" x14ac:dyDescent="0.25">
      <c r="A1258" s="134">
        <v>43859</v>
      </c>
      <c r="B1258" s="110">
        <v>13.11</v>
      </c>
      <c r="C1258" s="110">
        <v>12.91</v>
      </c>
      <c r="D1258" s="110">
        <v>12.9</v>
      </c>
      <c r="E1258" s="110">
        <v>13</v>
      </c>
      <c r="F1258" s="110">
        <v>12.91</v>
      </c>
      <c r="G1258">
        <v>21733</v>
      </c>
      <c r="H1258" s="110"/>
      <c r="I1258" s="110"/>
      <c r="L1258" s="134">
        <v>43859</v>
      </c>
      <c r="M1258" s="110">
        <v>12.9</v>
      </c>
      <c r="N1258" s="110">
        <v>13.1</v>
      </c>
      <c r="O1258" s="110">
        <v>12.85</v>
      </c>
      <c r="P1258" s="110">
        <v>13.05</v>
      </c>
      <c r="Q1258" s="110">
        <v>12.9</v>
      </c>
      <c r="R1258">
        <v>345391</v>
      </c>
    </row>
    <row r="1259" spans="1:18" x14ac:dyDescent="0.25">
      <c r="A1259" s="134">
        <v>43860</v>
      </c>
      <c r="B1259" s="110">
        <v>13.02</v>
      </c>
      <c r="C1259" s="110">
        <v>12.68</v>
      </c>
      <c r="D1259" s="110">
        <v>12.65</v>
      </c>
      <c r="E1259" s="110">
        <v>12.92</v>
      </c>
      <c r="F1259" s="110">
        <v>12.68</v>
      </c>
      <c r="G1259">
        <v>19512</v>
      </c>
      <c r="H1259" s="110"/>
      <c r="I1259" s="110"/>
      <c r="L1259" s="134">
        <v>43860</v>
      </c>
      <c r="M1259" s="110">
        <v>12.7</v>
      </c>
      <c r="N1259" s="110">
        <v>13</v>
      </c>
      <c r="O1259" s="110">
        <v>12.6</v>
      </c>
      <c r="P1259" s="110">
        <v>12.95</v>
      </c>
      <c r="Q1259" s="110">
        <v>12.7</v>
      </c>
      <c r="R1259">
        <v>259498</v>
      </c>
    </row>
    <row r="1260" spans="1:18" x14ac:dyDescent="0.25">
      <c r="A1260" s="134">
        <v>43861</v>
      </c>
      <c r="B1260" s="110">
        <v>13.15</v>
      </c>
      <c r="C1260" s="110">
        <v>13.03</v>
      </c>
      <c r="D1260" s="110">
        <v>12.73</v>
      </c>
      <c r="E1260" s="110">
        <v>12.87</v>
      </c>
      <c r="F1260" s="110">
        <v>13.03</v>
      </c>
      <c r="G1260">
        <v>30463</v>
      </c>
      <c r="H1260" s="110"/>
      <c r="I1260" s="110"/>
      <c r="L1260" s="134">
        <v>43861</v>
      </c>
      <c r="M1260" s="110">
        <v>13.05</v>
      </c>
      <c r="N1260" s="110">
        <v>13.2</v>
      </c>
      <c r="O1260" s="110">
        <v>12.75</v>
      </c>
      <c r="P1260" s="110">
        <v>12.85</v>
      </c>
      <c r="Q1260" s="110">
        <v>13.05</v>
      </c>
      <c r="R1260">
        <v>266102</v>
      </c>
    </row>
    <row r="1261" spans="1:18" x14ac:dyDescent="0.25">
      <c r="A1261" s="134">
        <v>43862</v>
      </c>
      <c r="B1261" s="110">
        <v>13.36</v>
      </c>
      <c r="C1261" s="110">
        <v>12.56</v>
      </c>
      <c r="D1261" s="110">
        <v>12.5</v>
      </c>
      <c r="E1261" s="110">
        <v>13.36</v>
      </c>
      <c r="F1261" s="110">
        <v>12.56</v>
      </c>
      <c r="G1261">
        <v>34671</v>
      </c>
      <c r="H1261" s="110"/>
      <c r="I1261" s="110"/>
      <c r="L1261" s="134">
        <v>43862</v>
      </c>
      <c r="M1261" s="110">
        <v>12.65</v>
      </c>
      <c r="N1261" s="110">
        <v>13.35</v>
      </c>
      <c r="O1261" s="110">
        <v>12.55</v>
      </c>
      <c r="P1261" s="110">
        <v>13.25</v>
      </c>
      <c r="Q1261" s="110">
        <v>12.65</v>
      </c>
      <c r="R1261">
        <v>360345</v>
      </c>
    </row>
    <row r="1262" spans="1:18" x14ac:dyDescent="0.25">
      <c r="A1262" s="134">
        <v>43864</v>
      </c>
      <c r="B1262" s="110">
        <v>12.74</v>
      </c>
      <c r="C1262" s="110">
        <v>12.29</v>
      </c>
      <c r="D1262" s="110">
        <v>12.2</v>
      </c>
      <c r="E1262" s="110">
        <v>12.74</v>
      </c>
      <c r="F1262" s="110">
        <v>12.29</v>
      </c>
      <c r="G1262">
        <v>40988</v>
      </c>
      <c r="H1262" s="110"/>
      <c r="I1262" s="110"/>
      <c r="L1262" s="134">
        <v>43864</v>
      </c>
      <c r="M1262" s="110">
        <v>12.25</v>
      </c>
      <c r="N1262" s="110">
        <v>12.75</v>
      </c>
      <c r="O1262" s="110">
        <v>12.15</v>
      </c>
      <c r="P1262" s="110">
        <v>12.7</v>
      </c>
      <c r="Q1262" s="110">
        <v>12.25</v>
      </c>
      <c r="R1262">
        <v>582600</v>
      </c>
    </row>
    <row r="1263" spans="1:18" x14ac:dyDescent="0.25">
      <c r="A1263" s="134">
        <v>43865</v>
      </c>
      <c r="B1263" s="110">
        <v>12.45</v>
      </c>
      <c r="C1263" s="110">
        <v>12.37</v>
      </c>
      <c r="D1263" s="110">
        <v>12.2</v>
      </c>
      <c r="E1263" s="110">
        <v>12.26</v>
      </c>
      <c r="F1263" s="110">
        <v>12.37</v>
      </c>
      <c r="G1263">
        <v>20789</v>
      </c>
      <c r="H1263" s="110"/>
      <c r="I1263" s="110"/>
      <c r="L1263" s="134">
        <v>43865</v>
      </c>
      <c r="M1263" s="110">
        <v>12.35</v>
      </c>
      <c r="N1263" s="110">
        <v>12.45</v>
      </c>
      <c r="O1263" s="110">
        <v>12.15</v>
      </c>
      <c r="P1263" s="110">
        <v>12.45</v>
      </c>
      <c r="Q1263" s="110">
        <v>12.35</v>
      </c>
      <c r="R1263">
        <v>306717</v>
      </c>
    </row>
    <row r="1264" spans="1:18" x14ac:dyDescent="0.25">
      <c r="A1264" s="134">
        <v>43866</v>
      </c>
      <c r="B1264" s="110">
        <v>12.52</v>
      </c>
      <c r="C1264" s="110">
        <v>12.35</v>
      </c>
      <c r="D1264" s="110">
        <v>12.28</v>
      </c>
      <c r="E1264" s="110">
        <v>12.35</v>
      </c>
      <c r="F1264" s="110">
        <v>12.35</v>
      </c>
      <c r="G1264">
        <v>13937</v>
      </c>
      <c r="H1264" s="110"/>
      <c r="I1264" s="110"/>
      <c r="L1264" s="134">
        <v>43866</v>
      </c>
      <c r="M1264" s="110">
        <v>12.35</v>
      </c>
      <c r="N1264" s="110">
        <v>12.5</v>
      </c>
      <c r="O1264" s="110">
        <v>12.3</v>
      </c>
      <c r="P1264" s="110">
        <v>12.45</v>
      </c>
      <c r="Q1264" s="110">
        <v>12.35</v>
      </c>
      <c r="R1264">
        <v>149333</v>
      </c>
    </row>
    <row r="1265" spans="1:18" x14ac:dyDescent="0.25">
      <c r="A1265" s="134">
        <v>43867</v>
      </c>
      <c r="B1265" s="110">
        <v>12.47</v>
      </c>
      <c r="C1265" s="110">
        <v>12.4</v>
      </c>
      <c r="D1265" s="110">
        <v>12.3</v>
      </c>
      <c r="E1265" s="110">
        <v>12.39</v>
      </c>
      <c r="F1265" s="110">
        <v>12.4</v>
      </c>
      <c r="G1265">
        <v>24110</v>
      </c>
      <c r="H1265" s="110"/>
      <c r="I1265" s="110"/>
      <c r="L1265" s="134">
        <v>43867</v>
      </c>
      <c r="M1265" s="110">
        <v>12.4</v>
      </c>
      <c r="N1265" s="110">
        <v>12.5</v>
      </c>
      <c r="O1265" s="110">
        <v>12.3</v>
      </c>
      <c r="P1265" s="110">
        <v>12.35</v>
      </c>
      <c r="Q1265" s="110">
        <v>12.4</v>
      </c>
      <c r="R1265">
        <v>449062</v>
      </c>
    </row>
    <row r="1266" spans="1:18" x14ac:dyDescent="0.25">
      <c r="A1266" s="134">
        <v>43868</v>
      </c>
      <c r="B1266" s="110">
        <v>12.46</v>
      </c>
      <c r="C1266" s="110">
        <v>12.33</v>
      </c>
      <c r="D1266" s="110">
        <v>12.31</v>
      </c>
      <c r="E1266" s="110">
        <v>12.44</v>
      </c>
      <c r="F1266" s="110">
        <v>12.33</v>
      </c>
      <c r="G1266">
        <v>32488</v>
      </c>
      <c r="H1266" s="110"/>
      <c r="I1266" s="110"/>
      <c r="L1266" s="134">
        <v>43868</v>
      </c>
      <c r="M1266" s="110">
        <v>12.35</v>
      </c>
      <c r="N1266" s="110">
        <v>12.5</v>
      </c>
      <c r="O1266" s="110">
        <v>12.35</v>
      </c>
      <c r="P1266" s="110">
        <v>12.5</v>
      </c>
      <c r="Q1266" s="110">
        <v>12.35</v>
      </c>
      <c r="R1266">
        <v>200112</v>
      </c>
    </row>
    <row r="1267" spans="1:18" x14ac:dyDescent="0.25">
      <c r="A1267" s="134">
        <v>43871</v>
      </c>
      <c r="B1267" s="110">
        <v>12.5</v>
      </c>
      <c r="C1267" s="110">
        <v>12.13</v>
      </c>
      <c r="D1267" s="110">
        <v>12.04</v>
      </c>
      <c r="E1267" s="110">
        <v>12.5</v>
      </c>
      <c r="F1267" s="110">
        <v>12.13</v>
      </c>
      <c r="G1267">
        <v>35594</v>
      </c>
      <c r="H1267" s="110"/>
      <c r="I1267" s="110"/>
      <c r="L1267" s="134">
        <v>43871</v>
      </c>
      <c r="M1267" s="110">
        <v>12.1</v>
      </c>
      <c r="N1267" s="110">
        <v>12.55</v>
      </c>
      <c r="O1267" s="110">
        <v>12.1</v>
      </c>
      <c r="P1267" s="110">
        <v>12.55</v>
      </c>
      <c r="Q1267" s="110">
        <v>12.1</v>
      </c>
      <c r="R1267">
        <v>367118</v>
      </c>
    </row>
    <row r="1268" spans="1:18" x14ac:dyDescent="0.25">
      <c r="A1268" s="134">
        <v>43872</v>
      </c>
      <c r="B1268" s="110">
        <v>12.35</v>
      </c>
      <c r="C1268" s="110">
        <v>12.26</v>
      </c>
      <c r="D1268" s="110">
        <v>12.19</v>
      </c>
      <c r="E1268" s="110">
        <v>12.35</v>
      </c>
      <c r="F1268" s="110">
        <v>12.26</v>
      </c>
      <c r="G1268">
        <v>13768</v>
      </c>
      <c r="H1268" s="110"/>
      <c r="I1268" s="110"/>
      <c r="L1268" s="134">
        <v>43872</v>
      </c>
      <c r="M1268" s="110">
        <v>12.2</v>
      </c>
      <c r="N1268" s="110">
        <v>12.35</v>
      </c>
      <c r="O1268" s="110">
        <v>12.15</v>
      </c>
      <c r="P1268" s="110">
        <v>12.3</v>
      </c>
      <c r="Q1268" s="110">
        <v>12.2</v>
      </c>
      <c r="R1268">
        <v>165069</v>
      </c>
    </row>
    <row r="1269" spans="1:18" x14ac:dyDescent="0.25">
      <c r="A1269" s="134">
        <v>43873</v>
      </c>
      <c r="B1269" s="110">
        <v>12.26</v>
      </c>
      <c r="C1269" s="110">
        <v>12.15</v>
      </c>
      <c r="D1269" s="110">
        <v>12.02</v>
      </c>
      <c r="E1269" s="110">
        <v>12.25</v>
      </c>
      <c r="F1269" s="110">
        <v>12.15</v>
      </c>
      <c r="G1269">
        <v>19261</v>
      </c>
      <c r="H1269" s="110"/>
      <c r="I1269" s="110"/>
      <c r="L1269" s="134">
        <v>43873</v>
      </c>
      <c r="M1269" s="110">
        <v>12.1</v>
      </c>
      <c r="N1269" s="110">
        <v>12.3</v>
      </c>
      <c r="O1269" s="110">
        <v>12</v>
      </c>
      <c r="P1269" s="110">
        <v>12.2</v>
      </c>
      <c r="Q1269" s="110">
        <v>12.1</v>
      </c>
      <c r="R1269">
        <v>198018</v>
      </c>
    </row>
    <row r="1270" spans="1:18" x14ac:dyDescent="0.25">
      <c r="A1270" s="134">
        <v>43874</v>
      </c>
      <c r="B1270" s="110">
        <v>12.21</v>
      </c>
      <c r="C1270" s="110">
        <v>12.08</v>
      </c>
      <c r="D1270" s="110">
        <v>12.04</v>
      </c>
      <c r="E1270" s="110">
        <v>12.12</v>
      </c>
      <c r="F1270" s="110">
        <v>12.08</v>
      </c>
      <c r="G1270">
        <v>11824</v>
      </c>
      <c r="H1270" s="110"/>
      <c r="I1270" s="110"/>
      <c r="L1270" s="134">
        <v>43874</v>
      </c>
      <c r="M1270" s="110">
        <v>12.05</v>
      </c>
      <c r="N1270" s="110">
        <v>12.25</v>
      </c>
      <c r="O1270" s="110">
        <v>12</v>
      </c>
      <c r="P1270" s="110">
        <v>12.25</v>
      </c>
      <c r="Q1270" s="110">
        <v>12.05</v>
      </c>
      <c r="R1270">
        <v>179134</v>
      </c>
    </row>
    <row r="1271" spans="1:18" x14ac:dyDescent="0.25">
      <c r="A1271" s="134">
        <v>43875</v>
      </c>
      <c r="B1271" s="110">
        <v>12.2</v>
      </c>
      <c r="C1271" s="110">
        <v>12</v>
      </c>
      <c r="D1271" s="110">
        <v>11.9</v>
      </c>
      <c r="E1271" s="110">
        <v>12.13</v>
      </c>
      <c r="F1271" s="110">
        <v>12</v>
      </c>
      <c r="G1271">
        <v>33673</v>
      </c>
      <c r="H1271" s="110"/>
      <c r="I1271" s="110"/>
      <c r="L1271" s="134">
        <v>43875</v>
      </c>
      <c r="M1271" s="110">
        <v>12</v>
      </c>
      <c r="N1271" s="110">
        <v>12.2</v>
      </c>
      <c r="O1271" s="110">
        <v>11.8</v>
      </c>
      <c r="P1271" s="110">
        <v>12.2</v>
      </c>
      <c r="Q1271" s="110">
        <v>12</v>
      </c>
      <c r="R1271">
        <v>377173</v>
      </c>
    </row>
    <row r="1272" spans="1:18" x14ac:dyDescent="0.25">
      <c r="A1272" s="134">
        <v>43878</v>
      </c>
      <c r="B1272" s="110">
        <v>12.08</v>
      </c>
      <c r="C1272" s="110">
        <v>11.85</v>
      </c>
      <c r="D1272" s="110">
        <v>11.8</v>
      </c>
      <c r="E1272" s="110">
        <v>11.8</v>
      </c>
      <c r="F1272" s="110">
        <v>11.85</v>
      </c>
      <c r="G1272">
        <v>17288</v>
      </c>
      <c r="H1272" s="110"/>
      <c r="I1272" s="110"/>
      <c r="L1272" s="134">
        <v>43878</v>
      </c>
      <c r="M1272" s="110">
        <v>11.9</v>
      </c>
      <c r="N1272" s="110">
        <v>12.15</v>
      </c>
      <c r="O1272" s="110">
        <v>11.8</v>
      </c>
      <c r="P1272" s="110">
        <v>12.05</v>
      </c>
      <c r="Q1272" s="110">
        <v>11.9</v>
      </c>
      <c r="R1272">
        <v>167552</v>
      </c>
    </row>
    <row r="1273" spans="1:18" x14ac:dyDescent="0.25">
      <c r="A1273" s="134">
        <v>43879</v>
      </c>
      <c r="B1273" s="110">
        <v>11.88</v>
      </c>
      <c r="C1273" s="110">
        <v>11.77</v>
      </c>
      <c r="D1273" s="110">
        <v>11.49</v>
      </c>
      <c r="E1273" s="110">
        <v>11.8</v>
      </c>
      <c r="F1273" s="110">
        <v>11.77</v>
      </c>
      <c r="G1273">
        <v>40457</v>
      </c>
      <c r="H1273" s="110"/>
      <c r="I1273" s="110"/>
      <c r="L1273" s="134">
        <v>43879</v>
      </c>
      <c r="M1273" s="110">
        <v>11.7</v>
      </c>
      <c r="N1273" s="110">
        <v>11.9</v>
      </c>
      <c r="O1273" s="110">
        <v>11.45</v>
      </c>
      <c r="P1273" s="110">
        <v>11.9</v>
      </c>
      <c r="Q1273" s="110">
        <v>11.7</v>
      </c>
      <c r="R1273">
        <v>299154</v>
      </c>
    </row>
    <row r="1274" spans="1:18" x14ac:dyDescent="0.25">
      <c r="A1274" s="134">
        <v>43880</v>
      </c>
      <c r="B1274" s="110">
        <v>11.77</v>
      </c>
      <c r="C1274" s="110">
        <v>11.47</v>
      </c>
      <c r="D1274" s="110">
        <v>11.45</v>
      </c>
      <c r="E1274" s="110">
        <v>11.7</v>
      </c>
      <c r="F1274" s="110">
        <v>11.47</v>
      </c>
      <c r="G1274">
        <v>25275</v>
      </c>
      <c r="H1274" s="110"/>
      <c r="I1274" s="110"/>
      <c r="L1274" s="134">
        <v>43880</v>
      </c>
      <c r="M1274" s="110">
        <v>11.5</v>
      </c>
      <c r="N1274" s="110">
        <v>11.9</v>
      </c>
      <c r="O1274" s="110">
        <v>11.4</v>
      </c>
      <c r="P1274" s="110">
        <v>11.75</v>
      </c>
      <c r="Q1274" s="110">
        <v>11.5</v>
      </c>
      <c r="R1274">
        <v>337420</v>
      </c>
    </row>
    <row r="1275" spans="1:18" x14ac:dyDescent="0.25">
      <c r="A1275" s="134">
        <v>43881</v>
      </c>
      <c r="B1275" s="110">
        <v>11.62</v>
      </c>
      <c r="C1275" s="110">
        <v>11.53</v>
      </c>
      <c r="D1275" s="110">
        <v>11.41</v>
      </c>
      <c r="E1275" s="110">
        <v>11.59</v>
      </c>
      <c r="F1275" s="110">
        <v>11.53</v>
      </c>
      <c r="G1275">
        <v>18078</v>
      </c>
      <c r="H1275" s="110"/>
      <c r="I1275" s="110"/>
      <c r="L1275" s="134">
        <v>43881</v>
      </c>
      <c r="M1275" s="110">
        <v>11.5</v>
      </c>
      <c r="N1275" s="110">
        <v>11.6</v>
      </c>
      <c r="O1275" s="110">
        <v>11.35</v>
      </c>
      <c r="P1275" s="110">
        <v>11.6</v>
      </c>
      <c r="Q1275" s="110">
        <v>11.5</v>
      </c>
      <c r="R1275">
        <v>320666</v>
      </c>
    </row>
    <row r="1276" spans="1:18" x14ac:dyDescent="0.25">
      <c r="A1276" s="134">
        <v>43885</v>
      </c>
      <c r="B1276" s="110">
        <v>11.54</v>
      </c>
      <c r="C1276" s="110">
        <v>11.27</v>
      </c>
      <c r="D1276" s="110">
        <v>11.17</v>
      </c>
      <c r="E1276" s="110">
        <v>11.54</v>
      </c>
      <c r="F1276" s="110">
        <v>11.27</v>
      </c>
      <c r="G1276">
        <v>26718</v>
      </c>
      <c r="H1276" s="110"/>
      <c r="I1276" s="110"/>
      <c r="L1276" s="134">
        <v>43885</v>
      </c>
      <c r="M1276" s="110">
        <v>11.25</v>
      </c>
      <c r="N1276" s="110">
        <v>11.5</v>
      </c>
      <c r="O1276" s="110">
        <v>11.2</v>
      </c>
      <c r="P1276" s="110">
        <v>11.45</v>
      </c>
      <c r="Q1276" s="110">
        <v>11.25</v>
      </c>
      <c r="R1276">
        <v>226984</v>
      </c>
    </row>
    <row r="1277" spans="1:18" x14ac:dyDescent="0.25">
      <c r="A1277" s="134">
        <v>43886</v>
      </c>
      <c r="B1277" s="110">
        <v>11.31</v>
      </c>
      <c r="C1277" s="110">
        <v>11.24</v>
      </c>
      <c r="D1277" s="110">
        <v>11.13</v>
      </c>
      <c r="E1277" s="110">
        <v>11.27</v>
      </c>
      <c r="F1277" s="110">
        <v>11.24</v>
      </c>
      <c r="G1277">
        <v>14779</v>
      </c>
      <c r="H1277" s="110"/>
      <c r="I1277" s="110"/>
      <c r="L1277" s="134">
        <v>43886</v>
      </c>
      <c r="M1277" s="110">
        <v>11.2</v>
      </c>
      <c r="N1277" s="110">
        <v>11.35</v>
      </c>
      <c r="O1277" s="110">
        <v>11.1</v>
      </c>
      <c r="P1277" s="110">
        <v>11.25</v>
      </c>
      <c r="Q1277" s="110">
        <v>11.2</v>
      </c>
      <c r="R1277">
        <v>203549</v>
      </c>
    </row>
    <row r="1278" spans="1:18" x14ac:dyDescent="0.25">
      <c r="A1278" s="134">
        <v>43887</v>
      </c>
      <c r="B1278" s="110">
        <v>11.25</v>
      </c>
      <c r="C1278" s="110">
        <v>11.13</v>
      </c>
      <c r="D1278" s="110">
        <v>11.1</v>
      </c>
      <c r="E1278" s="110">
        <v>11.11</v>
      </c>
      <c r="F1278" s="110">
        <v>11.13</v>
      </c>
      <c r="G1278">
        <v>66388</v>
      </c>
      <c r="H1278" s="110"/>
      <c r="I1278" s="110"/>
      <c r="L1278" s="134">
        <v>43887</v>
      </c>
      <c r="M1278" s="110">
        <v>11.1</v>
      </c>
      <c r="N1278" s="110">
        <v>11.3</v>
      </c>
      <c r="O1278" s="110">
        <v>11.05</v>
      </c>
      <c r="P1278" s="110">
        <v>11.2</v>
      </c>
      <c r="Q1278" s="110">
        <v>11.1</v>
      </c>
      <c r="R1278">
        <v>286408</v>
      </c>
    </row>
    <row r="1279" spans="1:18" x14ac:dyDescent="0.25">
      <c r="A1279" s="134">
        <v>43888</v>
      </c>
      <c r="B1279" s="110">
        <v>11.05</v>
      </c>
      <c r="C1279" s="110">
        <v>10.82</v>
      </c>
      <c r="D1279" s="110">
        <v>10.7</v>
      </c>
      <c r="E1279" s="110">
        <v>11.05</v>
      </c>
      <c r="F1279" s="110">
        <v>10.82</v>
      </c>
      <c r="G1279">
        <v>41438</v>
      </c>
      <c r="H1279" s="110"/>
      <c r="I1279" s="110"/>
      <c r="L1279" s="134">
        <v>43888</v>
      </c>
      <c r="M1279" s="110">
        <v>10.8</v>
      </c>
      <c r="N1279" s="110">
        <v>11.15</v>
      </c>
      <c r="O1279" s="110">
        <v>10.7</v>
      </c>
      <c r="P1279" s="110">
        <v>11.15</v>
      </c>
      <c r="Q1279" s="110">
        <v>10.8</v>
      </c>
      <c r="R1279">
        <v>338656</v>
      </c>
    </row>
    <row r="1280" spans="1:18" x14ac:dyDescent="0.25">
      <c r="A1280" s="134">
        <v>43889</v>
      </c>
      <c r="B1280" s="110">
        <v>11.15</v>
      </c>
      <c r="C1280" s="110">
        <v>10.51</v>
      </c>
      <c r="D1280" s="110">
        <v>10.1</v>
      </c>
      <c r="E1280" s="110">
        <v>11.15</v>
      </c>
      <c r="F1280" s="110">
        <v>10.51</v>
      </c>
      <c r="G1280">
        <v>69527</v>
      </c>
      <c r="H1280" s="110"/>
      <c r="I1280" s="110"/>
      <c r="L1280" s="134">
        <v>43889</v>
      </c>
      <c r="M1280" s="110">
        <v>10.45</v>
      </c>
      <c r="N1280" s="110">
        <v>10.65</v>
      </c>
      <c r="O1280" s="110">
        <v>10</v>
      </c>
      <c r="P1280" s="110">
        <v>10.65</v>
      </c>
      <c r="Q1280" s="110">
        <v>10.45</v>
      </c>
      <c r="R1280">
        <v>536294</v>
      </c>
    </row>
    <row r="1281" spans="1:18" x14ac:dyDescent="0.25">
      <c r="A1281" s="134">
        <v>43892</v>
      </c>
      <c r="B1281" s="110">
        <v>10.92</v>
      </c>
      <c r="C1281" s="110">
        <v>10.6</v>
      </c>
      <c r="D1281" s="110">
        <v>10.5</v>
      </c>
      <c r="E1281" s="110">
        <v>10.92</v>
      </c>
      <c r="F1281" s="110">
        <v>10.6</v>
      </c>
      <c r="G1281">
        <v>45265</v>
      </c>
      <c r="H1281" s="110"/>
      <c r="I1281" s="110"/>
      <c r="L1281" s="134">
        <v>43892</v>
      </c>
      <c r="M1281" s="110">
        <v>10.7</v>
      </c>
      <c r="N1281" s="110">
        <v>10.9</v>
      </c>
      <c r="O1281" s="110">
        <v>10.5</v>
      </c>
      <c r="P1281" s="110">
        <v>10.6</v>
      </c>
      <c r="Q1281" s="110">
        <v>10.7</v>
      </c>
      <c r="R1281">
        <v>419180</v>
      </c>
    </row>
    <row r="1282" spans="1:18" x14ac:dyDescent="0.25">
      <c r="A1282" s="134">
        <v>43893</v>
      </c>
      <c r="B1282" s="110">
        <v>10.79</v>
      </c>
      <c r="C1282" s="110">
        <v>10.6</v>
      </c>
      <c r="D1282" s="110">
        <v>10.46</v>
      </c>
      <c r="E1282" s="110">
        <v>10.79</v>
      </c>
      <c r="F1282" s="110">
        <v>10.6</v>
      </c>
      <c r="G1282">
        <v>61582</v>
      </c>
      <c r="H1282" s="110"/>
      <c r="I1282" s="110"/>
      <c r="L1282" s="134">
        <v>43893</v>
      </c>
      <c r="M1282" s="110">
        <v>10.6</v>
      </c>
      <c r="N1282" s="110">
        <v>10.8</v>
      </c>
      <c r="O1282" s="110">
        <v>10.4</v>
      </c>
      <c r="P1282" s="110">
        <v>10.5</v>
      </c>
      <c r="Q1282" s="110">
        <v>10.6</v>
      </c>
      <c r="R1282">
        <v>220270</v>
      </c>
    </row>
    <row r="1283" spans="1:18" x14ac:dyDescent="0.25">
      <c r="A1283" s="134">
        <v>43894</v>
      </c>
      <c r="B1283" s="110">
        <v>11</v>
      </c>
      <c r="C1283" s="110">
        <v>10.49</v>
      </c>
      <c r="D1283" s="110">
        <v>10.37</v>
      </c>
      <c r="E1283" s="110">
        <v>11</v>
      </c>
      <c r="F1283" s="110">
        <v>10.49</v>
      </c>
      <c r="G1283">
        <v>64841</v>
      </c>
      <c r="H1283" s="110"/>
      <c r="I1283" s="110"/>
      <c r="L1283" s="134">
        <v>43894</v>
      </c>
      <c r="M1283" s="110">
        <v>10.5</v>
      </c>
      <c r="N1283" s="110">
        <v>10.85</v>
      </c>
      <c r="O1283" s="110">
        <v>10.4</v>
      </c>
      <c r="P1283" s="110">
        <v>10.7</v>
      </c>
      <c r="Q1283" s="110">
        <v>10.5</v>
      </c>
      <c r="R1283">
        <v>323171</v>
      </c>
    </row>
    <row r="1284" spans="1:18" x14ac:dyDescent="0.25">
      <c r="A1284" s="134">
        <v>43895</v>
      </c>
      <c r="B1284" s="110">
        <v>10.77</v>
      </c>
      <c r="C1284" s="110">
        <v>10.6</v>
      </c>
      <c r="D1284" s="110">
        <v>10.52</v>
      </c>
      <c r="E1284" s="110">
        <v>10.63</v>
      </c>
      <c r="F1284" s="110">
        <v>10.6</v>
      </c>
      <c r="G1284">
        <v>75825</v>
      </c>
      <c r="H1284" s="110"/>
      <c r="I1284" s="110"/>
      <c r="L1284" s="134">
        <v>43895</v>
      </c>
      <c r="M1284" s="110">
        <v>10.6</v>
      </c>
      <c r="N1284" s="110">
        <v>10.8</v>
      </c>
      <c r="O1284" s="110">
        <v>10.5</v>
      </c>
      <c r="P1284" s="110">
        <v>10.75</v>
      </c>
      <c r="Q1284" s="110">
        <v>10.6</v>
      </c>
      <c r="R1284">
        <v>322735</v>
      </c>
    </row>
    <row r="1285" spans="1:18" x14ac:dyDescent="0.25">
      <c r="A1285" s="134">
        <v>43896</v>
      </c>
      <c r="B1285" s="110">
        <v>10.6</v>
      </c>
      <c r="C1285" s="110">
        <v>10.220000000000001</v>
      </c>
      <c r="D1285" s="110">
        <v>10</v>
      </c>
      <c r="E1285" s="110">
        <v>10.45</v>
      </c>
      <c r="F1285" s="110">
        <v>10.220000000000001</v>
      </c>
      <c r="G1285">
        <v>55786</v>
      </c>
      <c r="H1285" s="110"/>
      <c r="I1285" s="110"/>
      <c r="L1285" s="134">
        <v>43896</v>
      </c>
      <c r="M1285" s="110">
        <v>10.25</v>
      </c>
      <c r="N1285" s="110">
        <v>10.4</v>
      </c>
      <c r="O1285" s="110">
        <v>9.75</v>
      </c>
      <c r="P1285" s="110">
        <v>10.3</v>
      </c>
      <c r="Q1285" s="110">
        <v>10.25</v>
      </c>
      <c r="R1285">
        <v>429560</v>
      </c>
    </row>
    <row r="1286" spans="1:18" x14ac:dyDescent="0.25">
      <c r="A1286" s="134">
        <v>43899</v>
      </c>
      <c r="B1286" s="110">
        <v>10.43</v>
      </c>
      <c r="C1286" s="110">
        <v>10.029999999999999</v>
      </c>
      <c r="D1286" s="110">
        <v>9.85</v>
      </c>
      <c r="E1286" s="110">
        <v>10</v>
      </c>
      <c r="F1286" s="110">
        <v>10.029999999999999</v>
      </c>
      <c r="G1286">
        <v>44649</v>
      </c>
      <c r="H1286" s="110"/>
      <c r="I1286" s="110"/>
      <c r="L1286" s="134">
        <v>43899</v>
      </c>
      <c r="M1286" s="110">
        <v>10.1</v>
      </c>
      <c r="N1286" s="110">
        <v>10.4</v>
      </c>
      <c r="O1286" s="110">
        <v>9.8000000000000007</v>
      </c>
      <c r="P1286" s="110">
        <v>10.3</v>
      </c>
      <c r="Q1286" s="110">
        <v>10.1</v>
      </c>
      <c r="R1286">
        <v>419511</v>
      </c>
    </row>
    <row r="1287" spans="1:18" x14ac:dyDescent="0.25">
      <c r="A1287" s="134">
        <v>43901</v>
      </c>
      <c r="B1287" s="110">
        <v>10.37</v>
      </c>
      <c r="C1287" s="110">
        <v>10.17</v>
      </c>
      <c r="D1287" s="110">
        <v>10.130000000000001</v>
      </c>
      <c r="E1287" s="110">
        <v>10.26</v>
      </c>
      <c r="F1287" s="110">
        <v>10.17</v>
      </c>
      <c r="G1287">
        <v>24993</v>
      </c>
      <c r="H1287" s="110"/>
      <c r="I1287" s="110"/>
      <c r="L1287" s="134">
        <v>43901</v>
      </c>
      <c r="M1287" s="110">
        <v>10.199999999999999</v>
      </c>
      <c r="N1287" s="110">
        <v>10.45</v>
      </c>
      <c r="O1287" s="110">
        <v>10.1</v>
      </c>
      <c r="P1287" s="110">
        <v>10.3</v>
      </c>
      <c r="Q1287" s="110">
        <v>10.199999999999999</v>
      </c>
      <c r="R1287">
        <v>290583</v>
      </c>
    </row>
    <row r="1288" spans="1:18" x14ac:dyDescent="0.25">
      <c r="A1288" s="134">
        <v>43902</v>
      </c>
      <c r="B1288" s="110">
        <v>10</v>
      </c>
      <c r="C1288" s="110">
        <v>9.2799999999999994</v>
      </c>
      <c r="D1288" s="110">
        <v>8.9</v>
      </c>
      <c r="E1288" s="110">
        <v>10</v>
      </c>
      <c r="F1288" s="110">
        <v>9.2799999999999994</v>
      </c>
      <c r="G1288">
        <v>114523</v>
      </c>
      <c r="H1288" s="110"/>
      <c r="I1288" s="110"/>
      <c r="L1288" s="134">
        <v>43902</v>
      </c>
      <c r="M1288" s="110">
        <v>9.1999999999999993</v>
      </c>
      <c r="N1288" s="110">
        <v>10.1</v>
      </c>
      <c r="O1288" s="110">
        <v>8.85</v>
      </c>
      <c r="P1288" s="110">
        <v>10.1</v>
      </c>
      <c r="Q1288" s="110">
        <v>9.1999999999999993</v>
      </c>
      <c r="R1288">
        <v>859581</v>
      </c>
    </row>
    <row r="1289" spans="1:18" x14ac:dyDescent="0.25">
      <c r="A1289" s="134">
        <v>43903</v>
      </c>
      <c r="B1289" s="110">
        <v>10.99</v>
      </c>
      <c r="C1289" s="110">
        <v>9.6300000000000008</v>
      </c>
      <c r="D1289" s="110">
        <v>7.71</v>
      </c>
      <c r="E1289" s="110">
        <v>8.7899999999999991</v>
      </c>
      <c r="F1289" s="110">
        <v>9.6300000000000008</v>
      </c>
      <c r="G1289">
        <v>91909</v>
      </c>
      <c r="H1289" s="110"/>
      <c r="I1289" s="110"/>
      <c r="L1289" s="134">
        <v>43903</v>
      </c>
      <c r="M1289" s="110">
        <v>9.6</v>
      </c>
      <c r="N1289" s="110">
        <v>9.9</v>
      </c>
      <c r="O1289" s="110">
        <v>8</v>
      </c>
      <c r="P1289" s="110">
        <v>8.5500000000000007</v>
      </c>
      <c r="Q1289" s="110">
        <v>9.6</v>
      </c>
      <c r="R1289">
        <v>891880</v>
      </c>
    </row>
    <row r="1290" spans="1:18" x14ac:dyDescent="0.25">
      <c r="A1290" s="134">
        <v>43906</v>
      </c>
      <c r="B1290" s="110">
        <v>9.98</v>
      </c>
      <c r="C1290" s="110">
        <v>9.56</v>
      </c>
      <c r="D1290" s="110">
        <v>9.16</v>
      </c>
      <c r="E1290" s="110">
        <v>9.98</v>
      </c>
      <c r="F1290" s="110">
        <v>9.56</v>
      </c>
      <c r="G1290">
        <v>66638</v>
      </c>
      <c r="H1290" s="110"/>
      <c r="I1290" s="110"/>
      <c r="L1290" s="134">
        <v>43906</v>
      </c>
      <c r="M1290" s="110">
        <v>9.6999999999999993</v>
      </c>
      <c r="N1290" s="110">
        <v>9.9499999999999993</v>
      </c>
      <c r="O1290" s="110">
        <v>9.1</v>
      </c>
      <c r="P1290" s="110">
        <v>9.6</v>
      </c>
      <c r="Q1290" s="110">
        <v>9.6999999999999993</v>
      </c>
      <c r="R1290">
        <v>466056</v>
      </c>
    </row>
    <row r="1291" spans="1:18" x14ac:dyDescent="0.25">
      <c r="A1291" s="134">
        <v>43907</v>
      </c>
      <c r="B1291" s="110">
        <v>10</v>
      </c>
      <c r="C1291" s="110">
        <v>9.48</v>
      </c>
      <c r="D1291" s="110">
        <v>9.41</v>
      </c>
      <c r="E1291" s="110">
        <v>10</v>
      </c>
      <c r="F1291" s="110">
        <v>9.48</v>
      </c>
      <c r="G1291">
        <v>73638</v>
      </c>
      <c r="H1291" s="110"/>
      <c r="I1291" s="110"/>
      <c r="L1291" s="134">
        <v>43907</v>
      </c>
      <c r="M1291" s="110">
        <v>9.5</v>
      </c>
      <c r="N1291" s="110">
        <v>9.85</v>
      </c>
      <c r="O1291" s="110">
        <v>9.3000000000000007</v>
      </c>
      <c r="P1291" s="110">
        <v>9.85</v>
      </c>
      <c r="Q1291" s="110">
        <v>9.5</v>
      </c>
      <c r="R1291">
        <v>301850</v>
      </c>
    </row>
    <row r="1292" spans="1:18" x14ac:dyDescent="0.25">
      <c r="A1292" s="134">
        <v>43908</v>
      </c>
      <c r="B1292" s="110">
        <v>9.67</v>
      </c>
      <c r="C1292" s="110">
        <v>9.32</v>
      </c>
      <c r="D1292" s="110">
        <v>9.2200000000000006</v>
      </c>
      <c r="E1292" s="110">
        <v>9.48</v>
      </c>
      <c r="F1292" s="110">
        <v>9.32</v>
      </c>
      <c r="G1292">
        <v>36968</v>
      </c>
      <c r="H1292" s="110"/>
      <c r="I1292" s="110"/>
      <c r="L1292" s="134">
        <v>43908</v>
      </c>
      <c r="M1292" s="110">
        <v>9.35</v>
      </c>
      <c r="N1292" s="110">
        <v>9.85</v>
      </c>
      <c r="O1292" s="110">
        <v>9.25</v>
      </c>
      <c r="P1292" s="110">
        <v>9.5</v>
      </c>
      <c r="Q1292" s="110">
        <v>9.35</v>
      </c>
      <c r="R1292">
        <v>398900</v>
      </c>
    </row>
    <row r="1293" spans="1:18" x14ac:dyDescent="0.25">
      <c r="A1293" s="134">
        <v>43909</v>
      </c>
      <c r="B1293" s="110">
        <v>9.1199999999999992</v>
      </c>
      <c r="C1293" s="110">
        <v>9.0299999999999994</v>
      </c>
      <c r="D1293" s="110">
        <v>8.25</v>
      </c>
      <c r="E1293" s="110">
        <v>9.06</v>
      </c>
      <c r="F1293" s="110">
        <v>9.0299999999999994</v>
      </c>
      <c r="G1293">
        <v>75333</v>
      </c>
      <c r="H1293" s="110"/>
      <c r="I1293" s="110"/>
      <c r="L1293" s="134">
        <v>43909</v>
      </c>
      <c r="M1293" s="110">
        <v>9.0500000000000007</v>
      </c>
      <c r="N1293" s="110">
        <v>9.35</v>
      </c>
      <c r="O1293" s="110">
        <v>8</v>
      </c>
      <c r="P1293" s="110">
        <v>9.35</v>
      </c>
      <c r="Q1293" s="110">
        <v>9.0500000000000007</v>
      </c>
      <c r="R1293">
        <v>523108</v>
      </c>
    </row>
    <row r="1294" spans="1:18" x14ac:dyDescent="0.25">
      <c r="A1294" s="134">
        <v>43910</v>
      </c>
      <c r="B1294" s="110">
        <v>9.16</v>
      </c>
      <c r="C1294" s="110">
        <v>9.0500000000000007</v>
      </c>
      <c r="D1294" s="110">
        <v>8.81</v>
      </c>
      <c r="E1294" s="110">
        <v>9.1199999999999992</v>
      </c>
      <c r="F1294" s="110">
        <v>9.0500000000000007</v>
      </c>
      <c r="G1294">
        <v>66807</v>
      </c>
      <c r="H1294" s="110"/>
      <c r="I1294" s="110"/>
      <c r="L1294" s="134">
        <v>43910</v>
      </c>
      <c r="M1294" s="110">
        <v>9.0500000000000007</v>
      </c>
      <c r="N1294" s="110">
        <v>9.3000000000000007</v>
      </c>
      <c r="O1294" s="110">
        <v>8.0500000000000007</v>
      </c>
      <c r="P1294" s="110">
        <v>9.1</v>
      </c>
      <c r="Q1294" s="110">
        <v>9.0500000000000007</v>
      </c>
      <c r="R1294">
        <v>377440</v>
      </c>
    </row>
    <row r="1295" spans="1:18" x14ac:dyDescent="0.25">
      <c r="A1295" s="134">
        <v>43913</v>
      </c>
      <c r="B1295" s="110">
        <v>9</v>
      </c>
      <c r="C1295" s="110">
        <v>8.7899999999999991</v>
      </c>
      <c r="D1295" s="110">
        <v>8.5</v>
      </c>
      <c r="E1295" s="110">
        <v>9</v>
      </c>
      <c r="F1295" s="110">
        <v>8.7899999999999991</v>
      </c>
      <c r="G1295">
        <v>65738</v>
      </c>
      <c r="H1295" s="110"/>
      <c r="I1295" s="110"/>
      <c r="L1295" s="134">
        <v>43913</v>
      </c>
      <c r="M1295" s="110">
        <v>8.6999999999999993</v>
      </c>
      <c r="N1295" s="110">
        <v>8.9499999999999993</v>
      </c>
      <c r="O1295" s="110">
        <v>8.35</v>
      </c>
      <c r="P1295" s="110">
        <v>8.9499999999999993</v>
      </c>
      <c r="Q1295" s="110">
        <v>8.6999999999999993</v>
      </c>
      <c r="R1295">
        <v>467128</v>
      </c>
    </row>
    <row r="1296" spans="1:18" x14ac:dyDescent="0.25">
      <c r="A1296" s="134">
        <v>43914</v>
      </c>
      <c r="B1296" s="110">
        <v>8.91</v>
      </c>
      <c r="C1296" s="110">
        <v>8.5299999999999994</v>
      </c>
      <c r="D1296" s="110">
        <v>8.5</v>
      </c>
      <c r="E1296" s="110">
        <v>8.89</v>
      </c>
      <c r="F1296" s="110">
        <v>8.5299999999999994</v>
      </c>
      <c r="G1296">
        <v>27530</v>
      </c>
      <c r="H1296" s="110"/>
      <c r="I1296" s="110"/>
      <c r="L1296" s="134">
        <v>43914</v>
      </c>
      <c r="M1296" s="110">
        <v>8.5</v>
      </c>
      <c r="N1296" s="110">
        <v>9</v>
      </c>
      <c r="O1296" s="110">
        <v>8.4</v>
      </c>
      <c r="P1296" s="110">
        <v>9</v>
      </c>
      <c r="Q1296" s="110">
        <v>8.5</v>
      </c>
      <c r="R1296">
        <v>410935</v>
      </c>
    </row>
    <row r="1297" spans="1:18" x14ac:dyDescent="0.25">
      <c r="A1297" s="134">
        <v>43915</v>
      </c>
      <c r="B1297" s="110">
        <v>9</v>
      </c>
      <c r="C1297" s="110">
        <v>8.42</v>
      </c>
      <c r="D1297" s="110">
        <v>8.23</v>
      </c>
      <c r="E1297" s="110">
        <v>8.65</v>
      </c>
      <c r="F1297" s="110">
        <v>8.42</v>
      </c>
      <c r="G1297">
        <v>22013</v>
      </c>
      <c r="H1297" s="110"/>
      <c r="I1297" s="110"/>
      <c r="L1297" s="134">
        <v>43915</v>
      </c>
      <c r="M1297" s="110">
        <v>8.4</v>
      </c>
      <c r="N1297" s="110">
        <v>8.8000000000000007</v>
      </c>
      <c r="O1297" s="110">
        <v>8.1999999999999993</v>
      </c>
      <c r="P1297" s="110">
        <v>8.35</v>
      </c>
      <c r="Q1297" s="110">
        <v>8.4</v>
      </c>
      <c r="R1297">
        <v>303930</v>
      </c>
    </row>
    <row r="1298" spans="1:18" x14ac:dyDescent="0.25">
      <c r="A1298" s="134">
        <v>43916</v>
      </c>
      <c r="B1298" s="110">
        <v>9</v>
      </c>
      <c r="C1298" s="110">
        <v>8.4499999999999993</v>
      </c>
      <c r="D1298" s="110">
        <v>8.15</v>
      </c>
      <c r="E1298" s="110">
        <v>9</v>
      </c>
      <c r="F1298" s="110">
        <v>8.4499999999999993</v>
      </c>
      <c r="G1298">
        <v>38034</v>
      </c>
      <c r="H1298" s="110"/>
      <c r="I1298" s="110"/>
      <c r="L1298" s="134">
        <v>43916</v>
      </c>
      <c r="M1298" s="110">
        <v>8.5</v>
      </c>
      <c r="N1298" s="110">
        <v>8.5500000000000007</v>
      </c>
      <c r="O1298" s="110">
        <v>8.15</v>
      </c>
      <c r="P1298" s="110">
        <v>8.4</v>
      </c>
      <c r="Q1298" s="110">
        <v>8.5</v>
      </c>
      <c r="R1298">
        <v>602944</v>
      </c>
    </row>
    <row r="1299" spans="1:18" x14ac:dyDescent="0.25">
      <c r="A1299" s="134">
        <v>43917</v>
      </c>
      <c r="B1299" s="110">
        <v>9.25</v>
      </c>
      <c r="C1299" s="110">
        <v>8.69</v>
      </c>
      <c r="D1299" s="110">
        <v>8.51</v>
      </c>
      <c r="E1299" s="110">
        <v>9.25</v>
      </c>
      <c r="F1299" s="110">
        <v>8.69</v>
      </c>
      <c r="G1299">
        <v>94712</v>
      </c>
      <c r="H1299" s="110"/>
      <c r="I1299" s="110"/>
      <c r="L1299" s="134">
        <v>43917</v>
      </c>
      <c r="M1299" s="110">
        <v>8.65</v>
      </c>
      <c r="N1299" s="110">
        <v>9.1999999999999993</v>
      </c>
      <c r="O1299" s="110">
        <v>8.5</v>
      </c>
      <c r="P1299" s="110">
        <v>8.9</v>
      </c>
      <c r="Q1299" s="110">
        <v>8.65</v>
      </c>
      <c r="R1299">
        <v>753634</v>
      </c>
    </row>
    <row r="1300" spans="1:18" x14ac:dyDescent="0.25">
      <c r="A1300" s="134">
        <v>43920</v>
      </c>
      <c r="B1300" s="110">
        <v>9.1999999999999993</v>
      </c>
      <c r="C1300" s="110">
        <v>8.8699999999999992</v>
      </c>
      <c r="D1300" s="110">
        <v>8.43</v>
      </c>
      <c r="E1300" s="110">
        <v>9.1999999999999993</v>
      </c>
      <c r="F1300" s="110">
        <v>8.8699999999999992</v>
      </c>
      <c r="G1300">
        <v>19019</v>
      </c>
      <c r="H1300" s="110"/>
      <c r="I1300" s="110"/>
      <c r="L1300" s="134">
        <v>43920</v>
      </c>
      <c r="M1300" s="110">
        <v>8.85</v>
      </c>
      <c r="N1300" s="110">
        <v>9</v>
      </c>
      <c r="O1300" s="110">
        <v>8.5500000000000007</v>
      </c>
      <c r="P1300" s="110">
        <v>8.6999999999999993</v>
      </c>
      <c r="Q1300" s="110">
        <v>8.85</v>
      </c>
      <c r="R1300">
        <v>336687</v>
      </c>
    </row>
    <row r="1301" spans="1:18" x14ac:dyDescent="0.25">
      <c r="A1301" s="134">
        <v>43921</v>
      </c>
      <c r="B1301" s="110">
        <v>9.35</v>
      </c>
      <c r="C1301" s="110">
        <v>8.91</v>
      </c>
      <c r="D1301" s="110">
        <v>8.6</v>
      </c>
      <c r="E1301" s="110">
        <v>9.35</v>
      </c>
      <c r="F1301" s="110">
        <v>8.91</v>
      </c>
      <c r="G1301">
        <v>18289</v>
      </c>
      <c r="H1301" s="110"/>
      <c r="I1301" s="110"/>
      <c r="L1301" s="134">
        <v>43921</v>
      </c>
      <c r="M1301" s="110">
        <v>8.9</v>
      </c>
      <c r="N1301" s="110">
        <v>9.1999999999999993</v>
      </c>
      <c r="O1301" s="110">
        <v>8.65</v>
      </c>
      <c r="P1301" s="110">
        <v>9.1999999999999993</v>
      </c>
      <c r="Q1301" s="110">
        <v>8.9</v>
      </c>
      <c r="R1301">
        <v>309264</v>
      </c>
    </row>
    <row r="1302" spans="1:18" x14ac:dyDescent="0.25">
      <c r="A1302" s="134">
        <v>43922</v>
      </c>
      <c r="B1302" s="110">
        <v>9.09</v>
      </c>
      <c r="C1302" s="110">
        <v>8.9</v>
      </c>
      <c r="D1302" s="110">
        <v>8.81</v>
      </c>
      <c r="E1302" s="110">
        <v>9.09</v>
      </c>
      <c r="F1302" s="110">
        <v>8.9</v>
      </c>
      <c r="G1302">
        <v>15062</v>
      </c>
      <c r="H1302" s="110"/>
      <c r="I1302" s="110"/>
      <c r="L1302" s="134">
        <v>43922</v>
      </c>
      <c r="M1302" s="110">
        <v>8.85</v>
      </c>
      <c r="N1302" s="110">
        <v>9.1999999999999993</v>
      </c>
      <c r="O1302" s="110">
        <v>8.8000000000000007</v>
      </c>
      <c r="P1302" s="110">
        <v>9.0500000000000007</v>
      </c>
      <c r="Q1302" s="110">
        <v>8.85</v>
      </c>
      <c r="R1302">
        <v>181978</v>
      </c>
    </row>
    <row r="1303" spans="1:18" x14ac:dyDescent="0.25">
      <c r="A1303" s="134">
        <v>43924</v>
      </c>
      <c r="B1303" s="110">
        <v>9.02</v>
      </c>
      <c r="C1303" s="110">
        <v>8.83</v>
      </c>
      <c r="D1303" s="110">
        <v>8.66</v>
      </c>
      <c r="E1303" s="110">
        <v>9</v>
      </c>
      <c r="F1303" s="110">
        <v>8.83</v>
      </c>
      <c r="G1303">
        <v>27991</v>
      </c>
      <c r="H1303" s="110"/>
      <c r="I1303" s="110"/>
      <c r="L1303" s="134">
        <v>43924</v>
      </c>
      <c r="M1303" s="110">
        <v>8.85</v>
      </c>
      <c r="N1303" s="110">
        <v>9.0500000000000007</v>
      </c>
      <c r="O1303" s="110">
        <v>8.65</v>
      </c>
      <c r="P1303" s="110">
        <v>9.0500000000000007</v>
      </c>
      <c r="Q1303" s="110">
        <v>8.85</v>
      </c>
      <c r="R1303">
        <v>286262</v>
      </c>
    </row>
    <row r="1304" spans="1:18" x14ac:dyDescent="0.25">
      <c r="A1304" s="134">
        <v>43928</v>
      </c>
      <c r="B1304" s="110">
        <v>9.1199999999999992</v>
      </c>
      <c r="C1304" s="110">
        <v>8.99</v>
      </c>
      <c r="D1304" s="110">
        <v>8.85</v>
      </c>
      <c r="E1304" s="110">
        <v>9.01</v>
      </c>
      <c r="F1304" s="110">
        <v>8.99</v>
      </c>
      <c r="G1304">
        <v>55484</v>
      </c>
      <c r="H1304" s="110"/>
      <c r="I1304" s="110"/>
      <c r="L1304" s="134">
        <v>43928</v>
      </c>
      <c r="M1304" s="110">
        <v>8.9499999999999993</v>
      </c>
      <c r="N1304" s="110">
        <v>9.25</v>
      </c>
      <c r="O1304" s="110">
        <v>8.75</v>
      </c>
      <c r="P1304" s="110">
        <v>9.25</v>
      </c>
      <c r="Q1304" s="110">
        <v>8.9499999999999993</v>
      </c>
      <c r="R1304">
        <v>381736</v>
      </c>
    </row>
    <row r="1305" spans="1:18" x14ac:dyDescent="0.25">
      <c r="A1305" s="134">
        <v>43929</v>
      </c>
      <c r="B1305" s="110">
        <v>9.16</v>
      </c>
      <c r="C1305" s="110">
        <v>9.0299999999999994</v>
      </c>
      <c r="D1305" s="110">
        <v>9</v>
      </c>
      <c r="E1305" s="110">
        <v>9.02</v>
      </c>
      <c r="F1305" s="110">
        <v>9.0299999999999994</v>
      </c>
      <c r="G1305">
        <v>39320</v>
      </c>
      <c r="H1305" s="110"/>
      <c r="I1305" s="110"/>
      <c r="L1305" s="134">
        <v>43929</v>
      </c>
      <c r="M1305" s="110">
        <v>9</v>
      </c>
      <c r="N1305" s="110">
        <v>9.15</v>
      </c>
      <c r="O1305" s="110">
        <v>8.85</v>
      </c>
      <c r="P1305" s="110">
        <v>9</v>
      </c>
      <c r="Q1305" s="110">
        <v>9</v>
      </c>
      <c r="R1305">
        <v>336724</v>
      </c>
    </row>
    <row r="1306" spans="1:18" x14ac:dyDescent="0.25">
      <c r="A1306" s="134">
        <v>43930</v>
      </c>
      <c r="B1306" s="110">
        <v>9.25</v>
      </c>
      <c r="C1306" s="110">
        <v>9.14</v>
      </c>
      <c r="D1306" s="110">
        <v>9.0399999999999991</v>
      </c>
      <c r="E1306" s="110">
        <v>9.0399999999999991</v>
      </c>
      <c r="F1306" s="110">
        <v>9.14</v>
      </c>
      <c r="G1306">
        <v>19395</v>
      </c>
      <c r="H1306" s="110"/>
      <c r="I1306" s="110"/>
      <c r="L1306" s="134">
        <v>43930</v>
      </c>
      <c r="M1306" s="110">
        <v>9.1999999999999993</v>
      </c>
      <c r="N1306" s="110">
        <v>9.25</v>
      </c>
      <c r="O1306" s="110">
        <v>9</v>
      </c>
      <c r="P1306" s="110">
        <v>9.1999999999999993</v>
      </c>
      <c r="Q1306" s="110">
        <v>9.1999999999999993</v>
      </c>
      <c r="R1306">
        <v>277936</v>
      </c>
    </row>
    <row r="1307" spans="1:18" x14ac:dyDescent="0.25">
      <c r="A1307" s="134">
        <v>43934</v>
      </c>
      <c r="B1307" s="110">
        <v>9.25</v>
      </c>
      <c r="C1307" s="110">
        <v>9.0500000000000007</v>
      </c>
      <c r="D1307" s="110">
        <v>8.99</v>
      </c>
      <c r="E1307" s="110">
        <v>9.25</v>
      </c>
      <c r="F1307" s="110">
        <v>9.0500000000000007</v>
      </c>
      <c r="G1307">
        <v>29975</v>
      </c>
      <c r="H1307" s="110"/>
      <c r="I1307" s="110"/>
      <c r="L1307" s="134">
        <v>43934</v>
      </c>
      <c r="M1307" s="110">
        <v>9.0500000000000007</v>
      </c>
      <c r="N1307" s="110">
        <v>9.1999999999999993</v>
      </c>
      <c r="O1307" s="110">
        <v>8.9</v>
      </c>
      <c r="P1307" s="110">
        <v>9.1</v>
      </c>
      <c r="Q1307" s="110">
        <v>9.0500000000000007</v>
      </c>
      <c r="R1307">
        <v>260604</v>
      </c>
    </row>
    <row r="1308" spans="1:18" x14ac:dyDescent="0.25">
      <c r="A1308" s="134">
        <v>43936</v>
      </c>
      <c r="B1308" s="110">
        <v>9.75</v>
      </c>
      <c r="C1308" s="110">
        <v>9.09</v>
      </c>
      <c r="D1308" s="110">
        <v>9.01</v>
      </c>
      <c r="E1308" s="110">
        <v>9.75</v>
      </c>
      <c r="F1308" s="110">
        <v>9.09</v>
      </c>
      <c r="G1308">
        <v>30960</v>
      </c>
      <c r="H1308" s="110"/>
      <c r="I1308" s="110"/>
      <c r="L1308" s="134">
        <v>43936</v>
      </c>
      <c r="M1308" s="110">
        <v>9.0500000000000007</v>
      </c>
      <c r="N1308" s="110">
        <v>9.25</v>
      </c>
      <c r="O1308" s="110">
        <v>9</v>
      </c>
      <c r="P1308" s="110">
        <v>9.0500000000000007</v>
      </c>
      <c r="Q1308" s="110">
        <v>9.0500000000000007</v>
      </c>
      <c r="R1308">
        <v>352182</v>
      </c>
    </row>
    <row r="1309" spans="1:18" x14ac:dyDescent="0.25">
      <c r="A1309" s="134">
        <v>43937</v>
      </c>
      <c r="B1309" s="110">
        <v>9.2799999999999994</v>
      </c>
      <c r="C1309" s="110">
        <v>9.14</v>
      </c>
      <c r="D1309" s="110">
        <v>9.01</v>
      </c>
      <c r="E1309" s="110">
        <v>9.15</v>
      </c>
      <c r="F1309" s="110">
        <v>9.14</v>
      </c>
      <c r="G1309">
        <v>34918</v>
      </c>
      <c r="H1309" s="110"/>
      <c r="I1309" s="110"/>
      <c r="L1309" s="134">
        <v>43937</v>
      </c>
      <c r="M1309" s="110">
        <v>9.15</v>
      </c>
      <c r="N1309" s="110">
        <v>9.3000000000000007</v>
      </c>
      <c r="O1309" s="110">
        <v>9</v>
      </c>
      <c r="P1309" s="110">
        <v>9.1</v>
      </c>
      <c r="Q1309" s="110">
        <v>9.15</v>
      </c>
      <c r="R1309">
        <v>403711</v>
      </c>
    </row>
    <row r="1310" spans="1:18" x14ac:dyDescent="0.25">
      <c r="A1310" s="134">
        <v>43938</v>
      </c>
      <c r="B1310" s="110">
        <v>9.52</v>
      </c>
      <c r="C1310" s="110">
        <v>9.48</v>
      </c>
      <c r="D1310" s="110">
        <v>9.2200000000000006</v>
      </c>
      <c r="E1310" s="110">
        <v>9.42</v>
      </c>
      <c r="F1310" s="110">
        <v>9.48</v>
      </c>
      <c r="G1310">
        <v>63538</v>
      </c>
      <c r="H1310" s="110"/>
      <c r="I1310" s="110"/>
      <c r="L1310" s="134">
        <v>43938</v>
      </c>
      <c r="M1310" s="110">
        <v>9.4499999999999993</v>
      </c>
      <c r="N1310" s="110">
        <v>9.5</v>
      </c>
      <c r="O1310" s="110">
        <v>9.25</v>
      </c>
      <c r="P1310" s="110">
        <v>9.35</v>
      </c>
      <c r="Q1310" s="110">
        <v>9.4499999999999993</v>
      </c>
      <c r="R1310">
        <v>535882</v>
      </c>
    </row>
    <row r="1311" spans="1:18" x14ac:dyDescent="0.25">
      <c r="A1311" s="134">
        <v>43941</v>
      </c>
      <c r="B1311" s="110">
        <v>10.95</v>
      </c>
      <c r="C1311" s="110">
        <v>10.36</v>
      </c>
      <c r="D1311" s="110">
        <v>9.34</v>
      </c>
      <c r="E1311" s="110">
        <v>9.5</v>
      </c>
      <c r="F1311" s="110">
        <v>10.36</v>
      </c>
      <c r="G1311">
        <v>148244</v>
      </c>
      <c r="H1311" s="110"/>
      <c r="I1311" s="110"/>
      <c r="L1311" s="134">
        <v>43941</v>
      </c>
      <c r="M1311" s="110">
        <v>10.4</v>
      </c>
      <c r="N1311" s="110">
        <v>10.95</v>
      </c>
      <c r="O1311" s="110">
        <v>8.9</v>
      </c>
      <c r="P1311" s="110">
        <v>9.4499999999999993</v>
      </c>
      <c r="Q1311" s="110">
        <v>10.4</v>
      </c>
      <c r="R1311">
        <v>2688106</v>
      </c>
    </row>
    <row r="1312" spans="1:18" x14ac:dyDescent="0.25">
      <c r="A1312" s="134">
        <v>43942</v>
      </c>
      <c r="B1312" s="110">
        <v>10.27</v>
      </c>
      <c r="C1312" s="110">
        <v>9.9</v>
      </c>
      <c r="D1312" s="110">
        <v>9.11</v>
      </c>
      <c r="E1312" s="110">
        <v>10.25</v>
      </c>
      <c r="F1312" s="110">
        <v>9.9</v>
      </c>
      <c r="G1312">
        <v>72568</v>
      </c>
      <c r="H1312" s="110"/>
      <c r="I1312" s="110"/>
      <c r="L1312" s="134">
        <v>43942</v>
      </c>
      <c r="M1312" s="110">
        <v>9.85</v>
      </c>
      <c r="N1312" s="110">
        <v>10.4</v>
      </c>
      <c r="O1312" s="110">
        <v>9.65</v>
      </c>
      <c r="P1312" s="110">
        <v>10.15</v>
      </c>
      <c r="Q1312" s="110">
        <v>9.85</v>
      </c>
      <c r="R1312">
        <v>1267772</v>
      </c>
    </row>
    <row r="1313" spans="1:18" x14ac:dyDescent="0.25">
      <c r="A1313" s="134">
        <v>43943</v>
      </c>
      <c r="B1313" s="110">
        <v>10.32</v>
      </c>
      <c r="C1313" s="110">
        <v>9.85</v>
      </c>
      <c r="D1313" s="110">
        <v>9.35</v>
      </c>
      <c r="E1313" s="110">
        <v>9.9</v>
      </c>
      <c r="F1313" s="110">
        <v>9.85</v>
      </c>
      <c r="G1313">
        <v>66284</v>
      </c>
      <c r="H1313" s="110"/>
      <c r="I1313" s="110"/>
      <c r="L1313" s="134">
        <v>43943</v>
      </c>
      <c r="M1313" s="110">
        <v>9.85</v>
      </c>
      <c r="N1313" s="110">
        <v>10.35</v>
      </c>
      <c r="O1313" s="110">
        <v>9.3000000000000007</v>
      </c>
      <c r="P1313" s="110">
        <v>9.85</v>
      </c>
      <c r="Q1313" s="110">
        <v>9.85</v>
      </c>
      <c r="R1313">
        <v>1848376</v>
      </c>
    </row>
    <row r="1314" spans="1:18" x14ac:dyDescent="0.25">
      <c r="A1314" s="134">
        <v>43944</v>
      </c>
      <c r="B1314" s="110">
        <v>10.09</v>
      </c>
      <c r="C1314" s="110">
        <v>9.91</v>
      </c>
      <c r="D1314" s="110">
        <v>9.8000000000000007</v>
      </c>
      <c r="E1314" s="110">
        <v>9.94</v>
      </c>
      <c r="F1314" s="110">
        <v>9.91</v>
      </c>
      <c r="G1314">
        <v>47855</v>
      </c>
      <c r="H1314" s="110"/>
      <c r="I1314" s="110"/>
      <c r="L1314" s="134">
        <v>43944</v>
      </c>
      <c r="M1314" s="110">
        <v>9.9</v>
      </c>
      <c r="N1314" s="110">
        <v>10.1</v>
      </c>
      <c r="O1314" s="110">
        <v>9.75</v>
      </c>
      <c r="P1314" s="110">
        <v>9.9</v>
      </c>
      <c r="Q1314" s="110">
        <v>9.9</v>
      </c>
      <c r="R1314">
        <v>583910</v>
      </c>
    </row>
    <row r="1315" spans="1:18" x14ac:dyDescent="0.25">
      <c r="A1315" s="134">
        <v>43945</v>
      </c>
      <c r="B1315" s="110">
        <v>9.84</v>
      </c>
      <c r="C1315" s="110">
        <v>9.6300000000000008</v>
      </c>
      <c r="D1315" s="110">
        <v>9.61</v>
      </c>
      <c r="E1315" s="110">
        <v>9.7899999999999991</v>
      </c>
      <c r="F1315" s="110">
        <v>9.6300000000000008</v>
      </c>
      <c r="G1315">
        <v>41307</v>
      </c>
      <c r="H1315" s="110"/>
      <c r="I1315" s="110"/>
      <c r="L1315" s="134">
        <v>43945</v>
      </c>
      <c r="M1315" s="110">
        <v>9.65</v>
      </c>
      <c r="N1315" s="110">
        <v>9.8000000000000007</v>
      </c>
      <c r="O1315" s="110">
        <v>9.6</v>
      </c>
      <c r="P1315" s="110">
        <v>9.8000000000000007</v>
      </c>
      <c r="Q1315" s="110">
        <v>9.65</v>
      </c>
      <c r="R1315">
        <v>408934</v>
      </c>
    </row>
    <row r="1316" spans="1:18" x14ac:dyDescent="0.25">
      <c r="A1316" s="134">
        <v>43948</v>
      </c>
      <c r="B1316" s="110">
        <v>10.99</v>
      </c>
      <c r="C1316" s="110">
        <v>9.57</v>
      </c>
      <c r="D1316" s="110">
        <v>9.51</v>
      </c>
      <c r="E1316" s="110">
        <v>9.75</v>
      </c>
      <c r="F1316" s="110">
        <v>9.57</v>
      </c>
      <c r="G1316">
        <v>45740</v>
      </c>
      <c r="H1316" s="110"/>
      <c r="I1316" s="110"/>
      <c r="L1316" s="134">
        <v>43948</v>
      </c>
      <c r="M1316" s="110">
        <v>9.5500000000000007</v>
      </c>
      <c r="N1316" s="110">
        <v>9.85</v>
      </c>
      <c r="O1316" s="110">
        <v>9.5</v>
      </c>
      <c r="P1316" s="110">
        <v>9.6999999999999993</v>
      </c>
      <c r="Q1316" s="110">
        <v>9.5500000000000007</v>
      </c>
      <c r="R1316">
        <v>613007</v>
      </c>
    </row>
    <row r="1317" spans="1:18" x14ac:dyDescent="0.25">
      <c r="A1317" s="134">
        <v>43949</v>
      </c>
      <c r="B1317" s="110">
        <v>9.65</v>
      </c>
      <c r="C1317" s="110">
        <v>9.5500000000000007</v>
      </c>
      <c r="D1317" s="110">
        <v>9.44</v>
      </c>
      <c r="E1317" s="110">
        <v>9.59</v>
      </c>
      <c r="F1317" s="110">
        <v>9.5500000000000007</v>
      </c>
      <c r="G1317">
        <v>67138</v>
      </c>
      <c r="H1317" s="110"/>
      <c r="I1317" s="110"/>
      <c r="L1317" s="134">
        <v>43949</v>
      </c>
      <c r="M1317" s="110">
        <v>9.6</v>
      </c>
      <c r="N1317" s="110">
        <v>9.65</v>
      </c>
      <c r="O1317" s="110">
        <v>9.4</v>
      </c>
      <c r="P1317" s="110">
        <v>9.6</v>
      </c>
      <c r="Q1317" s="110">
        <v>9.6</v>
      </c>
      <c r="R1317">
        <v>561538</v>
      </c>
    </row>
    <row r="1318" spans="1:18" x14ac:dyDescent="0.25">
      <c r="A1318" s="134">
        <v>43950</v>
      </c>
      <c r="B1318" s="110">
        <v>9.68</v>
      </c>
      <c r="C1318" s="110">
        <v>9.5</v>
      </c>
      <c r="D1318" s="110">
        <v>9.48</v>
      </c>
      <c r="E1318" s="110">
        <v>9.5500000000000007</v>
      </c>
      <c r="F1318" s="110">
        <v>9.5</v>
      </c>
      <c r="G1318">
        <v>39300</v>
      </c>
      <c r="H1318" s="110"/>
      <c r="I1318" s="110"/>
      <c r="L1318" s="134">
        <v>43950</v>
      </c>
      <c r="M1318" s="110">
        <v>9.5</v>
      </c>
      <c r="N1318" s="110">
        <v>9.65</v>
      </c>
      <c r="O1318" s="110">
        <v>9.4499999999999993</v>
      </c>
      <c r="P1318" s="110">
        <v>9.5</v>
      </c>
      <c r="Q1318" s="110">
        <v>9.5</v>
      </c>
      <c r="R1318">
        <v>736153</v>
      </c>
    </row>
    <row r="1319" spans="1:18" x14ac:dyDescent="0.25">
      <c r="A1319" s="134">
        <v>43951</v>
      </c>
      <c r="B1319" s="110">
        <v>9.68</v>
      </c>
      <c r="C1319" s="110">
        <v>9.5500000000000007</v>
      </c>
      <c r="D1319" s="110">
        <v>9.5</v>
      </c>
      <c r="E1319" s="110">
        <v>9.5299999999999994</v>
      </c>
      <c r="F1319" s="110">
        <v>9.5500000000000007</v>
      </c>
      <c r="G1319">
        <v>30536</v>
      </c>
      <c r="H1319" s="110"/>
      <c r="I1319" s="110"/>
      <c r="L1319" s="134">
        <v>43951</v>
      </c>
      <c r="M1319" s="110">
        <v>9.5500000000000007</v>
      </c>
      <c r="N1319" s="110">
        <v>9.65</v>
      </c>
      <c r="O1319" s="110">
        <v>9.5</v>
      </c>
      <c r="P1319" s="110">
        <v>9.6</v>
      </c>
      <c r="Q1319" s="110">
        <v>9.5500000000000007</v>
      </c>
      <c r="R1319">
        <v>831772</v>
      </c>
    </row>
    <row r="1320" spans="1:18" x14ac:dyDescent="0.25">
      <c r="A1320" s="134">
        <v>43955</v>
      </c>
      <c r="B1320" s="110">
        <v>10.199999999999999</v>
      </c>
      <c r="C1320" s="110">
        <v>9.14</v>
      </c>
      <c r="D1320" s="110">
        <v>9</v>
      </c>
      <c r="E1320" s="110">
        <v>10.199999999999999</v>
      </c>
      <c r="F1320" s="110">
        <v>9.14</v>
      </c>
      <c r="G1320">
        <v>67215</v>
      </c>
      <c r="H1320" s="110"/>
      <c r="I1320" s="110"/>
      <c r="L1320" s="134">
        <v>43955</v>
      </c>
      <c r="M1320" s="110">
        <v>9.15</v>
      </c>
      <c r="N1320" s="110">
        <v>9.4499999999999993</v>
      </c>
      <c r="O1320" s="110">
        <v>9</v>
      </c>
      <c r="P1320" s="110">
        <v>9.4</v>
      </c>
      <c r="Q1320" s="110">
        <v>9.15</v>
      </c>
      <c r="R1320">
        <v>522331</v>
      </c>
    </row>
    <row r="1321" spans="1:18" x14ac:dyDescent="0.25">
      <c r="A1321" s="134">
        <v>43956</v>
      </c>
      <c r="B1321" s="110">
        <v>9.32</v>
      </c>
      <c r="C1321" s="110">
        <v>9.09</v>
      </c>
      <c r="D1321" s="110">
        <v>9.0299999999999994</v>
      </c>
      <c r="E1321" s="110">
        <v>9.32</v>
      </c>
      <c r="F1321" s="110">
        <v>9.09</v>
      </c>
      <c r="G1321">
        <v>36127</v>
      </c>
      <c r="H1321" s="110"/>
      <c r="I1321" s="110"/>
      <c r="L1321" s="134">
        <v>43956</v>
      </c>
      <c r="M1321" s="110">
        <v>9</v>
      </c>
      <c r="N1321" s="110">
        <v>9.35</v>
      </c>
      <c r="O1321" s="110">
        <v>9</v>
      </c>
      <c r="P1321" s="110">
        <v>9.3000000000000007</v>
      </c>
      <c r="Q1321" s="110">
        <v>9</v>
      </c>
      <c r="R1321">
        <v>321599</v>
      </c>
    </row>
    <row r="1322" spans="1:18" x14ac:dyDescent="0.25">
      <c r="A1322" s="134">
        <v>43957</v>
      </c>
      <c r="B1322" s="110">
        <v>9.11</v>
      </c>
      <c r="C1322" s="110">
        <v>9.06</v>
      </c>
      <c r="D1322" s="110">
        <v>8.6999999999999993</v>
      </c>
      <c r="E1322" s="110">
        <v>9</v>
      </c>
      <c r="F1322" s="110">
        <v>9.06</v>
      </c>
      <c r="G1322">
        <v>78213</v>
      </c>
      <c r="H1322" s="110"/>
      <c r="I1322" s="110"/>
      <c r="L1322" s="134">
        <v>43957</v>
      </c>
      <c r="M1322" s="110">
        <v>9</v>
      </c>
      <c r="N1322" s="110">
        <v>9.1</v>
      </c>
      <c r="O1322" s="110">
        <v>8.8000000000000007</v>
      </c>
      <c r="P1322" s="110">
        <v>9</v>
      </c>
      <c r="Q1322" s="110">
        <v>9</v>
      </c>
      <c r="R1322">
        <v>366231</v>
      </c>
    </row>
    <row r="1323" spans="1:18" x14ac:dyDescent="0.25">
      <c r="A1323" s="134">
        <v>43958</v>
      </c>
      <c r="B1323" s="110">
        <v>9.2100000000000009</v>
      </c>
      <c r="C1323" s="110">
        <v>8.98</v>
      </c>
      <c r="D1323" s="110">
        <v>8.9499999999999993</v>
      </c>
      <c r="E1323" s="110">
        <v>9.2100000000000009</v>
      </c>
      <c r="F1323" s="110">
        <v>8.98</v>
      </c>
      <c r="G1323">
        <v>42799</v>
      </c>
      <c r="H1323" s="110"/>
      <c r="I1323" s="110"/>
      <c r="L1323" s="134">
        <v>43958</v>
      </c>
      <c r="M1323" s="110">
        <v>9</v>
      </c>
      <c r="N1323" s="110">
        <v>9.15</v>
      </c>
      <c r="O1323" s="110">
        <v>8.9499999999999993</v>
      </c>
      <c r="P1323" s="110">
        <v>9.1</v>
      </c>
      <c r="Q1323" s="110">
        <v>9</v>
      </c>
      <c r="R1323">
        <v>301899</v>
      </c>
    </row>
    <row r="1324" spans="1:18" x14ac:dyDescent="0.25">
      <c r="A1324" s="134">
        <v>43959</v>
      </c>
      <c r="B1324" s="110">
        <v>9.75</v>
      </c>
      <c r="C1324" s="110">
        <v>8.8800000000000008</v>
      </c>
      <c r="D1324" s="110">
        <v>8.83</v>
      </c>
      <c r="E1324" s="110">
        <v>9.75</v>
      </c>
      <c r="F1324" s="110">
        <v>8.8800000000000008</v>
      </c>
      <c r="G1324">
        <v>44704</v>
      </c>
      <c r="H1324" s="110"/>
      <c r="I1324" s="110"/>
      <c r="L1324" s="134">
        <v>43959</v>
      </c>
      <c r="M1324" s="110">
        <v>8.85</v>
      </c>
      <c r="N1324" s="110">
        <v>9.1</v>
      </c>
      <c r="O1324" s="110">
        <v>8.8000000000000007</v>
      </c>
      <c r="P1324" s="110">
        <v>9.1</v>
      </c>
      <c r="Q1324" s="110">
        <v>8.85</v>
      </c>
      <c r="R1324">
        <v>455252</v>
      </c>
    </row>
    <row r="1325" spans="1:18" x14ac:dyDescent="0.25">
      <c r="A1325" s="134">
        <v>43962</v>
      </c>
      <c r="B1325" s="110">
        <v>8.9600000000000009</v>
      </c>
      <c r="C1325" s="110">
        <v>8.8699999999999992</v>
      </c>
      <c r="D1325" s="110">
        <v>8.84</v>
      </c>
      <c r="E1325" s="110">
        <v>8.9</v>
      </c>
      <c r="F1325" s="110">
        <v>8.8699999999999992</v>
      </c>
      <c r="G1325">
        <v>42446</v>
      </c>
      <c r="H1325" s="110"/>
      <c r="I1325" s="110"/>
      <c r="L1325" s="134">
        <v>43962</v>
      </c>
      <c r="M1325" s="110">
        <v>8.85</v>
      </c>
      <c r="N1325" s="110">
        <v>8.9499999999999993</v>
      </c>
      <c r="O1325" s="110">
        <v>8.8000000000000007</v>
      </c>
      <c r="P1325" s="110">
        <v>8.85</v>
      </c>
      <c r="Q1325" s="110">
        <v>8.85</v>
      </c>
      <c r="R1325">
        <v>253171</v>
      </c>
    </row>
    <row r="1326" spans="1:18" x14ac:dyDescent="0.25">
      <c r="A1326" s="134">
        <v>43963</v>
      </c>
      <c r="B1326" s="110">
        <v>8.89</v>
      </c>
      <c r="C1326" s="110">
        <v>8.86</v>
      </c>
      <c r="D1326" s="110">
        <v>8.69</v>
      </c>
      <c r="E1326" s="110">
        <v>8.84</v>
      </c>
      <c r="F1326" s="110">
        <v>8.86</v>
      </c>
      <c r="G1326">
        <v>25512</v>
      </c>
      <c r="H1326" s="110"/>
      <c r="I1326" s="110"/>
      <c r="L1326" s="134">
        <v>43963</v>
      </c>
      <c r="M1326" s="110">
        <v>8.8000000000000007</v>
      </c>
      <c r="N1326" s="110">
        <v>8.85</v>
      </c>
      <c r="O1326" s="110">
        <v>8.65</v>
      </c>
      <c r="P1326" s="110">
        <v>8.8000000000000007</v>
      </c>
      <c r="Q1326" s="110">
        <v>8.8000000000000007</v>
      </c>
      <c r="R1326">
        <v>273840</v>
      </c>
    </row>
    <row r="1327" spans="1:18" x14ac:dyDescent="0.25">
      <c r="A1327" s="134">
        <v>43964</v>
      </c>
      <c r="B1327" s="110">
        <v>9.34</v>
      </c>
      <c r="C1327" s="110">
        <v>9.1</v>
      </c>
      <c r="D1327" s="110">
        <v>8.85</v>
      </c>
      <c r="E1327" s="110">
        <v>9.06</v>
      </c>
      <c r="F1327" s="110">
        <v>9.1</v>
      </c>
      <c r="G1327">
        <v>45048</v>
      </c>
      <c r="H1327" s="110"/>
      <c r="I1327" s="110"/>
      <c r="L1327" s="134">
        <v>43964</v>
      </c>
      <c r="M1327" s="110">
        <v>9.0500000000000007</v>
      </c>
      <c r="N1327" s="110">
        <v>9.4499999999999993</v>
      </c>
      <c r="O1327" s="110">
        <v>8.85</v>
      </c>
      <c r="P1327" s="110">
        <v>9.4</v>
      </c>
      <c r="Q1327" s="110">
        <v>9.0500000000000007</v>
      </c>
      <c r="R1327">
        <v>810443</v>
      </c>
    </row>
    <row r="1328" spans="1:18" x14ac:dyDescent="0.25">
      <c r="A1328" s="134">
        <v>43965</v>
      </c>
      <c r="B1328" s="110">
        <v>9.17</v>
      </c>
      <c r="C1328" s="110">
        <v>9</v>
      </c>
      <c r="D1328" s="110">
        <v>8.93</v>
      </c>
      <c r="E1328" s="110">
        <v>9.17</v>
      </c>
      <c r="F1328" s="110">
        <v>9</v>
      </c>
      <c r="G1328">
        <v>16114</v>
      </c>
      <c r="H1328" s="110"/>
      <c r="I1328" s="110"/>
      <c r="L1328" s="134">
        <v>43965</v>
      </c>
      <c r="M1328" s="110">
        <v>9</v>
      </c>
      <c r="N1328" s="110">
        <v>9.0500000000000007</v>
      </c>
      <c r="O1328" s="110">
        <v>8.85</v>
      </c>
      <c r="P1328" s="110">
        <v>8.9499999999999993</v>
      </c>
      <c r="Q1328" s="110">
        <v>9</v>
      </c>
      <c r="R1328">
        <v>255824</v>
      </c>
    </row>
    <row r="1329" spans="1:18" x14ac:dyDescent="0.25">
      <c r="A1329" s="134">
        <v>43966</v>
      </c>
      <c r="B1329" s="110">
        <v>9.4</v>
      </c>
      <c r="C1329" s="110">
        <v>8.92</v>
      </c>
      <c r="D1329" s="110">
        <v>8.85</v>
      </c>
      <c r="E1329" s="110">
        <v>9.4</v>
      </c>
      <c r="F1329" s="110">
        <v>8.92</v>
      </c>
      <c r="G1329">
        <v>28902</v>
      </c>
      <c r="H1329" s="110"/>
      <c r="I1329" s="110"/>
      <c r="L1329" s="134">
        <v>43966</v>
      </c>
      <c r="M1329" s="110">
        <v>8.9</v>
      </c>
      <c r="N1329" s="110">
        <v>9</v>
      </c>
      <c r="O1329" s="110">
        <v>8.8000000000000007</v>
      </c>
      <c r="P1329" s="110">
        <v>9</v>
      </c>
      <c r="Q1329" s="110">
        <v>8.9</v>
      </c>
      <c r="R1329">
        <v>285681</v>
      </c>
    </row>
    <row r="1330" spans="1:18" x14ac:dyDescent="0.25">
      <c r="A1330" s="134">
        <v>43969</v>
      </c>
      <c r="B1330" s="110">
        <v>8.99</v>
      </c>
      <c r="C1330" s="110">
        <v>8.74</v>
      </c>
      <c r="D1330" s="110">
        <v>8.58</v>
      </c>
      <c r="E1330" s="110">
        <v>8.85</v>
      </c>
      <c r="F1330" s="110">
        <v>8.74</v>
      </c>
      <c r="G1330">
        <v>31021</v>
      </c>
      <c r="H1330" s="110"/>
      <c r="I1330" s="110"/>
      <c r="L1330" s="134">
        <v>43969</v>
      </c>
      <c r="M1330" s="110">
        <v>8.75</v>
      </c>
      <c r="N1330" s="110">
        <v>8.9499999999999993</v>
      </c>
      <c r="O1330" s="110">
        <v>8.5500000000000007</v>
      </c>
      <c r="P1330" s="110">
        <v>8.9499999999999993</v>
      </c>
      <c r="Q1330" s="110">
        <v>8.75</v>
      </c>
      <c r="R1330">
        <v>529428</v>
      </c>
    </row>
    <row r="1331" spans="1:18" x14ac:dyDescent="0.25">
      <c r="A1331" s="134">
        <v>43970</v>
      </c>
      <c r="B1331" s="110">
        <v>8.86</v>
      </c>
      <c r="C1331" s="110">
        <v>8.61</v>
      </c>
      <c r="D1331" s="110">
        <v>8.59</v>
      </c>
      <c r="E1331" s="110">
        <v>8.85</v>
      </c>
      <c r="F1331" s="110">
        <v>8.61</v>
      </c>
      <c r="G1331">
        <v>68431</v>
      </c>
      <c r="H1331" s="110"/>
      <c r="I1331" s="110"/>
      <c r="L1331" s="134">
        <v>43970</v>
      </c>
      <c r="M1331" s="110">
        <v>8.6</v>
      </c>
      <c r="N1331" s="110">
        <v>8.9</v>
      </c>
      <c r="O1331" s="110">
        <v>8.5500000000000007</v>
      </c>
      <c r="P1331" s="110">
        <v>8.9</v>
      </c>
      <c r="Q1331" s="110">
        <v>8.6</v>
      </c>
      <c r="R1331">
        <v>351710</v>
      </c>
    </row>
    <row r="1332" spans="1:18" x14ac:dyDescent="0.25">
      <c r="A1332" s="134">
        <v>43971</v>
      </c>
      <c r="B1332" s="110">
        <v>8.9499999999999993</v>
      </c>
      <c r="C1332" s="110">
        <v>8.6</v>
      </c>
      <c r="D1332" s="110">
        <v>8.5500000000000007</v>
      </c>
      <c r="E1332" s="110">
        <v>8.9499999999999993</v>
      </c>
      <c r="F1332" s="110">
        <v>8.6</v>
      </c>
      <c r="G1332">
        <v>62198</v>
      </c>
      <c r="H1332" s="110"/>
      <c r="I1332" s="110"/>
      <c r="L1332" s="134">
        <v>43971</v>
      </c>
      <c r="M1332" s="110">
        <v>8.6</v>
      </c>
      <c r="N1332" s="110">
        <v>8.6999999999999993</v>
      </c>
      <c r="O1332" s="110">
        <v>8.5500000000000007</v>
      </c>
      <c r="P1332" s="110">
        <v>8.6999999999999993</v>
      </c>
      <c r="Q1332" s="110">
        <v>8.6</v>
      </c>
      <c r="R1332">
        <v>327952</v>
      </c>
    </row>
    <row r="1333" spans="1:18" x14ac:dyDescent="0.25">
      <c r="A1333" s="134">
        <v>43972</v>
      </c>
      <c r="B1333" s="110">
        <v>8.8000000000000007</v>
      </c>
      <c r="C1333" s="110">
        <v>8.6199999999999992</v>
      </c>
      <c r="D1333" s="110">
        <v>8.6</v>
      </c>
      <c r="E1333" s="110">
        <v>8.65</v>
      </c>
      <c r="F1333" s="110">
        <v>8.6199999999999992</v>
      </c>
      <c r="G1333">
        <v>29127</v>
      </c>
      <c r="H1333" s="110"/>
      <c r="I1333" s="110"/>
      <c r="L1333" s="134">
        <v>43972</v>
      </c>
      <c r="M1333" s="110">
        <v>8.6</v>
      </c>
      <c r="N1333" s="110">
        <v>8.8000000000000007</v>
      </c>
      <c r="O1333" s="110">
        <v>8.5500000000000007</v>
      </c>
      <c r="P1333" s="110">
        <v>8.65</v>
      </c>
      <c r="Q1333" s="110">
        <v>8.6</v>
      </c>
      <c r="R1333">
        <v>386307</v>
      </c>
    </row>
    <row r="1334" spans="1:18" x14ac:dyDescent="0.25">
      <c r="A1334" s="134">
        <v>43973</v>
      </c>
      <c r="B1334" s="110">
        <v>8.85</v>
      </c>
      <c r="C1334" s="110">
        <v>8.58</v>
      </c>
      <c r="D1334" s="110">
        <v>8.4499999999999993</v>
      </c>
      <c r="E1334" s="110">
        <v>8.6199999999999992</v>
      </c>
      <c r="F1334" s="110">
        <v>8.58</v>
      </c>
      <c r="G1334">
        <v>45740</v>
      </c>
      <c r="H1334" s="110"/>
      <c r="I1334" s="110"/>
      <c r="L1334" s="134">
        <v>43973</v>
      </c>
      <c r="M1334" s="110">
        <v>8.5500000000000007</v>
      </c>
      <c r="N1334" s="110">
        <v>8.9</v>
      </c>
      <c r="O1334" s="110">
        <v>8.4499999999999993</v>
      </c>
      <c r="P1334" s="110">
        <v>8.6</v>
      </c>
      <c r="Q1334" s="110">
        <v>8.5500000000000007</v>
      </c>
      <c r="R1334">
        <v>731217</v>
      </c>
    </row>
    <row r="1335" spans="1:18" x14ac:dyDescent="0.25">
      <c r="A1335" s="134">
        <v>43977</v>
      </c>
      <c r="B1335" s="110">
        <v>8.74</v>
      </c>
      <c r="C1335" s="110">
        <v>8.5500000000000007</v>
      </c>
      <c r="D1335" s="110">
        <v>8.5</v>
      </c>
      <c r="E1335" s="110">
        <v>8.74</v>
      </c>
      <c r="F1335" s="110">
        <v>8.5500000000000007</v>
      </c>
      <c r="G1335">
        <v>26080</v>
      </c>
      <c r="H1335" s="110"/>
      <c r="I1335" s="110"/>
      <c r="L1335" s="134">
        <v>43977</v>
      </c>
      <c r="M1335" s="110">
        <v>8.5500000000000007</v>
      </c>
      <c r="N1335" s="110">
        <v>8.6999999999999993</v>
      </c>
      <c r="O1335" s="110">
        <v>8.5</v>
      </c>
      <c r="P1335" s="110">
        <v>8.6999999999999993</v>
      </c>
      <c r="Q1335" s="110">
        <v>8.5500000000000007</v>
      </c>
      <c r="R1335">
        <v>246308</v>
      </c>
    </row>
    <row r="1336" spans="1:18" x14ac:dyDescent="0.25">
      <c r="A1336" s="134">
        <v>43978</v>
      </c>
      <c r="B1336" s="110">
        <v>8.58</v>
      </c>
      <c r="C1336" s="110">
        <v>8.52</v>
      </c>
      <c r="D1336" s="110">
        <v>8.4</v>
      </c>
      <c r="E1336" s="110">
        <v>8.51</v>
      </c>
      <c r="F1336" s="110">
        <v>8.52</v>
      </c>
      <c r="G1336">
        <v>143204</v>
      </c>
      <c r="H1336" s="110"/>
      <c r="I1336" s="110"/>
      <c r="L1336" s="134">
        <v>43978</v>
      </c>
      <c r="M1336" s="110">
        <v>8.5</v>
      </c>
      <c r="N1336" s="110">
        <v>8.65</v>
      </c>
      <c r="O1336" s="110">
        <v>8.4</v>
      </c>
      <c r="P1336" s="110">
        <v>8.65</v>
      </c>
      <c r="Q1336" s="110">
        <v>8.5</v>
      </c>
      <c r="R1336">
        <v>525770</v>
      </c>
    </row>
    <row r="1337" spans="1:18" x14ac:dyDescent="0.25">
      <c r="A1337" s="134">
        <v>43979</v>
      </c>
      <c r="B1337" s="110">
        <v>8.65</v>
      </c>
      <c r="C1337" s="110">
        <v>8.5399999999999991</v>
      </c>
      <c r="D1337" s="110">
        <v>8.35</v>
      </c>
      <c r="E1337" s="110">
        <v>8.35</v>
      </c>
      <c r="F1337" s="110">
        <v>8.5399999999999991</v>
      </c>
      <c r="G1337">
        <v>74790</v>
      </c>
      <c r="H1337" s="110"/>
      <c r="I1337" s="110"/>
      <c r="L1337" s="134">
        <v>43979</v>
      </c>
      <c r="M1337" s="110">
        <v>8.5500000000000007</v>
      </c>
      <c r="N1337" s="110">
        <v>8.65</v>
      </c>
      <c r="O1337" s="110">
        <v>8.5</v>
      </c>
      <c r="P1337" s="110">
        <v>8.5</v>
      </c>
      <c r="Q1337" s="110">
        <v>8.5500000000000007</v>
      </c>
      <c r="R1337">
        <v>594948</v>
      </c>
    </row>
    <row r="1338" spans="1:18" x14ac:dyDescent="0.25">
      <c r="A1338" s="134">
        <v>43980</v>
      </c>
      <c r="B1338" s="110">
        <v>8.57</v>
      </c>
      <c r="C1338" s="110">
        <v>8.5399999999999991</v>
      </c>
      <c r="D1338" s="110">
        <v>8.32</v>
      </c>
      <c r="E1338" s="110">
        <v>8.52</v>
      </c>
      <c r="F1338" s="110">
        <v>8.5399999999999991</v>
      </c>
      <c r="G1338">
        <v>29059</v>
      </c>
      <c r="H1338" s="110"/>
      <c r="I1338" s="110"/>
      <c r="L1338" s="134">
        <v>43980</v>
      </c>
      <c r="M1338" s="110">
        <v>8.5500000000000007</v>
      </c>
      <c r="N1338" s="110">
        <v>8.65</v>
      </c>
      <c r="O1338" s="110">
        <v>8.35</v>
      </c>
      <c r="P1338" s="110">
        <v>8.5500000000000007</v>
      </c>
      <c r="Q1338" s="110">
        <v>8.5500000000000007</v>
      </c>
      <c r="R1338">
        <v>545896</v>
      </c>
    </row>
    <row r="1339" spans="1:18" x14ac:dyDescent="0.25">
      <c r="A1339" s="134">
        <v>43983</v>
      </c>
      <c r="B1339" s="110">
        <v>9.26</v>
      </c>
      <c r="C1339" s="110">
        <v>9.1300000000000008</v>
      </c>
      <c r="D1339" s="110">
        <v>8.6</v>
      </c>
      <c r="E1339" s="110">
        <v>8.6</v>
      </c>
      <c r="F1339" s="110">
        <v>9.1300000000000008</v>
      </c>
      <c r="G1339">
        <v>108925</v>
      </c>
      <c r="H1339" s="110"/>
      <c r="I1339" s="110"/>
      <c r="L1339" s="134">
        <v>43983</v>
      </c>
      <c r="M1339" s="110">
        <v>9.1</v>
      </c>
      <c r="N1339" s="110">
        <v>9.35</v>
      </c>
      <c r="O1339" s="110">
        <v>8.65</v>
      </c>
      <c r="P1339" s="110">
        <v>8.6999999999999993</v>
      </c>
      <c r="Q1339" s="110">
        <v>9.1</v>
      </c>
      <c r="R1339">
        <v>1243863</v>
      </c>
    </row>
    <row r="1340" spans="1:18" x14ac:dyDescent="0.25">
      <c r="A1340" s="134">
        <v>43984</v>
      </c>
      <c r="B1340" s="110">
        <v>9.98</v>
      </c>
      <c r="C1340" s="110">
        <v>9.59</v>
      </c>
      <c r="D1340" s="110">
        <v>9.1300000000000008</v>
      </c>
      <c r="E1340" s="110">
        <v>9.1300000000000008</v>
      </c>
      <c r="F1340" s="110">
        <v>9.59</v>
      </c>
      <c r="G1340">
        <v>242780</v>
      </c>
      <c r="H1340" s="110"/>
      <c r="I1340" s="110"/>
      <c r="L1340" s="134">
        <v>43984</v>
      </c>
      <c r="M1340" s="110">
        <v>9.6</v>
      </c>
      <c r="N1340" s="110">
        <v>10</v>
      </c>
      <c r="O1340" s="110">
        <v>9.1</v>
      </c>
      <c r="P1340" s="110">
        <v>9.3000000000000007</v>
      </c>
      <c r="Q1340" s="110">
        <v>9.6</v>
      </c>
      <c r="R1340">
        <v>2426615</v>
      </c>
    </row>
    <row r="1341" spans="1:18" x14ac:dyDescent="0.25">
      <c r="A1341" s="134">
        <v>43985</v>
      </c>
      <c r="B1341" s="110">
        <v>10.7</v>
      </c>
      <c r="C1341" s="110">
        <v>10.29</v>
      </c>
      <c r="D1341" s="110">
        <v>10.050000000000001</v>
      </c>
      <c r="E1341" s="110">
        <v>10.050000000000001</v>
      </c>
      <c r="F1341" s="110">
        <v>10.29</v>
      </c>
      <c r="G1341">
        <v>594040</v>
      </c>
      <c r="H1341" s="110"/>
      <c r="I1341" s="110"/>
      <c r="L1341" s="134">
        <v>43985</v>
      </c>
      <c r="M1341" s="110">
        <v>10.3</v>
      </c>
      <c r="N1341" s="110">
        <v>10.7</v>
      </c>
      <c r="O1341" s="110">
        <v>10</v>
      </c>
      <c r="P1341" s="110">
        <v>10.199999999999999</v>
      </c>
      <c r="Q1341" s="110">
        <v>10.3</v>
      </c>
      <c r="R1341">
        <v>6547761</v>
      </c>
    </row>
    <row r="1342" spans="1:18" x14ac:dyDescent="0.25">
      <c r="A1342" s="134">
        <v>43986</v>
      </c>
      <c r="B1342" s="110">
        <v>10.66</v>
      </c>
      <c r="C1342" s="110">
        <v>10.29</v>
      </c>
      <c r="D1342" s="110">
        <v>10.14</v>
      </c>
      <c r="E1342" s="110">
        <v>10.65</v>
      </c>
      <c r="F1342" s="110">
        <v>10.29</v>
      </c>
      <c r="G1342">
        <v>209205</v>
      </c>
      <c r="H1342" s="110"/>
      <c r="I1342" s="110"/>
      <c r="L1342" s="134">
        <v>43986</v>
      </c>
      <c r="M1342" s="110">
        <v>10.25</v>
      </c>
      <c r="N1342" s="110">
        <v>10.65</v>
      </c>
      <c r="O1342" s="110">
        <v>10.15</v>
      </c>
      <c r="P1342" s="110">
        <v>10.5</v>
      </c>
      <c r="Q1342" s="110">
        <v>10.25</v>
      </c>
      <c r="R1342">
        <v>3371479</v>
      </c>
    </row>
    <row r="1343" spans="1:18" x14ac:dyDescent="0.25">
      <c r="A1343" s="134">
        <v>43987</v>
      </c>
      <c r="B1343" s="110">
        <v>10.65</v>
      </c>
      <c r="C1343" s="110">
        <v>10.59</v>
      </c>
      <c r="D1343" s="110">
        <v>10.37</v>
      </c>
      <c r="E1343" s="110">
        <v>10.6</v>
      </c>
      <c r="F1343" s="110">
        <v>10.59</v>
      </c>
      <c r="G1343">
        <v>262065</v>
      </c>
      <c r="H1343" s="110"/>
      <c r="I1343" s="110"/>
      <c r="L1343" s="134">
        <v>43987</v>
      </c>
      <c r="M1343" s="110">
        <v>10.6</v>
      </c>
      <c r="N1343" s="110">
        <v>10.65</v>
      </c>
      <c r="O1343" s="110">
        <v>10.3</v>
      </c>
      <c r="P1343" s="110">
        <v>10.5</v>
      </c>
      <c r="Q1343" s="110">
        <v>10.6</v>
      </c>
      <c r="R1343">
        <v>3054473</v>
      </c>
    </row>
    <row r="1344" spans="1:18" x14ac:dyDescent="0.25">
      <c r="A1344" s="134">
        <v>43990</v>
      </c>
      <c r="B1344" s="110">
        <v>11</v>
      </c>
      <c r="C1344" s="110">
        <v>10.55</v>
      </c>
      <c r="D1344" s="110">
        <v>10.45</v>
      </c>
      <c r="E1344" s="110">
        <v>10.66</v>
      </c>
      <c r="F1344" s="110">
        <v>10.55</v>
      </c>
      <c r="G1344">
        <v>366639</v>
      </c>
      <c r="H1344" s="110"/>
      <c r="I1344" s="110"/>
      <c r="L1344" s="134">
        <v>43990</v>
      </c>
      <c r="M1344" s="110">
        <v>10.55</v>
      </c>
      <c r="N1344" s="110">
        <v>11.05</v>
      </c>
      <c r="O1344" s="110">
        <v>10.5</v>
      </c>
      <c r="P1344" s="110">
        <v>10.8</v>
      </c>
      <c r="Q1344" s="110">
        <v>10.55</v>
      </c>
      <c r="R1344">
        <v>3857109</v>
      </c>
    </row>
    <row r="1345" spans="1:18" x14ac:dyDescent="0.25">
      <c r="A1345" s="134">
        <v>43991</v>
      </c>
      <c r="B1345" s="110">
        <v>10.7</v>
      </c>
      <c r="C1345" s="110">
        <v>10.17</v>
      </c>
      <c r="D1345" s="110">
        <v>10.09</v>
      </c>
      <c r="E1345" s="110">
        <v>10.55</v>
      </c>
      <c r="F1345" s="110">
        <v>10.17</v>
      </c>
      <c r="G1345">
        <v>161836</v>
      </c>
      <c r="H1345" s="110"/>
      <c r="I1345" s="110"/>
      <c r="L1345" s="134">
        <v>43991</v>
      </c>
      <c r="M1345" s="110">
        <v>10.15</v>
      </c>
      <c r="N1345" s="110">
        <v>10.7</v>
      </c>
      <c r="O1345" s="110">
        <v>10.1</v>
      </c>
      <c r="P1345" s="110">
        <v>10.6</v>
      </c>
      <c r="Q1345" s="110">
        <v>10.15</v>
      </c>
      <c r="R1345">
        <v>1549895</v>
      </c>
    </row>
    <row r="1346" spans="1:18" x14ac:dyDescent="0.25">
      <c r="A1346" s="134">
        <v>43992</v>
      </c>
      <c r="B1346" s="110">
        <v>10.94</v>
      </c>
      <c r="C1346" s="110">
        <v>10.66</v>
      </c>
      <c r="D1346" s="110">
        <v>9.85</v>
      </c>
      <c r="E1346" s="110">
        <v>10.5</v>
      </c>
      <c r="F1346" s="110">
        <v>10.66</v>
      </c>
      <c r="G1346">
        <v>301323</v>
      </c>
      <c r="H1346" s="110"/>
      <c r="I1346" s="110"/>
      <c r="L1346" s="134">
        <v>43992</v>
      </c>
      <c r="M1346" s="110">
        <v>10.55</v>
      </c>
      <c r="N1346" s="110">
        <v>10.95</v>
      </c>
      <c r="O1346" s="110">
        <v>9.8000000000000007</v>
      </c>
      <c r="P1346" s="110">
        <v>10.25</v>
      </c>
      <c r="Q1346" s="110">
        <v>10.55</v>
      </c>
      <c r="R1346">
        <v>3832386</v>
      </c>
    </row>
    <row r="1347" spans="1:18" x14ac:dyDescent="0.25">
      <c r="A1347" s="134">
        <v>43993</v>
      </c>
      <c r="B1347" s="110">
        <v>10.72</v>
      </c>
      <c r="C1347" s="110">
        <v>10.36</v>
      </c>
      <c r="D1347" s="110">
        <v>10.3</v>
      </c>
      <c r="E1347" s="110">
        <v>10.66</v>
      </c>
      <c r="F1347" s="110">
        <v>10.36</v>
      </c>
      <c r="G1347">
        <v>145185</v>
      </c>
      <c r="H1347" s="110"/>
      <c r="I1347" s="110"/>
      <c r="L1347" s="134">
        <v>43993</v>
      </c>
      <c r="M1347" s="110">
        <v>10.35</v>
      </c>
      <c r="N1347" s="110">
        <v>10.75</v>
      </c>
      <c r="O1347" s="110">
        <v>10.3</v>
      </c>
      <c r="P1347" s="110">
        <v>10.7</v>
      </c>
      <c r="Q1347" s="110">
        <v>10.35</v>
      </c>
      <c r="R1347">
        <v>1984085</v>
      </c>
    </row>
    <row r="1348" spans="1:18" x14ac:dyDescent="0.25">
      <c r="A1348" s="134">
        <v>43994</v>
      </c>
      <c r="B1348" s="110">
        <v>10.64</v>
      </c>
      <c r="C1348" s="110">
        <v>10.51</v>
      </c>
      <c r="D1348" s="110">
        <v>9.89</v>
      </c>
      <c r="E1348" s="110">
        <v>10.36</v>
      </c>
      <c r="F1348" s="110">
        <v>10.51</v>
      </c>
      <c r="G1348">
        <v>243368</v>
      </c>
      <c r="H1348" s="110"/>
      <c r="I1348" s="110"/>
      <c r="L1348" s="134">
        <v>43994</v>
      </c>
      <c r="M1348" s="110">
        <v>10.5</v>
      </c>
      <c r="N1348" s="110">
        <v>10.65</v>
      </c>
      <c r="O1348" s="110">
        <v>9.75</v>
      </c>
      <c r="P1348" s="110">
        <v>10</v>
      </c>
      <c r="Q1348" s="110">
        <v>10.5</v>
      </c>
      <c r="R1348">
        <v>1679527</v>
      </c>
    </row>
    <row r="1349" spans="1:18" x14ac:dyDescent="0.25">
      <c r="A1349" s="134">
        <v>43997</v>
      </c>
      <c r="B1349" s="110">
        <v>11.41</v>
      </c>
      <c r="C1349" s="110">
        <v>11.28</v>
      </c>
      <c r="D1349" s="110">
        <v>10.5</v>
      </c>
      <c r="E1349" s="110">
        <v>10.95</v>
      </c>
      <c r="F1349" s="110">
        <v>11.28</v>
      </c>
      <c r="G1349">
        <v>608894</v>
      </c>
      <c r="H1349" s="110"/>
      <c r="I1349" s="110"/>
      <c r="L1349" s="134">
        <v>43997</v>
      </c>
      <c r="M1349" s="110">
        <v>11.25</v>
      </c>
      <c r="N1349" s="110">
        <v>11.45</v>
      </c>
      <c r="O1349" s="110">
        <v>10.4</v>
      </c>
      <c r="P1349" s="110">
        <v>10.45</v>
      </c>
      <c r="Q1349" s="110">
        <v>11.25</v>
      </c>
      <c r="R1349">
        <v>7001254</v>
      </c>
    </row>
    <row r="1350" spans="1:18" x14ac:dyDescent="0.25">
      <c r="A1350" s="134">
        <v>43998</v>
      </c>
      <c r="B1350" s="110">
        <v>11.9</v>
      </c>
      <c r="C1350" s="110">
        <v>11.31</v>
      </c>
      <c r="D1350" s="110">
        <v>10.5</v>
      </c>
      <c r="E1350" s="110">
        <v>11.54</v>
      </c>
      <c r="F1350" s="110">
        <v>11.31</v>
      </c>
      <c r="G1350">
        <v>1135893</v>
      </c>
      <c r="H1350" s="110"/>
      <c r="I1350" s="110"/>
      <c r="L1350" s="134">
        <v>43998</v>
      </c>
      <c r="M1350" s="110">
        <v>11.35</v>
      </c>
      <c r="N1350" s="110">
        <v>11.95</v>
      </c>
      <c r="O1350" s="110">
        <v>10.5</v>
      </c>
      <c r="P1350" s="110">
        <v>11.6</v>
      </c>
      <c r="Q1350" s="110">
        <v>11.35</v>
      </c>
      <c r="R1350">
        <v>7834210</v>
      </c>
    </row>
    <row r="1351" spans="1:18" x14ac:dyDescent="0.25">
      <c r="A1351" s="134">
        <v>43999</v>
      </c>
      <c r="B1351" s="110">
        <v>11.9</v>
      </c>
      <c r="C1351" s="110">
        <v>10.8</v>
      </c>
      <c r="D1351" s="110">
        <v>10.49</v>
      </c>
      <c r="E1351" s="110">
        <v>11.8</v>
      </c>
      <c r="F1351" s="110">
        <v>10.8</v>
      </c>
      <c r="G1351">
        <v>461809</v>
      </c>
      <c r="H1351" s="110"/>
      <c r="I1351" s="110"/>
      <c r="L1351" s="134">
        <v>43999</v>
      </c>
      <c r="M1351" s="110">
        <v>10.8</v>
      </c>
      <c r="N1351" s="110">
        <v>11.75</v>
      </c>
      <c r="O1351" s="110">
        <v>10</v>
      </c>
      <c r="P1351" s="110">
        <v>11.6</v>
      </c>
      <c r="Q1351" s="110">
        <v>10.8</v>
      </c>
      <c r="R1351">
        <v>5453008</v>
      </c>
    </row>
    <row r="1352" spans="1:18" x14ac:dyDescent="0.25">
      <c r="A1352" s="134">
        <v>44000</v>
      </c>
      <c r="B1352" s="110">
        <v>11.1</v>
      </c>
      <c r="C1352" s="110">
        <v>10.79</v>
      </c>
      <c r="D1352" s="110">
        <v>10.45</v>
      </c>
      <c r="E1352" s="110">
        <v>10.8</v>
      </c>
      <c r="F1352" s="110">
        <v>10.79</v>
      </c>
      <c r="G1352">
        <v>504600</v>
      </c>
      <c r="H1352" s="110"/>
      <c r="I1352" s="110"/>
      <c r="L1352" s="134">
        <v>44000</v>
      </c>
      <c r="M1352" s="110">
        <v>10.8</v>
      </c>
      <c r="N1352" s="110">
        <v>11</v>
      </c>
      <c r="O1352" s="110">
        <v>10.7</v>
      </c>
      <c r="P1352" s="110">
        <v>10.85</v>
      </c>
      <c r="Q1352" s="110">
        <v>10.8</v>
      </c>
      <c r="R1352">
        <v>2060221</v>
      </c>
    </row>
    <row r="1353" spans="1:18" x14ac:dyDescent="0.25">
      <c r="A1353" s="134">
        <v>44001</v>
      </c>
      <c r="B1353" s="110">
        <v>11</v>
      </c>
      <c r="C1353" s="110">
        <v>10.65</v>
      </c>
      <c r="D1353" s="110">
        <v>10.46</v>
      </c>
      <c r="E1353" s="110">
        <v>11</v>
      </c>
      <c r="F1353" s="110">
        <v>10.65</v>
      </c>
      <c r="G1353">
        <v>366224</v>
      </c>
      <c r="H1353" s="110"/>
      <c r="I1353" s="110"/>
      <c r="L1353" s="134">
        <v>44001</v>
      </c>
      <c r="M1353" s="110">
        <v>10.65</v>
      </c>
      <c r="N1353" s="110">
        <v>10.85</v>
      </c>
      <c r="O1353" s="110">
        <v>10.55</v>
      </c>
      <c r="P1353" s="110">
        <v>10.8</v>
      </c>
      <c r="Q1353" s="110">
        <v>10.65</v>
      </c>
      <c r="R1353">
        <v>2858333</v>
      </c>
    </row>
    <row r="1354" spans="1:18" x14ac:dyDescent="0.25">
      <c r="A1354" s="134">
        <v>44004</v>
      </c>
      <c r="B1354" s="110">
        <v>11.55</v>
      </c>
      <c r="C1354" s="110">
        <v>11.43</v>
      </c>
      <c r="D1354" s="110">
        <v>10.5</v>
      </c>
      <c r="E1354" s="110">
        <v>10.65</v>
      </c>
      <c r="F1354" s="110">
        <v>11.43</v>
      </c>
      <c r="G1354">
        <v>2005344</v>
      </c>
      <c r="H1354" s="110"/>
      <c r="I1354" s="110"/>
      <c r="L1354" s="134">
        <v>44004</v>
      </c>
      <c r="M1354" s="110">
        <v>11.45</v>
      </c>
      <c r="N1354" s="110">
        <v>11.55</v>
      </c>
      <c r="O1354" s="110">
        <v>10.55</v>
      </c>
      <c r="P1354" s="110">
        <v>10.7</v>
      </c>
      <c r="Q1354" s="110">
        <v>11.45</v>
      </c>
      <c r="R1354">
        <v>11339134</v>
      </c>
    </row>
    <row r="1355" spans="1:18" x14ac:dyDescent="0.25">
      <c r="A1355" s="134">
        <v>44005</v>
      </c>
      <c r="B1355" s="110">
        <v>11.86</v>
      </c>
      <c r="C1355" s="110">
        <v>11.4</v>
      </c>
      <c r="D1355" s="110">
        <v>11.15</v>
      </c>
      <c r="E1355" s="110">
        <v>11.75</v>
      </c>
      <c r="F1355" s="110">
        <v>11.4</v>
      </c>
      <c r="G1355">
        <v>774859</v>
      </c>
      <c r="H1355" s="110"/>
      <c r="I1355" s="110"/>
      <c r="L1355" s="134">
        <v>44005</v>
      </c>
      <c r="M1355" s="110">
        <v>11.4</v>
      </c>
      <c r="N1355" s="110">
        <v>11.85</v>
      </c>
      <c r="O1355" s="110">
        <v>11.1</v>
      </c>
      <c r="P1355" s="110">
        <v>11.65</v>
      </c>
      <c r="Q1355" s="110">
        <v>11.4</v>
      </c>
      <c r="R1355">
        <v>6265470</v>
      </c>
    </row>
    <row r="1356" spans="1:18" x14ac:dyDescent="0.25">
      <c r="A1356" s="134">
        <v>44006</v>
      </c>
      <c r="B1356" s="110">
        <v>11.7</v>
      </c>
      <c r="C1356" s="110">
        <v>11.02</v>
      </c>
      <c r="D1356" s="110">
        <v>10.93</v>
      </c>
      <c r="E1356" s="110">
        <v>11.65</v>
      </c>
      <c r="F1356" s="110">
        <v>11.02</v>
      </c>
      <c r="G1356">
        <v>682459</v>
      </c>
      <c r="H1356" s="110"/>
      <c r="I1356" s="110"/>
      <c r="L1356" s="134">
        <v>44006</v>
      </c>
      <c r="M1356" s="110">
        <v>11</v>
      </c>
      <c r="N1356" s="110">
        <v>11.8</v>
      </c>
      <c r="O1356" s="110">
        <v>10.95</v>
      </c>
      <c r="P1356" s="110">
        <v>11.6</v>
      </c>
      <c r="Q1356" s="110">
        <v>11</v>
      </c>
      <c r="R1356">
        <v>4031271</v>
      </c>
    </row>
    <row r="1357" spans="1:18" x14ac:dyDescent="0.25">
      <c r="A1357" s="134">
        <v>44007</v>
      </c>
      <c r="B1357" s="110">
        <v>11.4</v>
      </c>
      <c r="C1357" s="110">
        <v>11.04</v>
      </c>
      <c r="D1357" s="110">
        <v>10.7</v>
      </c>
      <c r="E1357" s="110">
        <v>10.7</v>
      </c>
      <c r="F1357" s="110">
        <v>11.04</v>
      </c>
      <c r="G1357">
        <v>459308</v>
      </c>
      <c r="H1357" s="110"/>
      <c r="I1357" s="110"/>
      <c r="L1357" s="134">
        <v>44007</v>
      </c>
      <c r="M1357" s="110">
        <v>11</v>
      </c>
      <c r="N1357" s="110">
        <v>11.45</v>
      </c>
      <c r="O1357" s="110">
        <v>10.75</v>
      </c>
      <c r="P1357" s="110">
        <v>10.85</v>
      </c>
      <c r="Q1357" s="110">
        <v>11</v>
      </c>
      <c r="R1357">
        <v>3425628</v>
      </c>
    </row>
    <row r="1358" spans="1:18" x14ac:dyDescent="0.25">
      <c r="A1358" s="134">
        <v>44008</v>
      </c>
      <c r="B1358" s="110">
        <v>11.64</v>
      </c>
      <c r="C1358" s="110">
        <v>11.46</v>
      </c>
      <c r="D1358" s="110">
        <v>11</v>
      </c>
      <c r="E1358" s="110">
        <v>11.3</v>
      </c>
      <c r="F1358" s="110">
        <v>11.46</v>
      </c>
      <c r="G1358">
        <v>1404654</v>
      </c>
      <c r="H1358" s="110"/>
      <c r="I1358" s="110"/>
      <c r="L1358" s="134">
        <v>44008</v>
      </c>
      <c r="M1358" s="110">
        <v>11.5</v>
      </c>
      <c r="N1358" s="110">
        <v>11.65</v>
      </c>
      <c r="O1358" s="110">
        <v>11.05</v>
      </c>
      <c r="P1358" s="110">
        <v>11.25</v>
      </c>
      <c r="Q1358" s="110">
        <v>11.5</v>
      </c>
      <c r="R1358">
        <v>9115968</v>
      </c>
    </row>
    <row r="1359" spans="1:18" x14ac:dyDescent="0.25">
      <c r="A1359" s="134">
        <v>44011</v>
      </c>
      <c r="B1359" s="110">
        <v>11.56</v>
      </c>
      <c r="C1359" s="110">
        <v>11.22</v>
      </c>
      <c r="D1359" s="110">
        <v>11.1</v>
      </c>
      <c r="E1359" s="110">
        <v>11.56</v>
      </c>
      <c r="F1359" s="110">
        <v>11.22</v>
      </c>
      <c r="G1359">
        <v>364540</v>
      </c>
      <c r="H1359" s="110"/>
      <c r="I1359" s="110"/>
      <c r="L1359" s="134">
        <v>44011</v>
      </c>
      <c r="M1359" s="110">
        <v>11.2</v>
      </c>
      <c r="N1359" s="110">
        <v>11.45</v>
      </c>
      <c r="O1359" s="110">
        <v>11.1</v>
      </c>
      <c r="P1359" s="110">
        <v>11.45</v>
      </c>
      <c r="Q1359" s="110">
        <v>11.2</v>
      </c>
      <c r="R1359">
        <v>2992024</v>
      </c>
    </row>
    <row r="1360" spans="1:18" x14ac:dyDescent="0.25">
      <c r="A1360" s="134">
        <v>44012</v>
      </c>
      <c r="B1360" s="110">
        <v>11.3</v>
      </c>
      <c r="C1360" s="110">
        <v>11.02</v>
      </c>
      <c r="D1360" s="110">
        <v>10.8</v>
      </c>
      <c r="E1360" s="110">
        <v>10.8</v>
      </c>
      <c r="F1360" s="110">
        <v>11.02</v>
      </c>
      <c r="G1360">
        <v>381508</v>
      </c>
      <c r="H1360" s="110"/>
      <c r="I1360" s="110"/>
      <c r="L1360" s="134">
        <v>44012</v>
      </c>
      <c r="M1360" s="110">
        <v>11</v>
      </c>
      <c r="N1360" s="110">
        <v>11.3</v>
      </c>
      <c r="O1360" s="110">
        <v>10.95</v>
      </c>
      <c r="P1360" s="110">
        <v>11.3</v>
      </c>
      <c r="Q1360" s="110">
        <v>11</v>
      </c>
      <c r="R1360">
        <v>1875387</v>
      </c>
    </row>
    <row r="1361" spans="1:18" x14ac:dyDescent="0.25">
      <c r="A1361" s="134">
        <v>44013</v>
      </c>
      <c r="B1361" s="110">
        <v>11.19</v>
      </c>
      <c r="C1361" s="110">
        <v>11.1</v>
      </c>
      <c r="D1361" s="110">
        <v>10.8</v>
      </c>
      <c r="E1361" s="110">
        <v>10.8</v>
      </c>
      <c r="F1361" s="110">
        <v>11.1</v>
      </c>
      <c r="G1361">
        <v>401789</v>
      </c>
      <c r="H1361" s="110"/>
      <c r="I1361" s="110"/>
      <c r="L1361" s="134">
        <v>44013</v>
      </c>
      <c r="M1361" s="110">
        <v>11.1</v>
      </c>
      <c r="N1361" s="110">
        <v>11.2</v>
      </c>
      <c r="O1361" s="110">
        <v>10.9</v>
      </c>
      <c r="P1361" s="110">
        <v>10.95</v>
      </c>
      <c r="Q1361" s="110">
        <v>11.1</v>
      </c>
      <c r="R1361">
        <v>2396095</v>
      </c>
    </row>
    <row r="1362" spans="1:18" x14ac:dyDescent="0.25">
      <c r="A1362" s="134">
        <v>44014</v>
      </c>
      <c r="B1362" s="110">
        <v>11.3</v>
      </c>
      <c r="C1362" s="110">
        <v>11.11</v>
      </c>
      <c r="D1362" s="110">
        <v>11.05</v>
      </c>
      <c r="E1362" s="110">
        <v>11.25</v>
      </c>
      <c r="F1362" s="110">
        <v>11.11</v>
      </c>
      <c r="G1362">
        <v>603868</v>
      </c>
      <c r="H1362" s="110"/>
      <c r="I1362" s="110"/>
      <c r="L1362" s="134">
        <v>44014</v>
      </c>
      <c r="M1362" s="110">
        <v>11.1</v>
      </c>
      <c r="N1362" s="110">
        <v>11.4</v>
      </c>
      <c r="O1362" s="110">
        <v>11.05</v>
      </c>
      <c r="P1362" s="110">
        <v>11.25</v>
      </c>
      <c r="Q1362" s="110">
        <v>11.1</v>
      </c>
      <c r="R1362">
        <v>2810660</v>
      </c>
    </row>
    <row r="1363" spans="1:18" x14ac:dyDescent="0.25">
      <c r="A1363" s="134">
        <v>44015</v>
      </c>
      <c r="B1363" s="110">
        <v>11.25</v>
      </c>
      <c r="C1363" s="110">
        <v>10.93</v>
      </c>
      <c r="D1363" s="110">
        <v>10.9</v>
      </c>
      <c r="E1363" s="110">
        <v>11.12</v>
      </c>
      <c r="F1363" s="110">
        <v>10.93</v>
      </c>
      <c r="G1363">
        <v>306870</v>
      </c>
      <c r="H1363" s="110"/>
      <c r="I1363" s="110"/>
      <c r="L1363" s="134">
        <v>44015</v>
      </c>
      <c r="M1363" s="110">
        <v>10.9</v>
      </c>
      <c r="N1363" s="110">
        <v>11.25</v>
      </c>
      <c r="O1363" s="110">
        <v>10.9</v>
      </c>
      <c r="P1363" s="110">
        <v>11.25</v>
      </c>
      <c r="Q1363" s="110">
        <v>10.9</v>
      </c>
      <c r="R1363">
        <v>1989712</v>
      </c>
    </row>
    <row r="1364" spans="1:18" x14ac:dyDescent="0.25">
      <c r="A1364" s="134">
        <v>44018</v>
      </c>
      <c r="B1364" s="110">
        <v>11</v>
      </c>
      <c r="C1364" s="110">
        <v>10.84</v>
      </c>
      <c r="D1364" s="110">
        <v>10.8</v>
      </c>
      <c r="E1364" s="110">
        <v>10.93</v>
      </c>
      <c r="F1364" s="110">
        <v>10.84</v>
      </c>
      <c r="G1364">
        <v>417099</v>
      </c>
      <c r="H1364" s="110"/>
      <c r="I1364" s="110"/>
      <c r="L1364" s="134">
        <v>44018</v>
      </c>
      <c r="M1364" s="110">
        <v>10.85</v>
      </c>
      <c r="N1364" s="110">
        <v>11.05</v>
      </c>
      <c r="O1364" s="110">
        <v>10.8</v>
      </c>
      <c r="P1364" s="110">
        <v>11</v>
      </c>
      <c r="Q1364" s="110">
        <v>10.85</v>
      </c>
      <c r="R1364">
        <v>1793725</v>
      </c>
    </row>
    <row r="1365" spans="1:18" x14ac:dyDescent="0.25">
      <c r="A1365" s="134">
        <v>44019</v>
      </c>
      <c r="B1365" s="110">
        <v>11.21</v>
      </c>
      <c r="C1365" s="110">
        <v>10.91</v>
      </c>
      <c r="D1365" s="110">
        <v>10.63</v>
      </c>
      <c r="E1365" s="110">
        <v>10.95</v>
      </c>
      <c r="F1365" s="110">
        <v>10.91</v>
      </c>
      <c r="G1365">
        <v>361911</v>
      </c>
      <c r="H1365" s="110"/>
      <c r="I1365" s="110"/>
      <c r="L1365" s="134">
        <v>44019</v>
      </c>
      <c r="M1365" s="110">
        <v>10.9</v>
      </c>
      <c r="N1365" s="110">
        <v>11.25</v>
      </c>
      <c r="O1365" s="110">
        <v>10.65</v>
      </c>
      <c r="P1365" s="110">
        <v>10.9</v>
      </c>
      <c r="Q1365" s="110">
        <v>10.9</v>
      </c>
      <c r="R1365">
        <v>3760433</v>
      </c>
    </row>
    <row r="1366" spans="1:18" x14ac:dyDescent="0.25">
      <c r="A1366" s="134">
        <v>44020</v>
      </c>
      <c r="B1366" s="110">
        <v>12.22</v>
      </c>
      <c r="C1366" s="110">
        <v>11.54</v>
      </c>
      <c r="D1366" s="110">
        <v>10.95</v>
      </c>
      <c r="E1366" s="110">
        <v>10.95</v>
      </c>
      <c r="F1366" s="110">
        <v>11.54</v>
      </c>
      <c r="G1366">
        <v>3353969</v>
      </c>
      <c r="H1366" s="110"/>
      <c r="I1366" s="110"/>
      <c r="L1366" s="134">
        <v>44020</v>
      </c>
      <c r="M1366" s="110">
        <v>11.55</v>
      </c>
      <c r="N1366" s="110">
        <v>12.25</v>
      </c>
      <c r="O1366" s="110">
        <v>11</v>
      </c>
      <c r="P1366" s="110">
        <v>11.05</v>
      </c>
      <c r="Q1366" s="110">
        <v>11.55</v>
      </c>
      <c r="R1366">
        <v>19922249</v>
      </c>
    </row>
    <row r="1367" spans="1:18" x14ac:dyDescent="0.25">
      <c r="A1367" s="134">
        <v>44021</v>
      </c>
      <c r="B1367" s="110">
        <v>12.45</v>
      </c>
      <c r="C1367" s="110">
        <v>11.67</v>
      </c>
      <c r="D1367" s="110">
        <v>11.6</v>
      </c>
      <c r="E1367" s="110">
        <v>12.45</v>
      </c>
      <c r="F1367" s="110">
        <v>11.67</v>
      </c>
      <c r="G1367">
        <v>430940</v>
      </c>
      <c r="H1367" s="110"/>
      <c r="I1367" s="110"/>
      <c r="L1367" s="134">
        <v>44021</v>
      </c>
      <c r="M1367" s="110">
        <v>11.7</v>
      </c>
      <c r="N1367" s="110">
        <v>12</v>
      </c>
      <c r="O1367" s="110">
        <v>11.6</v>
      </c>
      <c r="P1367" s="110">
        <v>11.8</v>
      </c>
      <c r="Q1367" s="110">
        <v>11.7</v>
      </c>
      <c r="R1367">
        <v>3694393</v>
      </c>
    </row>
    <row r="1368" spans="1:18" x14ac:dyDescent="0.25">
      <c r="A1368" s="134">
        <v>44022</v>
      </c>
      <c r="B1368" s="110">
        <v>11.8</v>
      </c>
      <c r="C1368" s="110">
        <v>11.57</v>
      </c>
      <c r="D1368" s="110">
        <v>11.3</v>
      </c>
      <c r="E1368" s="110">
        <v>11.5</v>
      </c>
      <c r="F1368" s="110">
        <v>11.57</v>
      </c>
      <c r="G1368">
        <v>282697</v>
      </c>
      <c r="H1368" s="110"/>
      <c r="I1368" s="110"/>
      <c r="L1368" s="134">
        <v>44022</v>
      </c>
      <c r="M1368" s="110">
        <v>11.55</v>
      </c>
      <c r="N1368" s="110">
        <v>11.8</v>
      </c>
      <c r="O1368" s="110">
        <v>11.3</v>
      </c>
      <c r="P1368" s="110">
        <v>11.6</v>
      </c>
      <c r="Q1368" s="110">
        <v>11.55</v>
      </c>
      <c r="R1368">
        <v>3504196</v>
      </c>
    </row>
    <row r="1369" spans="1:18" x14ac:dyDescent="0.25">
      <c r="A1369" s="134">
        <v>44025</v>
      </c>
      <c r="B1369" s="110">
        <v>11.6</v>
      </c>
      <c r="C1369" s="110">
        <v>11.25</v>
      </c>
      <c r="D1369" s="110">
        <v>11.2</v>
      </c>
      <c r="E1369" s="110">
        <v>11.46</v>
      </c>
      <c r="F1369" s="110">
        <v>11.25</v>
      </c>
      <c r="G1369">
        <v>416532</v>
      </c>
      <c r="H1369" s="110"/>
      <c r="I1369" s="110"/>
      <c r="L1369" s="134">
        <v>44025</v>
      </c>
      <c r="M1369" s="110">
        <v>11.25</v>
      </c>
      <c r="N1369" s="110">
        <v>11.7</v>
      </c>
      <c r="O1369" s="110">
        <v>11.2</v>
      </c>
      <c r="P1369" s="110">
        <v>11.6</v>
      </c>
      <c r="Q1369" s="110">
        <v>11.25</v>
      </c>
      <c r="R1369">
        <v>1682033</v>
      </c>
    </row>
    <row r="1370" spans="1:18" x14ac:dyDescent="0.25">
      <c r="A1370" s="134">
        <v>44026</v>
      </c>
      <c r="B1370" s="110">
        <v>11.12</v>
      </c>
      <c r="C1370" s="110">
        <v>10.95</v>
      </c>
      <c r="D1370" s="110">
        <v>10.84</v>
      </c>
      <c r="E1370" s="110">
        <v>11.1</v>
      </c>
      <c r="F1370" s="110">
        <v>10.95</v>
      </c>
      <c r="G1370">
        <v>201214</v>
      </c>
      <c r="H1370" s="110"/>
      <c r="I1370" s="110"/>
      <c r="L1370" s="134">
        <v>44026</v>
      </c>
      <c r="M1370" s="110">
        <v>10.95</v>
      </c>
      <c r="N1370" s="110">
        <v>11.25</v>
      </c>
      <c r="O1370" s="110">
        <v>10.85</v>
      </c>
      <c r="P1370" s="110">
        <v>11.25</v>
      </c>
      <c r="Q1370" s="110">
        <v>10.95</v>
      </c>
      <c r="R1370">
        <v>1658754</v>
      </c>
    </row>
    <row r="1371" spans="1:18" x14ac:dyDescent="0.25">
      <c r="A1371" s="134">
        <v>44027</v>
      </c>
      <c r="B1371" s="110">
        <v>11.13</v>
      </c>
      <c r="C1371" s="110">
        <v>10.68</v>
      </c>
      <c r="D1371" s="110">
        <v>10.61</v>
      </c>
      <c r="E1371" s="110">
        <v>11</v>
      </c>
      <c r="F1371" s="110">
        <v>10.68</v>
      </c>
      <c r="G1371">
        <v>244543</v>
      </c>
      <c r="H1371" s="110"/>
      <c r="I1371" s="110"/>
      <c r="L1371" s="134">
        <v>44027</v>
      </c>
      <c r="M1371" s="110">
        <v>10.65</v>
      </c>
      <c r="N1371" s="110">
        <v>11.1</v>
      </c>
      <c r="O1371" s="110">
        <v>10.6</v>
      </c>
      <c r="P1371" s="110">
        <v>11.05</v>
      </c>
      <c r="Q1371" s="110">
        <v>10.65</v>
      </c>
      <c r="R1371">
        <v>2658707</v>
      </c>
    </row>
    <row r="1372" spans="1:18" x14ac:dyDescent="0.25">
      <c r="A1372" s="134">
        <v>44028</v>
      </c>
      <c r="B1372" s="110">
        <v>10.75</v>
      </c>
      <c r="C1372" s="110">
        <v>10.52</v>
      </c>
      <c r="D1372" s="110">
        <v>10.220000000000001</v>
      </c>
      <c r="E1372" s="110">
        <v>10.65</v>
      </c>
      <c r="F1372" s="110">
        <v>10.52</v>
      </c>
      <c r="G1372">
        <v>422227</v>
      </c>
      <c r="H1372" s="110"/>
      <c r="I1372" s="110"/>
      <c r="L1372" s="134">
        <v>44028</v>
      </c>
      <c r="M1372" s="110">
        <v>10.55</v>
      </c>
      <c r="N1372" s="110">
        <v>10.8</v>
      </c>
      <c r="O1372" s="110">
        <v>10.25</v>
      </c>
      <c r="P1372" s="110">
        <v>10.8</v>
      </c>
      <c r="Q1372" s="110">
        <v>10.55</v>
      </c>
      <c r="R1372">
        <v>1637404</v>
      </c>
    </row>
    <row r="1373" spans="1:18" x14ac:dyDescent="0.25">
      <c r="A1373" s="134">
        <v>44029</v>
      </c>
      <c r="B1373" s="110">
        <v>10.8</v>
      </c>
      <c r="C1373" s="110">
        <v>10.62</v>
      </c>
      <c r="D1373" s="110">
        <v>10</v>
      </c>
      <c r="E1373" s="110">
        <v>10.8</v>
      </c>
      <c r="F1373" s="110">
        <v>10.62</v>
      </c>
      <c r="G1373">
        <v>212670</v>
      </c>
      <c r="H1373" s="110"/>
      <c r="I1373" s="110"/>
      <c r="L1373" s="134">
        <v>44029</v>
      </c>
      <c r="M1373" s="110">
        <v>10.65</v>
      </c>
      <c r="N1373" s="110">
        <v>10.7</v>
      </c>
      <c r="O1373" s="110">
        <v>10.45</v>
      </c>
      <c r="P1373" s="110">
        <v>10.55</v>
      </c>
      <c r="Q1373" s="110">
        <v>10.65</v>
      </c>
      <c r="R1373">
        <v>2066539</v>
      </c>
    </row>
    <row r="1374" spans="1:18" x14ac:dyDescent="0.25">
      <c r="A1374" s="134">
        <v>44032</v>
      </c>
      <c r="B1374" s="110">
        <v>11.06</v>
      </c>
      <c r="C1374" s="110">
        <v>10.74</v>
      </c>
      <c r="D1374" s="110">
        <v>10.7</v>
      </c>
      <c r="E1374" s="110">
        <v>11.06</v>
      </c>
      <c r="F1374" s="110">
        <v>10.74</v>
      </c>
      <c r="G1374">
        <v>138709</v>
      </c>
      <c r="H1374" s="110"/>
      <c r="I1374" s="110"/>
      <c r="L1374" s="134">
        <v>44032</v>
      </c>
      <c r="M1374" s="110">
        <v>10.7</v>
      </c>
      <c r="N1374" s="110">
        <v>10.95</v>
      </c>
      <c r="O1374" s="110">
        <v>10.65</v>
      </c>
      <c r="P1374" s="110">
        <v>10.65</v>
      </c>
      <c r="Q1374" s="110">
        <v>10.7</v>
      </c>
      <c r="R1374">
        <v>1685986</v>
      </c>
    </row>
    <row r="1375" spans="1:18" x14ac:dyDescent="0.25">
      <c r="A1375" s="134">
        <v>44033</v>
      </c>
      <c r="B1375" s="110">
        <v>12.88</v>
      </c>
      <c r="C1375" s="110">
        <v>11.95</v>
      </c>
      <c r="D1375" s="110">
        <v>11.6</v>
      </c>
      <c r="E1375" s="110">
        <v>12.01</v>
      </c>
      <c r="F1375" s="110">
        <v>11.95</v>
      </c>
      <c r="G1375">
        <v>4044261</v>
      </c>
      <c r="H1375" s="110"/>
      <c r="I1375" s="110"/>
      <c r="L1375" s="134">
        <v>44033</v>
      </c>
      <c r="M1375" s="110">
        <v>11.95</v>
      </c>
      <c r="N1375" s="110">
        <v>12.8</v>
      </c>
      <c r="O1375" s="110">
        <v>11.65</v>
      </c>
      <c r="P1375" s="110">
        <v>12.8</v>
      </c>
      <c r="Q1375" s="110">
        <v>11.95</v>
      </c>
      <c r="R1375">
        <v>22700721</v>
      </c>
    </row>
    <row r="1376" spans="1:18" x14ac:dyDescent="0.25">
      <c r="A1376" s="134">
        <v>44034</v>
      </c>
      <c r="B1376" s="110">
        <v>12.2</v>
      </c>
      <c r="C1376" s="110">
        <v>11.62</v>
      </c>
      <c r="D1376" s="110">
        <v>11.55</v>
      </c>
      <c r="E1376" s="110">
        <v>12.1</v>
      </c>
      <c r="F1376" s="110">
        <v>11.62</v>
      </c>
      <c r="G1376">
        <v>318633</v>
      </c>
      <c r="H1376" s="110"/>
      <c r="I1376" s="110"/>
      <c r="L1376" s="134">
        <v>44034</v>
      </c>
      <c r="M1376" s="110">
        <v>11.6</v>
      </c>
      <c r="N1376" s="110">
        <v>12.25</v>
      </c>
      <c r="O1376" s="110">
        <v>11.5</v>
      </c>
      <c r="P1376" s="110">
        <v>12.25</v>
      </c>
      <c r="Q1376" s="110">
        <v>11.6</v>
      </c>
      <c r="R1376">
        <v>4286853</v>
      </c>
    </row>
    <row r="1377" spans="1:18" x14ac:dyDescent="0.25">
      <c r="A1377" s="134">
        <v>44035</v>
      </c>
      <c r="B1377" s="110">
        <v>11.95</v>
      </c>
      <c r="C1377" s="110">
        <v>11.87</v>
      </c>
      <c r="D1377" s="110">
        <v>11.63</v>
      </c>
      <c r="E1377" s="110">
        <v>11.7</v>
      </c>
      <c r="F1377" s="110">
        <v>11.87</v>
      </c>
      <c r="G1377">
        <v>692999</v>
      </c>
      <c r="H1377" s="110"/>
      <c r="I1377" s="110"/>
      <c r="L1377" s="134">
        <v>44035</v>
      </c>
      <c r="M1377" s="110">
        <v>11.85</v>
      </c>
      <c r="N1377" s="110">
        <v>11.95</v>
      </c>
      <c r="O1377" s="110">
        <v>11.6</v>
      </c>
      <c r="P1377" s="110">
        <v>11.8</v>
      </c>
      <c r="Q1377" s="110">
        <v>11.85</v>
      </c>
      <c r="R1377">
        <v>4864976</v>
      </c>
    </row>
    <row r="1378" spans="1:18" x14ac:dyDescent="0.25">
      <c r="A1378" s="134">
        <v>44036</v>
      </c>
      <c r="B1378" s="110">
        <v>12.8</v>
      </c>
      <c r="C1378" s="110">
        <v>12.37</v>
      </c>
      <c r="D1378" s="110">
        <v>12.22</v>
      </c>
      <c r="E1378" s="110">
        <v>12.75</v>
      </c>
      <c r="F1378" s="110">
        <v>12.37</v>
      </c>
      <c r="G1378">
        <v>3154507</v>
      </c>
      <c r="H1378" s="110"/>
      <c r="I1378" s="110"/>
      <c r="L1378" s="134">
        <v>44036</v>
      </c>
      <c r="M1378" s="110">
        <v>12.35</v>
      </c>
      <c r="N1378" s="110">
        <v>12.8</v>
      </c>
      <c r="O1378" s="110">
        <v>12.2</v>
      </c>
      <c r="P1378" s="110">
        <v>12.8</v>
      </c>
      <c r="Q1378" s="110">
        <v>12.35</v>
      </c>
      <c r="R1378">
        <v>18427067</v>
      </c>
    </row>
    <row r="1379" spans="1:18" x14ac:dyDescent="0.25">
      <c r="A1379" s="134">
        <v>44039</v>
      </c>
      <c r="B1379" s="110">
        <v>12.4</v>
      </c>
      <c r="C1379" s="110">
        <v>11.72</v>
      </c>
      <c r="D1379" s="110">
        <v>11.6</v>
      </c>
      <c r="E1379" s="110">
        <v>12.37</v>
      </c>
      <c r="F1379" s="110">
        <v>11.72</v>
      </c>
      <c r="G1379">
        <v>771911</v>
      </c>
      <c r="H1379" s="110"/>
      <c r="I1379" s="110"/>
      <c r="L1379" s="134">
        <v>44039</v>
      </c>
      <c r="M1379" s="110">
        <v>11.7</v>
      </c>
      <c r="N1379" s="110">
        <v>12.35</v>
      </c>
      <c r="O1379" s="110">
        <v>11.6</v>
      </c>
      <c r="P1379" s="110">
        <v>12.35</v>
      </c>
      <c r="Q1379" s="110">
        <v>11.7</v>
      </c>
      <c r="R1379">
        <v>3406181</v>
      </c>
    </row>
    <row r="1380" spans="1:18" x14ac:dyDescent="0.25">
      <c r="A1380" s="134">
        <v>44040</v>
      </c>
      <c r="B1380" s="110">
        <v>11.85</v>
      </c>
      <c r="C1380" s="110">
        <v>11.53</v>
      </c>
      <c r="D1380" s="110">
        <v>10.11</v>
      </c>
      <c r="E1380" s="110">
        <v>11.85</v>
      </c>
      <c r="F1380" s="110">
        <v>11.53</v>
      </c>
      <c r="G1380">
        <v>603296</v>
      </c>
      <c r="H1380" s="110"/>
      <c r="I1380" s="110"/>
      <c r="L1380" s="134">
        <v>44040</v>
      </c>
      <c r="M1380" s="110">
        <v>11.5</v>
      </c>
      <c r="N1380" s="110">
        <v>11.8</v>
      </c>
      <c r="O1380" s="110">
        <v>11.3</v>
      </c>
      <c r="P1380" s="110">
        <v>11.8</v>
      </c>
      <c r="Q1380" s="110">
        <v>11.5</v>
      </c>
      <c r="R1380">
        <v>2370981</v>
      </c>
    </row>
    <row r="1381" spans="1:18" x14ac:dyDescent="0.25">
      <c r="A1381" s="134">
        <v>44041</v>
      </c>
      <c r="B1381" s="110">
        <v>12.73</v>
      </c>
      <c r="C1381" s="110">
        <v>12.41</v>
      </c>
      <c r="D1381" s="110">
        <v>11.1</v>
      </c>
      <c r="E1381" s="110">
        <v>11.65</v>
      </c>
      <c r="F1381" s="110">
        <v>12.41</v>
      </c>
      <c r="G1381">
        <v>2243623</v>
      </c>
      <c r="H1381" s="110"/>
      <c r="I1381" s="110"/>
      <c r="L1381" s="134">
        <v>44041</v>
      </c>
      <c r="M1381" s="110">
        <v>12.4</v>
      </c>
      <c r="N1381" s="110">
        <v>12.75</v>
      </c>
      <c r="O1381" s="110">
        <v>11.4</v>
      </c>
      <c r="P1381" s="110">
        <v>11.5</v>
      </c>
      <c r="Q1381" s="110">
        <v>12.4</v>
      </c>
      <c r="R1381">
        <v>16362805</v>
      </c>
    </row>
    <row r="1382" spans="1:18" x14ac:dyDescent="0.25">
      <c r="A1382" s="134">
        <v>44042</v>
      </c>
      <c r="B1382" s="110">
        <v>12.68</v>
      </c>
      <c r="C1382" s="110">
        <v>12.11</v>
      </c>
      <c r="D1382" s="110">
        <v>12.03</v>
      </c>
      <c r="E1382" s="110">
        <v>12.68</v>
      </c>
      <c r="F1382" s="110">
        <v>12.11</v>
      </c>
      <c r="G1382">
        <v>1321619</v>
      </c>
      <c r="H1382" s="110"/>
      <c r="I1382" s="110"/>
      <c r="L1382" s="134">
        <v>44042</v>
      </c>
      <c r="M1382" s="110">
        <v>12.1</v>
      </c>
      <c r="N1382" s="110">
        <v>12.7</v>
      </c>
      <c r="O1382" s="110">
        <v>12.05</v>
      </c>
      <c r="P1382" s="110">
        <v>12.55</v>
      </c>
      <c r="Q1382" s="110">
        <v>12.1</v>
      </c>
      <c r="R1382">
        <v>5131317</v>
      </c>
    </row>
    <row r="1383" spans="1:18" x14ac:dyDescent="0.25">
      <c r="A1383" s="134">
        <v>44043</v>
      </c>
      <c r="B1383" s="110">
        <v>12.68</v>
      </c>
      <c r="C1383" s="110">
        <v>12.14</v>
      </c>
      <c r="D1383" s="110">
        <v>11.64</v>
      </c>
      <c r="E1383" s="110">
        <v>12.3</v>
      </c>
      <c r="F1383" s="110">
        <v>12.14</v>
      </c>
      <c r="G1383">
        <v>1165414</v>
      </c>
      <c r="H1383" s="110"/>
      <c r="I1383" s="110"/>
      <c r="L1383" s="134">
        <v>44043</v>
      </c>
      <c r="M1383" s="110">
        <v>12.15</v>
      </c>
      <c r="N1383" s="110">
        <v>12.75</v>
      </c>
      <c r="O1383" s="110">
        <v>11.65</v>
      </c>
      <c r="P1383" s="110">
        <v>12.1</v>
      </c>
      <c r="Q1383" s="110">
        <v>12.15</v>
      </c>
      <c r="R1383">
        <v>5802550</v>
      </c>
    </row>
    <row r="1384" spans="1:18" x14ac:dyDescent="0.25">
      <c r="A1384" s="134">
        <v>44046</v>
      </c>
      <c r="B1384" s="110">
        <v>12.2</v>
      </c>
      <c r="C1384" s="110">
        <v>11.98</v>
      </c>
      <c r="D1384" s="110">
        <v>11.84</v>
      </c>
      <c r="E1384" s="110">
        <v>12.2</v>
      </c>
      <c r="F1384" s="110">
        <v>11.98</v>
      </c>
      <c r="G1384">
        <v>315857</v>
      </c>
      <c r="H1384" s="110"/>
      <c r="I1384" s="110"/>
      <c r="L1384" s="134">
        <v>44046</v>
      </c>
      <c r="M1384" s="110">
        <v>11.95</v>
      </c>
      <c r="N1384" s="110">
        <v>12.2</v>
      </c>
      <c r="O1384" s="110">
        <v>11.85</v>
      </c>
      <c r="P1384" s="110">
        <v>12.1</v>
      </c>
      <c r="Q1384" s="110">
        <v>11.95</v>
      </c>
      <c r="R1384">
        <v>2454432</v>
      </c>
    </row>
    <row r="1385" spans="1:18" x14ac:dyDescent="0.25">
      <c r="A1385" s="134">
        <v>44047</v>
      </c>
      <c r="B1385" s="110">
        <v>12.15</v>
      </c>
      <c r="C1385" s="110">
        <v>11.93</v>
      </c>
      <c r="D1385" s="110">
        <v>11.8</v>
      </c>
      <c r="E1385" s="110">
        <v>11.8</v>
      </c>
      <c r="F1385" s="110">
        <v>11.93</v>
      </c>
      <c r="G1385">
        <v>361419</v>
      </c>
      <c r="H1385" s="110"/>
      <c r="I1385" s="110"/>
      <c r="L1385" s="134">
        <v>44047</v>
      </c>
      <c r="M1385" s="110">
        <v>11.95</v>
      </c>
      <c r="N1385" s="110">
        <v>12.2</v>
      </c>
      <c r="O1385" s="110">
        <v>11.9</v>
      </c>
      <c r="P1385" s="110">
        <v>12</v>
      </c>
      <c r="Q1385" s="110">
        <v>11.95</v>
      </c>
      <c r="R1385">
        <v>1581408</v>
      </c>
    </row>
    <row r="1386" spans="1:18" x14ac:dyDescent="0.25">
      <c r="A1386" s="134">
        <v>44048</v>
      </c>
      <c r="B1386" s="110">
        <v>12.05</v>
      </c>
      <c r="C1386" s="110">
        <v>11.88</v>
      </c>
      <c r="D1386" s="110">
        <v>11.81</v>
      </c>
      <c r="E1386" s="110">
        <v>11.91</v>
      </c>
      <c r="F1386" s="110">
        <v>11.88</v>
      </c>
      <c r="G1386">
        <v>183658</v>
      </c>
      <c r="H1386" s="110"/>
      <c r="I1386" s="110"/>
      <c r="L1386" s="134">
        <v>44048</v>
      </c>
      <c r="M1386" s="110">
        <v>11.85</v>
      </c>
      <c r="N1386" s="110">
        <v>12.05</v>
      </c>
      <c r="O1386" s="110">
        <v>11.8</v>
      </c>
      <c r="P1386" s="110">
        <v>12.05</v>
      </c>
      <c r="Q1386" s="110">
        <v>11.85</v>
      </c>
      <c r="R1386">
        <v>1658737</v>
      </c>
    </row>
    <row r="1387" spans="1:18" x14ac:dyDescent="0.25">
      <c r="A1387" s="134">
        <v>44049</v>
      </c>
      <c r="B1387" s="110">
        <v>12.1</v>
      </c>
      <c r="C1387" s="110">
        <v>11.84</v>
      </c>
      <c r="D1387" s="110">
        <v>11.75</v>
      </c>
      <c r="E1387" s="110">
        <v>11.75</v>
      </c>
      <c r="F1387" s="110">
        <v>11.84</v>
      </c>
      <c r="G1387">
        <v>274009</v>
      </c>
      <c r="H1387" s="110"/>
      <c r="I1387" s="110"/>
      <c r="L1387" s="134">
        <v>44049</v>
      </c>
      <c r="M1387" s="110">
        <v>11.85</v>
      </c>
      <c r="N1387" s="110">
        <v>12.1</v>
      </c>
      <c r="O1387" s="110">
        <v>11.8</v>
      </c>
      <c r="P1387" s="110">
        <v>11.95</v>
      </c>
      <c r="Q1387" s="110">
        <v>11.85</v>
      </c>
      <c r="R1387">
        <v>1692663</v>
      </c>
    </row>
    <row r="1388" spans="1:18" x14ac:dyDescent="0.25">
      <c r="A1388" s="134">
        <v>44050</v>
      </c>
      <c r="B1388" s="110">
        <v>11.9</v>
      </c>
      <c r="C1388" s="110">
        <v>11.85</v>
      </c>
      <c r="D1388" s="110">
        <v>11.73</v>
      </c>
      <c r="E1388" s="110">
        <v>11.9</v>
      </c>
      <c r="F1388" s="110">
        <v>11.85</v>
      </c>
      <c r="G1388">
        <v>173729</v>
      </c>
      <c r="H1388" s="110"/>
      <c r="I1388" s="110"/>
      <c r="L1388" s="134">
        <v>44050</v>
      </c>
      <c r="M1388" s="110">
        <v>11.85</v>
      </c>
      <c r="N1388" s="110">
        <v>11.95</v>
      </c>
      <c r="O1388" s="110">
        <v>11.7</v>
      </c>
      <c r="P1388" s="110">
        <v>11.9</v>
      </c>
      <c r="Q1388" s="110">
        <v>11.85</v>
      </c>
      <c r="R1388">
        <v>1748964</v>
      </c>
    </row>
    <row r="1389" spans="1:18" x14ac:dyDescent="0.25">
      <c r="A1389" s="134">
        <v>44053</v>
      </c>
      <c r="B1389" s="110">
        <v>12.1</v>
      </c>
      <c r="C1389" s="110">
        <v>11.87</v>
      </c>
      <c r="D1389" s="110">
        <v>11.81</v>
      </c>
      <c r="E1389" s="110">
        <v>12.1</v>
      </c>
      <c r="F1389" s="110">
        <v>11.87</v>
      </c>
      <c r="G1389">
        <v>257852</v>
      </c>
      <c r="H1389" s="110"/>
      <c r="I1389" s="110"/>
      <c r="L1389" s="134">
        <v>44053</v>
      </c>
      <c r="M1389" s="110">
        <v>11.85</v>
      </c>
      <c r="N1389" s="110">
        <v>11.95</v>
      </c>
      <c r="O1389" s="110">
        <v>11.8</v>
      </c>
      <c r="P1389" s="110">
        <v>11.9</v>
      </c>
      <c r="Q1389" s="110">
        <v>11.85</v>
      </c>
      <c r="R1389">
        <v>1707063</v>
      </c>
    </row>
    <row r="1390" spans="1:18" x14ac:dyDescent="0.25">
      <c r="A1390" s="134">
        <v>44054</v>
      </c>
      <c r="B1390" s="110">
        <v>12</v>
      </c>
      <c r="C1390" s="110">
        <v>11.93</v>
      </c>
      <c r="D1390" s="110">
        <v>11.85</v>
      </c>
      <c r="E1390" s="110">
        <v>11.9</v>
      </c>
      <c r="F1390" s="110">
        <v>11.93</v>
      </c>
      <c r="G1390">
        <v>417636</v>
      </c>
      <c r="H1390" s="110"/>
      <c r="I1390" s="110"/>
      <c r="L1390" s="134">
        <v>44054</v>
      </c>
      <c r="M1390" s="110">
        <v>11.95</v>
      </c>
      <c r="N1390" s="110">
        <v>12</v>
      </c>
      <c r="O1390" s="110">
        <v>11.85</v>
      </c>
      <c r="P1390" s="110">
        <v>11.9</v>
      </c>
      <c r="Q1390" s="110">
        <v>11.95</v>
      </c>
      <c r="R1390">
        <v>1840617</v>
      </c>
    </row>
    <row r="1391" spans="1:18" x14ac:dyDescent="0.25">
      <c r="A1391" s="134">
        <v>44055</v>
      </c>
      <c r="B1391" s="110">
        <v>12.41</v>
      </c>
      <c r="C1391" s="110">
        <v>12.14</v>
      </c>
      <c r="D1391" s="110">
        <v>12.11</v>
      </c>
      <c r="E1391" s="110">
        <v>12.3</v>
      </c>
      <c r="F1391" s="110">
        <v>12.14</v>
      </c>
      <c r="G1391">
        <v>416639</v>
      </c>
      <c r="H1391" s="110"/>
      <c r="I1391" s="110"/>
      <c r="L1391" s="134">
        <v>44055</v>
      </c>
      <c r="M1391" s="110">
        <v>12.15</v>
      </c>
      <c r="N1391" s="110">
        <v>12.4</v>
      </c>
      <c r="O1391" s="110">
        <v>12.1</v>
      </c>
      <c r="P1391" s="110">
        <v>12.35</v>
      </c>
      <c r="Q1391" s="110">
        <v>12.15</v>
      </c>
      <c r="R1391">
        <v>3763010</v>
      </c>
    </row>
    <row r="1392" spans="1:18" x14ac:dyDescent="0.25">
      <c r="A1392" s="134">
        <v>44056</v>
      </c>
      <c r="B1392" s="110">
        <v>12.26</v>
      </c>
      <c r="C1392" s="110">
        <v>12.16</v>
      </c>
      <c r="D1392" s="110">
        <v>12.03</v>
      </c>
      <c r="E1392" s="110">
        <v>12.2</v>
      </c>
      <c r="F1392" s="110">
        <v>12.16</v>
      </c>
      <c r="G1392">
        <v>222878</v>
      </c>
      <c r="H1392" s="110"/>
      <c r="I1392" s="110"/>
      <c r="L1392" s="134">
        <v>44056</v>
      </c>
      <c r="M1392" s="110">
        <v>12.15</v>
      </c>
      <c r="N1392" s="110">
        <v>12.25</v>
      </c>
      <c r="O1392" s="110">
        <v>12</v>
      </c>
      <c r="P1392" s="110">
        <v>12.2</v>
      </c>
      <c r="Q1392" s="110">
        <v>12.15</v>
      </c>
      <c r="R1392">
        <v>2777983</v>
      </c>
    </row>
    <row r="1393" spans="1:18" x14ac:dyDescent="0.25">
      <c r="A1393" s="134">
        <v>44057</v>
      </c>
      <c r="B1393" s="110">
        <v>12.61</v>
      </c>
      <c r="C1393" s="110">
        <v>12.05</v>
      </c>
      <c r="D1393" s="110">
        <v>11.94</v>
      </c>
      <c r="E1393" s="110">
        <v>12.03</v>
      </c>
      <c r="F1393" s="110">
        <v>12.05</v>
      </c>
      <c r="G1393">
        <v>656175</v>
      </c>
      <c r="H1393" s="110"/>
      <c r="I1393" s="110"/>
      <c r="L1393" s="134">
        <v>44057</v>
      </c>
      <c r="M1393" s="110">
        <v>12.05</v>
      </c>
      <c r="N1393" s="110">
        <v>12.65</v>
      </c>
      <c r="O1393" s="110">
        <v>11.95</v>
      </c>
      <c r="P1393" s="110">
        <v>12.2</v>
      </c>
      <c r="Q1393" s="110">
        <v>12.05</v>
      </c>
      <c r="R1393">
        <v>3574967</v>
      </c>
    </row>
    <row r="1394" spans="1:18" x14ac:dyDescent="0.25">
      <c r="A1394" s="134">
        <v>44060</v>
      </c>
      <c r="B1394" s="110">
        <v>12.21</v>
      </c>
      <c r="C1394" s="110">
        <v>12.03</v>
      </c>
      <c r="D1394" s="110">
        <v>12.01</v>
      </c>
      <c r="E1394" s="110">
        <v>12.06</v>
      </c>
      <c r="F1394" s="110">
        <v>12.03</v>
      </c>
      <c r="G1394">
        <v>192166</v>
      </c>
      <c r="H1394" s="110"/>
      <c r="I1394" s="110"/>
      <c r="L1394" s="134">
        <v>44060</v>
      </c>
      <c r="M1394" s="110">
        <v>12.05</v>
      </c>
      <c r="N1394" s="110">
        <v>12.2</v>
      </c>
      <c r="O1394" s="110">
        <v>12</v>
      </c>
      <c r="P1394" s="110">
        <v>12.1</v>
      </c>
      <c r="Q1394" s="110">
        <v>12.05</v>
      </c>
      <c r="R1394">
        <v>1160519</v>
      </c>
    </row>
    <row r="1395" spans="1:18" x14ac:dyDescent="0.25">
      <c r="A1395" s="134">
        <v>44061</v>
      </c>
      <c r="B1395" s="110">
        <v>12.2</v>
      </c>
      <c r="C1395" s="110">
        <v>12.08</v>
      </c>
      <c r="D1395" s="110">
        <v>11.96</v>
      </c>
      <c r="E1395" s="110">
        <v>12.01</v>
      </c>
      <c r="F1395" s="110">
        <v>12.08</v>
      </c>
      <c r="G1395">
        <v>90450</v>
      </c>
      <c r="H1395" s="110"/>
      <c r="I1395" s="110"/>
      <c r="L1395" s="134">
        <v>44061</v>
      </c>
      <c r="M1395" s="110">
        <v>12.05</v>
      </c>
      <c r="N1395" s="110">
        <v>12.3</v>
      </c>
      <c r="O1395" s="110">
        <v>11.9</v>
      </c>
      <c r="P1395" s="110">
        <v>12.1</v>
      </c>
      <c r="Q1395" s="110">
        <v>12.05</v>
      </c>
      <c r="R1395">
        <v>2257354</v>
      </c>
    </row>
    <row r="1396" spans="1:18" x14ac:dyDescent="0.25">
      <c r="A1396" s="134">
        <v>44062</v>
      </c>
      <c r="B1396" s="110">
        <v>12.64</v>
      </c>
      <c r="C1396" s="110">
        <v>12.39</v>
      </c>
      <c r="D1396" s="110">
        <v>12.3</v>
      </c>
      <c r="E1396" s="110">
        <v>12.4</v>
      </c>
      <c r="F1396" s="110">
        <v>12.39</v>
      </c>
      <c r="G1396">
        <v>1050523</v>
      </c>
      <c r="H1396" s="110"/>
      <c r="I1396" s="110"/>
      <c r="L1396" s="134">
        <v>44062</v>
      </c>
      <c r="M1396" s="110">
        <v>12.4</v>
      </c>
      <c r="N1396" s="110">
        <v>12.7</v>
      </c>
      <c r="O1396" s="110">
        <v>12.3</v>
      </c>
      <c r="P1396" s="110">
        <v>12.5</v>
      </c>
      <c r="Q1396" s="110">
        <v>12.4</v>
      </c>
      <c r="R1396">
        <v>5351563</v>
      </c>
    </row>
    <row r="1397" spans="1:18" x14ac:dyDescent="0.25">
      <c r="A1397" s="134">
        <v>44063</v>
      </c>
      <c r="B1397" s="110">
        <v>12.51</v>
      </c>
      <c r="C1397" s="110">
        <v>12.36</v>
      </c>
      <c r="D1397" s="110">
        <v>12.25</v>
      </c>
      <c r="E1397" s="110">
        <v>12.25</v>
      </c>
      <c r="F1397" s="110">
        <v>12.36</v>
      </c>
      <c r="G1397">
        <v>217234</v>
      </c>
      <c r="H1397" s="110"/>
      <c r="I1397" s="110"/>
      <c r="L1397" s="134">
        <v>44063</v>
      </c>
      <c r="M1397" s="110">
        <v>12.35</v>
      </c>
      <c r="N1397" s="110">
        <v>12.5</v>
      </c>
      <c r="O1397" s="110">
        <v>12.2</v>
      </c>
      <c r="P1397" s="110">
        <v>12.4</v>
      </c>
      <c r="Q1397" s="110">
        <v>12.35</v>
      </c>
      <c r="R1397">
        <v>2694500</v>
      </c>
    </row>
    <row r="1398" spans="1:18" x14ac:dyDescent="0.25">
      <c r="A1398" s="134">
        <v>44064</v>
      </c>
      <c r="B1398" s="110">
        <v>14.5</v>
      </c>
      <c r="C1398" s="110">
        <v>14.21</v>
      </c>
      <c r="D1398" s="110">
        <v>12.4</v>
      </c>
      <c r="E1398" s="110">
        <v>12.49</v>
      </c>
      <c r="F1398" s="110">
        <v>14.21</v>
      </c>
      <c r="G1398">
        <v>4174014</v>
      </c>
      <c r="H1398" s="110"/>
      <c r="I1398" s="110"/>
      <c r="L1398" s="134">
        <v>44064</v>
      </c>
      <c r="M1398" s="110">
        <v>14.2</v>
      </c>
      <c r="N1398" s="110">
        <v>14.5</v>
      </c>
      <c r="O1398" s="110">
        <v>12.4</v>
      </c>
      <c r="P1398" s="110">
        <v>12.45</v>
      </c>
      <c r="Q1398" s="110">
        <v>14.2</v>
      </c>
      <c r="R1398">
        <v>32629369</v>
      </c>
    </row>
    <row r="1399" spans="1:18" x14ac:dyDescent="0.25">
      <c r="A1399" s="134">
        <v>44067</v>
      </c>
      <c r="B1399" s="110">
        <v>14.95</v>
      </c>
      <c r="C1399" s="110">
        <v>14.09</v>
      </c>
      <c r="D1399" s="110">
        <v>13.67</v>
      </c>
      <c r="E1399" s="110">
        <v>14.4</v>
      </c>
      <c r="F1399" s="110">
        <v>14.09</v>
      </c>
      <c r="G1399">
        <v>1763362</v>
      </c>
      <c r="H1399" s="110"/>
      <c r="I1399" s="110"/>
      <c r="L1399" s="134">
        <v>44067</v>
      </c>
      <c r="M1399" s="110">
        <v>14.1</v>
      </c>
      <c r="N1399" s="110">
        <v>14.75</v>
      </c>
      <c r="O1399" s="110">
        <v>13.7</v>
      </c>
      <c r="P1399" s="110">
        <v>14.4</v>
      </c>
      <c r="Q1399" s="110">
        <v>14.1</v>
      </c>
      <c r="R1399">
        <v>9888713</v>
      </c>
    </row>
    <row r="1400" spans="1:18" x14ac:dyDescent="0.25">
      <c r="A1400" s="134">
        <v>44068</v>
      </c>
      <c r="B1400" s="110">
        <v>15.34</v>
      </c>
      <c r="C1400" s="110">
        <v>14.76</v>
      </c>
      <c r="D1400" s="110">
        <v>14.2</v>
      </c>
      <c r="E1400" s="110">
        <v>14.2</v>
      </c>
      <c r="F1400" s="110">
        <v>14.76</v>
      </c>
      <c r="G1400">
        <v>996940</v>
      </c>
      <c r="H1400" s="110"/>
      <c r="I1400" s="110"/>
      <c r="L1400" s="134">
        <v>44068</v>
      </c>
      <c r="M1400" s="110">
        <v>14.75</v>
      </c>
      <c r="N1400" s="110">
        <v>15.35</v>
      </c>
      <c r="O1400" s="110">
        <v>14.2</v>
      </c>
      <c r="P1400" s="110">
        <v>14.25</v>
      </c>
      <c r="Q1400" s="110">
        <v>14.75</v>
      </c>
      <c r="R1400">
        <v>15163578</v>
      </c>
    </row>
    <row r="1401" spans="1:18" x14ac:dyDescent="0.25">
      <c r="A1401" s="134">
        <v>44069</v>
      </c>
      <c r="B1401" s="110">
        <v>15.1</v>
      </c>
      <c r="C1401" s="110">
        <v>14.36</v>
      </c>
      <c r="D1401" s="110">
        <v>14.05</v>
      </c>
      <c r="E1401" s="110">
        <v>15</v>
      </c>
      <c r="F1401" s="110">
        <v>14.36</v>
      </c>
      <c r="G1401">
        <v>1163299</v>
      </c>
      <c r="H1401" s="110"/>
      <c r="I1401" s="110"/>
      <c r="L1401" s="134">
        <v>44069</v>
      </c>
      <c r="M1401" s="110">
        <v>14.35</v>
      </c>
      <c r="N1401" s="110">
        <v>15.15</v>
      </c>
      <c r="O1401" s="110">
        <v>14.1</v>
      </c>
      <c r="P1401" s="110">
        <v>15</v>
      </c>
      <c r="Q1401" s="110">
        <v>14.35</v>
      </c>
      <c r="R1401">
        <v>6425764</v>
      </c>
    </row>
    <row r="1402" spans="1:18" x14ac:dyDescent="0.25">
      <c r="A1402" s="134">
        <v>44070</v>
      </c>
      <c r="B1402" s="110">
        <v>14.49</v>
      </c>
      <c r="C1402" s="110">
        <v>13.88</v>
      </c>
      <c r="D1402" s="110">
        <v>13.81</v>
      </c>
      <c r="E1402" s="110">
        <v>14.49</v>
      </c>
      <c r="F1402" s="110">
        <v>13.88</v>
      </c>
      <c r="G1402">
        <v>717575</v>
      </c>
      <c r="H1402" s="110"/>
      <c r="I1402" s="110"/>
      <c r="L1402" s="134">
        <v>44070</v>
      </c>
      <c r="M1402" s="110">
        <v>13.85</v>
      </c>
      <c r="N1402" s="110">
        <v>14.5</v>
      </c>
      <c r="O1402" s="110">
        <v>13.8</v>
      </c>
      <c r="P1402" s="110">
        <v>14.25</v>
      </c>
      <c r="Q1402" s="110">
        <v>13.85</v>
      </c>
      <c r="R1402">
        <v>4029125</v>
      </c>
    </row>
    <row r="1403" spans="1:18" x14ac:dyDescent="0.25">
      <c r="A1403" s="134">
        <v>44071</v>
      </c>
      <c r="B1403" s="110">
        <v>14.65</v>
      </c>
      <c r="C1403" s="110">
        <v>14.16</v>
      </c>
      <c r="D1403" s="110">
        <v>13.95</v>
      </c>
      <c r="E1403" s="110">
        <v>14</v>
      </c>
      <c r="F1403" s="110">
        <v>14.16</v>
      </c>
      <c r="G1403">
        <v>1334484</v>
      </c>
      <c r="H1403" s="110"/>
      <c r="I1403" s="110"/>
      <c r="L1403" s="134">
        <v>44071</v>
      </c>
      <c r="M1403" s="110">
        <v>14.15</v>
      </c>
      <c r="N1403" s="110">
        <v>14.7</v>
      </c>
      <c r="O1403" s="110">
        <v>13.95</v>
      </c>
      <c r="P1403" s="110">
        <v>14.15</v>
      </c>
      <c r="Q1403" s="110">
        <v>14.15</v>
      </c>
      <c r="R1403">
        <v>7679313</v>
      </c>
    </row>
    <row r="1404" spans="1:18" x14ac:dyDescent="0.25">
      <c r="A1404" s="134">
        <v>44074</v>
      </c>
      <c r="B1404" s="110">
        <v>14.56</v>
      </c>
      <c r="C1404" s="110">
        <v>13.53</v>
      </c>
      <c r="D1404" s="110">
        <v>13.4</v>
      </c>
      <c r="E1404" s="110">
        <v>14.21</v>
      </c>
      <c r="F1404" s="110">
        <v>13.53</v>
      </c>
      <c r="G1404">
        <v>724904</v>
      </c>
      <c r="H1404" s="110"/>
      <c r="I1404" s="110"/>
      <c r="L1404" s="134">
        <v>44074</v>
      </c>
      <c r="M1404" s="110">
        <v>13.5</v>
      </c>
      <c r="N1404" s="110">
        <v>14.6</v>
      </c>
      <c r="O1404" s="110">
        <v>13.4</v>
      </c>
      <c r="P1404" s="110">
        <v>14.5</v>
      </c>
      <c r="Q1404" s="110">
        <v>13.5</v>
      </c>
      <c r="R1404">
        <v>4374825</v>
      </c>
    </row>
    <row r="1405" spans="1:18" x14ac:dyDescent="0.25">
      <c r="A1405" s="134">
        <v>44075</v>
      </c>
      <c r="B1405" s="110">
        <v>13.75</v>
      </c>
      <c r="C1405" s="110">
        <v>13.32</v>
      </c>
      <c r="D1405" s="110">
        <v>12.79</v>
      </c>
      <c r="E1405" s="110">
        <v>13.01</v>
      </c>
      <c r="F1405" s="110">
        <v>13.32</v>
      </c>
      <c r="G1405">
        <v>434751</v>
      </c>
      <c r="H1405" s="110"/>
      <c r="I1405" s="110"/>
      <c r="L1405" s="134">
        <v>44075</v>
      </c>
      <c r="M1405" s="110">
        <v>13.35</v>
      </c>
      <c r="N1405" s="110">
        <v>13.75</v>
      </c>
      <c r="O1405" s="110">
        <v>12.75</v>
      </c>
      <c r="P1405" s="110">
        <v>13.55</v>
      </c>
      <c r="Q1405" s="110">
        <v>13.35</v>
      </c>
      <c r="R1405">
        <v>2386828</v>
      </c>
    </row>
    <row r="1406" spans="1:18" x14ac:dyDescent="0.25">
      <c r="A1406" s="134">
        <v>44076</v>
      </c>
      <c r="B1406" s="110">
        <v>13.7</v>
      </c>
      <c r="C1406" s="110">
        <v>13.38</v>
      </c>
      <c r="D1406" s="110">
        <v>13.12</v>
      </c>
      <c r="E1406" s="110">
        <v>13.7</v>
      </c>
      <c r="F1406" s="110">
        <v>13.38</v>
      </c>
      <c r="G1406">
        <v>229583</v>
      </c>
      <c r="H1406" s="110"/>
      <c r="I1406" s="110"/>
      <c r="L1406" s="134">
        <v>44076</v>
      </c>
      <c r="M1406" s="110">
        <v>13.4</v>
      </c>
      <c r="N1406" s="110">
        <v>13.7</v>
      </c>
      <c r="O1406" s="110">
        <v>13.1</v>
      </c>
      <c r="P1406" s="110">
        <v>13.65</v>
      </c>
      <c r="Q1406" s="110">
        <v>13.4</v>
      </c>
      <c r="R1406">
        <v>1291450</v>
      </c>
    </row>
    <row r="1407" spans="1:18" x14ac:dyDescent="0.25">
      <c r="A1407" s="134">
        <v>44077</v>
      </c>
      <c r="B1407" s="110">
        <v>13.5</v>
      </c>
      <c r="C1407" s="110">
        <v>13.27</v>
      </c>
      <c r="D1407" s="110">
        <v>13.15</v>
      </c>
      <c r="E1407" s="110">
        <v>13.5</v>
      </c>
      <c r="F1407" s="110">
        <v>13.27</v>
      </c>
      <c r="G1407">
        <v>107995</v>
      </c>
      <c r="H1407" s="110"/>
      <c r="I1407" s="110"/>
      <c r="L1407" s="134">
        <v>44077</v>
      </c>
      <c r="M1407" s="110">
        <v>13.25</v>
      </c>
      <c r="N1407" s="110">
        <v>13.45</v>
      </c>
      <c r="O1407" s="110">
        <v>13.2</v>
      </c>
      <c r="P1407" s="110">
        <v>13.4</v>
      </c>
      <c r="Q1407" s="110">
        <v>13.25</v>
      </c>
      <c r="R1407">
        <v>1134156</v>
      </c>
    </row>
    <row r="1408" spans="1:18" x14ac:dyDescent="0.25">
      <c r="A1408" s="134">
        <v>44078</v>
      </c>
      <c r="B1408" s="110">
        <v>13.25</v>
      </c>
      <c r="C1408" s="110">
        <v>12.84</v>
      </c>
      <c r="D1408" s="110">
        <v>12.5</v>
      </c>
      <c r="E1408" s="110">
        <v>13.25</v>
      </c>
      <c r="F1408" s="110">
        <v>12.84</v>
      </c>
      <c r="G1408">
        <v>492135</v>
      </c>
      <c r="H1408" s="110"/>
      <c r="I1408" s="110"/>
      <c r="L1408" s="134">
        <v>44078</v>
      </c>
      <c r="M1408" s="110">
        <v>12.85</v>
      </c>
      <c r="N1408" s="110">
        <v>13.15</v>
      </c>
      <c r="O1408" s="110">
        <v>12.5</v>
      </c>
      <c r="P1408" s="110">
        <v>13.05</v>
      </c>
      <c r="Q1408" s="110">
        <v>12.85</v>
      </c>
      <c r="R1408">
        <v>2578272</v>
      </c>
    </row>
    <row r="1409" spans="1:18" x14ac:dyDescent="0.25">
      <c r="A1409" s="134">
        <v>44081</v>
      </c>
      <c r="B1409" s="110">
        <v>13.15</v>
      </c>
      <c r="C1409" s="110">
        <v>12.64</v>
      </c>
      <c r="D1409" s="110">
        <v>12.56</v>
      </c>
      <c r="E1409" s="110">
        <v>13</v>
      </c>
      <c r="F1409" s="110">
        <v>12.64</v>
      </c>
      <c r="G1409">
        <v>389478</v>
      </c>
      <c r="H1409" s="110"/>
      <c r="I1409" s="110"/>
      <c r="L1409" s="134">
        <v>44081</v>
      </c>
      <c r="M1409" s="110">
        <v>12.7</v>
      </c>
      <c r="N1409" s="110">
        <v>13.15</v>
      </c>
      <c r="O1409" s="110">
        <v>12.55</v>
      </c>
      <c r="P1409" s="110">
        <v>13</v>
      </c>
      <c r="Q1409" s="110">
        <v>12.7</v>
      </c>
      <c r="R1409">
        <v>1840932</v>
      </c>
    </row>
    <row r="1410" spans="1:18" x14ac:dyDescent="0.25">
      <c r="A1410" s="134">
        <v>44082</v>
      </c>
      <c r="B1410" s="110">
        <v>12.86</v>
      </c>
      <c r="C1410" s="110">
        <v>12.43</v>
      </c>
      <c r="D1410" s="110">
        <v>12.26</v>
      </c>
      <c r="E1410" s="110">
        <v>12.86</v>
      </c>
      <c r="F1410" s="110">
        <v>12.43</v>
      </c>
      <c r="G1410">
        <v>173032</v>
      </c>
      <c r="H1410" s="110"/>
      <c r="I1410" s="110"/>
      <c r="L1410" s="134">
        <v>44082</v>
      </c>
      <c r="M1410" s="110">
        <v>12.4</v>
      </c>
      <c r="N1410" s="110">
        <v>12.85</v>
      </c>
      <c r="O1410" s="110">
        <v>12.25</v>
      </c>
      <c r="P1410" s="110">
        <v>12.8</v>
      </c>
      <c r="Q1410" s="110">
        <v>12.4</v>
      </c>
      <c r="R1410">
        <v>1852875</v>
      </c>
    </row>
    <row r="1411" spans="1:18" x14ac:dyDescent="0.25">
      <c r="A1411" s="134">
        <v>44083</v>
      </c>
      <c r="B1411" s="110">
        <v>12.55</v>
      </c>
      <c r="C1411" s="110">
        <v>12.33</v>
      </c>
      <c r="D1411" s="110">
        <v>11.8</v>
      </c>
      <c r="E1411" s="110">
        <v>11.8</v>
      </c>
      <c r="F1411" s="110">
        <v>12.33</v>
      </c>
      <c r="G1411">
        <v>371901</v>
      </c>
      <c r="H1411" s="110"/>
      <c r="I1411" s="110"/>
      <c r="L1411" s="134">
        <v>44083</v>
      </c>
      <c r="M1411" s="110">
        <v>12.35</v>
      </c>
      <c r="N1411" s="110">
        <v>12.55</v>
      </c>
      <c r="O1411" s="110">
        <v>12.05</v>
      </c>
      <c r="P1411" s="110">
        <v>12.3</v>
      </c>
      <c r="Q1411" s="110">
        <v>12.35</v>
      </c>
      <c r="R1411">
        <v>1403661</v>
      </c>
    </row>
    <row r="1412" spans="1:18" x14ac:dyDescent="0.25">
      <c r="A1412" s="134">
        <v>44084</v>
      </c>
      <c r="B1412" s="110">
        <v>12.8</v>
      </c>
      <c r="C1412" s="110">
        <v>12.56</v>
      </c>
      <c r="D1412" s="110">
        <v>12.35</v>
      </c>
      <c r="E1412" s="110">
        <v>12.8</v>
      </c>
      <c r="F1412" s="110">
        <v>12.56</v>
      </c>
      <c r="G1412">
        <v>272920</v>
      </c>
      <c r="H1412" s="110"/>
      <c r="I1412" s="110"/>
      <c r="L1412" s="134">
        <v>44084</v>
      </c>
      <c r="M1412" s="110">
        <v>12.55</v>
      </c>
      <c r="N1412" s="110">
        <v>12.7</v>
      </c>
      <c r="O1412" s="110">
        <v>12.35</v>
      </c>
      <c r="P1412" s="110">
        <v>12.5</v>
      </c>
      <c r="Q1412" s="110">
        <v>12.55</v>
      </c>
      <c r="R1412">
        <v>1963487</v>
      </c>
    </row>
    <row r="1413" spans="1:18" x14ac:dyDescent="0.25">
      <c r="A1413" s="134">
        <v>44085</v>
      </c>
      <c r="B1413" s="110">
        <v>12.85</v>
      </c>
      <c r="C1413" s="110">
        <v>12.56</v>
      </c>
      <c r="D1413" s="110">
        <v>12.11</v>
      </c>
      <c r="E1413" s="110">
        <v>12.85</v>
      </c>
      <c r="F1413" s="110">
        <v>12.56</v>
      </c>
      <c r="G1413">
        <v>338469</v>
      </c>
      <c r="H1413" s="110"/>
      <c r="I1413" s="110"/>
      <c r="L1413" s="134">
        <v>44085</v>
      </c>
      <c r="M1413" s="110">
        <v>12.55</v>
      </c>
      <c r="N1413" s="110">
        <v>12.7</v>
      </c>
      <c r="O1413" s="110">
        <v>12.4</v>
      </c>
      <c r="P1413" s="110">
        <v>12.55</v>
      </c>
      <c r="Q1413" s="110">
        <v>12.55</v>
      </c>
      <c r="R1413">
        <v>1131092</v>
      </c>
    </row>
    <row r="1414" spans="1:18" x14ac:dyDescent="0.25">
      <c r="A1414" s="134">
        <v>44088</v>
      </c>
      <c r="B1414" s="110">
        <v>13</v>
      </c>
      <c r="C1414" s="110">
        <v>12.65</v>
      </c>
      <c r="D1414" s="110">
        <v>12.3</v>
      </c>
      <c r="E1414" s="110">
        <v>12.79</v>
      </c>
      <c r="F1414" s="110">
        <v>12.65</v>
      </c>
      <c r="G1414">
        <v>551855</v>
      </c>
      <c r="H1414" s="110"/>
      <c r="I1414" s="110"/>
      <c r="L1414" s="134">
        <v>44088</v>
      </c>
      <c r="M1414" s="110">
        <v>12.75</v>
      </c>
      <c r="N1414" s="110">
        <v>13</v>
      </c>
      <c r="O1414" s="110">
        <v>12.6</v>
      </c>
      <c r="P1414" s="110">
        <v>12.75</v>
      </c>
      <c r="Q1414" s="110">
        <v>12.75</v>
      </c>
      <c r="R1414">
        <v>2923468</v>
      </c>
    </row>
    <row r="1415" spans="1:18" x14ac:dyDescent="0.25">
      <c r="A1415" s="134">
        <v>44089</v>
      </c>
      <c r="B1415" s="110">
        <v>13</v>
      </c>
      <c r="C1415" s="110">
        <v>12.8</v>
      </c>
      <c r="D1415" s="110">
        <v>12.71</v>
      </c>
      <c r="E1415" s="110">
        <v>13</v>
      </c>
      <c r="F1415" s="110">
        <v>12.8</v>
      </c>
      <c r="G1415">
        <v>191096</v>
      </c>
      <c r="H1415" s="110"/>
      <c r="I1415" s="110"/>
      <c r="L1415" s="134">
        <v>44089</v>
      </c>
      <c r="M1415" s="110">
        <v>12.8</v>
      </c>
      <c r="N1415" s="110">
        <v>12.95</v>
      </c>
      <c r="O1415" s="110">
        <v>12.75</v>
      </c>
      <c r="P1415" s="110">
        <v>12.95</v>
      </c>
      <c r="Q1415" s="110">
        <v>12.8</v>
      </c>
      <c r="R1415">
        <v>1773922</v>
      </c>
    </row>
    <row r="1416" spans="1:18" x14ac:dyDescent="0.25">
      <c r="A1416" s="134">
        <v>44090</v>
      </c>
      <c r="B1416" s="110">
        <v>12.95</v>
      </c>
      <c r="C1416" s="110">
        <v>12.74</v>
      </c>
      <c r="D1416" s="110">
        <v>12.69</v>
      </c>
      <c r="E1416" s="110">
        <v>12.8</v>
      </c>
      <c r="F1416" s="110">
        <v>12.74</v>
      </c>
      <c r="G1416">
        <v>63698</v>
      </c>
      <c r="H1416" s="110"/>
      <c r="I1416" s="110"/>
      <c r="L1416" s="134">
        <v>44090</v>
      </c>
      <c r="M1416" s="110">
        <v>12.75</v>
      </c>
      <c r="N1416" s="110">
        <v>13</v>
      </c>
      <c r="O1416" s="110">
        <v>12.7</v>
      </c>
      <c r="P1416" s="110">
        <v>12.8</v>
      </c>
      <c r="Q1416" s="110">
        <v>12.75</v>
      </c>
      <c r="R1416">
        <v>1418838</v>
      </c>
    </row>
    <row r="1417" spans="1:18" x14ac:dyDescent="0.25">
      <c r="A1417" s="134">
        <v>44091</v>
      </c>
      <c r="B1417" s="110">
        <v>12.66</v>
      </c>
      <c r="C1417" s="110">
        <v>12.52</v>
      </c>
      <c r="D1417" s="110">
        <v>12.45</v>
      </c>
      <c r="E1417" s="110">
        <v>12.61</v>
      </c>
      <c r="F1417" s="110">
        <v>12.52</v>
      </c>
      <c r="G1417">
        <v>128036</v>
      </c>
      <c r="H1417" s="110"/>
      <c r="I1417" s="110"/>
      <c r="L1417" s="134">
        <v>44091</v>
      </c>
      <c r="M1417" s="110">
        <v>12.5</v>
      </c>
      <c r="N1417" s="110">
        <v>12.7</v>
      </c>
      <c r="O1417" s="110">
        <v>12.4</v>
      </c>
      <c r="P1417" s="110">
        <v>12.65</v>
      </c>
      <c r="Q1417" s="110">
        <v>12.5</v>
      </c>
      <c r="R1417">
        <v>1096939</v>
      </c>
    </row>
    <row r="1418" spans="1:18" x14ac:dyDescent="0.25">
      <c r="A1418" s="134">
        <v>44092</v>
      </c>
      <c r="B1418" s="110">
        <v>12.61</v>
      </c>
      <c r="C1418" s="110">
        <v>12.26</v>
      </c>
      <c r="D1418" s="110">
        <v>12.22</v>
      </c>
      <c r="E1418" s="110">
        <v>12.5</v>
      </c>
      <c r="F1418" s="110">
        <v>12.26</v>
      </c>
      <c r="G1418">
        <v>242963</v>
      </c>
      <c r="H1418" s="110"/>
      <c r="I1418" s="110"/>
      <c r="L1418" s="134">
        <v>44092</v>
      </c>
      <c r="M1418" s="110">
        <v>12.25</v>
      </c>
      <c r="N1418" s="110">
        <v>12.6</v>
      </c>
      <c r="O1418" s="110">
        <v>12.2</v>
      </c>
      <c r="P1418" s="110">
        <v>12.6</v>
      </c>
      <c r="Q1418" s="110">
        <v>12.25</v>
      </c>
      <c r="R1418">
        <v>1243916</v>
      </c>
    </row>
    <row r="1419" spans="1:18" x14ac:dyDescent="0.25">
      <c r="A1419" s="134">
        <v>44095</v>
      </c>
      <c r="B1419" s="110">
        <v>12.59</v>
      </c>
      <c r="C1419" s="110">
        <v>11.64</v>
      </c>
      <c r="D1419" s="110">
        <v>11.5</v>
      </c>
      <c r="E1419" s="110">
        <v>12.59</v>
      </c>
      <c r="F1419" s="110">
        <v>11.64</v>
      </c>
      <c r="G1419">
        <v>316546</v>
      </c>
      <c r="H1419" s="110"/>
      <c r="I1419" s="110"/>
      <c r="L1419" s="134">
        <v>44095</v>
      </c>
      <c r="M1419" s="110">
        <v>11.6</v>
      </c>
      <c r="N1419" s="110">
        <v>12.35</v>
      </c>
      <c r="O1419" s="110">
        <v>11.5</v>
      </c>
      <c r="P1419" s="110">
        <v>12.25</v>
      </c>
      <c r="Q1419" s="110">
        <v>11.6</v>
      </c>
      <c r="R1419">
        <v>1561519</v>
      </c>
    </row>
    <row r="1420" spans="1:18" x14ac:dyDescent="0.25">
      <c r="A1420" s="134">
        <v>44096</v>
      </c>
      <c r="B1420" s="110">
        <v>11.5</v>
      </c>
      <c r="C1420" s="110">
        <v>11.32</v>
      </c>
      <c r="D1420" s="110">
        <v>11.1</v>
      </c>
      <c r="E1420" s="110">
        <v>11.5</v>
      </c>
      <c r="F1420" s="110">
        <v>11.32</v>
      </c>
      <c r="G1420">
        <v>288571</v>
      </c>
      <c r="H1420" s="110"/>
      <c r="I1420" s="110"/>
      <c r="L1420" s="134">
        <v>44096</v>
      </c>
      <c r="M1420" s="110">
        <v>11.35</v>
      </c>
      <c r="N1420" s="110">
        <v>11.6</v>
      </c>
      <c r="O1420" s="110">
        <v>11.15</v>
      </c>
      <c r="P1420" s="110">
        <v>11.6</v>
      </c>
      <c r="Q1420" s="110">
        <v>11.35</v>
      </c>
      <c r="R1420">
        <v>1024092</v>
      </c>
    </row>
    <row r="1421" spans="1:18" x14ac:dyDescent="0.25">
      <c r="A1421" s="134">
        <v>44097</v>
      </c>
      <c r="B1421" s="110">
        <v>11.61</v>
      </c>
      <c r="C1421" s="110">
        <v>11.13</v>
      </c>
      <c r="D1421" s="110">
        <v>10.92</v>
      </c>
      <c r="E1421" s="110">
        <v>11.4</v>
      </c>
      <c r="F1421" s="110">
        <v>11.13</v>
      </c>
      <c r="G1421">
        <v>107897</v>
      </c>
      <c r="H1421" s="110"/>
      <c r="I1421" s="110"/>
      <c r="L1421" s="134">
        <v>44097</v>
      </c>
      <c r="M1421" s="110">
        <v>11.15</v>
      </c>
      <c r="N1421" s="110">
        <v>11.65</v>
      </c>
      <c r="O1421" s="110">
        <v>10.95</v>
      </c>
      <c r="P1421" s="110">
        <v>11.5</v>
      </c>
      <c r="Q1421" s="110">
        <v>11.15</v>
      </c>
      <c r="R1421">
        <v>1310038</v>
      </c>
    </row>
    <row r="1422" spans="1:18" x14ac:dyDescent="0.25">
      <c r="A1422" s="134">
        <v>44098</v>
      </c>
      <c r="B1422" s="110">
        <v>11.15</v>
      </c>
      <c r="C1422" s="110">
        <v>10.81</v>
      </c>
      <c r="D1422" s="110">
        <v>10.55</v>
      </c>
      <c r="E1422" s="110">
        <v>11.15</v>
      </c>
      <c r="F1422" s="110">
        <v>10.81</v>
      </c>
      <c r="G1422">
        <v>128267</v>
      </c>
      <c r="H1422" s="110"/>
      <c r="I1422" s="110"/>
      <c r="L1422" s="134">
        <v>44098</v>
      </c>
      <c r="M1422" s="110">
        <v>10.8</v>
      </c>
      <c r="N1422" s="110">
        <v>10.95</v>
      </c>
      <c r="O1422" s="110">
        <v>10.55</v>
      </c>
      <c r="P1422" s="110">
        <v>10.95</v>
      </c>
      <c r="Q1422" s="110">
        <v>10.8</v>
      </c>
      <c r="R1422">
        <v>2308473</v>
      </c>
    </row>
    <row r="1423" spans="1:18" x14ac:dyDescent="0.25">
      <c r="A1423" s="134">
        <v>44099</v>
      </c>
      <c r="B1423" s="110">
        <v>11.36</v>
      </c>
      <c r="C1423" s="110">
        <v>11.31</v>
      </c>
      <c r="D1423" s="110">
        <v>10.79</v>
      </c>
      <c r="E1423" s="110">
        <v>11</v>
      </c>
      <c r="F1423" s="110">
        <v>11.31</v>
      </c>
      <c r="G1423">
        <v>206484</v>
      </c>
      <c r="H1423" s="110"/>
      <c r="I1423" s="110"/>
      <c r="L1423" s="134">
        <v>44099</v>
      </c>
      <c r="M1423" s="110">
        <v>11.3</v>
      </c>
      <c r="N1423" s="110">
        <v>11.4</v>
      </c>
      <c r="O1423" s="110">
        <v>10.8</v>
      </c>
      <c r="P1423" s="110">
        <v>10.85</v>
      </c>
      <c r="Q1423" s="110">
        <v>11.3</v>
      </c>
      <c r="R1423">
        <v>1465622</v>
      </c>
    </row>
    <row r="1424" spans="1:18" x14ac:dyDescent="0.25">
      <c r="A1424" s="134">
        <v>44102</v>
      </c>
      <c r="B1424" s="110">
        <v>11.6</v>
      </c>
      <c r="C1424" s="110">
        <v>11.54</v>
      </c>
      <c r="D1424" s="110">
        <v>11.21</v>
      </c>
      <c r="E1424" s="110">
        <v>11.21</v>
      </c>
      <c r="F1424" s="110">
        <v>11.54</v>
      </c>
      <c r="G1424">
        <v>167816</v>
      </c>
      <c r="H1424" s="110"/>
      <c r="I1424" s="110"/>
      <c r="L1424" s="134">
        <v>44102</v>
      </c>
      <c r="M1424" s="110">
        <v>11.55</v>
      </c>
      <c r="N1424" s="110">
        <v>11.6</v>
      </c>
      <c r="O1424" s="110">
        <v>11.35</v>
      </c>
      <c r="P1424" s="110">
        <v>11.5</v>
      </c>
      <c r="Q1424" s="110">
        <v>11.55</v>
      </c>
      <c r="R1424">
        <v>1029179</v>
      </c>
    </row>
    <row r="1425" spans="1:18" x14ac:dyDescent="0.25">
      <c r="A1425" s="134">
        <v>44103</v>
      </c>
      <c r="B1425" s="110">
        <v>11.65</v>
      </c>
      <c r="C1425" s="110">
        <v>11.31</v>
      </c>
      <c r="D1425" s="110">
        <v>11.25</v>
      </c>
      <c r="E1425" s="110">
        <v>11.6</v>
      </c>
      <c r="F1425" s="110">
        <v>11.31</v>
      </c>
      <c r="G1425">
        <v>58273</v>
      </c>
      <c r="H1425" s="110"/>
      <c r="I1425" s="110"/>
      <c r="L1425" s="134">
        <v>44103</v>
      </c>
      <c r="M1425" s="110">
        <v>11.25</v>
      </c>
      <c r="N1425" s="110">
        <v>11.7</v>
      </c>
      <c r="O1425" s="110">
        <v>11.2</v>
      </c>
      <c r="P1425" s="110">
        <v>11.65</v>
      </c>
      <c r="Q1425" s="110">
        <v>11.25</v>
      </c>
      <c r="R1425">
        <v>943229</v>
      </c>
    </row>
    <row r="1426" spans="1:18" x14ac:dyDescent="0.25">
      <c r="A1426" s="134">
        <v>44104</v>
      </c>
      <c r="B1426" s="110">
        <v>11.55</v>
      </c>
      <c r="C1426" s="110">
        <v>11.16</v>
      </c>
      <c r="D1426" s="110">
        <v>11.08</v>
      </c>
      <c r="E1426" s="110">
        <v>11.55</v>
      </c>
      <c r="F1426" s="110">
        <v>11.16</v>
      </c>
      <c r="G1426">
        <v>151770</v>
      </c>
      <c r="H1426" s="110"/>
      <c r="I1426" s="110"/>
      <c r="L1426" s="134">
        <v>44104</v>
      </c>
      <c r="M1426" s="110">
        <v>11.15</v>
      </c>
      <c r="N1426" s="110">
        <v>11.35</v>
      </c>
      <c r="O1426" s="110">
        <v>11.1</v>
      </c>
      <c r="P1426" s="110">
        <v>11.35</v>
      </c>
      <c r="Q1426" s="110">
        <v>11.15</v>
      </c>
      <c r="R1426">
        <v>578593</v>
      </c>
    </row>
    <row r="1427" spans="1:18" x14ac:dyDescent="0.25">
      <c r="A1427" s="134">
        <v>44105</v>
      </c>
      <c r="B1427" s="110">
        <v>11.37</v>
      </c>
      <c r="C1427" s="110">
        <v>11.22</v>
      </c>
      <c r="D1427" s="110">
        <v>10.75</v>
      </c>
      <c r="E1427" s="110">
        <v>10.75</v>
      </c>
      <c r="F1427" s="110">
        <v>11.22</v>
      </c>
      <c r="G1427">
        <v>185704</v>
      </c>
      <c r="H1427" s="110"/>
      <c r="I1427" s="110"/>
      <c r="L1427" s="134">
        <v>44105</v>
      </c>
      <c r="M1427" s="110">
        <v>11.2</v>
      </c>
      <c r="N1427" s="110">
        <v>11.4</v>
      </c>
      <c r="O1427" s="110">
        <v>11.15</v>
      </c>
      <c r="P1427" s="110">
        <v>11.3</v>
      </c>
      <c r="Q1427" s="110">
        <v>11.2</v>
      </c>
      <c r="R1427">
        <v>767788</v>
      </c>
    </row>
    <row r="1428" spans="1:18" x14ac:dyDescent="0.25">
      <c r="A1428" s="134">
        <v>44109</v>
      </c>
      <c r="B1428" s="110">
        <v>11.6</v>
      </c>
      <c r="C1428" s="110">
        <v>11.38</v>
      </c>
      <c r="D1428" s="110">
        <v>11.25</v>
      </c>
      <c r="E1428" s="110">
        <v>11.6</v>
      </c>
      <c r="F1428" s="110">
        <v>11.38</v>
      </c>
      <c r="G1428">
        <v>188075</v>
      </c>
      <c r="H1428" s="110"/>
      <c r="I1428" s="110"/>
      <c r="L1428" s="134">
        <v>44109</v>
      </c>
      <c r="M1428" s="110">
        <v>11.4</v>
      </c>
      <c r="N1428" s="110">
        <v>11.55</v>
      </c>
      <c r="O1428" s="110">
        <v>11.25</v>
      </c>
      <c r="P1428" s="110">
        <v>11.35</v>
      </c>
      <c r="Q1428" s="110">
        <v>11.4</v>
      </c>
      <c r="R1428">
        <v>1000130</v>
      </c>
    </row>
    <row r="1429" spans="1:18" x14ac:dyDescent="0.25">
      <c r="A1429" s="134">
        <v>44110</v>
      </c>
      <c r="B1429" s="110">
        <v>11.6</v>
      </c>
      <c r="C1429" s="110">
        <v>11.33</v>
      </c>
      <c r="D1429" s="110">
        <v>11.31</v>
      </c>
      <c r="E1429" s="110">
        <v>11.6</v>
      </c>
      <c r="F1429" s="110">
        <v>11.33</v>
      </c>
      <c r="G1429">
        <v>38321</v>
      </c>
      <c r="H1429" s="110"/>
      <c r="I1429" s="110"/>
      <c r="L1429" s="134">
        <v>44110</v>
      </c>
      <c r="M1429" s="110">
        <v>11.35</v>
      </c>
      <c r="N1429" s="110">
        <v>11.6</v>
      </c>
      <c r="O1429" s="110">
        <v>11.3</v>
      </c>
      <c r="P1429" s="110">
        <v>11.55</v>
      </c>
      <c r="Q1429" s="110">
        <v>11.35</v>
      </c>
      <c r="R1429">
        <v>579562</v>
      </c>
    </row>
    <row r="1430" spans="1:18" x14ac:dyDescent="0.25">
      <c r="A1430" s="134">
        <v>44111</v>
      </c>
      <c r="B1430" s="110">
        <v>11.41</v>
      </c>
      <c r="C1430" s="110">
        <v>11.19</v>
      </c>
      <c r="D1430" s="110">
        <v>11.15</v>
      </c>
      <c r="E1430" s="110">
        <v>11.41</v>
      </c>
      <c r="F1430" s="110">
        <v>11.19</v>
      </c>
      <c r="G1430">
        <v>29315</v>
      </c>
      <c r="H1430" s="110"/>
      <c r="I1430" s="110"/>
      <c r="L1430" s="134">
        <v>44111</v>
      </c>
      <c r="M1430" s="110">
        <v>11.2</v>
      </c>
      <c r="N1430" s="110">
        <v>11.4</v>
      </c>
      <c r="O1430" s="110">
        <v>11.15</v>
      </c>
      <c r="P1430" s="110">
        <v>11.35</v>
      </c>
      <c r="Q1430" s="110">
        <v>11.2</v>
      </c>
      <c r="R1430">
        <v>505339</v>
      </c>
    </row>
    <row r="1431" spans="1:18" x14ac:dyDescent="0.25">
      <c r="A1431" s="134">
        <v>44112</v>
      </c>
      <c r="B1431" s="110">
        <v>11.5</v>
      </c>
      <c r="C1431" s="110">
        <v>11.23</v>
      </c>
      <c r="D1431" s="110">
        <v>11.19</v>
      </c>
      <c r="E1431" s="110">
        <v>11.5</v>
      </c>
      <c r="F1431" s="110">
        <v>11.23</v>
      </c>
      <c r="G1431">
        <v>34983</v>
      </c>
      <c r="H1431" s="110"/>
      <c r="I1431" s="110"/>
      <c r="L1431" s="134">
        <v>44112</v>
      </c>
      <c r="M1431" s="110">
        <v>11.25</v>
      </c>
      <c r="N1431" s="110">
        <v>11.35</v>
      </c>
      <c r="O1431" s="110">
        <v>11.2</v>
      </c>
      <c r="P1431" s="110">
        <v>11.3</v>
      </c>
      <c r="Q1431" s="110">
        <v>11.25</v>
      </c>
      <c r="R1431">
        <v>489718</v>
      </c>
    </row>
    <row r="1432" spans="1:18" x14ac:dyDescent="0.25">
      <c r="A1432" s="134">
        <v>44113</v>
      </c>
      <c r="B1432" s="110">
        <v>11.45</v>
      </c>
      <c r="C1432" s="110">
        <v>11.29</v>
      </c>
      <c r="D1432" s="110">
        <v>11.18</v>
      </c>
      <c r="E1432" s="110">
        <v>11.21</v>
      </c>
      <c r="F1432" s="110">
        <v>11.29</v>
      </c>
      <c r="G1432">
        <v>182258</v>
      </c>
      <c r="H1432" s="110"/>
      <c r="I1432" s="110"/>
      <c r="L1432" s="134">
        <v>44113</v>
      </c>
      <c r="M1432" s="110">
        <v>11.3</v>
      </c>
      <c r="N1432" s="110">
        <v>11.5</v>
      </c>
      <c r="O1432" s="110">
        <v>11.15</v>
      </c>
      <c r="P1432" s="110">
        <v>11.25</v>
      </c>
      <c r="Q1432" s="110">
        <v>11.3</v>
      </c>
      <c r="R1432">
        <v>892069</v>
      </c>
    </row>
    <row r="1433" spans="1:18" x14ac:dyDescent="0.25">
      <c r="A1433" s="134">
        <v>44116</v>
      </c>
      <c r="B1433" s="110">
        <v>11.4</v>
      </c>
      <c r="C1433" s="110">
        <v>11.17</v>
      </c>
      <c r="D1433" s="110">
        <v>11.11</v>
      </c>
      <c r="E1433" s="110">
        <v>11.3</v>
      </c>
      <c r="F1433" s="110">
        <v>11.17</v>
      </c>
      <c r="G1433">
        <v>75023</v>
      </c>
      <c r="H1433" s="110"/>
      <c r="I1433" s="110"/>
      <c r="L1433" s="134">
        <v>44116</v>
      </c>
      <c r="M1433" s="110">
        <v>11.1</v>
      </c>
      <c r="N1433" s="110">
        <v>11.45</v>
      </c>
      <c r="O1433" s="110">
        <v>11.1</v>
      </c>
      <c r="P1433" s="110">
        <v>11.45</v>
      </c>
      <c r="Q1433" s="110">
        <v>11.1</v>
      </c>
      <c r="R1433">
        <v>927566</v>
      </c>
    </row>
    <row r="1434" spans="1:18" x14ac:dyDescent="0.25">
      <c r="A1434" s="134">
        <v>44117</v>
      </c>
      <c r="B1434" s="110">
        <v>11.3</v>
      </c>
      <c r="C1434" s="110">
        <v>10.99</v>
      </c>
      <c r="D1434" s="110">
        <v>10.91</v>
      </c>
      <c r="E1434" s="110">
        <v>11.3</v>
      </c>
      <c r="F1434" s="110">
        <v>10.99</v>
      </c>
      <c r="G1434">
        <v>90690</v>
      </c>
      <c r="H1434" s="110"/>
      <c r="I1434" s="110"/>
      <c r="L1434" s="134">
        <v>44117</v>
      </c>
      <c r="M1434" s="110">
        <v>10.95</v>
      </c>
      <c r="N1434" s="110">
        <v>11.15</v>
      </c>
      <c r="O1434" s="110">
        <v>10.9</v>
      </c>
      <c r="P1434" s="110">
        <v>11.15</v>
      </c>
      <c r="Q1434" s="110">
        <v>10.95</v>
      </c>
      <c r="R1434">
        <v>592607</v>
      </c>
    </row>
    <row r="1435" spans="1:18" x14ac:dyDescent="0.25">
      <c r="A1435" s="134">
        <v>44118</v>
      </c>
      <c r="B1435" s="110">
        <v>11.25</v>
      </c>
      <c r="C1435" s="110">
        <v>11.14</v>
      </c>
      <c r="D1435" s="110">
        <v>10.76</v>
      </c>
      <c r="E1435" s="110">
        <v>11.1</v>
      </c>
      <c r="F1435" s="110">
        <v>11.14</v>
      </c>
      <c r="G1435">
        <v>170967</v>
      </c>
      <c r="H1435" s="110"/>
      <c r="I1435" s="110"/>
      <c r="L1435" s="134">
        <v>44118</v>
      </c>
      <c r="M1435" s="110">
        <v>11.15</v>
      </c>
      <c r="N1435" s="110">
        <v>11.25</v>
      </c>
      <c r="O1435" s="110">
        <v>10.8</v>
      </c>
      <c r="P1435" s="110">
        <v>10.9</v>
      </c>
      <c r="Q1435" s="110">
        <v>11.15</v>
      </c>
      <c r="R1435">
        <v>536341</v>
      </c>
    </row>
    <row r="1436" spans="1:18" x14ac:dyDescent="0.25">
      <c r="A1436" s="134">
        <v>44119</v>
      </c>
      <c r="B1436" s="110">
        <v>11.25</v>
      </c>
      <c r="C1436" s="110">
        <v>10.91</v>
      </c>
      <c r="D1436" s="110">
        <v>10.86</v>
      </c>
      <c r="E1436" s="110">
        <v>11.25</v>
      </c>
      <c r="F1436" s="110">
        <v>10.91</v>
      </c>
      <c r="G1436">
        <v>53608</v>
      </c>
      <c r="H1436" s="110"/>
      <c r="I1436" s="110"/>
      <c r="L1436" s="134">
        <v>44119</v>
      </c>
      <c r="M1436" s="110">
        <v>10.85</v>
      </c>
      <c r="N1436" s="110">
        <v>11.25</v>
      </c>
      <c r="O1436" s="110">
        <v>10.8</v>
      </c>
      <c r="P1436" s="110">
        <v>11.25</v>
      </c>
      <c r="Q1436" s="110">
        <v>10.85</v>
      </c>
      <c r="R1436">
        <v>952792</v>
      </c>
    </row>
    <row r="1437" spans="1:18" x14ac:dyDescent="0.25">
      <c r="A1437" s="134">
        <v>44120</v>
      </c>
      <c r="B1437" s="110">
        <v>11.19</v>
      </c>
      <c r="C1437" s="110">
        <v>11.13</v>
      </c>
      <c r="D1437" s="110">
        <v>10.9</v>
      </c>
      <c r="E1437" s="110">
        <v>11</v>
      </c>
      <c r="F1437" s="110">
        <v>11.13</v>
      </c>
      <c r="G1437">
        <v>139907</v>
      </c>
      <c r="H1437" s="110"/>
      <c r="I1437" s="110"/>
      <c r="L1437" s="134">
        <v>44120</v>
      </c>
      <c r="M1437" s="110">
        <v>11.15</v>
      </c>
      <c r="N1437" s="110">
        <v>11.2</v>
      </c>
      <c r="O1437" s="110">
        <v>10.9</v>
      </c>
      <c r="P1437" s="110">
        <v>10.95</v>
      </c>
      <c r="Q1437" s="110">
        <v>11.15</v>
      </c>
      <c r="R1437">
        <v>835676</v>
      </c>
    </row>
    <row r="1438" spans="1:18" x14ac:dyDescent="0.25">
      <c r="A1438" s="134">
        <v>44123</v>
      </c>
      <c r="B1438" s="110">
        <v>12.56</v>
      </c>
      <c r="C1438" s="110">
        <v>11.91</v>
      </c>
      <c r="D1438" s="110">
        <v>11.25</v>
      </c>
      <c r="E1438" s="110">
        <v>11.31</v>
      </c>
      <c r="F1438" s="110">
        <v>11.91</v>
      </c>
      <c r="G1438">
        <v>402978</v>
      </c>
      <c r="H1438" s="110"/>
      <c r="I1438" s="110"/>
      <c r="L1438" s="134">
        <v>44123</v>
      </c>
      <c r="M1438" s="110">
        <v>11.9</v>
      </c>
      <c r="N1438" s="110">
        <v>12.6</v>
      </c>
      <c r="O1438" s="110">
        <v>11.2</v>
      </c>
      <c r="P1438" s="110">
        <v>11.25</v>
      </c>
      <c r="Q1438" s="110">
        <v>11.9</v>
      </c>
      <c r="R1438">
        <v>7394405</v>
      </c>
    </row>
    <row r="1439" spans="1:18" x14ac:dyDescent="0.25">
      <c r="A1439" s="134">
        <v>44124</v>
      </c>
      <c r="B1439" s="110">
        <v>11.9</v>
      </c>
      <c r="C1439" s="110">
        <v>11.6</v>
      </c>
      <c r="D1439" s="110">
        <v>11.32</v>
      </c>
      <c r="E1439" s="110">
        <v>11.9</v>
      </c>
      <c r="F1439" s="110">
        <v>11.6</v>
      </c>
      <c r="G1439">
        <v>370007</v>
      </c>
      <c r="H1439" s="110"/>
      <c r="I1439" s="110"/>
      <c r="L1439" s="134">
        <v>44124</v>
      </c>
      <c r="M1439" s="110">
        <v>11.55</v>
      </c>
      <c r="N1439" s="110">
        <v>12</v>
      </c>
      <c r="O1439" s="110">
        <v>11.5</v>
      </c>
      <c r="P1439" s="110">
        <v>11.9</v>
      </c>
      <c r="Q1439" s="110">
        <v>11.55</v>
      </c>
      <c r="R1439">
        <v>1220378</v>
      </c>
    </row>
    <row r="1440" spans="1:18" x14ac:dyDescent="0.25">
      <c r="A1440" s="134">
        <v>44125</v>
      </c>
      <c r="B1440" s="110">
        <v>11.7</v>
      </c>
      <c r="C1440" s="110">
        <v>11.63</v>
      </c>
      <c r="D1440" s="110">
        <v>11.42</v>
      </c>
      <c r="E1440" s="110">
        <v>11.65</v>
      </c>
      <c r="F1440" s="110">
        <v>11.63</v>
      </c>
      <c r="G1440">
        <v>250389</v>
      </c>
      <c r="H1440" s="110"/>
      <c r="I1440" s="110"/>
      <c r="L1440" s="134">
        <v>44125</v>
      </c>
      <c r="M1440" s="110">
        <v>11.65</v>
      </c>
      <c r="N1440" s="110">
        <v>11.7</v>
      </c>
      <c r="O1440" s="110">
        <v>11.45</v>
      </c>
      <c r="P1440" s="110">
        <v>11.55</v>
      </c>
      <c r="Q1440" s="110">
        <v>11.65</v>
      </c>
      <c r="R1440">
        <v>1682949</v>
      </c>
    </row>
    <row r="1441" spans="1:18" x14ac:dyDescent="0.25">
      <c r="A1441" s="134">
        <v>44126</v>
      </c>
      <c r="B1441" s="110">
        <v>11.8</v>
      </c>
      <c r="C1441" s="110">
        <v>11.62</v>
      </c>
      <c r="D1441" s="110">
        <v>11.45</v>
      </c>
      <c r="E1441" s="110">
        <v>11.8</v>
      </c>
      <c r="F1441" s="110">
        <v>11.62</v>
      </c>
      <c r="G1441">
        <v>112317</v>
      </c>
      <c r="H1441" s="110"/>
      <c r="I1441" s="110"/>
      <c r="L1441" s="134">
        <v>44126</v>
      </c>
      <c r="M1441" s="110">
        <v>11.65</v>
      </c>
      <c r="N1441" s="110">
        <v>11.7</v>
      </c>
      <c r="O1441" s="110">
        <v>11.4</v>
      </c>
      <c r="P1441" s="110">
        <v>11.5</v>
      </c>
      <c r="Q1441" s="110">
        <v>11.65</v>
      </c>
      <c r="R1441">
        <v>1091177</v>
      </c>
    </row>
    <row r="1442" spans="1:18" x14ac:dyDescent="0.25">
      <c r="A1442" s="134">
        <v>44127</v>
      </c>
      <c r="B1442" s="110">
        <v>11.8</v>
      </c>
      <c r="C1442" s="110">
        <v>11.71</v>
      </c>
      <c r="D1442" s="110">
        <v>11.6</v>
      </c>
      <c r="E1442" s="110">
        <v>11.6</v>
      </c>
      <c r="F1442" s="110">
        <v>11.71</v>
      </c>
      <c r="G1442">
        <v>89901</v>
      </c>
      <c r="H1442" s="110"/>
      <c r="I1442" s="110"/>
      <c r="L1442" s="134">
        <v>44127</v>
      </c>
      <c r="M1442" s="110">
        <v>11.7</v>
      </c>
      <c r="N1442" s="110">
        <v>11.8</v>
      </c>
      <c r="O1442" s="110">
        <v>11.6</v>
      </c>
      <c r="P1442" s="110">
        <v>11.7</v>
      </c>
      <c r="Q1442" s="110">
        <v>11.7</v>
      </c>
      <c r="R1442">
        <v>691994</v>
      </c>
    </row>
    <row r="1443" spans="1:18" x14ac:dyDescent="0.25">
      <c r="A1443" s="134">
        <v>44130</v>
      </c>
      <c r="B1443" s="110">
        <v>11.99</v>
      </c>
      <c r="C1443" s="110">
        <v>11.44</v>
      </c>
      <c r="D1443" s="110">
        <v>11.39</v>
      </c>
      <c r="E1443" s="110">
        <v>11.99</v>
      </c>
      <c r="F1443" s="110">
        <v>11.44</v>
      </c>
      <c r="G1443">
        <v>198300</v>
      </c>
      <c r="H1443" s="110"/>
      <c r="I1443" s="110"/>
      <c r="L1443" s="134">
        <v>44130</v>
      </c>
      <c r="M1443" s="110">
        <v>11.45</v>
      </c>
      <c r="N1443" s="110">
        <v>11.8</v>
      </c>
      <c r="O1443" s="110">
        <v>11.4</v>
      </c>
      <c r="P1443" s="110">
        <v>11.75</v>
      </c>
      <c r="Q1443" s="110">
        <v>11.45</v>
      </c>
      <c r="R1443">
        <v>527802</v>
      </c>
    </row>
    <row r="1444" spans="1:18" x14ac:dyDescent="0.25">
      <c r="A1444" s="134">
        <v>44131</v>
      </c>
      <c r="B1444" s="110">
        <v>11.55</v>
      </c>
      <c r="C1444" s="110">
        <v>11.37</v>
      </c>
      <c r="D1444" s="110">
        <v>11.31</v>
      </c>
      <c r="E1444" s="110">
        <v>11.55</v>
      </c>
      <c r="F1444" s="110">
        <v>11.37</v>
      </c>
      <c r="G1444">
        <v>50940</v>
      </c>
      <c r="H1444" s="110"/>
      <c r="I1444" s="110"/>
      <c r="L1444" s="134">
        <v>44131</v>
      </c>
      <c r="M1444" s="110">
        <v>11.35</v>
      </c>
      <c r="N1444" s="110">
        <v>11.55</v>
      </c>
      <c r="O1444" s="110">
        <v>11.3</v>
      </c>
      <c r="P1444" s="110">
        <v>11.45</v>
      </c>
      <c r="Q1444" s="110">
        <v>11.35</v>
      </c>
      <c r="R1444">
        <v>645696</v>
      </c>
    </row>
    <row r="1445" spans="1:18" x14ac:dyDescent="0.25">
      <c r="A1445" s="134">
        <v>44132</v>
      </c>
      <c r="B1445" s="110">
        <v>11.45</v>
      </c>
      <c r="C1445" s="110">
        <v>11.14</v>
      </c>
      <c r="D1445" s="110">
        <v>11.09</v>
      </c>
      <c r="E1445" s="110">
        <v>11.35</v>
      </c>
      <c r="F1445" s="110">
        <v>11.14</v>
      </c>
      <c r="G1445">
        <v>138583</v>
      </c>
      <c r="H1445" s="110"/>
      <c r="I1445" s="110"/>
      <c r="L1445" s="134">
        <v>44132</v>
      </c>
      <c r="M1445" s="110">
        <v>11.1</v>
      </c>
      <c r="N1445" s="110">
        <v>11.45</v>
      </c>
      <c r="O1445" s="110">
        <v>11</v>
      </c>
      <c r="P1445" s="110">
        <v>11.4</v>
      </c>
      <c r="Q1445" s="110">
        <v>11.1</v>
      </c>
      <c r="R1445">
        <v>758798</v>
      </c>
    </row>
    <row r="1446" spans="1:18" x14ac:dyDescent="0.25">
      <c r="A1446" s="134">
        <v>44133</v>
      </c>
      <c r="B1446" s="110">
        <v>11.2</v>
      </c>
      <c r="C1446" s="110">
        <v>11.06</v>
      </c>
      <c r="D1446" s="110">
        <v>10.86</v>
      </c>
      <c r="E1446" s="110">
        <v>10.95</v>
      </c>
      <c r="F1446" s="110">
        <v>11.06</v>
      </c>
      <c r="G1446">
        <v>103722</v>
      </c>
      <c r="H1446" s="110"/>
      <c r="I1446" s="110"/>
      <c r="L1446" s="134">
        <v>44133</v>
      </c>
      <c r="M1446" s="110">
        <v>11.05</v>
      </c>
      <c r="N1446" s="110">
        <v>11.2</v>
      </c>
      <c r="O1446" s="110">
        <v>10.85</v>
      </c>
      <c r="P1446" s="110">
        <v>11</v>
      </c>
      <c r="Q1446" s="110">
        <v>11.05</v>
      </c>
      <c r="R1446">
        <v>726844</v>
      </c>
    </row>
    <row r="1447" spans="1:18" x14ac:dyDescent="0.25">
      <c r="A1447" s="134">
        <v>44134</v>
      </c>
      <c r="B1447" s="110">
        <v>11.11</v>
      </c>
      <c r="C1447" s="110">
        <v>11.05</v>
      </c>
      <c r="D1447" s="110">
        <v>10.86</v>
      </c>
      <c r="E1447" s="110">
        <v>11.11</v>
      </c>
      <c r="F1447" s="110">
        <v>11.05</v>
      </c>
      <c r="G1447">
        <v>85789</v>
      </c>
      <c r="H1447" s="110"/>
      <c r="I1447" s="110"/>
      <c r="L1447" s="134">
        <v>44134</v>
      </c>
      <c r="M1447" s="110">
        <v>11.05</v>
      </c>
      <c r="N1447" s="110">
        <v>11.15</v>
      </c>
      <c r="O1447" s="110">
        <v>10.85</v>
      </c>
      <c r="P1447" s="110">
        <v>11.15</v>
      </c>
      <c r="Q1447" s="110">
        <v>11.05</v>
      </c>
      <c r="R1447">
        <v>620034</v>
      </c>
    </row>
    <row r="1448" spans="1:18" x14ac:dyDescent="0.25">
      <c r="A1448" s="134">
        <v>44137</v>
      </c>
      <c r="B1448" s="110">
        <v>11.36</v>
      </c>
      <c r="C1448" s="110">
        <v>11.23</v>
      </c>
      <c r="D1448" s="110">
        <v>10.99</v>
      </c>
      <c r="E1448" s="110">
        <v>11.09</v>
      </c>
      <c r="F1448" s="110">
        <v>11.23</v>
      </c>
      <c r="G1448">
        <v>203704</v>
      </c>
      <c r="H1448" s="110"/>
      <c r="I1448" s="110"/>
      <c r="L1448" s="134">
        <v>44137</v>
      </c>
      <c r="M1448" s="110">
        <v>11.2</v>
      </c>
      <c r="N1448" s="110">
        <v>11.4</v>
      </c>
      <c r="O1448" s="110">
        <v>11</v>
      </c>
      <c r="P1448" s="110">
        <v>11.05</v>
      </c>
      <c r="Q1448" s="110">
        <v>11.2</v>
      </c>
      <c r="R1448">
        <v>1058507</v>
      </c>
    </row>
    <row r="1449" spans="1:18" x14ac:dyDescent="0.25">
      <c r="A1449" s="134">
        <v>44138</v>
      </c>
      <c r="B1449" s="110">
        <v>11.4</v>
      </c>
      <c r="C1449" s="110">
        <v>11.18</v>
      </c>
      <c r="D1449" s="110">
        <v>11.13</v>
      </c>
      <c r="E1449" s="110">
        <v>11.4</v>
      </c>
      <c r="F1449" s="110">
        <v>11.18</v>
      </c>
      <c r="G1449">
        <v>95387</v>
      </c>
      <c r="H1449" s="110"/>
      <c r="I1449" s="110"/>
      <c r="L1449" s="134">
        <v>44138</v>
      </c>
      <c r="M1449" s="110">
        <v>11.2</v>
      </c>
      <c r="N1449" s="110">
        <v>11.35</v>
      </c>
      <c r="O1449" s="110">
        <v>11.15</v>
      </c>
      <c r="P1449" s="110">
        <v>11.35</v>
      </c>
      <c r="Q1449" s="110">
        <v>11.2</v>
      </c>
      <c r="R1449">
        <v>743667</v>
      </c>
    </row>
    <row r="1450" spans="1:18" x14ac:dyDescent="0.25">
      <c r="A1450" s="134">
        <v>44139</v>
      </c>
      <c r="B1450" s="110">
        <v>11.21</v>
      </c>
      <c r="C1450" s="110">
        <v>11.14</v>
      </c>
      <c r="D1450" s="110">
        <v>11.07</v>
      </c>
      <c r="E1450" s="110">
        <v>11.15</v>
      </c>
      <c r="F1450" s="110">
        <v>11.14</v>
      </c>
      <c r="G1450">
        <v>28813</v>
      </c>
      <c r="H1450" s="110"/>
      <c r="I1450" s="110"/>
      <c r="L1450" s="134">
        <v>44139</v>
      </c>
      <c r="M1450" s="110">
        <v>11.15</v>
      </c>
      <c r="N1450" s="110">
        <v>11.2</v>
      </c>
      <c r="O1450" s="110">
        <v>11.05</v>
      </c>
      <c r="P1450" s="110">
        <v>11.2</v>
      </c>
      <c r="Q1450" s="110">
        <v>11.15</v>
      </c>
      <c r="R1450">
        <v>515925</v>
      </c>
    </row>
    <row r="1451" spans="1:18" x14ac:dyDescent="0.25">
      <c r="A1451" s="134">
        <v>44140</v>
      </c>
      <c r="B1451" s="110">
        <v>11.32</v>
      </c>
      <c r="C1451" s="110">
        <v>11.18</v>
      </c>
      <c r="D1451" s="110">
        <v>11.1</v>
      </c>
      <c r="E1451" s="110">
        <v>11.21</v>
      </c>
      <c r="F1451" s="110">
        <v>11.18</v>
      </c>
      <c r="G1451">
        <v>75726</v>
      </c>
      <c r="H1451" s="110"/>
      <c r="I1451" s="110"/>
      <c r="L1451" s="134">
        <v>44140</v>
      </c>
      <c r="M1451" s="110">
        <v>11.15</v>
      </c>
      <c r="N1451" s="110">
        <v>11.35</v>
      </c>
      <c r="O1451" s="110">
        <v>11.1</v>
      </c>
      <c r="P1451" s="110">
        <v>11.25</v>
      </c>
      <c r="Q1451" s="110">
        <v>11.15</v>
      </c>
      <c r="R1451">
        <v>1063988</v>
      </c>
    </row>
    <row r="1452" spans="1:18" x14ac:dyDescent="0.25">
      <c r="A1452" s="134">
        <v>44141</v>
      </c>
      <c r="B1452" s="110">
        <v>11.5</v>
      </c>
      <c r="C1452" s="110">
        <v>11.17</v>
      </c>
      <c r="D1452" s="110">
        <v>11.06</v>
      </c>
      <c r="E1452" s="110">
        <v>11.5</v>
      </c>
      <c r="F1452" s="110">
        <v>11.17</v>
      </c>
      <c r="G1452">
        <v>186468</v>
      </c>
      <c r="H1452" s="110"/>
      <c r="I1452" s="110"/>
      <c r="L1452" s="134">
        <v>44141</v>
      </c>
      <c r="M1452" s="110">
        <v>11.15</v>
      </c>
      <c r="N1452" s="110">
        <v>11.25</v>
      </c>
      <c r="O1452" s="110">
        <v>11.05</v>
      </c>
      <c r="P1452" s="110">
        <v>11.15</v>
      </c>
      <c r="Q1452" s="110">
        <v>11.15</v>
      </c>
      <c r="R1452">
        <v>1150772</v>
      </c>
    </row>
    <row r="1453" spans="1:18" x14ac:dyDescent="0.25">
      <c r="A1453" s="134">
        <v>44144</v>
      </c>
      <c r="B1453" s="110">
        <v>11.3</v>
      </c>
      <c r="C1453" s="110">
        <v>11.13</v>
      </c>
      <c r="D1453" s="110">
        <v>11.11</v>
      </c>
      <c r="E1453" s="110">
        <v>11.16</v>
      </c>
      <c r="F1453" s="110">
        <v>11.13</v>
      </c>
      <c r="G1453">
        <v>104768</v>
      </c>
      <c r="H1453" s="110"/>
      <c r="I1453" s="110"/>
      <c r="L1453" s="134">
        <v>44144</v>
      </c>
      <c r="M1453" s="110">
        <v>11.15</v>
      </c>
      <c r="N1453" s="110">
        <v>11.3</v>
      </c>
      <c r="O1453" s="110">
        <v>11.1</v>
      </c>
      <c r="P1453" s="110">
        <v>11.3</v>
      </c>
      <c r="Q1453" s="110">
        <v>11.15</v>
      </c>
      <c r="R1453">
        <v>873373</v>
      </c>
    </row>
    <row r="1454" spans="1:18" x14ac:dyDescent="0.25">
      <c r="A1454" s="134">
        <v>44145</v>
      </c>
      <c r="B1454" s="110">
        <v>11.4</v>
      </c>
      <c r="C1454" s="110">
        <v>11.23</v>
      </c>
      <c r="D1454" s="110">
        <v>11</v>
      </c>
      <c r="E1454" s="110">
        <v>11</v>
      </c>
      <c r="F1454" s="110">
        <v>11.23</v>
      </c>
      <c r="G1454">
        <v>114559</v>
      </c>
      <c r="H1454" s="110"/>
      <c r="I1454" s="110"/>
      <c r="L1454" s="134">
        <v>44145</v>
      </c>
      <c r="M1454" s="110">
        <v>11.2</v>
      </c>
      <c r="N1454" s="110">
        <v>11.4</v>
      </c>
      <c r="O1454" s="110">
        <v>11.1</v>
      </c>
      <c r="P1454" s="110">
        <v>11.2</v>
      </c>
      <c r="Q1454" s="110">
        <v>11.2</v>
      </c>
      <c r="R1454">
        <v>1719659</v>
      </c>
    </row>
    <row r="1455" spans="1:18" x14ac:dyDescent="0.25">
      <c r="A1455" s="134">
        <v>44146</v>
      </c>
      <c r="B1455" s="110">
        <v>11.46</v>
      </c>
      <c r="C1455" s="110">
        <v>11.29</v>
      </c>
      <c r="D1455" s="110">
        <v>11.21</v>
      </c>
      <c r="E1455" s="110">
        <v>11.21</v>
      </c>
      <c r="F1455" s="110">
        <v>11.29</v>
      </c>
      <c r="G1455">
        <v>198820</v>
      </c>
      <c r="H1455" s="110"/>
      <c r="I1455" s="110"/>
      <c r="L1455" s="134">
        <v>44146</v>
      </c>
      <c r="M1455" s="110">
        <v>11.3</v>
      </c>
      <c r="N1455" s="110">
        <v>11.45</v>
      </c>
      <c r="O1455" s="110">
        <v>11.2</v>
      </c>
      <c r="P1455" s="110">
        <v>11.25</v>
      </c>
      <c r="Q1455" s="110">
        <v>11.3</v>
      </c>
      <c r="R1455">
        <v>1018862</v>
      </c>
    </row>
    <row r="1456" spans="1:18" x14ac:dyDescent="0.25">
      <c r="A1456" s="134">
        <v>44147</v>
      </c>
      <c r="B1456" s="110">
        <v>11.31</v>
      </c>
      <c r="C1456" s="110">
        <v>11.21</v>
      </c>
      <c r="D1456" s="110">
        <v>11.19</v>
      </c>
      <c r="E1456" s="110">
        <v>11.3</v>
      </c>
      <c r="F1456" s="110">
        <v>11.21</v>
      </c>
      <c r="G1456">
        <v>39701</v>
      </c>
      <c r="H1456" s="110"/>
      <c r="I1456" s="110"/>
      <c r="L1456" s="134">
        <v>44147</v>
      </c>
      <c r="M1456" s="110">
        <v>11.2</v>
      </c>
      <c r="N1456" s="110">
        <v>11.35</v>
      </c>
      <c r="O1456" s="110">
        <v>11.15</v>
      </c>
      <c r="P1456" s="110">
        <v>11.25</v>
      </c>
      <c r="Q1456" s="110">
        <v>11.2</v>
      </c>
      <c r="R1456">
        <v>566799</v>
      </c>
    </row>
    <row r="1457" spans="1:18" x14ac:dyDescent="0.25">
      <c r="A1457" s="134">
        <v>44148</v>
      </c>
      <c r="B1457" s="110">
        <v>11.26</v>
      </c>
      <c r="C1457" s="110">
        <v>11.21</v>
      </c>
      <c r="D1457" s="110">
        <v>11.09</v>
      </c>
      <c r="E1457" s="110">
        <v>11.2</v>
      </c>
      <c r="F1457" s="110">
        <v>11.21</v>
      </c>
      <c r="G1457">
        <v>80691</v>
      </c>
      <c r="H1457" s="110"/>
      <c r="I1457" s="110"/>
      <c r="L1457" s="134">
        <v>44148</v>
      </c>
      <c r="M1457" s="110">
        <v>11.2</v>
      </c>
      <c r="N1457" s="110">
        <v>11.25</v>
      </c>
      <c r="O1457" s="110">
        <v>11.1</v>
      </c>
      <c r="P1457" s="110">
        <v>11.2</v>
      </c>
      <c r="Q1457" s="110">
        <v>11.2</v>
      </c>
      <c r="R1457">
        <v>677887</v>
      </c>
    </row>
    <row r="1458" spans="1:18" x14ac:dyDescent="0.25">
      <c r="A1458" s="134">
        <v>44149</v>
      </c>
      <c r="B1458" s="110">
        <v>11.44</v>
      </c>
      <c r="C1458" s="110">
        <v>11.31</v>
      </c>
      <c r="D1458" s="110">
        <v>11.23</v>
      </c>
      <c r="E1458" s="110">
        <v>11.44</v>
      </c>
      <c r="F1458" s="110">
        <v>11.31</v>
      </c>
      <c r="G1458">
        <v>39723</v>
      </c>
      <c r="H1458" s="110"/>
      <c r="I1458" s="110"/>
      <c r="L1458" s="134">
        <v>44149</v>
      </c>
      <c r="M1458" s="110">
        <v>11.3</v>
      </c>
      <c r="N1458" s="110">
        <v>11.35</v>
      </c>
      <c r="O1458" s="110">
        <v>11.2</v>
      </c>
      <c r="P1458" s="110">
        <v>11.25</v>
      </c>
      <c r="Q1458" s="110">
        <v>11.3</v>
      </c>
      <c r="R1458">
        <v>282407</v>
      </c>
    </row>
    <row r="1459" spans="1:18" x14ac:dyDescent="0.25">
      <c r="A1459" s="134">
        <v>44152</v>
      </c>
      <c r="B1459" s="110">
        <v>11.44</v>
      </c>
      <c r="C1459" s="110">
        <v>11.24</v>
      </c>
      <c r="D1459" s="110">
        <v>11.2</v>
      </c>
      <c r="E1459" s="110">
        <v>11.44</v>
      </c>
      <c r="F1459" s="110">
        <v>11.24</v>
      </c>
      <c r="G1459">
        <v>139820</v>
      </c>
      <c r="H1459" s="110"/>
      <c r="I1459" s="110"/>
      <c r="L1459" s="134">
        <v>44152</v>
      </c>
      <c r="M1459" s="110">
        <v>11.25</v>
      </c>
      <c r="N1459" s="110">
        <v>11.3</v>
      </c>
      <c r="O1459" s="110">
        <v>11.2</v>
      </c>
      <c r="P1459" s="110">
        <v>11.3</v>
      </c>
      <c r="Q1459" s="110">
        <v>11.25</v>
      </c>
      <c r="R1459">
        <v>844396</v>
      </c>
    </row>
    <row r="1460" spans="1:18" x14ac:dyDescent="0.25">
      <c r="A1460" s="134">
        <v>44153</v>
      </c>
      <c r="B1460" s="110">
        <v>11.55</v>
      </c>
      <c r="C1460" s="110">
        <v>11.38</v>
      </c>
      <c r="D1460" s="110">
        <v>11.2</v>
      </c>
      <c r="E1460" s="110">
        <v>11.25</v>
      </c>
      <c r="F1460" s="110">
        <v>11.38</v>
      </c>
      <c r="G1460">
        <v>116151</v>
      </c>
      <c r="H1460" s="110"/>
      <c r="I1460" s="110"/>
      <c r="L1460" s="134">
        <v>44153</v>
      </c>
      <c r="M1460" s="110">
        <v>11.4</v>
      </c>
      <c r="N1460" s="110">
        <v>11.6</v>
      </c>
      <c r="O1460" s="110">
        <v>11.15</v>
      </c>
      <c r="P1460" s="110">
        <v>11.2</v>
      </c>
      <c r="Q1460" s="110">
        <v>11.4</v>
      </c>
      <c r="R1460">
        <v>2251875</v>
      </c>
    </row>
    <row r="1461" spans="1:18" x14ac:dyDescent="0.25">
      <c r="A1461" s="134">
        <v>44154</v>
      </c>
      <c r="B1461" s="110">
        <v>11.41</v>
      </c>
      <c r="C1461" s="110">
        <v>11.21</v>
      </c>
      <c r="D1461" s="110">
        <v>11.12</v>
      </c>
      <c r="E1461" s="110">
        <v>11.38</v>
      </c>
      <c r="F1461" s="110">
        <v>11.21</v>
      </c>
      <c r="G1461">
        <v>77413</v>
      </c>
      <c r="H1461" s="110"/>
      <c r="I1461" s="110"/>
      <c r="L1461" s="134">
        <v>44154</v>
      </c>
      <c r="M1461" s="110">
        <v>11.2</v>
      </c>
      <c r="N1461" s="110">
        <v>11.4</v>
      </c>
      <c r="O1461" s="110">
        <v>11.1</v>
      </c>
      <c r="P1461" s="110">
        <v>11.3</v>
      </c>
      <c r="Q1461" s="110">
        <v>11.2</v>
      </c>
      <c r="R1461">
        <v>1738514</v>
      </c>
    </row>
    <row r="1462" spans="1:18" x14ac:dyDescent="0.25">
      <c r="A1462" s="134">
        <v>44155</v>
      </c>
      <c r="B1462" s="110">
        <v>11.36</v>
      </c>
      <c r="C1462" s="110">
        <v>11.24</v>
      </c>
      <c r="D1462" s="110">
        <v>11.17</v>
      </c>
      <c r="E1462" s="110">
        <v>11.34</v>
      </c>
      <c r="F1462" s="110">
        <v>11.24</v>
      </c>
      <c r="G1462">
        <v>244928</v>
      </c>
      <c r="H1462" s="110"/>
      <c r="I1462" s="110"/>
      <c r="L1462" s="134">
        <v>44155</v>
      </c>
      <c r="M1462" s="110">
        <v>11.25</v>
      </c>
      <c r="N1462" s="110">
        <v>11.4</v>
      </c>
      <c r="O1462" s="110">
        <v>11.15</v>
      </c>
      <c r="P1462" s="110">
        <v>11.25</v>
      </c>
      <c r="Q1462" s="110">
        <v>11.25</v>
      </c>
      <c r="R1462">
        <v>1923168</v>
      </c>
    </row>
    <row r="1463" spans="1:18" x14ac:dyDescent="0.25">
      <c r="A1463" s="134">
        <v>44158</v>
      </c>
      <c r="B1463" s="110">
        <v>11.8</v>
      </c>
      <c r="C1463" s="110">
        <v>11.65</v>
      </c>
      <c r="D1463" s="110">
        <v>11.3</v>
      </c>
      <c r="E1463" s="110">
        <v>11.36</v>
      </c>
      <c r="F1463" s="110">
        <v>11.65</v>
      </c>
      <c r="G1463">
        <v>111642</v>
      </c>
      <c r="H1463" s="110"/>
      <c r="I1463" s="110"/>
      <c r="L1463" s="134">
        <v>44158</v>
      </c>
      <c r="M1463" s="110">
        <v>11.65</v>
      </c>
      <c r="N1463" s="110">
        <v>11.85</v>
      </c>
      <c r="O1463" s="110">
        <v>11.3</v>
      </c>
      <c r="P1463" s="110">
        <v>11.4</v>
      </c>
      <c r="Q1463" s="110">
        <v>11.65</v>
      </c>
      <c r="R1463">
        <v>2214780</v>
      </c>
    </row>
    <row r="1464" spans="1:18" x14ac:dyDescent="0.25">
      <c r="A1464" s="134">
        <v>44159</v>
      </c>
      <c r="B1464" s="110">
        <v>11.8</v>
      </c>
      <c r="C1464" s="110">
        <v>11.66</v>
      </c>
      <c r="D1464" s="110">
        <v>11.61</v>
      </c>
      <c r="E1464" s="110">
        <v>11.65</v>
      </c>
      <c r="F1464" s="110">
        <v>11.66</v>
      </c>
      <c r="G1464">
        <v>218970</v>
      </c>
      <c r="H1464" s="110"/>
      <c r="I1464" s="110"/>
      <c r="L1464" s="134">
        <v>44159</v>
      </c>
      <c r="M1464" s="110">
        <v>11.65</v>
      </c>
      <c r="N1464" s="110">
        <v>11.8</v>
      </c>
      <c r="O1464" s="110">
        <v>11.6</v>
      </c>
      <c r="P1464" s="110">
        <v>11.8</v>
      </c>
      <c r="Q1464" s="110">
        <v>11.65</v>
      </c>
      <c r="R1464">
        <v>1474817</v>
      </c>
    </row>
    <row r="1465" spans="1:18" x14ac:dyDescent="0.25">
      <c r="A1465" s="134">
        <v>44160</v>
      </c>
      <c r="B1465" s="110">
        <v>12.3</v>
      </c>
      <c r="C1465" s="110">
        <v>11.82</v>
      </c>
      <c r="D1465" s="110">
        <v>11.69</v>
      </c>
      <c r="E1465" s="110">
        <v>11.75</v>
      </c>
      <c r="F1465" s="110">
        <v>11.82</v>
      </c>
      <c r="G1465">
        <v>562177</v>
      </c>
      <c r="H1465" s="110"/>
      <c r="I1465" s="110"/>
      <c r="L1465" s="134">
        <v>44160</v>
      </c>
      <c r="M1465" s="110">
        <v>11.8</v>
      </c>
      <c r="N1465" s="110">
        <v>12.35</v>
      </c>
      <c r="O1465" s="110">
        <v>11.65</v>
      </c>
      <c r="P1465" s="110">
        <v>11.85</v>
      </c>
      <c r="Q1465" s="110">
        <v>11.8</v>
      </c>
      <c r="R1465">
        <v>5766995</v>
      </c>
    </row>
    <row r="1466" spans="1:18" x14ac:dyDescent="0.25">
      <c r="A1466" s="134">
        <v>44161</v>
      </c>
      <c r="B1466" s="110">
        <v>11.95</v>
      </c>
      <c r="C1466" s="110">
        <v>11.8</v>
      </c>
      <c r="D1466" s="110">
        <v>11.74</v>
      </c>
      <c r="E1466" s="110">
        <v>11.82</v>
      </c>
      <c r="F1466" s="110">
        <v>11.8</v>
      </c>
      <c r="G1466">
        <v>144233</v>
      </c>
      <c r="H1466" s="110"/>
      <c r="I1466" s="110"/>
      <c r="L1466" s="134">
        <v>44161</v>
      </c>
      <c r="M1466" s="110">
        <v>11.8</v>
      </c>
      <c r="N1466" s="110">
        <v>11.95</v>
      </c>
      <c r="O1466" s="110">
        <v>11.75</v>
      </c>
      <c r="P1466" s="110">
        <v>11.9</v>
      </c>
      <c r="Q1466" s="110">
        <v>11.8</v>
      </c>
      <c r="R1466">
        <v>1302712</v>
      </c>
    </row>
    <row r="1467" spans="1:18" x14ac:dyDescent="0.25">
      <c r="A1467" s="134">
        <v>44162</v>
      </c>
      <c r="B1467" s="110">
        <v>12.51</v>
      </c>
      <c r="C1467" s="110">
        <v>12.18</v>
      </c>
      <c r="D1467" s="110">
        <v>11.79</v>
      </c>
      <c r="E1467" s="110">
        <v>11.8</v>
      </c>
      <c r="F1467" s="110">
        <v>12.18</v>
      </c>
      <c r="G1467">
        <v>872920</v>
      </c>
      <c r="H1467" s="110"/>
      <c r="I1467" s="110"/>
      <c r="L1467" s="134">
        <v>44162</v>
      </c>
      <c r="M1467" s="110">
        <v>12.2</v>
      </c>
      <c r="N1467" s="110">
        <v>12.5</v>
      </c>
      <c r="O1467" s="110">
        <v>11.8</v>
      </c>
      <c r="P1467" s="110">
        <v>11.85</v>
      </c>
      <c r="Q1467" s="110">
        <v>12.2</v>
      </c>
      <c r="R1467">
        <v>5939881</v>
      </c>
    </row>
    <row r="1468" spans="1:18" x14ac:dyDescent="0.25">
      <c r="A1468" s="134">
        <v>44166</v>
      </c>
      <c r="B1468" s="110">
        <v>12.71</v>
      </c>
      <c r="C1468" s="110">
        <v>12.44</v>
      </c>
      <c r="D1468" s="110">
        <v>12.29</v>
      </c>
      <c r="E1468" s="110">
        <v>12.49</v>
      </c>
      <c r="F1468" s="110">
        <v>12.44</v>
      </c>
      <c r="G1468">
        <v>554292</v>
      </c>
      <c r="H1468" s="110"/>
      <c r="I1468" s="110"/>
      <c r="L1468" s="134">
        <v>44166</v>
      </c>
      <c r="M1468" s="110">
        <v>12.4</v>
      </c>
      <c r="N1468" s="110">
        <v>12.75</v>
      </c>
      <c r="O1468" s="110">
        <v>12.2</v>
      </c>
      <c r="P1468" s="110">
        <v>12.45</v>
      </c>
      <c r="Q1468" s="110">
        <v>12.4</v>
      </c>
      <c r="R1468">
        <v>4073853</v>
      </c>
    </row>
    <row r="1469" spans="1:18" x14ac:dyDescent="0.25">
      <c r="A1469" s="134">
        <v>44167</v>
      </c>
      <c r="B1469" s="110">
        <v>12.69</v>
      </c>
      <c r="C1469" s="110">
        <v>12.61</v>
      </c>
      <c r="D1469" s="110">
        <v>12.35</v>
      </c>
      <c r="E1469" s="110">
        <v>12.6</v>
      </c>
      <c r="F1469" s="110">
        <v>12.61</v>
      </c>
      <c r="G1469">
        <v>560195</v>
      </c>
      <c r="H1469" s="110"/>
      <c r="I1469" s="110"/>
      <c r="L1469" s="134">
        <v>44167</v>
      </c>
      <c r="M1469" s="110">
        <v>12.65</v>
      </c>
      <c r="N1469" s="110">
        <v>12.7</v>
      </c>
      <c r="O1469" s="110">
        <v>12.3</v>
      </c>
      <c r="P1469" s="110">
        <v>12.4</v>
      </c>
      <c r="Q1469" s="110">
        <v>12.65</v>
      </c>
      <c r="R1469">
        <v>3763566</v>
      </c>
    </row>
    <row r="1470" spans="1:18" x14ac:dyDescent="0.25">
      <c r="A1470" s="134">
        <v>44168</v>
      </c>
      <c r="B1470" s="110">
        <v>13.36</v>
      </c>
      <c r="C1470" s="110">
        <v>13.04</v>
      </c>
      <c r="D1470" s="110">
        <v>12.69</v>
      </c>
      <c r="E1470" s="110">
        <v>12.7</v>
      </c>
      <c r="F1470" s="110">
        <v>13.04</v>
      </c>
      <c r="G1470">
        <v>551225</v>
      </c>
      <c r="H1470" s="110"/>
      <c r="I1470" s="110"/>
      <c r="L1470" s="134">
        <v>44168</v>
      </c>
      <c r="M1470" s="110">
        <v>13.05</v>
      </c>
      <c r="N1470" s="110">
        <v>13.35</v>
      </c>
      <c r="O1470" s="110">
        <v>12.65</v>
      </c>
      <c r="P1470" s="110">
        <v>12.7</v>
      </c>
      <c r="Q1470" s="110">
        <v>13.05</v>
      </c>
      <c r="R1470">
        <v>7930046</v>
      </c>
    </row>
    <row r="1471" spans="1:18" x14ac:dyDescent="0.25">
      <c r="A1471" s="134">
        <v>44169</v>
      </c>
      <c r="B1471" s="110">
        <v>14.3</v>
      </c>
      <c r="C1471" s="110">
        <v>14.19</v>
      </c>
      <c r="D1471" s="110">
        <v>13.18</v>
      </c>
      <c r="E1471" s="110">
        <v>13.3</v>
      </c>
      <c r="F1471" s="110">
        <v>14.19</v>
      </c>
      <c r="G1471">
        <v>1182049</v>
      </c>
      <c r="H1471" s="110"/>
      <c r="I1471" s="110"/>
      <c r="L1471" s="134">
        <v>44169</v>
      </c>
      <c r="M1471" s="110">
        <v>14.2</v>
      </c>
      <c r="N1471" s="110">
        <v>14.35</v>
      </c>
      <c r="O1471" s="110">
        <v>13.1</v>
      </c>
      <c r="P1471" s="110">
        <v>13.15</v>
      </c>
      <c r="Q1471" s="110">
        <v>14.2</v>
      </c>
      <c r="R1471">
        <v>12919438</v>
      </c>
    </row>
    <row r="1472" spans="1:18" x14ac:dyDescent="0.25">
      <c r="A1472" s="134">
        <v>44172</v>
      </c>
      <c r="B1472" s="110">
        <v>15.15</v>
      </c>
      <c r="C1472" s="110">
        <v>15.08</v>
      </c>
      <c r="D1472" s="110">
        <v>14.31</v>
      </c>
      <c r="E1472" s="110">
        <v>14.4</v>
      </c>
      <c r="F1472" s="110">
        <v>15.08</v>
      </c>
      <c r="G1472">
        <v>1371303</v>
      </c>
      <c r="H1472" s="110"/>
      <c r="I1472" s="110"/>
      <c r="L1472" s="134">
        <v>44172</v>
      </c>
      <c r="M1472" s="110">
        <v>15.1</v>
      </c>
      <c r="N1472" s="110">
        <v>15.15</v>
      </c>
      <c r="O1472" s="110">
        <v>14.3</v>
      </c>
      <c r="P1472" s="110">
        <v>14.3</v>
      </c>
      <c r="Q1472" s="110">
        <v>15.1</v>
      </c>
      <c r="R1472">
        <v>11987460</v>
      </c>
    </row>
    <row r="1473" spans="1:18" x14ac:dyDescent="0.25">
      <c r="A1473" s="134">
        <v>44173</v>
      </c>
      <c r="B1473" s="110">
        <v>16</v>
      </c>
      <c r="C1473" s="110">
        <v>15.41</v>
      </c>
      <c r="D1473" s="110">
        <v>14</v>
      </c>
      <c r="E1473" s="110">
        <v>15.6</v>
      </c>
      <c r="F1473" s="110">
        <v>15.41</v>
      </c>
      <c r="G1473">
        <v>1121570</v>
      </c>
      <c r="H1473" s="110"/>
      <c r="I1473" s="110"/>
      <c r="L1473" s="134">
        <v>44173</v>
      </c>
      <c r="M1473" s="110">
        <v>15.3</v>
      </c>
      <c r="N1473" s="110">
        <v>15.8</v>
      </c>
      <c r="O1473" s="110">
        <v>14.05</v>
      </c>
      <c r="P1473" s="110">
        <v>15.25</v>
      </c>
      <c r="Q1473" s="110">
        <v>15.3</v>
      </c>
      <c r="R1473">
        <v>17882720</v>
      </c>
    </row>
    <row r="1474" spans="1:18" x14ac:dyDescent="0.25">
      <c r="A1474" s="134">
        <v>44174</v>
      </c>
      <c r="B1474" s="110">
        <v>15.95</v>
      </c>
      <c r="C1474" s="110">
        <v>15.53</v>
      </c>
      <c r="D1474" s="110">
        <v>15.35</v>
      </c>
      <c r="E1474" s="110">
        <v>15.67</v>
      </c>
      <c r="F1474" s="110">
        <v>15.53</v>
      </c>
      <c r="G1474">
        <v>1817614</v>
      </c>
      <c r="H1474" s="110"/>
      <c r="I1474" s="110"/>
      <c r="L1474" s="134">
        <v>44174</v>
      </c>
      <c r="M1474" s="110">
        <v>15.55</v>
      </c>
      <c r="N1474" s="110">
        <v>16</v>
      </c>
      <c r="O1474" s="110">
        <v>15.35</v>
      </c>
      <c r="P1474" s="110">
        <v>15.55</v>
      </c>
      <c r="Q1474" s="110">
        <v>15.55</v>
      </c>
      <c r="R1474">
        <v>11411001</v>
      </c>
    </row>
    <row r="1475" spans="1:18" x14ac:dyDescent="0.25">
      <c r="A1475" s="134">
        <v>44175</v>
      </c>
      <c r="B1475" s="110">
        <v>15.55</v>
      </c>
      <c r="C1475" s="110">
        <v>14.66</v>
      </c>
      <c r="D1475" s="110">
        <v>14.36</v>
      </c>
      <c r="E1475" s="110">
        <v>15.55</v>
      </c>
      <c r="F1475" s="110">
        <v>14.66</v>
      </c>
      <c r="G1475">
        <v>813528</v>
      </c>
      <c r="H1475" s="110"/>
      <c r="I1475" s="110"/>
      <c r="L1475" s="134">
        <v>44175</v>
      </c>
      <c r="M1475" s="110">
        <v>14.65</v>
      </c>
      <c r="N1475" s="110">
        <v>15.6</v>
      </c>
      <c r="O1475" s="110">
        <v>14.4</v>
      </c>
      <c r="P1475" s="110">
        <v>15.6</v>
      </c>
      <c r="Q1475" s="110">
        <v>14.65</v>
      </c>
      <c r="R1475">
        <v>6561016</v>
      </c>
    </row>
    <row r="1476" spans="1:18" x14ac:dyDescent="0.25">
      <c r="A1476" s="134">
        <v>44176</v>
      </c>
      <c r="B1476" s="110">
        <v>15.15</v>
      </c>
      <c r="C1476" s="110">
        <v>14.5</v>
      </c>
      <c r="D1476" s="110">
        <v>14.33</v>
      </c>
      <c r="E1476" s="110">
        <v>14.66</v>
      </c>
      <c r="F1476" s="110">
        <v>14.5</v>
      </c>
      <c r="G1476">
        <v>946443</v>
      </c>
      <c r="H1476" s="110"/>
      <c r="I1476" s="110"/>
      <c r="L1476" s="134">
        <v>44176</v>
      </c>
      <c r="M1476" s="110">
        <v>14.45</v>
      </c>
      <c r="N1476" s="110">
        <v>15.2</v>
      </c>
      <c r="O1476" s="110">
        <v>14.3</v>
      </c>
      <c r="P1476" s="110">
        <v>14.8</v>
      </c>
      <c r="Q1476" s="110">
        <v>14.45</v>
      </c>
      <c r="R1476">
        <v>3989531</v>
      </c>
    </row>
    <row r="1477" spans="1:18" x14ac:dyDescent="0.25">
      <c r="A1477" s="134">
        <v>44179</v>
      </c>
      <c r="B1477" s="110">
        <v>14.85</v>
      </c>
      <c r="C1477" s="110">
        <v>14.33</v>
      </c>
      <c r="D1477" s="110">
        <v>14.18</v>
      </c>
      <c r="E1477" s="110">
        <v>14.85</v>
      </c>
      <c r="F1477" s="110">
        <v>14.33</v>
      </c>
      <c r="G1477">
        <v>465148</v>
      </c>
      <c r="H1477" s="110"/>
      <c r="I1477" s="110"/>
      <c r="L1477" s="134">
        <v>44179</v>
      </c>
      <c r="M1477" s="110">
        <v>14.3</v>
      </c>
      <c r="N1477" s="110">
        <v>14.8</v>
      </c>
      <c r="O1477" s="110">
        <v>14.2</v>
      </c>
      <c r="P1477" s="110">
        <v>14.65</v>
      </c>
      <c r="Q1477" s="110">
        <v>14.3</v>
      </c>
      <c r="R1477">
        <v>2700136</v>
      </c>
    </row>
    <row r="1478" spans="1:18" x14ac:dyDescent="0.25">
      <c r="A1478" s="134">
        <v>44180</v>
      </c>
      <c r="B1478" s="110">
        <v>14.52</v>
      </c>
      <c r="C1478" s="110">
        <v>14.15</v>
      </c>
      <c r="D1478" s="110">
        <v>14.03</v>
      </c>
      <c r="E1478" s="110">
        <v>14.4</v>
      </c>
      <c r="F1478" s="110">
        <v>14.15</v>
      </c>
      <c r="G1478">
        <v>310179</v>
      </c>
      <c r="H1478" s="110"/>
      <c r="I1478" s="110"/>
      <c r="L1478" s="134">
        <v>44180</v>
      </c>
      <c r="M1478" s="110">
        <v>14.15</v>
      </c>
      <c r="N1478" s="110">
        <v>14.55</v>
      </c>
      <c r="O1478" s="110">
        <v>14.05</v>
      </c>
      <c r="P1478" s="110">
        <v>14.55</v>
      </c>
      <c r="Q1478" s="110">
        <v>14.15</v>
      </c>
      <c r="R1478">
        <v>2272861</v>
      </c>
    </row>
    <row r="1479" spans="1:18" x14ac:dyDescent="0.25">
      <c r="A1479" s="134">
        <v>44181</v>
      </c>
      <c r="B1479" s="110">
        <v>14.5</v>
      </c>
      <c r="C1479" s="110">
        <v>14.27</v>
      </c>
      <c r="D1479" s="110">
        <v>14.05</v>
      </c>
      <c r="E1479" s="110">
        <v>14.05</v>
      </c>
      <c r="F1479" s="110">
        <v>14.27</v>
      </c>
      <c r="G1479">
        <v>419061</v>
      </c>
      <c r="H1479" s="110"/>
      <c r="I1479" s="110"/>
      <c r="L1479" s="134">
        <v>44181</v>
      </c>
      <c r="M1479" s="110">
        <v>14.25</v>
      </c>
      <c r="N1479" s="110">
        <v>14.55</v>
      </c>
      <c r="O1479" s="110">
        <v>14.2</v>
      </c>
      <c r="P1479" s="110">
        <v>14.25</v>
      </c>
      <c r="Q1479" s="110">
        <v>14.25</v>
      </c>
      <c r="R1479">
        <v>2288828</v>
      </c>
    </row>
    <row r="1480" spans="1:18" x14ac:dyDescent="0.25">
      <c r="A1480" s="134">
        <v>44182</v>
      </c>
      <c r="B1480" s="110">
        <v>14.35</v>
      </c>
      <c r="C1480" s="110">
        <v>13.75</v>
      </c>
      <c r="D1480" s="110">
        <v>13.61</v>
      </c>
      <c r="E1480" s="110">
        <v>14.11</v>
      </c>
      <c r="F1480" s="110">
        <v>13.75</v>
      </c>
      <c r="G1480">
        <v>294349</v>
      </c>
      <c r="H1480" s="110"/>
      <c r="I1480" s="110"/>
      <c r="L1480" s="134">
        <v>44182</v>
      </c>
      <c r="M1480" s="110">
        <v>13.7</v>
      </c>
      <c r="N1480" s="110">
        <v>14.35</v>
      </c>
      <c r="O1480" s="110">
        <v>13.55</v>
      </c>
      <c r="P1480" s="110">
        <v>14.35</v>
      </c>
      <c r="Q1480" s="110">
        <v>13.7</v>
      </c>
      <c r="R1480">
        <v>2386241</v>
      </c>
    </row>
    <row r="1481" spans="1:18" x14ac:dyDescent="0.25">
      <c r="A1481" s="134">
        <v>44183</v>
      </c>
      <c r="B1481" s="110">
        <v>13.72</v>
      </c>
      <c r="C1481" s="110">
        <v>13.38</v>
      </c>
      <c r="D1481" s="110">
        <v>13</v>
      </c>
      <c r="E1481" s="110">
        <v>13.5</v>
      </c>
      <c r="F1481" s="110">
        <v>13.38</v>
      </c>
      <c r="G1481">
        <v>445014</v>
      </c>
      <c r="H1481" s="110"/>
      <c r="I1481" s="110"/>
      <c r="L1481" s="134">
        <v>44183</v>
      </c>
      <c r="M1481" s="110">
        <v>13.4</v>
      </c>
      <c r="N1481" s="110">
        <v>13.7</v>
      </c>
      <c r="O1481" s="110">
        <v>13.05</v>
      </c>
      <c r="P1481" s="110">
        <v>13.6</v>
      </c>
      <c r="Q1481" s="110">
        <v>13.4</v>
      </c>
      <c r="R1481">
        <v>3259240</v>
      </c>
    </row>
    <row r="1482" spans="1:18" x14ac:dyDescent="0.25">
      <c r="A1482" s="134">
        <v>44186</v>
      </c>
      <c r="B1482" s="110">
        <v>13.45</v>
      </c>
      <c r="C1482" s="110">
        <v>12.16</v>
      </c>
      <c r="D1482" s="110">
        <v>11.9</v>
      </c>
      <c r="E1482" s="110">
        <v>13.45</v>
      </c>
      <c r="F1482" s="110">
        <v>12.16</v>
      </c>
      <c r="G1482">
        <v>466689</v>
      </c>
      <c r="H1482" s="110"/>
      <c r="I1482" s="110"/>
      <c r="L1482" s="134">
        <v>44186</v>
      </c>
      <c r="M1482" s="110">
        <v>12.15</v>
      </c>
      <c r="N1482" s="110">
        <v>13.35</v>
      </c>
      <c r="O1482" s="110">
        <v>11</v>
      </c>
      <c r="P1482" s="110">
        <v>13.35</v>
      </c>
      <c r="Q1482" s="110">
        <v>12.15</v>
      </c>
      <c r="R1482">
        <v>5803664</v>
      </c>
    </row>
    <row r="1483" spans="1:18" x14ac:dyDescent="0.25">
      <c r="A1483" s="134">
        <v>44187</v>
      </c>
      <c r="B1483" s="110">
        <v>12.6</v>
      </c>
      <c r="C1483" s="110">
        <v>12.45</v>
      </c>
      <c r="D1483" s="110">
        <v>11.56</v>
      </c>
      <c r="E1483" s="110">
        <v>12.18</v>
      </c>
      <c r="F1483" s="110">
        <v>12.45</v>
      </c>
      <c r="G1483">
        <v>655960</v>
      </c>
      <c r="H1483" s="110"/>
      <c r="I1483" s="110"/>
      <c r="L1483" s="134">
        <v>44187</v>
      </c>
      <c r="M1483" s="110">
        <v>12.45</v>
      </c>
      <c r="N1483" s="110">
        <v>12.6</v>
      </c>
      <c r="O1483" s="110">
        <v>11.55</v>
      </c>
      <c r="P1483" s="110">
        <v>12.15</v>
      </c>
      <c r="Q1483" s="110">
        <v>12.45</v>
      </c>
      <c r="R1483">
        <v>3847076</v>
      </c>
    </row>
    <row r="1484" spans="1:18" x14ac:dyDescent="0.25">
      <c r="A1484" s="134">
        <v>44188</v>
      </c>
      <c r="B1484" s="110">
        <v>13.3</v>
      </c>
      <c r="C1484" s="110">
        <v>13.19</v>
      </c>
      <c r="D1484" s="110">
        <v>12.46</v>
      </c>
      <c r="E1484" s="110">
        <v>12.9</v>
      </c>
      <c r="F1484" s="110">
        <v>13.19</v>
      </c>
      <c r="G1484">
        <v>337193</v>
      </c>
      <c r="H1484" s="110"/>
      <c r="I1484" s="110"/>
      <c r="L1484" s="134">
        <v>44188</v>
      </c>
      <c r="M1484" s="110">
        <v>13.2</v>
      </c>
      <c r="N1484" s="110">
        <v>13.3</v>
      </c>
      <c r="O1484" s="110">
        <v>12.45</v>
      </c>
      <c r="P1484" s="110">
        <v>12.55</v>
      </c>
      <c r="Q1484" s="110">
        <v>13.2</v>
      </c>
      <c r="R1484">
        <v>2838158</v>
      </c>
    </row>
    <row r="1485" spans="1:18" x14ac:dyDescent="0.25">
      <c r="A1485" s="134">
        <v>44189</v>
      </c>
      <c r="B1485" s="110">
        <v>13.76</v>
      </c>
      <c r="C1485" s="110">
        <v>13.27</v>
      </c>
      <c r="D1485" s="110">
        <v>13.1</v>
      </c>
      <c r="E1485" s="110">
        <v>13.24</v>
      </c>
      <c r="F1485" s="110">
        <v>13.27</v>
      </c>
      <c r="G1485">
        <v>172632</v>
      </c>
      <c r="H1485" s="110"/>
      <c r="I1485" s="110"/>
      <c r="L1485" s="134">
        <v>44189</v>
      </c>
      <c r="M1485" s="110">
        <v>13.25</v>
      </c>
      <c r="N1485" s="110">
        <v>13.7</v>
      </c>
      <c r="O1485" s="110">
        <v>13.05</v>
      </c>
      <c r="P1485" s="110">
        <v>13.65</v>
      </c>
      <c r="Q1485" s="110">
        <v>13.25</v>
      </c>
      <c r="R1485">
        <v>2598079</v>
      </c>
    </row>
    <row r="1486" spans="1:18" x14ac:dyDescent="0.25">
      <c r="A1486" s="134">
        <v>44193</v>
      </c>
      <c r="B1486" s="110">
        <v>13.5</v>
      </c>
      <c r="C1486" s="110">
        <v>13.28</v>
      </c>
      <c r="D1486" s="110">
        <v>13.19</v>
      </c>
      <c r="E1486" s="110">
        <v>13.5</v>
      </c>
      <c r="F1486" s="110">
        <v>13.28</v>
      </c>
      <c r="G1486">
        <v>286033</v>
      </c>
      <c r="H1486" s="110"/>
      <c r="I1486" s="110"/>
      <c r="L1486" s="134">
        <v>44193</v>
      </c>
      <c r="M1486" s="110">
        <v>13.3</v>
      </c>
      <c r="N1486" s="110">
        <v>13.5</v>
      </c>
      <c r="O1486" s="110">
        <v>13.2</v>
      </c>
      <c r="P1486" s="110">
        <v>13.4</v>
      </c>
      <c r="Q1486" s="110">
        <v>13.3</v>
      </c>
      <c r="R1486">
        <v>1687215</v>
      </c>
    </row>
    <row r="1487" spans="1:18" x14ac:dyDescent="0.25">
      <c r="A1487" s="134">
        <v>44194</v>
      </c>
      <c r="B1487" s="110">
        <v>13.46</v>
      </c>
      <c r="C1487" s="110">
        <v>13.17</v>
      </c>
      <c r="D1487" s="110">
        <v>13.1</v>
      </c>
      <c r="E1487" s="110">
        <v>13.39</v>
      </c>
      <c r="F1487" s="110">
        <v>13.17</v>
      </c>
      <c r="G1487">
        <v>102681</v>
      </c>
      <c r="H1487" s="110"/>
      <c r="I1487" s="110"/>
      <c r="L1487" s="134">
        <v>44194</v>
      </c>
      <c r="M1487" s="110">
        <v>13.15</v>
      </c>
      <c r="N1487" s="110">
        <v>13.45</v>
      </c>
      <c r="O1487" s="110">
        <v>13.1</v>
      </c>
      <c r="P1487" s="110">
        <v>13.45</v>
      </c>
      <c r="Q1487" s="110">
        <v>13.15</v>
      </c>
      <c r="R1487">
        <v>1954109</v>
      </c>
    </row>
    <row r="1488" spans="1:18" x14ac:dyDescent="0.25">
      <c r="A1488" s="134">
        <v>44195</v>
      </c>
      <c r="B1488" s="110">
        <v>13.16</v>
      </c>
      <c r="C1488" s="110">
        <v>13.06</v>
      </c>
      <c r="D1488" s="110">
        <v>12.1</v>
      </c>
      <c r="E1488" s="110">
        <v>13.16</v>
      </c>
      <c r="F1488" s="110">
        <v>13.06</v>
      </c>
      <c r="G1488">
        <v>212605</v>
      </c>
      <c r="H1488" s="110"/>
      <c r="I1488" s="110"/>
      <c r="L1488" s="134">
        <v>44195</v>
      </c>
      <c r="M1488" s="110">
        <v>13.05</v>
      </c>
      <c r="N1488" s="110">
        <v>13.25</v>
      </c>
      <c r="O1488" s="110">
        <v>12.95</v>
      </c>
      <c r="P1488" s="110">
        <v>13.15</v>
      </c>
      <c r="Q1488" s="110">
        <v>13.05</v>
      </c>
      <c r="R1488">
        <v>1228306</v>
      </c>
    </row>
    <row r="1489" spans="1:18" x14ac:dyDescent="0.25">
      <c r="A1489" s="134">
        <v>44196</v>
      </c>
      <c r="B1489" s="110">
        <v>13.3</v>
      </c>
      <c r="C1489" s="110">
        <v>13.04</v>
      </c>
      <c r="D1489" s="110">
        <v>12.99</v>
      </c>
      <c r="E1489" s="110">
        <v>13.3</v>
      </c>
      <c r="F1489" s="110">
        <v>13.04</v>
      </c>
      <c r="G1489">
        <v>207766</v>
      </c>
      <c r="H1489" s="110"/>
      <c r="I1489" s="110"/>
      <c r="L1489" s="134">
        <v>44196</v>
      </c>
      <c r="M1489" s="110">
        <v>13.05</v>
      </c>
      <c r="N1489" s="110">
        <v>13.15</v>
      </c>
      <c r="O1489" s="110">
        <v>13</v>
      </c>
      <c r="P1489" s="110">
        <v>13.05</v>
      </c>
      <c r="Q1489" s="110">
        <v>13.05</v>
      </c>
      <c r="R1489">
        <v>1507061</v>
      </c>
    </row>
    <row r="1490" spans="1:18" x14ac:dyDescent="0.25">
      <c r="A1490" s="134">
        <v>44197</v>
      </c>
      <c r="B1490" s="110">
        <v>13.74</v>
      </c>
      <c r="C1490" s="110">
        <v>13.67</v>
      </c>
      <c r="D1490" s="110">
        <v>13.11</v>
      </c>
      <c r="E1490" s="110">
        <v>13.11</v>
      </c>
      <c r="F1490" s="110">
        <v>13.67</v>
      </c>
      <c r="G1490">
        <v>329709</v>
      </c>
      <c r="H1490" s="110"/>
      <c r="I1490" s="110"/>
      <c r="L1490" s="134">
        <v>44197</v>
      </c>
      <c r="M1490" s="110">
        <v>13.65</v>
      </c>
      <c r="N1490" s="110">
        <v>13.75</v>
      </c>
      <c r="O1490" s="110">
        <v>13.05</v>
      </c>
      <c r="P1490" s="110">
        <v>13.1</v>
      </c>
      <c r="Q1490" s="110">
        <v>13.65</v>
      </c>
      <c r="R1490">
        <v>4802367</v>
      </c>
    </row>
    <row r="1491" spans="1:18" x14ac:dyDescent="0.25">
      <c r="A1491" s="134">
        <v>44200</v>
      </c>
      <c r="B1491" s="110">
        <v>14</v>
      </c>
      <c r="C1491" s="110">
        <v>13.68</v>
      </c>
      <c r="D1491" s="110">
        <v>13.39</v>
      </c>
      <c r="E1491" s="110">
        <v>13.75</v>
      </c>
      <c r="F1491" s="110">
        <v>13.68</v>
      </c>
      <c r="G1491">
        <v>585399</v>
      </c>
      <c r="H1491" s="110"/>
      <c r="I1491" s="110"/>
      <c r="L1491" s="134">
        <v>44200</v>
      </c>
      <c r="M1491" s="110">
        <v>13.7</v>
      </c>
      <c r="N1491" s="110">
        <v>14.1</v>
      </c>
      <c r="O1491" s="110">
        <v>13.4</v>
      </c>
      <c r="P1491" s="110">
        <v>13.9</v>
      </c>
      <c r="Q1491" s="110">
        <v>13.7</v>
      </c>
      <c r="R1491">
        <v>3162749</v>
      </c>
    </row>
    <row r="1492" spans="1:18" x14ac:dyDescent="0.25">
      <c r="A1492" s="134">
        <v>44201</v>
      </c>
      <c r="B1492" s="110">
        <v>13.7</v>
      </c>
      <c r="C1492" s="110">
        <v>13.51</v>
      </c>
      <c r="D1492" s="110">
        <v>13.43</v>
      </c>
      <c r="E1492" s="110">
        <v>13.7</v>
      </c>
      <c r="F1492" s="110">
        <v>13.51</v>
      </c>
      <c r="G1492">
        <v>119362</v>
      </c>
      <c r="H1492" s="110"/>
      <c r="I1492" s="110"/>
      <c r="L1492" s="134">
        <v>44201</v>
      </c>
      <c r="M1492" s="110">
        <v>13.5</v>
      </c>
      <c r="N1492" s="110">
        <v>13.65</v>
      </c>
      <c r="O1492" s="110">
        <v>13.4</v>
      </c>
      <c r="P1492" s="110">
        <v>13.6</v>
      </c>
      <c r="Q1492" s="110">
        <v>13.5</v>
      </c>
      <c r="R1492">
        <v>1868349</v>
      </c>
    </row>
    <row r="1493" spans="1:18" x14ac:dyDescent="0.25">
      <c r="A1493" s="134">
        <v>44202</v>
      </c>
      <c r="B1493" s="110">
        <v>13.75</v>
      </c>
      <c r="C1493" s="110">
        <v>13.35</v>
      </c>
      <c r="D1493" s="110">
        <v>13.1</v>
      </c>
      <c r="E1493" s="110">
        <v>13.75</v>
      </c>
      <c r="F1493" s="110">
        <v>13.35</v>
      </c>
      <c r="G1493">
        <v>308487</v>
      </c>
      <c r="H1493" s="110"/>
      <c r="I1493" s="110"/>
      <c r="L1493" s="134">
        <v>44202</v>
      </c>
      <c r="M1493" s="110">
        <v>13.35</v>
      </c>
      <c r="N1493" s="110">
        <v>13.7</v>
      </c>
      <c r="O1493" s="110">
        <v>13.2</v>
      </c>
      <c r="P1493" s="110">
        <v>13.5</v>
      </c>
      <c r="Q1493" s="110">
        <v>13.35</v>
      </c>
      <c r="R1493">
        <v>2206217</v>
      </c>
    </row>
    <row r="1494" spans="1:18" x14ac:dyDescent="0.25">
      <c r="A1494" s="134">
        <v>44203</v>
      </c>
      <c r="B1494" s="110">
        <v>13.65</v>
      </c>
      <c r="C1494" s="110">
        <v>13.59</v>
      </c>
      <c r="D1494" s="110">
        <v>13.15</v>
      </c>
      <c r="E1494" s="110">
        <v>13.15</v>
      </c>
      <c r="F1494" s="110">
        <v>13.59</v>
      </c>
      <c r="G1494">
        <v>319514</v>
      </c>
      <c r="H1494" s="110"/>
      <c r="I1494" s="110"/>
      <c r="L1494" s="134">
        <v>44203</v>
      </c>
      <c r="M1494" s="110">
        <v>13.6</v>
      </c>
      <c r="N1494" s="110">
        <v>13.7</v>
      </c>
      <c r="O1494" s="110">
        <v>13.4</v>
      </c>
      <c r="P1494" s="110">
        <v>13.5</v>
      </c>
      <c r="Q1494" s="110">
        <v>13.6</v>
      </c>
      <c r="R1494">
        <v>1648922</v>
      </c>
    </row>
    <row r="1495" spans="1:18" x14ac:dyDescent="0.25">
      <c r="A1495" s="134">
        <v>44204</v>
      </c>
      <c r="B1495" s="110">
        <v>14.5</v>
      </c>
      <c r="C1495" s="110">
        <v>14.12</v>
      </c>
      <c r="D1495" s="110">
        <v>13.5</v>
      </c>
      <c r="E1495" s="110">
        <v>13.75</v>
      </c>
      <c r="F1495" s="110">
        <v>14.12</v>
      </c>
      <c r="G1495">
        <v>686482</v>
      </c>
      <c r="H1495" s="110"/>
      <c r="I1495" s="110"/>
      <c r="L1495" s="134">
        <v>44204</v>
      </c>
      <c r="M1495" s="110">
        <v>14.15</v>
      </c>
      <c r="N1495" s="110">
        <v>14.5</v>
      </c>
      <c r="O1495" s="110">
        <v>13.5</v>
      </c>
      <c r="P1495" s="110">
        <v>13.6</v>
      </c>
      <c r="Q1495" s="110">
        <v>14.15</v>
      </c>
      <c r="R1495">
        <v>7773954</v>
      </c>
    </row>
    <row r="1496" spans="1:18" x14ac:dyDescent="0.25">
      <c r="A1496" s="134">
        <v>44207</v>
      </c>
      <c r="B1496" s="110">
        <v>14.47</v>
      </c>
      <c r="C1496" s="110">
        <v>13.87</v>
      </c>
      <c r="D1496" s="110">
        <v>13.6</v>
      </c>
      <c r="E1496" s="110">
        <v>14.31</v>
      </c>
      <c r="F1496" s="110">
        <v>13.87</v>
      </c>
      <c r="G1496">
        <v>527688</v>
      </c>
      <c r="H1496" s="110"/>
      <c r="I1496" s="110"/>
      <c r="L1496" s="134">
        <v>44207</v>
      </c>
      <c r="M1496" s="110">
        <v>13.85</v>
      </c>
      <c r="N1496" s="110">
        <v>14.5</v>
      </c>
      <c r="O1496" s="110">
        <v>13.7</v>
      </c>
      <c r="P1496" s="110">
        <v>14.45</v>
      </c>
      <c r="Q1496" s="110">
        <v>13.85</v>
      </c>
      <c r="R1496">
        <v>2672625</v>
      </c>
    </row>
    <row r="1497" spans="1:18" x14ac:dyDescent="0.25">
      <c r="A1497" s="134">
        <v>44208</v>
      </c>
      <c r="B1497" s="110">
        <v>15.35</v>
      </c>
      <c r="C1497" s="110">
        <v>14.74</v>
      </c>
      <c r="D1497" s="110">
        <v>13.68</v>
      </c>
      <c r="E1497" s="110">
        <v>13.95</v>
      </c>
      <c r="F1497" s="110">
        <v>14.74</v>
      </c>
      <c r="G1497">
        <v>2040785</v>
      </c>
      <c r="H1497" s="110"/>
      <c r="I1497" s="110"/>
      <c r="L1497" s="134">
        <v>44208</v>
      </c>
      <c r="M1497" s="110">
        <v>14.8</v>
      </c>
      <c r="N1497" s="110">
        <v>15.5</v>
      </c>
      <c r="O1497" s="110">
        <v>13.7</v>
      </c>
      <c r="P1497" s="110">
        <v>13.85</v>
      </c>
      <c r="Q1497" s="110">
        <v>14.8</v>
      </c>
      <c r="R1497">
        <v>13490861</v>
      </c>
    </row>
    <row r="1498" spans="1:18" x14ac:dyDescent="0.25">
      <c r="A1498" s="134">
        <v>44209</v>
      </c>
      <c r="B1498" s="110">
        <v>15.1</v>
      </c>
      <c r="C1498" s="110">
        <v>14.83</v>
      </c>
      <c r="D1498" s="110">
        <v>14.4</v>
      </c>
      <c r="E1498" s="110">
        <v>14.88</v>
      </c>
      <c r="F1498" s="110">
        <v>14.83</v>
      </c>
      <c r="G1498">
        <v>700220</v>
      </c>
      <c r="H1498" s="110"/>
      <c r="I1498" s="110"/>
      <c r="L1498" s="134">
        <v>44209</v>
      </c>
      <c r="M1498" s="110">
        <v>14.85</v>
      </c>
      <c r="N1498" s="110">
        <v>15.1</v>
      </c>
      <c r="O1498" s="110">
        <v>14.4</v>
      </c>
      <c r="P1498" s="110">
        <v>14.8</v>
      </c>
      <c r="Q1498" s="110">
        <v>14.85</v>
      </c>
      <c r="R1498">
        <v>8870206</v>
      </c>
    </row>
    <row r="1499" spans="1:18" x14ac:dyDescent="0.25">
      <c r="A1499" s="134">
        <v>44210</v>
      </c>
      <c r="B1499" s="110">
        <v>15.13</v>
      </c>
      <c r="C1499" s="110">
        <v>14.74</v>
      </c>
      <c r="D1499" s="110">
        <v>14.52</v>
      </c>
      <c r="E1499" s="110">
        <v>14.63</v>
      </c>
      <c r="F1499" s="110">
        <v>14.74</v>
      </c>
      <c r="G1499">
        <v>363170</v>
      </c>
      <c r="H1499" s="110"/>
      <c r="I1499" s="110"/>
      <c r="L1499" s="134">
        <v>44210</v>
      </c>
      <c r="M1499" s="110">
        <v>14.75</v>
      </c>
      <c r="N1499" s="110">
        <v>15.15</v>
      </c>
      <c r="O1499" s="110">
        <v>14.5</v>
      </c>
      <c r="P1499" s="110">
        <v>14.7</v>
      </c>
      <c r="Q1499" s="110">
        <v>14.75</v>
      </c>
      <c r="R1499">
        <v>4970653</v>
      </c>
    </row>
    <row r="1500" spans="1:18" x14ac:dyDescent="0.25">
      <c r="A1500" s="134">
        <v>44211</v>
      </c>
      <c r="B1500" s="110">
        <v>14.99</v>
      </c>
      <c r="C1500" s="110">
        <v>14.55</v>
      </c>
      <c r="D1500" s="110">
        <v>14.1</v>
      </c>
      <c r="E1500" s="110">
        <v>14.99</v>
      </c>
      <c r="F1500" s="110">
        <v>14.55</v>
      </c>
      <c r="G1500">
        <v>295017</v>
      </c>
      <c r="H1500" s="110"/>
      <c r="I1500" s="110"/>
      <c r="L1500" s="134">
        <v>44211</v>
      </c>
      <c r="M1500" s="110">
        <v>14.55</v>
      </c>
      <c r="N1500" s="110">
        <v>14.9</v>
      </c>
      <c r="O1500" s="110">
        <v>14.05</v>
      </c>
      <c r="P1500" s="110">
        <v>14.7</v>
      </c>
      <c r="Q1500" s="110">
        <v>14.55</v>
      </c>
      <c r="R1500">
        <v>6273302</v>
      </c>
    </row>
    <row r="1501" spans="1:18" x14ac:dyDescent="0.25">
      <c r="A1501" s="134">
        <v>44214</v>
      </c>
      <c r="B1501" s="110">
        <v>15.1</v>
      </c>
      <c r="C1501" s="110">
        <v>14.75</v>
      </c>
      <c r="D1501" s="110">
        <v>14.6</v>
      </c>
      <c r="E1501" s="110">
        <v>14.98</v>
      </c>
      <c r="F1501" s="110">
        <v>14.75</v>
      </c>
      <c r="G1501">
        <v>970759</v>
      </c>
      <c r="H1501" s="110"/>
      <c r="I1501" s="110"/>
      <c r="L1501" s="134">
        <v>44214</v>
      </c>
      <c r="M1501" s="110">
        <v>14.75</v>
      </c>
      <c r="N1501" s="110">
        <v>15.15</v>
      </c>
      <c r="O1501" s="110">
        <v>14.55</v>
      </c>
      <c r="P1501" s="110">
        <v>14.85</v>
      </c>
      <c r="Q1501" s="110">
        <v>14.75</v>
      </c>
      <c r="R1501">
        <v>7467317</v>
      </c>
    </row>
    <row r="1502" spans="1:18" x14ac:dyDescent="0.25">
      <c r="A1502" s="134">
        <v>44215</v>
      </c>
      <c r="B1502" s="110">
        <v>16.170000000000002</v>
      </c>
      <c r="C1502" s="110">
        <v>15.89</v>
      </c>
      <c r="D1502" s="110">
        <v>14.84</v>
      </c>
      <c r="E1502" s="110">
        <v>15</v>
      </c>
      <c r="F1502" s="110">
        <v>15.89</v>
      </c>
      <c r="G1502">
        <v>4260381</v>
      </c>
      <c r="H1502" s="110"/>
      <c r="I1502" s="110"/>
      <c r="L1502" s="134">
        <v>44215</v>
      </c>
      <c r="M1502" s="110">
        <v>15.85</v>
      </c>
      <c r="N1502" s="110">
        <v>16.149999999999999</v>
      </c>
      <c r="O1502" s="110">
        <v>14.85</v>
      </c>
      <c r="P1502" s="110">
        <v>15</v>
      </c>
      <c r="Q1502" s="110">
        <v>15.85</v>
      </c>
      <c r="R1502">
        <v>28865672</v>
      </c>
    </row>
    <row r="1503" spans="1:18" x14ac:dyDescent="0.25">
      <c r="A1503" s="134">
        <v>44216</v>
      </c>
      <c r="B1503" s="110">
        <v>16.45</v>
      </c>
      <c r="C1503" s="110">
        <v>16.07</v>
      </c>
      <c r="D1503" s="110">
        <v>15.74</v>
      </c>
      <c r="E1503" s="110">
        <v>16</v>
      </c>
      <c r="F1503" s="110">
        <v>16.07</v>
      </c>
      <c r="G1503">
        <v>2257988</v>
      </c>
      <c r="H1503" s="110"/>
      <c r="I1503" s="110"/>
      <c r="L1503" s="134">
        <v>44216</v>
      </c>
      <c r="M1503" s="110">
        <v>16</v>
      </c>
      <c r="N1503" s="110">
        <v>16.45</v>
      </c>
      <c r="O1503" s="110">
        <v>15.8</v>
      </c>
      <c r="P1503" s="110">
        <v>16</v>
      </c>
      <c r="Q1503" s="110">
        <v>16</v>
      </c>
      <c r="R1503">
        <v>14008130</v>
      </c>
    </row>
    <row r="1504" spans="1:18" x14ac:dyDescent="0.25">
      <c r="A1504" s="134">
        <v>44217</v>
      </c>
      <c r="B1504" s="110">
        <v>16.21</v>
      </c>
      <c r="C1504" s="110">
        <v>15.06</v>
      </c>
      <c r="D1504" s="110">
        <v>14.84</v>
      </c>
      <c r="E1504" s="110">
        <v>15.85</v>
      </c>
      <c r="F1504" s="110">
        <v>15.06</v>
      </c>
      <c r="G1504">
        <v>1416138</v>
      </c>
      <c r="H1504" s="110"/>
      <c r="I1504" s="110"/>
      <c r="L1504" s="134">
        <v>44217</v>
      </c>
      <c r="M1504" s="110">
        <v>15</v>
      </c>
      <c r="N1504" s="110">
        <v>16.25</v>
      </c>
      <c r="O1504" s="110">
        <v>14.8</v>
      </c>
      <c r="P1504" s="110">
        <v>16.2</v>
      </c>
      <c r="Q1504" s="110">
        <v>15</v>
      </c>
      <c r="R1504">
        <v>9149626</v>
      </c>
    </row>
    <row r="1505" spans="1:18" x14ac:dyDescent="0.25">
      <c r="A1505" s="134">
        <v>44218</v>
      </c>
      <c r="B1505" s="110">
        <v>15.26</v>
      </c>
      <c r="C1505" s="110">
        <v>14.44</v>
      </c>
      <c r="D1505" s="110">
        <v>14.23</v>
      </c>
      <c r="E1505" s="110">
        <v>15.15</v>
      </c>
      <c r="F1505" s="110">
        <v>14.44</v>
      </c>
      <c r="G1505">
        <v>677004</v>
      </c>
      <c r="H1505" s="110"/>
      <c r="I1505" s="110"/>
      <c r="L1505" s="134">
        <v>44218</v>
      </c>
      <c r="M1505" s="110">
        <v>14.45</v>
      </c>
      <c r="N1505" s="110">
        <v>15.25</v>
      </c>
      <c r="O1505" s="110">
        <v>14.25</v>
      </c>
      <c r="P1505" s="110">
        <v>15.1</v>
      </c>
      <c r="Q1505" s="110">
        <v>14.45</v>
      </c>
      <c r="R1505">
        <v>4721420</v>
      </c>
    </row>
    <row r="1506" spans="1:18" x14ac:dyDescent="0.25">
      <c r="A1506" s="134">
        <v>44221</v>
      </c>
      <c r="B1506" s="110">
        <v>14.74</v>
      </c>
      <c r="C1506" s="110">
        <v>13.61</v>
      </c>
      <c r="D1506" s="110">
        <v>13.51</v>
      </c>
      <c r="E1506" s="110">
        <v>14.55</v>
      </c>
      <c r="F1506" s="110">
        <v>13.61</v>
      </c>
      <c r="G1506">
        <v>706494</v>
      </c>
      <c r="H1506" s="110"/>
      <c r="I1506" s="110"/>
      <c r="L1506" s="134">
        <v>44221</v>
      </c>
      <c r="M1506" s="110">
        <v>13.6</v>
      </c>
      <c r="N1506" s="110">
        <v>14.7</v>
      </c>
      <c r="O1506" s="110">
        <v>13.5</v>
      </c>
      <c r="P1506" s="110">
        <v>14.6</v>
      </c>
      <c r="Q1506" s="110">
        <v>13.6</v>
      </c>
      <c r="R1506">
        <v>4821764</v>
      </c>
    </row>
    <row r="1507" spans="1:18" x14ac:dyDescent="0.25">
      <c r="A1507" s="134">
        <v>44223</v>
      </c>
      <c r="B1507" s="110">
        <v>14.24</v>
      </c>
      <c r="C1507" s="110">
        <v>13.94</v>
      </c>
      <c r="D1507" s="110">
        <v>13.61</v>
      </c>
      <c r="E1507" s="110">
        <v>13.99</v>
      </c>
      <c r="F1507" s="110">
        <v>13.94</v>
      </c>
      <c r="G1507">
        <v>730812</v>
      </c>
      <c r="H1507" s="110"/>
      <c r="I1507" s="110"/>
      <c r="L1507" s="134">
        <v>44223</v>
      </c>
      <c r="M1507" s="110">
        <v>13.95</v>
      </c>
      <c r="N1507" s="110">
        <v>14.25</v>
      </c>
      <c r="O1507" s="110">
        <v>13.65</v>
      </c>
      <c r="P1507" s="110">
        <v>13.95</v>
      </c>
      <c r="Q1507" s="110">
        <v>13.95</v>
      </c>
      <c r="R1507">
        <v>4117171</v>
      </c>
    </row>
    <row r="1508" spans="1:18" x14ac:dyDescent="0.25">
      <c r="A1508" s="134">
        <v>44224</v>
      </c>
      <c r="B1508" s="110">
        <v>14.36</v>
      </c>
      <c r="C1508" s="110">
        <v>14.22</v>
      </c>
      <c r="D1508" s="110">
        <v>13.78</v>
      </c>
      <c r="E1508" s="110">
        <v>13.96</v>
      </c>
      <c r="F1508" s="110">
        <v>14.22</v>
      </c>
      <c r="G1508">
        <v>304546</v>
      </c>
      <c r="H1508" s="110"/>
      <c r="I1508" s="110"/>
      <c r="L1508" s="134">
        <v>44224</v>
      </c>
      <c r="M1508" s="110">
        <v>14.25</v>
      </c>
      <c r="N1508" s="110">
        <v>14.4</v>
      </c>
      <c r="O1508" s="110">
        <v>13.75</v>
      </c>
      <c r="P1508" s="110">
        <v>13.9</v>
      </c>
      <c r="Q1508" s="110">
        <v>14.25</v>
      </c>
      <c r="R1508">
        <v>2830856</v>
      </c>
    </row>
    <row r="1509" spans="1:18" x14ac:dyDescent="0.25">
      <c r="A1509" s="134">
        <v>44225</v>
      </c>
      <c r="B1509" s="110">
        <v>15.42</v>
      </c>
      <c r="C1509" s="110">
        <v>14.97</v>
      </c>
      <c r="D1509" s="110">
        <v>14.26</v>
      </c>
      <c r="E1509" s="110">
        <v>14.9</v>
      </c>
      <c r="F1509" s="110">
        <v>14.97</v>
      </c>
      <c r="G1509">
        <v>592083</v>
      </c>
      <c r="H1509" s="110"/>
      <c r="I1509" s="110"/>
      <c r="L1509" s="134">
        <v>44225</v>
      </c>
      <c r="M1509" s="110">
        <v>14.95</v>
      </c>
      <c r="N1509" s="110">
        <v>15.45</v>
      </c>
      <c r="O1509" s="110">
        <v>14.25</v>
      </c>
      <c r="P1509" s="110">
        <v>14.4</v>
      </c>
      <c r="Q1509" s="110">
        <v>14.95</v>
      </c>
      <c r="R1509">
        <v>8955288</v>
      </c>
    </row>
    <row r="1510" spans="1:18" x14ac:dyDescent="0.25">
      <c r="A1510" s="134">
        <v>44228</v>
      </c>
      <c r="B1510" s="110">
        <v>15.65</v>
      </c>
      <c r="C1510" s="110">
        <v>14.86</v>
      </c>
      <c r="D1510" s="110">
        <v>13.2</v>
      </c>
      <c r="E1510" s="110">
        <v>15.11</v>
      </c>
      <c r="F1510" s="110">
        <v>14.86</v>
      </c>
      <c r="G1510">
        <v>1710951</v>
      </c>
      <c r="H1510" s="110"/>
      <c r="I1510" s="110"/>
      <c r="L1510" s="134">
        <v>44228</v>
      </c>
      <c r="M1510" s="110">
        <v>14.85</v>
      </c>
      <c r="N1510" s="110">
        <v>15.65</v>
      </c>
      <c r="O1510" s="110">
        <v>14.6</v>
      </c>
      <c r="P1510" s="110">
        <v>15.3</v>
      </c>
      <c r="Q1510" s="110">
        <v>14.85</v>
      </c>
      <c r="R1510">
        <v>14297432</v>
      </c>
    </row>
    <row r="1511" spans="1:18" x14ac:dyDescent="0.25">
      <c r="A1511" s="134">
        <v>44229</v>
      </c>
      <c r="B1511" s="110">
        <v>15.56</v>
      </c>
      <c r="C1511" s="110">
        <v>15</v>
      </c>
      <c r="D1511" s="110">
        <v>14.93</v>
      </c>
      <c r="E1511" s="110">
        <v>15</v>
      </c>
      <c r="F1511" s="110">
        <v>15</v>
      </c>
      <c r="G1511">
        <v>855519</v>
      </c>
      <c r="H1511" s="110"/>
      <c r="I1511" s="110"/>
      <c r="L1511" s="134">
        <v>44229</v>
      </c>
      <c r="M1511" s="110">
        <v>15</v>
      </c>
      <c r="N1511" s="110">
        <v>15.6</v>
      </c>
      <c r="O1511" s="110">
        <v>14.95</v>
      </c>
      <c r="P1511" s="110">
        <v>15.2</v>
      </c>
      <c r="Q1511" s="110">
        <v>15</v>
      </c>
      <c r="R1511">
        <v>6557268</v>
      </c>
    </row>
    <row r="1512" spans="1:18" x14ac:dyDescent="0.25">
      <c r="A1512" s="134">
        <v>44230</v>
      </c>
      <c r="B1512" s="110">
        <v>15.45</v>
      </c>
      <c r="C1512" s="110">
        <v>15.26</v>
      </c>
      <c r="D1512" s="110">
        <v>15.06</v>
      </c>
      <c r="E1512" s="110">
        <v>15.2</v>
      </c>
      <c r="F1512" s="110">
        <v>15.26</v>
      </c>
      <c r="G1512">
        <v>847579</v>
      </c>
      <c r="H1512" s="110"/>
      <c r="I1512" s="110"/>
      <c r="L1512" s="134">
        <v>44230</v>
      </c>
      <c r="M1512" s="110">
        <v>15.3</v>
      </c>
      <c r="N1512" s="110">
        <v>15.45</v>
      </c>
      <c r="O1512" s="110">
        <v>15.05</v>
      </c>
      <c r="P1512" s="110">
        <v>15.2</v>
      </c>
      <c r="Q1512" s="110">
        <v>15.3</v>
      </c>
      <c r="R1512">
        <v>5815802</v>
      </c>
    </row>
    <row r="1513" spans="1:18" x14ac:dyDescent="0.25">
      <c r="A1513" s="134">
        <v>44231</v>
      </c>
      <c r="B1513" s="110">
        <v>16.18</v>
      </c>
      <c r="C1513" s="110">
        <v>16.05</v>
      </c>
      <c r="D1513" s="110">
        <v>15.36</v>
      </c>
      <c r="E1513" s="110">
        <v>15.4</v>
      </c>
      <c r="F1513" s="110">
        <v>16.05</v>
      </c>
      <c r="G1513">
        <v>1050097</v>
      </c>
      <c r="H1513" s="110"/>
      <c r="I1513" s="110"/>
      <c r="L1513" s="134">
        <v>44231</v>
      </c>
      <c r="M1513" s="110">
        <v>16.05</v>
      </c>
      <c r="N1513" s="110">
        <v>16.25</v>
      </c>
      <c r="O1513" s="110">
        <v>15.35</v>
      </c>
      <c r="P1513" s="110">
        <v>15.5</v>
      </c>
      <c r="Q1513" s="110">
        <v>16.05</v>
      </c>
      <c r="R1513">
        <v>13213509</v>
      </c>
    </row>
    <row r="1514" spans="1:18" x14ac:dyDescent="0.25">
      <c r="A1514" s="134">
        <v>44232</v>
      </c>
      <c r="B1514" s="110">
        <v>16.850000000000001</v>
      </c>
      <c r="C1514" s="110">
        <v>16.18</v>
      </c>
      <c r="D1514" s="110">
        <v>16.059999999999999</v>
      </c>
      <c r="E1514" s="110">
        <v>16.5</v>
      </c>
      <c r="F1514" s="110">
        <v>16.18</v>
      </c>
      <c r="G1514">
        <v>1188719</v>
      </c>
      <c r="H1514" s="110"/>
      <c r="I1514" s="110"/>
      <c r="L1514" s="134">
        <v>44232</v>
      </c>
      <c r="M1514" s="110">
        <v>16.149999999999999</v>
      </c>
      <c r="N1514" s="110">
        <v>16.850000000000001</v>
      </c>
      <c r="O1514" s="110">
        <v>16.05</v>
      </c>
      <c r="P1514" s="110">
        <v>16.2</v>
      </c>
      <c r="Q1514" s="110">
        <v>16.149999999999999</v>
      </c>
      <c r="R1514">
        <v>11760190</v>
      </c>
    </row>
    <row r="1515" spans="1:18" x14ac:dyDescent="0.25">
      <c r="A1515" s="134">
        <v>44235</v>
      </c>
      <c r="B1515" s="110">
        <v>16.7</v>
      </c>
      <c r="C1515" s="110">
        <v>16.32</v>
      </c>
      <c r="D1515" s="110">
        <v>16.13</v>
      </c>
      <c r="E1515" s="110">
        <v>16.600000000000001</v>
      </c>
      <c r="F1515" s="110">
        <v>16.32</v>
      </c>
      <c r="G1515">
        <v>814760</v>
      </c>
      <c r="H1515" s="110"/>
      <c r="I1515" s="110"/>
      <c r="L1515" s="134">
        <v>44235</v>
      </c>
      <c r="M1515" s="110">
        <v>16.350000000000001</v>
      </c>
      <c r="N1515" s="110">
        <v>16.7</v>
      </c>
      <c r="O1515" s="110">
        <v>16.149999999999999</v>
      </c>
      <c r="P1515" s="110">
        <v>16.45</v>
      </c>
      <c r="Q1515" s="110">
        <v>16.350000000000001</v>
      </c>
      <c r="R1515">
        <v>4990529</v>
      </c>
    </row>
    <row r="1516" spans="1:18" x14ac:dyDescent="0.25">
      <c r="A1516" s="134">
        <v>44236</v>
      </c>
      <c r="B1516" s="110">
        <v>16.399999999999999</v>
      </c>
      <c r="C1516" s="110">
        <v>15.96</v>
      </c>
      <c r="D1516" s="110">
        <v>15.85</v>
      </c>
      <c r="E1516" s="110">
        <v>16.399999999999999</v>
      </c>
      <c r="F1516" s="110">
        <v>15.96</v>
      </c>
      <c r="G1516">
        <v>568700</v>
      </c>
      <c r="H1516" s="110"/>
      <c r="I1516" s="110"/>
      <c r="L1516" s="134">
        <v>44236</v>
      </c>
      <c r="M1516" s="110">
        <v>15.95</v>
      </c>
      <c r="N1516" s="110">
        <v>16.350000000000001</v>
      </c>
      <c r="O1516" s="110">
        <v>15.85</v>
      </c>
      <c r="P1516" s="110">
        <v>16.350000000000001</v>
      </c>
      <c r="Q1516" s="110">
        <v>15.95</v>
      </c>
      <c r="R1516">
        <v>4628023</v>
      </c>
    </row>
    <row r="1517" spans="1:18" x14ac:dyDescent="0.25">
      <c r="A1517" s="134">
        <v>44237</v>
      </c>
      <c r="B1517" s="110">
        <v>16</v>
      </c>
      <c r="C1517" s="110">
        <v>15.41</v>
      </c>
      <c r="D1517" s="110">
        <v>15.29</v>
      </c>
      <c r="E1517" s="110">
        <v>16</v>
      </c>
      <c r="F1517" s="110">
        <v>15.41</v>
      </c>
      <c r="G1517">
        <v>491235</v>
      </c>
      <c r="H1517" s="110"/>
      <c r="I1517" s="110"/>
      <c r="L1517" s="134">
        <v>44237</v>
      </c>
      <c r="M1517" s="110">
        <v>15.4</v>
      </c>
      <c r="N1517" s="110">
        <v>16</v>
      </c>
      <c r="O1517" s="110">
        <v>15.3</v>
      </c>
      <c r="P1517" s="110">
        <v>16</v>
      </c>
      <c r="Q1517" s="110">
        <v>15.4</v>
      </c>
      <c r="R1517">
        <v>3409503</v>
      </c>
    </row>
    <row r="1518" spans="1:18" x14ac:dyDescent="0.25">
      <c r="A1518" s="134">
        <v>44238</v>
      </c>
      <c r="B1518" s="110">
        <v>16.399999999999999</v>
      </c>
      <c r="C1518" s="110">
        <v>15.97</v>
      </c>
      <c r="D1518" s="110">
        <v>15.82</v>
      </c>
      <c r="E1518" s="110">
        <v>16.399999999999999</v>
      </c>
      <c r="F1518" s="110">
        <v>15.97</v>
      </c>
      <c r="G1518">
        <v>545178</v>
      </c>
      <c r="H1518" s="110"/>
      <c r="I1518" s="110"/>
      <c r="L1518" s="134">
        <v>44238</v>
      </c>
      <c r="M1518" s="110">
        <v>15.95</v>
      </c>
      <c r="N1518" s="110">
        <v>16.5</v>
      </c>
      <c r="O1518" s="110">
        <v>15.8</v>
      </c>
      <c r="P1518" s="110">
        <v>16.5</v>
      </c>
      <c r="Q1518" s="110">
        <v>15.95</v>
      </c>
      <c r="R1518">
        <v>4638321</v>
      </c>
    </row>
    <row r="1519" spans="1:18" x14ac:dyDescent="0.25">
      <c r="A1519" s="134">
        <v>44239</v>
      </c>
      <c r="B1519" s="110">
        <v>16.100000000000001</v>
      </c>
      <c r="C1519" s="110">
        <v>15.78</v>
      </c>
      <c r="D1519" s="110">
        <v>15.71</v>
      </c>
      <c r="E1519" s="110">
        <v>15.73</v>
      </c>
      <c r="F1519" s="110">
        <v>15.78</v>
      </c>
      <c r="G1519">
        <v>331539</v>
      </c>
      <c r="H1519" s="110"/>
      <c r="I1519" s="110"/>
      <c r="L1519" s="134">
        <v>44239</v>
      </c>
      <c r="M1519" s="110">
        <v>15.8</v>
      </c>
      <c r="N1519" s="110">
        <v>16.100000000000001</v>
      </c>
      <c r="O1519" s="110">
        <v>15.7</v>
      </c>
      <c r="P1519" s="110">
        <v>15.9</v>
      </c>
      <c r="Q1519" s="110">
        <v>15.8</v>
      </c>
      <c r="R1519">
        <v>2388673</v>
      </c>
    </row>
    <row r="1520" spans="1:18" x14ac:dyDescent="0.25">
      <c r="A1520" s="134">
        <v>44242</v>
      </c>
      <c r="B1520" s="110">
        <v>16.350000000000001</v>
      </c>
      <c r="C1520" s="110">
        <v>15.92</v>
      </c>
      <c r="D1520" s="110">
        <v>15.78</v>
      </c>
      <c r="E1520" s="110">
        <v>16.350000000000001</v>
      </c>
      <c r="F1520" s="110">
        <v>15.92</v>
      </c>
      <c r="G1520">
        <v>141885</v>
      </c>
      <c r="H1520" s="110"/>
      <c r="I1520" s="110"/>
      <c r="L1520" s="134">
        <v>44242</v>
      </c>
      <c r="M1520" s="110">
        <v>15.9</v>
      </c>
      <c r="N1520" s="110">
        <v>16.2</v>
      </c>
      <c r="O1520" s="110">
        <v>15.7</v>
      </c>
      <c r="P1520" s="110">
        <v>15.7</v>
      </c>
      <c r="Q1520" s="110">
        <v>15.9</v>
      </c>
      <c r="R1520">
        <v>2994218</v>
      </c>
    </row>
    <row r="1521" spans="1:18" x14ac:dyDescent="0.25">
      <c r="A1521" s="134">
        <v>44243</v>
      </c>
      <c r="B1521" s="110">
        <v>19.100000000000001</v>
      </c>
      <c r="C1521" s="110">
        <v>19.100000000000001</v>
      </c>
      <c r="D1521" s="110">
        <v>17.71</v>
      </c>
      <c r="E1521" s="110">
        <v>18.100000000000001</v>
      </c>
      <c r="F1521" s="110">
        <v>19.100000000000001</v>
      </c>
      <c r="G1521">
        <v>3724661</v>
      </c>
      <c r="H1521" s="110"/>
      <c r="I1521" s="110"/>
      <c r="L1521" s="134">
        <v>44243</v>
      </c>
      <c r="M1521" s="110">
        <v>19.05</v>
      </c>
      <c r="N1521" s="110">
        <v>19.05</v>
      </c>
      <c r="O1521" s="110">
        <v>17.649999999999999</v>
      </c>
      <c r="P1521" s="110">
        <v>18.3</v>
      </c>
      <c r="Q1521" s="110">
        <v>19.05</v>
      </c>
      <c r="R1521">
        <v>20416812</v>
      </c>
    </row>
    <row r="1522" spans="1:18" x14ac:dyDescent="0.25">
      <c r="A1522" s="134">
        <v>44244</v>
      </c>
      <c r="B1522" s="110">
        <v>22.92</v>
      </c>
      <c r="C1522" s="110">
        <v>22.92</v>
      </c>
      <c r="D1522" s="110">
        <v>20</v>
      </c>
      <c r="E1522" s="110">
        <v>20</v>
      </c>
      <c r="F1522" s="110">
        <v>22.92</v>
      </c>
      <c r="G1522">
        <v>9384773</v>
      </c>
      <c r="H1522" s="110"/>
      <c r="I1522" s="110"/>
      <c r="L1522" s="134">
        <v>44244</v>
      </c>
      <c r="M1522" s="110">
        <v>22.85</v>
      </c>
      <c r="N1522" s="110">
        <v>22.85</v>
      </c>
      <c r="O1522" s="110">
        <v>20</v>
      </c>
      <c r="P1522" s="110">
        <v>20.2</v>
      </c>
      <c r="Q1522" s="110">
        <v>22.85</v>
      </c>
      <c r="R1522">
        <v>44706574</v>
      </c>
    </row>
    <row r="1523" spans="1:18" x14ac:dyDescent="0.25">
      <c r="A1523" s="134">
        <v>44245</v>
      </c>
      <c r="B1523" s="110">
        <v>25.21</v>
      </c>
      <c r="C1523" s="110">
        <v>25.21</v>
      </c>
      <c r="D1523" s="110">
        <v>25.21</v>
      </c>
      <c r="E1523" s="110">
        <v>25.21</v>
      </c>
      <c r="F1523" s="110">
        <v>25.21</v>
      </c>
      <c r="G1523">
        <v>1446421</v>
      </c>
      <c r="H1523" s="110"/>
      <c r="I1523" s="110"/>
      <c r="L1523" s="134">
        <v>44245</v>
      </c>
      <c r="M1523" s="110">
        <v>25.1</v>
      </c>
      <c r="N1523" s="110">
        <v>25.1</v>
      </c>
      <c r="O1523" s="110">
        <v>25.1</v>
      </c>
      <c r="P1523" s="110">
        <v>25.1</v>
      </c>
      <c r="Q1523" s="110">
        <v>25.1</v>
      </c>
      <c r="R1523">
        <v>3880084</v>
      </c>
    </row>
    <row r="1524" spans="1:18" x14ac:dyDescent="0.25">
      <c r="A1524" s="134">
        <v>44246</v>
      </c>
      <c r="B1524" s="110">
        <v>27.73</v>
      </c>
      <c r="C1524" s="110">
        <v>23.41</v>
      </c>
      <c r="D1524" s="110">
        <v>22.69</v>
      </c>
      <c r="E1524" s="110">
        <v>26.83</v>
      </c>
      <c r="F1524" s="110">
        <v>23.41</v>
      </c>
      <c r="G1524">
        <v>13570150</v>
      </c>
      <c r="H1524" s="110"/>
      <c r="I1524" s="110"/>
      <c r="L1524" s="134">
        <v>44246</v>
      </c>
      <c r="M1524" s="110">
        <v>23.35</v>
      </c>
      <c r="N1524" s="110">
        <v>27.6</v>
      </c>
      <c r="O1524" s="110">
        <v>22.6</v>
      </c>
      <c r="P1524" s="110">
        <v>25.9</v>
      </c>
      <c r="Q1524" s="110">
        <v>23.35</v>
      </c>
      <c r="R1524">
        <v>117066117</v>
      </c>
    </row>
    <row r="1525" spans="1:18" x14ac:dyDescent="0.25">
      <c r="A1525" s="134">
        <v>44249</v>
      </c>
      <c r="B1525" s="110">
        <v>23.37</v>
      </c>
      <c r="C1525" s="110">
        <v>21.71</v>
      </c>
      <c r="D1525" s="110">
        <v>21.07</v>
      </c>
      <c r="E1525" s="110">
        <v>23</v>
      </c>
      <c r="F1525" s="110">
        <v>21.71</v>
      </c>
      <c r="G1525">
        <v>5269193</v>
      </c>
      <c r="H1525" s="110"/>
      <c r="I1525" s="110"/>
      <c r="L1525" s="134">
        <v>44249</v>
      </c>
      <c r="M1525" s="110">
        <v>21.75</v>
      </c>
      <c r="N1525" s="110">
        <v>23.5</v>
      </c>
      <c r="O1525" s="110">
        <v>21.05</v>
      </c>
      <c r="P1525" s="110">
        <v>23.3</v>
      </c>
      <c r="Q1525" s="110">
        <v>21.75</v>
      </c>
      <c r="R1525">
        <v>35358274</v>
      </c>
    </row>
    <row r="1526" spans="1:18" x14ac:dyDescent="0.25">
      <c r="A1526" s="134">
        <v>44250</v>
      </c>
      <c r="B1526" s="110">
        <v>23.08</v>
      </c>
      <c r="C1526" s="110">
        <v>21.36</v>
      </c>
      <c r="D1526" s="110">
        <v>20.6</v>
      </c>
      <c r="E1526" s="110">
        <v>22</v>
      </c>
      <c r="F1526" s="110">
        <v>21.36</v>
      </c>
      <c r="G1526">
        <v>2146821</v>
      </c>
      <c r="H1526" s="110"/>
      <c r="I1526" s="110"/>
      <c r="L1526" s="134">
        <v>44250</v>
      </c>
      <c r="M1526" s="110">
        <v>21.35</v>
      </c>
      <c r="N1526" s="110">
        <v>23.2</v>
      </c>
      <c r="O1526" s="110">
        <v>20.5</v>
      </c>
      <c r="P1526" s="110">
        <v>22.1</v>
      </c>
      <c r="Q1526" s="110">
        <v>21.35</v>
      </c>
      <c r="R1526">
        <v>25982613</v>
      </c>
    </row>
    <row r="1527" spans="1:18" x14ac:dyDescent="0.25">
      <c r="A1527" s="134">
        <v>44251</v>
      </c>
      <c r="B1527" s="110">
        <v>23.49</v>
      </c>
      <c r="C1527" s="110">
        <v>23.49</v>
      </c>
      <c r="D1527" s="110">
        <v>22</v>
      </c>
      <c r="E1527" s="110">
        <v>22.15</v>
      </c>
      <c r="F1527" s="110">
        <v>23.49</v>
      </c>
      <c r="G1527">
        <v>4018134</v>
      </c>
      <c r="H1527" s="110"/>
      <c r="I1527" s="110"/>
      <c r="L1527" s="134">
        <v>44251</v>
      </c>
      <c r="M1527" s="110">
        <v>23.45</v>
      </c>
      <c r="N1527" s="110">
        <v>23.45</v>
      </c>
      <c r="O1527" s="110">
        <v>21.95</v>
      </c>
      <c r="P1527" s="110">
        <v>22</v>
      </c>
      <c r="Q1527" s="110">
        <v>23.45</v>
      </c>
      <c r="R1527">
        <v>20531292</v>
      </c>
    </row>
    <row r="1528" spans="1:18" x14ac:dyDescent="0.25">
      <c r="A1528" s="134">
        <v>44252</v>
      </c>
      <c r="B1528" s="110">
        <v>25.83</v>
      </c>
      <c r="C1528" s="110">
        <v>25.83</v>
      </c>
      <c r="D1528" s="110">
        <v>24.7</v>
      </c>
      <c r="E1528" s="110">
        <v>25</v>
      </c>
      <c r="F1528" s="110">
        <v>25.83</v>
      </c>
      <c r="G1528">
        <v>9722331</v>
      </c>
      <c r="H1528" s="110"/>
      <c r="I1528" s="110"/>
      <c r="L1528" s="134">
        <v>44252</v>
      </c>
      <c r="M1528" s="110">
        <v>25.75</v>
      </c>
      <c r="N1528" s="110">
        <v>25.75</v>
      </c>
      <c r="O1528" s="110">
        <v>24.5</v>
      </c>
      <c r="P1528" s="110">
        <v>25.15</v>
      </c>
      <c r="Q1528" s="110">
        <v>25.75</v>
      </c>
      <c r="R1528">
        <v>31066051</v>
      </c>
    </row>
    <row r="1529" spans="1:18" x14ac:dyDescent="0.25">
      <c r="A1529" s="134">
        <v>44253</v>
      </c>
      <c r="B1529" s="110">
        <v>25.47</v>
      </c>
      <c r="C1529" s="110">
        <v>24.1</v>
      </c>
      <c r="D1529" s="110">
        <v>23.61</v>
      </c>
      <c r="E1529" s="110">
        <v>24.7</v>
      </c>
      <c r="F1529" s="110">
        <v>24.1</v>
      </c>
      <c r="G1529">
        <v>3971016</v>
      </c>
      <c r="H1529" s="110"/>
      <c r="I1529" s="110"/>
      <c r="L1529" s="134">
        <v>44253</v>
      </c>
      <c r="M1529" s="110">
        <v>24.1</v>
      </c>
      <c r="N1529" s="110">
        <v>25.45</v>
      </c>
      <c r="O1529" s="110">
        <v>23.7</v>
      </c>
      <c r="P1529" s="110">
        <v>24.5</v>
      </c>
      <c r="Q1529" s="110">
        <v>24.1</v>
      </c>
      <c r="R1529">
        <v>28523644</v>
      </c>
    </row>
    <row r="1530" spans="1:18" x14ac:dyDescent="0.25">
      <c r="A1530" s="134">
        <v>44256</v>
      </c>
      <c r="B1530" s="110">
        <v>25.1</v>
      </c>
      <c r="C1530" s="110">
        <v>23.25</v>
      </c>
      <c r="D1530" s="110">
        <v>22.85</v>
      </c>
      <c r="E1530" s="110">
        <v>25.1</v>
      </c>
      <c r="F1530" s="110">
        <v>23.25</v>
      </c>
      <c r="G1530">
        <v>1308182</v>
      </c>
      <c r="H1530" s="110"/>
      <c r="I1530" s="110"/>
      <c r="L1530" s="134">
        <v>44256</v>
      </c>
      <c r="M1530" s="110">
        <v>23.25</v>
      </c>
      <c r="N1530" s="110">
        <v>25.2</v>
      </c>
      <c r="O1530" s="110">
        <v>22.9</v>
      </c>
      <c r="P1530" s="110">
        <v>25.2</v>
      </c>
      <c r="Q1530" s="110">
        <v>23.25</v>
      </c>
      <c r="R1530">
        <v>9700874</v>
      </c>
    </row>
    <row r="1531" spans="1:18" x14ac:dyDescent="0.25">
      <c r="A1531" s="134">
        <v>44257</v>
      </c>
      <c r="B1531" s="110">
        <v>23.7</v>
      </c>
      <c r="C1531" s="110">
        <v>23.05</v>
      </c>
      <c r="D1531" s="110">
        <v>22.8</v>
      </c>
      <c r="E1531" s="110">
        <v>23.55</v>
      </c>
      <c r="F1531" s="110">
        <v>23.05</v>
      </c>
      <c r="G1531">
        <v>1187838</v>
      </c>
      <c r="H1531" s="110"/>
      <c r="I1531" s="110"/>
      <c r="L1531" s="134">
        <v>44257</v>
      </c>
      <c r="M1531" s="110">
        <v>23.05</v>
      </c>
      <c r="N1531" s="110">
        <v>23.7</v>
      </c>
      <c r="O1531" s="110">
        <v>22.8</v>
      </c>
      <c r="P1531" s="110">
        <v>23.55</v>
      </c>
      <c r="Q1531" s="110">
        <v>23.05</v>
      </c>
      <c r="R1531">
        <v>7207808</v>
      </c>
    </row>
    <row r="1532" spans="1:18" x14ac:dyDescent="0.25">
      <c r="A1532" s="134">
        <v>44258</v>
      </c>
      <c r="B1532" s="110">
        <v>23.9</v>
      </c>
      <c r="C1532" s="110">
        <v>22.95</v>
      </c>
      <c r="D1532" s="110">
        <v>22.8</v>
      </c>
      <c r="E1532" s="110">
        <v>23.05</v>
      </c>
      <c r="F1532" s="110">
        <v>22.95</v>
      </c>
      <c r="G1532">
        <v>1642532</v>
      </c>
      <c r="H1532" s="110"/>
      <c r="I1532" s="110"/>
      <c r="L1532" s="134">
        <v>44258</v>
      </c>
      <c r="M1532" s="110">
        <v>22.95</v>
      </c>
      <c r="N1532" s="110">
        <v>23.95</v>
      </c>
      <c r="O1532" s="110">
        <v>22.8</v>
      </c>
      <c r="P1532" s="110">
        <v>23.3</v>
      </c>
      <c r="Q1532" s="110">
        <v>22.95</v>
      </c>
      <c r="R1532">
        <v>8406305</v>
      </c>
    </row>
    <row r="1533" spans="1:18" x14ac:dyDescent="0.25">
      <c r="A1533" s="134">
        <v>44259</v>
      </c>
      <c r="B1533" s="110">
        <v>23.1</v>
      </c>
      <c r="C1533" s="110">
        <v>22.2</v>
      </c>
      <c r="D1533" s="110">
        <v>22</v>
      </c>
      <c r="E1533" s="110">
        <v>22.75</v>
      </c>
      <c r="F1533" s="110">
        <v>22.2</v>
      </c>
      <c r="G1533">
        <v>968482</v>
      </c>
      <c r="H1533" s="110"/>
      <c r="I1533" s="110"/>
      <c r="L1533" s="134">
        <v>44259</v>
      </c>
      <c r="M1533" s="110">
        <v>22.2</v>
      </c>
      <c r="N1533" s="110">
        <v>23.15</v>
      </c>
      <c r="O1533" s="110">
        <v>22.05</v>
      </c>
      <c r="P1533" s="110">
        <v>22.85</v>
      </c>
      <c r="Q1533" s="110">
        <v>22.2</v>
      </c>
      <c r="R1533">
        <v>7081295</v>
      </c>
    </row>
    <row r="1534" spans="1:18" x14ac:dyDescent="0.25">
      <c r="A1534" s="134">
        <v>44260</v>
      </c>
      <c r="B1534" s="110">
        <v>22.35</v>
      </c>
      <c r="C1534" s="110">
        <v>21.9</v>
      </c>
      <c r="D1534" s="110">
        <v>21.65</v>
      </c>
      <c r="E1534" s="110">
        <v>22.2</v>
      </c>
      <c r="F1534" s="110">
        <v>21.9</v>
      </c>
      <c r="G1534">
        <v>898241</v>
      </c>
      <c r="H1534" s="110"/>
      <c r="I1534" s="110"/>
      <c r="L1534" s="134">
        <v>44260</v>
      </c>
      <c r="M1534" s="110">
        <v>21.9</v>
      </c>
      <c r="N1534" s="110">
        <v>22.35</v>
      </c>
      <c r="O1534" s="110">
        <v>21.7</v>
      </c>
      <c r="P1534" s="110">
        <v>22.2</v>
      </c>
      <c r="Q1534" s="110">
        <v>21.9</v>
      </c>
      <c r="R1534">
        <v>4197367</v>
      </c>
    </row>
    <row r="1535" spans="1:18" x14ac:dyDescent="0.25">
      <c r="A1535" s="134">
        <v>44263</v>
      </c>
      <c r="B1535" s="110">
        <v>24.05</v>
      </c>
      <c r="C1535" s="110">
        <v>24.05</v>
      </c>
      <c r="D1535" s="110">
        <v>23.1</v>
      </c>
      <c r="E1535" s="110">
        <v>23.7</v>
      </c>
      <c r="F1535" s="110">
        <v>24.05</v>
      </c>
      <c r="G1535">
        <v>5802564</v>
      </c>
      <c r="H1535" s="110"/>
      <c r="I1535" s="110"/>
      <c r="L1535" s="134">
        <v>44263</v>
      </c>
      <c r="M1535" s="110">
        <v>24.05</v>
      </c>
      <c r="N1535" s="110">
        <v>24.05</v>
      </c>
      <c r="O1535" s="110">
        <v>23.1</v>
      </c>
      <c r="P1535" s="110">
        <v>23.75</v>
      </c>
      <c r="Q1535" s="110">
        <v>24.05</v>
      </c>
      <c r="R1535">
        <v>23754112</v>
      </c>
    </row>
    <row r="1536" spans="1:18" x14ac:dyDescent="0.25">
      <c r="A1536" s="134">
        <v>44264</v>
      </c>
      <c r="B1536" s="110">
        <v>25.2</v>
      </c>
      <c r="C1536" s="110">
        <v>22.95</v>
      </c>
      <c r="D1536" s="110">
        <v>22.75</v>
      </c>
      <c r="E1536" s="110">
        <v>24.95</v>
      </c>
      <c r="F1536" s="110">
        <v>22.95</v>
      </c>
      <c r="G1536">
        <v>2700947</v>
      </c>
      <c r="H1536" s="110"/>
      <c r="I1536" s="110"/>
      <c r="L1536" s="134">
        <v>44264</v>
      </c>
      <c r="M1536" s="110">
        <v>23</v>
      </c>
      <c r="N1536" s="110">
        <v>25.15</v>
      </c>
      <c r="O1536" s="110">
        <v>22.75</v>
      </c>
      <c r="P1536" s="110">
        <v>24.9</v>
      </c>
      <c r="Q1536" s="110">
        <v>23</v>
      </c>
      <c r="R1536">
        <v>14896969</v>
      </c>
    </row>
    <row r="1537" spans="1:18" x14ac:dyDescent="0.25">
      <c r="A1537" s="134">
        <v>44265</v>
      </c>
      <c r="B1537" s="110">
        <v>23.8</v>
      </c>
      <c r="C1537" s="110">
        <v>22.95</v>
      </c>
      <c r="D1537" s="110">
        <v>22.9</v>
      </c>
      <c r="E1537" s="110">
        <v>23.3</v>
      </c>
      <c r="F1537" s="110">
        <v>22.95</v>
      </c>
      <c r="G1537">
        <v>589922</v>
      </c>
      <c r="H1537" s="110"/>
      <c r="I1537" s="110"/>
      <c r="L1537" s="134">
        <v>44265</v>
      </c>
      <c r="M1537" s="110">
        <v>23</v>
      </c>
      <c r="N1537" s="110">
        <v>23.75</v>
      </c>
      <c r="O1537" s="110">
        <v>22.9</v>
      </c>
      <c r="P1537" s="110">
        <v>23.5</v>
      </c>
      <c r="Q1537" s="110">
        <v>23</v>
      </c>
      <c r="R1537">
        <v>5253068</v>
      </c>
    </row>
    <row r="1538" spans="1:18" x14ac:dyDescent="0.25">
      <c r="A1538" s="134">
        <v>44267</v>
      </c>
      <c r="B1538" s="110">
        <v>25.2</v>
      </c>
      <c r="C1538" s="110">
        <v>23</v>
      </c>
      <c r="D1538" s="110">
        <v>22.85</v>
      </c>
      <c r="E1538" s="110">
        <v>23.9</v>
      </c>
      <c r="F1538" s="110">
        <v>23</v>
      </c>
      <c r="G1538">
        <v>703572</v>
      </c>
      <c r="H1538" s="110"/>
      <c r="I1538" s="110"/>
      <c r="L1538" s="134">
        <v>44267</v>
      </c>
      <c r="M1538" s="110">
        <v>22.95</v>
      </c>
      <c r="N1538" s="110">
        <v>25.3</v>
      </c>
      <c r="O1538" s="110">
        <v>22.9</v>
      </c>
      <c r="P1538" s="110">
        <v>23.7</v>
      </c>
      <c r="Q1538" s="110">
        <v>22.95</v>
      </c>
      <c r="R1538">
        <v>9019956</v>
      </c>
    </row>
    <row r="1539" spans="1:18" x14ac:dyDescent="0.25">
      <c r="A1539" s="134">
        <v>44270</v>
      </c>
      <c r="B1539" s="110">
        <v>23.3</v>
      </c>
      <c r="C1539" s="110">
        <v>22.2</v>
      </c>
      <c r="D1539" s="110">
        <v>21.9</v>
      </c>
      <c r="E1539" s="110">
        <v>23</v>
      </c>
      <c r="F1539" s="110">
        <v>22.2</v>
      </c>
      <c r="G1539">
        <v>1072346</v>
      </c>
      <c r="H1539" s="110"/>
      <c r="I1539" s="110"/>
      <c r="L1539" s="134">
        <v>44270</v>
      </c>
      <c r="M1539" s="110">
        <v>22.15</v>
      </c>
      <c r="N1539" s="110">
        <v>23.35</v>
      </c>
      <c r="O1539" s="110">
        <v>21.9</v>
      </c>
      <c r="P1539" s="110">
        <v>23.3</v>
      </c>
      <c r="Q1539" s="110">
        <v>22.15</v>
      </c>
      <c r="R1539">
        <v>6529999</v>
      </c>
    </row>
    <row r="1540" spans="1:18" x14ac:dyDescent="0.25">
      <c r="A1540" s="134">
        <v>44271</v>
      </c>
      <c r="B1540" s="110">
        <v>22.3</v>
      </c>
      <c r="C1540" s="110">
        <v>21.4</v>
      </c>
      <c r="D1540" s="110">
        <v>20.9</v>
      </c>
      <c r="E1540" s="110">
        <v>22.25</v>
      </c>
      <c r="F1540" s="110">
        <v>21.4</v>
      </c>
      <c r="G1540">
        <v>889347</v>
      </c>
      <c r="H1540" s="110"/>
      <c r="I1540" s="110"/>
      <c r="L1540" s="134">
        <v>44271</v>
      </c>
      <c r="M1540" s="110">
        <v>21.4</v>
      </c>
      <c r="N1540" s="110">
        <v>22.3</v>
      </c>
      <c r="O1540" s="110">
        <v>20.8</v>
      </c>
      <c r="P1540" s="110">
        <v>22.25</v>
      </c>
      <c r="Q1540" s="110">
        <v>21.4</v>
      </c>
      <c r="R1540">
        <v>6933089</v>
      </c>
    </row>
    <row r="1541" spans="1:18" x14ac:dyDescent="0.25">
      <c r="A1541" s="134">
        <v>44272</v>
      </c>
      <c r="B1541" s="110">
        <v>21.75</v>
      </c>
      <c r="C1541" s="110">
        <v>20.55</v>
      </c>
      <c r="D1541" s="110">
        <v>20.45</v>
      </c>
      <c r="E1541" s="110">
        <v>21.45</v>
      </c>
      <c r="F1541" s="110">
        <v>20.55</v>
      </c>
      <c r="G1541">
        <v>891364</v>
      </c>
      <c r="H1541" s="110"/>
      <c r="I1541" s="110"/>
      <c r="L1541" s="134">
        <v>44272</v>
      </c>
      <c r="M1541" s="110">
        <v>20.55</v>
      </c>
      <c r="N1541" s="110">
        <v>21.8</v>
      </c>
      <c r="O1541" s="110">
        <v>20.45</v>
      </c>
      <c r="P1541" s="110">
        <v>21.55</v>
      </c>
      <c r="Q1541" s="110">
        <v>20.55</v>
      </c>
      <c r="R1541">
        <v>4399506</v>
      </c>
    </row>
    <row r="1542" spans="1:18" x14ac:dyDescent="0.25">
      <c r="A1542" s="134">
        <v>44273</v>
      </c>
      <c r="B1542" s="110">
        <v>21.15</v>
      </c>
      <c r="C1542" s="110">
        <v>19.3</v>
      </c>
      <c r="D1542" s="110">
        <v>18.8</v>
      </c>
      <c r="E1542" s="110">
        <v>20.6</v>
      </c>
      <c r="F1542" s="110">
        <v>19.3</v>
      </c>
      <c r="G1542">
        <v>1394534</v>
      </c>
      <c r="H1542" s="110"/>
      <c r="I1542" s="110"/>
      <c r="L1542" s="134">
        <v>44273</v>
      </c>
      <c r="M1542" s="110">
        <v>19.3</v>
      </c>
      <c r="N1542" s="110">
        <v>21.15</v>
      </c>
      <c r="O1542" s="110">
        <v>18.8</v>
      </c>
      <c r="P1542" s="110">
        <v>21</v>
      </c>
      <c r="Q1542" s="110">
        <v>19.3</v>
      </c>
      <c r="R1542">
        <v>6707609</v>
      </c>
    </row>
    <row r="1543" spans="1:18" x14ac:dyDescent="0.25">
      <c r="A1543" s="134">
        <v>44274</v>
      </c>
      <c r="B1543" s="110">
        <v>19.649999999999999</v>
      </c>
      <c r="C1543" s="110">
        <v>19</v>
      </c>
      <c r="D1543" s="110">
        <v>18.05</v>
      </c>
      <c r="E1543" s="110">
        <v>18.7</v>
      </c>
      <c r="F1543" s="110">
        <v>19</v>
      </c>
      <c r="G1543">
        <v>1592883</v>
      </c>
      <c r="H1543" s="110"/>
      <c r="I1543" s="110"/>
      <c r="L1543" s="134">
        <v>44274</v>
      </c>
      <c r="M1543" s="110">
        <v>18.95</v>
      </c>
      <c r="N1543" s="110">
        <v>19.649999999999999</v>
      </c>
      <c r="O1543" s="110">
        <v>18.100000000000001</v>
      </c>
      <c r="P1543" s="110">
        <v>19</v>
      </c>
      <c r="Q1543" s="110">
        <v>18.95</v>
      </c>
      <c r="R1543">
        <v>8051730</v>
      </c>
    </row>
    <row r="1544" spans="1:18" x14ac:dyDescent="0.25">
      <c r="A1544" s="134">
        <v>44277</v>
      </c>
      <c r="B1544" s="110">
        <v>19.95</v>
      </c>
      <c r="C1544" s="110">
        <v>19</v>
      </c>
      <c r="D1544" s="110">
        <v>18.850000000000001</v>
      </c>
      <c r="E1544" s="110">
        <v>19.5</v>
      </c>
      <c r="F1544" s="110">
        <v>19</v>
      </c>
      <c r="G1544">
        <v>832549</v>
      </c>
      <c r="H1544" s="110"/>
      <c r="I1544" s="110"/>
      <c r="L1544" s="134">
        <v>44277</v>
      </c>
      <c r="M1544" s="110">
        <v>19.05</v>
      </c>
      <c r="N1544" s="110">
        <v>19.95</v>
      </c>
      <c r="O1544" s="110">
        <v>18.8</v>
      </c>
      <c r="P1544" s="110">
        <v>19.2</v>
      </c>
      <c r="Q1544" s="110">
        <v>19.05</v>
      </c>
      <c r="R1544">
        <v>6058094</v>
      </c>
    </row>
    <row r="1545" spans="1:18" x14ac:dyDescent="0.25">
      <c r="A1545" s="134">
        <v>44278</v>
      </c>
      <c r="B1545" s="110">
        <v>20.9</v>
      </c>
      <c r="C1545" s="110">
        <v>20.9</v>
      </c>
      <c r="D1545" s="110">
        <v>19.2</v>
      </c>
      <c r="E1545" s="110">
        <v>19.649999999999999</v>
      </c>
      <c r="F1545" s="110">
        <v>20.9</v>
      </c>
      <c r="G1545">
        <v>1737587</v>
      </c>
      <c r="H1545" s="110"/>
      <c r="I1545" s="110"/>
      <c r="L1545" s="134">
        <v>44278</v>
      </c>
      <c r="M1545" s="110">
        <v>20.95</v>
      </c>
      <c r="N1545" s="110">
        <v>20.95</v>
      </c>
      <c r="O1545" s="110">
        <v>19.2</v>
      </c>
      <c r="P1545" s="110">
        <v>19.7</v>
      </c>
      <c r="Q1545" s="110">
        <v>20.95</v>
      </c>
      <c r="R1545">
        <v>17424016</v>
      </c>
    </row>
    <row r="1546" spans="1:18" x14ac:dyDescent="0.25">
      <c r="A1546" s="134">
        <v>44279</v>
      </c>
      <c r="B1546" s="110">
        <v>22.95</v>
      </c>
      <c r="C1546" s="110">
        <v>21.75</v>
      </c>
      <c r="D1546" s="110">
        <v>20.95</v>
      </c>
      <c r="E1546" s="110">
        <v>22.7</v>
      </c>
      <c r="F1546" s="110">
        <v>21.75</v>
      </c>
      <c r="G1546">
        <v>2719227</v>
      </c>
      <c r="H1546" s="110"/>
      <c r="I1546" s="110"/>
      <c r="L1546" s="134">
        <v>44279</v>
      </c>
      <c r="M1546" s="110">
        <v>21.65</v>
      </c>
      <c r="N1546" s="110">
        <v>23</v>
      </c>
      <c r="O1546" s="110">
        <v>20.85</v>
      </c>
      <c r="P1546" s="110">
        <v>22.7</v>
      </c>
      <c r="Q1546" s="110">
        <v>21.65</v>
      </c>
      <c r="R1546">
        <v>37769747</v>
      </c>
    </row>
    <row r="1547" spans="1:18" x14ac:dyDescent="0.25">
      <c r="A1547" s="134">
        <v>44280</v>
      </c>
      <c r="B1547" s="110">
        <v>22.25</v>
      </c>
      <c r="C1547" s="110">
        <v>20.85</v>
      </c>
      <c r="D1547" s="110">
        <v>19.649999999999999</v>
      </c>
      <c r="E1547" s="110">
        <v>22.25</v>
      </c>
      <c r="F1547" s="110">
        <v>20.85</v>
      </c>
      <c r="G1547">
        <v>1996265</v>
      </c>
      <c r="H1547" s="110"/>
      <c r="I1547" s="110"/>
      <c r="L1547" s="134">
        <v>44280</v>
      </c>
      <c r="M1547" s="110">
        <v>20.85</v>
      </c>
      <c r="N1547" s="110">
        <v>22.25</v>
      </c>
      <c r="O1547" s="110">
        <v>19.600000000000001</v>
      </c>
      <c r="P1547" s="110">
        <v>21.95</v>
      </c>
      <c r="Q1547" s="110">
        <v>20.85</v>
      </c>
      <c r="R1547">
        <v>13270081</v>
      </c>
    </row>
    <row r="1548" spans="1:18" x14ac:dyDescent="0.25">
      <c r="A1548" s="134">
        <v>44281</v>
      </c>
      <c r="B1548" s="110">
        <v>22</v>
      </c>
      <c r="C1548" s="110">
        <v>20.9</v>
      </c>
      <c r="D1548" s="110">
        <v>20.8</v>
      </c>
      <c r="E1548" s="110">
        <v>21.05</v>
      </c>
      <c r="F1548" s="110">
        <v>20.9</v>
      </c>
      <c r="G1548">
        <v>1113256</v>
      </c>
      <c r="H1548" s="110"/>
      <c r="I1548" s="110"/>
      <c r="L1548" s="134">
        <v>44281</v>
      </c>
      <c r="M1548" s="110">
        <v>20.9</v>
      </c>
      <c r="N1548" s="110">
        <v>22</v>
      </c>
      <c r="O1548" s="110">
        <v>20.8</v>
      </c>
      <c r="P1548" s="110">
        <v>21.45</v>
      </c>
      <c r="Q1548" s="110">
        <v>20.9</v>
      </c>
      <c r="R1548">
        <v>5670255</v>
      </c>
    </row>
    <row r="1549" spans="1:18" x14ac:dyDescent="0.25">
      <c r="A1549" s="134">
        <v>44285</v>
      </c>
      <c r="B1549" s="110">
        <v>21.2</v>
      </c>
      <c r="C1549" s="110">
        <v>20.6</v>
      </c>
      <c r="D1549" s="110">
        <v>20.100000000000001</v>
      </c>
      <c r="E1549" s="110">
        <v>21.2</v>
      </c>
      <c r="F1549" s="110">
        <v>20.6</v>
      </c>
      <c r="G1549">
        <v>472751</v>
      </c>
      <c r="H1549" s="110"/>
      <c r="I1549" s="110"/>
      <c r="L1549" s="134">
        <v>44285</v>
      </c>
      <c r="M1549" s="110">
        <v>20.75</v>
      </c>
      <c r="N1549" s="110">
        <v>21.2</v>
      </c>
      <c r="O1549" s="110">
        <v>20.149999999999999</v>
      </c>
      <c r="P1549" s="110">
        <v>21</v>
      </c>
      <c r="Q1549" s="110">
        <v>20.75</v>
      </c>
      <c r="R1549">
        <v>4503030</v>
      </c>
    </row>
    <row r="1550" spans="1:18" x14ac:dyDescent="0.25">
      <c r="A1550" s="134">
        <v>44286</v>
      </c>
      <c r="B1550" s="110">
        <v>21.2</v>
      </c>
      <c r="C1550" s="110">
        <v>20.8</v>
      </c>
      <c r="D1550" s="110">
        <v>20.350000000000001</v>
      </c>
      <c r="E1550" s="110">
        <v>20.85</v>
      </c>
      <c r="F1550" s="110">
        <v>20.8</v>
      </c>
      <c r="G1550">
        <v>364608</v>
      </c>
      <c r="H1550" s="110"/>
      <c r="I1550" s="110"/>
      <c r="L1550" s="134">
        <v>44286</v>
      </c>
      <c r="M1550" s="110">
        <v>20.8</v>
      </c>
      <c r="N1550" s="110">
        <v>21.2</v>
      </c>
      <c r="O1550" s="110">
        <v>20.350000000000001</v>
      </c>
      <c r="P1550" s="110">
        <v>20.95</v>
      </c>
      <c r="Q1550" s="110">
        <v>20.8</v>
      </c>
      <c r="R1550">
        <v>5212158</v>
      </c>
    </row>
    <row r="1551" spans="1:18" x14ac:dyDescent="0.25">
      <c r="A1551" s="134">
        <v>44287</v>
      </c>
      <c r="B1551" s="110">
        <v>21.95</v>
      </c>
      <c r="C1551" s="110">
        <v>21.4</v>
      </c>
      <c r="D1551" s="110">
        <v>21</v>
      </c>
      <c r="E1551" s="110">
        <v>21.25</v>
      </c>
      <c r="F1551" s="110">
        <v>21.4</v>
      </c>
      <c r="G1551">
        <v>539986</v>
      </c>
      <c r="H1551" s="110"/>
      <c r="I1551" s="110"/>
      <c r="L1551" s="134">
        <v>44287</v>
      </c>
      <c r="M1551" s="110">
        <v>21.45</v>
      </c>
      <c r="N1551" s="110">
        <v>21.95</v>
      </c>
      <c r="O1551" s="110">
        <v>21.05</v>
      </c>
      <c r="P1551" s="110">
        <v>21.3</v>
      </c>
      <c r="Q1551" s="110">
        <v>21.45</v>
      </c>
      <c r="R1551">
        <v>7531269</v>
      </c>
    </row>
    <row r="1552" spans="1:18" x14ac:dyDescent="0.25">
      <c r="A1552" s="134">
        <v>44291</v>
      </c>
      <c r="B1552" s="110">
        <v>21.8</v>
      </c>
      <c r="C1552" s="110">
        <v>21.3</v>
      </c>
      <c r="D1552" s="110">
        <v>20.75</v>
      </c>
      <c r="E1552" s="110">
        <v>21.25</v>
      </c>
      <c r="F1552" s="110">
        <v>21.3</v>
      </c>
      <c r="G1552">
        <v>449969</v>
      </c>
      <c r="H1552" s="110"/>
      <c r="I1552" s="110"/>
      <c r="L1552" s="134">
        <v>44291</v>
      </c>
      <c r="M1552" s="110">
        <v>21.25</v>
      </c>
      <c r="N1552" s="110">
        <v>22</v>
      </c>
      <c r="O1552" s="110">
        <v>20.75</v>
      </c>
      <c r="P1552" s="110">
        <v>20.9</v>
      </c>
      <c r="Q1552" s="110">
        <v>21.25</v>
      </c>
      <c r="R1552">
        <v>5849594</v>
      </c>
    </row>
    <row r="1553" spans="1:18" x14ac:dyDescent="0.25">
      <c r="A1553" s="134">
        <v>44292</v>
      </c>
      <c r="B1553" s="110">
        <v>21.45</v>
      </c>
      <c r="C1553" s="110">
        <v>21</v>
      </c>
      <c r="D1553" s="110">
        <v>20.85</v>
      </c>
      <c r="E1553" s="110">
        <v>21.3</v>
      </c>
      <c r="F1553" s="110">
        <v>21</v>
      </c>
      <c r="G1553">
        <v>1114849</v>
      </c>
      <c r="H1553" s="110"/>
      <c r="I1553" s="110"/>
      <c r="L1553" s="134">
        <v>44292</v>
      </c>
      <c r="M1553" s="110">
        <v>21</v>
      </c>
      <c r="N1553" s="110">
        <v>21.45</v>
      </c>
      <c r="O1553" s="110">
        <v>20.9</v>
      </c>
      <c r="P1553" s="110">
        <v>21.4</v>
      </c>
      <c r="Q1553" s="110">
        <v>21</v>
      </c>
      <c r="R1553">
        <v>3034615</v>
      </c>
    </row>
    <row r="1554" spans="1:18" x14ac:dyDescent="0.25">
      <c r="A1554" s="134">
        <v>44293</v>
      </c>
      <c r="B1554" s="110">
        <v>21.7</v>
      </c>
      <c r="C1554" s="110">
        <v>21.25</v>
      </c>
      <c r="D1554" s="110">
        <v>20.55</v>
      </c>
      <c r="E1554" s="110">
        <v>21.3</v>
      </c>
      <c r="F1554" s="110">
        <v>21.25</v>
      </c>
      <c r="G1554">
        <v>913974</v>
      </c>
      <c r="H1554" s="110"/>
      <c r="I1554" s="110"/>
      <c r="L1554" s="134">
        <v>44293</v>
      </c>
      <c r="M1554" s="110">
        <v>21.3</v>
      </c>
      <c r="N1554" s="110">
        <v>21.7</v>
      </c>
      <c r="O1554" s="110">
        <v>20.7</v>
      </c>
      <c r="P1554" s="110">
        <v>21</v>
      </c>
      <c r="Q1554" s="110">
        <v>21.3</v>
      </c>
      <c r="R1554">
        <v>4645403</v>
      </c>
    </row>
    <row r="1555" spans="1:18" x14ac:dyDescent="0.25">
      <c r="A1555" s="134">
        <v>44294</v>
      </c>
      <c r="B1555" s="110">
        <v>22</v>
      </c>
      <c r="C1555" s="110">
        <v>21.2</v>
      </c>
      <c r="D1555" s="110">
        <v>21.15</v>
      </c>
      <c r="E1555" s="110">
        <v>21.7</v>
      </c>
      <c r="F1555" s="110">
        <v>21.2</v>
      </c>
      <c r="G1555">
        <v>331500</v>
      </c>
      <c r="H1555" s="110"/>
      <c r="I1555" s="110"/>
      <c r="L1555" s="134">
        <v>44294</v>
      </c>
      <c r="M1555" s="110">
        <v>21.2</v>
      </c>
      <c r="N1555" s="110">
        <v>21.85</v>
      </c>
      <c r="O1555" s="110">
        <v>21.15</v>
      </c>
      <c r="P1555" s="110">
        <v>21.7</v>
      </c>
      <c r="Q1555" s="110">
        <v>21.2</v>
      </c>
      <c r="R1555">
        <v>3544390</v>
      </c>
    </row>
    <row r="1556" spans="1:18" x14ac:dyDescent="0.25">
      <c r="A1556" s="134">
        <v>44295</v>
      </c>
      <c r="B1556" s="110">
        <v>25.4</v>
      </c>
      <c r="C1556" s="110">
        <v>24.8</v>
      </c>
      <c r="D1556" s="110">
        <v>21.55</v>
      </c>
      <c r="E1556" s="110">
        <v>21.55</v>
      </c>
      <c r="F1556" s="110">
        <v>24.8</v>
      </c>
      <c r="G1556">
        <v>7952072</v>
      </c>
      <c r="H1556" s="110"/>
      <c r="I1556" s="110"/>
      <c r="L1556" s="134">
        <v>44295</v>
      </c>
      <c r="M1556" s="110">
        <v>24.75</v>
      </c>
      <c r="N1556" s="110">
        <v>25.4</v>
      </c>
      <c r="O1556" s="110">
        <v>21.45</v>
      </c>
      <c r="P1556" s="110">
        <v>21.45</v>
      </c>
      <c r="Q1556" s="110">
        <v>24.75</v>
      </c>
      <c r="R1556">
        <v>55300181</v>
      </c>
    </row>
    <row r="1557" spans="1:18" x14ac:dyDescent="0.25">
      <c r="A1557" s="134">
        <v>44298</v>
      </c>
      <c r="B1557" s="110">
        <v>24.25</v>
      </c>
      <c r="C1557" s="110">
        <v>22.75</v>
      </c>
      <c r="D1557" s="110">
        <v>22.25</v>
      </c>
      <c r="E1557" s="110">
        <v>24.05</v>
      </c>
      <c r="F1557" s="110">
        <v>22.75</v>
      </c>
      <c r="G1557">
        <v>3801000</v>
      </c>
      <c r="H1557" s="110"/>
      <c r="I1557" s="110"/>
      <c r="L1557" s="134">
        <v>44298</v>
      </c>
      <c r="M1557" s="110">
        <v>22.85</v>
      </c>
      <c r="N1557" s="110">
        <v>24.25</v>
      </c>
      <c r="O1557" s="110">
        <v>22.3</v>
      </c>
      <c r="P1557" s="110">
        <v>23.8</v>
      </c>
      <c r="Q1557" s="110">
        <v>22.85</v>
      </c>
      <c r="R1557">
        <v>27436858</v>
      </c>
    </row>
    <row r="1558" spans="1:18" x14ac:dyDescent="0.25">
      <c r="A1558" s="134">
        <v>44299</v>
      </c>
      <c r="B1558" s="110">
        <v>27.3</v>
      </c>
      <c r="C1558" s="110">
        <v>27</v>
      </c>
      <c r="D1558" s="110">
        <v>23</v>
      </c>
      <c r="E1558" s="110">
        <v>23.45</v>
      </c>
      <c r="F1558" s="110">
        <v>27</v>
      </c>
      <c r="G1558">
        <v>3296986</v>
      </c>
      <c r="H1558" s="110"/>
      <c r="I1558" s="110"/>
      <c r="L1558" s="134">
        <v>44299</v>
      </c>
      <c r="M1558" s="110">
        <v>27</v>
      </c>
      <c r="N1558" s="110">
        <v>27.4</v>
      </c>
      <c r="O1558" s="110">
        <v>22.85</v>
      </c>
      <c r="P1558" s="110">
        <v>23</v>
      </c>
      <c r="Q1558" s="110">
        <v>27</v>
      </c>
      <c r="R1558">
        <v>70301278</v>
      </c>
    </row>
    <row r="1559" spans="1:18" x14ac:dyDescent="0.25">
      <c r="A1559" s="134">
        <v>44301</v>
      </c>
      <c r="B1559" s="110">
        <v>26.45</v>
      </c>
      <c r="C1559" s="110">
        <v>25.25</v>
      </c>
      <c r="D1559" s="110">
        <v>24.65</v>
      </c>
      <c r="E1559" s="110">
        <v>26</v>
      </c>
      <c r="F1559" s="110">
        <v>25.25</v>
      </c>
      <c r="G1559">
        <v>1590929</v>
      </c>
      <c r="H1559" s="110"/>
      <c r="I1559" s="110"/>
      <c r="L1559" s="134">
        <v>44301</v>
      </c>
      <c r="M1559" s="110">
        <v>25.2</v>
      </c>
      <c r="N1559" s="110">
        <v>26.45</v>
      </c>
      <c r="O1559" s="110">
        <v>24.65</v>
      </c>
      <c r="P1559" s="110">
        <v>26</v>
      </c>
      <c r="Q1559" s="110">
        <v>25.2</v>
      </c>
      <c r="R1559">
        <v>27490674</v>
      </c>
    </row>
    <row r="1560" spans="1:18" x14ac:dyDescent="0.25">
      <c r="A1560" s="134">
        <v>44302</v>
      </c>
      <c r="B1560" s="110">
        <v>26.7</v>
      </c>
      <c r="C1560" s="110">
        <v>25.3</v>
      </c>
      <c r="D1560" s="110">
        <v>25.1</v>
      </c>
      <c r="E1560" s="110">
        <v>26.5</v>
      </c>
      <c r="F1560" s="110">
        <v>25.3</v>
      </c>
      <c r="G1560">
        <v>2971505</v>
      </c>
      <c r="H1560" s="110"/>
      <c r="I1560" s="110"/>
      <c r="L1560" s="134">
        <v>44302</v>
      </c>
      <c r="M1560" s="110">
        <v>25.3</v>
      </c>
      <c r="N1560" s="110">
        <v>26.7</v>
      </c>
      <c r="O1560" s="110">
        <v>25.1</v>
      </c>
      <c r="P1560" s="110">
        <v>25.45</v>
      </c>
      <c r="Q1560" s="110">
        <v>25.3</v>
      </c>
      <c r="R1560">
        <v>28141932</v>
      </c>
    </row>
    <row r="1561" spans="1:18" x14ac:dyDescent="0.25">
      <c r="A1561" s="134">
        <v>44305</v>
      </c>
      <c r="B1561" s="110">
        <v>25</v>
      </c>
      <c r="C1561" s="110">
        <v>23.5</v>
      </c>
      <c r="D1561" s="110">
        <v>23.25</v>
      </c>
      <c r="E1561" s="110">
        <v>24.2</v>
      </c>
      <c r="F1561" s="110">
        <v>23.5</v>
      </c>
      <c r="G1561">
        <v>1096743</v>
      </c>
      <c r="H1561" s="110"/>
      <c r="I1561" s="110"/>
      <c r="L1561" s="134">
        <v>44305</v>
      </c>
      <c r="M1561" s="110">
        <v>23.45</v>
      </c>
      <c r="N1561" s="110">
        <v>24.3</v>
      </c>
      <c r="O1561" s="110">
        <v>23.2</v>
      </c>
      <c r="P1561" s="110">
        <v>23.95</v>
      </c>
      <c r="Q1561" s="110">
        <v>23.45</v>
      </c>
      <c r="R1561">
        <v>15573583</v>
      </c>
    </row>
    <row r="1562" spans="1:18" x14ac:dyDescent="0.25">
      <c r="A1562" s="134">
        <v>44306</v>
      </c>
      <c r="B1562" s="110">
        <v>24.4</v>
      </c>
      <c r="C1562" s="110">
        <v>22.75</v>
      </c>
      <c r="D1562" s="110">
        <v>22.55</v>
      </c>
      <c r="E1562" s="110">
        <v>24.35</v>
      </c>
      <c r="F1562" s="110">
        <v>22.75</v>
      </c>
      <c r="G1562">
        <v>1854883</v>
      </c>
      <c r="H1562" s="110"/>
      <c r="I1562" s="110"/>
      <c r="L1562" s="134">
        <v>44306</v>
      </c>
      <c r="M1562" s="110">
        <v>22.7</v>
      </c>
      <c r="N1562" s="110">
        <v>24.35</v>
      </c>
      <c r="O1562" s="110">
        <v>22.55</v>
      </c>
      <c r="P1562" s="110">
        <v>24</v>
      </c>
      <c r="Q1562" s="110">
        <v>22.7</v>
      </c>
      <c r="R1562">
        <v>12329593</v>
      </c>
    </row>
    <row r="1563" spans="1:18" x14ac:dyDescent="0.25">
      <c r="A1563" s="134">
        <v>44308</v>
      </c>
      <c r="B1563" s="110">
        <v>23.75</v>
      </c>
      <c r="C1563" s="110">
        <v>22.85</v>
      </c>
      <c r="D1563" s="110">
        <v>21.05</v>
      </c>
      <c r="E1563" s="110">
        <v>22</v>
      </c>
      <c r="F1563" s="110">
        <v>22.85</v>
      </c>
      <c r="G1563">
        <v>2047352</v>
      </c>
      <c r="H1563" s="110"/>
      <c r="I1563" s="110"/>
      <c r="L1563" s="134">
        <v>44308</v>
      </c>
      <c r="M1563" s="110">
        <v>22.85</v>
      </c>
      <c r="N1563" s="110">
        <v>23.8</v>
      </c>
      <c r="O1563" s="110">
        <v>21.6</v>
      </c>
      <c r="P1563" s="110">
        <v>22.1</v>
      </c>
      <c r="Q1563" s="110">
        <v>22.85</v>
      </c>
      <c r="R1563">
        <v>17735723</v>
      </c>
    </row>
    <row r="1564" spans="1:18" x14ac:dyDescent="0.25">
      <c r="A1564" s="134">
        <v>44309</v>
      </c>
      <c r="B1564" s="110">
        <v>23.4</v>
      </c>
      <c r="C1564" s="110">
        <v>22.95</v>
      </c>
      <c r="D1564" s="110">
        <v>22.65</v>
      </c>
      <c r="E1564" s="110">
        <v>23.4</v>
      </c>
      <c r="F1564" s="110">
        <v>22.95</v>
      </c>
      <c r="G1564">
        <v>645741</v>
      </c>
      <c r="H1564" s="110"/>
      <c r="I1564" s="110"/>
      <c r="L1564" s="134">
        <v>44309</v>
      </c>
      <c r="M1564" s="110">
        <v>22.9</v>
      </c>
      <c r="N1564" s="110">
        <v>23.25</v>
      </c>
      <c r="O1564" s="110">
        <v>22.6</v>
      </c>
      <c r="P1564" s="110">
        <v>22.85</v>
      </c>
      <c r="Q1564" s="110">
        <v>22.9</v>
      </c>
      <c r="R1564">
        <v>8406193</v>
      </c>
    </row>
    <row r="1565" spans="1:18" x14ac:dyDescent="0.25">
      <c r="A1565" s="134">
        <v>44312</v>
      </c>
      <c r="B1565" s="110">
        <v>23.8</v>
      </c>
      <c r="C1565" s="110">
        <v>23.4</v>
      </c>
      <c r="D1565" s="110">
        <v>23</v>
      </c>
      <c r="E1565" s="110">
        <v>23.2</v>
      </c>
      <c r="F1565" s="110">
        <v>23.4</v>
      </c>
      <c r="G1565">
        <v>877585</v>
      </c>
      <c r="H1565" s="110"/>
      <c r="I1565" s="110"/>
      <c r="L1565" s="134">
        <v>44312</v>
      </c>
      <c r="M1565" s="110">
        <v>23.4</v>
      </c>
      <c r="N1565" s="110">
        <v>23.95</v>
      </c>
      <c r="O1565" s="110">
        <v>23.1</v>
      </c>
      <c r="P1565" s="110">
        <v>23.2</v>
      </c>
      <c r="Q1565" s="110">
        <v>23.4</v>
      </c>
      <c r="R1565">
        <v>5718801</v>
      </c>
    </row>
    <row r="1566" spans="1:18" x14ac:dyDescent="0.25">
      <c r="A1566" s="134">
        <v>44313</v>
      </c>
      <c r="B1566" s="110">
        <v>23.95</v>
      </c>
      <c r="C1566" s="110">
        <v>23.6</v>
      </c>
      <c r="D1566" s="110">
        <v>23.15</v>
      </c>
      <c r="E1566" s="110">
        <v>23.8</v>
      </c>
      <c r="F1566" s="110">
        <v>23.6</v>
      </c>
      <c r="G1566">
        <v>685687</v>
      </c>
      <c r="H1566" s="110"/>
      <c r="I1566" s="110"/>
      <c r="L1566" s="134">
        <v>44313</v>
      </c>
      <c r="M1566" s="110">
        <v>23.6</v>
      </c>
      <c r="N1566" s="110">
        <v>23.95</v>
      </c>
      <c r="O1566" s="110">
        <v>23.1</v>
      </c>
      <c r="P1566" s="110">
        <v>23.85</v>
      </c>
      <c r="Q1566" s="110">
        <v>23.6</v>
      </c>
      <c r="R1566">
        <v>9651949</v>
      </c>
    </row>
    <row r="1567" spans="1:18" x14ac:dyDescent="0.25">
      <c r="A1567" s="134">
        <v>44314</v>
      </c>
      <c r="B1567" s="110">
        <v>24.1</v>
      </c>
      <c r="C1567" s="110">
        <v>23.85</v>
      </c>
      <c r="D1567" s="110">
        <v>23.55</v>
      </c>
      <c r="E1567" s="110">
        <v>23.6</v>
      </c>
      <c r="F1567" s="110">
        <v>23.85</v>
      </c>
      <c r="G1567">
        <v>571411</v>
      </c>
      <c r="H1567" s="110"/>
      <c r="I1567" s="110"/>
      <c r="L1567" s="134">
        <v>44314</v>
      </c>
      <c r="M1567" s="110">
        <v>23.85</v>
      </c>
      <c r="N1567" s="110">
        <v>24.05</v>
      </c>
      <c r="O1567" s="110">
        <v>23.55</v>
      </c>
      <c r="P1567" s="110">
        <v>23.7</v>
      </c>
      <c r="Q1567" s="110">
        <v>23.85</v>
      </c>
      <c r="R1567">
        <v>6826298</v>
      </c>
    </row>
    <row r="1568" spans="1:18" x14ac:dyDescent="0.25">
      <c r="A1568" s="134">
        <v>44315</v>
      </c>
      <c r="B1568" s="110">
        <v>25.3</v>
      </c>
      <c r="C1568" s="110">
        <v>24.75</v>
      </c>
      <c r="D1568" s="110">
        <v>23.5</v>
      </c>
      <c r="E1568" s="110">
        <v>24.5</v>
      </c>
      <c r="F1568" s="110">
        <v>24.75</v>
      </c>
      <c r="G1568">
        <v>1453335</v>
      </c>
      <c r="H1568" s="110"/>
      <c r="I1568" s="110"/>
      <c r="L1568" s="134">
        <v>44315</v>
      </c>
      <c r="M1568" s="110">
        <v>24.75</v>
      </c>
      <c r="N1568" s="110">
        <v>25.25</v>
      </c>
      <c r="O1568" s="110">
        <v>23.5</v>
      </c>
      <c r="P1568" s="110">
        <v>24.3</v>
      </c>
      <c r="Q1568" s="110">
        <v>24.75</v>
      </c>
      <c r="R1568">
        <v>20380789</v>
      </c>
    </row>
    <row r="1569" spans="1:18" x14ac:dyDescent="0.25">
      <c r="A1569" s="134">
        <v>44316</v>
      </c>
      <c r="B1569" s="110">
        <v>24.85</v>
      </c>
      <c r="C1569" s="110">
        <v>24.1</v>
      </c>
      <c r="D1569" s="110">
        <v>24</v>
      </c>
      <c r="E1569" s="110">
        <v>24.4</v>
      </c>
      <c r="F1569" s="110">
        <v>24.1</v>
      </c>
      <c r="G1569">
        <v>687105</v>
      </c>
      <c r="H1569" s="110"/>
      <c r="I1569" s="110"/>
      <c r="L1569" s="134">
        <v>44316</v>
      </c>
      <c r="M1569" s="110">
        <v>24.05</v>
      </c>
      <c r="N1569" s="110">
        <v>24.85</v>
      </c>
      <c r="O1569" s="110">
        <v>24</v>
      </c>
      <c r="P1569" s="110">
        <v>24.5</v>
      </c>
      <c r="Q1569" s="110">
        <v>24.05</v>
      </c>
      <c r="R1569">
        <v>8822796</v>
      </c>
    </row>
    <row r="1570" spans="1:18" x14ac:dyDescent="0.25">
      <c r="A1570" s="134">
        <v>44319</v>
      </c>
      <c r="B1570" s="110">
        <v>23.95</v>
      </c>
      <c r="C1570" s="110">
        <v>23.45</v>
      </c>
      <c r="D1570" s="110">
        <v>23.2</v>
      </c>
      <c r="E1570" s="110">
        <v>23.8</v>
      </c>
      <c r="F1570" s="110">
        <v>23.45</v>
      </c>
      <c r="G1570">
        <v>766975</v>
      </c>
      <c r="H1570" s="110"/>
      <c r="I1570" s="110"/>
      <c r="L1570" s="134">
        <v>44319</v>
      </c>
      <c r="M1570" s="110">
        <v>23.45</v>
      </c>
      <c r="N1570" s="110">
        <v>23.95</v>
      </c>
      <c r="O1570" s="110">
        <v>23.2</v>
      </c>
      <c r="P1570" s="110">
        <v>23.7</v>
      </c>
      <c r="Q1570" s="110">
        <v>23.45</v>
      </c>
      <c r="R1570">
        <v>4756452</v>
      </c>
    </row>
    <row r="1571" spans="1:18" x14ac:dyDescent="0.25">
      <c r="A1571" s="134">
        <v>44320</v>
      </c>
      <c r="B1571" s="110">
        <v>25.5</v>
      </c>
      <c r="C1571" s="110">
        <v>24.25</v>
      </c>
      <c r="D1571" s="110">
        <v>23.55</v>
      </c>
      <c r="E1571" s="110">
        <v>23.9</v>
      </c>
      <c r="F1571" s="110">
        <v>24.25</v>
      </c>
      <c r="G1571">
        <v>2919264</v>
      </c>
      <c r="H1571" s="110"/>
      <c r="I1571" s="110"/>
      <c r="L1571" s="134">
        <v>44320</v>
      </c>
      <c r="M1571" s="110">
        <v>24.3</v>
      </c>
      <c r="N1571" s="110">
        <v>25.55</v>
      </c>
      <c r="O1571" s="110">
        <v>23.55</v>
      </c>
      <c r="P1571" s="110">
        <v>23.75</v>
      </c>
      <c r="Q1571" s="110">
        <v>24.3</v>
      </c>
      <c r="R1571">
        <v>24701880</v>
      </c>
    </row>
    <row r="1572" spans="1:18" x14ac:dyDescent="0.25">
      <c r="A1572" s="134">
        <v>44321</v>
      </c>
      <c r="B1572" s="110">
        <v>25.45</v>
      </c>
      <c r="C1572" s="110">
        <v>24.15</v>
      </c>
      <c r="D1572" s="110">
        <v>23.9</v>
      </c>
      <c r="E1572" s="110">
        <v>25</v>
      </c>
      <c r="F1572" s="110">
        <v>24.15</v>
      </c>
      <c r="G1572">
        <v>991132</v>
      </c>
      <c r="H1572" s="110"/>
      <c r="I1572" s="110"/>
      <c r="L1572" s="134">
        <v>44321</v>
      </c>
      <c r="M1572" s="110">
        <v>24.15</v>
      </c>
      <c r="N1572" s="110">
        <v>25.5</v>
      </c>
      <c r="O1572" s="110">
        <v>23.95</v>
      </c>
      <c r="P1572" s="110">
        <v>24.8</v>
      </c>
      <c r="Q1572" s="110">
        <v>24.15</v>
      </c>
      <c r="R1572">
        <v>9046019</v>
      </c>
    </row>
    <row r="1573" spans="1:18" x14ac:dyDescent="0.25">
      <c r="A1573" s="134">
        <v>44322</v>
      </c>
      <c r="B1573" s="110">
        <v>25.95</v>
      </c>
      <c r="C1573" s="110">
        <v>24.6</v>
      </c>
      <c r="D1573" s="110">
        <v>24.2</v>
      </c>
      <c r="E1573" s="110">
        <v>24.35</v>
      </c>
      <c r="F1573" s="110">
        <v>24.6</v>
      </c>
      <c r="G1573">
        <v>2726216</v>
      </c>
      <c r="H1573" s="110"/>
      <c r="I1573" s="110"/>
      <c r="L1573" s="134">
        <v>44322</v>
      </c>
      <c r="M1573" s="110">
        <v>24.6</v>
      </c>
      <c r="N1573" s="110">
        <v>25.95</v>
      </c>
      <c r="O1573" s="110">
        <v>24.25</v>
      </c>
      <c r="P1573" s="110">
        <v>24.25</v>
      </c>
      <c r="Q1573" s="110">
        <v>24.6</v>
      </c>
      <c r="R1573">
        <v>19579996</v>
      </c>
    </row>
    <row r="1574" spans="1:18" x14ac:dyDescent="0.25">
      <c r="A1574" s="134">
        <v>44323</v>
      </c>
      <c r="B1574" s="110">
        <v>25.2</v>
      </c>
      <c r="C1574" s="110">
        <v>24.2</v>
      </c>
      <c r="D1574" s="110">
        <v>23.6</v>
      </c>
      <c r="E1574" s="110">
        <v>25.15</v>
      </c>
      <c r="F1574" s="110">
        <v>24.2</v>
      </c>
      <c r="G1574">
        <v>1568706</v>
      </c>
      <c r="H1574" s="110"/>
      <c r="I1574" s="110"/>
      <c r="L1574" s="134">
        <v>44323</v>
      </c>
      <c r="M1574" s="110">
        <v>24.35</v>
      </c>
      <c r="N1574" s="110">
        <v>25.2</v>
      </c>
      <c r="O1574" s="110">
        <v>24.2</v>
      </c>
      <c r="P1574" s="110">
        <v>25</v>
      </c>
      <c r="Q1574" s="110">
        <v>24.35</v>
      </c>
      <c r="R1574">
        <v>8431227</v>
      </c>
    </row>
    <row r="1575" spans="1:18" x14ac:dyDescent="0.25">
      <c r="A1575" s="134">
        <v>44326</v>
      </c>
      <c r="B1575" s="110">
        <v>25.1</v>
      </c>
      <c r="C1575" s="110">
        <v>24.6</v>
      </c>
      <c r="D1575" s="110">
        <v>24.35</v>
      </c>
      <c r="E1575" s="110">
        <v>24.95</v>
      </c>
      <c r="F1575" s="110">
        <v>24.6</v>
      </c>
      <c r="G1575">
        <v>679071</v>
      </c>
      <c r="H1575" s="110"/>
      <c r="I1575" s="110"/>
      <c r="L1575" s="134">
        <v>44326</v>
      </c>
      <c r="M1575" s="110">
        <v>24.55</v>
      </c>
      <c r="N1575" s="110">
        <v>25.1</v>
      </c>
      <c r="O1575" s="110">
        <v>24.3</v>
      </c>
      <c r="P1575" s="110">
        <v>25</v>
      </c>
      <c r="Q1575" s="110">
        <v>24.55</v>
      </c>
      <c r="R1575">
        <v>7767394</v>
      </c>
    </row>
    <row r="1576" spans="1:18" x14ac:dyDescent="0.25">
      <c r="A1576" s="134">
        <v>44327</v>
      </c>
      <c r="B1576" s="110">
        <v>25.2</v>
      </c>
      <c r="C1576" s="110">
        <v>24.9</v>
      </c>
      <c r="D1576" s="110">
        <v>23.9</v>
      </c>
      <c r="E1576" s="110">
        <v>24.1</v>
      </c>
      <c r="F1576" s="110">
        <v>24.9</v>
      </c>
      <c r="G1576">
        <v>1635188</v>
      </c>
      <c r="H1576" s="110"/>
      <c r="I1576" s="110"/>
      <c r="L1576" s="134">
        <v>44327</v>
      </c>
      <c r="M1576" s="110">
        <v>24.85</v>
      </c>
      <c r="N1576" s="110">
        <v>25.25</v>
      </c>
      <c r="O1576" s="110">
        <v>23.95</v>
      </c>
      <c r="P1576" s="110">
        <v>24.3</v>
      </c>
      <c r="Q1576" s="110">
        <v>24.85</v>
      </c>
      <c r="R1576">
        <v>9316761</v>
      </c>
    </row>
    <row r="1577" spans="1:18" x14ac:dyDescent="0.25">
      <c r="A1577" s="134">
        <v>44328</v>
      </c>
      <c r="B1577" s="110">
        <v>26.45</v>
      </c>
      <c r="C1577" s="110">
        <v>25.3</v>
      </c>
      <c r="D1577" s="110">
        <v>24.7</v>
      </c>
      <c r="E1577" s="110">
        <v>24.85</v>
      </c>
      <c r="F1577" s="110">
        <v>25.3</v>
      </c>
      <c r="G1577">
        <v>4644592</v>
      </c>
      <c r="H1577" s="110"/>
      <c r="I1577" s="110"/>
      <c r="L1577" s="134">
        <v>44328</v>
      </c>
      <c r="M1577" s="110">
        <v>25.3</v>
      </c>
      <c r="N1577" s="110">
        <v>26.45</v>
      </c>
      <c r="O1577" s="110">
        <v>24.7</v>
      </c>
      <c r="P1577" s="110">
        <v>24.7</v>
      </c>
      <c r="Q1577" s="110">
        <v>25.3</v>
      </c>
      <c r="R1577">
        <v>38100456</v>
      </c>
    </row>
    <row r="1578" spans="1:18" x14ac:dyDescent="0.25">
      <c r="A1578" s="134">
        <v>44330</v>
      </c>
      <c r="B1578" s="110">
        <v>26.2</v>
      </c>
      <c r="C1578" s="110">
        <v>25</v>
      </c>
      <c r="D1578" s="110">
        <v>24.4</v>
      </c>
      <c r="E1578" s="110">
        <v>25.6</v>
      </c>
      <c r="F1578" s="110">
        <v>25</v>
      </c>
      <c r="G1578">
        <v>2444998</v>
      </c>
      <c r="H1578" s="110"/>
      <c r="I1578" s="110"/>
      <c r="L1578" s="134">
        <v>44330</v>
      </c>
      <c r="M1578" s="110">
        <v>25</v>
      </c>
      <c r="N1578" s="110">
        <v>26.15</v>
      </c>
      <c r="O1578" s="110">
        <v>24.4</v>
      </c>
      <c r="P1578" s="110">
        <v>25.7</v>
      </c>
      <c r="Q1578" s="110">
        <v>25</v>
      </c>
      <c r="R1578">
        <v>14970817</v>
      </c>
    </row>
    <row r="1579" spans="1:18" x14ac:dyDescent="0.25">
      <c r="A1579" s="134">
        <v>44333</v>
      </c>
      <c r="B1579" s="110">
        <v>25.95</v>
      </c>
      <c r="C1579" s="110">
        <v>25.5</v>
      </c>
      <c r="D1579" s="110">
        <v>25.1</v>
      </c>
      <c r="E1579" s="110">
        <v>25.3</v>
      </c>
      <c r="F1579" s="110">
        <v>25.5</v>
      </c>
      <c r="G1579">
        <v>1121119</v>
      </c>
      <c r="H1579" s="110"/>
      <c r="I1579" s="110"/>
      <c r="L1579" s="134">
        <v>44333</v>
      </c>
      <c r="M1579" s="110">
        <v>25.5</v>
      </c>
      <c r="N1579" s="110">
        <v>25.95</v>
      </c>
      <c r="O1579" s="110">
        <v>25.1</v>
      </c>
      <c r="P1579" s="110">
        <v>25.7</v>
      </c>
      <c r="Q1579" s="110">
        <v>25.5</v>
      </c>
      <c r="R1579">
        <v>10484230</v>
      </c>
    </row>
    <row r="1580" spans="1:18" x14ac:dyDescent="0.25">
      <c r="A1580" s="134">
        <v>44334</v>
      </c>
      <c r="B1580" s="110">
        <v>25.9</v>
      </c>
      <c r="C1580" s="110">
        <v>25.1</v>
      </c>
      <c r="D1580" s="110">
        <v>24.9</v>
      </c>
      <c r="E1580" s="110">
        <v>25.6</v>
      </c>
      <c r="F1580" s="110">
        <v>25.1</v>
      </c>
      <c r="G1580">
        <v>584549</v>
      </c>
      <c r="H1580" s="110"/>
      <c r="I1580" s="110"/>
      <c r="L1580" s="134">
        <v>44334</v>
      </c>
      <c r="M1580" s="110">
        <v>25.05</v>
      </c>
      <c r="N1580" s="110">
        <v>25.9</v>
      </c>
      <c r="O1580" s="110">
        <v>24.9</v>
      </c>
      <c r="P1580" s="110">
        <v>25.65</v>
      </c>
      <c r="Q1580" s="110">
        <v>25.05</v>
      </c>
      <c r="R1580">
        <v>6319747</v>
      </c>
    </row>
    <row r="1581" spans="1:18" x14ac:dyDescent="0.25">
      <c r="A1581" s="134">
        <v>44335</v>
      </c>
      <c r="B1581" s="110">
        <v>25.95</v>
      </c>
      <c r="C1581" s="110">
        <v>25.1</v>
      </c>
      <c r="D1581" s="110">
        <v>24.8</v>
      </c>
      <c r="E1581" s="110">
        <v>25.1</v>
      </c>
      <c r="F1581" s="110">
        <v>25.1</v>
      </c>
      <c r="G1581">
        <v>2162990</v>
      </c>
      <c r="H1581" s="110"/>
      <c r="I1581" s="110"/>
      <c r="L1581" s="134">
        <v>44335</v>
      </c>
      <c r="M1581" s="110">
        <v>25.1</v>
      </c>
      <c r="N1581" s="110">
        <v>25.95</v>
      </c>
      <c r="O1581" s="110">
        <v>24.8</v>
      </c>
      <c r="P1581" s="110">
        <v>25.05</v>
      </c>
      <c r="Q1581" s="110">
        <v>25.1</v>
      </c>
      <c r="R1581">
        <v>19751570</v>
      </c>
    </row>
    <row r="1582" spans="1:18" x14ac:dyDescent="0.25">
      <c r="A1582" s="134">
        <v>44336</v>
      </c>
      <c r="B1582" s="110">
        <v>25.35</v>
      </c>
      <c r="C1582" s="110">
        <v>24.85</v>
      </c>
      <c r="D1582" s="110">
        <v>24.75</v>
      </c>
      <c r="E1582" s="110">
        <v>25.35</v>
      </c>
      <c r="F1582" s="110">
        <v>24.85</v>
      </c>
      <c r="G1582">
        <v>547916</v>
      </c>
      <c r="H1582" s="110"/>
      <c r="I1582" s="110"/>
      <c r="L1582" s="134">
        <v>44336</v>
      </c>
      <c r="M1582" s="110">
        <v>24.85</v>
      </c>
      <c r="N1582" s="110">
        <v>25.3</v>
      </c>
      <c r="O1582" s="110">
        <v>24.8</v>
      </c>
      <c r="P1582" s="110">
        <v>25.2</v>
      </c>
      <c r="Q1582" s="110">
        <v>24.85</v>
      </c>
      <c r="R1582">
        <v>5312845</v>
      </c>
    </row>
    <row r="1583" spans="1:18" x14ac:dyDescent="0.25">
      <c r="A1583" s="134">
        <v>44337</v>
      </c>
      <c r="B1583" s="110">
        <v>25.35</v>
      </c>
      <c r="C1583" s="110">
        <v>25.15</v>
      </c>
      <c r="D1583" s="110">
        <v>24.9</v>
      </c>
      <c r="E1583" s="110">
        <v>25.3</v>
      </c>
      <c r="F1583" s="110">
        <v>25.15</v>
      </c>
      <c r="G1583">
        <v>607190</v>
      </c>
      <c r="H1583" s="110"/>
      <c r="I1583" s="110"/>
      <c r="L1583" s="134">
        <v>44337</v>
      </c>
      <c r="M1583" s="110">
        <v>25.15</v>
      </c>
      <c r="N1583" s="110">
        <v>25.35</v>
      </c>
      <c r="O1583" s="110">
        <v>24.9</v>
      </c>
      <c r="P1583" s="110">
        <v>25</v>
      </c>
      <c r="Q1583" s="110">
        <v>25.15</v>
      </c>
      <c r="R1583">
        <v>6098172</v>
      </c>
    </row>
    <row r="1584" spans="1:18" x14ac:dyDescent="0.25">
      <c r="A1584" s="134">
        <v>44340</v>
      </c>
      <c r="B1584" s="110">
        <v>25.5</v>
      </c>
      <c r="C1584" s="110">
        <v>25.25</v>
      </c>
      <c r="D1584" s="110">
        <v>25.15</v>
      </c>
      <c r="E1584" s="110">
        <v>25.5</v>
      </c>
      <c r="F1584" s="110">
        <v>25.25</v>
      </c>
      <c r="G1584">
        <v>437800</v>
      </c>
      <c r="H1584" s="110"/>
      <c r="I1584" s="110"/>
      <c r="L1584" s="134">
        <v>44340</v>
      </c>
      <c r="M1584" s="110">
        <v>25.25</v>
      </c>
      <c r="N1584" s="110">
        <v>25.5</v>
      </c>
      <c r="O1584" s="110">
        <v>25.15</v>
      </c>
      <c r="P1584" s="110">
        <v>25.3</v>
      </c>
      <c r="Q1584" s="110">
        <v>25.25</v>
      </c>
      <c r="R1584">
        <v>4733589</v>
      </c>
    </row>
    <row r="1585" spans="1:18" x14ac:dyDescent="0.25">
      <c r="A1585" s="134">
        <v>44341</v>
      </c>
      <c r="B1585" s="110">
        <v>25.5</v>
      </c>
      <c r="C1585" s="110">
        <v>24.8</v>
      </c>
      <c r="D1585" s="110">
        <v>24.7</v>
      </c>
      <c r="E1585" s="110">
        <v>25.25</v>
      </c>
      <c r="F1585" s="110">
        <v>24.8</v>
      </c>
      <c r="G1585">
        <v>577567</v>
      </c>
      <c r="H1585" s="110"/>
      <c r="I1585" s="110"/>
      <c r="L1585" s="134">
        <v>44341</v>
      </c>
      <c r="M1585" s="110">
        <v>24.75</v>
      </c>
      <c r="N1585" s="110">
        <v>25.45</v>
      </c>
      <c r="O1585" s="110">
        <v>24.7</v>
      </c>
      <c r="P1585" s="110">
        <v>25.35</v>
      </c>
      <c r="Q1585" s="110">
        <v>24.75</v>
      </c>
      <c r="R1585">
        <v>5268968</v>
      </c>
    </row>
    <row r="1586" spans="1:18" x14ac:dyDescent="0.25">
      <c r="A1586" s="134">
        <v>44342</v>
      </c>
      <c r="B1586" s="110">
        <v>25</v>
      </c>
      <c r="C1586" s="110">
        <v>24.7</v>
      </c>
      <c r="D1586" s="110">
        <v>24.6</v>
      </c>
      <c r="E1586" s="110">
        <v>25</v>
      </c>
      <c r="F1586" s="110">
        <v>24.7</v>
      </c>
      <c r="G1586">
        <v>711063</v>
      </c>
      <c r="H1586" s="110"/>
      <c r="I1586" s="110"/>
      <c r="L1586" s="134">
        <v>44342</v>
      </c>
      <c r="M1586" s="110">
        <v>24.7</v>
      </c>
      <c r="N1586" s="110">
        <v>25</v>
      </c>
      <c r="O1586" s="110">
        <v>24.6</v>
      </c>
      <c r="P1586" s="110">
        <v>24.8</v>
      </c>
      <c r="Q1586" s="110">
        <v>24.7</v>
      </c>
      <c r="R1586">
        <v>3609157</v>
      </c>
    </row>
    <row r="1587" spans="1:18" x14ac:dyDescent="0.25">
      <c r="A1587" s="134">
        <v>44343</v>
      </c>
      <c r="B1587" s="110">
        <v>24.85</v>
      </c>
      <c r="C1587" s="110">
        <v>24.7</v>
      </c>
      <c r="D1587" s="110">
        <v>24.35</v>
      </c>
      <c r="E1587" s="110">
        <v>24.7</v>
      </c>
      <c r="F1587" s="110">
        <v>24.7</v>
      </c>
      <c r="G1587">
        <v>513466</v>
      </c>
      <c r="H1587" s="110"/>
      <c r="I1587" s="110"/>
      <c r="L1587" s="134">
        <v>44343</v>
      </c>
      <c r="M1587" s="110">
        <v>24.7</v>
      </c>
      <c r="N1587" s="110">
        <v>24.85</v>
      </c>
      <c r="O1587" s="110">
        <v>24.35</v>
      </c>
      <c r="P1587" s="110">
        <v>24.8</v>
      </c>
      <c r="Q1587" s="110">
        <v>24.7</v>
      </c>
      <c r="R1587">
        <v>4168928</v>
      </c>
    </row>
    <row r="1588" spans="1:18" x14ac:dyDescent="0.25">
      <c r="A1588" s="134">
        <v>44344</v>
      </c>
      <c r="B1588" s="110">
        <v>25</v>
      </c>
      <c r="C1588" s="110">
        <v>24.45</v>
      </c>
      <c r="D1588" s="110">
        <v>24.35</v>
      </c>
      <c r="E1588" s="110">
        <v>24.8</v>
      </c>
      <c r="F1588" s="110">
        <v>24.45</v>
      </c>
      <c r="G1588">
        <v>277014</v>
      </c>
      <c r="H1588" s="110"/>
      <c r="I1588" s="110"/>
      <c r="L1588" s="134">
        <v>44344</v>
      </c>
      <c r="M1588" s="110">
        <v>24.45</v>
      </c>
      <c r="N1588" s="110">
        <v>25</v>
      </c>
      <c r="O1588" s="110">
        <v>24.3</v>
      </c>
      <c r="P1588" s="110">
        <v>25</v>
      </c>
      <c r="Q1588" s="110">
        <v>24.45</v>
      </c>
      <c r="R1588">
        <v>4156002</v>
      </c>
    </row>
    <row r="1589" spans="1:18" x14ac:dyDescent="0.25">
      <c r="A1589" s="134">
        <v>44347</v>
      </c>
      <c r="B1589" s="110">
        <v>24.7</v>
      </c>
      <c r="C1589" s="110">
        <v>24.3</v>
      </c>
      <c r="D1589" s="110">
        <v>24.15</v>
      </c>
      <c r="E1589" s="110">
        <v>24.5</v>
      </c>
      <c r="F1589" s="110">
        <v>24.3</v>
      </c>
      <c r="G1589">
        <v>368087</v>
      </c>
      <c r="H1589" s="110"/>
      <c r="I1589" s="110"/>
      <c r="L1589" s="134">
        <v>44347</v>
      </c>
      <c r="M1589" s="110">
        <v>24.3</v>
      </c>
      <c r="N1589" s="110">
        <v>24.65</v>
      </c>
      <c r="O1589" s="110">
        <v>24.15</v>
      </c>
      <c r="P1589" s="110">
        <v>24.5</v>
      </c>
      <c r="Q1589" s="110">
        <v>24.3</v>
      </c>
      <c r="R1589">
        <v>3090303</v>
      </c>
    </row>
    <row r="1590" spans="1:18" x14ac:dyDescent="0.25">
      <c r="A1590" s="134">
        <v>44348</v>
      </c>
      <c r="B1590" s="110">
        <v>24.35</v>
      </c>
      <c r="C1590" s="110">
        <v>23.7</v>
      </c>
      <c r="D1590" s="110">
        <v>23.55</v>
      </c>
      <c r="E1590" s="110">
        <v>24.35</v>
      </c>
      <c r="F1590" s="110">
        <v>23.7</v>
      </c>
      <c r="G1590">
        <v>638221</v>
      </c>
      <c r="H1590" s="110"/>
      <c r="I1590" s="110"/>
      <c r="L1590" s="134">
        <v>44348</v>
      </c>
      <c r="M1590" s="110">
        <v>23.65</v>
      </c>
      <c r="N1590" s="110">
        <v>24.3</v>
      </c>
      <c r="O1590" s="110">
        <v>23.55</v>
      </c>
      <c r="P1590" s="110">
        <v>24.25</v>
      </c>
      <c r="Q1590" s="110">
        <v>23.65</v>
      </c>
      <c r="R1590">
        <v>4364601</v>
      </c>
    </row>
    <row r="1591" spans="1:18" x14ac:dyDescent="0.25">
      <c r="A1591" s="134">
        <v>44349</v>
      </c>
      <c r="B1591" s="110">
        <v>26</v>
      </c>
      <c r="C1591" s="110">
        <v>25.65</v>
      </c>
      <c r="D1591" s="110">
        <v>23.7</v>
      </c>
      <c r="E1591" s="110">
        <v>24.4</v>
      </c>
      <c r="F1591" s="110">
        <v>25.65</v>
      </c>
      <c r="G1591">
        <v>3785441</v>
      </c>
      <c r="H1591" s="110"/>
      <c r="I1591" s="110"/>
      <c r="L1591" s="134">
        <v>44349</v>
      </c>
      <c r="M1591" s="110">
        <v>25.7</v>
      </c>
      <c r="N1591" s="110">
        <v>26.1</v>
      </c>
      <c r="O1591" s="110">
        <v>23.7</v>
      </c>
      <c r="P1591" s="110">
        <v>23.75</v>
      </c>
      <c r="Q1591" s="110">
        <v>25.7</v>
      </c>
      <c r="R1591">
        <v>23388054</v>
      </c>
    </row>
    <row r="1592" spans="1:18" x14ac:dyDescent="0.25">
      <c r="A1592" s="134">
        <v>44350</v>
      </c>
      <c r="B1592" s="110">
        <v>26.95</v>
      </c>
      <c r="C1592" s="110">
        <v>25.75</v>
      </c>
      <c r="D1592" s="110">
        <v>25.55</v>
      </c>
      <c r="E1592" s="110">
        <v>26.6</v>
      </c>
      <c r="F1592" s="110">
        <v>25.75</v>
      </c>
      <c r="G1592">
        <v>2405155</v>
      </c>
      <c r="H1592" s="110"/>
      <c r="I1592" s="110"/>
      <c r="L1592" s="134">
        <v>44350</v>
      </c>
      <c r="M1592" s="110">
        <v>25.7</v>
      </c>
      <c r="N1592" s="110">
        <v>26.55</v>
      </c>
      <c r="O1592" s="110">
        <v>25.55</v>
      </c>
      <c r="P1592" s="110">
        <v>26.3</v>
      </c>
      <c r="Q1592" s="110">
        <v>25.7</v>
      </c>
      <c r="R1592">
        <v>16348795</v>
      </c>
    </row>
    <row r="1593" spans="1:18" x14ac:dyDescent="0.25">
      <c r="A1593" s="134">
        <v>44351</v>
      </c>
      <c r="B1593" s="110">
        <v>30.15</v>
      </c>
      <c r="C1593" s="110">
        <v>29</v>
      </c>
      <c r="D1593" s="110">
        <v>25.7</v>
      </c>
      <c r="E1593" s="110">
        <v>26.4</v>
      </c>
      <c r="F1593" s="110">
        <v>29</v>
      </c>
      <c r="G1593">
        <v>11670533</v>
      </c>
      <c r="H1593" s="110"/>
      <c r="I1593" s="110"/>
      <c r="L1593" s="134">
        <v>44351</v>
      </c>
      <c r="M1593" s="110">
        <v>29.05</v>
      </c>
      <c r="N1593" s="110">
        <v>29.75</v>
      </c>
      <c r="O1593" s="110">
        <v>25.8</v>
      </c>
      <c r="P1593" s="110">
        <v>26.3</v>
      </c>
      <c r="Q1593" s="110">
        <v>29.05</v>
      </c>
      <c r="R1593">
        <v>115224195</v>
      </c>
    </row>
    <row r="1594" spans="1:18" x14ac:dyDescent="0.25">
      <c r="A1594" s="134">
        <v>44354</v>
      </c>
      <c r="B1594" s="110">
        <v>31.95</v>
      </c>
      <c r="C1594" s="110">
        <v>28.65</v>
      </c>
      <c r="D1594" s="110">
        <v>27.95</v>
      </c>
      <c r="E1594" s="110">
        <v>30.9</v>
      </c>
      <c r="F1594" s="110">
        <v>28.65</v>
      </c>
      <c r="G1594">
        <v>5354387</v>
      </c>
      <c r="H1594" s="110"/>
      <c r="I1594" s="110"/>
      <c r="L1594" s="134">
        <v>44354</v>
      </c>
      <c r="M1594" s="110">
        <v>28.65</v>
      </c>
      <c r="N1594" s="110">
        <v>32</v>
      </c>
      <c r="O1594" s="110">
        <v>27.9</v>
      </c>
      <c r="P1594" s="110">
        <v>30.5</v>
      </c>
      <c r="Q1594" s="110">
        <v>28.65</v>
      </c>
      <c r="R1594">
        <v>72005621</v>
      </c>
    </row>
    <row r="1595" spans="1:18" x14ac:dyDescent="0.25">
      <c r="A1595" s="134">
        <v>44355</v>
      </c>
      <c r="B1595" s="110">
        <v>28.2</v>
      </c>
      <c r="C1595" s="110">
        <v>26.45</v>
      </c>
      <c r="D1595" s="110">
        <v>26.1</v>
      </c>
      <c r="E1595" s="110">
        <v>28.2</v>
      </c>
      <c r="F1595" s="110">
        <v>26.45</v>
      </c>
      <c r="G1595">
        <v>4545014</v>
      </c>
      <c r="H1595" s="110"/>
      <c r="I1595" s="110"/>
      <c r="L1595" s="134">
        <v>44355</v>
      </c>
      <c r="M1595" s="110">
        <v>26.4</v>
      </c>
      <c r="N1595" s="110">
        <v>28.25</v>
      </c>
      <c r="O1595" s="110">
        <v>26.1</v>
      </c>
      <c r="P1595" s="110">
        <v>28.15</v>
      </c>
      <c r="Q1595" s="110">
        <v>26.4</v>
      </c>
      <c r="R1595">
        <v>35382613</v>
      </c>
    </row>
    <row r="1596" spans="1:18" x14ac:dyDescent="0.25">
      <c r="A1596" s="134">
        <v>44356</v>
      </c>
      <c r="B1596" s="110">
        <v>27.3</v>
      </c>
      <c r="C1596" s="110">
        <v>26.2</v>
      </c>
      <c r="D1596" s="110">
        <v>25.7</v>
      </c>
      <c r="E1596" s="110">
        <v>26.4</v>
      </c>
      <c r="F1596" s="110">
        <v>26.2</v>
      </c>
      <c r="G1596">
        <v>3108296</v>
      </c>
      <c r="H1596" s="110"/>
      <c r="I1596" s="110"/>
      <c r="L1596" s="134">
        <v>44356</v>
      </c>
      <c r="M1596" s="110">
        <v>26.2</v>
      </c>
      <c r="N1596" s="110">
        <v>27.35</v>
      </c>
      <c r="O1596" s="110">
        <v>25.65</v>
      </c>
      <c r="P1596" s="110">
        <v>26.55</v>
      </c>
      <c r="Q1596" s="110">
        <v>26.2</v>
      </c>
      <c r="R1596">
        <v>20263511</v>
      </c>
    </row>
    <row r="1597" spans="1:18" x14ac:dyDescent="0.25">
      <c r="A1597" s="134">
        <v>44357</v>
      </c>
      <c r="B1597" s="110">
        <v>27</v>
      </c>
      <c r="C1597" s="110">
        <v>26.7</v>
      </c>
      <c r="D1597" s="110">
        <v>26.35</v>
      </c>
      <c r="E1597" s="110">
        <v>26.4</v>
      </c>
      <c r="F1597" s="110">
        <v>26.7</v>
      </c>
      <c r="G1597">
        <v>1521833</v>
      </c>
      <c r="H1597" s="110"/>
      <c r="I1597" s="110"/>
      <c r="L1597" s="134">
        <v>44357</v>
      </c>
      <c r="M1597" s="110">
        <v>26.75</v>
      </c>
      <c r="N1597" s="110">
        <v>27</v>
      </c>
      <c r="O1597" s="110">
        <v>26.3</v>
      </c>
      <c r="P1597" s="110">
        <v>26.55</v>
      </c>
      <c r="Q1597" s="110">
        <v>26.75</v>
      </c>
      <c r="R1597">
        <v>11152405</v>
      </c>
    </row>
    <row r="1598" spans="1:18" x14ac:dyDescent="0.25">
      <c r="A1598" s="134">
        <v>44358</v>
      </c>
      <c r="B1598" s="110">
        <v>27.25</v>
      </c>
      <c r="C1598" s="110">
        <v>26.6</v>
      </c>
      <c r="D1598" s="110">
        <v>26.45</v>
      </c>
      <c r="E1598" s="110">
        <v>27.15</v>
      </c>
      <c r="F1598" s="110">
        <v>26.6</v>
      </c>
      <c r="G1598">
        <v>700421</v>
      </c>
      <c r="H1598" s="110"/>
      <c r="I1598" s="110"/>
      <c r="L1598" s="134">
        <v>44358</v>
      </c>
      <c r="M1598" s="110">
        <v>26.55</v>
      </c>
      <c r="N1598" s="110">
        <v>27.25</v>
      </c>
      <c r="O1598" s="110">
        <v>26.45</v>
      </c>
      <c r="P1598" s="110">
        <v>27</v>
      </c>
      <c r="Q1598" s="110">
        <v>26.55</v>
      </c>
      <c r="R1598">
        <v>9379213</v>
      </c>
    </row>
    <row r="1599" spans="1:18" x14ac:dyDescent="0.25">
      <c r="A1599" s="134">
        <v>44361</v>
      </c>
      <c r="B1599" s="110">
        <v>27.2</v>
      </c>
      <c r="C1599" s="110">
        <v>26.25</v>
      </c>
      <c r="D1599" s="110">
        <v>25.35</v>
      </c>
      <c r="E1599" s="110">
        <v>27.2</v>
      </c>
      <c r="F1599" s="110">
        <v>26.25</v>
      </c>
      <c r="G1599">
        <v>1362265</v>
      </c>
      <c r="H1599" s="110"/>
      <c r="I1599" s="110"/>
      <c r="L1599" s="134">
        <v>44361</v>
      </c>
      <c r="M1599" s="110">
        <v>26.2</v>
      </c>
      <c r="N1599" s="110">
        <v>26.75</v>
      </c>
      <c r="O1599" s="110">
        <v>25.4</v>
      </c>
      <c r="P1599" s="110">
        <v>26.75</v>
      </c>
      <c r="Q1599" s="110">
        <v>26.2</v>
      </c>
      <c r="R1599">
        <v>9948655</v>
      </c>
    </row>
    <row r="1600" spans="1:18" x14ac:dyDescent="0.25">
      <c r="A1600" s="134">
        <v>44362</v>
      </c>
      <c r="B1600" s="110">
        <v>26.75</v>
      </c>
      <c r="C1600" s="110">
        <v>26.2</v>
      </c>
      <c r="D1600" s="110">
        <v>26.1</v>
      </c>
      <c r="E1600" s="110">
        <v>26.3</v>
      </c>
      <c r="F1600" s="110">
        <v>26.2</v>
      </c>
      <c r="G1600">
        <v>916215</v>
      </c>
      <c r="H1600" s="110"/>
      <c r="I1600" s="110"/>
      <c r="L1600" s="134">
        <v>44362</v>
      </c>
      <c r="M1600" s="110">
        <v>26.2</v>
      </c>
      <c r="N1600" s="110">
        <v>26.75</v>
      </c>
      <c r="O1600" s="110">
        <v>26.1</v>
      </c>
      <c r="P1600" s="110">
        <v>26.45</v>
      </c>
      <c r="Q1600" s="110">
        <v>26.2</v>
      </c>
      <c r="R1600">
        <v>5521255</v>
      </c>
    </row>
    <row r="1601" spans="1:18" x14ac:dyDescent="0.25">
      <c r="A1601" s="134">
        <v>44363</v>
      </c>
      <c r="B1601" s="110">
        <v>26.4</v>
      </c>
      <c r="C1601" s="110">
        <v>25.85</v>
      </c>
      <c r="D1601" s="110">
        <v>25.8</v>
      </c>
      <c r="E1601" s="110">
        <v>26.4</v>
      </c>
      <c r="F1601" s="110">
        <v>25.85</v>
      </c>
      <c r="G1601">
        <v>1223710</v>
      </c>
      <c r="H1601" s="110"/>
      <c r="I1601" s="110"/>
      <c r="L1601" s="134">
        <v>44363</v>
      </c>
      <c r="M1601" s="110">
        <v>25.85</v>
      </c>
      <c r="N1601" s="110">
        <v>26.4</v>
      </c>
      <c r="O1601" s="110">
        <v>25.75</v>
      </c>
      <c r="P1601" s="110">
        <v>26.4</v>
      </c>
      <c r="Q1601" s="110">
        <v>25.85</v>
      </c>
      <c r="R1601">
        <v>4132059</v>
      </c>
    </row>
    <row r="1602" spans="1:18" x14ac:dyDescent="0.25">
      <c r="A1602" s="134">
        <v>44364</v>
      </c>
      <c r="B1602" s="110">
        <v>26.2</v>
      </c>
      <c r="C1602" s="110">
        <v>25.5</v>
      </c>
      <c r="D1602" s="110">
        <v>25.2</v>
      </c>
      <c r="E1602" s="110">
        <v>25.5</v>
      </c>
      <c r="F1602" s="110">
        <v>25.5</v>
      </c>
      <c r="G1602">
        <v>1223001</v>
      </c>
      <c r="H1602" s="110"/>
      <c r="I1602" s="110"/>
      <c r="L1602" s="134">
        <v>44364</v>
      </c>
      <c r="M1602" s="110">
        <v>25.45</v>
      </c>
      <c r="N1602" s="110">
        <v>26.2</v>
      </c>
      <c r="O1602" s="110">
        <v>25</v>
      </c>
      <c r="P1602" s="110">
        <v>25</v>
      </c>
      <c r="Q1602" s="110">
        <v>25.45</v>
      </c>
      <c r="R1602">
        <v>5802685</v>
      </c>
    </row>
    <row r="1603" spans="1:18" x14ac:dyDescent="0.25">
      <c r="A1603" s="134">
        <v>44365</v>
      </c>
      <c r="B1603" s="110">
        <v>25.8</v>
      </c>
      <c r="C1603" s="110">
        <v>25.1</v>
      </c>
      <c r="D1603" s="110">
        <v>24.2</v>
      </c>
      <c r="E1603" s="110">
        <v>25.55</v>
      </c>
      <c r="F1603" s="110">
        <v>25.1</v>
      </c>
      <c r="G1603">
        <v>1804600</v>
      </c>
      <c r="H1603" s="110"/>
      <c r="I1603" s="110"/>
      <c r="L1603" s="134">
        <v>44365</v>
      </c>
      <c r="M1603" s="110">
        <v>25.1</v>
      </c>
      <c r="N1603" s="110">
        <v>25.8</v>
      </c>
      <c r="O1603" s="110">
        <v>24.2</v>
      </c>
      <c r="P1603" s="110">
        <v>25.8</v>
      </c>
      <c r="Q1603" s="110">
        <v>25.1</v>
      </c>
      <c r="R1603">
        <v>6078959</v>
      </c>
    </row>
    <row r="1604" spans="1:18" x14ac:dyDescent="0.25">
      <c r="A1604" s="134">
        <v>44368</v>
      </c>
      <c r="B1604" s="110">
        <v>27.7</v>
      </c>
      <c r="C1604" s="110">
        <v>26.35</v>
      </c>
      <c r="D1604" s="110">
        <v>24.5</v>
      </c>
      <c r="E1604" s="110">
        <v>25</v>
      </c>
      <c r="F1604" s="110">
        <v>26.35</v>
      </c>
      <c r="G1604">
        <v>5098162</v>
      </c>
      <c r="H1604" s="110"/>
      <c r="I1604" s="110"/>
      <c r="L1604" s="134">
        <v>44368</v>
      </c>
      <c r="M1604" s="110">
        <v>26.35</v>
      </c>
      <c r="N1604" s="110">
        <v>27.7</v>
      </c>
      <c r="O1604" s="110">
        <v>24.6</v>
      </c>
      <c r="P1604" s="110">
        <v>25</v>
      </c>
      <c r="Q1604" s="110">
        <v>26.35</v>
      </c>
      <c r="R1604">
        <v>38098794</v>
      </c>
    </row>
    <row r="1605" spans="1:18" x14ac:dyDescent="0.25">
      <c r="A1605" s="134">
        <v>44369</v>
      </c>
      <c r="B1605" s="110">
        <v>26.75</v>
      </c>
      <c r="C1605" s="110">
        <v>26</v>
      </c>
      <c r="D1605" s="110">
        <v>25.8</v>
      </c>
      <c r="E1605" s="110">
        <v>26.75</v>
      </c>
      <c r="F1605" s="110">
        <v>26</v>
      </c>
      <c r="G1605">
        <v>2715283</v>
      </c>
      <c r="H1605" s="110"/>
      <c r="I1605" s="110"/>
      <c r="L1605" s="134">
        <v>44369</v>
      </c>
      <c r="M1605" s="110">
        <v>25.95</v>
      </c>
      <c r="N1605" s="110">
        <v>26.75</v>
      </c>
      <c r="O1605" s="110">
        <v>25.8</v>
      </c>
      <c r="P1605" s="110">
        <v>26.7</v>
      </c>
      <c r="Q1605" s="110">
        <v>25.95</v>
      </c>
      <c r="R1605">
        <v>16777639</v>
      </c>
    </row>
    <row r="1606" spans="1:18" x14ac:dyDescent="0.25">
      <c r="A1606" s="134">
        <v>44370</v>
      </c>
      <c r="B1606" s="110">
        <v>26.05</v>
      </c>
      <c r="C1606" s="110">
        <v>25.1</v>
      </c>
      <c r="D1606" s="110">
        <v>25</v>
      </c>
      <c r="E1606" s="110">
        <v>25.95</v>
      </c>
      <c r="F1606" s="110">
        <v>25.1</v>
      </c>
      <c r="G1606">
        <v>1633132</v>
      </c>
      <c r="H1606" s="110"/>
      <c r="I1606" s="110"/>
      <c r="L1606" s="134">
        <v>44370</v>
      </c>
      <c r="M1606" s="110">
        <v>25.1</v>
      </c>
      <c r="N1606" s="110">
        <v>26.1</v>
      </c>
      <c r="O1606" s="110">
        <v>24.9</v>
      </c>
      <c r="P1606" s="110">
        <v>25.9</v>
      </c>
      <c r="Q1606" s="110">
        <v>25.1</v>
      </c>
      <c r="R1606">
        <v>8920516</v>
      </c>
    </row>
    <row r="1607" spans="1:18" x14ac:dyDescent="0.25">
      <c r="A1607" s="134">
        <v>44371</v>
      </c>
      <c r="B1607" s="110">
        <v>25.6</v>
      </c>
      <c r="C1607" s="110">
        <v>25.1</v>
      </c>
      <c r="D1607" s="110">
        <v>24.9</v>
      </c>
      <c r="E1607" s="110">
        <v>25.1</v>
      </c>
      <c r="F1607" s="110">
        <v>25.1</v>
      </c>
      <c r="G1607">
        <v>1577220</v>
      </c>
      <c r="H1607" s="110"/>
      <c r="I1607" s="110"/>
      <c r="L1607" s="134">
        <v>44371</v>
      </c>
      <c r="M1607" s="110">
        <v>25.1</v>
      </c>
      <c r="N1607" s="110">
        <v>25.6</v>
      </c>
      <c r="O1607" s="110">
        <v>24.9</v>
      </c>
      <c r="P1607" s="110">
        <v>25.25</v>
      </c>
      <c r="Q1607" s="110">
        <v>25.1</v>
      </c>
      <c r="R1607">
        <v>5103032</v>
      </c>
    </row>
    <row r="1608" spans="1:18" x14ac:dyDescent="0.25">
      <c r="A1608" s="134">
        <v>44372</v>
      </c>
      <c r="B1608" s="110">
        <v>25.95</v>
      </c>
      <c r="C1608" s="110">
        <v>25.3</v>
      </c>
      <c r="D1608" s="110">
        <v>25.05</v>
      </c>
      <c r="E1608" s="110">
        <v>25.7</v>
      </c>
      <c r="F1608" s="110">
        <v>25.3</v>
      </c>
      <c r="G1608">
        <v>1098841</v>
      </c>
      <c r="H1608" s="110"/>
      <c r="I1608" s="110"/>
      <c r="L1608" s="134">
        <v>44372</v>
      </c>
      <c r="M1608" s="110">
        <v>25.25</v>
      </c>
      <c r="N1608" s="110">
        <v>25.95</v>
      </c>
      <c r="O1608" s="110">
        <v>25.05</v>
      </c>
      <c r="P1608" s="110">
        <v>25.25</v>
      </c>
      <c r="Q1608" s="110">
        <v>25.25</v>
      </c>
      <c r="R1608">
        <v>8336406</v>
      </c>
    </row>
    <row r="1609" spans="1:18" x14ac:dyDescent="0.25">
      <c r="A1609" s="134">
        <v>44375</v>
      </c>
      <c r="B1609" s="110">
        <v>26.2</v>
      </c>
      <c r="C1609" s="110">
        <v>25.7</v>
      </c>
      <c r="D1609" s="110">
        <v>25.3</v>
      </c>
      <c r="E1609" s="110">
        <v>25.3</v>
      </c>
      <c r="F1609" s="110">
        <v>25.7</v>
      </c>
      <c r="G1609">
        <v>1979074</v>
      </c>
      <c r="H1609" s="110"/>
      <c r="I1609" s="110"/>
      <c r="L1609" s="134">
        <v>44375</v>
      </c>
      <c r="M1609" s="110">
        <v>25.65</v>
      </c>
      <c r="N1609" s="110">
        <v>26.2</v>
      </c>
      <c r="O1609" s="110">
        <v>25.3</v>
      </c>
      <c r="P1609" s="110">
        <v>25.45</v>
      </c>
      <c r="Q1609" s="110">
        <v>25.65</v>
      </c>
      <c r="R1609">
        <v>9204639</v>
      </c>
    </row>
    <row r="1610" spans="1:18" x14ac:dyDescent="0.25">
      <c r="A1610" s="134">
        <v>44376</v>
      </c>
      <c r="B1610" s="110">
        <v>25.9</v>
      </c>
      <c r="C1610" s="110">
        <v>25.35</v>
      </c>
      <c r="D1610" s="110">
        <v>25.25</v>
      </c>
      <c r="E1610" s="110">
        <v>25.9</v>
      </c>
      <c r="F1610" s="110">
        <v>25.35</v>
      </c>
      <c r="G1610">
        <v>848563</v>
      </c>
      <c r="H1610" s="110"/>
      <c r="I1610" s="110"/>
      <c r="L1610" s="134">
        <v>44376</v>
      </c>
      <c r="M1610" s="110">
        <v>25.35</v>
      </c>
      <c r="N1610" s="110">
        <v>25.75</v>
      </c>
      <c r="O1610" s="110">
        <v>25.25</v>
      </c>
      <c r="P1610" s="110">
        <v>25.65</v>
      </c>
      <c r="Q1610" s="110">
        <v>25.35</v>
      </c>
      <c r="R1610">
        <v>2911921</v>
      </c>
    </row>
    <row r="1611" spans="1:18" x14ac:dyDescent="0.25">
      <c r="A1611" s="134">
        <v>44377</v>
      </c>
      <c r="B1611" s="110">
        <v>26.35</v>
      </c>
      <c r="C1611" s="110">
        <v>25.4</v>
      </c>
      <c r="D1611" s="110">
        <v>25.25</v>
      </c>
      <c r="E1611" s="110">
        <v>25.85</v>
      </c>
      <c r="F1611" s="110">
        <v>25.4</v>
      </c>
      <c r="G1611">
        <v>1141184</v>
      </c>
      <c r="H1611" s="110"/>
      <c r="I1611" s="110"/>
      <c r="L1611" s="134">
        <v>44377</v>
      </c>
      <c r="M1611" s="110">
        <v>25.4</v>
      </c>
      <c r="N1611" s="110">
        <v>26.3</v>
      </c>
      <c r="O1611" s="110">
        <v>25.25</v>
      </c>
      <c r="P1611" s="110">
        <v>25.45</v>
      </c>
      <c r="Q1611" s="110">
        <v>25.4</v>
      </c>
      <c r="R1611">
        <v>9365688</v>
      </c>
    </row>
    <row r="1612" spans="1:18" x14ac:dyDescent="0.25">
      <c r="A1612" s="134">
        <v>44378</v>
      </c>
      <c r="B1612" s="110">
        <v>25.85</v>
      </c>
      <c r="C1612" s="110">
        <v>25.3</v>
      </c>
      <c r="D1612" s="110">
        <v>25.25</v>
      </c>
      <c r="E1612" s="110">
        <v>25.85</v>
      </c>
      <c r="F1612" s="110">
        <v>25.3</v>
      </c>
      <c r="G1612">
        <v>336748</v>
      </c>
      <c r="H1612" s="110"/>
      <c r="I1612" s="110"/>
      <c r="L1612" s="134">
        <v>44378</v>
      </c>
      <c r="M1612" s="110">
        <v>25.3</v>
      </c>
      <c r="N1612" s="110">
        <v>25.65</v>
      </c>
      <c r="O1612" s="110">
        <v>25.25</v>
      </c>
      <c r="P1612" s="110">
        <v>25.55</v>
      </c>
      <c r="Q1612" s="110">
        <v>25.3</v>
      </c>
      <c r="R1612">
        <v>3070736</v>
      </c>
    </row>
    <row r="1613" spans="1:18" x14ac:dyDescent="0.25">
      <c r="A1613" s="134">
        <v>44379</v>
      </c>
      <c r="B1613" s="110">
        <v>25.65</v>
      </c>
      <c r="C1613" s="110">
        <v>25.1</v>
      </c>
      <c r="D1613" s="110">
        <v>25.05</v>
      </c>
      <c r="E1613" s="110">
        <v>25.55</v>
      </c>
      <c r="F1613" s="110">
        <v>25.1</v>
      </c>
      <c r="G1613">
        <v>840692</v>
      </c>
      <c r="H1613" s="110"/>
      <c r="I1613" s="110"/>
      <c r="L1613" s="134">
        <v>44379</v>
      </c>
      <c r="M1613" s="110">
        <v>25.1</v>
      </c>
      <c r="N1613" s="110">
        <v>25.7</v>
      </c>
      <c r="O1613" s="110">
        <v>25.05</v>
      </c>
      <c r="P1613" s="110">
        <v>25.7</v>
      </c>
      <c r="Q1613" s="110">
        <v>25.1</v>
      </c>
      <c r="R1613">
        <v>4444607</v>
      </c>
    </row>
    <row r="1614" spans="1:18" x14ac:dyDescent="0.25">
      <c r="A1614" s="134">
        <v>44382</v>
      </c>
      <c r="B1614" s="110">
        <v>25.7</v>
      </c>
      <c r="C1614" s="110">
        <v>25.35</v>
      </c>
      <c r="D1614" s="110">
        <v>25.25</v>
      </c>
      <c r="E1614" s="110">
        <v>25.7</v>
      </c>
      <c r="F1614" s="110">
        <v>25.35</v>
      </c>
      <c r="G1614">
        <v>835555</v>
      </c>
      <c r="H1614" s="110"/>
      <c r="I1614" s="110"/>
      <c r="L1614" s="134">
        <v>44382</v>
      </c>
      <c r="M1614" s="110">
        <v>25.35</v>
      </c>
      <c r="N1614" s="110">
        <v>25.8</v>
      </c>
      <c r="O1614" s="110">
        <v>25.3</v>
      </c>
      <c r="P1614" s="110">
        <v>25.8</v>
      </c>
      <c r="Q1614" s="110">
        <v>25.35</v>
      </c>
      <c r="R1614">
        <v>3253371</v>
      </c>
    </row>
    <row r="1615" spans="1:18" x14ac:dyDescent="0.25">
      <c r="A1615" s="134">
        <v>44383</v>
      </c>
      <c r="B1615" s="110">
        <v>25.55</v>
      </c>
      <c r="C1615" s="110">
        <v>25.25</v>
      </c>
      <c r="D1615" s="110">
        <v>25</v>
      </c>
      <c r="E1615" s="110">
        <v>25.35</v>
      </c>
      <c r="F1615" s="110">
        <v>25.25</v>
      </c>
      <c r="G1615">
        <v>943520</v>
      </c>
      <c r="H1615" s="110"/>
      <c r="I1615" s="110"/>
      <c r="L1615" s="134">
        <v>44383</v>
      </c>
      <c r="M1615" s="110">
        <v>25.25</v>
      </c>
      <c r="N1615" s="110">
        <v>25.55</v>
      </c>
      <c r="O1615" s="110">
        <v>25</v>
      </c>
      <c r="P1615" s="110">
        <v>25.35</v>
      </c>
      <c r="Q1615" s="110">
        <v>25.25</v>
      </c>
      <c r="R1615">
        <v>5893189</v>
      </c>
    </row>
    <row r="1616" spans="1:18" x14ac:dyDescent="0.25">
      <c r="A1616" s="134">
        <v>44384</v>
      </c>
      <c r="B1616" s="110">
        <v>25.65</v>
      </c>
      <c r="C1616" s="110">
        <v>25.2</v>
      </c>
      <c r="D1616" s="110">
        <v>25.15</v>
      </c>
      <c r="E1616" s="110">
        <v>25.35</v>
      </c>
      <c r="F1616" s="110">
        <v>25.2</v>
      </c>
      <c r="G1616">
        <v>778048</v>
      </c>
      <c r="H1616" s="110"/>
      <c r="I1616" s="110"/>
      <c r="L1616" s="134">
        <v>44384</v>
      </c>
      <c r="M1616" s="110">
        <v>25.2</v>
      </c>
      <c r="N1616" s="110">
        <v>25.65</v>
      </c>
      <c r="O1616" s="110">
        <v>25.15</v>
      </c>
      <c r="P1616" s="110">
        <v>25.45</v>
      </c>
      <c r="Q1616" s="110">
        <v>25.2</v>
      </c>
      <c r="R1616">
        <v>4155684</v>
      </c>
    </row>
    <row r="1617" spans="1:18" x14ac:dyDescent="0.25">
      <c r="A1617" s="134">
        <v>44385</v>
      </c>
      <c r="B1617" s="110">
        <v>25.4</v>
      </c>
      <c r="C1617" s="110">
        <v>25</v>
      </c>
      <c r="D1617" s="110">
        <v>24.8</v>
      </c>
      <c r="E1617" s="110">
        <v>25.35</v>
      </c>
      <c r="F1617" s="110">
        <v>25</v>
      </c>
      <c r="G1617">
        <v>928777</v>
      </c>
      <c r="H1617" s="110"/>
      <c r="I1617" s="110"/>
      <c r="L1617" s="134">
        <v>44385</v>
      </c>
      <c r="M1617" s="110">
        <v>24.95</v>
      </c>
      <c r="N1617" s="110">
        <v>25.6</v>
      </c>
      <c r="O1617" s="110">
        <v>24.8</v>
      </c>
      <c r="P1617" s="110">
        <v>25.3</v>
      </c>
      <c r="Q1617" s="110">
        <v>24.95</v>
      </c>
      <c r="R1617">
        <v>2847880</v>
      </c>
    </row>
    <row r="1618" spans="1:18" x14ac:dyDescent="0.25">
      <c r="A1618" s="134">
        <v>44386</v>
      </c>
      <c r="B1618" s="110">
        <v>25.1</v>
      </c>
      <c r="C1618" s="110">
        <v>24.25</v>
      </c>
      <c r="D1618" s="110">
        <v>24.15</v>
      </c>
      <c r="E1618" s="110">
        <v>24.8</v>
      </c>
      <c r="F1618" s="110">
        <v>24.25</v>
      </c>
      <c r="G1618">
        <v>1792148</v>
      </c>
      <c r="H1618" s="110"/>
      <c r="I1618" s="110"/>
      <c r="L1618" s="134">
        <v>44386</v>
      </c>
      <c r="M1618" s="110">
        <v>24.25</v>
      </c>
      <c r="N1618" s="110">
        <v>25.1</v>
      </c>
      <c r="O1618" s="110">
        <v>24.15</v>
      </c>
      <c r="P1618" s="110">
        <v>25.05</v>
      </c>
      <c r="Q1618" s="110">
        <v>24.25</v>
      </c>
      <c r="R1618">
        <v>6594215</v>
      </c>
    </row>
    <row r="1619" spans="1:18" x14ac:dyDescent="0.25">
      <c r="A1619" s="134">
        <v>44389</v>
      </c>
      <c r="B1619" s="110">
        <v>24.6</v>
      </c>
      <c r="C1619" s="110">
        <v>23.85</v>
      </c>
      <c r="D1619" s="110">
        <v>23.55</v>
      </c>
      <c r="E1619" s="110">
        <v>24.6</v>
      </c>
      <c r="F1619" s="110">
        <v>23.85</v>
      </c>
      <c r="G1619">
        <v>1669003</v>
      </c>
      <c r="H1619" s="110"/>
      <c r="I1619" s="110"/>
      <c r="L1619" s="134">
        <v>44389</v>
      </c>
      <c r="M1619" s="110">
        <v>23.8</v>
      </c>
      <c r="N1619" s="110">
        <v>24.55</v>
      </c>
      <c r="O1619" s="110">
        <v>23.55</v>
      </c>
      <c r="P1619" s="110">
        <v>24.55</v>
      </c>
      <c r="Q1619" s="110">
        <v>23.8</v>
      </c>
      <c r="R1619">
        <v>8460671</v>
      </c>
    </row>
    <row r="1620" spans="1:18" x14ac:dyDescent="0.25">
      <c r="A1620" s="134">
        <v>44390</v>
      </c>
      <c r="B1620" s="110">
        <v>24.7</v>
      </c>
      <c r="C1620" s="110">
        <v>24.3</v>
      </c>
      <c r="D1620" s="110">
        <v>23.85</v>
      </c>
      <c r="E1620" s="110">
        <v>24</v>
      </c>
      <c r="F1620" s="110">
        <v>24.3</v>
      </c>
      <c r="G1620">
        <v>1215549</v>
      </c>
      <c r="H1620" s="110"/>
      <c r="I1620" s="110"/>
      <c r="L1620" s="134">
        <v>44390</v>
      </c>
      <c r="M1620" s="110">
        <v>24.3</v>
      </c>
      <c r="N1620" s="110">
        <v>24.75</v>
      </c>
      <c r="O1620" s="110">
        <v>23.85</v>
      </c>
      <c r="P1620" s="110">
        <v>24</v>
      </c>
      <c r="Q1620" s="110">
        <v>24.3</v>
      </c>
      <c r="R1620">
        <v>5407292</v>
      </c>
    </row>
    <row r="1621" spans="1:18" x14ac:dyDescent="0.25">
      <c r="A1621" s="134">
        <v>44391</v>
      </c>
      <c r="B1621" s="110">
        <v>24.65</v>
      </c>
      <c r="C1621" s="110">
        <v>24.45</v>
      </c>
      <c r="D1621" s="110">
        <v>24.25</v>
      </c>
      <c r="E1621" s="110">
        <v>24.6</v>
      </c>
      <c r="F1621" s="110">
        <v>24.45</v>
      </c>
      <c r="G1621">
        <v>549962</v>
      </c>
      <c r="H1621" s="110"/>
      <c r="I1621" s="110"/>
      <c r="L1621" s="134">
        <v>44391</v>
      </c>
      <c r="M1621" s="110">
        <v>24.35</v>
      </c>
      <c r="N1621" s="110">
        <v>24.65</v>
      </c>
      <c r="O1621" s="110">
        <v>24.25</v>
      </c>
      <c r="P1621" s="110">
        <v>24.5</v>
      </c>
      <c r="Q1621" s="110">
        <v>24.35</v>
      </c>
      <c r="R1621">
        <v>5164155</v>
      </c>
    </row>
    <row r="1622" spans="1:18" x14ac:dyDescent="0.25">
      <c r="A1622" s="134">
        <v>44392</v>
      </c>
      <c r="B1622" s="110">
        <v>24.55</v>
      </c>
      <c r="C1622" s="110">
        <v>24.15</v>
      </c>
      <c r="D1622" s="110">
        <v>23.9</v>
      </c>
      <c r="E1622" s="110">
        <v>24.55</v>
      </c>
      <c r="F1622" s="110">
        <v>24.15</v>
      </c>
      <c r="G1622">
        <v>744059</v>
      </c>
      <c r="H1622" s="110"/>
      <c r="I1622" s="110"/>
      <c r="L1622" s="134">
        <v>44392</v>
      </c>
      <c r="M1622" s="110">
        <v>24.15</v>
      </c>
      <c r="N1622" s="110">
        <v>24.5</v>
      </c>
      <c r="O1622" s="110">
        <v>23.9</v>
      </c>
      <c r="P1622" s="110">
        <v>24.4</v>
      </c>
      <c r="Q1622" s="110">
        <v>24.15</v>
      </c>
      <c r="R1622">
        <v>2725228</v>
      </c>
    </row>
    <row r="1623" spans="1:18" x14ac:dyDescent="0.25">
      <c r="A1623" s="134">
        <v>44393</v>
      </c>
      <c r="B1623" s="110">
        <v>24.4</v>
      </c>
      <c r="C1623" s="110">
        <v>24</v>
      </c>
      <c r="D1623" s="110">
        <v>23.9</v>
      </c>
      <c r="E1623" s="110">
        <v>24.4</v>
      </c>
      <c r="F1623" s="110">
        <v>24</v>
      </c>
      <c r="G1623">
        <v>365562</v>
      </c>
      <c r="H1623" s="110"/>
      <c r="I1623" s="110"/>
      <c r="L1623" s="134">
        <v>44393</v>
      </c>
      <c r="M1623" s="110">
        <v>24</v>
      </c>
      <c r="N1623" s="110">
        <v>24.3</v>
      </c>
      <c r="O1623" s="110">
        <v>23.95</v>
      </c>
      <c r="P1623" s="110">
        <v>24.25</v>
      </c>
      <c r="Q1623" s="110">
        <v>24</v>
      </c>
      <c r="R1623">
        <v>2816316</v>
      </c>
    </row>
    <row r="1624" spans="1:18" x14ac:dyDescent="0.25">
      <c r="A1624" s="134">
        <v>44396</v>
      </c>
      <c r="B1624" s="110">
        <v>24.4</v>
      </c>
      <c r="C1624" s="110">
        <v>24</v>
      </c>
      <c r="D1624" s="110">
        <v>23.5</v>
      </c>
      <c r="E1624" s="110">
        <v>24</v>
      </c>
      <c r="F1624" s="110">
        <v>24</v>
      </c>
      <c r="G1624">
        <v>506760</v>
      </c>
      <c r="H1624" s="110"/>
      <c r="I1624" s="110"/>
      <c r="L1624" s="134">
        <v>44396</v>
      </c>
      <c r="M1624" s="110">
        <v>23.95</v>
      </c>
      <c r="N1624" s="110">
        <v>24.4</v>
      </c>
      <c r="O1624" s="110">
        <v>23.4</v>
      </c>
      <c r="P1624" s="110">
        <v>23.8</v>
      </c>
      <c r="Q1624" s="110">
        <v>23.95</v>
      </c>
      <c r="R1624">
        <v>4571789</v>
      </c>
    </row>
    <row r="1625" spans="1:18" x14ac:dyDescent="0.25">
      <c r="A1625" s="134">
        <v>44397</v>
      </c>
      <c r="B1625" s="110">
        <v>24</v>
      </c>
      <c r="C1625" s="110">
        <v>23.65</v>
      </c>
      <c r="D1625" s="110">
        <v>23.3</v>
      </c>
      <c r="E1625" s="110">
        <v>23.8</v>
      </c>
      <c r="F1625" s="110">
        <v>23.65</v>
      </c>
      <c r="G1625">
        <v>1036214</v>
      </c>
      <c r="H1625" s="110"/>
      <c r="I1625" s="110"/>
      <c r="L1625" s="134">
        <v>44397</v>
      </c>
      <c r="M1625" s="110">
        <v>23.65</v>
      </c>
      <c r="N1625" s="110">
        <v>24</v>
      </c>
      <c r="O1625" s="110">
        <v>23.25</v>
      </c>
      <c r="P1625" s="110">
        <v>24</v>
      </c>
      <c r="Q1625" s="110">
        <v>23.65</v>
      </c>
      <c r="R1625">
        <v>2755787</v>
      </c>
    </row>
    <row r="1626" spans="1:18" x14ac:dyDescent="0.25">
      <c r="A1626" s="134">
        <v>44399</v>
      </c>
      <c r="B1626" s="110">
        <v>23.9</v>
      </c>
      <c r="C1626" s="110">
        <v>23.1</v>
      </c>
      <c r="D1626" s="110">
        <v>22.85</v>
      </c>
      <c r="E1626" s="110">
        <v>23.8</v>
      </c>
      <c r="F1626" s="110">
        <v>23.1</v>
      </c>
      <c r="G1626">
        <v>1397101</v>
      </c>
      <c r="H1626" s="110"/>
      <c r="I1626" s="110"/>
      <c r="L1626" s="134">
        <v>44399</v>
      </c>
      <c r="M1626" s="110">
        <v>23.1</v>
      </c>
      <c r="N1626" s="110">
        <v>23.9</v>
      </c>
      <c r="O1626" s="110">
        <v>22.85</v>
      </c>
      <c r="P1626" s="110">
        <v>23.7</v>
      </c>
      <c r="Q1626" s="110">
        <v>23.1</v>
      </c>
      <c r="R1626">
        <v>21799106</v>
      </c>
    </row>
    <row r="1627" spans="1:18" x14ac:dyDescent="0.25">
      <c r="A1627" s="134">
        <v>44400</v>
      </c>
      <c r="B1627" s="110">
        <v>23.6</v>
      </c>
      <c r="C1627" s="110">
        <v>23.25</v>
      </c>
      <c r="D1627" s="110">
        <v>23</v>
      </c>
      <c r="E1627" s="110">
        <v>23.5</v>
      </c>
      <c r="F1627" s="110">
        <v>23.25</v>
      </c>
      <c r="G1627">
        <v>971706</v>
      </c>
      <c r="H1627" s="110"/>
      <c r="I1627" s="110"/>
      <c r="L1627" s="134">
        <v>44400</v>
      </c>
      <c r="M1627" s="110">
        <v>23.15</v>
      </c>
      <c r="N1627" s="110">
        <v>23.65</v>
      </c>
      <c r="O1627" s="110">
        <v>23</v>
      </c>
      <c r="P1627" s="110">
        <v>23.6</v>
      </c>
      <c r="Q1627" s="110">
        <v>23.15</v>
      </c>
      <c r="R1627">
        <v>7194113</v>
      </c>
    </row>
    <row r="1628" spans="1:18" x14ac:dyDescent="0.25">
      <c r="A1628" s="134">
        <v>44403</v>
      </c>
      <c r="B1628" s="110">
        <v>23.35</v>
      </c>
      <c r="C1628" s="110">
        <v>22.8</v>
      </c>
      <c r="D1628" s="110">
        <v>22.6</v>
      </c>
      <c r="E1628" s="110">
        <v>23.35</v>
      </c>
      <c r="F1628" s="110">
        <v>22.8</v>
      </c>
      <c r="G1628">
        <v>855010</v>
      </c>
      <c r="H1628" s="110"/>
      <c r="I1628" s="110"/>
      <c r="L1628" s="134">
        <v>44403</v>
      </c>
      <c r="M1628" s="110">
        <v>22.75</v>
      </c>
      <c r="N1628" s="110">
        <v>23.4</v>
      </c>
      <c r="O1628" s="110">
        <v>22.6</v>
      </c>
      <c r="P1628" s="110">
        <v>23.4</v>
      </c>
      <c r="Q1628" s="110">
        <v>22.75</v>
      </c>
      <c r="R1628">
        <v>3556076</v>
      </c>
    </row>
    <row r="1629" spans="1:18" x14ac:dyDescent="0.25">
      <c r="A1629" s="134">
        <v>44404</v>
      </c>
      <c r="B1629" s="110">
        <v>23.05</v>
      </c>
      <c r="C1629" s="110">
        <v>22.3</v>
      </c>
      <c r="D1629" s="110">
        <v>22.15</v>
      </c>
      <c r="E1629" s="110">
        <v>22.85</v>
      </c>
      <c r="F1629" s="110">
        <v>22.3</v>
      </c>
      <c r="G1629">
        <v>992896</v>
      </c>
      <c r="H1629" s="110"/>
      <c r="I1629" s="110"/>
      <c r="L1629" s="134">
        <v>44404</v>
      </c>
      <c r="M1629" s="110">
        <v>22.3</v>
      </c>
      <c r="N1629" s="110">
        <v>23.05</v>
      </c>
      <c r="O1629" s="110">
        <v>22.15</v>
      </c>
      <c r="P1629" s="110">
        <v>22.9</v>
      </c>
      <c r="Q1629" s="110">
        <v>22.3</v>
      </c>
      <c r="R1629">
        <v>4094544</v>
      </c>
    </row>
    <row r="1630" spans="1:18" x14ac:dyDescent="0.25">
      <c r="A1630" s="134">
        <v>44405</v>
      </c>
      <c r="B1630" s="110">
        <v>22.4</v>
      </c>
      <c r="C1630" s="110">
        <v>21.55</v>
      </c>
      <c r="D1630" s="110">
        <v>21.25</v>
      </c>
      <c r="E1630" s="110">
        <v>22.4</v>
      </c>
      <c r="F1630" s="110">
        <v>21.55</v>
      </c>
      <c r="G1630">
        <v>848095</v>
      </c>
      <c r="H1630" s="110"/>
      <c r="I1630" s="110"/>
      <c r="L1630" s="134">
        <v>44405</v>
      </c>
      <c r="M1630" s="110">
        <v>21.5</v>
      </c>
      <c r="N1630" s="110">
        <v>22.35</v>
      </c>
      <c r="O1630" s="110">
        <v>21.2</v>
      </c>
      <c r="P1630" s="110">
        <v>22.35</v>
      </c>
      <c r="Q1630" s="110">
        <v>21.5</v>
      </c>
      <c r="R1630">
        <v>8494449</v>
      </c>
    </row>
    <row r="1631" spans="1:18" x14ac:dyDescent="0.25">
      <c r="A1631" s="134">
        <v>44406</v>
      </c>
      <c r="B1631" s="110">
        <v>21.95</v>
      </c>
      <c r="C1631" s="110">
        <v>21.4</v>
      </c>
      <c r="D1631" s="110">
        <v>21.3</v>
      </c>
      <c r="E1631" s="110">
        <v>21.55</v>
      </c>
      <c r="F1631" s="110">
        <v>21.4</v>
      </c>
      <c r="G1631">
        <v>720488</v>
      </c>
      <c r="H1631" s="110"/>
      <c r="I1631" s="110"/>
      <c r="L1631" s="134">
        <v>44406</v>
      </c>
      <c r="M1631" s="110">
        <v>21.4</v>
      </c>
      <c r="N1631" s="110">
        <v>21.95</v>
      </c>
      <c r="O1631" s="110">
        <v>21.3</v>
      </c>
      <c r="P1631" s="110">
        <v>21.5</v>
      </c>
      <c r="Q1631" s="110">
        <v>21.4</v>
      </c>
      <c r="R1631">
        <v>4739793</v>
      </c>
    </row>
    <row r="1632" spans="1:18" x14ac:dyDescent="0.25">
      <c r="A1632" s="134">
        <v>44407</v>
      </c>
      <c r="B1632" s="110">
        <v>22.3</v>
      </c>
      <c r="C1632" s="110">
        <v>21.9</v>
      </c>
      <c r="D1632" s="110">
        <v>21.4</v>
      </c>
      <c r="E1632" s="110">
        <v>21.75</v>
      </c>
      <c r="F1632" s="110">
        <v>21.9</v>
      </c>
      <c r="G1632">
        <v>582873</v>
      </c>
      <c r="H1632" s="110"/>
      <c r="I1632" s="110"/>
      <c r="L1632" s="134">
        <v>44407</v>
      </c>
      <c r="M1632" s="110">
        <v>21.9</v>
      </c>
      <c r="N1632" s="110">
        <v>22.25</v>
      </c>
      <c r="O1632" s="110">
        <v>21.4</v>
      </c>
      <c r="P1632" s="110">
        <v>21.55</v>
      </c>
      <c r="Q1632" s="110">
        <v>21.9</v>
      </c>
      <c r="R1632">
        <v>6287780</v>
      </c>
    </row>
    <row r="1633" spans="1:18" x14ac:dyDescent="0.25">
      <c r="A1633" s="134">
        <v>44410</v>
      </c>
      <c r="B1633" s="110">
        <v>22.6</v>
      </c>
      <c r="C1633" s="110">
        <v>21.85</v>
      </c>
      <c r="D1633" s="110">
        <v>21.15</v>
      </c>
      <c r="E1633" s="110">
        <v>22.5</v>
      </c>
      <c r="F1633" s="110">
        <v>21.85</v>
      </c>
      <c r="G1633">
        <v>671701</v>
      </c>
      <c r="H1633" s="110"/>
      <c r="I1633" s="110"/>
      <c r="L1633" s="134">
        <v>44410</v>
      </c>
      <c r="M1633" s="110">
        <v>21.75</v>
      </c>
      <c r="N1633" s="110">
        <v>22.8</v>
      </c>
      <c r="O1633" s="110">
        <v>21</v>
      </c>
      <c r="P1633" s="110">
        <v>22.8</v>
      </c>
      <c r="Q1633" s="110">
        <v>21.75</v>
      </c>
      <c r="R1633">
        <v>6370391</v>
      </c>
    </row>
    <row r="1634" spans="1:18" x14ac:dyDescent="0.25">
      <c r="A1634" s="134">
        <v>44411</v>
      </c>
      <c r="B1634" s="110">
        <v>22.1</v>
      </c>
      <c r="C1634" s="110">
        <v>21.55</v>
      </c>
      <c r="D1634" s="110">
        <v>21.45</v>
      </c>
      <c r="E1634" s="110">
        <v>21.9</v>
      </c>
      <c r="F1634" s="110">
        <v>21.55</v>
      </c>
      <c r="G1634">
        <v>862150</v>
      </c>
      <c r="H1634" s="110"/>
      <c r="I1634" s="110"/>
      <c r="L1634" s="134">
        <v>44411</v>
      </c>
      <c r="M1634" s="110">
        <v>21.55</v>
      </c>
      <c r="N1634" s="110">
        <v>22.2</v>
      </c>
      <c r="O1634" s="110">
        <v>21.45</v>
      </c>
      <c r="P1634" s="110">
        <v>21.8</v>
      </c>
      <c r="Q1634" s="110">
        <v>21.55</v>
      </c>
      <c r="R1634">
        <v>4071101</v>
      </c>
    </row>
    <row r="1635" spans="1:18" x14ac:dyDescent="0.25">
      <c r="A1635" s="134">
        <v>44412</v>
      </c>
      <c r="B1635" s="110">
        <v>21.75</v>
      </c>
      <c r="C1635" s="110">
        <v>21.35</v>
      </c>
      <c r="D1635" s="110">
        <v>21.3</v>
      </c>
      <c r="E1635" s="110">
        <v>21.6</v>
      </c>
      <c r="F1635" s="110">
        <v>21.35</v>
      </c>
      <c r="G1635">
        <v>797564</v>
      </c>
      <c r="H1635" s="110"/>
      <c r="I1635" s="110"/>
      <c r="L1635" s="134">
        <v>44412</v>
      </c>
      <c r="M1635" s="110">
        <v>21.4</v>
      </c>
      <c r="N1635" s="110">
        <v>21.75</v>
      </c>
      <c r="O1635" s="110">
        <v>21.3</v>
      </c>
      <c r="P1635" s="110">
        <v>21.75</v>
      </c>
      <c r="Q1635" s="110">
        <v>21.4</v>
      </c>
      <c r="R1635">
        <v>4561378</v>
      </c>
    </row>
    <row r="1636" spans="1:18" x14ac:dyDescent="0.25">
      <c r="A1636" s="134">
        <v>44413</v>
      </c>
      <c r="B1636" s="110">
        <v>21.45</v>
      </c>
      <c r="C1636" s="110">
        <v>20.45</v>
      </c>
      <c r="D1636" s="110">
        <v>20.2</v>
      </c>
      <c r="E1636" s="110">
        <v>21.3</v>
      </c>
      <c r="F1636" s="110">
        <v>20.45</v>
      </c>
      <c r="G1636">
        <v>712736</v>
      </c>
      <c r="H1636" s="110"/>
      <c r="I1636" s="110"/>
      <c r="L1636" s="134">
        <v>44413</v>
      </c>
      <c r="M1636" s="110">
        <v>20.45</v>
      </c>
      <c r="N1636" s="110">
        <v>21.55</v>
      </c>
      <c r="O1636" s="110">
        <v>20.2</v>
      </c>
      <c r="P1636" s="110">
        <v>21.55</v>
      </c>
      <c r="Q1636" s="110">
        <v>20.45</v>
      </c>
      <c r="R1636">
        <v>6360737</v>
      </c>
    </row>
    <row r="1637" spans="1:18" x14ac:dyDescent="0.25">
      <c r="A1637" s="134">
        <v>44414</v>
      </c>
      <c r="B1637" s="110">
        <v>21.35</v>
      </c>
      <c r="C1637" s="110">
        <v>20.6</v>
      </c>
      <c r="D1637" s="110">
        <v>20.45</v>
      </c>
      <c r="E1637" s="110">
        <v>20.55</v>
      </c>
      <c r="F1637" s="110">
        <v>20.6</v>
      </c>
      <c r="G1637">
        <v>1386734</v>
      </c>
      <c r="H1637" s="110"/>
      <c r="I1637" s="110"/>
      <c r="L1637" s="134">
        <v>44414</v>
      </c>
      <c r="M1637" s="110">
        <v>20.55</v>
      </c>
      <c r="N1637" s="110">
        <v>21.35</v>
      </c>
      <c r="O1637" s="110">
        <v>20.399999999999999</v>
      </c>
      <c r="P1637" s="110">
        <v>20.45</v>
      </c>
      <c r="Q1637" s="110">
        <v>20.55</v>
      </c>
      <c r="R1637">
        <v>6279173</v>
      </c>
    </row>
    <row r="1638" spans="1:18" x14ac:dyDescent="0.25">
      <c r="A1638" s="134">
        <v>44417</v>
      </c>
      <c r="B1638" s="110">
        <v>20.75</v>
      </c>
      <c r="C1638" s="110">
        <v>20.3</v>
      </c>
      <c r="D1638" s="110">
        <v>20.05</v>
      </c>
      <c r="E1638" s="110">
        <v>20.55</v>
      </c>
      <c r="F1638" s="110">
        <v>20.3</v>
      </c>
      <c r="G1638">
        <v>901634</v>
      </c>
      <c r="H1638" s="110"/>
      <c r="I1638" s="110"/>
      <c r="L1638" s="134">
        <v>44417</v>
      </c>
      <c r="M1638" s="110">
        <v>20.25</v>
      </c>
      <c r="N1638" s="110">
        <v>20.75</v>
      </c>
      <c r="O1638" s="110">
        <v>20</v>
      </c>
      <c r="P1638" s="110">
        <v>20.7</v>
      </c>
      <c r="Q1638" s="110">
        <v>20.25</v>
      </c>
      <c r="R1638">
        <v>3942680</v>
      </c>
    </row>
    <row r="1639" spans="1:18" x14ac:dyDescent="0.25">
      <c r="A1639" s="134">
        <v>44418</v>
      </c>
      <c r="B1639" s="110">
        <v>20.45</v>
      </c>
      <c r="C1639" s="110">
        <v>19.55</v>
      </c>
      <c r="D1639" s="110">
        <v>19.399999999999999</v>
      </c>
      <c r="E1639" s="110">
        <v>20.3</v>
      </c>
      <c r="F1639" s="110">
        <v>19.55</v>
      </c>
      <c r="G1639">
        <v>1368963</v>
      </c>
      <c r="H1639" s="110"/>
      <c r="I1639" s="110"/>
      <c r="L1639" s="134">
        <v>44418</v>
      </c>
      <c r="M1639" s="110">
        <v>19.55</v>
      </c>
      <c r="N1639" s="110">
        <v>20.5</v>
      </c>
      <c r="O1639" s="110">
        <v>19.45</v>
      </c>
      <c r="P1639" s="110">
        <v>20.25</v>
      </c>
      <c r="Q1639" s="110">
        <v>19.55</v>
      </c>
      <c r="R1639">
        <v>6372403</v>
      </c>
    </row>
    <row r="1640" spans="1:18" x14ac:dyDescent="0.25">
      <c r="A1640" s="134">
        <v>44419</v>
      </c>
      <c r="B1640" s="110">
        <v>19.75</v>
      </c>
      <c r="C1640" s="110">
        <v>18.600000000000001</v>
      </c>
      <c r="D1640" s="110">
        <v>18.399999999999999</v>
      </c>
      <c r="E1640" s="110">
        <v>19.55</v>
      </c>
      <c r="F1640" s="110">
        <v>18.600000000000001</v>
      </c>
      <c r="G1640">
        <v>2580287</v>
      </c>
      <c r="H1640" s="110"/>
      <c r="I1640" s="110"/>
      <c r="L1640" s="134">
        <v>44419</v>
      </c>
      <c r="M1640" s="110">
        <v>18.600000000000001</v>
      </c>
      <c r="N1640" s="110">
        <v>19.7</v>
      </c>
      <c r="O1640" s="110">
        <v>18.45</v>
      </c>
      <c r="P1640" s="110">
        <v>19.55</v>
      </c>
      <c r="Q1640" s="110">
        <v>18.600000000000001</v>
      </c>
      <c r="R1640">
        <v>9783608</v>
      </c>
    </row>
    <row r="1641" spans="1:18" x14ac:dyDescent="0.25">
      <c r="A1641" s="134">
        <v>44420</v>
      </c>
      <c r="B1641" s="110">
        <v>19.649999999999999</v>
      </c>
      <c r="C1641" s="110">
        <v>19.25</v>
      </c>
      <c r="D1641" s="110">
        <v>18.5</v>
      </c>
      <c r="E1641" s="110">
        <v>18.600000000000001</v>
      </c>
      <c r="F1641" s="110">
        <v>19.25</v>
      </c>
      <c r="G1641">
        <v>1121857</v>
      </c>
      <c r="H1641" s="110"/>
      <c r="I1641" s="110"/>
      <c r="L1641" s="134">
        <v>44420</v>
      </c>
      <c r="M1641" s="110">
        <v>19.2</v>
      </c>
      <c r="N1641" s="110">
        <v>19.7</v>
      </c>
      <c r="O1641" s="110">
        <v>18.5</v>
      </c>
      <c r="P1641" s="110">
        <v>18.600000000000001</v>
      </c>
      <c r="Q1641" s="110">
        <v>19.2</v>
      </c>
      <c r="R1641">
        <v>7912092</v>
      </c>
    </row>
    <row r="1642" spans="1:18" x14ac:dyDescent="0.25">
      <c r="A1642" s="134">
        <v>44421</v>
      </c>
      <c r="B1642" s="110">
        <v>20.8</v>
      </c>
      <c r="C1642" s="110">
        <v>20.5</v>
      </c>
      <c r="D1642" s="110">
        <v>19.25</v>
      </c>
      <c r="E1642" s="110">
        <v>19.350000000000001</v>
      </c>
      <c r="F1642" s="110">
        <v>20.5</v>
      </c>
      <c r="G1642">
        <v>2308099</v>
      </c>
      <c r="H1642" s="110"/>
      <c r="I1642" s="110"/>
      <c r="L1642" s="134">
        <v>44421</v>
      </c>
      <c r="M1642" s="110">
        <v>20.45</v>
      </c>
      <c r="N1642" s="110">
        <v>20.85</v>
      </c>
      <c r="O1642" s="110">
        <v>19.25</v>
      </c>
      <c r="P1642" s="110">
        <v>19.25</v>
      </c>
      <c r="Q1642" s="110">
        <v>20.45</v>
      </c>
      <c r="R1642">
        <v>14108606</v>
      </c>
    </row>
    <row r="1643" spans="1:18" x14ac:dyDescent="0.25">
      <c r="A1643" s="134">
        <v>44424</v>
      </c>
      <c r="B1643" s="110">
        <v>20.6</v>
      </c>
      <c r="C1643" s="110">
        <v>19.8</v>
      </c>
      <c r="D1643" s="110">
        <v>19.649999999999999</v>
      </c>
      <c r="E1643" s="110">
        <v>20.6</v>
      </c>
      <c r="F1643" s="110">
        <v>19.8</v>
      </c>
      <c r="G1643">
        <v>679899</v>
      </c>
      <c r="H1643" s="110"/>
      <c r="I1643" s="110"/>
      <c r="L1643" s="134">
        <v>44424</v>
      </c>
      <c r="M1643" s="110">
        <v>19.8</v>
      </c>
      <c r="N1643" s="110">
        <v>20.65</v>
      </c>
      <c r="O1643" s="110">
        <v>19.649999999999999</v>
      </c>
      <c r="P1643" s="110">
        <v>20.65</v>
      </c>
      <c r="Q1643" s="110">
        <v>19.8</v>
      </c>
      <c r="R1643">
        <v>4036842</v>
      </c>
    </row>
    <row r="1644" spans="1:18" x14ac:dyDescent="0.25">
      <c r="A1644" s="134">
        <v>44425</v>
      </c>
      <c r="B1644" s="110">
        <v>19.850000000000001</v>
      </c>
      <c r="C1644" s="110">
        <v>19.149999999999999</v>
      </c>
      <c r="D1644" s="110">
        <v>19.05</v>
      </c>
      <c r="E1644" s="110">
        <v>19.850000000000001</v>
      </c>
      <c r="F1644" s="110">
        <v>19.149999999999999</v>
      </c>
      <c r="G1644">
        <v>978291</v>
      </c>
      <c r="H1644" s="110"/>
      <c r="I1644" s="110"/>
      <c r="L1644" s="134">
        <v>44425</v>
      </c>
      <c r="M1644" s="110">
        <v>19.149999999999999</v>
      </c>
      <c r="N1644" s="110">
        <v>19.899999999999999</v>
      </c>
      <c r="O1644" s="110">
        <v>19.05</v>
      </c>
      <c r="P1644" s="110">
        <v>19.850000000000001</v>
      </c>
      <c r="Q1644" s="110">
        <v>19.149999999999999</v>
      </c>
      <c r="R1644">
        <v>4398661</v>
      </c>
    </row>
    <row r="1645" spans="1:18" x14ac:dyDescent="0.25">
      <c r="A1645" s="134">
        <v>44426</v>
      </c>
      <c r="B1645" s="110">
        <v>19.3</v>
      </c>
      <c r="C1645" s="110">
        <v>18.899999999999999</v>
      </c>
      <c r="D1645" s="110">
        <v>18.8</v>
      </c>
      <c r="E1645" s="110">
        <v>19.149999999999999</v>
      </c>
      <c r="F1645" s="110">
        <v>18.899999999999999</v>
      </c>
      <c r="G1645">
        <v>575053</v>
      </c>
      <c r="H1645" s="110"/>
      <c r="I1645" s="110"/>
      <c r="L1645" s="134">
        <v>44426</v>
      </c>
      <c r="M1645" s="110">
        <v>18.899999999999999</v>
      </c>
      <c r="N1645" s="110">
        <v>19.350000000000001</v>
      </c>
      <c r="O1645" s="110">
        <v>18.850000000000001</v>
      </c>
      <c r="P1645" s="110">
        <v>19.149999999999999</v>
      </c>
      <c r="Q1645" s="110">
        <v>18.899999999999999</v>
      </c>
      <c r="R1645">
        <v>3632696</v>
      </c>
    </row>
    <row r="1646" spans="1:18" x14ac:dyDescent="0.25">
      <c r="A1646" s="134">
        <v>44428</v>
      </c>
      <c r="B1646" s="110">
        <v>19.2</v>
      </c>
      <c r="C1646" s="110">
        <v>18.45</v>
      </c>
      <c r="D1646" s="110">
        <v>18.350000000000001</v>
      </c>
      <c r="E1646" s="110">
        <v>18.75</v>
      </c>
      <c r="F1646" s="110">
        <v>18.45</v>
      </c>
      <c r="G1646">
        <v>562431</v>
      </c>
      <c r="H1646" s="110"/>
      <c r="I1646" s="110"/>
      <c r="L1646" s="134">
        <v>44428</v>
      </c>
      <c r="M1646" s="110">
        <v>18.5</v>
      </c>
      <c r="N1646" s="110">
        <v>19.2</v>
      </c>
      <c r="O1646" s="110">
        <v>18.399999999999999</v>
      </c>
      <c r="P1646" s="110">
        <v>18.600000000000001</v>
      </c>
      <c r="Q1646" s="110">
        <v>18.5</v>
      </c>
      <c r="R1646">
        <v>4812210</v>
      </c>
    </row>
    <row r="1647" spans="1:18" x14ac:dyDescent="0.25">
      <c r="A1647" s="134">
        <v>44431</v>
      </c>
      <c r="B1647" s="110">
        <v>18.95</v>
      </c>
      <c r="C1647" s="110">
        <v>18.100000000000001</v>
      </c>
      <c r="D1647" s="110">
        <v>17.25</v>
      </c>
      <c r="E1647" s="110">
        <v>18.55</v>
      </c>
      <c r="F1647" s="110">
        <v>18.100000000000001</v>
      </c>
      <c r="G1647">
        <v>865393</v>
      </c>
      <c r="H1647" s="110"/>
      <c r="I1647" s="110"/>
      <c r="L1647" s="134">
        <v>44431</v>
      </c>
      <c r="M1647" s="110">
        <v>18.05</v>
      </c>
      <c r="N1647" s="110">
        <v>18.95</v>
      </c>
      <c r="O1647" s="110">
        <v>17.2</v>
      </c>
      <c r="P1647" s="110">
        <v>18.850000000000001</v>
      </c>
      <c r="Q1647" s="110">
        <v>18.05</v>
      </c>
      <c r="R1647">
        <v>5656884</v>
      </c>
    </row>
    <row r="1648" spans="1:18" x14ac:dyDescent="0.25">
      <c r="A1648" s="134">
        <v>44432</v>
      </c>
      <c r="B1648" s="110">
        <v>18.350000000000001</v>
      </c>
      <c r="C1648" s="110">
        <v>18.100000000000001</v>
      </c>
      <c r="D1648" s="110">
        <v>17.850000000000001</v>
      </c>
      <c r="E1648" s="110">
        <v>18.149999999999999</v>
      </c>
      <c r="F1648" s="110">
        <v>18.100000000000001</v>
      </c>
      <c r="G1648">
        <v>614241</v>
      </c>
      <c r="H1648" s="110"/>
      <c r="I1648" s="110"/>
      <c r="L1648" s="134">
        <v>44432</v>
      </c>
      <c r="M1648" s="110">
        <v>18.05</v>
      </c>
      <c r="N1648" s="110">
        <v>18.350000000000001</v>
      </c>
      <c r="O1648" s="110">
        <v>17.850000000000001</v>
      </c>
      <c r="P1648" s="110">
        <v>18.3</v>
      </c>
      <c r="Q1648" s="110">
        <v>18.05</v>
      </c>
      <c r="R1648">
        <v>4355607</v>
      </c>
    </row>
    <row r="1649" spans="1:18" x14ac:dyDescent="0.25">
      <c r="A1649" s="134">
        <v>44433</v>
      </c>
      <c r="B1649" s="110">
        <v>18.5</v>
      </c>
      <c r="C1649" s="110">
        <v>18.100000000000001</v>
      </c>
      <c r="D1649" s="110">
        <v>18</v>
      </c>
      <c r="E1649" s="110">
        <v>18.149999999999999</v>
      </c>
      <c r="F1649" s="110">
        <v>18.100000000000001</v>
      </c>
      <c r="G1649">
        <v>658324</v>
      </c>
      <c r="H1649" s="110"/>
      <c r="I1649" s="110"/>
      <c r="L1649" s="134">
        <v>44433</v>
      </c>
      <c r="M1649" s="110">
        <v>18.05</v>
      </c>
      <c r="N1649" s="110">
        <v>18.5</v>
      </c>
      <c r="O1649" s="110">
        <v>17.95</v>
      </c>
      <c r="P1649" s="110">
        <v>18.2</v>
      </c>
      <c r="Q1649" s="110">
        <v>18.05</v>
      </c>
      <c r="R1649">
        <v>4052768</v>
      </c>
    </row>
    <row r="1650" spans="1:18" x14ac:dyDescent="0.25">
      <c r="A1650" s="134">
        <v>44434</v>
      </c>
      <c r="B1650" s="110">
        <v>18.149999999999999</v>
      </c>
      <c r="C1650" s="110">
        <v>17.899999999999999</v>
      </c>
      <c r="D1650" s="110">
        <v>17.8</v>
      </c>
      <c r="E1650" s="110">
        <v>18.149999999999999</v>
      </c>
      <c r="F1650" s="110">
        <v>17.899999999999999</v>
      </c>
      <c r="G1650">
        <v>497202</v>
      </c>
      <c r="H1650" s="110"/>
      <c r="I1650" s="110"/>
      <c r="L1650" s="134">
        <v>44434</v>
      </c>
      <c r="M1650" s="110">
        <v>17.850000000000001</v>
      </c>
      <c r="N1650" s="110">
        <v>18.149999999999999</v>
      </c>
      <c r="O1650" s="110">
        <v>17.8</v>
      </c>
      <c r="P1650" s="110">
        <v>18.149999999999999</v>
      </c>
      <c r="Q1650" s="110">
        <v>17.850000000000001</v>
      </c>
      <c r="R1650">
        <v>3715471</v>
      </c>
    </row>
    <row r="1651" spans="1:18" x14ac:dyDescent="0.25">
      <c r="A1651" s="134">
        <v>44435</v>
      </c>
      <c r="B1651" s="110">
        <v>18.149999999999999</v>
      </c>
      <c r="C1651" s="110">
        <v>18</v>
      </c>
      <c r="D1651" s="110">
        <v>17.7</v>
      </c>
      <c r="E1651" s="110">
        <v>18.100000000000001</v>
      </c>
      <c r="F1651" s="110">
        <v>18</v>
      </c>
      <c r="G1651">
        <v>767319</v>
      </c>
      <c r="H1651" s="110"/>
      <c r="I1651" s="110"/>
      <c r="L1651" s="134">
        <v>44435</v>
      </c>
      <c r="M1651" s="110">
        <v>18.05</v>
      </c>
      <c r="N1651" s="110">
        <v>18.149999999999999</v>
      </c>
      <c r="O1651" s="110">
        <v>17.75</v>
      </c>
      <c r="P1651" s="110">
        <v>18.149999999999999</v>
      </c>
      <c r="Q1651" s="110">
        <v>18.05</v>
      </c>
      <c r="R1651">
        <v>4406947</v>
      </c>
    </row>
    <row r="1652" spans="1:18" x14ac:dyDescent="0.25">
      <c r="A1652" s="134">
        <v>44438</v>
      </c>
      <c r="B1652" s="110">
        <v>18.350000000000001</v>
      </c>
      <c r="C1652" s="110">
        <v>18.100000000000001</v>
      </c>
      <c r="D1652" s="110">
        <v>18</v>
      </c>
      <c r="E1652" s="110">
        <v>18.05</v>
      </c>
      <c r="F1652" s="110">
        <v>18.100000000000001</v>
      </c>
      <c r="G1652">
        <v>342813</v>
      </c>
      <c r="H1652" s="110"/>
      <c r="I1652" s="110"/>
      <c r="L1652" s="134">
        <v>44438</v>
      </c>
      <c r="M1652" s="110">
        <v>18.100000000000001</v>
      </c>
      <c r="N1652" s="110">
        <v>18.399999999999999</v>
      </c>
      <c r="O1652" s="110">
        <v>18.05</v>
      </c>
      <c r="P1652" s="110">
        <v>18.149999999999999</v>
      </c>
      <c r="Q1652" s="110">
        <v>18.100000000000001</v>
      </c>
      <c r="R1652">
        <v>4304113</v>
      </c>
    </row>
    <row r="1653" spans="1:18" x14ac:dyDescent="0.25">
      <c r="A1653" s="134">
        <v>44439</v>
      </c>
      <c r="B1653" s="110">
        <v>18.5</v>
      </c>
      <c r="C1653" s="110">
        <v>18.05</v>
      </c>
      <c r="D1653" s="110">
        <v>17.95</v>
      </c>
      <c r="E1653" s="110">
        <v>18.100000000000001</v>
      </c>
      <c r="F1653" s="110">
        <v>18.05</v>
      </c>
      <c r="G1653">
        <v>970946</v>
      </c>
      <c r="H1653" s="110"/>
      <c r="I1653" s="110"/>
      <c r="L1653" s="134">
        <v>44439</v>
      </c>
      <c r="M1653" s="110">
        <v>18.05</v>
      </c>
      <c r="N1653" s="110">
        <v>18.5</v>
      </c>
      <c r="O1653" s="110">
        <v>18</v>
      </c>
      <c r="P1653" s="110">
        <v>18.149999999999999</v>
      </c>
      <c r="Q1653" s="110">
        <v>18.05</v>
      </c>
      <c r="R1653">
        <v>5347877</v>
      </c>
    </row>
    <row r="1654" spans="1:18" x14ac:dyDescent="0.25">
      <c r="A1654" s="134">
        <v>44440</v>
      </c>
      <c r="B1654" s="110">
        <v>18.2</v>
      </c>
      <c r="C1654" s="110">
        <v>17.899999999999999</v>
      </c>
      <c r="D1654" s="110">
        <v>17.8</v>
      </c>
      <c r="E1654" s="110">
        <v>18.2</v>
      </c>
      <c r="F1654" s="110">
        <v>17.899999999999999</v>
      </c>
      <c r="G1654">
        <v>891733</v>
      </c>
      <c r="H1654" s="110"/>
      <c r="I1654" s="110"/>
      <c r="L1654" s="134">
        <v>44440</v>
      </c>
      <c r="M1654" s="110">
        <v>17.899999999999999</v>
      </c>
      <c r="N1654" s="110">
        <v>18.149999999999999</v>
      </c>
      <c r="O1654" s="110">
        <v>17.8</v>
      </c>
      <c r="P1654" s="110">
        <v>18.100000000000001</v>
      </c>
      <c r="Q1654" s="110">
        <v>17.899999999999999</v>
      </c>
      <c r="R1654">
        <v>3511044</v>
      </c>
    </row>
    <row r="1655" spans="1:18" x14ac:dyDescent="0.25">
      <c r="A1655" s="134">
        <v>44441</v>
      </c>
      <c r="B1655" s="110">
        <v>18.3</v>
      </c>
      <c r="C1655" s="110">
        <v>18.05</v>
      </c>
      <c r="D1655" s="110">
        <v>17.899999999999999</v>
      </c>
      <c r="E1655" s="110">
        <v>17.899999999999999</v>
      </c>
      <c r="F1655" s="110">
        <v>18.05</v>
      </c>
      <c r="G1655">
        <v>361211</v>
      </c>
      <c r="H1655" s="110"/>
      <c r="I1655" s="110"/>
      <c r="L1655" s="134">
        <v>44441</v>
      </c>
      <c r="M1655" s="110">
        <v>18.05</v>
      </c>
      <c r="N1655" s="110">
        <v>18.3</v>
      </c>
      <c r="O1655" s="110">
        <v>17.899999999999999</v>
      </c>
      <c r="P1655" s="110">
        <v>18.05</v>
      </c>
      <c r="Q1655" s="110">
        <v>18.05</v>
      </c>
      <c r="R1655">
        <v>3294945</v>
      </c>
    </row>
    <row r="1656" spans="1:18" x14ac:dyDescent="0.25">
      <c r="A1656" s="134">
        <v>44442</v>
      </c>
      <c r="B1656" s="110">
        <v>18.600000000000001</v>
      </c>
      <c r="C1656" s="110">
        <v>18.100000000000001</v>
      </c>
      <c r="D1656" s="110">
        <v>18.05</v>
      </c>
      <c r="E1656" s="110">
        <v>18.25</v>
      </c>
      <c r="F1656" s="110">
        <v>18.100000000000001</v>
      </c>
      <c r="G1656">
        <v>856641</v>
      </c>
      <c r="H1656" s="110"/>
      <c r="I1656" s="110"/>
      <c r="L1656" s="134">
        <v>44442</v>
      </c>
      <c r="M1656" s="110">
        <v>18.05</v>
      </c>
      <c r="N1656" s="110">
        <v>18.600000000000001</v>
      </c>
      <c r="O1656" s="110">
        <v>18</v>
      </c>
      <c r="P1656" s="110">
        <v>18.149999999999999</v>
      </c>
      <c r="Q1656" s="110">
        <v>18.05</v>
      </c>
      <c r="R1656">
        <v>4460682</v>
      </c>
    </row>
    <row r="1657" spans="1:18" x14ac:dyDescent="0.25">
      <c r="A1657" s="134">
        <v>44445</v>
      </c>
      <c r="B1657" s="110">
        <v>19.350000000000001</v>
      </c>
      <c r="C1657" s="110">
        <v>18.95</v>
      </c>
      <c r="D1657" s="110">
        <v>18</v>
      </c>
      <c r="E1657" s="110">
        <v>18.25</v>
      </c>
      <c r="F1657" s="110">
        <v>18.95</v>
      </c>
      <c r="G1657">
        <v>4502405</v>
      </c>
      <c r="H1657" s="110"/>
      <c r="I1657" s="110"/>
      <c r="L1657" s="134">
        <v>44445</v>
      </c>
      <c r="M1657" s="110">
        <v>18.95</v>
      </c>
      <c r="N1657" s="110">
        <v>19.350000000000001</v>
      </c>
      <c r="O1657" s="110">
        <v>17.95</v>
      </c>
      <c r="P1657" s="110">
        <v>18.2</v>
      </c>
      <c r="Q1657" s="110">
        <v>18.95</v>
      </c>
      <c r="R1657">
        <v>13059847</v>
      </c>
    </row>
    <row r="1658" spans="1:18" x14ac:dyDescent="0.25">
      <c r="A1658" s="134">
        <v>44446</v>
      </c>
      <c r="B1658" s="110">
        <v>19.350000000000001</v>
      </c>
      <c r="C1658" s="110">
        <v>18.399999999999999</v>
      </c>
      <c r="D1658" s="110">
        <v>18.3</v>
      </c>
      <c r="E1658" s="110">
        <v>19.2</v>
      </c>
      <c r="F1658" s="110">
        <v>18.399999999999999</v>
      </c>
      <c r="G1658">
        <v>1199962</v>
      </c>
      <c r="H1658" s="110"/>
      <c r="I1658" s="110"/>
      <c r="L1658" s="134">
        <v>44446</v>
      </c>
      <c r="M1658" s="110">
        <v>18.350000000000001</v>
      </c>
      <c r="N1658" s="110">
        <v>19.45</v>
      </c>
      <c r="O1658" s="110">
        <v>18.3</v>
      </c>
      <c r="P1658" s="110">
        <v>19.3</v>
      </c>
      <c r="Q1658" s="110">
        <v>18.350000000000001</v>
      </c>
      <c r="R1658">
        <v>9052037</v>
      </c>
    </row>
    <row r="1659" spans="1:18" x14ac:dyDescent="0.25">
      <c r="A1659" s="134">
        <v>44447</v>
      </c>
      <c r="B1659" s="110">
        <v>18.8</v>
      </c>
      <c r="C1659" s="110">
        <v>18.2</v>
      </c>
      <c r="D1659" s="110">
        <v>18.100000000000001</v>
      </c>
      <c r="E1659" s="110">
        <v>18.7</v>
      </c>
      <c r="F1659" s="110">
        <v>18.2</v>
      </c>
      <c r="G1659">
        <v>1217365</v>
      </c>
      <c r="H1659" s="110"/>
      <c r="I1659" s="110"/>
      <c r="L1659" s="134">
        <v>44447</v>
      </c>
      <c r="M1659" s="110">
        <v>18.25</v>
      </c>
      <c r="N1659" s="110">
        <v>18.75</v>
      </c>
      <c r="O1659" s="110">
        <v>18.149999999999999</v>
      </c>
      <c r="P1659" s="110">
        <v>18.5</v>
      </c>
      <c r="Q1659" s="110">
        <v>18.25</v>
      </c>
      <c r="R1659">
        <v>6440803</v>
      </c>
    </row>
    <row r="1660" spans="1:18" x14ac:dyDescent="0.25">
      <c r="A1660" s="134">
        <v>44448</v>
      </c>
      <c r="B1660" s="110">
        <v>18.399999999999999</v>
      </c>
      <c r="C1660" s="110">
        <v>18.25</v>
      </c>
      <c r="D1660" s="110">
        <v>18.100000000000001</v>
      </c>
      <c r="E1660" s="110">
        <v>18.399999999999999</v>
      </c>
      <c r="F1660" s="110">
        <v>18.25</v>
      </c>
      <c r="G1660">
        <v>414768</v>
      </c>
      <c r="H1660" s="110"/>
      <c r="I1660" s="110"/>
      <c r="L1660" s="134">
        <v>44448</v>
      </c>
      <c r="M1660" s="110">
        <v>18.2</v>
      </c>
      <c r="N1660" s="110">
        <v>18.399999999999999</v>
      </c>
      <c r="O1660" s="110">
        <v>18.100000000000001</v>
      </c>
      <c r="P1660" s="110">
        <v>18.399999999999999</v>
      </c>
      <c r="Q1660" s="110">
        <v>18.2</v>
      </c>
      <c r="R1660">
        <v>3817520</v>
      </c>
    </row>
    <row r="1661" spans="1:18" x14ac:dyDescent="0.25">
      <c r="A1661" s="134">
        <v>44452</v>
      </c>
      <c r="B1661" s="110">
        <v>18.350000000000001</v>
      </c>
      <c r="C1661" s="110">
        <v>18.05</v>
      </c>
      <c r="D1661" s="110">
        <v>17.899999999999999</v>
      </c>
      <c r="E1661" s="110">
        <v>18.350000000000001</v>
      </c>
      <c r="F1661" s="110">
        <v>18.05</v>
      </c>
      <c r="G1661">
        <v>666137</v>
      </c>
      <c r="H1661" s="110"/>
      <c r="I1661" s="110"/>
      <c r="L1661" s="134">
        <v>44452</v>
      </c>
      <c r="M1661" s="110">
        <v>18.05</v>
      </c>
      <c r="N1661" s="110">
        <v>18.399999999999999</v>
      </c>
      <c r="O1661" s="110">
        <v>17.95</v>
      </c>
      <c r="P1661" s="110">
        <v>18.3</v>
      </c>
      <c r="Q1661" s="110">
        <v>18.05</v>
      </c>
      <c r="R1661">
        <v>4058700</v>
      </c>
    </row>
    <row r="1662" spans="1:18" x14ac:dyDescent="0.25">
      <c r="A1662" s="134">
        <v>44453</v>
      </c>
      <c r="B1662" s="110">
        <v>18.55</v>
      </c>
      <c r="C1662" s="110">
        <v>18.25</v>
      </c>
      <c r="D1662" s="110">
        <v>18</v>
      </c>
      <c r="E1662" s="110">
        <v>18</v>
      </c>
      <c r="F1662" s="110">
        <v>18.25</v>
      </c>
      <c r="G1662">
        <v>551223</v>
      </c>
      <c r="H1662" s="110"/>
      <c r="I1662" s="110"/>
      <c r="L1662" s="134">
        <v>44453</v>
      </c>
      <c r="M1662" s="110">
        <v>18.2</v>
      </c>
      <c r="N1662" s="110">
        <v>18.5</v>
      </c>
      <c r="O1662" s="110">
        <v>18.100000000000001</v>
      </c>
      <c r="P1662" s="110">
        <v>18.100000000000001</v>
      </c>
      <c r="Q1662" s="110">
        <v>18.2</v>
      </c>
      <c r="R1662">
        <v>3943894</v>
      </c>
    </row>
    <row r="1663" spans="1:18" x14ac:dyDescent="0.25">
      <c r="A1663" s="134">
        <v>44454</v>
      </c>
      <c r="B1663" s="110">
        <v>18.850000000000001</v>
      </c>
      <c r="C1663" s="110">
        <v>18.5</v>
      </c>
      <c r="D1663" s="110">
        <v>18.2</v>
      </c>
      <c r="E1663" s="110">
        <v>18.25</v>
      </c>
      <c r="F1663" s="110">
        <v>18.5</v>
      </c>
      <c r="G1663">
        <v>1009267</v>
      </c>
      <c r="H1663" s="110"/>
      <c r="I1663" s="110"/>
      <c r="L1663" s="134">
        <v>44454</v>
      </c>
      <c r="M1663" s="110">
        <v>18.45</v>
      </c>
      <c r="N1663" s="110">
        <v>18.850000000000001</v>
      </c>
      <c r="O1663" s="110">
        <v>18.149999999999999</v>
      </c>
      <c r="P1663" s="110">
        <v>18.3</v>
      </c>
      <c r="Q1663" s="110">
        <v>18.45</v>
      </c>
      <c r="R1663">
        <v>6783383</v>
      </c>
    </row>
    <row r="1664" spans="1:18" x14ac:dyDescent="0.25">
      <c r="A1664" s="134">
        <v>44455</v>
      </c>
      <c r="B1664" s="110">
        <v>20.100000000000001</v>
      </c>
      <c r="C1664" s="110">
        <v>19.95</v>
      </c>
      <c r="D1664" s="110">
        <v>18.25</v>
      </c>
      <c r="E1664" s="110">
        <v>18.55</v>
      </c>
      <c r="F1664" s="110">
        <v>19.95</v>
      </c>
      <c r="G1664">
        <v>3534689</v>
      </c>
      <c r="H1664" s="110"/>
      <c r="I1664" s="110"/>
      <c r="L1664" s="134">
        <v>44455</v>
      </c>
      <c r="M1664" s="110">
        <v>19.95</v>
      </c>
      <c r="N1664" s="110">
        <v>20.149999999999999</v>
      </c>
      <c r="O1664" s="110">
        <v>18.25</v>
      </c>
      <c r="P1664" s="110">
        <v>18.600000000000001</v>
      </c>
      <c r="Q1664" s="110">
        <v>19.95</v>
      </c>
      <c r="R1664">
        <v>25917178</v>
      </c>
    </row>
    <row r="1665" spans="1:18" x14ac:dyDescent="0.25">
      <c r="A1665" s="134">
        <v>44456</v>
      </c>
      <c r="B1665" s="110">
        <v>20.25</v>
      </c>
      <c r="C1665" s="110">
        <v>19.25</v>
      </c>
      <c r="D1665" s="110">
        <v>18.7</v>
      </c>
      <c r="E1665" s="110">
        <v>20.2</v>
      </c>
      <c r="F1665" s="110">
        <v>19.25</v>
      </c>
      <c r="G1665">
        <v>2420468</v>
      </c>
      <c r="H1665" s="110"/>
      <c r="I1665" s="110"/>
      <c r="L1665" s="134">
        <v>44456</v>
      </c>
      <c r="M1665" s="110">
        <v>19.3</v>
      </c>
      <c r="N1665" s="110">
        <v>20.3</v>
      </c>
      <c r="O1665" s="110">
        <v>18.649999999999999</v>
      </c>
      <c r="P1665" s="110">
        <v>20.149999999999999</v>
      </c>
      <c r="Q1665" s="110">
        <v>19.3</v>
      </c>
      <c r="R1665">
        <v>15156032</v>
      </c>
    </row>
    <row r="1666" spans="1:18" x14ac:dyDescent="0.25">
      <c r="A1666" s="134">
        <v>44459</v>
      </c>
      <c r="B1666" s="110">
        <v>19.600000000000001</v>
      </c>
      <c r="C1666" s="110">
        <v>18.600000000000001</v>
      </c>
      <c r="D1666" s="110">
        <v>18.5</v>
      </c>
      <c r="E1666" s="110">
        <v>19.100000000000001</v>
      </c>
      <c r="F1666" s="110">
        <v>18.600000000000001</v>
      </c>
      <c r="G1666">
        <v>496250</v>
      </c>
      <c r="H1666" s="110"/>
      <c r="I1666" s="110"/>
      <c r="L1666" s="134">
        <v>44459</v>
      </c>
      <c r="M1666" s="110">
        <v>18.55</v>
      </c>
      <c r="N1666" s="110">
        <v>19.2</v>
      </c>
      <c r="O1666" s="110">
        <v>18.5</v>
      </c>
      <c r="P1666" s="110">
        <v>19.100000000000001</v>
      </c>
      <c r="Q1666" s="110">
        <v>18.55</v>
      </c>
      <c r="R1666">
        <v>6292133</v>
      </c>
    </row>
    <row r="1667" spans="1:18" x14ac:dyDescent="0.25">
      <c r="A1667" s="134">
        <v>44460</v>
      </c>
      <c r="B1667" s="110">
        <v>18.55</v>
      </c>
      <c r="C1667" s="110">
        <v>18.350000000000001</v>
      </c>
      <c r="D1667" s="110">
        <v>18</v>
      </c>
      <c r="E1667" s="110">
        <v>18.55</v>
      </c>
      <c r="F1667" s="110">
        <v>18.350000000000001</v>
      </c>
      <c r="G1667">
        <v>795465</v>
      </c>
      <c r="H1667" s="110"/>
      <c r="I1667" s="110"/>
      <c r="L1667" s="134">
        <v>44460</v>
      </c>
      <c r="M1667" s="110">
        <v>18.350000000000001</v>
      </c>
      <c r="N1667" s="110">
        <v>18.649999999999999</v>
      </c>
      <c r="O1667" s="110">
        <v>18</v>
      </c>
      <c r="P1667" s="110">
        <v>18.55</v>
      </c>
      <c r="Q1667" s="110">
        <v>18.350000000000001</v>
      </c>
      <c r="R1667">
        <v>6317607</v>
      </c>
    </row>
    <row r="1668" spans="1:18" x14ac:dyDescent="0.25">
      <c r="A1668" s="134">
        <v>44461</v>
      </c>
      <c r="B1668" s="110">
        <v>18.7</v>
      </c>
      <c r="C1668" s="110">
        <v>18.3</v>
      </c>
      <c r="D1668" s="110">
        <v>18.25</v>
      </c>
      <c r="E1668" s="110">
        <v>18.7</v>
      </c>
      <c r="F1668" s="110">
        <v>18.3</v>
      </c>
      <c r="G1668">
        <v>753504</v>
      </c>
      <c r="H1668" s="110"/>
      <c r="I1668" s="110"/>
      <c r="L1668" s="134">
        <v>44461</v>
      </c>
      <c r="M1668" s="110">
        <v>18.3</v>
      </c>
      <c r="N1668" s="110">
        <v>18.7</v>
      </c>
      <c r="O1668" s="110">
        <v>18.25</v>
      </c>
      <c r="P1668" s="110">
        <v>18.5</v>
      </c>
      <c r="Q1668" s="110">
        <v>18.3</v>
      </c>
      <c r="R1668">
        <v>4796782</v>
      </c>
    </row>
    <row r="1669" spans="1:18" x14ac:dyDescent="0.25">
      <c r="A1669" s="134">
        <v>44462</v>
      </c>
      <c r="B1669" s="110">
        <v>18.7</v>
      </c>
      <c r="C1669" s="110">
        <v>18.3</v>
      </c>
      <c r="D1669" s="110">
        <v>18.2</v>
      </c>
      <c r="E1669" s="110">
        <v>18.5</v>
      </c>
      <c r="F1669" s="110">
        <v>18.3</v>
      </c>
      <c r="G1669">
        <v>708107</v>
      </c>
      <c r="H1669" s="110"/>
      <c r="I1669" s="110"/>
      <c r="L1669" s="134">
        <v>44462</v>
      </c>
      <c r="M1669" s="110">
        <v>18.25</v>
      </c>
      <c r="N1669" s="110">
        <v>18.7</v>
      </c>
      <c r="O1669" s="110">
        <v>18.25</v>
      </c>
      <c r="P1669" s="110">
        <v>18.55</v>
      </c>
      <c r="Q1669" s="110">
        <v>18.25</v>
      </c>
      <c r="R1669">
        <v>4157411</v>
      </c>
    </row>
    <row r="1670" spans="1:18" x14ac:dyDescent="0.25">
      <c r="A1670" s="134">
        <v>44463</v>
      </c>
      <c r="B1670" s="110">
        <v>18.600000000000001</v>
      </c>
      <c r="C1670" s="110">
        <v>18.05</v>
      </c>
      <c r="D1670" s="110">
        <v>18</v>
      </c>
      <c r="E1670" s="110">
        <v>18.600000000000001</v>
      </c>
      <c r="F1670" s="110">
        <v>18.05</v>
      </c>
      <c r="G1670">
        <v>795827</v>
      </c>
      <c r="H1670" s="110"/>
      <c r="I1670" s="110"/>
      <c r="L1670" s="134">
        <v>44463</v>
      </c>
      <c r="M1670" s="110">
        <v>18.05</v>
      </c>
      <c r="N1670" s="110">
        <v>18.5</v>
      </c>
      <c r="O1670" s="110">
        <v>18</v>
      </c>
      <c r="P1670" s="110">
        <v>18.5</v>
      </c>
      <c r="Q1670" s="110">
        <v>18.05</v>
      </c>
      <c r="R1670">
        <v>4182781</v>
      </c>
    </row>
    <row r="1671" spans="1:18" x14ac:dyDescent="0.25">
      <c r="A1671" s="134">
        <v>44466</v>
      </c>
      <c r="B1671" s="110">
        <v>18.399999999999999</v>
      </c>
      <c r="C1671" s="110">
        <v>18.100000000000001</v>
      </c>
      <c r="D1671" s="110">
        <v>18</v>
      </c>
      <c r="E1671" s="110">
        <v>18.2</v>
      </c>
      <c r="F1671" s="110">
        <v>18.100000000000001</v>
      </c>
      <c r="G1671">
        <v>718202</v>
      </c>
      <c r="H1671" s="110"/>
      <c r="I1671" s="110"/>
      <c r="L1671" s="134">
        <v>44466</v>
      </c>
      <c r="M1671" s="110">
        <v>18.05</v>
      </c>
      <c r="N1671" s="110">
        <v>18.350000000000001</v>
      </c>
      <c r="O1671" s="110">
        <v>18</v>
      </c>
      <c r="P1671" s="110">
        <v>18.25</v>
      </c>
      <c r="Q1671" s="110">
        <v>18.05</v>
      </c>
      <c r="R1671">
        <v>3271196</v>
      </c>
    </row>
    <row r="1672" spans="1:18" x14ac:dyDescent="0.25">
      <c r="A1672" s="134">
        <v>44467</v>
      </c>
      <c r="B1672" s="110">
        <v>18.399999999999999</v>
      </c>
      <c r="C1672" s="110">
        <v>18.2</v>
      </c>
      <c r="D1672" s="110">
        <v>18.100000000000001</v>
      </c>
      <c r="E1672" s="110">
        <v>18.100000000000001</v>
      </c>
      <c r="F1672" s="110">
        <v>18.2</v>
      </c>
      <c r="G1672">
        <v>689253</v>
      </c>
      <c r="H1672" s="110"/>
      <c r="I1672" s="110"/>
      <c r="L1672" s="134">
        <v>44467</v>
      </c>
      <c r="M1672" s="110">
        <v>18.25</v>
      </c>
      <c r="N1672" s="110">
        <v>18.399999999999999</v>
      </c>
      <c r="O1672" s="110">
        <v>18.100000000000001</v>
      </c>
      <c r="P1672" s="110">
        <v>18.149999999999999</v>
      </c>
      <c r="Q1672" s="110">
        <v>18.25</v>
      </c>
      <c r="R1672">
        <v>2834997</v>
      </c>
    </row>
    <row r="1673" spans="1:18" x14ac:dyDescent="0.25">
      <c r="A1673" s="134">
        <v>44468</v>
      </c>
      <c r="B1673" s="110">
        <v>19.3</v>
      </c>
      <c r="C1673" s="110">
        <v>18.8</v>
      </c>
      <c r="D1673" s="110">
        <v>18.100000000000001</v>
      </c>
      <c r="E1673" s="110">
        <v>18.5</v>
      </c>
      <c r="F1673" s="110">
        <v>18.8</v>
      </c>
      <c r="G1673">
        <v>1329772</v>
      </c>
      <c r="H1673" s="110"/>
      <c r="I1673" s="110"/>
      <c r="L1673" s="134">
        <v>44468</v>
      </c>
      <c r="M1673" s="110">
        <v>18.850000000000001</v>
      </c>
      <c r="N1673" s="110">
        <v>19.25</v>
      </c>
      <c r="O1673" s="110">
        <v>18.100000000000001</v>
      </c>
      <c r="P1673" s="110">
        <v>18.2</v>
      </c>
      <c r="Q1673" s="110">
        <v>18.850000000000001</v>
      </c>
      <c r="R1673">
        <v>8468954</v>
      </c>
    </row>
    <row r="1674" spans="1:18" x14ac:dyDescent="0.25">
      <c r="A1674" s="134">
        <v>44469</v>
      </c>
      <c r="B1674" s="110">
        <v>21.2</v>
      </c>
      <c r="C1674" s="110">
        <v>20.05</v>
      </c>
      <c r="D1674" s="110">
        <v>19.149999999999999</v>
      </c>
      <c r="E1674" s="110">
        <v>19.25</v>
      </c>
      <c r="F1674" s="110">
        <v>20.05</v>
      </c>
      <c r="G1674">
        <v>3071275</v>
      </c>
      <c r="H1674" s="110"/>
      <c r="I1674" s="110"/>
      <c r="L1674" s="134">
        <v>44469</v>
      </c>
      <c r="M1674" s="110">
        <v>20.05</v>
      </c>
      <c r="N1674" s="110">
        <v>21.15</v>
      </c>
      <c r="O1674" s="110">
        <v>19.100000000000001</v>
      </c>
      <c r="P1674" s="110">
        <v>19.100000000000001</v>
      </c>
      <c r="Q1674" s="110">
        <v>20.05</v>
      </c>
      <c r="R1674">
        <v>44729608</v>
      </c>
    </row>
    <row r="1675" spans="1:18" x14ac:dyDescent="0.25">
      <c r="A1675" s="134">
        <v>44470</v>
      </c>
      <c r="B1675" s="110">
        <v>20.25</v>
      </c>
      <c r="C1675" s="110">
        <v>20</v>
      </c>
      <c r="D1675" s="110">
        <v>19.3</v>
      </c>
      <c r="E1675" s="110">
        <v>20.100000000000001</v>
      </c>
      <c r="F1675" s="110">
        <v>20</v>
      </c>
      <c r="G1675">
        <v>1744201</v>
      </c>
      <c r="H1675" s="110"/>
      <c r="I1675" s="110"/>
      <c r="L1675" s="134">
        <v>44470</v>
      </c>
      <c r="M1675" s="110">
        <v>20</v>
      </c>
      <c r="N1675" s="110">
        <v>20.25</v>
      </c>
      <c r="O1675" s="110">
        <v>19.3</v>
      </c>
      <c r="P1675" s="110">
        <v>20.05</v>
      </c>
      <c r="Q1675" s="110">
        <v>20</v>
      </c>
      <c r="R1675">
        <v>8210253</v>
      </c>
    </row>
    <row r="1676" spans="1:18" x14ac:dyDescent="0.25">
      <c r="A1676" s="134">
        <v>44473</v>
      </c>
      <c r="B1676" s="110">
        <v>20.3</v>
      </c>
      <c r="C1676" s="110">
        <v>20.2</v>
      </c>
      <c r="D1676" s="110">
        <v>20.05</v>
      </c>
      <c r="E1676" s="110">
        <v>20.3</v>
      </c>
      <c r="F1676" s="110">
        <v>20.2</v>
      </c>
      <c r="G1676">
        <v>428657</v>
      </c>
      <c r="H1676" s="110"/>
      <c r="I1676" s="110"/>
      <c r="L1676" s="134">
        <v>44473</v>
      </c>
      <c r="M1676" s="110">
        <v>20.149999999999999</v>
      </c>
      <c r="N1676" s="110">
        <v>20.25</v>
      </c>
      <c r="O1676" s="110">
        <v>20.05</v>
      </c>
      <c r="P1676" s="110">
        <v>20.149999999999999</v>
      </c>
      <c r="Q1676" s="110">
        <v>20.149999999999999</v>
      </c>
      <c r="R1676">
        <v>5376246</v>
      </c>
    </row>
    <row r="1677" spans="1:18" x14ac:dyDescent="0.25">
      <c r="A1677" s="134">
        <v>44474</v>
      </c>
      <c r="B1677" s="110">
        <v>20.85</v>
      </c>
      <c r="C1677" s="110">
        <v>20.55</v>
      </c>
      <c r="D1677" s="110">
        <v>20</v>
      </c>
      <c r="E1677" s="110">
        <v>20.2</v>
      </c>
      <c r="F1677" s="110">
        <v>20.55</v>
      </c>
      <c r="G1677">
        <v>1894030</v>
      </c>
      <c r="H1677" s="110"/>
      <c r="I1677" s="110"/>
      <c r="L1677" s="134">
        <v>44474</v>
      </c>
      <c r="M1677" s="110">
        <v>20.55</v>
      </c>
      <c r="N1677" s="110">
        <v>20.85</v>
      </c>
      <c r="O1677" s="110">
        <v>20.05</v>
      </c>
      <c r="P1677" s="110">
        <v>20.149999999999999</v>
      </c>
      <c r="Q1677" s="110">
        <v>20.55</v>
      </c>
      <c r="R1677">
        <v>9252679</v>
      </c>
    </row>
    <row r="1678" spans="1:18" x14ac:dyDescent="0.25">
      <c r="A1678" s="134">
        <v>44475</v>
      </c>
      <c r="B1678" s="110">
        <v>20.9</v>
      </c>
      <c r="C1678" s="110">
        <v>20.100000000000001</v>
      </c>
      <c r="D1678" s="110">
        <v>20</v>
      </c>
      <c r="E1678" s="110">
        <v>20.9</v>
      </c>
      <c r="F1678" s="110">
        <v>20.100000000000001</v>
      </c>
      <c r="G1678">
        <v>1000336</v>
      </c>
      <c r="H1678" s="110"/>
      <c r="I1678" s="110"/>
      <c r="L1678" s="134">
        <v>44475</v>
      </c>
      <c r="M1678" s="110">
        <v>20.100000000000001</v>
      </c>
      <c r="N1678" s="110">
        <v>20.8</v>
      </c>
      <c r="O1678" s="110">
        <v>20</v>
      </c>
      <c r="P1678" s="110">
        <v>20.8</v>
      </c>
      <c r="Q1678" s="110">
        <v>20.100000000000001</v>
      </c>
      <c r="R1678">
        <v>5158239</v>
      </c>
    </row>
    <row r="1679" spans="1:18" x14ac:dyDescent="0.25">
      <c r="A1679" s="134">
        <v>44476</v>
      </c>
      <c r="B1679" s="110">
        <v>20.65</v>
      </c>
      <c r="C1679" s="110">
        <v>20.25</v>
      </c>
      <c r="D1679" s="110">
        <v>20.149999999999999</v>
      </c>
      <c r="E1679" s="110">
        <v>20.55</v>
      </c>
      <c r="F1679" s="110">
        <v>20.25</v>
      </c>
      <c r="G1679">
        <v>646585</v>
      </c>
      <c r="H1679" s="110"/>
      <c r="I1679" s="110"/>
      <c r="L1679" s="134">
        <v>44476</v>
      </c>
      <c r="M1679" s="110">
        <v>20.25</v>
      </c>
      <c r="N1679" s="110">
        <v>20.6</v>
      </c>
      <c r="O1679" s="110">
        <v>20.2</v>
      </c>
      <c r="P1679" s="110">
        <v>20.3</v>
      </c>
      <c r="Q1679" s="110">
        <v>20.25</v>
      </c>
      <c r="R1679">
        <v>3489172</v>
      </c>
    </row>
    <row r="1680" spans="1:18" x14ac:dyDescent="0.25">
      <c r="A1680" s="134">
        <v>44477</v>
      </c>
      <c r="B1680" s="110">
        <v>20.85</v>
      </c>
      <c r="C1680" s="110">
        <v>20.6</v>
      </c>
      <c r="D1680" s="110">
        <v>20.350000000000001</v>
      </c>
      <c r="E1680" s="110">
        <v>20.65</v>
      </c>
      <c r="F1680" s="110">
        <v>20.6</v>
      </c>
      <c r="G1680">
        <v>1392752</v>
      </c>
      <c r="H1680" s="110"/>
      <c r="I1680" s="110"/>
      <c r="L1680" s="134">
        <v>44477</v>
      </c>
      <c r="M1680" s="110">
        <v>20.65</v>
      </c>
      <c r="N1680" s="110">
        <v>20.85</v>
      </c>
      <c r="O1680" s="110">
        <v>20.350000000000001</v>
      </c>
      <c r="P1680" s="110">
        <v>20.75</v>
      </c>
      <c r="Q1680" s="110">
        <v>20.65</v>
      </c>
      <c r="R1680">
        <v>7750370</v>
      </c>
    </row>
    <row r="1681" spans="1:18" x14ac:dyDescent="0.25">
      <c r="A1681" s="134">
        <v>44480</v>
      </c>
      <c r="B1681" s="110">
        <v>21.05</v>
      </c>
      <c r="C1681" s="110">
        <v>20.55</v>
      </c>
      <c r="D1681" s="110">
        <v>20.55</v>
      </c>
      <c r="E1681" s="110">
        <v>20.75</v>
      </c>
      <c r="F1681" s="110">
        <v>20.55</v>
      </c>
      <c r="G1681">
        <v>544949</v>
      </c>
      <c r="H1681" s="110"/>
      <c r="I1681" s="110"/>
      <c r="L1681" s="134">
        <v>44480</v>
      </c>
      <c r="M1681" s="110">
        <v>20.55</v>
      </c>
      <c r="N1681" s="110">
        <v>21.1</v>
      </c>
      <c r="O1681" s="110">
        <v>20.5</v>
      </c>
      <c r="P1681" s="110">
        <v>20.85</v>
      </c>
      <c r="Q1681" s="110">
        <v>20.55</v>
      </c>
      <c r="R1681">
        <v>6641785</v>
      </c>
    </row>
    <row r="1682" spans="1:18" x14ac:dyDescent="0.25">
      <c r="A1682" s="134">
        <v>44481</v>
      </c>
      <c r="B1682" s="110">
        <v>21.45</v>
      </c>
      <c r="C1682" s="110">
        <v>21.2</v>
      </c>
      <c r="D1682" s="110">
        <v>20.25</v>
      </c>
      <c r="E1682" s="110">
        <v>20.55</v>
      </c>
      <c r="F1682" s="110">
        <v>21.2</v>
      </c>
      <c r="G1682">
        <v>1293262</v>
      </c>
      <c r="H1682" s="110"/>
      <c r="I1682" s="110"/>
      <c r="L1682" s="134">
        <v>44481</v>
      </c>
      <c r="M1682" s="110">
        <v>21.2</v>
      </c>
      <c r="N1682" s="110">
        <v>21.5</v>
      </c>
      <c r="O1682" s="110">
        <v>20.25</v>
      </c>
      <c r="P1682" s="110">
        <v>20.75</v>
      </c>
      <c r="Q1682" s="110">
        <v>21.2</v>
      </c>
      <c r="R1682">
        <v>13963144</v>
      </c>
    </row>
    <row r="1683" spans="1:18" x14ac:dyDescent="0.25">
      <c r="A1683" s="134">
        <v>44482</v>
      </c>
      <c r="B1683" s="110">
        <v>21.5</v>
      </c>
      <c r="C1683" s="110">
        <v>21.1</v>
      </c>
      <c r="D1683" s="110">
        <v>20.85</v>
      </c>
      <c r="E1683" s="110">
        <v>21.5</v>
      </c>
      <c r="F1683" s="110">
        <v>21.1</v>
      </c>
      <c r="G1683">
        <v>972233</v>
      </c>
      <c r="H1683" s="110"/>
      <c r="I1683" s="110"/>
      <c r="L1683" s="134">
        <v>44482</v>
      </c>
      <c r="M1683" s="110">
        <v>21.1</v>
      </c>
      <c r="N1683" s="110">
        <v>21.5</v>
      </c>
      <c r="O1683" s="110">
        <v>20.85</v>
      </c>
      <c r="P1683" s="110">
        <v>21.4</v>
      </c>
      <c r="Q1683" s="110">
        <v>21.1</v>
      </c>
      <c r="R1683">
        <v>9885761</v>
      </c>
    </row>
    <row r="1684" spans="1:18" x14ac:dyDescent="0.25">
      <c r="A1684" s="134">
        <v>44483</v>
      </c>
      <c r="B1684" s="110">
        <v>21.6</v>
      </c>
      <c r="C1684" s="110">
        <v>21.1</v>
      </c>
      <c r="D1684" s="110">
        <v>20.95</v>
      </c>
      <c r="E1684" s="110">
        <v>21.1</v>
      </c>
      <c r="F1684" s="110">
        <v>21.1</v>
      </c>
      <c r="G1684">
        <v>674486</v>
      </c>
      <c r="H1684" s="110"/>
      <c r="I1684" s="110"/>
      <c r="L1684" s="134">
        <v>44483</v>
      </c>
      <c r="M1684" s="110">
        <v>21.1</v>
      </c>
      <c r="N1684" s="110">
        <v>21.65</v>
      </c>
      <c r="O1684" s="110">
        <v>20.95</v>
      </c>
      <c r="P1684" s="110">
        <v>21.25</v>
      </c>
      <c r="Q1684" s="110">
        <v>21.1</v>
      </c>
      <c r="R1684">
        <v>6878686</v>
      </c>
    </row>
    <row r="1685" spans="1:18" x14ac:dyDescent="0.25">
      <c r="A1685" s="134">
        <v>44487</v>
      </c>
      <c r="B1685" s="110">
        <v>22.1</v>
      </c>
      <c r="C1685" s="110">
        <v>21.9</v>
      </c>
      <c r="D1685" s="110">
        <v>21.2</v>
      </c>
      <c r="E1685" s="110">
        <v>21.5</v>
      </c>
      <c r="F1685" s="110">
        <v>21.9</v>
      </c>
      <c r="G1685">
        <v>1012448</v>
      </c>
      <c r="H1685" s="110"/>
      <c r="I1685" s="110"/>
      <c r="L1685" s="134">
        <v>44487</v>
      </c>
      <c r="M1685" s="110">
        <v>21.95</v>
      </c>
      <c r="N1685" s="110">
        <v>22.15</v>
      </c>
      <c r="O1685" s="110">
        <v>21.2</v>
      </c>
      <c r="P1685" s="110">
        <v>21.25</v>
      </c>
      <c r="Q1685" s="110">
        <v>21.95</v>
      </c>
      <c r="R1685">
        <v>13587724</v>
      </c>
    </row>
    <row r="1686" spans="1:18" x14ac:dyDescent="0.25">
      <c r="A1686" s="134">
        <v>44488</v>
      </c>
      <c r="B1686" s="110">
        <v>22.6</v>
      </c>
      <c r="C1686" s="110">
        <v>21.55</v>
      </c>
      <c r="D1686" s="110">
        <v>21.4</v>
      </c>
      <c r="E1686" s="110">
        <v>22.25</v>
      </c>
      <c r="F1686" s="110">
        <v>21.55</v>
      </c>
      <c r="G1686">
        <v>1242077</v>
      </c>
      <c r="H1686" s="110"/>
      <c r="I1686" s="110"/>
      <c r="L1686" s="134">
        <v>44488</v>
      </c>
      <c r="M1686" s="110">
        <v>21.55</v>
      </c>
      <c r="N1686" s="110">
        <v>22.6</v>
      </c>
      <c r="O1686" s="110">
        <v>21.4</v>
      </c>
      <c r="P1686" s="110">
        <v>22.15</v>
      </c>
      <c r="Q1686" s="110">
        <v>21.55</v>
      </c>
      <c r="R1686">
        <v>15523834</v>
      </c>
    </row>
    <row r="1687" spans="1:18" x14ac:dyDescent="0.25">
      <c r="A1687" s="134">
        <v>44489</v>
      </c>
      <c r="B1687" s="110">
        <v>21.9</v>
      </c>
      <c r="C1687" s="110">
        <v>20.95</v>
      </c>
      <c r="D1687" s="110">
        <v>20.75</v>
      </c>
      <c r="E1687" s="110">
        <v>21.9</v>
      </c>
      <c r="F1687" s="110">
        <v>20.95</v>
      </c>
      <c r="G1687">
        <v>866440</v>
      </c>
      <c r="H1687" s="110"/>
      <c r="I1687" s="110"/>
      <c r="L1687" s="134">
        <v>44489</v>
      </c>
      <c r="M1687" s="110">
        <v>20.95</v>
      </c>
      <c r="N1687" s="110">
        <v>21.7</v>
      </c>
      <c r="O1687" s="110">
        <v>20.75</v>
      </c>
      <c r="P1687" s="110">
        <v>21.6</v>
      </c>
      <c r="Q1687" s="110">
        <v>20.95</v>
      </c>
      <c r="R1687">
        <v>7587368</v>
      </c>
    </row>
    <row r="1688" spans="1:18" x14ac:dyDescent="0.25">
      <c r="A1688" s="134">
        <v>44490</v>
      </c>
      <c r="B1688" s="110">
        <v>22.8</v>
      </c>
      <c r="C1688" s="110">
        <v>21.95</v>
      </c>
      <c r="D1688" s="110">
        <v>21.05</v>
      </c>
      <c r="E1688" s="110">
        <v>21.1</v>
      </c>
      <c r="F1688" s="110">
        <v>21.95</v>
      </c>
      <c r="G1688">
        <v>2251445</v>
      </c>
      <c r="H1688" s="110"/>
      <c r="I1688" s="110"/>
      <c r="L1688" s="134">
        <v>44490</v>
      </c>
      <c r="M1688" s="110">
        <v>22</v>
      </c>
      <c r="N1688" s="110">
        <v>22.85</v>
      </c>
      <c r="O1688" s="110">
        <v>21.1</v>
      </c>
      <c r="P1688" s="110">
        <v>21.4</v>
      </c>
      <c r="Q1688" s="110">
        <v>22</v>
      </c>
      <c r="R1688">
        <v>32385390</v>
      </c>
    </row>
    <row r="1689" spans="1:18" x14ac:dyDescent="0.25">
      <c r="A1689" s="134">
        <v>44491</v>
      </c>
      <c r="B1689" s="110">
        <v>22.65</v>
      </c>
      <c r="C1689" s="110">
        <v>21.65</v>
      </c>
      <c r="D1689" s="110">
        <v>20.8</v>
      </c>
      <c r="E1689" s="110">
        <v>22.5</v>
      </c>
      <c r="F1689" s="110">
        <v>21.65</v>
      </c>
      <c r="G1689">
        <v>1531004</v>
      </c>
      <c r="H1689" s="110"/>
      <c r="I1689" s="110"/>
      <c r="L1689" s="134">
        <v>44491</v>
      </c>
      <c r="M1689" s="110">
        <v>21.7</v>
      </c>
      <c r="N1689" s="110">
        <v>22.7</v>
      </c>
      <c r="O1689" s="110">
        <v>20.75</v>
      </c>
      <c r="P1689" s="110">
        <v>22.5</v>
      </c>
      <c r="Q1689" s="110">
        <v>21.7</v>
      </c>
      <c r="R1689">
        <v>14465924</v>
      </c>
    </row>
    <row r="1690" spans="1:18" x14ac:dyDescent="0.25">
      <c r="A1690" s="134">
        <v>44494</v>
      </c>
      <c r="B1690" s="110">
        <v>22.1</v>
      </c>
      <c r="C1690" s="110">
        <v>21.35</v>
      </c>
      <c r="D1690" s="110">
        <v>20.9</v>
      </c>
      <c r="E1690" s="110">
        <v>22.1</v>
      </c>
      <c r="F1690" s="110">
        <v>21.35</v>
      </c>
      <c r="G1690">
        <v>1103026</v>
      </c>
      <c r="H1690" s="110"/>
      <c r="I1690" s="110"/>
      <c r="L1690" s="134">
        <v>44494</v>
      </c>
      <c r="M1690" s="110">
        <v>21.35</v>
      </c>
      <c r="N1690" s="110">
        <v>22.1</v>
      </c>
      <c r="O1690" s="110">
        <v>20.9</v>
      </c>
      <c r="P1690" s="110">
        <v>21.95</v>
      </c>
      <c r="Q1690" s="110">
        <v>21.35</v>
      </c>
      <c r="R1690">
        <v>9626061</v>
      </c>
    </row>
    <row r="1691" spans="1:18" x14ac:dyDescent="0.25">
      <c r="A1691" s="134">
        <v>44495</v>
      </c>
      <c r="B1691" s="110">
        <v>22.2</v>
      </c>
      <c r="C1691" s="110">
        <v>21.8</v>
      </c>
      <c r="D1691" s="110">
        <v>21.3</v>
      </c>
      <c r="E1691" s="110">
        <v>21.3</v>
      </c>
      <c r="F1691" s="110">
        <v>21.8</v>
      </c>
      <c r="G1691">
        <v>791453</v>
      </c>
      <c r="H1691" s="110"/>
      <c r="I1691" s="110"/>
      <c r="L1691" s="134">
        <v>44495</v>
      </c>
      <c r="M1691" s="110">
        <v>21.8</v>
      </c>
      <c r="N1691" s="110">
        <v>22.25</v>
      </c>
      <c r="O1691" s="110">
        <v>21.3</v>
      </c>
      <c r="P1691" s="110">
        <v>21.3</v>
      </c>
      <c r="Q1691" s="110">
        <v>21.8</v>
      </c>
      <c r="R1691">
        <v>9481418</v>
      </c>
    </row>
    <row r="1692" spans="1:18" x14ac:dyDescent="0.25">
      <c r="A1692" s="134">
        <v>44496</v>
      </c>
      <c r="B1692" s="110">
        <v>22.35</v>
      </c>
      <c r="C1692" s="110">
        <v>21.8</v>
      </c>
      <c r="D1692" s="110">
        <v>21.6</v>
      </c>
      <c r="E1692" s="110">
        <v>21.9</v>
      </c>
      <c r="F1692" s="110">
        <v>21.8</v>
      </c>
      <c r="G1692">
        <v>1018016</v>
      </c>
      <c r="H1692" s="110"/>
      <c r="I1692" s="110"/>
      <c r="L1692" s="134">
        <v>44496</v>
      </c>
      <c r="M1692" s="110">
        <v>21.75</v>
      </c>
      <c r="N1692" s="110">
        <v>22.4</v>
      </c>
      <c r="O1692" s="110">
        <v>21.6</v>
      </c>
      <c r="P1692" s="110">
        <v>21.9</v>
      </c>
      <c r="Q1692" s="110">
        <v>21.75</v>
      </c>
      <c r="R1692">
        <v>9018815</v>
      </c>
    </row>
    <row r="1693" spans="1:18" x14ac:dyDescent="0.25">
      <c r="A1693" s="134">
        <v>44497</v>
      </c>
      <c r="B1693" s="110">
        <v>21.75</v>
      </c>
      <c r="C1693" s="110">
        <v>20.7</v>
      </c>
      <c r="D1693" s="110">
        <v>20.6</v>
      </c>
      <c r="E1693" s="110">
        <v>21.65</v>
      </c>
      <c r="F1693" s="110">
        <v>20.7</v>
      </c>
      <c r="G1693">
        <v>1437480</v>
      </c>
      <c r="H1693" s="110"/>
      <c r="I1693" s="110"/>
      <c r="L1693" s="134">
        <v>44497</v>
      </c>
      <c r="M1693" s="110">
        <v>20.7</v>
      </c>
      <c r="N1693" s="110">
        <v>21.75</v>
      </c>
      <c r="O1693" s="110">
        <v>20.55</v>
      </c>
      <c r="P1693" s="110">
        <v>21.75</v>
      </c>
      <c r="Q1693" s="110">
        <v>20.7</v>
      </c>
      <c r="R1693">
        <v>6386148</v>
      </c>
    </row>
    <row r="1694" spans="1:18" x14ac:dyDescent="0.25">
      <c r="A1694" s="134">
        <v>44498</v>
      </c>
      <c r="B1694" s="110">
        <v>21.1</v>
      </c>
      <c r="C1694" s="110">
        <v>20.75</v>
      </c>
      <c r="D1694" s="110">
        <v>19.850000000000001</v>
      </c>
      <c r="E1694" s="110">
        <v>20.95</v>
      </c>
      <c r="F1694" s="110">
        <v>20.75</v>
      </c>
      <c r="G1694">
        <v>729446</v>
      </c>
      <c r="H1694" s="110"/>
      <c r="I1694" s="110"/>
      <c r="L1694" s="134">
        <v>44498</v>
      </c>
      <c r="M1694" s="110">
        <v>20.8</v>
      </c>
      <c r="N1694" s="110">
        <v>21.15</v>
      </c>
      <c r="O1694" s="110">
        <v>19.8</v>
      </c>
      <c r="P1694" s="110">
        <v>20.75</v>
      </c>
      <c r="Q1694" s="110">
        <v>20.8</v>
      </c>
      <c r="R1694">
        <v>6334620</v>
      </c>
    </row>
    <row r="1695" spans="1:18" x14ac:dyDescent="0.25">
      <c r="A1695" s="134">
        <v>44501</v>
      </c>
      <c r="B1695" s="110">
        <v>21</v>
      </c>
      <c r="C1695" s="110">
        <v>20.7</v>
      </c>
      <c r="D1695" s="110">
        <v>20.55</v>
      </c>
      <c r="E1695" s="110">
        <v>20.75</v>
      </c>
      <c r="F1695" s="110">
        <v>20.7</v>
      </c>
      <c r="G1695">
        <v>364221</v>
      </c>
      <c r="H1695" s="110"/>
      <c r="I1695" s="110"/>
      <c r="L1695" s="134">
        <v>44501</v>
      </c>
      <c r="M1695" s="110">
        <v>20.7</v>
      </c>
      <c r="N1695" s="110">
        <v>21</v>
      </c>
      <c r="O1695" s="110">
        <v>20.55</v>
      </c>
      <c r="P1695" s="110">
        <v>20.85</v>
      </c>
      <c r="Q1695" s="110">
        <v>20.7</v>
      </c>
      <c r="R1695">
        <v>3083701</v>
      </c>
    </row>
    <row r="1696" spans="1:18" x14ac:dyDescent="0.25">
      <c r="A1696" s="134">
        <v>44502</v>
      </c>
      <c r="B1696" s="110">
        <v>21.4</v>
      </c>
      <c r="C1696" s="110">
        <v>21.3</v>
      </c>
      <c r="D1696" s="110">
        <v>20.65</v>
      </c>
      <c r="E1696" s="110">
        <v>20.95</v>
      </c>
      <c r="F1696" s="110">
        <v>21.3</v>
      </c>
      <c r="G1696">
        <v>508681</v>
      </c>
      <c r="H1696" s="110"/>
      <c r="I1696" s="110"/>
      <c r="L1696" s="134">
        <v>44502</v>
      </c>
      <c r="M1696" s="110">
        <v>21.3</v>
      </c>
      <c r="N1696" s="110">
        <v>21.4</v>
      </c>
      <c r="O1696" s="110">
        <v>20.65</v>
      </c>
      <c r="P1696" s="110">
        <v>20.85</v>
      </c>
      <c r="Q1696" s="110">
        <v>21.3</v>
      </c>
      <c r="R1696">
        <v>4649118</v>
      </c>
    </row>
    <row r="1697" spans="1:18" x14ac:dyDescent="0.25">
      <c r="A1697" s="134">
        <v>44503</v>
      </c>
      <c r="B1697" s="110">
        <v>21.5</v>
      </c>
      <c r="C1697" s="110">
        <v>20.85</v>
      </c>
      <c r="D1697" s="110">
        <v>20.75</v>
      </c>
      <c r="E1697" s="110">
        <v>21.5</v>
      </c>
      <c r="F1697" s="110">
        <v>20.85</v>
      </c>
      <c r="G1697">
        <v>631197</v>
      </c>
      <c r="H1697" s="110"/>
      <c r="I1697" s="110"/>
      <c r="L1697" s="134">
        <v>44503</v>
      </c>
      <c r="M1697" s="110">
        <v>20.85</v>
      </c>
      <c r="N1697" s="110">
        <v>21.45</v>
      </c>
      <c r="O1697" s="110">
        <v>20.8</v>
      </c>
      <c r="P1697" s="110">
        <v>21.45</v>
      </c>
      <c r="Q1697" s="110">
        <v>20.85</v>
      </c>
      <c r="R1697">
        <v>3069807</v>
      </c>
    </row>
    <row r="1698" spans="1:18" x14ac:dyDescent="0.25">
      <c r="A1698" s="134">
        <v>44504</v>
      </c>
      <c r="B1698" s="110">
        <v>21.45</v>
      </c>
      <c r="C1698" s="110">
        <v>21.35</v>
      </c>
      <c r="D1698" s="110">
        <v>20.9</v>
      </c>
      <c r="E1698" s="110">
        <v>20.9</v>
      </c>
      <c r="F1698" s="110">
        <v>21.35</v>
      </c>
      <c r="G1698">
        <v>440976</v>
      </c>
      <c r="H1698" s="110"/>
      <c r="I1698" s="110"/>
      <c r="L1698" s="134">
        <v>44504</v>
      </c>
      <c r="M1698" s="110">
        <v>21.4</v>
      </c>
      <c r="N1698" s="110">
        <v>21.45</v>
      </c>
      <c r="O1698" s="110">
        <v>21.05</v>
      </c>
      <c r="P1698" s="110">
        <v>21.1</v>
      </c>
      <c r="Q1698" s="110">
        <v>21.4</v>
      </c>
      <c r="R1698">
        <v>1925924</v>
      </c>
    </row>
    <row r="1699" spans="1:18" x14ac:dyDescent="0.25">
      <c r="A1699" s="134">
        <v>44508</v>
      </c>
      <c r="B1699" s="110">
        <v>21.6</v>
      </c>
      <c r="C1699" s="110">
        <v>21.4</v>
      </c>
      <c r="D1699" s="110">
        <v>21.1</v>
      </c>
      <c r="E1699" s="110">
        <v>21.6</v>
      </c>
      <c r="F1699" s="110">
        <v>21.4</v>
      </c>
      <c r="G1699">
        <v>398017</v>
      </c>
      <c r="H1699" s="110"/>
      <c r="I1699" s="110"/>
      <c r="L1699" s="134">
        <v>44508</v>
      </c>
      <c r="M1699" s="110">
        <v>21.4</v>
      </c>
      <c r="N1699" s="110">
        <v>21.6</v>
      </c>
      <c r="O1699" s="110">
        <v>21.1</v>
      </c>
      <c r="P1699" s="110">
        <v>21.5</v>
      </c>
      <c r="Q1699" s="110">
        <v>21.4</v>
      </c>
      <c r="R1699">
        <v>4364170</v>
      </c>
    </row>
    <row r="1700" spans="1:18" x14ac:dyDescent="0.25">
      <c r="A1700" s="134">
        <v>44509</v>
      </c>
      <c r="B1700" s="110">
        <v>22</v>
      </c>
      <c r="C1700" s="110">
        <v>21.8</v>
      </c>
      <c r="D1700" s="110">
        <v>21.4</v>
      </c>
      <c r="E1700" s="110">
        <v>21.55</v>
      </c>
      <c r="F1700" s="110">
        <v>21.8</v>
      </c>
      <c r="G1700">
        <v>1052878</v>
      </c>
      <c r="H1700" s="110"/>
      <c r="I1700" s="110"/>
      <c r="L1700" s="134">
        <v>44509</v>
      </c>
      <c r="M1700" s="110">
        <v>21.8</v>
      </c>
      <c r="N1700" s="110">
        <v>22</v>
      </c>
      <c r="O1700" s="110">
        <v>21.4</v>
      </c>
      <c r="P1700" s="110">
        <v>21.5</v>
      </c>
      <c r="Q1700" s="110">
        <v>21.8</v>
      </c>
      <c r="R1700">
        <v>5854177</v>
      </c>
    </row>
    <row r="1701" spans="1:18" x14ac:dyDescent="0.25">
      <c r="A1701" s="134">
        <v>44510</v>
      </c>
      <c r="B1701" s="110">
        <v>21.9</v>
      </c>
      <c r="C1701" s="110">
        <v>21.3</v>
      </c>
      <c r="D1701" s="110">
        <v>21.1</v>
      </c>
      <c r="E1701" s="110">
        <v>21.85</v>
      </c>
      <c r="F1701" s="110">
        <v>21.3</v>
      </c>
      <c r="G1701">
        <v>861225</v>
      </c>
      <c r="H1701" s="110"/>
      <c r="I1701" s="110"/>
      <c r="L1701" s="134">
        <v>44510</v>
      </c>
      <c r="M1701" s="110">
        <v>21.25</v>
      </c>
      <c r="N1701" s="110">
        <v>21.95</v>
      </c>
      <c r="O1701" s="110">
        <v>21.05</v>
      </c>
      <c r="P1701" s="110">
        <v>21.75</v>
      </c>
      <c r="Q1701" s="110">
        <v>21.25</v>
      </c>
      <c r="R1701">
        <v>4601650</v>
      </c>
    </row>
    <row r="1702" spans="1:18" x14ac:dyDescent="0.25">
      <c r="A1702" s="134">
        <v>44511</v>
      </c>
      <c r="B1702" s="110">
        <v>21.35</v>
      </c>
      <c r="C1702" s="110">
        <v>20.9</v>
      </c>
      <c r="D1702" s="110">
        <v>20.85</v>
      </c>
      <c r="E1702" s="110">
        <v>21.1</v>
      </c>
      <c r="F1702" s="110">
        <v>20.9</v>
      </c>
      <c r="G1702">
        <v>559221</v>
      </c>
      <c r="H1702" s="110"/>
      <c r="I1702" s="110"/>
      <c r="L1702" s="134">
        <v>44511</v>
      </c>
      <c r="M1702" s="110">
        <v>20.9</v>
      </c>
      <c r="N1702" s="110">
        <v>21.35</v>
      </c>
      <c r="O1702" s="110">
        <v>20.8</v>
      </c>
      <c r="P1702" s="110">
        <v>21.2</v>
      </c>
      <c r="Q1702" s="110">
        <v>20.9</v>
      </c>
      <c r="R1702">
        <v>3407004</v>
      </c>
    </row>
    <row r="1703" spans="1:18" x14ac:dyDescent="0.25">
      <c r="A1703" s="134">
        <v>44512</v>
      </c>
      <c r="B1703" s="110">
        <v>21.15</v>
      </c>
      <c r="C1703" s="110">
        <v>20.9</v>
      </c>
      <c r="D1703" s="110">
        <v>20.6</v>
      </c>
      <c r="E1703" s="110">
        <v>20.9</v>
      </c>
      <c r="F1703" s="110">
        <v>20.9</v>
      </c>
      <c r="G1703">
        <v>600184</v>
      </c>
      <c r="H1703" s="110"/>
      <c r="I1703" s="110"/>
      <c r="L1703" s="134">
        <v>44512</v>
      </c>
      <c r="M1703" s="110">
        <v>20.85</v>
      </c>
      <c r="N1703" s="110">
        <v>21.15</v>
      </c>
      <c r="O1703" s="110">
        <v>20.7</v>
      </c>
      <c r="P1703" s="110">
        <v>21.1</v>
      </c>
      <c r="Q1703" s="110">
        <v>20.85</v>
      </c>
      <c r="R1703">
        <v>2030001</v>
      </c>
    </row>
    <row r="1704" spans="1:18" x14ac:dyDescent="0.25">
      <c r="A1704" s="134">
        <v>44515</v>
      </c>
      <c r="B1704" s="110">
        <v>20.9</v>
      </c>
      <c r="C1704" s="110">
        <v>20.3</v>
      </c>
      <c r="D1704" s="110">
        <v>20.2</v>
      </c>
      <c r="E1704" s="110">
        <v>20.7</v>
      </c>
      <c r="F1704" s="110">
        <v>20.3</v>
      </c>
      <c r="G1704">
        <v>706315</v>
      </c>
      <c r="H1704" s="110"/>
      <c r="I1704" s="110"/>
      <c r="L1704" s="134">
        <v>44515</v>
      </c>
      <c r="M1704" s="110">
        <v>20.3</v>
      </c>
      <c r="N1704" s="110">
        <v>21</v>
      </c>
      <c r="O1704" s="110">
        <v>20.2</v>
      </c>
      <c r="P1704" s="110">
        <v>20.95</v>
      </c>
      <c r="Q1704" s="110">
        <v>20.3</v>
      </c>
      <c r="R1704">
        <v>3646542</v>
      </c>
    </row>
    <row r="1705" spans="1:18" x14ac:dyDescent="0.25">
      <c r="A1705" s="134">
        <v>44516</v>
      </c>
      <c r="B1705" s="110">
        <v>20.65</v>
      </c>
      <c r="C1705" s="110">
        <v>20.25</v>
      </c>
      <c r="D1705" s="110">
        <v>20.149999999999999</v>
      </c>
      <c r="E1705" s="110">
        <v>20.45</v>
      </c>
      <c r="F1705" s="110">
        <v>20.25</v>
      </c>
      <c r="G1705">
        <v>556089</v>
      </c>
      <c r="H1705" s="110"/>
      <c r="I1705" s="110"/>
      <c r="L1705" s="134">
        <v>44516</v>
      </c>
      <c r="M1705" s="110">
        <v>20.25</v>
      </c>
      <c r="N1705" s="110">
        <v>20.65</v>
      </c>
      <c r="O1705" s="110">
        <v>20.2</v>
      </c>
      <c r="P1705" s="110">
        <v>20.350000000000001</v>
      </c>
      <c r="Q1705" s="110">
        <v>20.25</v>
      </c>
      <c r="R1705">
        <v>2309726</v>
      </c>
    </row>
    <row r="1706" spans="1:18" x14ac:dyDescent="0.25">
      <c r="A1706" s="134">
        <v>44517</v>
      </c>
      <c r="B1706" s="110">
        <v>20.5</v>
      </c>
      <c r="C1706" s="110">
        <v>20.149999999999999</v>
      </c>
      <c r="D1706" s="110">
        <v>20.05</v>
      </c>
      <c r="E1706" s="110">
        <v>20.5</v>
      </c>
      <c r="F1706" s="110">
        <v>20.149999999999999</v>
      </c>
      <c r="G1706">
        <v>616323</v>
      </c>
      <c r="H1706" s="110"/>
      <c r="I1706" s="110"/>
      <c r="L1706" s="134">
        <v>44517</v>
      </c>
      <c r="M1706" s="110">
        <v>20.149999999999999</v>
      </c>
      <c r="N1706" s="110">
        <v>20.45</v>
      </c>
      <c r="O1706" s="110">
        <v>20.05</v>
      </c>
      <c r="P1706" s="110">
        <v>20.45</v>
      </c>
      <c r="Q1706" s="110">
        <v>20.149999999999999</v>
      </c>
      <c r="R1706">
        <v>2623263</v>
      </c>
    </row>
    <row r="1707" spans="1:18" x14ac:dyDescent="0.25">
      <c r="A1707" s="134">
        <v>44518</v>
      </c>
      <c r="B1707" s="110">
        <v>20.350000000000001</v>
      </c>
      <c r="C1707" s="110">
        <v>19.8</v>
      </c>
      <c r="D1707" s="110">
        <v>19.7</v>
      </c>
      <c r="E1707" s="110">
        <v>20.25</v>
      </c>
      <c r="F1707" s="110">
        <v>19.8</v>
      </c>
      <c r="G1707">
        <v>733960</v>
      </c>
      <c r="H1707" s="110"/>
      <c r="I1707" s="110"/>
      <c r="L1707" s="134">
        <v>44518</v>
      </c>
      <c r="M1707" s="110">
        <v>19.8</v>
      </c>
      <c r="N1707" s="110">
        <v>20.350000000000001</v>
      </c>
      <c r="O1707" s="110">
        <v>19.7</v>
      </c>
      <c r="P1707" s="110">
        <v>20.149999999999999</v>
      </c>
      <c r="Q1707" s="110">
        <v>19.8</v>
      </c>
      <c r="R1707">
        <v>3867429</v>
      </c>
    </row>
    <row r="1708" spans="1:18" x14ac:dyDescent="0.25">
      <c r="A1708" s="134">
        <v>44522</v>
      </c>
      <c r="B1708" s="110">
        <v>19.95</v>
      </c>
      <c r="C1708" s="110">
        <v>19.25</v>
      </c>
      <c r="D1708" s="110">
        <v>19.100000000000001</v>
      </c>
      <c r="E1708" s="110">
        <v>19.8</v>
      </c>
      <c r="F1708" s="110">
        <v>19.25</v>
      </c>
      <c r="G1708">
        <v>691425</v>
      </c>
      <c r="H1708" s="110"/>
      <c r="I1708" s="110"/>
      <c r="L1708" s="134">
        <v>44522</v>
      </c>
      <c r="M1708" s="110">
        <v>19.2</v>
      </c>
      <c r="N1708" s="110">
        <v>19.899999999999999</v>
      </c>
      <c r="O1708" s="110">
        <v>19.05</v>
      </c>
      <c r="P1708" s="110">
        <v>19.8</v>
      </c>
      <c r="Q1708" s="110">
        <v>19.2</v>
      </c>
      <c r="R1708">
        <v>3391196</v>
      </c>
    </row>
    <row r="1709" spans="1:18" x14ac:dyDescent="0.25">
      <c r="A1709" s="134">
        <v>44523</v>
      </c>
      <c r="B1709" s="110">
        <v>19.649999999999999</v>
      </c>
      <c r="C1709" s="110">
        <v>19.5</v>
      </c>
      <c r="D1709" s="110">
        <v>18.95</v>
      </c>
      <c r="E1709" s="110">
        <v>19</v>
      </c>
      <c r="F1709" s="110">
        <v>19.5</v>
      </c>
      <c r="G1709">
        <v>767618</v>
      </c>
      <c r="H1709" s="110"/>
      <c r="I1709" s="110"/>
      <c r="L1709" s="134">
        <v>44523</v>
      </c>
      <c r="M1709" s="110">
        <v>19.5</v>
      </c>
      <c r="N1709" s="110">
        <v>19.649999999999999</v>
      </c>
      <c r="O1709" s="110">
        <v>18.899999999999999</v>
      </c>
      <c r="P1709" s="110">
        <v>19.3</v>
      </c>
      <c r="Q1709" s="110">
        <v>19.5</v>
      </c>
      <c r="R1709">
        <v>3248436</v>
      </c>
    </row>
    <row r="1710" spans="1:18" x14ac:dyDescent="0.25">
      <c r="A1710" s="134">
        <v>44524</v>
      </c>
      <c r="B1710" s="110">
        <v>21.35</v>
      </c>
      <c r="C1710" s="110">
        <v>20.5</v>
      </c>
      <c r="D1710" s="110">
        <v>20.149999999999999</v>
      </c>
      <c r="E1710" s="110">
        <v>20.149999999999999</v>
      </c>
      <c r="F1710" s="110">
        <v>20.5</v>
      </c>
      <c r="G1710">
        <v>1168811</v>
      </c>
      <c r="H1710" s="110"/>
      <c r="I1710" s="110"/>
      <c r="L1710" s="134">
        <v>44524</v>
      </c>
      <c r="M1710" s="110">
        <v>20.5</v>
      </c>
      <c r="N1710" s="110">
        <v>21.45</v>
      </c>
      <c r="O1710" s="110">
        <v>20.25</v>
      </c>
      <c r="P1710" s="110">
        <v>20.3</v>
      </c>
      <c r="Q1710" s="110">
        <v>20.5</v>
      </c>
      <c r="R1710">
        <v>10399569</v>
      </c>
    </row>
    <row r="1711" spans="1:18" x14ac:dyDescent="0.25">
      <c r="A1711" s="134">
        <v>44525</v>
      </c>
      <c r="B1711" s="110">
        <v>20.6</v>
      </c>
      <c r="C1711" s="110">
        <v>20.45</v>
      </c>
      <c r="D1711" s="110">
        <v>20.05</v>
      </c>
      <c r="E1711" s="110">
        <v>20.55</v>
      </c>
      <c r="F1711" s="110">
        <v>20.45</v>
      </c>
      <c r="G1711">
        <v>643052</v>
      </c>
      <c r="H1711" s="110"/>
      <c r="I1711" s="110"/>
      <c r="L1711" s="134">
        <v>44525</v>
      </c>
      <c r="M1711" s="110">
        <v>20.399999999999999</v>
      </c>
      <c r="N1711" s="110">
        <v>20.65</v>
      </c>
      <c r="O1711" s="110">
        <v>20.100000000000001</v>
      </c>
      <c r="P1711" s="110">
        <v>20.6</v>
      </c>
      <c r="Q1711" s="110">
        <v>20.399999999999999</v>
      </c>
      <c r="R1711">
        <v>3779646</v>
      </c>
    </row>
    <row r="1712" spans="1:18" x14ac:dyDescent="0.25">
      <c r="A1712" s="134">
        <v>44526</v>
      </c>
      <c r="B1712" s="110">
        <v>20.149999999999999</v>
      </c>
      <c r="C1712" s="110">
        <v>19.850000000000001</v>
      </c>
      <c r="D1712" s="110">
        <v>19.8</v>
      </c>
      <c r="E1712" s="110">
        <v>20.100000000000001</v>
      </c>
      <c r="F1712" s="110">
        <v>19.850000000000001</v>
      </c>
      <c r="G1712">
        <v>669284</v>
      </c>
      <c r="H1712" s="110"/>
      <c r="I1712" s="110"/>
      <c r="L1712" s="134">
        <v>44526</v>
      </c>
      <c r="M1712" s="110">
        <v>19.850000000000001</v>
      </c>
      <c r="N1712" s="110">
        <v>20.149999999999999</v>
      </c>
      <c r="O1712" s="110">
        <v>19.75</v>
      </c>
      <c r="P1712" s="110">
        <v>20.100000000000001</v>
      </c>
      <c r="Q1712" s="110">
        <v>19.850000000000001</v>
      </c>
      <c r="R1712">
        <v>3080327</v>
      </c>
    </row>
    <row r="1713" spans="1:18" x14ac:dyDescent="0.25">
      <c r="A1713" s="134">
        <v>44529</v>
      </c>
      <c r="B1713" s="110">
        <v>19.899999999999999</v>
      </c>
      <c r="C1713" s="110">
        <v>19.100000000000001</v>
      </c>
      <c r="D1713" s="110">
        <v>18.600000000000001</v>
      </c>
      <c r="E1713" s="110">
        <v>19.850000000000001</v>
      </c>
      <c r="F1713" s="110">
        <v>19.100000000000001</v>
      </c>
      <c r="G1713">
        <v>672022</v>
      </c>
      <c r="H1713" s="110"/>
      <c r="I1713" s="110"/>
      <c r="L1713" s="134">
        <v>44529</v>
      </c>
      <c r="M1713" s="110">
        <v>19.100000000000001</v>
      </c>
      <c r="N1713" s="110">
        <v>19.850000000000001</v>
      </c>
      <c r="O1713" s="110">
        <v>18.649999999999999</v>
      </c>
      <c r="P1713" s="110">
        <v>19.7</v>
      </c>
      <c r="Q1713" s="110">
        <v>19.100000000000001</v>
      </c>
      <c r="R1713">
        <v>3388487</v>
      </c>
    </row>
    <row r="1714" spans="1:18" x14ac:dyDescent="0.25">
      <c r="A1714" s="134">
        <v>44530</v>
      </c>
      <c r="B1714" s="110">
        <v>19.75</v>
      </c>
      <c r="C1714" s="110">
        <v>19.149999999999999</v>
      </c>
      <c r="D1714" s="110">
        <v>19</v>
      </c>
      <c r="E1714" s="110">
        <v>19</v>
      </c>
      <c r="F1714" s="110">
        <v>19.149999999999999</v>
      </c>
      <c r="G1714">
        <v>449558</v>
      </c>
      <c r="H1714" s="110"/>
      <c r="I1714" s="110"/>
      <c r="L1714" s="134">
        <v>44530</v>
      </c>
      <c r="M1714" s="110">
        <v>19.2</v>
      </c>
      <c r="N1714" s="110">
        <v>19.75</v>
      </c>
      <c r="O1714" s="110">
        <v>19.100000000000001</v>
      </c>
      <c r="P1714" s="110">
        <v>19.149999999999999</v>
      </c>
      <c r="Q1714" s="110">
        <v>19.2</v>
      </c>
      <c r="R1714">
        <v>3055751</v>
      </c>
    </row>
    <row r="1715" spans="1:18" x14ac:dyDescent="0.25">
      <c r="A1715" s="134">
        <v>44531</v>
      </c>
      <c r="B1715" s="110">
        <v>19.399999999999999</v>
      </c>
      <c r="C1715" s="110">
        <v>19.25</v>
      </c>
      <c r="D1715" s="110">
        <v>19.149999999999999</v>
      </c>
      <c r="E1715" s="110">
        <v>19.149999999999999</v>
      </c>
      <c r="F1715" s="110">
        <v>19.25</v>
      </c>
      <c r="G1715">
        <v>240368</v>
      </c>
      <c r="H1715" s="110"/>
      <c r="I1715" s="110"/>
      <c r="L1715" s="134">
        <v>44531</v>
      </c>
      <c r="M1715" s="110">
        <v>19.2</v>
      </c>
      <c r="N1715" s="110">
        <v>19.5</v>
      </c>
      <c r="O1715" s="110">
        <v>19.100000000000001</v>
      </c>
      <c r="P1715" s="110">
        <v>19.100000000000001</v>
      </c>
      <c r="Q1715" s="110">
        <v>19.2</v>
      </c>
      <c r="R1715">
        <v>2297937</v>
      </c>
    </row>
    <row r="1716" spans="1:18" x14ac:dyDescent="0.25">
      <c r="A1716" s="134">
        <v>44532</v>
      </c>
      <c r="B1716" s="110">
        <v>19.399999999999999</v>
      </c>
      <c r="C1716" s="110">
        <v>19.100000000000001</v>
      </c>
      <c r="D1716" s="110">
        <v>19.05</v>
      </c>
      <c r="E1716" s="110">
        <v>19.399999999999999</v>
      </c>
      <c r="F1716" s="110">
        <v>19.100000000000001</v>
      </c>
      <c r="G1716">
        <v>336310</v>
      </c>
      <c r="H1716" s="110"/>
      <c r="I1716" s="110"/>
      <c r="L1716" s="134">
        <v>44532</v>
      </c>
      <c r="M1716" s="110">
        <v>19.100000000000001</v>
      </c>
      <c r="N1716" s="110">
        <v>19.350000000000001</v>
      </c>
      <c r="O1716" s="110">
        <v>19</v>
      </c>
      <c r="P1716" s="110">
        <v>19.149999999999999</v>
      </c>
      <c r="Q1716" s="110">
        <v>19.100000000000001</v>
      </c>
      <c r="R1716">
        <v>2209517</v>
      </c>
    </row>
    <row r="1717" spans="1:18" x14ac:dyDescent="0.25">
      <c r="A1717" s="134">
        <v>44533</v>
      </c>
      <c r="B1717" s="110">
        <v>20.05</v>
      </c>
      <c r="C1717" s="110">
        <v>19.5</v>
      </c>
      <c r="D1717" s="110">
        <v>19.100000000000001</v>
      </c>
      <c r="E1717" s="110">
        <v>19.100000000000001</v>
      </c>
      <c r="F1717" s="110">
        <v>19.5</v>
      </c>
      <c r="G1717">
        <v>839345</v>
      </c>
      <c r="H1717" s="110"/>
      <c r="I1717" s="110"/>
      <c r="L1717" s="134">
        <v>44533</v>
      </c>
      <c r="M1717" s="110">
        <v>19.45</v>
      </c>
      <c r="N1717" s="110">
        <v>20.100000000000001</v>
      </c>
      <c r="O1717" s="110">
        <v>19.100000000000001</v>
      </c>
      <c r="P1717" s="110">
        <v>19.149999999999999</v>
      </c>
      <c r="Q1717" s="110">
        <v>19.45</v>
      </c>
      <c r="R1717">
        <v>4458695</v>
      </c>
    </row>
    <row r="1718" spans="1:18" x14ac:dyDescent="0.25">
      <c r="A1718" s="134">
        <v>44536</v>
      </c>
      <c r="B1718" s="110">
        <v>19.649999999999999</v>
      </c>
      <c r="C1718" s="110">
        <v>19.149999999999999</v>
      </c>
      <c r="D1718" s="110">
        <v>18.8</v>
      </c>
      <c r="E1718" s="110">
        <v>19.5</v>
      </c>
      <c r="F1718" s="110">
        <v>19.149999999999999</v>
      </c>
      <c r="G1718">
        <v>509784</v>
      </c>
      <c r="H1718" s="110"/>
      <c r="I1718" s="110"/>
      <c r="L1718" s="134">
        <v>44536</v>
      </c>
      <c r="M1718" s="110">
        <v>19.149999999999999</v>
      </c>
      <c r="N1718" s="110">
        <v>19.7</v>
      </c>
      <c r="O1718" s="110">
        <v>19.05</v>
      </c>
      <c r="P1718" s="110">
        <v>19.7</v>
      </c>
      <c r="Q1718" s="110">
        <v>19.149999999999999</v>
      </c>
      <c r="R1718">
        <v>2037177</v>
      </c>
    </row>
    <row r="1719" spans="1:18" x14ac:dyDescent="0.25">
      <c r="A1719" s="134">
        <v>44537</v>
      </c>
      <c r="B1719" s="110">
        <v>20</v>
      </c>
      <c r="C1719" s="110">
        <v>19.25</v>
      </c>
      <c r="D1719" s="110">
        <v>19.149999999999999</v>
      </c>
      <c r="E1719" s="110">
        <v>19.8</v>
      </c>
      <c r="F1719" s="110">
        <v>19.25</v>
      </c>
      <c r="G1719">
        <v>552572</v>
      </c>
      <c r="H1719" s="110"/>
      <c r="I1719" s="110"/>
      <c r="L1719" s="134">
        <v>44537</v>
      </c>
      <c r="M1719" s="110">
        <v>19.25</v>
      </c>
      <c r="N1719" s="110">
        <v>19.75</v>
      </c>
      <c r="O1719" s="110">
        <v>19.149999999999999</v>
      </c>
      <c r="P1719" s="110">
        <v>19.5</v>
      </c>
      <c r="Q1719" s="110">
        <v>19.25</v>
      </c>
      <c r="R1719">
        <v>3040877</v>
      </c>
    </row>
    <row r="1720" spans="1:18" x14ac:dyDescent="0.25">
      <c r="A1720" s="134">
        <v>44538</v>
      </c>
      <c r="B1720" s="110">
        <v>19.649999999999999</v>
      </c>
      <c r="C1720" s="110">
        <v>19.45</v>
      </c>
      <c r="D1720" s="110">
        <v>19.25</v>
      </c>
      <c r="E1720" s="110">
        <v>19.25</v>
      </c>
      <c r="F1720" s="110">
        <v>19.45</v>
      </c>
      <c r="G1720">
        <v>461565</v>
      </c>
      <c r="H1720" s="110"/>
      <c r="I1720" s="110"/>
      <c r="L1720" s="134">
        <v>44538</v>
      </c>
      <c r="M1720" s="110">
        <v>19.45</v>
      </c>
      <c r="N1720" s="110">
        <v>19.649999999999999</v>
      </c>
      <c r="O1720" s="110">
        <v>19.350000000000001</v>
      </c>
      <c r="P1720" s="110">
        <v>19.350000000000001</v>
      </c>
      <c r="Q1720" s="110">
        <v>19.45</v>
      </c>
      <c r="R1720">
        <v>1889851</v>
      </c>
    </row>
    <row r="1721" spans="1:18" x14ac:dyDescent="0.25">
      <c r="A1721" s="134">
        <v>44539</v>
      </c>
      <c r="B1721" s="110">
        <v>20.149999999999999</v>
      </c>
      <c r="C1721" s="110">
        <v>19.899999999999999</v>
      </c>
      <c r="D1721" s="110">
        <v>19.3</v>
      </c>
      <c r="E1721" s="110">
        <v>19.7</v>
      </c>
      <c r="F1721" s="110">
        <v>19.899999999999999</v>
      </c>
      <c r="G1721">
        <v>833807</v>
      </c>
      <c r="H1721" s="110"/>
      <c r="I1721" s="110"/>
      <c r="L1721" s="134">
        <v>44539</v>
      </c>
      <c r="M1721" s="110">
        <v>19.95</v>
      </c>
      <c r="N1721" s="110">
        <v>20.149999999999999</v>
      </c>
      <c r="O1721" s="110">
        <v>19.3</v>
      </c>
      <c r="P1721" s="110">
        <v>19.55</v>
      </c>
      <c r="Q1721" s="110">
        <v>19.95</v>
      </c>
      <c r="R1721">
        <v>4159403</v>
      </c>
    </row>
    <row r="1722" spans="1:18" x14ac:dyDescent="0.25">
      <c r="A1722" s="134">
        <v>44540</v>
      </c>
      <c r="B1722" s="110">
        <v>20.95</v>
      </c>
      <c r="C1722" s="110">
        <v>20.6</v>
      </c>
      <c r="D1722" s="110">
        <v>19.75</v>
      </c>
      <c r="E1722" s="110">
        <v>20.100000000000001</v>
      </c>
      <c r="F1722" s="110">
        <v>20.6</v>
      </c>
      <c r="G1722">
        <v>657974</v>
      </c>
      <c r="H1722" s="110"/>
      <c r="I1722" s="110"/>
      <c r="L1722" s="134">
        <v>44540</v>
      </c>
      <c r="M1722" s="110">
        <v>20.6</v>
      </c>
      <c r="N1722" s="110">
        <v>20.95</v>
      </c>
      <c r="O1722" s="110">
        <v>19.7</v>
      </c>
      <c r="P1722" s="110">
        <v>20</v>
      </c>
      <c r="Q1722" s="110">
        <v>20.6</v>
      </c>
      <c r="R1722">
        <v>7537023</v>
      </c>
    </row>
    <row r="1723" spans="1:18" x14ac:dyDescent="0.25">
      <c r="A1723" s="134">
        <v>44543</v>
      </c>
      <c r="B1723" s="110">
        <v>21.3</v>
      </c>
      <c r="C1723" s="110">
        <v>20.85</v>
      </c>
      <c r="D1723" s="110">
        <v>20.55</v>
      </c>
      <c r="E1723" s="110">
        <v>21.1</v>
      </c>
      <c r="F1723" s="110">
        <v>20.85</v>
      </c>
      <c r="G1723">
        <v>1137889</v>
      </c>
      <c r="H1723" s="110"/>
      <c r="I1723" s="110"/>
      <c r="L1723" s="134">
        <v>44543</v>
      </c>
      <c r="M1723" s="110">
        <v>20.9</v>
      </c>
      <c r="N1723" s="110">
        <v>21.35</v>
      </c>
      <c r="O1723" s="110">
        <v>20.65</v>
      </c>
      <c r="P1723" s="110">
        <v>21.25</v>
      </c>
      <c r="Q1723" s="110">
        <v>20.9</v>
      </c>
      <c r="R1723">
        <v>6534306</v>
      </c>
    </row>
    <row r="1724" spans="1:18" x14ac:dyDescent="0.25">
      <c r="A1724" s="134">
        <v>44544</v>
      </c>
      <c r="B1724" s="110">
        <v>20.85</v>
      </c>
      <c r="C1724" s="110">
        <v>20.45</v>
      </c>
      <c r="D1724" s="110">
        <v>20.3</v>
      </c>
      <c r="E1724" s="110">
        <v>20.85</v>
      </c>
      <c r="F1724" s="110">
        <v>20.45</v>
      </c>
      <c r="G1724">
        <v>301644</v>
      </c>
      <c r="H1724" s="110"/>
      <c r="I1724" s="110"/>
      <c r="L1724" s="134">
        <v>44544</v>
      </c>
      <c r="M1724" s="110">
        <v>20.399999999999999</v>
      </c>
      <c r="N1724" s="110">
        <v>20.8</v>
      </c>
      <c r="O1724" s="110">
        <v>20.3</v>
      </c>
      <c r="P1724" s="110">
        <v>20.75</v>
      </c>
      <c r="Q1724" s="110">
        <v>20.399999999999999</v>
      </c>
      <c r="R1724">
        <v>3051802</v>
      </c>
    </row>
    <row r="1725" spans="1:18" x14ac:dyDescent="0.25">
      <c r="A1725" s="134">
        <v>44545</v>
      </c>
      <c r="B1725" s="110">
        <v>20.6</v>
      </c>
      <c r="C1725" s="110">
        <v>20.3</v>
      </c>
      <c r="D1725" s="110">
        <v>20.25</v>
      </c>
      <c r="E1725" s="110">
        <v>20.5</v>
      </c>
      <c r="F1725" s="110">
        <v>20.3</v>
      </c>
      <c r="G1725">
        <v>441627</v>
      </c>
      <c r="H1725" s="110"/>
      <c r="I1725" s="110"/>
      <c r="L1725" s="134">
        <v>44545</v>
      </c>
      <c r="M1725" s="110">
        <v>20.3</v>
      </c>
      <c r="N1725" s="110">
        <v>20.55</v>
      </c>
      <c r="O1725" s="110">
        <v>20.25</v>
      </c>
      <c r="P1725" s="110">
        <v>20.5</v>
      </c>
      <c r="Q1725" s="110">
        <v>20.3</v>
      </c>
      <c r="R1725">
        <v>1814627</v>
      </c>
    </row>
    <row r="1726" spans="1:18" x14ac:dyDescent="0.25">
      <c r="A1726" s="134">
        <v>44546</v>
      </c>
      <c r="B1726" s="110">
        <v>20.6</v>
      </c>
      <c r="C1726" s="110">
        <v>19.95</v>
      </c>
      <c r="D1726" s="110">
        <v>19.8</v>
      </c>
      <c r="E1726" s="110">
        <v>20.3</v>
      </c>
      <c r="F1726" s="110">
        <v>19.95</v>
      </c>
      <c r="G1726">
        <v>702136</v>
      </c>
      <c r="H1726" s="110"/>
      <c r="I1726" s="110"/>
      <c r="L1726" s="134">
        <v>44546</v>
      </c>
      <c r="M1726" s="110">
        <v>19.899999999999999</v>
      </c>
      <c r="N1726" s="110">
        <v>20.6</v>
      </c>
      <c r="O1726" s="110">
        <v>19.75</v>
      </c>
      <c r="P1726" s="110">
        <v>20.45</v>
      </c>
      <c r="Q1726" s="110">
        <v>19.899999999999999</v>
      </c>
      <c r="R1726">
        <v>4554644</v>
      </c>
    </row>
    <row r="1727" spans="1:18" x14ac:dyDescent="0.25">
      <c r="A1727" s="134">
        <v>44547</v>
      </c>
      <c r="B1727" s="110">
        <v>20</v>
      </c>
      <c r="C1727" s="110">
        <v>19.55</v>
      </c>
      <c r="D1727" s="110">
        <v>19.5</v>
      </c>
      <c r="E1727" s="110">
        <v>19.95</v>
      </c>
      <c r="F1727" s="110">
        <v>19.55</v>
      </c>
      <c r="G1727">
        <v>480126</v>
      </c>
      <c r="H1727" s="110"/>
      <c r="I1727" s="110"/>
      <c r="L1727" s="134">
        <v>44547</v>
      </c>
      <c r="M1727" s="110">
        <v>19.600000000000001</v>
      </c>
      <c r="N1727" s="110">
        <v>20</v>
      </c>
      <c r="O1727" s="110">
        <v>19.5</v>
      </c>
      <c r="P1727" s="110">
        <v>20</v>
      </c>
      <c r="Q1727" s="110">
        <v>19.600000000000001</v>
      </c>
      <c r="R1727">
        <v>2182732</v>
      </c>
    </row>
    <row r="1728" spans="1:18" x14ac:dyDescent="0.25">
      <c r="A1728" s="134">
        <v>44550</v>
      </c>
      <c r="B1728" s="110">
        <v>19.399999999999999</v>
      </c>
      <c r="C1728" s="110">
        <v>18.75</v>
      </c>
      <c r="D1728" s="110">
        <v>18.5</v>
      </c>
      <c r="E1728" s="110">
        <v>19.399999999999999</v>
      </c>
      <c r="F1728" s="110">
        <v>18.75</v>
      </c>
      <c r="G1728">
        <v>1301394</v>
      </c>
      <c r="H1728" s="110"/>
      <c r="I1728" s="110"/>
      <c r="L1728" s="134">
        <v>44550</v>
      </c>
      <c r="M1728" s="110">
        <v>18.8</v>
      </c>
      <c r="N1728" s="110">
        <v>19.399999999999999</v>
      </c>
      <c r="O1728" s="110">
        <v>18.5</v>
      </c>
      <c r="P1728" s="110">
        <v>19.399999999999999</v>
      </c>
      <c r="Q1728" s="110">
        <v>18.8</v>
      </c>
      <c r="R1728">
        <v>5587113</v>
      </c>
    </row>
    <row r="1729" spans="1:18" x14ac:dyDescent="0.25">
      <c r="A1729" s="134">
        <v>44551</v>
      </c>
      <c r="B1729" s="110">
        <v>19.25</v>
      </c>
      <c r="C1729" s="110">
        <v>19</v>
      </c>
      <c r="D1729" s="110">
        <v>18.8</v>
      </c>
      <c r="E1729" s="110">
        <v>18.899999999999999</v>
      </c>
      <c r="F1729" s="110">
        <v>19</v>
      </c>
      <c r="G1729">
        <v>363846</v>
      </c>
      <c r="H1729" s="110"/>
      <c r="I1729" s="110"/>
      <c r="L1729" s="134">
        <v>44551</v>
      </c>
      <c r="M1729" s="110">
        <v>19</v>
      </c>
      <c r="N1729" s="110">
        <v>19.25</v>
      </c>
      <c r="O1729" s="110">
        <v>18.8</v>
      </c>
      <c r="P1729" s="110">
        <v>19</v>
      </c>
      <c r="Q1729" s="110">
        <v>19</v>
      </c>
      <c r="R1729">
        <v>2412203</v>
      </c>
    </row>
    <row r="1730" spans="1:18" x14ac:dyDescent="0.25">
      <c r="A1730" s="134">
        <v>44552</v>
      </c>
      <c r="B1730" s="110">
        <v>19.899999999999999</v>
      </c>
      <c r="C1730" s="110">
        <v>19.5</v>
      </c>
      <c r="D1730" s="110">
        <v>19.100000000000001</v>
      </c>
      <c r="E1730" s="110">
        <v>19.25</v>
      </c>
      <c r="F1730" s="110">
        <v>19.5</v>
      </c>
      <c r="G1730">
        <v>494014</v>
      </c>
      <c r="H1730" s="110"/>
      <c r="I1730" s="110"/>
      <c r="L1730" s="134">
        <v>44552</v>
      </c>
      <c r="M1730" s="110">
        <v>19.399999999999999</v>
      </c>
      <c r="N1730" s="110">
        <v>19.5</v>
      </c>
      <c r="O1730" s="110">
        <v>19.100000000000001</v>
      </c>
      <c r="P1730" s="110">
        <v>19.45</v>
      </c>
      <c r="Q1730" s="110">
        <v>19.399999999999999</v>
      </c>
      <c r="R1730">
        <v>1720193</v>
      </c>
    </row>
    <row r="1731" spans="1:18" x14ac:dyDescent="0.25">
      <c r="A1731" s="134">
        <v>44553</v>
      </c>
      <c r="B1731" s="110">
        <v>19.95</v>
      </c>
      <c r="C1731" s="110">
        <v>19.55</v>
      </c>
      <c r="D1731" s="110">
        <v>19.350000000000001</v>
      </c>
      <c r="E1731" s="110">
        <v>19.600000000000001</v>
      </c>
      <c r="F1731" s="110">
        <v>19.55</v>
      </c>
      <c r="G1731">
        <v>868229</v>
      </c>
      <c r="H1731" s="110"/>
      <c r="I1731" s="110"/>
      <c r="L1731" s="134">
        <v>44553</v>
      </c>
      <c r="M1731" s="110">
        <v>19.600000000000001</v>
      </c>
      <c r="N1731" s="110">
        <v>19.8</v>
      </c>
      <c r="O1731" s="110">
        <v>19.350000000000001</v>
      </c>
      <c r="P1731" s="110">
        <v>19.5</v>
      </c>
      <c r="Q1731" s="110">
        <v>19.600000000000001</v>
      </c>
      <c r="R1731">
        <v>2248148</v>
      </c>
    </row>
    <row r="1732" spans="1:18" x14ac:dyDescent="0.25">
      <c r="A1732" s="134">
        <v>44554</v>
      </c>
      <c r="B1732" s="110">
        <v>20.05</v>
      </c>
      <c r="C1732" s="110">
        <v>19.649999999999999</v>
      </c>
      <c r="D1732" s="110">
        <v>19.149999999999999</v>
      </c>
      <c r="E1732" s="110">
        <v>19.7</v>
      </c>
      <c r="F1732" s="110">
        <v>19.649999999999999</v>
      </c>
      <c r="G1732">
        <v>720315</v>
      </c>
      <c r="H1732" s="110"/>
      <c r="I1732" s="110"/>
      <c r="L1732" s="134">
        <v>44554</v>
      </c>
      <c r="M1732" s="110">
        <v>19.600000000000001</v>
      </c>
      <c r="N1732" s="110">
        <v>20.100000000000001</v>
      </c>
      <c r="O1732" s="110">
        <v>19.149999999999999</v>
      </c>
      <c r="P1732" s="110">
        <v>19.600000000000001</v>
      </c>
      <c r="Q1732" s="110">
        <v>19.600000000000001</v>
      </c>
      <c r="R1732">
        <v>4916635</v>
      </c>
    </row>
    <row r="1733" spans="1:18" x14ac:dyDescent="0.25">
      <c r="A1733" s="134">
        <v>44557</v>
      </c>
      <c r="B1733" s="110">
        <v>20.05</v>
      </c>
      <c r="C1733" s="110">
        <v>19.5</v>
      </c>
      <c r="D1733" s="110">
        <v>19.25</v>
      </c>
      <c r="E1733" s="110">
        <v>19.7</v>
      </c>
      <c r="F1733" s="110">
        <v>19.5</v>
      </c>
      <c r="G1733">
        <v>563928</v>
      </c>
      <c r="H1733" s="110"/>
      <c r="I1733" s="110"/>
      <c r="L1733" s="134">
        <v>44557</v>
      </c>
      <c r="M1733" s="110">
        <v>19.5</v>
      </c>
      <c r="N1733" s="110">
        <v>20.05</v>
      </c>
      <c r="O1733" s="110">
        <v>19.3</v>
      </c>
      <c r="P1733" s="110">
        <v>19.600000000000001</v>
      </c>
      <c r="Q1733" s="110">
        <v>19.5</v>
      </c>
      <c r="R1733">
        <v>2419953</v>
      </c>
    </row>
    <row r="1734" spans="1:18" x14ac:dyDescent="0.25">
      <c r="A1734" s="134">
        <v>44558</v>
      </c>
      <c r="B1734" s="110">
        <v>19.75</v>
      </c>
      <c r="C1734" s="110">
        <v>19.5</v>
      </c>
      <c r="D1734" s="110">
        <v>19.399999999999999</v>
      </c>
      <c r="E1734" s="110">
        <v>19.5</v>
      </c>
      <c r="F1734" s="110">
        <v>19.5</v>
      </c>
      <c r="G1734">
        <v>551640</v>
      </c>
      <c r="H1734" s="110"/>
      <c r="I1734" s="110"/>
      <c r="L1734" s="134">
        <v>44558</v>
      </c>
      <c r="M1734" s="110">
        <v>19.5</v>
      </c>
      <c r="N1734" s="110">
        <v>19.75</v>
      </c>
      <c r="O1734" s="110">
        <v>19.3</v>
      </c>
      <c r="P1734" s="110">
        <v>19.5</v>
      </c>
      <c r="Q1734" s="110">
        <v>19.5</v>
      </c>
      <c r="R1734">
        <v>2821464</v>
      </c>
    </row>
    <row r="1735" spans="1:18" x14ac:dyDescent="0.25">
      <c r="A1735" s="134">
        <v>44559</v>
      </c>
      <c r="B1735" s="110">
        <v>19.649999999999999</v>
      </c>
      <c r="C1735" s="110">
        <v>19.350000000000001</v>
      </c>
      <c r="D1735" s="110">
        <v>19.25</v>
      </c>
      <c r="E1735" s="110">
        <v>19.55</v>
      </c>
      <c r="F1735" s="110">
        <v>19.350000000000001</v>
      </c>
      <c r="G1735">
        <v>454083</v>
      </c>
      <c r="H1735" s="110"/>
      <c r="I1735" s="110"/>
      <c r="L1735" s="134">
        <v>44559</v>
      </c>
      <c r="M1735" s="110">
        <v>19.3</v>
      </c>
      <c r="N1735" s="110">
        <v>19.600000000000001</v>
      </c>
      <c r="O1735" s="110">
        <v>19.25</v>
      </c>
      <c r="P1735" s="110">
        <v>19.5</v>
      </c>
      <c r="Q1735" s="110">
        <v>19.3</v>
      </c>
      <c r="R1735">
        <v>1903966</v>
      </c>
    </row>
    <row r="1736" spans="1:18" x14ac:dyDescent="0.25">
      <c r="A1736" s="134">
        <v>44560</v>
      </c>
      <c r="B1736" s="110">
        <v>19.45</v>
      </c>
      <c r="C1736" s="110">
        <v>19.05</v>
      </c>
      <c r="D1736" s="110">
        <v>18.8</v>
      </c>
      <c r="E1736" s="110">
        <v>19.45</v>
      </c>
      <c r="F1736" s="110">
        <v>19.05</v>
      </c>
      <c r="G1736">
        <v>887793</v>
      </c>
      <c r="H1736" s="110"/>
      <c r="I1736" s="110"/>
      <c r="L1736" s="134">
        <v>44560</v>
      </c>
      <c r="M1736" s="110">
        <v>19.05</v>
      </c>
      <c r="N1736" s="110">
        <v>19.5</v>
      </c>
      <c r="O1736" s="110">
        <v>18.25</v>
      </c>
      <c r="P1736" s="110">
        <v>19.25</v>
      </c>
      <c r="Q1736" s="110">
        <v>19.05</v>
      </c>
      <c r="R1736">
        <v>3537963</v>
      </c>
    </row>
    <row r="1737" spans="1:18" x14ac:dyDescent="0.25">
      <c r="A1737" s="134">
        <v>44561</v>
      </c>
      <c r="B1737" s="110">
        <v>19.350000000000001</v>
      </c>
      <c r="C1737" s="110">
        <v>19.2</v>
      </c>
      <c r="D1737" s="110">
        <v>19.100000000000001</v>
      </c>
      <c r="E1737" s="110">
        <v>19.25</v>
      </c>
      <c r="F1737" s="110">
        <v>19.2</v>
      </c>
      <c r="G1737">
        <v>506519</v>
      </c>
      <c r="H1737" s="110"/>
      <c r="I1737" s="110"/>
      <c r="L1737" s="134">
        <v>44561</v>
      </c>
      <c r="M1737" s="110">
        <v>19.2</v>
      </c>
      <c r="N1737" s="110">
        <v>19.350000000000001</v>
      </c>
      <c r="O1737" s="110">
        <v>19.05</v>
      </c>
      <c r="P1737" s="110">
        <v>19.149999999999999</v>
      </c>
      <c r="Q1737" s="110">
        <v>19.2</v>
      </c>
      <c r="R1737">
        <v>1772968</v>
      </c>
    </row>
    <row r="1738" spans="1:18" x14ac:dyDescent="0.25">
      <c r="A1738" s="134">
        <v>44564</v>
      </c>
      <c r="B1738" s="110">
        <v>19.8</v>
      </c>
      <c r="C1738" s="110">
        <v>19.399999999999999</v>
      </c>
      <c r="D1738" s="110">
        <v>19.2</v>
      </c>
      <c r="E1738" s="110">
        <v>19.2</v>
      </c>
      <c r="F1738" s="110">
        <v>19.399999999999999</v>
      </c>
      <c r="G1738">
        <v>562228</v>
      </c>
      <c r="H1738" s="110"/>
      <c r="I1738" s="110"/>
      <c r="L1738" s="134">
        <v>44564</v>
      </c>
      <c r="M1738" s="110">
        <v>19.399999999999999</v>
      </c>
      <c r="N1738" s="110">
        <v>19.850000000000001</v>
      </c>
      <c r="O1738" s="110">
        <v>19.3</v>
      </c>
      <c r="P1738" s="110">
        <v>19.3</v>
      </c>
      <c r="Q1738" s="110">
        <v>19.399999999999999</v>
      </c>
      <c r="R1738">
        <v>3874576</v>
      </c>
    </row>
    <row r="1739" spans="1:18" x14ac:dyDescent="0.25">
      <c r="A1739" s="134">
        <v>44565</v>
      </c>
      <c r="B1739" s="110">
        <v>20.399999999999999</v>
      </c>
      <c r="C1739" s="110">
        <v>20.2</v>
      </c>
      <c r="D1739" s="110">
        <v>19.350000000000001</v>
      </c>
      <c r="E1739" s="110">
        <v>19.600000000000001</v>
      </c>
      <c r="F1739" s="110">
        <v>20.2</v>
      </c>
      <c r="G1739">
        <v>864537</v>
      </c>
      <c r="H1739" s="110"/>
      <c r="I1739" s="110"/>
      <c r="L1739" s="134">
        <v>44565</v>
      </c>
      <c r="M1739" s="110">
        <v>20.2</v>
      </c>
      <c r="N1739" s="110">
        <v>20.399999999999999</v>
      </c>
      <c r="O1739" s="110">
        <v>19.350000000000001</v>
      </c>
      <c r="P1739" s="110">
        <v>19.5</v>
      </c>
      <c r="Q1739" s="110">
        <v>20.2</v>
      </c>
      <c r="R1739">
        <v>8425350</v>
      </c>
    </row>
    <row r="1740" spans="1:18" x14ac:dyDescent="0.25">
      <c r="A1740" s="134">
        <v>44566</v>
      </c>
      <c r="B1740" s="110">
        <v>20.8</v>
      </c>
      <c r="C1740" s="110">
        <v>20.45</v>
      </c>
      <c r="D1740" s="110">
        <v>20.25</v>
      </c>
      <c r="E1740" s="110">
        <v>20.3</v>
      </c>
      <c r="F1740" s="110">
        <v>20.45</v>
      </c>
      <c r="G1740">
        <v>3012635</v>
      </c>
      <c r="H1740" s="110"/>
      <c r="I1740" s="110"/>
      <c r="L1740" s="134">
        <v>44566</v>
      </c>
      <c r="M1740" s="110">
        <v>20.45</v>
      </c>
      <c r="N1740" s="110">
        <v>20.95</v>
      </c>
      <c r="O1740" s="110">
        <v>20.3</v>
      </c>
      <c r="P1740" s="110">
        <v>20.350000000000001</v>
      </c>
      <c r="Q1740" s="110">
        <v>20.45</v>
      </c>
      <c r="R1740">
        <v>9431120</v>
      </c>
    </row>
    <row r="1741" spans="1:18" x14ac:dyDescent="0.25">
      <c r="A1741" s="134">
        <v>44567</v>
      </c>
      <c r="B1741" s="110">
        <v>20.5</v>
      </c>
      <c r="C1741" s="110">
        <v>20.350000000000001</v>
      </c>
      <c r="D1741" s="110">
        <v>20.05</v>
      </c>
      <c r="E1741" s="110">
        <v>20.100000000000001</v>
      </c>
      <c r="F1741" s="110">
        <v>20.350000000000001</v>
      </c>
      <c r="G1741">
        <v>685420</v>
      </c>
      <c r="H1741" s="110"/>
      <c r="I1741" s="110"/>
      <c r="L1741" s="134">
        <v>44567</v>
      </c>
      <c r="M1741" s="110">
        <v>20.350000000000001</v>
      </c>
      <c r="N1741" s="110">
        <v>20.5</v>
      </c>
      <c r="O1741" s="110">
        <v>20</v>
      </c>
      <c r="P1741" s="110">
        <v>20</v>
      </c>
      <c r="Q1741" s="110">
        <v>20.350000000000001</v>
      </c>
      <c r="R1741">
        <v>2960116</v>
      </c>
    </row>
    <row r="1742" spans="1:18" x14ac:dyDescent="0.25">
      <c r="A1742" s="134">
        <v>44568</v>
      </c>
      <c r="B1742" s="110">
        <v>20.75</v>
      </c>
      <c r="C1742" s="110">
        <v>20.350000000000001</v>
      </c>
      <c r="D1742" s="110">
        <v>20.25</v>
      </c>
      <c r="E1742" s="110">
        <v>20.399999999999999</v>
      </c>
      <c r="F1742" s="110">
        <v>20.350000000000001</v>
      </c>
      <c r="G1742">
        <v>871354</v>
      </c>
      <c r="H1742" s="110"/>
      <c r="I1742" s="110"/>
      <c r="L1742" s="134">
        <v>44568</v>
      </c>
      <c r="M1742" s="110">
        <v>20.350000000000001</v>
      </c>
      <c r="N1742" s="110">
        <v>20.75</v>
      </c>
      <c r="O1742" s="110">
        <v>20.25</v>
      </c>
      <c r="P1742" s="110">
        <v>20.45</v>
      </c>
      <c r="Q1742" s="110">
        <v>20.350000000000001</v>
      </c>
      <c r="R1742">
        <v>3645156</v>
      </c>
    </row>
    <row r="1743" spans="1:18" x14ac:dyDescent="0.25">
      <c r="A1743" s="134">
        <v>44571</v>
      </c>
      <c r="B1743" s="110">
        <v>21.3</v>
      </c>
      <c r="C1743" s="110">
        <v>20.65</v>
      </c>
      <c r="D1743" s="110">
        <v>20.399999999999999</v>
      </c>
      <c r="E1743" s="110">
        <v>20.65</v>
      </c>
      <c r="F1743" s="110">
        <v>20.65</v>
      </c>
      <c r="G1743">
        <v>1930101</v>
      </c>
      <c r="H1743" s="110"/>
      <c r="I1743" s="110"/>
      <c r="L1743" s="134">
        <v>44571</v>
      </c>
      <c r="M1743" s="110">
        <v>20.65</v>
      </c>
      <c r="N1743" s="110">
        <v>21.35</v>
      </c>
      <c r="O1743" s="110">
        <v>20.399999999999999</v>
      </c>
      <c r="P1743" s="110">
        <v>21</v>
      </c>
      <c r="Q1743" s="110">
        <v>20.65</v>
      </c>
      <c r="R1743">
        <v>10680166</v>
      </c>
    </row>
    <row r="1744" spans="1:18" x14ac:dyDescent="0.25">
      <c r="A1744" s="134">
        <v>44572</v>
      </c>
      <c r="B1744" s="110">
        <v>20.85</v>
      </c>
      <c r="C1744" s="110">
        <v>20.399999999999999</v>
      </c>
      <c r="D1744" s="110">
        <v>20.350000000000001</v>
      </c>
      <c r="E1744" s="110">
        <v>20.7</v>
      </c>
      <c r="F1744" s="110">
        <v>20.399999999999999</v>
      </c>
      <c r="G1744">
        <v>786295</v>
      </c>
      <c r="H1744" s="110"/>
      <c r="I1744" s="110"/>
      <c r="L1744" s="134">
        <v>44572</v>
      </c>
      <c r="M1744" s="110">
        <v>20.399999999999999</v>
      </c>
      <c r="N1744" s="110">
        <v>20.85</v>
      </c>
      <c r="O1744" s="110">
        <v>20.350000000000001</v>
      </c>
      <c r="P1744" s="110">
        <v>20.65</v>
      </c>
      <c r="Q1744" s="110">
        <v>20.399999999999999</v>
      </c>
      <c r="R1744">
        <v>3418188</v>
      </c>
    </row>
    <row r="1745" spans="1:18" x14ac:dyDescent="0.25">
      <c r="A1745" s="134">
        <v>44573</v>
      </c>
      <c r="B1745" s="110">
        <v>20.6</v>
      </c>
      <c r="C1745" s="110">
        <v>20.5</v>
      </c>
      <c r="D1745" s="110">
        <v>20.350000000000001</v>
      </c>
      <c r="E1745" s="110">
        <v>20.350000000000001</v>
      </c>
      <c r="F1745" s="110">
        <v>20.5</v>
      </c>
      <c r="G1745">
        <v>527347</v>
      </c>
      <c r="H1745" s="110"/>
      <c r="I1745" s="110"/>
      <c r="L1745" s="134">
        <v>44573</v>
      </c>
      <c r="M1745" s="110">
        <v>20.5</v>
      </c>
      <c r="N1745" s="110">
        <v>20.6</v>
      </c>
      <c r="O1745" s="110">
        <v>20.45</v>
      </c>
      <c r="P1745" s="110">
        <v>20.45</v>
      </c>
      <c r="Q1745" s="110">
        <v>20.5</v>
      </c>
      <c r="R1745">
        <v>2391834</v>
      </c>
    </row>
    <row r="1746" spans="1:18" x14ac:dyDescent="0.25">
      <c r="A1746" s="134">
        <v>44574</v>
      </c>
      <c r="B1746" s="110">
        <v>20.75</v>
      </c>
      <c r="C1746" s="110">
        <v>20.3</v>
      </c>
      <c r="D1746" s="110">
        <v>20.2</v>
      </c>
      <c r="E1746" s="110">
        <v>20.75</v>
      </c>
      <c r="F1746" s="110">
        <v>20.3</v>
      </c>
      <c r="G1746">
        <v>911626</v>
      </c>
      <c r="H1746" s="110"/>
      <c r="I1746" s="110"/>
      <c r="L1746" s="134">
        <v>44574</v>
      </c>
      <c r="M1746" s="110">
        <v>20.3</v>
      </c>
      <c r="N1746" s="110">
        <v>20.8</v>
      </c>
      <c r="O1746" s="110">
        <v>20.2</v>
      </c>
      <c r="P1746" s="110">
        <v>20.75</v>
      </c>
      <c r="Q1746" s="110">
        <v>20.3</v>
      </c>
      <c r="R1746">
        <v>5232554</v>
      </c>
    </row>
    <row r="1747" spans="1:18" x14ac:dyDescent="0.25">
      <c r="A1747" s="134">
        <v>44575</v>
      </c>
      <c r="B1747" s="110">
        <v>20.95</v>
      </c>
      <c r="C1747" s="110">
        <v>20.85</v>
      </c>
      <c r="D1747" s="110">
        <v>20.05</v>
      </c>
      <c r="E1747" s="110">
        <v>20.05</v>
      </c>
      <c r="F1747" s="110">
        <v>20.85</v>
      </c>
      <c r="G1747">
        <v>1531250</v>
      </c>
      <c r="H1747" s="110"/>
      <c r="I1747" s="110"/>
      <c r="L1747" s="134">
        <v>44575</v>
      </c>
      <c r="M1747" s="110">
        <v>20.9</v>
      </c>
      <c r="N1747" s="110">
        <v>21</v>
      </c>
      <c r="O1747" s="110">
        <v>20.149999999999999</v>
      </c>
      <c r="P1747" s="110">
        <v>20.25</v>
      </c>
      <c r="Q1747" s="110">
        <v>20.9</v>
      </c>
      <c r="R1747">
        <v>6277517</v>
      </c>
    </row>
    <row r="1748" spans="1:18" x14ac:dyDescent="0.25">
      <c r="A1748" s="134">
        <v>44578</v>
      </c>
      <c r="B1748" s="110">
        <v>21.3</v>
      </c>
      <c r="C1748" s="110">
        <v>21.05</v>
      </c>
      <c r="D1748" s="110">
        <v>20.85</v>
      </c>
      <c r="E1748" s="110">
        <v>20.85</v>
      </c>
      <c r="F1748" s="110">
        <v>21.05</v>
      </c>
      <c r="G1748">
        <v>505279</v>
      </c>
      <c r="H1748" s="110"/>
      <c r="I1748" s="110"/>
      <c r="L1748" s="134">
        <v>44578</v>
      </c>
      <c r="M1748" s="110">
        <v>21.05</v>
      </c>
      <c r="N1748" s="110">
        <v>21.3</v>
      </c>
      <c r="O1748" s="110">
        <v>20.95</v>
      </c>
      <c r="P1748" s="110">
        <v>21</v>
      </c>
      <c r="Q1748" s="110">
        <v>21.05</v>
      </c>
      <c r="R1748">
        <v>6001460</v>
      </c>
    </row>
    <row r="1749" spans="1:18" x14ac:dyDescent="0.25">
      <c r="A1749" s="134">
        <v>44579</v>
      </c>
      <c r="B1749" s="110">
        <v>21.35</v>
      </c>
      <c r="C1749" s="110">
        <v>20.6</v>
      </c>
      <c r="D1749" s="110">
        <v>20.5</v>
      </c>
      <c r="E1749" s="110">
        <v>21.3</v>
      </c>
      <c r="F1749" s="110">
        <v>20.6</v>
      </c>
      <c r="G1749">
        <v>882832</v>
      </c>
      <c r="H1749" s="110"/>
      <c r="I1749" s="110"/>
      <c r="L1749" s="134">
        <v>44579</v>
      </c>
      <c r="M1749" s="110">
        <v>20.6</v>
      </c>
      <c r="N1749" s="110">
        <v>21.25</v>
      </c>
      <c r="O1749" s="110">
        <v>20.5</v>
      </c>
      <c r="P1749" s="110">
        <v>21.2</v>
      </c>
      <c r="Q1749" s="110">
        <v>20.6</v>
      </c>
      <c r="R1749">
        <v>4433584</v>
      </c>
    </row>
    <row r="1750" spans="1:18" x14ac:dyDescent="0.25">
      <c r="A1750" s="134">
        <v>44580</v>
      </c>
      <c r="B1750" s="110">
        <v>21.75</v>
      </c>
      <c r="C1750" s="110">
        <v>21.5</v>
      </c>
      <c r="D1750" s="110">
        <v>20.350000000000001</v>
      </c>
      <c r="E1750" s="110">
        <v>20.55</v>
      </c>
      <c r="F1750" s="110">
        <v>21.5</v>
      </c>
      <c r="G1750">
        <v>1499898</v>
      </c>
      <c r="H1750" s="110"/>
      <c r="I1750" s="110"/>
      <c r="L1750" s="134">
        <v>44580</v>
      </c>
      <c r="M1750" s="110">
        <v>21.55</v>
      </c>
      <c r="N1750" s="110">
        <v>21.7</v>
      </c>
      <c r="O1750" s="110">
        <v>20.3</v>
      </c>
      <c r="P1750" s="110">
        <v>20.65</v>
      </c>
      <c r="Q1750" s="110">
        <v>21.55</v>
      </c>
      <c r="R1750">
        <v>8867475</v>
      </c>
    </row>
    <row r="1751" spans="1:18" x14ac:dyDescent="0.25">
      <c r="A1751" s="134">
        <v>44581</v>
      </c>
      <c r="B1751" s="110">
        <v>22.2</v>
      </c>
      <c r="C1751" s="110">
        <v>21</v>
      </c>
      <c r="D1751" s="110">
        <v>20.75</v>
      </c>
      <c r="E1751" s="110">
        <v>21.7</v>
      </c>
      <c r="F1751" s="110">
        <v>21</v>
      </c>
      <c r="G1751">
        <v>2093787</v>
      </c>
      <c r="H1751" s="110"/>
      <c r="I1751" s="110"/>
      <c r="L1751" s="134">
        <v>44581</v>
      </c>
      <c r="M1751" s="110">
        <v>21</v>
      </c>
      <c r="N1751" s="110">
        <v>22.2</v>
      </c>
      <c r="O1751" s="110">
        <v>20.8</v>
      </c>
      <c r="P1751" s="110">
        <v>21.85</v>
      </c>
      <c r="Q1751" s="110">
        <v>21</v>
      </c>
      <c r="R1751">
        <v>25812680</v>
      </c>
    </row>
    <row r="1752" spans="1:18" x14ac:dyDescent="0.25">
      <c r="A1752" s="134">
        <v>44582</v>
      </c>
      <c r="B1752" s="110">
        <v>21.2</v>
      </c>
      <c r="C1752" s="110">
        <v>20.399999999999999</v>
      </c>
      <c r="D1752" s="110">
        <v>20.3</v>
      </c>
      <c r="E1752" s="110">
        <v>20.8</v>
      </c>
      <c r="F1752" s="110">
        <v>20.399999999999999</v>
      </c>
      <c r="G1752">
        <v>1567925</v>
      </c>
      <c r="H1752" s="110"/>
      <c r="I1752" s="110"/>
      <c r="L1752" s="134">
        <v>44582</v>
      </c>
      <c r="M1752" s="110">
        <v>20.350000000000001</v>
      </c>
      <c r="N1752" s="110">
        <v>21.2</v>
      </c>
      <c r="O1752" s="110">
        <v>20.25</v>
      </c>
      <c r="P1752" s="110">
        <v>20.9</v>
      </c>
      <c r="Q1752" s="110">
        <v>20.350000000000001</v>
      </c>
      <c r="R1752">
        <v>7578710</v>
      </c>
    </row>
    <row r="1753" spans="1:18" x14ac:dyDescent="0.25">
      <c r="A1753" s="134">
        <v>44585</v>
      </c>
      <c r="B1753" s="110">
        <v>20.45</v>
      </c>
      <c r="C1753" s="110">
        <v>19.55</v>
      </c>
      <c r="D1753" s="110">
        <v>19.45</v>
      </c>
      <c r="E1753" s="110">
        <v>20.25</v>
      </c>
      <c r="F1753" s="110">
        <v>19.55</v>
      </c>
      <c r="G1753">
        <v>1282028</v>
      </c>
      <c r="H1753" s="110"/>
      <c r="I1753" s="110"/>
      <c r="L1753" s="134">
        <v>44585</v>
      </c>
      <c r="M1753" s="110">
        <v>19.55</v>
      </c>
      <c r="N1753" s="110">
        <v>20.45</v>
      </c>
      <c r="O1753" s="110">
        <v>19.399999999999999</v>
      </c>
      <c r="P1753" s="110">
        <v>20.350000000000001</v>
      </c>
      <c r="Q1753" s="110">
        <v>19.55</v>
      </c>
      <c r="R1753">
        <v>4963586</v>
      </c>
    </row>
    <row r="1754" spans="1:18" x14ac:dyDescent="0.25">
      <c r="A1754" s="134">
        <v>44586</v>
      </c>
      <c r="B1754" s="110">
        <v>20.3</v>
      </c>
      <c r="C1754" s="110">
        <v>20.2</v>
      </c>
      <c r="D1754" s="110">
        <v>19.100000000000001</v>
      </c>
      <c r="E1754" s="110">
        <v>19.25</v>
      </c>
      <c r="F1754" s="110">
        <v>20.2</v>
      </c>
      <c r="G1754">
        <v>929389</v>
      </c>
      <c r="H1754" s="110"/>
      <c r="I1754" s="110"/>
      <c r="L1754" s="134">
        <v>44586</v>
      </c>
      <c r="M1754" s="110">
        <v>20.2</v>
      </c>
      <c r="N1754" s="110">
        <v>20.3</v>
      </c>
      <c r="O1754" s="110">
        <v>19.149999999999999</v>
      </c>
      <c r="P1754" s="110">
        <v>19.399999999999999</v>
      </c>
      <c r="Q1754" s="110">
        <v>20.2</v>
      </c>
      <c r="R1754">
        <v>3443046</v>
      </c>
    </row>
    <row r="1755" spans="1:18" x14ac:dyDescent="0.25">
      <c r="A1755" s="134">
        <v>44588</v>
      </c>
      <c r="B1755" s="110">
        <v>21.3</v>
      </c>
      <c r="C1755" s="110">
        <v>20.95</v>
      </c>
      <c r="D1755" s="110">
        <v>19.600000000000001</v>
      </c>
      <c r="E1755" s="110">
        <v>20.100000000000001</v>
      </c>
      <c r="F1755" s="110">
        <v>20.95</v>
      </c>
      <c r="G1755">
        <v>1676901</v>
      </c>
      <c r="H1755" s="110"/>
      <c r="I1755" s="110"/>
      <c r="L1755" s="134">
        <v>44588</v>
      </c>
      <c r="M1755" s="110">
        <v>21</v>
      </c>
      <c r="N1755" s="110">
        <v>21.3</v>
      </c>
      <c r="O1755" s="110">
        <v>19.649999999999999</v>
      </c>
      <c r="P1755" s="110">
        <v>19.8</v>
      </c>
      <c r="Q1755" s="110">
        <v>21</v>
      </c>
      <c r="R1755">
        <v>8412940</v>
      </c>
    </row>
    <row r="1756" spans="1:18" x14ac:dyDescent="0.25">
      <c r="A1756" s="134">
        <v>44589</v>
      </c>
      <c r="B1756" s="110">
        <v>21.45</v>
      </c>
      <c r="C1756" s="110">
        <v>21</v>
      </c>
      <c r="D1756" s="110">
        <v>20.9</v>
      </c>
      <c r="E1756" s="110">
        <v>21.2</v>
      </c>
      <c r="F1756" s="110">
        <v>21</v>
      </c>
      <c r="G1756">
        <v>688565</v>
      </c>
      <c r="H1756" s="110"/>
      <c r="I1756" s="110"/>
      <c r="L1756" s="134">
        <v>44589</v>
      </c>
      <c r="M1756" s="110">
        <v>21</v>
      </c>
      <c r="N1756" s="110">
        <v>21.45</v>
      </c>
      <c r="O1756" s="110">
        <v>20.85</v>
      </c>
      <c r="P1756" s="110">
        <v>21.3</v>
      </c>
      <c r="Q1756" s="110">
        <v>21</v>
      </c>
      <c r="R1756">
        <v>7244190</v>
      </c>
    </row>
    <row r="1757" spans="1:18" x14ac:dyDescent="0.25">
      <c r="A1757" s="134">
        <v>44592</v>
      </c>
      <c r="B1757" s="110">
        <v>21.45</v>
      </c>
      <c r="C1757" s="110">
        <v>21</v>
      </c>
      <c r="D1757" s="110">
        <v>20.85</v>
      </c>
      <c r="E1757" s="110">
        <v>21.45</v>
      </c>
      <c r="F1757" s="110">
        <v>21</v>
      </c>
      <c r="G1757">
        <v>688591</v>
      </c>
      <c r="H1757" s="110"/>
      <c r="I1757" s="110"/>
      <c r="L1757" s="134">
        <v>44592</v>
      </c>
      <c r="M1757" s="110">
        <v>21</v>
      </c>
      <c r="N1757" s="110">
        <v>21.45</v>
      </c>
      <c r="O1757" s="110">
        <v>20.8</v>
      </c>
      <c r="P1757" s="110">
        <v>21.4</v>
      </c>
      <c r="Q1757" s="110">
        <v>21</v>
      </c>
      <c r="R1757">
        <v>3627222</v>
      </c>
    </row>
    <row r="1758" spans="1:18" x14ac:dyDescent="0.25">
      <c r="A1758" s="134">
        <v>44593</v>
      </c>
      <c r="B1758" s="110">
        <v>21.5</v>
      </c>
      <c r="C1758" s="110">
        <v>20.55</v>
      </c>
      <c r="D1758" s="110">
        <v>20.3</v>
      </c>
      <c r="E1758" s="110">
        <v>21.2</v>
      </c>
      <c r="F1758" s="110">
        <v>20.55</v>
      </c>
      <c r="G1758">
        <v>1495677</v>
      </c>
      <c r="H1758" s="110"/>
      <c r="I1758" s="110"/>
      <c r="L1758" s="134">
        <v>44593</v>
      </c>
      <c r="M1758" s="110">
        <v>20.55</v>
      </c>
      <c r="N1758" s="110">
        <v>21.5</v>
      </c>
      <c r="O1758" s="110">
        <v>20.25</v>
      </c>
      <c r="P1758" s="110">
        <v>21.3</v>
      </c>
      <c r="Q1758" s="110">
        <v>20.55</v>
      </c>
      <c r="R1758">
        <v>7462967</v>
      </c>
    </row>
    <row r="1759" spans="1:18" x14ac:dyDescent="0.25">
      <c r="A1759" s="134">
        <v>44594</v>
      </c>
      <c r="B1759" s="110">
        <v>21.4</v>
      </c>
      <c r="C1759" s="110">
        <v>21.25</v>
      </c>
      <c r="D1759" s="110">
        <v>20.45</v>
      </c>
      <c r="E1759" s="110">
        <v>20.55</v>
      </c>
      <c r="F1759" s="110">
        <v>21.25</v>
      </c>
      <c r="G1759">
        <v>738113</v>
      </c>
      <c r="H1759" s="110"/>
      <c r="I1759" s="110"/>
      <c r="L1759" s="134">
        <v>44594</v>
      </c>
      <c r="M1759" s="110">
        <v>21.3</v>
      </c>
      <c r="N1759" s="110">
        <v>21.5</v>
      </c>
      <c r="O1759" s="110">
        <v>20.45</v>
      </c>
      <c r="P1759" s="110">
        <v>20.6</v>
      </c>
      <c r="Q1759" s="110">
        <v>21.3</v>
      </c>
      <c r="R1759">
        <v>9029951</v>
      </c>
    </row>
    <row r="1760" spans="1:18" x14ac:dyDescent="0.25">
      <c r="A1760" s="134">
        <v>44595</v>
      </c>
      <c r="B1760" s="110">
        <v>21.95</v>
      </c>
      <c r="C1760" s="110">
        <v>21</v>
      </c>
      <c r="D1760" s="110">
        <v>20.9</v>
      </c>
      <c r="E1760" s="110">
        <v>21.25</v>
      </c>
      <c r="F1760" s="110">
        <v>21</v>
      </c>
      <c r="G1760">
        <v>1283330</v>
      </c>
      <c r="H1760" s="110"/>
      <c r="I1760" s="110"/>
      <c r="L1760" s="134">
        <v>44595</v>
      </c>
      <c r="M1760" s="110">
        <v>21</v>
      </c>
      <c r="N1760" s="110">
        <v>21.95</v>
      </c>
      <c r="O1760" s="110">
        <v>20.9</v>
      </c>
      <c r="P1760" s="110">
        <v>21.45</v>
      </c>
      <c r="Q1760" s="110">
        <v>21</v>
      </c>
      <c r="R1760">
        <v>16731852</v>
      </c>
    </row>
    <row r="1761" spans="1:18" x14ac:dyDescent="0.25">
      <c r="A1761" s="134">
        <v>44596</v>
      </c>
      <c r="B1761" s="110">
        <v>21.15</v>
      </c>
      <c r="C1761" s="110">
        <v>20.55</v>
      </c>
      <c r="D1761" s="110">
        <v>20.45</v>
      </c>
      <c r="E1761" s="110">
        <v>21.15</v>
      </c>
      <c r="F1761" s="110">
        <v>20.55</v>
      </c>
      <c r="G1761">
        <v>701281</v>
      </c>
      <c r="H1761" s="110"/>
      <c r="I1761" s="110"/>
      <c r="L1761" s="134">
        <v>44596</v>
      </c>
      <c r="M1761" s="110">
        <v>20.55</v>
      </c>
      <c r="N1761" s="110">
        <v>21.15</v>
      </c>
      <c r="O1761" s="110">
        <v>20.399999999999999</v>
      </c>
      <c r="P1761" s="110">
        <v>21.05</v>
      </c>
      <c r="Q1761" s="110">
        <v>20.55</v>
      </c>
      <c r="R1761">
        <v>4320692</v>
      </c>
    </row>
    <row r="1762" spans="1:18" x14ac:dyDescent="0.25">
      <c r="A1762" s="134">
        <v>44599</v>
      </c>
      <c r="B1762" s="110">
        <v>20.95</v>
      </c>
      <c r="C1762" s="110">
        <v>20.399999999999999</v>
      </c>
      <c r="D1762" s="110">
        <v>20.25</v>
      </c>
      <c r="E1762" s="110">
        <v>20.65</v>
      </c>
      <c r="F1762" s="110">
        <v>20.399999999999999</v>
      </c>
      <c r="G1762">
        <v>917264</v>
      </c>
      <c r="H1762" s="110"/>
      <c r="I1762" s="110"/>
      <c r="L1762" s="134">
        <v>44599</v>
      </c>
      <c r="M1762" s="110">
        <v>20.3</v>
      </c>
      <c r="N1762" s="110">
        <v>21</v>
      </c>
      <c r="O1762" s="110">
        <v>20.05</v>
      </c>
      <c r="P1762" s="110">
        <v>20.5</v>
      </c>
      <c r="Q1762" s="110">
        <v>20.3</v>
      </c>
      <c r="R1762">
        <v>4598812</v>
      </c>
    </row>
    <row r="1763" spans="1:18" x14ac:dyDescent="0.25">
      <c r="A1763" s="134">
        <v>44600</v>
      </c>
      <c r="B1763" s="110">
        <v>20.55</v>
      </c>
      <c r="C1763" s="110">
        <v>20.149999999999999</v>
      </c>
      <c r="D1763" s="110">
        <v>19.899999999999999</v>
      </c>
      <c r="E1763" s="110">
        <v>20.5</v>
      </c>
      <c r="F1763" s="110">
        <v>20.149999999999999</v>
      </c>
      <c r="G1763">
        <v>877158</v>
      </c>
      <c r="H1763" s="110"/>
      <c r="I1763" s="110"/>
      <c r="L1763" s="134">
        <v>44600</v>
      </c>
      <c r="M1763" s="110">
        <v>20.149999999999999</v>
      </c>
      <c r="N1763" s="110">
        <v>20.55</v>
      </c>
      <c r="O1763" s="110">
        <v>19.899999999999999</v>
      </c>
      <c r="P1763" s="110">
        <v>20.399999999999999</v>
      </c>
      <c r="Q1763" s="110">
        <v>20.149999999999999</v>
      </c>
      <c r="R1763">
        <v>3737874</v>
      </c>
    </row>
    <row r="1764" spans="1:18" x14ac:dyDescent="0.25">
      <c r="A1764" s="134">
        <v>44601</v>
      </c>
      <c r="B1764" s="110">
        <v>20.6</v>
      </c>
      <c r="C1764" s="110">
        <v>20.149999999999999</v>
      </c>
      <c r="D1764" s="110">
        <v>20.100000000000001</v>
      </c>
      <c r="E1764" s="110">
        <v>20.25</v>
      </c>
      <c r="F1764" s="110">
        <v>20.149999999999999</v>
      </c>
      <c r="G1764">
        <v>559468</v>
      </c>
      <c r="H1764" s="110"/>
      <c r="I1764" s="110"/>
      <c r="L1764" s="134">
        <v>44601</v>
      </c>
      <c r="M1764" s="110">
        <v>20.2</v>
      </c>
      <c r="N1764" s="110">
        <v>20.6</v>
      </c>
      <c r="O1764" s="110">
        <v>20.100000000000001</v>
      </c>
      <c r="P1764" s="110">
        <v>20.3</v>
      </c>
      <c r="Q1764" s="110">
        <v>20.2</v>
      </c>
      <c r="R1764">
        <v>2501753</v>
      </c>
    </row>
    <row r="1765" spans="1:18" x14ac:dyDescent="0.25">
      <c r="A1765" s="134">
        <v>44602</v>
      </c>
      <c r="B1765" s="110">
        <v>20.399999999999999</v>
      </c>
      <c r="C1765" s="110">
        <v>20.100000000000001</v>
      </c>
      <c r="D1765" s="110">
        <v>20.05</v>
      </c>
      <c r="E1765" s="110">
        <v>20.149999999999999</v>
      </c>
      <c r="F1765" s="110">
        <v>20.100000000000001</v>
      </c>
      <c r="G1765">
        <v>326063</v>
      </c>
      <c r="H1765" s="110"/>
      <c r="I1765" s="110"/>
      <c r="L1765" s="134">
        <v>44602</v>
      </c>
      <c r="M1765" s="110">
        <v>20.100000000000001</v>
      </c>
      <c r="N1765" s="110">
        <v>20.45</v>
      </c>
      <c r="O1765" s="110">
        <v>20.05</v>
      </c>
      <c r="P1765" s="110">
        <v>20.3</v>
      </c>
      <c r="Q1765" s="110">
        <v>20.100000000000001</v>
      </c>
      <c r="R1765">
        <v>2959514</v>
      </c>
    </row>
    <row r="1766" spans="1:18" x14ac:dyDescent="0.25">
      <c r="A1766" s="134">
        <v>44603</v>
      </c>
      <c r="B1766" s="110">
        <v>20.100000000000001</v>
      </c>
      <c r="C1766" s="110">
        <v>19.8</v>
      </c>
      <c r="D1766" s="110">
        <v>19.75</v>
      </c>
      <c r="E1766" s="110">
        <v>20.100000000000001</v>
      </c>
      <c r="F1766" s="110">
        <v>19.8</v>
      </c>
      <c r="G1766">
        <v>681276</v>
      </c>
      <c r="H1766" s="110"/>
      <c r="I1766" s="110"/>
      <c r="L1766" s="134">
        <v>44603</v>
      </c>
      <c r="M1766" s="110">
        <v>19.8</v>
      </c>
      <c r="N1766" s="110">
        <v>20.100000000000001</v>
      </c>
      <c r="O1766" s="110">
        <v>19.7</v>
      </c>
      <c r="P1766" s="110">
        <v>20</v>
      </c>
      <c r="Q1766" s="110">
        <v>19.8</v>
      </c>
      <c r="R1766">
        <v>2644697</v>
      </c>
    </row>
    <row r="1767" spans="1:18" x14ac:dyDescent="0.25">
      <c r="A1767" s="134">
        <v>44606</v>
      </c>
      <c r="B1767" s="110">
        <v>19.55</v>
      </c>
      <c r="C1767" s="110">
        <v>19</v>
      </c>
      <c r="D1767" s="110">
        <v>18.850000000000001</v>
      </c>
      <c r="E1767" s="110">
        <v>19.100000000000001</v>
      </c>
      <c r="F1767" s="110">
        <v>19</v>
      </c>
      <c r="G1767">
        <v>1102927</v>
      </c>
      <c r="H1767" s="110"/>
      <c r="I1767" s="110"/>
      <c r="L1767" s="134">
        <v>44606</v>
      </c>
      <c r="M1767" s="110">
        <v>19</v>
      </c>
      <c r="N1767" s="110">
        <v>19.600000000000001</v>
      </c>
      <c r="O1767" s="110">
        <v>18.8</v>
      </c>
      <c r="P1767" s="110">
        <v>19.3</v>
      </c>
      <c r="Q1767" s="110">
        <v>19</v>
      </c>
      <c r="R1767">
        <v>3904992</v>
      </c>
    </row>
    <row r="1768" spans="1:18" x14ac:dyDescent="0.25">
      <c r="A1768" s="134">
        <v>44607</v>
      </c>
      <c r="B1768" s="110">
        <v>19.350000000000001</v>
      </c>
      <c r="C1768" s="110">
        <v>19.2</v>
      </c>
      <c r="D1768" s="110">
        <v>18.649999999999999</v>
      </c>
      <c r="E1768" s="110">
        <v>19.100000000000001</v>
      </c>
      <c r="F1768" s="110">
        <v>19.2</v>
      </c>
      <c r="G1768">
        <v>1304363</v>
      </c>
      <c r="H1768" s="110"/>
      <c r="I1768" s="110"/>
      <c r="L1768" s="134">
        <v>44607</v>
      </c>
      <c r="M1768" s="110">
        <v>19.25</v>
      </c>
      <c r="N1768" s="110">
        <v>19.350000000000001</v>
      </c>
      <c r="O1768" s="110">
        <v>18.649999999999999</v>
      </c>
      <c r="P1768" s="110">
        <v>19.2</v>
      </c>
      <c r="Q1768" s="110">
        <v>19.25</v>
      </c>
      <c r="R1768">
        <v>4371566</v>
      </c>
    </row>
    <row r="1769" spans="1:18" x14ac:dyDescent="0.25">
      <c r="A1769" s="134">
        <v>44608</v>
      </c>
      <c r="B1769" s="110">
        <v>19.5</v>
      </c>
      <c r="C1769" s="110">
        <v>19.25</v>
      </c>
      <c r="D1769" s="110">
        <v>19.149999999999999</v>
      </c>
      <c r="E1769" s="110">
        <v>19.350000000000001</v>
      </c>
      <c r="F1769" s="110">
        <v>19.25</v>
      </c>
      <c r="G1769">
        <v>583135</v>
      </c>
      <c r="H1769" s="110"/>
      <c r="I1769" s="110"/>
      <c r="L1769" s="134">
        <v>44608</v>
      </c>
      <c r="M1769" s="110">
        <v>19.25</v>
      </c>
      <c r="N1769" s="110">
        <v>19.5</v>
      </c>
      <c r="O1769" s="110">
        <v>19.149999999999999</v>
      </c>
      <c r="P1769" s="110">
        <v>19.5</v>
      </c>
      <c r="Q1769" s="110">
        <v>19.25</v>
      </c>
      <c r="R1769">
        <v>2894031</v>
      </c>
    </row>
    <row r="1770" spans="1:18" x14ac:dyDescent="0.25">
      <c r="A1770" s="134">
        <v>44609</v>
      </c>
      <c r="B1770" s="110">
        <v>19.399999999999999</v>
      </c>
      <c r="C1770" s="110">
        <v>18.95</v>
      </c>
      <c r="D1770" s="110">
        <v>18.899999999999999</v>
      </c>
      <c r="E1770" s="110">
        <v>19.399999999999999</v>
      </c>
      <c r="F1770" s="110">
        <v>18.95</v>
      </c>
      <c r="G1770">
        <v>428091</v>
      </c>
      <c r="H1770" s="110"/>
      <c r="I1770" s="110"/>
      <c r="L1770" s="134">
        <v>44609</v>
      </c>
      <c r="M1770" s="110">
        <v>18.95</v>
      </c>
      <c r="N1770" s="110">
        <v>19.45</v>
      </c>
      <c r="O1770" s="110">
        <v>18.899999999999999</v>
      </c>
      <c r="P1770" s="110">
        <v>19.45</v>
      </c>
      <c r="Q1770" s="110">
        <v>18.95</v>
      </c>
      <c r="R1770">
        <v>2106394</v>
      </c>
    </row>
    <row r="1771" spans="1:18" x14ac:dyDescent="0.25">
      <c r="A1771" s="134">
        <v>44610</v>
      </c>
      <c r="B1771" s="110">
        <v>19.100000000000001</v>
      </c>
      <c r="C1771" s="110">
        <v>18.95</v>
      </c>
      <c r="D1771" s="110">
        <v>18.8</v>
      </c>
      <c r="E1771" s="110">
        <v>18.95</v>
      </c>
      <c r="F1771" s="110">
        <v>18.95</v>
      </c>
      <c r="G1771">
        <v>406286</v>
      </c>
      <c r="H1771" s="110"/>
      <c r="I1771" s="110"/>
      <c r="L1771" s="134">
        <v>44610</v>
      </c>
      <c r="M1771" s="110">
        <v>18.95</v>
      </c>
      <c r="N1771" s="110">
        <v>19.100000000000001</v>
      </c>
      <c r="O1771" s="110">
        <v>18.75</v>
      </c>
      <c r="P1771" s="110">
        <v>18.8</v>
      </c>
      <c r="Q1771" s="110">
        <v>18.95</v>
      </c>
      <c r="R1771">
        <v>2203196</v>
      </c>
    </row>
    <row r="1772" spans="1:18" x14ac:dyDescent="0.25">
      <c r="A1772" s="134">
        <v>44613</v>
      </c>
      <c r="B1772" s="110">
        <v>19.05</v>
      </c>
      <c r="C1772" s="110">
        <v>18.649999999999999</v>
      </c>
      <c r="D1772" s="110">
        <v>18.55</v>
      </c>
      <c r="E1772" s="110">
        <v>19</v>
      </c>
      <c r="F1772" s="110">
        <v>18.649999999999999</v>
      </c>
      <c r="G1772">
        <v>995756</v>
      </c>
      <c r="H1772" s="110"/>
      <c r="I1772" s="110"/>
      <c r="L1772" s="134">
        <v>44613</v>
      </c>
      <c r="M1772" s="110">
        <v>18.649999999999999</v>
      </c>
      <c r="N1772" s="110">
        <v>19.05</v>
      </c>
      <c r="O1772" s="110">
        <v>18.600000000000001</v>
      </c>
      <c r="P1772" s="110">
        <v>18.95</v>
      </c>
      <c r="Q1772" s="110">
        <v>18.649999999999999</v>
      </c>
      <c r="R1772">
        <v>3040454</v>
      </c>
    </row>
    <row r="1773" spans="1:18" x14ac:dyDescent="0.25">
      <c r="A1773" s="134">
        <v>44614</v>
      </c>
      <c r="B1773" s="110">
        <v>18.399999999999999</v>
      </c>
      <c r="C1773" s="110">
        <v>17.95</v>
      </c>
      <c r="D1773" s="110">
        <v>17.8</v>
      </c>
      <c r="E1773" s="110">
        <v>18.100000000000001</v>
      </c>
      <c r="F1773" s="110">
        <v>17.95</v>
      </c>
      <c r="G1773">
        <v>1243883</v>
      </c>
      <c r="H1773" s="110"/>
      <c r="I1773" s="110"/>
      <c r="L1773" s="134">
        <v>44614</v>
      </c>
      <c r="M1773" s="110">
        <v>18</v>
      </c>
      <c r="N1773" s="110">
        <v>18.399999999999999</v>
      </c>
      <c r="O1773" s="110">
        <v>17.75</v>
      </c>
      <c r="P1773" s="110">
        <v>18</v>
      </c>
      <c r="Q1773" s="110">
        <v>18</v>
      </c>
      <c r="R1773">
        <v>5121452</v>
      </c>
    </row>
    <row r="1774" spans="1:18" x14ac:dyDescent="0.25">
      <c r="A1774" s="134">
        <v>44615</v>
      </c>
      <c r="B1774" s="110">
        <v>18.55</v>
      </c>
      <c r="C1774" s="110">
        <v>18.399999999999999</v>
      </c>
      <c r="D1774" s="110">
        <v>18.25</v>
      </c>
      <c r="E1774" s="110">
        <v>18.5</v>
      </c>
      <c r="F1774" s="110">
        <v>18.399999999999999</v>
      </c>
      <c r="G1774">
        <v>396811</v>
      </c>
      <c r="H1774" s="110"/>
      <c r="I1774" s="110"/>
      <c r="L1774" s="134">
        <v>44615</v>
      </c>
      <c r="M1774" s="110">
        <v>18.45</v>
      </c>
      <c r="N1774" s="110">
        <v>18.55</v>
      </c>
      <c r="O1774" s="110">
        <v>18.25</v>
      </c>
      <c r="P1774" s="110">
        <v>18.399999999999999</v>
      </c>
      <c r="Q1774" s="110">
        <v>18.45</v>
      </c>
      <c r="R1774">
        <v>2841326</v>
      </c>
    </row>
    <row r="1775" spans="1:18" x14ac:dyDescent="0.25">
      <c r="A1775" s="134">
        <v>44616</v>
      </c>
      <c r="B1775" s="110">
        <v>18.2</v>
      </c>
      <c r="C1775" s="110">
        <v>17.5</v>
      </c>
      <c r="D1775" s="110">
        <v>17</v>
      </c>
      <c r="E1775" s="110">
        <v>17.95</v>
      </c>
      <c r="F1775" s="110">
        <v>17.5</v>
      </c>
      <c r="G1775">
        <v>1167602</v>
      </c>
      <c r="H1775" s="110"/>
      <c r="I1775" s="110"/>
      <c r="L1775" s="134">
        <v>44616</v>
      </c>
      <c r="M1775" s="110">
        <v>17.3</v>
      </c>
      <c r="N1775" s="110">
        <v>18.100000000000001</v>
      </c>
      <c r="O1775" s="110">
        <v>16.95</v>
      </c>
      <c r="P1775" s="110">
        <v>17.8</v>
      </c>
      <c r="Q1775" s="110">
        <v>17.3</v>
      </c>
      <c r="R1775">
        <v>7235237</v>
      </c>
    </row>
    <row r="1776" spans="1:18" x14ac:dyDescent="0.25">
      <c r="A1776" s="134">
        <v>44617</v>
      </c>
      <c r="B1776" s="110">
        <v>18.25</v>
      </c>
      <c r="C1776" s="110">
        <v>17.7</v>
      </c>
      <c r="D1776" s="110">
        <v>17.55</v>
      </c>
      <c r="E1776" s="110">
        <v>17.899999999999999</v>
      </c>
      <c r="F1776" s="110">
        <v>17.7</v>
      </c>
      <c r="G1776">
        <v>1052144</v>
      </c>
      <c r="H1776" s="110"/>
      <c r="I1776" s="110"/>
      <c r="L1776" s="134">
        <v>44617</v>
      </c>
      <c r="M1776" s="110">
        <v>17.649999999999999</v>
      </c>
      <c r="N1776" s="110">
        <v>18.25</v>
      </c>
      <c r="O1776" s="110">
        <v>17.5</v>
      </c>
      <c r="P1776" s="110">
        <v>17.899999999999999</v>
      </c>
      <c r="Q1776" s="110">
        <v>17.649999999999999</v>
      </c>
      <c r="R1776">
        <v>5366377</v>
      </c>
    </row>
    <row r="1777" spans="1:18" x14ac:dyDescent="0.25">
      <c r="A1777" s="134">
        <v>44620</v>
      </c>
      <c r="B1777" s="110">
        <v>18.05</v>
      </c>
      <c r="C1777" s="110">
        <v>17.8</v>
      </c>
      <c r="D1777" s="110">
        <v>17.45</v>
      </c>
      <c r="E1777" s="110">
        <v>17.8</v>
      </c>
      <c r="F1777" s="110">
        <v>17.8</v>
      </c>
      <c r="G1777">
        <v>711573</v>
      </c>
      <c r="H1777" s="110"/>
      <c r="I1777" s="110"/>
      <c r="L1777" s="134">
        <v>44620</v>
      </c>
      <c r="M1777" s="110">
        <v>17.8</v>
      </c>
      <c r="N1777" s="110">
        <v>18.100000000000001</v>
      </c>
      <c r="O1777" s="110">
        <v>17.45</v>
      </c>
      <c r="P1777" s="110">
        <v>17.850000000000001</v>
      </c>
      <c r="Q1777" s="110">
        <v>17.8</v>
      </c>
      <c r="R1777">
        <v>4319415</v>
      </c>
    </row>
    <row r="1778" spans="1:18" x14ac:dyDescent="0.25">
      <c r="A1778" s="134">
        <v>44622</v>
      </c>
      <c r="B1778" s="110">
        <v>18.05</v>
      </c>
      <c r="C1778" s="110">
        <v>18</v>
      </c>
      <c r="D1778" s="110">
        <v>17.7</v>
      </c>
      <c r="E1778" s="110">
        <v>17.8</v>
      </c>
      <c r="F1778" s="110">
        <v>18</v>
      </c>
      <c r="G1778">
        <v>457280</v>
      </c>
      <c r="H1778" s="110"/>
      <c r="I1778" s="110"/>
      <c r="L1778" s="134">
        <v>44622</v>
      </c>
      <c r="M1778" s="110">
        <v>18</v>
      </c>
      <c r="N1778" s="110">
        <v>18.100000000000001</v>
      </c>
      <c r="O1778" s="110">
        <v>17.649999999999999</v>
      </c>
      <c r="P1778" s="110">
        <v>17.7</v>
      </c>
      <c r="Q1778" s="110">
        <v>18</v>
      </c>
      <c r="R1778">
        <v>2728265</v>
      </c>
    </row>
    <row r="1779" spans="1:18" x14ac:dyDescent="0.25">
      <c r="A1779" s="134">
        <v>44623</v>
      </c>
      <c r="B1779" s="110">
        <v>18.399999999999999</v>
      </c>
      <c r="C1779" s="110">
        <v>17.95</v>
      </c>
      <c r="D1779" s="110">
        <v>17.850000000000001</v>
      </c>
      <c r="E1779" s="110">
        <v>18.2</v>
      </c>
      <c r="F1779" s="110">
        <v>17.95</v>
      </c>
      <c r="G1779">
        <v>292302</v>
      </c>
      <c r="H1779" s="110"/>
      <c r="I1779" s="110"/>
      <c r="L1779" s="134">
        <v>44623</v>
      </c>
      <c r="M1779" s="110">
        <v>17.899999999999999</v>
      </c>
      <c r="N1779" s="110">
        <v>18.399999999999999</v>
      </c>
      <c r="O1779" s="110">
        <v>17.850000000000001</v>
      </c>
      <c r="P1779" s="110">
        <v>18.149999999999999</v>
      </c>
      <c r="Q1779" s="110">
        <v>17.899999999999999</v>
      </c>
      <c r="R1779">
        <v>2059057</v>
      </c>
    </row>
    <row r="1780" spans="1:18" x14ac:dyDescent="0.25">
      <c r="A1780" s="134">
        <v>44624</v>
      </c>
      <c r="B1780" s="110">
        <v>18.100000000000001</v>
      </c>
      <c r="C1780" s="110">
        <v>17.850000000000001</v>
      </c>
      <c r="D1780" s="110">
        <v>17.7</v>
      </c>
      <c r="E1780" s="110">
        <v>17.95</v>
      </c>
      <c r="F1780" s="110">
        <v>17.850000000000001</v>
      </c>
      <c r="G1780">
        <v>566811</v>
      </c>
      <c r="H1780" s="110"/>
      <c r="I1780" s="110"/>
      <c r="L1780" s="134">
        <v>44624</v>
      </c>
      <c r="M1780" s="110">
        <v>17.850000000000001</v>
      </c>
      <c r="N1780" s="110">
        <v>18.149999999999999</v>
      </c>
      <c r="O1780" s="110">
        <v>17.8</v>
      </c>
      <c r="P1780" s="110">
        <v>17.899999999999999</v>
      </c>
      <c r="Q1780" s="110">
        <v>17.850000000000001</v>
      </c>
      <c r="R1780">
        <v>2020011</v>
      </c>
    </row>
    <row r="1781" spans="1:18" x14ac:dyDescent="0.25">
      <c r="A1781" s="134">
        <v>44627</v>
      </c>
      <c r="B1781" s="110">
        <v>18.100000000000001</v>
      </c>
      <c r="C1781" s="110">
        <v>17.7</v>
      </c>
      <c r="D1781" s="110">
        <v>17.45</v>
      </c>
      <c r="E1781" s="110">
        <v>17.600000000000001</v>
      </c>
      <c r="F1781" s="110">
        <v>17.7</v>
      </c>
      <c r="G1781">
        <v>807707</v>
      </c>
      <c r="H1781" s="110"/>
      <c r="I1781" s="110"/>
      <c r="L1781" s="134">
        <v>44627</v>
      </c>
      <c r="M1781" s="110">
        <v>17.600000000000001</v>
      </c>
      <c r="N1781" s="110">
        <v>18.100000000000001</v>
      </c>
      <c r="O1781" s="110">
        <v>17.45</v>
      </c>
      <c r="P1781" s="110">
        <v>17.7</v>
      </c>
      <c r="Q1781" s="110">
        <v>17.600000000000001</v>
      </c>
      <c r="R1781">
        <v>3023272</v>
      </c>
    </row>
    <row r="1782" spans="1:18" x14ac:dyDescent="0.25">
      <c r="A1782" s="134">
        <v>44628</v>
      </c>
      <c r="B1782" s="110">
        <v>18</v>
      </c>
      <c r="C1782" s="110">
        <v>17.850000000000001</v>
      </c>
      <c r="D1782" s="110">
        <v>17.5</v>
      </c>
      <c r="E1782" s="110">
        <v>17.8</v>
      </c>
      <c r="F1782" s="110">
        <v>17.850000000000001</v>
      </c>
      <c r="G1782">
        <v>669558</v>
      </c>
      <c r="H1782" s="110"/>
      <c r="I1782" s="110"/>
      <c r="L1782" s="134">
        <v>44628</v>
      </c>
      <c r="M1782" s="110">
        <v>17.850000000000001</v>
      </c>
      <c r="N1782" s="110">
        <v>18</v>
      </c>
      <c r="O1782" s="110">
        <v>17.5</v>
      </c>
      <c r="P1782" s="110">
        <v>17.600000000000001</v>
      </c>
      <c r="Q1782" s="110">
        <v>17.850000000000001</v>
      </c>
      <c r="R1782">
        <v>2391825</v>
      </c>
    </row>
    <row r="1783" spans="1:18" x14ac:dyDescent="0.25">
      <c r="A1783" s="134">
        <v>44629</v>
      </c>
      <c r="B1783" s="110">
        <v>18.149999999999999</v>
      </c>
      <c r="C1783" s="110">
        <v>18.05</v>
      </c>
      <c r="D1783" s="110">
        <v>17.899999999999999</v>
      </c>
      <c r="E1783" s="110">
        <v>17.95</v>
      </c>
      <c r="F1783" s="110">
        <v>18.05</v>
      </c>
      <c r="G1783">
        <v>526359</v>
      </c>
      <c r="H1783" s="110"/>
      <c r="I1783" s="110"/>
      <c r="L1783" s="134">
        <v>44629</v>
      </c>
      <c r="M1783" s="110">
        <v>18.05</v>
      </c>
      <c r="N1783" s="110">
        <v>18.149999999999999</v>
      </c>
      <c r="O1783" s="110">
        <v>17.850000000000001</v>
      </c>
      <c r="P1783" s="110">
        <v>18</v>
      </c>
      <c r="Q1783" s="110">
        <v>18.05</v>
      </c>
      <c r="R1783">
        <v>2630105</v>
      </c>
    </row>
    <row r="1784" spans="1:18" x14ac:dyDescent="0.25">
      <c r="A1784" s="134">
        <v>44630</v>
      </c>
      <c r="B1784" s="110">
        <v>18.5</v>
      </c>
      <c r="C1784" s="110">
        <v>18.25</v>
      </c>
      <c r="D1784" s="110">
        <v>18.149999999999999</v>
      </c>
      <c r="E1784" s="110">
        <v>18.3</v>
      </c>
      <c r="F1784" s="110">
        <v>18.25</v>
      </c>
      <c r="G1784">
        <v>608388</v>
      </c>
      <c r="H1784" s="110"/>
      <c r="I1784" s="110"/>
      <c r="L1784" s="134">
        <v>44630</v>
      </c>
      <c r="M1784" s="110">
        <v>18.25</v>
      </c>
      <c r="N1784" s="110">
        <v>18.5</v>
      </c>
      <c r="O1784" s="110">
        <v>18.100000000000001</v>
      </c>
      <c r="P1784" s="110">
        <v>18.25</v>
      </c>
      <c r="Q1784" s="110">
        <v>18.25</v>
      </c>
      <c r="R1784">
        <v>2510411</v>
      </c>
    </row>
    <row r="1785" spans="1:18" x14ac:dyDescent="0.25">
      <c r="A1785" s="134">
        <v>44631</v>
      </c>
      <c r="B1785" s="110">
        <v>18.350000000000001</v>
      </c>
      <c r="C1785" s="110">
        <v>18.149999999999999</v>
      </c>
      <c r="D1785" s="110">
        <v>18.05</v>
      </c>
      <c r="E1785" s="110">
        <v>18.100000000000001</v>
      </c>
      <c r="F1785" s="110">
        <v>18.149999999999999</v>
      </c>
      <c r="G1785">
        <v>1071458</v>
      </c>
      <c r="H1785" s="110"/>
      <c r="I1785" s="110"/>
      <c r="L1785" s="134">
        <v>44631</v>
      </c>
      <c r="M1785" s="110">
        <v>18.100000000000001</v>
      </c>
      <c r="N1785" s="110">
        <v>18.350000000000001</v>
      </c>
      <c r="O1785" s="110">
        <v>18.05</v>
      </c>
      <c r="P1785" s="110">
        <v>18.2</v>
      </c>
      <c r="Q1785" s="110">
        <v>18.100000000000001</v>
      </c>
      <c r="R1785">
        <v>2611402</v>
      </c>
    </row>
    <row r="1786" spans="1:18" x14ac:dyDescent="0.25">
      <c r="A1786" s="134">
        <v>44634</v>
      </c>
      <c r="B1786" s="110">
        <v>18.25</v>
      </c>
      <c r="C1786" s="110">
        <v>17.95</v>
      </c>
      <c r="D1786" s="110">
        <v>17.850000000000001</v>
      </c>
      <c r="E1786" s="110">
        <v>18.2</v>
      </c>
      <c r="F1786" s="110">
        <v>17.95</v>
      </c>
      <c r="G1786">
        <v>670882</v>
      </c>
      <c r="H1786" s="110"/>
      <c r="I1786" s="110"/>
      <c r="L1786" s="134">
        <v>44634</v>
      </c>
      <c r="M1786" s="110">
        <v>17.95</v>
      </c>
      <c r="N1786" s="110">
        <v>18.3</v>
      </c>
      <c r="O1786" s="110">
        <v>17.850000000000001</v>
      </c>
      <c r="P1786" s="110">
        <v>18.149999999999999</v>
      </c>
      <c r="Q1786" s="110">
        <v>17.95</v>
      </c>
      <c r="R1786">
        <v>2290436</v>
      </c>
    </row>
    <row r="1787" spans="1:18" x14ac:dyDescent="0.25">
      <c r="A1787" s="134">
        <v>44635</v>
      </c>
      <c r="B1787" s="110">
        <v>18.149999999999999</v>
      </c>
      <c r="C1787" s="110">
        <v>17.850000000000001</v>
      </c>
      <c r="D1787" s="110">
        <v>17.7</v>
      </c>
      <c r="E1787" s="110">
        <v>17.95</v>
      </c>
      <c r="F1787" s="110">
        <v>17.850000000000001</v>
      </c>
      <c r="G1787">
        <v>566878</v>
      </c>
      <c r="H1787" s="110"/>
      <c r="I1787" s="110"/>
      <c r="L1787" s="134">
        <v>44635</v>
      </c>
      <c r="M1787" s="110">
        <v>17.850000000000001</v>
      </c>
      <c r="N1787" s="110">
        <v>18.100000000000001</v>
      </c>
      <c r="O1787" s="110">
        <v>17.7</v>
      </c>
      <c r="P1787" s="110">
        <v>18</v>
      </c>
      <c r="Q1787" s="110">
        <v>17.850000000000001</v>
      </c>
      <c r="R1787">
        <v>2403908</v>
      </c>
    </row>
    <row r="1788" spans="1:18" x14ac:dyDescent="0.25">
      <c r="A1788" s="134">
        <v>44636</v>
      </c>
      <c r="B1788" s="110">
        <v>18.100000000000001</v>
      </c>
      <c r="C1788" s="110">
        <v>17.899999999999999</v>
      </c>
      <c r="D1788" s="110">
        <v>17.850000000000001</v>
      </c>
      <c r="E1788" s="110">
        <v>18</v>
      </c>
      <c r="F1788" s="110">
        <v>17.899999999999999</v>
      </c>
      <c r="G1788">
        <v>393098</v>
      </c>
      <c r="H1788" s="110"/>
      <c r="I1788" s="110"/>
      <c r="L1788" s="134">
        <v>44636</v>
      </c>
      <c r="M1788" s="110">
        <v>17.899999999999999</v>
      </c>
      <c r="N1788" s="110">
        <v>18.05</v>
      </c>
      <c r="O1788" s="110">
        <v>17.850000000000001</v>
      </c>
      <c r="P1788" s="110">
        <v>17.95</v>
      </c>
      <c r="Q1788" s="110">
        <v>17.899999999999999</v>
      </c>
      <c r="R1788">
        <v>2307314</v>
      </c>
    </row>
    <row r="1789" spans="1:18" x14ac:dyDescent="0.25">
      <c r="A1789" s="134">
        <v>44637</v>
      </c>
      <c r="B1789" s="110">
        <v>18.100000000000001</v>
      </c>
      <c r="C1789" s="110">
        <v>17.899999999999999</v>
      </c>
      <c r="D1789" s="110">
        <v>17.8</v>
      </c>
      <c r="E1789" s="110">
        <v>18.100000000000001</v>
      </c>
      <c r="F1789" s="110">
        <v>17.899999999999999</v>
      </c>
      <c r="G1789">
        <v>532232</v>
      </c>
      <c r="H1789" s="110"/>
      <c r="I1789" s="110"/>
      <c r="L1789" s="134">
        <v>44637</v>
      </c>
      <c r="M1789" s="110">
        <v>17.850000000000001</v>
      </c>
      <c r="N1789" s="110">
        <v>18.05</v>
      </c>
      <c r="O1789" s="110">
        <v>17.75</v>
      </c>
      <c r="P1789" s="110">
        <v>18.05</v>
      </c>
      <c r="Q1789" s="110">
        <v>17.850000000000001</v>
      </c>
      <c r="R1789">
        <v>2554832</v>
      </c>
    </row>
    <row r="1790" spans="1:18" x14ac:dyDescent="0.25">
      <c r="A1790" s="134">
        <v>44641</v>
      </c>
      <c r="B1790" s="110">
        <v>18.149999999999999</v>
      </c>
      <c r="C1790" s="110">
        <v>17.899999999999999</v>
      </c>
      <c r="D1790" s="110">
        <v>17.8</v>
      </c>
      <c r="E1790" s="110">
        <v>18</v>
      </c>
      <c r="F1790" s="110">
        <v>17.899999999999999</v>
      </c>
      <c r="G1790">
        <v>792662</v>
      </c>
      <c r="H1790" s="110"/>
      <c r="I1790" s="110"/>
      <c r="L1790" s="134">
        <v>44641</v>
      </c>
      <c r="M1790" s="110">
        <v>17.850000000000001</v>
      </c>
      <c r="N1790" s="110">
        <v>18.149999999999999</v>
      </c>
      <c r="O1790" s="110">
        <v>17.8</v>
      </c>
      <c r="P1790" s="110">
        <v>17.899999999999999</v>
      </c>
      <c r="Q1790" s="110">
        <v>17.850000000000001</v>
      </c>
      <c r="R1790">
        <v>2982431</v>
      </c>
    </row>
    <row r="1791" spans="1:18" x14ac:dyDescent="0.25">
      <c r="A1791" s="134">
        <v>44642</v>
      </c>
      <c r="B1791" s="110">
        <v>17.95</v>
      </c>
      <c r="C1791" s="110">
        <v>17.850000000000001</v>
      </c>
      <c r="D1791" s="110">
        <v>17.75</v>
      </c>
      <c r="E1791" s="110">
        <v>17.850000000000001</v>
      </c>
      <c r="F1791" s="110">
        <v>17.850000000000001</v>
      </c>
      <c r="G1791">
        <v>618623</v>
      </c>
      <c r="H1791" s="110"/>
      <c r="I1791" s="110"/>
      <c r="L1791" s="134">
        <v>44642</v>
      </c>
      <c r="M1791" s="110">
        <v>17.850000000000001</v>
      </c>
      <c r="N1791" s="110">
        <v>17.95</v>
      </c>
      <c r="O1791" s="110">
        <v>17.75</v>
      </c>
      <c r="P1791" s="110">
        <v>17.899999999999999</v>
      </c>
      <c r="Q1791" s="110">
        <v>17.850000000000001</v>
      </c>
      <c r="R1791">
        <v>2426450</v>
      </c>
    </row>
    <row r="1792" spans="1:18" x14ac:dyDescent="0.25">
      <c r="A1792" s="134">
        <v>44643</v>
      </c>
      <c r="B1792" s="110">
        <v>18</v>
      </c>
      <c r="C1792" s="110">
        <v>17.75</v>
      </c>
      <c r="D1792" s="110">
        <v>17.5</v>
      </c>
      <c r="E1792" s="110">
        <v>17.899999999999999</v>
      </c>
      <c r="F1792" s="110">
        <v>17.75</v>
      </c>
      <c r="G1792">
        <v>848108</v>
      </c>
      <c r="H1792" s="110"/>
      <c r="I1792" s="110"/>
      <c r="L1792" s="134">
        <v>44643</v>
      </c>
      <c r="M1792" s="110">
        <v>17.75</v>
      </c>
      <c r="N1792" s="110">
        <v>17.95</v>
      </c>
      <c r="O1792" s="110">
        <v>17.5</v>
      </c>
      <c r="P1792" s="110">
        <v>17.850000000000001</v>
      </c>
      <c r="Q1792" s="110">
        <v>17.75</v>
      </c>
      <c r="R1792">
        <v>2840026</v>
      </c>
    </row>
    <row r="1793" spans="1:18" x14ac:dyDescent="0.25">
      <c r="A1793" s="134">
        <v>44644</v>
      </c>
      <c r="B1793" s="110">
        <v>17.8</v>
      </c>
      <c r="C1793" s="110">
        <v>17.600000000000001</v>
      </c>
      <c r="D1793" s="110">
        <v>17.55</v>
      </c>
      <c r="E1793" s="110">
        <v>17.7</v>
      </c>
      <c r="F1793" s="110">
        <v>17.600000000000001</v>
      </c>
      <c r="G1793">
        <v>556040</v>
      </c>
      <c r="H1793" s="110"/>
      <c r="I1793" s="110"/>
      <c r="L1793" s="134">
        <v>44644</v>
      </c>
      <c r="M1793" s="110">
        <v>17.649999999999999</v>
      </c>
      <c r="N1793" s="110">
        <v>17.8</v>
      </c>
      <c r="O1793" s="110">
        <v>17.55</v>
      </c>
      <c r="P1793" s="110">
        <v>17.649999999999999</v>
      </c>
      <c r="Q1793" s="110">
        <v>17.649999999999999</v>
      </c>
      <c r="R1793">
        <v>2218547</v>
      </c>
    </row>
    <row r="1794" spans="1:18" x14ac:dyDescent="0.25">
      <c r="A1794" s="134">
        <v>44645</v>
      </c>
      <c r="B1794" s="110">
        <v>17.8</v>
      </c>
      <c r="C1794" s="110">
        <v>17.5</v>
      </c>
      <c r="D1794" s="110">
        <v>17.350000000000001</v>
      </c>
      <c r="E1794" s="110">
        <v>17.55</v>
      </c>
      <c r="F1794" s="110">
        <v>17.5</v>
      </c>
      <c r="G1794">
        <v>553963</v>
      </c>
      <c r="H1794" s="110"/>
      <c r="I1794" s="110"/>
      <c r="L1794" s="134">
        <v>44645</v>
      </c>
      <c r="M1794" s="110">
        <v>17.45</v>
      </c>
      <c r="N1794" s="110">
        <v>17.75</v>
      </c>
      <c r="O1794" s="110">
        <v>17.3</v>
      </c>
      <c r="P1794" s="110">
        <v>17.7</v>
      </c>
      <c r="Q1794" s="110">
        <v>17.45</v>
      </c>
      <c r="R1794">
        <v>3718000</v>
      </c>
    </row>
    <row r="1795" spans="1:18" x14ac:dyDescent="0.25">
      <c r="A1795" s="134">
        <v>44648</v>
      </c>
      <c r="B1795" s="110">
        <v>18.3</v>
      </c>
      <c r="C1795" s="110">
        <v>17.7</v>
      </c>
      <c r="D1795" s="110">
        <v>15.85</v>
      </c>
      <c r="E1795" s="110">
        <v>17.350000000000001</v>
      </c>
      <c r="F1795" s="110">
        <v>17.7</v>
      </c>
      <c r="G1795">
        <v>3189790</v>
      </c>
      <c r="H1795" s="110"/>
      <c r="I1795" s="110"/>
      <c r="L1795" s="134">
        <v>44648</v>
      </c>
      <c r="M1795" s="110">
        <v>17.75</v>
      </c>
      <c r="N1795" s="110">
        <v>19.7</v>
      </c>
      <c r="O1795" s="110">
        <v>15.15</v>
      </c>
      <c r="P1795" s="110">
        <v>17.399999999999999</v>
      </c>
      <c r="Q1795" s="110">
        <v>17.75</v>
      </c>
      <c r="R1795">
        <v>15995592</v>
      </c>
    </row>
    <row r="1796" spans="1:18" x14ac:dyDescent="0.25">
      <c r="A1796" s="134">
        <v>44649</v>
      </c>
      <c r="B1796" s="110">
        <v>17.8</v>
      </c>
      <c r="C1796" s="110">
        <v>16.55</v>
      </c>
      <c r="D1796" s="110">
        <v>16.3</v>
      </c>
      <c r="E1796" s="110">
        <v>17.75</v>
      </c>
      <c r="F1796" s="110">
        <v>16.55</v>
      </c>
      <c r="G1796">
        <v>1974284</v>
      </c>
      <c r="H1796" s="110"/>
      <c r="I1796" s="110"/>
      <c r="L1796" s="134">
        <v>44649</v>
      </c>
      <c r="M1796" s="110">
        <v>16.55</v>
      </c>
      <c r="N1796" s="110">
        <v>17.8</v>
      </c>
      <c r="O1796" s="110">
        <v>16.05</v>
      </c>
      <c r="P1796" s="110">
        <v>17.7</v>
      </c>
      <c r="Q1796" s="110">
        <v>16.55</v>
      </c>
      <c r="R1796">
        <v>16295103</v>
      </c>
    </row>
    <row r="1797" spans="1:18" x14ac:dyDescent="0.25">
      <c r="A1797" s="134">
        <v>44650</v>
      </c>
      <c r="B1797" s="110">
        <v>17.55</v>
      </c>
      <c r="C1797" s="110">
        <v>17.149999999999999</v>
      </c>
      <c r="D1797" s="110">
        <v>16.649999999999999</v>
      </c>
      <c r="E1797" s="110">
        <v>16.7</v>
      </c>
      <c r="F1797" s="110">
        <v>17.149999999999999</v>
      </c>
      <c r="G1797">
        <v>1181304</v>
      </c>
      <c r="H1797" s="110"/>
      <c r="I1797" s="110"/>
      <c r="L1797" s="134">
        <v>44650</v>
      </c>
      <c r="M1797" s="110">
        <v>17.25</v>
      </c>
      <c r="N1797" s="110">
        <v>17.600000000000001</v>
      </c>
      <c r="O1797" s="110">
        <v>16.7</v>
      </c>
      <c r="P1797" s="110">
        <v>16.8</v>
      </c>
      <c r="Q1797" s="110">
        <v>17.25</v>
      </c>
      <c r="R1797">
        <v>6082334</v>
      </c>
    </row>
    <row r="1798" spans="1:18" x14ac:dyDescent="0.25">
      <c r="A1798" s="134">
        <v>44651</v>
      </c>
      <c r="B1798" s="110">
        <v>17.3</v>
      </c>
      <c r="C1798" s="110">
        <v>16.7</v>
      </c>
      <c r="D1798" s="110">
        <v>16.649999999999999</v>
      </c>
      <c r="E1798" s="110">
        <v>17.2</v>
      </c>
      <c r="F1798" s="110">
        <v>16.7</v>
      </c>
      <c r="G1798">
        <v>680308</v>
      </c>
      <c r="H1798" s="110"/>
      <c r="I1798" s="110"/>
      <c r="L1798" s="134">
        <v>44651</v>
      </c>
      <c r="M1798" s="110">
        <v>16.7</v>
      </c>
      <c r="N1798" s="110">
        <v>17.350000000000001</v>
      </c>
      <c r="O1798" s="110">
        <v>16.649999999999999</v>
      </c>
      <c r="P1798" s="110">
        <v>17.25</v>
      </c>
      <c r="Q1798" s="110">
        <v>16.7</v>
      </c>
      <c r="R1798">
        <v>4442828</v>
      </c>
    </row>
    <row r="1799" spans="1:18" x14ac:dyDescent="0.25">
      <c r="A1799" s="134">
        <v>44652</v>
      </c>
      <c r="B1799" s="110">
        <v>17.45</v>
      </c>
      <c r="C1799" s="110">
        <v>17.399999999999999</v>
      </c>
      <c r="D1799" s="110">
        <v>16.850000000000001</v>
      </c>
      <c r="E1799" s="110">
        <v>16.899999999999999</v>
      </c>
      <c r="F1799" s="110">
        <v>17.399999999999999</v>
      </c>
      <c r="G1799">
        <v>786985</v>
      </c>
      <c r="H1799" s="110"/>
      <c r="I1799" s="110"/>
      <c r="L1799" s="134">
        <v>44652</v>
      </c>
      <c r="M1799" s="110">
        <v>17.350000000000001</v>
      </c>
      <c r="N1799" s="110">
        <v>17.5</v>
      </c>
      <c r="O1799" s="110">
        <v>16.899999999999999</v>
      </c>
      <c r="P1799" s="110">
        <v>16.899999999999999</v>
      </c>
      <c r="Q1799" s="110">
        <v>17.350000000000001</v>
      </c>
      <c r="R1799">
        <v>3586014</v>
      </c>
    </row>
    <row r="1800" spans="1:18" x14ac:dyDescent="0.25">
      <c r="A1800" s="134">
        <v>44655</v>
      </c>
      <c r="B1800" s="110">
        <v>18.149999999999999</v>
      </c>
      <c r="C1800" s="110">
        <v>18</v>
      </c>
      <c r="D1800" s="110">
        <v>17.399999999999999</v>
      </c>
      <c r="E1800" s="110">
        <v>17.399999999999999</v>
      </c>
      <c r="F1800" s="110">
        <v>18</v>
      </c>
      <c r="G1800">
        <v>1231260</v>
      </c>
      <c r="H1800" s="110"/>
      <c r="I1800" s="110"/>
      <c r="L1800" s="134">
        <v>44655</v>
      </c>
      <c r="M1800" s="110">
        <v>18</v>
      </c>
      <c r="N1800" s="110">
        <v>18.149999999999999</v>
      </c>
      <c r="O1800" s="110">
        <v>17.399999999999999</v>
      </c>
      <c r="P1800" s="110">
        <v>17.5</v>
      </c>
      <c r="Q1800" s="110">
        <v>18</v>
      </c>
      <c r="R1800">
        <v>5464119</v>
      </c>
    </row>
    <row r="1801" spans="1:18" x14ac:dyDescent="0.25">
      <c r="A1801" s="134">
        <v>44656</v>
      </c>
      <c r="B1801" s="110">
        <v>18.7</v>
      </c>
      <c r="C1801" s="110">
        <v>18.399999999999999</v>
      </c>
      <c r="D1801" s="110">
        <v>18.25</v>
      </c>
      <c r="E1801" s="110">
        <v>18.5</v>
      </c>
      <c r="F1801" s="110">
        <v>18.399999999999999</v>
      </c>
      <c r="G1801">
        <v>1349196</v>
      </c>
      <c r="H1801" s="110"/>
      <c r="I1801" s="110"/>
      <c r="L1801" s="134">
        <v>44656</v>
      </c>
      <c r="M1801" s="110">
        <v>18.399999999999999</v>
      </c>
      <c r="N1801" s="110">
        <v>18.75</v>
      </c>
      <c r="O1801" s="110">
        <v>18.25</v>
      </c>
      <c r="P1801" s="110">
        <v>18.5</v>
      </c>
      <c r="Q1801" s="110">
        <v>18.399999999999999</v>
      </c>
      <c r="R1801">
        <v>4988675</v>
      </c>
    </row>
    <row r="1802" spans="1:18" x14ac:dyDescent="0.25">
      <c r="A1802" s="134">
        <v>44657</v>
      </c>
      <c r="B1802" s="110">
        <v>19</v>
      </c>
      <c r="C1802" s="110">
        <v>18.75</v>
      </c>
      <c r="D1802" s="110">
        <v>18.149999999999999</v>
      </c>
      <c r="E1802" s="110">
        <v>18.600000000000001</v>
      </c>
      <c r="F1802" s="110">
        <v>18.75</v>
      </c>
      <c r="G1802">
        <v>1731728</v>
      </c>
      <c r="H1802" s="110"/>
      <c r="I1802" s="110"/>
      <c r="L1802" s="134">
        <v>44657</v>
      </c>
      <c r="M1802" s="110">
        <v>18.75</v>
      </c>
      <c r="N1802" s="110">
        <v>19.05</v>
      </c>
      <c r="O1802" s="110">
        <v>18.100000000000001</v>
      </c>
      <c r="P1802" s="110">
        <v>18.2</v>
      </c>
      <c r="Q1802" s="110">
        <v>18.75</v>
      </c>
      <c r="R1802">
        <v>5873344</v>
      </c>
    </row>
    <row r="1803" spans="1:18" x14ac:dyDescent="0.25">
      <c r="A1803" s="134">
        <v>44658</v>
      </c>
      <c r="B1803" s="110">
        <v>19.399999999999999</v>
      </c>
      <c r="C1803" s="110">
        <v>18.850000000000001</v>
      </c>
      <c r="D1803" s="110">
        <v>18.75</v>
      </c>
      <c r="E1803" s="110">
        <v>18.75</v>
      </c>
      <c r="F1803" s="110">
        <v>18.850000000000001</v>
      </c>
      <c r="G1803">
        <v>2291324</v>
      </c>
      <c r="H1803" s="110"/>
      <c r="I1803" s="110"/>
      <c r="L1803" s="134">
        <v>44658</v>
      </c>
      <c r="M1803" s="110">
        <v>18.850000000000001</v>
      </c>
      <c r="N1803" s="110">
        <v>19.399999999999999</v>
      </c>
      <c r="O1803" s="110">
        <v>18.7</v>
      </c>
      <c r="P1803" s="110">
        <v>18.95</v>
      </c>
      <c r="Q1803" s="110">
        <v>18.850000000000001</v>
      </c>
      <c r="R1803">
        <v>7018668</v>
      </c>
    </row>
    <row r="1804" spans="1:18" x14ac:dyDescent="0.25">
      <c r="A1804" s="134">
        <v>44659</v>
      </c>
      <c r="B1804" s="110">
        <v>19.149999999999999</v>
      </c>
      <c r="C1804" s="110">
        <v>18.75</v>
      </c>
      <c r="D1804" s="110">
        <v>18.649999999999999</v>
      </c>
      <c r="E1804" s="110">
        <v>18.850000000000001</v>
      </c>
      <c r="F1804" s="110">
        <v>18.75</v>
      </c>
      <c r="G1804">
        <v>1126726</v>
      </c>
      <c r="H1804" s="110"/>
      <c r="I1804" s="110"/>
      <c r="L1804" s="134">
        <v>44659</v>
      </c>
      <c r="M1804" s="110">
        <v>18.8</v>
      </c>
      <c r="N1804" s="110">
        <v>19.2</v>
      </c>
      <c r="O1804" s="110">
        <v>18.649999999999999</v>
      </c>
      <c r="P1804" s="110">
        <v>19</v>
      </c>
      <c r="Q1804" s="110">
        <v>18.8</v>
      </c>
      <c r="R1804">
        <v>4253123</v>
      </c>
    </row>
    <row r="1805" spans="1:18" x14ac:dyDescent="0.25">
      <c r="A1805" s="134">
        <v>44662</v>
      </c>
      <c r="B1805" s="110">
        <v>19.05</v>
      </c>
      <c r="C1805" s="110">
        <v>18.8</v>
      </c>
      <c r="D1805" s="110">
        <v>18.45</v>
      </c>
      <c r="E1805" s="110">
        <v>18.8</v>
      </c>
      <c r="F1805" s="110">
        <v>18.8</v>
      </c>
      <c r="G1805">
        <v>402426</v>
      </c>
      <c r="H1805" s="110"/>
      <c r="I1805" s="110"/>
      <c r="L1805" s="134">
        <v>44662</v>
      </c>
      <c r="M1805" s="110">
        <v>18.75</v>
      </c>
      <c r="N1805" s="110">
        <v>19.100000000000001</v>
      </c>
      <c r="O1805" s="110">
        <v>18</v>
      </c>
      <c r="P1805" s="110">
        <v>18.850000000000001</v>
      </c>
      <c r="Q1805" s="110">
        <v>18.75</v>
      </c>
      <c r="R1805">
        <v>3413652</v>
      </c>
    </row>
    <row r="1806" spans="1:18" x14ac:dyDescent="0.25">
      <c r="A1806" s="134">
        <v>44663</v>
      </c>
      <c r="B1806" s="110">
        <v>18.8</v>
      </c>
      <c r="C1806" s="110">
        <v>18.45</v>
      </c>
      <c r="D1806" s="110">
        <v>18.3</v>
      </c>
      <c r="E1806" s="110">
        <v>18.8</v>
      </c>
      <c r="F1806" s="110">
        <v>18.45</v>
      </c>
      <c r="G1806">
        <v>591637</v>
      </c>
      <c r="H1806" s="110"/>
      <c r="I1806" s="110"/>
      <c r="L1806" s="134">
        <v>44663</v>
      </c>
      <c r="M1806" s="110">
        <v>18.45</v>
      </c>
      <c r="N1806" s="110">
        <v>18.8</v>
      </c>
      <c r="O1806" s="110">
        <v>18.3</v>
      </c>
      <c r="P1806" s="110">
        <v>18.8</v>
      </c>
      <c r="Q1806" s="110">
        <v>18.45</v>
      </c>
      <c r="R1806">
        <v>2413959</v>
      </c>
    </row>
    <row r="1807" spans="1:18" x14ac:dyDescent="0.25">
      <c r="A1807" s="134">
        <v>44664</v>
      </c>
      <c r="B1807" s="110">
        <v>18.649999999999999</v>
      </c>
      <c r="C1807" s="110">
        <v>18.399999999999999</v>
      </c>
      <c r="D1807" s="110">
        <v>18.350000000000001</v>
      </c>
      <c r="E1807" s="110">
        <v>18.5</v>
      </c>
      <c r="F1807" s="110">
        <v>18.399999999999999</v>
      </c>
      <c r="G1807">
        <v>370991</v>
      </c>
      <c r="H1807" s="110"/>
      <c r="I1807" s="110"/>
      <c r="L1807" s="134">
        <v>44664</v>
      </c>
      <c r="M1807" s="110">
        <v>18.399999999999999</v>
      </c>
      <c r="N1807" s="110">
        <v>18.649999999999999</v>
      </c>
      <c r="O1807" s="110">
        <v>18.350000000000001</v>
      </c>
      <c r="P1807" s="110">
        <v>18.55</v>
      </c>
      <c r="Q1807" s="110">
        <v>18.399999999999999</v>
      </c>
      <c r="R1807">
        <v>1667224</v>
      </c>
    </row>
    <row r="1808" spans="1:18" x14ac:dyDescent="0.25">
      <c r="A1808" s="134">
        <v>44669</v>
      </c>
      <c r="B1808" s="110">
        <v>18.3</v>
      </c>
      <c r="C1808" s="110">
        <v>17.899999999999999</v>
      </c>
      <c r="D1808" s="110">
        <v>17.8</v>
      </c>
      <c r="E1808" s="110">
        <v>18.3</v>
      </c>
      <c r="F1808" s="110">
        <v>17.899999999999999</v>
      </c>
      <c r="G1808">
        <v>578099</v>
      </c>
      <c r="H1808" s="110"/>
      <c r="I1808" s="110"/>
      <c r="L1808" s="134">
        <v>44669</v>
      </c>
      <c r="M1808" s="110">
        <v>17.899999999999999</v>
      </c>
      <c r="N1808" s="110">
        <v>18.3</v>
      </c>
      <c r="O1808" s="110">
        <v>17.8</v>
      </c>
      <c r="P1808" s="110">
        <v>18.2</v>
      </c>
      <c r="Q1808" s="110">
        <v>17.899999999999999</v>
      </c>
      <c r="R1808">
        <v>2885091</v>
      </c>
    </row>
    <row r="1809" spans="1:18" x14ac:dyDescent="0.25">
      <c r="A1809" s="134">
        <v>44670</v>
      </c>
      <c r="B1809" s="110">
        <v>18.399999999999999</v>
      </c>
      <c r="C1809" s="110">
        <v>17.899999999999999</v>
      </c>
      <c r="D1809" s="110">
        <v>17.75</v>
      </c>
      <c r="E1809" s="110">
        <v>18.149999999999999</v>
      </c>
      <c r="F1809" s="110">
        <v>17.899999999999999</v>
      </c>
      <c r="G1809">
        <v>373860</v>
      </c>
      <c r="H1809" s="110"/>
      <c r="I1809" s="110"/>
      <c r="L1809" s="134">
        <v>44670</v>
      </c>
      <c r="M1809" s="110">
        <v>17.95</v>
      </c>
      <c r="N1809" s="110">
        <v>18.399999999999999</v>
      </c>
      <c r="O1809" s="110">
        <v>17.7</v>
      </c>
      <c r="P1809" s="110">
        <v>18.100000000000001</v>
      </c>
      <c r="Q1809" s="110">
        <v>17.95</v>
      </c>
      <c r="R1809">
        <v>3329394</v>
      </c>
    </row>
    <row r="1810" spans="1:18" x14ac:dyDescent="0.25">
      <c r="A1810" s="134">
        <v>44671</v>
      </c>
      <c r="B1810" s="110">
        <v>18.350000000000001</v>
      </c>
      <c r="C1810" s="110">
        <v>18.25</v>
      </c>
      <c r="D1810" s="110">
        <v>17.850000000000001</v>
      </c>
      <c r="E1810" s="110">
        <v>18</v>
      </c>
      <c r="F1810" s="110">
        <v>18.25</v>
      </c>
      <c r="G1810">
        <v>507158</v>
      </c>
      <c r="H1810" s="110"/>
      <c r="I1810" s="110"/>
      <c r="L1810" s="134">
        <v>44671</v>
      </c>
      <c r="M1810" s="110">
        <v>18.25</v>
      </c>
      <c r="N1810" s="110">
        <v>18.399999999999999</v>
      </c>
      <c r="O1810" s="110">
        <v>17.850000000000001</v>
      </c>
      <c r="P1810" s="110">
        <v>17.95</v>
      </c>
      <c r="Q1810" s="110">
        <v>18.25</v>
      </c>
      <c r="R1810">
        <v>3026470</v>
      </c>
    </row>
    <row r="1811" spans="1:18" x14ac:dyDescent="0.25">
      <c r="A1811" s="134">
        <v>44672</v>
      </c>
      <c r="B1811" s="110">
        <v>18.55</v>
      </c>
      <c r="C1811" s="110">
        <v>18.350000000000001</v>
      </c>
      <c r="D1811" s="110">
        <v>18.25</v>
      </c>
      <c r="E1811" s="110">
        <v>18.25</v>
      </c>
      <c r="F1811" s="110">
        <v>18.350000000000001</v>
      </c>
      <c r="G1811">
        <v>224531</v>
      </c>
      <c r="H1811" s="110"/>
      <c r="I1811" s="110"/>
      <c r="L1811" s="134">
        <v>44672</v>
      </c>
      <c r="M1811" s="110">
        <v>18.3</v>
      </c>
      <c r="N1811" s="110">
        <v>18.600000000000001</v>
      </c>
      <c r="O1811" s="110">
        <v>18.25</v>
      </c>
      <c r="P1811" s="110">
        <v>18.350000000000001</v>
      </c>
      <c r="Q1811" s="110">
        <v>18.3</v>
      </c>
      <c r="R1811">
        <v>1912522</v>
      </c>
    </row>
    <row r="1812" spans="1:18" x14ac:dyDescent="0.25">
      <c r="A1812" s="134">
        <v>44673</v>
      </c>
      <c r="B1812" s="110">
        <v>18.399999999999999</v>
      </c>
      <c r="C1812" s="110">
        <v>18.2</v>
      </c>
      <c r="D1812" s="110">
        <v>18.100000000000001</v>
      </c>
      <c r="E1812" s="110">
        <v>18.3</v>
      </c>
      <c r="F1812" s="110">
        <v>18.2</v>
      </c>
      <c r="G1812">
        <v>592757</v>
      </c>
      <c r="H1812" s="110"/>
      <c r="I1812" s="110"/>
      <c r="L1812" s="134">
        <v>44673</v>
      </c>
      <c r="M1812" s="110">
        <v>18.2</v>
      </c>
      <c r="N1812" s="110">
        <v>18.399999999999999</v>
      </c>
      <c r="O1812" s="110">
        <v>18.100000000000001</v>
      </c>
      <c r="P1812" s="110">
        <v>18.2</v>
      </c>
      <c r="Q1812" s="110">
        <v>18.2</v>
      </c>
      <c r="R1812">
        <v>1786130</v>
      </c>
    </row>
    <row r="1813" spans="1:18" x14ac:dyDescent="0.25">
      <c r="A1813" s="134">
        <v>44676</v>
      </c>
      <c r="B1813" s="110">
        <v>18.149999999999999</v>
      </c>
      <c r="C1813" s="110">
        <v>17.95</v>
      </c>
      <c r="D1813" s="110">
        <v>17.850000000000001</v>
      </c>
      <c r="E1813" s="110">
        <v>18.05</v>
      </c>
      <c r="F1813" s="110">
        <v>17.95</v>
      </c>
      <c r="G1813">
        <v>270263</v>
      </c>
      <c r="H1813" s="110"/>
      <c r="I1813" s="110"/>
      <c r="L1813" s="134">
        <v>44676</v>
      </c>
      <c r="M1813" s="110">
        <v>17.899999999999999</v>
      </c>
      <c r="N1813" s="110">
        <v>18.149999999999999</v>
      </c>
      <c r="O1813" s="110">
        <v>17.850000000000001</v>
      </c>
      <c r="P1813" s="110">
        <v>18</v>
      </c>
      <c r="Q1813" s="110">
        <v>17.899999999999999</v>
      </c>
      <c r="R1813">
        <v>2118906</v>
      </c>
    </row>
    <row r="1814" spans="1:18" x14ac:dyDescent="0.25">
      <c r="A1814" s="134">
        <v>44677</v>
      </c>
      <c r="B1814" s="110">
        <v>18.25</v>
      </c>
      <c r="C1814" s="110">
        <v>18</v>
      </c>
      <c r="D1814" s="110">
        <v>17.95</v>
      </c>
      <c r="E1814" s="110">
        <v>18</v>
      </c>
      <c r="F1814" s="110">
        <v>18</v>
      </c>
      <c r="G1814">
        <v>415268</v>
      </c>
      <c r="H1814" s="110"/>
      <c r="I1814" s="110"/>
      <c r="L1814" s="134">
        <v>44677</v>
      </c>
      <c r="M1814" s="110">
        <v>18.05</v>
      </c>
      <c r="N1814" s="110">
        <v>18.25</v>
      </c>
      <c r="O1814" s="110">
        <v>17.95</v>
      </c>
      <c r="P1814" s="110">
        <v>18</v>
      </c>
      <c r="Q1814" s="110">
        <v>18.05</v>
      </c>
      <c r="R1814">
        <v>1828675</v>
      </c>
    </row>
    <row r="1815" spans="1:18" x14ac:dyDescent="0.25">
      <c r="A1815" s="134">
        <v>44678</v>
      </c>
      <c r="B1815" s="110">
        <v>18.100000000000001</v>
      </c>
      <c r="C1815" s="110">
        <v>17.8</v>
      </c>
      <c r="D1815" s="110">
        <v>17.75</v>
      </c>
      <c r="E1815" s="110">
        <v>18</v>
      </c>
      <c r="F1815" s="110">
        <v>17.8</v>
      </c>
      <c r="G1815">
        <v>430201</v>
      </c>
      <c r="H1815" s="110"/>
      <c r="I1815" s="110"/>
      <c r="L1815" s="134">
        <v>44678</v>
      </c>
      <c r="M1815" s="110">
        <v>17.8</v>
      </c>
      <c r="N1815" s="110">
        <v>18.149999999999999</v>
      </c>
      <c r="O1815" s="110">
        <v>17.75</v>
      </c>
      <c r="P1815" s="110">
        <v>18.05</v>
      </c>
      <c r="Q1815" s="110">
        <v>17.8</v>
      </c>
      <c r="R1815">
        <v>1854417</v>
      </c>
    </row>
    <row r="1816" spans="1:18" x14ac:dyDescent="0.25">
      <c r="A1816" s="134">
        <v>44679</v>
      </c>
      <c r="B1816" s="110">
        <v>18.8</v>
      </c>
      <c r="C1816" s="110">
        <v>18.149999999999999</v>
      </c>
      <c r="D1816" s="110">
        <v>17.75</v>
      </c>
      <c r="E1816" s="110">
        <v>18.149999999999999</v>
      </c>
      <c r="F1816" s="110">
        <v>18.149999999999999</v>
      </c>
      <c r="G1816">
        <v>1061896</v>
      </c>
      <c r="H1816" s="110"/>
      <c r="I1816" s="110"/>
      <c r="L1816" s="134">
        <v>44679</v>
      </c>
      <c r="M1816" s="110">
        <v>18.100000000000001</v>
      </c>
      <c r="N1816" s="110">
        <v>18.8</v>
      </c>
      <c r="O1816" s="110">
        <v>17.75</v>
      </c>
      <c r="P1816" s="110">
        <v>18.100000000000001</v>
      </c>
      <c r="Q1816" s="110">
        <v>18.100000000000001</v>
      </c>
      <c r="R1816">
        <v>9652824</v>
      </c>
    </row>
    <row r="1817" spans="1:18" x14ac:dyDescent="0.25">
      <c r="A1817" s="134">
        <v>44680</v>
      </c>
      <c r="B1817" s="110">
        <v>18.600000000000001</v>
      </c>
      <c r="C1817" s="110">
        <v>17.95</v>
      </c>
      <c r="D1817" s="110">
        <v>17.850000000000001</v>
      </c>
      <c r="E1817" s="110">
        <v>18.600000000000001</v>
      </c>
      <c r="F1817" s="110">
        <v>17.95</v>
      </c>
      <c r="G1817">
        <v>969201</v>
      </c>
      <c r="H1817" s="110"/>
      <c r="I1817" s="110"/>
      <c r="L1817" s="134">
        <v>44680</v>
      </c>
      <c r="M1817" s="110">
        <v>17.95</v>
      </c>
      <c r="N1817" s="110">
        <v>18.600000000000001</v>
      </c>
      <c r="O1817" s="110">
        <v>17.75</v>
      </c>
      <c r="P1817" s="110">
        <v>18.399999999999999</v>
      </c>
      <c r="Q1817" s="110">
        <v>17.95</v>
      </c>
      <c r="R1817">
        <v>4096948</v>
      </c>
    </row>
    <row r="1818" spans="1:18" x14ac:dyDescent="0.25">
      <c r="A1818" s="134">
        <v>44683</v>
      </c>
      <c r="B1818" s="110">
        <v>17.95</v>
      </c>
      <c r="C1818" s="110">
        <v>17.75</v>
      </c>
      <c r="D1818" s="110">
        <v>17.649999999999999</v>
      </c>
      <c r="E1818" s="110">
        <v>17.850000000000001</v>
      </c>
      <c r="F1818" s="110">
        <v>17.75</v>
      </c>
      <c r="G1818">
        <v>207193</v>
      </c>
      <c r="H1818" s="110"/>
      <c r="I1818" s="110"/>
      <c r="L1818" s="134">
        <v>44683</v>
      </c>
      <c r="M1818" s="110">
        <v>17.7</v>
      </c>
      <c r="N1818" s="110">
        <v>18</v>
      </c>
      <c r="O1818" s="110">
        <v>17.649999999999999</v>
      </c>
      <c r="P1818" s="110">
        <v>17.899999999999999</v>
      </c>
      <c r="Q1818" s="110">
        <v>17.7</v>
      </c>
      <c r="R1818">
        <v>1665553</v>
      </c>
    </row>
    <row r="1819" spans="1:18" x14ac:dyDescent="0.25">
      <c r="A1819" s="134">
        <v>44685</v>
      </c>
      <c r="B1819" s="110">
        <v>17.95</v>
      </c>
      <c r="C1819" s="110">
        <v>17.25</v>
      </c>
      <c r="D1819" s="110">
        <v>17.100000000000001</v>
      </c>
      <c r="E1819" s="110">
        <v>17.75</v>
      </c>
      <c r="F1819" s="110">
        <v>17.25</v>
      </c>
      <c r="G1819">
        <v>582041</v>
      </c>
      <c r="H1819" s="110"/>
      <c r="I1819" s="110"/>
      <c r="L1819" s="134">
        <v>44685</v>
      </c>
      <c r="M1819" s="110">
        <v>17.2</v>
      </c>
      <c r="N1819" s="110">
        <v>17.95</v>
      </c>
      <c r="O1819" s="110">
        <v>17.05</v>
      </c>
      <c r="P1819" s="110">
        <v>17.850000000000001</v>
      </c>
      <c r="Q1819" s="110">
        <v>17.2</v>
      </c>
      <c r="R1819">
        <v>1899933</v>
      </c>
    </row>
    <row r="1820" spans="1:18" x14ac:dyDescent="0.25">
      <c r="A1820" s="134">
        <v>44686</v>
      </c>
      <c r="B1820" s="110">
        <v>17.649999999999999</v>
      </c>
      <c r="C1820" s="110">
        <v>17.149999999999999</v>
      </c>
      <c r="D1820" s="110">
        <v>17</v>
      </c>
      <c r="E1820" s="110">
        <v>17.5</v>
      </c>
      <c r="F1820" s="110">
        <v>17.149999999999999</v>
      </c>
      <c r="G1820">
        <v>498309</v>
      </c>
      <c r="H1820" s="110"/>
      <c r="I1820" s="110"/>
      <c r="L1820" s="134">
        <v>44686</v>
      </c>
      <c r="M1820" s="110">
        <v>17.100000000000001</v>
      </c>
      <c r="N1820" s="110">
        <v>17.649999999999999</v>
      </c>
      <c r="O1820" s="110">
        <v>17</v>
      </c>
      <c r="P1820" s="110">
        <v>17.399999999999999</v>
      </c>
      <c r="Q1820" s="110">
        <v>17.100000000000001</v>
      </c>
      <c r="R1820">
        <v>1481722</v>
      </c>
    </row>
    <row r="1821" spans="1:18" x14ac:dyDescent="0.25">
      <c r="A1821" s="134">
        <v>44687</v>
      </c>
      <c r="B1821" s="110">
        <v>17.100000000000001</v>
      </c>
      <c r="C1821" s="110">
        <v>16.95</v>
      </c>
      <c r="D1821" s="110">
        <v>16.8</v>
      </c>
      <c r="E1821" s="110">
        <v>16.850000000000001</v>
      </c>
      <c r="F1821" s="110">
        <v>16.95</v>
      </c>
      <c r="G1821">
        <v>601744</v>
      </c>
      <c r="H1821" s="110"/>
      <c r="I1821" s="110"/>
      <c r="L1821" s="134">
        <v>44687</v>
      </c>
      <c r="M1821" s="110">
        <v>17</v>
      </c>
      <c r="N1821" s="110">
        <v>17.100000000000001</v>
      </c>
      <c r="O1821" s="110">
        <v>16.8</v>
      </c>
      <c r="P1821" s="110">
        <v>16.899999999999999</v>
      </c>
      <c r="Q1821" s="110">
        <v>17</v>
      </c>
      <c r="R1821">
        <v>1799317</v>
      </c>
    </row>
    <row r="1822" spans="1:18" x14ac:dyDescent="0.25">
      <c r="A1822" s="134">
        <v>44690</v>
      </c>
      <c r="B1822" s="110">
        <v>17.100000000000001</v>
      </c>
      <c r="C1822" s="110">
        <v>16.850000000000001</v>
      </c>
      <c r="D1822" s="110">
        <v>16.600000000000001</v>
      </c>
      <c r="E1822" s="110">
        <v>17.05</v>
      </c>
      <c r="F1822" s="110">
        <v>16.850000000000001</v>
      </c>
      <c r="G1822">
        <v>304362</v>
      </c>
      <c r="H1822" s="110"/>
      <c r="I1822" s="110"/>
      <c r="L1822" s="134">
        <v>44690</v>
      </c>
      <c r="M1822" s="110">
        <v>16.850000000000001</v>
      </c>
      <c r="N1822" s="110">
        <v>17.100000000000001</v>
      </c>
      <c r="O1822" s="110">
        <v>16.600000000000001</v>
      </c>
      <c r="P1822" s="110">
        <v>16.899999999999999</v>
      </c>
      <c r="Q1822" s="110">
        <v>16.850000000000001</v>
      </c>
      <c r="R1822">
        <v>1894769</v>
      </c>
    </row>
    <row r="1823" spans="1:18" x14ac:dyDescent="0.25">
      <c r="A1823" s="134">
        <v>44691</v>
      </c>
      <c r="B1823" s="110">
        <v>17.05</v>
      </c>
      <c r="C1823" s="110">
        <v>16.5</v>
      </c>
      <c r="D1823" s="110">
        <v>16.2</v>
      </c>
      <c r="E1823" s="110">
        <v>16.8</v>
      </c>
      <c r="F1823" s="110">
        <v>16.5</v>
      </c>
      <c r="G1823">
        <v>345120</v>
      </c>
      <c r="H1823" s="110"/>
      <c r="I1823" s="110"/>
      <c r="L1823" s="134">
        <v>44691</v>
      </c>
      <c r="M1823" s="110">
        <v>16.45</v>
      </c>
      <c r="N1823" s="110">
        <v>17.05</v>
      </c>
      <c r="O1823" s="110">
        <v>16.100000000000001</v>
      </c>
      <c r="P1823" s="110">
        <v>16.8</v>
      </c>
      <c r="Q1823" s="110">
        <v>16.45</v>
      </c>
      <c r="R1823">
        <v>2148412</v>
      </c>
    </row>
    <row r="1824" spans="1:18" x14ac:dyDescent="0.25">
      <c r="A1824" s="134">
        <v>44692</v>
      </c>
      <c r="B1824" s="110">
        <v>16.600000000000001</v>
      </c>
      <c r="C1824" s="110">
        <v>15.9</v>
      </c>
      <c r="D1824" s="110">
        <v>15.5</v>
      </c>
      <c r="E1824" s="110">
        <v>16.25</v>
      </c>
      <c r="F1824" s="110">
        <v>15.9</v>
      </c>
      <c r="G1824">
        <v>977823</v>
      </c>
      <c r="H1824" s="110"/>
      <c r="I1824" s="110"/>
      <c r="L1824" s="134">
        <v>44692</v>
      </c>
      <c r="M1824" s="110">
        <v>15.9</v>
      </c>
      <c r="N1824" s="110">
        <v>16.600000000000001</v>
      </c>
      <c r="O1824" s="110">
        <v>15.5</v>
      </c>
      <c r="P1824" s="110">
        <v>16.45</v>
      </c>
      <c r="Q1824" s="110">
        <v>15.9</v>
      </c>
      <c r="R1824">
        <v>4583719</v>
      </c>
    </row>
    <row r="1825" spans="1:18" x14ac:dyDescent="0.25">
      <c r="A1825" s="134">
        <v>44693</v>
      </c>
      <c r="B1825" s="110">
        <v>16</v>
      </c>
      <c r="C1825" s="110">
        <v>15.55</v>
      </c>
      <c r="D1825" s="110">
        <v>15.4</v>
      </c>
      <c r="E1825" s="110">
        <v>16</v>
      </c>
      <c r="F1825" s="110">
        <v>15.55</v>
      </c>
      <c r="G1825">
        <v>618033</v>
      </c>
      <c r="H1825" s="110"/>
      <c r="I1825" s="110"/>
      <c r="L1825" s="134">
        <v>44693</v>
      </c>
      <c r="M1825" s="110">
        <v>15.5</v>
      </c>
      <c r="N1825" s="110">
        <v>15.8</v>
      </c>
      <c r="O1825" s="110">
        <v>15.4</v>
      </c>
      <c r="P1825" s="110">
        <v>15.75</v>
      </c>
      <c r="Q1825" s="110">
        <v>15.5</v>
      </c>
      <c r="R1825">
        <v>2269860</v>
      </c>
    </row>
    <row r="1826" spans="1:18" x14ac:dyDescent="0.25">
      <c r="A1826" s="134">
        <v>44694</v>
      </c>
      <c r="B1826" s="110">
        <v>16.25</v>
      </c>
      <c r="C1826" s="110">
        <v>15.8</v>
      </c>
      <c r="D1826" s="110">
        <v>15.5</v>
      </c>
      <c r="E1826" s="110">
        <v>15.5</v>
      </c>
      <c r="F1826" s="110">
        <v>15.8</v>
      </c>
      <c r="G1826">
        <v>753153</v>
      </c>
      <c r="H1826" s="110"/>
      <c r="I1826" s="110"/>
      <c r="L1826" s="134">
        <v>44694</v>
      </c>
      <c r="M1826" s="110">
        <v>15.7</v>
      </c>
      <c r="N1826" s="110">
        <v>16.2</v>
      </c>
      <c r="O1826" s="110">
        <v>15.5</v>
      </c>
      <c r="P1826" s="110">
        <v>15.8</v>
      </c>
      <c r="Q1826" s="110">
        <v>15.7</v>
      </c>
      <c r="R1826">
        <v>2631592</v>
      </c>
    </row>
    <row r="1827" spans="1:18" x14ac:dyDescent="0.25">
      <c r="A1827" s="134">
        <v>44697</v>
      </c>
      <c r="B1827" s="110">
        <v>16.149999999999999</v>
      </c>
      <c r="C1827" s="110">
        <v>15.9</v>
      </c>
      <c r="D1827" s="110">
        <v>15.8</v>
      </c>
      <c r="E1827" s="110">
        <v>15.85</v>
      </c>
      <c r="F1827" s="110">
        <v>15.9</v>
      </c>
      <c r="G1827">
        <v>343172</v>
      </c>
      <c r="H1827" s="110"/>
      <c r="I1827" s="110"/>
      <c r="L1827" s="134">
        <v>44697</v>
      </c>
      <c r="M1827" s="110">
        <v>15.9</v>
      </c>
      <c r="N1827" s="110">
        <v>16.149999999999999</v>
      </c>
      <c r="O1827" s="110">
        <v>15.8</v>
      </c>
      <c r="P1827" s="110">
        <v>15.95</v>
      </c>
      <c r="Q1827" s="110">
        <v>15.9</v>
      </c>
      <c r="R1827">
        <v>2693348</v>
      </c>
    </row>
    <row r="1828" spans="1:18" x14ac:dyDescent="0.25">
      <c r="A1828" s="134">
        <v>44698</v>
      </c>
      <c r="B1828" s="110">
        <v>16.3</v>
      </c>
      <c r="C1828" s="110">
        <v>16.2</v>
      </c>
      <c r="D1828" s="110">
        <v>15.95</v>
      </c>
      <c r="E1828" s="110">
        <v>15.95</v>
      </c>
      <c r="F1828" s="110">
        <v>16.2</v>
      </c>
      <c r="G1828">
        <v>433037</v>
      </c>
      <c r="H1828" s="110"/>
      <c r="I1828" s="110"/>
      <c r="L1828" s="134">
        <v>44698</v>
      </c>
      <c r="M1828" s="110">
        <v>16.2</v>
      </c>
      <c r="N1828" s="110">
        <v>16.3</v>
      </c>
      <c r="O1828" s="110">
        <v>15.9</v>
      </c>
      <c r="P1828" s="110">
        <v>16</v>
      </c>
      <c r="Q1828" s="110">
        <v>16.2</v>
      </c>
      <c r="R1828">
        <v>2257646</v>
      </c>
    </row>
    <row r="1829" spans="1:18" x14ac:dyDescent="0.25">
      <c r="A1829" s="134">
        <v>44699</v>
      </c>
      <c r="B1829" s="110">
        <v>16.45</v>
      </c>
      <c r="C1829" s="110">
        <v>16.2</v>
      </c>
      <c r="D1829" s="110">
        <v>16.149999999999999</v>
      </c>
      <c r="E1829" s="110">
        <v>16.25</v>
      </c>
      <c r="F1829" s="110">
        <v>16.2</v>
      </c>
      <c r="G1829">
        <v>510289</v>
      </c>
      <c r="H1829" s="110"/>
      <c r="I1829" s="110"/>
      <c r="L1829" s="134">
        <v>44699</v>
      </c>
      <c r="M1829" s="110">
        <v>16.2</v>
      </c>
      <c r="N1829" s="110">
        <v>16.45</v>
      </c>
      <c r="O1829" s="110">
        <v>16.149999999999999</v>
      </c>
      <c r="P1829" s="110">
        <v>16.25</v>
      </c>
      <c r="Q1829" s="110">
        <v>16.2</v>
      </c>
      <c r="R1829">
        <v>2356833</v>
      </c>
    </row>
    <row r="1830" spans="1:18" x14ac:dyDescent="0.25">
      <c r="A1830" s="134">
        <v>44700</v>
      </c>
      <c r="B1830" s="110">
        <v>16.3</v>
      </c>
      <c r="C1830" s="110">
        <v>15.85</v>
      </c>
      <c r="D1830" s="110">
        <v>15.55</v>
      </c>
      <c r="E1830" s="110">
        <v>16</v>
      </c>
      <c r="F1830" s="110">
        <v>15.85</v>
      </c>
      <c r="G1830">
        <v>1170697</v>
      </c>
      <c r="H1830" s="110"/>
      <c r="I1830" s="110"/>
      <c r="L1830" s="134">
        <v>44700</v>
      </c>
      <c r="M1830" s="110">
        <v>15.85</v>
      </c>
      <c r="N1830" s="110">
        <v>16.3</v>
      </c>
      <c r="O1830" s="110">
        <v>15.55</v>
      </c>
      <c r="P1830" s="110">
        <v>16</v>
      </c>
      <c r="Q1830" s="110">
        <v>15.85</v>
      </c>
      <c r="R1830">
        <v>4643200</v>
      </c>
    </row>
    <row r="1831" spans="1:18" x14ac:dyDescent="0.25">
      <c r="A1831" s="134">
        <v>44701</v>
      </c>
      <c r="B1831" s="110">
        <v>16.2</v>
      </c>
      <c r="C1831" s="110">
        <v>16.05</v>
      </c>
      <c r="D1831" s="110">
        <v>15.95</v>
      </c>
      <c r="E1831" s="110">
        <v>16.149999999999999</v>
      </c>
      <c r="F1831" s="110">
        <v>16.05</v>
      </c>
      <c r="G1831">
        <v>843232</v>
      </c>
      <c r="H1831" s="110"/>
      <c r="I1831" s="110"/>
      <c r="L1831" s="134">
        <v>44701</v>
      </c>
      <c r="M1831" s="110">
        <v>16.05</v>
      </c>
      <c r="N1831" s="110">
        <v>16.2</v>
      </c>
      <c r="O1831" s="110">
        <v>15.9</v>
      </c>
      <c r="P1831" s="110">
        <v>16.100000000000001</v>
      </c>
      <c r="Q1831" s="110">
        <v>16.05</v>
      </c>
      <c r="R1831">
        <v>3132404</v>
      </c>
    </row>
    <row r="1832" spans="1:18" x14ac:dyDescent="0.25">
      <c r="A1832" s="134">
        <v>44704</v>
      </c>
      <c r="B1832" s="110">
        <v>16.45</v>
      </c>
      <c r="C1832" s="110">
        <v>16.25</v>
      </c>
      <c r="D1832" s="110">
        <v>16.100000000000001</v>
      </c>
      <c r="E1832" s="110">
        <v>16.3</v>
      </c>
      <c r="F1832" s="110">
        <v>16.25</v>
      </c>
      <c r="G1832">
        <v>678167</v>
      </c>
      <c r="H1832" s="110"/>
      <c r="I1832" s="110"/>
      <c r="L1832" s="134">
        <v>44704</v>
      </c>
      <c r="M1832" s="110">
        <v>16.25</v>
      </c>
      <c r="N1832" s="110">
        <v>16.399999999999999</v>
      </c>
      <c r="O1832" s="110">
        <v>16.100000000000001</v>
      </c>
      <c r="P1832" s="110">
        <v>16.25</v>
      </c>
      <c r="Q1832" s="110">
        <v>16.25</v>
      </c>
      <c r="R1832">
        <v>2459478</v>
      </c>
    </row>
    <row r="1833" spans="1:18" x14ac:dyDescent="0.25">
      <c r="A1833" s="134">
        <v>44705</v>
      </c>
      <c r="B1833" s="110">
        <v>16.399999999999999</v>
      </c>
      <c r="C1833" s="110">
        <v>16.100000000000001</v>
      </c>
      <c r="D1833" s="110">
        <v>16.05</v>
      </c>
      <c r="E1833" s="110">
        <v>16.149999999999999</v>
      </c>
      <c r="F1833" s="110">
        <v>16.100000000000001</v>
      </c>
      <c r="G1833">
        <v>307301</v>
      </c>
      <c r="H1833" s="110"/>
      <c r="I1833" s="110"/>
      <c r="L1833" s="134">
        <v>44705</v>
      </c>
      <c r="M1833" s="110">
        <v>16.100000000000001</v>
      </c>
      <c r="N1833" s="110">
        <v>16.399999999999999</v>
      </c>
      <c r="O1833" s="110">
        <v>16.05</v>
      </c>
      <c r="P1833" s="110">
        <v>16.350000000000001</v>
      </c>
      <c r="Q1833" s="110">
        <v>16.100000000000001</v>
      </c>
      <c r="R1833">
        <v>1304600</v>
      </c>
    </row>
    <row r="1834" spans="1:18" x14ac:dyDescent="0.25">
      <c r="A1834" s="134">
        <v>44706</v>
      </c>
      <c r="B1834" s="110">
        <v>16.25</v>
      </c>
      <c r="C1834" s="110">
        <v>15.5</v>
      </c>
      <c r="D1834" s="110">
        <v>15</v>
      </c>
      <c r="E1834" s="110">
        <v>16.100000000000001</v>
      </c>
      <c r="F1834" s="110">
        <v>15.5</v>
      </c>
      <c r="G1834">
        <v>521652</v>
      </c>
      <c r="H1834" s="110"/>
      <c r="I1834" s="110"/>
      <c r="L1834" s="134">
        <v>44706</v>
      </c>
      <c r="M1834" s="110">
        <v>15.55</v>
      </c>
      <c r="N1834" s="110">
        <v>16.25</v>
      </c>
      <c r="O1834" s="110">
        <v>15</v>
      </c>
      <c r="P1834" s="110">
        <v>16.2</v>
      </c>
      <c r="Q1834" s="110">
        <v>15.55</v>
      </c>
      <c r="R1834">
        <v>2828343</v>
      </c>
    </row>
    <row r="1835" spans="1:18" x14ac:dyDescent="0.25">
      <c r="A1835" s="134">
        <v>44707</v>
      </c>
      <c r="B1835" s="110">
        <v>16.399999999999999</v>
      </c>
      <c r="C1835" s="110">
        <v>16.149999999999999</v>
      </c>
      <c r="D1835" s="110">
        <v>15.65</v>
      </c>
      <c r="E1835" s="110">
        <v>15.9</v>
      </c>
      <c r="F1835" s="110">
        <v>16.149999999999999</v>
      </c>
      <c r="G1835">
        <v>578939</v>
      </c>
      <c r="H1835" s="110"/>
      <c r="I1835" s="110"/>
      <c r="L1835" s="134">
        <v>44707</v>
      </c>
      <c r="M1835" s="110">
        <v>16.149999999999999</v>
      </c>
      <c r="N1835" s="110">
        <v>16.45</v>
      </c>
      <c r="O1835" s="110">
        <v>15.6</v>
      </c>
      <c r="P1835" s="110">
        <v>15.7</v>
      </c>
      <c r="Q1835" s="110">
        <v>16.149999999999999</v>
      </c>
      <c r="R1835">
        <v>3617348</v>
      </c>
    </row>
    <row r="1836" spans="1:18" x14ac:dyDescent="0.25">
      <c r="A1836" s="134">
        <v>44708</v>
      </c>
      <c r="B1836" s="110">
        <v>16.649999999999999</v>
      </c>
      <c r="C1836" s="110">
        <v>16.55</v>
      </c>
      <c r="D1836" s="110">
        <v>16.149999999999999</v>
      </c>
      <c r="E1836" s="110">
        <v>16.2</v>
      </c>
      <c r="F1836" s="110">
        <v>16.55</v>
      </c>
      <c r="G1836">
        <v>444795</v>
      </c>
      <c r="H1836" s="110"/>
      <c r="I1836" s="110"/>
      <c r="L1836" s="134">
        <v>44708</v>
      </c>
      <c r="M1836" s="110">
        <v>16.5</v>
      </c>
      <c r="N1836" s="110">
        <v>16.600000000000001</v>
      </c>
      <c r="O1836" s="110">
        <v>16.149999999999999</v>
      </c>
      <c r="P1836" s="110">
        <v>16.25</v>
      </c>
      <c r="Q1836" s="110">
        <v>16.5</v>
      </c>
      <c r="R1836">
        <v>2343237</v>
      </c>
    </row>
    <row r="1837" spans="1:18" x14ac:dyDescent="0.25">
      <c r="A1837" s="134">
        <v>44711</v>
      </c>
      <c r="B1837" s="110">
        <v>18</v>
      </c>
      <c r="C1837" s="110">
        <v>17.649999999999999</v>
      </c>
      <c r="D1837" s="110">
        <v>16.600000000000001</v>
      </c>
      <c r="E1837" s="110">
        <v>16.7</v>
      </c>
      <c r="F1837" s="110">
        <v>17.649999999999999</v>
      </c>
      <c r="G1837">
        <v>656642</v>
      </c>
      <c r="H1837" s="110"/>
      <c r="I1837" s="110"/>
      <c r="L1837" s="134">
        <v>44711</v>
      </c>
      <c r="M1837" s="110">
        <v>17.600000000000001</v>
      </c>
      <c r="N1837" s="110">
        <v>17.7</v>
      </c>
      <c r="O1837" s="110">
        <v>16.600000000000001</v>
      </c>
      <c r="P1837" s="110">
        <v>16.7</v>
      </c>
      <c r="Q1837" s="110">
        <v>17.600000000000001</v>
      </c>
      <c r="R1837">
        <v>5008293</v>
      </c>
    </row>
    <row r="1838" spans="1:18" x14ac:dyDescent="0.25">
      <c r="A1838" s="134">
        <v>44712</v>
      </c>
      <c r="B1838" s="110">
        <v>17.8</v>
      </c>
      <c r="C1838" s="110">
        <v>17.600000000000001</v>
      </c>
      <c r="D1838" s="110">
        <v>17.5</v>
      </c>
      <c r="E1838" s="110">
        <v>17.7</v>
      </c>
      <c r="F1838" s="110">
        <v>17.600000000000001</v>
      </c>
      <c r="G1838">
        <v>395871</v>
      </c>
      <c r="H1838" s="110"/>
      <c r="I1838" s="110"/>
      <c r="L1838" s="134">
        <v>44712</v>
      </c>
      <c r="M1838" s="110">
        <v>17.649999999999999</v>
      </c>
      <c r="N1838" s="110">
        <v>17.899999999999999</v>
      </c>
      <c r="O1838" s="110">
        <v>17.5</v>
      </c>
      <c r="P1838" s="110">
        <v>17.850000000000001</v>
      </c>
      <c r="Q1838" s="110">
        <v>17.649999999999999</v>
      </c>
      <c r="R1838">
        <v>2717904</v>
      </c>
    </row>
    <row r="1839" spans="1:18" x14ac:dyDescent="0.25">
      <c r="A1839" s="134">
        <v>44713</v>
      </c>
      <c r="B1839" s="110">
        <v>17.899999999999999</v>
      </c>
      <c r="C1839" s="110">
        <v>17.350000000000001</v>
      </c>
      <c r="D1839" s="110">
        <v>16.5</v>
      </c>
      <c r="E1839" s="110">
        <v>17.649999999999999</v>
      </c>
      <c r="F1839" s="110">
        <v>17.350000000000001</v>
      </c>
      <c r="G1839">
        <v>659491</v>
      </c>
      <c r="H1839" s="110"/>
      <c r="I1839" s="110"/>
      <c r="L1839" s="134">
        <v>44713</v>
      </c>
      <c r="M1839" s="110">
        <v>17.649999999999999</v>
      </c>
      <c r="N1839" s="110">
        <v>17.850000000000001</v>
      </c>
      <c r="O1839" s="110">
        <v>17.5</v>
      </c>
      <c r="P1839" s="110">
        <v>17.8</v>
      </c>
      <c r="Q1839" s="110">
        <v>17.649999999999999</v>
      </c>
      <c r="R1839">
        <v>2029239</v>
      </c>
    </row>
    <row r="1840" spans="1:18" x14ac:dyDescent="0.25">
      <c r="A1840" s="134">
        <v>44714</v>
      </c>
      <c r="B1840" s="110">
        <v>19</v>
      </c>
      <c r="C1840" s="110">
        <v>17.600000000000001</v>
      </c>
      <c r="D1840" s="110">
        <v>17.399999999999999</v>
      </c>
      <c r="E1840" s="110">
        <v>19</v>
      </c>
      <c r="F1840" s="110">
        <v>17.600000000000001</v>
      </c>
      <c r="G1840">
        <v>243651</v>
      </c>
      <c r="H1840" s="110"/>
      <c r="I1840" s="110"/>
      <c r="L1840" s="134">
        <v>44714</v>
      </c>
      <c r="M1840" s="110">
        <v>17.600000000000001</v>
      </c>
      <c r="N1840" s="110">
        <v>17.75</v>
      </c>
      <c r="O1840" s="110">
        <v>17.350000000000001</v>
      </c>
      <c r="P1840" s="110">
        <v>17.55</v>
      </c>
      <c r="Q1840" s="110">
        <v>17.600000000000001</v>
      </c>
      <c r="R1840">
        <v>1699403</v>
      </c>
    </row>
    <row r="1841" spans="1:18" x14ac:dyDescent="0.25">
      <c r="A1841" s="134">
        <v>44715</v>
      </c>
      <c r="B1841" s="110">
        <v>17.899999999999999</v>
      </c>
      <c r="C1841" s="110">
        <v>17.149999999999999</v>
      </c>
      <c r="D1841" s="110">
        <v>17.05</v>
      </c>
      <c r="E1841" s="110">
        <v>17.899999999999999</v>
      </c>
      <c r="F1841" s="110">
        <v>17.149999999999999</v>
      </c>
      <c r="G1841">
        <v>305285</v>
      </c>
      <c r="H1841" s="110"/>
      <c r="I1841" s="110"/>
      <c r="L1841" s="134">
        <v>44715</v>
      </c>
      <c r="M1841" s="110">
        <v>17.149999999999999</v>
      </c>
      <c r="N1841" s="110">
        <v>17.75</v>
      </c>
      <c r="O1841" s="110">
        <v>17</v>
      </c>
      <c r="P1841" s="110">
        <v>17.7</v>
      </c>
      <c r="Q1841" s="110">
        <v>17.149999999999999</v>
      </c>
      <c r="R1841">
        <v>1783386</v>
      </c>
    </row>
    <row r="1842" spans="1:18" x14ac:dyDescent="0.25">
      <c r="A1842" s="134">
        <v>44718</v>
      </c>
      <c r="B1842" s="110">
        <v>17.2</v>
      </c>
      <c r="C1842" s="110">
        <v>16.95</v>
      </c>
      <c r="D1842" s="110">
        <v>16.75</v>
      </c>
      <c r="E1842" s="110">
        <v>17.2</v>
      </c>
      <c r="F1842" s="110">
        <v>16.95</v>
      </c>
      <c r="G1842">
        <v>322434</v>
      </c>
      <c r="H1842" s="110"/>
      <c r="I1842" s="110"/>
      <c r="L1842" s="134">
        <v>44718</v>
      </c>
      <c r="M1842" s="110">
        <v>16.899999999999999</v>
      </c>
      <c r="N1842" s="110">
        <v>17.25</v>
      </c>
      <c r="O1842" s="110">
        <v>16.850000000000001</v>
      </c>
      <c r="P1842" s="110">
        <v>17.149999999999999</v>
      </c>
      <c r="Q1842" s="110">
        <v>16.899999999999999</v>
      </c>
      <c r="R1842">
        <v>1028132</v>
      </c>
    </row>
    <row r="1843" spans="1:18" x14ac:dyDescent="0.25">
      <c r="A1843" s="134">
        <v>44719</v>
      </c>
      <c r="B1843" s="110">
        <v>17</v>
      </c>
      <c r="C1843" s="110">
        <v>16.55</v>
      </c>
      <c r="D1843" s="110">
        <v>16.399999999999999</v>
      </c>
      <c r="E1843" s="110">
        <v>16.850000000000001</v>
      </c>
      <c r="F1843" s="110">
        <v>16.55</v>
      </c>
      <c r="G1843">
        <v>329951</v>
      </c>
      <c r="H1843" s="110"/>
      <c r="I1843" s="110"/>
      <c r="L1843" s="134">
        <v>44719</v>
      </c>
      <c r="M1843" s="110">
        <v>16.55</v>
      </c>
      <c r="N1843" s="110">
        <v>16.95</v>
      </c>
      <c r="O1843" s="110">
        <v>16.45</v>
      </c>
      <c r="P1843" s="110">
        <v>16.899999999999999</v>
      </c>
      <c r="Q1843" s="110">
        <v>16.55</v>
      </c>
      <c r="R1843">
        <v>1634878</v>
      </c>
    </row>
    <row r="1844" spans="1:18" x14ac:dyDescent="0.25">
      <c r="A1844" s="134">
        <v>44720</v>
      </c>
      <c r="B1844" s="110">
        <v>16.850000000000001</v>
      </c>
      <c r="C1844" s="110">
        <v>16.7</v>
      </c>
      <c r="D1844" s="110">
        <v>16.600000000000001</v>
      </c>
      <c r="E1844" s="110">
        <v>16.649999999999999</v>
      </c>
      <c r="F1844" s="110">
        <v>16.7</v>
      </c>
      <c r="G1844">
        <v>357310</v>
      </c>
      <c r="H1844" s="110"/>
      <c r="I1844" s="110"/>
      <c r="L1844" s="134">
        <v>44720</v>
      </c>
      <c r="M1844" s="110">
        <v>16.7</v>
      </c>
      <c r="N1844" s="110">
        <v>16.899999999999999</v>
      </c>
      <c r="O1844" s="110">
        <v>16.600000000000001</v>
      </c>
      <c r="P1844" s="110">
        <v>16.600000000000001</v>
      </c>
      <c r="Q1844" s="110">
        <v>16.7</v>
      </c>
      <c r="R1844">
        <v>1611508</v>
      </c>
    </row>
    <row r="1845" spans="1:18" x14ac:dyDescent="0.25">
      <c r="A1845" s="134">
        <v>44721</v>
      </c>
      <c r="B1845" s="110">
        <v>16.75</v>
      </c>
      <c r="C1845" s="110">
        <v>16.600000000000001</v>
      </c>
      <c r="D1845" s="110">
        <v>16.600000000000001</v>
      </c>
      <c r="E1845" s="110">
        <v>16.600000000000001</v>
      </c>
      <c r="F1845" s="110">
        <v>16.600000000000001</v>
      </c>
      <c r="G1845">
        <v>193792</v>
      </c>
      <c r="H1845" s="110"/>
      <c r="I1845" s="110"/>
      <c r="L1845" s="134">
        <v>44721</v>
      </c>
      <c r="M1845" s="110">
        <v>16.649999999999999</v>
      </c>
      <c r="N1845" s="110">
        <v>16.75</v>
      </c>
      <c r="O1845" s="110">
        <v>16.600000000000001</v>
      </c>
      <c r="P1845" s="110">
        <v>16.649999999999999</v>
      </c>
      <c r="Q1845" s="110">
        <v>16.649999999999999</v>
      </c>
      <c r="R1845">
        <v>704131</v>
      </c>
    </row>
    <row r="1846" spans="1:18" x14ac:dyDescent="0.25">
      <c r="A1846" s="134">
        <v>44722</v>
      </c>
      <c r="B1846" s="110">
        <v>16.75</v>
      </c>
      <c r="C1846" s="110">
        <v>16.7</v>
      </c>
      <c r="D1846" s="110">
        <v>16.55</v>
      </c>
      <c r="E1846" s="110">
        <v>16.55</v>
      </c>
      <c r="F1846" s="110">
        <v>16.7</v>
      </c>
      <c r="G1846">
        <v>145351</v>
      </c>
      <c r="H1846" s="110"/>
      <c r="I1846" s="110"/>
      <c r="L1846" s="134">
        <v>44722</v>
      </c>
      <c r="M1846" s="110">
        <v>16.7</v>
      </c>
      <c r="N1846" s="110">
        <v>16.75</v>
      </c>
      <c r="O1846" s="110">
        <v>16.5</v>
      </c>
      <c r="P1846" s="110">
        <v>16.55</v>
      </c>
      <c r="Q1846" s="110">
        <v>16.7</v>
      </c>
      <c r="R1846">
        <v>1062330</v>
      </c>
    </row>
    <row r="1847" spans="1:18" x14ac:dyDescent="0.25">
      <c r="A1847" s="134">
        <v>44725</v>
      </c>
      <c r="B1847" s="110">
        <v>16.5</v>
      </c>
      <c r="C1847" s="110">
        <v>16.2</v>
      </c>
      <c r="D1847" s="110">
        <v>15.95</v>
      </c>
      <c r="E1847" s="110">
        <v>16.5</v>
      </c>
      <c r="F1847" s="110">
        <v>16.2</v>
      </c>
      <c r="G1847">
        <v>386514</v>
      </c>
      <c r="H1847" s="110"/>
      <c r="I1847" s="110"/>
      <c r="L1847" s="134">
        <v>44725</v>
      </c>
      <c r="M1847" s="110">
        <v>16.2</v>
      </c>
      <c r="N1847" s="110">
        <v>16.5</v>
      </c>
      <c r="O1847" s="110">
        <v>16.149999999999999</v>
      </c>
      <c r="P1847" s="110">
        <v>16.45</v>
      </c>
      <c r="Q1847" s="110">
        <v>16.2</v>
      </c>
      <c r="R1847">
        <v>1185983</v>
      </c>
    </row>
    <row r="1848" spans="1:18" x14ac:dyDescent="0.25">
      <c r="A1848" s="134">
        <v>44726</v>
      </c>
      <c r="B1848" s="110">
        <v>16.45</v>
      </c>
      <c r="C1848" s="110">
        <v>16.25</v>
      </c>
      <c r="D1848" s="110">
        <v>15.95</v>
      </c>
      <c r="E1848" s="110">
        <v>16</v>
      </c>
      <c r="F1848" s="110">
        <v>16.25</v>
      </c>
      <c r="G1848">
        <v>285669</v>
      </c>
      <c r="H1848" s="110"/>
      <c r="I1848" s="110"/>
      <c r="L1848" s="134">
        <v>44726</v>
      </c>
      <c r="M1848" s="110">
        <v>16.25</v>
      </c>
      <c r="N1848" s="110">
        <v>16.45</v>
      </c>
      <c r="O1848" s="110">
        <v>15.75</v>
      </c>
      <c r="P1848" s="110">
        <v>15.85</v>
      </c>
      <c r="Q1848" s="110">
        <v>16.25</v>
      </c>
      <c r="R1848">
        <v>1280098</v>
      </c>
    </row>
    <row r="1849" spans="1:18" x14ac:dyDescent="0.25">
      <c r="A1849" s="134">
        <v>44727</v>
      </c>
      <c r="B1849" s="110">
        <v>16.399999999999999</v>
      </c>
      <c r="C1849" s="110">
        <v>16.2</v>
      </c>
      <c r="D1849" s="110">
        <v>16.149999999999999</v>
      </c>
      <c r="E1849" s="110">
        <v>16.399999999999999</v>
      </c>
      <c r="F1849" s="110">
        <v>16.2</v>
      </c>
      <c r="G1849">
        <v>123074</v>
      </c>
      <c r="H1849" s="110"/>
      <c r="I1849" s="110"/>
      <c r="L1849" s="134">
        <v>44727</v>
      </c>
      <c r="M1849" s="110">
        <v>16.25</v>
      </c>
      <c r="N1849" s="110">
        <v>16.45</v>
      </c>
      <c r="O1849" s="110">
        <v>16.149999999999999</v>
      </c>
      <c r="P1849" s="110">
        <v>16.149999999999999</v>
      </c>
      <c r="Q1849" s="110">
        <v>16.25</v>
      </c>
      <c r="R1849">
        <v>691196</v>
      </c>
    </row>
    <row r="1850" spans="1:18" x14ac:dyDescent="0.25">
      <c r="A1850" s="134">
        <v>44728</v>
      </c>
      <c r="B1850" s="110">
        <v>16.5</v>
      </c>
      <c r="C1850" s="110">
        <v>15.75</v>
      </c>
      <c r="D1850" s="110">
        <v>15.6</v>
      </c>
      <c r="E1850" s="110">
        <v>16.3</v>
      </c>
      <c r="F1850" s="110">
        <v>15.75</v>
      </c>
      <c r="G1850">
        <v>229356</v>
      </c>
      <c r="H1850" s="110"/>
      <c r="I1850" s="110"/>
      <c r="L1850" s="134">
        <v>44728</v>
      </c>
      <c r="M1850" s="110">
        <v>15.75</v>
      </c>
      <c r="N1850" s="110">
        <v>16.55</v>
      </c>
      <c r="O1850" s="110">
        <v>15.55</v>
      </c>
      <c r="P1850" s="110">
        <v>16.45</v>
      </c>
      <c r="Q1850" s="110">
        <v>15.75</v>
      </c>
      <c r="R1850">
        <v>1877134</v>
      </c>
    </row>
    <row r="1851" spans="1:18" x14ac:dyDescent="0.25">
      <c r="A1851" s="134">
        <v>44729</v>
      </c>
      <c r="B1851" s="110">
        <v>16.05</v>
      </c>
      <c r="C1851" s="110">
        <v>15.6</v>
      </c>
      <c r="D1851" s="110">
        <v>15.35</v>
      </c>
      <c r="E1851" s="110">
        <v>16.05</v>
      </c>
      <c r="F1851" s="110">
        <v>15.6</v>
      </c>
      <c r="G1851">
        <v>382969</v>
      </c>
      <c r="H1851" s="110"/>
      <c r="I1851" s="110"/>
      <c r="L1851" s="134">
        <v>44729</v>
      </c>
      <c r="M1851" s="110">
        <v>15.65</v>
      </c>
      <c r="N1851" s="110">
        <v>15.95</v>
      </c>
      <c r="O1851" s="110">
        <v>15.45</v>
      </c>
      <c r="P1851" s="110">
        <v>15.55</v>
      </c>
      <c r="Q1851" s="110">
        <v>15.65</v>
      </c>
      <c r="R1851">
        <v>1727678</v>
      </c>
    </row>
    <row r="1852" spans="1:18" x14ac:dyDescent="0.25">
      <c r="A1852" s="134">
        <v>44732</v>
      </c>
      <c r="B1852" s="110">
        <v>15.5</v>
      </c>
      <c r="C1852" s="110">
        <v>15.2</v>
      </c>
      <c r="D1852" s="110">
        <v>15</v>
      </c>
      <c r="E1852" s="110">
        <v>15.4</v>
      </c>
      <c r="F1852" s="110">
        <v>15.2</v>
      </c>
      <c r="G1852">
        <v>299928</v>
      </c>
      <c r="H1852" s="110"/>
      <c r="I1852" s="110"/>
      <c r="L1852" s="134">
        <v>44732</v>
      </c>
      <c r="M1852" s="110">
        <v>15.15</v>
      </c>
      <c r="N1852" s="110">
        <v>15.5</v>
      </c>
      <c r="O1852" s="110">
        <v>15</v>
      </c>
      <c r="P1852" s="110">
        <v>15.35</v>
      </c>
      <c r="Q1852" s="110">
        <v>15.15</v>
      </c>
      <c r="R1852">
        <v>2023463</v>
      </c>
    </row>
    <row r="1853" spans="1:18" x14ac:dyDescent="0.25">
      <c r="A1853" s="134">
        <v>44733</v>
      </c>
      <c r="B1853" s="110">
        <v>15.7</v>
      </c>
      <c r="C1853" s="110">
        <v>15.55</v>
      </c>
      <c r="D1853" s="110">
        <v>15.2</v>
      </c>
      <c r="E1853" s="110">
        <v>15.4</v>
      </c>
      <c r="F1853" s="110">
        <v>15.55</v>
      </c>
      <c r="G1853">
        <v>341087</v>
      </c>
      <c r="H1853" s="110"/>
      <c r="I1853" s="110"/>
      <c r="L1853" s="134">
        <v>44733</v>
      </c>
      <c r="M1853" s="110">
        <v>15.55</v>
      </c>
      <c r="N1853" s="110">
        <v>15.7</v>
      </c>
      <c r="O1853" s="110">
        <v>15.2</v>
      </c>
      <c r="P1853" s="110">
        <v>15.2</v>
      </c>
      <c r="Q1853" s="110">
        <v>15.55</v>
      </c>
      <c r="R1853">
        <v>1280078</v>
      </c>
    </row>
    <row r="1854" spans="1:18" x14ac:dyDescent="0.25">
      <c r="A1854" s="134">
        <v>44734</v>
      </c>
      <c r="B1854" s="110">
        <v>16.5</v>
      </c>
      <c r="C1854" s="110">
        <v>16.25</v>
      </c>
      <c r="D1854" s="110">
        <v>15.45</v>
      </c>
      <c r="E1854" s="110">
        <v>15.55</v>
      </c>
      <c r="F1854" s="110">
        <v>16.25</v>
      </c>
      <c r="G1854">
        <v>468464</v>
      </c>
      <c r="H1854" s="110"/>
      <c r="I1854" s="110"/>
      <c r="L1854" s="134">
        <v>44734</v>
      </c>
      <c r="M1854" s="110">
        <v>16.2</v>
      </c>
      <c r="N1854" s="110">
        <v>16.3</v>
      </c>
      <c r="O1854" s="110">
        <v>15.4</v>
      </c>
      <c r="P1854" s="110">
        <v>15.55</v>
      </c>
      <c r="Q1854" s="110">
        <v>16.2</v>
      </c>
      <c r="R1854">
        <v>3072532</v>
      </c>
    </row>
    <row r="1855" spans="1:18" x14ac:dyDescent="0.25">
      <c r="A1855" s="134">
        <v>44735</v>
      </c>
      <c r="B1855" s="110">
        <v>16.350000000000001</v>
      </c>
      <c r="C1855" s="110">
        <v>16</v>
      </c>
      <c r="D1855" s="110">
        <v>15.9</v>
      </c>
      <c r="E1855" s="110">
        <v>16.25</v>
      </c>
      <c r="F1855" s="110">
        <v>16</v>
      </c>
      <c r="G1855">
        <v>166456</v>
      </c>
      <c r="H1855" s="110"/>
      <c r="I1855" s="110"/>
      <c r="L1855" s="134">
        <v>44735</v>
      </c>
      <c r="M1855" s="110">
        <v>16</v>
      </c>
      <c r="N1855" s="110">
        <v>16.350000000000001</v>
      </c>
      <c r="O1855" s="110">
        <v>15.9</v>
      </c>
      <c r="P1855" s="110">
        <v>16.2</v>
      </c>
      <c r="Q1855" s="110">
        <v>16</v>
      </c>
      <c r="R1855">
        <v>987644</v>
      </c>
    </row>
    <row r="1856" spans="1:18" x14ac:dyDescent="0.25">
      <c r="A1856" s="134">
        <v>44736</v>
      </c>
      <c r="B1856" s="110">
        <v>16.649999999999999</v>
      </c>
      <c r="C1856" s="110">
        <v>16.5</v>
      </c>
      <c r="D1856" s="110">
        <v>15.8</v>
      </c>
      <c r="E1856" s="110">
        <v>16</v>
      </c>
      <c r="F1856" s="110">
        <v>16.5</v>
      </c>
      <c r="G1856">
        <v>292206</v>
      </c>
      <c r="H1856" s="110"/>
      <c r="I1856" s="110"/>
      <c r="L1856" s="134">
        <v>44736</v>
      </c>
      <c r="M1856" s="110">
        <v>16.5</v>
      </c>
      <c r="N1856" s="110">
        <v>16.7</v>
      </c>
      <c r="O1856" s="110">
        <v>15.95</v>
      </c>
      <c r="P1856" s="110">
        <v>16.149999999999999</v>
      </c>
      <c r="Q1856" s="110">
        <v>16.5</v>
      </c>
      <c r="R1856">
        <v>1451398</v>
      </c>
    </row>
    <row r="1857" spans="1:18" x14ac:dyDescent="0.25">
      <c r="A1857" s="134">
        <v>44739</v>
      </c>
      <c r="B1857" s="110">
        <v>16.899999999999999</v>
      </c>
      <c r="C1857" s="110">
        <v>16.399999999999999</v>
      </c>
      <c r="D1857" s="110">
        <v>16.149999999999999</v>
      </c>
      <c r="E1857" s="110">
        <v>16.899999999999999</v>
      </c>
      <c r="F1857" s="110">
        <v>16.399999999999999</v>
      </c>
      <c r="G1857">
        <v>235784</v>
      </c>
      <c r="H1857" s="110"/>
      <c r="I1857" s="110"/>
      <c r="L1857" s="134">
        <v>44739</v>
      </c>
      <c r="M1857" s="110">
        <v>16.3</v>
      </c>
      <c r="N1857" s="110">
        <v>16.75</v>
      </c>
      <c r="O1857" s="110">
        <v>16.2</v>
      </c>
      <c r="P1857" s="110">
        <v>16.649999999999999</v>
      </c>
      <c r="Q1857" s="110">
        <v>16.3</v>
      </c>
      <c r="R1857">
        <v>1393448</v>
      </c>
    </row>
    <row r="1858" spans="1:18" x14ac:dyDescent="0.25">
      <c r="A1858" s="134">
        <v>44740</v>
      </c>
      <c r="B1858" s="110">
        <v>16.399999999999999</v>
      </c>
      <c r="C1858" s="110">
        <v>15.8</v>
      </c>
      <c r="D1858" s="110">
        <v>15.7</v>
      </c>
      <c r="E1858" s="110">
        <v>16.399999999999999</v>
      </c>
      <c r="F1858" s="110">
        <v>15.8</v>
      </c>
      <c r="G1858">
        <v>678063</v>
      </c>
      <c r="H1858" s="110"/>
      <c r="I1858" s="110"/>
      <c r="L1858" s="134">
        <v>44740</v>
      </c>
      <c r="M1858" s="110">
        <v>15.8</v>
      </c>
      <c r="N1858" s="110">
        <v>16.350000000000001</v>
      </c>
      <c r="O1858" s="110">
        <v>15.7</v>
      </c>
      <c r="P1858" s="110">
        <v>16.3</v>
      </c>
      <c r="Q1858" s="110">
        <v>15.8</v>
      </c>
      <c r="R1858">
        <v>2902584</v>
      </c>
    </row>
    <row r="1859" spans="1:18" x14ac:dyDescent="0.25">
      <c r="A1859" s="134">
        <v>44741</v>
      </c>
      <c r="B1859" s="110">
        <v>15.75</v>
      </c>
      <c r="C1859" s="110">
        <v>15.55</v>
      </c>
      <c r="D1859" s="110">
        <v>15.5</v>
      </c>
      <c r="E1859" s="110">
        <v>15.6</v>
      </c>
      <c r="F1859" s="110">
        <v>15.55</v>
      </c>
      <c r="G1859">
        <v>255227</v>
      </c>
      <c r="H1859" s="110"/>
      <c r="I1859" s="110"/>
      <c r="L1859" s="134">
        <v>44741</v>
      </c>
      <c r="M1859" s="110">
        <v>15.5</v>
      </c>
      <c r="N1859" s="110">
        <v>15.75</v>
      </c>
      <c r="O1859" s="110">
        <v>15.4</v>
      </c>
      <c r="P1859" s="110">
        <v>15.5</v>
      </c>
      <c r="Q1859" s="110">
        <v>15.5</v>
      </c>
      <c r="R1859">
        <v>1869051</v>
      </c>
    </row>
    <row r="1860" spans="1:18" x14ac:dyDescent="0.25">
      <c r="A1860" s="134">
        <v>44742</v>
      </c>
      <c r="B1860" s="110">
        <v>15.85</v>
      </c>
      <c r="C1860" s="110">
        <v>15.55</v>
      </c>
      <c r="D1860" s="110">
        <v>15.5</v>
      </c>
      <c r="E1860" s="110">
        <v>15.6</v>
      </c>
      <c r="F1860" s="110">
        <v>15.55</v>
      </c>
      <c r="G1860">
        <v>180931</v>
      </c>
      <c r="H1860" s="110"/>
      <c r="I1860" s="110"/>
      <c r="L1860" s="134">
        <v>44742</v>
      </c>
      <c r="M1860" s="110">
        <v>15.55</v>
      </c>
      <c r="N1860" s="110">
        <v>15.9</v>
      </c>
      <c r="O1860" s="110">
        <v>15.5</v>
      </c>
      <c r="P1860" s="110">
        <v>15.6</v>
      </c>
      <c r="Q1860" s="110">
        <v>15.55</v>
      </c>
      <c r="R1860">
        <v>770258</v>
      </c>
    </row>
    <row r="1861" spans="1:18" x14ac:dyDescent="0.25">
      <c r="A1861" s="134">
        <v>44743</v>
      </c>
      <c r="B1861" s="110">
        <v>15.75</v>
      </c>
      <c r="C1861" s="110">
        <v>15.55</v>
      </c>
      <c r="D1861" s="110">
        <v>15.5</v>
      </c>
      <c r="E1861" s="110">
        <v>15.75</v>
      </c>
      <c r="F1861" s="110">
        <v>15.55</v>
      </c>
      <c r="G1861">
        <v>124000</v>
      </c>
      <c r="H1861" s="110"/>
      <c r="I1861" s="110"/>
      <c r="L1861" s="134">
        <v>44743</v>
      </c>
      <c r="M1861" s="110">
        <v>15.6</v>
      </c>
      <c r="N1861" s="110">
        <v>15.7</v>
      </c>
      <c r="O1861" s="110">
        <v>15.5</v>
      </c>
      <c r="P1861" s="110">
        <v>15.6</v>
      </c>
      <c r="Q1861" s="110">
        <v>15.6</v>
      </c>
      <c r="R1861">
        <v>892261</v>
      </c>
    </row>
    <row r="1862" spans="1:18" x14ac:dyDescent="0.25">
      <c r="A1862" s="134">
        <v>44746</v>
      </c>
      <c r="B1862" s="110">
        <v>16</v>
      </c>
      <c r="C1862" s="110">
        <v>15.9</v>
      </c>
      <c r="D1862" s="110">
        <v>15.45</v>
      </c>
      <c r="E1862" s="110">
        <v>15.75</v>
      </c>
      <c r="F1862" s="110">
        <v>15.9</v>
      </c>
      <c r="G1862">
        <v>143704</v>
      </c>
      <c r="H1862" s="110"/>
      <c r="I1862" s="110"/>
      <c r="L1862" s="134">
        <v>44746</v>
      </c>
      <c r="M1862" s="110">
        <v>15.85</v>
      </c>
      <c r="N1862" s="110">
        <v>15.95</v>
      </c>
      <c r="O1862" s="110">
        <v>15.45</v>
      </c>
      <c r="P1862" s="110">
        <v>15.75</v>
      </c>
      <c r="Q1862" s="110">
        <v>15.85</v>
      </c>
      <c r="R1862">
        <v>1612756</v>
      </c>
    </row>
    <row r="1863" spans="1:18" x14ac:dyDescent="0.25">
      <c r="A1863" s="134">
        <v>44747</v>
      </c>
      <c r="B1863" s="110">
        <v>16.2</v>
      </c>
      <c r="C1863" s="110">
        <v>15.75</v>
      </c>
      <c r="D1863" s="110">
        <v>15.65</v>
      </c>
      <c r="E1863" s="110">
        <v>16.05</v>
      </c>
      <c r="F1863" s="110">
        <v>15.75</v>
      </c>
      <c r="G1863">
        <v>415998</v>
      </c>
      <c r="H1863" s="110"/>
      <c r="I1863" s="110"/>
      <c r="L1863" s="134">
        <v>44747</v>
      </c>
      <c r="M1863" s="110">
        <v>15.75</v>
      </c>
      <c r="N1863" s="110">
        <v>16.2</v>
      </c>
      <c r="O1863" s="110">
        <v>15.65</v>
      </c>
      <c r="P1863" s="110">
        <v>16.05</v>
      </c>
      <c r="Q1863" s="110">
        <v>15.75</v>
      </c>
      <c r="R1863">
        <v>1779597</v>
      </c>
    </row>
    <row r="1864" spans="1:18" x14ac:dyDescent="0.25">
      <c r="A1864" s="134">
        <v>44748</v>
      </c>
      <c r="B1864" s="110">
        <v>15.85</v>
      </c>
      <c r="C1864" s="110">
        <v>15.75</v>
      </c>
      <c r="D1864" s="110">
        <v>15.6</v>
      </c>
      <c r="E1864" s="110">
        <v>15.75</v>
      </c>
      <c r="F1864" s="110">
        <v>15.75</v>
      </c>
      <c r="G1864">
        <v>540485</v>
      </c>
      <c r="H1864" s="110"/>
      <c r="I1864" s="110"/>
      <c r="L1864" s="134">
        <v>44748</v>
      </c>
      <c r="M1864" s="110">
        <v>15.8</v>
      </c>
      <c r="N1864" s="110">
        <v>15.85</v>
      </c>
      <c r="O1864" s="110">
        <v>15.65</v>
      </c>
      <c r="P1864" s="110">
        <v>15.8</v>
      </c>
      <c r="Q1864" s="110">
        <v>15.8</v>
      </c>
      <c r="R1864">
        <v>1749534</v>
      </c>
    </row>
    <row r="1865" spans="1:18" x14ac:dyDescent="0.25">
      <c r="A1865" s="134">
        <v>44749</v>
      </c>
      <c r="B1865" s="110">
        <v>16.100000000000001</v>
      </c>
      <c r="C1865" s="110">
        <v>16</v>
      </c>
      <c r="D1865" s="110">
        <v>15.8</v>
      </c>
      <c r="E1865" s="110">
        <v>15.8</v>
      </c>
      <c r="F1865" s="110">
        <v>16</v>
      </c>
      <c r="G1865">
        <v>58500</v>
      </c>
      <c r="H1865" s="110"/>
      <c r="I1865" s="110"/>
      <c r="L1865" s="134">
        <v>44749</v>
      </c>
      <c r="M1865" s="110">
        <v>15.95</v>
      </c>
      <c r="N1865" s="110">
        <v>16.100000000000001</v>
      </c>
      <c r="O1865" s="110">
        <v>15.8</v>
      </c>
      <c r="P1865" s="110">
        <v>15.85</v>
      </c>
      <c r="Q1865" s="110">
        <v>15.95</v>
      </c>
      <c r="R1865">
        <v>1591622</v>
      </c>
    </row>
    <row r="1866" spans="1:18" x14ac:dyDescent="0.25">
      <c r="A1866" s="134">
        <v>44750</v>
      </c>
      <c r="B1866" s="110">
        <v>16.2</v>
      </c>
      <c r="C1866" s="110">
        <v>15.95</v>
      </c>
      <c r="D1866" s="110">
        <v>15.9</v>
      </c>
      <c r="E1866" s="110">
        <v>16.2</v>
      </c>
      <c r="F1866" s="110">
        <v>15.95</v>
      </c>
      <c r="G1866">
        <v>118508</v>
      </c>
      <c r="H1866" s="110"/>
      <c r="I1866" s="110"/>
      <c r="L1866" s="134">
        <v>44750</v>
      </c>
      <c r="M1866" s="110">
        <v>15.95</v>
      </c>
      <c r="N1866" s="110">
        <v>16.149999999999999</v>
      </c>
      <c r="O1866" s="110">
        <v>15.9</v>
      </c>
      <c r="P1866" s="110">
        <v>16</v>
      </c>
      <c r="Q1866" s="110">
        <v>15.95</v>
      </c>
      <c r="R1866">
        <v>718240</v>
      </c>
    </row>
    <row r="1867" spans="1:18" x14ac:dyDescent="0.25">
      <c r="A1867" s="134">
        <v>44753</v>
      </c>
      <c r="B1867" s="110">
        <v>16.55</v>
      </c>
      <c r="C1867" s="110">
        <v>16.149999999999999</v>
      </c>
      <c r="D1867" s="110">
        <v>15.5</v>
      </c>
      <c r="E1867" s="110">
        <v>15.95</v>
      </c>
      <c r="F1867" s="110">
        <v>16.149999999999999</v>
      </c>
      <c r="G1867">
        <v>485391</v>
      </c>
      <c r="H1867" s="110"/>
      <c r="I1867" s="110"/>
      <c r="L1867" s="134">
        <v>44753</v>
      </c>
      <c r="M1867" s="110">
        <v>16.149999999999999</v>
      </c>
      <c r="N1867" s="110">
        <v>16.75</v>
      </c>
      <c r="O1867" s="110">
        <v>15.7</v>
      </c>
      <c r="P1867" s="110">
        <v>15.9</v>
      </c>
      <c r="Q1867" s="110">
        <v>16.149999999999999</v>
      </c>
      <c r="R1867">
        <v>3348943</v>
      </c>
    </row>
    <row r="1868" spans="1:18" x14ac:dyDescent="0.25">
      <c r="A1868" s="134">
        <v>44754</v>
      </c>
      <c r="B1868" s="110">
        <v>16.600000000000001</v>
      </c>
      <c r="C1868" s="110">
        <v>16.149999999999999</v>
      </c>
      <c r="D1868" s="110">
        <v>16</v>
      </c>
      <c r="E1868" s="110">
        <v>16.2</v>
      </c>
      <c r="F1868" s="110">
        <v>16.149999999999999</v>
      </c>
      <c r="G1868">
        <v>388309</v>
      </c>
      <c r="H1868" s="110"/>
      <c r="I1868" s="110"/>
      <c r="L1868" s="134">
        <v>44754</v>
      </c>
      <c r="M1868" s="110">
        <v>16.25</v>
      </c>
      <c r="N1868" s="110">
        <v>16.600000000000001</v>
      </c>
      <c r="O1868" s="110">
        <v>16.05</v>
      </c>
      <c r="P1868" s="110">
        <v>16.05</v>
      </c>
      <c r="Q1868" s="110">
        <v>16.25</v>
      </c>
      <c r="R1868">
        <v>2248358</v>
      </c>
    </row>
    <row r="1869" spans="1:18" x14ac:dyDescent="0.25">
      <c r="A1869" s="134">
        <v>44755</v>
      </c>
      <c r="B1869" s="110">
        <v>16.5</v>
      </c>
      <c r="C1869" s="110">
        <v>16.25</v>
      </c>
      <c r="D1869" s="110">
        <v>16.2</v>
      </c>
      <c r="E1869" s="110">
        <v>16.45</v>
      </c>
      <c r="F1869" s="110">
        <v>16.25</v>
      </c>
      <c r="G1869">
        <v>80233</v>
      </c>
      <c r="H1869" s="110"/>
      <c r="I1869" s="110"/>
      <c r="L1869" s="134">
        <v>44755</v>
      </c>
      <c r="M1869" s="110">
        <v>16.25</v>
      </c>
      <c r="N1869" s="110">
        <v>16.55</v>
      </c>
      <c r="O1869" s="110">
        <v>16.2</v>
      </c>
      <c r="P1869" s="110">
        <v>16.350000000000001</v>
      </c>
      <c r="Q1869" s="110">
        <v>16.25</v>
      </c>
      <c r="R1869">
        <v>996743</v>
      </c>
    </row>
    <row r="1870" spans="1:18" x14ac:dyDescent="0.25">
      <c r="A1870" s="134">
        <v>44756</v>
      </c>
      <c r="B1870" s="110">
        <v>16.399999999999999</v>
      </c>
      <c r="C1870" s="110">
        <v>15.95</v>
      </c>
      <c r="D1870" s="110">
        <v>15.8</v>
      </c>
      <c r="E1870" s="110">
        <v>16.399999999999999</v>
      </c>
      <c r="F1870" s="110">
        <v>15.95</v>
      </c>
      <c r="G1870">
        <v>212522</v>
      </c>
      <c r="H1870" s="110"/>
      <c r="I1870" s="110"/>
      <c r="L1870" s="134">
        <v>44756</v>
      </c>
      <c r="M1870" s="110">
        <v>15.9</v>
      </c>
      <c r="N1870" s="110">
        <v>16.399999999999999</v>
      </c>
      <c r="O1870" s="110">
        <v>15.8</v>
      </c>
      <c r="P1870" s="110">
        <v>16.3</v>
      </c>
      <c r="Q1870" s="110">
        <v>15.9</v>
      </c>
      <c r="R1870">
        <v>1712231</v>
      </c>
    </row>
    <row r="1871" spans="1:18" x14ac:dyDescent="0.25">
      <c r="A1871" s="134">
        <v>44757</v>
      </c>
      <c r="B1871" s="110">
        <v>16.149999999999999</v>
      </c>
      <c r="C1871" s="110">
        <v>16.100000000000001</v>
      </c>
      <c r="D1871" s="110">
        <v>15.9</v>
      </c>
      <c r="E1871" s="110">
        <v>16.149999999999999</v>
      </c>
      <c r="F1871" s="110">
        <v>16.100000000000001</v>
      </c>
      <c r="G1871">
        <v>134821</v>
      </c>
      <c r="H1871" s="110"/>
      <c r="I1871" s="110"/>
      <c r="L1871" s="134">
        <v>44757</v>
      </c>
      <c r="M1871" s="110">
        <v>16.100000000000001</v>
      </c>
      <c r="N1871" s="110">
        <v>16.149999999999999</v>
      </c>
      <c r="O1871" s="110">
        <v>15.9</v>
      </c>
      <c r="P1871" s="110">
        <v>16.05</v>
      </c>
      <c r="Q1871" s="110">
        <v>16.100000000000001</v>
      </c>
      <c r="R1871">
        <v>1068914</v>
      </c>
    </row>
    <row r="1872" spans="1:18" x14ac:dyDescent="0.25">
      <c r="A1872" s="134">
        <v>44760</v>
      </c>
      <c r="B1872" s="110">
        <v>17.05</v>
      </c>
      <c r="C1872" s="110">
        <v>16.649999999999999</v>
      </c>
      <c r="D1872" s="110">
        <v>16.100000000000001</v>
      </c>
      <c r="E1872" s="110">
        <v>16.350000000000001</v>
      </c>
      <c r="F1872" s="110">
        <v>16.649999999999999</v>
      </c>
      <c r="G1872">
        <v>803040</v>
      </c>
      <c r="H1872" s="110"/>
      <c r="I1872" s="110"/>
      <c r="L1872" s="134">
        <v>44760</v>
      </c>
      <c r="M1872" s="110">
        <v>16.649999999999999</v>
      </c>
      <c r="N1872" s="110">
        <v>17.05</v>
      </c>
      <c r="O1872" s="110">
        <v>16.149999999999999</v>
      </c>
      <c r="P1872" s="110">
        <v>16.399999999999999</v>
      </c>
      <c r="Q1872" s="110">
        <v>16.649999999999999</v>
      </c>
      <c r="R1872">
        <v>11826848</v>
      </c>
    </row>
    <row r="1873" spans="1:18" x14ac:dyDescent="0.25">
      <c r="A1873" s="134">
        <v>44761</v>
      </c>
      <c r="B1873" s="110">
        <v>17</v>
      </c>
      <c r="C1873" s="110">
        <v>16.899999999999999</v>
      </c>
      <c r="D1873" s="110">
        <v>16.600000000000001</v>
      </c>
      <c r="E1873" s="110">
        <v>16.7</v>
      </c>
      <c r="F1873" s="110">
        <v>16.899999999999999</v>
      </c>
      <c r="G1873">
        <v>904952</v>
      </c>
      <c r="H1873" s="110"/>
      <c r="I1873" s="110"/>
      <c r="L1873" s="134">
        <v>44761</v>
      </c>
      <c r="M1873" s="110">
        <v>16.899999999999999</v>
      </c>
      <c r="N1873" s="110">
        <v>17</v>
      </c>
      <c r="O1873" s="110">
        <v>16.600000000000001</v>
      </c>
      <c r="P1873" s="110">
        <v>16.649999999999999</v>
      </c>
      <c r="Q1873" s="110">
        <v>16.899999999999999</v>
      </c>
      <c r="R1873">
        <v>6790491</v>
      </c>
    </row>
    <row r="1874" spans="1:18" x14ac:dyDescent="0.25">
      <c r="A1874" s="134">
        <v>44762</v>
      </c>
      <c r="B1874" s="110">
        <v>17.25</v>
      </c>
      <c r="C1874" s="110">
        <v>17.05</v>
      </c>
      <c r="D1874" s="110">
        <v>17</v>
      </c>
      <c r="E1874" s="110">
        <v>17.2</v>
      </c>
      <c r="F1874" s="110">
        <v>17.05</v>
      </c>
      <c r="G1874">
        <v>688811</v>
      </c>
      <c r="H1874" s="110"/>
      <c r="I1874" s="110"/>
      <c r="L1874" s="134">
        <v>44762</v>
      </c>
      <c r="M1874" s="110">
        <v>17.05</v>
      </c>
      <c r="N1874" s="110">
        <v>17.25</v>
      </c>
      <c r="O1874" s="110">
        <v>17</v>
      </c>
      <c r="P1874" s="110">
        <v>17.100000000000001</v>
      </c>
      <c r="Q1874" s="110">
        <v>17.05</v>
      </c>
      <c r="R1874">
        <v>3895911</v>
      </c>
    </row>
    <row r="1875" spans="1:18" x14ac:dyDescent="0.25">
      <c r="A1875" s="134">
        <v>44763</v>
      </c>
      <c r="B1875" s="110">
        <v>17.55</v>
      </c>
      <c r="C1875" s="110">
        <v>17.5</v>
      </c>
      <c r="D1875" s="110">
        <v>16.95</v>
      </c>
      <c r="E1875" s="110">
        <v>17.2</v>
      </c>
      <c r="F1875" s="110">
        <v>17.5</v>
      </c>
      <c r="G1875">
        <v>559566</v>
      </c>
      <c r="H1875" s="110"/>
      <c r="I1875" s="110"/>
      <c r="L1875" s="134">
        <v>44763</v>
      </c>
      <c r="M1875" s="110">
        <v>17.5</v>
      </c>
      <c r="N1875" s="110">
        <v>17.55</v>
      </c>
      <c r="O1875" s="110">
        <v>16.95</v>
      </c>
      <c r="P1875" s="110">
        <v>17.100000000000001</v>
      </c>
      <c r="Q1875" s="110">
        <v>17.5</v>
      </c>
      <c r="R1875">
        <v>3565082</v>
      </c>
    </row>
    <row r="1876" spans="1:18" x14ac:dyDescent="0.25">
      <c r="A1876" s="134">
        <v>44764</v>
      </c>
      <c r="B1876" s="110">
        <v>17.649999999999999</v>
      </c>
      <c r="C1876" s="110">
        <v>17.2</v>
      </c>
      <c r="D1876" s="110">
        <v>17.149999999999999</v>
      </c>
      <c r="E1876" s="110">
        <v>17.45</v>
      </c>
      <c r="F1876" s="110">
        <v>17.2</v>
      </c>
      <c r="G1876">
        <v>495576</v>
      </c>
      <c r="H1876" s="110"/>
      <c r="I1876" s="110"/>
      <c r="L1876" s="134">
        <v>44764</v>
      </c>
      <c r="M1876" s="110">
        <v>17.2</v>
      </c>
      <c r="N1876" s="110">
        <v>17.649999999999999</v>
      </c>
      <c r="O1876" s="110">
        <v>17.149999999999999</v>
      </c>
      <c r="P1876" s="110">
        <v>17.55</v>
      </c>
      <c r="Q1876" s="110">
        <v>17.2</v>
      </c>
      <c r="R1876">
        <v>2761144</v>
      </c>
    </row>
    <row r="1877" spans="1:18" x14ac:dyDescent="0.25">
      <c r="A1877" s="134">
        <v>44767</v>
      </c>
      <c r="B1877" s="110">
        <v>17.2</v>
      </c>
      <c r="C1877" s="110">
        <v>16.7</v>
      </c>
      <c r="D1877" s="110">
        <v>16.649999999999999</v>
      </c>
      <c r="E1877" s="110">
        <v>17.2</v>
      </c>
      <c r="F1877" s="110">
        <v>16.7</v>
      </c>
      <c r="G1877">
        <v>241243</v>
      </c>
      <c r="H1877" s="110"/>
      <c r="I1877" s="110"/>
      <c r="L1877" s="134">
        <v>44767</v>
      </c>
      <c r="M1877" s="110">
        <v>16.7</v>
      </c>
      <c r="N1877" s="110">
        <v>17.2</v>
      </c>
      <c r="O1877" s="110">
        <v>16.649999999999999</v>
      </c>
      <c r="P1877" s="110">
        <v>17.149999999999999</v>
      </c>
      <c r="Q1877" s="110">
        <v>16.7</v>
      </c>
      <c r="R1877">
        <v>1913090</v>
      </c>
    </row>
    <row r="1878" spans="1:18" x14ac:dyDescent="0.25">
      <c r="A1878" s="134">
        <v>44768</v>
      </c>
      <c r="B1878" s="110">
        <v>16.850000000000001</v>
      </c>
      <c r="C1878" s="110">
        <v>16.649999999999999</v>
      </c>
      <c r="D1878" s="110">
        <v>16.600000000000001</v>
      </c>
      <c r="E1878" s="110">
        <v>16.7</v>
      </c>
      <c r="F1878" s="110">
        <v>16.649999999999999</v>
      </c>
      <c r="G1878">
        <v>182108</v>
      </c>
      <c r="H1878" s="110"/>
      <c r="I1878" s="110"/>
      <c r="L1878" s="134">
        <v>44768</v>
      </c>
      <c r="M1878" s="110">
        <v>16.600000000000001</v>
      </c>
      <c r="N1878" s="110">
        <v>16.850000000000001</v>
      </c>
      <c r="O1878" s="110">
        <v>16.600000000000001</v>
      </c>
      <c r="P1878" s="110">
        <v>16.8</v>
      </c>
      <c r="Q1878" s="110">
        <v>16.600000000000001</v>
      </c>
      <c r="R1878">
        <v>966407</v>
      </c>
    </row>
    <row r="1879" spans="1:18" x14ac:dyDescent="0.25">
      <c r="A1879" s="134">
        <v>44769</v>
      </c>
      <c r="B1879" s="110">
        <v>16.75</v>
      </c>
      <c r="C1879" s="110">
        <v>16.7</v>
      </c>
      <c r="D1879" s="110">
        <v>16.5</v>
      </c>
      <c r="E1879" s="110">
        <v>16.55</v>
      </c>
      <c r="F1879" s="110">
        <v>16.7</v>
      </c>
      <c r="G1879">
        <v>149566</v>
      </c>
      <c r="H1879" s="110"/>
      <c r="I1879" s="110"/>
      <c r="L1879" s="134">
        <v>44769</v>
      </c>
      <c r="M1879" s="110">
        <v>16.7</v>
      </c>
      <c r="N1879" s="110">
        <v>16.75</v>
      </c>
      <c r="O1879" s="110">
        <v>16.5</v>
      </c>
      <c r="P1879" s="110">
        <v>16.55</v>
      </c>
      <c r="Q1879" s="110">
        <v>16.7</v>
      </c>
      <c r="R1879">
        <v>811283</v>
      </c>
    </row>
    <row r="1880" spans="1:18" x14ac:dyDescent="0.25">
      <c r="A1880" s="134">
        <v>44770</v>
      </c>
      <c r="B1880" s="110">
        <v>17.25</v>
      </c>
      <c r="C1880" s="110">
        <v>16.75</v>
      </c>
      <c r="D1880" s="110">
        <v>16.649999999999999</v>
      </c>
      <c r="E1880" s="110">
        <v>17.25</v>
      </c>
      <c r="F1880" s="110">
        <v>16.75</v>
      </c>
      <c r="G1880">
        <v>187121</v>
      </c>
      <c r="H1880" s="110"/>
      <c r="I1880" s="110"/>
      <c r="L1880" s="134">
        <v>44770</v>
      </c>
      <c r="M1880" s="110">
        <v>16.75</v>
      </c>
      <c r="N1880" s="110">
        <v>17.05</v>
      </c>
      <c r="O1880" s="110">
        <v>16.600000000000001</v>
      </c>
      <c r="P1880" s="110">
        <v>16.7</v>
      </c>
      <c r="Q1880" s="110">
        <v>16.75</v>
      </c>
      <c r="R1880">
        <v>1956370</v>
      </c>
    </row>
    <row r="1881" spans="1:18" x14ac:dyDescent="0.25">
      <c r="A1881" s="134">
        <v>44771</v>
      </c>
      <c r="B1881" s="110">
        <v>17.05</v>
      </c>
      <c r="C1881" s="110">
        <v>16.8</v>
      </c>
      <c r="D1881" s="110">
        <v>16.75</v>
      </c>
      <c r="E1881" s="110">
        <v>17</v>
      </c>
      <c r="F1881" s="110">
        <v>16.8</v>
      </c>
      <c r="G1881">
        <v>244401</v>
      </c>
      <c r="H1881" s="110"/>
      <c r="I1881" s="110"/>
      <c r="L1881" s="134">
        <v>44771</v>
      </c>
      <c r="M1881" s="110">
        <v>16.850000000000001</v>
      </c>
      <c r="N1881" s="110">
        <v>16.899999999999999</v>
      </c>
      <c r="O1881" s="110">
        <v>16.75</v>
      </c>
      <c r="P1881" s="110">
        <v>16.8</v>
      </c>
      <c r="Q1881" s="110">
        <v>16.850000000000001</v>
      </c>
      <c r="R1881">
        <v>968931</v>
      </c>
    </row>
    <row r="1882" spans="1:18" x14ac:dyDescent="0.25">
      <c r="A1882" s="134">
        <v>44774</v>
      </c>
      <c r="B1882" s="110">
        <v>17.25</v>
      </c>
      <c r="C1882" s="110">
        <v>17.149999999999999</v>
      </c>
      <c r="D1882" s="110">
        <v>16.8</v>
      </c>
      <c r="E1882" s="110">
        <v>17</v>
      </c>
      <c r="F1882" s="110">
        <v>17.149999999999999</v>
      </c>
      <c r="G1882">
        <v>188180</v>
      </c>
      <c r="H1882" s="110"/>
      <c r="I1882" s="110"/>
      <c r="L1882" s="134">
        <v>44774</v>
      </c>
      <c r="M1882" s="110">
        <v>17.149999999999999</v>
      </c>
      <c r="N1882" s="110">
        <v>17.25</v>
      </c>
      <c r="O1882" s="110">
        <v>16.8</v>
      </c>
      <c r="P1882" s="110">
        <v>16.95</v>
      </c>
      <c r="Q1882" s="110">
        <v>17.149999999999999</v>
      </c>
      <c r="R1882">
        <v>2429266</v>
      </c>
    </row>
    <row r="1883" spans="1:18" x14ac:dyDescent="0.25">
      <c r="A1883" s="134">
        <v>44775</v>
      </c>
      <c r="B1883" s="110">
        <v>18.25</v>
      </c>
      <c r="C1883" s="110">
        <v>17.850000000000001</v>
      </c>
      <c r="D1883" s="110">
        <v>17</v>
      </c>
      <c r="E1883" s="110">
        <v>17.149999999999999</v>
      </c>
      <c r="F1883" s="110">
        <v>17.850000000000001</v>
      </c>
      <c r="G1883">
        <v>441172</v>
      </c>
      <c r="H1883" s="110"/>
      <c r="I1883" s="110"/>
      <c r="L1883" s="134">
        <v>44775</v>
      </c>
      <c r="M1883" s="110">
        <v>17.850000000000001</v>
      </c>
      <c r="N1883" s="110">
        <v>18.3</v>
      </c>
      <c r="O1883" s="110">
        <v>17.05</v>
      </c>
      <c r="P1883" s="110">
        <v>17.05</v>
      </c>
      <c r="Q1883" s="110">
        <v>17.850000000000001</v>
      </c>
      <c r="R1883">
        <v>7214214</v>
      </c>
    </row>
    <row r="1884" spans="1:18" x14ac:dyDescent="0.25">
      <c r="A1884" s="134">
        <v>44776</v>
      </c>
      <c r="B1884" s="110">
        <v>18.05</v>
      </c>
      <c r="C1884" s="110">
        <v>17.649999999999999</v>
      </c>
      <c r="D1884" s="110">
        <v>17.100000000000001</v>
      </c>
      <c r="E1884" s="110">
        <v>18.05</v>
      </c>
      <c r="F1884" s="110">
        <v>17.649999999999999</v>
      </c>
      <c r="G1884">
        <v>323077</v>
      </c>
      <c r="H1884" s="110"/>
      <c r="I1884" s="110"/>
      <c r="L1884" s="134">
        <v>44776</v>
      </c>
      <c r="M1884" s="110">
        <v>17.649999999999999</v>
      </c>
      <c r="N1884" s="110">
        <v>17.899999999999999</v>
      </c>
      <c r="O1884" s="110">
        <v>17.350000000000001</v>
      </c>
      <c r="P1884" s="110">
        <v>17.899999999999999</v>
      </c>
      <c r="Q1884" s="110">
        <v>17.649999999999999</v>
      </c>
      <c r="R1884">
        <v>2378515</v>
      </c>
    </row>
    <row r="1885" spans="1:18" x14ac:dyDescent="0.25">
      <c r="A1885" s="134">
        <v>44777</v>
      </c>
      <c r="B1885" s="110">
        <v>17.899999999999999</v>
      </c>
      <c r="C1885" s="110">
        <v>17.350000000000001</v>
      </c>
      <c r="D1885" s="110">
        <v>17.25</v>
      </c>
      <c r="E1885" s="110">
        <v>17.899999999999999</v>
      </c>
      <c r="F1885" s="110">
        <v>17.350000000000001</v>
      </c>
      <c r="G1885">
        <v>350007</v>
      </c>
      <c r="H1885" s="110"/>
      <c r="I1885" s="110"/>
      <c r="L1885" s="134">
        <v>44777</v>
      </c>
      <c r="M1885" s="110">
        <v>17.350000000000001</v>
      </c>
      <c r="N1885" s="110">
        <v>17.8</v>
      </c>
      <c r="O1885" s="110">
        <v>17.3</v>
      </c>
      <c r="P1885" s="110">
        <v>17.7</v>
      </c>
      <c r="Q1885" s="110">
        <v>17.350000000000001</v>
      </c>
      <c r="R1885">
        <v>1566030</v>
      </c>
    </row>
    <row r="1886" spans="1:18" x14ac:dyDescent="0.25">
      <c r="A1886" s="134">
        <v>44778</v>
      </c>
      <c r="B1886" s="110">
        <v>17.55</v>
      </c>
      <c r="C1886" s="110">
        <v>17.3</v>
      </c>
      <c r="D1886" s="110">
        <v>17.25</v>
      </c>
      <c r="E1886" s="110">
        <v>17.350000000000001</v>
      </c>
      <c r="F1886" s="110">
        <v>17.3</v>
      </c>
      <c r="G1886">
        <v>205506</v>
      </c>
      <c r="H1886" s="110"/>
      <c r="I1886" s="110"/>
      <c r="L1886" s="134">
        <v>44778</v>
      </c>
      <c r="M1886" s="110">
        <v>17.3</v>
      </c>
      <c r="N1886" s="110">
        <v>17.55</v>
      </c>
      <c r="O1886" s="110">
        <v>17.2</v>
      </c>
      <c r="P1886" s="110">
        <v>17.350000000000001</v>
      </c>
      <c r="Q1886" s="110">
        <v>17.3</v>
      </c>
      <c r="R1886">
        <v>1365201</v>
      </c>
    </row>
    <row r="1887" spans="1:18" x14ac:dyDescent="0.25">
      <c r="A1887" s="134">
        <v>44781</v>
      </c>
      <c r="B1887" s="110">
        <v>17.55</v>
      </c>
      <c r="C1887" s="110">
        <v>17.2</v>
      </c>
      <c r="D1887" s="110">
        <v>17</v>
      </c>
      <c r="E1887" s="110">
        <v>17</v>
      </c>
      <c r="F1887" s="110">
        <v>17.2</v>
      </c>
      <c r="G1887">
        <v>168759</v>
      </c>
      <c r="H1887" s="110"/>
      <c r="I1887" s="110"/>
      <c r="L1887" s="134">
        <v>44781</v>
      </c>
      <c r="M1887" s="110">
        <v>17.25</v>
      </c>
      <c r="N1887" s="110">
        <v>17.55</v>
      </c>
      <c r="O1887" s="110">
        <v>17.149999999999999</v>
      </c>
      <c r="P1887" s="110">
        <v>17.3</v>
      </c>
      <c r="Q1887" s="110">
        <v>17.25</v>
      </c>
      <c r="R1887">
        <v>1170908</v>
      </c>
    </row>
    <row r="1888" spans="1:18" x14ac:dyDescent="0.25">
      <c r="A1888" s="134">
        <v>44783</v>
      </c>
      <c r="B1888" s="110">
        <v>17.350000000000001</v>
      </c>
      <c r="C1888" s="110">
        <v>17</v>
      </c>
      <c r="D1888" s="110">
        <v>16.899999999999999</v>
      </c>
      <c r="E1888" s="110">
        <v>17.3</v>
      </c>
      <c r="F1888" s="110">
        <v>17</v>
      </c>
      <c r="G1888">
        <v>137028</v>
      </c>
      <c r="H1888" s="110"/>
      <c r="I1888" s="110"/>
      <c r="L1888" s="134">
        <v>44783</v>
      </c>
      <c r="M1888" s="110">
        <v>16.95</v>
      </c>
      <c r="N1888" s="110">
        <v>17.399999999999999</v>
      </c>
      <c r="O1888" s="110">
        <v>16.95</v>
      </c>
      <c r="P1888" s="110">
        <v>17.3</v>
      </c>
      <c r="Q1888" s="110">
        <v>16.95</v>
      </c>
      <c r="R1888">
        <v>1379122</v>
      </c>
    </row>
    <row r="1889" spans="1:18" x14ac:dyDescent="0.25">
      <c r="A1889" s="134">
        <v>44784</v>
      </c>
      <c r="B1889" s="110">
        <v>17.3</v>
      </c>
      <c r="C1889" s="110">
        <v>16.95</v>
      </c>
      <c r="D1889" s="110">
        <v>16.8</v>
      </c>
      <c r="E1889" s="110">
        <v>17</v>
      </c>
      <c r="F1889" s="110">
        <v>16.95</v>
      </c>
      <c r="G1889">
        <v>240293</v>
      </c>
      <c r="H1889" s="110"/>
      <c r="I1889" s="110"/>
      <c r="L1889" s="134">
        <v>44784</v>
      </c>
      <c r="M1889" s="110">
        <v>16.95</v>
      </c>
      <c r="N1889" s="110">
        <v>17.3</v>
      </c>
      <c r="O1889" s="110">
        <v>16.899999999999999</v>
      </c>
      <c r="P1889" s="110">
        <v>17.100000000000001</v>
      </c>
      <c r="Q1889" s="110">
        <v>16.95</v>
      </c>
      <c r="R1889">
        <v>1871620</v>
      </c>
    </row>
    <row r="1890" spans="1:18" x14ac:dyDescent="0.25">
      <c r="A1890" s="134">
        <v>44785</v>
      </c>
      <c r="B1890" s="110">
        <v>17.5</v>
      </c>
      <c r="C1890" s="110">
        <v>17.25</v>
      </c>
      <c r="D1890" s="110">
        <v>16.95</v>
      </c>
      <c r="E1890" s="110">
        <v>17.399999999999999</v>
      </c>
      <c r="F1890" s="110">
        <v>17.25</v>
      </c>
      <c r="G1890">
        <v>393427</v>
      </c>
      <c r="H1890" s="110"/>
      <c r="I1890" s="110"/>
      <c r="L1890" s="134">
        <v>44785</v>
      </c>
      <c r="M1890" s="110">
        <v>17.25</v>
      </c>
      <c r="N1890" s="110">
        <v>17.55</v>
      </c>
      <c r="O1890" s="110">
        <v>16.95</v>
      </c>
      <c r="P1890" s="110">
        <v>17</v>
      </c>
      <c r="Q1890" s="110">
        <v>17.25</v>
      </c>
      <c r="R1890">
        <v>3087159</v>
      </c>
    </row>
    <row r="1891" spans="1:18" x14ac:dyDescent="0.25">
      <c r="A1891" s="134">
        <v>44789</v>
      </c>
      <c r="B1891" s="110">
        <v>17.5</v>
      </c>
      <c r="C1891" s="110">
        <v>17.399999999999999</v>
      </c>
      <c r="D1891" s="110">
        <v>17.25</v>
      </c>
      <c r="E1891" s="110">
        <v>17.25</v>
      </c>
      <c r="F1891" s="110">
        <v>17.399999999999999</v>
      </c>
      <c r="G1891">
        <v>300457</v>
      </c>
      <c r="H1891" s="110"/>
      <c r="I1891" s="110"/>
      <c r="L1891" s="134">
        <v>44789</v>
      </c>
      <c r="M1891" s="110">
        <v>17.350000000000001</v>
      </c>
      <c r="N1891" s="110">
        <v>17.5</v>
      </c>
      <c r="O1891" s="110">
        <v>17.3</v>
      </c>
      <c r="P1891" s="110">
        <v>17.399999999999999</v>
      </c>
      <c r="Q1891" s="110">
        <v>17.350000000000001</v>
      </c>
      <c r="R1891">
        <v>1329747</v>
      </c>
    </row>
    <row r="1892" spans="1:18" x14ac:dyDescent="0.25">
      <c r="A1892" s="134">
        <v>44790</v>
      </c>
      <c r="B1892" s="110">
        <v>18.05</v>
      </c>
      <c r="C1892" s="110">
        <v>17.95</v>
      </c>
      <c r="D1892" s="110">
        <v>17.399999999999999</v>
      </c>
      <c r="E1892" s="110">
        <v>17.399999999999999</v>
      </c>
      <c r="F1892" s="110">
        <v>17.95</v>
      </c>
      <c r="G1892">
        <v>537474</v>
      </c>
      <c r="H1892" s="110"/>
      <c r="I1892" s="110"/>
      <c r="L1892" s="134">
        <v>44790</v>
      </c>
      <c r="M1892" s="110">
        <v>17.899999999999999</v>
      </c>
      <c r="N1892" s="110">
        <v>18.05</v>
      </c>
      <c r="O1892" s="110">
        <v>17.399999999999999</v>
      </c>
      <c r="P1892" s="110">
        <v>17.5</v>
      </c>
      <c r="Q1892" s="110">
        <v>17.899999999999999</v>
      </c>
      <c r="R1892">
        <v>4236486</v>
      </c>
    </row>
    <row r="1893" spans="1:18" x14ac:dyDescent="0.25">
      <c r="A1893" s="134">
        <v>44791</v>
      </c>
      <c r="B1893" s="110">
        <v>18.25</v>
      </c>
      <c r="C1893" s="110">
        <v>17.899999999999999</v>
      </c>
      <c r="D1893" s="110">
        <v>17.149999999999999</v>
      </c>
      <c r="E1893" s="110">
        <v>17.149999999999999</v>
      </c>
      <c r="F1893" s="110">
        <v>17.899999999999999</v>
      </c>
      <c r="G1893">
        <v>788366</v>
      </c>
      <c r="H1893" s="110"/>
      <c r="I1893" s="110"/>
      <c r="L1893" s="134">
        <v>44791</v>
      </c>
      <c r="M1893" s="110">
        <v>17.850000000000001</v>
      </c>
      <c r="N1893" s="110">
        <v>18.25</v>
      </c>
      <c r="O1893" s="110">
        <v>17.600000000000001</v>
      </c>
      <c r="P1893" s="110">
        <v>17.8</v>
      </c>
      <c r="Q1893" s="110">
        <v>17.850000000000001</v>
      </c>
      <c r="R1893">
        <v>3550750</v>
      </c>
    </row>
    <row r="1894" spans="1:18" x14ac:dyDescent="0.25">
      <c r="A1894" s="134">
        <v>44792</v>
      </c>
      <c r="B1894" s="110">
        <v>18</v>
      </c>
      <c r="C1894" s="110">
        <v>17.45</v>
      </c>
      <c r="D1894" s="110">
        <v>17.399999999999999</v>
      </c>
      <c r="E1894" s="110">
        <v>17.8</v>
      </c>
      <c r="F1894" s="110">
        <v>17.45</v>
      </c>
      <c r="G1894">
        <v>353643</v>
      </c>
      <c r="H1894" s="110"/>
      <c r="I1894" s="110"/>
      <c r="L1894" s="134">
        <v>44792</v>
      </c>
      <c r="M1894" s="110">
        <v>17.45</v>
      </c>
      <c r="N1894" s="110">
        <v>18</v>
      </c>
      <c r="O1894" s="110">
        <v>17.399999999999999</v>
      </c>
      <c r="P1894" s="110">
        <v>17.899999999999999</v>
      </c>
      <c r="Q1894" s="110">
        <v>17.45</v>
      </c>
      <c r="R1894">
        <v>1798890</v>
      </c>
    </row>
    <row r="1895" spans="1:18" x14ac:dyDescent="0.25">
      <c r="A1895" s="134">
        <v>44795</v>
      </c>
      <c r="B1895" s="110">
        <v>17.45</v>
      </c>
      <c r="C1895" s="110">
        <v>17.149999999999999</v>
      </c>
      <c r="D1895" s="110">
        <v>17.100000000000001</v>
      </c>
      <c r="E1895" s="110">
        <v>17.25</v>
      </c>
      <c r="F1895" s="110">
        <v>17.149999999999999</v>
      </c>
      <c r="G1895">
        <v>227558</v>
      </c>
      <c r="H1895" s="110"/>
      <c r="I1895" s="110"/>
      <c r="L1895" s="134">
        <v>44795</v>
      </c>
      <c r="M1895" s="110">
        <v>17.149999999999999</v>
      </c>
      <c r="N1895" s="110">
        <v>17.75</v>
      </c>
      <c r="O1895" s="110">
        <v>17.100000000000001</v>
      </c>
      <c r="P1895" s="110">
        <v>17.399999999999999</v>
      </c>
      <c r="Q1895" s="110">
        <v>17.149999999999999</v>
      </c>
      <c r="R1895">
        <v>1704408</v>
      </c>
    </row>
    <row r="1896" spans="1:18" x14ac:dyDescent="0.25">
      <c r="A1896" s="134">
        <v>44796</v>
      </c>
      <c r="B1896" s="110">
        <v>17.350000000000001</v>
      </c>
      <c r="C1896" s="110">
        <v>17.25</v>
      </c>
      <c r="D1896" s="110">
        <v>17.05</v>
      </c>
      <c r="E1896" s="110">
        <v>17.25</v>
      </c>
      <c r="F1896" s="110">
        <v>17.25</v>
      </c>
      <c r="G1896">
        <v>182436</v>
      </c>
      <c r="H1896" s="110"/>
      <c r="I1896" s="110"/>
      <c r="L1896" s="134">
        <v>44796</v>
      </c>
      <c r="M1896" s="110">
        <v>17.25</v>
      </c>
      <c r="N1896" s="110">
        <v>17.350000000000001</v>
      </c>
      <c r="O1896" s="110">
        <v>17.05</v>
      </c>
      <c r="P1896" s="110">
        <v>17.05</v>
      </c>
      <c r="Q1896" s="110">
        <v>17.25</v>
      </c>
      <c r="R1896">
        <v>1694881</v>
      </c>
    </row>
    <row r="1897" spans="1:18" x14ac:dyDescent="0.25">
      <c r="A1897" s="134">
        <v>44797</v>
      </c>
      <c r="B1897" s="110">
        <v>17.350000000000001</v>
      </c>
      <c r="C1897" s="110">
        <v>17.25</v>
      </c>
      <c r="D1897" s="110">
        <v>17</v>
      </c>
      <c r="E1897" s="110">
        <v>17.100000000000001</v>
      </c>
      <c r="F1897" s="110">
        <v>17.25</v>
      </c>
      <c r="G1897">
        <v>721191</v>
      </c>
      <c r="H1897" s="110"/>
      <c r="I1897" s="110"/>
      <c r="L1897" s="134">
        <v>44797</v>
      </c>
      <c r="M1897" s="110">
        <v>17.25</v>
      </c>
      <c r="N1897" s="110">
        <v>17.350000000000001</v>
      </c>
      <c r="O1897" s="110">
        <v>17.05</v>
      </c>
      <c r="P1897" s="110">
        <v>17.149999999999999</v>
      </c>
      <c r="Q1897" s="110">
        <v>17.25</v>
      </c>
      <c r="R1897">
        <v>1985921</v>
      </c>
    </row>
    <row r="1898" spans="1:18" x14ac:dyDescent="0.25">
      <c r="A1898" s="134">
        <v>44798</v>
      </c>
      <c r="B1898" s="110">
        <v>18.399999999999999</v>
      </c>
      <c r="C1898" s="110">
        <v>17.899999999999999</v>
      </c>
      <c r="D1898" s="110">
        <v>17.3</v>
      </c>
      <c r="E1898" s="110">
        <v>17.399999999999999</v>
      </c>
      <c r="F1898" s="110">
        <v>17.899999999999999</v>
      </c>
      <c r="G1898">
        <v>1302581</v>
      </c>
      <c r="H1898" s="110"/>
      <c r="I1898" s="110"/>
      <c r="L1898" s="134">
        <v>44798</v>
      </c>
      <c r="M1898" s="110">
        <v>17.95</v>
      </c>
      <c r="N1898" s="110">
        <v>18.45</v>
      </c>
      <c r="O1898" s="110">
        <v>17.3</v>
      </c>
      <c r="P1898" s="110">
        <v>17.350000000000001</v>
      </c>
      <c r="Q1898" s="110">
        <v>17.95</v>
      </c>
      <c r="R1898">
        <v>10002134</v>
      </c>
    </row>
    <row r="1899" spans="1:18" x14ac:dyDescent="0.25">
      <c r="A1899" s="134">
        <v>44799</v>
      </c>
      <c r="B1899" s="110">
        <v>18.5</v>
      </c>
      <c r="C1899" s="110">
        <v>17.95</v>
      </c>
      <c r="D1899" s="110">
        <v>17.8</v>
      </c>
      <c r="E1899" s="110">
        <v>18.25</v>
      </c>
      <c r="F1899" s="110">
        <v>17.95</v>
      </c>
      <c r="G1899">
        <v>414289</v>
      </c>
      <c r="H1899" s="110"/>
      <c r="I1899" s="110"/>
      <c r="L1899" s="134">
        <v>44799</v>
      </c>
      <c r="M1899" s="110">
        <v>18</v>
      </c>
      <c r="N1899" s="110">
        <v>18.45</v>
      </c>
      <c r="O1899" s="110">
        <v>17.899999999999999</v>
      </c>
      <c r="P1899" s="110">
        <v>18.100000000000001</v>
      </c>
      <c r="Q1899" s="110">
        <v>18</v>
      </c>
      <c r="R1899">
        <v>4548064</v>
      </c>
    </row>
    <row r="1900" spans="1:18" x14ac:dyDescent="0.25">
      <c r="A1900" s="134">
        <v>44802</v>
      </c>
      <c r="B1900" s="110">
        <v>18.05</v>
      </c>
      <c r="C1900" s="110">
        <v>17.95</v>
      </c>
      <c r="D1900" s="110">
        <v>17.399999999999999</v>
      </c>
      <c r="E1900" s="110">
        <v>17.600000000000001</v>
      </c>
      <c r="F1900" s="110">
        <v>17.95</v>
      </c>
      <c r="G1900">
        <v>187941</v>
      </c>
      <c r="H1900" s="110"/>
      <c r="I1900" s="110"/>
      <c r="L1900" s="134">
        <v>44802</v>
      </c>
      <c r="M1900" s="110">
        <v>17.95</v>
      </c>
      <c r="N1900" s="110">
        <v>18.05</v>
      </c>
      <c r="O1900" s="110">
        <v>17.399999999999999</v>
      </c>
      <c r="P1900" s="110">
        <v>17.5</v>
      </c>
      <c r="Q1900" s="110">
        <v>17.95</v>
      </c>
      <c r="R1900">
        <v>2130555</v>
      </c>
    </row>
    <row r="1901" spans="1:18" x14ac:dyDescent="0.25">
      <c r="A1901" s="134">
        <v>44803</v>
      </c>
      <c r="B1901" s="110">
        <v>18.25</v>
      </c>
      <c r="C1901" s="110">
        <v>18.100000000000001</v>
      </c>
      <c r="D1901" s="110">
        <v>17.899999999999999</v>
      </c>
      <c r="E1901" s="110">
        <v>18</v>
      </c>
      <c r="F1901" s="110">
        <v>18.100000000000001</v>
      </c>
      <c r="G1901">
        <v>355210</v>
      </c>
      <c r="H1901" s="110"/>
      <c r="I1901" s="110"/>
      <c r="L1901" s="134">
        <v>44803</v>
      </c>
      <c r="M1901" s="110">
        <v>18.05</v>
      </c>
      <c r="N1901" s="110">
        <v>18.3</v>
      </c>
      <c r="O1901" s="110">
        <v>18</v>
      </c>
      <c r="P1901" s="110">
        <v>18.100000000000001</v>
      </c>
      <c r="Q1901" s="110">
        <v>18.05</v>
      </c>
      <c r="R1901">
        <v>1943756</v>
      </c>
    </row>
    <row r="1902" spans="1:18" x14ac:dyDescent="0.25">
      <c r="A1902" s="134">
        <v>44805</v>
      </c>
      <c r="B1902" s="110">
        <v>18.25</v>
      </c>
      <c r="C1902" s="110">
        <v>18.149999999999999</v>
      </c>
      <c r="D1902" s="110">
        <v>17.8</v>
      </c>
      <c r="E1902" s="110">
        <v>18</v>
      </c>
      <c r="F1902" s="110">
        <v>18.149999999999999</v>
      </c>
      <c r="G1902">
        <v>286222</v>
      </c>
      <c r="H1902" s="110"/>
      <c r="I1902" s="110"/>
      <c r="L1902" s="134">
        <v>44805</v>
      </c>
      <c r="M1902" s="110">
        <v>18.149999999999999</v>
      </c>
      <c r="N1902" s="110">
        <v>18.3</v>
      </c>
      <c r="O1902" s="110">
        <v>17.850000000000001</v>
      </c>
      <c r="P1902" s="110">
        <v>17.899999999999999</v>
      </c>
      <c r="Q1902" s="110">
        <v>18.149999999999999</v>
      </c>
      <c r="R1902">
        <v>1896244</v>
      </c>
    </row>
    <row r="1903" spans="1:18" x14ac:dyDescent="0.25">
      <c r="A1903" s="134">
        <v>44806</v>
      </c>
      <c r="B1903" s="110">
        <v>18.350000000000001</v>
      </c>
      <c r="C1903" s="110">
        <v>17.95</v>
      </c>
      <c r="D1903" s="110">
        <v>17.95</v>
      </c>
      <c r="E1903" s="110">
        <v>18.2</v>
      </c>
      <c r="F1903" s="110">
        <v>17.95</v>
      </c>
      <c r="G1903">
        <v>167709</v>
      </c>
      <c r="H1903" s="110"/>
      <c r="I1903" s="110"/>
      <c r="L1903" s="134">
        <v>44806</v>
      </c>
      <c r="M1903" s="110">
        <v>17.95</v>
      </c>
      <c r="N1903" s="110">
        <v>18.3</v>
      </c>
      <c r="O1903" s="110">
        <v>17.95</v>
      </c>
      <c r="P1903" s="110">
        <v>18.25</v>
      </c>
      <c r="Q1903" s="110">
        <v>17.95</v>
      </c>
      <c r="R1903">
        <v>1546843</v>
      </c>
    </row>
    <row r="1904" spans="1:18" x14ac:dyDescent="0.25">
      <c r="A1904" s="134">
        <v>44809</v>
      </c>
      <c r="B1904" s="110">
        <v>18.3</v>
      </c>
      <c r="C1904" s="110">
        <v>18</v>
      </c>
      <c r="D1904" s="110">
        <v>17.899999999999999</v>
      </c>
      <c r="E1904" s="110">
        <v>17.95</v>
      </c>
      <c r="F1904" s="110">
        <v>18</v>
      </c>
      <c r="G1904">
        <v>816007</v>
      </c>
      <c r="H1904" s="110"/>
      <c r="I1904" s="110"/>
      <c r="L1904" s="134">
        <v>44809</v>
      </c>
      <c r="M1904" s="110">
        <v>18</v>
      </c>
      <c r="N1904" s="110">
        <v>18.3</v>
      </c>
      <c r="O1904" s="110">
        <v>17.899999999999999</v>
      </c>
      <c r="P1904" s="110">
        <v>17.95</v>
      </c>
      <c r="Q1904" s="110">
        <v>18</v>
      </c>
      <c r="R1904">
        <v>2574437</v>
      </c>
    </row>
    <row r="1905" spans="1:18" x14ac:dyDescent="0.25">
      <c r="A1905" s="134">
        <v>44810</v>
      </c>
      <c r="B1905" s="110">
        <v>18.7</v>
      </c>
      <c r="C1905" s="110">
        <v>18.3</v>
      </c>
      <c r="D1905" s="110">
        <v>18</v>
      </c>
      <c r="E1905" s="110">
        <v>18.149999999999999</v>
      </c>
      <c r="F1905" s="110">
        <v>18.3</v>
      </c>
      <c r="G1905">
        <v>778053</v>
      </c>
      <c r="H1905" s="110"/>
      <c r="I1905" s="110"/>
      <c r="L1905" s="134">
        <v>44810</v>
      </c>
      <c r="M1905" s="110">
        <v>18.3</v>
      </c>
      <c r="N1905" s="110">
        <v>18.75</v>
      </c>
      <c r="O1905" s="110">
        <v>18</v>
      </c>
      <c r="P1905" s="110">
        <v>18.2</v>
      </c>
      <c r="Q1905" s="110">
        <v>18.3</v>
      </c>
      <c r="R1905">
        <v>6022956</v>
      </c>
    </row>
    <row r="1906" spans="1:18" x14ac:dyDescent="0.25">
      <c r="A1906" s="134">
        <v>44811</v>
      </c>
      <c r="B1906" s="110">
        <v>18.600000000000001</v>
      </c>
      <c r="C1906" s="110">
        <v>18.399999999999999</v>
      </c>
      <c r="D1906" s="110">
        <v>18.149999999999999</v>
      </c>
      <c r="E1906" s="110">
        <v>18.149999999999999</v>
      </c>
      <c r="F1906" s="110">
        <v>18.399999999999999</v>
      </c>
      <c r="G1906">
        <v>340311</v>
      </c>
      <c r="H1906" s="110"/>
      <c r="I1906" s="110"/>
      <c r="L1906" s="134">
        <v>44811</v>
      </c>
      <c r="M1906" s="110">
        <v>18.399999999999999</v>
      </c>
      <c r="N1906" s="110">
        <v>18.55</v>
      </c>
      <c r="O1906" s="110">
        <v>18.100000000000001</v>
      </c>
      <c r="P1906" s="110">
        <v>18.2</v>
      </c>
      <c r="Q1906" s="110">
        <v>18.399999999999999</v>
      </c>
      <c r="R1906">
        <v>2674276</v>
      </c>
    </row>
    <row r="1907" spans="1:18" x14ac:dyDescent="0.25">
      <c r="A1907" s="134">
        <v>44812</v>
      </c>
      <c r="B1907" s="110">
        <v>18.899999999999999</v>
      </c>
      <c r="C1907" s="110">
        <v>18.7</v>
      </c>
      <c r="D1907" s="110">
        <v>18.5</v>
      </c>
      <c r="E1907" s="110">
        <v>18.5</v>
      </c>
      <c r="F1907" s="110">
        <v>18.7</v>
      </c>
      <c r="G1907">
        <v>689968</v>
      </c>
      <c r="H1907" s="110"/>
      <c r="I1907" s="110"/>
      <c r="L1907" s="134">
        <v>44812</v>
      </c>
      <c r="M1907" s="110">
        <v>18.7</v>
      </c>
      <c r="N1907" s="110">
        <v>18.899999999999999</v>
      </c>
      <c r="O1907" s="110">
        <v>18.5</v>
      </c>
      <c r="P1907" s="110">
        <v>18.600000000000001</v>
      </c>
      <c r="Q1907" s="110">
        <v>18.7</v>
      </c>
      <c r="R1907">
        <v>4738485</v>
      </c>
    </row>
    <row r="1908" spans="1:18" x14ac:dyDescent="0.25">
      <c r="A1908" s="134">
        <v>44813</v>
      </c>
      <c r="B1908" s="110">
        <v>19.05</v>
      </c>
      <c r="C1908" s="110">
        <v>18.7</v>
      </c>
      <c r="D1908" s="110">
        <v>18.649999999999999</v>
      </c>
      <c r="E1908" s="110">
        <v>18.850000000000001</v>
      </c>
      <c r="F1908" s="110">
        <v>18.7</v>
      </c>
      <c r="G1908">
        <v>706517</v>
      </c>
      <c r="H1908" s="110"/>
      <c r="I1908" s="110"/>
      <c r="L1908" s="134">
        <v>44813</v>
      </c>
      <c r="M1908" s="110">
        <v>18.7</v>
      </c>
      <c r="N1908" s="110">
        <v>19.100000000000001</v>
      </c>
      <c r="O1908" s="110">
        <v>18.600000000000001</v>
      </c>
      <c r="P1908" s="110">
        <v>18.850000000000001</v>
      </c>
      <c r="Q1908" s="110">
        <v>18.7</v>
      </c>
      <c r="R1908">
        <v>4351320</v>
      </c>
    </row>
    <row r="1909" spans="1:18" x14ac:dyDescent="0.25">
      <c r="A1909" s="134">
        <v>44816</v>
      </c>
      <c r="B1909" s="110">
        <v>19</v>
      </c>
      <c r="C1909" s="110">
        <v>18.95</v>
      </c>
      <c r="D1909" s="110">
        <v>18.7</v>
      </c>
      <c r="E1909" s="110">
        <v>18.75</v>
      </c>
      <c r="F1909" s="110">
        <v>18.95</v>
      </c>
      <c r="G1909">
        <v>617677</v>
      </c>
      <c r="H1909" s="110"/>
      <c r="I1909" s="110"/>
      <c r="L1909" s="134">
        <v>44816</v>
      </c>
      <c r="M1909" s="110">
        <v>18.95</v>
      </c>
      <c r="N1909" s="110">
        <v>19</v>
      </c>
      <c r="O1909" s="110">
        <v>18.7</v>
      </c>
      <c r="P1909" s="110">
        <v>18.850000000000001</v>
      </c>
      <c r="Q1909" s="110">
        <v>18.95</v>
      </c>
      <c r="R1909">
        <v>3415024</v>
      </c>
    </row>
    <row r="1910" spans="1:18" x14ac:dyDescent="0.25">
      <c r="A1910" s="134">
        <v>44817</v>
      </c>
      <c r="B1910" s="110">
        <v>19.2</v>
      </c>
      <c r="C1910" s="110">
        <v>18.75</v>
      </c>
      <c r="D1910" s="110">
        <v>18.7</v>
      </c>
      <c r="E1910" s="110">
        <v>18.95</v>
      </c>
      <c r="F1910" s="110">
        <v>18.75</v>
      </c>
      <c r="G1910">
        <v>616246</v>
      </c>
      <c r="H1910" s="110"/>
      <c r="I1910" s="110"/>
      <c r="L1910" s="134">
        <v>44817</v>
      </c>
      <c r="M1910" s="110">
        <v>18.75</v>
      </c>
      <c r="N1910" s="110">
        <v>19.2</v>
      </c>
      <c r="O1910" s="110">
        <v>18.7</v>
      </c>
      <c r="P1910" s="110">
        <v>19.100000000000001</v>
      </c>
      <c r="Q1910" s="110">
        <v>18.75</v>
      </c>
      <c r="R1910">
        <v>3424895</v>
      </c>
    </row>
    <row r="1911" spans="1:18" x14ac:dyDescent="0.25">
      <c r="A1911" s="134">
        <v>44818</v>
      </c>
      <c r="B1911" s="110">
        <v>19.7</v>
      </c>
      <c r="C1911" s="110">
        <v>19.45</v>
      </c>
      <c r="D1911" s="110">
        <v>18.350000000000001</v>
      </c>
      <c r="E1911" s="110">
        <v>18.350000000000001</v>
      </c>
      <c r="F1911" s="110">
        <v>19.45</v>
      </c>
      <c r="G1911">
        <v>2429000</v>
      </c>
      <c r="H1911" s="110"/>
      <c r="I1911" s="110"/>
      <c r="L1911" s="134">
        <v>44818</v>
      </c>
      <c r="M1911" s="110">
        <v>19.45</v>
      </c>
      <c r="N1911" s="110">
        <v>19.75</v>
      </c>
      <c r="O1911" s="110">
        <v>18.5</v>
      </c>
      <c r="P1911" s="110">
        <v>18.55</v>
      </c>
      <c r="Q1911" s="110">
        <v>19.45</v>
      </c>
      <c r="R1911">
        <v>15178278</v>
      </c>
    </row>
    <row r="1912" spans="1:18" x14ac:dyDescent="0.25">
      <c r="A1912" s="134">
        <v>44819</v>
      </c>
      <c r="B1912" s="110">
        <v>20.2</v>
      </c>
      <c r="C1912" s="110">
        <v>19.600000000000001</v>
      </c>
      <c r="D1912" s="110">
        <v>19.5</v>
      </c>
      <c r="E1912" s="110">
        <v>19.5</v>
      </c>
      <c r="F1912" s="110">
        <v>19.600000000000001</v>
      </c>
      <c r="G1912">
        <v>1209775</v>
      </c>
      <c r="H1912" s="110"/>
      <c r="I1912" s="110"/>
      <c r="L1912" s="134">
        <v>44819</v>
      </c>
      <c r="M1912" s="110">
        <v>19.600000000000001</v>
      </c>
      <c r="N1912" s="110">
        <v>20.25</v>
      </c>
      <c r="O1912" s="110">
        <v>19.5</v>
      </c>
      <c r="P1912" s="110">
        <v>19.95</v>
      </c>
      <c r="Q1912" s="110">
        <v>19.600000000000001</v>
      </c>
      <c r="R1912">
        <v>9307778</v>
      </c>
    </row>
    <row r="1913" spans="1:18" x14ac:dyDescent="0.25">
      <c r="A1913" s="134">
        <v>44820</v>
      </c>
      <c r="B1913" s="110">
        <v>19.600000000000001</v>
      </c>
      <c r="C1913" s="110">
        <v>18.600000000000001</v>
      </c>
      <c r="D1913" s="110">
        <v>18.399999999999999</v>
      </c>
      <c r="E1913" s="110">
        <v>19.600000000000001</v>
      </c>
      <c r="F1913" s="110">
        <v>18.600000000000001</v>
      </c>
      <c r="G1913">
        <v>837584</v>
      </c>
      <c r="H1913" s="110"/>
      <c r="I1913" s="110"/>
      <c r="L1913" s="134">
        <v>44820</v>
      </c>
      <c r="M1913" s="110">
        <v>18.55</v>
      </c>
      <c r="N1913" s="110">
        <v>19.600000000000001</v>
      </c>
      <c r="O1913" s="110">
        <v>18.5</v>
      </c>
      <c r="P1913" s="110">
        <v>19.5</v>
      </c>
      <c r="Q1913" s="110">
        <v>18.55</v>
      </c>
      <c r="R1913">
        <v>7004433</v>
      </c>
    </row>
    <row r="1914" spans="1:18" x14ac:dyDescent="0.25">
      <c r="A1914" s="134">
        <v>44823</v>
      </c>
      <c r="B1914" s="110">
        <v>18.95</v>
      </c>
      <c r="C1914" s="110">
        <v>18.75</v>
      </c>
      <c r="D1914" s="110">
        <v>18.45</v>
      </c>
      <c r="E1914" s="110">
        <v>18.899999999999999</v>
      </c>
      <c r="F1914" s="110">
        <v>18.75</v>
      </c>
      <c r="G1914">
        <v>558204</v>
      </c>
      <c r="H1914" s="110"/>
      <c r="I1914" s="110"/>
      <c r="L1914" s="134">
        <v>44823</v>
      </c>
      <c r="M1914" s="110">
        <v>18.75</v>
      </c>
      <c r="N1914" s="110">
        <v>18.95</v>
      </c>
      <c r="O1914" s="110">
        <v>18.45</v>
      </c>
      <c r="P1914" s="110">
        <v>18.649999999999999</v>
      </c>
      <c r="Q1914" s="110">
        <v>18.75</v>
      </c>
      <c r="R1914">
        <v>3174282</v>
      </c>
    </row>
    <row r="1915" spans="1:18" x14ac:dyDescent="0.25">
      <c r="A1915" s="134">
        <v>44824</v>
      </c>
      <c r="B1915" s="110">
        <v>19.2</v>
      </c>
      <c r="C1915" s="110">
        <v>19</v>
      </c>
      <c r="D1915" s="110">
        <v>18.8</v>
      </c>
      <c r="E1915" s="110">
        <v>18.8</v>
      </c>
      <c r="F1915" s="110">
        <v>19</v>
      </c>
      <c r="G1915">
        <v>477336</v>
      </c>
      <c r="H1915" s="110"/>
      <c r="I1915" s="110"/>
      <c r="L1915" s="134">
        <v>44824</v>
      </c>
      <c r="M1915" s="110">
        <v>19</v>
      </c>
      <c r="N1915" s="110">
        <v>19.25</v>
      </c>
      <c r="O1915" s="110">
        <v>18.850000000000001</v>
      </c>
      <c r="P1915" s="110">
        <v>18.899999999999999</v>
      </c>
      <c r="Q1915" s="110">
        <v>19</v>
      </c>
      <c r="R1915">
        <v>3334809</v>
      </c>
    </row>
    <row r="1916" spans="1:18" x14ac:dyDescent="0.25">
      <c r="A1916" s="134">
        <v>44825</v>
      </c>
      <c r="B1916" s="110">
        <v>19.399999999999999</v>
      </c>
      <c r="C1916" s="110">
        <v>18.55</v>
      </c>
      <c r="D1916" s="110">
        <v>18.149999999999999</v>
      </c>
      <c r="E1916" s="110">
        <v>19.399999999999999</v>
      </c>
      <c r="F1916" s="110">
        <v>18.55</v>
      </c>
      <c r="G1916">
        <v>505009</v>
      </c>
      <c r="H1916" s="110"/>
      <c r="I1916" s="110"/>
      <c r="L1916" s="134">
        <v>44825</v>
      </c>
      <c r="M1916" s="110">
        <v>18.600000000000001</v>
      </c>
      <c r="N1916" s="110">
        <v>19.399999999999999</v>
      </c>
      <c r="O1916" s="110">
        <v>18.600000000000001</v>
      </c>
      <c r="P1916" s="110">
        <v>19.399999999999999</v>
      </c>
      <c r="Q1916" s="110">
        <v>18.600000000000001</v>
      </c>
      <c r="R1916">
        <v>3719250</v>
      </c>
    </row>
    <row r="1917" spans="1:18" x14ac:dyDescent="0.25">
      <c r="A1917" s="134">
        <v>44826</v>
      </c>
      <c r="B1917" s="110">
        <v>18.8</v>
      </c>
      <c r="C1917" s="110">
        <v>18.600000000000001</v>
      </c>
      <c r="D1917" s="110">
        <v>18.399999999999999</v>
      </c>
      <c r="E1917" s="110">
        <v>18.600000000000001</v>
      </c>
      <c r="F1917" s="110">
        <v>18.600000000000001</v>
      </c>
      <c r="G1917">
        <v>312781</v>
      </c>
      <c r="H1917" s="110"/>
      <c r="I1917" s="110"/>
      <c r="L1917" s="134">
        <v>44826</v>
      </c>
      <c r="M1917" s="110">
        <v>18.600000000000001</v>
      </c>
      <c r="N1917" s="110">
        <v>18.8</v>
      </c>
      <c r="O1917" s="110">
        <v>18.350000000000001</v>
      </c>
      <c r="P1917" s="110">
        <v>18.55</v>
      </c>
      <c r="Q1917" s="110">
        <v>18.600000000000001</v>
      </c>
      <c r="R1917">
        <v>3659122</v>
      </c>
    </row>
    <row r="1918" spans="1:18" x14ac:dyDescent="0.25">
      <c r="A1918" s="134">
        <v>44827</v>
      </c>
      <c r="B1918" s="110">
        <v>18.75</v>
      </c>
      <c r="C1918" s="110">
        <v>18.100000000000001</v>
      </c>
      <c r="D1918" s="110">
        <v>18</v>
      </c>
      <c r="E1918" s="110">
        <v>18.5</v>
      </c>
      <c r="F1918" s="110">
        <v>18.100000000000001</v>
      </c>
      <c r="G1918">
        <v>591670</v>
      </c>
      <c r="H1918" s="110"/>
      <c r="I1918" s="110"/>
      <c r="L1918" s="134">
        <v>44827</v>
      </c>
      <c r="M1918" s="110">
        <v>18.149999999999999</v>
      </c>
      <c r="N1918" s="110">
        <v>18.7</v>
      </c>
      <c r="O1918" s="110">
        <v>18</v>
      </c>
      <c r="P1918" s="110">
        <v>18.55</v>
      </c>
      <c r="Q1918" s="110">
        <v>18.149999999999999</v>
      </c>
      <c r="R1918">
        <v>3374344</v>
      </c>
    </row>
    <row r="1919" spans="1:18" x14ac:dyDescent="0.25">
      <c r="A1919" s="134">
        <v>44830</v>
      </c>
      <c r="B1919" s="110">
        <v>18.100000000000001</v>
      </c>
      <c r="C1919" s="110">
        <v>17.2</v>
      </c>
      <c r="D1919" s="110">
        <v>17.100000000000001</v>
      </c>
      <c r="E1919" s="110">
        <v>18.100000000000001</v>
      </c>
      <c r="F1919" s="110">
        <v>17.2</v>
      </c>
      <c r="G1919">
        <v>561348</v>
      </c>
      <c r="H1919" s="110"/>
      <c r="I1919" s="110"/>
      <c r="L1919" s="134">
        <v>44830</v>
      </c>
      <c r="M1919" s="110">
        <v>17.2</v>
      </c>
      <c r="N1919" s="110">
        <v>18.100000000000001</v>
      </c>
      <c r="O1919" s="110">
        <v>17.05</v>
      </c>
      <c r="P1919" s="110">
        <v>18</v>
      </c>
      <c r="Q1919" s="110">
        <v>17.2</v>
      </c>
      <c r="R1919">
        <v>5010284</v>
      </c>
    </row>
    <row r="1920" spans="1:18" x14ac:dyDescent="0.25">
      <c r="A1920" s="134">
        <v>44831</v>
      </c>
      <c r="B1920" s="110">
        <v>17.75</v>
      </c>
      <c r="C1920" s="110">
        <v>17.5</v>
      </c>
      <c r="D1920" s="110">
        <v>17.149999999999999</v>
      </c>
      <c r="E1920" s="110">
        <v>17.149999999999999</v>
      </c>
      <c r="F1920" s="110">
        <v>17.5</v>
      </c>
      <c r="G1920">
        <v>466832</v>
      </c>
      <c r="H1920" s="110"/>
      <c r="I1920" s="110"/>
      <c r="L1920" s="134">
        <v>44831</v>
      </c>
      <c r="M1920" s="110">
        <v>17.55</v>
      </c>
      <c r="N1920" s="110">
        <v>17.850000000000001</v>
      </c>
      <c r="O1920" s="110">
        <v>17.350000000000001</v>
      </c>
      <c r="P1920" s="110">
        <v>17.350000000000001</v>
      </c>
      <c r="Q1920" s="110">
        <v>17.55</v>
      </c>
      <c r="R1920">
        <v>2089023</v>
      </c>
    </row>
    <row r="1921" spans="1:18" x14ac:dyDescent="0.25">
      <c r="A1921" s="134">
        <v>44832</v>
      </c>
      <c r="B1921" s="110">
        <v>17.7</v>
      </c>
      <c r="C1921" s="110">
        <v>17.350000000000001</v>
      </c>
      <c r="D1921" s="110">
        <v>17.25</v>
      </c>
      <c r="E1921" s="110">
        <v>17.350000000000001</v>
      </c>
      <c r="F1921" s="110">
        <v>17.350000000000001</v>
      </c>
      <c r="G1921">
        <v>359729</v>
      </c>
      <c r="H1921" s="110"/>
      <c r="I1921" s="110"/>
      <c r="L1921" s="134">
        <v>44832</v>
      </c>
      <c r="M1921" s="110">
        <v>17.3</v>
      </c>
      <c r="N1921" s="110">
        <v>17.649999999999999</v>
      </c>
      <c r="O1921" s="110">
        <v>17.2</v>
      </c>
      <c r="P1921" s="110">
        <v>17.5</v>
      </c>
      <c r="Q1921" s="110">
        <v>17.3</v>
      </c>
      <c r="R1921">
        <v>2490285</v>
      </c>
    </row>
    <row r="1922" spans="1:18" x14ac:dyDescent="0.25">
      <c r="A1922" s="134">
        <v>44833</v>
      </c>
      <c r="B1922" s="110">
        <v>17.7</v>
      </c>
      <c r="C1922" s="110">
        <v>17.399999999999999</v>
      </c>
      <c r="D1922" s="110">
        <v>16.95</v>
      </c>
      <c r="E1922" s="110">
        <v>17.399999999999999</v>
      </c>
      <c r="F1922" s="110">
        <v>17.399999999999999</v>
      </c>
      <c r="G1922">
        <v>402159</v>
      </c>
      <c r="H1922" s="110"/>
      <c r="I1922" s="110"/>
      <c r="L1922" s="134">
        <v>44833</v>
      </c>
      <c r="M1922" s="110">
        <v>17.45</v>
      </c>
      <c r="N1922" s="110">
        <v>17.75</v>
      </c>
      <c r="O1922" s="110">
        <v>16.899999999999999</v>
      </c>
      <c r="P1922" s="110">
        <v>17.45</v>
      </c>
      <c r="Q1922" s="110">
        <v>17.45</v>
      </c>
      <c r="R1922">
        <v>4051089</v>
      </c>
    </row>
    <row r="1923" spans="1:18" x14ac:dyDescent="0.25">
      <c r="A1923" s="134">
        <v>44834</v>
      </c>
      <c r="B1923" s="110">
        <v>17.899999999999999</v>
      </c>
      <c r="C1923" s="110">
        <v>17.75</v>
      </c>
      <c r="D1923" s="110">
        <v>17.3</v>
      </c>
      <c r="E1923" s="110">
        <v>17.5</v>
      </c>
      <c r="F1923" s="110">
        <v>17.75</v>
      </c>
      <c r="G1923">
        <v>209875</v>
      </c>
      <c r="H1923" s="110"/>
      <c r="I1923" s="110"/>
      <c r="L1923" s="134">
        <v>44834</v>
      </c>
      <c r="M1923" s="110">
        <v>17.8</v>
      </c>
      <c r="N1923" s="110">
        <v>17.899999999999999</v>
      </c>
      <c r="O1923" s="110">
        <v>17.25</v>
      </c>
      <c r="P1923" s="110">
        <v>17.55</v>
      </c>
      <c r="Q1923" s="110">
        <v>17.8</v>
      </c>
      <c r="R1923">
        <v>2320576</v>
      </c>
    </row>
    <row r="1924" spans="1:18" x14ac:dyDescent="0.25">
      <c r="A1924" s="134">
        <v>44837</v>
      </c>
      <c r="B1924" s="110">
        <v>17.850000000000001</v>
      </c>
      <c r="C1924" s="110">
        <v>17.55</v>
      </c>
      <c r="D1924" s="110">
        <v>17.45</v>
      </c>
      <c r="E1924" s="110">
        <v>17.55</v>
      </c>
      <c r="F1924" s="110">
        <v>17.55</v>
      </c>
      <c r="G1924">
        <v>141876</v>
      </c>
      <c r="H1924" s="110"/>
      <c r="I1924" s="110"/>
      <c r="L1924" s="134">
        <v>44837</v>
      </c>
      <c r="M1924" s="110">
        <v>17.55</v>
      </c>
      <c r="N1924" s="110">
        <v>17.8</v>
      </c>
      <c r="O1924" s="110">
        <v>17.399999999999999</v>
      </c>
      <c r="P1924" s="110">
        <v>17.8</v>
      </c>
      <c r="Q1924" s="110">
        <v>17.55</v>
      </c>
      <c r="R1924">
        <v>1608467</v>
      </c>
    </row>
    <row r="1925" spans="1:18" x14ac:dyDescent="0.25">
      <c r="A1925" s="134">
        <v>44838</v>
      </c>
      <c r="B1925" s="110">
        <v>18.45</v>
      </c>
      <c r="C1925" s="110">
        <v>18</v>
      </c>
      <c r="D1925" s="110">
        <v>17.850000000000001</v>
      </c>
      <c r="E1925" s="110">
        <v>17.850000000000001</v>
      </c>
      <c r="F1925" s="110">
        <v>18</v>
      </c>
      <c r="G1925">
        <v>1267506</v>
      </c>
      <c r="H1925" s="110"/>
      <c r="I1925" s="110"/>
      <c r="L1925" s="134">
        <v>44838</v>
      </c>
      <c r="M1925" s="110">
        <v>18</v>
      </c>
      <c r="N1925" s="110">
        <v>18.399999999999999</v>
      </c>
      <c r="O1925" s="110">
        <v>17.850000000000001</v>
      </c>
      <c r="P1925" s="110">
        <v>18</v>
      </c>
      <c r="Q1925" s="110">
        <v>18</v>
      </c>
      <c r="R1925">
        <v>23498544</v>
      </c>
    </row>
    <row r="1926" spans="1:18" x14ac:dyDescent="0.25">
      <c r="A1926" s="134">
        <v>44840</v>
      </c>
      <c r="B1926" s="110">
        <v>18.55</v>
      </c>
      <c r="C1926" s="110">
        <v>18.399999999999999</v>
      </c>
      <c r="D1926" s="110">
        <v>18.05</v>
      </c>
      <c r="E1926" s="110">
        <v>18.05</v>
      </c>
      <c r="F1926" s="110">
        <v>18.399999999999999</v>
      </c>
      <c r="G1926">
        <v>946055</v>
      </c>
      <c r="H1926" s="110"/>
      <c r="I1926" s="110"/>
      <c r="L1926" s="134">
        <v>44840</v>
      </c>
      <c r="M1926" s="110">
        <v>18.45</v>
      </c>
      <c r="N1926" s="110">
        <v>18.600000000000001</v>
      </c>
      <c r="O1926" s="110">
        <v>18.100000000000001</v>
      </c>
      <c r="P1926" s="110">
        <v>18.2</v>
      </c>
      <c r="Q1926" s="110">
        <v>18.45</v>
      </c>
      <c r="R1926">
        <v>3114903</v>
      </c>
    </row>
    <row r="1927" spans="1:18" x14ac:dyDescent="0.25">
      <c r="A1927" s="134">
        <v>44841</v>
      </c>
      <c r="B1927" s="110">
        <v>18.5</v>
      </c>
      <c r="C1927" s="110">
        <v>18.25</v>
      </c>
      <c r="D1927" s="110">
        <v>18.100000000000001</v>
      </c>
      <c r="E1927" s="110">
        <v>18.3</v>
      </c>
      <c r="F1927" s="110">
        <v>18.25</v>
      </c>
      <c r="G1927">
        <v>236990</v>
      </c>
      <c r="H1927" s="110"/>
      <c r="I1927" s="110"/>
      <c r="L1927" s="134">
        <v>44841</v>
      </c>
      <c r="M1927" s="110">
        <v>18.25</v>
      </c>
      <c r="N1927" s="110">
        <v>18.45</v>
      </c>
      <c r="O1927" s="110">
        <v>18.100000000000001</v>
      </c>
      <c r="P1927" s="110">
        <v>18.399999999999999</v>
      </c>
      <c r="Q1927" s="110">
        <v>18.25</v>
      </c>
      <c r="R1927">
        <v>2954832</v>
      </c>
    </row>
    <row r="1928" spans="1:18" x14ac:dyDescent="0.25">
      <c r="A1928" s="134">
        <v>44844</v>
      </c>
      <c r="B1928" s="110">
        <v>18.3</v>
      </c>
      <c r="C1928" s="110">
        <v>18.149999999999999</v>
      </c>
      <c r="D1928" s="110">
        <v>17.899999999999999</v>
      </c>
      <c r="E1928" s="110">
        <v>18.100000000000001</v>
      </c>
      <c r="F1928" s="110">
        <v>18.149999999999999</v>
      </c>
      <c r="G1928">
        <v>282170</v>
      </c>
      <c r="H1928" s="110"/>
      <c r="I1928" s="110"/>
      <c r="L1928" s="134">
        <v>44844</v>
      </c>
      <c r="M1928" s="110">
        <v>18.149999999999999</v>
      </c>
      <c r="N1928" s="110">
        <v>18.3</v>
      </c>
      <c r="O1928" s="110">
        <v>17.899999999999999</v>
      </c>
      <c r="P1928" s="110">
        <v>18</v>
      </c>
      <c r="Q1928" s="110">
        <v>18.149999999999999</v>
      </c>
      <c r="R1928">
        <v>1951256</v>
      </c>
    </row>
    <row r="1929" spans="1:18" x14ac:dyDescent="0.25">
      <c r="A1929" s="134">
        <v>44845</v>
      </c>
      <c r="B1929" s="110">
        <v>18.3</v>
      </c>
      <c r="C1929" s="110">
        <v>18</v>
      </c>
      <c r="D1929" s="110">
        <v>17.899999999999999</v>
      </c>
      <c r="E1929" s="110">
        <v>18.149999999999999</v>
      </c>
      <c r="F1929" s="110">
        <v>18</v>
      </c>
      <c r="G1929">
        <v>364677</v>
      </c>
      <c r="H1929" s="110"/>
      <c r="I1929" s="110"/>
      <c r="L1929" s="134">
        <v>44845</v>
      </c>
      <c r="M1929" s="110">
        <v>18</v>
      </c>
      <c r="N1929" s="110">
        <v>18.350000000000001</v>
      </c>
      <c r="O1929" s="110">
        <v>17.95</v>
      </c>
      <c r="P1929" s="110">
        <v>18.2</v>
      </c>
      <c r="Q1929" s="110">
        <v>18</v>
      </c>
      <c r="R1929">
        <v>2443065</v>
      </c>
    </row>
    <row r="1930" spans="1:18" x14ac:dyDescent="0.25">
      <c r="A1930" s="134">
        <v>44846</v>
      </c>
      <c r="B1930" s="110">
        <v>18.149999999999999</v>
      </c>
      <c r="C1930" s="110">
        <v>18.05</v>
      </c>
      <c r="D1930" s="110">
        <v>17.75</v>
      </c>
      <c r="E1930" s="110">
        <v>17.95</v>
      </c>
      <c r="F1930" s="110">
        <v>18.05</v>
      </c>
      <c r="G1930">
        <v>188644</v>
      </c>
      <c r="H1930" s="110"/>
      <c r="I1930" s="110"/>
      <c r="L1930" s="134">
        <v>44846</v>
      </c>
      <c r="M1930" s="110">
        <v>18.05</v>
      </c>
      <c r="N1930" s="110">
        <v>18.100000000000001</v>
      </c>
      <c r="O1930" s="110">
        <v>17.8</v>
      </c>
      <c r="P1930" s="110">
        <v>18.100000000000001</v>
      </c>
      <c r="Q1930" s="110">
        <v>18.05</v>
      </c>
      <c r="R1930">
        <v>1405624</v>
      </c>
    </row>
    <row r="1931" spans="1:18" x14ac:dyDescent="0.25">
      <c r="A1931" s="134">
        <v>44847</v>
      </c>
      <c r="B1931" s="110">
        <v>18.100000000000001</v>
      </c>
      <c r="C1931" s="110">
        <v>17.899999999999999</v>
      </c>
      <c r="D1931" s="110">
        <v>17.7</v>
      </c>
      <c r="E1931" s="110">
        <v>18.05</v>
      </c>
      <c r="F1931" s="110">
        <v>17.899999999999999</v>
      </c>
      <c r="G1931">
        <v>251588</v>
      </c>
      <c r="H1931" s="110"/>
      <c r="I1931" s="110"/>
      <c r="L1931" s="134">
        <v>44847</v>
      </c>
      <c r="M1931" s="110">
        <v>17.850000000000001</v>
      </c>
      <c r="N1931" s="110">
        <v>18.05</v>
      </c>
      <c r="O1931" s="110">
        <v>17.7</v>
      </c>
      <c r="P1931" s="110">
        <v>18</v>
      </c>
      <c r="Q1931" s="110">
        <v>17.850000000000001</v>
      </c>
      <c r="R1931">
        <v>1486245</v>
      </c>
    </row>
    <row r="1932" spans="1:18" x14ac:dyDescent="0.25">
      <c r="A1932" s="134">
        <v>44848</v>
      </c>
      <c r="B1932" s="110">
        <v>18.25</v>
      </c>
      <c r="C1932" s="110">
        <v>17.95</v>
      </c>
      <c r="D1932" s="110">
        <v>17.850000000000001</v>
      </c>
      <c r="E1932" s="110">
        <v>17.95</v>
      </c>
      <c r="F1932" s="110">
        <v>17.95</v>
      </c>
      <c r="G1932">
        <v>216457</v>
      </c>
      <c r="H1932" s="110"/>
      <c r="I1932" s="110"/>
      <c r="L1932" s="134">
        <v>44848</v>
      </c>
      <c r="M1932" s="110">
        <v>17.95</v>
      </c>
      <c r="N1932" s="110">
        <v>18.2</v>
      </c>
      <c r="O1932" s="110">
        <v>17.850000000000001</v>
      </c>
      <c r="P1932" s="110">
        <v>18.149999999999999</v>
      </c>
      <c r="Q1932" s="110">
        <v>17.95</v>
      </c>
      <c r="R1932">
        <v>1819513</v>
      </c>
    </row>
    <row r="1933" spans="1:18" x14ac:dyDescent="0.25">
      <c r="A1933" s="134">
        <v>44851</v>
      </c>
      <c r="B1933" s="110">
        <v>19</v>
      </c>
      <c r="C1933" s="110">
        <v>18.850000000000001</v>
      </c>
      <c r="D1933" s="110">
        <v>18</v>
      </c>
      <c r="E1933" s="110">
        <v>18</v>
      </c>
      <c r="F1933" s="110">
        <v>18.850000000000001</v>
      </c>
      <c r="G1933">
        <v>1504853</v>
      </c>
      <c r="H1933" s="110"/>
      <c r="I1933" s="110"/>
      <c r="L1933" s="134">
        <v>44851</v>
      </c>
      <c r="M1933" s="110">
        <v>18.850000000000001</v>
      </c>
      <c r="N1933" s="110">
        <v>19</v>
      </c>
      <c r="O1933" s="110">
        <v>17.95</v>
      </c>
      <c r="P1933" s="110">
        <v>18</v>
      </c>
      <c r="Q1933" s="110">
        <v>18.850000000000001</v>
      </c>
      <c r="R1933">
        <v>13851123</v>
      </c>
    </row>
    <row r="1934" spans="1:18" x14ac:dyDescent="0.25">
      <c r="A1934" s="134">
        <v>44852</v>
      </c>
      <c r="B1934" s="110">
        <v>19.5</v>
      </c>
      <c r="C1934" s="110">
        <v>19.100000000000001</v>
      </c>
      <c r="D1934" s="110">
        <v>18.899999999999999</v>
      </c>
      <c r="E1934" s="110">
        <v>19.05</v>
      </c>
      <c r="F1934" s="110">
        <v>19.100000000000001</v>
      </c>
      <c r="G1934">
        <v>1397387</v>
      </c>
      <c r="H1934" s="110"/>
      <c r="I1934" s="110"/>
      <c r="L1934" s="134">
        <v>44852</v>
      </c>
      <c r="M1934" s="110">
        <v>19.100000000000001</v>
      </c>
      <c r="N1934" s="110">
        <v>19.45</v>
      </c>
      <c r="O1934" s="110">
        <v>18.899999999999999</v>
      </c>
      <c r="P1934" s="110">
        <v>19.100000000000001</v>
      </c>
      <c r="Q1934" s="110">
        <v>19.100000000000001</v>
      </c>
      <c r="R1934">
        <v>13038728</v>
      </c>
    </row>
    <row r="1935" spans="1:18" x14ac:dyDescent="0.25">
      <c r="A1935" s="134">
        <v>44853</v>
      </c>
      <c r="B1935" s="110">
        <v>19.75</v>
      </c>
      <c r="C1935" s="110">
        <v>19.399999999999999</v>
      </c>
      <c r="D1935" s="110">
        <v>19.149999999999999</v>
      </c>
      <c r="E1935" s="110">
        <v>19.3</v>
      </c>
      <c r="F1935" s="110">
        <v>19.399999999999999</v>
      </c>
      <c r="G1935">
        <v>1731280</v>
      </c>
      <c r="H1935" s="110"/>
      <c r="I1935" s="110"/>
      <c r="L1935" s="134">
        <v>44853</v>
      </c>
      <c r="M1935" s="110">
        <v>19.399999999999999</v>
      </c>
      <c r="N1935" s="110">
        <v>19.75</v>
      </c>
      <c r="O1935" s="110">
        <v>19.2</v>
      </c>
      <c r="P1935" s="110">
        <v>19.25</v>
      </c>
      <c r="Q1935" s="110">
        <v>19.399999999999999</v>
      </c>
      <c r="R1935">
        <v>11492518</v>
      </c>
    </row>
    <row r="1936" spans="1:18" x14ac:dyDescent="0.25">
      <c r="A1936" s="134">
        <v>44854</v>
      </c>
      <c r="B1936" s="110">
        <v>19.75</v>
      </c>
      <c r="C1936" s="110">
        <v>19.5</v>
      </c>
      <c r="D1936" s="110">
        <v>19.2</v>
      </c>
      <c r="E1936" s="110">
        <v>19.399999999999999</v>
      </c>
      <c r="F1936" s="110">
        <v>19.5</v>
      </c>
      <c r="G1936">
        <v>689428</v>
      </c>
      <c r="H1936" s="110"/>
      <c r="I1936" s="110"/>
      <c r="L1936" s="134">
        <v>44854</v>
      </c>
      <c r="M1936" s="110">
        <v>19.55</v>
      </c>
      <c r="N1936" s="110">
        <v>19.75</v>
      </c>
      <c r="O1936" s="110">
        <v>19.100000000000001</v>
      </c>
      <c r="P1936" s="110">
        <v>19.399999999999999</v>
      </c>
      <c r="Q1936" s="110">
        <v>19.55</v>
      </c>
      <c r="R1936">
        <v>4971696</v>
      </c>
    </row>
    <row r="1937" spans="1:18" x14ac:dyDescent="0.25">
      <c r="A1937" s="134">
        <v>44855</v>
      </c>
      <c r="B1937" s="110">
        <v>20.3</v>
      </c>
      <c r="C1937" s="110">
        <v>19.8</v>
      </c>
      <c r="D1937" s="110">
        <v>19.55</v>
      </c>
      <c r="E1937" s="110">
        <v>19.55</v>
      </c>
      <c r="F1937" s="110">
        <v>19.8</v>
      </c>
      <c r="G1937">
        <v>887738</v>
      </c>
      <c r="H1937" s="110"/>
      <c r="I1937" s="110"/>
      <c r="L1937" s="134">
        <v>44855</v>
      </c>
      <c r="M1937" s="110">
        <v>19.8</v>
      </c>
      <c r="N1937" s="110">
        <v>20.3</v>
      </c>
      <c r="O1937" s="110">
        <v>19.5</v>
      </c>
      <c r="P1937" s="110">
        <v>19.649999999999999</v>
      </c>
      <c r="Q1937" s="110">
        <v>19.8</v>
      </c>
      <c r="R1937">
        <v>11400829</v>
      </c>
    </row>
    <row r="1938" spans="1:18" x14ac:dyDescent="0.25">
      <c r="A1938" s="134">
        <v>44858</v>
      </c>
      <c r="B1938" s="110">
        <v>20.7</v>
      </c>
      <c r="C1938" s="110">
        <v>20.25</v>
      </c>
      <c r="D1938" s="110">
        <v>20.100000000000001</v>
      </c>
      <c r="E1938" s="110">
        <v>20.399999999999999</v>
      </c>
      <c r="F1938" s="110">
        <v>20.25</v>
      </c>
      <c r="G1938">
        <v>657858</v>
      </c>
      <c r="H1938" s="110"/>
      <c r="I1938" s="110"/>
      <c r="L1938" s="134">
        <v>44858</v>
      </c>
      <c r="M1938" s="110">
        <v>20.25</v>
      </c>
      <c r="N1938" s="110">
        <v>20.7</v>
      </c>
      <c r="O1938" s="110">
        <v>20.149999999999999</v>
      </c>
      <c r="P1938" s="110">
        <v>20.55</v>
      </c>
      <c r="Q1938" s="110">
        <v>20.25</v>
      </c>
      <c r="R1938">
        <v>4684950</v>
      </c>
    </row>
    <row r="1939" spans="1:18" x14ac:dyDescent="0.25">
      <c r="A1939" s="134">
        <v>44859</v>
      </c>
      <c r="B1939" s="110">
        <v>21.35</v>
      </c>
      <c r="C1939" s="110">
        <v>20.95</v>
      </c>
      <c r="D1939" s="110">
        <v>19.7</v>
      </c>
      <c r="E1939" s="110">
        <v>20</v>
      </c>
      <c r="F1939" s="110">
        <v>20.95</v>
      </c>
      <c r="G1939">
        <v>2369531</v>
      </c>
      <c r="H1939" s="110"/>
      <c r="I1939" s="110"/>
      <c r="L1939" s="134">
        <v>44859</v>
      </c>
      <c r="M1939" s="110">
        <v>20.95</v>
      </c>
      <c r="N1939" s="110">
        <v>21.35</v>
      </c>
      <c r="O1939" s="110">
        <v>19.75</v>
      </c>
      <c r="P1939" s="110">
        <v>20.05</v>
      </c>
      <c r="Q1939" s="110">
        <v>20.95</v>
      </c>
      <c r="R1939">
        <v>18773606</v>
      </c>
    </row>
    <row r="1940" spans="1:18" x14ac:dyDescent="0.25">
      <c r="A1940" s="134">
        <v>44861</v>
      </c>
      <c r="B1940" s="110">
        <v>21.35</v>
      </c>
      <c r="C1940" s="110">
        <v>21</v>
      </c>
      <c r="D1940" s="110">
        <v>20.85</v>
      </c>
      <c r="E1940" s="110">
        <v>21.1</v>
      </c>
      <c r="F1940" s="110">
        <v>21</v>
      </c>
      <c r="G1940">
        <v>1463371</v>
      </c>
      <c r="H1940" s="110"/>
      <c r="I1940" s="110"/>
      <c r="L1940" s="134">
        <v>44861</v>
      </c>
      <c r="M1940" s="110">
        <v>21</v>
      </c>
      <c r="N1940" s="110">
        <v>21.4</v>
      </c>
      <c r="O1940" s="110">
        <v>20.85</v>
      </c>
      <c r="P1940" s="110">
        <v>21.25</v>
      </c>
      <c r="Q1940" s="110">
        <v>21</v>
      </c>
      <c r="R1940">
        <v>10162174</v>
      </c>
    </row>
    <row r="1941" spans="1:18" x14ac:dyDescent="0.25">
      <c r="A1941" s="134">
        <v>44862</v>
      </c>
      <c r="B1941" s="110">
        <v>21.5</v>
      </c>
      <c r="C1941" s="110">
        <v>20.7</v>
      </c>
      <c r="D1941" s="110">
        <v>20.6</v>
      </c>
      <c r="E1941" s="110">
        <v>21</v>
      </c>
      <c r="F1941" s="110">
        <v>20.7</v>
      </c>
      <c r="G1941">
        <v>1555222</v>
      </c>
      <c r="H1941" s="110"/>
      <c r="I1941" s="110"/>
      <c r="L1941" s="134">
        <v>44862</v>
      </c>
      <c r="M1941" s="110">
        <v>20.75</v>
      </c>
      <c r="N1941" s="110">
        <v>21.55</v>
      </c>
      <c r="O1941" s="110">
        <v>20.65</v>
      </c>
      <c r="P1941" s="110">
        <v>21</v>
      </c>
      <c r="Q1941" s="110">
        <v>20.75</v>
      </c>
      <c r="R1941">
        <v>9440488</v>
      </c>
    </row>
    <row r="1942" spans="1:18" x14ac:dyDescent="0.25">
      <c r="A1942" s="134">
        <v>44865</v>
      </c>
      <c r="B1942" s="110">
        <v>21.15</v>
      </c>
      <c r="C1942" s="110">
        <v>20.3</v>
      </c>
      <c r="D1942" s="110">
        <v>20.25</v>
      </c>
      <c r="E1942" s="110">
        <v>21</v>
      </c>
      <c r="F1942" s="110">
        <v>20.3</v>
      </c>
      <c r="G1942">
        <v>532633</v>
      </c>
      <c r="H1942" s="110"/>
      <c r="I1942" s="110"/>
      <c r="L1942" s="134">
        <v>44865</v>
      </c>
      <c r="M1942" s="110">
        <v>20.3</v>
      </c>
      <c r="N1942" s="110">
        <v>21.2</v>
      </c>
      <c r="O1942" s="110">
        <v>20.25</v>
      </c>
      <c r="P1942" s="110">
        <v>20.95</v>
      </c>
      <c r="Q1942" s="110">
        <v>20.3</v>
      </c>
      <c r="R1942">
        <v>5881162</v>
      </c>
    </row>
    <row r="1943" spans="1:18" x14ac:dyDescent="0.25">
      <c r="A1943" s="134">
        <v>44866</v>
      </c>
      <c r="B1943" s="110">
        <v>20.75</v>
      </c>
      <c r="C1943" s="110">
        <v>20.2</v>
      </c>
      <c r="D1943" s="110">
        <v>20.05</v>
      </c>
      <c r="E1943" s="110">
        <v>20.65</v>
      </c>
      <c r="F1943" s="110">
        <v>20.2</v>
      </c>
      <c r="G1943">
        <v>646043</v>
      </c>
      <c r="H1943" s="110"/>
      <c r="I1943" s="110"/>
      <c r="L1943" s="134">
        <v>44866</v>
      </c>
      <c r="M1943" s="110">
        <v>20.2</v>
      </c>
      <c r="N1943" s="110">
        <v>20.75</v>
      </c>
      <c r="O1943" s="110">
        <v>20.100000000000001</v>
      </c>
      <c r="P1943" s="110">
        <v>20.5</v>
      </c>
      <c r="Q1943" s="110">
        <v>20.2</v>
      </c>
      <c r="R1943">
        <v>4485720</v>
      </c>
    </row>
    <row r="1944" spans="1:18" x14ac:dyDescent="0.25">
      <c r="A1944" s="134">
        <v>44867</v>
      </c>
      <c r="B1944" s="110">
        <v>20.399999999999999</v>
      </c>
      <c r="C1944" s="110">
        <v>20.2</v>
      </c>
      <c r="D1944" s="110">
        <v>20.100000000000001</v>
      </c>
      <c r="E1944" s="110">
        <v>20.3</v>
      </c>
      <c r="F1944" s="110">
        <v>20.2</v>
      </c>
      <c r="G1944">
        <v>743717</v>
      </c>
      <c r="H1944" s="110"/>
      <c r="I1944" s="110"/>
      <c r="L1944" s="134">
        <v>44867</v>
      </c>
      <c r="M1944" s="110">
        <v>20.2</v>
      </c>
      <c r="N1944" s="110">
        <v>20.399999999999999</v>
      </c>
      <c r="O1944" s="110">
        <v>20.149999999999999</v>
      </c>
      <c r="P1944" s="110">
        <v>20.3</v>
      </c>
      <c r="Q1944" s="110">
        <v>20.2</v>
      </c>
      <c r="R1944">
        <v>3354960</v>
      </c>
    </row>
    <row r="1945" spans="1:18" x14ac:dyDescent="0.25">
      <c r="A1945" s="134">
        <v>44868</v>
      </c>
      <c r="B1945" s="110">
        <v>21.2</v>
      </c>
      <c r="C1945" s="110">
        <v>21.1</v>
      </c>
      <c r="D1945" s="110">
        <v>20.05</v>
      </c>
      <c r="E1945" s="110">
        <v>20.2</v>
      </c>
      <c r="F1945" s="110">
        <v>21.1</v>
      </c>
      <c r="G1945">
        <v>2037555</v>
      </c>
      <c r="H1945" s="110"/>
      <c r="I1945" s="110"/>
      <c r="L1945" s="134">
        <v>44868</v>
      </c>
      <c r="M1945" s="110">
        <v>21.1</v>
      </c>
      <c r="N1945" s="110">
        <v>21.2</v>
      </c>
      <c r="O1945" s="110">
        <v>20</v>
      </c>
      <c r="P1945" s="110">
        <v>20.100000000000001</v>
      </c>
      <c r="Q1945" s="110">
        <v>21.1</v>
      </c>
      <c r="R1945">
        <v>12683638</v>
      </c>
    </row>
    <row r="1946" spans="1:18" x14ac:dyDescent="0.25">
      <c r="A1946" s="134">
        <v>44869</v>
      </c>
      <c r="B1946" s="110">
        <v>23.15</v>
      </c>
      <c r="C1946" s="110">
        <v>22.8</v>
      </c>
      <c r="D1946" s="110">
        <v>21.1</v>
      </c>
      <c r="E1946" s="110">
        <v>21.1</v>
      </c>
      <c r="F1946" s="110">
        <v>22.8</v>
      </c>
      <c r="G1946">
        <v>7427718</v>
      </c>
      <c r="H1946" s="110"/>
      <c r="I1946" s="110"/>
      <c r="L1946" s="134">
        <v>44869</v>
      </c>
      <c r="M1946" s="110">
        <v>22.75</v>
      </c>
      <c r="N1946" s="110">
        <v>23.15</v>
      </c>
      <c r="O1946" s="110">
        <v>21.25</v>
      </c>
      <c r="P1946" s="110">
        <v>21.3</v>
      </c>
      <c r="Q1946" s="110">
        <v>22.75</v>
      </c>
      <c r="R1946">
        <v>46992227</v>
      </c>
    </row>
    <row r="1947" spans="1:18" x14ac:dyDescent="0.25">
      <c r="A1947" s="134">
        <v>44872</v>
      </c>
      <c r="B1947" s="110">
        <v>23.95</v>
      </c>
      <c r="C1947" s="110">
        <v>23.3</v>
      </c>
      <c r="D1947" s="110">
        <v>22.9</v>
      </c>
      <c r="E1947" s="110">
        <v>22.9</v>
      </c>
      <c r="F1947" s="110">
        <v>23.3</v>
      </c>
      <c r="G1947">
        <v>3873734</v>
      </c>
      <c r="H1947" s="110"/>
      <c r="I1947" s="110"/>
      <c r="L1947" s="134">
        <v>44872</v>
      </c>
      <c r="M1947" s="110">
        <v>23.3</v>
      </c>
      <c r="N1947" s="110">
        <v>23.95</v>
      </c>
      <c r="O1947" s="110">
        <v>23</v>
      </c>
      <c r="P1947" s="110">
        <v>23</v>
      </c>
      <c r="Q1947" s="110">
        <v>23.3</v>
      </c>
      <c r="R1947">
        <v>27606247</v>
      </c>
    </row>
    <row r="1948" spans="1:18" x14ac:dyDescent="0.25">
      <c r="A1948" s="134">
        <v>44874</v>
      </c>
      <c r="B1948" s="110">
        <v>24.6</v>
      </c>
      <c r="C1948" s="110">
        <v>24.2</v>
      </c>
      <c r="D1948" s="110">
        <v>23.35</v>
      </c>
      <c r="E1948" s="110">
        <v>23.5</v>
      </c>
      <c r="F1948" s="110">
        <v>24.2</v>
      </c>
      <c r="G1948">
        <v>6315690</v>
      </c>
      <c r="H1948" s="110"/>
      <c r="I1948" s="110"/>
      <c r="L1948" s="134">
        <v>44874</v>
      </c>
      <c r="M1948" s="110">
        <v>24.2</v>
      </c>
      <c r="N1948" s="110">
        <v>24.7</v>
      </c>
      <c r="O1948" s="110">
        <v>23.35</v>
      </c>
      <c r="P1948" s="110">
        <v>23.6</v>
      </c>
      <c r="Q1948" s="110">
        <v>24.2</v>
      </c>
      <c r="R1948">
        <v>34082599</v>
      </c>
    </row>
    <row r="1949" spans="1:18" x14ac:dyDescent="0.25">
      <c r="A1949" s="134">
        <v>44875</v>
      </c>
      <c r="B1949" s="110">
        <v>24.35</v>
      </c>
      <c r="C1949" s="110">
        <v>23.15</v>
      </c>
      <c r="D1949" s="110">
        <v>22.95</v>
      </c>
      <c r="E1949" s="110">
        <v>24.1</v>
      </c>
      <c r="F1949" s="110">
        <v>23.15</v>
      </c>
      <c r="G1949">
        <v>2694496</v>
      </c>
      <c r="H1949" s="110"/>
      <c r="I1949" s="110"/>
      <c r="L1949" s="134">
        <v>44875</v>
      </c>
      <c r="M1949" s="110">
        <v>23.15</v>
      </c>
      <c r="N1949" s="110">
        <v>24.4</v>
      </c>
      <c r="O1949" s="110">
        <v>22.9</v>
      </c>
      <c r="P1949" s="110">
        <v>24.25</v>
      </c>
      <c r="Q1949" s="110">
        <v>23.15</v>
      </c>
      <c r="R1949">
        <v>18353367</v>
      </c>
    </row>
    <row r="1950" spans="1:18" x14ac:dyDescent="0.25">
      <c r="A1950" s="134">
        <v>44876</v>
      </c>
      <c r="B1950" s="110">
        <v>23.9</v>
      </c>
      <c r="C1950" s="110">
        <v>23.4</v>
      </c>
      <c r="D1950" s="110">
        <v>23.1</v>
      </c>
      <c r="E1950" s="110">
        <v>23.4</v>
      </c>
      <c r="F1950" s="110">
        <v>23.4</v>
      </c>
      <c r="G1950">
        <v>1568530</v>
      </c>
      <c r="H1950" s="110"/>
      <c r="I1950" s="110"/>
      <c r="L1950" s="134">
        <v>44876</v>
      </c>
      <c r="M1950" s="110">
        <v>23.4</v>
      </c>
      <c r="N1950" s="110">
        <v>23.95</v>
      </c>
      <c r="O1950" s="110">
        <v>23.15</v>
      </c>
      <c r="P1950" s="110">
        <v>23.55</v>
      </c>
      <c r="Q1950" s="110">
        <v>23.4</v>
      </c>
      <c r="R1950">
        <v>12237384</v>
      </c>
    </row>
    <row r="1951" spans="1:18" x14ac:dyDescent="0.25">
      <c r="A1951" s="134">
        <v>44879</v>
      </c>
      <c r="B1951" s="110">
        <v>23.65</v>
      </c>
      <c r="C1951" s="110">
        <v>23.1</v>
      </c>
      <c r="D1951" s="110">
        <v>22.85</v>
      </c>
      <c r="E1951" s="110">
        <v>23.4</v>
      </c>
      <c r="F1951" s="110">
        <v>23.1</v>
      </c>
      <c r="G1951">
        <v>1145214</v>
      </c>
      <c r="H1951" s="110"/>
      <c r="I1951" s="110"/>
      <c r="L1951" s="134">
        <v>44879</v>
      </c>
      <c r="M1951" s="110">
        <v>23.1</v>
      </c>
      <c r="N1951" s="110">
        <v>23.7</v>
      </c>
      <c r="O1951" s="110">
        <v>22.9</v>
      </c>
      <c r="P1951" s="110">
        <v>23.55</v>
      </c>
      <c r="Q1951" s="110">
        <v>23.1</v>
      </c>
      <c r="R1951">
        <v>6472068</v>
      </c>
    </row>
    <row r="1952" spans="1:18" x14ac:dyDescent="0.25">
      <c r="A1952" s="134">
        <v>44880</v>
      </c>
      <c r="B1952" s="110">
        <v>23.25</v>
      </c>
      <c r="C1952" s="110">
        <v>22.85</v>
      </c>
      <c r="D1952" s="110">
        <v>22.6</v>
      </c>
      <c r="E1952" s="110">
        <v>23.05</v>
      </c>
      <c r="F1952" s="110">
        <v>22.85</v>
      </c>
      <c r="G1952">
        <v>927926</v>
      </c>
      <c r="H1952" s="110"/>
      <c r="I1952" s="110"/>
      <c r="L1952" s="134">
        <v>44880</v>
      </c>
      <c r="M1952" s="110">
        <v>22.85</v>
      </c>
      <c r="N1952" s="110">
        <v>23.25</v>
      </c>
      <c r="O1952" s="110">
        <v>22.6</v>
      </c>
      <c r="P1952" s="110">
        <v>23.2</v>
      </c>
      <c r="Q1952" s="110">
        <v>22.85</v>
      </c>
      <c r="R1952">
        <v>6560313</v>
      </c>
    </row>
    <row r="1953" spans="1:18" x14ac:dyDescent="0.25">
      <c r="A1953" s="134">
        <v>44881</v>
      </c>
      <c r="B1953" s="110">
        <v>23.45</v>
      </c>
      <c r="C1953" s="110">
        <v>22.9</v>
      </c>
      <c r="D1953" s="110">
        <v>22.65</v>
      </c>
      <c r="E1953" s="110">
        <v>23</v>
      </c>
      <c r="F1953" s="110">
        <v>22.9</v>
      </c>
      <c r="G1953">
        <v>1231605</v>
      </c>
      <c r="H1953" s="110"/>
      <c r="I1953" s="110"/>
      <c r="L1953" s="134">
        <v>44881</v>
      </c>
      <c r="M1953" s="110">
        <v>22.9</v>
      </c>
      <c r="N1953" s="110">
        <v>23.45</v>
      </c>
      <c r="O1953" s="110">
        <v>22.75</v>
      </c>
      <c r="P1953" s="110">
        <v>22.95</v>
      </c>
      <c r="Q1953" s="110">
        <v>22.9</v>
      </c>
      <c r="R1953">
        <v>9779348</v>
      </c>
    </row>
    <row r="1954" spans="1:18" x14ac:dyDescent="0.25">
      <c r="A1954" s="134">
        <v>44882</v>
      </c>
      <c r="B1954" s="110">
        <v>23.25</v>
      </c>
      <c r="C1954" s="110">
        <v>23.1</v>
      </c>
      <c r="D1954" s="110">
        <v>22.8</v>
      </c>
      <c r="E1954" s="110">
        <v>22.9</v>
      </c>
      <c r="F1954" s="110">
        <v>23.1</v>
      </c>
      <c r="G1954">
        <v>776240</v>
      </c>
      <c r="H1954" s="110"/>
      <c r="I1954" s="110"/>
      <c r="L1954" s="134">
        <v>44882</v>
      </c>
      <c r="M1954" s="110">
        <v>23.1</v>
      </c>
      <c r="N1954" s="110">
        <v>23.3</v>
      </c>
      <c r="O1954" s="110">
        <v>22.8</v>
      </c>
      <c r="P1954" s="110">
        <v>22.9</v>
      </c>
      <c r="Q1954" s="110">
        <v>23.1</v>
      </c>
      <c r="R1954">
        <v>5638624</v>
      </c>
    </row>
    <row r="1955" spans="1:18" x14ac:dyDescent="0.25">
      <c r="A1955" s="134">
        <v>44883</v>
      </c>
      <c r="B1955" s="110">
        <v>25.6</v>
      </c>
      <c r="C1955" s="110">
        <v>25.1</v>
      </c>
      <c r="D1955" s="110">
        <v>23.2</v>
      </c>
      <c r="E1955" s="110">
        <v>23.3</v>
      </c>
      <c r="F1955" s="110">
        <v>25.1</v>
      </c>
      <c r="G1955">
        <v>9541979</v>
      </c>
      <c r="H1955" s="110"/>
      <c r="I1955" s="110"/>
      <c r="L1955" s="134">
        <v>44883</v>
      </c>
      <c r="M1955" s="110">
        <v>25.1</v>
      </c>
      <c r="N1955" s="110">
        <v>25.65</v>
      </c>
      <c r="O1955" s="110">
        <v>23.2</v>
      </c>
      <c r="P1955" s="110">
        <v>23.25</v>
      </c>
      <c r="Q1955" s="110">
        <v>25.1</v>
      </c>
      <c r="R1955">
        <v>86922337</v>
      </c>
    </row>
    <row r="1956" spans="1:18" x14ac:dyDescent="0.25">
      <c r="A1956" s="134">
        <v>44886</v>
      </c>
      <c r="B1956" s="110">
        <v>29.45</v>
      </c>
      <c r="C1956" s="110">
        <v>28.75</v>
      </c>
      <c r="D1956" s="110">
        <v>25.2</v>
      </c>
      <c r="E1956" s="110">
        <v>25.25</v>
      </c>
      <c r="F1956" s="110">
        <v>28.75</v>
      </c>
      <c r="G1956">
        <v>15406001</v>
      </c>
      <c r="H1956" s="110"/>
      <c r="I1956" s="110"/>
      <c r="L1956" s="134">
        <v>44886</v>
      </c>
      <c r="M1956" s="110">
        <v>28.8</v>
      </c>
      <c r="N1956" s="110">
        <v>29.5</v>
      </c>
      <c r="O1956" s="110">
        <v>25.2</v>
      </c>
      <c r="P1956" s="110">
        <v>25.35</v>
      </c>
      <c r="Q1956" s="110">
        <v>28.8</v>
      </c>
      <c r="R1956">
        <v>159453816</v>
      </c>
    </row>
    <row r="1957" spans="1:18" x14ac:dyDescent="0.25">
      <c r="A1957" s="134">
        <v>44887</v>
      </c>
      <c r="B1957" s="110">
        <v>30.1</v>
      </c>
      <c r="C1957" s="110">
        <v>27.85</v>
      </c>
      <c r="D1957" s="110">
        <v>27.25</v>
      </c>
      <c r="E1957" s="110">
        <v>29.2</v>
      </c>
      <c r="F1957" s="110">
        <v>27.85</v>
      </c>
      <c r="G1957">
        <v>7934283</v>
      </c>
      <c r="H1957" s="110"/>
      <c r="I1957" s="110"/>
      <c r="L1957" s="134">
        <v>44887</v>
      </c>
      <c r="M1957" s="110">
        <v>27.85</v>
      </c>
      <c r="N1957" s="110">
        <v>30.05</v>
      </c>
      <c r="O1957" s="110">
        <v>27.25</v>
      </c>
      <c r="P1957" s="110">
        <v>29.2</v>
      </c>
      <c r="Q1957" s="110">
        <v>27.85</v>
      </c>
      <c r="R1957">
        <v>105100923</v>
      </c>
    </row>
    <row r="1958" spans="1:18" x14ac:dyDescent="0.25">
      <c r="A1958" s="134">
        <v>44888</v>
      </c>
      <c r="B1958" s="110">
        <v>28.5</v>
      </c>
      <c r="C1958" s="110">
        <v>27.2</v>
      </c>
      <c r="D1958" s="110">
        <v>27</v>
      </c>
      <c r="E1958" s="110">
        <v>28.15</v>
      </c>
      <c r="F1958" s="110">
        <v>27.2</v>
      </c>
      <c r="G1958">
        <v>4392677</v>
      </c>
      <c r="H1958" s="110"/>
      <c r="I1958" s="110"/>
      <c r="L1958" s="134">
        <v>44888</v>
      </c>
      <c r="M1958" s="110">
        <v>27.2</v>
      </c>
      <c r="N1958" s="110">
        <v>28.5</v>
      </c>
      <c r="O1958" s="110">
        <v>27</v>
      </c>
      <c r="P1958" s="110">
        <v>28.2</v>
      </c>
      <c r="Q1958" s="110">
        <v>27.2</v>
      </c>
      <c r="R1958">
        <v>40032938</v>
      </c>
    </row>
    <row r="1959" spans="1:18" x14ac:dyDescent="0.25">
      <c r="A1959" s="134">
        <v>44889</v>
      </c>
      <c r="B1959" s="110">
        <v>28.25</v>
      </c>
      <c r="C1959" s="110">
        <v>27.25</v>
      </c>
      <c r="D1959" s="110">
        <v>27</v>
      </c>
      <c r="E1959" s="110">
        <v>27.5</v>
      </c>
      <c r="F1959" s="110">
        <v>27.25</v>
      </c>
      <c r="G1959">
        <v>3619000</v>
      </c>
      <c r="H1959" s="110"/>
      <c r="I1959" s="110"/>
      <c r="L1959" s="134">
        <v>44889</v>
      </c>
      <c r="M1959" s="110">
        <v>27.3</v>
      </c>
      <c r="N1959" s="110">
        <v>28.25</v>
      </c>
      <c r="O1959" s="110">
        <v>27</v>
      </c>
      <c r="P1959" s="110">
        <v>27.45</v>
      </c>
      <c r="Q1959" s="110">
        <v>27.3</v>
      </c>
      <c r="R1959">
        <v>30749309</v>
      </c>
    </row>
    <row r="1960" spans="1:18" x14ac:dyDescent="0.25">
      <c r="A1960" s="134">
        <v>44890</v>
      </c>
      <c r="B1960" s="110">
        <v>28.25</v>
      </c>
      <c r="C1960" s="110">
        <v>27.5</v>
      </c>
      <c r="D1960" s="110">
        <v>27.1</v>
      </c>
      <c r="E1960" s="110">
        <v>27.35</v>
      </c>
      <c r="F1960" s="110">
        <v>27.5</v>
      </c>
      <c r="G1960">
        <v>2456999</v>
      </c>
      <c r="H1960" s="110"/>
      <c r="I1960" s="110"/>
      <c r="L1960" s="134">
        <v>44890</v>
      </c>
      <c r="M1960" s="110">
        <v>27.45</v>
      </c>
      <c r="N1960" s="110">
        <v>28.25</v>
      </c>
      <c r="O1960" s="110">
        <v>27.1</v>
      </c>
      <c r="P1960" s="110">
        <v>27.45</v>
      </c>
      <c r="Q1960" s="110">
        <v>27.45</v>
      </c>
      <c r="R1960">
        <v>41190200</v>
      </c>
    </row>
    <row r="1961" spans="1:18" x14ac:dyDescent="0.25">
      <c r="A1961" s="134">
        <v>44893</v>
      </c>
      <c r="B1961" s="110">
        <v>28.15</v>
      </c>
      <c r="C1961" s="110">
        <v>27.3</v>
      </c>
      <c r="D1961" s="110">
        <v>27</v>
      </c>
      <c r="E1961" s="110">
        <v>27.55</v>
      </c>
      <c r="F1961" s="110">
        <v>27.3</v>
      </c>
      <c r="G1961">
        <v>2137036</v>
      </c>
      <c r="H1961" s="110"/>
      <c r="I1961" s="110"/>
      <c r="L1961" s="134">
        <v>44893</v>
      </c>
      <c r="M1961" s="110">
        <v>27.3</v>
      </c>
      <c r="N1961" s="110">
        <v>28.1</v>
      </c>
      <c r="O1961" s="110">
        <v>27</v>
      </c>
      <c r="P1961" s="110">
        <v>27.6</v>
      </c>
      <c r="Q1961" s="110">
        <v>27.3</v>
      </c>
      <c r="R1961">
        <v>22268756</v>
      </c>
    </row>
    <row r="1962" spans="1:18" x14ac:dyDescent="0.25">
      <c r="A1962" s="134">
        <v>44894</v>
      </c>
      <c r="B1962" s="110">
        <v>27.85</v>
      </c>
      <c r="C1962" s="110">
        <v>26.8</v>
      </c>
      <c r="D1962" s="110">
        <v>26.65</v>
      </c>
      <c r="E1962" s="110">
        <v>27.3</v>
      </c>
      <c r="F1962" s="110">
        <v>26.8</v>
      </c>
      <c r="G1962">
        <v>2501124</v>
      </c>
      <c r="H1962" s="110"/>
      <c r="I1962" s="110"/>
      <c r="L1962" s="134">
        <v>44894</v>
      </c>
      <c r="M1962" s="110">
        <v>26.85</v>
      </c>
      <c r="N1962" s="110">
        <v>27.75</v>
      </c>
      <c r="O1962" s="110">
        <v>26.7</v>
      </c>
      <c r="P1962" s="110">
        <v>27.5</v>
      </c>
      <c r="Q1962" s="110">
        <v>26.85</v>
      </c>
      <c r="R1962">
        <v>19900823</v>
      </c>
    </row>
    <row r="1963" spans="1:18" x14ac:dyDescent="0.25">
      <c r="A1963" s="134">
        <v>44895</v>
      </c>
      <c r="B1963" s="110">
        <v>27.45</v>
      </c>
      <c r="C1963" s="110">
        <v>26.45</v>
      </c>
      <c r="D1963" s="110">
        <v>26.3</v>
      </c>
      <c r="E1963" s="110">
        <v>26.85</v>
      </c>
      <c r="F1963" s="110">
        <v>26.45</v>
      </c>
      <c r="G1963">
        <v>1159563</v>
      </c>
      <c r="H1963" s="110"/>
      <c r="I1963" s="110"/>
      <c r="L1963" s="134">
        <v>44895</v>
      </c>
      <c r="M1963" s="110">
        <v>26.45</v>
      </c>
      <c r="N1963" s="110">
        <v>27.45</v>
      </c>
      <c r="O1963" s="110">
        <v>26.25</v>
      </c>
      <c r="P1963" s="110">
        <v>26.95</v>
      </c>
      <c r="Q1963" s="110">
        <v>26.45</v>
      </c>
      <c r="R1963">
        <v>15845528</v>
      </c>
    </row>
    <row r="1964" spans="1:18" x14ac:dyDescent="0.25">
      <c r="A1964" s="134">
        <v>44896</v>
      </c>
      <c r="B1964" s="110">
        <v>27.55</v>
      </c>
      <c r="C1964" s="110">
        <v>27.15</v>
      </c>
      <c r="D1964" s="110">
        <v>25.8</v>
      </c>
      <c r="E1964" s="110">
        <v>26.25</v>
      </c>
      <c r="F1964" s="110">
        <v>27.15</v>
      </c>
      <c r="G1964">
        <v>2462186</v>
      </c>
      <c r="H1964" s="110"/>
      <c r="I1964" s="110"/>
      <c r="L1964" s="134">
        <v>44896</v>
      </c>
      <c r="M1964" s="110">
        <v>27.1</v>
      </c>
      <c r="N1964" s="110">
        <v>27.6</v>
      </c>
      <c r="O1964" s="110">
        <v>25.8</v>
      </c>
      <c r="P1964" s="110">
        <v>26.55</v>
      </c>
      <c r="Q1964" s="110">
        <v>27.1</v>
      </c>
      <c r="R1964">
        <v>27811928</v>
      </c>
    </row>
    <row r="1965" spans="1:18" x14ac:dyDescent="0.25">
      <c r="A1965" s="134">
        <v>44897</v>
      </c>
      <c r="B1965" s="110">
        <v>28</v>
      </c>
      <c r="C1965" s="110">
        <v>27.35</v>
      </c>
      <c r="D1965" s="110">
        <v>27.1</v>
      </c>
      <c r="E1965" s="110">
        <v>27.3</v>
      </c>
      <c r="F1965" s="110">
        <v>27.35</v>
      </c>
      <c r="G1965">
        <v>2876723</v>
      </c>
      <c r="H1965" s="110"/>
      <c r="I1965" s="110"/>
      <c r="L1965" s="134">
        <v>44897</v>
      </c>
      <c r="M1965" s="110">
        <v>27.35</v>
      </c>
      <c r="N1965" s="110">
        <v>28</v>
      </c>
      <c r="O1965" s="110">
        <v>27.05</v>
      </c>
      <c r="P1965" s="110">
        <v>27.45</v>
      </c>
      <c r="Q1965" s="110">
        <v>27.35</v>
      </c>
      <c r="R1965">
        <v>24037754</v>
      </c>
    </row>
    <row r="1966" spans="1:18" x14ac:dyDescent="0.25">
      <c r="A1966" s="134">
        <v>44900</v>
      </c>
      <c r="B1966" s="110">
        <v>27.8</v>
      </c>
      <c r="C1966" s="110">
        <v>27.65</v>
      </c>
      <c r="D1966" s="110">
        <v>27</v>
      </c>
      <c r="E1966" s="110">
        <v>27.5</v>
      </c>
      <c r="F1966" s="110">
        <v>27.65</v>
      </c>
      <c r="G1966">
        <v>1786133</v>
      </c>
      <c r="H1966" s="110"/>
      <c r="I1966" s="110"/>
      <c r="L1966" s="134">
        <v>44900</v>
      </c>
      <c r="M1966" s="110">
        <v>27.65</v>
      </c>
      <c r="N1966" s="110">
        <v>27.85</v>
      </c>
      <c r="O1966" s="110">
        <v>27</v>
      </c>
      <c r="P1966" s="110">
        <v>27.5</v>
      </c>
      <c r="Q1966" s="110">
        <v>27.65</v>
      </c>
      <c r="R1966">
        <v>15276414</v>
      </c>
    </row>
    <row r="1967" spans="1:18" x14ac:dyDescent="0.25">
      <c r="A1967" s="134">
        <v>44901</v>
      </c>
      <c r="B1967" s="110">
        <v>28.95</v>
      </c>
      <c r="C1967" s="110">
        <v>28.45</v>
      </c>
      <c r="D1967" s="110">
        <v>27.5</v>
      </c>
      <c r="E1967" s="110">
        <v>27.7</v>
      </c>
      <c r="F1967" s="110">
        <v>28.45</v>
      </c>
      <c r="G1967">
        <v>4342524</v>
      </c>
      <c r="H1967" s="110"/>
      <c r="I1967" s="110"/>
      <c r="L1967" s="134">
        <v>44901</v>
      </c>
      <c r="M1967" s="110">
        <v>28.45</v>
      </c>
      <c r="N1967" s="110">
        <v>28.95</v>
      </c>
      <c r="O1967" s="110">
        <v>27.5</v>
      </c>
      <c r="P1967" s="110">
        <v>27.65</v>
      </c>
      <c r="Q1967" s="110">
        <v>28.45</v>
      </c>
      <c r="R1967">
        <v>45299736</v>
      </c>
    </row>
    <row r="1968" spans="1:18" x14ac:dyDescent="0.25">
      <c r="A1968" s="134">
        <v>44902</v>
      </c>
      <c r="B1968" s="110">
        <v>29.6</v>
      </c>
      <c r="C1968" s="110">
        <v>28.75</v>
      </c>
      <c r="D1968" s="110">
        <v>28.35</v>
      </c>
      <c r="E1968" s="110">
        <v>28.5</v>
      </c>
      <c r="F1968" s="110">
        <v>28.75</v>
      </c>
      <c r="G1968">
        <v>6776921</v>
      </c>
      <c r="H1968" s="110"/>
      <c r="I1968" s="110"/>
      <c r="L1968" s="134">
        <v>44902</v>
      </c>
      <c r="M1968" s="110">
        <v>28.85</v>
      </c>
      <c r="N1968" s="110">
        <v>29.6</v>
      </c>
      <c r="O1968" s="110">
        <v>28.35</v>
      </c>
      <c r="P1968" s="110">
        <v>28.45</v>
      </c>
      <c r="Q1968" s="110">
        <v>28.85</v>
      </c>
      <c r="R1968">
        <v>50063640</v>
      </c>
    </row>
    <row r="1969" spans="1:18" x14ac:dyDescent="0.25">
      <c r="A1969" s="134">
        <v>44903</v>
      </c>
      <c r="B1969" s="110">
        <v>30.5</v>
      </c>
      <c r="C1969" s="110">
        <v>30.1</v>
      </c>
      <c r="D1969" s="110">
        <v>28.7</v>
      </c>
      <c r="E1969" s="110">
        <v>29.25</v>
      </c>
      <c r="F1969" s="110">
        <v>30.1</v>
      </c>
      <c r="G1969">
        <v>3626459</v>
      </c>
      <c r="H1969" s="110"/>
      <c r="I1969" s="110"/>
      <c r="L1969" s="134">
        <v>44903</v>
      </c>
      <c r="M1969" s="110">
        <v>30.05</v>
      </c>
      <c r="N1969" s="110">
        <v>30.45</v>
      </c>
      <c r="O1969" s="110">
        <v>28.65</v>
      </c>
      <c r="P1969" s="110">
        <v>29.2</v>
      </c>
      <c r="Q1969" s="110">
        <v>30.05</v>
      </c>
      <c r="R1969">
        <v>60526042</v>
      </c>
    </row>
    <row r="1970" spans="1:18" x14ac:dyDescent="0.25">
      <c r="A1970" s="134">
        <v>44904</v>
      </c>
      <c r="B1970" s="110">
        <v>31.4</v>
      </c>
      <c r="C1970" s="110">
        <v>28.6</v>
      </c>
      <c r="D1970" s="110">
        <v>27.2</v>
      </c>
      <c r="E1970" s="110">
        <v>30.45</v>
      </c>
      <c r="F1970" s="110">
        <v>28.6</v>
      </c>
      <c r="G1970">
        <v>8758183</v>
      </c>
      <c r="H1970" s="110"/>
      <c r="I1970" s="110"/>
      <c r="L1970" s="134">
        <v>44904</v>
      </c>
      <c r="M1970" s="110">
        <v>28.65</v>
      </c>
      <c r="N1970" s="110">
        <v>31.4</v>
      </c>
      <c r="O1970" s="110">
        <v>27.2</v>
      </c>
      <c r="P1970" s="110">
        <v>30.5</v>
      </c>
      <c r="Q1970" s="110">
        <v>28.65</v>
      </c>
      <c r="R1970">
        <v>82166735</v>
      </c>
    </row>
    <row r="1971" spans="1:18" x14ac:dyDescent="0.25">
      <c r="A1971" s="134">
        <v>44907</v>
      </c>
      <c r="B1971" s="110">
        <v>29.85</v>
      </c>
      <c r="C1971" s="110">
        <v>29.55</v>
      </c>
      <c r="D1971" s="110">
        <v>27.9</v>
      </c>
      <c r="E1971" s="110">
        <v>28.65</v>
      </c>
      <c r="F1971" s="110">
        <v>29.55</v>
      </c>
      <c r="G1971">
        <v>2816328</v>
      </c>
      <c r="H1971" s="110"/>
      <c r="I1971" s="110"/>
      <c r="L1971" s="134">
        <v>44907</v>
      </c>
      <c r="M1971" s="110">
        <v>29.55</v>
      </c>
      <c r="N1971" s="110">
        <v>29.8</v>
      </c>
      <c r="O1971" s="110">
        <v>27.9</v>
      </c>
      <c r="P1971" s="110">
        <v>28.6</v>
      </c>
      <c r="Q1971" s="110">
        <v>29.55</v>
      </c>
      <c r="R1971">
        <v>35807886</v>
      </c>
    </row>
    <row r="1972" spans="1:18" x14ac:dyDescent="0.25">
      <c r="A1972" s="134">
        <v>44908</v>
      </c>
      <c r="B1972" s="110">
        <v>33.700000000000003</v>
      </c>
      <c r="C1972" s="110">
        <v>32.65</v>
      </c>
      <c r="D1972" s="110">
        <v>29.55</v>
      </c>
      <c r="E1972" s="110">
        <v>30</v>
      </c>
      <c r="F1972" s="110">
        <v>32.65</v>
      </c>
      <c r="G1972">
        <v>15149729</v>
      </c>
      <c r="H1972" s="110"/>
      <c r="I1972" s="110"/>
      <c r="L1972" s="134">
        <v>44908</v>
      </c>
      <c r="M1972" s="110">
        <v>32.65</v>
      </c>
      <c r="N1972" s="110">
        <v>33.6</v>
      </c>
      <c r="O1972" s="110">
        <v>29.55</v>
      </c>
      <c r="P1972" s="110">
        <v>29.9</v>
      </c>
      <c r="Q1972" s="110">
        <v>32.65</v>
      </c>
      <c r="R1972">
        <v>162452666</v>
      </c>
    </row>
    <row r="1973" spans="1:18" x14ac:dyDescent="0.25">
      <c r="A1973" s="134">
        <v>44909</v>
      </c>
      <c r="B1973" s="110">
        <v>36.200000000000003</v>
      </c>
      <c r="C1973" s="110">
        <v>34.15</v>
      </c>
      <c r="D1973" s="110">
        <v>32.450000000000003</v>
      </c>
      <c r="E1973" s="110">
        <v>33.15</v>
      </c>
      <c r="F1973" s="110">
        <v>34.15</v>
      </c>
      <c r="G1973">
        <v>20559232</v>
      </c>
      <c r="H1973" s="110"/>
      <c r="I1973" s="110"/>
      <c r="L1973" s="134">
        <v>44909</v>
      </c>
      <c r="M1973" s="110">
        <v>34.1</v>
      </c>
      <c r="N1973" s="110">
        <v>36.200000000000003</v>
      </c>
      <c r="O1973" s="110">
        <v>32.5</v>
      </c>
      <c r="P1973" s="110">
        <v>33.049999999999997</v>
      </c>
      <c r="Q1973" s="110">
        <v>34.1</v>
      </c>
      <c r="R1973">
        <v>252568209</v>
      </c>
    </row>
    <row r="1974" spans="1:18" x14ac:dyDescent="0.25">
      <c r="A1974" s="134">
        <v>44910</v>
      </c>
      <c r="B1974" s="110">
        <v>36.25</v>
      </c>
      <c r="C1974" s="110">
        <v>34.35</v>
      </c>
      <c r="D1974" s="110">
        <v>33.549999999999997</v>
      </c>
      <c r="E1974" s="110">
        <v>34.200000000000003</v>
      </c>
      <c r="F1974" s="110">
        <v>34.35</v>
      </c>
      <c r="G1974">
        <v>14881386</v>
      </c>
      <c r="H1974" s="110"/>
      <c r="I1974" s="110"/>
      <c r="L1974" s="134">
        <v>44910</v>
      </c>
      <c r="M1974" s="110">
        <v>34.35</v>
      </c>
      <c r="N1974" s="110">
        <v>36.25</v>
      </c>
      <c r="O1974" s="110">
        <v>33.6</v>
      </c>
      <c r="P1974" s="110">
        <v>34.1</v>
      </c>
      <c r="Q1974" s="110">
        <v>34.35</v>
      </c>
      <c r="R1974">
        <v>152586124</v>
      </c>
    </row>
    <row r="1975" spans="1:18" x14ac:dyDescent="0.25">
      <c r="A1975" s="134">
        <v>44911</v>
      </c>
      <c r="B1975" s="110">
        <v>35.200000000000003</v>
      </c>
      <c r="C1975" s="110">
        <v>32.35</v>
      </c>
      <c r="D1975" s="110">
        <v>32</v>
      </c>
      <c r="E1975" s="110">
        <v>34.25</v>
      </c>
      <c r="F1975" s="110">
        <v>32.35</v>
      </c>
      <c r="G1975">
        <v>9620937</v>
      </c>
      <c r="H1975" s="110"/>
      <c r="I1975" s="110"/>
      <c r="L1975" s="134">
        <v>44911</v>
      </c>
      <c r="M1975" s="110">
        <v>32.35</v>
      </c>
      <c r="N1975" s="110">
        <v>35.15</v>
      </c>
      <c r="O1975" s="110">
        <v>32.049999999999997</v>
      </c>
      <c r="P1975" s="110">
        <v>34.15</v>
      </c>
      <c r="Q1975" s="110">
        <v>32.35</v>
      </c>
      <c r="R1975">
        <v>99124045</v>
      </c>
    </row>
    <row r="1976" spans="1:18" x14ac:dyDescent="0.25">
      <c r="A1976" s="134">
        <v>44914</v>
      </c>
      <c r="B1976" s="110">
        <v>34.200000000000003</v>
      </c>
      <c r="C1976" s="110">
        <v>33.75</v>
      </c>
      <c r="D1976" s="110">
        <v>32.4</v>
      </c>
      <c r="E1976" s="110">
        <v>32.549999999999997</v>
      </c>
      <c r="F1976" s="110">
        <v>33.75</v>
      </c>
      <c r="G1976">
        <v>7635362</v>
      </c>
      <c r="H1976" s="110"/>
      <c r="I1976" s="110"/>
      <c r="L1976" s="134">
        <v>44914</v>
      </c>
      <c r="M1976" s="110">
        <v>33.700000000000003</v>
      </c>
      <c r="N1976" s="110">
        <v>34.25</v>
      </c>
      <c r="O1976" s="110">
        <v>32.4</v>
      </c>
      <c r="P1976" s="110">
        <v>32.799999999999997</v>
      </c>
      <c r="Q1976" s="110">
        <v>33.700000000000003</v>
      </c>
      <c r="R1976">
        <v>84007974</v>
      </c>
    </row>
    <row r="1977" spans="1:18" x14ac:dyDescent="0.25">
      <c r="A1977" s="134">
        <v>44915</v>
      </c>
      <c r="B1977" s="110">
        <v>34</v>
      </c>
      <c r="C1977" s="110">
        <v>32.9</v>
      </c>
      <c r="D1977" s="110">
        <v>32.1</v>
      </c>
      <c r="E1977" s="110">
        <v>33.75</v>
      </c>
      <c r="F1977" s="110">
        <v>32.9</v>
      </c>
      <c r="G1977">
        <v>5276477</v>
      </c>
      <c r="H1977" s="110"/>
      <c r="I1977" s="110"/>
      <c r="L1977" s="134">
        <v>44915</v>
      </c>
      <c r="M1977" s="110">
        <v>32.9</v>
      </c>
      <c r="N1977" s="110">
        <v>34</v>
      </c>
      <c r="O1977" s="110">
        <v>32.15</v>
      </c>
      <c r="P1977" s="110">
        <v>33.85</v>
      </c>
      <c r="Q1977" s="110">
        <v>32.9</v>
      </c>
      <c r="R1977">
        <v>50440716</v>
      </c>
    </row>
    <row r="1978" spans="1:18" x14ac:dyDescent="0.25">
      <c r="A1978" s="134">
        <v>44916</v>
      </c>
      <c r="B1978" s="110">
        <v>34.4</v>
      </c>
      <c r="C1978" s="110">
        <v>29.9</v>
      </c>
      <c r="D1978" s="110">
        <v>29.15</v>
      </c>
      <c r="E1978" s="110">
        <v>33.049999999999997</v>
      </c>
      <c r="F1978" s="110">
        <v>29.9</v>
      </c>
      <c r="G1978">
        <v>9197717</v>
      </c>
      <c r="H1978" s="110"/>
      <c r="I1978" s="110"/>
      <c r="L1978" s="134">
        <v>44916</v>
      </c>
      <c r="M1978" s="110">
        <v>29.95</v>
      </c>
      <c r="N1978" s="110">
        <v>34.4</v>
      </c>
      <c r="O1978" s="110">
        <v>29.15</v>
      </c>
      <c r="P1978" s="110">
        <v>33.200000000000003</v>
      </c>
      <c r="Q1978" s="110">
        <v>29.95</v>
      </c>
      <c r="R1978">
        <v>122567137</v>
      </c>
    </row>
    <row r="1979" spans="1:18" x14ac:dyDescent="0.25">
      <c r="A1979" s="134">
        <v>44917</v>
      </c>
      <c r="B1979" s="110">
        <v>32</v>
      </c>
      <c r="C1979" s="110">
        <v>28.85</v>
      </c>
      <c r="D1979" s="110">
        <v>28.45</v>
      </c>
      <c r="E1979" s="110">
        <v>31.15</v>
      </c>
      <c r="F1979" s="110">
        <v>28.85</v>
      </c>
      <c r="G1979">
        <v>4723088</v>
      </c>
      <c r="H1979" s="110"/>
      <c r="I1979" s="110"/>
      <c r="L1979" s="134">
        <v>44917</v>
      </c>
      <c r="M1979" s="110">
        <v>28.85</v>
      </c>
      <c r="N1979" s="110">
        <v>31.85</v>
      </c>
      <c r="O1979" s="110">
        <v>28.5</v>
      </c>
      <c r="P1979" s="110">
        <v>31.4</v>
      </c>
      <c r="Q1979" s="110">
        <v>28.85</v>
      </c>
      <c r="R1979">
        <v>91782979</v>
      </c>
    </row>
    <row r="1980" spans="1:18" x14ac:dyDescent="0.25">
      <c r="A1980" s="134">
        <v>44918</v>
      </c>
      <c r="B1980" s="110">
        <v>28.65</v>
      </c>
      <c r="C1980" s="110">
        <v>26.1</v>
      </c>
      <c r="D1980" s="110">
        <v>25.35</v>
      </c>
      <c r="E1980" s="110">
        <v>28.5</v>
      </c>
      <c r="F1980" s="110">
        <v>26.1</v>
      </c>
      <c r="G1980">
        <v>8329516</v>
      </c>
      <c r="H1980" s="110"/>
      <c r="I1980" s="110"/>
      <c r="L1980" s="134">
        <v>44918</v>
      </c>
      <c r="M1980" s="110">
        <v>26.1</v>
      </c>
      <c r="N1980" s="110">
        <v>28.65</v>
      </c>
      <c r="O1980" s="110">
        <v>25.35</v>
      </c>
      <c r="P1980" s="110">
        <v>28.4</v>
      </c>
      <c r="Q1980" s="110">
        <v>26.1</v>
      </c>
      <c r="R1980">
        <v>88546213</v>
      </c>
    </row>
    <row r="1981" spans="1:18" x14ac:dyDescent="0.25">
      <c r="A1981" s="134">
        <v>44921</v>
      </c>
      <c r="B1981" s="110">
        <v>30</v>
      </c>
      <c r="C1981" s="110">
        <v>29.45</v>
      </c>
      <c r="D1981" s="110">
        <v>25.5</v>
      </c>
      <c r="E1981" s="110">
        <v>25.7</v>
      </c>
      <c r="F1981" s="110">
        <v>29.45</v>
      </c>
      <c r="G1981">
        <v>7334339</v>
      </c>
      <c r="H1981" s="110"/>
      <c r="I1981" s="110"/>
      <c r="L1981" s="134">
        <v>44921</v>
      </c>
      <c r="M1981" s="110">
        <v>29.4</v>
      </c>
      <c r="N1981" s="110">
        <v>30</v>
      </c>
      <c r="O1981" s="110">
        <v>25.5</v>
      </c>
      <c r="P1981" s="110">
        <v>26.1</v>
      </c>
      <c r="Q1981" s="110">
        <v>29.4</v>
      </c>
      <c r="R1981">
        <v>126951806</v>
      </c>
    </row>
    <row r="1982" spans="1:18" x14ac:dyDescent="0.25">
      <c r="A1982" s="134">
        <v>44922</v>
      </c>
      <c r="B1982" s="110">
        <v>31.5</v>
      </c>
      <c r="C1982" s="110">
        <v>31.15</v>
      </c>
      <c r="D1982" s="110">
        <v>29.5</v>
      </c>
      <c r="E1982" s="110">
        <v>30.35</v>
      </c>
      <c r="F1982" s="110">
        <v>31.15</v>
      </c>
      <c r="G1982">
        <v>6280747</v>
      </c>
      <c r="H1982" s="110"/>
      <c r="I1982" s="110"/>
      <c r="L1982" s="134">
        <v>44922</v>
      </c>
      <c r="M1982" s="110">
        <v>31.2</v>
      </c>
      <c r="N1982" s="110">
        <v>31.55</v>
      </c>
      <c r="O1982" s="110">
        <v>29.5</v>
      </c>
      <c r="P1982" s="110">
        <v>30.45</v>
      </c>
      <c r="Q1982" s="110">
        <v>31.2</v>
      </c>
      <c r="R1982">
        <v>83086560</v>
      </c>
    </row>
    <row r="1983" spans="1:18" x14ac:dyDescent="0.25">
      <c r="A1983" s="134">
        <v>44923</v>
      </c>
      <c r="B1983" s="110">
        <v>31.65</v>
      </c>
      <c r="C1983" s="110">
        <v>30.05</v>
      </c>
      <c r="D1983" s="110">
        <v>29.55</v>
      </c>
      <c r="E1983" s="110">
        <v>31.3</v>
      </c>
      <c r="F1983" s="110">
        <v>30.05</v>
      </c>
      <c r="G1983">
        <v>3321077</v>
      </c>
      <c r="H1983" s="110"/>
      <c r="I1983" s="110"/>
      <c r="L1983" s="134">
        <v>44923</v>
      </c>
      <c r="M1983" s="110">
        <v>30</v>
      </c>
      <c r="N1983" s="110">
        <v>31.6</v>
      </c>
      <c r="O1983" s="110">
        <v>29.55</v>
      </c>
      <c r="P1983" s="110">
        <v>31.25</v>
      </c>
      <c r="Q1983" s="110">
        <v>30</v>
      </c>
      <c r="R1983">
        <v>69608835</v>
      </c>
    </row>
    <row r="1984" spans="1:18" x14ac:dyDescent="0.25">
      <c r="A1984" s="134">
        <v>44924</v>
      </c>
      <c r="B1984" s="110">
        <v>30.5</v>
      </c>
      <c r="C1984" s="110">
        <v>29.8</v>
      </c>
      <c r="D1984" s="110">
        <v>29.5</v>
      </c>
      <c r="E1984" s="110">
        <v>29.9</v>
      </c>
      <c r="F1984" s="110">
        <v>29.8</v>
      </c>
      <c r="G1984">
        <v>2382772</v>
      </c>
      <c r="H1984" s="110"/>
      <c r="I1984" s="110"/>
      <c r="L1984" s="134">
        <v>44924</v>
      </c>
      <c r="M1984" s="110">
        <v>29.8</v>
      </c>
      <c r="N1984" s="110">
        <v>30.5</v>
      </c>
      <c r="O1984" s="110">
        <v>29.5</v>
      </c>
      <c r="P1984" s="110">
        <v>29.8</v>
      </c>
      <c r="Q1984" s="110">
        <v>29.8</v>
      </c>
      <c r="R1984">
        <v>36208756</v>
      </c>
    </row>
    <row r="1985" spans="1:18" x14ac:dyDescent="0.25">
      <c r="A1985" s="134">
        <v>44925</v>
      </c>
      <c r="B1985" s="110">
        <v>31.45</v>
      </c>
      <c r="C1985" s="110">
        <v>30.5</v>
      </c>
      <c r="D1985" s="110">
        <v>29.95</v>
      </c>
      <c r="E1985" s="110">
        <v>30.7</v>
      </c>
      <c r="F1985" s="110">
        <v>30.5</v>
      </c>
      <c r="G1985">
        <v>2652364</v>
      </c>
      <c r="H1985" s="110"/>
      <c r="I1985" s="110"/>
      <c r="L1985" s="134">
        <v>44925</v>
      </c>
      <c r="M1985" s="110">
        <v>30.6</v>
      </c>
      <c r="N1985" s="110">
        <v>31.45</v>
      </c>
      <c r="O1985" s="110">
        <v>30.4</v>
      </c>
      <c r="P1985" s="110">
        <v>30.8</v>
      </c>
      <c r="Q1985" s="110">
        <v>30.6</v>
      </c>
      <c r="R1985">
        <v>32166015</v>
      </c>
    </row>
    <row r="1986" spans="1:18" x14ac:dyDescent="0.25">
      <c r="A1986" s="134">
        <v>44928</v>
      </c>
      <c r="B1986" s="110">
        <v>31.1</v>
      </c>
      <c r="C1986" s="110">
        <v>30.55</v>
      </c>
      <c r="D1986" s="110">
        <v>30.35</v>
      </c>
      <c r="E1986" s="110">
        <v>30.7</v>
      </c>
      <c r="F1986" s="110">
        <v>30.55</v>
      </c>
      <c r="G1986">
        <v>1202711</v>
      </c>
      <c r="H1986" s="110"/>
      <c r="I1986" s="110"/>
      <c r="L1986" s="134">
        <v>44928</v>
      </c>
      <c r="M1986" s="110">
        <v>30.55</v>
      </c>
      <c r="N1986" s="110">
        <v>31.1</v>
      </c>
      <c r="O1986" s="110">
        <v>30.3</v>
      </c>
      <c r="P1986" s="110">
        <v>30.85</v>
      </c>
      <c r="Q1986" s="110">
        <v>30.55</v>
      </c>
      <c r="R1986">
        <v>22913370</v>
      </c>
    </row>
    <row r="1987" spans="1:18" x14ac:dyDescent="0.25">
      <c r="A1987" s="134">
        <v>44929</v>
      </c>
      <c r="B1987" s="110">
        <v>32.4</v>
      </c>
      <c r="C1987" s="110">
        <v>32.1</v>
      </c>
      <c r="D1987" s="110">
        <v>30.65</v>
      </c>
      <c r="E1987" s="110">
        <v>30.65</v>
      </c>
      <c r="F1987" s="110">
        <v>32.1</v>
      </c>
      <c r="G1987">
        <v>2797059</v>
      </c>
      <c r="H1987" s="110"/>
      <c r="I1987" s="110"/>
      <c r="L1987" s="134">
        <v>44929</v>
      </c>
      <c r="M1987" s="110">
        <v>32.049999999999997</v>
      </c>
      <c r="N1987" s="110">
        <v>32.35</v>
      </c>
      <c r="O1987" s="110">
        <v>30.7</v>
      </c>
      <c r="P1987" s="110">
        <v>30.8</v>
      </c>
      <c r="Q1987" s="110">
        <v>32.049999999999997</v>
      </c>
      <c r="R1987">
        <v>54878562</v>
      </c>
    </row>
    <row r="1988" spans="1:18" x14ac:dyDescent="0.25">
      <c r="A1988" s="134">
        <v>44930</v>
      </c>
      <c r="B1988" s="110">
        <v>33.049999999999997</v>
      </c>
      <c r="C1988" s="110">
        <v>31.4</v>
      </c>
      <c r="D1988" s="110">
        <v>31.2</v>
      </c>
      <c r="E1988" s="110">
        <v>32.450000000000003</v>
      </c>
      <c r="F1988" s="110">
        <v>31.4</v>
      </c>
      <c r="G1988">
        <v>4655305</v>
      </c>
      <c r="H1988" s="110"/>
      <c r="I1988" s="110"/>
      <c r="L1988" s="134">
        <v>44930</v>
      </c>
      <c r="M1988" s="110">
        <v>31.45</v>
      </c>
      <c r="N1988" s="110">
        <v>33.1</v>
      </c>
      <c r="O1988" s="110">
        <v>31.2</v>
      </c>
      <c r="P1988" s="110">
        <v>32.5</v>
      </c>
      <c r="Q1988" s="110">
        <v>31.45</v>
      </c>
      <c r="R1988">
        <v>60400249</v>
      </c>
    </row>
    <row r="1989" spans="1:18" x14ac:dyDescent="0.25">
      <c r="A1989" s="134">
        <v>44931</v>
      </c>
      <c r="B1989" s="110">
        <v>31.9</v>
      </c>
      <c r="C1989" s="110">
        <v>31</v>
      </c>
      <c r="D1989" s="110">
        <v>30.5</v>
      </c>
      <c r="E1989" s="110">
        <v>31.65</v>
      </c>
      <c r="F1989" s="110">
        <v>31</v>
      </c>
      <c r="G1989">
        <v>2084615</v>
      </c>
      <c r="H1989" s="110"/>
      <c r="I1989" s="110"/>
      <c r="L1989" s="134">
        <v>44931</v>
      </c>
      <c r="M1989" s="110">
        <v>31.1</v>
      </c>
      <c r="N1989" s="110">
        <v>31.9</v>
      </c>
      <c r="O1989" s="110">
        <v>30.55</v>
      </c>
      <c r="P1989" s="110">
        <v>31.75</v>
      </c>
      <c r="Q1989" s="110">
        <v>31.1</v>
      </c>
      <c r="R1989">
        <v>35841006</v>
      </c>
    </row>
    <row r="1990" spans="1:18" x14ac:dyDescent="0.25">
      <c r="A1990" s="134">
        <v>44932</v>
      </c>
      <c r="B1990" s="110">
        <v>31.55</v>
      </c>
      <c r="C1990" s="110">
        <v>30.65</v>
      </c>
      <c r="D1990" s="110">
        <v>30.3</v>
      </c>
      <c r="E1990" s="110">
        <v>31.55</v>
      </c>
      <c r="F1990" s="110">
        <v>30.65</v>
      </c>
      <c r="G1990">
        <v>1188000</v>
      </c>
      <c r="H1990" s="110"/>
      <c r="I1990" s="110"/>
      <c r="L1990" s="134">
        <v>44932</v>
      </c>
      <c r="M1990" s="110">
        <v>30.7</v>
      </c>
      <c r="N1990" s="110">
        <v>31.5</v>
      </c>
      <c r="O1990" s="110">
        <v>30.3</v>
      </c>
      <c r="P1990" s="110">
        <v>31.5</v>
      </c>
      <c r="Q1990" s="110">
        <v>30.7</v>
      </c>
      <c r="R1990">
        <v>25938883</v>
      </c>
    </row>
    <row r="1991" spans="1:18" x14ac:dyDescent="0.25">
      <c r="A1991" s="134">
        <v>44935</v>
      </c>
      <c r="B1991" s="110">
        <v>31.25</v>
      </c>
      <c r="C1991" s="110">
        <v>31.05</v>
      </c>
      <c r="D1991" s="110">
        <v>30.8</v>
      </c>
      <c r="E1991" s="110">
        <v>31.2</v>
      </c>
      <c r="F1991" s="110">
        <v>31.05</v>
      </c>
      <c r="G1991">
        <v>1062220</v>
      </c>
      <c r="H1991" s="110"/>
      <c r="I1991" s="110"/>
      <c r="L1991" s="134">
        <v>44935</v>
      </c>
      <c r="M1991" s="110">
        <v>31.05</v>
      </c>
      <c r="N1991" s="110">
        <v>31.3</v>
      </c>
      <c r="O1991" s="110">
        <v>30.8</v>
      </c>
      <c r="P1991" s="110">
        <v>31.2</v>
      </c>
      <c r="Q1991" s="110">
        <v>31.05</v>
      </c>
      <c r="R1991">
        <v>19065051</v>
      </c>
    </row>
    <row r="1992" spans="1:18" x14ac:dyDescent="0.25">
      <c r="A1992" s="134">
        <v>44936</v>
      </c>
      <c r="B1992" s="110">
        <v>30.95</v>
      </c>
      <c r="C1992" s="110">
        <v>29.7</v>
      </c>
      <c r="D1992" s="110">
        <v>29.35</v>
      </c>
      <c r="E1992" s="110">
        <v>30.95</v>
      </c>
      <c r="F1992" s="110">
        <v>29.7</v>
      </c>
      <c r="G1992">
        <v>2038864</v>
      </c>
      <c r="H1992" s="110"/>
      <c r="I1992" s="110"/>
      <c r="L1992" s="134">
        <v>44936</v>
      </c>
      <c r="M1992" s="110">
        <v>29.7</v>
      </c>
      <c r="N1992" s="110">
        <v>30.95</v>
      </c>
      <c r="O1992" s="110">
        <v>29.4</v>
      </c>
      <c r="P1992" s="110">
        <v>30.9</v>
      </c>
      <c r="Q1992" s="110">
        <v>29.7</v>
      </c>
      <c r="R1992">
        <v>25434732</v>
      </c>
    </row>
    <row r="1993" spans="1:18" x14ac:dyDescent="0.25">
      <c r="A1993" s="134">
        <v>44937</v>
      </c>
      <c r="B1993" s="110">
        <v>31.1</v>
      </c>
      <c r="C1993" s="110">
        <v>30.65</v>
      </c>
      <c r="D1993" s="110">
        <v>29.05</v>
      </c>
      <c r="E1993" s="110">
        <v>30</v>
      </c>
      <c r="F1993" s="110">
        <v>30.65</v>
      </c>
      <c r="G1993">
        <v>2603602</v>
      </c>
      <c r="H1993" s="110"/>
      <c r="I1993" s="110"/>
      <c r="L1993" s="134">
        <v>44937</v>
      </c>
      <c r="M1993" s="110">
        <v>30.7</v>
      </c>
      <c r="N1993" s="110">
        <v>31.1</v>
      </c>
      <c r="O1993" s="110">
        <v>29</v>
      </c>
      <c r="P1993" s="110">
        <v>29.95</v>
      </c>
      <c r="Q1993" s="110">
        <v>30.7</v>
      </c>
      <c r="R1993">
        <v>36096926</v>
      </c>
    </row>
    <row r="1994" spans="1:18" x14ac:dyDescent="0.25">
      <c r="A1994" s="134">
        <v>44938</v>
      </c>
      <c r="B1994" s="110">
        <v>31.6</v>
      </c>
      <c r="C1994" s="110">
        <v>31.25</v>
      </c>
      <c r="D1994" s="110">
        <v>30.3</v>
      </c>
      <c r="E1994" s="110">
        <v>30.65</v>
      </c>
      <c r="F1994" s="110">
        <v>31.25</v>
      </c>
      <c r="G1994">
        <v>1919085</v>
      </c>
      <c r="H1994" s="110"/>
      <c r="I1994" s="110"/>
      <c r="L1994" s="134">
        <v>44938</v>
      </c>
      <c r="M1994" s="110">
        <v>31.3</v>
      </c>
      <c r="N1994" s="110">
        <v>31.55</v>
      </c>
      <c r="O1994" s="110">
        <v>30.3</v>
      </c>
      <c r="P1994" s="110">
        <v>30.8</v>
      </c>
      <c r="Q1994" s="110">
        <v>31.3</v>
      </c>
      <c r="R1994">
        <v>41064537</v>
      </c>
    </row>
    <row r="1995" spans="1:18" x14ac:dyDescent="0.25">
      <c r="A1995" s="134">
        <v>44939</v>
      </c>
      <c r="B1995" s="110">
        <v>32.15</v>
      </c>
      <c r="C1995" s="110">
        <v>31.7</v>
      </c>
      <c r="D1995" s="110">
        <v>30.95</v>
      </c>
      <c r="E1995" s="110">
        <v>31.2</v>
      </c>
      <c r="F1995" s="110">
        <v>31.7</v>
      </c>
      <c r="G1995">
        <v>1892769</v>
      </c>
      <c r="H1995" s="110"/>
      <c r="I1995" s="110"/>
      <c r="L1995" s="134">
        <v>44939</v>
      </c>
      <c r="M1995" s="110">
        <v>31.7</v>
      </c>
      <c r="N1995" s="110">
        <v>32.15</v>
      </c>
      <c r="O1995" s="110">
        <v>30.9</v>
      </c>
      <c r="P1995" s="110">
        <v>31.3</v>
      </c>
      <c r="Q1995" s="110">
        <v>31.7</v>
      </c>
      <c r="R1995">
        <v>37611941</v>
      </c>
    </row>
    <row r="1996" spans="1:18" x14ac:dyDescent="0.25">
      <c r="A1996" s="134">
        <v>44942</v>
      </c>
      <c r="B1996" s="110">
        <v>34.4</v>
      </c>
      <c r="C1996" s="110">
        <v>33.049999999999997</v>
      </c>
      <c r="D1996" s="110">
        <v>31.9</v>
      </c>
      <c r="E1996" s="110">
        <v>32</v>
      </c>
      <c r="F1996" s="110">
        <v>33.049999999999997</v>
      </c>
      <c r="G1996">
        <v>9442518</v>
      </c>
      <c r="H1996" s="110"/>
      <c r="I1996" s="110"/>
      <c r="L1996" s="134">
        <v>44942</v>
      </c>
      <c r="M1996" s="110">
        <v>33.049999999999997</v>
      </c>
      <c r="N1996" s="110">
        <v>34.450000000000003</v>
      </c>
      <c r="O1996" s="110">
        <v>31.9</v>
      </c>
      <c r="P1996" s="110">
        <v>31.95</v>
      </c>
      <c r="Q1996" s="110">
        <v>33.049999999999997</v>
      </c>
      <c r="R1996">
        <v>121992374</v>
      </c>
    </row>
    <row r="1997" spans="1:18" x14ac:dyDescent="0.25">
      <c r="A1997" s="134">
        <v>44943</v>
      </c>
      <c r="B1997" s="110">
        <v>34.15</v>
      </c>
      <c r="C1997" s="110">
        <v>31.95</v>
      </c>
      <c r="D1997" s="110">
        <v>31.7</v>
      </c>
      <c r="E1997" s="110">
        <v>33.4</v>
      </c>
      <c r="F1997" s="110">
        <v>31.95</v>
      </c>
      <c r="G1997">
        <v>6038589</v>
      </c>
      <c r="H1997" s="110"/>
      <c r="I1997" s="110"/>
      <c r="L1997" s="134">
        <v>44943</v>
      </c>
      <c r="M1997" s="110">
        <v>32</v>
      </c>
      <c r="N1997" s="110">
        <v>34.1</v>
      </c>
      <c r="O1997" s="110">
        <v>31.7</v>
      </c>
      <c r="P1997" s="110">
        <v>33.4</v>
      </c>
      <c r="Q1997" s="110">
        <v>32</v>
      </c>
      <c r="R1997">
        <v>68432478</v>
      </c>
    </row>
    <row r="1998" spans="1:18" x14ac:dyDescent="0.25">
      <c r="A1998" s="134">
        <v>44944</v>
      </c>
      <c r="B1998" s="110">
        <v>32.549999999999997</v>
      </c>
      <c r="C1998" s="110">
        <v>32</v>
      </c>
      <c r="D1998" s="110">
        <v>31.75</v>
      </c>
      <c r="E1998" s="110">
        <v>32.549999999999997</v>
      </c>
      <c r="F1998" s="110">
        <v>32</v>
      </c>
      <c r="G1998">
        <v>1199870</v>
      </c>
      <c r="H1998" s="110"/>
      <c r="I1998" s="110"/>
      <c r="L1998" s="134">
        <v>44944</v>
      </c>
      <c r="M1998" s="110">
        <v>32</v>
      </c>
      <c r="N1998" s="110">
        <v>32.450000000000003</v>
      </c>
      <c r="O1998" s="110">
        <v>31.8</v>
      </c>
      <c r="P1998" s="110">
        <v>32.450000000000003</v>
      </c>
      <c r="Q1998" s="110">
        <v>32</v>
      </c>
      <c r="R1998">
        <v>25081019</v>
      </c>
    </row>
    <row r="1999" spans="1:18" x14ac:dyDescent="0.25">
      <c r="A1999" s="134">
        <v>44945</v>
      </c>
      <c r="B1999" s="110">
        <v>32.049999999999997</v>
      </c>
      <c r="C1999" s="110">
        <v>31.65</v>
      </c>
      <c r="D1999" s="110">
        <v>31.5</v>
      </c>
      <c r="E1999" s="110">
        <v>32</v>
      </c>
      <c r="F1999" s="110">
        <v>31.65</v>
      </c>
      <c r="G1999">
        <v>1237252</v>
      </c>
      <c r="H1999" s="110"/>
      <c r="I1999" s="110"/>
      <c r="L1999" s="134">
        <v>44945</v>
      </c>
      <c r="M1999" s="110">
        <v>31.6</v>
      </c>
      <c r="N1999" s="110">
        <v>32</v>
      </c>
      <c r="O1999" s="110">
        <v>31.5</v>
      </c>
      <c r="P1999" s="110">
        <v>32</v>
      </c>
      <c r="Q1999" s="110">
        <v>31.6</v>
      </c>
      <c r="R1999">
        <v>19818654</v>
      </c>
    </row>
    <row r="2000" spans="1:18" x14ac:dyDescent="0.25">
      <c r="A2000" s="134">
        <v>44946</v>
      </c>
      <c r="B2000" s="110">
        <v>31.9</v>
      </c>
      <c r="C2000" s="110">
        <v>31.25</v>
      </c>
      <c r="D2000" s="110">
        <v>31</v>
      </c>
      <c r="E2000" s="110">
        <v>31.8</v>
      </c>
      <c r="F2000" s="110">
        <v>31.25</v>
      </c>
      <c r="G2000">
        <v>1596554</v>
      </c>
      <c r="H2000" s="110"/>
      <c r="I2000" s="110"/>
      <c r="L2000" s="134">
        <v>44946</v>
      </c>
      <c r="M2000" s="110">
        <v>31.3</v>
      </c>
      <c r="N2000" s="110">
        <v>31.9</v>
      </c>
      <c r="O2000" s="110">
        <v>31</v>
      </c>
      <c r="P2000" s="110">
        <v>31.8</v>
      </c>
      <c r="Q2000" s="110">
        <v>31.3</v>
      </c>
      <c r="R2000">
        <v>22127069</v>
      </c>
    </row>
    <row r="2001" spans="1:18" x14ac:dyDescent="0.25">
      <c r="A2001" s="134">
        <v>44949</v>
      </c>
      <c r="B2001" s="110">
        <v>31.75</v>
      </c>
      <c r="C2001" s="110">
        <v>30.95</v>
      </c>
      <c r="D2001" s="110">
        <v>30.6</v>
      </c>
      <c r="E2001" s="110">
        <v>31.35</v>
      </c>
      <c r="F2001" s="110">
        <v>30.95</v>
      </c>
      <c r="G2001">
        <v>631780</v>
      </c>
      <c r="H2001" s="110"/>
      <c r="I2001" s="110"/>
      <c r="L2001" s="134">
        <v>44949</v>
      </c>
      <c r="M2001" s="110">
        <v>30.9</v>
      </c>
      <c r="N2001" s="110">
        <v>31.7</v>
      </c>
      <c r="O2001" s="110">
        <v>30.65</v>
      </c>
      <c r="P2001" s="110">
        <v>31.45</v>
      </c>
      <c r="Q2001" s="110">
        <v>30.9</v>
      </c>
      <c r="R2001">
        <v>16737091</v>
      </c>
    </row>
    <row r="2002" spans="1:18" x14ac:dyDescent="0.25">
      <c r="A2002" s="134">
        <v>44950</v>
      </c>
      <c r="B2002" s="110">
        <v>31.2</v>
      </c>
      <c r="C2002" s="110">
        <v>29.65</v>
      </c>
      <c r="D2002" s="110">
        <v>29.3</v>
      </c>
      <c r="E2002" s="110">
        <v>31.2</v>
      </c>
      <c r="F2002" s="110">
        <v>29.65</v>
      </c>
      <c r="G2002">
        <v>1899670</v>
      </c>
      <c r="H2002" s="110"/>
      <c r="I2002" s="110"/>
      <c r="L2002" s="134">
        <v>44950</v>
      </c>
      <c r="M2002" s="110">
        <v>29.65</v>
      </c>
      <c r="N2002" s="110">
        <v>31.15</v>
      </c>
      <c r="O2002" s="110">
        <v>29.3</v>
      </c>
      <c r="P2002" s="110">
        <v>31</v>
      </c>
      <c r="Q2002" s="110">
        <v>29.65</v>
      </c>
      <c r="R2002">
        <v>17111252</v>
      </c>
    </row>
    <row r="2003" spans="1:18" x14ac:dyDescent="0.25">
      <c r="A2003" s="134">
        <v>44951</v>
      </c>
      <c r="B2003" s="110">
        <v>30.1</v>
      </c>
      <c r="C2003" s="110">
        <v>29.45</v>
      </c>
      <c r="D2003" s="110">
        <v>29.1</v>
      </c>
      <c r="E2003" s="110">
        <v>29.65</v>
      </c>
      <c r="F2003" s="110">
        <v>29.45</v>
      </c>
      <c r="G2003">
        <v>2303533</v>
      </c>
      <c r="H2003" s="110"/>
      <c r="I2003" s="110"/>
      <c r="L2003" s="134">
        <v>44951</v>
      </c>
      <c r="M2003" s="110">
        <v>29.45</v>
      </c>
      <c r="N2003" s="110">
        <v>30.1</v>
      </c>
      <c r="O2003" s="110">
        <v>29.1</v>
      </c>
      <c r="P2003" s="110">
        <v>29.6</v>
      </c>
      <c r="Q2003" s="110">
        <v>29.45</v>
      </c>
      <c r="R2003">
        <v>24251563</v>
      </c>
    </row>
    <row r="2004" spans="1:18" x14ac:dyDescent="0.25">
      <c r="A2004" s="134">
        <v>44953</v>
      </c>
      <c r="B2004" s="110">
        <v>29.65</v>
      </c>
      <c r="C2004" s="110">
        <v>27.75</v>
      </c>
      <c r="D2004" s="110">
        <v>27</v>
      </c>
      <c r="E2004" s="110">
        <v>29.45</v>
      </c>
      <c r="F2004" s="110">
        <v>27.75</v>
      </c>
      <c r="G2004">
        <v>4014767</v>
      </c>
      <c r="H2004" s="110"/>
      <c r="I2004" s="110"/>
      <c r="L2004" s="134">
        <v>44953</v>
      </c>
      <c r="M2004" s="110">
        <v>27.75</v>
      </c>
      <c r="N2004" s="110">
        <v>29.7</v>
      </c>
      <c r="O2004" s="110">
        <v>27</v>
      </c>
      <c r="P2004" s="110">
        <v>29.55</v>
      </c>
      <c r="Q2004" s="110">
        <v>27.75</v>
      </c>
      <c r="R2004">
        <v>35075461</v>
      </c>
    </row>
    <row r="2005" spans="1:18" x14ac:dyDescent="0.25">
      <c r="A2005" s="134">
        <v>44956</v>
      </c>
      <c r="B2005" s="110">
        <v>29.2</v>
      </c>
      <c r="C2005" s="110">
        <v>28.9</v>
      </c>
      <c r="D2005" s="110">
        <v>26.95</v>
      </c>
      <c r="E2005" s="110">
        <v>27.9</v>
      </c>
      <c r="F2005" s="110">
        <v>28.9</v>
      </c>
      <c r="G2005">
        <v>3367737</v>
      </c>
      <c r="H2005" s="110"/>
      <c r="I2005" s="110"/>
      <c r="L2005" s="134">
        <v>44956</v>
      </c>
      <c r="M2005" s="110">
        <v>28.85</v>
      </c>
      <c r="N2005" s="110">
        <v>29.25</v>
      </c>
      <c r="O2005" s="110">
        <v>27</v>
      </c>
      <c r="P2005" s="110">
        <v>27.8</v>
      </c>
      <c r="Q2005" s="110">
        <v>28.85</v>
      </c>
      <c r="R2005">
        <v>32901161</v>
      </c>
    </row>
    <row r="2006" spans="1:18" x14ac:dyDescent="0.25">
      <c r="A2006" s="134">
        <v>44957</v>
      </c>
      <c r="B2006" s="110">
        <v>30.75</v>
      </c>
      <c r="C2006" s="110">
        <v>30.4</v>
      </c>
      <c r="D2006" s="110">
        <v>28.75</v>
      </c>
      <c r="E2006" s="110">
        <v>29.2</v>
      </c>
      <c r="F2006" s="110">
        <v>30.4</v>
      </c>
      <c r="G2006">
        <v>2723662</v>
      </c>
      <c r="H2006" s="110"/>
      <c r="I2006" s="110"/>
      <c r="L2006" s="134">
        <v>44957</v>
      </c>
      <c r="M2006" s="110">
        <v>30.4</v>
      </c>
      <c r="N2006" s="110">
        <v>30.85</v>
      </c>
      <c r="O2006" s="110">
        <v>28.7</v>
      </c>
      <c r="P2006" s="110">
        <v>29.2</v>
      </c>
      <c r="Q2006" s="110">
        <v>30.4</v>
      </c>
      <c r="R2006">
        <v>27204629</v>
      </c>
    </row>
    <row r="2007" spans="1:18" x14ac:dyDescent="0.25">
      <c r="A2007" s="134">
        <v>44958</v>
      </c>
      <c r="B2007" s="110">
        <v>31</v>
      </c>
      <c r="C2007" s="110">
        <v>28.75</v>
      </c>
      <c r="D2007" s="110">
        <v>27.9</v>
      </c>
      <c r="E2007" s="110">
        <v>30.75</v>
      </c>
      <c r="F2007" s="110">
        <v>28.75</v>
      </c>
      <c r="G2007">
        <v>4378837</v>
      </c>
      <c r="H2007" s="110"/>
      <c r="I2007" s="110"/>
      <c r="L2007" s="134">
        <v>44958</v>
      </c>
      <c r="M2007" s="110">
        <v>28.7</v>
      </c>
      <c r="N2007" s="110">
        <v>31.05</v>
      </c>
      <c r="O2007" s="110">
        <v>27.9</v>
      </c>
      <c r="P2007" s="110">
        <v>30.9</v>
      </c>
      <c r="Q2007" s="110">
        <v>28.7</v>
      </c>
      <c r="R2007">
        <v>29131196</v>
      </c>
    </row>
    <row r="2008" spans="1:18" x14ac:dyDescent="0.25">
      <c r="A2008" s="134">
        <v>44959</v>
      </c>
      <c r="B2008" s="110">
        <v>29.55</v>
      </c>
      <c r="C2008" s="110">
        <v>28.85</v>
      </c>
      <c r="D2008" s="110">
        <v>28.25</v>
      </c>
      <c r="E2008" s="110">
        <v>28.8</v>
      </c>
      <c r="F2008" s="110">
        <v>28.85</v>
      </c>
      <c r="G2008">
        <v>1609591</v>
      </c>
      <c r="H2008" s="110"/>
      <c r="I2008" s="110"/>
      <c r="L2008" s="134">
        <v>44959</v>
      </c>
      <c r="M2008" s="110">
        <v>28.85</v>
      </c>
      <c r="N2008" s="110">
        <v>29.6</v>
      </c>
      <c r="O2008" s="110">
        <v>28.3</v>
      </c>
      <c r="P2008" s="110">
        <v>28.65</v>
      </c>
      <c r="Q2008" s="110">
        <v>28.85</v>
      </c>
      <c r="R2008">
        <v>15921047</v>
      </c>
    </row>
    <row r="2009" spans="1:18" x14ac:dyDescent="0.25">
      <c r="A2009" s="134">
        <v>44960</v>
      </c>
      <c r="B2009" s="110">
        <v>29.45</v>
      </c>
      <c r="C2009" s="110">
        <v>28.8</v>
      </c>
      <c r="D2009" s="110">
        <v>27.4</v>
      </c>
      <c r="E2009" s="110">
        <v>29.3</v>
      </c>
      <c r="F2009" s="110">
        <v>28.8</v>
      </c>
      <c r="G2009">
        <v>2438491</v>
      </c>
      <c r="H2009" s="110"/>
      <c r="I2009" s="110"/>
      <c r="L2009" s="134">
        <v>44960</v>
      </c>
      <c r="M2009" s="110">
        <v>28.8</v>
      </c>
      <c r="N2009" s="110">
        <v>29.45</v>
      </c>
      <c r="O2009" s="110">
        <v>27.4</v>
      </c>
      <c r="P2009" s="110">
        <v>29.2</v>
      </c>
      <c r="Q2009" s="110">
        <v>28.8</v>
      </c>
      <c r="R2009">
        <v>24953916</v>
      </c>
    </row>
    <row r="2010" spans="1:18" x14ac:dyDescent="0.25">
      <c r="A2010" s="134">
        <v>44963</v>
      </c>
      <c r="B2010" s="110">
        <v>29.25</v>
      </c>
      <c r="C2010" s="110">
        <v>28.6</v>
      </c>
      <c r="D2010" s="110">
        <v>28.45</v>
      </c>
      <c r="E2010" s="110">
        <v>28.85</v>
      </c>
      <c r="F2010" s="110">
        <v>28.6</v>
      </c>
      <c r="G2010">
        <v>1342726</v>
      </c>
      <c r="H2010" s="110"/>
      <c r="I2010" s="110"/>
      <c r="L2010" s="134">
        <v>44963</v>
      </c>
      <c r="M2010" s="110">
        <v>28.6</v>
      </c>
      <c r="N2010" s="110">
        <v>29.25</v>
      </c>
      <c r="O2010" s="110">
        <v>28.5</v>
      </c>
      <c r="P2010" s="110">
        <v>28.85</v>
      </c>
      <c r="Q2010" s="110">
        <v>28.6</v>
      </c>
      <c r="R2010">
        <v>14149681</v>
      </c>
    </row>
    <row r="2011" spans="1:18" x14ac:dyDescent="0.25">
      <c r="A2011" s="134">
        <v>44964</v>
      </c>
      <c r="B2011" s="110">
        <v>28.75</v>
      </c>
      <c r="C2011" s="110">
        <v>28.1</v>
      </c>
      <c r="D2011" s="110">
        <v>27.95</v>
      </c>
      <c r="E2011" s="110">
        <v>28.7</v>
      </c>
      <c r="F2011" s="110">
        <v>28.1</v>
      </c>
      <c r="G2011">
        <v>1513985</v>
      </c>
      <c r="H2011" s="110"/>
      <c r="I2011" s="110"/>
      <c r="L2011" s="134">
        <v>44964</v>
      </c>
      <c r="M2011" s="110">
        <v>28.15</v>
      </c>
      <c r="N2011" s="110">
        <v>28.8</v>
      </c>
      <c r="O2011" s="110">
        <v>27.95</v>
      </c>
      <c r="P2011" s="110">
        <v>28.6</v>
      </c>
      <c r="Q2011" s="110">
        <v>28.15</v>
      </c>
      <c r="R2011">
        <v>10652575</v>
      </c>
    </row>
    <row r="2012" spans="1:18" x14ac:dyDescent="0.25">
      <c r="A2012" s="134">
        <v>44965</v>
      </c>
      <c r="B2012" s="110">
        <v>28.45</v>
      </c>
      <c r="C2012" s="110">
        <v>28</v>
      </c>
      <c r="D2012" s="110">
        <v>27.85</v>
      </c>
      <c r="E2012" s="110">
        <v>28.2</v>
      </c>
      <c r="F2012" s="110">
        <v>28</v>
      </c>
      <c r="G2012">
        <v>933082</v>
      </c>
      <c r="H2012" s="110"/>
      <c r="I2012" s="110"/>
      <c r="L2012" s="134">
        <v>44965</v>
      </c>
      <c r="M2012" s="110">
        <v>28.05</v>
      </c>
      <c r="N2012" s="110">
        <v>28.45</v>
      </c>
      <c r="O2012" s="110">
        <v>27.85</v>
      </c>
      <c r="P2012" s="110">
        <v>28.25</v>
      </c>
      <c r="Q2012" s="110">
        <v>28.05</v>
      </c>
      <c r="R2012">
        <v>12785373</v>
      </c>
    </row>
    <row r="2013" spans="1:18" x14ac:dyDescent="0.25">
      <c r="A2013" s="134">
        <v>44966</v>
      </c>
      <c r="B2013" s="110">
        <v>28.15</v>
      </c>
      <c r="C2013" s="110">
        <v>27.75</v>
      </c>
      <c r="D2013" s="110">
        <v>27.65</v>
      </c>
      <c r="E2013" s="110">
        <v>28.1</v>
      </c>
      <c r="F2013" s="110">
        <v>27.75</v>
      </c>
      <c r="G2013">
        <v>524673</v>
      </c>
      <c r="H2013" s="110"/>
      <c r="I2013" s="110"/>
      <c r="L2013" s="134">
        <v>44966</v>
      </c>
      <c r="M2013" s="110">
        <v>27.8</v>
      </c>
      <c r="N2013" s="110">
        <v>28.15</v>
      </c>
      <c r="O2013" s="110">
        <v>27.65</v>
      </c>
      <c r="P2013" s="110">
        <v>28.15</v>
      </c>
      <c r="Q2013" s="110">
        <v>27.8</v>
      </c>
      <c r="R2013">
        <v>8241479</v>
      </c>
    </row>
    <row r="2014" spans="1:18" x14ac:dyDescent="0.25">
      <c r="A2014" s="134">
        <v>44967</v>
      </c>
      <c r="B2014" s="110">
        <v>29.15</v>
      </c>
      <c r="C2014" s="110">
        <v>28.25</v>
      </c>
      <c r="D2014" s="110">
        <v>27.6</v>
      </c>
      <c r="E2014" s="110">
        <v>27.7</v>
      </c>
      <c r="F2014" s="110">
        <v>28.25</v>
      </c>
      <c r="G2014">
        <v>1053331</v>
      </c>
      <c r="H2014" s="110"/>
      <c r="I2014" s="110"/>
      <c r="L2014" s="134">
        <v>44967</v>
      </c>
      <c r="M2014" s="110">
        <v>28.2</v>
      </c>
      <c r="N2014" s="110">
        <v>29.15</v>
      </c>
      <c r="O2014" s="110">
        <v>27.55</v>
      </c>
      <c r="P2014" s="110">
        <v>27.7</v>
      </c>
      <c r="Q2014" s="110">
        <v>28.2</v>
      </c>
      <c r="R2014">
        <v>19884763</v>
      </c>
    </row>
    <row r="2015" spans="1:18" x14ac:dyDescent="0.25">
      <c r="A2015" s="134">
        <v>44970</v>
      </c>
      <c r="B2015" s="110">
        <v>28.2</v>
      </c>
      <c r="C2015" s="110">
        <v>27.25</v>
      </c>
      <c r="D2015" s="110">
        <v>27.15</v>
      </c>
      <c r="E2015" s="110">
        <v>27.9</v>
      </c>
      <c r="F2015" s="110">
        <v>27.25</v>
      </c>
      <c r="G2015">
        <v>1546281</v>
      </c>
      <c r="H2015" s="110"/>
      <c r="I2015" s="110"/>
      <c r="L2015" s="134">
        <v>44970</v>
      </c>
      <c r="M2015" s="110">
        <v>27.3</v>
      </c>
      <c r="N2015" s="110">
        <v>28.2</v>
      </c>
      <c r="O2015" s="110">
        <v>27.1</v>
      </c>
      <c r="P2015" s="110">
        <v>28.2</v>
      </c>
      <c r="Q2015" s="110">
        <v>27.3</v>
      </c>
      <c r="R2015">
        <v>10906124</v>
      </c>
    </row>
    <row r="2016" spans="1:18" x14ac:dyDescent="0.25">
      <c r="A2016" s="134">
        <v>44971</v>
      </c>
      <c r="B2016" s="110">
        <v>27.6</v>
      </c>
      <c r="C2016" s="110">
        <v>27.1</v>
      </c>
      <c r="D2016" s="110">
        <v>26.55</v>
      </c>
      <c r="E2016" s="110">
        <v>27.6</v>
      </c>
      <c r="F2016" s="110">
        <v>27.1</v>
      </c>
      <c r="G2016">
        <v>600783</v>
      </c>
      <c r="H2016" s="110"/>
      <c r="I2016" s="110"/>
      <c r="L2016" s="134">
        <v>44971</v>
      </c>
      <c r="M2016" s="110">
        <v>27.1</v>
      </c>
      <c r="N2016" s="110">
        <v>27.55</v>
      </c>
      <c r="O2016" s="110">
        <v>26.55</v>
      </c>
      <c r="P2016" s="110">
        <v>27.45</v>
      </c>
      <c r="Q2016" s="110">
        <v>27.1</v>
      </c>
      <c r="R2016">
        <v>9971208</v>
      </c>
    </row>
    <row r="2017" spans="1:18" x14ac:dyDescent="0.25">
      <c r="A2017" s="134">
        <v>44972</v>
      </c>
      <c r="B2017" s="110">
        <v>27.55</v>
      </c>
      <c r="C2017" s="110">
        <v>27.25</v>
      </c>
      <c r="D2017" s="110">
        <v>26.9</v>
      </c>
      <c r="E2017" s="110">
        <v>27.2</v>
      </c>
      <c r="F2017" s="110">
        <v>27.25</v>
      </c>
      <c r="G2017">
        <v>575966</v>
      </c>
      <c r="H2017" s="110"/>
      <c r="I2017" s="110"/>
      <c r="L2017" s="134">
        <v>44972</v>
      </c>
      <c r="M2017" s="110">
        <v>27.25</v>
      </c>
      <c r="N2017" s="110">
        <v>27.55</v>
      </c>
      <c r="O2017" s="110">
        <v>26.9</v>
      </c>
      <c r="P2017" s="110">
        <v>27</v>
      </c>
      <c r="Q2017" s="110">
        <v>27.25</v>
      </c>
      <c r="R2017">
        <v>8080383</v>
      </c>
    </row>
    <row r="2018" spans="1:18" x14ac:dyDescent="0.25">
      <c r="A2018" s="134">
        <v>44973</v>
      </c>
      <c r="B2018" s="110">
        <v>27.5</v>
      </c>
      <c r="C2018" s="110">
        <v>27.1</v>
      </c>
      <c r="D2018" s="110">
        <v>27.05</v>
      </c>
      <c r="E2018" s="110">
        <v>27.35</v>
      </c>
      <c r="F2018" s="110">
        <v>27.1</v>
      </c>
      <c r="G2018">
        <v>583812</v>
      </c>
      <c r="H2018" s="110"/>
      <c r="I2018" s="110"/>
      <c r="L2018" s="134">
        <v>44973</v>
      </c>
      <c r="M2018" s="110">
        <v>27.1</v>
      </c>
      <c r="N2018" s="110">
        <v>27.55</v>
      </c>
      <c r="O2018" s="110">
        <v>27</v>
      </c>
      <c r="P2018" s="110">
        <v>27.45</v>
      </c>
      <c r="Q2018" s="110">
        <v>27.1</v>
      </c>
      <c r="R2018">
        <v>5507044</v>
      </c>
    </row>
    <row r="2019" spans="1:18" x14ac:dyDescent="0.25">
      <c r="A2019" s="134">
        <v>44974</v>
      </c>
      <c r="B2019" s="110">
        <v>27</v>
      </c>
      <c r="C2019" s="110">
        <v>26.85</v>
      </c>
      <c r="D2019" s="110">
        <v>26.55</v>
      </c>
      <c r="E2019" s="110">
        <v>26.95</v>
      </c>
      <c r="F2019" s="110">
        <v>26.85</v>
      </c>
      <c r="G2019">
        <v>616920</v>
      </c>
      <c r="H2019" s="110"/>
      <c r="I2019" s="110"/>
      <c r="L2019" s="134">
        <v>44974</v>
      </c>
      <c r="M2019" s="110">
        <v>26.9</v>
      </c>
      <c r="N2019" s="110">
        <v>27</v>
      </c>
      <c r="O2019" s="110">
        <v>26.6</v>
      </c>
      <c r="P2019" s="110">
        <v>26.95</v>
      </c>
      <c r="Q2019" s="110">
        <v>26.9</v>
      </c>
      <c r="R2019">
        <v>5860958</v>
      </c>
    </row>
    <row r="2020" spans="1:18" x14ac:dyDescent="0.25">
      <c r="A2020" s="134">
        <v>44977</v>
      </c>
      <c r="B2020" s="110">
        <v>27.2</v>
      </c>
      <c r="C2020" s="110">
        <v>26.35</v>
      </c>
      <c r="D2020" s="110">
        <v>26.25</v>
      </c>
      <c r="E2020" s="110">
        <v>27.2</v>
      </c>
      <c r="F2020" s="110">
        <v>26.35</v>
      </c>
      <c r="G2020">
        <v>547364</v>
      </c>
      <c r="H2020" s="110"/>
      <c r="I2020" s="110"/>
      <c r="L2020" s="134">
        <v>44977</v>
      </c>
      <c r="M2020" s="110">
        <v>26.35</v>
      </c>
      <c r="N2020" s="110">
        <v>27.25</v>
      </c>
      <c r="O2020" s="110">
        <v>26.2</v>
      </c>
      <c r="P2020" s="110">
        <v>27.1</v>
      </c>
      <c r="Q2020" s="110">
        <v>26.35</v>
      </c>
      <c r="R2020">
        <v>9308989</v>
      </c>
    </row>
    <row r="2021" spans="1:18" x14ac:dyDescent="0.25">
      <c r="A2021" s="134">
        <v>44978</v>
      </c>
      <c r="B2021" s="110">
        <v>26.4</v>
      </c>
      <c r="C2021" s="110">
        <v>26.1</v>
      </c>
      <c r="D2021" s="110">
        <v>25.8</v>
      </c>
      <c r="E2021" s="110">
        <v>26.35</v>
      </c>
      <c r="F2021" s="110">
        <v>26.1</v>
      </c>
      <c r="G2021">
        <v>699345</v>
      </c>
      <c r="H2021" s="110"/>
      <c r="I2021" s="110"/>
      <c r="L2021" s="134">
        <v>44978</v>
      </c>
      <c r="M2021" s="110">
        <v>26.1</v>
      </c>
      <c r="N2021" s="110">
        <v>26.4</v>
      </c>
      <c r="O2021" s="110">
        <v>25.85</v>
      </c>
      <c r="P2021" s="110">
        <v>26.35</v>
      </c>
      <c r="Q2021" s="110">
        <v>26.1</v>
      </c>
      <c r="R2021">
        <v>8453014</v>
      </c>
    </row>
    <row r="2022" spans="1:18" x14ac:dyDescent="0.25">
      <c r="A2022" s="134">
        <v>44979</v>
      </c>
      <c r="B2022" s="110">
        <v>26.6</v>
      </c>
      <c r="C2022" s="110">
        <v>25.6</v>
      </c>
      <c r="D2022" s="110">
        <v>25.45</v>
      </c>
      <c r="E2022" s="110">
        <v>25.8</v>
      </c>
      <c r="F2022" s="110">
        <v>25.6</v>
      </c>
      <c r="G2022">
        <v>851483</v>
      </c>
      <c r="H2022" s="110"/>
      <c r="I2022" s="110"/>
      <c r="L2022" s="134">
        <v>44979</v>
      </c>
      <c r="M2022" s="110">
        <v>25.6</v>
      </c>
      <c r="N2022" s="110">
        <v>26.6</v>
      </c>
      <c r="O2022" s="110">
        <v>25.45</v>
      </c>
      <c r="P2022" s="110">
        <v>25.8</v>
      </c>
      <c r="Q2022" s="110">
        <v>25.6</v>
      </c>
      <c r="R2022">
        <v>12829796</v>
      </c>
    </row>
    <row r="2023" spans="1:18" x14ac:dyDescent="0.25">
      <c r="A2023" s="134">
        <v>44980</v>
      </c>
      <c r="B2023" s="110">
        <v>25.9</v>
      </c>
      <c r="C2023" s="110">
        <v>25.65</v>
      </c>
      <c r="D2023" s="110">
        <v>24.65</v>
      </c>
      <c r="E2023" s="110">
        <v>24.65</v>
      </c>
      <c r="F2023" s="110">
        <v>25.65</v>
      </c>
      <c r="G2023">
        <v>1823343</v>
      </c>
      <c r="H2023" s="110"/>
      <c r="I2023" s="110"/>
      <c r="L2023" s="134">
        <v>44980</v>
      </c>
      <c r="M2023" s="110">
        <v>25.65</v>
      </c>
      <c r="N2023" s="110">
        <v>25.9</v>
      </c>
      <c r="O2023" s="110">
        <v>25</v>
      </c>
      <c r="P2023" s="110">
        <v>25.3</v>
      </c>
      <c r="Q2023" s="110">
        <v>25.65</v>
      </c>
      <c r="R2023">
        <v>16044113</v>
      </c>
    </row>
    <row r="2024" spans="1:18" x14ac:dyDescent="0.25">
      <c r="A2024" s="134">
        <v>44981</v>
      </c>
      <c r="B2024" s="110">
        <v>26.3</v>
      </c>
      <c r="C2024" s="110">
        <v>25.15</v>
      </c>
      <c r="D2024" s="110">
        <v>25</v>
      </c>
      <c r="E2024" s="110">
        <v>25.75</v>
      </c>
      <c r="F2024" s="110">
        <v>25.15</v>
      </c>
      <c r="G2024">
        <v>870930</v>
      </c>
      <c r="H2024" s="110"/>
      <c r="I2024" s="110"/>
      <c r="L2024" s="134">
        <v>44981</v>
      </c>
      <c r="M2024" s="110">
        <v>25.15</v>
      </c>
      <c r="N2024" s="110">
        <v>26.25</v>
      </c>
      <c r="O2024" s="110">
        <v>25</v>
      </c>
      <c r="P2024" s="110">
        <v>25.85</v>
      </c>
      <c r="Q2024" s="110">
        <v>25.15</v>
      </c>
      <c r="R2024">
        <v>10069220</v>
      </c>
    </row>
    <row r="2025" spans="1:18" x14ac:dyDescent="0.25">
      <c r="A2025" s="134">
        <v>44984</v>
      </c>
      <c r="B2025" s="110">
        <v>25.55</v>
      </c>
      <c r="C2025" s="110">
        <v>25.05</v>
      </c>
      <c r="D2025" s="110">
        <v>24.75</v>
      </c>
      <c r="E2025" s="110">
        <v>25</v>
      </c>
      <c r="F2025" s="110">
        <v>25.05</v>
      </c>
      <c r="G2025">
        <v>1325298</v>
      </c>
      <c r="H2025" s="110"/>
      <c r="I2025" s="110"/>
      <c r="L2025" s="134">
        <v>44984</v>
      </c>
      <c r="M2025" s="110">
        <v>25.1</v>
      </c>
      <c r="N2025" s="110">
        <v>25.5</v>
      </c>
      <c r="O2025" s="110">
        <v>24.85</v>
      </c>
      <c r="P2025" s="110">
        <v>25</v>
      </c>
      <c r="Q2025" s="110">
        <v>25.1</v>
      </c>
      <c r="R2025">
        <v>13505092</v>
      </c>
    </row>
    <row r="2026" spans="1:18" x14ac:dyDescent="0.25">
      <c r="A2026" s="134">
        <v>44985</v>
      </c>
      <c r="B2026" s="110">
        <v>25.65</v>
      </c>
      <c r="C2026" s="110">
        <v>25.5</v>
      </c>
      <c r="D2026" s="110">
        <v>24.95</v>
      </c>
      <c r="E2026" s="110">
        <v>25.35</v>
      </c>
      <c r="F2026" s="110">
        <v>25.5</v>
      </c>
      <c r="G2026">
        <v>433592</v>
      </c>
      <c r="H2026" s="110"/>
      <c r="I2026" s="110"/>
      <c r="L2026" s="134">
        <v>44985</v>
      </c>
      <c r="M2026" s="110">
        <v>25.5</v>
      </c>
      <c r="N2026" s="110">
        <v>25.65</v>
      </c>
      <c r="O2026" s="110">
        <v>24.95</v>
      </c>
      <c r="P2026" s="110">
        <v>25.25</v>
      </c>
      <c r="Q2026" s="110">
        <v>25.5</v>
      </c>
      <c r="R2026">
        <v>12102585</v>
      </c>
    </row>
    <row r="2027" spans="1:18" x14ac:dyDescent="0.25">
      <c r="A2027" s="134">
        <v>44986</v>
      </c>
      <c r="B2027" s="110">
        <v>26.6</v>
      </c>
      <c r="C2027" s="110">
        <v>26.46</v>
      </c>
      <c r="D2027" s="110">
        <v>25.42</v>
      </c>
      <c r="E2027" s="110">
        <v>25.61</v>
      </c>
      <c r="F2027" s="110">
        <v>26.46</v>
      </c>
      <c r="G2027">
        <v>1903828</v>
      </c>
      <c r="H2027" s="110"/>
      <c r="I2027" s="110"/>
      <c r="L2027" s="134">
        <v>44986</v>
      </c>
      <c r="M2027" s="110">
        <v>26.5</v>
      </c>
      <c r="N2027" s="110">
        <v>26.65</v>
      </c>
      <c r="O2027" s="110">
        <v>25.45</v>
      </c>
      <c r="P2027" s="110">
        <v>25.7</v>
      </c>
      <c r="Q2027" s="110">
        <v>26.5</v>
      </c>
      <c r="R2027">
        <v>13625065</v>
      </c>
    </row>
    <row r="2028" spans="1:18" x14ac:dyDescent="0.25">
      <c r="A2028" s="134">
        <v>44987</v>
      </c>
      <c r="B2028" s="110">
        <v>26.83</v>
      </c>
      <c r="C2028" s="110">
        <v>26.03</v>
      </c>
      <c r="D2028" s="110">
        <v>25.91</v>
      </c>
      <c r="E2028" s="110">
        <v>26.46</v>
      </c>
      <c r="F2028" s="110">
        <v>26.03</v>
      </c>
      <c r="G2028">
        <v>1452395</v>
      </c>
      <c r="H2028" s="110"/>
      <c r="I2028" s="110"/>
      <c r="L2028" s="134">
        <v>44987</v>
      </c>
      <c r="M2028" s="110">
        <v>26</v>
      </c>
      <c r="N2028" s="110">
        <v>26.85</v>
      </c>
      <c r="O2028" s="110">
        <v>25.9</v>
      </c>
      <c r="P2028" s="110">
        <v>26.5</v>
      </c>
      <c r="Q2028" s="110">
        <v>26</v>
      </c>
      <c r="R2028">
        <v>11661692</v>
      </c>
    </row>
    <row r="2029" spans="1:18" x14ac:dyDescent="0.25">
      <c r="A2029" s="134">
        <v>44988</v>
      </c>
      <c r="B2029" s="110">
        <v>27.8</v>
      </c>
      <c r="C2029" s="110">
        <v>27.67</v>
      </c>
      <c r="D2029" s="110">
        <v>26.2</v>
      </c>
      <c r="E2029" s="110">
        <v>26.2</v>
      </c>
      <c r="F2029" s="110">
        <v>27.67</v>
      </c>
      <c r="G2029">
        <v>3502890</v>
      </c>
      <c r="H2029" s="110"/>
      <c r="I2029" s="110"/>
      <c r="L2029" s="134">
        <v>44988</v>
      </c>
      <c r="M2029" s="110">
        <v>27.7</v>
      </c>
      <c r="N2029" s="110">
        <v>27.85</v>
      </c>
      <c r="O2029" s="110">
        <v>26.25</v>
      </c>
      <c r="P2029" s="110">
        <v>26.25</v>
      </c>
      <c r="Q2029" s="110">
        <v>27.7</v>
      </c>
      <c r="R2029">
        <v>26575498</v>
      </c>
    </row>
    <row r="2030" spans="1:18" x14ac:dyDescent="0.25">
      <c r="A2030" s="134">
        <v>44991</v>
      </c>
      <c r="B2030" s="110">
        <v>28.62</v>
      </c>
      <c r="C2030" s="110">
        <v>27.49</v>
      </c>
      <c r="D2030" s="110">
        <v>27.36</v>
      </c>
      <c r="E2030" s="110">
        <v>27.95</v>
      </c>
      <c r="F2030" s="110">
        <v>27.49</v>
      </c>
      <c r="G2030">
        <v>2329004</v>
      </c>
      <c r="H2030" s="110"/>
      <c r="I2030" s="110"/>
      <c r="L2030" s="134">
        <v>44991</v>
      </c>
      <c r="M2030" s="110">
        <v>27.5</v>
      </c>
      <c r="N2030" s="110">
        <v>28.6</v>
      </c>
      <c r="O2030" s="110">
        <v>27.35</v>
      </c>
      <c r="P2030" s="110">
        <v>28.2</v>
      </c>
      <c r="Q2030" s="110">
        <v>27.5</v>
      </c>
      <c r="R2030">
        <v>20719537</v>
      </c>
    </row>
    <row r="2031" spans="1:18" x14ac:dyDescent="0.25">
      <c r="A2031" s="134">
        <v>44993</v>
      </c>
      <c r="B2031" s="110">
        <v>27.68</v>
      </c>
      <c r="C2031" s="110">
        <v>27.56</v>
      </c>
      <c r="D2031" s="110">
        <v>26.91</v>
      </c>
      <c r="E2031" s="110">
        <v>27.67</v>
      </c>
      <c r="F2031" s="110">
        <v>27.56</v>
      </c>
      <c r="G2031">
        <v>514933</v>
      </c>
      <c r="H2031" s="110"/>
      <c r="I2031" s="110"/>
      <c r="L2031" s="134">
        <v>44993</v>
      </c>
      <c r="M2031" s="110">
        <v>27.55</v>
      </c>
      <c r="N2031" s="110">
        <v>27.7</v>
      </c>
      <c r="O2031" s="110">
        <v>26.9</v>
      </c>
      <c r="P2031" s="110">
        <v>27.5</v>
      </c>
      <c r="Q2031" s="110">
        <v>27.55</v>
      </c>
      <c r="R2031">
        <v>9616879</v>
      </c>
    </row>
    <row r="2032" spans="1:18" x14ac:dyDescent="0.25">
      <c r="A2032" s="134">
        <v>44994</v>
      </c>
      <c r="B2032" s="110">
        <v>27.75</v>
      </c>
      <c r="C2032" s="110">
        <v>27.12</v>
      </c>
      <c r="D2032" s="110">
        <v>27</v>
      </c>
      <c r="E2032" s="110">
        <v>27.67</v>
      </c>
      <c r="F2032" s="110">
        <v>27.12</v>
      </c>
      <c r="G2032">
        <v>966183</v>
      </c>
      <c r="H2032" s="110"/>
      <c r="I2032" s="110"/>
      <c r="L2032" s="134">
        <v>44994</v>
      </c>
      <c r="M2032" s="110">
        <v>27.1</v>
      </c>
      <c r="N2032" s="110">
        <v>27.8</v>
      </c>
      <c r="O2032" s="110">
        <v>27</v>
      </c>
      <c r="P2032" s="110">
        <v>27.75</v>
      </c>
      <c r="Q2032" s="110">
        <v>27.1</v>
      </c>
      <c r="R2032">
        <v>8844269</v>
      </c>
    </row>
    <row r="2033" spans="1:18" x14ac:dyDescent="0.25">
      <c r="A2033" s="134">
        <v>44995</v>
      </c>
      <c r="B2033" s="110">
        <v>26.95</v>
      </c>
      <c r="C2033" s="110">
        <v>26.76</v>
      </c>
      <c r="D2033" s="110">
        <v>26.37</v>
      </c>
      <c r="E2033" s="110">
        <v>26.73</v>
      </c>
      <c r="F2033" s="110">
        <v>26.76</v>
      </c>
      <c r="G2033">
        <v>1393601</v>
      </c>
      <c r="H2033" s="110"/>
      <c r="I2033" s="110"/>
      <c r="L2033" s="134">
        <v>44995</v>
      </c>
      <c r="M2033" s="110">
        <v>26.8</v>
      </c>
      <c r="N2033" s="110">
        <v>26.95</v>
      </c>
      <c r="O2033" s="110">
        <v>26.35</v>
      </c>
      <c r="P2033" s="110">
        <v>26.85</v>
      </c>
      <c r="Q2033" s="110">
        <v>26.8</v>
      </c>
      <c r="R2033">
        <v>9242571</v>
      </c>
    </row>
    <row r="2034" spans="1:18" x14ac:dyDescent="0.25">
      <c r="A2034" s="134">
        <v>44998</v>
      </c>
      <c r="B2034" s="110">
        <v>26.91</v>
      </c>
      <c r="C2034" s="110">
        <v>25.53</v>
      </c>
      <c r="D2034" s="110">
        <v>25.4</v>
      </c>
      <c r="E2034" s="110">
        <v>26.3</v>
      </c>
      <c r="F2034" s="110">
        <v>25.53</v>
      </c>
      <c r="G2034">
        <v>754343</v>
      </c>
      <c r="H2034" s="110"/>
      <c r="I2034" s="110"/>
      <c r="L2034" s="134">
        <v>44998</v>
      </c>
      <c r="M2034" s="110">
        <v>25.55</v>
      </c>
      <c r="N2034" s="110">
        <v>26.9</v>
      </c>
      <c r="O2034" s="110">
        <v>25.4</v>
      </c>
      <c r="P2034" s="110">
        <v>26.5</v>
      </c>
      <c r="Q2034" s="110">
        <v>25.55</v>
      </c>
      <c r="R2034">
        <v>11198313</v>
      </c>
    </row>
    <row r="2035" spans="1:18" x14ac:dyDescent="0.25">
      <c r="A2035" s="134">
        <v>44999</v>
      </c>
      <c r="B2035" s="110">
        <v>25.78</v>
      </c>
      <c r="C2035" s="110">
        <v>24.83</v>
      </c>
      <c r="D2035" s="110">
        <v>24.59</v>
      </c>
      <c r="E2035" s="110">
        <v>25.65</v>
      </c>
      <c r="F2035" s="110">
        <v>24.83</v>
      </c>
      <c r="G2035">
        <v>809536</v>
      </c>
      <c r="H2035" s="110"/>
      <c r="I2035" s="110"/>
      <c r="L2035" s="134">
        <v>44999</v>
      </c>
      <c r="M2035" s="110">
        <v>24.8</v>
      </c>
      <c r="N2035" s="110">
        <v>25.8</v>
      </c>
      <c r="O2035" s="110">
        <v>24.65</v>
      </c>
      <c r="P2035" s="110">
        <v>25.8</v>
      </c>
      <c r="Q2035" s="110">
        <v>24.8</v>
      </c>
      <c r="R2035">
        <v>15389045</v>
      </c>
    </row>
    <row r="2036" spans="1:18" x14ac:dyDescent="0.25">
      <c r="A2036" s="134">
        <v>45000</v>
      </c>
      <c r="B2036" s="110">
        <v>25.68</v>
      </c>
      <c r="C2036" s="110">
        <v>24.8</v>
      </c>
      <c r="D2036" s="110">
        <v>24.65</v>
      </c>
      <c r="E2036" s="110">
        <v>25.16</v>
      </c>
      <c r="F2036" s="110">
        <v>24.8</v>
      </c>
      <c r="G2036">
        <v>859324</v>
      </c>
      <c r="H2036" s="110"/>
      <c r="I2036" s="110"/>
      <c r="L2036" s="134">
        <v>45000</v>
      </c>
      <c r="M2036" s="110">
        <v>24.85</v>
      </c>
      <c r="N2036" s="110">
        <v>25.7</v>
      </c>
      <c r="O2036" s="110">
        <v>24.6</v>
      </c>
      <c r="P2036" s="110">
        <v>25.3</v>
      </c>
      <c r="Q2036" s="110">
        <v>24.85</v>
      </c>
      <c r="R2036">
        <v>9772976</v>
      </c>
    </row>
    <row r="2037" spans="1:18" x14ac:dyDescent="0.25">
      <c r="A2037" s="134">
        <v>45001</v>
      </c>
      <c r="B2037" s="110">
        <v>25.3</v>
      </c>
      <c r="C2037" s="110">
        <v>25.18</v>
      </c>
      <c r="D2037" s="110">
        <v>24</v>
      </c>
      <c r="E2037" s="110">
        <v>24.75</v>
      </c>
      <c r="F2037" s="110">
        <v>25.18</v>
      </c>
      <c r="G2037">
        <v>1288955</v>
      </c>
      <c r="H2037" s="110"/>
      <c r="I2037" s="110"/>
      <c r="L2037" s="134">
        <v>45001</v>
      </c>
      <c r="M2037" s="110">
        <v>25.2</v>
      </c>
      <c r="N2037" s="110">
        <v>25.35</v>
      </c>
      <c r="O2037" s="110">
        <v>24</v>
      </c>
      <c r="P2037" s="110">
        <v>24.7</v>
      </c>
      <c r="Q2037" s="110">
        <v>25.2</v>
      </c>
      <c r="R2037">
        <v>12935251</v>
      </c>
    </row>
    <row r="2038" spans="1:18" x14ac:dyDescent="0.25">
      <c r="A2038" s="134">
        <v>45002</v>
      </c>
      <c r="B2038" s="110">
        <v>25.7</v>
      </c>
      <c r="C2038" s="110">
        <v>25.15</v>
      </c>
      <c r="D2038" s="110">
        <v>24.86</v>
      </c>
      <c r="E2038" s="110">
        <v>25.41</v>
      </c>
      <c r="F2038" s="110">
        <v>25.15</v>
      </c>
      <c r="G2038">
        <v>447104</v>
      </c>
      <c r="H2038" s="110"/>
      <c r="I2038" s="110"/>
      <c r="L2038" s="134">
        <v>45002</v>
      </c>
      <c r="M2038" s="110">
        <v>25.15</v>
      </c>
      <c r="N2038" s="110">
        <v>25.75</v>
      </c>
      <c r="O2038" s="110">
        <v>24.85</v>
      </c>
      <c r="P2038" s="110">
        <v>25.5</v>
      </c>
      <c r="Q2038" s="110">
        <v>25.15</v>
      </c>
      <c r="R2038">
        <v>8085754</v>
      </c>
    </row>
    <row r="2039" spans="1:18" x14ac:dyDescent="0.25">
      <c r="A2039" s="134">
        <v>45005</v>
      </c>
      <c r="B2039" s="110">
        <v>25.15</v>
      </c>
      <c r="C2039" s="110">
        <v>24.5</v>
      </c>
      <c r="D2039" s="110">
        <v>23.85</v>
      </c>
      <c r="E2039" s="110">
        <v>24.4</v>
      </c>
      <c r="F2039" s="110">
        <v>24.5</v>
      </c>
      <c r="G2039">
        <v>1539791</v>
      </c>
      <c r="H2039" s="110"/>
      <c r="I2039" s="110"/>
      <c r="L2039" s="134">
        <v>45005</v>
      </c>
      <c r="M2039" s="110">
        <v>24.6</v>
      </c>
      <c r="N2039" s="110">
        <v>25.2</v>
      </c>
      <c r="O2039" s="110">
        <v>23.8</v>
      </c>
      <c r="P2039" s="110">
        <v>25.15</v>
      </c>
      <c r="Q2039" s="110">
        <v>24.6</v>
      </c>
      <c r="R2039">
        <v>16093752</v>
      </c>
    </row>
    <row r="2040" spans="1:18" x14ac:dyDescent="0.25">
      <c r="A2040" s="134">
        <v>45006</v>
      </c>
      <c r="B2040" s="110">
        <v>25.35</v>
      </c>
      <c r="C2040" s="110">
        <v>24.91</v>
      </c>
      <c r="D2040" s="110">
        <v>24.57</v>
      </c>
      <c r="E2040" s="110">
        <v>25.35</v>
      </c>
      <c r="F2040" s="110">
        <v>24.91</v>
      </c>
      <c r="G2040">
        <v>870331</v>
      </c>
      <c r="H2040" s="110"/>
      <c r="I2040" s="110"/>
      <c r="L2040" s="134">
        <v>45006</v>
      </c>
      <c r="M2040" s="110">
        <v>24.9</v>
      </c>
      <c r="N2040" s="110">
        <v>25.2</v>
      </c>
      <c r="O2040" s="110">
        <v>24.6</v>
      </c>
      <c r="P2040" s="110">
        <v>25.2</v>
      </c>
      <c r="Q2040" s="110">
        <v>24.9</v>
      </c>
      <c r="R2040">
        <v>9264981</v>
      </c>
    </row>
    <row r="2041" spans="1:18" x14ac:dyDescent="0.25">
      <c r="A2041" s="134">
        <v>45007</v>
      </c>
      <c r="B2041" s="110">
        <v>25.5</v>
      </c>
      <c r="C2041" s="110">
        <v>25.04</v>
      </c>
      <c r="D2041" s="110">
        <v>24.92</v>
      </c>
      <c r="E2041" s="110">
        <v>25.3</v>
      </c>
      <c r="F2041" s="110">
        <v>25.04</v>
      </c>
      <c r="G2041">
        <v>878694</v>
      </c>
      <c r="H2041" s="110"/>
      <c r="I2041" s="110"/>
      <c r="L2041" s="134">
        <v>45007</v>
      </c>
      <c r="M2041" s="110">
        <v>25.05</v>
      </c>
      <c r="N2041" s="110">
        <v>25.5</v>
      </c>
      <c r="O2041" s="110">
        <v>24.9</v>
      </c>
      <c r="P2041" s="110">
        <v>25.05</v>
      </c>
      <c r="Q2041" s="110">
        <v>25.05</v>
      </c>
      <c r="R2041">
        <v>8186149</v>
      </c>
    </row>
    <row r="2042" spans="1:18" x14ac:dyDescent="0.25">
      <c r="A2042" s="134">
        <v>45008</v>
      </c>
      <c r="B2042" s="110">
        <v>25.2</v>
      </c>
      <c r="C2042" s="110">
        <v>25</v>
      </c>
      <c r="D2042" s="110">
        <v>24.57</v>
      </c>
      <c r="E2042" s="110">
        <v>24.74</v>
      </c>
      <c r="F2042" s="110">
        <v>25</v>
      </c>
      <c r="G2042">
        <v>1055532</v>
      </c>
      <c r="H2042" s="110"/>
      <c r="I2042" s="110"/>
      <c r="L2042" s="134">
        <v>45008</v>
      </c>
      <c r="M2042" s="110">
        <v>25</v>
      </c>
      <c r="N2042" s="110">
        <v>25.25</v>
      </c>
      <c r="O2042" s="110">
        <v>24.5</v>
      </c>
      <c r="P2042" s="110">
        <v>24.7</v>
      </c>
      <c r="Q2042" s="110">
        <v>25</v>
      </c>
      <c r="R2042">
        <v>9440650</v>
      </c>
    </row>
    <row r="2043" spans="1:18" x14ac:dyDescent="0.25">
      <c r="A2043" s="134">
        <v>45009</v>
      </c>
      <c r="B2043" s="110">
        <v>25.22</v>
      </c>
      <c r="C2043" s="110">
        <v>24.21</v>
      </c>
      <c r="D2043" s="110">
        <v>24</v>
      </c>
      <c r="E2043" s="110">
        <v>24.9</v>
      </c>
      <c r="F2043" s="110">
        <v>24.21</v>
      </c>
      <c r="G2043">
        <v>1347415</v>
      </c>
      <c r="H2043" s="110"/>
      <c r="I2043" s="110"/>
      <c r="L2043" s="134">
        <v>45009</v>
      </c>
      <c r="M2043" s="110">
        <v>24.2</v>
      </c>
      <c r="N2043" s="110">
        <v>25.2</v>
      </c>
      <c r="O2043" s="110">
        <v>23.95</v>
      </c>
      <c r="P2043" s="110">
        <v>24.85</v>
      </c>
      <c r="Q2043" s="110">
        <v>24.2</v>
      </c>
      <c r="R2043">
        <v>8231322</v>
      </c>
    </row>
    <row r="2044" spans="1:18" x14ac:dyDescent="0.25">
      <c r="A2044" s="134">
        <v>45012</v>
      </c>
      <c r="B2044" s="110">
        <v>24.35</v>
      </c>
      <c r="C2044" s="110">
        <v>23.42</v>
      </c>
      <c r="D2044" s="110">
        <v>23.25</v>
      </c>
      <c r="E2044" s="110">
        <v>24.35</v>
      </c>
      <c r="F2044" s="110">
        <v>23.42</v>
      </c>
      <c r="G2044">
        <v>1033847</v>
      </c>
      <c r="H2044" s="110"/>
      <c r="I2044" s="110"/>
      <c r="L2044" s="134">
        <v>45012</v>
      </c>
      <c r="M2044" s="110">
        <v>23.4</v>
      </c>
      <c r="N2044" s="110">
        <v>24.4</v>
      </c>
      <c r="O2044" s="110">
        <v>23.2</v>
      </c>
      <c r="P2044" s="110">
        <v>24.4</v>
      </c>
      <c r="Q2044" s="110">
        <v>23.4</v>
      </c>
      <c r="R2044">
        <v>9507486</v>
      </c>
    </row>
    <row r="2045" spans="1:18" x14ac:dyDescent="0.25">
      <c r="A2045" s="134">
        <v>45013</v>
      </c>
      <c r="B2045" s="110">
        <v>23.74</v>
      </c>
      <c r="C2045" s="110">
        <v>23.1</v>
      </c>
      <c r="D2045" s="110">
        <v>22.8</v>
      </c>
      <c r="E2045" s="110">
        <v>23.74</v>
      </c>
      <c r="F2045" s="110">
        <v>23.1</v>
      </c>
      <c r="G2045">
        <v>1605223</v>
      </c>
      <c r="H2045" s="110"/>
      <c r="I2045" s="110"/>
      <c r="L2045" s="134">
        <v>45013</v>
      </c>
      <c r="M2045" s="110">
        <v>23.1</v>
      </c>
      <c r="N2045" s="110">
        <v>23.6</v>
      </c>
      <c r="O2045" s="110">
        <v>22.8</v>
      </c>
      <c r="P2045" s="110">
        <v>23.2</v>
      </c>
      <c r="Q2045" s="110">
        <v>23.1</v>
      </c>
      <c r="R2045">
        <v>8975021</v>
      </c>
    </row>
    <row r="2046" spans="1:18" x14ac:dyDescent="0.25">
      <c r="A2046" s="134">
        <v>45014</v>
      </c>
      <c r="B2046" s="110">
        <v>24.86</v>
      </c>
      <c r="C2046" s="110">
        <v>24.62</v>
      </c>
      <c r="D2046" s="110">
        <v>22.86</v>
      </c>
      <c r="E2046" s="110">
        <v>22.86</v>
      </c>
      <c r="F2046" s="110">
        <v>24.62</v>
      </c>
      <c r="G2046">
        <v>1699670</v>
      </c>
      <c r="H2046" s="110"/>
      <c r="I2046" s="110"/>
      <c r="L2046" s="134">
        <v>45014</v>
      </c>
      <c r="M2046" s="110">
        <v>24.65</v>
      </c>
      <c r="N2046" s="110">
        <v>24.85</v>
      </c>
      <c r="O2046" s="110">
        <v>22.85</v>
      </c>
      <c r="P2046" s="110">
        <v>22.95</v>
      </c>
      <c r="Q2046" s="110">
        <v>24.65</v>
      </c>
      <c r="R2046">
        <v>17263411</v>
      </c>
    </row>
    <row r="2047" spans="1:18" x14ac:dyDescent="0.25">
      <c r="A2047" s="134">
        <v>45016</v>
      </c>
      <c r="B2047" s="110">
        <v>25.3</v>
      </c>
      <c r="C2047" s="110">
        <v>24.78</v>
      </c>
      <c r="D2047" s="110">
        <v>24.58</v>
      </c>
      <c r="E2047" s="110">
        <v>25.3</v>
      </c>
      <c r="F2047" s="110">
        <v>24.78</v>
      </c>
      <c r="G2047">
        <v>831757</v>
      </c>
      <c r="H2047" s="110"/>
      <c r="I2047" s="110"/>
      <c r="L2047" s="134">
        <v>45016</v>
      </c>
      <c r="M2047" s="110">
        <v>24.75</v>
      </c>
      <c r="N2047" s="110">
        <v>25.25</v>
      </c>
      <c r="O2047" s="110">
        <v>24.5</v>
      </c>
      <c r="P2047" s="110">
        <v>25.25</v>
      </c>
      <c r="Q2047" s="110">
        <v>24.75</v>
      </c>
      <c r="R2047">
        <v>9813078</v>
      </c>
    </row>
    <row r="2048" spans="1:18" x14ac:dyDescent="0.25">
      <c r="A2048" s="134">
        <v>45019</v>
      </c>
      <c r="B2048" s="110">
        <v>25.92</v>
      </c>
      <c r="C2048" s="110">
        <v>25.74</v>
      </c>
      <c r="D2048" s="110">
        <v>24.71</v>
      </c>
      <c r="E2048" s="110">
        <v>25</v>
      </c>
      <c r="F2048" s="110">
        <v>25.74</v>
      </c>
      <c r="G2048">
        <v>1951647</v>
      </c>
      <c r="H2048" s="110"/>
      <c r="I2048" s="110"/>
      <c r="L2048" s="134">
        <v>45019</v>
      </c>
      <c r="M2048" s="110">
        <v>25.75</v>
      </c>
      <c r="N2048" s="110">
        <v>25.95</v>
      </c>
      <c r="O2048" s="110">
        <v>24.7</v>
      </c>
      <c r="P2048" s="110">
        <v>24.9</v>
      </c>
      <c r="Q2048" s="110">
        <v>25.75</v>
      </c>
      <c r="R2048">
        <v>13150340</v>
      </c>
    </row>
    <row r="2049" spans="1:18" x14ac:dyDescent="0.25">
      <c r="A2049" s="134">
        <v>45021</v>
      </c>
      <c r="B2049" s="110">
        <v>25.9</v>
      </c>
      <c r="C2049" s="110">
        <v>25.67</v>
      </c>
      <c r="D2049" s="110">
        <v>25.2</v>
      </c>
      <c r="E2049" s="110">
        <v>25.77</v>
      </c>
      <c r="F2049" s="110">
        <v>25.67</v>
      </c>
      <c r="G2049">
        <v>898726</v>
      </c>
      <c r="H2049" s="110"/>
      <c r="I2049" s="110"/>
      <c r="L2049" s="134">
        <v>45021</v>
      </c>
      <c r="M2049" s="110">
        <v>25.65</v>
      </c>
      <c r="N2049" s="110">
        <v>25.95</v>
      </c>
      <c r="O2049" s="110">
        <v>25.2</v>
      </c>
      <c r="P2049" s="110">
        <v>25.95</v>
      </c>
      <c r="Q2049" s="110">
        <v>25.65</v>
      </c>
      <c r="R2049">
        <v>10521009</v>
      </c>
    </row>
    <row r="2050" spans="1:18" x14ac:dyDescent="0.25">
      <c r="A2050" s="134">
        <v>45022</v>
      </c>
      <c r="B2050" s="110">
        <v>26.5</v>
      </c>
      <c r="C2050" s="110">
        <v>26.14</v>
      </c>
      <c r="D2050" s="110">
        <v>25.59</v>
      </c>
      <c r="E2050" s="110">
        <v>25.67</v>
      </c>
      <c r="F2050" s="110">
        <v>26.14</v>
      </c>
      <c r="G2050">
        <v>2044053</v>
      </c>
      <c r="H2050" s="110"/>
      <c r="I2050" s="110"/>
      <c r="L2050" s="134">
        <v>45022</v>
      </c>
      <c r="M2050" s="110">
        <v>26.15</v>
      </c>
      <c r="N2050" s="110">
        <v>26.55</v>
      </c>
      <c r="O2050" s="110">
        <v>25.55</v>
      </c>
      <c r="P2050" s="110">
        <v>25.65</v>
      </c>
      <c r="Q2050" s="110">
        <v>26.15</v>
      </c>
      <c r="R2050">
        <v>15235335</v>
      </c>
    </row>
    <row r="2051" spans="1:18" x14ac:dyDescent="0.25">
      <c r="A2051" s="134">
        <v>45026</v>
      </c>
      <c r="B2051" s="110">
        <v>26.35</v>
      </c>
      <c r="C2051" s="110">
        <v>26.14</v>
      </c>
      <c r="D2051" s="110">
        <v>25.95</v>
      </c>
      <c r="E2051" s="110">
        <v>26.35</v>
      </c>
      <c r="F2051" s="110">
        <v>26.14</v>
      </c>
      <c r="G2051">
        <v>1907805</v>
      </c>
      <c r="H2051" s="110"/>
      <c r="I2051" s="110"/>
      <c r="L2051" s="134">
        <v>45026</v>
      </c>
      <c r="M2051" s="110">
        <v>26.15</v>
      </c>
      <c r="N2051" s="110">
        <v>26.35</v>
      </c>
      <c r="O2051" s="110">
        <v>25.95</v>
      </c>
      <c r="P2051" s="110">
        <v>26.3</v>
      </c>
      <c r="Q2051" s="110">
        <v>26.15</v>
      </c>
      <c r="R2051">
        <v>7682988</v>
      </c>
    </row>
    <row r="2052" spans="1:18" x14ac:dyDescent="0.25">
      <c r="A2052" s="134">
        <v>45027</v>
      </c>
      <c r="B2052" s="110">
        <v>27.17</v>
      </c>
      <c r="C2052" s="110">
        <v>26.68</v>
      </c>
      <c r="D2052" s="110">
        <v>26.21</v>
      </c>
      <c r="E2052" s="110">
        <v>26.21</v>
      </c>
      <c r="F2052" s="110">
        <v>26.68</v>
      </c>
      <c r="G2052">
        <v>1400961</v>
      </c>
      <c r="H2052" s="110"/>
      <c r="I2052" s="110"/>
      <c r="L2052" s="134">
        <v>45027</v>
      </c>
      <c r="M2052" s="110">
        <v>26.7</v>
      </c>
      <c r="N2052" s="110">
        <v>27.2</v>
      </c>
      <c r="O2052" s="110">
        <v>26.25</v>
      </c>
      <c r="P2052" s="110">
        <v>26.25</v>
      </c>
      <c r="Q2052" s="110">
        <v>26.7</v>
      </c>
      <c r="R2052">
        <v>9900923</v>
      </c>
    </row>
    <row r="2053" spans="1:18" x14ac:dyDescent="0.25">
      <c r="A2053" s="134">
        <v>45028</v>
      </c>
      <c r="B2053" s="110">
        <v>26.94</v>
      </c>
      <c r="C2053" s="110">
        <v>26.59</v>
      </c>
      <c r="D2053" s="110">
        <v>26.4</v>
      </c>
      <c r="E2053" s="110">
        <v>26.94</v>
      </c>
      <c r="F2053" s="110">
        <v>26.59</v>
      </c>
      <c r="G2053">
        <v>734899</v>
      </c>
      <c r="H2053" s="110"/>
      <c r="I2053" s="110"/>
      <c r="L2053" s="134">
        <v>45028</v>
      </c>
      <c r="M2053" s="110">
        <v>26.6</v>
      </c>
      <c r="N2053" s="110">
        <v>26.85</v>
      </c>
      <c r="O2053" s="110">
        <v>26.4</v>
      </c>
      <c r="P2053" s="110">
        <v>26.85</v>
      </c>
      <c r="Q2053" s="110">
        <v>26.6</v>
      </c>
      <c r="R2053">
        <v>5504440</v>
      </c>
    </row>
    <row r="2054" spans="1:18" x14ac:dyDescent="0.25">
      <c r="A2054" s="134">
        <v>45029</v>
      </c>
      <c r="B2054" s="110">
        <v>27.85</v>
      </c>
      <c r="C2054" s="110">
        <v>27.56</v>
      </c>
      <c r="D2054" s="110">
        <v>26.45</v>
      </c>
      <c r="E2054" s="110">
        <v>26.79</v>
      </c>
      <c r="F2054" s="110">
        <v>27.56</v>
      </c>
      <c r="G2054">
        <v>1050199</v>
      </c>
      <c r="H2054" s="110"/>
      <c r="I2054" s="110"/>
      <c r="L2054" s="134">
        <v>45029</v>
      </c>
      <c r="M2054" s="110">
        <v>27.55</v>
      </c>
      <c r="N2054" s="110">
        <v>27.85</v>
      </c>
      <c r="O2054" s="110">
        <v>26.45</v>
      </c>
      <c r="P2054" s="110">
        <v>26.65</v>
      </c>
      <c r="Q2054" s="110">
        <v>27.55</v>
      </c>
      <c r="R2054">
        <v>15371559</v>
      </c>
    </row>
    <row r="2055" spans="1:18" x14ac:dyDescent="0.25">
      <c r="A2055" s="134">
        <v>45033</v>
      </c>
      <c r="B2055" s="110">
        <v>28.92</v>
      </c>
      <c r="C2055" s="110">
        <v>28.68</v>
      </c>
      <c r="D2055" s="110">
        <v>27.23</v>
      </c>
      <c r="E2055" s="110">
        <v>27.58</v>
      </c>
      <c r="F2055" s="110">
        <v>28.68</v>
      </c>
      <c r="G2055">
        <v>3915532</v>
      </c>
      <c r="H2055" s="110"/>
      <c r="I2055" s="110"/>
      <c r="L2055" s="134">
        <v>45033</v>
      </c>
      <c r="M2055" s="110">
        <v>28.65</v>
      </c>
      <c r="N2055" s="110">
        <v>28.95</v>
      </c>
      <c r="O2055" s="110">
        <v>27.2</v>
      </c>
      <c r="P2055" s="110">
        <v>27.5</v>
      </c>
      <c r="Q2055" s="110">
        <v>28.65</v>
      </c>
      <c r="R2055">
        <v>30121567</v>
      </c>
    </row>
    <row r="2056" spans="1:18" x14ac:dyDescent="0.25">
      <c r="A2056" s="134">
        <v>45034</v>
      </c>
      <c r="B2056" s="110">
        <v>28.93</v>
      </c>
      <c r="C2056" s="110">
        <v>28.35</v>
      </c>
      <c r="D2056" s="110">
        <v>28</v>
      </c>
      <c r="E2056" s="110">
        <v>28.75</v>
      </c>
      <c r="F2056" s="110">
        <v>28.35</v>
      </c>
      <c r="G2056">
        <v>2308631</v>
      </c>
      <c r="H2056" s="110"/>
      <c r="I2056" s="110"/>
      <c r="L2056" s="134">
        <v>45034</v>
      </c>
      <c r="M2056" s="110">
        <v>28.35</v>
      </c>
      <c r="N2056" s="110">
        <v>28.9</v>
      </c>
      <c r="O2056" s="110">
        <v>28.1</v>
      </c>
      <c r="P2056" s="110">
        <v>28.8</v>
      </c>
      <c r="Q2056" s="110">
        <v>28.35</v>
      </c>
      <c r="R2056">
        <v>18188043</v>
      </c>
    </row>
    <row r="2057" spans="1:18" x14ac:dyDescent="0.25">
      <c r="A2057" s="134">
        <v>45035</v>
      </c>
      <c r="B2057" s="110">
        <v>29.78</v>
      </c>
      <c r="C2057" s="110">
        <v>28.58</v>
      </c>
      <c r="D2057" s="110">
        <v>28.45</v>
      </c>
      <c r="E2057" s="110">
        <v>28.5</v>
      </c>
      <c r="F2057" s="110">
        <v>28.58</v>
      </c>
      <c r="G2057">
        <v>2740373</v>
      </c>
      <c r="H2057" s="110"/>
      <c r="I2057" s="110"/>
      <c r="L2057" s="134">
        <v>45035</v>
      </c>
      <c r="M2057" s="110">
        <v>28.6</v>
      </c>
      <c r="N2057" s="110">
        <v>29.8</v>
      </c>
      <c r="O2057" s="110">
        <v>28.4</v>
      </c>
      <c r="P2057" s="110">
        <v>28.5</v>
      </c>
      <c r="Q2057" s="110">
        <v>28.6</v>
      </c>
      <c r="R2057">
        <v>27607500</v>
      </c>
    </row>
    <row r="2058" spans="1:18" x14ac:dyDescent="0.25">
      <c r="A2058" s="134">
        <v>45036</v>
      </c>
      <c r="B2058" s="110">
        <v>28.75</v>
      </c>
      <c r="C2058" s="110">
        <v>28.13</v>
      </c>
      <c r="D2058" s="110">
        <v>27.98</v>
      </c>
      <c r="E2058" s="110">
        <v>28.7</v>
      </c>
      <c r="F2058" s="110">
        <v>28.13</v>
      </c>
      <c r="G2058">
        <v>994482</v>
      </c>
      <c r="H2058" s="110"/>
      <c r="I2058" s="110"/>
      <c r="L2058" s="134">
        <v>45036</v>
      </c>
      <c r="M2058" s="110">
        <v>28.15</v>
      </c>
      <c r="N2058" s="110">
        <v>28.75</v>
      </c>
      <c r="O2058" s="110">
        <v>27.9</v>
      </c>
      <c r="P2058" s="110">
        <v>28.6</v>
      </c>
      <c r="Q2058" s="110">
        <v>28.15</v>
      </c>
      <c r="R2058">
        <v>11106290</v>
      </c>
    </row>
    <row r="2059" spans="1:18" x14ac:dyDescent="0.25">
      <c r="A2059" s="134">
        <v>45037</v>
      </c>
      <c r="B2059" s="110">
        <v>28.44</v>
      </c>
      <c r="C2059" s="110">
        <v>27.81</v>
      </c>
      <c r="D2059" s="110">
        <v>27.6</v>
      </c>
      <c r="E2059" s="110">
        <v>28.44</v>
      </c>
      <c r="F2059" s="110">
        <v>27.81</v>
      </c>
      <c r="G2059">
        <v>824718</v>
      </c>
      <c r="H2059" s="110"/>
      <c r="I2059" s="110"/>
      <c r="L2059" s="134">
        <v>45037</v>
      </c>
      <c r="M2059" s="110">
        <v>27.85</v>
      </c>
      <c r="N2059" s="110">
        <v>28.4</v>
      </c>
      <c r="O2059" s="110">
        <v>27.55</v>
      </c>
      <c r="P2059" s="110">
        <v>28.25</v>
      </c>
      <c r="Q2059" s="110">
        <v>27.85</v>
      </c>
      <c r="R2059">
        <v>9651965</v>
      </c>
    </row>
    <row r="2060" spans="1:18" x14ac:dyDescent="0.25">
      <c r="A2060" s="134">
        <v>45040</v>
      </c>
      <c r="B2060" s="110">
        <v>30.5</v>
      </c>
      <c r="C2060" s="110">
        <v>30.08</v>
      </c>
      <c r="D2060" s="110">
        <v>28.01</v>
      </c>
      <c r="E2060" s="110">
        <v>28.19</v>
      </c>
      <c r="F2060" s="110">
        <v>30.08</v>
      </c>
      <c r="G2060">
        <v>4044090</v>
      </c>
      <c r="H2060" s="110"/>
      <c r="I2060" s="110"/>
      <c r="L2060" s="134">
        <v>45040</v>
      </c>
      <c r="M2060" s="110">
        <v>30.1</v>
      </c>
      <c r="N2060" s="110">
        <v>30.5</v>
      </c>
      <c r="O2060" s="110">
        <v>28</v>
      </c>
      <c r="P2060" s="110">
        <v>28</v>
      </c>
      <c r="Q2060" s="110">
        <v>30.1</v>
      </c>
      <c r="R2060">
        <v>58361429</v>
      </c>
    </row>
    <row r="2061" spans="1:18" x14ac:dyDescent="0.25">
      <c r="A2061" s="134">
        <v>45041</v>
      </c>
      <c r="B2061" s="110">
        <v>30.82</v>
      </c>
      <c r="C2061" s="110">
        <v>29.9</v>
      </c>
      <c r="D2061" s="110">
        <v>29.7</v>
      </c>
      <c r="E2061" s="110">
        <v>30.8</v>
      </c>
      <c r="F2061" s="110">
        <v>29.9</v>
      </c>
      <c r="G2061">
        <v>2836375</v>
      </c>
      <c r="H2061" s="110"/>
      <c r="I2061" s="110"/>
      <c r="L2061" s="134">
        <v>45041</v>
      </c>
      <c r="M2061" s="110">
        <v>29.9</v>
      </c>
      <c r="N2061" s="110">
        <v>30.9</v>
      </c>
      <c r="O2061" s="110">
        <v>29.7</v>
      </c>
      <c r="P2061" s="110">
        <v>30.7</v>
      </c>
      <c r="Q2061" s="110">
        <v>29.9</v>
      </c>
      <c r="R2061">
        <v>36039793</v>
      </c>
    </row>
    <row r="2062" spans="1:18" x14ac:dyDescent="0.25">
      <c r="A2062" s="134">
        <v>45042</v>
      </c>
      <c r="B2062" s="110">
        <v>30.1</v>
      </c>
      <c r="C2062" s="110">
        <v>29.53</v>
      </c>
      <c r="D2062" s="110">
        <v>29.28</v>
      </c>
      <c r="E2062" s="110">
        <v>30</v>
      </c>
      <c r="F2062" s="110">
        <v>29.53</v>
      </c>
      <c r="G2062">
        <v>1498270</v>
      </c>
      <c r="H2062" s="110"/>
      <c r="I2062" s="110"/>
      <c r="L2062" s="134">
        <v>45042</v>
      </c>
      <c r="M2062" s="110">
        <v>29.5</v>
      </c>
      <c r="N2062" s="110">
        <v>30.1</v>
      </c>
      <c r="O2062" s="110">
        <v>29.25</v>
      </c>
      <c r="P2062" s="110">
        <v>30</v>
      </c>
      <c r="Q2062" s="110">
        <v>29.5</v>
      </c>
      <c r="R2062">
        <v>16539566</v>
      </c>
    </row>
    <row r="2063" spans="1:18" x14ac:dyDescent="0.25">
      <c r="A2063" s="134">
        <v>45043</v>
      </c>
      <c r="B2063" s="110">
        <v>30.2</v>
      </c>
      <c r="C2063" s="110">
        <v>29.71</v>
      </c>
      <c r="D2063" s="110">
        <v>29.35</v>
      </c>
      <c r="E2063" s="110">
        <v>29.64</v>
      </c>
      <c r="F2063" s="110">
        <v>29.71</v>
      </c>
      <c r="G2063">
        <v>1806502</v>
      </c>
      <c r="H2063" s="110"/>
      <c r="I2063" s="110"/>
      <c r="L2063" s="134">
        <v>45043</v>
      </c>
      <c r="M2063" s="110">
        <v>29.7</v>
      </c>
      <c r="N2063" s="110">
        <v>30.2</v>
      </c>
      <c r="O2063" s="110">
        <v>29.4</v>
      </c>
      <c r="P2063" s="110">
        <v>29.6</v>
      </c>
      <c r="Q2063" s="110">
        <v>29.7</v>
      </c>
      <c r="R2063">
        <v>14918642</v>
      </c>
    </row>
    <row r="2064" spans="1:18" x14ac:dyDescent="0.25">
      <c r="A2064" s="134">
        <v>45044</v>
      </c>
      <c r="B2064" s="110">
        <v>30.4</v>
      </c>
      <c r="C2064" s="110">
        <v>30.21</v>
      </c>
      <c r="D2064" s="110">
        <v>29.72</v>
      </c>
      <c r="E2064" s="110">
        <v>29.75</v>
      </c>
      <c r="F2064" s="110">
        <v>30.21</v>
      </c>
      <c r="G2064">
        <v>1801601</v>
      </c>
      <c r="H2064" s="110"/>
      <c r="I2064" s="110"/>
      <c r="L2064" s="134">
        <v>45044</v>
      </c>
      <c r="M2064" s="110">
        <v>30.2</v>
      </c>
      <c r="N2064" s="110">
        <v>30.4</v>
      </c>
      <c r="O2064" s="110">
        <v>29.7</v>
      </c>
      <c r="P2064" s="110">
        <v>29.8</v>
      </c>
      <c r="Q2064" s="110">
        <v>30.2</v>
      </c>
      <c r="R2064">
        <v>23532983</v>
      </c>
    </row>
    <row r="2065" spans="1:18" x14ac:dyDescent="0.25">
      <c r="A2065" s="134">
        <v>45048</v>
      </c>
      <c r="B2065" s="110">
        <v>30.65</v>
      </c>
      <c r="C2065" s="110">
        <v>29.98</v>
      </c>
      <c r="D2065" s="110">
        <v>29.88</v>
      </c>
      <c r="E2065" s="110">
        <v>30.32</v>
      </c>
      <c r="F2065" s="110">
        <v>29.98</v>
      </c>
      <c r="G2065">
        <v>1465591</v>
      </c>
      <c r="H2065" s="110"/>
      <c r="I2065" s="110"/>
      <c r="L2065" s="134">
        <v>45048</v>
      </c>
      <c r="M2065" s="110">
        <v>30</v>
      </c>
      <c r="N2065" s="110">
        <v>30.65</v>
      </c>
      <c r="O2065" s="110">
        <v>29.85</v>
      </c>
      <c r="P2065" s="110">
        <v>30.45</v>
      </c>
      <c r="Q2065" s="110">
        <v>30</v>
      </c>
      <c r="R2065">
        <v>15438811</v>
      </c>
    </row>
    <row r="2066" spans="1:18" x14ac:dyDescent="0.25">
      <c r="A2066" s="134">
        <v>45049</v>
      </c>
      <c r="B2066" s="110">
        <v>29.98</v>
      </c>
      <c r="C2066" s="110">
        <v>29.62</v>
      </c>
      <c r="D2066" s="110">
        <v>29.46</v>
      </c>
      <c r="E2066" s="110">
        <v>29.8</v>
      </c>
      <c r="F2066" s="110">
        <v>29.62</v>
      </c>
      <c r="G2066">
        <v>543766</v>
      </c>
      <c r="H2066" s="110"/>
      <c r="I2066" s="110"/>
      <c r="L2066" s="134">
        <v>45049</v>
      </c>
      <c r="M2066" s="110">
        <v>29.6</v>
      </c>
      <c r="N2066" s="110">
        <v>30</v>
      </c>
      <c r="O2066" s="110">
        <v>29.45</v>
      </c>
      <c r="P2066" s="110">
        <v>29.85</v>
      </c>
      <c r="Q2066" s="110">
        <v>29.6</v>
      </c>
      <c r="R2066">
        <v>10323185</v>
      </c>
    </row>
    <row r="2067" spans="1:18" x14ac:dyDescent="0.25">
      <c r="A2067" s="134">
        <v>45050</v>
      </c>
      <c r="B2067" s="110">
        <v>30.2</v>
      </c>
      <c r="C2067" s="110">
        <v>29.92</v>
      </c>
      <c r="D2067" s="110">
        <v>29.56</v>
      </c>
      <c r="E2067" s="110">
        <v>29.56</v>
      </c>
      <c r="F2067" s="110">
        <v>29.92</v>
      </c>
      <c r="G2067">
        <v>938431</v>
      </c>
      <c r="H2067" s="110"/>
      <c r="I2067" s="110"/>
      <c r="L2067" s="134">
        <v>45050</v>
      </c>
      <c r="M2067" s="110">
        <v>29.9</v>
      </c>
      <c r="N2067" s="110">
        <v>30.2</v>
      </c>
      <c r="O2067" s="110">
        <v>29.6</v>
      </c>
      <c r="P2067" s="110">
        <v>29.65</v>
      </c>
      <c r="Q2067" s="110">
        <v>29.9</v>
      </c>
      <c r="R2067">
        <v>12176172</v>
      </c>
    </row>
    <row r="2068" spans="1:18" x14ac:dyDescent="0.25">
      <c r="A2068" s="134">
        <v>45051</v>
      </c>
      <c r="B2068" s="110">
        <v>31.35</v>
      </c>
      <c r="C2068" s="110">
        <v>30.47</v>
      </c>
      <c r="D2068" s="110">
        <v>29.78</v>
      </c>
      <c r="E2068" s="110">
        <v>30.12</v>
      </c>
      <c r="F2068" s="110">
        <v>30.47</v>
      </c>
      <c r="G2068">
        <v>3784646</v>
      </c>
      <c r="H2068" s="110"/>
      <c r="I2068" s="110"/>
      <c r="L2068" s="134">
        <v>45051</v>
      </c>
      <c r="M2068" s="110">
        <v>30.45</v>
      </c>
      <c r="N2068" s="110">
        <v>31.4</v>
      </c>
      <c r="O2068" s="110">
        <v>29.8</v>
      </c>
      <c r="P2068" s="110">
        <v>30</v>
      </c>
      <c r="Q2068" s="110">
        <v>30.45</v>
      </c>
      <c r="R2068">
        <v>41022726</v>
      </c>
    </row>
    <row r="2069" spans="1:18" x14ac:dyDescent="0.25">
      <c r="A2069" s="134">
        <v>45054</v>
      </c>
      <c r="B2069" s="110">
        <v>31.2</v>
      </c>
      <c r="C2069" s="110">
        <v>30.36</v>
      </c>
      <c r="D2069" s="110">
        <v>30.2</v>
      </c>
      <c r="E2069" s="110">
        <v>30.6</v>
      </c>
      <c r="F2069" s="110">
        <v>30.36</v>
      </c>
      <c r="G2069">
        <v>1689080</v>
      </c>
      <c r="H2069" s="110"/>
      <c r="I2069" s="110"/>
      <c r="L2069" s="134">
        <v>45054</v>
      </c>
      <c r="M2069" s="110">
        <v>30.4</v>
      </c>
      <c r="N2069" s="110">
        <v>31.2</v>
      </c>
      <c r="O2069" s="110">
        <v>30.2</v>
      </c>
      <c r="P2069" s="110">
        <v>30.6</v>
      </c>
      <c r="Q2069" s="110">
        <v>30.4</v>
      </c>
      <c r="R2069">
        <v>20346612</v>
      </c>
    </row>
    <row r="2070" spans="1:18" x14ac:dyDescent="0.25">
      <c r="A2070" s="134">
        <v>45055</v>
      </c>
      <c r="B2070" s="110">
        <v>30.69</v>
      </c>
      <c r="C2070" s="110">
        <v>30.27</v>
      </c>
      <c r="D2070" s="110">
        <v>29.92</v>
      </c>
      <c r="E2070" s="110">
        <v>30.59</v>
      </c>
      <c r="F2070" s="110">
        <v>30.27</v>
      </c>
      <c r="G2070">
        <v>729892</v>
      </c>
      <c r="H2070" s="110"/>
      <c r="I2070" s="110"/>
      <c r="L2070" s="134">
        <v>45055</v>
      </c>
      <c r="M2070" s="110">
        <v>30.25</v>
      </c>
      <c r="N2070" s="110">
        <v>30.7</v>
      </c>
      <c r="O2070" s="110">
        <v>29.9</v>
      </c>
      <c r="P2070" s="110">
        <v>30.5</v>
      </c>
      <c r="Q2070" s="110">
        <v>30.25</v>
      </c>
      <c r="R2070">
        <v>12551321</v>
      </c>
    </row>
    <row r="2071" spans="1:18" x14ac:dyDescent="0.25">
      <c r="A2071" s="134">
        <v>45056</v>
      </c>
      <c r="B2071" s="110">
        <v>30.45</v>
      </c>
      <c r="C2071" s="110">
        <v>29.96</v>
      </c>
      <c r="D2071" s="110">
        <v>29.51</v>
      </c>
      <c r="E2071" s="110">
        <v>30.44</v>
      </c>
      <c r="F2071" s="110">
        <v>29.96</v>
      </c>
      <c r="G2071">
        <v>1085594</v>
      </c>
      <c r="H2071" s="110"/>
      <c r="I2071" s="110"/>
      <c r="L2071" s="134">
        <v>45056</v>
      </c>
      <c r="M2071" s="110">
        <v>29.95</v>
      </c>
      <c r="N2071" s="110">
        <v>30.5</v>
      </c>
      <c r="O2071" s="110">
        <v>29.5</v>
      </c>
      <c r="P2071" s="110">
        <v>30.35</v>
      </c>
      <c r="Q2071" s="110">
        <v>29.95</v>
      </c>
      <c r="R2071">
        <v>10615712</v>
      </c>
    </row>
    <row r="2072" spans="1:18" x14ac:dyDescent="0.25">
      <c r="A2072" s="134">
        <v>45057</v>
      </c>
      <c r="B2072" s="110">
        <v>30.53</v>
      </c>
      <c r="C2072" s="110">
        <v>30.33</v>
      </c>
      <c r="D2072" s="110">
        <v>30</v>
      </c>
      <c r="E2072" s="110">
        <v>30</v>
      </c>
      <c r="F2072" s="110">
        <v>30.33</v>
      </c>
      <c r="G2072">
        <v>1076654</v>
      </c>
      <c r="H2072" s="110"/>
      <c r="I2072" s="110"/>
      <c r="L2072" s="134">
        <v>45057</v>
      </c>
      <c r="M2072" s="110">
        <v>30.35</v>
      </c>
      <c r="N2072" s="110">
        <v>30.55</v>
      </c>
      <c r="O2072" s="110">
        <v>29.95</v>
      </c>
      <c r="P2072" s="110">
        <v>30.1</v>
      </c>
      <c r="Q2072" s="110">
        <v>30.35</v>
      </c>
      <c r="R2072">
        <v>9747878</v>
      </c>
    </row>
    <row r="2073" spans="1:18" x14ac:dyDescent="0.25">
      <c r="A2073" s="134">
        <v>45058</v>
      </c>
      <c r="B2073" s="110">
        <v>30.59</v>
      </c>
      <c r="C2073" s="110">
        <v>30.19</v>
      </c>
      <c r="D2073" s="110">
        <v>30.1</v>
      </c>
      <c r="E2073" s="110">
        <v>30.21</v>
      </c>
      <c r="F2073" s="110">
        <v>30.19</v>
      </c>
      <c r="G2073">
        <v>403685</v>
      </c>
      <c r="H2073" s="110"/>
      <c r="I2073" s="110"/>
      <c r="L2073" s="134">
        <v>45058</v>
      </c>
      <c r="M2073" s="110">
        <v>30.15</v>
      </c>
      <c r="N2073" s="110">
        <v>30.6</v>
      </c>
      <c r="O2073" s="110">
        <v>30.05</v>
      </c>
      <c r="P2073" s="110">
        <v>30.35</v>
      </c>
      <c r="Q2073" s="110">
        <v>30.15</v>
      </c>
      <c r="R2073">
        <v>8439645</v>
      </c>
    </row>
    <row r="2074" spans="1:18" x14ac:dyDescent="0.25">
      <c r="A2074" s="134">
        <v>45061</v>
      </c>
      <c r="B2074" s="110">
        <v>31.19</v>
      </c>
      <c r="C2074" s="110">
        <v>30.84</v>
      </c>
      <c r="D2074" s="110">
        <v>30.1</v>
      </c>
      <c r="E2074" s="110">
        <v>30.26</v>
      </c>
      <c r="F2074" s="110">
        <v>30.84</v>
      </c>
      <c r="G2074">
        <v>1660648</v>
      </c>
      <c r="H2074" s="110"/>
      <c r="I2074" s="110"/>
      <c r="L2074" s="134">
        <v>45061</v>
      </c>
      <c r="M2074" s="110">
        <v>30.9</v>
      </c>
      <c r="N2074" s="110">
        <v>31.2</v>
      </c>
      <c r="O2074" s="110">
        <v>30.1</v>
      </c>
      <c r="P2074" s="110">
        <v>30.3</v>
      </c>
      <c r="Q2074" s="110">
        <v>30.9</v>
      </c>
      <c r="R2074">
        <v>18397103</v>
      </c>
    </row>
    <row r="2075" spans="1:18" x14ac:dyDescent="0.25">
      <c r="A2075" s="134">
        <v>45062</v>
      </c>
      <c r="B2075" s="110">
        <v>31.9</v>
      </c>
      <c r="C2075" s="110">
        <v>31</v>
      </c>
      <c r="D2075" s="110">
        <v>30.93</v>
      </c>
      <c r="E2075" s="110">
        <v>31.29</v>
      </c>
      <c r="F2075" s="110">
        <v>31</v>
      </c>
      <c r="G2075">
        <v>969615</v>
      </c>
      <c r="H2075" s="110"/>
      <c r="I2075" s="110"/>
      <c r="L2075" s="134">
        <v>45062</v>
      </c>
      <c r="M2075" s="110">
        <v>31</v>
      </c>
      <c r="N2075" s="110">
        <v>31.9</v>
      </c>
      <c r="O2075" s="110">
        <v>30.9</v>
      </c>
      <c r="P2075" s="110">
        <v>31.2</v>
      </c>
      <c r="Q2075" s="110">
        <v>31</v>
      </c>
      <c r="R2075">
        <v>20707602</v>
      </c>
    </row>
    <row r="2076" spans="1:18" x14ac:dyDescent="0.25">
      <c r="A2076" s="134">
        <v>45063</v>
      </c>
      <c r="B2076" s="110">
        <v>31.6</v>
      </c>
      <c r="C2076" s="110">
        <v>31.21</v>
      </c>
      <c r="D2076" s="110">
        <v>30.71</v>
      </c>
      <c r="E2076" s="110">
        <v>31.03</v>
      </c>
      <c r="F2076" s="110">
        <v>31.21</v>
      </c>
      <c r="G2076">
        <v>1594170</v>
      </c>
      <c r="H2076" s="110"/>
      <c r="I2076" s="110"/>
      <c r="L2076" s="134">
        <v>45063</v>
      </c>
      <c r="M2076" s="110">
        <v>31.2</v>
      </c>
      <c r="N2076" s="110">
        <v>31.6</v>
      </c>
      <c r="O2076" s="110">
        <v>30.75</v>
      </c>
      <c r="P2076" s="110">
        <v>31.1</v>
      </c>
      <c r="Q2076" s="110">
        <v>31.2</v>
      </c>
      <c r="R2076">
        <v>13085718</v>
      </c>
    </row>
    <row r="2077" spans="1:18" x14ac:dyDescent="0.25">
      <c r="A2077" s="134">
        <v>45064</v>
      </c>
      <c r="B2077" s="110">
        <v>31.5</v>
      </c>
      <c r="C2077" s="110">
        <v>31.14</v>
      </c>
      <c r="D2077" s="110">
        <v>30.9</v>
      </c>
      <c r="E2077" s="110">
        <v>31.31</v>
      </c>
      <c r="F2077" s="110">
        <v>31.14</v>
      </c>
      <c r="G2077">
        <v>1896980</v>
      </c>
      <c r="H2077" s="110"/>
      <c r="I2077" s="110"/>
      <c r="L2077" s="134">
        <v>45064</v>
      </c>
      <c r="M2077" s="110">
        <v>31.15</v>
      </c>
      <c r="N2077" s="110">
        <v>31.55</v>
      </c>
      <c r="O2077" s="110">
        <v>30.9</v>
      </c>
      <c r="P2077" s="110">
        <v>31.45</v>
      </c>
      <c r="Q2077" s="110">
        <v>31.15</v>
      </c>
      <c r="R2077">
        <v>10685632</v>
      </c>
    </row>
    <row r="2078" spans="1:18" x14ac:dyDescent="0.25">
      <c r="A2078" s="134">
        <v>45065</v>
      </c>
      <c r="B2078" s="110">
        <v>31.33</v>
      </c>
      <c r="C2078" s="110">
        <v>31.17</v>
      </c>
      <c r="D2078" s="110">
        <v>30.37</v>
      </c>
      <c r="E2078" s="110">
        <v>31.11</v>
      </c>
      <c r="F2078" s="110">
        <v>31.17</v>
      </c>
      <c r="G2078">
        <v>908884</v>
      </c>
      <c r="H2078" s="110"/>
      <c r="I2078" s="110"/>
      <c r="L2078" s="134">
        <v>45065</v>
      </c>
      <c r="M2078" s="110">
        <v>31.15</v>
      </c>
      <c r="N2078" s="110">
        <v>31.3</v>
      </c>
      <c r="O2078" s="110">
        <v>30.4</v>
      </c>
      <c r="P2078" s="110">
        <v>31.2</v>
      </c>
      <c r="Q2078" s="110">
        <v>31.15</v>
      </c>
      <c r="R2078">
        <v>10639436</v>
      </c>
    </row>
    <row r="2079" spans="1:18" x14ac:dyDescent="0.25">
      <c r="A2079" s="134">
        <v>45068</v>
      </c>
      <c r="B2079" s="110">
        <v>31.64</v>
      </c>
      <c r="C2079" s="110">
        <v>31.33</v>
      </c>
      <c r="D2079" s="110">
        <v>31.17</v>
      </c>
      <c r="E2079" s="110">
        <v>31.18</v>
      </c>
      <c r="F2079" s="110">
        <v>31.33</v>
      </c>
      <c r="G2079">
        <v>1691105</v>
      </c>
      <c r="H2079" s="110"/>
      <c r="I2079" s="110"/>
      <c r="L2079" s="134">
        <v>45068</v>
      </c>
      <c r="M2079" s="110">
        <v>31.3</v>
      </c>
      <c r="N2079" s="110">
        <v>31.65</v>
      </c>
      <c r="O2079" s="110">
        <v>31.15</v>
      </c>
      <c r="P2079" s="110">
        <v>31.3</v>
      </c>
      <c r="Q2079" s="110">
        <v>31.3</v>
      </c>
      <c r="R2079">
        <v>12690515</v>
      </c>
    </row>
    <row r="2080" spans="1:18" x14ac:dyDescent="0.25">
      <c r="A2080" s="134">
        <v>45069</v>
      </c>
      <c r="B2080" s="110">
        <v>30.75</v>
      </c>
      <c r="C2080" s="110">
        <v>30.06</v>
      </c>
      <c r="D2080" s="110">
        <v>29.98</v>
      </c>
      <c r="E2080" s="110">
        <v>30.3</v>
      </c>
      <c r="F2080" s="110">
        <v>30.06</v>
      </c>
      <c r="G2080">
        <v>1218386</v>
      </c>
      <c r="H2080" s="110"/>
      <c r="I2080" s="110"/>
      <c r="L2080" s="134">
        <v>45069</v>
      </c>
      <c r="M2080" s="110">
        <v>30.1</v>
      </c>
      <c r="N2080" s="110">
        <v>30.75</v>
      </c>
      <c r="O2080" s="110">
        <v>30</v>
      </c>
      <c r="P2080" s="110">
        <v>30.3</v>
      </c>
      <c r="Q2080" s="110">
        <v>30.1</v>
      </c>
      <c r="R2080">
        <v>10668707</v>
      </c>
    </row>
    <row r="2081" spans="1:18" x14ac:dyDescent="0.25">
      <c r="A2081" s="134">
        <v>45070</v>
      </c>
      <c r="B2081" s="110">
        <v>30</v>
      </c>
      <c r="C2081" s="110">
        <v>29.31</v>
      </c>
      <c r="D2081" s="110">
        <v>29.18</v>
      </c>
      <c r="E2081" s="110">
        <v>29.98</v>
      </c>
      <c r="F2081" s="110">
        <v>29.31</v>
      </c>
      <c r="G2081">
        <v>682369</v>
      </c>
      <c r="H2081" s="110"/>
      <c r="I2081" s="110"/>
      <c r="L2081" s="134">
        <v>45070</v>
      </c>
      <c r="M2081" s="110">
        <v>29.35</v>
      </c>
      <c r="N2081" s="110">
        <v>30.1</v>
      </c>
      <c r="O2081" s="110">
        <v>29.15</v>
      </c>
      <c r="P2081" s="110">
        <v>30.1</v>
      </c>
      <c r="Q2081" s="110">
        <v>29.35</v>
      </c>
      <c r="R2081">
        <v>9179739</v>
      </c>
    </row>
    <row r="2082" spans="1:18" x14ac:dyDescent="0.25">
      <c r="A2082" s="134">
        <v>45071</v>
      </c>
      <c r="B2082" s="110">
        <v>29.33</v>
      </c>
      <c r="C2082" s="110">
        <v>28.91</v>
      </c>
      <c r="D2082" s="110">
        <v>28.8</v>
      </c>
      <c r="E2082" s="110">
        <v>29.31</v>
      </c>
      <c r="F2082" s="110">
        <v>28.91</v>
      </c>
      <c r="G2082">
        <v>500892</v>
      </c>
      <c r="H2082" s="110"/>
      <c r="I2082" s="110"/>
      <c r="L2082" s="134">
        <v>45071</v>
      </c>
      <c r="M2082" s="110">
        <v>28.9</v>
      </c>
      <c r="N2082" s="110">
        <v>29.5</v>
      </c>
      <c r="O2082" s="110">
        <v>28.8</v>
      </c>
      <c r="P2082" s="110">
        <v>29.3</v>
      </c>
      <c r="Q2082" s="110">
        <v>28.9</v>
      </c>
      <c r="R2082">
        <v>8247226</v>
      </c>
    </row>
    <row r="2083" spans="1:18" x14ac:dyDescent="0.25">
      <c r="A2083" s="134">
        <v>45072</v>
      </c>
      <c r="B2083" s="110">
        <v>29.35</v>
      </c>
      <c r="C2083" s="110">
        <v>29.22</v>
      </c>
      <c r="D2083" s="110">
        <v>28.8</v>
      </c>
      <c r="E2083" s="110">
        <v>28.9</v>
      </c>
      <c r="F2083" s="110">
        <v>29.22</v>
      </c>
      <c r="G2083">
        <v>587538</v>
      </c>
      <c r="H2083" s="110"/>
      <c r="I2083" s="110"/>
      <c r="L2083" s="134">
        <v>45072</v>
      </c>
      <c r="M2083" s="110">
        <v>29.25</v>
      </c>
      <c r="N2083" s="110">
        <v>29.35</v>
      </c>
      <c r="O2083" s="110">
        <v>28.8</v>
      </c>
      <c r="P2083" s="110">
        <v>28.95</v>
      </c>
      <c r="Q2083" s="110">
        <v>29.25</v>
      </c>
      <c r="R2083">
        <v>7239302</v>
      </c>
    </row>
    <row r="2084" spans="1:18" x14ac:dyDescent="0.25">
      <c r="A2084" s="134">
        <v>45075</v>
      </c>
      <c r="B2084" s="110">
        <v>29.6</v>
      </c>
      <c r="C2084" s="110">
        <v>29.18</v>
      </c>
      <c r="D2084" s="110">
        <v>29.11</v>
      </c>
      <c r="E2084" s="110">
        <v>29.41</v>
      </c>
      <c r="F2084" s="110">
        <v>29.18</v>
      </c>
      <c r="G2084">
        <v>418507</v>
      </c>
      <c r="H2084" s="110"/>
      <c r="I2084" s="110"/>
      <c r="L2084" s="134">
        <v>45075</v>
      </c>
      <c r="M2084" s="110">
        <v>29.15</v>
      </c>
      <c r="N2084" s="110">
        <v>29.6</v>
      </c>
      <c r="O2084" s="110">
        <v>29.1</v>
      </c>
      <c r="P2084" s="110">
        <v>29.6</v>
      </c>
      <c r="Q2084" s="110">
        <v>29.15</v>
      </c>
      <c r="R2084">
        <v>8543455</v>
      </c>
    </row>
    <row r="2085" spans="1:18" x14ac:dyDescent="0.25">
      <c r="A2085" s="134">
        <v>45076</v>
      </c>
      <c r="B2085" s="110">
        <v>29.55</v>
      </c>
      <c r="C2085" s="110">
        <v>29.46</v>
      </c>
      <c r="D2085" s="110">
        <v>29</v>
      </c>
      <c r="E2085" s="110">
        <v>29.03</v>
      </c>
      <c r="F2085" s="110">
        <v>29.46</v>
      </c>
      <c r="G2085">
        <v>905894</v>
      </c>
      <c r="H2085" s="110"/>
      <c r="I2085" s="110"/>
      <c r="L2085" s="134">
        <v>45076</v>
      </c>
      <c r="M2085" s="110">
        <v>29.5</v>
      </c>
      <c r="N2085" s="110">
        <v>29.6</v>
      </c>
      <c r="O2085" s="110">
        <v>29</v>
      </c>
      <c r="P2085" s="110">
        <v>29.15</v>
      </c>
      <c r="Q2085" s="110">
        <v>29.5</v>
      </c>
      <c r="R2085">
        <v>5993474</v>
      </c>
    </row>
    <row r="2086" spans="1:18" x14ac:dyDescent="0.25">
      <c r="A2086" s="134">
        <v>45077</v>
      </c>
      <c r="B2086" s="110">
        <v>30.51</v>
      </c>
      <c r="C2086" s="110">
        <v>30.4</v>
      </c>
      <c r="D2086" s="110">
        <v>29.25</v>
      </c>
      <c r="E2086" s="110">
        <v>29.53</v>
      </c>
      <c r="F2086" s="110">
        <v>30.4</v>
      </c>
      <c r="G2086">
        <v>760231</v>
      </c>
      <c r="H2086" s="110"/>
      <c r="I2086" s="110"/>
      <c r="L2086" s="134">
        <v>45077</v>
      </c>
      <c r="M2086" s="110">
        <v>30.35</v>
      </c>
      <c r="N2086" s="110">
        <v>30.5</v>
      </c>
      <c r="O2086" s="110">
        <v>29.25</v>
      </c>
      <c r="P2086" s="110">
        <v>29.45</v>
      </c>
      <c r="Q2086" s="110">
        <v>30.35</v>
      </c>
      <c r="R2086">
        <v>15367876</v>
      </c>
    </row>
    <row r="2087" spans="1:18" x14ac:dyDescent="0.25">
      <c r="A2087" s="134">
        <v>45078</v>
      </c>
      <c r="B2087" s="110">
        <v>31.59</v>
      </c>
      <c r="C2087" s="110">
        <v>31.34</v>
      </c>
      <c r="D2087" s="110">
        <v>30.31</v>
      </c>
      <c r="E2087" s="110">
        <v>30.31</v>
      </c>
      <c r="F2087" s="110">
        <v>31.34</v>
      </c>
      <c r="G2087">
        <v>2392554</v>
      </c>
      <c r="H2087" s="110"/>
      <c r="I2087" s="110"/>
      <c r="L2087" s="134">
        <v>45078</v>
      </c>
      <c r="M2087" s="110">
        <v>31.35</v>
      </c>
      <c r="N2087" s="110">
        <v>31.6</v>
      </c>
      <c r="O2087" s="110">
        <v>30.35</v>
      </c>
      <c r="P2087" s="110">
        <v>30.45</v>
      </c>
      <c r="Q2087" s="110">
        <v>31.35</v>
      </c>
      <c r="R2087">
        <v>27680636</v>
      </c>
    </row>
    <row r="2088" spans="1:18" x14ac:dyDescent="0.25">
      <c r="A2088" s="134">
        <v>45079</v>
      </c>
      <c r="B2088" s="110">
        <v>32.43</v>
      </c>
      <c r="C2088" s="110">
        <v>31.54</v>
      </c>
      <c r="D2088" s="110">
        <v>31.3</v>
      </c>
      <c r="E2088" s="110">
        <v>31.39</v>
      </c>
      <c r="F2088" s="110">
        <v>31.54</v>
      </c>
      <c r="G2088">
        <v>2239842</v>
      </c>
      <c r="H2088" s="110"/>
      <c r="I2088" s="110"/>
      <c r="L2088" s="134">
        <v>45079</v>
      </c>
      <c r="M2088" s="110">
        <v>31.55</v>
      </c>
      <c r="N2088" s="110">
        <v>32.450000000000003</v>
      </c>
      <c r="O2088" s="110">
        <v>31.25</v>
      </c>
      <c r="P2088" s="110">
        <v>31.5</v>
      </c>
      <c r="Q2088" s="110">
        <v>31.55</v>
      </c>
      <c r="R2088">
        <v>37883095</v>
      </c>
    </row>
    <row r="2089" spans="1:18" x14ac:dyDescent="0.25">
      <c r="A2089" s="134">
        <v>45082</v>
      </c>
      <c r="B2089" s="110">
        <v>31.66</v>
      </c>
      <c r="C2089" s="110">
        <v>30.69</v>
      </c>
      <c r="D2089" s="110">
        <v>30.51</v>
      </c>
      <c r="E2089" s="110">
        <v>31.66</v>
      </c>
      <c r="F2089" s="110">
        <v>30.69</v>
      </c>
      <c r="G2089">
        <v>1063952</v>
      </c>
      <c r="H2089" s="110"/>
      <c r="I2089" s="110"/>
      <c r="L2089" s="134">
        <v>45082</v>
      </c>
      <c r="M2089" s="110">
        <v>30.65</v>
      </c>
      <c r="N2089" s="110">
        <v>31.75</v>
      </c>
      <c r="O2089" s="110">
        <v>30.5</v>
      </c>
      <c r="P2089" s="110">
        <v>31.75</v>
      </c>
      <c r="Q2089" s="110">
        <v>30.65</v>
      </c>
      <c r="R2089">
        <v>15523942</v>
      </c>
    </row>
    <row r="2090" spans="1:18" x14ac:dyDescent="0.25">
      <c r="A2090" s="134">
        <v>45083</v>
      </c>
      <c r="B2090" s="110">
        <v>30.67</v>
      </c>
      <c r="C2090" s="110">
        <v>30.37</v>
      </c>
      <c r="D2090" s="110">
        <v>30.1</v>
      </c>
      <c r="E2090" s="110">
        <v>30.67</v>
      </c>
      <c r="F2090" s="110">
        <v>30.37</v>
      </c>
      <c r="G2090">
        <v>890837</v>
      </c>
      <c r="H2090" s="110"/>
      <c r="I2090" s="110"/>
      <c r="L2090" s="134">
        <v>45083</v>
      </c>
      <c r="M2090" s="110">
        <v>30.4</v>
      </c>
      <c r="N2090" s="110">
        <v>30.65</v>
      </c>
      <c r="O2090" s="110">
        <v>30.05</v>
      </c>
      <c r="P2090" s="110">
        <v>30.6</v>
      </c>
      <c r="Q2090" s="110">
        <v>30.4</v>
      </c>
      <c r="R2090">
        <v>8984906</v>
      </c>
    </row>
    <row r="2091" spans="1:18" x14ac:dyDescent="0.25">
      <c r="A2091" s="134">
        <v>45084</v>
      </c>
      <c r="B2091" s="110">
        <v>31.1</v>
      </c>
      <c r="C2091" s="110">
        <v>30.72</v>
      </c>
      <c r="D2091" s="110">
        <v>30.5</v>
      </c>
      <c r="E2091" s="110">
        <v>30.5</v>
      </c>
      <c r="F2091" s="110">
        <v>30.72</v>
      </c>
      <c r="G2091">
        <v>487285</v>
      </c>
      <c r="H2091" s="110"/>
      <c r="I2091" s="110"/>
      <c r="L2091" s="134">
        <v>45084</v>
      </c>
      <c r="M2091" s="110">
        <v>30.7</v>
      </c>
      <c r="N2091" s="110">
        <v>31.1</v>
      </c>
      <c r="O2091" s="110">
        <v>30.45</v>
      </c>
      <c r="P2091" s="110">
        <v>30.45</v>
      </c>
      <c r="Q2091" s="110">
        <v>30.7</v>
      </c>
      <c r="R2091">
        <v>10538248</v>
      </c>
    </row>
    <row r="2092" spans="1:18" x14ac:dyDescent="0.25">
      <c r="A2092" s="134">
        <v>45085</v>
      </c>
      <c r="B2092" s="110">
        <v>31.1</v>
      </c>
      <c r="C2092" s="110">
        <v>30.34</v>
      </c>
      <c r="D2092" s="110">
        <v>30.25</v>
      </c>
      <c r="E2092" s="110">
        <v>30.86</v>
      </c>
      <c r="F2092" s="110">
        <v>30.34</v>
      </c>
      <c r="G2092">
        <v>953815</v>
      </c>
      <c r="H2092" s="110"/>
      <c r="I2092" s="110"/>
      <c r="L2092" s="134">
        <v>45085</v>
      </c>
      <c r="M2092" s="110">
        <v>30.35</v>
      </c>
      <c r="N2092" s="110">
        <v>31.15</v>
      </c>
      <c r="O2092" s="110">
        <v>30.25</v>
      </c>
      <c r="P2092" s="110">
        <v>30.8</v>
      </c>
      <c r="Q2092" s="110">
        <v>30.35</v>
      </c>
      <c r="R2092">
        <v>10347501</v>
      </c>
    </row>
    <row r="2093" spans="1:18" x14ac:dyDescent="0.25">
      <c r="A2093" s="134">
        <v>45086</v>
      </c>
      <c r="B2093" s="110">
        <v>30.19</v>
      </c>
      <c r="C2093" s="110">
        <v>28.35</v>
      </c>
      <c r="D2093" s="110">
        <v>28.16</v>
      </c>
      <c r="E2093" s="110">
        <v>30.19</v>
      </c>
      <c r="F2093" s="110">
        <v>28.35</v>
      </c>
      <c r="G2093">
        <v>7126140</v>
      </c>
      <c r="H2093" s="110"/>
      <c r="I2093" s="110"/>
      <c r="L2093" s="134">
        <v>45086</v>
      </c>
      <c r="M2093" s="110">
        <v>28.35</v>
      </c>
      <c r="N2093" s="110">
        <v>30</v>
      </c>
      <c r="O2093" s="110">
        <v>28.15</v>
      </c>
      <c r="P2093" s="110">
        <v>30</v>
      </c>
      <c r="Q2093" s="110">
        <v>28.35</v>
      </c>
      <c r="R2093">
        <v>58588050</v>
      </c>
    </row>
    <row r="2094" spans="1:18" x14ac:dyDescent="0.25">
      <c r="A2094" s="134">
        <v>45089</v>
      </c>
      <c r="B2094" s="110">
        <v>28.63</v>
      </c>
      <c r="C2094" s="110">
        <v>28.54</v>
      </c>
      <c r="D2094" s="110">
        <v>28.07</v>
      </c>
      <c r="E2094" s="110">
        <v>28.5</v>
      </c>
      <c r="F2094" s="110">
        <v>28.54</v>
      </c>
      <c r="G2094">
        <v>1959963</v>
      </c>
      <c r="H2094" s="110"/>
      <c r="I2094" s="110"/>
      <c r="L2094" s="134">
        <v>45089</v>
      </c>
      <c r="M2094" s="110">
        <v>28.55</v>
      </c>
      <c r="N2094" s="110">
        <v>28.65</v>
      </c>
      <c r="O2094" s="110">
        <v>28.1</v>
      </c>
      <c r="P2094" s="110">
        <v>28.5</v>
      </c>
      <c r="Q2094" s="110">
        <v>28.55</v>
      </c>
      <c r="R2094">
        <v>15254293</v>
      </c>
    </row>
    <row r="2095" spans="1:18" x14ac:dyDescent="0.25">
      <c r="A2095" s="134">
        <v>45090</v>
      </c>
      <c r="B2095" s="110">
        <v>28.76</v>
      </c>
      <c r="C2095" s="110">
        <v>28.52</v>
      </c>
      <c r="D2095" s="110">
        <v>28.43</v>
      </c>
      <c r="E2095" s="110">
        <v>28.6</v>
      </c>
      <c r="F2095" s="110">
        <v>28.52</v>
      </c>
      <c r="G2095">
        <v>594002</v>
      </c>
      <c r="H2095" s="110"/>
      <c r="I2095" s="110"/>
      <c r="L2095" s="134">
        <v>45090</v>
      </c>
      <c r="M2095" s="110">
        <v>28.5</v>
      </c>
      <c r="N2095" s="110">
        <v>28.75</v>
      </c>
      <c r="O2095" s="110">
        <v>28.4</v>
      </c>
      <c r="P2095" s="110">
        <v>28.65</v>
      </c>
      <c r="Q2095" s="110">
        <v>28.5</v>
      </c>
      <c r="R2095">
        <v>9984986</v>
      </c>
    </row>
    <row r="2096" spans="1:18" x14ac:dyDescent="0.25">
      <c r="A2096" s="134">
        <v>45091</v>
      </c>
      <c r="B2096" s="110">
        <v>28.72</v>
      </c>
      <c r="C2096" s="110">
        <v>28.47</v>
      </c>
      <c r="D2096" s="110">
        <v>28.31</v>
      </c>
      <c r="E2096" s="110">
        <v>28.52</v>
      </c>
      <c r="F2096" s="110">
        <v>28.47</v>
      </c>
      <c r="G2096">
        <v>1087250</v>
      </c>
      <c r="H2096" s="110"/>
      <c r="I2096" s="110"/>
      <c r="L2096" s="134">
        <v>45091</v>
      </c>
      <c r="M2096" s="110">
        <v>28.5</v>
      </c>
      <c r="N2096" s="110">
        <v>28.7</v>
      </c>
      <c r="O2096" s="110">
        <v>28.3</v>
      </c>
      <c r="P2096" s="110">
        <v>28.5</v>
      </c>
      <c r="Q2096" s="110">
        <v>28.5</v>
      </c>
      <c r="R2096">
        <v>10125067</v>
      </c>
    </row>
    <row r="2097" spans="1:18" x14ac:dyDescent="0.25">
      <c r="A2097" s="134">
        <v>45092</v>
      </c>
      <c r="B2097" s="110">
        <v>28.6</v>
      </c>
      <c r="C2097" s="110">
        <v>27.94</v>
      </c>
      <c r="D2097" s="110">
        <v>27.67</v>
      </c>
      <c r="E2097" s="110">
        <v>28.56</v>
      </c>
      <c r="F2097" s="110">
        <v>27.94</v>
      </c>
      <c r="G2097">
        <v>861649</v>
      </c>
      <c r="H2097" s="110"/>
      <c r="I2097" s="110"/>
      <c r="L2097" s="134">
        <v>45092</v>
      </c>
      <c r="M2097" s="110">
        <v>27.85</v>
      </c>
      <c r="N2097" s="110">
        <v>28.6</v>
      </c>
      <c r="O2097" s="110">
        <v>27.65</v>
      </c>
      <c r="P2097" s="110">
        <v>28.55</v>
      </c>
      <c r="Q2097" s="110">
        <v>27.85</v>
      </c>
      <c r="R2097">
        <v>13297743</v>
      </c>
    </row>
    <row r="2098" spans="1:18" x14ac:dyDescent="0.25">
      <c r="A2098" s="134">
        <v>45093</v>
      </c>
      <c r="B2098" s="110">
        <v>28.09</v>
      </c>
      <c r="C2098" s="110">
        <v>27.79</v>
      </c>
      <c r="D2098" s="110">
        <v>27.71</v>
      </c>
      <c r="E2098" s="110">
        <v>27.85</v>
      </c>
      <c r="F2098" s="110">
        <v>27.79</v>
      </c>
      <c r="G2098">
        <v>1087963</v>
      </c>
      <c r="H2098" s="110"/>
      <c r="I2098" s="110"/>
      <c r="L2098" s="134">
        <v>45093</v>
      </c>
      <c r="M2098" s="110">
        <v>27.8</v>
      </c>
      <c r="N2098" s="110">
        <v>28.05</v>
      </c>
      <c r="O2098" s="110">
        <v>27.75</v>
      </c>
      <c r="P2098" s="110">
        <v>27.85</v>
      </c>
      <c r="Q2098" s="110">
        <v>27.8</v>
      </c>
      <c r="R2098">
        <v>10596207</v>
      </c>
    </row>
    <row r="2099" spans="1:18" x14ac:dyDescent="0.25">
      <c r="A2099" s="134">
        <v>45096</v>
      </c>
      <c r="B2099" s="110">
        <v>28.27</v>
      </c>
      <c r="C2099" s="110">
        <v>27.87</v>
      </c>
      <c r="D2099" s="110">
        <v>27.7</v>
      </c>
      <c r="E2099" s="110">
        <v>27.95</v>
      </c>
      <c r="F2099" s="110">
        <v>27.87</v>
      </c>
      <c r="G2099">
        <v>668483</v>
      </c>
      <c r="H2099" s="110"/>
      <c r="I2099" s="110"/>
      <c r="L2099" s="134">
        <v>45096</v>
      </c>
      <c r="M2099" s="110">
        <v>27.9</v>
      </c>
      <c r="N2099" s="110">
        <v>28.3</v>
      </c>
      <c r="O2099" s="110">
        <v>27.7</v>
      </c>
      <c r="P2099" s="110">
        <v>27.9</v>
      </c>
      <c r="Q2099" s="110">
        <v>27.9</v>
      </c>
      <c r="R2099">
        <v>15009633</v>
      </c>
    </row>
    <row r="2100" spans="1:18" x14ac:dyDescent="0.25">
      <c r="A2100" s="134">
        <v>45097</v>
      </c>
      <c r="B2100" s="110">
        <v>28.1</v>
      </c>
      <c r="C2100" s="110">
        <v>27.89</v>
      </c>
      <c r="D2100" s="110">
        <v>27.57</v>
      </c>
      <c r="E2100" s="110">
        <v>27.87</v>
      </c>
      <c r="F2100" s="110">
        <v>27.89</v>
      </c>
      <c r="G2100">
        <v>811203</v>
      </c>
      <c r="H2100" s="110"/>
      <c r="I2100" s="110"/>
      <c r="L2100" s="134">
        <v>45097</v>
      </c>
      <c r="M2100" s="110">
        <v>27.9</v>
      </c>
      <c r="N2100" s="110">
        <v>28.1</v>
      </c>
      <c r="O2100" s="110">
        <v>27.55</v>
      </c>
      <c r="P2100" s="110">
        <v>27.9</v>
      </c>
      <c r="Q2100" s="110">
        <v>27.9</v>
      </c>
      <c r="R2100">
        <v>14010647</v>
      </c>
    </row>
    <row r="2101" spans="1:18" x14ac:dyDescent="0.25">
      <c r="A2101" s="134">
        <v>45098</v>
      </c>
      <c r="B2101" s="110">
        <v>28.38</v>
      </c>
      <c r="C2101" s="110">
        <v>28.15</v>
      </c>
      <c r="D2101" s="110">
        <v>27.91</v>
      </c>
      <c r="E2101" s="110">
        <v>28</v>
      </c>
      <c r="F2101" s="110">
        <v>28.15</v>
      </c>
      <c r="G2101">
        <v>915900</v>
      </c>
      <c r="H2101" s="110"/>
      <c r="I2101" s="110"/>
      <c r="L2101" s="134">
        <v>45098</v>
      </c>
      <c r="M2101" s="110">
        <v>28.15</v>
      </c>
      <c r="N2101" s="110">
        <v>28.35</v>
      </c>
      <c r="O2101" s="110">
        <v>27.9</v>
      </c>
      <c r="P2101" s="110">
        <v>28.1</v>
      </c>
      <c r="Q2101" s="110">
        <v>28.15</v>
      </c>
      <c r="R2101">
        <v>12978175</v>
      </c>
    </row>
    <row r="2102" spans="1:18" x14ac:dyDescent="0.25">
      <c r="A2102" s="134">
        <v>45099</v>
      </c>
      <c r="B2102" s="110">
        <v>28.27</v>
      </c>
      <c r="C2102" s="110">
        <v>27.74</v>
      </c>
      <c r="D2102" s="110">
        <v>27.49</v>
      </c>
      <c r="E2102" s="110">
        <v>28.15</v>
      </c>
      <c r="F2102" s="110">
        <v>27.74</v>
      </c>
      <c r="G2102">
        <v>954085</v>
      </c>
      <c r="H2102" s="110"/>
      <c r="I2102" s="110"/>
      <c r="L2102" s="134">
        <v>45099</v>
      </c>
      <c r="M2102" s="110">
        <v>27.7</v>
      </c>
      <c r="N2102" s="110">
        <v>28.3</v>
      </c>
      <c r="O2102" s="110">
        <v>27.65</v>
      </c>
      <c r="P2102" s="110">
        <v>28.15</v>
      </c>
      <c r="Q2102" s="110">
        <v>27.7</v>
      </c>
      <c r="R2102">
        <v>8805824</v>
      </c>
    </row>
    <row r="2103" spans="1:18" x14ac:dyDescent="0.25">
      <c r="A2103" s="134">
        <v>45100</v>
      </c>
      <c r="B2103" s="110">
        <v>27.74</v>
      </c>
      <c r="C2103" s="110">
        <v>27.16</v>
      </c>
      <c r="D2103" s="110">
        <v>27.02</v>
      </c>
      <c r="E2103" s="110">
        <v>27.7</v>
      </c>
      <c r="F2103" s="110">
        <v>27.16</v>
      </c>
      <c r="G2103">
        <v>1049524</v>
      </c>
      <c r="H2103" s="110"/>
      <c r="I2103" s="110"/>
      <c r="L2103" s="134">
        <v>45100</v>
      </c>
      <c r="M2103" s="110">
        <v>27.15</v>
      </c>
      <c r="N2103" s="110">
        <v>27.8</v>
      </c>
      <c r="O2103" s="110">
        <v>27</v>
      </c>
      <c r="P2103" s="110">
        <v>27.75</v>
      </c>
      <c r="Q2103" s="110">
        <v>27.15</v>
      </c>
      <c r="R2103">
        <v>12377551</v>
      </c>
    </row>
    <row r="2104" spans="1:18" x14ac:dyDescent="0.25">
      <c r="A2104" s="134">
        <v>45103</v>
      </c>
      <c r="B2104" s="110">
        <v>27.29</v>
      </c>
      <c r="C2104" s="110">
        <v>27.11</v>
      </c>
      <c r="D2104" s="110">
        <v>26.82</v>
      </c>
      <c r="E2104" s="110">
        <v>26.91</v>
      </c>
      <c r="F2104" s="110">
        <v>27.11</v>
      </c>
      <c r="G2104">
        <v>2637862</v>
      </c>
      <c r="H2104" s="110"/>
      <c r="I2104" s="110"/>
      <c r="L2104" s="134">
        <v>45103</v>
      </c>
      <c r="M2104" s="110">
        <v>27.1</v>
      </c>
      <c r="N2104" s="110">
        <v>27.3</v>
      </c>
      <c r="O2104" s="110">
        <v>26.8</v>
      </c>
      <c r="P2104" s="110">
        <v>27</v>
      </c>
      <c r="Q2104" s="110">
        <v>27.1</v>
      </c>
      <c r="R2104">
        <v>10300063</v>
      </c>
    </row>
    <row r="2105" spans="1:18" x14ac:dyDescent="0.25">
      <c r="A2105" s="134">
        <v>45104</v>
      </c>
      <c r="B2105" s="110">
        <v>27.55</v>
      </c>
      <c r="C2105" s="110">
        <v>27.41</v>
      </c>
      <c r="D2105" s="110">
        <v>27.17</v>
      </c>
      <c r="E2105" s="110">
        <v>27.29</v>
      </c>
      <c r="F2105" s="110">
        <v>27.41</v>
      </c>
      <c r="G2105">
        <v>663739</v>
      </c>
      <c r="H2105" s="110"/>
      <c r="I2105" s="110"/>
      <c r="L2105" s="134">
        <v>45104</v>
      </c>
      <c r="M2105" s="110">
        <v>27.45</v>
      </c>
      <c r="N2105" s="110">
        <v>27.55</v>
      </c>
      <c r="O2105" s="110">
        <v>27.2</v>
      </c>
      <c r="P2105" s="110">
        <v>27.25</v>
      </c>
      <c r="Q2105" s="110">
        <v>27.45</v>
      </c>
      <c r="R2105">
        <v>7603284</v>
      </c>
    </row>
    <row r="2106" spans="1:18" x14ac:dyDescent="0.25">
      <c r="A2106" s="134">
        <v>45105</v>
      </c>
      <c r="B2106" s="110">
        <v>28.77</v>
      </c>
      <c r="C2106" s="110">
        <v>28.5</v>
      </c>
      <c r="D2106" s="110">
        <v>27.36</v>
      </c>
      <c r="E2106" s="110">
        <v>27.51</v>
      </c>
      <c r="F2106" s="110">
        <v>28.5</v>
      </c>
      <c r="G2106">
        <v>682787</v>
      </c>
      <c r="H2106" s="110"/>
      <c r="I2106" s="110"/>
      <c r="L2106" s="134">
        <v>45105</v>
      </c>
      <c r="M2106" s="110">
        <v>28.45</v>
      </c>
      <c r="N2106" s="110">
        <v>28.8</v>
      </c>
      <c r="O2106" s="110">
        <v>27.35</v>
      </c>
      <c r="P2106" s="110">
        <v>27.6</v>
      </c>
      <c r="Q2106" s="110">
        <v>28.45</v>
      </c>
      <c r="R2106">
        <v>20062054</v>
      </c>
    </row>
    <row r="2107" spans="1:18" x14ac:dyDescent="0.25">
      <c r="A2107" s="134">
        <v>45107</v>
      </c>
      <c r="B2107" s="110">
        <v>29.1</v>
      </c>
      <c r="C2107" s="110">
        <v>28.9</v>
      </c>
      <c r="D2107" s="110">
        <v>28.2</v>
      </c>
      <c r="E2107" s="110">
        <v>28.65</v>
      </c>
      <c r="F2107" s="110">
        <v>28.9</v>
      </c>
      <c r="G2107">
        <v>2113896</v>
      </c>
      <c r="H2107" s="110"/>
      <c r="I2107" s="110"/>
      <c r="L2107" s="134">
        <v>45107</v>
      </c>
      <c r="M2107" s="110">
        <v>28.9</v>
      </c>
      <c r="N2107" s="110">
        <v>29.1</v>
      </c>
      <c r="O2107" s="110">
        <v>28.2</v>
      </c>
      <c r="P2107" s="110">
        <v>28.55</v>
      </c>
      <c r="Q2107" s="110">
        <v>28.9</v>
      </c>
      <c r="R2107">
        <v>32912257</v>
      </c>
    </row>
    <row r="2108" spans="1:18" x14ac:dyDescent="0.25">
      <c r="A2108" s="134">
        <v>45110</v>
      </c>
      <c r="B2108" s="110">
        <v>30.38</v>
      </c>
      <c r="C2108" s="110">
        <v>29.97</v>
      </c>
      <c r="D2108" s="110">
        <v>29.01</v>
      </c>
      <c r="E2108" s="110">
        <v>29.01</v>
      </c>
      <c r="F2108" s="110">
        <v>29.97</v>
      </c>
      <c r="G2108">
        <v>4546133</v>
      </c>
      <c r="H2108" s="110"/>
      <c r="I2108" s="110"/>
      <c r="L2108" s="134">
        <v>45110</v>
      </c>
      <c r="M2108" s="110">
        <v>29.95</v>
      </c>
      <c r="N2108" s="110">
        <v>30.4</v>
      </c>
      <c r="O2108" s="110">
        <v>29.1</v>
      </c>
      <c r="P2108" s="110">
        <v>29.15</v>
      </c>
      <c r="Q2108" s="110">
        <v>29.95</v>
      </c>
      <c r="R2108">
        <v>62746713</v>
      </c>
    </row>
    <row r="2109" spans="1:18" x14ac:dyDescent="0.25">
      <c r="A2109" s="134">
        <v>45111</v>
      </c>
      <c r="B2109" s="110">
        <v>30.75</v>
      </c>
      <c r="C2109" s="110">
        <v>30.6</v>
      </c>
      <c r="D2109" s="110">
        <v>29.41</v>
      </c>
      <c r="E2109" s="110">
        <v>30.32</v>
      </c>
      <c r="F2109" s="110">
        <v>30.6</v>
      </c>
      <c r="G2109">
        <v>4700318</v>
      </c>
      <c r="H2109" s="110"/>
      <c r="I2109" s="110"/>
      <c r="L2109" s="134">
        <v>45111</v>
      </c>
      <c r="M2109" s="110">
        <v>30.55</v>
      </c>
      <c r="N2109" s="110">
        <v>30.75</v>
      </c>
      <c r="O2109" s="110">
        <v>29.4</v>
      </c>
      <c r="P2109" s="110">
        <v>30.25</v>
      </c>
      <c r="Q2109" s="110">
        <v>30.55</v>
      </c>
      <c r="R2109">
        <v>72968823</v>
      </c>
    </row>
    <row r="2110" spans="1:18" x14ac:dyDescent="0.25">
      <c r="A2110" s="134">
        <v>45112</v>
      </c>
      <c r="B2110" s="110">
        <v>31.45</v>
      </c>
      <c r="C2110" s="110">
        <v>30.9</v>
      </c>
      <c r="D2110" s="110">
        <v>30.11</v>
      </c>
      <c r="E2110" s="110">
        <v>30.89</v>
      </c>
      <c r="F2110" s="110">
        <v>30.9</v>
      </c>
      <c r="G2110">
        <v>5098735</v>
      </c>
      <c r="H2110" s="110"/>
      <c r="I2110" s="110"/>
      <c r="L2110" s="134">
        <v>45112</v>
      </c>
      <c r="M2110" s="110">
        <v>30.9</v>
      </c>
      <c r="N2110" s="110">
        <v>31.45</v>
      </c>
      <c r="O2110" s="110">
        <v>30.15</v>
      </c>
      <c r="P2110" s="110">
        <v>30.7</v>
      </c>
      <c r="Q2110" s="110">
        <v>30.9</v>
      </c>
      <c r="R2110">
        <v>68621373</v>
      </c>
    </row>
    <row r="2111" spans="1:18" x14ac:dyDescent="0.25">
      <c r="A2111" s="134">
        <v>45113</v>
      </c>
      <c r="B2111" s="110">
        <v>32.49</v>
      </c>
      <c r="C2111" s="110">
        <v>32.29</v>
      </c>
      <c r="D2111" s="110">
        <v>30.9</v>
      </c>
      <c r="E2111" s="110">
        <v>31.08</v>
      </c>
      <c r="F2111" s="110">
        <v>32.29</v>
      </c>
      <c r="G2111">
        <v>7022666</v>
      </c>
      <c r="H2111" s="110"/>
      <c r="I2111" s="110"/>
      <c r="L2111" s="134">
        <v>45113</v>
      </c>
      <c r="M2111" s="110">
        <v>32.299999999999997</v>
      </c>
      <c r="N2111" s="110">
        <v>32.5</v>
      </c>
      <c r="O2111" s="110">
        <v>30.9</v>
      </c>
      <c r="P2111" s="110">
        <v>31</v>
      </c>
      <c r="Q2111" s="110">
        <v>32.299999999999997</v>
      </c>
      <c r="R2111">
        <v>83084438</v>
      </c>
    </row>
    <row r="2112" spans="1:18" x14ac:dyDescent="0.25">
      <c r="A2112" s="134">
        <v>45114</v>
      </c>
      <c r="B2112" s="110">
        <v>32.74</v>
      </c>
      <c r="C2112" s="110">
        <v>31.98</v>
      </c>
      <c r="D2112" s="110">
        <v>31.34</v>
      </c>
      <c r="E2112" s="110">
        <v>32</v>
      </c>
      <c r="F2112" s="110">
        <v>31.98</v>
      </c>
      <c r="G2112">
        <v>2443419</v>
      </c>
      <c r="H2112" s="110"/>
      <c r="I2112" s="110"/>
      <c r="L2112" s="134">
        <v>45114</v>
      </c>
      <c r="M2112" s="110">
        <v>32</v>
      </c>
      <c r="N2112" s="110">
        <v>32.75</v>
      </c>
      <c r="O2112" s="110">
        <v>31.35</v>
      </c>
      <c r="P2112" s="110">
        <v>32.049999999999997</v>
      </c>
      <c r="Q2112" s="110">
        <v>32</v>
      </c>
      <c r="R2112">
        <v>58979153</v>
      </c>
    </row>
    <row r="2113" spans="1:18" x14ac:dyDescent="0.25">
      <c r="A2113" s="134">
        <v>45117</v>
      </c>
      <c r="B2113" s="110">
        <v>32.770000000000003</v>
      </c>
      <c r="C2113" s="110">
        <v>31.51</v>
      </c>
      <c r="D2113" s="110">
        <v>31.28</v>
      </c>
      <c r="E2113" s="110">
        <v>32.200000000000003</v>
      </c>
      <c r="F2113" s="110">
        <v>31.51</v>
      </c>
      <c r="G2113">
        <v>1896446</v>
      </c>
      <c r="H2113" s="110"/>
      <c r="I2113" s="110"/>
      <c r="L2113" s="134">
        <v>45117</v>
      </c>
      <c r="M2113" s="110">
        <v>31.55</v>
      </c>
      <c r="N2113" s="110">
        <v>32.799999999999997</v>
      </c>
      <c r="O2113" s="110">
        <v>31.3</v>
      </c>
      <c r="P2113" s="110">
        <v>32.200000000000003</v>
      </c>
      <c r="Q2113" s="110">
        <v>31.55</v>
      </c>
      <c r="R2113">
        <v>49876156</v>
      </c>
    </row>
    <row r="2114" spans="1:18" x14ac:dyDescent="0.25">
      <c r="A2114" s="134">
        <v>45118</v>
      </c>
      <c r="B2114" s="110">
        <v>31.99</v>
      </c>
      <c r="C2114" s="110">
        <v>31.69</v>
      </c>
      <c r="D2114" s="110">
        <v>31.1</v>
      </c>
      <c r="E2114" s="110">
        <v>31.77</v>
      </c>
      <c r="F2114" s="110">
        <v>31.69</v>
      </c>
      <c r="G2114">
        <v>1244383</v>
      </c>
      <c r="H2114" s="110"/>
      <c r="I2114" s="110"/>
      <c r="L2114" s="134">
        <v>45118</v>
      </c>
      <c r="M2114" s="110">
        <v>31.7</v>
      </c>
      <c r="N2114" s="110">
        <v>32</v>
      </c>
      <c r="O2114" s="110">
        <v>31.1</v>
      </c>
      <c r="P2114" s="110">
        <v>31.7</v>
      </c>
      <c r="Q2114" s="110">
        <v>31.7</v>
      </c>
      <c r="R2114">
        <v>26714838</v>
      </c>
    </row>
    <row r="2115" spans="1:18" x14ac:dyDescent="0.25">
      <c r="A2115" s="134">
        <v>45119</v>
      </c>
      <c r="B2115" s="110">
        <v>32.590000000000003</v>
      </c>
      <c r="C2115" s="110">
        <v>31.99</v>
      </c>
      <c r="D2115" s="110">
        <v>31.76</v>
      </c>
      <c r="E2115" s="110">
        <v>31.98</v>
      </c>
      <c r="F2115" s="110">
        <v>31.99</v>
      </c>
      <c r="G2115">
        <v>1550623</v>
      </c>
      <c r="H2115" s="110"/>
      <c r="I2115" s="110"/>
      <c r="L2115" s="134">
        <v>45119</v>
      </c>
      <c r="M2115" s="110">
        <v>32</v>
      </c>
      <c r="N2115" s="110">
        <v>32.6</v>
      </c>
      <c r="O2115" s="110">
        <v>31.75</v>
      </c>
      <c r="P2115" s="110">
        <v>31.8</v>
      </c>
      <c r="Q2115" s="110">
        <v>32</v>
      </c>
      <c r="R2115">
        <v>49344836</v>
      </c>
    </row>
    <row r="2116" spans="1:18" x14ac:dyDescent="0.25">
      <c r="A2116" s="134">
        <v>45120</v>
      </c>
      <c r="B2116" s="110">
        <v>32.6</v>
      </c>
      <c r="C2116" s="110">
        <v>30.45</v>
      </c>
      <c r="D2116" s="110">
        <v>30.16</v>
      </c>
      <c r="E2116" s="110">
        <v>32.200000000000003</v>
      </c>
      <c r="F2116" s="110">
        <v>30.45</v>
      </c>
      <c r="G2116">
        <v>2202111</v>
      </c>
      <c r="H2116" s="110"/>
      <c r="I2116" s="110"/>
      <c r="L2116" s="134">
        <v>45120</v>
      </c>
      <c r="M2116" s="110">
        <v>30.45</v>
      </c>
      <c r="N2116" s="110">
        <v>32.65</v>
      </c>
      <c r="O2116" s="110">
        <v>30.15</v>
      </c>
      <c r="P2116" s="110">
        <v>32.25</v>
      </c>
      <c r="Q2116" s="110">
        <v>30.45</v>
      </c>
      <c r="R2116">
        <v>51650670</v>
      </c>
    </row>
    <row r="2117" spans="1:18" x14ac:dyDescent="0.25">
      <c r="A2117" s="134">
        <v>45121</v>
      </c>
      <c r="B2117" s="110">
        <v>31.27</v>
      </c>
      <c r="C2117" s="110">
        <v>31.15</v>
      </c>
      <c r="D2117" s="110">
        <v>29.86</v>
      </c>
      <c r="E2117" s="110">
        <v>30.56</v>
      </c>
      <c r="F2117" s="110">
        <v>31.15</v>
      </c>
      <c r="G2117">
        <v>2322894</v>
      </c>
      <c r="H2117" s="110"/>
      <c r="I2117" s="110"/>
      <c r="L2117" s="134">
        <v>45121</v>
      </c>
      <c r="M2117" s="110">
        <v>31.15</v>
      </c>
      <c r="N2117" s="110">
        <v>31.3</v>
      </c>
      <c r="O2117" s="110">
        <v>29.85</v>
      </c>
      <c r="P2117" s="110">
        <v>30.65</v>
      </c>
      <c r="Q2117" s="110">
        <v>31.15</v>
      </c>
      <c r="R2117">
        <v>36230518</v>
      </c>
    </row>
    <row r="2118" spans="1:18" x14ac:dyDescent="0.25">
      <c r="A2118" s="134">
        <v>45124</v>
      </c>
      <c r="B2118" s="110">
        <v>32.18</v>
      </c>
      <c r="C2118" s="110">
        <v>31.97</v>
      </c>
      <c r="D2118" s="110">
        <v>30.71</v>
      </c>
      <c r="E2118" s="110">
        <v>31.2</v>
      </c>
      <c r="F2118" s="110">
        <v>31.97</v>
      </c>
      <c r="G2118">
        <v>2468155</v>
      </c>
      <c r="H2118" s="110"/>
      <c r="I2118" s="110"/>
      <c r="L2118" s="134">
        <v>45124</v>
      </c>
      <c r="M2118" s="110">
        <v>32</v>
      </c>
      <c r="N2118" s="110">
        <v>32.200000000000003</v>
      </c>
      <c r="O2118" s="110">
        <v>30.75</v>
      </c>
      <c r="P2118" s="110">
        <v>31.15</v>
      </c>
      <c r="Q2118" s="110">
        <v>32</v>
      </c>
      <c r="R2118">
        <v>37599630</v>
      </c>
    </row>
    <row r="2119" spans="1:18" x14ac:dyDescent="0.25">
      <c r="A2119" s="134">
        <v>45125</v>
      </c>
      <c r="B2119" s="110">
        <v>32.29</v>
      </c>
      <c r="C2119" s="110">
        <v>31.5</v>
      </c>
      <c r="D2119" s="110">
        <v>31.06</v>
      </c>
      <c r="E2119" s="110">
        <v>32.25</v>
      </c>
      <c r="F2119" s="110">
        <v>31.5</v>
      </c>
      <c r="G2119">
        <v>1483826</v>
      </c>
      <c r="H2119" s="110"/>
      <c r="I2119" s="110"/>
      <c r="L2119" s="134">
        <v>45125</v>
      </c>
      <c r="M2119" s="110">
        <v>31.5</v>
      </c>
      <c r="N2119" s="110">
        <v>32.299999999999997</v>
      </c>
      <c r="O2119" s="110">
        <v>31.05</v>
      </c>
      <c r="P2119" s="110">
        <v>32.25</v>
      </c>
      <c r="Q2119" s="110">
        <v>31.5</v>
      </c>
      <c r="R2119">
        <v>30600654</v>
      </c>
    </row>
    <row r="2120" spans="1:18" x14ac:dyDescent="0.25">
      <c r="A2120" s="134">
        <v>45126</v>
      </c>
      <c r="B2120" s="110">
        <v>33.5</v>
      </c>
      <c r="C2120" s="110">
        <v>33.28</v>
      </c>
      <c r="D2120" s="110">
        <v>31.86</v>
      </c>
      <c r="E2120" s="110">
        <v>31.95</v>
      </c>
      <c r="F2120" s="110">
        <v>33.28</v>
      </c>
      <c r="G2120">
        <v>14207906</v>
      </c>
      <c r="H2120" s="110"/>
      <c r="I2120" s="110"/>
      <c r="L2120" s="134">
        <v>45126</v>
      </c>
      <c r="M2120" s="110">
        <v>33.299999999999997</v>
      </c>
      <c r="N2120" s="110">
        <v>33.5</v>
      </c>
      <c r="O2120" s="110">
        <v>31.85</v>
      </c>
      <c r="P2120" s="110">
        <v>31.9</v>
      </c>
      <c r="Q2120" s="110">
        <v>33.299999999999997</v>
      </c>
      <c r="R2120">
        <v>164717041</v>
      </c>
    </row>
    <row r="2121" spans="1:18" x14ac:dyDescent="0.25">
      <c r="A2121" s="134">
        <v>45127</v>
      </c>
      <c r="B2121" s="110">
        <v>33.9</v>
      </c>
      <c r="C2121" s="110">
        <v>32.729999999999997</v>
      </c>
      <c r="D2121" s="110">
        <v>32.58</v>
      </c>
      <c r="E2121" s="110">
        <v>33.4</v>
      </c>
      <c r="F2121" s="110">
        <v>32.729999999999997</v>
      </c>
      <c r="G2121">
        <v>5506246</v>
      </c>
      <c r="H2121" s="110"/>
      <c r="I2121" s="110"/>
      <c r="L2121" s="134">
        <v>45127</v>
      </c>
      <c r="M2121" s="110">
        <v>32.75</v>
      </c>
      <c r="N2121" s="110">
        <v>33.9</v>
      </c>
      <c r="O2121" s="110">
        <v>32.549999999999997</v>
      </c>
      <c r="P2121" s="110">
        <v>33.4</v>
      </c>
      <c r="Q2121" s="110">
        <v>32.75</v>
      </c>
      <c r="R2121">
        <v>71206812</v>
      </c>
    </row>
    <row r="2122" spans="1:18" x14ac:dyDescent="0.25">
      <c r="A2122" s="134">
        <v>45128</v>
      </c>
      <c r="B2122" s="110">
        <v>34.450000000000003</v>
      </c>
      <c r="C2122" s="110">
        <v>34.28</v>
      </c>
      <c r="D2122" s="110">
        <v>32.61</v>
      </c>
      <c r="E2122" s="110">
        <v>32.75</v>
      </c>
      <c r="F2122" s="110">
        <v>34.28</v>
      </c>
      <c r="G2122">
        <v>5263244</v>
      </c>
      <c r="H2122" s="110"/>
      <c r="I2122" s="110"/>
      <c r="L2122" s="134">
        <v>45128</v>
      </c>
      <c r="M2122" s="110">
        <v>34.25</v>
      </c>
      <c r="N2122" s="110">
        <v>34.450000000000003</v>
      </c>
      <c r="O2122" s="110">
        <v>32.6</v>
      </c>
      <c r="P2122" s="110">
        <v>32.75</v>
      </c>
      <c r="Q2122" s="110">
        <v>34.25</v>
      </c>
      <c r="R2122">
        <v>83960146</v>
      </c>
    </row>
    <row r="2123" spans="1:18" x14ac:dyDescent="0.25">
      <c r="A2123" s="134">
        <v>45131</v>
      </c>
      <c r="B2123" s="110">
        <v>34.89</v>
      </c>
      <c r="C2123" s="110">
        <v>33.65</v>
      </c>
      <c r="D2123" s="110">
        <v>33.450000000000003</v>
      </c>
      <c r="E2123" s="110">
        <v>34.36</v>
      </c>
      <c r="F2123" s="110">
        <v>33.65</v>
      </c>
      <c r="G2123">
        <v>4086529</v>
      </c>
      <c r="H2123" s="110"/>
      <c r="I2123" s="110"/>
      <c r="L2123" s="134">
        <v>45131</v>
      </c>
      <c r="M2123" s="110">
        <v>33.700000000000003</v>
      </c>
      <c r="N2123" s="110">
        <v>34.9</v>
      </c>
      <c r="O2123" s="110">
        <v>33.5</v>
      </c>
      <c r="P2123" s="110">
        <v>34.5</v>
      </c>
      <c r="Q2123" s="110">
        <v>33.700000000000003</v>
      </c>
      <c r="R2123">
        <v>46419834</v>
      </c>
    </row>
    <row r="2124" spans="1:18" x14ac:dyDescent="0.25">
      <c r="A2124" s="134">
        <v>45132</v>
      </c>
      <c r="B2124" s="110">
        <v>34.03</v>
      </c>
      <c r="C2124" s="110">
        <v>33.43</v>
      </c>
      <c r="D2124" s="110">
        <v>33.299999999999997</v>
      </c>
      <c r="E2124" s="110">
        <v>34</v>
      </c>
      <c r="F2124" s="110">
        <v>33.43</v>
      </c>
      <c r="G2124">
        <v>2071142</v>
      </c>
      <c r="H2124" s="110"/>
      <c r="I2124" s="110"/>
      <c r="L2124" s="134">
        <v>45132</v>
      </c>
      <c r="M2124" s="110">
        <v>33.450000000000003</v>
      </c>
      <c r="N2124" s="110">
        <v>34.049999999999997</v>
      </c>
      <c r="O2124" s="110">
        <v>33.299999999999997</v>
      </c>
      <c r="P2124" s="110">
        <v>33.950000000000003</v>
      </c>
      <c r="Q2124" s="110">
        <v>33.450000000000003</v>
      </c>
      <c r="R2124">
        <v>18825097</v>
      </c>
    </row>
    <row r="2125" spans="1:18" x14ac:dyDescent="0.25">
      <c r="A2125" s="134">
        <v>45133</v>
      </c>
      <c r="B2125" s="110">
        <v>34.4</v>
      </c>
      <c r="C2125" s="110">
        <v>34.01</v>
      </c>
      <c r="D2125" s="110">
        <v>33.270000000000003</v>
      </c>
      <c r="E2125" s="110">
        <v>33.64</v>
      </c>
      <c r="F2125" s="110">
        <v>34.01</v>
      </c>
      <c r="G2125">
        <v>2380419</v>
      </c>
      <c r="H2125" s="110"/>
      <c r="I2125" s="110"/>
      <c r="L2125" s="134">
        <v>45133</v>
      </c>
      <c r="M2125" s="110">
        <v>34</v>
      </c>
      <c r="N2125" s="110">
        <v>34.4</v>
      </c>
      <c r="O2125" s="110">
        <v>33.25</v>
      </c>
      <c r="P2125" s="110">
        <v>33.65</v>
      </c>
      <c r="Q2125" s="110">
        <v>34</v>
      </c>
      <c r="R2125">
        <v>39320006</v>
      </c>
    </row>
    <row r="2126" spans="1:18" x14ac:dyDescent="0.25">
      <c r="A2126" s="134">
        <v>45134</v>
      </c>
      <c r="B2126" s="110">
        <v>34.450000000000003</v>
      </c>
      <c r="C2126" s="110">
        <v>34.04</v>
      </c>
      <c r="D2126" s="110">
        <v>33.75</v>
      </c>
      <c r="E2126" s="110">
        <v>34.11</v>
      </c>
      <c r="F2126" s="110">
        <v>34.04</v>
      </c>
      <c r="G2126">
        <v>2260379</v>
      </c>
      <c r="H2126" s="110"/>
      <c r="I2126" s="110"/>
      <c r="L2126" s="134">
        <v>45134</v>
      </c>
      <c r="M2126" s="110">
        <v>34.1</v>
      </c>
      <c r="N2126" s="110">
        <v>34.450000000000003</v>
      </c>
      <c r="O2126" s="110">
        <v>33.75</v>
      </c>
      <c r="P2126" s="110">
        <v>34.25</v>
      </c>
      <c r="Q2126" s="110">
        <v>34.1</v>
      </c>
      <c r="R2126">
        <v>18303864</v>
      </c>
    </row>
    <row r="2127" spans="1:18" x14ac:dyDescent="0.25">
      <c r="A2127" s="134">
        <v>45135</v>
      </c>
      <c r="B2127" s="110">
        <v>34.340000000000003</v>
      </c>
      <c r="C2127" s="110">
        <v>33.82</v>
      </c>
      <c r="D2127" s="110">
        <v>33.549999999999997</v>
      </c>
      <c r="E2127" s="110">
        <v>34.340000000000003</v>
      </c>
      <c r="F2127" s="110">
        <v>33.82</v>
      </c>
      <c r="G2127">
        <v>1349013</v>
      </c>
      <c r="H2127" s="110"/>
      <c r="I2127" s="110"/>
      <c r="L2127" s="134">
        <v>45135</v>
      </c>
      <c r="M2127" s="110">
        <v>33.799999999999997</v>
      </c>
      <c r="N2127" s="110">
        <v>34.25</v>
      </c>
      <c r="O2127" s="110">
        <v>33.549999999999997</v>
      </c>
      <c r="P2127" s="110">
        <v>34.200000000000003</v>
      </c>
      <c r="Q2127" s="110">
        <v>33.799999999999997</v>
      </c>
      <c r="R2127">
        <v>17209632</v>
      </c>
    </row>
    <row r="2128" spans="1:18" x14ac:dyDescent="0.25">
      <c r="A2128" s="134">
        <v>45138</v>
      </c>
      <c r="B2128" s="110">
        <v>34</v>
      </c>
      <c r="C2128" s="110">
        <v>33.65</v>
      </c>
      <c r="D2128" s="110">
        <v>33.57</v>
      </c>
      <c r="E2128" s="110">
        <v>33.9</v>
      </c>
      <c r="F2128" s="110">
        <v>33.65</v>
      </c>
      <c r="G2128">
        <v>1558426</v>
      </c>
      <c r="H2128" s="110"/>
      <c r="I2128" s="110"/>
      <c r="L2128" s="134">
        <v>45138</v>
      </c>
      <c r="M2128" s="110">
        <v>33.65</v>
      </c>
      <c r="N2128" s="110">
        <v>34.049999999999997</v>
      </c>
      <c r="O2128" s="110">
        <v>33.5</v>
      </c>
      <c r="P2128" s="110">
        <v>33.950000000000003</v>
      </c>
      <c r="Q2128" s="110">
        <v>33.65</v>
      </c>
      <c r="R2128">
        <v>13511625</v>
      </c>
    </row>
    <row r="2129" spans="1:18" x14ac:dyDescent="0.25">
      <c r="A2129" s="134">
        <v>45139</v>
      </c>
      <c r="B2129" s="110">
        <v>34.85</v>
      </c>
      <c r="C2129" s="110">
        <v>34.03</v>
      </c>
      <c r="D2129" s="110">
        <v>33.6</v>
      </c>
      <c r="E2129" s="110">
        <v>33.67</v>
      </c>
      <c r="F2129" s="110">
        <v>34.03</v>
      </c>
      <c r="G2129">
        <v>5410998</v>
      </c>
      <c r="H2129" s="110"/>
      <c r="I2129" s="110"/>
      <c r="L2129" s="134">
        <v>45139</v>
      </c>
      <c r="M2129" s="110">
        <v>34</v>
      </c>
      <c r="N2129" s="110">
        <v>34.85</v>
      </c>
      <c r="O2129" s="110">
        <v>33.6</v>
      </c>
      <c r="P2129" s="110">
        <v>33.75</v>
      </c>
      <c r="Q2129" s="110">
        <v>34</v>
      </c>
      <c r="R2129">
        <v>37889596</v>
      </c>
    </row>
    <row r="2130" spans="1:18" x14ac:dyDescent="0.25">
      <c r="A2130" s="134">
        <v>45140</v>
      </c>
      <c r="B2130" s="110">
        <v>35.25</v>
      </c>
      <c r="C2130" s="110">
        <v>33.35</v>
      </c>
      <c r="D2130" s="110">
        <v>32.700000000000003</v>
      </c>
      <c r="E2130" s="110">
        <v>34</v>
      </c>
      <c r="F2130" s="110">
        <v>33.35</v>
      </c>
      <c r="G2130">
        <v>5954367</v>
      </c>
      <c r="H2130" s="110"/>
      <c r="I2130" s="110"/>
      <c r="L2130" s="134">
        <v>45140</v>
      </c>
      <c r="M2130" s="110">
        <v>33.35</v>
      </c>
      <c r="N2130" s="110">
        <v>35.25</v>
      </c>
      <c r="O2130" s="110">
        <v>32.700000000000003</v>
      </c>
      <c r="P2130" s="110">
        <v>34</v>
      </c>
      <c r="Q2130" s="110">
        <v>33.35</v>
      </c>
      <c r="R2130">
        <v>56244806</v>
      </c>
    </row>
    <row r="2131" spans="1:18" x14ac:dyDescent="0.25">
      <c r="A2131" s="134">
        <v>45141</v>
      </c>
      <c r="B2131" s="110">
        <v>34.35</v>
      </c>
      <c r="C2131" s="110">
        <v>33.840000000000003</v>
      </c>
      <c r="D2131" s="110">
        <v>33.25</v>
      </c>
      <c r="E2131" s="110">
        <v>33.450000000000003</v>
      </c>
      <c r="F2131" s="110">
        <v>33.840000000000003</v>
      </c>
      <c r="G2131">
        <v>3243246</v>
      </c>
      <c r="H2131" s="110"/>
      <c r="I2131" s="110"/>
      <c r="L2131" s="134">
        <v>45141</v>
      </c>
      <c r="M2131" s="110">
        <v>33.85</v>
      </c>
      <c r="N2131" s="110">
        <v>34.35</v>
      </c>
      <c r="O2131" s="110">
        <v>33.25</v>
      </c>
      <c r="P2131" s="110">
        <v>33.5</v>
      </c>
      <c r="Q2131" s="110">
        <v>33.85</v>
      </c>
      <c r="R2131">
        <v>32088778</v>
      </c>
    </row>
    <row r="2132" spans="1:18" x14ac:dyDescent="0.25">
      <c r="A2132" s="134">
        <v>45142</v>
      </c>
      <c r="B2132" s="110">
        <v>34.5</v>
      </c>
      <c r="C2132" s="110">
        <v>33.869999999999997</v>
      </c>
      <c r="D2132" s="110">
        <v>33.76</v>
      </c>
      <c r="E2132" s="110">
        <v>34.1</v>
      </c>
      <c r="F2132" s="110">
        <v>33.869999999999997</v>
      </c>
      <c r="G2132">
        <v>1213864</v>
      </c>
      <c r="H2132" s="110"/>
      <c r="I2132" s="110"/>
      <c r="L2132" s="134">
        <v>45142</v>
      </c>
      <c r="M2132" s="110">
        <v>33.85</v>
      </c>
      <c r="N2132" s="110">
        <v>34.5</v>
      </c>
      <c r="O2132" s="110">
        <v>33.700000000000003</v>
      </c>
      <c r="P2132" s="110">
        <v>34.1</v>
      </c>
      <c r="Q2132" s="110">
        <v>33.85</v>
      </c>
      <c r="R2132">
        <v>19793627</v>
      </c>
    </row>
    <row r="2133" spans="1:18" x14ac:dyDescent="0.25">
      <c r="A2133" s="134">
        <v>45145</v>
      </c>
      <c r="B2133" s="110">
        <v>34.450000000000003</v>
      </c>
      <c r="C2133" s="110">
        <v>33.83</v>
      </c>
      <c r="D2133" s="110">
        <v>33.659999999999997</v>
      </c>
      <c r="E2133" s="110">
        <v>34.03</v>
      </c>
      <c r="F2133" s="110">
        <v>33.83</v>
      </c>
      <c r="G2133">
        <v>1499675</v>
      </c>
      <c r="H2133" s="110"/>
      <c r="I2133" s="110"/>
      <c r="L2133" s="134">
        <v>45145</v>
      </c>
      <c r="M2133" s="110">
        <v>33.85</v>
      </c>
      <c r="N2133" s="110">
        <v>34.450000000000003</v>
      </c>
      <c r="O2133" s="110">
        <v>33.700000000000003</v>
      </c>
      <c r="P2133" s="110">
        <v>34.15</v>
      </c>
      <c r="Q2133" s="110">
        <v>33.85</v>
      </c>
      <c r="R2133">
        <v>14918389</v>
      </c>
    </row>
    <row r="2134" spans="1:18" x14ac:dyDescent="0.25">
      <c r="A2134" s="134">
        <v>45146</v>
      </c>
      <c r="B2134" s="110">
        <v>36.6</v>
      </c>
      <c r="C2134" s="110">
        <v>36.28</v>
      </c>
      <c r="D2134" s="110">
        <v>33.74</v>
      </c>
      <c r="E2134" s="110">
        <v>34</v>
      </c>
      <c r="F2134" s="110">
        <v>36.28</v>
      </c>
      <c r="G2134">
        <v>6104135</v>
      </c>
      <c r="H2134" s="110"/>
      <c r="I2134" s="110"/>
      <c r="L2134" s="134">
        <v>45146</v>
      </c>
      <c r="M2134" s="110">
        <v>36.25</v>
      </c>
      <c r="N2134" s="110">
        <v>36.5</v>
      </c>
      <c r="O2134" s="110">
        <v>33.700000000000003</v>
      </c>
      <c r="P2134" s="110">
        <v>34</v>
      </c>
      <c r="Q2134" s="110">
        <v>36.25</v>
      </c>
      <c r="R2134">
        <v>119661538</v>
      </c>
    </row>
    <row r="2135" spans="1:18" x14ac:dyDescent="0.25">
      <c r="A2135" s="134">
        <v>45147</v>
      </c>
      <c r="B2135" s="110">
        <v>37.65</v>
      </c>
      <c r="C2135" s="110">
        <v>37.270000000000003</v>
      </c>
      <c r="D2135" s="110">
        <v>36.270000000000003</v>
      </c>
      <c r="E2135" s="110">
        <v>36.42</v>
      </c>
      <c r="F2135" s="110">
        <v>37.270000000000003</v>
      </c>
      <c r="G2135">
        <v>8418166</v>
      </c>
      <c r="H2135" s="110"/>
      <c r="I2135" s="110"/>
      <c r="L2135" s="134">
        <v>45147</v>
      </c>
      <c r="M2135" s="110">
        <v>37.299999999999997</v>
      </c>
      <c r="N2135" s="110">
        <v>37.65</v>
      </c>
      <c r="O2135" s="110">
        <v>36.25</v>
      </c>
      <c r="P2135" s="110">
        <v>36.4</v>
      </c>
      <c r="Q2135" s="110">
        <v>37.299999999999997</v>
      </c>
      <c r="R2135">
        <v>91076608</v>
      </c>
    </row>
    <row r="2136" spans="1:18" x14ac:dyDescent="0.25">
      <c r="A2136" s="134">
        <v>45148</v>
      </c>
      <c r="B2136" s="110">
        <v>37.47</v>
      </c>
      <c r="C2136" s="110">
        <v>36.619999999999997</v>
      </c>
      <c r="D2136" s="110">
        <v>36.130000000000003</v>
      </c>
      <c r="E2136" s="110">
        <v>37.47</v>
      </c>
      <c r="F2136" s="110">
        <v>36.619999999999997</v>
      </c>
      <c r="G2136">
        <v>2724507</v>
      </c>
      <c r="H2136" s="110"/>
      <c r="I2136" s="110"/>
      <c r="L2136" s="134">
        <v>45148</v>
      </c>
      <c r="M2136" s="110">
        <v>36.6</v>
      </c>
      <c r="N2136" s="110">
        <v>37.4</v>
      </c>
      <c r="O2136" s="110">
        <v>36.1</v>
      </c>
      <c r="P2136" s="110">
        <v>37.4</v>
      </c>
      <c r="Q2136" s="110">
        <v>36.6</v>
      </c>
      <c r="R2136">
        <v>40557963</v>
      </c>
    </row>
    <row r="2137" spans="1:18" x14ac:dyDescent="0.25">
      <c r="A2137" s="134">
        <v>45149</v>
      </c>
      <c r="B2137" s="110">
        <v>38.799999999999997</v>
      </c>
      <c r="C2137" s="110">
        <v>37.659999999999997</v>
      </c>
      <c r="D2137" s="110">
        <v>36.76</v>
      </c>
      <c r="E2137" s="110">
        <v>36.840000000000003</v>
      </c>
      <c r="F2137" s="110">
        <v>37.659999999999997</v>
      </c>
      <c r="G2137">
        <v>6617867</v>
      </c>
      <c r="H2137" s="110"/>
      <c r="I2137" s="110"/>
      <c r="L2137" s="134">
        <v>45149</v>
      </c>
      <c r="M2137" s="110">
        <v>37.65</v>
      </c>
      <c r="N2137" s="110">
        <v>38.799999999999997</v>
      </c>
      <c r="O2137" s="110">
        <v>36.799999999999997</v>
      </c>
      <c r="P2137" s="110">
        <v>36.799999999999997</v>
      </c>
      <c r="Q2137" s="110">
        <v>37.65</v>
      </c>
      <c r="R2137">
        <v>85464693</v>
      </c>
    </row>
    <row r="2138" spans="1:18" x14ac:dyDescent="0.25">
      <c r="A2138" s="134">
        <v>45152</v>
      </c>
      <c r="B2138" s="110">
        <v>39.200000000000003</v>
      </c>
      <c r="C2138" s="110">
        <v>38.86</v>
      </c>
      <c r="D2138" s="110">
        <v>36.200000000000003</v>
      </c>
      <c r="E2138" s="110">
        <v>37.67</v>
      </c>
      <c r="F2138" s="110">
        <v>38.86</v>
      </c>
      <c r="G2138">
        <v>7942026</v>
      </c>
      <c r="H2138" s="110"/>
      <c r="I2138" s="110"/>
      <c r="L2138" s="134">
        <v>45152</v>
      </c>
      <c r="M2138" s="110">
        <v>38.85</v>
      </c>
      <c r="N2138" s="110">
        <v>39.200000000000003</v>
      </c>
      <c r="O2138" s="110">
        <v>36.200000000000003</v>
      </c>
      <c r="P2138" s="110">
        <v>37.85</v>
      </c>
      <c r="Q2138" s="110">
        <v>38.85</v>
      </c>
      <c r="R2138">
        <v>90335069</v>
      </c>
    </row>
    <row r="2139" spans="1:18" x14ac:dyDescent="0.25">
      <c r="A2139" s="134">
        <v>45154</v>
      </c>
      <c r="B2139" s="110">
        <v>39.369999999999997</v>
      </c>
      <c r="C2139" s="110">
        <v>38.36</v>
      </c>
      <c r="D2139" s="110">
        <v>38</v>
      </c>
      <c r="E2139" s="110">
        <v>38.74</v>
      </c>
      <c r="F2139" s="110">
        <v>38.36</v>
      </c>
      <c r="G2139">
        <v>4886600</v>
      </c>
      <c r="H2139" s="110"/>
      <c r="I2139" s="110"/>
      <c r="L2139" s="134">
        <v>45154</v>
      </c>
      <c r="M2139" s="110">
        <v>38.4</v>
      </c>
      <c r="N2139" s="110">
        <v>39.35</v>
      </c>
      <c r="O2139" s="110">
        <v>38.049999999999997</v>
      </c>
      <c r="P2139" s="110">
        <v>38.65</v>
      </c>
      <c r="Q2139" s="110">
        <v>38.4</v>
      </c>
      <c r="R2139">
        <v>50560206</v>
      </c>
    </row>
    <row r="2140" spans="1:18" x14ac:dyDescent="0.25">
      <c r="A2140" s="134">
        <v>45155</v>
      </c>
      <c r="B2140" s="110">
        <v>39.200000000000003</v>
      </c>
      <c r="C2140" s="110">
        <v>38.68</v>
      </c>
      <c r="D2140" s="110">
        <v>38.08</v>
      </c>
      <c r="E2140" s="110">
        <v>38.409999999999997</v>
      </c>
      <c r="F2140" s="110">
        <v>38.68</v>
      </c>
      <c r="G2140">
        <v>1926552</v>
      </c>
      <c r="H2140" s="110"/>
      <c r="I2140" s="110"/>
      <c r="L2140" s="134">
        <v>45155</v>
      </c>
      <c r="M2140" s="110">
        <v>38.65</v>
      </c>
      <c r="N2140" s="110">
        <v>39.200000000000003</v>
      </c>
      <c r="O2140" s="110">
        <v>38.049999999999997</v>
      </c>
      <c r="P2140" s="110">
        <v>38.450000000000003</v>
      </c>
      <c r="Q2140" s="110">
        <v>38.65</v>
      </c>
      <c r="R2140">
        <v>41982876</v>
      </c>
    </row>
    <row r="2141" spans="1:18" x14ac:dyDescent="0.25">
      <c r="A2141" s="134">
        <v>45156</v>
      </c>
      <c r="B2141" s="110">
        <v>39.549999999999997</v>
      </c>
      <c r="C2141" s="110">
        <v>38.450000000000003</v>
      </c>
      <c r="D2141" s="110">
        <v>38.1</v>
      </c>
      <c r="E2141" s="110">
        <v>38.549999999999997</v>
      </c>
      <c r="F2141" s="110">
        <v>38.450000000000003</v>
      </c>
      <c r="G2141">
        <v>3885201</v>
      </c>
      <c r="H2141" s="110"/>
      <c r="I2141" s="110"/>
      <c r="L2141" s="134">
        <v>45156</v>
      </c>
      <c r="M2141" s="110">
        <v>38.450000000000003</v>
      </c>
      <c r="N2141" s="110">
        <v>39.549999999999997</v>
      </c>
      <c r="O2141" s="110">
        <v>38.1</v>
      </c>
      <c r="P2141" s="110">
        <v>38.450000000000003</v>
      </c>
      <c r="Q2141" s="110">
        <v>38.450000000000003</v>
      </c>
      <c r="R2141">
        <v>46194520</v>
      </c>
    </row>
    <row r="2142" spans="1:18" x14ac:dyDescent="0.25">
      <c r="A2142" s="134">
        <v>45159</v>
      </c>
      <c r="B2142" s="110">
        <v>39.04</v>
      </c>
      <c r="C2142" s="110">
        <v>38.21</v>
      </c>
      <c r="D2142" s="110">
        <v>38.1</v>
      </c>
      <c r="E2142" s="110">
        <v>38.54</v>
      </c>
      <c r="F2142" s="110">
        <v>38.21</v>
      </c>
      <c r="G2142">
        <v>2305250</v>
      </c>
      <c r="H2142" s="110"/>
      <c r="I2142" s="110"/>
      <c r="L2142" s="134">
        <v>45159</v>
      </c>
      <c r="M2142" s="110">
        <v>38.25</v>
      </c>
      <c r="N2142" s="110">
        <v>39.049999999999997</v>
      </c>
      <c r="O2142" s="110">
        <v>38.1</v>
      </c>
      <c r="P2142" s="110">
        <v>38.65</v>
      </c>
      <c r="Q2142" s="110">
        <v>38.25</v>
      </c>
      <c r="R2142">
        <v>25559962</v>
      </c>
    </row>
    <row r="2143" spans="1:18" x14ac:dyDescent="0.25">
      <c r="A2143" s="134">
        <v>45160</v>
      </c>
      <c r="B2143" s="110">
        <v>38.799999999999997</v>
      </c>
      <c r="C2143" s="110">
        <v>38.17</v>
      </c>
      <c r="D2143" s="110">
        <v>38.01</v>
      </c>
      <c r="E2143" s="110">
        <v>38.340000000000003</v>
      </c>
      <c r="F2143" s="110">
        <v>38.17</v>
      </c>
      <c r="G2143">
        <v>1229869</v>
      </c>
      <c r="H2143" s="110"/>
      <c r="I2143" s="110"/>
      <c r="L2143" s="134">
        <v>45160</v>
      </c>
      <c r="M2143" s="110">
        <v>38.15</v>
      </c>
      <c r="N2143" s="110">
        <v>38.799999999999997</v>
      </c>
      <c r="O2143" s="110">
        <v>38</v>
      </c>
      <c r="P2143" s="110">
        <v>38.299999999999997</v>
      </c>
      <c r="Q2143" s="110">
        <v>38.15</v>
      </c>
      <c r="R2143">
        <v>18443963</v>
      </c>
    </row>
    <row r="2144" spans="1:18" x14ac:dyDescent="0.25">
      <c r="A2144" s="134">
        <v>45161</v>
      </c>
      <c r="B2144" s="110">
        <v>40.1</v>
      </c>
      <c r="C2144" s="110">
        <v>39.65</v>
      </c>
      <c r="D2144" s="110">
        <v>38.22</v>
      </c>
      <c r="E2144" s="110">
        <v>38.35</v>
      </c>
      <c r="F2144" s="110">
        <v>39.65</v>
      </c>
      <c r="G2144">
        <v>6346221</v>
      </c>
      <c r="H2144" s="110"/>
      <c r="I2144" s="110"/>
      <c r="L2144" s="134">
        <v>45161</v>
      </c>
      <c r="M2144" s="110">
        <v>39.65</v>
      </c>
      <c r="N2144" s="110">
        <v>40.1</v>
      </c>
      <c r="O2144" s="110">
        <v>38.200000000000003</v>
      </c>
      <c r="P2144" s="110">
        <v>38.299999999999997</v>
      </c>
      <c r="Q2144" s="110">
        <v>39.65</v>
      </c>
      <c r="R2144">
        <v>70852716</v>
      </c>
    </row>
    <row r="2145" spans="1:18" x14ac:dyDescent="0.25">
      <c r="A2145" s="134">
        <v>45162</v>
      </c>
      <c r="B2145" s="110">
        <v>40.4</v>
      </c>
      <c r="C2145" s="110">
        <v>39.42</v>
      </c>
      <c r="D2145" s="110">
        <v>39.31</v>
      </c>
      <c r="E2145" s="110">
        <v>39.9</v>
      </c>
      <c r="F2145" s="110">
        <v>39.42</v>
      </c>
      <c r="G2145">
        <v>3934057</v>
      </c>
      <c r="H2145" s="110"/>
      <c r="I2145" s="110"/>
      <c r="L2145" s="134">
        <v>45162</v>
      </c>
      <c r="M2145" s="110">
        <v>39.450000000000003</v>
      </c>
      <c r="N2145" s="110">
        <v>40.4</v>
      </c>
      <c r="O2145" s="110">
        <v>39.299999999999997</v>
      </c>
      <c r="P2145" s="110">
        <v>39.85</v>
      </c>
      <c r="Q2145" s="110">
        <v>39.450000000000003</v>
      </c>
      <c r="R2145">
        <v>39323484</v>
      </c>
    </row>
    <row r="2146" spans="1:18" x14ac:dyDescent="0.25">
      <c r="A2146" s="134">
        <v>45163</v>
      </c>
      <c r="B2146" s="110">
        <v>39.61</v>
      </c>
      <c r="C2146" s="110">
        <v>39.11</v>
      </c>
      <c r="D2146" s="110">
        <v>38.270000000000003</v>
      </c>
      <c r="E2146" s="110">
        <v>39.549999999999997</v>
      </c>
      <c r="F2146" s="110">
        <v>39.11</v>
      </c>
      <c r="G2146">
        <v>1506181</v>
      </c>
      <c r="H2146" s="110"/>
      <c r="I2146" s="110"/>
      <c r="L2146" s="134">
        <v>45163</v>
      </c>
      <c r="M2146" s="110">
        <v>39.15</v>
      </c>
      <c r="N2146" s="110">
        <v>39.6</v>
      </c>
      <c r="O2146" s="110">
        <v>38.25</v>
      </c>
      <c r="P2146" s="110">
        <v>39.4</v>
      </c>
      <c r="Q2146" s="110">
        <v>39.15</v>
      </c>
      <c r="R2146">
        <v>27965086</v>
      </c>
    </row>
    <row r="2147" spans="1:18" x14ac:dyDescent="0.25">
      <c r="A2147" s="134">
        <v>45166</v>
      </c>
      <c r="B2147" s="110">
        <v>40.369999999999997</v>
      </c>
      <c r="C2147" s="110">
        <v>39.39</v>
      </c>
      <c r="D2147" s="110">
        <v>38.590000000000003</v>
      </c>
      <c r="E2147" s="110">
        <v>39.119999999999997</v>
      </c>
      <c r="F2147" s="110">
        <v>39.39</v>
      </c>
      <c r="G2147">
        <v>1884554</v>
      </c>
      <c r="H2147" s="110"/>
      <c r="I2147" s="110"/>
      <c r="L2147" s="134">
        <v>45166</v>
      </c>
      <c r="M2147" s="110">
        <v>39.4</v>
      </c>
      <c r="N2147" s="110">
        <v>40.4</v>
      </c>
      <c r="O2147" s="110">
        <v>38.6</v>
      </c>
      <c r="P2147" s="110">
        <v>39.25</v>
      </c>
      <c r="Q2147" s="110">
        <v>39.4</v>
      </c>
      <c r="R2147">
        <v>29668676</v>
      </c>
    </row>
    <row r="2148" spans="1:18" x14ac:dyDescent="0.25">
      <c r="A2148" s="134">
        <v>45167</v>
      </c>
      <c r="B2148" s="110">
        <v>39.74</v>
      </c>
      <c r="C2148" s="110">
        <v>39.14</v>
      </c>
      <c r="D2148" s="110">
        <v>38.909999999999997</v>
      </c>
      <c r="E2148" s="110">
        <v>39.54</v>
      </c>
      <c r="F2148" s="110">
        <v>39.14</v>
      </c>
      <c r="G2148">
        <v>1295795</v>
      </c>
      <c r="H2148" s="110"/>
      <c r="I2148" s="110"/>
      <c r="L2148" s="134">
        <v>45167</v>
      </c>
      <c r="M2148" s="110">
        <v>39.1</v>
      </c>
      <c r="N2148" s="110">
        <v>39.700000000000003</v>
      </c>
      <c r="O2148" s="110">
        <v>38.9</v>
      </c>
      <c r="P2148" s="110">
        <v>39.5</v>
      </c>
      <c r="Q2148" s="110">
        <v>39.1</v>
      </c>
      <c r="R2148">
        <v>17758767</v>
      </c>
    </row>
    <row r="2149" spans="1:18" x14ac:dyDescent="0.25">
      <c r="A2149" s="134">
        <v>45168</v>
      </c>
      <c r="B2149" s="110">
        <v>39.590000000000003</v>
      </c>
      <c r="C2149" s="110">
        <v>38.92</v>
      </c>
      <c r="D2149" s="110">
        <v>38.78</v>
      </c>
      <c r="E2149" s="110">
        <v>39.44</v>
      </c>
      <c r="F2149" s="110">
        <v>38.92</v>
      </c>
      <c r="G2149">
        <v>1643953</v>
      </c>
      <c r="H2149" s="110"/>
      <c r="I2149" s="110"/>
      <c r="L2149" s="134">
        <v>45168</v>
      </c>
      <c r="M2149" s="110">
        <v>38.950000000000003</v>
      </c>
      <c r="N2149" s="110">
        <v>39.6</v>
      </c>
      <c r="O2149" s="110">
        <v>38.75</v>
      </c>
      <c r="P2149" s="110">
        <v>39.4</v>
      </c>
      <c r="Q2149" s="110">
        <v>38.950000000000003</v>
      </c>
      <c r="R2149">
        <v>15134173</v>
      </c>
    </row>
    <row r="2150" spans="1:18" x14ac:dyDescent="0.25">
      <c r="A2150" s="134">
        <v>45169</v>
      </c>
      <c r="B2150" s="110">
        <v>39.450000000000003</v>
      </c>
      <c r="C2150" s="110">
        <v>38.75</v>
      </c>
      <c r="D2150" s="110">
        <v>38.520000000000003</v>
      </c>
      <c r="E2150" s="110">
        <v>39.11</v>
      </c>
      <c r="F2150" s="110">
        <v>38.75</v>
      </c>
      <c r="G2150">
        <v>968668</v>
      </c>
      <c r="H2150" s="110"/>
      <c r="I2150" s="110"/>
      <c r="L2150" s="134">
        <v>45169</v>
      </c>
      <c r="M2150" s="110">
        <v>38.700000000000003</v>
      </c>
      <c r="N2150" s="110">
        <v>39.5</v>
      </c>
      <c r="O2150" s="110">
        <v>38.549999999999997</v>
      </c>
      <c r="P2150" s="110">
        <v>39.15</v>
      </c>
      <c r="Q2150" s="110">
        <v>38.700000000000003</v>
      </c>
      <c r="R2150">
        <v>15867994</v>
      </c>
    </row>
    <row r="2151" spans="1:18" x14ac:dyDescent="0.25">
      <c r="A2151" s="134">
        <v>45170</v>
      </c>
      <c r="B2151" s="110">
        <v>38.840000000000003</v>
      </c>
      <c r="C2151" s="110">
        <v>38.36</v>
      </c>
      <c r="D2151" s="110">
        <v>37.75</v>
      </c>
      <c r="E2151" s="110">
        <v>38.75</v>
      </c>
      <c r="F2151" s="110">
        <v>38.36</v>
      </c>
      <c r="G2151">
        <v>2875438</v>
      </c>
      <c r="H2151" s="110"/>
      <c r="I2151" s="110"/>
      <c r="L2151" s="134">
        <v>45170</v>
      </c>
      <c r="M2151" s="110">
        <v>38.35</v>
      </c>
      <c r="N2151" s="110">
        <v>38.85</v>
      </c>
      <c r="O2151" s="110">
        <v>37.75</v>
      </c>
      <c r="P2151" s="110">
        <v>38.700000000000003</v>
      </c>
      <c r="Q2151" s="110">
        <v>38.35</v>
      </c>
      <c r="R2151">
        <v>30506396</v>
      </c>
    </row>
    <row r="2152" spans="1:18" x14ac:dyDescent="0.25">
      <c r="A2152" s="134">
        <v>45173</v>
      </c>
      <c r="B2152" s="110">
        <v>41.9</v>
      </c>
      <c r="C2152" s="110">
        <v>41.65</v>
      </c>
      <c r="D2152" s="110">
        <v>38.51</v>
      </c>
      <c r="E2152" s="110">
        <v>38.51</v>
      </c>
      <c r="F2152" s="110">
        <v>41.65</v>
      </c>
      <c r="G2152">
        <v>10733017</v>
      </c>
      <c r="H2152" s="110"/>
      <c r="I2152" s="110"/>
      <c r="L2152" s="134">
        <v>45173</v>
      </c>
      <c r="M2152" s="110">
        <v>41.65</v>
      </c>
      <c r="N2152" s="110">
        <v>41.85</v>
      </c>
      <c r="O2152" s="110">
        <v>38.5</v>
      </c>
      <c r="P2152" s="110">
        <v>38.65</v>
      </c>
      <c r="Q2152" s="110">
        <v>41.65</v>
      </c>
      <c r="R2152">
        <v>90769377</v>
      </c>
    </row>
    <row r="2153" spans="1:18" x14ac:dyDescent="0.25">
      <c r="A2153" s="134">
        <v>45174</v>
      </c>
      <c r="B2153" s="110">
        <v>42.7</v>
      </c>
      <c r="C2153" s="110">
        <v>41.78</v>
      </c>
      <c r="D2153" s="110">
        <v>40.770000000000003</v>
      </c>
      <c r="E2153" s="110">
        <v>41.94</v>
      </c>
      <c r="F2153" s="110">
        <v>41.78</v>
      </c>
      <c r="G2153">
        <v>5528058</v>
      </c>
      <c r="H2153" s="110"/>
      <c r="I2153" s="110"/>
      <c r="L2153" s="134">
        <v>45174</v>
      </c>
      <c r="M2153" s="110">
        <v>41.7</v>
      </c>
      <c r="N2153" s="110">
        <v>42.7</v>
      </c>
      <c r="O2153" s="110">
        <v>40.799999999999997</v>
      </c>
      <c r="P2153" s="110">
        <v>41.85</v>
      </c>
      <c r="Q2153" s="110">
        <v>41.7</v>
      </c>
      <c r="R2153">
        <v>56840184</v>
      </c>
    </row>
    <row r="2154" spans="1:18" x14ac:dyDescent="0.25">
      <c r="A2154" s="134">
        <v>45175</v>
      </c>
      <c r="B2154" s="110">
        <v>41.99</v>
      </c>
      <c r="C2154" s="110">
        <v>41.12</v>
      </c>
      <c r="D2154" s="110">
        <v>40.51</v>
      </c>
      <c r="E2154" s="110">
        <v>41.99</v>
      </c>
      <c r="F2154" s="110">
        <v>41.12</v>
      </c>
      <c r="G2154">
        <v>2352831</v>
      </c>
      <c r="H2154" s="110"/>
      <c r="I2154" s="110"/>
      <c r="L2154" s="134">
        <v>45175</v>
      </c>
      <c r="M2154" s="110">
        <v>41.1</v>
      </c>
      <c r="N2154" s="110">
        <v>42</v>
      </c>
      <c r="O2154" s="110">
        <v>40.549999999999997</v>
      </c>
      <c r="P2154" s="110">
        <v>41.9</v>
      </c>
      <c r="Q2154" s="110">
        <v>41.1</v>
      </c>
      <c r="R2154">
        <v>25894563</v>
      </c>
    </row>
    <row r="2155" spans="1:18" x14ac:dyDescent="0.25">
      <c r="A2155" s="134">
        <v>45176</v>
      </c>
      <c r="B2155" s="110">
        <v>42.6</v>
      </c>
      <c r="C2155" s="110">
        <v>42.26</v>
      </c>
      <c r="D2155" s="110">
        <v>41.14</v>
      </c>
      <c r="E2155" s="110">
        <v>41.2</v>
      </c>
      <c r="F2155" s="110">
        <v>42.26</v>
      </c>
      <c r="G2155">
        <v>3920027</v>
      </c>
      <c r="H2155" s="110"/>
      <c r="I2155" s="110"/>
      <c r="L2155" s="134">
        <v>45176</v>
      </c>
      <c r="M2155" s="110">
        <v>42.3</v>
      </c>
      <c r="N2155" s="110">
        <v>42.6</v>
      </c>
      <c r="O2155" s="110">
        <v>41.1</v>
      </c>
      <c r="P2155" s="110">
        <v>41.2</v>
      </c>
      <c r="Q2155" s="110">
        <v>42.3</v>
      </c>
      <c r="R2155">
        <v>38822802</v>
      </c>
    </row>
    <row r="2156" spans="1:18" x14ac:dyDescent="0.25">
      <c r="A2156" s="134">
        <v>45177</v>
      </c>
      <c r="B2156" s="110">
        <v>42.71</v>
      </c>
      <c r="C2156" s="110">
        <v>42.08</v>
      </c>
      <c r="D2156" s="110">
        <v>41.84</v>
      </c>
      <c r="E2156" s="110">
        <v>42.59</v>
      </c>
      <c r="F2156" s="110">
        <v>42.08</v>
      </c>
      <c r="G2156">
        <v>2027719</v>
      </c>
      <c r="H2156" s="110"/>
      <c r="I2156" s="110"/>
      <c r="L2156" s="134">
        <v>45177</v>
      </c>
      <c r="M2156" s="110">
        <v>42.05</v>
      </c>
      <c r="N2156" s="110">
        <v>42.8</v>
      </c>
      <c r="O2156" s="110">
        <v>41.85</v>
      </c>
      <c r="P2156" s="110">
        <v>42.5</v>
      </c>
      <c r="Q2156" s="110">
        <v>42.05</v>
      </c>
      <c r="R2156">
        <v>32678301</v>
      </c>
    </row>
    <row r="2157" spans="1:18" x14ac:dyDescent="0.25">
      <c r="A2157" s="134">
        <v>45180</v>
      </c>
      <c r="B2157" s="110">
        <v>44.69</v>
      </c>
      <c r="C2157" s="110">
        <v>44.28</v>
      </c>
      <c r="D2157" s="110">
        <v>42.3</v>
      </c>
      <c r="E2157" s="110">
        <v>42.45</v>
      </c>
      <c r="F2157" s="110">
        <v>44.28</v>
      </c>
      <c r="G2157">
        <v>6238306</v>
      </c>
      <c r="H2157" s="110"/>
      <c r="I2157" s="110"/>
      <c r="L2157" s="134">
        <v>45180</v>
      </c>
      <c r="M2157" s="110">
        <v>44.3</v>
      </c>
      <c r="N2157" s="110">
        <v>44.7</v>
      </c>
      <c r="O2157" s="110">
        <v>42.3</v>
      </c>
      <c r="P2157" s="110">
        <v>42.4</v>
      </c>
      <c r="Q2157" s="110">
        <v>44.3</v>
      </c>
      <c r="R2157">
        <v>67562208</v>
      </c>
    </row>
    <row r="2158" spans="1:18" x14ac:dyDescent="0.25">
      <c r="A2158" s="134">
        <v>45181</v>
      </c>
      <c r="B2158" s="110">
        <v>44.75</v>
      </c>
      <c r="C2158" s="110">
        <v>41.1</v>
      </c>
      <c r="D2158" s="110">
        <v>40.659999999999997</v>
      </c>
      <c r="E2158" s="110">
        <v>44.56</v>
      </c>
      <c r="F2158" s="110">
        <v>41.1</v>
      </c>
      <c r="G2158">
        <v>3265520</v>
      </c>
      <c r="H2158" s="110"/>
      <c r="I2158" s="110"/>
      <c r="L2158" s="134">
        <v>45181</v>
      </c>
      <c r="M2158" s="110">
        <v>41.1</v>
      </c>
      <c r="N2158" s="110">
        <v>44.75</v>
      </c>
      <c r="O2158" s="110">
        <v>40.6</v>
      </c>
      <c r="P2158" s="110">
        <v>44.7</v>
      </c>
      <c r="Q2158" s="110">
        <v>41.1</v>
      </c>
      <c r="R2158">
        <v>63028944</v>
      </c>
    </row>
    <row r="2159" spans="1:18" x14ac:dyDescent="0.25">
      <c r="A2159" s="134">
        <v>45182</v>
      </c>
      <c r="B2159" s="110">
        <v>43.28</v>
      </c>
      <c r="C2159" s="110">
        <v>43.01</v>
      </c>
      <c r="D2159" s="110">
        <v>40.06</v>
      </c>
      <c r="E2159" s="110">
        <v>41.09</v>
      </c>
      <c r="F2159" s="110">
        <v>43.01</v>
      </c>
      <c r="G2159">
        <v>5914666</v>
      </c>
      <c r="H2159" s="110"/>
      <c r="I2159" s="110"/>
      <c r="L2159" s="134">
        <v>45182</v>
      </c>
      <c r="M2159" s="110">
        <v>43</v>
      </c>
      <c r="N2159" s="110">
        <v>43.3</v>
      </c>
      <c r="O2159" s="110">
        <v>40.1</v>
      </c>
      <c r="P2159" s="110">
        <v>41</v>
      </c>
      <c r="Q2159" s="110">
        <v>43</v>
      </c>
      <c r="R2159">
        <v>62583974</v>
      </c>
    </row>
    <row r="2160" spans="1:18" x14ac:dyDescent="0.25">
      <c r="A2160" s="134">
        <v>45183</v>
      </c>
      <c r="B2160" s="110">
        <v>44.2</v>
      </c>
      <c r="C2160" s="110">
        <v>43.92</v>
      </c>
      <c r="D2160" s="110">
        <v>42.61</v>
      </c>
      <c r="E2160" s="110">
        <v>43.39</v>
      </c>
      <c r="F2160" s="110">
        <v>43.92</v>
      </c>
      <c r="G2160">
        <v>6060028</v>
      </c>
      <c r="H2160" s="110"/>
      <c r="I2160" s="110"/>
      <c r="L2160" s="134">
        <v>45183</v>
      </c>
      <c r="M2160" s="110">
        <v>43.95</v>
      </c>
      <c r="N2160" s="110">
        <v>44.25</v>
      </c>
      <c r="O2160" s="110">
        <v>42.6</v>
      </c>
      <c r="P2160" s="110">
        <v>43.3</v>
      </c>
      <c r="Q2160" s="110">
        <v>43.95</v>
      </c>
      <c r="R2160">
        <v>58223238</v>
      </c>
    </row>
    <row r="2161" spans="1:18" x14ac:dyDescent="0.25">
      <c r="A2161" s="134">
        <v>45184</v>
      </c>
      <c r="B2161" s="110">
        <v>46.2</v>
      </c>
      <c r="C2161" s="110">
        <v>45.09</v>
      </c>
      <c r="D2161" s="110">
        <v>43.85</v>
      </c>
      <c r="E2161" s="110">
        <v>44.09</v>
      </c>
      <c r="F2161" s="110">
        <v>45.09</v>
      </c>
      <c r="G2161">
        <v>6317471</v>
      </c>
      <c r="H2161" s="110"/>
      <c r="I2161" s="110"/>
      <c r="L2161" s="134">
        <v>45184</v>
      </c>
      <c r="M2161" s="110">
        <v>45.1</v>
      </c>
      <c r="N2161" s="110">
        <v>46.2</v>
      </c>
      <c r="O2161" s="110">
        <v>43.75</v>
      </c>
      <c r="P2161" s="110">
        <v>44</v>
      </c>
      <c r="Q2161" s="110">
        <v>45.1</v>
      </c>
      <c r="R2161">
        <v>107660126</v>
      </c>
    </row>
    <row r="2162" spans="1:18" x14ac:dyDescent="0.25">
      <c r="A2162" s="134">
        <v>45187</v>
      </c>
      <c r="B2162" s="110">
        <v>51.48</v>
      </c>
      <c r="C2162" s="110">
        <v>48.08</v>
      </c>
      <c r="D2162" s="110">
        <v>44.61</v>
      </c>
      <c r="E2162" s="110">
        <v>45.15</v>
      </c>
      <c r="F2162" s="110">
        <v>48.08</v>
      </c>
      <c r="G2162">
        <v>13223946</v>
      </c>
      <c r="H2162" s="110"/>
      <c r="I2162" s="110"/>
      <c r="L2162" s="134">
        <v>45187</v>
      </c>
      <c r="M2162" s="110">
        <v>48.15</v>
      </c>
      <c r="N2162" s="110">
        <v>51.4</v>
      </c>
      <c r="O2162" s="110">
        <v>44.6</v>
      </c>
      <c r="P2162" s="110">
        <v>45.15</v>
      </c>
      <c r="Q2162" s="110">
        <v>48.15</v>
      </c>
      <c r="R2162">
        <v>298242980</v>
      </c>
    </row>
    <row r="2163" spans="1:18" x14ac:dyDescent="0.25">
      <c r="A2163" s="134">
        <v>45189</v>
      </c>
      <c r="B2163" s="110">
        <v>49.24</v>
      </c>
      <c r="C2163" s="110">
        <v>46.27</v>
      </c>
      <c r="D2163" s="110">
        <v>45.73</v>
      </c>
      <c r="E2163" s="110">
        <v>47.79</v>
      </c>
      <c r="F2163" s="110">
        <v>46.27</v>
      </c>
      <c r="G2163">
        <v>5941780</v>
      </c>
      <c r="H2163" s="110"/>
      <c r="I2163" s="110"/>
      <c r="L2163" s="134">
        <v>45189</v>
      </c>
      <c r="M2163" s="110">
        <v>46.3</v>
      </c>
      <c r="N2163" s="110">
        <v>49.2</v>
      </c>
      <c r="O2163" s="110">
        <v>45.65</v>
      </c>
      <c r="P2163" s="110">
        <v>47.3</v>
      </c>
      <c r="Q2163" s="110">
        <v>46.3</v>
      </c>
      <c r="R2163">
        <v>107106927</v>
      </c>
    </row>
    <row r="2164" spans="1:18" x14ac:dyDescent="0.25">
      <c r="A2164" s="134">
        <v>45190</v>
      </c>
      <c r="B2164" s="110">
        <v>48.28</v>
      </c>
      <c r="C2164" s="110">
        <v>44.84</v>
      </c>
      <c r="D2164" s="110">
        <v>44.3</v>
      </c>
      <c r="E2164" s="110">
        <v>46.66</v>
      </c>
      <c r="F2164" s="110">
        <v>44.84</v>
      </c>
      <c r="G2164">
        <v>5546358</v>
      </c>
      <c r="H2164" s="110"/>
      <c r="I2164" s="110"/>
      <c r="L2164" s="134">
        <v>45190</v>
      </c>
      <c r="M2164" s="110">
        <v>44.85</v>
      </c>
      <c r="N2164" s="110">
        <v>48.3</v>
      </c>
      <c r="O2164" s="110">
        <v>44.3</v>
      </c>
      <c r="P2164" s="110">
        <v>46.5</v>
      </c>
      <c r="Q2164" s="110">
        <v>44.85</v>
      </c>
      <c r="R2164">
        <v>99742614</v>
      </c>
    </row>
    <row r="2165" spans="1:18" x14ac:dyDescent="0.25">
      <c r="A2165" s="134">
        <v>45191</v>
      </c>
      <c r="B2165" s="110">
        <v>47.18</v>
      </c>
      <c r="C2165" s="110">
        <v>46.85</v>
      </c>
      <c r="D2165" s="110">
        <v>45</v>
      </c>
      <c r="E2165" s="110">
        <v>45</v>
      </c>
      <c r="F2165" s="110">
        <v>46.85</v>
      </c>
      <c r="G2165">
        <v>4289257</v>
      </c>
      <c r="H2165" s="110"/>
      <c r="I2165" s="110"/>
      <c r="L2165" s="134">
        <v>45191</v>
      </c>
      <c r="M2165" s="110">
        <v>46.9</v>
      </c>
      <c r="N2165" s="110">
        <v>47.25</v>
      </c>
      <c r="O2165" s="110">
        <v>45.05</v>
      </c>
      <c r="P2165" s="110">
        <v>45.15</v>
      </c>
      <c r="Q2165" s="110">
        <v>46.9</v>
      </c>
      <c r="R2165">
        <v>91254431</v>
      </c>
    </row>
    <row r="2166" spans="1:18" x14ac:dyDescent="0.25">
      <c r="A2166" s="134">
        <v>45194</v>
      </c>
      <c r="B2166" s="110">
        <v>47.45</v>
      </c>
      <c r="C2166" s="110">
        <v>46.15</v>
      </c>
      <c r="D2166" s="110">
        <v>45.61</v>
      </c>
      <c r="E2166" s="110">
        <v>47.29</v>
      </c>
      <c r="F2166" s="110">
        <v>46.15</v>
      </c>
      <c r="G2166">
        <v>2143349</v>
      </c>
      <c r="H2166" s="110"/>
      <c r="I2166" s="110"/>
      <c r="L2166" s="134">
        <v>45194</v>
      </c>
      <c r="M2166" s="110">
        <v>46.15</v>
      </c>
      <c r="N2166" s="110">
        <v>47.5</v>
      </c>
      <c r="O2166" s="110">
        <v>45.6</v>
      </c>
      <c r="P2166" s="110">
        <v>47.2</v>
      </c>
      <c r="Q2166" s="110">
        <v>46.15</v>
      </c>
      <c r="R2166">
        <v>54646943</v>
      </c>
    </row>
    <row r="2167" spans="1:18" x14ac:dyDescent="0.25">
      <c r="A2167" s="134">
        <v>45195</v>
      </c>
      <c r="B2167" s="110">
        <v>47.64</v>
      </c>
      <c r="C2167" s="110">
        <v>46.52</v>
      </c>
      <c r="D2167" s="110">
        <v>46</v>
      </c>
      <c r="E2167" s="110">
        <v>46.34</v>
      </c>
      <c r="F2167" s="110">
        <v>46.52</v>
      </c>
      <c r="G2167">
        <v>4025890</v>
      </c>
      <c r="H2167" s="110"/>
      <c r="I2167" s="110"/>
      <c r="L2167" s="134">
        <v>45195</v>
      </c>
      <c r="M2167" s="110">
        <v>46.55</v>
      </c>
      <c r="N2167" s="110">
        <v>47.65</v>
      </c>
      <c r="O2167" s="110">
        <v>45.95</v>
      </c>
      <c r="P2167" s="110">
        <v>46.15</v>
      </c>
      <c r="Q2167" s="110">
        <v>46.55</v>
      </c>
      <c r="R2167">
        <v>47195141</v>
      </c>
    </row>
    <row r="2168" spans="1:18" x14ac:dyDescent="0.25">
      <c r="A2168" s="134">
        <v>45196</v>
      </c>
      <c r="B2168" s="110">
        <v>47.66</v>
      </c>
      <c r="C2168" s="110">
        <v>47.41</v>
      </c>
      <c r="D2168" s="110">
        <v>46.15</v>
      </c>
      <c r="E2168" s="110">
        <v>46.8</v>
      </c>
      <c r="F2168" s="110">
        <v>47.41</v>
      </c>
      <c r="G2168">
        <v>1646931</v>
      </c>
      <c r="H2168" s="110"/>
      <c r="I2168" s="110"/>
      <c r="L2168" s="134">
        <v>45196</v>
      </c>
      <c r="M2168" s="110">
        <v>47.4</v>
      </c>
      <c r="N2168" s="110">
        <v>47.6</v>
      </c>
      <c r="O2168" s="110">
        <v>46.1</v>
      </c>
      <c r="P2168" s="110">
        <v>46.7</v>
      </c>
      <c r="Q2168" s="110">
        <v>47.4</v>
      </c>
      <c r="R2168">
        <v>41319578</v>
      </c>
    </row>
    <row r="2169" spans="1:18" x14ac:dyDescent="0.25">
      <c r="A2169" s="134">
        <v>45197</v>
      </c>
      <c r="B2169" s="110">
        <v>49.45</v>
      </c>
      <c r="C2169" s="110">
        <v>47</v>
      </c>
      <c r="D2169" s="110">
        <v>46.61</v>
      </c>
      <c r="E2169" s="110">
        <v>47.43</v>
      </c>
      <c r="F2169" s="110">
        <v>47</v>
      </c>
      <c r="G2169">
        <v>7436035</v>
      </c>
      <c r="H2169" s="110"/>
      <c r="I2169" s="110"/>
      <c r="L2169" s="134">
        <v>45197</v>
      </c>
      <c r="M2169" s="110">
        <v>47</v>
      </c>
      <c r="N2169" s="110">
        <v>49.4</v>
      </c>
      <c r="O2169" s="110">
        <v>46.6</v>
      </c>
      <c r="P2169" s="110">
        <v>47.4</v>
      </c>
      <c r="Q2169" s="110">
        <v>47</v>
      </c>
      <c r="R2169">
        <v>87472923</v>
      </c>
    </row>
    <row r="2170" spans="1:18" x14ac:dyDescent="0.25">
      <c r="A2170" s="134">
        <v>45198</v>
      </c>
      <c r="B2170" s="110">
        <v>48.1</v>
      </c>
      <c r="C2170" s="110">
        <v>47.68</v>
      </c>
      <c r="D2170" s="110">
        <v>47.03</v>
      </c>
      <c r="E2170" s="110">
        <v>47.35</v>
      </c>
      <c r="F2170" s="110">
        <v>47.68</v>
      </c>
      <c r="G2170">
        <v>3034261</v>
      </c>
      <c r="H2170" s="110"/>
      <c r="I2170" s="110"/>
      <c r="L2170" s="134">
        <v>45198</v>
      </c>
      <c r="M2170" s="110">
        <v>47.65</v>
      </c>
      <c r="N2170" s="110">
        <v>48.15</v>
      </c>
      <c r="O2170" s="110">
        <v>47.05</v>
      </c>
      <c r="P2170" s="110">
        <v>47.4</v>
      </c>
      <c r="Q2170" s="110">
        <v>47.65</v>
      </c>
      <c r="R2170">
        <v>35950756</v>
      </c>
    </row>
    <row r="2171" spans="1:18" x14ac:dyDescent="0.25">
      <c r="A2171" s="134">
        <v>45202</v>
      </c>
      <c r="B2171" s="110">
        <v>49.84</v>
      </c>
      <c r="C2171" s="110">
        <v>49.46</v>
      </c>
      <c r="D2171" s="110">
        <v>47.27</v>
      </c>
      <c r="E2171" s="110">
        <v>47.69</v>
      </c>
      <c r="F2171" s="110">
        <v>49.46</v>
      </c>
      <c r="G2171">
        <v>6362230</v>
      </c>
      <c r="H2171" s="110"/>
      <c r="I2171" s="110"/>
      <c r="L2171" s="134">
        <v>45202</v>
      </c>
      <c r="M2171" s="110">
        <v>49.5</v>
      </c>
      <c r="N2171" s="110">
        <v>49.85</v>
      </c>
      <c r="O2171" s="110">
        <v>47.25</v>
      </c>
      <c r="P2171" s="110">
        <v>47.65</v>
      </c>
      <c r="Q2171" s="110">
        <v>49.5</v>
      </c>
      <c r="R2171">
        <v>61782878</v>
      </c>
    </row>
    <row r="2172" spans="1:18" x14ac:dyDescent="0.25">
      <c r="A2172" s="134">
        <v>45203</v>
      </c>
      <c r="B2172" s="110">
        <v>51.9</v>
      </c>
      <c r="C2172" s="110">
        <v>48.87</v>
      </c>
      <c r="D2172" s="110">
        <v>48.1</v>
      </c>
      <c r="E2172" s="110">
        <v>49.94</v>
      </c>
      <c r="F2172" s="110">
        <v>48.87</v>
      </c>
      <c r="G2172">
        <v>8267746</v>
      </c>
      <c r="H2172" s="110"/>
      <c r="I2172" s="110"/>
      <c r="L2172" s="134">
        <v>45203</v>
      </c>
      <c r="M2172" s="110">
        <v>48.85</v>
      </c>
      <c r="N2172" s="110">
        <v>51.9</v>
      </c>
      <c r="O2172" s="110">
        <v>48.05</v>
      </c>
      <c r="P2172" s="110">
        <v>49.8</v>
      </c>
      <c r="Q2172" s="110">
        <v>48.85</v>
      </c>
      <c r="R2172">
        <v>151559655</v>
      </c>
    </row>
    <row r="2173" spans="1:18" x14ac:dyDescent="0.25">
      <c r="A2173" s="134">
        <v>45204</v>
      </c>
      <c r="B2173" s="110">
        <v>49.73</v>
      </c>
      <c r="C2173" s="110">
        <v>48.8</v>
      </c>
      <c r="D2173" s="110">
        <v>47.65</v>
      </c>
      <c r="E2173" s="110">
        <v>49.48</v>
      </c>
      <c r="F2173" s="110">
        <v>48.8</v>
      </c>
      <c r="G2173">
        <v>4838255</v>
      </c>
      <c r="H2173" s="110"/>
      <c r="I2173" s="110"/>
      <c r="L2173" s="134">
        <v>45204</v>
      </c>
      <c r="M2173" s="110">
        <v>48.8</v>
      </c>
      <c r="N2173" s="110">
        <v>49.7</v>
      </c>
      <c r="O2173" s="110">
        <v>47.65</v>
      </c>
      <c r="P2173" s="110">
        <v>49.4</v>
      </c>
      <c r="Q2173" s="110">
        <v>48.8</v>
      </c>
      <c r="R2173">
        <v>49674472</v>
      </c>
    </row>
    <row r="2174" spans="1:18" x14ac:dyDescent="0.25">
      <c r="A2174" s="134">
        <v>45205</v>
      </c>
      <c r="B2174" s="110">
        <v>49.3</v>
      </c>
      <c r="C2174" s="110">
        <v>48.52</v>
      </c>
      <c r="D2174" s="110">
        <v>47.93</v>
      </c>
      <c r="E2174" s="110">
        <v>49</v>
      </c>
      <c r="F2174" s="110">
        <v>48.52</v>
      </c>
      <c r="G2174">
        <v>3569638</v>
      </c>
      <c r="H2174" s="110"/>
      <c r="I2174" s="110"/>
      <c r="L2174" s="134">
        <v>45205</v>
      </c>
      <c r="M2174" s="110">
        <v>48.55</v>
      </c>
      <c r="N2174" s="110">
        <v>49.3</v>
      </c>
      <c r="O2174" s="110">
        <v>47.95</v>
      </c>
      <c r="P2174" s="110">
        <v>48.95</v>
      </c>
      <c r="Q2174" s="110">
        <v>48.55</v>
      </c>
      <c r="R2174">
        <v>35996505</v>
      </c>
    </row>
    <row r="2175" spans="1:18" x14ac:dyDescent="0.25">
      <c r="A2175" s="134">
        <v>45208</v>
      </c>
      <c r="B2175" s="110">
        <v>47.55</v>
      </c>
      <c r="C2175" s="110">
        <v>45.32</v>
      </c>
      <c r="D2175" s="110">
        <v>45.02</v>
      </c>
      <c r="E2175" s="110">
        <v>47.55</v>
      </c>
      <c r="F2175" s="110">
        <v>45.32</v>
      </c>
      <c r="G2175">
        <v>2700474</v>
      </c>
      <c r="H2175" s="110"/>
      <c r="I2175" s="110"/>
      <c r="L2175" s="134">
        <v>45208</v>
      </c>
      <c r="M2175" s="110">
        <v>45.3</v>
      </c>
      <c r="N2175" s="110">
        <v>47.5</v>
      </c>
      <c r="O2175" s="110">
        <v>45</v>
      </c>
      <c r="P2175" s="110">
        <v>47.5</v>
      </c>
      <c r="Q2175" s="110">
        <v>45.3</v>
      </c>
      <c r="R2175">
        <v>47950239</v>
      </c>
    </row>
    <row r="2176" spans="1:18" x14ac:dyDescent="0.25">
      <c r="A2176" s="134">
        <v>45209</v>
      </c>
      <c r="B2176" s="110">
        <v>47.35</v>
      </c>
      <c r="C2176" s="110">
        <v>47.13</v>
      </c>
      <c r="D2176" s="110">
        <v>45.8</v>
      </c>
      <c r="E2176" s="110">
        <v>45.91</v>
      </c>
      <c r="F2176" s="110">
        <v>47.13</v>
      </c>
      <c r="G2176">
        <v>3777866</v>
      </c>
      <c r="H2176" s="110"/>
      <c r="I2176" s="110"/>
      <c r="L2176" s="134">
        <v>45209</v>
      </c>
      <c r="M2176" s="110">
        <v>47.15</v>
      </c>
      <c r="N2176" s="110">
        <v>47.35</v>
      </c>
      <c r="O2176" s="110">
        <v>45.8</v>
      </c>
      <c r="P2176" s="110">
        <v>46</v>
      </c>
      <c r="Q2176" s="110">
        <v>47.15</v>
      </c>
      <c r="R2176">
        <v>34714888</v>
      </c>
    </row>
    <row r="2177" spans="1:18" x14ac:dyDescent="0.25">
      <c r="A2177" s="134">
        <v>45210</v>
      </c>
      <c r="B2177" s="110">
        <v>47.65</v>
      </c>
      <c r="C2177" s="110">
        <v>46.52</v>
      </c>
      <c r="D2177" s="110">
        <v>46.33</v>
      </c>
      <c r="E2177" s="110">
        <v>47.43</v>
      </c>
      <c r="F2177" s="110">
        <v>46.52</v>
      </c>
      <c r="G2177">
        <v>2335472</v>
      </c>
      <c r="H2177" s="110"/>
      <c r="I2177" s="110"/>
      <c r="L2177" s="134">
        <v>45210</v>
      </c>
      <c r="M2177" s="110">
        <v>46.55</v>
      </c>
      <c r="N2177" s="110">
        <v>47.6</v>
      </c>
      <c r="O2177" s="110">
        <v>46.3</v>
      </c>
      <c r="P2177" s="110">
        <v>47.35</v>
      </c>
      <c r="Q2177" s="110">
        <v>46.55</v>
      </c>
      <c r="R2177">
        <v>27428187</v>
      </c>
    </row>
    <row r="2178" spans="1:18" x14ac:dyDescent="0.25">
      <c r="A2178" s="134">
        <v>45211</v>
      </c>
      <c r="B2178" s="110">
        <v>47.23</v>
      </c>
      <c r="C2178" s="110">
        <v>46.16</v>
      </c>
      <c r="D2178" s="110">
        <v>46.05</v>
      </c>
      <c r="E2178" s="110">
        <v>46.84</v>
      </c>
      <c r="F2178" s="110">
        <v>46.16</v>
      </c>
      <c r="G2178">
        <v>1047957</v>
      </c>
      <c r="H2178" s="110"/>
      <c r="I2178" s="110"/>
      <c r="L2178" s="134">
        <v>45211</v>
      </c>
      <c r="M2178" s="110">
        <v>46.15</v>
      </c>
      <c r="N2178" s="110">
        <v>47.25</v>
      </c>
      <c r="O2178" s="110">
        <v>46</v>
      </c>
      <c r="P2178" s="110">
        <v>46.6</v>
      </c>
      <c r="Q2178" s="110">
        <v>46.15</v>
      </c>
      <c r="R2178">
        <v>23768457</v>
      </c>
    </row>
    <row r="2179" spans="1:18" x14ac:dyDescent="0.25">
      <c r="A2179" s="134">
        <v>45212</v>
      </c>
      <c r="B2179" s="110">
        <v>47.41</v>
      </c>
      <c r="C2179" s="110">
        <v>46.83</v>
      </c>
      <c r="D2179" s="110">
        <v>45.93</v>
      </c>
      <c r="E2179" s="110">
        <v>46.1</v>
      </c>
      <c r="F2179" s="110">
        <v>46.83</v>
      </c>
      <c r="G2179">
        <v>4193446</v>
      </c>
      <c r="H2179" s="110"/>
      <c r="I2179" s="110"/>
      <c r="L2179" s="134">
        <v>45212</v>
      </c>
      <c r="M2179" s="110">
        <v>46.8</v>
      </c>
      <c r="N2179" s="110">
        <v>47.45</v>
      </c>
      <c r="O2179" s="110">
        <v>45.9</v>
      </c>
      <c r="P2179" s="110">
        <v>46.1</v>
      </c>
      <c r="Q2179" s="110">
        <v>46.8</v>
      </c>
      <c r="R2179">
        <v>36153119</v>
      </c>
    </row>
    <row r="2180" spans="1:18" x14ac:dyDescent="0.25">
      <c r="A2180" s="134">
        <v>45215</v>
      </c>
      <c r="B2180" s="110">
        <v>48</v>
      </c>
      <c r="C2180" s="110">
        <v>47.42</v>
      </c>
      <c r="D2180" s="110">
        <v>46.56</v>
      </c>
      <c r="E2180" s="110">
        <v>47.01</v>
      </c>
      <c r="F2180" s="110">
        <v>47.42</v>
      </c>
      <c r="G2180">
        <v>4835178</v>
      </c>
      <c r="H2180" s="110"/>
      <c r="I2180" s="110"/>
      <c r="L2180" s="134">
        <v>45215</v>
      </c>
      <c r="M2180" s="110">
        <v>47.45</v>
      </c>
      <c r="N2180" s="110">
        <v>48</v>
      </c>
      <c r="O2180" s="110">
        <v>46.55</v>
      </c>
      <c r="P2180" s="110">
        <v>47.1</v>
      </c>
      <c r="Q2180" s="110">
        <v>47.45</v>
      </c>
      <c r="R2180">
        <v>49413511</v>
      </c>
    </row>
    <row r="2181" spans="1:18" x14ac:dyDescent="0.25">
      <c r="A2181" s="134">
        <v>45216</v>
      </c>
      <c r="B2181" s="110">
        <v>49.6</v>
      </c>
      <c r="C2181" s="110">
        <v>47.55</v>
      </c>
      <c r="D2181" s="110">
        <v>47.15</v>
      </c>
      <c r="E2181" s="110">
        <v>48.59</v>
      </c>
      <c r="F2181" s="110">
        <v>47.55</v>
      </c>
      <c r="G2181">
        <v>3167660</v>
      </c>
      <c r="H2181" s="110"/>
      <c r="I2181" s="110"/>
      <c r="L2181" s="134">
        <v>45216</v>
      </c>
      <c r="M2181" s="110">
        <v>47.55</v>
      </c>
      <c r="N2181" s="110">
        <v>49.6</v>
      </c>
      <c r="O2181" s="110">
        <v>47.1</v>
      </c>
      <c r="P2181" s="110">
        <v>48.5</v>
      </c>
      <c r="Q2181" s="110">
        <v>47.55</v>
      </c>
      <c r="R2181">
        <v>55081783</v>
      </c>
    </row>
    <row r="2182" spans="1:18" x14ac:dyDescent="0.25">
      <c r="A2182" s="134">
        <v>45217</v>
      </c>
      <c r="B2182" s="110">
        <v>47.83</v>
      </c>
      <c r="C2182" s="110">
        <v>46.54</v>
      </c>
      <c r="D2182" s="110">
        <v>46.12</v>
      </c>
      <c r="E2182" s="110">
        <v>47.8</v>
      </c>
      <c r="F2182" s="110">
        <v>46.54</v>
      </c>
      <c r="G2182">
        <v>3551398</v>
      </c>
      <c r="H2182" s="110"/>
      <c r="I2182" s="110"/>
      <c r="L2182" s="134">
        <v>45217</v>
      </c>
      <c r="M2182" s="110">
        <v>46.55</v>
      </c>
      <c r="N2182" s="110">
        <v>47.8</v>
      </c>
      <c r="O2182" s="110">
        <v>46.15</v>
      </c>
      <c r="P2182" s="110">
        <v>47.8</v>
      </c>
      <c r="Q2182" s="110">
        <v>46.55</v>
      </c>
      <c r="R2182">
        <v>28142091</v>
      </c>
    </row>
    <row r="2183" spans="1:18" x14ac:dyDescent="0.25">
      <c r="A2183" s="134">
        <v>45218</v>
      </c>
      <c r="B2183" s="110">
        <v>46.65</v>
      </c>
      <c r="C2183" s="110">
        <v>45.74</v>
      </c>
      <c r="D2183" s="110">
        <v>45.62</v>
      </c>
      <c r="E2183" s="110">
        <v>46.36</v>
      </c>
      <c r="F2183" s="110">
        <v>45.74</v>
      </c>
      <c r="G2183">
        <v>2142379</v>
      </c>
      <c r="H2183" s="110"/>
      <c r="I2183" s="110"/>
      <c r="L2183" s="134">
        <v>45218</v>
      </c>
      <c r="M2183" s="110">
        <v>45.75</v>
      </c>
      <c r="N2183" s="110">
        <v>46.7</v>
      </c>
      <c r="O2183" s="110">
        <v>45.65</v>
      </c>
      <c r="P2183" s="110">
        <v>46.7</v>
      </c>
      <c r="Q2183" s="110">
        <v>45.75</v>
      </c>
      <c r="R2183">
        <v>31130644</v>
      </c>
    </row>
    <row r="2184" spans="1:18" x14ac:dyDescent="0.25">
      <c r="A2184" s="134">
        <v>45219</v>
      </c>
      <c r="B2184" s="110">
        <v>46.3</v>
      </c>
      <c r="C2184" s="110">
        <v>43.78</v>
      </c>
      <c r="D2184" s="110">
        <v>43.55</v>
      </c>
      <c r="E2184" s="110">
        <v>45.99</v>
      </c>
      <c r="F2184" s="110">
        <v>43.78</v>
      </c>
      <c r="G2184">
        <v>2625223</v>
      </c>
      <c r="H2184" s="110"/>
      <c r="I2184" s="110"/>
      <c r="L2184" s="134">
        <v>45219</v>
      </c>
      <c r="M2184" s="110">
        <v>43.8</v>
      </c>
      <c r="N2184" s="110">
        <v>46.3</v>
      </c>
      <c r="O2184" s="110">
        <v>43.55</v>
      </c>
      <c r="P2184" s="110">
        <v>45.75</v>
      </c>
      <c r="Q2184" s="110">
        <v>43.8</v>
      </c>
      <c r="R2184">
        <v>37262385</v>
      </c>
    </row>
    <row r="2185" spans="1:18" x14ac:dyDescent="0.25">
      <c r="A2185" s="134">
        <v>45222</v>
      </c>
      <c r="B2185" s="110">
        <v>44.2</v>
      </c>
      <c r="C2185" s="110">
        <v>40.43</v>
      </c>
      <c r="D2185" s="110">
        <v>40.11</v>
      </c>
      <c r="E2185" s="110">
        <v>43.85</v>
      </c>
      <c r="F2185" s="110">
        <v>40.43</v>
      </c>
      <c r="G2185">
        <v>3455327</v>
      </c>
      <c r="H2185" s="110"/>
      <c r="I2185" s="110"/>
      <c r="L2185" s="134">
        <v>45222</v>
      </c>
      <c r="M2185" s="110">
        <v>40.35</v>
      </c>
      <c r="N2185" s="110">
        <v>44.2</v>
      </c>
      <c r="O2185" s="110">
        <v>40.1</v>
      </c>
      <c r="P2185" s="110">
        <v>43.9</v>
      </c>
      <c r="Q2185" s="110">
        <v>40.35</v>
      </c>
      <c r="R2185">
        <v>51523729</v>
      </c>
    </row>
    <row r="2186" spans="1:18" x14ac:dyDescent="0.25">
      <c r="A2186" s="134">
        <v>45224</v>
      </c>
      <c r="B2186" s="110">
        <v>42.4</v>
      </c>
      <c r="C2186" s="110">
        <v>41.5</v>
      </c>
      <c r="D2186" s="110">
        <v>39.51</v>
      </c>
      <c r="E2186" s="110">
        <v>40.74</v>
      </c>
      <c r="F2186" s="110">
        <v>41.5</v>
      </c>
      <c r="G2186">
        <v>6011229</v>
      </c>
      <c r="H2186" s="110"/>
      <c r="I2186" s="110"/>
      <c r="L2186" s="134">
        <v>45224</v>
      </c>
      <c r="M2186" s="110">
        <v>41.5</v>
      </c>
      <c r="N2186" s="110">
        <v>42.4</v>
      </c>
      <c r="O2186" s="110">
        <v>39.5</v>
      </c>
      <c r="P2186" s="110">
        <v>40.700000000000003</v>
      </c>
      <c r="Q2186" s="110">
        <v>41.5</v>
      </c>
      <c r="R2186">
        <v>69044943</v>
      </c>
    </row>
    <row r="2187" spans="1:18" x14ac:dyDescent="0.25">
      <c r="A2187" s="134">
        <v>45225</v>
      </c>
      <c r="B2187" s="110">
        <v>41.6</v>
      </c>
      <c r="C2187" s="110">
        <v>41.26</v>
      </c>
      <c r="D2187" s="110">
        <v>38.69</v>
      </c>
      <c r="E2187" s="110">
        <v>41.49</v>
      </c>
      <c r="F2187" s="110">
        <v>41.26</v>
      </c>
      <c r="G2187">
        <v>5356002</v>
      </c>
      <c r="H2187" s="110"/>
      <c r="I2187" s="110"/>
      <c r="L2187" s="134">
        <v>45225</v>
      </c>
      <c r="M2187" s="110">
        <v>41.3</v>
      </c>
      <c r="N2187" s="110">
        <v>41.65</v>
      </c>
      <c r="O2187" s="110">
        <v>38.65</v>
      </c>
      <c r="P2187" s="110">
        <v>41.3</v>
      </c>
      <c r="Q2187" s="110">
        <v>41.3</v>
      </c>
      <c r="R2187">
        <v>68077537</v>
      </c>
    </row>
    <row r="2188" spans="1:18" x14ac:dyDescent="0.25">
      <c r="A2188" s="134">
        <v>45226</v>
      </c>
      <c r="B2188" s="110">
        <v>43.6</v>
      </c>
      <c r="C2188" s="110">
        <v>42.39</v>
      </c>
      <c r="D2188" s="110">
        <v>41.3</v>
      </c>
      <c r="E2188" s="110">
        <v>41.59</v>
      </c>
      <c r="F2188" s="110">
        <v>42.39</v>
      </c>
      <c r="G2188">
        <v>2733262</v>
      </c>
      <c r="H2188" s="110"/>
      <c r="I2188" s="110"/>
      <c r="L2188" s="134">
        <v>45226</v>
      </c>
      <c r="M2188" s="110">
        <v>42.4</v>
      </c>
      <c r="N2188" s="110">
        <v>43.6</v>
      </c>
      <c r="O2188" s="110">
        <v>41.25</v>
      </c>
      <c r="P2188" s="110">
        <v>41.65</v>
      </c>
      <c r="Q2188" s="110">
        <v>42.4</v>
      </c>
      <c r="R2188">
        <v>57653831</v>
      </c>
    </row>
    <row r="2189" spans="1:18" x14ac:dyDescent="0.25">
      <c r="A2189" s="134">
        <v>45229</v>
      </c>
      <c r="B2189" s="110">
        <v>42.49</v>
      </c>
      <c r="C2189" s="110">
        <v>41.71</v>
      </c>
      <c r="D2189" s="110">
        <v>41.24</v>
      </c>
      <c r="E2189" s="110">
        <v>42.49</v>
      </c>
      <c r="F2189" s="110">
        <v>41.71</v>
      </c>
      <c r="G2189">
        <v>1615230</v>
      </c>
      <c r="H2189" s="110"/>
      <c r="I2189" s="110"/>
      <c r="L2189" s="134">
        <v>45229</v>
      </c>
      <c r="M2189" s="110">
        <v>41.7</v>
      </c>
      <c r="N2189" s="110">
        <v>42.5</v>
      </c>
      <c r="O2189" s="110">
        <v>41.2</v>
      </c>
      <c r="P2189" s="110">
        <v>42.4</v>
      </c>
      <c r="Q2189" s="110">
        <v>41.7</v>
      </c>
      <c r="R2189">
        <v>24508802</v>
      </c>
    </row>
    <row r="2190" spans="1:18" x14ac:dyDescent="0.25">
      <c r="A2190" s="134">
        <v>45230</v>
      </c>
      <c r="B2190" s="110">
        <v>42.77</v>
      </c>
      <c r="C2190" s="110">
        <v>41.73</v>
      </c>
      <c r="D2190" s="110">
        <v>41.6</v>
      </c>
      <c r="E2190" s="110">
        <v>41.99</v>
      </c>
      <c r="F2190" s="110">
        <v>41.73</v>
      </c>
      <c r="G2190">
        <v>2270527</v>
      </c>
      <c r="H2190" s="110"/>
      <c r="I2190" s="110"/>
      <c r="L2190" s="134">
        <v>45230</v>
      </c>
      <c r="M2190" s="110">
        <v>41.75</v>
      </c>
      <c r="N2190" s="110">
        <v>42.75</v>
      </c>
      <c r="O2190" s="110">
        <v>41.55</v>
      </c>
      <c r="P2190" s="110">
        <v>41.9</v>
      </c>
      <c r="Q2190" s="110">
        <v>41.75</v>
      </c>
      <c r="R2190">
        <v>22298756</v>
      </c>
    </row>
    <row r="2191" spans="1:18" x14ac:dyDescent="0.25">
      <c r="A2191" s="134">
        <v>45231</v>
      </c>
      <c r="B2191" s="110">
        <v>42.15</v>
      </c>
      <c r="C2191" s="110">
        <v>41.32</v>
      </c>
      <c r="D2191" s="110">
        <v>41.21</v>
      </c>
      <c r="E2191" s="110">
        <v>41.9</v>
      </c>
      <c r="F2191" s="110">
        <v>41.32</v>
      </c>
      <c r="G2191">
        <v>1127521</v>
      </c>
      <c r="H2191" s="110"/>
      <c r="I2191" s="110"/>
      <c r="L2191" s="134">
        <v>45231</v>
      </c>
      <c r="M2191" s="110">
        <v>41.35</v>
      </c>
      <c r="N2191" s="110">
        <v>42.2</v>
      </c>
      <c r="O2191" s="110">
        <v>41.25</v>
      </c>
      <c r="P2191" s="110">
        <v>41.9</v>
      </c>
      <c r="Q2191" s="110">
        <v>41.35</v>
      </c>
      <c r="R2191">
        <v>19348170</v>
      </c>
    </row>
    <row r="2192" spans="1:18" x14ac:dyDescent="0.25">
      <c r="A2192" s="134">
        <v>45232</v>
      </c>
      <c r="B2192" s="110">
        <v>42.9</v>
      </c>
      <c r="C2192" s="110">
        <v>42.72</v>
      </c>
      <c r="D2192" s="110">
        <v>41.91</v>
      </c>
      <c r="E2192" s="110">
        <v>41.95</v>
      </c>
      <c r="F2192" s="110">
        <v>42.72</v>
      </c>
      <c r="G2192">
        <v>1160880</v>
      </c>
      <c r="H2192" s="110"/>
      <c r="I2192" s="110"/>
      <c r="L2192" s="134">
        <v>45232</v>
      </c>
      <c r="M2192" s="110">
        <v>42.7</v>
      </c>
      <c r="N2192" s="110">
        <v>42.9</v>
      </c>
      <c r="O2192" s="110">
        <v>41.9</v>
      </c>
      <c r="P2192" s="110">
        <v>41.95</v>
      </c>
      <c r="Q2192" s="110">
        <v>42.7</v>
      </c>
      <c r="R2192">
        <v>29293525</v>
      </c>
    </row>
    <row r="2193" spans="1:18" x14ac:dyDescent="0.25">
      <c r="A2193" s="134">
        <v>45233</v>
      </c>
      <c r="B2193" s="110">
        <v>43.25</v>
      </c>
      <c r="C2193" s="110">
        <v>42.69</v>
      </c>
      <c r="D2193" s="110">
        <v>42.43</v>
      </c>
      <c r="E2193" s="110">
        <v>43</v>
      </c>
      <c r="F2193" s="110">
        <v>42.69</v>
      </c>
      <c r="G2193">
        <v>1728438</v>
      </c>
      <c r="H2193" s="110"/>
      <c r="I2193" s="110"/>
      <c r="L2193" s="134">
        <v>45233</v>
      </c>
      <c r="M2193" s="110">
        <v>42.7</v>
      </c>
      <c r="N2193" s="110">
        <v>43.3</v>
      </c>
      <c r="O2193" s="110">
        <v>42.45</v>
      </c>
      <c r="P2193" s="110">
        <v>43</v>
      </c>
      <c r="Q2193" s="110">
        <v>42.7</v>
      </c>
      <c r="R2193">
        <v>18307093</v>
      </c>
    </row>
    <row r="2194" spans="1:18" x14ac:dyDescent="0.25">
      <c r="A2194" s="134">
        <v>45236</v>
      </c>
      <c r="B2194" s="110">
        <v>43.61</v>
      </c>
      <c r="C2194" s="110">
        <v>43.25</v>
      </c>
      <c r="D2194" s="110">
        <v>42.76</v>
      </c>
      <c r="E2194" s="110">
        <v>43.49</v>
      </c>
      <c r="F2194" s="110">
        <v>43.25</v>
      </c>
      <c r="G2194">
        <v>969567</v>
      </c>
      <c r="H2194" s="110"/>
      <c r="I2194" s="110"/>
      <c r="L2194" s="134">
        <v>45236</v>
      </c>
      <c r="M2194" s="110">
        <v>43.25</v>
      </c>
      <c r="N2194" s="110">
        <v>43.75</v>
      </c>
      <c r="O2194" s="110">
        <v>42.75</v>
      </c>
      <c r="P2194" s="110">
        <v>43.3</v>
      </c>
      <c r="Q2194" s="110">
        <v>43.25</v>
      </c>
      <c r="R2194">
        <v>17443349</v>
      </c>
    </row>
    <row r="2195" spans="1:18" x14ac:dyDescent="0.25">
      <c r="A2195" s="134">
        <v>45237</v>
      </c>
      <c r="B2195" s="110">
        <v>44</v>
      </c>
      <c r="C2195" s="110">
        <v>43.85</v>
      </c>
      <c r="D2195" s="110">
        <v>42.8</v>
      </c>
      <c r="E2195" s="110">
        <v>43.25</v>
      </c>
      <c r="F2195" s="110">
        <v>43.85</v>
      </c>
      <c r="G2195">
        <v>1854774</v>
      </c>
      <c r="H2195" s="110"/>
      <c r="I2195" s="110"/>
      <c r="L2195" s="134">
        <v>45237</v>
      </c>
      <c r="M2195" s="110">
        <v>43.85</v>
      </c>
      <c r="N2195" s="110">
        <v>44</v>
      </c>
      <c r="O2195" s="110">
        <v>42.8</v>
      </c>
      <c r="P2195" s="110">
        <v>43.2</v>
      </c>
      <c r="Q2195" s="110">
        <v>43.85</v>
      </c>
      <c r="R2195">
        <v>19403174</v>
      </c>
    </row>
    <row r="2196" spans="1:18" x14ac:dyDescent="0.25">
      <c r="A2196" s="134">
        <v>45238</v>
      </c>
      <c r="B2196" s="110">
        <v>44.45</v>
      </c>
      <c r="C2196" s="110">
        <v>44.02</v>
      </c>
      <c r="D2196" s="110">
        <v>43.56</v>
      </c>
      <c r="E2196" s="110">
        <v>44</v>
      </c>
      <c r="F2196" s="110">
        <v>44.02</v>
      </c>
      <c r="G2196">
        <v>1607075</v>
      </c>
      <c r="H2196" s="110"/>
      <c r="I2196" s="110"/>
      <c r="L2196" s="134">
        <v>45238</v>
      </c>
      <c r="M2196" s="110">
        <v>43.9</v>
      </c>
      <c r="N2196" s="110">
        <v>44.4</v>
      </c>
      <c r="O2196" s="110">
        <v>43.6</v>
      </c>
      <c r="P2196" s="110">
        <v>44</v>
      </c>
      <c r="Q2196" s="110">
        <v>43.9</v>
      </c>
      <c r="R2196">
        <v>16437254</v>
      </c>
    </row>
    <row r="2197" spans="1:18" x14ac:dyDescent="0.25">
      <c r="A2197" s="134">
        <v>45239</v>
      </c>
      <c r="B2197" s="110">
        <v>44.12</v>
      </c>
      <c r="C2197" s="110">
        <v>43.36</v>
      </c>
      <c r="D2197" s="110">
        <v>43.21</v>
      </c>
      <c r="E2197" s="110">
        <v>44.01</v>
      </c>
      <c r="F2197" s="110">
        <v>43.36</v>
      </c>
      <c r="G2197">
        <v>1438808</v>
      </c>
      <c r="H2197" s="110"/>
      <c r="I2197" s="110"/>
      <c r="L2197" s="134">
        <v>45239</v>
      </c>
      <c r="M2197" s="110">
        <v>43.35</v>
      </c>
      <c r="N2197" s="110">
        <v>44.1</v>
      </c>
      <c r="O2197" s="110">
        <v>43.2</v>
      </c>
      <c r="P2197" s="110">
        <v>44.1</v>
      </c>
      <c r="Q2197" s="110">
        <v>43.35</v>
      </c>
      <c r="R2197">
        <v>13158896</v>
      </c>
    </row>
    <row r="2198" spans="1:18" x14ac:dyDescent="0.25">
      <c r="A2198" s="134">
        <v>45240</v>
      </c>
      <c r="B2198" s="110">
        <v>43.49</v>
      </c>
      <c r="C2198" s="110">
        <v>43.16</v>
      </c>
      <c r="D2198" s="110">
        <v>42.75</v>
      </c>
      <c r="E2198" s="110">
        <v>43.49</v>
      </c>
      <c r="F2198" s="110">
        <v>43.16</v>
      </c>
      <c r="G2198">
        <v>1272752</v>
      </c>
      <c r="H2198" s="110"/>
      <c r="I2198" s="110"/>
      <c r="L2198" s="134">
        <v>45240</v>
      </c>
      <c r="M2198" s="110">
        <v>43.15</v>
      </c>
      <c r="N2198" s="110">
        <v>43.35</v>
      </c>
      <c r="O2198" s="110">
        <v>42.75</v>
      </c>
      <c r="P2198" s="110">
        <v>43.3</v>
      </c>
      <c r="Q2198" s="110">
        <v>43.15</v>
      </c>
      <c r="R2198">
        <v>9751541</v>
      </c>
    </row>
    <row r="2199" spans="1:18" x14ac:dyDescent="0.25">
      <c r="A2199" s="134">
        <v>45242</v>
      </c>
      <c r="B2199" s="110">
        <v>43.6</v>
      </c>
      <c r="C2199" s="110">
        <v>43.36</v>
      </c>
      <c r="D2199" s="110">
        <v>43.2</v>
      </c>
      <c r="E2199" s="110">
        <v>43.31</v>
      </c>
      <c r="F2199" s="110">
        <v>43.36</v>
      </c>
      <c r="G2199">
        <v>415931</v>
      </c>
      <c r="H2199" s="110"/>
      <c r="I2199" s="110"/>
      <c r="L2199" s="134">
        <v>45242</v>
      </c>
      <c r="M2199" s="110">
        <v>43.35</v>
      </c>
      <c r="N2199" s="110">
        <v>43.55</v>
      </c>
      <c r="O2199" s="110">
        <v>43.2</v>
      </c>
      <c r="P2199" s="110">
        <v>43.4</v>
      </c>
      <c r="Q2199" s="110">
        <v>43.35</v>
      </c>
      <c r="R2199">
        <v>4156428</v>
      </c>
    </row>
    <row r="2200" spans="1:18" x14ac:dyDescent="0.25">
      <c r="A2200" s="134">
        <v>45243</v>
      </c>
      <c r="B2200" s="110">
        <v>46.17</v>
      </c>
      <c r="C2200" s="110">
        <v>46.07</v>
      </c>
      <c r="D2200" s="110">
        <v>42.9</v>
      </c>
      <c r="E2200" s="110">
        <v>43.42</v>
      </c>
      <c r="F2200" s="110">
        <v>46.07</v>
      </c>
      <c r="G2200">
        <v>5526624</v>
      </c>
      <c r="H2200" s="110"/>
      <c r="I2200" s="110"/>
      <c r="L2200" s="134">
        <v>45243</v>
      </c>
      <c r="M2200" s="110">
        <v>46.1</v>
      </c>
      <c r="N2200" s="110">
        <v>46.2</v>
      </c>
      <c r="O2200" s="110">
        <v>42.9</v>
      </c>
      <c r="P2200" s="110">
        <v>43.2</v>
      </c>
      <c r="Q2200" s="110">
        <v>46.1</v>
      </c>
      <c r="R2200">
        <v>56153291</v>
      </c>
    </row>
    <row r="2201" spans="1:18" x14ac:dyDescent="0.25">
      <c r="A2201" s="134">
        <v>45245</v>
      </c>
      <c r="B2201" s="110">
        <v>46.87</v>
      </c>
      <c r="C2201" s="110">
        <v>46.34</v>
      </c>
      <c r="D2201" s="110">
        <v>45.89</v>
      </c>
      <c r="E2201" s="110">
        <v>46.69</v>
      </c>
      <c r="F2201" s="110">
        <v>46.34</v>
      </c>
      <c r="G2201">
        <v>1947589</v>
      </c>
      <c r="H2201" s="110"/>
      <c r="I2201" s="110"/>
      <c r="L2201" s="134">
        <v>45245</v>
      </c>
      <c r="M2201" s="110">
        <v>46.4</v>
      </c>
      <c r="N2201" s="110">
        <v>46.85</v>
      </c>
      <c r="O2201" s="110">
        <v>45.9</v>
      </c>
      <c r="P2201" s="110">
        <v>46.6</v>
      </c>
      <c r="Q2201" s="110">
        <v>46.4</v>
      </c>
      <c r="R2201">
        <v>32538914</v>
      </c>
    </row>
    <row r="2202" spans="1:18" x14ac:dyDescent="0.25">
      <c r="A2202" s="134">
        <v>45246</v>
      </c>
      <c r="B2202" s="110">
        <v>46.55</v>
      </c>
      <c r="C2202" s="110">
        <v>45.97</v>
      </c>
      <c r="D2202" s="110">
        <v>45.81</v>
      </c>
      <c r="E2202" s="110">
        <v>46.55</v>
      </c>
      <c r="F2202" s="110">
        <v>45.97</v>
      </c>
      <c r="G2202">
        <v>701529</v>
      </c>
      <c r="H2202" s="110"/>
      <c r="I2202" s="110"/>
      <c r="L2202" s="134">
        <v>45246</v>
      </c>
      <c r="M2202" s="110">
        <v>45.95</v>
      </c>
      <c r="N2202" s="110">
        <v>46.5</v>
      </c>
      <c r="O2202" s="110">
        <v>45.8</v>
      </c>
      <c r="P2202" s="110">
        <v>46.5</v>
      </c>
      <c r="Q2202" s="110">
        <v>45.95</v>
      </c>
      <c r="R2202">
        <v>17494681</v>
      </c>
    </row>
    <row r="2203" spans="1:18" x14ac:dyDescent="0.25">
      <c r="A2203" s="134">
        <v>45247</v>
      </c>
      <c r="B2203" s="110">
        <v>45.35</v>
      </c>
      <c r="C2203" s="110">
        <v>44.66</v>
      </c>
      <c r="D2203" s="110">
        <v>44.27</v>
      </c>
      <c r="E2203" s="110">
        <v>45</v>
      </c>
      <c r="F2203" s="110">
        <v>44.66</v>
      </c>
      <c r="G2203">
        <v>2749103</v>
      </c>
      <c r="H2203" s="110"/>
      <c r="I2203" s="110"/>
      <c r="L2203" s="134">
        <v>45247</v>
      </c>
      <c r="M2203" s="110">
        <v>44.7</v>
      </c>
      <c r="N2203" s="110">
        <v>45.35</v>
      </c>
      <c r="O2203" s="110">
        <v>44.2</v>
      </c>
      <c r="P2203" s="110">
        <v>45</v>
      </c>
      <c r="Q2203" s="110">
        <v>44.7</v>
      </c>
      <c r="R2203">
        <v>21895955</v>
      </c>
    </row>
    <row r="2204" spans="1:18" x14ac:dyDescent="0.25">
      <c r="A2204" s="134">
        <v>45250</v>
      </c>
      <c r="B2204" s="110">
        <v>45.35</v>
      </c>
      <c r="C2204" s="110">
        <v>44.82</v>
      </c>
      <c r="D2204" s="110">
        <v>44.61</v>
      </c>
      <c r="E2204" s="110">
        <v>45</v>
      </c>
      <c r="F2204" s="110">
        <v>44.82</v>
      </c>
      <c r="G2204">
        <v>704974</v>
      </c>
      <c r="H2204" s="110"/>
      <c r="I2204" s="110"/>
      <c r="L2204" s="134">
        <v>45250</v>
      </c>
      <c r="M2204" s="110">
        <v>44.85</v>
      </c>
      <c r="N2204" s="110">
        <v>45.35</v>
      </c>
      <c r="O2204" s="110">
        <v>44.55</v>
      </c>
      <c r="P2204" s="110">
        <v>44.95</v>
      </c>
      <c r="Q2204" s="110">
        <v>44.85</v>
      </c>
      <c r="R2204">
        <v>13807503</v>
      </c>
    </row>
    <row r="2205" spans="1:18" x14ac:dyDescent="0.25">
      <c r="A2205" s="134">
        <v>45251</v>
      </c>
      <c r="B2205" s="110">
        <v>45.09</v>
      </c>
      <c r="C2205" s="110">
        <v>44.66</v>
      </c>
      <c r="D2205" s="110">
        <v>44.46</v>
      </c>
      <c r="E2205" s="110">
        <v>44.83</v>
      </c>
      <c r="F2205" s="110">
        <v>44.66</v>
      </c>
      <c r="G2205">
        <v>780064</v>
      </c>
      <c r="H2205" s="110"/>
      <c r="I2205" s="110"/>
      <c r="L2205" s="134">
        <v>45251</v>
      </c>
      <c r="M2205" s="110">
        <v>44.6</v>
      </c>
      <c r="N2205" s="110">
        <v>45.15</v>
      </c>
      <c r="O2205" s="110">
        <v>44.45</v>
      </c>
      <c r="P2205" s="110">
        <v>44.9</v>
      </c>
      <c r="Q2205" s="110">
        <v>44.6</v>
      </c>
      <c r="R2205">
        <v>10006188</v>
      </c>
    </row>
    <row r="2206" spans="1:18" x14ac:dyDescent="0.25">
      <c r="A2206" s="134">
        <v>45252</v>
      </c>
      <c r="B2206" s="110">
        <v>44.65</v>
      </c>
      <c r="C2206" s="110">
        <v>43.74</v>
      </c>
      <c r="D2206" s="110">
        <v>43.55</v>
      </c>
      <c r="E2206" s="110">
        <v>44.51</v>
      </c>
      <c r="F2206" s="110">
        <v>43.74</v>
      </c>
      <c r="G2206">
        <v>1665432</v>
      </c>
      <c r="H2206" s="110"/>
      <c r="I2206" s="110"/>
      <c r="L2206" s="134">
        <v>45252</v>
      </c>
      <c r="M2206" s="110">
        <v>43.75</v>
      </c>
      <c r="N2206" s="110">
        <v>44.65</v>
      </c>
      <c r="O2206" s="110">
        <v>43.55</v>
      </c>
      <c r="P2206" s="110">
        <v>44.6</v>
      </c>
      <c r="Q2206" s="110">
        <v>43.75</v>
      </c>
      <c r="R2206">
        <v>11041989</v>
      </c>
    </row>
    <row r="2207" spans="1:18" x14ac:dyDescent="0.25">
      <c r="A2207" s="134">
        <v>45253</v>
      </c>
      <c r="B2207" s="110">
        <v>44.07</v>
      </c>
      <c r="C2207" s="110">
        <v>43.53</v>
      </c>
      <c r="D2207" s="110">
        <v>43.31</v>
      </c>
      <c r="E2207" s="110">
        <v>43.75</v>
      </c>
      <c r="F2207" s="110">
        <v>43.53</v>
      </c>
      <c r="G2207">
        <v>704473</v>
      </c>
      <c r="H2207" s="110"/>
      <c r="I2207" s="110"/>
      <c r="L2207" s="134">
        <v>45253</v>
      </c>
      <c r="M2207" s="110">
        <v>43.55</v>
      </c>
      <c r="N2207" s="110">
        <v>44.05</v>
      </c>
      <c r="O2207" s="110">
        <v>43.35</v>
      </c>
      <c r="P2207" s="110">
        <v>43.75</v>
      </c>
      <c r="Q2207" s="110">
        <v>43.55</v>
      </c>
      <c r="R2207">
        <v>9015979</v>
      </c>
    </row>
    <row r="2208" spans="1:18" x14ac:dyDescent="0.25">
      <c r="A2208" s="134">
        <v>45254</v>
      </c>
      <c r="B2208" s="110">
        <v>43.89</v>
      </c>
      <c r="C2208" s="110">
        <v>43.19</v>
      </c>
      <c r="D2208" s="110">
        <v>43.11</v>
      </c>
      <c r="E2208" s="110">
        <v>43.6</v>
      </c>
      <c r="F2208" s="110">
        <v>43.19</v>
      </c>
      <c r="G2208">
        <v>727528</v>
      </c>
      <c r="H2208" s="110"/>
      <c r="I2208" s="110"/>
      <c r="L2208" s="134">
        <v>45254</v>
      </c>
      <c r="M2208" s="110">
        <v>43.2</v>
      </c>
      <c r="N2208" s="110">
        <v>43.85</v>
      </c>
      <c r="O2208" s="110">
        <v>43.1</v>
      </c>
      <c r="P2208" s="110">
        <v>43.55</v>
      </c>
      <c r="Q2208" s="110">
        <v>43.2</v>
      </c>
      <c r="R2208">
        <v>7310096</v>
      </c>
    </row>
    <row r="2209" spans="1:18" x14ac:dyDescent="0.25">
      <c r="A2209" s="134">
        <v>45258</v>
      </c>
      <c r="B2209" s="110">
        <v>44.57</v>
      </c>
      <c r="C2209" s="110">
        <v>44.11</v>
      </c>
      <c r="D2209" s="110">
        <v>42.87</v>
      </c>
      <c r="E2209" s="110">
        <v>43.24</v>
      </c>
      <c r="F2209" s="110">
        <v>44.11</v>
      </c>
      <c r="G2209">
        <v>1354889</v>
      </c>
      <c r="H2209" s="110"/>
      <c r="I2209" s="110"/>
      <c r="L2209" s="134">
        <v>45258</v>
      </c>
      <c r="M2209" s="110">
        <v>44.15</v>
      </c>
      <c r="N2209" s="110">
        <v>44.55</v>
      </c>
      <c r="O2209" s="110">
        <v>42.85</v>
      </c>
      <c r="P2209" s="110">
        <v>43.3</v>
      </c>
      <c r="Q2209" s="110">
        <v>44.15</v>
      </c>
      <c r="R2209">
        <v>17633086</v>
      </c>
    </row>
    <row r="2210" spans="1:18" x14ac:dyDescent="0.25">
      <c r="A2210" s="134">
        <v>45259</v>
      </c>
      <c r="B2210" s="110">
        <v>44.88</v>
      </c>
      <c r="C2210" s="110">
        <v>44.3</v>
      </c>
      <c r="D2210" s="110">
        <v>44.04</v>
      </c>
      <c r="E2210" s="110">
        <v>44.88</v>
      </c>
      <c r="F2210" s="110">
        <v>44.3</v>
      </c>
      <c r="G2210">
        <v>595212</v>
      </c>
      <c r="H2210" s="110"/>
      <c r="I2210" s="110"/>
      <c r="L2210" s="134">
        <v>45259</v>
      </c>
      <c r="M2210" s="110">
        <v>44.3</v>
      </c>
      <c r="N2210" s="110">
        <v>44.65</v>
      </c>
      <c r="O2210" s="110">
        <v>44.05</v>
      </c>
      <c r="P2210" s="110">
        <v>44.5</v>
      </c>
      <c r="Q2210" s="110">
        <v>44.3</v>
      </c>
      <c r="R2210">
        <v>9981258</v>
      </c>
    </row>
    <row r="2211" spans="1:18" x14ac:dyDescent="0.25">
      <c r="A2211" s="134">
        <v>45260</v>
      </c>
      <c r="B2211" s="110">
        <v>44.55</v>
      </c>
      <c r="C2211" s="110">
        <v>43.95</v>
      </c>
      <c r="D2211" s="110">
        <v>43.72</v>
      </c>
      <c r="E2211" s="110">
        <v>44.11</v>
      </c>
      <c r="F2211" s="110">
        <v>43.95</v>
      </c>
      <c r="G2211">
        <v>1393415</v>
      </c>
      <c r="H2211" s="110"/>
      <c r="I2211" s="110"/>
      <c r="L2211" s="134">
        <v>45260</v>
      </c>
      <c r="M2211" s="110">
        <v>44</v>
      </c>
      <c r="N2211" s="110">
        <v>44.55</v>
      </c>
      <c r="O2211" s="110">
        <v>43.7</v>
      </c>
      <c r="P2211" s="110">
        <v>44.3</v>
      </c>
      <c r="Q2211" s="110">
        <v>44</v>
      </c>
      <c r="R2211">
        <v>8930318</v>
      </c>
    </row>
    <row r="2212" spans="1:18" x14ac:dyDescent="0.25">
      <c r="A2212" s="134">
        <v>45261</v>
      </c>
      <c r="B2212" s="110">
        <v>45.35</v>
      </c>
      <c r="C2212" s="110">
        <v>44.41</v>
      </c>
      <c r="D2212" s="110">
        <v>43.95</v>
      </c>
      <c r="E2212" s="110">
        <v>44.01</v>
      </c>
      <c r="F2212" s="110">
        <v>44.41</v>
      </c>
      <c r="G2212">
        <v>1427030</v>
      </c>
      <c r="H2212" s="110"/>
      <c r="I2212" s="110"/>
      <c r="L2212" s="134">
        <v>45261</v>
      </c>
      <c r="M2212" s="110">
        <v>44.35</v>
      </c>
      <c r="N2212" s="110">
        <v>45.4</v>
      </c>
      <c r="O2212" s="110">
        <v>43.95</v>
      </c>
      <c r="P2212" s="110">
        <v>44.1</v>
      </c>
      <c r="Q2212" s="110">
        <v>44.35</v>
      </c>
      <c r="R2212">
        <v>25362443</v>
      </c>
    </row>
    <row r="2213" spans="1:18" x14ac:dyDescent="0.25">
      <c r="A2213" s="134">
        <v>45264</v>
      </c>
      <c r="B2213" s="110">
        <v>46.35</v>
      </c>
      <c r="C2213" s="110">
        <v>45.82</v>
      </c>
      <c r="D2213" s="110">
        <v>45.25</v>
      </c>
      <c r="E2213" s="110">
        <v>45.79</v>
      </c>
      <c r="F2213" s="110">
        <v>45.82</v>
      </c>
      <c r="G2213">
        <v>5435257</v>
      </c>
      <c r="H2213" s="110"/>
      <c r="I2213" s="110"/>
      <c r="L2213" s="134">
        <v>45264</v>
      </c>
      <c r="M2213" s="110">
        <v>45.85</v>
      </c>
      <c r="N2213" s="110">
        <v>46.35</v>
      </c>
      <c r="O2213" s="110">
        <v>45.2</v>
      </c>
      <c r="P2213" s="110">
        <v>45.65</v>
      </c>
      <c r="Q2213" s="110">
        <v>45.85</v>
      </c>
      <c r="R2213">
        <v>38926956</v>
      </c>
    </row>
    <row r="2214" spans="1:18" x14ac:dyDescent="0.25">
      <c r="A2214" s="134">
        <v>45265</v>
      </c>
      <c r="B2214" s="110">
        <v>47.13</v>
      </c>
      <c r="C2214" s="110">
        <v>45.94</v>
      </c>
      <c r="D2214" s="110">
        <v>45.71</v>
      </c>
      <c r="E2214" s="110">
        <v>45.99</v>
      </c>
      <c r="F2214" s="110">
        <v>45.94</v>
      </c>
      <c r="G2214">
        <v>2816861</v>
      </c>
      <c r="H2214" s="110"/>
      <c r="I2214" s="110"/>
      <c r="L2214" s="134">
        <v>45265</v>
      </c>
      <c r="M2214" s="110">
        <v>45.95</v>
      </c>
      <c r="N2214" s="110">
        <v>47.1</v>
      </c>
      <c r="O2214" s="110">
        <v>45.7</v>
      </c>
      <c r="P2214" s="110">
        <v>45.85</v>
      </c>
      <c r="Q2214" s="110">
        <v>45.95</v>
      </c>
      <c r="R2214">
        <v>37425264</v>
      </c>
    </row>
    <row r="2215" spans="1:18" x14ac:dyDescent="0.25">
      <c r="A2215" s="134">
        <v>45266</v>
      </c>
      <c r="B2215" s="110">
        <v>46.39</v>
      </c>
      <c r="C2215" s="110">
        <v>45.83</v>
      </c>
      <c r="D2215" s="110">
        <v>45.24</v>
      </c>
      <c r="E2215" s="110">
        <v>46.1</v>
      </c>
      <c r="F2215" s="110">
        <v>45.83</v>
      </c>
      <c r="G2215">
        <v>1807824</v>
      </c>
      <c r="H2215" s="110"/>
      <c r="I2215" s="110"/>
      <c r="L2215" s="134">
        <v>45266</v>
      </c>
      <c r="M2215" s="110">
        <v>45.8</v>
      </c>
      <c r="N2215" s="110">
        <v>46.4</v>
      </c>
      <c r="O2215" s="110">
        <v>45.25</v>
      </c>
      <c r="P2215" s="110">
        <v>46.25</v>
      </c>
      <c r="Q2215" s="110">
        <v>45.8</v>
      </c>
      <c r="R2215">
        <v>27938246</v>
      </c>
    </row>
    <row r="2216" spans="1:18" x14ac:dyDescent="0.25">
      <c r="A2216" s="134">
        <v>45267</v>
      </c>
      <c r="B2216" s="110">
        <v>46.51</v>
      </c>
      <c r="C2216" s="110">
        <v>45.92</v>
      </c>
      <c r="D2216" s="110">
        <v>45.33</v>
      </c>
      <c r="E2216" s="110">
        <v>45.98</v>
      </c>
      <c r="F2216" s="110">
        <v>45.92</v>
      </c>
      <c r="G2216">
        <v>3174276</v>
      </c>
      <c r="H2216" s="110"/>
      <c r="I2216" s="110"/>
      <c r="L2216" s="134">
        <v>45267</v>
      </c>
      <c r="M2216" s="110">
        <v>46</v>
      </c>
      <c r="N2216" s="110">
        <v>46.55</v>
      </c>
      <c r="O2216" s="110">
        <v>45.3</v>
      </c>
      <c r="P2216" s="110">
        <v>45.9</v>
      </c>
      <c r="Q2216" s="110">
        <v>46</v>
      </c>
      <c r="R2216">
        <v>21596403</v>
      </c>
    </row>
    <row r="2217" spans="1:18" x14ac:dyDescent="0.25">
      <c r="A2217" s="134">
        <v>45268</v>
      </c>
      <c r="B2217" s="110">
        <v>46.8</v>
      </c>
      <c r="C2217" s="110">
        <v>46.19</v>
      </c>
      <c r="D2217" s="110">
        <v>45.63</v>
      </c>
      <c r="E2217" s="110">
        <v>46.29</v>
      </c>
      <c r="F2217" s="110">
        <v>46.19</v>
      </c>
      <c r="G2217">
        <v>2508963</v>
      </c>
      <c r="H2217" s="110"/>
      <c r="I2217" s="110"/>
      <c r="L2217" s="134">
        <v>45268</v>
      </c>
      <c r="M2217" s="110">
        <v>46.2</v>
      </c>
      <c r="N2217" s="110">
        <v>46.8</v>
      </c>
      <c r="O2217" s="110">
        <v>45.6</v>
      </c>
      <c r="P2217" s="110">
        <v>46.2</v>
      </c>
      <c r="Q2217" s="110">
        <v>46.2</v>
      </c>
      <c r="R2217">
        <v>28147361</v>
      </c>
    </row>
    <row r="2218" spans="1:18" x14ac:dyDescent="0.25">
      <c r="A2218" s="134">
        <v>45271</v>
      </c>
      <c r="B2218" s="110">
        <v>47.99</v>
      </c>
      <c r="C2218" s="110">
        <v>47</v>
      </c>
      <c r="D2218" s="110">
        <v>46.46</v>
      </c>
      <c r="E2218" s="110">
        <v>46.77</v>
      </c>
      <c r="F2218" s="110">
        <v>47</v>
      </c>
      <c r="G2218">
        <v>4012862</v>
      </c>
      <c r="H2218" s="110"/>
      <c r="I2218" s="110"/>
      <c r="L2218" s="134">
        <v>45271</v>
      </c>
      <c r="M2218" s="110">
        <v>47</v>
      </c>
      <c r="N2218" s="110">
        <v>48</v>
      </c>
      <c r="O2218" s="110">
        <v>46.4</v>
      </c>
      <c r="P2218" s="110">
        <v>46.45</v>
      </c>
      <c r="Q2218" s="110">
        <v>47</v>
      </c>
      <c r="R2218">
        <v>53924113</v>
      </c>
    </row>
    <row r="2219" spans="1:18" x14ac:dyDescent="0.25">
      <c r="A2219" s="134">
        <v>45272</v>
      </c>
      <c r="B2219" s="110">
        <v>47.81</v>
      </c>
      <c r="C2219" s="110">
        <v>46.79</v>
      </c>
      <c r="D2219" s="110">
        <v>46.5</v>
      </c>
      <c r="E2219" s="110">
        <v>47.49</v>
      </c>
      <c r="F2219" s="110">
        <v>46.79</v>
      </c>
      <c r="G2219">
        <v>3825755</v>
      </c>
      <c r="H2219" s="110"/>
      <c r="I2219" s="110"/>
      <c r="L2219" s="134">
        <v>45272</v>
      </c>
      <c r="M2219" s="110">
        <v>46.8</v>
      </c>
      <c r="N2219" s="110">
        <v>47.85</v>
      </c>
      <c r="O2219" s="110">
        <v>46.45</v>
      </c>
      <c r="P2219" s="110">
        <v>47.4</v>
      </c>
      <c r="Q2219" s="110">
        <v>46.8</v>
      </c>
      <c r="R2219">
        <v>23926505</v>
      </c>
    </row>
    <row r="2220" spans="1:18" x14ac:dyDescent="0.25">
      <c r="A2220" s="134">
        <v>45273</v>
      </c>
      <c r="B2220" s="110">
        <v>46.93</v>
      </c>
      <c r="C2220" s="110">
        <v>46.64</v>
      </c>
      <c r="D2220" s="110">
        <v>46.31</v>
      </c>
      <c r="E2220" s="110">
        <v>46.8</v>
      </c>
      <c r="F2220" s="110">
        <v>46.64</v>
      </c>
      <c r="G2220">
        <v>1798296</v>
      </c>
      <c r="H2220" s="110"/>
      <c r="I2220" s="110"/>
      <c r="L2220" s="134">
        <v>45273</v>
      </c>
      <c r="M2220" s="110">
        <v>46.65</v>
      </c>
      <c r="N2220" s="110">
        <v>47</v>
      </c>
      <c r="O2220" s="110">
        <v>46.3</v>
      </c>
      <c r="P2220" s="110">
        <v>46.9</v>
      </c>
      <c r="Q2220" s="110">
        <v>46.65</v>
      </c>
      <c r="R2220">
        <v>14794973</v>
      </c>
    </row>
    <row r="2221" spans="1:18" x14ac:dyDescent="0.25">
      <c r="A2221" s="134">
        <v>45274</v>
      </c>
      <c r="B2221" s="110">
        <v>47.45</v>
      </c>
      <c r="C2221" s="110">
        <v>46.8</v>
      </c>
      <c r="D2221" s="110">
        <v>46.6</v>
      </c>
      <c r="E2221" s="110">
        <v>47.34</v>
      </c>
      <c r="F2221" s="110">
        <v>46.8</v>
      </c>
      <c r="G2221">
        <v>1120049</v>
      </c>
      <c r="H2221" s="110"/>
      <c r="I2221" s="110"/>
      <c r="L2221" s="134">
        <v>45274</v>
      </c>
      <c r="M2221" s="110">
        <v>46.75</v>
      </c>
      <c r="N2221" s="110">
        <v>47.45</v>
      </c>
      <c r="O2221" s="110">
        <v>46.55</v>
      </c>
      <c r="P2221" s="110">
        <v>46.95</v>
      </c>
      <c r="Q2221" s="110">
        <v>46.75</v>
      </c>
      <c r="R2221">
        <v>19100426</v>
      </c>
    </row>
    <row r="2222" spans="1:18" x14ac:dyDescent="0.25">
      <c r="A2222" s="134">
        <v>45275</v>
      </c>
      <c r="B2222" s="110">
        <v>47.95</v>
      </c>
      <c r="C2222" s="110">
        <v>47.34</v>
      </c>
      <c r="D2222" s="110">
        <v>46.55</v>
      </c>
      <c r="E2222" s="110">
        <v>46.85</v>
      </c>
      <c r="F2222" s="110">
        <v>47.34</v>
      </c>
      <c r="G2222">
        <v>4266553</v>
      </c>
      <c r="H2222" s="110"/>
      <c r="I2222" s="110"/>
      <c r="L2222" s="134">
        <v>45275</v>
      </c>
      <c r="M2222" s="110">
        <v>47.35</v>
      </c>
      <c r="N2222" s="110">
        <v>47.95</v>
      </c>
      <c r="O2222" s="110">
        <v>46.55</v>
      </c>
      <c r="P2222" s="110">
        <v>47</v>
      </c>
      <c r="Q2222" s="110">
        <v>47.35</v>
      </c>
      <c r="R2222">
        <v>31794121</v>
      </c>
    </row>
    <row r="2223" spans="1:18" x14ac:dyDescent="0.25">
      <c r="A2223" s="134">
        <v>45278</v>
      </c>
      <c r="B2223" s="110">
        <v>48.28</v>
      </c>
      <c r="C2223" s="110">
        <v>47.64</v>
      </c>
      <c r="D2223" s="110">
        <v>46.6</v>
      </c>
      <c r="E2223" s="110">
        <v>47.65</v>
      </c>
      <c r="F2223" s="110">
        <v>47.64</v>
      </c>
      <c r="G2223">
        <v>3027822</v>
      </c>
      <c r="H2223" s="110"/>
      <c r="I2223" s="110"/>
      <c r="L2223" s="134">
        <v>45278</v>
      </c>
      <c r="M2223" s="110">
        <v>47.65</v>
      </c>
      <c r="N2223" s="110">
        <v>48.3</v>
      </c>
      <c r="O2223" s="110">
        <v>46.55</v>
      </c>
      <c r="P2223" s="110">
        <v>47.6</v>
      </c>
      <c r="Q2223" s="110">
        <v>47.65</v>
      </c>
      <c r="R2223">
        <v>42950298</v>
      </c>
    </row>
    <row r="2224" spans="1:18" x14ac:dyDescent="0.25">
      <c r="A2224" s="134">
        <v>45279</v>
      </c>
      <c r="B2224" s="110">
        <v>48.8</v>
      </c>
      <c r="C2224" s="110">
        <v>47.82</v>
      </c>
      <c r="D2224" s="110">
        <v>46.75</v>
      </c>
      <c r="E2224" s="110">
        <v>47.95</v>
      </c>
      <c r="F2224" s="110">
        <v>47.82</v>
      </c>
      <c r="G2224">
        <v>4211022</v>
      </c>
      <c r="H2224" s="110"/>
      <c r="I2224" s="110"/>
      <c r="L2224" s="134">
        <v>45279</v>
      </c>
      <c r="M2224" s="110">
        <v>47.8</v>
      </c>
      <c r="N2224" s="110">
        <v>48.8</v>
      </c>
      <c r="O2224" s="110">
        <v>46.75</v>
      </c>
      <c r="P2224" s="110">
        <v>47.95</v>
      </c>
      <c r="Q2224" s="110">
        <v>47.8</v>
      </c>
      <c r="R2224">
        <v>51281117</v>
      </c>
    </row>
    <row r="2225" spans="1:18" x14ac:dyDescent="0.25">
      <c r="A2225" s="134">
        <v>45280</v>
      </c>
      <c r="B2225" s="110">
        <v>48.4</v>
      </c>
      <c r="C2225" s="110">
        <v>44.57</v>
      </c>
      <c r="D2225" s="110">
        <v>44.12</v>
      </c>
      <c r="E2225" s="110">
        <v>48.29</v>
      </c>
      <c r="F2225" s="110">
        <v>44.57</v>
      </c>
      <c r="G2225">
        <v>7583470</v>
      </c>
      <c r="H2225" s="110"/>
      <c r="I2225" s="110"/>
      <c r="L2225" s="134">
        <v>45280</v>
      </c>
      <c r="M2225" s="110">
        <v>44.55</v>
      </c>
      <c r="N2225" s="110">
        <v>48.4</v>
      </c>
      <c r="O2225" s="110">
        <v>44.15</v>
      </c>
      <c r="P2225" s="110">
        <v>48.2</v>
      </c>
      <c r="Q2225" s="110">
        <v>44.55</v>
      </c>
      <c r="R2225">
        <v>45150018</v>
      </c>
    </row>
    <row r="2226" spans="1:18" x14ac:dyDescent="0.25">
      <c r="A2226" s="134">
        <v>45281</v>
      </c>
      <c r="B2226" s="110">
        <v>45.88</v>
      </c>
      <c r="C2226" s="110">
        <v>45.66</v>
      </c>
      <c r="D2226" s="110">
        <v>43.06</v>
      </c>
      <c r="E2226" s="110">
        <v>44.08</v>
      </c>
      <c r="F2226" s="110">
        <v>45.66</v>
      </c>
      <c r="G2226">
        <v>5905950</v>
      </c>
      <c r="H2226" s="110"/>
      <c r="I2226" s="110"/>
      <c r="L2226" s="134">
        <v>45281</v>
      </c>
      <c r="M2226" s="110">
        <v>45.65</v>
      </c>
      <c r="N2226" s="110">
        <v>45.9</v>
      </c>
      <c r="O2226" s="110">
        <v>43.05</v>
      </c>
      <c r="P2226" s="110">
        <v>44.35</v>
      </c>
      <c r="Q2226" s="110">
        <v>45.65</v>
      </c>
      <c r="R2226">
        <v>30115666</v>
      </c>
    </row>
    <row r="2227" spans="1:18" x14ac:dyDescent="0.25">
      <c r="A2227" s="134">
        <v>45282</v>
      </c>
      <c r="B2227" s="110">
        <v>46.19</v>
      </c>
      <c r="C2227" s="110">
        <v>45.6</v>
      </c>
      <c r="D2227" s="110">
        <v>45.06</v>
      </c>
      <c r="E2227" s="110">
        <v>46.19</v>
      </c>
      <c r="F2227" s="110">
        <v>45.6</v>
      </c>
      <c r="G2227">
        <v>3217312</v>
      </c>
      <c r="H2227" s="110"/>
      <c r="I2227" s="110"/>
      <c r="L2227" s="134">
        <v>45282</v>
      </c>
      <c r="M2227" s="110">
        <v>45.6</v>
      </c>
      <c r="N2227" s="110">
        <v>46.2</v>
      </c>
      <c r="O2227" s="110">
        <v>45.05</v>
      </c>
      <c r="P2227" s="110">
        <v>45.9</v>
      </c>
      <c r="Q2227" s="110">
        <v>45.6</v>
      </c>
      <c r="R2227">
        <v>15719910</v>
      </c>
    </row>
    <row r="2228" spans="1:18" x14ac:dyDescent="0.25">
      <c r="A2228" s="134">
        <v>45286</v>
      </c>
      <c r="B2228" s="110">
        <v>46</v>
      </c>
      <c r="C2228" s="110">
        <v>45.24</v>
      </c>
      <c r="D2228" s="110">
        <v>45.09</v>
      </c>
      <c r="E2228" s="110">
        <v>45.94</v>
      </c>
      <c r="F2228" s="110">
        <v>45.24</v>
      </c>
      <c r="G2228">
        <v>1986036</v>
      </c>
      <c r="H2228" s="110"/>
      <c r="I2228" s="110"/>
      <c r="L2228" s="134">
        <v>45286</v>
      </c>
      <c r="M2228" s="110">
        <v>45.25</v>
      </c>
      <c r="N2228" s="110">
        <v>46.05</v>
      </c>
      <c r="O2228" s="110">
        <v>45.1</v>
      </c>
      <c r="P2228" s="110">
        <v>45.8</v>
      </c>
      <c r="Q2228" s="110">
        <v>45.25</v>
      </c>
      <c r="R2228">
        <v>10718493</v>
      </c>
    </row>
    <row r="2229" spans="1:18" x14ac:dyDescent="0.25">
      <c r="A2229" s="134">
        <v>45287</v>
      </c>
      <c r="B2229" s="110">
        <v>46.19</v>
      </c>
      <c r="C2229" s="110">
        <v>45.48</v>
      </c>
      <c r="D2229" s="110">
        <v>45.27</v>
      </c>
      <c r="E2229" s="110">
        <v>45.39</v>
      </c>
      <c r="F2229" s="110">
        <v>45.48</v>
      </c>
      <c r="G2229">
        <v>1154570</v>
      </c>
      <c r="H2229" s="110"/>
      <c r="I2229" s="110"/>
      <c r="L2229" s="134">
        <v>45287</v>
      </c>
      <c r="M2229" s="110">
        <v>45.5</v>
      </c>
      <c r="N2229" s="110">
        <v>46.15</v>
      </c>
      <c r="O2229" s="110">
        <v>45.25</v>
      </c>
      <c r="P2229" s="110">
        <v>45.5</v>
      </c>
      <c r="Q2229" s="110">
        <v>45.5</v>
      </c>
      <c r="R2229">
        <v>15326571</v>
      </c>
    </row>
    <row r="2230" spans="1:18" x14ac:dyDescent="0.25">
      <c r="A2230" s="134">
        <v>45288</v>
      </c>
      <c r="B2230" s="110">
        <v>46.39</v>
      </c>
      <c r="C2230" s="110">
        <v>45.37</v>
      </c>
      <c r="D2230" s="110">
        <v>45.2</v>
      </c>
      <c r="E2230" s="110">
        <v>45.8</v>
      </c>
      <c r="F2230" s="110">
        <v>45.37</v>
      </c>
      <c r="G2230">
        <v>2855443</v>
      </c>
      <c r="H2230" s="110"/>
      <c r="I2230" s="110"/>
      <c r="L2230" s="134">
        <v>45288</v>
      </c>
      <c r="M2230" s="110">
        <v>45.35</v>
      </c>
      <c r="N2230" s="110">
        <v>46.4</v>
      </c>
      <c r="O2230" s="110">
        <v>45.2</v>
      </c>
      <c r="P2230" s="110">
        <v>45.8</v>
      </c>
      <c r="Q2230" s="110">
        <v>45.35</v>
      </c>
      <c r="R2230">
        <v>29959053</v>
      </c>
    </row>
    <row r="2231" spans="1:18" x14ac:dyDescent="0.25">
      <c r="A2231" s="134">
        <v>45289</v>
      </c>
      <c r="B2231" s="110">
        <v>45.59</v>
      </c>
      <c r="C2231" s="110">
        <v>45.14</v>
      </c>
      <c r="D2231" s="110">
        <v>44.75</v>
      </c>
      <c r="E2231" s="110">
        <v>45.41</v>
      </c>
      <c r="F2231" s="110">
        <v>45.14</v>
      </c>
      <c r="G2231">
        <v>3816254</v>
      </c>
      <c r="H2231" s="110"/>
      <c r="I2231" s="110"/>
      <c r="L2231" s="134">
        <v>45289</v>
      </c>
      <c r="M2231" s="110">
        <v>45.15</v>
      </c>
      <c r="N2231" s="110">
        <v>45.6</v>
      </c>
      <c r="O2231" s="110">
        <v>44.75</v>
      </c>
      <c r="P2231" s="110">
        <v>45.5</v>
      </c>
      <c r="Q2231" s="110">
        <v>45.15</v>
      </c>
      <c r="R2231">
        <v>20514491</v>
      </c>
    </row>
    <row r="2232" spans="1:18" x14ac:dyDescent="0.25">
      <c r="A2232" s="134">
        <v>45292</v>
      </c>
      <c r="B2232" s="110">
        <v>45.99</v>
      </c>
      <c r="C2232" s="110">
        <v>45.69</v>
      </c>
      <c r="D2232" s="110">
        <v>45.1</v>
      </c>
      <c r="E2232" s="110">
        <v>45.15</v>
      </c>
      <c r="F2232" s="110">
        <v>45.69</v>
      </c>
      <c r="G2232">
        <v>1452727</v>
      </c>
      <c r="H2232" s="110"/>
      <c r="I2232" s="110"/>
      <c r="L2232" s="134">
        <v>45292</v>
      </c>
      <c r="M2232" s="110">
        <v>45.65</v>
      </c>
      <c r="N2232" s="110">
        <v>45.95</v>
      </c>
      <c r="O2232" s="110">
        <v>45.1</v>
      </c>
      <c r="P2232" s="110">
        <v>45.25</v>
      </c>
      <c r="Q2232" s="110">
        <v>45.65</v>
      </c>
      <c r="R2232">
        <v>12901280</v>
      </c>
    </row>
    <row r="2233" spans="1:18" x14ac:dyDescent="0.25">
      <c r="A2233" s="134">
        <v>45293</v>
      </c>
      <c r="B2233" s="110">
        <v>46.19</v>
      </c>
      <c r="C2233" s="110">
        <v>45.44</v>
      </c>
      <c r="D2233" s="110">
        <v>45.09</v>
      </c>
      <c r="E2233" s="110">
        <v>45.49</v>
      </c>
      <c r="F2233" s="110">
        <v>45.44</v>
      </c>
      <c r="G2233">
        <v>3820289</v>
      </c>
      <c r="H2233" s="110"/>
      <c r="I2233" s="110"/>
      <c r="L2233" s="134">
        <v>45293</v>
      </c>
      <c r="M2233" s="110">
        <v>45.45</v>
      </c>
      <c r="N2233" s="110">
        <v>46.2</v>
      </c>
      <c r="O2233" s="110">
        <v>45.1</v>
      </c>
      <c r="P2233" s="110">
        <v>45.5</v>
      </c>
      <c r="Q2233" s="110">
        <v>45.45</v>
      </c>
      <c r="R2233">
        <v>17628818</v>
      </c>
    </row>
    <row r="2234" spans="1:18" x14ac:dyDescent="0.25">
      <c r="A2234" s="134">
        <v>45294</v>
      </c>
      <c r="B2234" s="110">
        <v>47.59</v>
      </c>
      <c r="C2234" s="110">
        <v>47.33</v>
      </c>
      <c r="D2234" s="110">
        <v>45.64</v>
      </c>
      <c r="E2234" s="110">
        <v>46</v>
      </c>
      <c r="F2234" s="110">
        <v>47.33</v>
      </c>
      <c r="G2234">
        <v>6735217</v>
      </c>
      <c r="H2234" s="110"/>
      <c r="I2234" s="110"/>
      <c r="L2234" s="134">
        <v>45294</v>
      </c>
      <c r="M2234" s="110">
        <v>47.3</v>
      </c>
      <c r="N2234" s="110">
        <v>47.6</v>
      </c>
      <c r="O2234" s="110">
        <v>45.6</v>
      </c>
      <c r="P2234" s="110">
        <v>46</v>
      </c>
      <c r="Q2234" s="110">
        <v>47.3</v>
      </c>
      <c r="R2234">
        <v>63018012</v>
      </c>
    </row>
    <row r="2235" spans="1:18" x14ac:dyDescent="0.25">
      <c r="A2235" s="134">
        <v>45295</v>
      </c>
      <c r="B2235" s="110">
        <v>47.74</v>
      </c>
      <c r="C2235" s="110">
        <v>47.28</v>
      </c>
      <c r="D2235" s="110">
        <v>46.96</v>
      </c>
      <c r="E2235" s="110">
        <v>47.45</v>
      </c>
      <c r="F2235" s="110">
        <v>47.28</v>
      </c>
      <c r="G2235">
        <v>5816659</v>
      </c>
      <c r="H2235" s="110"/>
      <c r="I2235" s="110"/>
      <c r="L2235" s="134">
        <v>45295</v>
      </c>
      <c r="M2235" s="110">
        <v>47.2</v>
      </c>
      <c r="N2235" s="110">
        <v>47.75</v>
      </c>
      <c r="O2235" s="110">
        <v>46.95</v>
      </c>
      <c r="P2235" s="110">
        <v>47.55</v>
      </c>
      <c r="Q2235" s="110">
        <v>47.2</v>
      </c>
      <c r="R2235">
        <v>27700055</v>
      </c>
    </row>
    <row r="2236" spans="1:18" x14ac:dyDescent="0.25">
      <c r="A2236" s="134">
        <v>45296</v>
      </c>
      <c r="B2236" s="110">
        <v>47.6</v>
      </c>
      <c r="C2236" s="110">
        <v>46.72</v>
      </c>
      <c r="D2236" s="110">
        <v>46.36</v>
      </c>
      <c r="E2236" s="110">
        <v>47.39</v>
      </c>
      <c r="F2236" s="110">
        <v>46.72</v>
      </c>
      <c r="G2236">
        <v>3932812</v>
      </c>
      <c r="H2236" s="110"/>
      <c r="I2236" s="110"/>
      <c r="L2236" s="134">
        <v>45296</v>
      </c>
      <c r="M2236" s="110">
        <v>46.7</v>
      </c>
      <c r="N2236" s="110">
        <v>47.6</v>
      </c>
      <c r="O2236" s="110">
        <v>46.3</v>
      </c>
      <c r="P2236" s="110">
        <v>47.3</v>
      </c>
      <c r="Q2236" s="110">
        <v>46.7</v>
      </c>
      <c r="R2236">
        <v>18698418</v>
      </c>
    </row>
    <row r="2237" spans="1:18" x14ac:dyDescent="0.25">
      <c r="A2237" s="134">
        <v>45299</v>
      </c>
      <c r="B2237" s="110">
        <v>46.9</v>
      </c>
      <c r="C2237" s="110">
        <v>45.9</v>
      </c>
      <c r="D2237" s="110">
        <v>45.8</v>
      </c>
      <c r="E2237" s="110">
        <v>46.73</v>
      </c>
      <c r="F2237" s="110">
        <v>45.9</v>
      </c>
      <c r="G2237">
        <v>3621356</v>
      </c>
      <c r="H2237" s="110"/>
      <c r="I2237" s="110"/>
      <c r="L2237" s="134">
        <v>45299</v>
      </c>
      <c r="M2237" s="110">
        <v>45.95</v>
      </c>
      <c r="N2237" s="110">
        <v>46.9</v>
      </c>
      <c r="O2237" s="110">
        <v>45.8</v>
      </c>
      <c r="P2237" s="110">
        <v>46.9</v>
      </c>
      <c r="Q2237" s="110">
        <v>45.95</v>
      </c>
      <c r="R2237">
        <v>21006685</v>
      </c>
    </row>
    <row r="2238" spans="1:18" x14ac:dyDescent="0.25">
      <c r="A2238" s="134">
        <v>45300</v>
      </c>
      <c r="B2238" s="110">
        <v>46.5</v>
      </c>
      <c r="C2238" s="110">
        <v>45.93</v>
      </c>
      <c r="D2238" s="110">
        <v>45.56</v>
      </c>
      <c r="E2238" s="110">
        <v>46.03</v>
      </c>
      <c r="F2238" s="110">
        <v>45.93</v>
      </c>
      <c r="G2238">
        <v>1764745</v>
      </c>
      <c r="H2238" s="110"/>
      <c r="I2238" s="110"/>
      <c r="L2238" s="134">
        <v>45300</v>
      </c>
      <c r="M2238" s="110">
        <v>45.9</v>
      </c>
      <c r="N2238" s="110">
        <v>46.5</v>
      </c>
      <c r="O2238" s="110">
        <v>45.55</v>
      </c>
      <c r="P2238" s="110">
        <v>46.2</v>
      </c>
      <c r="Q2238" s="110">
        <v>45.9</v>
      </c>
      <c r="R2238">
        <v>12906381</v>
      </c>
    </row>
    <row r="2239" spans="1:18" x14ac:dyDescent="0.25">
      <c r="A2239" s="134">
        <v>45301</v>
      </c>
      <c r="B2239" s="110">
        <v>45.93</v>
      </c>
      <c r="C2239" s="110">
        <v>45.28</v>
      </c>
      <c r="D2239" s="110">
        <v>45.2</v>
      </c>
      <c r="E2239" s="110">
        <v>45.89</v>
      </c>
      <c r="F2239" s="110">
        <v>45.28</v>
      </c>
      <c r="G2239">
        <v>2372888</v>
      </c>
      <c r="H2239" s="110"/>
      <c r="I2239" s="110"/>
      <c r="L2239" s="134">
        <v>45301</v>
      </c>
      <c r="M2239" s="110">
        <v>45.25</v>
      </c>
      <c r="N2239" s="110">
        <v>45.95</v>
      </c>
      <c r="O2239" s="110">
        <v>45.2</v>
      </c>
      <c r="P2239" s="110">
        <v>45.9</v>
      </c>
      <c r="Q2239" s="110">
        <v>45.25</v>
      </c>
      <c r="R2239">
        <v>15500064</v>
      </c>
    </row>
    <row r="2240" spans="1:18" x14ac:dyDescent="0.25">
      <c r="A2240" s="134">
        <v>45302</v>
      </c>
      <c r="B2240" s="110">
        <v>46.29</v>
      </c>
      <c r="C2240" s="110">
        <v>45.98</v>
      </c>
      <c r="D2240" s="110">
        <v>45.48</v>
      </c>
      <c r="E2240" s="110">
        <v>45.65</v>
      </c>
      <c r="F2240" s="110">
        <v>45.98</v>
      </c>
      <c r="G2240">
        <v>2881025</v>
      </c>
      <c r="H2240" s="110"/>
      <c r="I2240" s="110"/>
      <c r="L2240" s="134">
        <v>45302</v>
      </c>
      <c r="M2240" s="110">
        <v>45.95</v>
      </c>
      <c r="N2240" s="110">
        <v>46.3</v>
      </c>
      <c r="O2240" s="110">
        <v>45.5</v>
      </c>
      <c r="P2240" s="110">
        <v>45.5</v>
      </c>
      <c r="Q2240" s="110">
        <v>45.95</v>
      </c>
      <c r="R2240">
        <v>16580260</v>
      </c>
    </row>
    <row r="2241" spans="1:18" x14ac:dyDescent="0.25">
      <c r="A2241" s="134">
        <v>45303</v>
      </c>
      <c r="B2241" s="110">
        <v>48.65</v>
      </c>
      <c r="C2241" s="110">
        <v>48.29</v>
      </c>
      <c r="D2241" s="110">
        <v>46.12</v>
      </c>
      <c r="E2241" s="110">
        <v>46.27</v>
      </c>
      <c r="F2241" s="110">
        <v>48.29</v>
      </c>
      <c r="G2241">
        <v>13128722</v>
      </c>
      <c r="H2241" s="110"/>
      <c r="I2241" s="110"/>
      <c r="L2241" s="134">
        <v>45303</v>
      </c>
      <c r="M2241" s="110">
        <v>48.3</v>
      </c>
      <c r="N2241" s="110">
        <v>48.65</v>
      </c>
      <c r="O2241" s="110">
        <v>46.1</v>
      </c>
      <c r="P2241" s="110">
        <v>46.2</v>
      </c>
      <c r="Q2241" s="110">
        <v>48.3</v>
      </c>
      <c r="R2241">
        <v>77464168</v>
      </c>
    </row>
    <row r="2242" spans="1:18" x14ac:dyDescent="0.25">
      <c r="A2242" s="134">
        <v>45306</v>
      </c>
      <c r="B2242" s="110">
        <v>50.75</v>
      </c>
      <c r="C2242" s="110">
        <v>50.43</v>
      </c>
      <c r="D2242" s="110">
        <v>48.85</v>
      </c>
      <c r="E2242" s="110">
        <v>48.98</v>
      </c>
      <c r="F2242" s="110">
        <v>50.43</v>
      </c>
      <c r="G2242">
        <v>8261087</v>
      </c>
      <c r="H2242" s="110"/>
      <c r="I2242" s="110"/>
      <c r="L2242" s="134">
        <v>45306</v>
      </c>
      <c r="M2242" s="110">
        <v>50.4</v>
      </c>
      <c r="N2242" s="110">
        <v>50.75</v>
      </c>
      <c r="O2242" s="110">
        <v>48.85</v>
      </c>
      <c r="P2242" s="110">
        <v>48.95</v>
      </c>
      <c r="Q2242" s="110">
        <v>50.4</v>
      </c>
      <c r="R2242">
        <v>93995725</v>
      </c>
    </row>
    <row r="2243" spans="1:18" x14ac:dyDescent="0.25">
      <c r="A2243" s="134">
        <v>45307</v>
      </c>
      <c r="B2243" s="110">
        <v>52.22</v>
      </c>
      <c r="C2243" s="110">
        <v>50</v>
      </c>
      <c r="D2243" s="110">
        <v>49.1</v>
      </c>
      <c r="E2243" s="110">
        <v>50.8</v>
      </c>
      <c r="F2243" s="110">
        <v>50</v>
      </c>
      <c r="G2243">
        <v>15065019</v>
      </c>
      <c r="H2243" s="110"/>
      <c r="I2243" s="110"/>
      <c r="L2243" s="134">
        <v>45307</v>
      </c>
      <c r="M2243" s="110">
        <v>50</v>
      </c>
      <c r="N2243" s="110">
        <v>52.25</v>
      </c>
      <c r="O2243" s="110">
        <v>49.1</v>
      </c>
      <c r="P2243" s="110">
        <v>50.75</v>
      </c>
      <c r="Q2243" s="110">
        <v>50</v>
      </c>
      <c r="R2243">
        <v>120450425</v>
      </c>
    </row>
    <row r="2244" spans="1:18" x14ac:dyDescent="0.25">
      <c r="A2244" s="134">
        <v>45308</v>
      </c>
      <c r="B2244" s="110">
        <v>51.6</v>
      </c>
      <c r="C2244" s="110">
        <v>49.85</v>
      </c>
      <c r="D2244" s="110">
        <v>48.75</v>
      </c>
      <c r="E2244" s="110">
        <v>49.95</v>
      </c>
      <c r="F2244" s="110">
        <v>49.85</v>
      </c>
      <c r="G2244">
        <v>10862830</v>
      </c>
      <c r="H2244" s="110"/>
      <c r="I2244" s="110"/>
      <c r="L2244" s="134">
        <v>45308</v>
      </c>
      <c r="M2244" s="110">
        <v>49.85</v>
      </c>
      <c r="N2244" s="110">
        <v>51.6</v>
      </c>
      <c r="O2244" s="110">
        <v>48.7</v>
      </c>
      <c r="P2244" s="110">
        <v>49.8</v>
      </c>
      <c r="Q2244" s="110">
        <v>49.85</v>
      </c>
      <c r="R2244">
        <v>72215253</v>
      </c>
    </row>
    <row r="2245" spans="1:18" x14ac:dyDescent="0.25">
      <c r="A2245" s="134">
        <v>45309</v>
      </c>
      <c r="B2245" s="110">
        <v>52.61</v>
      </c>
      <c r="C2245" s="110">
        <v>51.95</v>
      </c>
      <c r="D2245" s="110">
        <v>47.91</v>
      </c>
      <c r="E2245" s="110">
        <v>49.82</v>
      </c>
      <c r="F2245" s="110">
        <v>51.95</v>
      </c>
      <c r="G2245">
        <v>14965794</v>
      </c>
      <c r="H2245" s="110"/>
      <c r="I2245" s="110"/>
      <c r="L2245" s="134">
        <v>45309</v>
      </c>
      <c r="M2245" s="110">
        <v>51.95</v>
      </c>
      <c r="N2245" s="110">
        <v>52.65</v>
      </c>
      <c r="O2245" s="110">
        <v>47.9</v>
      </c>
      <c r="P2245" s="110">
        <v>50</v>
      </c>
      <c r="Q2245" s="110">
        <v>51.95</v>
      </c>
      <c r="R2245">
        <v>99201799</v>
      </c>
    </row>
    <row r="2246" spans="1:18" x14ac:dyDescent="0.25">
      <c r="A2246" s="134">
        <v>45310</v>
      </c>
      <c r="B2246" s="110">
        <v>52.8</v>
      </c>
      <c r="C2246" s="110">
        <v>51.66</v>
      </c>
      <c r="D2246" s="110">
        <v>51.18</v>
      </c>
      <c r="E2246" s="110">
        <v>52.28</v>
      </c>
      <c r="F2246" s="110">
        <v>51.66</v>
      </c>
      <c r="G2246">
        <v>7652225</v>
      </c>
      <c r="H2246" s="110"/>
      <c r="I2246" s="110"/>
      <c r="L2246" s="134">
        <v>45310</v>
      </c>
      <c r="M2246" s="110">
        <v>51.65</v>
      </c>
      <c r="N2246" s="110">
        <v>52.8</v>
      </c>
      <c r="O2246" s="110">
        <v>51.1</v>
      </c>
      <c r="P2246" s="110">
        <v>52.4</v>
      </c>
      <c r="Q2246" s="110">
        <v>51.65</v>
      </c>
      <c r="R2246">
        <v>52245277</v>
      </c>
    </row>
    <row r="2247" spans="1:18" x14ac:dyDescent="0.25">
      <c r="A2247" s="134">
        <v>45311</v>
      </c>
      <c r="B2247" s="110">
        <v>53.64</v>
      </c>
      <c r="C2247" s="110">
        <v>53.17</v>
      </c>
      <c r="D2247" s="110">
        <v>51.43</v>
      </c>
      <c r="E2247" s="110">
        <v>52.07</v>
      </c>
      <c r="F2247" s="110">
        <v>53.17</v>
      </c>
      <c r="G2247">
        <v>7410776</v>
      </c>
      <c r="H2247" s="110"/>
      <c r="I2247" s="110"/>
      <c r="L2247" s="134">
        <v>45311</v>
      </c>
      <c r="M2247" s="110">
        <v>53.15</v>
      </c>
      <c r="N2247" s="110">
        <v>53.65</v>
      </c>
      <c r="O2247" s="110">
        <v>51.35</v>
      </c>
      <c r="P2247" s="110">
        <v>51.95</v>
      </c>
      <c r="Q2247" s="110">
        <v>53.15</v>
      </c>
      <c r="R2247">
        <v>55319141</v>
      </c>
    </row>
    <row r="2248" spans="1:18" x14ac:dyDescent="0.25">
      <c r="A2248" s="134">
        <v>45314</v>
      </c>
      <c r="B2248" s="110">
        <v>54.87</v>
      </c>
      <c r="C2248" s="110">
        <v>51.07</v>
      </c>
      <c r="D2248" s="110">
        <v>50.68</v>
      </c>
      <c r="E2248" s="110">
        <v>54.17</v>
      </c>
      <c r="F2248" s="110">
        <v>51.07</v>
      </c>
      <c r="G2248">
        <v>11491084</v>
      </c>
      <c r="H2248" s="110"/>
      <c r="I2248" s="110"/>
      <c r="L2248" s="134">
        <v>45314</v>
      </c>
      <c r="M2248" s="110">
        <v>51.1</v>
      </c>
      <c r="N2248" s="110">
        <v>54.9</v>
      </c>
      <c r="O2248" s="110">
        <v>50.6</v>
      </c>
      <c r="P2248" s="110">
        <v>53.9</v>
      </c>
      <c r="Q2248" s="110">
        <v>51.1</v>
      </c>
      <c r="R2248">
        <v>76748898</v>
      </c>
    </row>
    <row r="2249" spans="1:18" x14ac:dyDescent="0.25">
      <c r="A2249" s="134">
        <v>45315</v>
      </c>
      <c r="B2249" s="110">
        <v>54</v>
      </c>
      <c r="C2249" s="110">
        <v>53.71</v>
      </c>
      <c r="D2249" s="110">
        <v>50.25</v>
      </c>
      <c r="E2249" s="110">
        <v>51.41</v>
      </c>
      <c r="F2249" s="110">
        <v>53.71</v>
      </c>
      <c r="G2249">
        <v>4005379</v>
      </c>
      <c r="H2249" s="110"/>
      <c r="I2249" s="110"/>
      <c r="L2249" s="134">
        <v>45315</v>
      </c>
      <c r="M2249" s="110">
        <v>53.75</v>
      </c>
      <c r="N2249" s="110">
        <v>54</v>
      </c>
      <c r="O2249" s="110">
        <v>50.15</v>
      </c>
      <c r="P2249" s="110">
        <v>51.35</v>
      </c>
      <c r="Q2249" s="110">
        <v>53.75</v>
      </c>
      <c r="R2249">
        <v>59229750</v>
      </c>
    </row>
    <row r="2250" spans="1:18" x14ac:dyDescent="0.25">
      <c r="A2250" s="134">
        <v>45316</v>
      </c>
      <c r="B2250" s="110">
        <v>54.25</v>
      </c>
      <c r="C2250" s="110">
        <v>53.4</v>
      </c>
      <c r="D2250" s="110">
        <v>52.75</v>
      </c>
      <c r="E2250" s="110">
        <v>53.99</v>
      </c>
      <c r="F2250" s="110">
        <v>53.4</v>
      </c>
      <c r="G2250">
        <v>2808791</v>
      </c>
      <c r="H2250" s="110"/>
      <c r="I2250" s="110"/>
      <c r="L2250" s="134">
        <v>45316</v>
      </c>
      <c r="M2250" s="110">
        <v>53.4</v>
      </c>
      <c r="N2250" s="110">
        <v>54.3</v>
      </c>
      <c r="O2250" s="110">
        <v>52.75</v>
      </c>
      <c r="P2250" s="110">
        <v>53.9</v>
      </c>
      <c r="Q2250" s="110">
        <v>53.4</v>
      </c>
      <c r="R2250">
        <v>35529804</v>
      </c>
    </row>
    <row r="2251" spans="1:18" x14ac:dyDescent="0.25">
      <c r="A2251" s="134">
        <v>45320</v>
      </c>
      <c r="B2251" s="110">
        <v>55.49</v>
      </c>
      <c r="C2251" s="110">
        <v>53.98</v>
      </c>
      <c r="D2251" s="110">
        <v>53.45</v>
      </c>
      <c r="E2251" s="110">
        <v>53.95</v>
      </c>
      <c r="F2251" s="110">
        <v>53.98</v>
      </c>
      <c r="G2251">
        <v>6835097</v>
      </c>
      <c r="H2251" s="110"/>
      <c r="I2251" s="110"/>
      <c r="L2251" s="134">
        <v>45320</v>
      </c>
      <c r="M2251" s="110">
        <v>54</v>
      </c>
      <c r="N2251" s="110">
        <v>55.5</v>
      </c>
      <c r="O2251" s="110">
        <v>53.45</v>
      </c>
      <c r="P2251" s="110">
        <v>53.9</v>
      </c>
      <c r="Q2251" s="110">
        <v>54</v>
      </c>
      <c r="R2251">
        <v>49517058</v>
      </c>
    </row>
    <row r="2252" spans="1:18" x14ac:dyDescent="0.25">
      <c r="A2252" s="134">
        <v>45321</v>
      </c>
      <c r="B2252" s="110">
        <v>55.25</v>
      </c>
      <c r="C2252" s="110">
        <v>53.72</v>
      </c>
      <c r="D2252" s="110">
        <v>53.51</v>
      </c>
      <c r="E2252" s="110">
        <v>54.67</v>
      </c>
      <c r="F2252" s="110">
        <v>53.72</v>
      </c>
      <c r="G2252">
        <v>2896065</v>
      </c>
      <c r="H2252" s="110"/>
      <c r="I2252" s="110"/>
      <c r="L2252" s="134">
        <v>45321</v>
      </c>
      <c r="M2252" s="110">
        <v>53.75</v>
      </c>
      <c r="N2252" s="110">
        <v>55.25</v>
      </c>
      <c r="O2252" s="110">
        <v>53.5</v>
      </c>
      <c r="P2252" s="110">
        <v>54.5</v>
      </c>
      <c r="Q2252" s="110">
        <v>53.75</v>
      </c>
      <c r="R2252">
        <v>44141860</v>
      </c>
    </row>
    <row r="2253" spans="1:18" x14ac:dyDescent="0.25">
      <c r="A2253" s="134">
        <v>45322</v>
      </c>
      <c r="B2253" s="110">
        <v>56.1</v>
      </c>
      <c r="C2253" s="110">
        <v>55.29</v>
      </c>
      <c r="D2253" s="110">
        <v>53.52</v>
      </c>
      <c r="E2253" s="110">
        <v>54.04</v>
      </c>
      <c r="F2253" s="110">
        <v>55.29</v>
      </c>
      <c r="G2253">
        <v>4161025</v>
      </c>
      <c r="H2253" s="110"/>
      <c r="I2253" s="110"/>
      <c r="L2253" s="134">
        <v>45322</v>
      </c>
      <c r="M2253" s="110">
        <v>55.25</v>
      </c>
      <c r="N2253" s="110">
        <v>56.1</v>
      </c>
      <c r="O2253" s="110">
        <v>53.5</v>
      </c>
      <c r="P2253" s="110">
        <v>53.95</v>
      </c>
      <c r="Q2253" s="110">
        <v>55.25</v>
      </c>
      <c r="R2253">
        <v>70701160</v>
      </c>
    </row>
    <row r="2254" spans="1:18" x14ac:dyDescent="0.25">
      <c r="A2254" s="134">
        <v>45323</v>
      </c>
      <c r="B2254" s="110">
        <v>57.13</v>
      </c>
      <c r="C2254" s="110">
        <v>56.43</v>
      </c>
      <c r="D2254" s="110">
        <v>54.17</v>
      </c>
      <c r="E2254" s="110">
        <v>55.89</v>
      </c>
      <c r="F2254" s="110">
        <v>56.43</v>
      </c>
      <c r="G2254">
        <v>8555510</v>
      </c>
      <c r="H2254" s="110"/>
      <c r="I2254" s="110"/>
      <c r="L2254" s="134">
        <v>45323</v>
      </c>
      <c r="M2254" s="110">
        <v>56.45</v>
      </c>
      <c r="N2254" s="110">
        <v>57.15</v>
      </c>
      <c r="O2254" s="110">
        <v>54.2</v>
      </c>
      <c r="P2254" s="110">
        <v>55.8</v>
      </c>
      <c r="Q2254" s="110">
        <v>56.45</v>
      </c>
      <c r="R2254">
        <v>74425518</v>
      </c>
    </row>
    <row r="2255" spans="1:18" x14ac:dyDescent="0.25">
      <c r="A2255" s="134">
        <v>45324</v>
      </c>
      <c r="B2255" s="110">
        <v>58.86</v>
      </c>
      <c r="C2255" s="110">
        <v>57.4</v>
      </c>
      <c r="D2255" s="110">
        <v>56.5</v>
      </c>
      <c r="E2255" s="110">
        <v>57.31</v>
      </c>
      <c r="F2255" s="110">
        <v>57.4</v>
      </c>
      <c r="G2255">
        <v>6757063</v>
      </c>
      <c r="H2255" s="110"/>
      <c r="I2255" s="110"/>
      <c r="L2255" s="134">
        <v>45324</v>
      </c>
      <c r="M2255" s="110">
        <v>57.4</v>
      </c>
      <c r="N2255" s="110">
        <v>58.9</v>
      </c>
      <c r="O2255" s="110">
        <v>56.5</v>
      </c>
      <c r="P2255" s="110">
        <v>57.2</v>
      </c>
      <c r="Q2255" s="110">
        <v>57.4</v>
      </c>
      <c r="R2255">
        <v>88992567</v>
      </c>
    </row>
    <row r="2256" spans="1:18" x14ac:dyDescent="0.25">
      <c r="A2256" s="134">
        <v>45327</v>
      </c>
      <c r="B2256" s="110">
        <v>63.75</v>
      </c>
      <c r="C2256" s="110">
        <v>60.01</v>
      </c>
      <c r="D2256" s="110">
        <v>57.36</v>
      </c>
      <c r="E2256" s="110">
        <v>57.92</v>
      </c>
      <c r="F2256" s="110">
        <v>60.01</v>
      </c>
      <c r="G2256">
        <v>18983747</v>
      </c>
      <c r="H2256" s="110"/>
      <c r="I2256" s="110"/>
      <c r="L2256" s="134">
        <v>45327</v>
      </c>
      <c r="M2256" s="110">
        <v>60.05</v>
      </c>
      <c r="N2256" s="110">
        <v>63.8</v>
      </c>
      <c r="O2256" s="110">
        <v>57.4</v>
      </c>
      <c r="P2256" s="110">
        <v>57.8</v>
      </c>
      <c r="Q2256" s="110">
        <v>60.05</v>
      </c>
      <c r="R2256">
        <v>184678185</v>
      </c>
    </row>
    <row r="2257" spans="1:18" x14ac:dyDescent="0.25">
      <c r="A2257" s="134">
        <v>45328</v>
      </c>
      <c r="B2257" s="110">
        <v>64.38</v>
      </c>
      <c r="C2257" s="110">
        <v>61.8</v>
      </c>
      <c r="D2257" s="110">
        <v>60.01</v>
      </c>
      <c r="E2257" s="110">
        <v>60.97</v>
      </c>
      <c r="F2257" s="110">
        <v>61.8</v>
      </c>
      <c r="G2257">
        <v>6582493</v>
      </c>
      <c r="H2257" s="110"/>
      <c r="I2257" s="110"/>
      <c r="L2257" s="134">
        <v>45328</v>
      </c>
      <c r="M2257" s="110">
        <v>61.75</v>
      </c>
      <c r="N2257" s="110">
        <v>64.400000000000006</v>
      </c>
      <c r="O2257" s="110">
        <v>60</v>
      </c>
      <c r="P2257" s="110">
        <v>60.9</v>
      </c>
      <c r="Q2257" s="110">
        <v>61.75</v>
      </c>
      <c r="R2257">
        <v>90067124</v>
      </c>
    </row>
    <row r="2258" spans="1:18" x14ac:dyDescent="0.25">
      <c r="A2258" s="134">
        <v>45329</v>
      </c>
      <c r="B2258" s="110">
        <v>68.87</v>
      </c>
      <c r="C2258" s="110">
        <v>66.790000000000006</v>
      </c>
      <c r="D2258" s="110">
        <v>62.39</v>
      </c>
      <c r="E2258" s="110">
        <v>63.98</v>
      </c>
      <c r="F2258" s="110">
        <v>66.790000000000006</v>
      </c>
      <c r="G2258">
        <v>15096967</v>
      </c>
      <c r="H2258" s="110"/>
      <c r="I2258" s="110"/>
      <c r="L2258" s="134">
        <v>45329</v>
      </c>
      <c r="M2258" s="110">
        <v>66.900000000000006</v>
      </c>
      <c r="N2258" s="110">
        <v>68.849999999999994</v>
      </c>
      <c r="O2258" s="110">
        <v>62.35</v>
      </c>
      <c r="P2258" s="110">
        <v>62.35</v>
      </c>
      <c r="Q2258" s="110">
        <v>66.900000000000006</v>
      </c>
      <c r="R2258">
        <v>160093709</v>
      </c>
    </row>
    <row r="2259" spans="1:18" x14ac:dyDescent="0.25">
      <c r="A2259" s="134">
        <v>45330</v>
      </c>
      <c r="B2259" s="110">
        <v>70</v>
      </c>
      <c r="C2259" s="110">
        <v>63.9</v>
      </c>
      <c r="D2259" s="110">
        <v>63.43</v>
      </c>
      <c r="E2259" s="110">
        <v>69.64</v>
      </c>
      <c r="F2259" s="110">
        <v>63.9</v>
      </c>
      <c r="G2259">
        <v>8222301</v>
      </c>
      <c r="H2259" s="110"/>
      <c r="I2259" s="110"/>
      <c r="L2259" s="134">
        <v>45330</v>
      </c>
      <c r="M2259" s="110">
        <v>63.9</v>
      </c>
      <c r="N2259" s="110">
        <v>69.45</v>
      </c>
      <c r="O2259" s="110">
        <v>63.45</v>
      </c>
      <c r="P2259" s="110">
        <v>68.8</v>
      </c>
      <c r="Q2259" s="110">
        <v>63.9</v>
      </c>
      <c r="R2259">
        <v>106838935</v>
      </c>
    </row>
    <row r="2260" spans="1:18" x14ac:dyDescent="0.25">
      <c r="A2260" s="134">
        <v>45331</v>
      </c>
      <c r="B2260" s="110">
        <v>65.489999999999995</v>
      </c>
      <c r="C2260" s="110">
        <v>61.56</v>
      </c>
      <c r="D2260" s="110">
        <v>58.77</v>
      </c>
      <c r="E2260" s="110">
        <v>64.19</v>
      </c>
      <c r="F2260" s="110">
        <v>61.56</v>
      </c>
      <c r="G2260">
        <v>8671147</v>
      </c>
      <c r="H2260" s="110"/>
      <c r="I2260" s="110"/>
      <c r="L2260" s="134">
        <v>45331</v>
      </c>
      <c r="M2260" s="110">
        <v>61.55</v>
      </c>
      <c r="N2260" s="110">
        <v>65.45</v>
      </c>
      <c r="O2260" s="110">
        <v>58.65</v>
      </c>
      <c r="P2260" s="110">
        <v>64.099999999999994</v>
      </c>
      <c r="Q2260" s="110">
        <v>61.55</v>
      </c>
      <c r="R2260">
        <v>74121067</v>
      </c>
    </row>
    <row r="2261" spans="1:18" x14ac:dyDescent="0.25">
      <c r="A2261" s="134">
        <v>45334</v>
      </c>
      <c r="B2261" s="110">
        <v>62</v>
      </c>
      <c r="C2261" s="110">
        <v>55.44</v>
      </c>
      <c r="D2261" s="110">
        <v>54.06</v>
      </c>
      <c r="E2261" s="110">
        <v>61.87</v>
      </c>
      <c r="F2261" s="110">
        <v>55.44</v>
      </c>
      <c r="G2261">
        <v>9247805</v>
      </c>
      <c r="H2261" s="110"/>
      <c r="I2261" s="110"/>
      <c r="L2261" s="134">
        <v>45334</v>
      </c>
      <c r="M2261" s="110">
        <v>55.3</v>
      </c>
      <c r="N2261" s="110">
        <v>62.05</v>
      </c>
      <c r="O2261" s="110">
        <v>54.05</v>
      </c>
      <c r="P2261" s="110">
        <v>62</v>
      </c>
      <c r="Q2261" s="110">
        <v>55.3</v>
      </c>
      <c r="R2261">
        <v>60044712</v>
      </c>
    </row>
    <row r="2262" spans="1:18" x14ac:dyDescent="0.25">
      <c r="A2262" s="134">
        <v>45335</v>
      </c>
      <c r="B2262" s="110">
        <v>58.48</v>
      </c>
      <c r="C2262" s="110">
        <v>57.98</v>
      </c>
      <c r="D2262" s="110">
        <v>54.27</v>
      </c>
      <c r="E2262" s="110">
        <v>55.95</v>
      </c>
      <c r="F2262" s="110">
        <v>57.98</v>
      </c>
      <c r="G2262">
        <v>7816772</v>
      </c>
      <c r="H2262" s="110"/>
      <c r="I2262" s="110"/>
      <c r="L2262" s="134">
        <v>45335</v>
      </c>
      <c r="M2262" s="110">
        <v>58</v>
      </c>
      <c r="N2262" s="110">
        <v>58.5</v>
      </c>
      <c r="O2262" s="110">
        <v>54.3</v>
      </c>
      <c r="P2262" s="110">
        <v>55.85</v>
      </c>
      <c r="Q2262" s="110">
        <v>58</v>
      </c>
      <c r="R2262">
        <v>68414310</v>
      </c>
    </row>
    <row r="2263" spans="1:18" x14ac:dyDescent="0.25">
      <c r="A2263" s="134">
        <v>45336</v>
      </c>
      <c r="B2263" s="110">
        <v>60.29</v>
      </c>
      <c r="C2263" s="110">
        <v>59.98</v>
      </c>
      <c r="D2263" s="110">
        <v>55.72</v>
      </c>
      <c r="E2263" s="110">
        <v>56.42</v>
      </c>
      <c r="F2263" s="110">
        <v>59.98</v>
      </c>
      <c r="G2263">
        <v>3591120</v>
      </c>
      <c r="H2263" s="110"/>
      <c r="I2263" s="110"/>
      <c r="L2263" s="134">
        <v>45336</v>
      </c>
      <c r="M2263" s="110">
        <v>59.95</v>
      </c>
      <c r="N2263" s="110">
        <v>60.3</v>
      </c>
      <c r="O2263" s="110">
        <v>55.75</v>
      </c>
      <c r="P2263" s="110">
        <v>56.1</v>
      </c>
      <c r="Q2263" s="110">
        <v>59.95</v>
      </c>
      <c r="R2263">
        <v>53944927</v>
      </c>
    </row>
    <row r="2264" spans="1:18" x14ac:dyDescent="0.25">
      <c r="A2264" s="134">
        <v>45337</v>
      </c>
      <c r="B2264" s="110">
        <v>62.8</v>
      </c>
      <c r="C2264" s="110">
        <v>62.24</v>
      </c>
      <c r="D2264" s="110">
        <v>59.25</v>
      </c>
      <c r="E2264" s="110">
        <v>60.49</v>
      </c>
      <c r="F2264" s="110">
        <v>62.24</v>
      </c>
      <c r="G2264">
        <v>7867793</v>
      </c>
      <c r="H2264" s="110"/>
      <c r="I2264" s="110"/>
      <c r="L2264" s="134">
        <v>45337</v>
      </c>
      <c r="M2264" s="110">
        <v>62.25</v>
      </c>
      <c r="N2264" s="110">
        <v>62.8</v>
      </c>
      <c r="O2264" s="110">
        <v>59.25</v>
      </c>
      <c r="P2264" s="110">
        <v>60.4</v>
      </c>
      <c r="Q2264" s="110">
        <v>62.25</v>
      </c>
      <c r="R2264">
        <v>73680678</v>
      </c>
    </row>
    <row r="2265" spans="1:18" x14ac:dyDescent="0.25">
      <c r="A2265" s="134">
        <v>45338</v>
      </c>
      <c r="B2265" s="110">
        <v>63.52</v>
      </c>
      <c r="C2265" s="110">
        <v>62.12</v>
      </c>
      <c r="D2265" s="110">
        <v>61.5</v>
      </c>
      <c r="E2265" s="110">
        <v>62.89</v>
      </c>
      <c r="F2265" s="110">
        <v>62.12</v>
      </c>
      <c r="G2265">
        <v>2872008</v>
      </c>
      <c r="H2265" s="110"/>
      <c r="I2265" s="110"/>
      <c r="L2265" s="134">
        <v>45338</v>
      </c>
      <c r="M2265" s="110">
        <v>61.95</v>
      </c>
      <c r="N2265" s="110">
        <v>63.5</v>
      </c>
      <c r="O2265" s="110">
        <v>61.4</v>
      </c>
      <c r="P2265" s="110">
        <v>62.85</v>
      </c>
      <c r="Q2265" s="110">
        <v>61.95</v>
      </c>
      <c r="R2265">
        <v>49309068</v>
      </c>
    </row>
    <row r="2266" spans="1:18" x14ac:dyDescent="0.25">
      <c r="A2266" s="134">
        <v>45341</v>
      </c>
      <c r="B2266" s="110">
        <v>63.65</v>
      </c>
      <c r="C2266" s="110">
        <v>61.97</v>
      </c>
      <c r="D2266" s="110">
        <v>61.27</v>
      </c>
      <c r="E2266" s="110">
        <v>62</v>
      </c>
      <c r="F2266" s="110">
        <v>61.97</v>
      </c>
      <c r="G2266">
        <v>5539315</v>
      </c>
      <c r="H2266" s="110"/>
      <c r="I2266" s="110"/>
      <c r="L2266" s="134">
        <v>45341</v>
      </c>
      <c r="M2266" s="110">
        <v>61.95</v>
      </c>
      <c r="N2266" s="110">
        <v>63.65</v>
      </c>
      <c r="O2266" s="110">
        <v>61.3</v>
      </c>
      <c r="P2266" s="110">
        <v>61.95</v>
      </c>
      <c r="Q2266" s="110">
        <v>61.95</v>
      </c>
      <c r="R2266">
        <v>43219511</v>
      </c>
    </row>
    <row r="2267" spans="1:18" x14ac:dyDescent="0.25">
      <c r="A2267" s="134">
        <v>45342</v>
      </c>
      <c r="B2267" s="110">
        <v>62.65</v>
      </c>
      <c r="C2267" s="110">
        <v>60.98</v>
      </c>
      <c r="D2267" s="110">
        <v>60.8</v>
      </c>
      <c r="E2267" s="110">
        <v>62.2</v>
      </c>
      <c r="F2267" s="110">
        <v>60.98</v>
      </c>
      <c r="G2267">
        <v>3483736</v>
      </c>
      <c r="H2267" s="110"/>
      <c r="I2267" s="110"/>
      <c r="L2267" s="134">
        <v>45342</v>
      </c>
      <c r="M2267" s="110">
        <v>61</v>
      </c>
      <c r="N2267" s="110">
        <v>62.65</v>
      </c>
      <c r="O2267" s="110">
        <v>60.8</v>
      </c>
      <c r="P2267" s="110">
        <v>62.1</v>
      </c>
      <c r="Q2267" s="110">
        <v>61</v>
      </c>
      <c r="R2267">
        <v>26004361</v>
      </c>
    </row>
    <row r="2268" spans="1:18" x14ac:dyDescent="0.25">
      <c r="A2268" s="134">
        <v>45343</v>
      </c>
      <c r="B2268" s="110">
        <v>62.68</v>
      </c>
      <c r="C2268" s="110">
        <v>60.36</v>
      </c>
      <c r="D2268" s="110">
        <v>60.05</v>
      </c>
      <c r="E2268" s="110">
        <v>61.44</v>
      </c>
      <c r="F2268" s="110">
        <v>60.36</v>
      </c>
      <c r="G2268">
        <v>2405643</v>
      </c>
      <c r="H2268" s="110"/>
      <c r="I2268" s="110"/>
      <c r="L2268" s="134">
        <v>45343</v>
      </c>
      <c r="M2268" s="110">
        <v>60.4</v>
      </c>
      <c r="N2268" s="110">
        <v>62.65</v>
      </c>
      <c r="O2268" s="110">
        <v>60.05</v>
      </c>
      <c r="P2268" s="110">
        <v>61.35</v>
      </c>
      <c r="Q2268" s="110">
        <v>60.4</v>
      </c>
      <c r="R2268">
        <v>35859264</v>
      </c>
    </row>
    <row r="2269" spans="1:18" x14ac:dyDescent="0.25">
      <c r="A2269" s="134">
        <v>45344</v>
      </c>
      <c r="B2269" s="110">
        <v>62</v>
      </c>
      <c r="C2269" s="110">
        <v>61.71</v>
      </c>
      <c r="D2269" s="110">
        <v>58.69</v>
      </c>
      <c r="E2269" s="110">
        <v>60.6</v>
      </c>
      <c r="F2269" s="110">
        <v>61.71</v>
      </c>
      <c r="G2269">
        <v>2476817</v>
      </c>
      <c r="H2269" s="110"/>
      <c r="I2269" s="110"/>
      <c r="L2269" s="134">
        <v>45344</v>
      </c>
      <c r="M2269" s="110">
        <v>61.65</v>
      </c>
      <c r="N2269" s="110">
        <v>62</v>
      </c>
      <c r="O2269" s="110">
        <v>58.65</v>
      </c>
      <c r="P2269" s="110">
        <v>60.75</v>
      </c>
      <c r="Q2269" s="110">
        <v>61.65</v>
      </c>
      <c r="R2269">
        <v>33596310</v>
      </c>
    </row>
    <row r="2270" spans="1:18" x14ac:dyDescent="0.25">
      <c r="A2270" s="134">
        <v>45345</v>
      </c>
      <c r="B2270" s="110">
        <v>62.7</v>
      </c>
      <c r="C2270" s="110">
        <v>61.03</v>
      </c>
      <c r="D2270" s="110">
        <v>60.75</v>
      </c>
      <c r="E2270" s="110">
        <v>61.78</v>
      </c>
      <c r="F2270" s="110">
        <v>61.03</v>
      </c>
      <c r="G2270">
        <v>2756375</v>
      </c>
      <c r="H2270" s="110"/>
      <c r="I2270" s="110"/>
      <c r="L2270" s="134">
        <v>45345</v>
      </c>
      <c r="M2270" s="110">
        <v>61.05</v>
      </c>
      <c r="N2270" s="110">
        <v>62.7</v>
      </c>
      <c r="O2270" s="110">
        <v>60.7</v>
      </c>
      <c r="P2270" s="110">
        <v>61.8</v>
      </c>
      <c r="Q2270" s="110">
        <v>61.05</v>
      </c>
      <c r="R2270">
        <v>26524064</v>
      </c>
    </row>
    <row r="2271" spans="1:18" x14ac:dyDescent="0.25">
      <c r="A2271" s="134">
        <v>45348</v>
      </c>
      <c r="B2271" s="110">
        <v>61.75</v>
      </c>
      <c r="C2271" s="110">
        <v>60.58</v>
      </c>
      <c r="D2271" s="110">
        <v>60.38</v>
      </c>
      <c r="E2271" s="110">
        <v>61.65</v>
      </c>
      <c r="F2271" s="110">
        <v>60.58</v>
      </c>
      <c r="G2271">
        <v>1727750</v>
      </c>
      <c r="H2271" s="110"/>
      <c r="I2271" s="110"/>
      <c r="L2271" s="134">
        <v>45348</v>
      </c>
      <c r="M2271" s="110">
        <v>60.6</v>
      </c>
      <c r="N2271" s="110">
        <v>61.75</v>
      </c>
      <c r="O2271" s="110">
        <v>60.3</v>
      </c>
      <c r="P2271" s="110">
        <v>61.4</v>
      </c>
      <c r="Q2271" s="110">
        <v>60.6</v>
      </c>
      <c r="R2271">
        <v>22106710</v>
      </c>
    </row>
    <row r="2272" spans="1:18" x14ac:dyDescent="0.25">
      <c r="A2272" s="134">
        <v>45349</v>
      </c>
      <c r="B2272" s="110">
        <v>61.16</v>
      </c>
      <c r="C2272" s="110">
        <v>59.87</v>
      </c>
      <c r="D2272" s="110">
        <v>59.21</v>
      </c>
      <c r="E2272" s="110">
        <v>60.71</v>
      </c>
      <c r="F2272" s="110">
        <v>59.87</v>
      </c>
      <c r="G2272">
        <v>1567076</v>
      </c>
      <c r="H2272" s="110"/>
      <c r="I2272" s="110"/>
      <c r="L2272" s="134">
        <v>45349</v>
      </c>
      <c r="M2272" s="110">
        <v>59.9</v>
      </c>
      <c r="N2272" s="110">
        <v>61.2</v>
      </c>
      <c r="O2272" s="110">
        <v>59.2</v>
      </c>
      <c r="P2272" s="110">
        <v>60.8</v>
      </c>
      <c r="Q2272" s="110">
        <v>59.9</v>
      </c>
      <c r="R2272">
        <v>19763129</v>
      </c>
    </row>
    <row r="2273" spans="1:18" x14ac:dyDescent="0.25">
      <c r="A2273" s="134">
        <v>45350</v>
      </c>
      <c r="B2273" s="110">
        <v>60.5</v>
      </c>
      <c r="C2273" s="110">
        <v>57.98</v>
      </c>
      <c r="D2273" s="110">
        <v>57.25</v>
      </c>
      <c r="E2273" s="110">
        <v>60.01</v>
      </c>
      <c r="F2273" s="110">
        <v>57.98</v>
      </c>
      <c r="G2273">
        <v>1710364</v>
      </c>
      <c r="H2273" s="110"/>
      <c r="I2273" s="110"/>
      <c r="L2273" s="134">
        <v>45350</v>
      </c>
      <c r="M2273" s="110">
        <v>57.95</v>
      </c>
      <c r="N2273" s="110">
        <v>60.5</v>
      </c>
      <c r="O2273" s="110">
        <v>57.25</v>
      </c>
      <c r="P2273" s="110">
        <v>60.1</v>
      </c>
      <c r="Q2273" s="110">
        <v>57.95</v>
      </c>
      <c r="R2273">
        <v>26311473</v>
      </c>
    </row>
    <row r="2274" spans="1:18" x14ac:dyDescent="0.25">
      <c r="A2274" s="134">
        <v>45351</v>
      </c>
      <c r="B2274" s="110">
        <v>60</v>
      </c>
      <c r="C2274" s="110">
        <v>59.69</v>
      </c>
      <c r="D2274" s="110">
        <v>57.13</v>
      </c>
      <c r="E2274" s="110">
        <v>58</v>
      </c>
      <c r="F2274" s="110">
        <v>59.69</v>
      </c>
      <c r="G2274">
        <v>2828667</v>
      </c>
      <c r="H2274" s="110"/>
      <c r="I2274" s="110"/>
      <c r="L2274" s="134">
        <v>45351</v>
      </c>
      <c r="M2274" s="110">
        <v>59.7</v>
      </c>
      <c r="N2274" s="110">
        <v>60.05</v>
      </c>
      <c r="O2274" s="110">
        <v>57.1</v>
      </c>
      <c r="P2274" s="110">
        <v>58</v>
      </c>
      <c r="Q2274" s="110">
        <v>59.7</v>
      </c>
      <c r="R2274">
        <v>30021517</v>
      </c>
    </row>
    <row r="2275" spans="1:18" x14ac:dyDescent="0.25">
      <c r="A2275" s="134">
        <v>45352</v>
      </c>
      <c r="B2275" s="110">
        <v>61</v>
      </c>
      <c r="C2275" s="110">
        <v>60.73</v>
      </c>
      <c r="D2275" s="110">
        <v>59.8</v>
      </c>
      <c r="E2275" s="110">
        <v>60.14</v>
      </c>
      <c r="F2275" s="110">
        <v>60.73</v>
      </c>
      <c r="G2275">
        <v>1142024</v>
      </c>
      <c r="H2275" s="110"/>
      <c r="I2275" s="110"/>
      <c r="L2275" s="134">
        <v>45352</v>
      </c>
      <c r="M2275" s="110">
        <v>60.75</v>
      </c>
      <c r="N2275" s="110">
        <v>61</v>
      </c>
      <c r="O2275" s="110">
        <v>59.8</v>
      </c>
      <c r="P2275" s="110">
        <v>60</v>
      </c>
      <c r="Q2275" s="110">
        <v>60.75</v>
      </c>
      <c r="R2275">
        <v>19846246</v>
      </c>
    </row>
    <row r="2276" spans="1:18" x14ac:dyDescent="0.25">
      <c r="A2276" s="134">
        <v>45353</v>
      </c>
      <c r="B2276" s="110">
        <v>61.13</v>
      </c>
      <c r="C2276" s="110">
        <v>60.52</v>
      </c>
      <c r="D2276" s="110">
        <v>60.22</v>
      </c>
      <c r="E2276" s="110">
        <v>61.13</v>
      </c>
      <c r="F2276" s="110">
        <v>60.52</v>
      </c>
      <c r="G2276">
        <v>70771</v>
      </c>
      <c r="H2276" s="110"/>
      <c r="I2276" s="110"/>
      <c r="L2276" s="134">
        <v>45353</v>
      </c>
      <c r="M2276" s="110">
        <v>60.45</v>
      </c>
      <c r="N2276" s="110">
        <v>60.95</v>
      </c>
      <c r="O2276" s="110">
        <v>60.25</v>
      </c>
      <c r="P2276" s="110">
        <v>60.95</v>
      </c>
      <c r="Q2276" s="110">
        <v>60.45</v>
      </c>
      <c r="R2276">
        <v>2120160</v>
      </c>
    </row>
    <row r="2277" spans="1:18" x14ac:dyDescent="0.25">
      <c r="A2277" s="134">
        <v>45355</v>
      </c>
      <c r="B2277" s="110">
        <v>61.44</v>
      </c>
      <c r="C2277" s="110">
        <v>61.09</v>
      </c>
      <c r="D2277" s="110">
        <v>59.7</v>
      </c>
      <c r="E2277" s="110">
        <v>60.31</v>
      </c>
      <c r="F2277" s="110">
        <v>61.09</v>
      </c>
      <c r="G2277">
        <v>2135233</v>
      </c>
      <c r="H2277" s="110"/>
      <c r="I2277" s="110"/>
      <c r="L2277" s="134">
        <v>45355</v>
      </c>
      <c r="M2277" s="110">
        <v>61.1</v>
      </c>
      <c r="N2277" s="110">
        <v>61.5</v>
      </c>
      <c r="O2277" s="110">
        <v>59.7</v>
      </c>
      <c r="P2277" s="110">
        <v>60.45</v>
      </c>
      <c r="Q2277" s="110">
        <v>61.1</v>
      </c>
      <c r="R2277">
        <v>18485301</v>
      </c>
    </row>
    <row r="2278" spans="1:18" x14ac:dyDescent="0.25">
      <c r="A2278" s="134">
        <v>45356</v>
      </c>
      <c r="B2278" s="110">
        <v>63.99</v>
      </c>
      <c r="C2278" s="110">
        <v>63.6</v>
      </c>
      <c r="D2278" s="110">
        <v>60.71</v>
      </c>
      <c r="E2278" s="110">
        <v>61.19</v>
      </c>
      <c r="F2278" s="110">
        <v>63.6</v>
      </c>
      <c r="G2278">
        <v>3207879</v>
      </c>
      <c r="H2278" s="110"/>
      <c r="I2278" s="110"/>
      <c r="L2278" s="134">
        <v>45356</v>
      </c>
      <c r="M2278" s="110">
        <v>63.6</v>
      </c>
      <c r="N2278" s="110">
        <v>64</v>
      </c>
      <c r="O2278" s="110">
        <v>60.65</v>
      </c>
      <c r="P2278" s="110">
        <v>61.15</v>
      </c>
      <c r="Q2278" s="110">
        <v>63.6</v>
      </c>
      <c r="R2278">
        <v>74236585</v>
      </c>
    </row>
    <row r="2279" spans="1:18" x14ac:dyDescent="0.25">
      <c r="A2279" s="134">
        <v>45357</v>
      </c>
      <c r="B2279" s="110">
        <v>64.459999999999994</v>
      </c>
      <c r="C2279" s="110">
        <v>62.1</v>
      </c>
      <c r="D2279" s="110">
        <v>61.25</v>
      </c>
      <c r="E2279" s="110">
        <v>63.92</v>
      </c>
      <c r="F2279" s="110">
        <v>62.1</v>
      </c>
      <c r="G2279">
        <v>4329359</v>
      </c>
      <c r="H2279" s="110"/>
      <c r="I2279" s="110"/>
      <c r="L2279" s="134">
        <v>45357</v>
      </c>
      <c r="M2279" s="110">
        <v>62.1</v>
      </c>
      <c r="N2279" s="110">
        <v>64.45</v>
      </c>
      <c r="O2279" s="110">
        <v>61.25</v>
      </c>
      <c r="P2279" s="110">
        <v>63.8</v>
      </c>
      <c r="Q2279" s="110">
        <v>62.1</v>
      </c>
      <c r="R2279">
        <v>52953313</v>
      </c>
    </row>
    <row r="2280" spans="1:18" x14ac:dyDescent="0.25">
      <c r="A2280" s="134">
        <v>45358</v>
      </c>
      <c r="B2280" s="110">
        <v>63.3</v>
      </c>
      <c r="C2280" s="110">
        <v>61.92</v>
      </c>
      <c r="D2280" s="110">
        <v>61.61</v>
      </c>
      <c r="E2280" s="110">
        <v>62.69</v>
      </c>
      <c r="F2280" s="110">
        <v>61.92</v>
      </c>
      <c r="G2280">
        <v>2176302</v>
      </c>
      <c r="H2280" s="110"/>
      <c r="I2280" s="110"/>
      <c r="L2280" s="134">
        <v>45358</v>
      </c>
      <c r="M2280" s="110">
        <v>61.9</v>
      </c>
      <c r="N2280" s="110">
        <v>63.3</v>
      </c>
      <c r="O2280" s="110">
        <v>61.6</v>
      </c>
      <c r="P2280" s="110">
        <v>62.55</v>
      </c>
      <c r="Q2280" s="110">
        <v>61.9</v>
      </c>
      <c r="R2280">
        <v>24358835</v>
      </c>
    </row>
    <row r="2281" spans="1:18" x14ac:dyDescent="0.25">
      <c r="A2281" s="134">
        <v>45362</v>
      </c>
      <c r="B2281" s="110">
        <v>63.42</v>
      </c>
      <c r="C2281" s="110">
        <v>61.3</v>
      </c>
      <c r="D2281" s="110">
        <v>61.01</v>
      </c>
      <c r="E2281" s="110">
        <v>62.11</v>
      </c>
      <c r="F2281" s="110">
        <v>61.3</v>
      </c>
      <c r="G2281">
        <v>4300337</v>
      </c>
      <c r="H2281" s="110"/>
      <c r="I2281" s="110"/>
      <c r="L2281" s="134">
        <v>45362</v>
      </c>
      <c r="M2281" s="110">
        <v>61.4</v>
      </c>
      <c r="N2281" s="110">
        <v>63.45</v>
      </c>
      <c r="O2281" s="110">
        <v>61.05</v>
      </c>
      <c r="P2281" s="110">
        <v>62.25</v>
      </c>
      <c r="Q2281" s="110">
        <v>61.4</v>
      </c>
      <c r="R2281">
        <v>37239295</v>
      </c>
    </row>
    <row r="2282" spans="1:18" x14ac:dyDescent="0.25">
      <c r="A2282" s="134">
        <v>45363</v>
      </c>
      <c r="B2282" s="110">
        <v>61.83</v>
      </c>
      <c r="C2282" s="110">
        <v>58.69</v>
      </c>
      <c r="D2282" s="110">
        <v>58.25</v>
      </c>
      <c r="E2282" s="110">
        <v>61.83</v>
      </c>
      <c r="F2282" s="110">
        <v>58.69</v>
      </c>
      <c r="G2282">
        <v>2023287</v>
      </c>
      <c r="H2282" s="110"/>
      <c r="I2282" s="110"/>
      <c r="L2282" s="134">
        <v>45363</v>
      </c>
      <c r="M2282" s="110">
        <v>58.7</v>
      </c>
      <c r="N2282" s="110">
        <v>61.85</v>
      </c>
      <c r="O2282" s="110">
        <v>58.25</v>
      </c>
      <c r="P2282" s="110">
        <v>61.7</v>
      </c>
      <c r="Q2282" s="110">
        <v>58.7</v>
      </c>
      <c r="R2282">
        <v>33239156</v>
      </c>
    </row>
    <row r="2283" spans="1:18" x14ac:dyDescent="0.25">
      <c r="A2283" s="134">
        <v>45364</v>
      </c>
      <c r="B2283" s="110">
        <v>59.49</v>
      </c>
      <c r="C2283" s="110">
        <v>54.12</v>
      </c>
      <c r="D2283" s="110">
        <v>53.5</v>
      </c>
      <c r="E2283" s="110">
        <v>58.9</v>
      </c>
      <c r="F2283" s="110">
        <v>54.12</v>
      </c>
      <c r="G2283">
        <v>2512260</v>
      </c>
      <c r="H2283" s="110"/>
      <c r="I2283" s="110"/>
      <c r="L2283" s="134">
        <v>45364</v>
      </c>
      <c r="M2283" s="110">
        <v>54.2</v>
      </c>
      <c r="N2283" s="110">
        <v>59.5</v>
      </c>
      <c r="O2283" s="110">
        <v>53.6</v>
      </c>
      <c r="P2283" s="110">
        <v>58.7</v>
      </c>
      <c r="Q2283" s="110">
        <v>54.2</v>
      </c>
      <c r="R2283">
        <v>46147338</v>
      </c>
    </row>
    <row r="2284" spans="1:18" x14ac:dyDescent="0.25">
      <c r="A2284" s="134">
        <v>45365</v>
      </c>
      <c r="B2284" s="110">
        <v>58.9</v>
      </c>
      <c r="C2284" s="110">
        <v>58.32</v>
      </c>
      <c r="D2284" s="110">
        <v>52.75</v>
      </c>
      <c r="E2284" s="110">
        <v>53.52</v>
      </c>
      <c r="F2284" s="110">
        <v>58.32</v>
      </c>
      <c r="G2284">
        <v>4630153</v>
      </c>
      <c r="H2284" s="110"/>
      <c r="I2284" s="110"/>
      <c r="L2284" s="134">
        <v>45365</v>
      </c>
      <c r="M2284" s="110">
        <v>58.3</v>
      </c>
      <c r="N2284" s="110">
        <v>58.95</v>
      </c>
      <c r="O2284" s="110">
        <v>52.8</v>
      </c>
      <c r="P2284" s="110">
        <v>53.95</v>
      </c>
      <c r="Q2284" s="110">
        <v>58.3</v>
      </c>
      <c r="R2284">
        <v>46198087</v>
      </c>
    </row>
    <row r="2285" spans="1:18" x14ac:dyDescent="0.25">
      <c r="A2285" s="134">
        <v>45366</v>
      </c>
      <c r="B2285" s="110">
        <v>59.95</v>
      </c>
      <c r="C2285" s="110">
        <v>59.22</v>
      </c>
      <c r="D2285" s="110">
        <v>55.55</v>
      </c>
      <c r="E2285" s="110">
        <v>58</v>
      </c>
      <c r="F2285" s="110">
        <v>59.22</v>
      </c>
      <c r="G2285">
        <v>3973400</v>
      </c>
      <c r="H2285" s="110"/>
      <c r="I2285" s="110"/>
      <c r="L2285" s="134">
        <v>45366</v>
      </c>
      <c r="M2285" s="110">
        <v>59.4</v>
      </c>
      <c r="N2285" s="110">
        <v>60</v>
      </c>
      <c r="O2285" s="110">
        <v>55.55</v>
      </c>
      <c r="P2285" s="110">
        <v>58</v>
      </c>
      <c r="Q2285" s="110">
        <v>59.4</v>
      </c>
      <c r="R2285">
        <v>76688108</v>
      </c>
    </row>
    <row r="2286" spans="1:18" x14ac:dyDescent="0.25">
      <c r="A2286" s="134">
        <v>45369</v>
      </c>
      <c r="B2286" s="110">
        <v>60.34</v>
      </c>
      <c r="C2286" s="110">
        <v>58.76</v>
      </c>
      <c r="D2286" s="110">
        <v>58.51</v>
      </c>
      <c r="E2286" s="110">
        <v>60.14</v>
      </c>
      <c r="F2286" s="110">
        <v>58.76</v>
      </c>
      <c r="G2286">
        <v>1198494</v>
      </c>
      <c r="H2286" s="110"/>
      <c r="I2286" s="110"/>
      <c r="L2286" s="134">
        <v>45369</v>
      </c>
      <c r="M2286" s="110">
        <v>58.8</v>
      </c>
      <c r="N2286" s="110">
        <v>60.4</v>
      </c>
      <c r="O2286" s="110">
        <v>58.5</v>
      </c>
      <c r="P2286" s="110">
        <v>60.4</v>
      </c>
      <c r="Q2286" s="110">
        <v>58.8</v>
      </c>
      <c r="R2286">
        <v>19451244</v>
      </c>
    </row>
    <row r="2287" spans="1:18" x14ac:dyDescent="0.25">
      <c r="A2287" s="134">
        <v>45370</v>
      </c>
      <c r="B2287" s="110">
        <v>59.62</v>
      </c>
      <c r="C2287" s="110">
        <v>58.64</v>
      </c>
      <c r="D2287" s="110">
        <v>58.18</v>
      </c>
      <c r="E2287" s="110">
        <v>58.99</v>
      </c>
      <c r="F2287" s="110">
        <v>58.64</v>
      </c>
      <c r="G2287">
        <v>931824</v>
      </c>
      <c r="H2287" s="110"/>
      <c r="I2287" s="110"/>
      <c r="L2287" s="134">
        <v>45370</v>
      </c>
      <c r="M2287" s="110">
        <v>58.65</v>
      </c>
      <c r="N2287" s="110">
        <v>59.6</v>
      </c>
      <c r="O2287" s="110">
        <v>58.05</v>
      </c>
      <c r="P2287" s="110">
        <v>58.85</v>
      </c>
      <c r="Q2287" s="110">
        <v>58.65</v>
      </c>
      <c r="R2287">
        <v>19937175</v>
      </c>
    </row>
    <row r="2288" spans="1:18" x14ac:dyDescent="0.25">
      <c r="A2288" s="134">
        <v>45371</v>
      </c>
      <c r="B2288" s="110">
        <v>59.39</v>
      </c>
      <c r="C2288" s="110">
        <v>58.66</v>
      </c>
      <c r="D2288" s="110">
        <v>57.69</v>
      </c>
      <c r="E2288" s="110">
        <v>58.74</v>
      </c>
      <c r="F2288" s="110">
        <v>58.66</v>
      </c>
      <c r="G2288">
        <v>835866</v>
      </c>
      <c r="H2288" s="110"/>
      <c r="I2288" s="110"/>
      <c r="L2288" s="134">
        <v>45371</v>
      </c>
      <c r="M2288" s="110">
        <v>58.6</v>
      </c>
      <c r="N2288" s="110">
        <v>59.4</v>
      </c>
      <c r="O2288" s="110">
        <v>57.7</v>
      </c>
      <c r="P2288" s="110">
        <v>58.9</v>
      </c>
      <c r="Q2288" s="110">
        <v>58.6</v>
      </c>
      <c r="R2288">
        <v>16982846</v>
      </c>
    </row>
    <row r="2289" spans="1:18" x14ac:dyDescent="0.25">
      <c r="A2289" s="134">
        <v>45372</v>
      </c>
      <c r="B2289" s="110">
        <v>60.32</v>
      </c>
      <c r="C2289" s="110">
        <v>58.94</v>
      </c>
      <c r="D2289" s="110">
        <v>58.66</v>
      </c>
      <c r="E2289" s="110">
        <v>59.62</v>
      </c>
      <c r="F2289" s="110">
        <v>58.94</v>
      </c>
      <c r="G2289">
        <v>1723612</v>
      </c>
      <c r="H2289" s="110"/>
      <c r="I2289" s="110"/>
      <c r="L2289" s="134">
        <v>45372</v>
      </c>
      <c r="M2289" s="110">
        <v>58.9</v>
      </c>
      <c r="N2289" s="110">
        <v>60.35</v>
      </c>
      <c r="O2289" s="110">
        <v>58.6</v>
      </c>
      <c r="P2289" s="110">
        <v>59.2</v>
      </c>
      <c r="Q2289" s="110">
        <v>58.9</v>
      </c>
      <c r="R2289">
        <v>18912454</v>
      </c>
    </row>
    <row r="2290" spans="1:18" x14ac:dyDescent="0.25">
      <c r="A2290" s="134">
        <v>45373</v>
      </c>
      <c r="B2290" s="110">
        <v>60.6</v>
      </c>
      <c r="C2290" s="110">
        <v>59.84</v>
      </c>
      <c r="D2290" s="110">
        <v>58.5</v>
      </c>
      <c r="E2290" s="110">
        <v>59.04</v>
      </c>
      <c r="F2290" s="110">
        <v>59.84</v>
      </c>
      <c r="G2290">
        <v>1719317</v>
      </c>
      <c r="H2290" s="110"/>
      <c r="I2290" s="110"/>
      <c r="L2290" s="134">
        <v>45373</v>
      </c>
      <c r="M2290" s="110">
        <v>59.85</v>
      </c>
      <c r="N2290" s="110">
        <v>60.65</v>
      </c>
      <c r="O2290" s="110">
        <v>58.5</v>
      </c>
      <c r="P2290" s="110">
        <v>59</v>
      </c>
      <c r="Q2290" s="110">
        <v>59.85</v>
      </c>
      <c r="R2290">
        <v>15830308</v>
      </c>
    </row>
    <row r="2291" spans="1:18" x14ac:dyDescent="0.25">
      <c r="A2291" s="134">
        <v>45377</v>
      </c>
      <c r="B2291" s="110">
        <v>60.22</v>
      </c>
      <c r="C2291" s="110">
        <v>58.97</v>
      </c>
      <c r="D2291" s="110">
        <v>58.59</v>
      </c>
      <c r="E2291" s="110">
        <v>59.84</v>
      </c>
      <c r="F2291" s="110">
        <v>58.97</v>
      </c>
      <c r="G2291">
        <v>801077</v>
      </c>
      <c r="H2291" s="110"/>
      <c r="I2291" s="110"/>
      <c r="L2291" s="134">
        <v>45377</v>
      </c>
      <c r="M2291" s="110">
        <v>58.95</v>
      </c>
      <c r="N2291" s="110">
        <v>60.3</v>
      </c>
      <c r="O2291" s="110">
        <v>58.55</v>
      </c>
      <c r="P2291" s="110">
        <v>59.85</v>
      </c>
      <c r="Q2291" s="110">
        <v>58.95</v>
      </c>
      <c r="R2291">
        <v>16178019</v>
      </c>
    </row>
    <row r="2292" spans="1:18" x14ac:dyDescent="0.25">
      <c r="A2292" s="134">
        <v>45378</v>
      </c>
      <c r="B2292" s="110">
        <v>59.87</v>
      </c>
      <c r="C2292" s="110">
        <v>59.19</v>
      </c>
      <c r="D2292" s="110">
        <v>58.72</v>
      </c>
      <c r="E2292" s="110">
        <v>59.25</v>
      </c>
      <c r="F2292" s="110">
        <v>59.19</v>
      </c>
      <c r="G2292">
        <v>1582191</v>
      </c>
      <c r="H2292" s="110"/>
      <c r="I2292" s="110"/>
      <c r="L2292" s="134">
        <v>45378</v>
      </c>
      <c r="M2292" s="110">
        <v>59.15</v>
      </c>
      <c r="N2292" s="110">
        <v>59.9</v>
      </c>
      <c r="O2292" s="110">
        <v>58.75</v>
      </c>
      <c r="P2292" s="110">
        <v>59.25</v>
      </c>
      <c r="Q2292" s="110">
        <v>59.15</v>
      </c>
      <c r="R2292">
        <v>17637114</v>
      </c>
    </row>
    <row r="2293" spans="1:18" x14ac:dyDescent="0.25">
      <c r="A2293" s="134">
        <v>45379</v>
      </c>
      <c r="B2293" s="110">
        <v>63.08</v>
      </c>
      <c r="C2293" s="110">
        <v>62.29</v>
      </c>
      <c r="D2293" s="110">
        <v>59.2</v>
      </c>
      <c r="E2293" s="110">
        <v>59.2</v>
      </c>
      <c r="F2293" s="110">
        <v>62.29</v>
      </c>
      <c r="G2293">
        <v>6003253</v>
      </c>
      <c r="H2293" s="110"/>
      <c r="I2293" s="110"/>
      <c r="L2293" s="134">
        <v>45379</v>
      </c>
      <c r="M2293" s="110">
        <v>62.35</v>
      </c>
      <c r="N2293" s="110">
        <v>63.1</v>
      </c>
      <c r="O2293" s="110">
        <v>59.3</v>
      </c>
      <c r="P2293" s="110">
        <v>59.3</v>
      </c>
      <c r="Q2293" s="110">
        <v>62.35</v>
      </c>
      <c r="R2293">
        <v>57957734</v>
      </c>
    </row>
    <row r="2294" spans="1:18" x14ac:dyDescent="0.25">
      <c r="A2294" s="134">
        <v>45383</v>
      </c>
      <c r="B2294" s="110">
        <v>65.489999999999995</v>
      </c>
      <c r="C2294" s="110">
        <v>65.180000000000007</v>
      </c>
      <c r="D2294" s="110">
        <v>62.94</v>
      </c>
      <c r="E2294" s="110">
        <v>62.95</v>
      </c>
      <c r="F2294" s="110">
        <v>65.180000000000007</v>
      </c>
      <c r="G2294">
        <v>2609280</v>
      </c>
      <c r="H2294" s="110"/>
      <c r="I2294" s="110"/>
      <c r="L2294" s="134">
        <v>45383</v>
      </c>
      <c r="M2294" s="110">
        <v>65.150000000000006</v>
      </c>
      <c r="N2294" s="110">
        <v>65.45</v>
      </c>
      <c r="O2294" s="110">
        <v>62.85</v>
      </c>
      <c r="P2294" s="110">
        <v>62.95</v>
      </c>
      <c r="Q2294" s="110">
        <v>65.150000000000006</v>
      </c>
      <c r="R2294">
        <v>49554730</v>
      </c>
    </row>
    <row r="2295" spans="1:18" x14ac:dyDescent="0.25">
      <c r="A2295" s="134">
        <v>45384</v>
      </c>
      <c r="B2295" s="110">
        <v>66.540000000000006</v>
      </c>
      <c r="C2295" s="110">
        <v>65.19</v>
      </c>
      <c r="D2295" s="110">
        <v>64.8</v>
      </c>
      <c r="E2295" s="110">
        <v>65.55</v>
      </c>
      <c r="F2295" s="110">
        <v>65.19</v>
      </c>
      <c r="G2295">
        <v>4964754</v>
      </c>
      <c r="H2295" s="110"/>
      <c r="I2295" s="110"/>
      <c r="L2295" s="134">
        <v>45384</v>
      </c>
      <c r="M2295" s="110">
        <v>65.25</v>
      </c>
      <c r="N2295" s="110">
        <v>66.55</v>
      </c>
      <c r="O2295" s="110">
        <v>64.8</v>
      </c>
      <c r="P2295" s="110">
        <v>65.5</v>
      </c>
      <c r="Q2295" s="110">
        <v>65.25</v>
      </c>
      <c r="R2295">
        <v>33985088</v>
      </c>
    </row>
    <row r="2296" spans="1:18" x14ac:dyDescent="0.25">
      <c r="A2296" s="134">
        <v>45385</v>
      </c>
      <c r="B2296" s="110">
        <v>67.25</v>
      </c>
      <c r="C2296" s="110">
        <v>66.91</v>
      </c>
      <c r="D2296" s="110">
        <v>64.72</v>
      </c>
      <c r="E2296" s="110">
        <v>65.14</v>
      </c>
      <c r="F2296" s="110">
        <v>66.91</v>
      </c>
      <c r="G2296">
        <v>2477141</v>
      </c>
      <c r="H2296" s="110"/>
      <c r="I2296" s="110"/>
      <c r="L2296" s="134">
        <v>45385</v>
      </c>
      <c r="M2296" s="110">
        <v>66.900000000000006</v>
      </c>
      <c r="N2296" s="110">
        <v>67.3</v>
      </c>
      <c r="O2296" s="110">
        <v>64.650000000000006</v>
      </c>
      <c r="P2296" s="110">
        <v>65.05</v>
      </c>
      <c r="Q2296" s="110">
        <v>66.900000000000006</v>
      </c>
      <c r="R2296">
        <v>42888922</v>
      </c>
    </row>
    <row r="2297" spans="1:18" x14ac:dyDescent="0.25">
      <c r="A2297" s="134">
        <v>45386</v>
      </c>
      <c r="B2297" s="110">
        <v>67.7</v>
      </c>
      <c r="C2297" s="110">
        <v>65.790000000000006</v>
      </c>
      <c r="D2297" s="110">
        <v>65.099999999999994</v>
      </c>
      <c r="E2297" s="110">
        <v>67.650000000000006</v>
      </c>
      <c r="F2297" s="110">
        <v>65.790000000000006</v>
      </c>
      <c r="G2297">
        <v>3468629</v>
      </c>
      <c r="H2297" s="110"/>
      <c r="I2297" s="110"/>
      <c r="L2297" s="134">
        <v>45386</v>
      </c>
      <c r="M2297" s="110">
        <v>65.8</v>
      </c>
      <c r="N2297" s="110">
        <v>67.650000000000006</v>
      </c>
      <c r="O2297" s="110">
        <v>65.05</v>
      </c>
      <c r="P2297" s="110">
        <v>67.5</v>
      </c>
      <c r="Q2297" s="110">
        <v>65.8</v>
      </c>
      <c r="R2297">
        <v>31527767</v>
      </c>
    </row>
    <row r="2298" spans="1:18" x14ac:dyDescent="0.25">
      <c r="A2298" s="134">
        <v>45387</v>
      </c>
      <c r="B2298" s="110">
        <v>66.75</v>
      </c>
      <c r="C2298" s="110">
        <v>65.67</v>
      </c>
      <c r="D2298" s="110">
        <v>65</v>
      </c>
      <c r="E2298" s="110">
        <v>65.510000000000005</v>
      </c>
      <c r="F2298" s="110">
        <v>65.67</v>
      </c>
      <c r="G2298">
        <v>1384857</v>
      </c>
      <c r="H2298" s="110"/>
      <c r="I2298" s="110"/>
      <c r="L2298" s="134">
        <v>45387</v>
      </c>
      <c r="M2298" s="110">
        <v>65.7</v>
      </c>
      <c r="N2298" s="110">
        <v>66.8</v>
      </c>
      <c r="O2298" s="110">
        <v>64.95</v>
      </c>
      <c r="P2298" s="110">
        <v>65.400000000000006</v>
      </c>
      <c r="Q2298" s="110">
        <v>65.7</v>
      </c>
      <c r="R2298">
        <v>29134927</v>
      </c>
    </row>
    <row r="2299" spans="1:18" x14ac:dyDescent="0.25">
      <c r="A2299" s="134">
        <v>45390</v>
      </c>
      <c r="B2299" s="110">
        <v>66.59</v>
      </c>
      <c r="C2299" s="110">
        <v>64.64</v>
      </c>
      <c r="D2299" s="110">
        <v>64.2</v>
      </c>
      <c r="E2299" s="110">
        <v>66.59</v>
      </c>
      <c r="F2299" s="110">
        <v>64.64</v>
      </c>
      <c r="G2299">
        <v>1050095</v>
      </c>
      <c r="H2299" s="110"/>
      <c r="I2299" s="110"/>
      <c r="L2299" s="134">
        <v>45390</v>
      </c>
      <c r="M2299" s="110">
        <v>64.5</v>
      </c>
      <c r="N2299" s="110">
        <v>66.25</v>
      </c>
      <c r="O2299" s="110">
        <v>64.05</v>
      </c>
      <c r="P2299" s="110">
        <v>66.05</v>
      </c>
      <c r="Q2299" s="110">
        <v>64.5</v>
      </c>
      <c r="R2299">
        <v>17933415</v>
      </c>
    </row>
    <row r="2300" spans="1:18" x14ac:dyDescent="0.25">
      <c r="A2300" s="134">
        <v>45391</v>
      </c>
      <c r="B2300" s="110">
        <v>65.56</v>
      </c>
      <c r="C2300" s="110">
        <v>64.45</v>
      </c>
      <c r="D2300" s="110">
        <v>63.72</v>
      </c>
      <c r="E2300" s="110">
        <v>64.92</v>
      </c>
      <c r="F2300" s="110">
        <v>64.45</v>
      </c>
      <c r="G2300">
        <v>2119801</v>
      </c>
      <c r="H2300" s="110"/>
      <c r="I2300" s="110"/>
      <c r="L2300" s="134">
        <v>45391</v>
      </c>
      <c r="M2300" s="110">
        <v>64.45</v>
      </c>
      <c r="N2300" s="110">
        <v>65.55</v>
      </c>
      <c r="O2300" s="110">
        <v>63.75</v>
      </c>
      <c r="P2300" s="110">
        <v>64.8</v>
      </c>
      <c r="Q2300" s="110">
        <v>64.45</v>
      </c>
      <c r="R2300">
        <v>18561895</v>
      </c>
    </row>
    <row r="2301" spans="1:18" x14ac:dyDescent="0.25">
      <c r="A2301" s="134">
        <v>45392</v>
      </c>
      <c r="B2301" s="110">
        <v>65.2</v>
      </c>
      <c r="C2301" s="110">
        <v>64.760000000000005</v>
      </c>
      <c r="D2301" s="110">
        <v>63.74</v>
      </c>
      <c r="E2301" s="110">
        <v>64.7</v>
      </c>
      <c r="F2301" s="110">
        <v>64.760000000000005</v>
      </c>
      <c r="G2301">
        <v>1581060</v>
      </c>
      <c r="H2301" s="110"/>
      <c r="I2301" s="110"/>
      <c r="L2301" s="134">
        <v>45392</v>
      </c>
      <c r="M2301" s="110">
        <v>64.8</v>
      </c>
      <c r="N2301" s="110">
        <v>65.2</v>
      </c>
      <c r="O2301" s="110">
        <v>63.75</v>
      </c>
      <c r="P2301" s="110">
        <v>64.650000000000006</v>
      </c>
      <c r="Q2301" s="110">
        <v>64.8</v>
      </c>
      <c r="R2301">
        <v>17051635</v>
      </c>
    </row>
    <row r="2302" spans="1:18" x14ac:dyDescent="0.25">
      <c r="A2302" s="134">
        <v>45394</v>
      </c>
      <c r="B2302" s="110">
        <v>65.3</v>
      </c>
      <c r="C2302" s="110">
        <v>63.62</v>
      </c>
      <c r="D2302" s="110">
        <v>63.36</v>
      </c>
      <c r="E2302" s="110">
        <v>64.430000000000007</v>
      </c>
      <c r="F2302" s="110">
        <v>63.62</v>
      </c>
      <c r="G2302">
        <v>984129</v>
      </c>
      <c r="H2302" s="110"/>
      <c r="I2302" s="110"/>
      <c r="L2302" s="134">
        <v>45394</v>
      </c>
      <c r="M2302" s="110">
        <v>63.6</v>
      </c>
      <c r="N2302" s="110">
        <v>65.349999999999994</v>
      </c>
      <c r="O2302" s="110">
        <v>63.35</v>
      </c>
      <c r="P2302" s="110">
        <v>64.3</v>
      </c>
      <c r="Q2302" s="110">
        <v>63.6</v>
      </c>
      <c r="R2302">
        <v>18890222</v>
      </c>
    </row>
    <row r="2303" spans="1:18" x14ac:dyDescent="0.25">
      <c r="A2303" s="134">
        <v>45397</v>
      </c>
      <c r="B2303" s="110">
        <v>62.6</v>
      </c>
      <c r="C2303" s="110">
        <v>61.65</v>
      </c>
      <c r="D2303" s="110">
        <v>59.4</v>
      </c>
      <c r="E2303" s="110">
        <v>60.11</v>
      </c>
      <c r="F2303" s="110">
        <v>61.65</v>
      </c>
      <c r="G2303">
        <v>4237533</v>
      </c>
      <c r="H2303" s="110"/>
      <c r="I2303" s="110"/>
      <c r="L2303" s="134">
        <v>45397</v>
      </c>
      <c r="M2303" s="110">
        <v>61.65</v>
      </c>
      <c r="N2303" s="110">
        <v>62.65</v>
      </c>
      <c r="O2303" s="110">
        <v>59.35</v>
      </c>
      <c r="P2303" s="110">
        <v>61.4</v>
      </c>
      <c r="Q2303" s="110">
        <v>61.65</v>
      </c>
      <c r="R2303">
        <v>30239121</v>
      </c>
    </row>
    <row r="2304" spans="1:18" x14ac:dyDescent="0.25">
      <c r="A2304" s="134">
        <v>45398</v>
      </c>
      <c r="B2304" s="110">
        <v>62.88</v>
      </c>
      <c r="C2304" s="110">
        <v>62.22</v>
      </c>
      <c r="D2304" s="110">
        <v>60.55</v>
      </c>
      <c r="E2304" s="110">
        <v>61</v>
      </c>
      <c r="F2304" s="110">
        <v>62.22</v>
      </c>
      <c r="G2304">
        <v>1532056</v>
      </c>
      <c r="H2304" s="110"/>
      <c r="I2304" s="110"/>
      <c r="L2304" s="134">
        <v>45398</v>
      </c>
      <c r="M2304" s="110">
        <v>62.25</v>
      </c>
      <c r="N2304" s="110">
        <v>62.9</v>
      </c>
      <c r="O2304" s="110">
        <v>60.65</v>
      </c>
      <c r="P2304" s="110">
        <v>61</v>
      </c>
      <c r="Q2304" s="110">
        <v>62.25</v>
      </c>
      <c r="R2304">
        <v>16604658</v>
      </c>
    </row>
    <row r="2305" spans="1:18" x14ac:dyDescent="0.25">
      <c r="A2305" s="134">
        <v>45400</v>
      </c>
      <c r="B2305" s="110">
        <v>63.42</v>
      </c>
      <c r="C2305" s="110">
        <v>61.35</v>
      </c>
      <c r="D2305" s="110">
        <v>61</v>
      </c>
      <c r="E2305" s="110">
        <v>62.71</v>
      </c>
      <c r="F2305" s="110">
        <v>61.35</v>
      </c>
      <c r="G2305">
        <v>743794</v>
      </c>
      <c r="H2305" s="110"/>
      <c r="I2305" s="110"/>
      <c r="L2305" s="134">
        <v>45400</v>
      </c>
      <c r="M2305" s="110">
        <v>61.35</v>
      </c>
      <c r="N2305" s="110">
        <v>63.45</v>
      </c>
      <c r="O2305" s="110">
        <v>61</v>
      </c>
      <c r="P2305" s="110">
        <v>62.6</v>
      </c>
      <c r="Q2305" s="110">
        <v>61.35</v>
      </c>
      <c r="R2305">
        <v>15570012</v>
      </c>
    </row>
    <row r="2306" spans="1:18" x14ac:dyDescent="0.25">
      <c r="A2306" s="134">
        <v>45401</v>
      </c>
      <c r="B2306" s="110">
        <v>62.1</v>
      </c>
      <c r="C2306" s="110">
        <v>61.53</v>
      </c>
      <c r="D2306" s="110">
        <v>59.2</v>
      </c>
      <c r="E2306" s="110">
        <v>59.75</v>
      </c>
      <c r="F2306" s="110">
        <v>61.53</v>
      </c>
      <c r="G2306">
        <v>1984902</v>
      </c>
      <c r="H2306" s="110"/>
      <c r="I2306" s="110"/>
      <c r="L2306" s="134">
        <v>45401</v>
      </c>
      <c r="M2306" s="110">
        <v>61.6</v>
      </c>
      <c r="N2306" s="110">
        <v>62.15</v>
      </c>
      <c r="O2306" s="110">
        <v>59.2</v>
      </c>
      <c r="P2306" s="110">
        <v>59.85</v>
      </c>
      <c r="Q2306" s="110">
        <v>61.6</v>
      </c>
      <c r="R2306">
        <v>19340620</v>
      </c>
    </row>
    <row r="2307" spans="1:18" x14ac:dyDescent="0.25">
      <c r="A2307" s="134">
        <v>45404</v>
      </c>
      <c r="B2307" s="110">
        <v>64.599999999999994</v>
      </c>
      <c r="C2307" s="110">
        <v>64.39</v>
      </c>
      <c r="D2307" s="110">
        <v>62.15</v>
      </c>
      <c r="E2307" s="110">
        <v>62.41</v>
      </c>
      <c r="F2307" s="110">
        <v>64.39</v>
      </c>
      <c r="G2307">
        <v>1280346</v>
      </c>
      <c r="H2307" s="110"/>
      <c r="I2307" s="110"/>
      <c r="L2307" s="134">
        <v>45404</v>
      </c>
      <c r="M2307" s="110">
        <v>64.400000000000006</v>
      </c>
      <c r="N2307" s="110">
        <v>64.7</v>
      </c>
      <c r="O2307" s="110">
        <v>62</v>
      </c>
      <c r="P2307" s="110">
        <v>62</v>
      </c>
      <c r="Q2307" s="110">
        <v>64.400000000000006</v>
      </c>
      <c r="R2307">
        <v>25835876</v>
      </c>
    </row>
    <row r="2308" spans="1:18" x14ac:dyDescent="0.25">
      <c r="A2308" s="134">
        <v>45405</v>
      </c>
      <c r="B2308" s="110">
        <v>64.86</v>
      </c>
      <c r="C2308" s="110">
        <v>64.45</v>
      </c>
      <c r="D2308" s="110">
        <v>63.8</v>
      </c>
      <c r="E2308" s="110">
        <v>64.61</v>
      </c>
      <c r="F2308" s="110">
        <v>64.45</v>
      </c>
      <c r="G2308">
        <v>1206527</v>
      </c>
      <c r="H2308" s="110"/>
      <c r="I2308" s="110"/>
      <c r="L2308" s="134">
        <v>45405</v>
      </c>
      <c r="M2308" s="110">
        <v>64.5</v>
      </c>
      <c r="N2308" s="110">
        <v>64.849999999999994</v>
      </c>
      <c r="O2308" s="110">
        <v>63.75</v>
      </c>
      <c r="P2308" s="110">
        <v>64.5</v>
      </c>
      <c r="Q2308" s="110">
        <v>64.5</v>
      </c>
      <c r="R2308">
        <v>17940319</v>
      </c>
    </row>
    <row r="2309" spans="1:18" x14ac:dyDescent="0.25">
      <c r="A2309" s="134">
        <v>45406</v>
      </c>
      <c r="B2309" s="110">
        <v>64.989999999999995</v>
      </c>
      <c r="C2309" s="110">
        <v>63.96</v>
      </c>
      <c r="D2309" s="110">
        <v>63.7</v>
      </c>
      <c r="E2309" s="110">
        <v>64.78</v>
      </c>
      <c r="F2309" s="110">
        <v>63.96</v>
      </c>
      <c r="G2309">
        <v>675776</v>
      </c>
      <c r="H2309" s="110"/>
      <c r="I2309" s="110"/>
      <c r="L2309" s="134">
        <v>45406</v>
      </c>
      <c r="M2309" s="110">
        <v>64</v>
      </c>
      <c r="N2309" s="110">
        <v>64.95</v>
      </c>
      <c r="O2309" s="110">
        <v>63.7</v>
      </c>
      <c r="P2309" s="110">
        <v>64.7</v>
      </c>
      <c r="Q2309" s="110">
        <v>64</v>
      </c>
      <c r="R2309">
        <v>13061347</v>
      </c>
    </row>
    <row r="2310" spans="1:18" x14ac:dyDescent="0.25">
      <c r="A2310" s="134">
        <v>45407</v>
      </c>
      <c r="B2310" s="110">
        <v>66</v>
      </c>
      <c r="C2310" s="110">
        <v>65.239999999999995</v>
      </c>
      <c r="D2310" s="110">
        <v>63.88</v>
      </c>
      <c r="E2310" s="110">
        <v>64.12</v>
      </c>
      <c r="F2310" s="110">
        <v>65.239999999999995</v>
      </c>
      <c r="G2310">
        <v>2194660</v>
      </c>
      <c r="H2310" s="110"/>
      <c r="I2310" s="110"/>
      <c r="L2310" s="134">
        <v>45407</v>
      </c>
      <c r="M2310" s="110">
        <v>65.25</v>
      </c>
      <c r="N2310" s="110">
        <v>66</v>
      </c>
      <c r="O2310" s="110">
        <v>63.9</v>
      </c>
      <c r="P2310" s="110">
        <v>64</v>
      </c>
      <c r="Q2310" s="110">
        <v>65.25</v>
      </c>
      <c r="R2310">
        <v>39432553</v>
      </c>
    </row>
    <row r="2311" spans="1:18" x14ac:dyDescent="0.25">
      <c r="A2311" s="134">
        <v>45408</v>
      </c>
      <c r="B2311" s="110">
        <v>69.400000000000006</v>
      </c>
      <c r="C2311" s="110">
        <v>67.62</v>
      </c>
      <c r="D2311" s="110">
        <v>65.239999999999995</v>
      </c>
      <c r="E2311" s="110">
        <v>66.040000000000006</v>
      </c>
      <c r="F2311" s="110">
        <v>67.62</v>
      </c>
      <c r="G2311">
        <v>4187817</v>
      </c>
      <c r="H2311" s="110"/>
      <c r="I2311" s="110"/>
      <c r="L2311" s="134">
        <v>45408</v>
      </c>
      <c r="M2311" s="110">
        <v>67.650000000000006</v>
      </c>
      <c r="N2311" s="110">
        <v>69.400000000000006</v>
      </c>
      <c r="O2311" s="110">
        <v>65.2</v>
      </c>
      <c r="P2311" s="110">
        <v>65.900000000000006</v>
      </c>
      <c r="Q2311" s="110">
        <v>67.650000000000006</v>
      </c>
      <c r="R2311">
        <v>94289305</v>
      </c>
    </row>
    <row r="2312" spans="1:18" x14ac:dyDescent="0.25">
      <c r="A2312" s="134">
        <v>45411</v>
      </c>
      <c r="B2312" s="110">
        <v>71.5</v>
      </c>
      <c r="C2312" s="110">
        <v>71.12</v>
      </c>
      <c r="D2312" s="110">
        <v>67.03</v>
      </c>
      <c r="E2312" s="110">
        <v>68.87</v>
      </c>
      <c r="F2312" s="110">
        <v>71.12</v>
      </c>
      <c r="G2312">
        <v>5690667</v>
      </c>
      <c r="H2312" s="110"/>
      <c r="I2312" s="110"/>
      <c r="L2312" s="134">
        <v>45411</v>
      </c>
      <c r="M2312" s="110">
        <v>71.05</v>
      </c>
      <c r="N2312" s="110">
        <v>71.45</v>
      </c>
      <c r="O2312" s="110">
        <v>67.05</v>
      </c>
      <c r="P2312" s="110">
        <v>68.8</v>
      </c>
      <c r="Q2312" s="110">
        <v>71.05</v>
      </c>
      <c r="R2312">
        <v>100589434</v>
      </c>
    </row>
    <row r="2313" spans="1:18" x14ac:dyDescent="0.25">
      <c r="A2313" s="134">
        <v>45412</v>
      </c>
      <c r="B2313" s="110">
        <v>72.56</v>
      </c>
      <c r="C2313" s="110">
        <v>70.010000000000005</v>
      </c>
      <c r="D2313" s="110">
        <v>69</v>
      </c>
      <c r="E2313" s="110">
        <v>71.45</v>
      </c>
      <c r="F2313" s="110">
        <v>70.010000000000005</v>
      </c>
      <c r="G2313">
        <v>5874698</v>
      </c>
      <c r="H2313" s="110"/>
      <c r="I2313" s="110"/>
      <c r="L2313" s="134">
        <v>45412</v>
      </c>
      <c r="M2313" s="110">
        <v>70.099999999999994</v>
      </c>
      <c r="N2313" s="110">
        <v>72.55</v>
      </c>
      <c r="O2313" s="110">
        <v>69.8</v>
      </c>
      <c r="P2313" s="110">
        <v>71.400000000000006</v>
      </c>
      <c r="Q2313" s="110">
        <v>70.099999999999994</v>
      </c>
      <c r="R2313">
        <v>57019886</v>
      </c>
    </row>
    <row r="2314" spans="1:18" x14ac:dyDescent="0.25">
      <c r="A2314" s="134">
        <v>45414</v>
      </c>
      <c r="B2314" s="110">
        <v>70.73</v>
      </c>
      <c r="C2314" s="110">
        <v>69.790000000000006</v>
      </c>
      <c r="D2314" s="110">
        <v>69.11</v>
      </c>
      <c r="E2314" s="110">
        <v>70.73</v>
      </c>
      <c r="F2314" s="110">
        <v>69.790000000000006</v>
      </c>
      <c r="G2314">
        <v>1622716</v>
      </c>
      <c r="H2314" s="110"/>
      <c r="I2314" s="110"/>
      <c r="L2314" s="134">
        <v>45414</v>
      </c>
      <c r="M2314" s="110">
        <v>69.8</v>
      </c>
      <c r="N2314" s="110">
        <v>70.599999999999994</v>
      </c>
      <c r="O2314" s="110">
        <v>69.099999999999994</v>
      </c>
      <c r="P2314" s="110">
        <v>70.599999999999994</v>
      </c>
      <c r="Q2314" s="110">
        <v>69.8</v>
      </c>
      <c r="R2314">
        <v>30360298</v>
      </c>
    </row>
    <row r="2315" spans="1:18" x14ac:dyDescent="0.25">
      <c r="A2315" s="134">
        <v>45415</v>
      </c>
      <c r="B2315" s="110">
        <v>70.33</v>
      </c>
      <c r="C2315" s="110">
        <v>68.400000000000006</v>
      </c>
      <c r="D2315" s="110">
        <v>67.88</v>
      </c>
      <c r="E2315" s="110">
        <v>70.2</v>
      </c>
      <c r="F2315" s="110">
        <v>68.400000000000006</v>
      </c>
      <c r="G2315">
        <v>1830096</v>
      </c>
      <c r="H2315" s="110"/>
      <c r="I2315" s="110"/>
      <c r="L2315" s="134">
        <v>45415</v>
      </c>
      <c r="M2315" s="110">
        <v>68.400000000000006</v>
      </c>
      <c r="N2315" s="110">
        <v>70.349999999999994</v>
      </c>
      <c r="O2315" s="110">
        <v>67.900000000000006</v>
      </c>
      <c r="P2315" s="110">
        <v>70.2</v>
      </c>
      <c r="Q2315" s="110">
        <v>68.400000000000006</v>
      </c>
      <c r="R2315">
        <v>29962784</v>
      </c>
    </row>
    <row r="2316" spans="1:18" x14ac:dyDescent="0.25">
      <c r="A2316" s="134">
        <v>45418</v>
      </c>
      <c r="B2316" s="110">
        <v>69</v>
      </c>
      <c r="C2316" s="110">
        <v>66.77</v>
      </c>
      <c r="D2316" s="110">
        <v>65.760000000000005</v>
      </c>
      <c r="E2316" s="110">
        <v>68.41</v>
      </c>
      <c r="F2316" s="110">
        <v>66.77</v>
      </c>
      <c r="G2316">
        <v>3351790</v>
      </c>
      <c r="H2316" s="110"/>
      <c r="I2316" s="110"/>
      <c r="L2316" s="134">
        <v>45418</v>
      </c>
      <c r="M2316" s="110">
        <v>66.8</v>
      </c>
      <c r="N2316" s="110">
        <v>69.05</v>
      </c>
      <c r="O2316" s="110">
        <v>65.8</v>
      </c>
      <c r="P2316" s="110">
        <v>68.8</v>
      </c>
      <c r="Q2316" s="110">
        <v>66.8</v>
      </c>
      <c r="R2316">
        <v>28803348</v>
      </c>
    </row>
    <row r="2317" spans="1:18" x14ac:dyDescent="0.25">
      <c r="A2317" s="134">
        <v>45419</v>
      </c>
      <c r="B2317" s="110">
        <v>67.5</v>
      </c>
      <c r="C2317" s="110">
        <v>65.16</v>
      </c>
      <c r="D2317" s="110">
        <v>64.64</v>
      </c>
      <c r="E2317" s="110">
        <v>66.900000000000006</v>
      </c>
      <c r="F2317" s="110">
        <v>65.16</v>
      </c>
      <c r="G2317">
        <v>1564599</v>
      </c>
      <c r="H2317" s="110"/>
      <c r="I2317" s="110"/>
      <c r="L2317" s="134">
        <v>45419</v>
      </c>
      <c r="M2317" s="110">
        <v>65.05</v>
      </c>
      <c r="N2317" s="110">
        <v>67.5</v>
      </c>
      <c r="O2317" s="110">
        <v>64.55</v>
      </c>
      <c r="P2317" s="110">
        <v>66.849999999999994</v>
      </c>
      <c r="Q2317" s="110">
        <v>65.05</v>
      </c>
      <c r="R2317">
        <v>24767774</v>
      </c>
    </row>
    <row r="2318" spans="1:18" x14ac:dyDescent="0.25">
      <c r="A2318" s="134">
        <v>45420</v>
      </c>
      <c r="B2318" s="110">
        <v>66.64</v>
      </c>
      <c r="C2318" s="110">
        <v>65.930000000000007</v>
      </c>
      <c r="D2318" s="110">
        <v>64.36</v>
      </c>
      <c r="E2318" s="110">
        <v>64.989999999999995</v>
      </c>
      <c r="F2318" s="110">
        <v>65.930000000000007</v>
      </c>
      <c r="G2318">
        <v>2828481</v>
      </c>
      <c r="H2318" s="110"/>
      <c r="I2318" s="110"/>
      <c r="L2318" s="134">
        <v>45420</v>
      </c>
      <c r="M2318" s="110">
        <v>65.95</v>
      </c>
      <c r="N2318" s="110">
        <v>66.650000000000006</v>
      </c>
      <c r="O2318" s="110">
        <v>64.349999999999994</v>
      </c>
      <c r="P2318" s="110">
        <v>64.900000000000006</v>
      </c>
      <c r="Q2318" s="110">
        <v>65.95</v>
      </c>
      <c r="R2318">
        <v>21025273</v>
      </c>
    </row>
    <row r="2319" spans="1:18" x14ac:dyDescent="0.25">
      <c r="A2319" s="134">
        <v>45421</v>
      </c>
      <c r="B2319" s="110">
        <v>66.5</v>
      </c>
      <c r="C2319" s="110">
        <v>63.56</v>
      </c>
      <c r="D2319" s="110">
        <v>63.14</v>
      </c>
      <c r="E2319" s="110">
        <v>66.09</v>
      </c>
      <c r="F2319" s="110">
        <v>63.56</v>
      </c>
      <c r="G2319">
        <v>1296762</v>
      </c>
      <c r="H2319" s="110"/>
      <c r="I2319" s="110"/>
      <c r="L2319" s="134">
        <v>45421</v>
      </c>
      <c r="M2319" s="110">
        <v>63.55</v>
      </c>
      <c r="N2319" s="110">
        <v>66.55</v>
      </c>
      <c r="O2319" s="110">
        <v>63.15</v>
      </c>
      <c r="P2319" s="110">
        <v>66</v>
      </c>
      <c r="Q2319" s="110">
        <v>63.55</v>
      </c>
      <c r="R2319">
        <v>19993258</v>
      </c>
    </row>
    <row r="2320" spans="1:18" x14ac:dyDescent="0.25">
      <c r="A2320" s="134">
        <v>45422</v>
      </c>
      <c r="B2320" s="110">
        <v>64.19</v>
      </c>
      <c r="C2320" s="110">
        <v>63.92</v>
      </c>
      <c r="D2320" s="110">
        <v>61.35</v>
      </c>
      <c r="E2320" s="110">
        <v>63.55</v>
      </c>
      <c r="F2320" s="110">
        <v>63.92</v>
      </c>
      <c r="G2320">
        <v>2577168</v>
      </c>
      <c r="H2320" s="110"/>
      <c r="I2320" s="110"/>
      <c r="L2320" s="134">
        <v>45422</v>
      </c>
      <c r="M2320" s="110">
        <v>63.9</v>
      </c>
      <c r="N2320" s="110">
        <v>64.25</v>
      </c>
      <c r="O2320" s="110">
        <v>61.35</v>
      </c>
      <c r="P2320" s="110">
        <v>63.4</v>
      </c>
      <c r="Q2320" s="110">
        <v>63.9</v>
      </c>
      <c r="R2320">
        <v>19918487</v>
      </c>
    </row>
    <row r="2321" spans="1:18" x14ac:dyDescent="0.25">
      <c r="A2321" s="134">
        <v>45425</v>
      </c>
      <c r="B2321" s="110">
        <v>63.31</v>
      </c>
      <c r="C2321" s="110">
        <v>62.51</v>
      </c>
      <c r="D2321" s="110">
        <v>61.38</v>
      </c>
      <c r="E2321" s="110">
        <v>63.16</v>
      </c>
      <c r="F2321" s="110">
        <v>62.51</v>
      </c>
      <c r="G2321">
        <v>2209949</v>
      </c>
      <c r="H2321" s="110"/>
      <c r="I2321" s="110"/>
      <c r="L2321" s="134">
        <v>45425</v>
      </c>
      <c r="M2321" s="110">
        <v>62.5</v>
      </c>
      <c r="N2321" s="110">
        <v>63.3</v>
      </c>
      <c r="O2321" s="110">
        <v>61.4</v>
      </c>
      <c r="P2321" s="110">
        <v>63.05</v>
      </c>
      <c r="Q2321" s="110">
        <v>62.5</v>
      </c>
      <c r="R2321">
        <v>16086559</v>
      </c>
    </row>
    <row r="2322" spans="1:18" x14ac:dyDescent="0.25">
      <c r="A2322" s="134">
        <v>45426</v>
      </c>
      <c r="B2322" s="110">
        <v>64.5</v>
      </c>
      <c r="C2322" s="110">
        <v>64.33</v>
      </c>
      <c r="D2322" s="110">
        <v>62.6</v>
      </c>
      <c r="E2322" s="110">
        <v>63.08</v>
      </c>
      <c r="F2322" s="110">
        <v>64.33</v>
      </c>
      <c r="G2322">
        <v>1372195</v>
      </c>
      <c r="H2322" s="110"/>
      <c r="I2322" s="110"/>
      <c r="L2322" s="134">
        <v>45426</v>
      </c>
      <c r="M2322" s="110">
        <v>64.349999999999994</v>
      </c>
      <c r="N2322" s="110">
        <v>64.55</v>
      </c>
      <c r="O2322" s="110">
        <v>62.65</v>
      </c>
      <c r="P2322" s="110">
        <v>62.75</v>
      </c>
      <c r="Q2322" s="110">
        <v>64.349999999999994</v>
      </c>
      <c r="R2322">
        <v>13144263</v>
      </c>
    </row>
    <row r="2323" spans="1:18" x14ac:dyDescent="0.25">
      <c r="A2323" s="134">
        <v>45427</v>
      </c>
      <c r="B2323" s="110">
        <v>65.900000000000006</v>
      </c>
      <c r="C2323" s="110">
        <v>64.61</v>
      </c>
      <c r="D2323" s="110">
        <v>64.260000000000005</v>
      </c>
      <c r="E2323" s="110">
        <v>64.819999999999993</v>
      </c>
      <c r="F2323" s="110">
        <v>64.61</v>
      </c>
      <c r="G2323">
        <v>676120</v>
      </c>
      <c r="H2323" s="110"/>
      <c r="I2323" s="110"/>
      <c r="L2323" s="134">
        <v>45427</v>
      </c>
      <c r="M2323" s="110">
        <v>64.55</v>
      </c>
      <c r="N2323" s="110">
        <v>65.95</v>
      </c>
      <c r="O2323" s="110">
        <v>64.2</v>
      </c>
      <c r="P2323" s="110">
        <v>64.7</v>
      </c>
      <c r="Q2323" s="110">
        <v>64.55</v>
      </c>
      <c r="R2323">
        <v>10752336</v>
      </c>
    </row>
    <row r="2324" spans="1:18" x14ac:dyDescent="0.25">
      <c r="A2324" s="134">
        <v>45428</v>
      </c>
      <c r="B2324" s="110">
        <v>65.2</v>
      </c>
      <c r="C2324" s="110">
        <v>64.02</v>
      </c>
      <c r="D2324" s="110">
        <v>63.67</v>
      </c>
      <c r="E2324" s="110">
        <v>64.72</v>
      </c>
      <c r="F2324" s="110">
        <v>64.02</v>
      </c>
      <c r="G2324">
        <v>1618469</v>
      </c>
      <c r="H2324" s="110"/>
      <c r="I2324" s="110"/>
      <c r="L2324" s="134">
        <v>45428</v>
      </c>
      <c r="M2324" s="110">
        <v>64</v>
      </c>
      <c r="N2324" s="110">
        <v>65.2</v>
      </c>
      <c r="O2324" s="110">
        <v>63.7</v>
      </c>
      <c r="P2324" s="110">
        <v>64.95</v>
      </c>
      <c r="Q2324" s="110">
        <v>64</v>
      </c>
      <c r="R2324">
        <v>11674254</v>
      </c>
    </row>
    <row r="2325" spans="1:18" x14ac:dyDescent="0.25">
      <c r="A2325" s="134">
        <v>45429</v>
      </c>
      <c r="B2325" s="110">
        <v>64.75</v>
      </c>
      <c r="C2325" s="110">
        <v>64.150000000000006</v>
      </c>
      <c r="D2325" s="110">
        <v>63.65</v>
      </c>
      <c r="E2325" s="110">
        <v>64.13</v>
      </c>
      <c r="F2325" s="110">
        <v>64.150000000000006</v>
      </c>
      <c r="G2325">
        <v>1101924</v>
      </c>
      <c r="H2325" s="110"/>
      <c r="I2325" s="110"/>
      <c r="L2325" s="134">
        <v>45429</v>
      </c>
      <c r="M2325" s="110">
        <v>64.150000000000006</v>
      </c>
      <c r="N2325" s="110">
        <v>64.8</v>
      </c>
      <c r="O2325" s="110">
        <v>63.7</v>
      </c>
      <c r="P2325" s="110">
        <v>64.25</v>
      </c>
      <c r="Q2325" s="110">
        <v>64.150000000000006</v>
      </c>
      <c r="R2325">
        <v>9216734</v>
      </c>
    </row>
    <row r="2326" spans="1:18" x14ac:dyDescent="0.25">
      <c r="A2326" s="134">
        <v>45430</v>
      </c>
      <c r="B2326" s="110">
        <v>64.77</v>
      </c>
      <c r="C2326" s="110">
        <v>64.45</v>
      </c>
      <c r="D2326" s="110">
        <v>64.13</v>
      </c>
      <c r="E2326" s="110">
        <v>64.44</v>
      </c>
      <c r="F2326" s="110">
        <v>64.45</v>
      </c>
      <c r="G2326">
        <v>388778</v>
      </c>
      <c r="H2326" s="110"/>
      <c r="I2326" s="110"/>
      <c r="L2326" s="134">
        <v>45430</v>
      </c>
      <c r="M2326" s="110">
        <v>64.45</v>
      </c>
      <c r="N2326" s="110">
        <v>64.8</v>
      </c>
      <c r="O2326" s="110">
        <v>64.2</v>
      </c>
      <c r="P2326" s="110">
        <v>64.3</v>
      </c>
      <c r="Q2326" s="110">
        <v>64.45</v>
      </c>
      <c r="R2326">
        <v>2371837</v>
      </c>
    </row>
    <row r="2327" spans="1:18" x14ac:dyDescent="0.25">
      <c r="A2327" s="134">
        <v>45433</v>
      </c>
      <c r="B2327" s="110">
        <v>67.84</v>
      </c>
      <c r="C2327" s="110">
        <v>67.489999999999995</v>
      </c>
      <c r="D2327" s="110">
        <v>64.3</v>
      </c>
      <c r="E2327" s="110">
        <v>64.900000000000006</v>
      </c>
      <c r="F2327" s="110">
        <v>67.489999999999995</v>
      </c>
      <c r="G2327">
        <v>3238838</v>
      </c>
      <c r="H2327" s="110"/>
      <c r="I2327" s="110"/>
      <c r="L2327" s="134">
        <v>45433</v>
      </c>
      <c r="M2327" s="110">
        <v>67.45</v>
      </c>
      <c r="N2327" s="110">
        <v>67.900000000000006</v>
      </c>
      <c r="O2327" s="110">
        <v>64.349999999999994</v>
      </c>
      <c r="P2327" s="110">
        <v>64.900000000000006</v>
      </c>
      <c r="Q2327" s="110">
        <v>67.45</v>
      </c>
      <c r="R2327">
        <v>28959183</v>
      </c>
    </row>
    <row r="2328" spans="1:18" x14ac:dyDescent="0.25">
      <c r="A2328" s="134">
        <v>45434</v>
      </c>
      <c r="B2328" s="110">
        <v>68.400000000000006</v>
      </c>
      <c r="C2328" s="110">
        <v>67.540000000000006</v>
      </c>
      <c r="D2328" s="110">
        <v>66.739999999999995</v>
      </c>
      <c r="E2328" s="110">
        <v>68</v>
      </c>
      <c r="F2328" s="110">
        <v>67.540000000000006</v>
      </c>
      <c r="G2328">
        <v>2832124</v>
      </c>
      <c r="H2328" s="110"/>
      <c r="I2328" s="110"/>
      <c r="L2328" s="134">
        <v>45434</v>
      </c>
      <c r="M2328" s="110">
        <v>67.55</v>
      </c>
      <c r="N2328" s="110">
        <v>68.400000000000006</v>
      </c>
      <c r="O2328" s="110">
        <v>66.75</v>
      </c>
      <c r="P2328" s="110">
        <v>67.95</v>
      </c>
      <c r="Q2328" s="110">
        <v>67.55</v>
      </c>
      <c r="R2328">
        <v>18246222</v>
      </c>
    </row>
    <row r="2329" spans="1:18" x14ac:dyDescent="0.25">
      <c r="A2329" s="134">
        <v>45435</v>
      </c>
      <c r="B2329" s="110">
        <v>70.31</v>
      </c>
      <c r="C2329" s="110">
        <v>68.77</v>
      </c>
      <c r="D2329" s="110">
        <v>67.89</v>
      </c>
      <c r="E2329" s="110">
        <v>67.94</v>
      </c>
      <c r="F2329" s="110">
        <v>68.77</v>
      </c>
      <c r="G2329">
        <v>2364757</v>
      </c>
      <c r="H2329" s="110"/>
      <c r="I2329" s="110"/>
      <c r="L2329" s="134">
        <v>45435</v>
      </c>
      <c r="M2329" s="110">
        <v>68.8</v>
      </c>
      <c r="N2329" s="110">
        <v>70.3</v>
      </c>
      <c r="O2329" s="110">
        <v>67.8</v>
      </c>
      <c r="P2329" s="110">
        <v>67.849999999999994</v>
      </c>
      <c r="Q2329" s="110">
        <v>68.8</v>
      </c>
      <c r="R2329">
        <v>32717023</v>
      </c>
    </row>
    <row r="2330" spans="1:18" x14ac:dyDescent="0.25">
      <c r="A2330" s="134">
        <v>45436</v>
      </c>
      <c r="B2330" s="110">
        <v>70.16</v>
      </c>
      <c r="C2330" s="110">
        <v>68.150000000000006</v>
      </c>
      <c r="D2330" s="110">
        <v>67.87</v>
      </c>
      <c r="E2330" s="110">
        <v>68.900000000000006</v>
      </c>
      <c r="F2330" s="110">
        <v>68.150000000000006</v>
      </c>
      <c r="G2330">
        <v>1603908</v>
      </c>
      <c r="H2330" s="110"/>
      <c r="I2330" s="110"/>
      <c r="L2330" s="134">
        <v>45436</v>
      </c>
      <c r="M2330" s="110">
        <v>68.150000000000006</v>
      </c>
      <c r="N2330" s="110">
        <v>70.150000000000006</v>
      </c>
      <c r="O2330" s="110">
        <v>67.849999999999994</v>
      </c>
      <c r="P2330" s="110">
        <v>68.849999999999994</v>
      </c>
      <c r="Q2330" s="110">
        <v>68.150000000000006</v>
      </c>
      <c r="R2330">
        <v>24776871</v>
      </c>
    </row>
    <row r="2331" spans="1:18" x14ac:dyDescent="0.25">
      <c r="A2331" s="134">
        <v>45439</v>
      </c>
      <c r="B2331" s="110">
        <v>71.430000000000007</v>
      </c>
      <c r="C2331" s="110">
        <v>70.58</v>
      </c>
      <c r="D2331" s="110">
        <v>68.37</v>
      </c>
      <c r="E2331" s="110">
        <v>68.72</v>
      </c>
      <c r="F2331" s="110">
        <v>70.58</v>
      </c>
      <c r="G2331">
        <v>6569810</v>
      </c>
      <c r="H2331" s="110"/>
      <c r="I2331" s="110"/>
      <c r="L2331" s="134">
        <v>45439</v>
      </c>
      <c r="M2331" s="110">
        <v>70.599999999999994</v>
      </c>
      <c r="N2331" s="110">
        <v>71.5</v>
      </c>
      <c r="O2331" s="110">
        <v>68.45</v>
      </c>
      <c r="P2331" s="110">
        <v>68.599999999999994</v>
      </c>
      <c r="Q2331" s="110">
        <v>70.599999999999994</v>
      </c>
      <c r="R2331">
        <v>60774144</v>
      </c>
    </row>
    <row r="2332" spans="1:18" x14ac:dyDescent="0.25">
      <c r="A2332" s="134">
        <v>45440</v>
      </c>
      <c r="B2332" s="110">
        <v>71.34</v>
      </c>
      <c r="C2332" s="110">
        <v>68.790000000000006</v>
      </c>
      <c r="D2332" s="110">
        <v>68.09</v>
      </c>
      <c r="E2332" s="110">
        <v>71.099999999999994</v>
      </c>
      <c r="F2332" s="110">
        <v>68.790000000000006</v>
      </c>
      <c r="G2332">
        <v>1996549</v>
      </c>
      <c r="H2332" s="110"/>
      <c r="I2332" s="110"/>
      <c r="L2332" s="134">
        <v>45440</v>
      </c>
      <c r="M2332" s="110">
        <v>68.8</v>
      </c>
      <c r="N2332" s="110">
        <v>71.3</v>
      </c>
      <c r="O2332" s="110">
        <v>68.05</v>
      </c>
      <c r="P2332" s="110">
        <v>71</v>
      </c>
      <c r="Q2332" s="110">
        <v>68.8</v>
      </c>
      <c r="R2332">
        <v>29763447</v>
      </c>
    </row>
    <row r="2333" spans="1:18" x14ac:dyDescent="0.25">
      <c r="A2333" s="134">
        <v>45441</v>
      </c>
      <c r="B2333" s="110">
        <v>69.7</v>
      </c>
      <c r="C2333" s="110">
        <v>68.98</v>
      </c>
      <c r="D2333" s="110">
        <v>67.42</v>
      </c>
      <c r="E2333" s="110">
        <v>68.150000000000006</v>
      </c>
      <c r="F2333" s="110">
        <v>68.98</v>
      </c>
      <c r="G2333">
        <v>1118141</v>
      </c>
      <c r="H2333" s="110"/>
      <c r="I2333" s="110"/>
      <c r="L2333" s="134">
        <v>45441</v>
      </c>
      <c r="M2333" s="110">
        <v>69</v>
      </c>
      <c r="N2333" s="110">
        <v>69.7</v>
      </c>
      <c r="O2333" s="110">
        <v>67.400000000000006</v>
      </c>
      <c r="P2333" s="110">
        <v>68</v>
      </c>
      <c r="Q2333" s="110">
        <v>69</v>
      </c>
      <c r="R2333">
        <v>19588607</v>
      </c>
    </row>
    <row r="2334" spans="1:18" x14ac:dyDescent="0.25">
      <c r="A2334" s="134">
        <v>45442</v>
      </c>
      <c r="B2334" s="110">
        <v>69.38</v>
      </c>
      <c r="C2334" s="110">
        <v>67.31</v>
      </c>
      <c r="D2334" s="110">
        <v>67.010000000000005</v>
      </c>
      <c r="E2334" s="110">
        <v>68.94</v>
      </c>
      <c r="F2334" s="110">
        <v>67.31</v>
      </c>
      <c r="G2334">
        <v>1218854</v>
      </c>
      <c r="H2334" s="110"/>
      <c r="I2334" s="110"/>
      <c r="L2334" s="134">
        <v>45442</v>
      </c>
      <c r="M2334" s="110">
        <v>67.25</v>
      </c>
      <c r="N2334" s="110">
        <v>69.400000000000006</v>
      </c>
      <c r="O2334" s="110">
        <v>67</v>
      </c>
      <c r="P2334" s="110">
        <v>68.55</v>
      </c>
      <c r="Q2334" s="110">
        <v>67.25</v>
      </c>
      <c r="R2334">
        <v>20158859</v>
      </c>
    </row>
    <row r="2335" spans="1:18" x14ac:dyDescent="0.25">
      <c r="A2335" s="134">
        <v>45443</v>
      </c>
      <c r="B2335" s="110">
        <v>69.67</v>
      </c>
      <c r="C2335" s="110">
        <v>69.040000000000006</v>
      </c>
      <c r="D2335" s="110">
        <v>66.52</v>
      </c>
      <c r="E2335" s="110">
        <v>67.53</v>
      </c>
      <c r="F2335" s="110">
        <v>69.040000000000006</v>
      </c>
      <c r="G2335">
        <v>2579343</v>
      </c>
      <c r="H2335" s="110"/>
      <c r="I2335" s="110"/>
      <c r="L2335" s="134">
        <v>45443</v>
      </c>
      <c r="M2335" s="110">
        <v>69.05</v>
      </c>
      <c r="N2335" s="110">
        <v>69.75</v>
      </c>
      <c r="O2335" s="110">
        <v>66.5</v>
      </c>
      <c r="P2335" s="110">
        <v>67.650000000000006</v>
      </c>
      <c r="Q2335" s="110">
        <v>69.05</v>
      </c>
      <c r="R2335">
        <v>22041845</v>
      </c>
    </row>
    <row r="2336" spans="1:18" x14ac:dyDescent="0.25">
      <c r="A2336" s="134">
        <v>45446</v>
      </c>
      <c r="B2336" s="110">
        <v>73.5</v>
      </c>
      <c r="C2336" s="110">
        <v>72.540000000000006</v>
      </c>
      <c r="D2336" s="110">
        <v>70</v>
      </c>
      <c r="E2336" s="110">
        <v>72.86</v>
      </c>
      <c r="F2336" s="110">
        <v>72.540000000000006</v>
      </c>
      <c r="G2336">
        <v>4671310</v>
      </c>
      <c r="H2336" s="110"/>
      <c r="I2336" s="110"/>
      <c r="L2336" s="134">
        <v>45446</v>
      </c>
      <c r="M2336" s="110">
        <v>72.5</v>
      </c>
      <c r="N2336" s="110">
        <v>73.5</v>
      </c>
      <c r="O2336" s="110">
        <v>70.349999999999994</v>
      </c>
      <c r="P2336" s="110">
        <v>73</v>
      </c>
      <c r="Q2336" s="110">
        <v>72.5</v>
      </c>
      <c r="R2336">
        <v>75921042</v>
      </c>
    </row>
    <row r="2337" spans="1:18" x14ac:dyDescent="0.25">
      <c r="A2337" s="134">
        <v>45447</v>
      </c>
      <c r="B2337" s="110">
        <v>71.989999999999995</v>
      </c>
      <c r="C2337" s="110">
        <v>63.24</v>
      </c>
      <c r="D2337" s="110">
        <v>59.2</v>
      </c>
      <c r="E2337" s="110">
        <v>71.989999999999995</v>
      </c>
      <c r="F2337" s="110">
        <v>63.24</v>
      </c>
      <c r="G2337">
        <v>11667867</v>
      </c>
      <c r="H2337" s="110"/>
      <c r="I2337" s="110"/>
      <c r="L2337" s="134">
        <v>45447</v>
      </c>
      <c r="M2337" s="110">
        <v>63.3</v>
      </c>
      <c r="N2337" s="110">
        <v>72</v>
      </c>
      <c r="O2337" s="110">
        <v>59</v>
      </c>
      <c r="P2337" s="110">
        <v>72</v>
      </c>
      <c r="Q2337" s="110">
        <v>63.3</v>
      </c>
      <c r="R2337">
        <v>69644328</v>
      </c>
    </row>
    <row r="2338" spans="1:18" x14ac:dyDescent="0.25">
      <c r="A2338" s="134">
        <v>45448</v>
      </c>
      <c r="B2338" s="110">
        <v>64.599999999999994</v>
      </c>
      <c r="C2338" s="110">
        <v>63.64</v>
      </c>
      <c r="D2338" s="110">
        <v>59.65</v>
      </c>
      <c r="E2338" s="110">
        <v>64.47</v>
      </c>
      <c r="F2338" s="110">
        <v>63.64</v>
      </c>
      <c r="G2338">
        <v>3372187</v>
      </c>
      <c r="H2338" s="110"/>
      <c r="I2338" s="110"/>
      <c r="L2338" s="134">
        <v>45448</v>
      </c>
      <c r="M2338" s="110">
        <v>63.65</v>
      </c>
      <c r="N2338" s="110">
        <v>64.55</v>
      </c>
      <c r="O2338" s="110">
        <v>59.55</v>
      </c>
      <c r="P2338" s="110">
        <v>64.25</v>
      </c>
      <c r="Q2338" s="110">
        <v>63.65</v>
      </c>
      <c r="R2338">
        <v>45617914</v>
      </c>
    </row>
    <row r="2339" spans="1:18" x14ac:dyDescent="0.25">
      <c r="A2339" s="134">
        <v>45449</v>
      </c>
      <c r="B2339" s="110">
        <v>67.209999999999994</v>
      </c>
      <c r="C2339" s="110">
        <v>66.03</v>
      </c>
      <c r="D2339" s="110">
        <v>64.349999999999994</v>
      </c>
      <c r="E2339" s="110">
        <v>64.91</v>
      </c>
      <c r="F2339" s="110">
        <v>66.03</v>
      </c>
      <c r="G2339">
        <v>2353095</v>
      </c>
      <c r="H2339" s="110"/>
      <c r="I2339" s="110"/>
      <c r="L2339" s="134">
        <v>45449</v>
      </c>
      <c r="M2339" s="110">
        <v>65.95</v>
      </c>
      <c r="N2339" s="110">
        <v>67.2</v>
      </c>
      <c r="O2339" s="110">
        <v>64.2</v>
      </c>
      <c r="P2339" s="110">
        <v>64.349999999999994</v>
      </c>
      <c r="Q2339" s="110">
        <v>65.95</v>
      </c>
      <c r="R2339">
        <v>27396953</v>
      </c>
    </row>
    <row r="2340" spans="1:18" x14ac:dyDescent="0.25">
      <c r="A2340" s="134">
        <v>45450</v>
      </c>
      <c r="B2340" s="110">
        <v>66.8</v>
      </c>
      <c r="C2340" s="110">
        <v>66.650000000000006</v>
      </c>
      <c r="D2340" s="110">
        <v>65.38</v>
      </c>
      <c r="E2340" s="110">
        <v>66.37</v>
      </c>
      <c r="F2340" s="110">
        <v>66.650000000000006</v>
      </c>
      <c r="G2340">
        <v>2245584</v>
      </c>
      <c r="H2340" s="110"/>
      <c r="I2340" s="110"/>
      <c r="L2340" s="134">
        <v>45450</v>
      </c>
      <c r="M2340" s="110">
        <v>66.650000000000006</v>
      </c>
      <c r="N2340" s="110">
        <v>66.8</v>
      </c>
      <c r="O2340" s="110">
        <v>65.400000000000006</v>
      </c>
      <c r="P2340" s="110">
        <v>66.2</v>
      </c>
      <c r="Q2340" s="110">
        <v>66.650000000000006</v>
      </c>
      <c r="R2340">
        <v>18595619</v>
      </c>
    </row>
    <row r="2341" spans="1:18" x14ac:dyDescent="0.25">
      <c r="A2341" s="134">
        <v>45453</v>
      </c>
      <c r="B2341" s="110">
        <v>67.430000000000007</v>
      </c>
      <c r="C2341" s="110">
        <v>66.150000000000006</v>
      </c>
      <c r="D2341" s="110">
        <v>66</v>
      </c>
      <c r="E2341" s="110">
        <v>67.31</v>
      </c>
      <c r="F2341" s="110">
        <v>66.150000000000006</v>
      </c>
      <c r="G2341">
        <v>2222830</v>
      </c>
      <c r="H2341" s="110"/>
      <c r="I2341" s="110"/>
      <c r="L2341" s="134">
        <v>45453</v>
      </c>
      <c r="M2341" s="110">
        <v>66.180000000000007</v>
      </c>
      <c r="N2341" s="110">
        <v>67.45</v>
      </c>
      <c r="O2341" s="110">
        <v>66</v>
      </c>
      <c r="P2341" s="110">
        <v>66.95</v>
      </c>
      <c r="Q2341" s="110">
        <v>66.180000000000007</v>
      </c>
      <c r="R2341">
        <v>19063668</v>
      </c>
    </row>
    <row r="2342" spans="1:18" x14ac:dyDescent="0.25">
      <c r="A2342" s="134">
        <v>45454</v>
      </c>
      <c r="B2342" s="110">
        <v>67.290000000000006</v>
      </c>
      <c r="C2342" s="110">
        <v>66.34</v>
      </c>
      <c r="D2342" s="110">
        <v>65.53</v>
      </c>
      <c r="E2342" s="110">
        <v>66.709999999999994</v>
      </c>
      <c r="F2342" s="110">
        <v>66.34</v>
      </c>
      <c r="G2342">
        <v>1603959</v>
      </c>
      <c r="H2342" s="110"/>
      <c r="I2342" s="110"/>
      <c r="L2342" s="134">
        <v>45454</v>
      </c>
      <c r="M2342" s="110">
        <v>66.39</v>
      </c>
      <c r="N2342" s="110">
        <v>67.3</v>
      </c>
      <c r="O2342" s="110">
        <v>65.5</v>
      </c>
      <c r="P2342" s="110">
        <v>66.599999999999994</v>
      </c>
      <c r="Q2342" s="110">
        <v>66.39</v>
      </c>
      <c r="R2342">
        <v>15558375</v>
      </c>
    </row>
    <row r="2343" spans="1:18" x14ac:dyDescent="0.25">
      <c r="A2343" s="134">
        <v>45455</v>
      </c>
      <c r="B2343" s="110">
        <v>68.37</v>
      </c>
      <c r="C2343" s="110">
        <v>67.28</v>
      </c>
      <c r="D2343" s="110">
        <v>66.45</v>
      </c>
      <c r="E2343" s="110">
        <v>66.849999999999994</v>
      </c>
      <c r="F2343" s="110">
        <v>67.28</v>
      </c>
      <c r="G2343">
        <v>1169916</v>
      </c>
      <c r="H2343" s="110"/>
      <c r="I2343" s="110"/>
      <c r="L2343" s="134">
        <v>45455</v>
      </c>
      <c r="M2343" s="110">
        <v>67.27</v>
      </c>
      <c r="N2343" s="110">
        <v>68.38</v>
      </c>
      <c r="O2343" s="110">
        <v>66.41</v>
      </c>
      <c r="P2343" s="110">
        <v>66.8</v>
      </c>
      <c r="Q2343" s="110">
        <v>67.27</v>
      </c>
      <c r="R2343">
        <v>22665238</v>
      </c>
    </row>
    <row r="2344" spans="1:18" x14ac:dyDescent="0.25">
      <c r="A2344" s="134">
        <v>45456</v>
      </c>
      <c r="B2344" s="110">
        <v>68.09</v>
      </c>
      <c r="C2344" s="110">
        <v>66.67</v>
      </c>
      <c r="D2344" s="110">
        <v>66.400000000000006</v>
      </c>
      <c r="E2344" s="110">
        <v>67.95</v>
      </c>
      <c r="F2344" s="110">
        <v>66.67</v>
      </c>
      <c r="G2344">
        <v>1946704</v>
      </c>
      <c r="H2344" s="110"/>
      <c r="I2344" s="110"/>
      <c r="L2344" s="134">
        <v>45456</v>
      </c>
      <c r="M2344" s="110">
        <v>66.680000000000007</v>
      </c>
      <c r="N2344" s="110">
        <v>68.099999999999994</v>
      </c>
      <c r="O2344" s="110">
        <v>66.38</v>
      </c>
      <c r="P2344" s="110">
        <v>67.900000000000006</v>
      </c>
      <c r="Q2344" s="110">
        <v>66.680000000000007</v>
      </c>
      <c r="R2344">
        <v>12542601</v>
      </c>
    </row>
    <row r="2345" spans="1:18" x14ac:dyDescent="0.25">
      <c r="A2345" s="134">
        <v>45457</v>
      </c>
      <c r="B2345" s="110">
        <v>67.180000000000007</v>
      </c>
      <c r="C2345" s="110">
        <v>66.319999999999993</v>
      </c>
      <c r="D2345" s="110">
        <v>66.099999999999994</v>
      </c>
      <c r="E2345" s="110">
        <v>66.8</v>
      </c>
      <c r="F2345" s="110">
        <v>66.319999999999993</v>
      </c>
      <c r="G2345">
        <v>887671</v>
      </c>
      <c r="H2345" s="110"/>
      <c r="I2345" s="110"/>
      <c r="L2345" s="134">
        <v>45457</v>
      </c>
      <c r="M2345" s="110">
        <v>66.33</v>
      </c>
      <c r="N2345" s="110">
        <v>67.2</v>
      </c>
      <c r="O2345" s="110">
        <v>66.150000000000006</v>
      </c>
      <c r="P2345" s="110">
        <v>66.8</v>
      </c>
      <c r="Q2345" s="110">
        <v>66.33</v>
      </c>
      <c r="R2345">
        <v>12515577</v>
      </c>
    </row>
    <row r="2346" spans="1:18" x14ac:dyDescent="0.25">
      <c r="A2346" s="134">
        <v>45461</v>
      </c>
      <c r="B2346" s="110">
        <v>66.95</v>
      </c>
      <c r="C2346" s="110">
        <v>65.650000000000006</v>
      </c>
      <c r="D2346" s="110">
        <v>65.58</v>
      </c>
      <c r="E2346" s="110">
        <v>66.95</v>
      </c>
      <c r="F2346" s="110">
        <v>65.650000000000006</v>
      </c>
      <c r="G2346">
        <v>640853</v>
      </c>
      <c r="H2346" s="110"/>
      <c r="I2346" s="110"/>
      <c r="L2346" s="134">
        <v>45461</v>
      </c>
      <c r="M2346" s="110">
        <v>65.63</v>
      </c>
      <c r="N2346" s="110">
        <v>66.7</v>
      </c>
      <c r="O2346" s="110">
        <v>65.540000000000006</v>
      </c>
      <c r="P2346" s="110">
        <v>66.7</v>
      </c>
      <c r="Q2346" s="110">
        <v>65.63</v>
      </c>
      <c r="R2346">
        <v>13988696</v>
      </c>
    </row>
    <row r="2347" spans="1:18" x14ac:dyDescent="0.25">
      <c r="A2347" s="134">
        <v>45462</v>
      </c>
      <c r="B2347" s="110">
        <v>67.39</v>
      </c>
      <c r="C2347" s="110">
        <v>65.459999999999994</v>
      </c>
      <c r="D2347" s="110">
        <v>64.22</v>
      </c>
      <c r="E2347" s="110">
        <v>65.7</v>
      </c>
      <c r="F2347" s="110">
        <v>65.459999999999994</v>
      </c>
      <c r="G2347">
        <v>3163416</v>
      </c>
      <c r="H2347" s="110"/>
      <c r="I2347" s="110"/>
      <c r="L2347" s="134">
        <v>45462</v>
      </c>
      <c r="M2347" s="110">
        <v>65.45</v>
      </c>
      <c r="N2347" s="110">
        <v>67.45</v>
      </c>
      <c r="O2347" s="110">
        <v>64.25</v>
      </c>
      <c r="P2347" s="110">
        <v>65.75</v>
      </c>
      <c r="Q2347" s="110">
        <v>65.45</v>
      </c>
      <c r="R2347">
        <v>23220507</v>
      </c>
    </row>
    <row r="2348" spans="1:18" x14ac:dyDescent="0.25">
      <c r="A2348" s="134">
        <v>45463</v>
      </c>
      <c r="B2348" s="110">
        <v>67.39</v>
      </c>
      <c r="C2348" s="110">
        <v>66.27</v>
      </c>
      <c r="D2348" s="110">
        <v>65.61</v>
      </c>
      <c r="E2348" s="110">
        <v>65.61</v>
      </c>
      <c r="F2348" s="110">
        <v>66.27</v>
      </c>
      <c r="G2348">
        <v>3256246</v>
      </c>
      <c r="H2348" s="110"/>
      <c r="I2348" s="110"/>
      <c r="L2348" s="134">
        <v>45463</v>
      </c>
      <c r="M2348" s="110">
        <v>66.28</v>
      </c>
      <c r="N2348" s="110">
        <v>67.400000000000006</v>
      </c>
      <c r="O2348" s="110">
        <v>65.69</v>
      </c>
      <c r="P2348" s="110">
        <v>65.89</v>
      </c>
      <c r="Q2348" s="110">
        <v>66.28</v>
      </c>
      <c r="R2348">
        <v>24638106</v>
      </c>
    </row>
    <row r="2349" spans="1:18" x14ac:dyDescent="0.25">
      <c r="A2349" s="134">
        <v>45464</v>
      </c>
      <c r="B2349" s="110">
        <v>66.62</v>
      </c>
      <c r="C2349" s="110">
        <v>65.13</v>
      </c>
      <c r="D2349" s="110">
        <v>64.75</v>
      </c>
      <c r="E2349" s="110">
        <v>66.489999999999995</v>
      </c>
      <c r="F2349" s="110">
        <v>65.13</v>
      </c>
      <c r="G2349">
        <v>964560</v>
      </c>
      <c r="H2349" s="110"/>
      <c r="I2349" s="110"/>
      <c r="L2349" s="134">
        <v>45464</v>
      </c>
      <c r="M2349" s="110">
        <v>65.17</v>
      </c>
      <c r="N2349" s="110">
        <v>66.599999999999994</v>
      </c>
      <c r="O2349" s="110">
        <v>64.7</v>
      </c>
      <c r="P2349" s="110">
        <v>66.3</v>
      </c>
      <c r="Q2349" s="110">
        <v>65.17</v>
      </c>
      <c r="R2349">
        <v>17738446</v>
      </c>
    </row>
    <row r="2350" spans="1:18" x14ac:dyDescent="0.25">
      <c r="A2350" s="134">
        <v>45467</v>
      </c>
      <c r="B2350" s="110">
        <v>66.19</v>
      </c>
      <c r="C2350" s="110">
        <v>65.98</v>
      </c>
      <c r="D2350" s="110">
        <v>64.5</v>
      </c>
      <c r="E2350" s="110">
        <v>65.13</v>
      </c>
      <c r="F2350" s="110">
        <v>65.98</v>
      </c>
      <c r="G2350">
        <v>656849</v>
      </c>
      <c r="H2350" s="110"/>
      <c r="I2350" s="110"/>
      <c r="L2350" s="134">
        <v>45467</v>
      </c>
      <c r="M2350" s="110">
        <v>66.010000000000005</v>
      </c>
      <c r="N2350" s="110">
        <v>66.2</v>
      </c>
      <c r="O2350" s="110">
        <v>64.5</v>
      </c>
      <c r="P2350" s="110">
        <v>65</v>
      </c>
      <c r="Q2350" s="110">
        <v>66.010000000000005</v>
      </c>
      <c r="R2350">
        <v>17137251</v>
      </c>
    </row>
    <row r="2351" spans="1:18" x14ac:dyDescent="0.25">
      <c r="A2351" s="134">
        <v>45468</v>
      </c>
      <c r="B2351" s="110">
        <v>66.3</v>
      </c>
      <c r="C2351" s="110">
        <v>65</v>
      </c>
      <c r="D2351" s="110">
        <v>64.7</v>
      </c>
      <c r="E2351" s="110">
        <v>66.099999999999994</v>
      </c>
      <c r="F2351" s="110">
        <v>65</v>
      </c>
      <c r="G2351">
        <v>559987</v>
      </c>
      <c r="H2351" s="110"/>
      <c r="I2351" s="110"/>
      <c r="L2351" s="134">
        <v>45468</v>
      </c>
      <c r="M2351" s="110">
        <v>64.98</v>
      </c>
      <c r="N2351" s="110">
        <v>66.3</v>
      </c>
      <c r="O2351" s="110">
        <v>64.7</v>
      </c>
      <c r="P2351" s="110">
        <v>66.180000000000007</v>
      </c>
      <c r="Q2351" s="110">
        <v>64.98</v>
      </c>
      <c r="R2351">
        <v>10527277</v>
      </c>
    </row>
    <row r="2352" spans="1:18" x14ac:dyDescent="0.25">
      <c r="A2352" s="134">
        <v>45469</v>
      </c>
      <c r="B2352" s="110">
        <v>65.8</v>
      </c>
      <c r="C2352" s="110">
        <v>64.67</v>
      </c>
      <c r="D2352" s="110">
        <v>64.42</v>
      </c>
      <c r="E2352" s="110">
        <v>65.47</v>
      </c>
      <c r="F2352" s="110">
        <v>64.67</v>
      </c>
      <c r="G2352">
        <v>1918486</v>
      </c>
      <c r="H2352" s="110"/>
      <c r="I2352" s="110"/>
      <c r="L2352" s="134">
        <v>45469</v>
      </c>
      <c r="M2352" s="110">
        <v>64.66</v>
      </c>
      <c r="N2352" s="110">
        <v>65.81</v>
      </c>
      <c r="O2352" s="110">
        <v>64.45</v>
      </c>
      <c r="P2352" s="110">
        <v>65.099999999999994</v>
      </c>
      <c r="Q2352" s="110">
        <v>64.66</v>
      </c>
      <c r="R2352">
        <v>14430493</v>
      </c>
    </row>
    <row r="2353" spans="1:18" x14ac:dyDescent="0.25">
      <c r="A2353" s="134">
        <v>45470</v>
      </c>
      <c r="B2353" s="110">
        <v>65.27</v>
      </c>
      <c r="C2353" s="110">
        <v>65.02</v>
      </c>
      <c r="D2353" s="110">
        <v>63.8</v>
      </c>
      <c r="E2353" s="110">
        <v>64.67</v>
      </c>
      <c r="F2353" s="110">
        <v>65.02</v>
      </c>
      <c r="G2353">
        <v>1893425</v>
      </c>
      <c r="H2353" s="110"/>
      <c r="I2353" s="110"/>
      <c r="L2353" s="134">
        <v>45470</v>
      </c>
      <c r="M2353" s="110">
        <v>65.08</v>
      </c>
      <c r="N2353" s="110">
        <v>65.3</v>
      </c>
      <c r="O2353" s="110">
        <v>63.82</v>
      </c>
      <c r="P2353" s="110">
        <v>64.599999999999994</v>
      </c>
      <c r="Q2353" s="110">
        <v>65.08</v>
      </c>
      <c r="R2353">
        <v>11607142</v>
      </c>
    </row>
    <row r="2354" spans="1:18" x14ac:dyDescent="0.25">
      <c r="A2354" s="134">
        <v>45471</v>
      </c>
      <c r="B2354" s="110">
        <v>66.39</v>
      </c>
      <c r="C2354" s="110">
        <v>64.75</v>
      </c>
      <c r="D2354" s="110">
        <v>64.5</v>
      </c>
      <c r="E2354" s="110">
        <v>65.290000000000006</v>
      </c>
      <c r="F2354" s="110">
        <v>64.75</v>
      </c>
      <c r="G2354">
        <v>721096</v>
      </c>
      <c r="H2354" s="110"/>
      <c r="I2354" s="110"/>
      <c r="L2354" s="134">
        <v>45471</v>
      </c>
      <c r="M2354" s="110">
        <v>64.81</v>
      </c>
      <c r="N2354" s="110">
        <v>66.400000000000006</v>
      </c>
      <c r="O2354" s="110">
        <v>64.510000000000005</v>
      </c>
      <c r="P2354" s="110">
        <v>64.989999999999995</v>
      </c>
      <c r="Q2354" s="110">
        <v>64.81</v>
      </c>
      <c r="R2354">
        <v>14991521</v>
      </c>
    </row>
    <row r="2355" spans="1:18" x14ac:dyDescent="0.25">
      <c r="A2355" s="134">
        <v>45474</v>
      </c>
      <c r="B2355" s="110">
        <v>65.25</v>
      </c>
      <c r="C2355" s="110">
        <v>64.38</v>
      </c>
      <c r="D2355" s="110">
        <v>64.2</v>
      </c>
      <c r="E2355" s="110">
        <v>64.989999999999995</v>
      </c>
      <c r="F2355" s="110">
        <v>64.38</v>
      </c>
      <c r="G2355">
        <v>492271</v>
      </c>
      <c r="H2355" s="110"/>
      <c r="I2355" s="110"/>
      <c r="L2355" s="134">
        <v>45474</v>
      </c>
      <c r="M2355" s="110">
        <v>64.319999999999993</v>
      </c>
      <c r="N2355" s="110">
        <v>65.28</v>
      </c>
      <c r="O2355" s="110">
        <v>64.2</v>
      </c>
      <c r="P2355" s="110">
        <v>64.900000000000006</v>
      </c>
      <c r="Q2355" s="110">
        <v>64.319999999999993</v>
      </c>
      <c r="R2355">
        <v>11139582</v>
      </c>
    </row>
    <row r="2356" spans="1:18" x14ac:dyDescent="0.25">
      <c r="A2356" s="134">
        <v>45475</v>
      </c>
      <c r="B2356" s="110">
        <v>64.62</v>
      </c>
      <c r="C2356" s="110">
        <v>63.53</v>
      </c>
      <c r="D2356" s="110">
        <v>63.31</v>
      </c>
      <c r="E2356" s="110">
        <v>64.38</v>
      </c>
      <c r="F2356" s="110">
        <v>63.53</v>
      </c>
      <c r="G2356">
        <v>1206041</v>
      </c>
      <c r="H2356" s="110"/>
      <c r="I2356" s="110"/>
      <c r="L2356" s="134">
        <v>45475</v>
      </c>
      <c r="M2356" s="110">
        <v>63.61</v>
      </c>
      <c r="N2356" s="110">
        <v>64.650000000000006</v>
      </c>
      <c r="O2356" s="110">
        <v>63.26</v>
      </c>
      <c r="P2356" s="110">
        <v>64.319999999999993</v>
      </c>
      <c r="Q2356" s="110">
        <v>63.61</v>
      </c>
      <c r="R2356">
        <v>8114496</v>
      </c>
    </row>
    <row r="2357" spans="1:18" x14ac:dyDescent="0.25">
      <c r="A2357" s="134">
        <v>45476</v>
      </c>
      <c r="B2357" s="110">
        <v>64.23</v>
      </c>
      <c r="C2357" s="110">
        <v>63.83</v>
      </c>
      <c r="D2357" s="110">
        <v>63.73</v>
      </c>
      <c r="E2357" s="110">
        <v>64.17</v>
      </c>
      <c r="F2357" s="110">
        <v>63.83</v>
      </c>
      <c r="G2357">
        <v>357761</v>
      </c>
      <c r="H2357" s="110"/>
      <c r="I2357" s="110"/>
      <c r="L2357" s="134">
        <v>45476</v>
      </c>
      <c r="M2357" s="110">
        <v>63.84</v>
      </c>
      <c r="N2357" s="110">
        <v>64.239999999999995</v>
      </c>
      <c r="O2357" s="110">
        <v>63.75</v>
      </c>
      <c r="P2357" s="110">
        <v>63.99</v>
      </c>
      <c r="Q2357" s="110">
        <v>63.84</v>
      </c>
      <c r="R2357">
        <v>6399450</v>
      </c>
    </row>
    <row r="2358" spans="1:18" x14ac:dyDescent="0.25">
      <c r="A2358" s="134">
        <v>45477</v>
      </c>
      <c r="B2358" s="110">
        <v>64.25</v>
      </c>
      <c r="C2358" s="110">
        <v>63.58</v>
      </c>
      <c r="D2358" s="110">
        <v>63.45</v>
      </c>
      <c r="E2358" s="110">
        <v>64.25</v>
      </c>
      <c r="F2358" s="110">
        <v>63.58</v>
      </c>
      <c r="G2358">
        <v>587510</v>
      </c>
      <c r="H2358" s="110"/>
      <c r="I2358" s="110"/>
      <c r="L2358" s="134">
        <v>45477</v>
      </c>
      <c r="M2358" s="110">
        <v>63.58</v>
      </c>
      <c r="N2358" s="110">
        <v>64.23</v>
      </c>
      <c r="O2358" s="110">
        <v>63.5</v>
      </c>
      <c r="P2358" s="110">
        <v>64.09</v>
      </c>
      <c r="Q2358" s="110">
        <v>63.58</v>
      </c>
      <c r="R2358">
        <v>11244425</v>
      </c>
    </row>
    <row r="2359" spans="1:18" x14ac:dyDescent="0.25">
      <c r="A2359" s="134">
        <v>45478</v>
      </c>
      <c r="B2359" s="110">
        <v>64.2</v>
      </c>
      <c r="C2359" s="110">
        <v>63.75</v>
      </c>
      <c r="D2359" s="110">
        <v>63.38</v>
      </c>
      <c r="E2359" s="110">
        <v>63.5</v>
      </c>
      <c r="F2359" s="110">
        <v>63.75</v>
      </c>
      <c r="G2359">
        <v>1929974</v>
      </c>
      <c r="H2359" s="110"/>
      <c r="I2359" s="110"/>
      <c r="L2359" s="134">
        <v>45478</v>
      </c>
      <c r="M2359" s="110">
        <v>63.77</v>
      </c>
      <c r="N2359" s="110">
        <v>64.2</v>
      </c>
      <c r="O2359" s="110">
        <v>63.4</v>
      </c>
      <c r="P2359" s="110">
        <v>63.57</v>
      </c>
      <c r="Q2359" s="110">
        <v>63.77</v>
      </c>
      <c r="R2359">
        <v>10493789</v>
      </c>
    </row>
    <row r="2360" spans="1:18" x14ac:dyDescent="0.25">
      <c r="A2360" s="134">
        <v>45481</v>
      </c>
      <c r="B2360" s="110">
        <v>64</v>
      </c>
      <c r="C2360" s="110">
        <v>63.21</v>
      </c>
      <c r="D2360" s="110">
        <v>63.05</v>
      </c>
      <c r="E2360" s="110">
        <v>63.75</v>
      </c>
      <c r="F2360" s="110">
        <v>63.21</v>
      </c>
      <c r="G2360">
        <v>597085</v>
      </c>
      <c r="H2360" s="110"/>
      <c r="I2360" s="110"/>
      <c r="L2360" s="134">
        <v>45481</v>
      </c>
      <c r="M2360" s="110">
        <v>63.2</v>
      </c>
      <c r="N2360" s="110">
        <v>64</v>
      </c>
      <c r="O2360" s="110">
        <v>63.05</v>
      </c>
      <c r="P2360" s="110">
        <v>63.81</v>
      </c>
      <c r="Q2360" s="110">
        <v>63.2</v>
      </c>
      <c r="R2360">
        <v>8702792</v>
      </c>
    </row>
    <row r="2361" spans="1:18" x14ac:dyDescent="0.25">
      <c r="A2361" s="134">
        <v>45482</v>
      </c>
      <c r="B2361" s="110">
        <v>66.8</v>
      </c>
      <c r="C2361" s="110">
        <v>64.81</v>
      </c>
      <c r="D2361" s="110">
        <v>63.04</v>
      </c>
      <c r="E2361" s="110">
        <v>63.49</v>
      </c>
      <c r="F2361" s="110">
        <v>64.81</v>
      </c>
      <c r="G2361">
        <v>4898465</v>
      </c>
      <c r="H2361" s="110"/>
      <c r="I2361" s="110"/>
      <c r="L2361" s="134">
        <v>45482</v>
      </c>
      <c r="M2361" s="110">
        <v>64.78</v>
      </c>
      <c r="N2361" s="110">
        <v>66.849999999999994</v>
      </c>
      <c r="O2361" s="110">
        <v>63.05</v>
      </c>
      <c r="P2361" s="110">
        <v>63.22</v>
      </c>
      <c r="Q2361" s="110">
        <v>64.78</v>
      </c>
      <c r="R2361">
        <v>35707519</v>
      </c>
    </row>
    <row r="2362" spans="1:18" x14ac:dyDescent="0.25">
      <c r="A2362" s="134">
        <v>45483</v>
      </c>
      <c r="B2362" s="110">
        <v>65.39</v>
      </c>
      <c r="C2362" s="110">
        <v>63.73</v>
      </c>
      <c r="D2362" s="110">
        <v>63.1</v>
      </c>
      <c r="E2362" s="110">
        <v>65.2</v>
      </c>
      <c r="F2362" s="110">
        <v>63.73</v>
      </c>
      <c r="G2362">
        <v>1962536</v>
      </c>
      <c r="H2362" s="110"/>
      <c r="I2362" s="110"/>
      <c r="L2362" s="134">
        <v>45483</v>
      </c>
      <c r="M2362" s="110">
        <v>63.73</v>
      </c>
      <c r="N2362" s="110">
        <v>65.38</v>
      </c>
      <c r="O2362" s="110">
        <v>63.05</v>
      </c>
      <c r="P2362" s="110">
        <v>65</v>
      </c>
      <c r="Q2362" s="110">
        <v>63.73</v>
      </c>
      <c r="R2362">
        <v>13562473</v>
      </c>
    </row>
    <row r="2363" spans="1:18" x14ac:dyDescent="0.25">
      <c r="A2363" s="134">
        <v>45484</v>
      </c>
      <c r="B2363" s="110">
        <v>64.459999999999994</v>
      </c>
      <c r="C2363" s="110">
        <v>63.43</v>
      </c>
      <c r="D2363" s="110">
        <v>63.12</v>
      </c>
      <c r="E2363" s="110">
        <v>63.95</v>
      </c>
      <c r="F2363" s="110">
        <v>63.43</v>
      </c>
      <c r="G2363">
        <v>1683619</v>
      </c>
      <c r="H2363" s="110"/>
      <c r="I2363" s="110"/>
      <c r="L2363" s="134">
        <v>45484</v>
      </c>
      <c r="M2363" s="110">
        <v>63.44</v>
      </c>
      <c r="N2363" s="110">
        <v>64.400000000000006</v>
      </c>
      <c r="O2363" s="110">
        <v>63.15</v>
      </c>
      <c r="P2363" s="110">
        <v>63.9</v>
      </c>
      <c r="Q2363" s="110">
        <v>63.44</v>
      </c>
      <c r="R2363">
        <v>10091064</v>
      </c>
    </row>
    <row r="2364" spans="1:18" x14ac:dyDescent="0.25">
      <c r="A2364" s="134">
        <v>45485</v>
      </c>
      <c r="B2364" s="110">
        <v>65.95</v>
      </c>
      <c r="C2364" s="110">
        <v>65.06</v>
      </c>
      <c r="D2364" s="110">
        <v>63.52</v>
      </c>
      <c r="E2364" s="110">
        <v>63.58</v>
      </c>
      <c r="F2364" s="110">
        <v>65.06</v>
      </c>
      <c r="G2364">
        <v>1005076</v>
      </c>
      <c r="H2364" s="110"/>
      <c r="I2364" s="110"/>
      <c r="L2364" s="134">
        <v>45485</v>
      </c>
      <c r="M2364" s="110">
        <v>65.08</v>
      </c>
      <c r="N2364" s="110">
        <v>65.97</v>
      </c>
      <c r="O2364" s="110">
        <v>63.52</v>
      </c>
      <c r="P2364" s="110">
        <v>63.67</v>
      </c>
      <c r="Q2364" s="110">
        <v>65.08</v>
      </c>
      <c r="R2364">
        <v>21807937</v>
      </c>
    </row>
    <row r="2365" spans="1:18" x14ac:dyDescent="0.25">
      <c r="A2365" s="134">
        <v>45488</v>
      </c>
      <c r="B2365" s="110">
        <v>69.69</v>
      </c>
      <c r="C2365" s="110">
        <v>68.75</v>
      </c>
      <c r="D2365" s="110">
        <v>64.83</v>
      </c>
      <c r="E2365" s="110">
        <v>65.8</v>
      </c>
      <c r="F2365" s="110">
        <v>68.75</v>
      </c>
      <c r="G2365">
        <v>5394791</v>
      </c>
      <c r="H2365" s="110"/>
      <c r="I2365" s="110"/>
      <c r="L2365" s="134">
        <v>45488</v>
      </c>
      <c r="M2365" s="110">
        <v>68.75</v>
      </c>
      <c r="N2365" s="110">
        <v>69.7</v>
      </c>
      <c r="O2365" s="110">
        <v>64.8</v>
      </c>
      <c r="P2365" s="110">
        <v>65.75</v>
      </c>
      <c r="Q2365" s="110">
        <v>68.75</v>
      </c>
      <c r="R2365">
        <v>116186128</v>
      </c>
    </row>
    <row r="2366" spans="1:18" x14ac:dyDescent="0.25">
      <c r="A2366" s="134">
        <v>45489</v>
      </c>
      <c r="B2366" s="110">
        <v>70.75</v>
      </c>
      <c r="C2366" s="110">
        <v>67.69</v>
      </c>
      <c r="D2366" s="110">
        <v>67.39</v>
      </c>
      <c r="E2366" s="110">
        <v>69.349999999999994</v>
      </c>
      <c r="F2366" s="110">
        <v>67.69</v>
      </c>
      <c r="G2366">
        <v>5420612</v>
      </c>
      <c r="H2366" s="110"/>
      <c r="I2366" s="110"/>
      <c r="L2366" s="134">
        <v>45489</v>
      </c>
      <c r="M2366" s="110">
        <v>67.69</v>
      </c>
      <c r="N2366" s="110">
        <v>70.8</v>
      </c>
      <c r="O2366" s="110">
        <v>67.41</v>
      </c>
      <c r="P2366" s="110">
        <v>69.3</v>
      </c>
      <c r="Q2366" s="110">
        <v>67.69</v>
      </c>
      <c r="R2366">
        <v>49596296</v>
      </c>
    </row>
    <row r="2367" spans="1:18" x14ac:dyDescent="0.25">
      <c r="A2367" s="134">
        <v>45491</v>
      </c>
      <c r="B2367" s="110">
        <v>69.900000000000006</v>
      </c>
      <c r="C2367" s="110">
        <v>67.2</v>
      </c>
      <c r="D2367" s="110">
        <v>66.72</v>
      </c>
      <c r="E2367" s="110">
        <v>68.09</v>
      </c>
      <c r="F2367" s="110">
        <v>67.2</v>
      </c>
      <c r="G2367">
        <v>4496479</v>
      </c>
      <c r="H2367" s="110"/>
      <c r="I2367" s="110"/>
      <c r="L2367" s="134">
        <v>45491</v>
      </c>
      <c r="M2367" s="110">
        <v>67.19</v>
      </c>
      <c r="N2367" s="110">
        <v>69.900000000000006</v>
      </c>
      <c r="O2367" s="110">
        <v>66.7</v>
      </c>
      <c r="P2367" s="110">
        <v>67.98</v>
      </c>
      <c r="Q2367" s="110">
        <v>67.19</v>
      </c>
      <c r="R2367">
        <v>45368604</v>
      </c>
    </row>
    <row r="2368" spans="1:18" x14ac:dyDescent="0.25">
      <c r="A2368" s="134">
        <v>45492</v>
      </c>
      <c r="B2368" s="110">
        <v>67.69</v>
      </c>
      <c r="C2368" s="110">
        <v>65.650000000000006</v>
      </c>
      <c r="D2368" s="110">
        <v>65.47</v>
      </c>
      <c r="E2368" s="110">
        <v>67.41</v>
      </c>
      <c r="F2368" s="110">
        <v>65.650000000000006</v>
      </c>
      <c r="G2368">
        <v>2558659</v>
      </c>
      <c r="H2368" s="110"/>
      <c r="I2368" s="110"/>
      <c r="L2368" s="134">
        <v>45492</v>
      </c>
      <c r="M2368" s="110">
        <v>65.650000000000006</v>
      </c>
      <c r="N2368" s="110">
        <v>67.69</v>
      </c>
      <c r="O2368" s="110">
        <v>65.5</v>
      </c>
      <c r="P2368" s="110">
        <v>67.099999999999994</v>
      </c>
      <c r="Q2368" s="110">
        <v>65.650000000000006</v>
      </c>
      <c r="R2368">
        <v>21188633</v>
      </c>
    </row>
    <row r="2369" spans="1:18" x14ac:dyDescent="0.25">
      <c r="A2369" s="134">
        <v>45495</v>
      </c>
      <c r="B2369" s="110">
        <v>66.790000000000006</v>
      </c>
      <c r="C2369" s="110">
        <v>66.569999999999993</v>
      </c>
      <c r="D2369" s="110">
        <v>64.98</v>
      </c>
      <c r="E2369" s="110">
        <v>65.739999999999995</v>
      </c>
      <c r="F2369" s="110">
        <v>66.569999999999993</v>
      </c>
      <c r="G2369">
        <v>1795566</v>
      </c>
      <c r="H2369" s="110"/>
      <c r="I2369" s="110"/>
      <c r="L2369" s="134">
        <v>45495</v>
      </c>
      <c r="M2369" s="110">
        <v>66.569999999999993</v>
      </c>
      <c r="N2369" s="110">
        <v>66.819999999999993</v>
      </c>
      <c r="O2369" s="110">
        <v>64.98</v>
      </c>
      <c r="P2369" s="110">
        <v>65.650000000000006</v>
      </c>
      <c r="Q2369" s="110">
        <v>66.569999999999993</v>
      </c>
      <c r="R2369">
        <v>15885190</v>
      </c>
    </row>
    <row r="2370" spans="1:18" x14ac:dyDescent="0.25">
      <c r="A2370" s="134">
        <v>45496</v>
      </c>
      <c r="B2370" s="110">
        <v>67.239999999999995</v>
      </c>
      <c r="C2370" s="110">
        <v>65.12</v>
      </c>
      <c r="D2370" s="110">
        <v>62.87</v>
      </c>
      <c r="E2370" s="110">
        <v>66.989999999999995</v>
      </c>
      <c r="F2370" s="110">
        <v>65.12</v>
      </c>
      <c r="G2370">
        <v>2756897</v>
      </c>
      <c r="H2370" s="110"/>
      <c r="I2370" s="110"/>
      <c r="L2370" s="134">
        <v>45496</v>
      </c>
      <c r="M2370" s="110">
        <v>65.19</v>
      </c>
      <c r="N2370" s="110">
        <v>67.239999999999995</v>
      </c>
      <c r="O2370" s="110">
        <v>62.93</v>
      </c>
      <c r="P2370" s="110">
        <v>67.05</v>
      </c>
      <c r="Q2370" s="110">
        <v>65.19</v>
      </c>
      <c r="R2370">
        <v>18174540</v>
      </c>
    </row>
    <row r="2371" spans="1:18" x14ac:dyDescent="0.25">
      <c r="A2371" s="134">
        <v>45497</v>
      </c>
      <c r="B2371" s="110">
        <v>67.790000000000006</v>
      </c>
      <c r="C2371" s="110">
        <v>67.150000000000006</v>
      </c>
      <c r="D2371" s="110">
        <v>64.709999999999994</v>
      </c>
      <c r="E2371" s="110">
        <v>65.12</v>
      </c>
      <c r="F2371" s="110">
        <v>67.150000000000006</v>
      </c>
      <c r="G2371">
        <v>1279156</v>
      </c>
      <c r="H2371" s="110"/>
      <c r="I2371" s="110"/>
      <c r="L2371" s="134">
        <v>45497</v>
      </c>
      <c r="M2371" s="110">
        <v>67.19</v>
      </c>
      <c r="N2371" s="110">
        <v>67.83</v>
      </c>
      <c r="O2371" s="110">
        <v>64.66</v>
      </c>
      <c r="P2371" s="110">
        <v>65.099999999999994</v>
      </c>
      <c r="Q2371" s="110">
        <v>67.19</v>
      </c>
      <c r="R2371">
        <v>23373590</v>
      </c>
    </row>
    <row r="2372" spans="1:18" x14ac:dyDescent="0.25">
      <c r="A2372" s="134">
        <v>45498</v>
      </c>
      <c r="B2372" s="110">
        <v>67.599999999999994</v>
      </c>
      <c r="C2372" s="110">
        <v>66.61</v>
      </c>
      <c r="D2372" s="110">
        <v>65.959999999999994</v>
      </c>
      <c r="E2372" s="110">
        <v>66.59</v>
      </c>
      <c r="F2372" s="110">
        <v>66.61</v>
      </c>
      <c r="G2372">
        <v>591158</v>
      </c>
      <c r="H2372" s="110"/>
      <c r="I2372" s="110"/>
      <c r="L2372" s="134">
        <v>45498</v>
      </c>
      <c r="M2372" s="110">
        <v>66.63</v>
      </c>
      <c r="N2372" s="110">
        <v>67.59</v>
      </c>
      <c r="O2372" s="110">
        <v>66.05</v>
      </c>
      <c r="P2372" s="110">
        <v>66.5</v>
      </c>
      <c r="Q2372" s="110">
        <v>66.63</v>
      </c>
      <c r="R2372">
        <v>12331832</v>
      </c>
    </row>
    <row r="2373" spans="1:18" x14ac:dyDescent="0.25">
      <c r="A2373" s="134">
        <v>45499</v>
      </c>
      <c r="B2373" s="110">
        <v>68.900000000000006</v>
      </c>
      <c r="C2373" s="110">
        <v>67.69</v>
      </c>
      <c r="D2373" s="110">
        <v>66.25</v>
      </c>
      <c r="E2373" s="110">
        <v>66.61</v>
      </c>
      <c r="F2373" s="110">
        <v>67.69</v>
      </c>
      <c r="G2373">
        <v>1522660</v>
      </c>
      <c r="H2373" s="110"/>
      <c r="I2373" s="110"/>
      <c r="L2373" s="134">
        <v>45499</v>
      </c>
      <c r="M2373" s="110">
        <v>67.73</v>
      </c>
      <c r="N2373" s="110">
        <v>68.900000000000006</v>
      </c>
      <c r="O2373" s="110">
        <v>66.22</v>
      </c>
      <c r="P2373" s="110">
        <v>66.63</v>
      </c>
      <c r="Q2373" s="110">
        <v>67.73</v>
      </c>
      <c r="R2373">
        <v>28877039</v>
      </c>
    </row>
    <row r="2374" spans="1:18" x14ac:dyDescent="0.25">
      <c r="A2374" s="134">
        <v>45502</v>
      </c>
      <c r="B2374" s="110">
        <v>70.75</v>
      </c>
      <c r="C2374" s="110">
        <v>68.069999999999993</v>
      </c>
      <c r="D2374" s="110">
        <v>67.849999999999994</v>
      </c>
      <c r="E2374" s="110">
        <v>68.900000000000006</v>
      </c>
      <c r="F2374" s="110">
        <v>68.069999999999993</v>
      </c>
      <c r="G2374">
        <v>1855521</v>
      </c>
      <c r="H2374" s="110"/>
      <c r="I2374" s="110"/>
      <c r="L2374" s="134">
        <v>45502</v>
      </c>
      <c r="M2374" s="110">
        <v>68.09</v>
      </c>
      <c r="N2374" s="110">
        <v>70.77</v>
      </c>
      <c r="O2374" s="110">
        <v>68</v>
      </c>
      <c r="P2374" s="110">
        <v>68.900000000000006</v>
      </c>
      <c r="Q2374" s="110">
        <v>68.09</v>
      </c>
      <c r="R2374">
        <v>31136013</v>
      </c>
    </row>
    <row r="2375" spans="1:18" x14ac:dyDescent="0.25">
      <c r="A2375" s="134">
        <v>45503</v>
      </c>
      <c r="B2375" s="110">
        <v>68.42</v>
      </c>
      <c r="C2375" s="110">
        <v>67.64</v>
      </c>
      <c r="D2375" s="110">
        <v>67.400000000000006</v>
      </c>
      <c r="E2375" s="110">
        <v>68.19</v>
      </c>
      <c r="F2375" s="110">
        <v>67.64</v>
      </c>
      <c r="G2375">
        <v>674921</v>
      </c>
      <c r="H2375" s="110"/>
      <c r="I2375" s="110"/>
      <c r="L2375" s="134">
        <v>45503</v>
      </c>
      <c r="M2375" s="110">
        <v>67.67</v>
      </c>
      <c r="N2375" s="110">
        <v>68.48</v>
      </c>
      <c r="O2375" s="110">
        <v>67.319999999999993</v>
      </c>
      <c r="P2375" s="110">
        <v>68.09</v>
      </c>
      <c r="Q2375" s="110">
        <v>67.67</v>
      </c>
      <c r="R2375">
        <v>11918045</v>
      </c>
    </row>
    <row r="2376" spans="1:18" x14ac:dyDescent="0.25">
      <c r="A2376" s="134">
        <v>45504</v>
      </c>
      <c r="B2376" s="110">
        <v>68.010000000000005</v>
      </c>
      <c r="C2376" s="110">
        <v>66.930000000000007</v>
      </c>
      <c r="D2376" s="110">
        <v>66.83</v>
      </c>
      <c r="E2376" s="110">
        <v>67.88</v>
      </c>
      <c r="F2376" s="110">
        <v>66.930000000000007</v>
      </c>
      <c r="G2376">
        <v>623878</v>
      </c>
      <c r="H2376" s="110"/>
      <c r="I2376" s="110"/>
      <c r="L2376" s="134">
        <v>45504</v>
      </c>
      <c r="M2376" s="110">
        <v>66.94</v>
      </c>
      <c r="N2376" s="110">
        <v>67.89</v>
      </c>
      <c r="O2376" s="110">
        <v>66.83</v>
      </c>
      <c r="P2376" s="110">
        <v>67.8</v>
      </c>
      <c r="Q2376" s="110">
        <v>66.94</v>
      </c>
      <c r="R2376">
        <v>8905944</v>
      </c>
    </row>
    <row r="2377" spans="1:18" x14ac:dyDescent="0.25">
      <c r="A2377" s="134">
        <v>45505</v>
      </c>
      <c r="B2377" s="110">
        <v>67.5</v>
      </c>
      <c r="C2377" s="110">
        <v>66.08</v>
      </c>
      <c r="D2377" s="110">
        <v>65.84</v>
      </c>
      <c r="E2377" s="110">
        <v>67.34</v>
      </c>
      <c r="F2377" s="110">
        <v>66.08</v>
      </c>
      <c r="G2377">
        <v>606031</v>
      </c>
      <c r="H2377" s="110"/>
      <c r="I2377" s="110"/>
      <c r="L2377" s="134">
        <v>45505</v>
      </c>
      <c r="M2377" s="110">
        <v>66.11</v>
      </c>
      <c r="N2377" s="110">
        <v>67.5</v>
      </c>
      <c r="O2377" s="110">
        <v>65.8</v>
      </c>
      <c r="P2377" s="110">
        <v>67.010000000000005</v>
      </c>
      <c r="Q2377" s="110">
        <v>66.11</v>
      </c>
      <c r="R2377">
        <v>9827983</v>
      </c>
    </row>
    <row r="2378" spans="1:18" x14ac:dyDescent="0.25">
      <c r="A2378" s="134">
        <v>45506</v>
      </c>
      <c r="B2378" s="110">
        <v>66.599999999999994</v>
      </c>
      <c r="C2378" s="110">
        <v>65.55</v>
      </c>
      <c r="D2378" s="110">
        <v>64.849999999999994</v>
      </c>
      <c r="E2378" s="110">
        <v>64.989999999999995</v>
      </c>
      <c r="F2378" s="110">
        <v>65.55</v>
      </c>
      <c r="G2378">
        <v>631294</v>
      </c>
      <c r="H2378" s="110"/>
      <c r="I2378" s="110"/>
      <c r="L2378" s="134">
        <v>45506</v>
      </c>
      <c r="M2378" s="110">
        <v>65.510000000000005</v>
      </c>
      <c r="N2378" s="110">
        <v>66.58</v>
      </c>
      <c r="O2378" s="110">
        <v>64.8</v>
      </c>
      <c r="P2378" s="110">
        <v>64.819999999999993</v>
      </c>
      <c r="Q2378" s="110">
        <v>65.510000000000005</v>
      </c>
      <c r="R2378">
        <v>12005955</v>
      </c>
    </row>
    <row r="2379" spans="1:18" x14ac:dyDescent="0.25">
      <c r="A2379" s="134">
        <v>45509</v>
      </c>
      <c r="B2379" s="110">
        <v>64.16</v>
      </c>
      <c r="C2379" s="110">
        <v>62.16</v>
      </c>
      <c r="D2379" s="110">
        <v>62</v>
      </c>
      <c r="E2379" s="110">
        <v>63.01</v>
      </c>
      <c r="F2379" s="110">
        <v>62.16</v>
      </c>
      <c r="G2379">
        <v>3450482</v>
      </c>
      <c r="H2379" s="110"/>
      <c r="I2379" s="110"/>
      <c r="L2379" s="134">
        <v>45509</v>
      </c>
      <c r="M2379" s="110">
        <v>62.17</v>
      </c>
      <c r="N2379" s="110">
        <v>64.16</v>
      </c>
      <c r="O2379" s="110">
        <v>62</v>
      </c>
      <c r="P2379" s="110">
        <v>63.69</v>
      </c>
      <c r="Q2379" s="110">
        <v>62.17</v>
      </c>
      <c r="R2379">
        <v>21119418</v>
      </c>
    </row>
    <row r="2380" spans="1:18" x14ac:dyDescent="0.25">
      <c r="A2380" s="134">
        <v>45510</v>
      </c>
      <c r="B2380" s="110">
        <v>64.11</v>
      </c>
      <c r="C2380" s="110">
        <v>61.5</v>
      </c>
      <c r="D2380" s="110">
        <v>61.09</v>
      </c>
      <c r="E2380" s="110">
        <v>63.47</v>
      </c>
      <c r="F2380" s="110">
        <v>61.5</v>
      </c>
      <c r="G2380">
        <v>920769</v>
      </c>
      <c r="H2380" s="110"/>
      <c r="I2380" s="110"/>
      <c r="L2380" s="134">
        <v>45510</v>
      </c>
      <c r="M2380" s="110">
        <v>61.5</v>
      </c>
      <c r="N2380" s="110">
        <v>64.150000000000006</v>
      </c>
      <c r="O2380" s="110">
        <v>61.01</v>
      </c>
      <c r="P2380" s="110">
        <v>63.16</v>
      </c>
      <c r="Q2380" s="110">
        <v>61.5</v>
      </c>
      <c r="R2380">
        <v>13352695</v>
      </c>
    </row>
    <row r="2381" spans="1:18" x14ac:dyDescent="0.25">
      <c r="A2381" s="134">
        <v>45511</v>
      </c>
      <c r="B2381" s="110">
        <v>63.13</v>
      </c>
      <c r="C2381" s="110">
        <v>62.82</v>
      </c>
      <c r="D2381" s="110">
        <v>61.9</v>
      </c>
      <c r="E2381" s="110">
        <v>62.26</v>
      </c>
      <c r="F2381" s="110">
        <v>62.82</v>
      </c>
      <c r="G2381">
        <v>925430</v>
      </c>
      <c r="H2381" s="110"/>
      <c r="I2381" s="110"/>
      <c r="L2381" s="134">
        <v>45511</v>
      </c>
      <c r="M2381" s="110">
        <v>62.86</v>
      </c>
      <c r="N2381" s="110">
        <v>63.15</v>
      </c>
      <c r="O2381" s="110">
        <v>61.9</v>
      </c>
      <c r="P2381" s="110">
        <v>62.48</v>
      </c>
      <c r="Q2381" s="110">
        <v>62.86</v>
      </c>
      <c r="R2381">
        <v>9205822</v>
      </c>
    </row>
    <row r="2382" spans="1:18" x14ac:dyDescent="0.25">
      <c r="A2382" s="134">
        <v>45512</v>
      </c>
      <c r="B2382" s="110">
        <v>63.47</v>
      </c>
      <c r="C2382" s="110">
        <v>62.09</v>
      </c>
      <c r="D2382" s="110">
        <v>61.96</v>
      </c>
      <c r="E2382" s="110">
        <v>62.88</v>
      </c>
      <c r="F2382" s="110">
        <v>62.09</v>
      </c>
      <c r="G2382">
        <v>681720</v>
      </c>
      <c r="H2382" s="110"/>
      <c r="I2382" s="110"/>
      <c r="L2382" s="134">
        <v>45512</v>
      </c>
      <c r="M2382" s="110">
        <v>62.09</v>
      </c>
      <c r="N2382" s="110">
        <v>63.48</v>
      </c>
      <c r="O2382" s="110">
        <v>61.9</v>
      </c>
      <c r="P2382" s="110">
        <v>62.8</v>
      </c>
      <c r="Q2382" s="110">
        <v>62.09</v>
      </c>
      <c r="R2382">
        <v>11428507</v>
      </c>
    </row>
    <row r="2383" spans="1:18" x14ac:dyDescent="0.25">
      <c r="A2383" s="134">
        <v>45513</v>
      </c>
      <c r="B2383" s="110">
        <v>63.29</v>
      </c>
      <c r="C2383" s="110">
        <v>61.92</v>
      </c>
      <c r="D2383" s="110">
        <v>61.74</v>
      </c>
      <c r="E2383" s="110">
        <v>63.29</v>
      </c>
      <c r="F2383" s="110">
        <v>61.92</v>
      </c>
      <c r="G2383">
        <v>1112726</v>
      </c>
      <c r="H2383" s="110"/>
      <c r="I2383" s="110"/>
      <c r="L2383" s="134">
        <v>45513</v>
      </c>
      <c r="M2383" s="110">
        <v>61.92</v>
      </c>
      <c r="N2383" s="110">
        <v>62.99</v>
      </c>
      <c r="O2383" s="110">
        <v>61.6</v>
      </c>
      <c r="P2383" s="110">
        <v>62.85</v>
      </c>
      <c r="Q2383" s="110">
        <v>61.92</v>
      </c>
      <c r="R2383">
        <v>12044190</v>
      </c>
    </row>
    <row r="2384" spans="1:18" x14ac:dyDescent="0.25">
      <c r="A2384" s="134">
        <v>45516</v>
      </c>
      <c r="B2384" s="110">
        <v>61.79</v>
      </c>
      <c r="C2384" s="110">
        <v>61.11</v>
      </c>
      <c r="D2384" s="110">
        <v>61.01</v>
      </c>
      <c r="E2384" s="110">
        <v>61.58</v>
      </c>
      <c r="F2384" s="110">
        <v>61.11</v>
      </c>
      <c r="G2384">
        <v>1330475</v>
      </c>
      <c r="H2384" s="110"/>
      <c r="I2384" s="110"/>
      <c r="L2384" s="134">
        <v>45516</v>
      </c>
      <c r="M2384" s="110">
        <v>61.12</v>
      </c>
      <c r="N2384" s="110">
        <v>61.9</v>
      </c>
      <c r="O2384" s="110">
        <v>61</v>
      </c>
      <c r="P2384" s="110">
        <v>61.9</v>
      </c>
      <c r="Q2384" s="110">
        <v>61.12</v>
      </c>
      <c r="R2384">
        <v>9697154</v>
      </c>
    </row>
    <row r="2385" spans="1:18" x14ac:dyDescent="0.25">
      <c r="A2385" s="134">
        <v>45517</v>
      </c>
      <c r="B2385" s="110">
        <v>61.65</v>
      </c>
      <c r="C2385" s="110">
        <v>60.12</v>
      </c>
      <c r="D2385" s="110">
        <v>60</v>
      </c>
      <c r="E2385" s="110">
        <v>61.2</v>
      </c>
      <c r="F2385" s="110">
        <v>60.12</v>
      </c>
      <c r="G2385">
        <v>937773</v>
      </c>
      <c r="H2385" s="110"/>
      <c r="I2385" s="110"/>
      <c r="L2385" s="134">
        <v>45517</v>
      </c>
      <c r="M2385" s="110">
        <v>60.13</v>
      </c>
      <c r="N2385" s="110">
        <v>61.65</v>
      </c>
      <c r="O2385" s="110">
        <v>60</v>
      </c>
      <c r="P2385" s="110">
        <v>61.15</v>
      </c>
      <c r="Q2385" s="110">
        <v>60.13</v>
      </c>
      <c r="R2385">
        <v>10213321</v>
      </c>
    </row>
    <row r="2386" spans="1:18" x14ac:dyDescent="0.25">
      <c r="A2386" s="134">
        <v>45518</v>
      </c>
      <c r="B2386" s="110">
        <v>61.1</v>
      </c>
      <c r="C2386" s="110">
        <v>60.6</v>
      </c>
      <c r="D2386" s="110">
        <v>59.7</v>
      </c>
      <c r="E2386" s="110">
        <v>60.94</v>
      </c>
      <c r="F2386" s="110">
        <v>60.6</v>
      </c>
      <c r="G2386">
        <v>507772</v>
      </c>
      <c r="H2386" s="110"/>
      <c r="I2386" s="110"/>
      <c r="L2386" s="134">
        <v>45518</v>
      </c>
      <c r="M2386" s="110">
        <v>60.55</v>
      </c>
      <c r="N2386" s="110">
        <v>61.08</v>
      </c>
      <c r="O2386" s="110">
        <v>59.71</v>
      </c>
      <c r="P2386" s="110">
        <v>60.35</v>
      </c>
      <c r="Q2386" s="110">
        <v>60.55</v>
      </c>
      <c r="R2386">
        <v>11214815</v>
      </c>
    </row>
    <row r="2387" spans="1:18" x14ac:dyDescent="0.25">
      <c r="A2387" s="134">
        <v>45520</v>
      </c>
      <c r="B2387" s="110">
        <v>61.46</v>
      </c>
      <c r="C2387" s="110">
        <v>61.17</v>
      </c>
      <c r="D2387" s="110">
        <v>60.81</v>
      </c>
      <c r="E2387" s="110">
        <v>61.11</v>
      </c>
      <c r="F2387" s="110">
        <v>61.17</v>
      </c>
      <c r="G2387">
        <v>837521</v>
      </c>
      <c r="H2387" s="110"/>
      <c r="I2387" s="110"/>
      <c r="L2387" s="134">
        <v>45520</v>
      </c>
      <c r="M2387" s="110">
        <v>61.17</v>
      </c>
      <c r="N2387" s="110">
        <v>61.46</v>
      </c>
      <c r="O2387" s="110">
        <v>60.81</v>
      </c>
      <c r="P2387" s="110">
        <v>61.25</v>
      </c>
      <c r="Q2387" s="110">
        <v>61.17</v>
      </c>
      <c r="R2387">
        <v>5820935</v>
      </c>
    </row>
    <row r="2388" spans="1:18" x14ac:dyDescent="0.25">
      <c r="A2388" s="134">
        <v>45523</v>
      </c>
      <c r="B2388" s="110">
        <v>62.67</v>
      </c>
      <c r="C2388" s="110">
        <v>62.5</v>
      </c>
      <c r="D2388" s="110">
        <v>61.18</v>
      </c>
      <c r="E2388" s="110">
        <v>61.18</v>
      </c>
      <c r="F2388" s="110">
        <v>62.5</v>
      </c>
      <c r="G2388">
        <v>1135814</v>
      </c>
      <c r="H2388" s="110"/>
      <c r="I2388" s="110"/>
      <c r="L2388" s="134">
        <v>45523</v>
      </c>
      <c r="M2388" s="110">
        <v>62.5</v>
      </c>
      <c r="N2388" s="110">
        <v>62.75</v>
      </c>
      <c r="O2388" s="110">
        <v>61.3</v>
      </c>
      <c r="P2388" s="110">
        <v>61.3</v>
      </c>
      <c r="Q2388" s="110">
        <v>62.5</v>
      </c>
      <c r="R2388">
        <v>9214854</v>
      </c>
    </row>
    <row r="2389" spans="1:18" x14ac:dyDescent="0.25">
      <c r="A2389" s="134">
        <v>45524</v>
      </c>
      <c r="B2389" s="110">
        <v>63.48</v>
      </c>
      <c r="C2389" s="110">
        <v>63.12</v>
      </c>
      <c r="D2389" s="110">
        <v>62.31</v>
      </c>
      <c r="E2389" s="110">
        <v>62.73</v>
      </c>
      <c r="F2389" s="110">
        <v>63.12</v>
      </c>
      <c r="G2389">
        <v>1150147</v>
      </c>
      <c r="H2389" s="110"/>
      <c r="I2389" s="110"/>
      <c r="L2389" s="134">
        <v>45524</v>
      </c>
      <c r="M2389" s="110">
        <v>63.15</v>
      </c>
      <c r="N2389" s="110">
        <v>63.55</v>
      </c>
      <c r="O2389" s="110">
        <v>62.35</v>
      </c>
      <c r="P2389" s="110">
        <v>62.99</v>
      </c>
      <c r="Q2389" s="110">
        <v>63.15</v>
      </c>
      <c r="R2389">
        <v>7442078</v>
      </c>
    </row>
    <row r="2390" spans="1:18" x14ac:dyDescent="0.25">
      <c r="A2390" s="134">
        <v>45525</v>
      </c>
      <c r="B2390" s="110">
        <v>63.7</v>
      </c>
      <c r="C2390" s="110">
        <v>63.09</v>
      </c>
      <c r="D2390" s="110">
        <v>62.88</v>
      </c>
      <c r="E2390" s="110">
        <v>63.21</v>
      </c>
      <c r="F2390" s="110">
        <v>63.09</v>
      </c>
      <c r="G2390">
        <v>365015</v>
      </c>
      <c r="H2390" s="110"/>
      <c r="I2390" s="110"/>
      <c r="L2390" s="134">
        <v>45525</v>
      </c>
      <c r="M2390" s="110">
        <v>63.05</v>
      </c>
      <c r="N2390" s="110">
        <v>63.64</v>
      </c>
      <c r="O2390" s="110">
        <v>62.73</v>
      </c>
      <c r="P2390" s="110">
        <v>63.64</v>
      </c>
      <c r="Q2390" s="110">
        <v>63.05</v>
      </c>
      <c r="R2390">
        <v>7849929</v>
      </c>
    </row>
    <row r="2391" spans="1:18" x14ac:dyDescent="0.25">
      <c r="A2391" s="134">
        <v>45526</v>
      </c>
      <c r="B2391" s="110">
        <v>63.84</v>
      </c>
      <c r="C2391" s="110">
        <v>62.82</v>
      </c>
      <c r="D2391" s="110">
        <v>62.5</v>
      </c>
      <c r="E2391" s="110">
        <v>63.3</v>
      </c>
      <c r="F2391" s="110">
        <v>62.82</v>
      </c>
      <c r="G2391">
        <v>832237</v>
      </c>
      <c r="H2391" s="110"/>
      <c r="I2391" s="110"/>
      <c r="L2391" s="134">
        <v>45526</v>
      </c>
      <c r="M2391" s="110">
        <v>62.79</v>
      </c>
      <c r="N2391" s="110">
        <v>63.85</v>
      </c>
      <c r="O2391" s="110">
        <v>62.5</v>
      </c>
      <c r="P2391" s="110">
        <v>63.11</v>
      </c>
      <c r="Q2391" s="110">
        <v>62.79</v>
      </c>
      <c r="R2391">
        <v>8328491</v>
      </c>
    </row>
    <row r="2392" spans="1:18" x14ac:dyDescent="0.25">
      <c r="A2392" s="134">
        <v>45527</v>
      </c>
      <c r="B2392" s="110">
        <v>62.98</v>
      </c>
      <c r="C2392" s="110">
        <v>62.33</v>
      </c>
      <c r="D2392" s="110">
        <v>62.12</v>
      </c>
      <c r="E2392" s="110">
        <v>62.85</v>
      </c>
      <c r="F2392" s="110">
        <v>62.33</v>
      </c>
      <c r="G2392">
        <v>634883</v>
      </c>
      <c r="H2392" s="110"/>
      <c r="I2392" s="110"/>
      <c r="L2392" s="134">
        <v>45527</v>
      </c>
      <c r="M2392" s="110">
        <v>62.31</v>
      </c>
      <c r="N2392" s="110">
        <v>62.98</v>
      </c>
      <c r="O2392" s="110">
        <v>62.01</v>
      </c>
      <c r="P2392" s="110">
        <v>62.85</v>
      </c>
      <c r="Q2392" s="110">
        <v>62.31</v>
      </c>
      <c r="R2392">
        <v>5132281</v>
      </c>
    </row>
    <row r="2393" spans="1:18" x14ac:dyDescent="0.25">
      <c r="A2393" s="134">
        <v>45530</v>
      </c>
      <c r="B2393" s="110">
        <v>63.25</v>
      </c>
      <c r="C2393" s="110">
        <v>61.75</v>
      </c>
      <c r="D2393" s="110">
        <v>61.63</v>
      </c>
      <c r="E2393" s="110">
        <v>63.24</v>
      </c>
      <c r="F2393" s="110">
        <v>61.75</v>
      </c>
      <c r="G2393">
        <v>830909</v>
      </c>
      <c r="H2393" s="110"/>
      <c r="I2393" s="110"/>
      <c r="L2393" s="134">
        <v>45530</v>
      </c>
      <c r="M2393" s="110">
        <v>61.76</v>
      </c>
      <c r="N2393" s="110">
        <v>63.3</v>
      </c>
      <c r="O2393" s="110">
        <v>61.61</v>
      </c>
      <c r="P2393" s="110">
        <v>63</v>
      </c>
      <c r="Q2393" s="110">
        <v>61.76</v>
      </c>
      <c r="R2393">
        <v>8353129</v>
      </c>
    </row>
    <row r="2394" spans="1:18" x14ac:dyDescent="0.25">
      <c r="A2394" s="134">
        <v>45531</v>
      </c>
      <c r="B2394" s="110">
        <v>63.25</v>
      </c>
      <c r="C2394" s="110">
        <v>63.03</v>
      </c>
      <c r="D2394" s="110">
        <v>61.76</v>
      </c>
      <c r="E2394" s="110">
        <v>61.8</v>
      </c>
      <c r="F2394" s="110">
        <v>63.03</v>
      </c>
      <c r="G2394">
        <v>297400</v>
      </c>
      <c r="H2394" s="110"/>
      <c r="I2394" s="110"/>
      <c r="L2394" s="134">
        <v>45531</v>
      </c>
      <c r="M2394" s="110">
        <v>63.07</v>
      </c>
      <c r="N2394" s="110">
        <v>63.3</v>
      </c>
      <c r="O2394" s="110">
        <v>61.76</v>
      </c>
      <c r="P2394" s="110">
        <v>61.8</v>
      </c>
      <c r="Q2394" s="110">
        <v>63.07</v>
      </c>
      <c r="R2394">
        <v>9103447</v>
      </c>
    </row>
    <row r="2395" spans="1:18" x14ac:dyDescent="0.25">
      <c r="A2395" s="134">
        <v>45532</v>
      </c>
      <c r="B2395" s="110">
        <v>63.6</v>
      </c>
      <c r="C2395" s="110">
        <v>62.91</v>
      </c>
      <c r="D2395" s="110">
        <v>62.53</v>
      </c>
      <c r="E2395" s="110">
        <v>63.04</v>
      </c>
      <c r="F2395" s="110">
        <v>62.91</v>
      </c>
      <c r="G2395">
        <v>577467</v>
      </c>
      <c r="H2395" s="110"/>
      <c r="I2395" s="110"/>
      <c r="L2395" s="134">
        <v>45532</v>
      </c>
      <c r="M2395" s="110">
        <v>62.84</v>
      </c>
      <c r="N2395" s="110">
        <v>63.62</v>
      </c>
      <c r="O2395" s="110">
        <v>62.49</v>
      </c>
      <c r="P2395" s="110">
        <v>63.45</v>
      </c>
      <c r="Q2395" s="110">
        <v>62.84</v>
      </c>
      <c r="R2395">
        <v>11397984</v>
      </c>
    </row>
    <row r="2396" spans="1:18" x14ac:dyDescent="0.25">
      <c r="A2396" s="134">
        <v>45533</v>
      </c>
      <c r="B2396" s="110">
        <v>63.4</v>
      </c>
      <c r="C2396" s="110">
        <v>62.54</v>
      </c>
      <c r="D2396" s="110">
        <v>62.05</v>
      </c>
      <c r="E2396" s="110">
        <v>62.99</v>
      </c>
      <c r="F2396" s="110">
        <v>62.54</v>
      </c>
      <c r="G2396">
        <v>881189</v>
      </c>
      <c r="H2396" s="110"/>
      <c r="I2396" s="110"/>
      <c r="L2396" s="134">
        <v>45533</v>
      </c>
      <c r="M2396" s="110">
        <v>62.55</v>
      </c>
      <c r="N2396" s="110">
        <v>62.92</v>
      </c>
      <c r="O2396" s="110">
        <v>62.11</v>
      </c>
      <c r="P2396" s="110">
        <v>62.84</v>
      </c>
      <c r="Q2396" s="110">
        <v>62.55</v>
      </c>
      <c r="R2396">
        <v>6267804</v>
      </c>
    </row>
    <row r="2397" spans="1:18" x14ac:dyDescent="0.25">
      <c r="A2397" s="134">
        <v>45534</v>
      </c>
      <c r="B2397" s="110">
        <v>63.28</v>
      </c>
      <c r="C2397" s="110">
        <v>62.52</v>
      </c>
      <c r="D2397" s="110">
        <v>62.25</v>
      </c>
      <c r="E2397" s="110">
        <v>62.3</v>
      </c>
      <c r="F2397" s="110">
        <v>62.52</v>
      </c>
      <c r="G2397">
        <v>486053</v>
      </c>
      <c r="H2397" s="110"/>
      <c r="I2397" s="110"/>
      <c r="L2397" s="134">
        <v>45534</v>
      </c>
      <c r="M2397" s="110">
        <v>62.57</v>
      </c>
      <c r="N2397" s="110">
        <v>63.3</v>
      </c>
      <c r="O2397" s="110">
        <v>62.11</v>
      </c>
      <c r="P2397" s="110">
        <v>62.11</v>
      </c>
      <c r="Q2397" s="110">
        <v>62.57</v>
      </c>
      <c r="R2397">
        <v>8064018</v>
      </c>
    </row>
    <row r="2398" spans="1:18" x14ac:dyDescent="0.25">
      <c r="A2398" s="134">
        <v>45537</v>
      </c>
      <c r="B2398" s="110">
        <v>62.87</v>
      </c>
      <c r="C2398" s="110">
        <v>61.99</v>
      </c>
      <c r="D2398" s="110">
        <v>61.78</v>
      </c>
      <c r="E2398" s="110">
        <v>62.87</v>
      </c>
      <c r="F2398" s="110">
        <v>61.99</v>
      </c>
      <c r="G2398">
        <v>251489</v>
      </c>
      <c r="H2398" s="110"/>
      <c r="I2398" s="110"/>
      <c r="L2398" s="134">
        <v>45537</v>
      </c>
      <c r="M2398" s="110">
        <v>61.98</v>
      </c>
      <c r="N2398" s="110">
        <v>62.79</v>
      </c>
      <c r="O2398" s="110">
        <v>61.75</v>
      </c>
      <c r="P2398" s="110">
        <v>62.6</v>
      </c>
      <c r="Q2398" s="110">
        <v>61.98</v>
      </c>
      <c r="R2398">
        <v>5266227</v>
      </c>
    </row>
    <row r="2399" spans="1:18" x14ac:dyDescent="0.25">
      <c r="A2399" s="134">
        <v>45538</v>
      </c>
      <c r="B2399" s="110">
        <v>62.33</v>
      </c>
      <c r="C2399" s="110">
        <v>61.85</v>
      </c>
      <c r="D2399" s="110">
        <v>61.78</v>
      </c>
      <c r="E2399" s="110">
        <v>62.09</v>
      </c>
      <c r="F2399" s="110">
        <v>61.85</v>
      </c>
      <c r="G2399">
        <v>487322</v>
      </c>
      <c r="H2399" s="110"/>
      <c r="I2399" s="110"/>
      <c r="L2399" s="134">
        <v>45538</v>
      </c>
      <c r="M2399" s="110">
        <v>61.86</v>
      </c>
      <c r="N2399" s="110">
        <v>62.35</v>
      </c>
      <c r="O2399" s="110">
        <v>61.8</v>
      </c>
      <c r="P2399" s="110">
        <v>62.23</v>
      </c>
      <c r="Q2399" s="110">
        <v>61.86</v>
      </c>
      <c r="R2399">
        <v>3624567</v>
      </c>
    </row>
    <row r="2400" spans="1:18" x14ac:dyDescent="0.25">
      <c r="A2400" s="134">
        <v>45539</v>
      </c>
      <c r="B2400" s="110">
        <v>61.8</v>
      </c>
      <c r="C2400" s="110">
        <v>61.52</v>
      </c>
      <c r="D2400" s="110">
        <v>60.07</v>
      </c>
      <c r="E2400" s="110">
        <v>60.09</v>
      </c>
      <c r="F2400" s="110">
        <v>61.52</v>
      </c>
      <c r="G2400">
        <v>363661</v>
      </c>
      <c r="H2400" s="110"/>
      <c r="I2400" s="110"/>
      <c r="L2400" s="134">
        <v>45539</v>
      </c>
      <c r="M2400" s="110">
        <v>61.54</v>
      </c>
      <c r="N2400" s="110">
        <v>61.8</v>
      </c>
      <c r="O2400" s="110">
        <v>60.2</v>
      </c>
      <c r="P2400" s="110">
        <v>60.25</v>
      </c>
      <c r="Q2400" s="110">
        <v>61.54</v>
      </c>
      <c r="R2400">
        <v>4948186</v>
      </c>
    </row>
    <row r="2401" spans="1:18" x14ac:dyDescent="0.25">
      <c r="A2401" s="134">
        <v>45540</v>
      </c>
      <c r="B2401" s="110">
        <v>62.29</v>
      </c>
      <c r="C2401" s="110">
        <v>61.13</v>
      </c>
      <c r="D2401" s="110">
        <v>60.96</v>
      </c>
      <c r="E2401" s="110">
        <v>61.57</v>
      </c>
      <c r="F2401" s="110">
        <v>61.13</v>
      </c>
      <c r="G2401">
        <v>247915</v>
      </c>
      <c r="H2401" s="110"/>
      <c r="I2401" s="110"/>
      <c r="L2401" s="134">
        <v>45540</v>
      </c>
      <c r="M2401" s="110">
        <v>61.2</v>
      </c>
      <c r="N2401" s="110">
        <v>62.5</v>
      </c>
      <c r="O2401" s="110">
        <v>61</v>
      </c>
      <c r="P2401" s="110">
        <v>62.5</v>
      </c>
      <c r="Q2401" s="110">
        <v>61.2</v>
      </c>
      <c r="R2401">
        <v>4611147</v>
      </c>
    </row>
    <row r="2402" spans="1:18" x14ac:dyDescent="0.25">
      <c r="A2402" s="134">
        <v>45541</v>
      </c>
      <c r="B2402" s="110">
        <v>61.44</v>
      </c>
      <c r="C2402" s="110">
        <v>60.2</v>
      </c>
      <c r="D2402" s="110">
        <v>60</v>
      </c>
      <c r="E2402" s="110">
        <v>61.2</v>
      </c>
      <c r="F2402" s="110">
        <v>60.2</v>
      </c>
      <c r="G2402">
        <v>406921</v>
      </c>
      <c r="H2402" s="110"/>
      <c r="I2402" s="110"/>
      <c r="L2402" s="134">
        <v>45541</v>
      </c>
      <c r="M2402" s="110">
        <v>60.2</v>
      </c>
      <c r="N2402" s="110">
        <v>61.42</v>
      </c>
      <c r="O2402" s="110">
        <v>60.01</v>
      </c>
      <c r="P2402" s="110">
        <v>61.13</v>
      </c>
      <c r="Q2402" s="110">
        <v>60.2</v>
      </c>
      <c r="R2402">
        <v>6635683</v>
      </c>
    </row>
    <row r="2403" spans="1:18" x14ac:dyDescent="0.25">
      <c r="A2403" s="134">
        <v>45544</v>
      </c>
      <c r="B2403" s="110">
        <v>60.43</v>
      </c>
      <c r="C2403" s="110">
        <v>59.15</v>
      </c>
      <c r="D2403" s="110">
        <v>58.81</v>
      </c>
      <c r="E2403" s="110">
        <v>60.02</v>
      </c>
      <c r="F2403" s="110">
        <v>59.15</v>
      </c>
      <c r="G2403">
        <v>1246550</v>
      </c>
      <c r="H2403" s="110"/>
      <c r="I2403" s="110"/>
      <c r="L2403" s="134">
        <v>45544</v>
      </c>
      <c r="M2403" s="110">
        <v>59.09</v>
      </c>
      <c r="N2403" s="110">
        <v>60.42</v>
      </c>
      <c r="O2403" s="110">
        <v>58.81</v>
      </c>
      <c r="P2403" s="110">
        <v>60.2</v>
      </c>
      <c r="Q2403" s="110">
        <v>59.09</v>
      </c>
      <c r="R2403">
        <v>6481975</v>
      </c>
    </row>
    <row r="2404" spans="1:18" x14ac:dyDescent="0.25">
      <c r="A2404" s="134">
        <v>45545</v>
      </c>
      <c r="B2404" s="110">
        <v>60.1</v>
      </c>
      <c r="C2404" s="110">
        <v>59.7</v>
      </c>
      <c r="D2404" s="110">
        <v>59.25</v>
      </c>
      <c r="E2404" s="110">
        <v>59.49</v>
      </c>
      <c r="F2404" s="110">
        <v>59.7</v>
      </c>
      <c r="G2404">
        <v>532233</v>
      </c>
      <c r="H2404" s="110"/>
      <c r="I2404" s="110"/>
      <c r="L2404" s="134">
        <v>45545</v>
      </c>
      <c r="M2404" s="110">
        <v>59.73</v>
      </c>
      <c r="N2404" s="110">
        <v>60.1</v>
      </c>
      <c r="O2404" s="110">
        <v>59.25</v>
      </c>
      <c r="P2404" s="110">
        <v>59.25</v>
      </c>
      <c r="Q2404" s="110">
        <v>59.73</v>
      </c>
      <c r="R2404">
        <v>4550580</v>
      </c>
    </row>
    <row r="2405" spans="1:18" x14ac:dyDescent="0.25">
      <c r="A2405" s="134">
        <v>45546</v>
      </c>
      <c r="B2405" s="110">
        <v>59.95</v>
      </c>
      <c r="C2405" s="110">
        <v>58.53</v>
      </c>
      <c r="D2405" s="110">
        <v>58.36</v>
      </c>
      <c r="E2405" s="110">
        <v>59.7</v>
      </c>
      <c r="F2405" s="110">
        <v>58.53</v>
      </c>
      <c r="G2405">
        <v>340468</v>
      </c>
      <c r="H2405" s="110"/>
      <c r="I2405" s="110"/>
      <c r="L2405" s="134">
        <v>45546</v>
      </c>
      <c r="M2405" s="110">
        <v>58.54</v>
      </c>
      <c r="N2405" s="110">
        <v>59.98</v>
      </c>
      <c r="O2405" s="110">
        <v>58.4</v>
      </c>
      <c r="P2405" s="110">
        <v>59.7</v>
      </c>
      <c r="Q2405" s="110">
        <v>58.54</v>
      </c>
      <c r="R2405">
        <v>5891517</v>
      </c>
    </row>
    <row r="2406" spans="1:18" x14ac:dyDescent="0.25">
      <c r="A2406" s="134">
        <v>45547</v>
      </c>
      <c r="B2406" s="110">
        <v>59.31</v>
      </c>
      <c r="C2406" s="110">
        <v>58.73</v>
      </c>
      <c r="D2406" s="110">
        <v>58.53</v>
      </c>
      <c r="E2406" s="110">
        <v>58.7</v>
      </c>
      <c r="F2406" s="110">
        <v>58.73</v>
      </c>
      <c r="G2406">
        <v>351486</v>
      </c>
      <c r="H2406" s="110"/>
      <c r="I2406" s="110"/>
      <c r="L2406" s="134">
        <v>45547</v>
      </c>
      <c r="M2406" s="110">
        <v>58.72</v>
      </c>
      <c r="N2406" s="110">
        <v>59.36</v>
      </c>
      <c r="O2406" s="110">
        <v>58.5</v>
      </c>
      <c r="P2406" s="110">
        <v>58.9</v>
      </c>
      <c r="Q2406" s="110">
        <v>58.72</v>
      </c>
      <c r="R2406">
        <v>5070395</v>
      </c>
    </row>
    <row r="2407" spans="1:18" x14ac:dyDescent="0.25">
      <c r="A2407" s="134">
        <v>45548</v>
      </c>
      <c r="B2407" s="110">
        <v>61.3</v>
      </c>
      <c r="C2407" s="110">
        <v>61.03</v>
      </c>
      <c r="D2407" s="110">
        <v>58.78</v>
      </c>
      <c r="E2407" s="110">
        <v>59.18</v>
      </c>
      <c r="F2407" s="110">
        <v>61.03</v>
      </c>
      <c r="G2407">
        <v>1208863</v>
      </c>
      <c r="H2407" s="110"/>
      <c r="I2407" s="110"/>
      <c r="L2407" s="134">
        <v>45548</v>
      </c>
      <c r="M2407" s="110">
        <v>61.02</v>
      </c>
      <c r="N2407" s="110">
        <v>61.33</v>
      </c>
      <c r="O2407" s="110">
        <v>58.84</v>
      </c>
      <c r="P2407" s="110">
        <v>59.1</v>
      </c>
      <c r="Q2407" s="110">
        <v>61.02</v>
      </c>
      <c r="R2407">
        <v>12354134</v>
      </c>
    </row>
    <row r="2408" spans="1:18" x14ac:dyDescent="0.25">
      <c r="A2408" s="134">
        <v>45551</v>
      </c>
      <c r="B2408" s="110">
        <v>61.95</v>
      </c>
      <c r="C2408" s="110">
        <v>60.68</v>
      </c>
      <c r="D2408" s="110">
        <v>60.41</v>
      </c>
      <c r="E2408" s="110">
        <v>61.04</v>
      </c>
      <c r="F2408" s="110">
        <v>60.68</v>
      </c>
      <c r="G2408">
        <v>804813</v>
      </c>
      <c r="H2408" s="110"/>
      <c r="I2408" s="110"/>
      <c r="L2408" s="134">
        <v>45551</v>
      </c>
      <c r="M2408" s="110">
        <v>60.64</v>
      </c>
      <c r="N2408" s="110">
        <v>61.96</v>
      </c>
      <c r="O2408" s="110">
        <v>60.4</v>
      </c>
      <c r="P2408" s="110">
        <v>61.11</v>
      </c>
      <c r="Q2408" s="110">
        <v>60.64</v>
      </c>
      <c r="R2408">
        <v>7444299</v>
      </c>
    </row>
    <row r="2409" spans="1:18" x14ac:dyDescent="0.25">
      <c r="A2409" s="134">
        <v>45552</v>
      </c>
      <c r="B2409" s="110">
        <v>60.86</v>
      </c>
      <c r="C2409" s="110">
        <v>59.8</v>
      </c>
      <c r="D2409" s="110">
        <v>59.58</v>
      </c>
      <c r="E2409" s="110">
        <v>60.73</v>
      </c>
      <c r="F2409" s="110">
        <v>59.8</v>
      </c>
      <c r="G2409">
        <v>662409</v>
      </c>
      <c r="H2409" s="110"/>
      <c r="I2409" s="110"/>
      <c r="L2409" s="134">
        <v>45552</v>
      </c>
      <c r="M2409" s="110">
        <v>59.81</v>
      </c>
      <c r="N2409" s="110">
        <v>60.85</v>
      </c>
      <c r="O2409" s="110">
        <v>59.6</v>
      </c>
      <c r="P2409" s="110">
        <v>60.8</v>
      </c>
      <c r="Q2409" s="110">
        <v>59.81</v>
      </c>
      <c r="R2409">
        <v>4541633</v>
      </c>
    </row>
    <row r="2410" spans="1:18" x14ac:dyDescent="0.25">
      <c r="A2410" s="134">
        <v>45553</v>
      </c>
      <c r="B2410" s="110">
        <v>60</v>
      </c>
      <c r="C2410" s="110">
        <v>59.06</v>
      </c>
      <c r="D2410" s="110">
        <v>59</v>
      </c>
      <c r="E2410" s="110">
        <v>59.8</v>
      </c>
      <c r="F2410" s="110">
        <v>59.06</v>
      </c>
      <c r="G2410">
        <v>303308</v>
      </c>
      <c r="H2410" s="110"/>
      <c r="I2410" s="110"/>
      <c r="L2410" s="134">
        <v>45553</v>
      </c>
      <c r="M2410" s="110">
        <v>59.06</v>
      </c>
      <c r="N2410" s="110">
        <v>60</v>
      </c>
      <c r="O2410" s="110">
        <v>58.95</v>
      </c>
      <c r="P2410" s="110">
        <v>59.8</v>
      </c>
      <c r="Q2410" s="110">
        <v>59.06</v>
      </c>
      <c r="R2410">
        <v>4895890</v>
      </c>
    </row>
    <row r="2411" spans="1:18" x14ac:dyDescent="0.25">
      <c r="A2411" s="134">
        <v>45554</v>
      </c>
      <c r="B2411" s="110">
        <v>60.39</v>
      </c>
      <c r="C2411" s="110">
        <v>57.99</v>
      </c>
      <c r="D2411" s="110">
        <v>57.4</v>
      </c>
      <c r="E2411" s="110">
        <v>60.08</v>
      </c>
      <c r="F2411" s="110">
        <v>57.99</v>
      </c>
      <c r="G2411">
        <v>1165945</v>
      </c>
      <c r="H2411" s="110"/>
      <c r="I2411" s="110"/>
      <c r="L2411" s="134">
        <v>45554</v>
      </c>
      <c r="M2411" s="110">
        <v>57.9</v>
      </c>
      <c r="N2411" s="110">
        <v>60.48</v>
      </c>
      <c r="O2411" s="110">
        <v>57.4</v>
      </c>
      <c r="P2411" s="110">
        <v>60</v>
      </c>
      <c r="Q2411" s="110">
        <v>57.9</v>
      </c>
      <c r="R2411">
        <v>8483834</v>
      </c>
    </row>
    <row r="2412" spans="1:18" x14ac:dyDescent="0.25">
      <c r="A2412" s="134">
        <v>45555</v>
      </c>
      <c r="B2412" s="110">
        <v>59.13</v>
      </c>
      <c r="C2412" s="110">
        <v>58.42</v>
      </c>
      <c r="D2412" s="110">
        <v>57.92</v>
      </c>
      <c r="E2412" s="110">
        <v>58.47</v>
      </c>
      <c r="F2412" s="110">
        <v>58.42</v>
      </c>
      <c r="G2412">
        <v>1162748</v>
      </c>
      <c r="H2412" s="110"/>
      <c r="I2412" s="110"/>
      <c r="L2412" s="134">
        <v>45555</v>
      </c>
      <c r="M2412" s="110">
        <v>58.42</v>
      </c>
      <c r="N2412" s="110">
        <v>59.15</v>
      </c>
      <c r="O2412" s="110">
        <v>57.9</v>
      </c>
      <c r="P2412" s="110">
        <v>58.4</v>
      </c>
      <c r="Q2412" s="110">
        <v>58.42</v>
      </c>
      <c r="R2412">
        <v>18559284</v>
      </c>
    </row>
    <row r="2413" spans="1:18" x14ac:dyDescent="0.25">
      <c r="A2413" s="134">
        <v>45558</v>
      </c>
      <c r="B2413" s="110">
        <v>63.47</v>
      </c>
      <c r="C2413" s="110">
        <v>63.07</v>
      </c>
      <c r="D2413" s="110">
        <v>58.64</v>
      </c>
      <c r="E2413" s="110">
        <v>58.64</v>
      </c>
      <c r="F2413" s="110">
        <v>63.07</v>
      </c>
      <c r="G2413">
        <v>4838992</v>
      </c>
      <c r="H2413" s="110"/>
      <c r="I2413" s="110"/>
      <c r="L2413" s="134">
        <v>45558</v>
      </c>
      <c r="M2413" s="110">
        <v>63.12</v>
      </c>
      <c r="N2413" s="110">
        <v>63.45</v>
      </c>
      <c r="O2413" s="110">
        <v>58.83</v>
      </c>
      <c r="P2413" s="110">
        <v>59</v>
      </c>
      <c r="Q2413" s="110">
        <v>63.12</v>
      </c>
      <c r="R2413">
        <v>44636814</v>
      </c>
    </row>
    <row r="2414" spans="1:18" x14ac:dyDescent="0.25">
      <c r="A2414" s="134">
        <v>45559</v>
      </c>
      <c r="B2414" s="110">
        <v>63.19</v>
      </c>
      <c r="C2414" s="110">
        <v>61.46</v>
      </c>
      <c r="D2414" s="110">
        <v>61.27</v>
      </c>
      <c r="E2414" s="110">
        <v>63.19</v>
      </c>
      <c r="F2414" s="110">
        <v>61.46</v>
      </c>
      <c r="G2414">
        <v>1281132</v>
      </c>
      <c r="H2414" s="110"/>
      <c r="I2414" s="110"/>
      <c r="L2414" s="134">
        <v>45559</v>
      </c>
      <c r="M2414" s="110">
        <v>61.46</v>
      </c>
      <c r="N2414" s="110">
        <v>63.12</v>
      </c>
      <c r="O2414" s="110">
        <v>61.3</v>
      </c>
      <c r="P2414" s="110">
        <v>63.12</v>
      </c>
      <c r="Q2414" s="110">
        <v>61.46</v>
      </c>
      <c r="R2414">
        <v>17147492</v>
      </c>
    </row>
    <row r="2415" spans="1:18" x14ac:dyDescent="0.25">
      <c r="A2415" s="134">
        <v>45560</v>
      </c>
      <c r="B2415" s="110">
        <v>61.79</v>
      </c>
      <c r="C2415" s="110">
        <v>60.19</v>
      </c>
      <c r="D2415" s="110">
        <v>60.05</v>
      </c>
      <c r="E2415" s="110">
        <v>61.79</v>
      </c>
      <c r="F2415" s="110">
        <v>60.19</v>
      </c>
      <c r="G2415">
        <v>959300</v>
      </c>
      <c r="H2415" s="110"/>
      <c r="I2415" s="110"/>
      <c r="L2415" s="134">
        <v>45560</v>
      </c>
      <c r="M2415" s="110">
        <v>60.18</v>
      </c>
      <c r="N2415" s="110">
        <v>61.46</v>
      </c>
      <c r="O2415" s="110">
        <v>60.01</v>
      </c>
      <c r="P2415" s="110">
        <v>61.46</v>
      </c>
      <c r="Q2415" s="110">
        <v>60.18</v>
      </c>
      <c r="R2415">
        <v>7284030</v>
      </c>
    </row>
    <row r="2416" spans="1:18" x14ac:dyDescent="0.25">
      <c r="A2416" s="134">
        <v>45561</v>
      </c>
      <c r="B2416" s="110">
        <v>61.1</v>
      </c>
      <c r="C2416" s="110">
        <v>60.04</v>
      </c>
      <c r="D2416" s="110">
        <v>59.31</v>
      </c>
      <c r="E2416" s="110">
        <v>60.23</v>
      </c>
      <c r="F2416" s="110">
        <v>60.04</v>
      </c>
      <c r="G2416">
        <v>1193352</v>
      </c>
      <c r="H2416" s="110"/>
      <c r="I2416" s="110"/>
      <c r="L2416" s="134">
        <v>45561</v>
      </c>
      <c r="M2416" s="110">
        <v>60.04</v>
      </c>
      <c r="N2416" s="110">
        <v>61.17</v>
      </c>
      <c r="O2416" s="110">
        <v>59.3</v>
      </c>
      <c r="P2416" s="110">
        <v>60.01</v>
      </c>
      <c r="Q2416" s="110">
        <v>60.04</v>
      </c>
      <c r="R2416">
        <v>11983212</v>
      </c>
    </row>
    <row r="2417" spans="1:18" x14ac:dyDescent="0.25">
      <c r="A2417" s="134">
        <v>45562</v>
      </c>
      <c r="B2417" s="110">
        <v>60.9</v>
      </c>
      <c r="C2417" s="110">
        <v>59.83</v>
      </c>
      <c r="D2417" s="110">
        <v>59.69</v>
      </c>
      <c r="E2417" s="110">
        <v>60.9</v>
      </c>
      <c r="F2417" s="110">
        <v>59.83</v>
      </c>
      <c r="G2417">
        <v>1155806</v>
      </c>
      <c r="H2417" s="110"/>
      <c r="I2417" s="110"/>
      <c r="L2417" s="134">
        <v>45562</v>
      </c>
      <c r="M2417" s="110">
        <v>59.83</v>
      </c>
      <c r="N2417" s="110">
        <v>60.7</v>
      </c>
      <c r="O2417" s="110">
        <v>59.7</v>
      </c>
      <c r="P2417" s="110">
        <v>60.3</v>
      </c>
      <c r="Q2417" s="110">
        <v>59.83</v>
      </c>
      <c r="R2417">
        <v>9288927</v>
      </c>
    </row>
    <row r="2418" spans="1:18" x14ac:dyDescent="0.25">
      <c r="A2418" s="134">
        <v>45565</v>
      </c>
      <c r="B2418" s="110">
        <v>61.09</v>
      </c>
      <c r="C2418" s="110">
        <v>60.25</v>
      </c>
      <c r="D2418" s="110">
        <v>59.3</v>
      </c>
      <c r="E2418" s="110">
        <v>60</v>
      </c>
      <c r="F2418" s="110">
        <v>60.25</v>
      </c>
      <c r="G2418">
        <v>1014005</v>
      </c>
      <c r="H2418" s="110"/>
      <c r="I2418" s="110"/>
      <c r="L2418" s="134">
        <v>45565</v>
      </c>
      <c r="M2418" s="110">
        <v>60.29</v>
      </c>
      <c r="N2418" s="110">
        <v>61.08</v>
      </c>
      <c r="O2418" s="110">
        <v>59.3</v>
      </c>
      <c r="P2418" s="110">
        <v>60</v>
      </c>
      <c r="Q2418" s="110">
        <v>60.29</v>
      </c>
      <c r="R2418">
        <v>10841817</v>
      </c>
    </row>
    <row r="2419" spans="1:18" x14ac:dyDescent="0.25">
      <c r="A2419" s="134">
        <v>45566</v>
      </c>
      <c r="B2419" s="110">
        <v>60.61</v>
      </c>
      <c r="C2419" s="110">
        <v>59.86</v>
      </c>
      <c r="D2419" s="110">
        <v>59.31</v>
      </c>
      <c r="E2419" s="110">
        <v>60.19</v>
      </c>
      <c r="F2419" s="110">
        <v>59.86</v>
      </c>
      <c r="G2419">
        <v>774643</v>
      </c>
      <c r="H2419" s="110"/>
      <c r="I2419" s="110"/>
      <c r="L2419" s="134">
        <v>45566</v>
      </c>
      <c r="M2419" s="110">
        <v>59.88</v>
      </c>
      <c r="N2419" s="110">
        <v>60.61</v>
      </c>
      <c r="O2419" s="110">
        <v>59.35</v>
      </c>
      <c r="P2419" s="110">
        <v>59.99</v>
      </c>
      <c r="Q2419" s="110">
        <v>59.88</v>
      </c>
      <c r="R2419">
        <v>11955842</v>
      </c>
    </row>
    <row r="2420" spans="1:18" x14ac:dyDescent="0.25">
      <c r="A2420" s="134">
        <v>45568</v>
      </c>
      <c r="B2420" s="110">
        <v>59.3</v>
      </c>
      <c r="C2420" s="110">
        <v>58.48</v>
      </c>
      <c r="D2420" s="110">
        <v>58.1</v>
      </c>
      <c r="E2420" s="110">
        <v>59</v>
      </c>
      <c r="F2420" s="110">
        <v>58.48</v>
      </c>
      <c r="G2420">
        <v>712785</v>
      </c>
      <c r="H2420" s="110"/>
      <c r="I2420" s="110"/>
      <c r="L2420" s="134">
        <v>45568</v>
      </c>
      <c r="M2420" s="110">
        <v>58.45</v>
      </c>
      <c r="N2420" s="110">
        <v>59.3</v>
      </c>
      <c r="O2420" s="110">
        <v>58.07</v>
      </c>
      <c r="P2420" s="110">
        <v>59</v>
      </c>
      <c r="Q2420" s="110">
        <v>58.45</v>
      </c>
      <c r="R2420">
        <v>8713928</v>
      </c>
    </row>
    <row r="2421" spans="1:18" x14ac:dyDescent="0.25">
      <c r="A2421" s="134">
        <v>45569</v>
      </c>
      <c r="B2421" s="110">
        <v>58.81</v>
      </c>
      <c r="C2421" s="110">
        <v>57.66</v>
      </c>
      <c r="D2421" s="110">
        <v>57.42</v>
      </c>
      <c r="E2421" s="110">
        <v>58.39</v>
      </c>
      <c r="F2421" s="110">
        <v>57.66</v>
      </c>
      <c r="G2421">
        <v>1099368</v>
      </c>
      <c r="H2421" s="110"/>
      <c r="I2421" s="110"/>
      <c r="L2421" s="134">
        <v>45569</v>
      </c>
      <c r="M2421" s="110">
        <v>57.65</v>
      </c>
      <c r="N2421" s="110">
        <v>58.85</v>
      </c>
      <c r="O2421" s="110">
        <v>57.41</v>
      </c>
      <c r="P2421" s="110">
        <v>58.21</v>
      </c>
      <c r="Q2421" s="110">
        <v>57.65</v>
      </c>
      <c r="R2421">
        <v>10744051</v>
      </c>
    </row>
    <row r="2422" spans="1:18" x14ac:dyDescent="0.25">
      <c r="A2422" s="134">
        <v>45572</v>
      </c>
      <c r="B2422" s="110">
        <v>58.8</v>
      </c>
      <c r="C2422" s="110">
        <v>55.89</v>
      </c>
      <c r="D2422" s="110">
        <v>55.62</v>
      </c>
      <c r="E2422" s="110">
        <v>58.74</v>
      </c>
      <c r="F2422" s="110">
        <v>55.89</v>
      </c>
      <c r="G2422">
        <v>1553524</v>
      </c>
      <c r="H2422" s="110"/>
      <c r="I2422" s="110"/>
      <c r="L2422" s="134">
        <v>45572</v>
      </c>
      <c r="M2422" s="110">
        <v>55.84</v>
      </c>
      <c r="N2422" s="110">
        <v>58.87</v>
      </c>
      <c r="O2422" s="110">
        <v>55.6</v>
      </c>
      <c r="P2422" s="110">
        <v>58.51</v>
      </c>
      <c r="Q2422" s="110">
        <v>55.84</v>
      </c>
      <c r="R2422">
        <v>11622901</v>
      </c>
    </row>
    <row r="2423" spans="1:18" x14ac:dyDescent="0.25">
      <c r="A2423" s="134">
        <v>45573</v>
      </c>
      <c r="B2423" s="110">
        <v>57.24</v>
      </c>
      <c r="C2423" s="110">
        <v>57.01</v>
      </c>
      <c r="D2423" s="110">
        <v>55.36</v>
      </c>
      <c r="E2423" s="110">
        <v>56.01</v>
      </c>
      <c r="F2423" s="110">
        <v>57.01</v>
      </c>
      <c r="G2423">
        <v>923396</v>
      </c>
      <c r="H2423" s="110"/>
      <c r="I2423" s="110"/>
      <c r="L2423" s="134">
        <v>45573</v>
      </c>
      <c r="M2423" s="110">
        <v>57.04</v>
      </c>
      <c r="N2423" s="110">
        <v>57.25</v>
      </c>
      <c r="O2423" s="110">
        <v>55.31</v>
      </c>
      <c r="P2423" s="110">
        <v>56.25</v>
      </c>
      <c r="Q2423" s="110">
        <v>57.04</v>
      </c>
      <c r="R2423">
        <v>10974855</v>
      </c>
    </row>
    <row r="2424" spans="1:18" x14ac:dyDescent="0.25">
      <c r="A2424" s="134">
        <v>45574</v>
      </c>
      <c r="B2424" s="110">
        <v>57</v>
      </c>
      <c r="C2424" s="110">
        <v>54.79</v>
      </c>
      <c r="D2424" s="110">
        <v>54.3</v>
      </c>
      <c r="E2424" s="110">
        <v>56.99</v>
      </c>
      <c r="F2424" s="110">
        <v>54.79</v>
      </c>
      <c r="G2424">
        <v>2667270</v>
      </c>
      <c r="H2424" s="110"/>
      <c r="I2424" s="110"/>
      <c r="L2424" s="134">
        <v>45574</v>
      </c>
      <c r="M2424" s="110">
        <v>54.66</v>
      </c>
      <c r="N2424" s="110">
        <v>56.98</v>
      </c>
      <c r="O2424" s="110">
        <v>54.3</v>
      </c>
      <c r="P2424" s="110">
        <v>56.75</v>
      </c>
      <c r="Q2424" s="110">
        <v>54.66</v>
      </c>
      <c r="R2424">
        <v>39971975</v>
      </c>
    </row>
    <row r="2425" spans="1:18" x14ac:dyDescent="0.25">
      <c r="A2425" s="134">
        <v>45575</v>
      </c>
      <c r="B2425" s="110">
        <v>55.64</v>
      </c>
      <c r="C2425" s="110">
        <v>54.17</v>
      </c>
      <c r="D2425" s="110">
        <v>53.97</v>
      </c>
      <c r="E2425" s="110">
        <v>55.1</v>
      </c>
      <c r="F2425" s="110">
        <v>54.17</v>
      </c>
      <c r="G2425">
        <v>1409781</v>
      </c>
      <c r="H2425" s="110"/>
      <c r="I2425" s="110"/>
      <c r="L2425" s="134">
        <v>45575</v>
      </c>
      <c r="M2425" s="110">
        <v>54.16</v>
      </c>
      <c r="N2425" s="110">
        <v>55.57</v>
      </c>
      <c r="O2425" s="110">
        <v>54</v>
      </c>
      <c r="P2425" s="110">
        <v>55</v>
      </c>
      <c r="Q2425" s="110">
        <v>54.16</v>
      </c>
      <c r="R2425">
        <v>13569778</v>
      </c>
    </row>
    <row r="2426" spans="1:18" x14ac:dyDescent="0.25">
      <c r="A2426" s="134">
        <v>45576</v>
      </c>
      <c r="B2426" s="110">
        <v>54.65</v>
      </c>
      <c r="C2426" s="110">
        <v>54.24</v>
      </c>
      <c r="D2426" s="110">
        <v>53.81</v>
      </c>
      <c r="E2426" s="110">
        <v>54.2</v>
      </c>
      <c r="F2426" s="110">
        <v>54.24</v>
      </c>
      <c r="G2426">
        <v>1179420</v>
      </c>
      <c r="H2426" s="110"/>
      <c r="I2426" s="110"/>
      <c r="L2426" s="134">
        <v>45576</v>
      </c>
      <c r="M2426" s="110">
        <v>54.24</v>
      </c>
      <c r="N2426" s="110">
        <v>54.63</v>
      </c>
      <c r="O2426" s="110">
        <v>53.8</v>
      </c>
      <c r="P2426" s="110">
        <v>54.2</v>
      </c>
      <c r="Q2426" s="110">
        <v>54.24</v>
      </c>
      <c r="R2426">
        <v>7882394</v>
      </c>
    </row>
    <row r="2427" spans="1:18" x14ac:dyDescent="0.25">
      <c r="A2427" s="134">
        <v>45579</v>
      </c>
      <c r="B2427" s="110">
        <v>54.8</v>
      </c>
      <c r="C2427" s="110">
        <v>54.16</v>
      </c>
      <c r="D2427" s="110">
        <v>53.8</v>
      </c>
      <c r="E2427" s="110">
        <v>54.5</v>
      </c>
      <c r="F2427" s="110">
        <v>54.16</v>
      </c>
      <c r="G2427">
        <v>968126</v>
      </c>
      <c r="H2427" s="110"/>
      <c r="I2427" s="110"/>
      <c r="L2427" s="134">
        <v>45579</v>
      </c>
      <c r="M2427" s="110">
        <v>54.2</v>
      </c>
      <c r="N2427" s="110">
        <v>54.95</v>
      </c>
      <c r="O2427" s="110">
        <v>53.8</v>
      </c>
      <c r="P2427" s="110">
        <v>54.35</v>
      </c>
      <c r="Q2427" s="110">
        <v>54.2</v>
      </c>
      <c r="R2427">
        <v>9822253</v>
      </c>
    </row>
    <row r="2428" spans="1:18" x14ac:dyDescent="0.25">
      <c r="A2428" s="134">
        <v>45580</v>
      </c>
      <c r="B2428" s="110">
        <v>55.11</v>
      </c>
      <c r="C2428" s="110">
        <v>54.38</v>
      </c>
      <c r="D2428" s="110">
        <v>53.54</v>
      </c>
      <c r="E2428" s="110">
        <v>54.51</v>
      </c>
      <c r="F2428" s="110">
        <v>54.38</v>
      </c>
      <c r="G2428">
        <v>1563290</v>
      </c>
      <c r="H2428" s="110"/>
      <c r="I2428" s="110"/>
      <c r="L2428" s="134">
        <v>45580</v>
      </c>
      <c r="M2428" s="110">
        <v>54.32</v>
      </c>
      <c r="N2428" s="110">
        <v>55.1</v>
      </c>
      <c r="O2428" s="110">
        <v>53.51</v>
      </c>
      <c r="P2428" s="110">
        <v>54.6</v>
      </c>
      <c r="Q2428" s="110">
        <v>54.32</v>
      </c>
      <c r="R2428">
        <v>30428543</v>
      </c>
    </row>
    <row r="2429" spans="1:18" x14ac:dyDescent="0.25">
      <c r="A2429" s="134">
        <v>45581</v>
      </c>
      <c r="B2429" s="110">
        <v>55.73</v>
      </c>
      <c r="C2429" s="110">
        <v>54.55</v>
      </c>
      <c r="D2429" s="110">
        <v>54.33</v>
      </c>
      <c r="E2429" s="110">
        <v>54.95</v>
      </c>
      <c r="F2429" s="110">
        <v>54.55</v>
      </c>
      <c r="G2429">
        <v>1693841</v>
      </c>
      <c r="H2429" s="110"/>
      <c r="I2429" s="110"/>
      <c r="L2429" s="134">
        <v>45581</v>
      </c>
      <c r="M2429" s="110">
        <v>54.56</v>
      </c>
      <c r="N2429" s="110">
        <v>55.7</v>
      </c>
      <c r="O2429" s="110">
        <v>54.27</v>
      </c>
      <c r="P2429" s="110">
        <v>54.98</v>
      </c>
      <c r="Q2429" s="110">
        <v>54.56</v>
      </c>
      <c r="R2429">
        <v>22333654</v>
      </c>
    </row>
    <row r="2430" spans="1:18" x14ac:dyDescent="0.25">
      <c r="A2430" s="134">
        <v>45582</v>
      </c>
      <c r="B2430" s="110">
        <v>55</v>
      </c>
      <c r="C2430" s="110">
        <v>53.97</v>
      </c>
      <c r="D2430" s="110">
        <v>53.88</v>
      </c>
      <c r="E2430" s="110">
        <v>54.99</v>
      </c>
      <c r="F2430" s="110">
        <v>53.97</v>
      </c>
      <c r="G2430">
        <v>574983</v>
      </c>
      <c r="H2430" s="110"/>
      <c r="I2430" s="110"/>
      <c r="L2430" s="134">
        <v>45582</v>
      </c>
      <c r="M2430" s="110">
        <v>53.98</v>
      </c>
      <c r="N2430" s="110">
        <v>54.99</v>
      </c>
      <c r="O2430" s="110">
        <v>53.9</v>
      </c>
      <c r="P2430" s="110">
        <v>54.85</v>
      </c>
      <c r="Q2430" s="110">
        <v>53.98</v>
      </c>
      <c r="R2430">
        <v>8800933</v>
      </c>
    </row>
    <row r="2431" spans="1:18" x14ac:dyDescent="0.25">
      <c r="A2431" s="134">
        <v>45583</v>
      </c>
      <c r="B2431" s="110">
        <v>54.98</v>
      </c>
      <c r="C2431" s="110">
        <v>54.3</v>
      </c>
      <c r="D2431" s="110">
        <v>52.45</v>
      </c>
      <c r="E2431" s="110">
        <v>53.75</v>
      </c>
      <c r="F2431" s="110">
        <v>54.3</v>
      </c>
      <c r="G2431">
        <v>681034</v>
      </c>
      <c r="H2431" s="110"/>
      <c r="I2431" s="110"/>
      <c r="L2431" s="134">
        <v>45583</v>
      </c>
      <c r="M2431" s="110">
        <v>54.3</v>
      </c>
      <c r="N2431" s="110">
        <v>55</v>
      </c>
      <c r="O2431" s="110">
        <v>52.45</v>
      </c>
      <c r="P2431" s="110">
        <v>53.8</v>
      </c>
      <c r="Q2431" s="110">
        <v>54.3</v>
      </c>
      <c r="R2431">
        <v>14672462</v>
      </c>
    </row>
    <row r="2432" spans="1:18" x14ac:dyDescent="0.25">
      <c r="A2432" s="134">
        <v>45586</v>
      </c>
      <c r="B2432" s="110">
        <v>54.81</v>
      </c>
      <c r="C2432" s="110">
        <v>52.28</v>
      </c>
      <c r="D2432" s="110">
        <v>51.91</v>
      </c>
      <c r="E2432" s="110">
        <v>54.74</v>
      </c>
      <c r="F2432" s="110">
        <v>52.28</v>
      </c>
      <c r="G2432">
        <v>1000311</v>
      </c>
      <c r="H2432" s="110"/>
      <c r="I2432" s="110"/>
      <c r="L2432" s="134">
        <v>45586</v>
      </c>
      <c r="M2432" s="110">
        <v>52.19</v>
      </c>
      <c r="N2432" s="110">
        <v>54.79</v>
      </c>
      <c r="O2432" s="110">
        <v>51.88</v>
      </c>
      <c r="P2432" s="110">
        <v>54.6</v>
      </c>
      <c r="Q2432" s="110">
        <v>52.19</v>
      </c>
      <c r="R2432">
        <v>10078192</v>
      </c>
    </row>
    <row r="2433" spans="1:18" x14ac:dyDescent="0.25">
      <c r="A2433" s="134">
        <v>45587</v>
      </c>
      <c r="B2433" s="110">
        <v>52.65</v>
      </c>
      <c r="C2433" s="110">
        <v>49.1</v>
      </c>
      <c r="D2433" s="110">
        <v>48.77</v>
      </c>
      <c r="E2433" s="110">
        <v>52.01</v>
      </c>
      <c r="F2433" s="110">
        <v>49.1</v>
      </c>
      <c r="G2433">
        <v>2865387</v>
      </c>
      <c r="H2433" s="110"/>
      <c r="I2433" s="110"/>
      <c r="L2433" s="134">
        <v>45587</v>
      </c>
      <c r="M2433" s="110">
        <v>49.07</v>
      </c>
      <c r="N2433" s="110">
        <v>52.58</v>
      </c>
      <c r="O2433" s="110">
        <v>48.7</v>
      </c>
      <c r="P2433" s="110">
        <v>52.1</v>
      </c>
      <c r="Q2433" s="110">
        <v>49.07</v>
      </c>
      <c r="R2433">
        <v>20245376</v>
      </c>
    </row>
    <row r="2434" spans="1:18" x14ac:dyDescent="0.25">
      <c r="A2434" s="134">
        <v>45588</v>
      </c>
      <c r="B2434" s="110">
        <v>50.93</v>
      </c>
      <c r="C2434" s="110">
        <v>50.48</v>
      </c>
      <c r="D2434" s="110">
        <v>46.64</v>
      </c>
      <c r="E2434" s="110">
        <v>49.4</v>
      </c>
      <c r="F2434" s="110">
        <v>50.48</v>
      </c>
      <c r="G2434">
        <v>1982503</v>
      </c>
      <c r="H2434" s="110"/>
      <c r="I2434" s="110"/>
      <c r="L2434" s="134">
        <v>45588</v>
      </c>
      <c r="M2434" s="110">
        <v>50.46</v>
      </c>
      <c r="N2434" s="110">
        <v>50.93</v>
      </c>
      <c r="O2434" s="110">
        <v>47.37</v>
      </c>
      <c r="P2434" s="110">
        <v>49.39</v>
      </c>
      <c r="Q2434" s="110">
        <v>50.46</v>
      </c>
      <c r="R2434">
        <v>18341975</v>
      </c>
    </row>
    <row r="2435" spans="1:18" x14ac:dyDescent="0.25">
      <c r="A2435" s="134">
        <v>45589</v>
      </c>
      <c r="B2435" s="110">
        <v>51.31</v>
      </c>
      <c r="C2435" s="110">
        <v>49.97</v>
      </c>
      <c r="D2435" s="110">
        <v>49.8</v>
      </c>
      <c r="E2435" s="110">
        <v>50.79</v>
      </c>
      <c r="F2435" s="110">
        <v>49.97</v>
      </c>
      <c r="G2435">
        <v>1149909</v>
      </c>
      <c r="H2435" s="110"/>
      <c r="I2435" s="110"/>
      <c r="L2435" s="134">
        <v>45589</v>
      </c>
      <c r="M2435" s="110">
        <v>50</v>
      </c>
      <c r="N2435" s="110">
        <v>51.26</v>
      </c>
      <c r="O2435" s="110">
        <v>49.8</v>
      </c>
      <c r="P2435" s="110">
        <v>50.65</v>
      </c>
      <c r="Q2435" s="110">
        <v>50</v>
      </c>
      <c r="R2435">
        <v>11386093</v>
      </c>
    </row>
    <row r="2436" spans="1:18" x14ac:dyDescent="0.25">
      <c r="A2436" s="134">
        <v>45590</v>
      </c>
      <c r="B2436" s="110">
        <v>50.52</v>
      </c>
      <c r="C2436" s="110">
        <v>49.05</v>
      </c>
      <c r="D2436" s="110">
        <v>47.8</v>
      </c>
      <c r="E2436" s="110">
        <v>50.39</v>
      </c>
      <c r="F2436" s="110">
        <v>49.05</v>
      </c>
      <c r="G2436">
        <v>640902</v>
      </c>
      <c r="H2436" s="110"/>
      <c r="I2436" s="110"/>
      <c r="L2436" s="134">
        <v>45590</v>
      </c>
      <c r="M2436" s="110">
        <v>49.02</v>
      </c>
      <c r="N2436" s="110">
        <v>50.48</v>
      </c>
      <c r="O2436" s="110">
        <v>47.8</v>
      </c>
      <c r="P2436" s="110">
        <v>50.25</v>
      </c>
      <c r="Q2436" s="110">
        <v>49.02</v>
      </c>
      <c r="R2436">
        <v>17506896</v>
      </c>
    </row>
    <row r="2437" spans="1:18" x14ac:dyDescent="0.25">
      <c r="A2437" s="134">
        <v>45593</v>
      </c>
      <c r="B2437" s="110">
        <v>50.51</v>
      </c>
      <c r="C2437" s="110">
        <v>49.84</v>
      </c>
      <c r="D2437" s="110">
        <v>48.51</v>
      </c>
      <c r="E2437" s="110">
        <v>48.51</v>
      </c>
      <c r="F2437" s="110">
        <v>49.84</v>
      </c>
      <c r="G2437">
        <v>1336093</v>
      </c>
      <c r="H2437" s="110"/>
      <c r="I2437" s="110"/>
      <c r="L2437" s="134">
        <v>45593</v>
      </c>
      <c r="M2437" s="110">
        <v>49.81</v>
      </c>
      <c r="N2437" s="110">
        <v>50.52</v>
      </c>
      <c r="O2437" s="110">
        <v>48.76</v>
      </c>
      <c r="P2437" s="110">
        <v>49.02</v>
      </c>
      <c r="Q2437" s="110">
        <v>49.81</v>
      </c>
      <c r="R2437">
        <v>20826697</v>
      </c>
    </row>
    <row r="2438" spans="1:18" x14ac:dyDescent="0.25">
      <c r="A2438" s="134">
        <v>45594</v>
      </c>
      <c r="B2438" s="110">
        <v>52.2</v>
      </c>
      <c r="C2438" s="110">
        <v>51.99</v>
      </c>
      <c r="D2438" s="110">
        <v>49.65</v>
      </c>
      <c r="E2438" s="110">
        <v>49.75</v>
      </c>
      <c r="F2438" s="110">
        <v>51.99</v>
      </c>
      <c r="G2438">
        <v>1293929</v>
      </c>
      <c r="H2438" s="110"/>
      <c r="I2438" s="110"/>
      <c r="L2438" s="134">
        <v>45594</v>
      </c>
      <c r="M2438" s="110">
        <v>52.02</v>
      </c>
      <c r="N2438" s="110">
        <v>52.25</v>
      </c>
      <c r="O2438" s="110">
        <v>49.65</v>
      </c>
      <c r="P2438" s="110">
        <v>49.81</v>
      </c>
      <c r="Q2438" s="110">
        <v>52.02</v>
      </c>
      <c r="R2438">
        <v>16234868</v>
      </c>
    </row>
    <row r="2439" spans="1:18" x14ac:dyDescent="0.25">
      <c r="A2439" s="134">
        <v>45595</v>
      </c>
      <c r="B2439" s="110">
        <v>56.93</v>
      </c>
      <c r="C2439" s="110">
        <v>55.36</v>
      </c>
      <c r="D2439" s="110">
        <v>51.77</v>
      </c>
      <c r="E2439" s="110">
        <v>52.33</v>
      </c>
      <c r="F2439" s="110">
        <v>55.36</v>
      </c>
      <c r="G2439">
        <v>1641453</v>
      </c>
      <c r="H2439" s="110"/>
      <c r="I2439" s="110"/>
      <c r="L2439" s="134">
        <v>45595</v>
      </c>
      <c r="M2439" s="110">
        <v>55.34</v>
      </c>
      <c r="N2439" s="110">
        <v>56.9</v>
      </c>
      <c r="O2439" s="110">
        <v>51.7</v>
      </c>
      <c r="P2439" s="110">
        <v>51.96</v>
      </c>
      <c r="Q2439" s="110">
        <v>55.34</v>
      </c>
      <c r="R2439">
        <v>38994310</v>
      </c>
    </row>
    <row r="2440" spans="1:18" x14ac:dyDescent="0.25">
      <c r="A2440" s="134">
        <v>45596</v>
      </c>
      <c r="B2440" s="110">
        <v>55.87</v>
      </c>
      <c r="C2440" s="110">
        <v>54.87</v>
      </c>
      <c r="D2440" s="110">
        <v>54.07</v>
      </c>
      <c r="E2440" s="110">
        <v>55.68</v>
      </c>
      <c r="F2440" s="110">
        <v>54.87</v>
      </c>
      <c r="G2440">
        <v>1691864</v>
      </c>
      <c r="H2440" s="110"/>
      <c r="I2440" s="110"/>
      <c r="L2440" s="134">
        <v>45596</v>
      </c>
      <c r="M2440" s="110">
        <v>54.9</v>
      </c>
      <c r="N2440" s="110">
        <v>55.84</v>
      </c>
      <c r="O2440" s="110">
        <v>54.08</v>
      </c>
      <c r="P2440" s="110">
        <v>55.34</v>
      </c>
      <c r="Q2440" s="110">
        <v>54.9</v>
      </c>
      <c r="R2440">
        <v>18758444</v>
      </c>
    </row>
    <row r="2441" spans="1:18" x14ac:dyDescent="0.25">
      <c r="A2441" s="134">
        <v>45597</v>
      </c>
      <c r="B2441" s="110">
        <v>55.79</v>
      </c>
      <c r="C2441" s="110">
        <v>55.46</v>
      </c>
      <c r="D2441" s="110">
        <v>55.01</v>
      </c>
      <c r="E2441" s="110">
        <v>55.49</v>
      </c>
      <c r="F2441" s="110">
        <v>55.46</v>
      </c>
      <c r="G2441">
        <v>256579</v>
      </c>
      <c r="H2441" s="110"/>
      <c r="I2441" s="110"/>
      <c r="L2441" s="134">
        <v>45597</v>
      </c>
      <c r="M2441" s="110">
        <v>55.43</v>
      </c>
      <c r="N2441" s="110">
        <v>55.75</v>
      </c>
      <c r="O2441" s="110">
        <v>55</v>
      </c>
      <c r="P2441" s="110">
        <v>55.25</v>
      </c>
      <c r="Q2441" s="110">
        <v>55.43</v>
      </c>
      <c r="R2441">
        <v>4086792</v>
      </c>
    </row>
    <row r="2442" spans="1:18" x14ac:dyDescent="0.25">
      <c r="A2442" s="134">
        <v>45600</v>
      </c>
      <c r="B2442" s="110">
        <v>55.6</v>
      </c>
      <c r="C2442" s="110">
        <v>54.35</v>
      </c>
      <c r="D2442" s="110">
        <v>53.27</v>
      </c>
      <c r="E2442" s="110">
        <v>55.6</v>
      </c>
      <c r="F2442" s="110">
        <v>54.35</v>
      </c>
      <c r="G2442">
        <v>1354817</v>
      </c>
      <c r="H2442" s="110"/>
      <c r="I2442" s="110"/>
      <c r="L2442" s="134">
        <v>45600</v>
      </c>
      <c r="M2442" s="110">
        <v>54.4</v>
      </c>
      <c r="N2442" s="110">
        <v>55.52</v>
      </c>
      <c r="O2442" s="110">
        <v>53</v>
      </c>
      <c r="P2442" s="110">
        <v>55.52</v>
      </c>
      <c r="Q2442" s="110">
        <v>54.4</v>
      </c>
      <c r="R2442">
        <v>17649130</v>
      </c>
    </row>
    <row r="2443" spans="1:18" x14ac:dyDescent="0.25">
      <c r="A2443" s="134">
        <v>45601</v>
      </c>
      <c r="B2443" s="110">
        <v>55.92</v>
      </c>
      <c r="C2443" s="110">
        <v>55.64</v>
      </c>
      <c r="D2443" s="110">
        <v>53.49</v>
      </c>
      <c r="E2443" s="110">
        <v>54.24</v>
      </c>
      <c r="F2443" s="110">
        <v>55.64</v>
      </c>
      <c r="G2443">
        <v>838428</v>
      </c>
      <c r="H2443" s="110"/>
      <c r="I2443" s="110"/>
      <c r="L2443" s="134">
        <v>45601</v>
      </c>
      <c r="M2443" s="110">
        <v>55.65</v>
      </c>
      <c r="N2443" s="110">
        <v>55.95</v>
      </c>
      <c r="O2443" s="110">
        <v>53.48</v>
      </c>
      <c r="P2443" s="110">
        <v>53.95</v>
      </c>
      <c r="Q2443" s="110">
        <v>55.65</v>
      </c>
      <c r="R2443">
        <v>19509226</v>
      </c>
    </row>
    <row r="2444" spans="1:18" x14ac:dyDescent="0.25">
      <c r="A2444" s="134">
        <v>45602</v>
      </c>
      <c r="B2444" s="110">
        <v>56.39</v>
      </c>
      <c r="C2444" s="110">
        <v>55.92</v>
      </c>
      <c r="D2444" s="110">
        <v>55.3</v>
      </c>
      <c r="E2444" s="110">
        <v>55.69</v>
      </c>
      <c r="F2444" s="110">
        <v>55.92</v>
      </c>
      <c r="G2444">
        <v>1054872</v>
      </c>
      <c r="H2444" s="110"/>
      <c r="I2444" s="110"/>
      <c r="L2444" s="134">
        <v>45602</v>
      </c>
      <c r="M2444" s="110">
        <v>55.91</v>
      </c>
      <c r="N2444" s="110">
        <v>56.4</v>
      </c>
      <c r="O2444" s="110">
        <v>55.27</v>
      </c>
      <c r="P2444" s="110">
        <v>55.8</v>
      </c>
      <c r="Q2444" s="110">
        <v>55.91</v>
      </c>
      <c r="R2444">
        <v>17251248</v>
      </c>
    </row>
    <row r="2445" spans="1:18" x14ac:dyDescent="0.25">
      <c r="A2445" s="134">
        <v>45603</v>
      </c>
      <c r="B2445" s="110">
        <v>57.1</v>
      </c>
      <c r="C2445" s="110">
        <v>55.27</v>
      </c>
      <c r="D2445" s="110">
        <v>55</v>
      </c>
      <c r="E2445" s="110">
        <v>56.3</v>
      </c>
      <c r="F2445" s="110">
        <v>55.27</v>
      </c>
      <c r="G2445">
        <v>1449570</v>
      </c>
      <c r="H2445" s="110"/>
      <c r="I2445" s="110"/>
      <c r="L2445" s="134">
        <v>45603</v>
      </c>
      <c r="M2445" s="110">
        <v>55.28</v>
      </c>
      <c r="N2445" s="110">
        <v>57.1</v>
      </c>
      <c r="O2445" s="110">
        <v>55.01</v>
      </c>
      <c r="P2445" s="110">
        <v>56.3</v>
      </c>
      <c r="Q2445" s="110">
        <v>55.28</v>
      </c>
      <c r="R2445">
        <v>14940724</v>
      </c>
    </row>
    <row r="2446" spans="1:18" x14ac:dyDescent="0.25">
      <c r="A2446" s="134">
        <v>45604</v>
      </c>
      <c r="B2446" s="110">
        <v>55.47</v>
      </c>
      <c r="C2446" s="110">
        <v>53.95</v>
      </c>
      <c r="D2446" s="110">
        <v>53.44</v>
      </c>
      <c r="E2446" s="110">
        <v>55.47</v>
      </c>
      <c r="F2446" s="110">
        <v>53.95</v>
      </c>
      <c r="G2446">
        <v>449211</v>
      </c>
      <c r="H2446" s="110"/>
      <c r="I2446" s="110"/>
      <c r="L2446" s="134">
        <v>45604</v>
      </c>
      <c r="M2446" s="110">
        <v>54.03</v>
      </c>
      <c r="N2446" s="110">
        <v>55.4</v>
      </c>
      <c r="O2446" s="110">
        <v>53.45</v>
      </c>
      <c r="P2446" s="110">
        <v>55.25</v>
      </c>
      <c r="Q2446" s="110">
        <v>54.03</v>
      </c>
      <c r="R2446">
        <v>9415141</v>
      </c>
    </row>
    <row r="2447" spans="1:18" x14ac:dyDescent="0.25">
      <c r="A2447" s="134">
        <v>45607</v>
      </c>
      <c r="B2447" s="110">
        <v>54.39</v>
      </c>
      <c r="C2447" s="110">
        <v>53.37</v>
      </c>
      <c r="D2447" s="110">
        <v>53.17</v>
      </c>
      <c r="E2447" s="110">
        <v>53.81</v>
      </c>
      <c r="F2447" s="110">
        <v>53.37</v>
      </c>
      <c r="G2447">
        <v>336186</v>
      </c>
      <c r="H2447" s="110"/>
      <c r="I2447" s="110"/>
      <c r="L2447" s="134">
        <v>45607</v>
      </c>
      <c r="M2447" s="110">
        <v>53.35</v>
      </c>
      <c r="N2447" s="110">
        <v>54.4</v>
      </c>
      <c r="O2447" s="110">
        <v>53.11</v>
      </c>
      <c r="P2447" s="110">
        <v>53.65</v>
      </c>
      <c r="Q2447" s="110">
        <v>53.35</v>
      </c>
      <c r="R2447">
        <v>8728230</v>
      </c>
    </row>
    <row r="2448" spans="1:18" x14ac:dyDescent="0.25">
      <c r="A2448" s="134">
        <v>45608</v>
      </c>
      <c r="B2448" s="110">
        <v>54.15</v>
      </c>
      <c r="C2448" s="110">
        <v>52.56</v>
      </c>
      <c r="D2448" s="110">
        <v>52.15</v>
      </c>
      <c r="E2448" s="110">
        <v>53.37</v>
      </c>
      <c r="F2448" s="110">
        <v>52.56</v>
      </c>
      <c r="G2448">
        <v>689802</v>
      </c>
      <c r="H2448" s="110"/>
      <c r="I2448" s="110"/>
      <c r="L2448" s="134">
        <v>45608</v>
      </c>
      <c r="M2448" s="110">
        <v>52.51</v>
      </c>
      <c r="N2448" s="110">
        <v>54.21</v>
      </c>
      <c r="O2448" s="110">
        <v>52</v>
      </c>
      <c r="P2448" s="110">
        <v>53.35</v>
      </c>
      <c r="Q2448" s="110">
        <v>52.51</v>
      </c>
      <c r="R2448">
        <v>7587064</v>
      </c>
    </row>
    <row r="2449" spans="1:18" x14ac:dyDescent="0.25">
      <c r="A2449" s="134">
        <v>45609</v>
      </c>
      <c r="B2449" s="110">
        <v>52.5</v>
      </c>
      <c r="C2449" s="110">
        <v>50.19</v>
      </c>
      <c r="D2449" s="110">
        <v>50</v>
      </c>
      <c r="E2449" s="110">
        <v>51.55</v>
      </c>
      <c r="F2449" s="110">
        <v>50.19</v>
      </c>
      <c r="G2449">
        <v>1421034</v>
      </c>
      <c r="H2449" s="110"/>
      <c r="I2449" s="110"/>
      <c r="L2449" s="134">
        <v>45609</v>
      </c>
      <c r="M2449" s="110">
        <v>50.17</v>
      </c>
      <c r="N2449" s="110">
        <v>52.5</v>
      </c>
      <c r="O2449" s="110">
        <v>50</v>
      </c>
      <c r="P2449" s="110">
        <v>51.5</v>
      </c>
      <c r="Q2449" s="110">
        <v>50.17</v>
      </c>
      <c r="R2449">
        <v>10761224</v>
      </c>
    </row>
    <row r="2450" spans="1:18" x14ac:dyDescent="0.25">
      <c r="A2450" s="134">
        <v>45610</v>
      </c>
      <c r="B2450" s="110">
        <v>51.29</v>
      </c>
      <c r="C2450" s="110">
        <v>50.52</v>
      </c>
      <c r="D2450" s="110">
        <v>50.2</v>
      </c>
      <c r="E2450" s="110">
        <v>50.2</v>
      </c>
      <c r="F2450" s="110">
        <v>50.52</v>
      </c>
      <c r="G2450">
        <v>1054575</v>
      </c>
      <c r="H2450" s="110"/>
      <c r="I2450" s="110"/>
      <c r="L2450" s="134">
        <v>45610</v>
      </c>
      <c r="M2450" s="110">
        <v>50.5</v>
      </c>
      <c r="N2450" s="110">
        <v>51.27</v>
      </c>
      <c r="O2450" s="110">
        <v>50.2</v>
      </c>
      <c r="P2450" s="110">
        <v>50.2</v>
      </c>
      <c r="Q2450" s="110">
        <v>50.5</v>
      </c>
      <c r="R2450">
        <v>10199910</v>
      </c>
    </row>
    <row r="2451" spans="1:18" x14ac:dyDescent="0.25">
      <c r="A2451" s="134">
        <v>45614</v>
      </c>
      <c r="B2451" s="110">
        <v>52.86</v>
      </c>
      <c r="C2451" s="110">
        <v>51.79</v>
      </c>
      <c r="D2451" s="110">
        <v>49.58</v>
      </c>
      <c r="E2451" s="110">
        <v>50.56</v>
      </c>
      <c r="F2451" s="110">
        <v>51.79</v>
      </c>
      <c r="G2451">
        <v>1504998</v>
      </c>
      <c r="H2451" s="110"/>
      <c r="I2451" s="110"/>
      <c r="L2451" s="134">
        <v>45614</v>
      </c>
      <c r="M2451" s="110">
        <v>51.79</v>
      </c>
      <c r="N2451" s="110">
        <v>52.99</v>
      </c>
      <c r="O2451" s="110">
        <v>49.61</v>
      </c>
      <c r="P2451" s="110">
        <v>50.5</v>
      </c>
      <c r="Q2451" s="110">
        <v>51.79</v>
      </c>
      <c r="R2451">
        <v>16310997</v>
      </c>
    </row>
    <row r="2452" spans="1:18" x14ac:dyDescent="0.25">
      <c r="A2452" s="134">
        <v>45615</v>
      </c>
      <c r="B2452" s="110">
        <v>53.24</v>
      </c>
      <c r="C2452" s="110">
        <v>52.38</v>
      </c>
      <c r="D2452" s="110">
        <v>51.79</v>
      </c>
      <c r="E2452" s="110">
        <v>51.8</v>
      </c>
      <c r="F2452" s="110">
        <v>52.38</v>
      </c>
      <c r="G2452">
        <v>1186492</v>
      </c>
      <c r="H2452" s="110"/>
      <c r="I2452" s="110"/>
      <c r="L2452" s="134">
        <v>45615</v>
      </c>
      <c r="M2452" s="110">
        <v>52.43</v>
      </c>
      <c r="N2452" s="110">
        <v>53.25</v>
      </c>
      <c r="O2452" s="110">
        <v>51.74</v>
      </c>
      <c r="P2452" s="110">
        <v>51.79</v>
      </c>
      <c r="Q2452" s="110">
        <v>52.43</v>
      </c>
      <c r="R2452">
        <v>11149270</v>
      </c>
    </row>
    <row r="2453" spans="1:18" x14ac:dyDescent="0.25">
      <c r="A2453" s="134">
        <v>45617</v>
      </c>
      <c r="B2453" s="110">
        <v>52.38</v>
      </c>
      <c r="C2453" s="110">
        <v>51.29</v>
      </c>
      <c r="D2453" s="110">
        <v>50.49</v>
      </c>
      <c r="E2453" s="110">
        <v>52.38</v>
      </c>
      <c r="F2453" s="110">
        <v>51.29</v>
      </c>
      <c r="G2453">
        <v>630993</v>
      </c>
      <c r="H2453" s="110"/>
      <c r="I2453" s="110"/>
      <c r="L2453" s="134">
        <v>45617</v>
      </c>
      <c r="M2453" s="110">
        <v>51.26</v>
      </c>
      <c r="N2453" s="110">
        <v>52.39</v>
      </c>
      <c r="O2453" s="110">
        <v>50.45</v>
      </c>
      <c r="P2453" s="110">
        <v>52.25</v>
      </c>
      <c r="Q2453" s="110">
        <v>51.26</v>
      </c>
      <c r="R2453">
        <v>11031390</v>
      </c>
    </row>
    <row r="2454" spans="1:18" x14ac:dyDescent="0.25">
      <c r="A2454" s="134">
        <v>45618</v>
      </c>
      <c r="B2454" s="110">
        <v>53.11</v>
      </c>
      <c r="C2454" s="110">
        <v>52.94</v>
      </c>
      <c r="D2454" s="110">
        <v>51.31</v>
      </c>
      <c r="E2454" s="110">
        <v>51.31</v>
      </c>
      <c r="F2454" s="110">
        <v>52.94</v>
      </c>
      <c r="G2454">
        <v>971939</v>
      </c>
      <c r="H2454" s="110"/>
      <c r="I2454" s="110"/>
      <c r="L2454" s="134">
        <v>45618</v>
      </c>
      <c r="M2454" s="110">
        <v>52.94</v>
      </c>
      <c r="N2454" s="110">
        <v>53.1</v>
      </c>
      <c r="O2454" s="110">
        <v>51.4</v>
      </c>
      <c r="P2454" s="110">
        <v>51.5</v>
      </c>
      <c r="Q2454" s="110">
        <v>52.94</v>
      </c>
      <c r="R2454">
        <v>11565764</v>
      </c>
    </row>
    <row r="2455" spans="1:18" x14ac:dyDescent="0.25">
      <c r="A2455" s="134">
        <v>45621</v>
      </c>
      <c r="B2455" s="110">
        <v>55.65</v>
      </c>
      <c r="C2455" s="110">
        <v>54.31</v>
      </c>
      <c r="D2455" s="110">
        <v>54.06</v>
      </c>
      <c r="E2455" s="110">
        <v>55</v>
      </c>
      <c r="F2455" s="110">
        <v>54.31</v>
      </c>
      <c r="G2455">
        <v>2111053</v>
      </c>
      <c r="H2455" s="110"/>
      <c r="I2455" s="110"/>
      <c r="L2455" s="134">
        <v>45621</v>
      </c>
      <c r="M2455" s="110">
        <v>54.28</v>
      </c>
      <c r="N2455" s="110">
        <v>55.65</v>
      </c>
      <c r="O2455" s="110">
        <v>54.05</v>
      </c>
      <c r="P2455" s="110">
        <v>55</v>
      </c>
      <c r="Q2455" s="110">
        <v>54.28</v>
      </c>
      <c r="R2455">
        <v>25058345</v>
      </c>
    </row>
    <row r="2456" spans="1:18" x14ac:dyDescent="0.25">
      <c r="A2456" s="134">
        <v>45622</v>
      </c>
      <c r="B2456" s="110">
        <v>55.46</v>
      </c>
      <c r="C2456" s="110">
        <v>55.18</v>
      </c>
      <c r="D2456" s="110">
        <v>54.18</v>
      </c>
      <c r="E2456" s="110">
        <v>54.59</v>
      </c>
      <c r="F2456" s="110">
        <v>55.18</v>
      </c>
      <c r="G2456">
        <v>940437</v>
      </c>
      <c r="H2456" s="110"/>
      <c r="I2456" s="110"/>
      <c r="L2456" s="134">
        <v>45622</v>
      </c>
      <c r="M2456" s="110">
        <v>55.17</v>
      </c>
      <c r="N2456" s="110">
        <v>55.5</v>
      </c>
      <c r="O2456" s="110">
        <v>54.2</v>
      </c>
      <c r="P2456" s="110">
        <v>54.51</v>
      </c>
      <c r="Q2456" s="110">
        <v>55.17</v>
      </c>
      <c r="R2456">
        <v>10518735</v>
      </c>
    </row>
    <row r="2457" spans="1:18" x14ac:dyDescent="0.25">
      <c r="A2457" s="134">
        <v>45623</v>
      </c>
      <c r="B2457" s="110">
        <v>56.44</v>
      </c>
      <c r="C2457" s="110">
        <v>55.8</v>
      </c>
      <c r="D2457" s="110">
        <v>55.01</v>
      </c>
      <c r="E2457" s="110">
        <v>55.8</v>
      </c>
      <c r="F2457" s="110">
        <v>55.8</v>
      </c>
      <c r="G2457">
        <v>1355979</v>
      </c>
      <c r="H2457" s="110"/>
      <c r="I2457" s="110"/>
      <c r="L2457" s="134">
        <v>45623</v>
      </c>
      <c r="M2457" s="110">
        <v>55.82</v>
      </c>
      <c r="N2457" s="110">
        <v>56.45</v>
      </c>
      <c r="O2457" s="110">
        <v>55.01</v>
      </c>
      <c r="P2457" s="110">
        <v>56</v>
      </c>
      <c r="Q2457" s="110">
        <v>55.82</v>
      </c>
      <c r="R2457">
        <v>13765433</v>
      </c>
    </row>
    <row r="2458" spans="1:18" x14ac:dyDescent="0.25">
      <c r="A2458" s="134">
        <v>45624</v>
      </c>
      <c r="B2458" s="110">
        <v>57.39</v>
      </c>
      <c r="C2458" s="110">
        <v>56.82</v>
      </c>
      <c r="D2458" s="110">
        <v>55.55</v>
      </c>
      <c r="E2458" s="110">
        <v>55.97</v>
      </c>
      <c r="F2458" s="110">
        <v>56.82</v>
      </c>
      <c r="G2458">
        <v>1464264</v>
      </c>
      <c r="H2458" s="110"/>
      <c r="I2458" s="110"/>
      <c r="L2458" s="134">
        <v>45624</v>
      </c>
      <c r="M2458" s="110">
        <v>56.8</v>
      </c>
      <c r="N2458" s="110">
        <v>57.3</v>
      </c>
      <c r="O2458" s="110">
        <v>55.55</v>
      </c>
      <c r="P2458" s="110">
        <v>55.87</v>
      </c>
      <c r="Q2458" s="110">
        <v>56.8</v>
      </c>
      <c r="R2458">
        <v>22649849</v>
      </c>
    </row>
    <row r="2459" spans="1:18" x14ac:dyDescent="0.25">
      <c r="A2459" s="134">
        <v>45625</v>
      </c>
      <c r="B2459" s="110">
        <v>57.52</v>
      </c>
      <c r="C2459" s="110">
        <v>57.04</v>
      </c>
      <c r="D2459" s="110">
        <v>55.7</v>
      </c>
      <c r="E2459" s="110">
        <v>56.83</v>
      </c>
      <c r="F2459" s="110">
        <v>57.04</v>
      </c>
      <c r="G2459">
        <v>1494330</v>
      </c>
      <c r="H2459" s="110"/>
      <c r="I2459" s="110"/>
      <c r="L2459" s="134">
        <v>45625</v>
      </c>
      <c r="M2459" s="110">
        <v>57.03</v>
      </c>
      <c r="N2459" s="110">
        <v>57.55</v>
      </c>
      <c r="O2459" s="110">
        <v>55.69</v>
      </c>
      <c r="P2459" s="110">
        <v>57</v>
      </c>
      <c r="Q2459" s="110">
        <v>57.03</v>
      </c>
      <c r="R2459">
        <v>17367005</v>
      </c>
    </row>
    <row r="2460" spans="1:18" x14ac:dyDescent="0.25">
      <c r="A2460" s="134">
        <v>45628</v>
      </c>
      <c r="B2460" s="110">
        <v>57.24</v>
      </c>
      <c r="C2460" s="110">
        <v>56.95</v>
      </c>
      <c r="D2460" s="110">
        <v>55.77</v>
      </c>
      <c r="E2460" s="110">
        <v>56.45</v>
      </c>
      <c r="F2460" s="110">
        <v>56.95</v>
      </c>
      <c r="G2460">
        <v>911505</v>
      </c>
      <c r="H2460" s="110"/>
      <c r="I2460" s="110"/>
      <c r="L2460" s="134">
        <v>45628</v>
      </c>
      <c r="M2460" s="110">
        <v>56.96</v>
      </c>
      <c r="N2460" s="110">
        <v>57.25</v>
      </c>
      <c r="O2460" s="110">
        <v>55.77</v>
      </c>
      <c r="P2460" s="110">
        <v>56.58</v>
      </c>
      <c r="Q2460" s="110">
        <v>56.96</v>
      </c>
      <c r="R2460">
        <v>10057982</v>
      </c>
    </row>
    <row r="2461" spans="1:18" x14ac:dyDescent="0.25">
      <c r="A2461" s="134">
        <v>45629</v>
      </c>
      <c r="B2461" s="110">
        <v>57.83</v>
      </c>
      <c r="C2461" s="110">
        <v>57.04</v>
      </c>
      <c r="D2461" s="110">
        <v>56.87</v>
      </c>
      <c r="E2461" s="110">
        <v>56.95</v>
      </c>
      <c r="F2461" s="110">
        <v>57.04</v>
      </c>
      <c r="G2461">
        <v>1045572</v>
      </c>
      <c r="H2461" s="110"/>
      <c r="I2461" s="110"/>
      <c r="L2461" s="134">
        <v>45629</v>
      </c>
      <c r="M2461" s="110">
        <v>57.07</v>
      </c>
      <c r="N2461" s="110">
        <v>57.82</v>
      </c>
      <c r="O2461" s="110">
        <v>56.72</v>
      </c>
      <c r="P2461" s="110">
        <v>56.87</v>
      </c>
      <c r="Q2461" s="110">
        <v>57.07</v>
      </c>
      <c r="R2461">
        <v>19344978</v>
      </c>
    </row>
    <row r="2462" spans="1:18" x14ac:dyDescent="0.25">
      <c r="A2462" s="134">
        <v>45630</v>
      </c>
      <c r="B2462" s="110">
        <v>59.23</v>
      </c>
      <c r="C2462" s="110">
        <v>58.88</v>
      </c>
      <c r="D2462" s="110">
        <v>57.07</v>
      </c>
      <c r="E2462" s="110">
        <v>57.11</v>
      </c>
      <c r="F2462" s="110">
        <v>58.88</v>
      </c>
      <c r="G2462">
        <v>2205274</v>
      </c>
      <c r="H2462" s="110"/>
      <c r="I2462" s="110"/>
      <c r="L2462" s="134">
        <v>45630</v>
      </c>
      <c r="M2462" s="110">
        <v>58.92</v>
      </c>
      <c r="N2462" s="110">
        <v>59.25</v>
      </c>
      <c r="O2462" s="110">
        <v>57.07</v>
      </c>
      <c r="P2462" s="110">
        <v>57.3</v>
      </c>
      <c r="Q2462" s="110">
        <v>58.92</v>
      </c>
      <c r="R2462">
        <v>61181150</v>
      </c>
    </row>
    <row r="2463" spans="1:18" x14ac:dyDescent="0.25">
      <c r="A2463" s="134">
        <v>45631</v>
      </c>
      <c r="B2463" s="110">
        <v>59.85</v>
      </c>
      <c r="C2463" s="110">
        <v>58.31</v>
      </c>
      <c r="D2463" s="110">
        <v>58.05</v>
      </c>
      <c r="E2463" s="110">
        <v>59.3</v>
      </c>
      <c r="F2463" s="110">
        <v>58.31</v>
      </c>
      <c r="G2463">
        <v>930764</v>
      </c>
      <c r="H2463" s="110"/>
      <c r="I2463" s="110"/>
      <c r="L2463" s="134">
        <v>45631</v>
      </c>
      <c r="M2463" s="110">
        <v>58.33</v>
      </c>
      <c r="N2463" s="110">
        <v>59.85</v>
      </c>
      <c r="O2463" s="110">
        <v>58.02</v>
      </c>
      <c r="P2463" s="110">
        <v>59.3</v>
      </c>
      <c r="Q2463" s="110">
        <v>58.33</v>
      </c>
      <c r="R2463">
        <v>23690409</v>
      </c>
    </row>
    <row r="2464" spans="1:18" x14ac:dyDescent="0.25">
      <c r="A2464" s="134">
        <v>45632</v>
      </c>
      <c r="B2464" s="110">
        <v>59.35</v>
      </c>
      <c r="C2464" s="110">
        <v>57.86</v>
      </c>
      <c r="D2464" s="110">
        <v>57.13</v>
      </c>
      <c r="E2464" s="110">
        <v>58.51</v>
      </c>
      <c r="F2464" s="110">
        <v>57.86</v>
      </c>
      <c r="G2464">
        <v>1105935</v>
      </c>
      <c r="H2464" s="110"/>
      <c r="I2464" s="110"/>
      <c r="L2464" s="134">
        <v>45632</v>
      </c>
      <c r="M2464" s="110">
        <v>57.84</v>
      </c>
      <c r="N2464" s="110">
        <v>59.39</v>
      </c>
      <c r="O2464" s="110">
        <v>57.13</v>
      </c>
      <c r="P2464" s="110">
        <v>58.6</v>
      </c>
      <c r="Q2464" s="110">
        <v>57.84</v>
      </c>
      <c r="R2464">
        <v>32940267</v>
      </c>
    </row>
    <row r="2465" spans="1:18" x14ac:dyDescent="0.25">
      <c r="A2465" s="134">
        <v>45635</v>
      </c>
      <c r="B2465" s="110">
        <v>58.58</v>
      </c>
      <c r="C2465" s="110">
        <v>57.33</v>
      </c>
      <c r="D2465" s="110">
        <v>57.15</v>
      </c>
      <c r="E2465" s="110">
        <v>58.29</v>
      </c>
      <c r="F2465" s="110">
        <v>57.33</v>
      </c>
      <c r="G2465">
        <v>988281</v>
      </c>
      <c r="H2465" s="110"/>
      <c r="I2465" s="110"/>
      <c r="L2465" s="134">
        <v>45635</v>
      </c>
      <c r="M2465" s="110">
        <v>57.29</v>
      </c>
      <c r="N2465" s="110">
        <v>58.56</v>
      </c>
      <c r="O2465" s="110">
        <v>57.11</v>
      </c>
      <c r="P2465" s="110">
        <v>58.14</v>
      </c>
      <c r="Q2465" s="110">
        <v>57.29</v>
      </c>
      <c r="R2465">
        <v>13119585</v>
      </c>
    </row>
    <row r="2466" spans="1:18" x14ac:dyDescent="0.25">
      <c r="A2466" s="134">
        <v>45636</v>
      </c>
      <c r="B2466" s="110">
        <v>57.8</v>
      </c>
      <c r="C2466" s="110">
        <v>56.83</v>
      </c>
      <c r="D2466" s="110">
        <v>56.5</v>
      </c>
      <c r="E2466" s="110">
        <v>57.69</v>
      </c>
      <c r="F2466" s="110">
        <v>56.83</v>
      </c>
      <c r="G2466">
        <v>1277537</v>
      </c>
      <c r="H2466" s="110"/>
      <c r="I2466" s="110"/>
      <c r="L2466" s="134">
        <v>45636</v>
      </c>
      <c r="M2466" s="110">
        <v>56.82</v>
      </c>
      <c r="N2466" s="110">
        <v>57.86</v>
      </c>
      <c r="O2466" s="110">
        <v>56.7</v>
      </c>
      <c r="P2466" s="110">
        <v>57.5</v>
      </c>
      <c r="Q2466" s="110">
        <v>56.82</v>
      </c>
      <c r="R2466">
        <v>14355748</v>
      </c>
    </row>
    <row r="2467" spans="1:18" x14ac:dyDescent="0.25">
      <c r="A2467" s="134">
        <v>45637</v>
      </c>
      <c r="B2467" s="110">
        <v>57.47</v>
      </c>
      <c r="C2467" s="110">
        <v>56.42</v>
      </c>
      <c r="D2467" s="110">
        <v>56.3</v>
      </c>
      <c r="E2467" s="110">
        <v>57.03</v>
      </c>
      <c r="F2467" s="110">
        <v>56.42</v>
      </c>
      <c r="G2467">
        <v>1133541</v>
      </c>
      <c r="H2467" s="110"/>
      <c r="I2467" s="110"/>
      <c r="L2467" s="134">
        <v>45637</v>
      </c>
      <c r="M2467" s="110">
        <v>56.42</v>
      </c>
      <c r="N2467" s="110">
        <v>57.49</v>
      </c>
      <c r="O2467" s="110">
        <v>56.3</v>
      </c>
      <c r="P2467" s="110">
        <v>57.08</v>
      </c>
      <c r="Q2467" s="110">
        <v>56.42</v>
      </c>
      <c r="R2467">
        <v>9517140</v>
      </c>
    </row>
    <row r="2468" spans="1:18" x14ac:dyDescent="0.25">
      <c r="A2468" s="134">
        <v>45638</v>
      </c>
      <c r="B2468" s="110">
        <v>56.5</v>
      </c>
      <c r="C2468" s="110">
        <v>55.84</v>
      </c>
      <c r="D2468" s="110">
        <v>55.58</v>
      </c>
      <c r="E2468" s="110">
        <v>56.25</v>
      </c>
      <c r="F2468" s="110">
        <v>55.84</v>
      </c>
      <c r="G2468">
        <v>2285939</v>
      </c>
      <c r="H2468" s="110"/>
      <c r="I2468" s="110"/>
      <c r="L2468" s="134">
        <v>45638</v>
      </c>
      <c r="M2468" s="110">
        <v>55.87</v>
      </c>
      <c r="N2468" s="110">
        <v>56.49</v>
      </c>
      <c r="O2468" s="110">
        <v>55.57</v>
      </c>
      <c r="P2468" s="110">
        <v>56.3</v>
      </c>
      <c r="Q2468" s="110">
        <v>55.87</v>
      </c>
      <c r="R2468">
        <v>8723929</v>
      </c>
    </row>
    <row r="2469" spans="1:18" x14ac:dyDescent="0.25">
      <c r="A2469" s="134">
        <v>45639</v>
      </c>
      <c r="B2469" s="110">
        <v>55.9</v>
      </c>
      <c r="C2469" s="110">
        <v>55.61</v>
      </c>
      <c r="D2469" s="110">
        <v>54.21</v>
      </c>
      <c r="E2469" s="110">
        <v>55.75</v>
      </c>
      <c r="F2469" s="110">
        <v>55.61</v>
      </c>
      <c r="G2469">
        <v>663376</v>
      </c>
      <c r="H2469" s="110"/>
      <c r="I2469" s="110"/>
      <c r="L2469" s="134">
        <v>45639</v>
      </c>
      <c r="M2469" s="110">
        <v>55.58</v>
      </c>
      <c r="N2469" s="110">
        <v>55.9</v>
      </c>
      <c r="O2469" s="110">
        <v>54.18</v>
      </c>
      <c r="P2469" s="110">
        <v>55.64</v>
      </c>
      <c r="Q2469" s="110">
        <v>55.58</v>
      </c>
      <c r="R2469">
        <v>14020467</v>
      </c>
    </row>
    <row r="2470" spans="1:18" x14ac:dyDescent="0.25">
      <c r="A2470" s="134">
        <v>45642</v>
      </c>
      <c r="B2470" s="110">
        <v>56.62</v>
      </c>
      <c r="C2470" s="110">
        <v>56.21</v>
      </c>
      <c r="D2470" s="110">
        <v>55.64</v>
      </c>
      <c r="E2470" s="110">
        <v>55.7</v>
      </c>
      <c r="F2470" s="110">
        <v>56.21</v>
      </c>
      <c r="G2470">
        <v>809482</v>
      </c>
      <c r="H2470" s="110"/>
      <c r="I2470" s="110"/>
      <c r="L2470" s="134">
        <v>45642</v>
      </c>
      <c r="M2470" s="110">
        <v>56.25</v>
      </c>
      <c r="N2470" s="110">
        <v>56.58</v>
      </c>
      <c r="O2470" s="110">
        <v>55.65</v>
      </c>
      <c r="P2470" s="110">
        <v>55.65</v>
      </c>
      <c r="Q2470" s="110">
        <v>56.25</v>
      </c>
      <c r="R2470">
        <v>9239787</v>
      </c>
    </row>
    <row r="2471" spans="1:18" x14ac:dyDescent="0.25">
      <c r="A2471" s="134">
        <v>45643</v>
      </c>
      <c r="B2471" s="110">
        <v>56.22</v>
      </c>
      <c r="C2471" s="110">
        <v>54.99</v>
      </c>
      <c r="D2471" s="110">
        <v>54.78</v>
      </c>
      <c r="E2471" s="110">
        <v>56.19</v>
      </c>
      <c r="F2471" s="110">
        <v>54.99</v>
      </c>
      <c r="G2471">
        <v>398499</v>
      </c>
      <c r="H2471" s="110"/>
      <c r="I2471" s="110"/>
      <c r="L2471" s="134">
        <v>45643</v>
      </c>
      <c r="M2471" s="110">
        <v>54.99</v>
      </c>
      <c r="N2471" s="110">
        <v>56.25</v>
      </c>
      <c r="O2471" s="110">
        <v>54.7</v>
      </c>
      <c r="P2471" s="110">
        <v>56.1</v>
      </c>
      <c r="Q2471" s="110">
        <v>54.99</v>
      </c>
      <c r="R2471">
        <v>10388803</v>
      </c>
    </row>
    <row r="2472" spans="1:18" x14ac:dyDescent="0.25">
      <c r="A2472" s="134">
        <v>45644</v>
      </c>
      <c r="B2472" s="110">
        <v>55.31</v>
      </c>
      <c r="C2472" s="110">
        <v>53.36</v>
      </c>
      <c r="D2472" s="110">
        <v>53.13</v>
      </c>
      <c r="E2472" s="110">
        <v>55.02</v>
      </c>
      <c r="F2472" s="110">
        <v>53.36</v>
      </c>
      <c r="G2472">
        <v>1544063</v>
      </c>
      <c r="H2472" s="110"/>
      <c r="I2472" s="110"/>
      <c r="L2472" s="134">
        <v>45644</v>
      </c>
      <c r="M2472" s="110">
        <v>53.34</v>
      </c>
      <c r="N2472" s="110">
        <v>55.24</v>
      </c>
      <c r="O2472" s="110">
        <v>53.01</v>
      </c>
      <c r="P2472" s="110">
        <v>55.19</v>
      </c>
      <c r="Q2472" s="110">
        <v>53.34</v>
      </c>
      <c r="R2472">
        <v>13421530</v>
      </c>
    </row>
    <row r="2473" spans="1:18" x14ac:dyDescent="0.25">
      <c r="A2473" s="134">
        <v>45645</v>
      </c>
      <c r="B2473" s="110">
        <v>53.61</v>
      </c>
      <c r="C2473" s="110">
        <v>53.1</v>
      </c>
      <c r="D2473" s="110">
        <v>52.36</v>
      </c>
      <c r="E2473" s="110">
        <v>52.4</v>
      </c>
      <c r="F2473" s="110">
        <v>53.1</v>
      </c>
      <c r="G2473">
        <v>1104851</v>
      </c>
      <c r="H2473" s="110"/>
      <c r="I2473" s="110"/>
      <c r="L2473" s="134">
        <v>45645</v>
      </c>
      <c r="M2473" s="110">
        <v>53.08</v>
      </c>
      <c r="N2473" s="110">
        <v>53.6</v>
      </c>
      <c r="O2473" s="110">
        <v>52.24</v>
      </c>
      <c r="P2473" s="110">
        <v>52.3</v>
      </c>
      <c r="Q2473" s="110">
        <v>53.08</v>
      </c>
      <c r="R2473">
        <v>8144420</v>
      </c>
    </row>
    <row r="2474" spans="1:18" x14ac:dyDescent="0.25">
      <c r="A2474" s="134">
        <v>45646</v>
      </c>
      <c r="B2474" s="110">
        <v>55.57</v>
      </c>
      <c r="C2474" s="110">
        <v>54.6</v>
      </c>
      <c r="D2474" s="110">
        <v>52.78</v>
      </c>
      <c r="E2474" s="110">
        <v>53.31</v>
      </c>
      <c r="F2474" s="110">
        <v>54.6</v>
      </c>
      <c r="G2474">
        <v>2288305</v>
      </c>
      <c r="H2474" s="110"/>
      <c r="I2474" s="110"/>
      <c r="L2474" s="134">
        <v>45646</v>
      </c>
      <c r="M2474" s="110">
        <v>54.74</v>
      </c>
      <c r="N2474" s="110">
        <v>55.78</v>
      </c>
      <c r="O2474" s="110">
        <v>52.76</v>
      </c>
      <c r="P2474" s="110">
        <v>53.3</v>
      </c>
      <c r="Q2474" s="110">
        <v>54.74</v>
      </c>
      <c r="R2474">
        <v>43532217</v>
      </c>
    </row>
    <row r="2475" spans="1:18" x14ac:dyDescent="0.25">
      <c r="A2475" s="134">
        <v>45649</v>
      </c>
      <c r="B2475" s="110">
        <v>55.22</v>
      </c>
      <c r="C2475" s="110">
        <v>54.15</v>
      </c>
      <c r="D2475" s="110">
        <v>53.99</v>
      </c>
      <c r="E2475" s="110">
        <v>55.19</v>
      </c>
      <c r="F2475" s="110">
        <v>54.15</v>
      </c>
      <c r="G2475">
        <v>533503</v>
      </c>
      <c r="H2475" s="110"/>
      <c r="I2475" s="110"/>
      <c r="L2475" s="134">
        <v>45649</v>
      </c>
      <c r="M2475" s="110">
        <v>54.13</v>
      </c>
      <c r="N2475" s="110">
        <v>55.25</v>
      </c>
      <c r="O2475" s="110">
        <v>53.94</v>
      </c>
      <c r="P2475" s="110">
        <v>55</v>
      </c>
      <c r="Q2475" s="110">
        <v>54.13</v>
      </c>
      <c r="R2475">
        <v>8883284</v>
      </c>
    </row>
    <row r="2476" spans="1:18" x14ac:dyDescent="0.25">
      <c r="A2476" s="134">
        <v>45650</v>
      </c>
      <c r="B2476" s="110">
        <v>54.35</v>
      </c>
      <c r="C2476" s="110">
        <v>53.81</v>
      </c>
      <c r="D2476" s="110">
        <v>53.3</v>
      </c>
      <c r="E2476" s="110">
        <v>54.13</v>
      </c>
      <c r="F2476" s="110">
        <v>53.81</v>
      </c>
      <c r="G2476">
        <v>567505</v>
      </c>
      <c r="H2476" s="110"/>
      <c r="I2476" s="110"/>
      <c r="L2476" s="134">
        <v>45650</v>
      </c>
      <c r="M2476" s="110">
        <v>53.65</v>
      </c>
      <c r="N2476" s="110">
        <v>54.33</v>
      </c>
      <c r="O2476" s="110">
        <v>53.2</v>
      </c>
      <c r="P2476" s="110">
        <v>54.14</v>
      </c>
      <c r="Q2476" s="110">
        <v>53.65</v>
      </c>
      <c r="R2476">
        <v>5138848</v>
      </c>
    </row>
    <row r="2477" spans="1:18" x14ac:dyDescent="0.25">
      <c r="A2477" s="134">
        <v>45652</v>
      </c>
      <c r="B2477" s="110">
        <v>54.3</v>
      </c>
      <c r="C2477" s="110">
        <v>52.93</v>
      </c>
      <c r="D2477" s="110">
        <v>52.74</v>
      </c>
      <c r="E2477" s="110">
        <v>53.79</v>
      </c>
      <c r="F2477" s="110">
        <v>52.93</v>
      </c>
      <c r="G2477">
        <v>595907</v>
      </c>
      <c r="H2477" s="110"/>
      <c r="I2477" s="110"/>
      <c r="L2477" s="134">
        <v>45652</v>
      </c>
      <c r="M2477" s="110">
        <v>52.9</v>
      </c>
      <c r="N2477" s="110">
        <v>54.3</v>
      </c>
      <c r="O2477" s="110">
        <v>52.75</v>
      </c>
      <c r="P2477" s="110">
        <v>53.8</v>
      </c>
      <c r="Q2477" s="110">
        <v>52.9</v>
      </c>
      <c r="R2477">
        <v>5739971</v>
      </c>
    </row>
    <row r="2478" spans="1:18" x14ac:dyDescent="0.25">
      <c r="A2478" s="134">
        <v>45653</v>
      </c>
      <c r="B2478" s="110">
        <v>53.82</v>
      </c>
      <c r="C2478" s="110">
        <v>52.79</v>
      </c>
      <c r="D2478" s="110">
        <v>52.61</v>
      </c>
      <c r="E2478" s="110">
        <v>53.82</v>
      </c>
      <c r="F2478" s="110">
        <v>52.79</v>
      </c>
      <c r="G2478">
        <v>540635</v>
      </c>
      <c r="H2478" s="110"/>
      <c r="I2478" s="110"/>
      <c r="L2478" s="134">
        <v>45653</v>
      </c>
      <c r="M2478" s="110">
        <v>52.72</v>
      </c>
      <c r="N2478" s="110">
        <v>53.51</v>
      </c>
      <c r="O2478" s="110">
        <v>52.56</v>
      </c>
      <c r="P2478" s="110">
        <v>53.38</v>
      </c>
      <c r="Q2478" s="110">
        <v>52.72</v>
      </c>
      <c r="R2478">
        <v>4349740</v>
      </c>
    </row>
    <row r="2479" spans="1:18" x14ac:dyDescent="0.25">
      <c r="A2479" s="134">
        <v>45656</v>
      </c>
      <c r="B2479" s="110">
        <v>52.92</v>
      </c>
      <c r="C2479" s="110">
        <v>51.16</v>
      </c>
      <c r="D2479" s="110">
        <v>50.83</v>
      </c>
      <c r="E2479" s="110">
        <v>52.6</v>
      </c>
      <c r="F2479" s="110">
        <v>51.16</v>
      </c>
      <c r="G2479">
        <v>1114965</v>
      </c>
      <c r="H2479" s="110"/>
      <c r="I2479" s="110"/>
      <c r="L2479" s="134">
        <v>45656</v>
      </c>
      <c r="M2479" s="110">
        <v>51.1</v>
      </c>
      <c r="N2479" s="110">
        <v>52.95</v>
      </c>
      <c r="O2479" s="110">
        <v>50.72</v>
      </c>
      <c r="P2479" s="110">
        <v>52.65</v>
      </c>
      <c r="Q2479" s="110">
        <v>51.1</v>
      </c>
      <c r="R2479">
        <v>10251963</v>
      </c>
    </row>
    <row r="2480" spans="1:18" x14ac:dyDescent="0.25">
      <c r="A2480" s="134">
        <v>45657</v>
      </c>
      <c r="B2480" s="110">
        <v>52.34</v>
      </c>
      <c r="C2480" s="110">
        <v>52.2</v>
      </c>
      <c r="D2480" s="110">
        <v>50.93</v>
      </c>
      <c r="E2480" s="110">
        <v>51.15</v>
      </c>
      <c r="F2480" s="110">
        <v>52.2</v>
      </c>
      <c r="G2480">
        <v>797431</v>
      </c>
      <c r="H2480" s="110"/>
      <c r="I2480" s="110"/>
      <c r="L2480" s="134">
        <v>45657</v>
      </c>
      <c r="M2480" s="110">
        <v>52.19</v>
      </c>
      <c r="N2480" s="110">
        <v>52.35</v>
      </c>
      <c r="O2480" s="110">
        <v>50.91</v>
      </c>
      <c r="P2480" s="110">
        <v>51.1</v>
      </c>
      <c r="Q2480" s="110">
        <v>52.19</v>
      </c>
      <c r="R2480">
        <v>7836741</v>
      </c>
    </row>
    <row r="2481" spans="1:18" x14ac:dyDescent="0.25">
      <c r="A2481" s="134">
        <v>45658</v>
      </c>
      <c r="B2481" s="110">
        <v>52.77</v>
      </c>
      <c r="C2481" s="110">
        <v>52.61</v>
      </c>
      <c r="D2481" s="110">
        <v>51.8</v>
      </c>
      <c r="E2481" s="110">
        <v>52.08</v>
      </c>
      <c r="F2481" s="110">
        <v>52.61</v>
      </c>
      <c r="G2481">
        <v>603622</v>
      </c>
      <c r="H2481" s="110"/>
      <c r="I2481" s="110"/>
      <c r="L2481" s="134">
        <v>45658</v>
      </c>
      <c r="M2481" s="110">
        <v>52.59</v>
      </c>
      <c r="N2481" s="110">
        <v>52.79</v>
      </c>
      <c r="O2481" s="110">
        <v>51.78</v>
      </c>
      <c r="P2481" s="110">
        <v>51.99</v>
      </c>
      <c r="Q2481" s="110">
        <v>52.59</v>
      </c>
      <c r="R2481">
        <v>4231937</v>
      </c>
    </row>
    <row r="2482" spans="1:18" x14ac:dyDescent="0.25">
      <c r="A2482" s="134">
        <v>45659</v>
      </c>
      <c r="B2482" s="110">
        <v>53.12</v>
      </c>
      <c r="C2482" s="110">
        <v>52.77</v>
      </c>
      <c r="D2482" s="110">
        <v>51.84</v>
      </c>
      <c r="E2482" s="110">
        <v>52.88</v>
      </c>
      <c r="F2482" s="110">
        <v>52.77</v>
      </c>
      <c r="G2482">
        <v>573359</v>
      </c>
      <c r="H2482" s="110"/>
      <c r="I2482" s="110"/>
      <c r="L2482" s="134">
        <v>45659</v>
      </c>
      <c r="M2482" s="110">
        <v>52.76</v>
      </c>
      <c r="N2482" s="110">
        <v>53.14</v>
      </c>
      <c r="O2482" s="110">
        <v>51.81</v>
      </c>
      <c r="P2482" s="110">
        <v>52.59</v>
      </c>
      <c r="Q2482" s="110">
        <v>52.76</v>
      </c>
      <c r="R2482">
        <v>7153002</v>
      </c>
    </row>
    <row r="2483" spans="1:18" x14ac:dyDescent="0.25">
      <c r="A2483" s="134">
        <v>45660</v>
      </c>
      <c r="B2483" s="110">
        <v>56.26</v>
      </c>
      <c r="C2483" s="110">
        <v>55.1</v>
      </c>
      <c r="D2483" s="110">
        <v>54.5</v>
      </c>
      <c r="E2483" s="110">
        <v>55</v>
      </c>
      <c r="F2483" s="110">
        <v>55.1</v>
      </c>
      <c r="G2483">
        <v>4453013</v>
      </c>
      <c r="H2483" s="110"/>
      <c r="I2483" s="110"/>
      <c r="L2483" s="134">
        <v>45660</v>
      </c>
      <c r="M2483" s="110">
        <v>55.13</v>
      </c>
      <c r="N2483" s="110">
        <v>56.3</v>
      </c>
      <c r="O2483" s="110">
        <v>54.51</v>
      </c>
      <c r="P2483" s="110">
        <v>54.71</v>
      </c>
      <c r="Q2483" s="110">
        <v>55.13</v>
      </c>
      <c r="R2483">
        <v>63148953</v>
      </c>
    </row>
    <row r="2484" spans="1:18" x14ac:dyDescent="0.25">
      <c r="A2484" s="134">
        <v>45663</v>
      </c>
      <c r="B2484" s="110">
        <v>55.66</v>
      </c>
      <c r="C2484" s="110">
        <v>52.52</v>
      </c>
      <c r="D2484" s="110">
        <v>52.06</v>
      </c>
      <c r="E2484" s="110">
        <v>55.66</v>
      </c>
      <c r="F2484" s="110">
        <v>52.52</v>
      </c>
      <c r="G2484">
        <v>938253</v>
      </c>
      <c r="H2484" s="110"/>
      <c r="I2484" s="110"/>
      <c r="L2484" s="134">
        <v>45663</v>
      </c>
      <c r="M2484" s="110">
        <v>52.6</v>
      </c>
      <c r="N2484" s="110">
        <v>55.48</v>
      </c>
      <c r="O2484" s="110">
        <v>52.03</v>
      </c>
      <c r="P2484" s="110">
        <v>55.48</v>
      </c>
      <c r="Q2484" s="110">
        <v>52.6</v>
      </c>
      <c r="R2484">
        <v>14566962</v>
      </c>
    </row>
    <row r="2485" spans="1:18" x14ac:dyDescent="0.25">
      <c r="A2485" s="134">
        <v>45664</v>
      </c>
      <c r="B2485" s="110">
        <v>53.29</v>
      </c>
      <c r="C2485" s="110">
        <v>51.23</v>
      </c>
      <c r="D2485" s="110">
        <v>51.12</v>
      </c>
      <c r="E2485" s="110">
        <v>52.8</v>
      </c>
      <c r="F2485" s="110">
        <v>51.23</v>
      </c>
      <c r="G2485">
        <v>813864</v>
      </c>
      <c r="H2485" s="110"/>
      <c r="I2485" s="110"/>
      <c r="L2485" s="134">
        <v>45664</v>
      </c>
      <c r="M2485" s="110">
        <v>51.25</v>
      </c>
      <c r="N2485" s="110">
        <v>53.32</v>
      </c>
      <c r="O2485" s="110">
        <v>51.06</v>
      </c>
      <c r="P2485" s="110">
        <v>53</v>
      </c>
      <c r="Q2485" s="110">
        <v>51.25</v>
      </c>
      <c r="R2485">
        <v>21144032</v>
      </c>
    </row>
    <row r="2486" spans="1:18" x14ac:dyDescent="0.25">
      <c r="A2486" s="134">
        <v>45665</v>
      </c>
      <c r="B2486" s="110">
        <v>51.91</v>
      </c>
      <c r="C2486" s="110">
        <v>50.11</v>
      </c>
      <c r="D2486" s="110">
        <v>50</v>
      </c>
      <c r="E2486" s="110">
        <v>51.91</v>
      </c>
      <c r="F2486" s="110">
        <v>50.11</v>
      </c>
      <c r="G2486">
        <v>772905</v>
      </c>
      <c r="H2486" s="110"/>
      <c r="I2486" s="110"/>
      <c r="L2486" s="134">
        <v>45665</v>
      </c>
      <c r="M2486" s="110">
        <v>50.11</v>
      </c>
      <c r="N2486" s="110">
        <v>51.78</v>
      </c>
      <c r="O2486" s="110">
        <v>50</v>
      </c>
      <c r="P2486" s="110">
        <v>51.71</v>
      </c>
      <c r="Q2486" s="110">
        <v>50.11</v>
      </c>
      <c r="R2486">
        <v>19597021</v>
      </c>
    </row>
    <row r="2487" spans="1:18" x14ac:dyDescent="0.25">
      <c r="A2487" s="134">
        <v>45666</v>
      </c>
      <c r="B2487" s="110">
        <v>50.31</v>
      </c>
      <c r="C2487" s="110">
        <v>49.14</v>
      </c>
      <c r="D2487" s="110">
        <v>49.01</v>
      </c>
      <c r="E2487" s="110">
        <v>50.15</v>
      </c>
      <c r="F2487" s="110">
        <v>49.14</v>
      </c>
      <c r="G2487">
        <v>1060472</v>
      </c>
      <c r="H2487" s="110"/>
      <c r="I2487" s="110"/>
      <c r="L2487" s="134">
        <v>45666</v>
      </c>
      <c r="M2487" s="110">
        <v>49.13</v>
      </c>
      <c r="N2487" s="110">
        <v>50.3</v>
      </c>
      <c r="O2487" s="110">
        <v>49.01</v>
      </c>
      <c r="P2487" s="110">
        <v>50.11</v>
      </c>
      <c r="Q2487" s="110">
        <v>49.13</v>
      </c>
      <c r="R2487">
        <v>10247760</v>
      </c>
    </row>
    <row r="2488" spans="1:18" x14ac:dyDescent="0.25">
      <c r="A2488" s="134">
        <v>45667</v>
      </c>
      <c r="B2488" s="110">
        <v>49.49</v>
      </c>
      <c r="C2488" s="110">
        <v>48.72</v>
      </c>
      <c r="D2488" s="110">
        <v>47.75</v>
      </c>
      <c r="E2488" s="110">
        <v>49.31</v>
      </c>
      <c r="F2488" s="110">
        <v>48.72</v>
      </c>
      <c r="G2488">
        <v>1528547</v>
      </c>
      <c r="H2488" s="110"/>
      <c r="I2488" s="110"/>
      <c r="L2488" s="134">
        <v>45667</v>
      </c>
      <c r="M2488" s="110">
        <v>48.75</v>
      </c>
      <c r="N2488" s="110">
        <v>49.48</v>
      </c>
      <c r="O2488" s="110">
        <v>47.73</v>
      </c>
      <c r="P2488" s="110">
        <v>49.48</v>
      </c>
      <c r="Q2488" s="110">
        <v>48.75</v>
      </c>
      <c r="R2488">
        <v>13606862</v>
      </c>
    </row>
    <row r="2489" spans="1:18" x14ac:dyDescent="0.25">
      <c r="A2489" s="134">
        <v>45670</v>
      </c>
      <c r="B2489" s="110">
        <v>48.9</v>
      </c>
      <c r="C2489" s="110">
        <v>46.58</v>
      </c>
      <c r="D2489" s="110">
        <v>46.25</v>
      </c>
      <c r="E2489" s="110">
        <v>47.7</v>
      </c>
      <c r="F2489" s="110">
        <v>46.58</v>
      </c>
      <c r="G2489">
        <v>769337</v>
      </c>
      <c r="H2489" s="110"/>
      <c r="I2489" s="110"/>
      <c r="L2489" s="134">
        <v>45670</v>
      </c>
      <c r="M2489" s="110">
        <v>46.59</v>
      </c>
      <c r="N2489" s="110">
        <v>48.91</v>
      </c>
      <c r="O2489" s="110">
        <v>46.11</v>
      </c>
      <c r="P2489" s="110">
        <v>47.5</v>
      </c>
      <c r="Q2489" s="110">
        <v>46.59</v>
      </c>
      <c r="R2489">
        <v>15380801</v>
      </c>
    </row>
    <row r="2490" spans="1:18" x14ac:dyDescent="0.25">
      <c r="A2490" s="134">
        <v>45671</v>
      </c>
      <c r="B2490" s="110">
        <v>54.33</v>
      </c>
      <c r="C2490" s="110">
        <v>52.77</v>
      </c>
      <c r="D2490" s="110">
        <v>46.76</v>
      </c>
      <c r="E2490" s="110">
        <v>46.76</v>
      </c>
      <c r="F2490" s="110">
        <v>52.77</v>
      </c>
      <c r="G2490">
        <v>2839062</v>
      </c>
      <c r="H2490" s="110"/>
      <c r="I2490" s="110"/>
      <c r="L2490" s="134">
        <v>45671</v>
      </c>
      <c r="M2490" s="110">
        <v>52.74</v>
      </c>
      <c r="N2490" s="110">
        <v>54.4</v>
      </c>
      <c r="O2490" s="110">
        <v>47.09</v>
      </c>
      <c r="P2490" s="110">
        <v>47.2</v>
      </c>
      <c r="Q2490" s="110">
        <v>52.74</v>
      </c>
      <c r="R2490">
        <v>65432746</v>
      </c>
    </row>
    <row r="2491" spans="1:18" x14ac:dyDescent="0.25">
      <c r="A2491" s="134">
        <v>45672</v>
      </c>
      <c r="B2491" s="110">
        <v>52.95</v>
      </c>
      <c r="C2491" s="110">
        <v>51</v>
      </c>
      <c r="D2491" s="110">
        <v>49.9</v>
      </c>
      <c r="E2491" s="110">
        <v>51.5</v>
      </c>
      <c r="F2491" s="110">
        <v>51</v>
      </c>
      <c r="G2491">
        <v>2963468</v>
      </c>
      <c r="H2491" s="110"/>
      <c r="I2491" s="110"/>
      <c r="L2491" s="134">
        <v>45672</v>
      </c>
      <c r="M2491" s="110">
        <v>50.99</v>
      </c>
      <c r="N2491" s="110">
        <v>52.9</v>
      </c>
      <c r="O2491" s="110">
        <v>49.87</v>
      </c>
      <c r="P2491" s="110">
        <v>51.39</v>
      </c>
      <c r="Q2491" s="110">
        <v>50.99</v>
      </c>
      <c r="R2491">
        <v>42863151</v>
      </c>
    </row>
    <row r="2492" spans="1:18" x14ac:dyDescent="0.25">
      <c r="A2492" s="134">
        <v>45673</v>
      </c>
      <c r="B2492" s="110">
        <v>53.3</v>
      </c>
      <c r="C2492" s="110">
        <v>51.97</v>
      </c>
      <c r="D2492" s="110">
        <v>51.5</v>
      </c>
      <c r="E2492" s="110">
        <v>52</v>
      </c>
      <c r="F2492" s="110">
        <v>51.97</v>
      </c>
      <c r="G2492">
        <v>2166784</v>
      </c>
      <c r="H2492" s="110"/>
      <c r="I2492" s="110"/>
      <c r="L2492" s="134">
        <v>45673</v>
      </c>
      <c r="M2492" s="110">
        <v>51.98</v>
      </c>
      <c r="N2492" s="110">
        <v>53.3</v>
      </c>
      <c r="O2492" s="110">
        <v>51.46</v>
      </c>
      <c r="P2492" s="110">
        <v>51.96</v>
      </c>
      <c r="Q2492" s="110">
        <v>51.98</v>
      </c>
      <c r="R2492">
        <v>27672884</v>
      </c>
    </row>
    <row r="2493" spans="1:18" x14ac:dyDescent="0.25">
      <c r="A2493" s="134">
        <v>45674</v>
      </c>
      <c r="B2493" s="110">
        <v>52.23</v>
      </c>
      <c r="C2493" s="110">
        <v>51.42</v>
      </c>
      <c r="D2493" s="110">
        <v>51.29</v>
      </c>
      <c r="E2493" s="110">
        <v>52.23</v>
      </c>
      <c r="F2493" s="110">
        <v>51.42</v>
      </c>
      <c r="G2493">
        <v>492459</v>
      </c>
      <c r="H2493" s="110"/>
      <c r="I2493" s="110"/>
      <c r="L2493" s="134">
        <v>45674</v>
      </c>
      <c r="M2493" s="110">
        <v>51.39</v>
      </c>
      <c r="N2493" s="110">
        <v>52.05</v>
      </c>
      <c r="O2493" s="110">
        <v>51.25</v>
      </c>
      <c r="P2493" s="110">
        <v>52</v>
      </c>
      <c r="Q2493" s="110">
        <v>51.39</v>
      </c>
      <c r="R2493">
        <v>12195190</v>
      </c>
    </row>
    <row r="2494" spans="1:18" x14ac:dyDescent="0.25">
      <c r="A2494" s="134">
        <v>45677</v>
      </c>
      <c r="B2494" s="110">
        <v>52.8</v>
      </c>
      <c r="C2494" s="110">
        <v>52.11</v>
      </c>
      <c r="D2494" s="110">
        <v>51.2</v>
      </c>
      <c r="E2494" s="110">
        <v>51.79</v>
      </c>
      <c r="F2494" s="110">
        <v>52.11</v>
      </c>
      <c r="G2494">
        <v>1068991</v>
      </c>
      <c r="H2494" s="110"/>
      <c r="I2494" s="110"/>
      <c r="L2494" s="134">
        <v>45677</v>
      </c>
      <c r="M2494" s="110">
        <v>52.1</v>
      </c>
      <c r="N2494" s="110">
        <v>52.85</v>
      </c>
      <c r="O2494" s="110">
        <v>51.12</v>
      </c>
      <c r="P2494" s="110">
        <v>51.6</v>
      </c>
      <c r="Q2494" s="110">
        <v>52.1</v>
      </c>
      <c r="R2494">
        <v>15226019</v>
      </c>
    </row>
    <row r="2495" spans="1:18" x14ac:dyDescent="0.25">
      <c r="A2495" s="134">
        <v>45678</v>
      </c>
      <c r="B2495" s="110">
        <v>52.37</v>
      </c>
      <c r="C2495" s="110">
        <v>51.33</v>
      </c>
      <c r="D2495" s="110">
        <v>50.95</v>
      </c>
      <c r="E2495" s="110">
        <v>52.14</v>
      </c>
      <c r="F2495" s="110">
        <v>51.33</v>
      </c>
      <c r="G2495">
        <v>973586</v>
      </c>
      <c r="H2495" s="110"/>
      <c r="I2495" s="110"/>
      <c r="L2495" s="134">
        <v>45678</v>
      </c>
      <c r="M2495" s="110">
        <v>51.35</v>
      </c>
      <c r="N2495" s="110">
        <v>52.36</v>
      </c>
      <c r="O2495" s="110">
        <v>50.95</v>
      </c>
      <c r="P2495" s="110">
        <v>52.25</v>
      </c>
      <c r="Q2495" s="110">
        <v>51.35</v>
      </c>
      <c r="R2495">
        <v>11114766</v>
      </c>
    </row>
    <row r="2496" spans="1:18" x14ac:dyDescent="0.25">
      <c r="A2496" s="134">
        <v>45679</v>
      </c>
      <c r="B2496" s="110">
        <v>51.33</v>
      </c>
      <c r="C2496" s="110">
        <v>50.2</v>
      </c>
      <c r="D2496" s="110">
        <v>49.31</v>
      </c>
      <c r="E2496" s="110">
        <v>51.33</v>
      </c>
      <c r="F2496" s="110">
        <v>50.2</v>
      </c>
      <c r="G2496">
        <v>625408</v>
      </c>
      <c r="H2496" s="110"/>
      <c r="I2496" s="110"/>
      <c r="L2496" s="134">
        <v>45679</v>
      </c>
      <c r="M2496" s="110">
        <v>50.19</v>
      </c>
      <c r="N2496" s="110">
        <v>51.35</v>
      </c>
      <c r="O2496" s="110">
        <v>49.3</v>
      </c>
      <c r="P2496" s="110">
        <v>51.3</v>
      </c>
      <c r="Q2496" s="110">
        <v>50.19</v>
      </c>
      <c r="R2496">
        <v>15604799</v>
      </c>
    </row>
    <row r="2497" spans="1:18" x14ac:dyDescent="0.25">
      <c r="A2497" s="134">
        <v>45680</v>
      </c>
      <c r="B2497" s="110">
        <v>51.12</v>
      </c>
      <c r="C2497" s="110">
        <v>50.4</v>
      </c>
      <c r="D2497" s="110">
        <v>49.8</v>
      </c>
      <c r="E2497" s="110">
        <v>50.37</v>
      </c>
      <c r="F2497" s="110">
        <v>50.4</v>
      </c>
      <c r="G2497">
        <v>911783</v>
      </c>
      <c r="H2497" s="110"/>
      <c r="I2497" s="110"/>
      <c r="L2497" s="134">
        <v>45680</v>
      </c>
      <c r="M2497" s="110">
        <v>50.4</v>
      </c>
      <c r="N2497" s="110">
        <v>51.14</v>
      </c>
      <c r="O2497" s="110">
        <v>49.8</v>
      </c>
      <c r="P2497" s="110">
        <v>50.19</v>
      </c>
      <c r="Q2497" s="110">
        <v>50.4</v>
      </c>
      <c r="R2497">
        <v>8233501</v>
      </c>
    </row>
    <row r="2498" spans="1:18" x14ac:dyDescent="0.25">
      <c r="A2498" s="134">
        <v>45681</v>
      </c>
      <c r="B2498" s="110">
        <v>50.73</v>
      </c>
      <c r="C2498" s="110">
        <v>49.67</v>
      </c>
      <c r="D2498" s="110">
        <v>49.36</v>
      </c>
      <c r="E2498" s="110">
        <v>50.73</v>
      </c>
      <c r="F2498" s="110">
        <v>49.67</v>
      </c>
      <c r="G2498">
        <v>743343</v>
      </c>
      <c r="H2498" s="110"/>
      <c r="I2498" s="110"/>
      <c r="L2498" s="134">
        <v>45681</v>
      </c>
      <c r="M2498" s="110">
        <v>49.65</v>
      </c>
      <c r="N2498" s="110">
        <v>50.58</v>
      </c>
      <c r="O2498" s="110">
        <v>49.36</v>
      </c>
      <c r="P2498" s="110">
        <v>50.37</v>
      </c>
      <c r="Q2498" s="110">
        <v>49.65</v>
      </c>
      <c r="R2498">
        <v>7302267</v>
      </c>
    </row>
    <row r="2499" spans="1:18" x14ac:dyDescent="0.25">
      <c r="A2499" s="134">
        <v>45684</v>
      </c>
      <c r="B2499" s="110">
        <v>50.86</v>
      </c>
      <c r="C2499" s="110">
        <v>48.63</v>
      </c>
      <c r="D2499" s="110">
        <v>47.86</v>
      </c>
      <c r="E2499" s="110">
        <v>49.11</v>
      </c>
      <c r="F2499" s="110">
        <v>48.63</v>
      </c>
      <c r="G2499">
        <v>1438366</v>
      </c>
      <c r="H2499" s="110"/>
      <c r="I2499" s="110"/>
      <c r="L2499" s="134">
        <v>45684</v>
      </c>
      <c r="M2499" s="110">
        <v>48.62</v>
      </c>
      <c r="N2499" s="110">
        <v>50.9</v>
      </c>
      <c r="O2499" s="110">
        <v>47.85</v>
      </c>
      <c r="P2499" s="110">
        <v>49.45</v>
      </c>
      <c r="Q2499" s="110">
        <v>48.62</v>
      </c>
      <c r="R2499">
        <v>19195516</v>
      </c>
    </row>
    <row r="2500" spans="1:18" x14ac:dyDescent="0.25">
      <c r="A2500" s="134">
        <v>45685</v>
      </c>
      <c r="B2500" s="110">
        <v>50.3</v>
      </c>
      <c r="C2500" s="110">
        <v>49.44</v>
      </c>
      <c r="D2500" s="110">
        <v>48.36</v>
      </c>
      <c r="E2500" s="110">
        <v>49.55</v>
      </c>
      <c r="F2500" s="110">
        <v>49.44</v>
      </c>
      <c r="G2500">
        <v>1390681</v>
      </c>
      <c r="H2500" s="110"/>
      <c r="I2500" s="110"/>
      <c r="L2500" s="134">
        <v>45685</v>
      </c>
      <c r="M2500" s="110">
        <v>49.4</v>
      </c>
      <c r="N2500" s="110">
        <v>50.34</v>
      </c>
      <c r="O2500" s="110">
        <v>48.36</v>
      </c>
      <c r="P2500" s="110">
        <v>49.48</v>
      </c>
      <c r="Q2500" s="110">
        <v>49.4</v>
      </c>
      <c r="R2500">
        <v>17515109</v>
      </c>
    </row>
    <row r="2501" spans="1:18" x14ac:dyDescent="0.25">
      <c r="A2501" s="134">
        <v>45686</v>
      </c>
      <c r="B2501" s="110">
        <v>51.1</v>
      </c>
      <c r="C2501" s="110">
        <v>50.38</v>
      </c>
      <c r="D2501" s="110">
        <v>49.52</v>
      </c>
      <c r="E2501" s="110">
        <v>49.9</v>
      </c>
      <c r="F2501" s="110">
        <v>50.38</v>
      </c>
      <c r="G2501">
        <v>1225108</v>
      </c>
      <c r="H2501" s="110"/>
      <c r="I2501" s="110"/>
      <c r="L2501" s="134">
        <v>45686</v>
      </c>
      <c r="M2501" s="110">
        <v>50.38</v>
      </c>
      <c r="N2501" s="110">
        <v>51.1</v>
      </c>
      <c r="O2501" s="110">
        <v>49.54</v>
      </c>
      <c r="P2501" s="110">
        <v>49.98</v>
      </c>
      <c r="Q2501" s="110">
        <v>50.38</v>
      </c>
      <c r="R2501">
        <v>13357924</v>
      </c>
    </row>
    <row r="2502" spans="1:18" x14ac:dyDescent="0.25">
      <c r="A2502" s="134">
        <v>45687</v>
      </c>
      <c r="B2502" s="110">
        <v>50.89</v>
      </c>
      <c r="C2502" s="110">
        <v>50.25</v>
      </c>
      <c r="D2502" s="110">
        <v>50.08</v>
      </c>
      <c r="E2502" s="110">
        <v>50.71</v>
      </c>
      <c r="F2502" s="110">
        <v>50.25</v>
      </c>
      <c r="G2502">
        <v>616292</v>
      </c>
      <c r="H2502" s="110"/>
      <c r="I2502" s="110"/>
      <c r="L2502" s="134">
        <v>45687</v>
      </c>
      <c r="M2502" s="110">
        <v>50.28</v>
      </c>
      <c r="N2502" s="110">
        <v>50.92</v>
      </c>
      <c r="O2502" s="110">
        <v>50.06</v>
      </c>
      <c r="P2502" s="110">
        <v>50.92</v>
      </c>
      <c r="Q2502" s="110">
        <v>50.28</v>
      </c>
      <c r="R2502">
        <v>5465276</v>
      </c>
    </row>
    <row r="2503" spans="1:18" x14ac:dyDescent="0.25">
      <c r="A2503" s="134">
        <v>45688</v>
      </c>
      <c r="B2503" s="110">
        <v>51.78</v>
      </c>
      <c r="C2503" s="110">
        <v>51.33</v>
      </c>
      <c r="D2503" s="110">
        <v>49.94</v>
      </c>
      <c r="E2503" s="110">
        <v>50.38</v>
      </c>
      <c r="F2503" s="110">
        <v>51.33</v>
      </c>
      <c r="G2503">
        <v>745394</v>
      </c>
      <c r="H2503" s="110"/>
      <c r="I2503" s="110"/>
      <c r="L2503" s="134">
        <v>45688</v>
      </c>
      <c r="M2503" s="110">
        <v>51.29</v>
      </c>
      <c r="N2503" s="110">
        <v>51.8</v>
      </c>
      <c r="O2503" s="110">
        <v>49.94</v>
      </c>
      <c r="P2503" s="110">
        <v>50.79</v>
      </c>
      <c r="Q2503" s="110">
        <v>51.29</v>
      </c>
      <c r="R2503">
        <v>11601194</v>
      </c>
    </row>
    <row r="2504" spans="1:18" x14ac:dyDescent="0.25">
      <c r="A2504" s="134">
        <v>45689</v>
      </c>
      <c r="B2504" s="110">
        <v>51.89</v>
      </c>
      <c r="C2504" s="110">
        <v>50.39</v>
      </c>
      <c r="D2504" s="110">
        <v>50.15</v>
      </c>
      <c r="E2504" s="110">
        <v>51.37</v>
      </c>
      <c r="F2504" s="110">
        <v>50.39</v>
      </c>
      <c r="G2504">
        <v>1114947</v>
      </c>
      <c r="H2504" s="110"/>
      <c r="I2504" s="110"/>
      <c r="L2504" s="134">
        <v>45689</v>
      </c>
      <c r="M2504" s="110">
        <v>50.43</v>
      </c>
      <c r="N2504" s="110">
        <v>51.87</v>
      </c>
      <c r="O2504" s="110">
        <v>50.12</v>
      </c>
      <c r="P2504" s="110">
        <v>51.2</v>
      </c>
      <c r="Q2504" s="110">
        <v>50.43</v>
      </c>
      <c r="R2504">
        <v>8656408</v>
      </c>
    </row>
    <row r="2505" spans="1:18" x14ac:dyDescent="0.25">
      <c r="A2505" s="134">
        <v>45691</v>
      </c>
      <c r="B2505" s="110">
        <v>50.47</v>
      </c>
      <c r="C2505" s="110">
        <v>49.48</v>
      </c>
      <c r="D2505" s="110">
        <v>49.26</v>
      </c>
      <c r="E2505" s="110">
        <v>50.47</v>
      </c>
      <c r="F2505" s="110">
        <v>49.48</v>
      </c>
      <c r="G2505">
        <v>619769</v>
      </c>
      <c r="H2505" s="110"/>
      <c r="I2505" s="110"/>
      <c r="L2505" s="134">
        <v>45691</v>
      </c>
      <c r="M2505" s="110">
        <v>49.56</v>
      </c>
      <c r="N2505" s="110">
        <v>50.14</v>
      </c>
      <c r="O2505" s="110">
        <v>49.29</v>
      </c>
      <c r="P2505" s="110">
        <v>50.02</v>
      </c>
      <c r="Q2505" s="110">
        <v>49.56</v>
      </c>
      <c r="R2505">
        <v>7185433</v>
      </c>
    </row>
    <row r="2506" spans="1:18" x14ac:dyDescent="0.25">
      <c r="A2506" s="134">
        <v>45692</v>
      </c>
      <c r="B2506" s="110">
        <v>50.85</v>
      </c>
      <c r="C2506" s="110">
        <v>50.3</v>
      </c>
      <c r="D2506" s="110">
        <v>49.62</v>
      </c>
      <c r="E2506" s="110">
        <v>49.89</v>
      </c>
      <c r="F2506" s="110">
        <v>50.3</v>
      </c>
      <c r="G2506">
        <v>454525</v>
      </c>
      <c r="H2506" s="110"/>
      <c r="I2506" s="110"/>
      <c r="L2506" s="134">
        <v>45692</v>
      </c>
      <c r="M2506" s="110">
        <v>50.42</v>
      </c>
      <c r="N2506" s="110">
        <v>50.85</v>
      </c>
      <c r="O2506" s="110">
        <v>49.56</v>
      </c>
      <c r="P2506" s="110">
        <v>49.96</v>
      </c>
      <c r="Q2506" s="110">
        <v>50.42</v>
      </c>
      <c r="R2506">
        <v>11107597</v>
      </c>
    </row>
    <row r="2507" spans="1:18" x14ac:dyDescent="0.25">
      <c r="A2507" s="134">
        <v>45693</v>
      </c>
      <c r="B2507" s="110">
        <v>51.75</v>
      </c>
      <c r="C2507" s="110">
        <v>50.87</v>
      </c>
      <c r="D2507" s="110">
        <v>50.56</v>
      </c>
      <c r="E2507" s="110">
        <v>50.93</v>
      </c>
      <c r="F2507" s="110">
        <v>50.87</v>
      </c>
      <c r="G2507">
        <v>619154</v>
      </c>
      <c r="H2507" s="110"/>
      <c r="I2507" s="110"/>
      <c r="L2507" s="134">
        <v>45693</v>
      </c>
      <c r="M2507" s="110">
        <v>50.95</v>
      </c>
      <c r="N2507" s="110">
        <v>51.77</v>
      </c>
      <c r="O2507" s="110">
        <v>50.62</v>
      </c>
      <c r="P2507" s="110">
        <v>50.8</v>
      </c>
      <c r="Q2507" s="110">
        <v>50.95</v>
      </c>
      <c r="R2507">
        <v>10703137</v>
      </c>
    </row>
    <row r="2508" spans="1:18" x14ac:dyDescent="0.25">
      <c r="A2508" s="134">
        <v>45694</v>
      </c>
      <c r="B2508" s="110">
        <v>51.49</v>
      </c>
      <c r="C2508" s="110">
        <v>51.01</v>
      </c>
      <c r="D2508" s="110">
        <v>50.7</v>
      </c>
      <c r="E2508" s="110">
        <v>51.18</v>
      </c>
      <c r="F2508" s="110">
        <v>51.01</v>
      </c>
      <c r="G2508">
        <v>276670</v>
      </c>
      <c r="H2508" s="110"/>
      <c r="I2508" s="110"/>
      <c r="L2508" s="134">
        <v>45694</v>
      </c>
      <c r="M2508" s="110">
        <v>51.02</v>
      </c>
      <c r="N2508" s="110">
        <v>51.39</v>
      </c>
      <c r="O2508" s="110">
        <v>50.7</v>
      </c>
      <c r="P2508" s="110">
        <v>51.39</v>
      </c>
      <c r="Q2508" s="110">
        <v>51.02</v>
      </c>
      <c r="R2508">
        <v>6162848</v>
      </c>
    </row>
    <row r="2509" spans="1:18" x14ac:dyDescent="0.25">
      <c r="A2509" s="134">
        <v>45695</v>
      </c>
      <c r="B2509" s="110">
        <v>51.63</v>
      </c>
      <c r="C2509" s="110">
        <v>49.91</v>
      </c>
      <c r="D2509" s="110">
        <v>49.6</v>
      </c>
      <c r="E2509" s="110">
        <v>51.04</v>
      </c>
      <c r="F2509" s="110">
        <v>49.91</v>
      </c>
      <c r="G2509">
        <v>512467</v>
      </c>
      <c r="H2509" s="110"/>
      <c r="I2509" s="110"/>
      <c r="L2509" s="134">
        <v>45695</v>
      </c>
      <c r="M2509" s="110">
        <v>49.92</v>
      </c>
      <c r="N2509" s="110">
        <v>51.66</v>
      </c>
      <c r="O2509" s="110">
        <v>49.6</v>
      </c>
      <c r="P2509" s="110">
        <v>51.3</v>
      </c>
      <c r="Q2509" s="110">
        <v>49.92</v>
      </c>
      <c r="R2509">
        <v>13341783</v>
      </c>
    </row>
    <row r="2510" spans="1:18" x14ac:dyDescent="0.25">
      <c r="A2510" s="134">
        <v>45698</v>
      </c>
      <c r="B2510" s="110">
        <v>50.77</v>
      </c>
      <c r="C2510" s="110">
        <v>49.15</v>
      </c>
      <c r="D2510" s="110">
        <v>49.05</v>
      </c>
      <c r="E2510" s="110">
        <v>50.77</v>
      </c>
      <c r="F2510" s="110">
        <v>49.15</v>
      </c>
      <c r="G2510">
        <v>293471</v>
      </c>
      <c r="H2510" s="110"/>
      <c r="I2510" s="110"/>
      <c r="L2510" s="134">
        <v>45698</v>
      </c>
      <c r="M2510" s="110">
        <v>49.19</v>
      </c>
      <c r="N2510" s="110">
        <v>50.15</v>
      </c>
      <c r="O2510" s="110">
        <v>49.01</v>
      </c>
      <c r="P2510" s="110">
        <v>49.97</v>
      </c>
      <c r="Q2510" s="110">
        <v>49.19</v>
      </c>
      <c r="R2510">
        <v>6509565</v>
      </c>
    </row>
    <row r="2511" spans="1:18" x14ac:dyDescent="0.25">
      <c r="A2511" s="134">
        <v>45699</v>
      </c>
      <c r="B2511" s="110">
        <v>49.49</v>
      </c>
      <c r="C2511" s="110">
        <v>48.11</v>
      </c>
      <c r="D2511" s="110">
        <v>47.84</v>
      </c>
      <c r="E2511" s="110">
        <v>49.26</v>
      </c>
      <c r="F2511" s="110">
        <v>48.11</v>
      </c>
      <c r="G2511">
        <v>427035</v>
      </c>
      <c r="H2511" s="110"/>
      <c r="I2511" s="110"/>
      <c r="L2511" s="134">
        <v>45699</v>
      </c>
      <c r="M2511" s="110">
        <v>48.09</v>
      </c>
      <c r="N2511" s="110">
        <v>49.46</v>
      </c>
      <c r="O2511" s="110">
        <v>47.81</v>
      </c>
      <c r="P2511" s="110">
        <v>49.46</v>
      </c>
      <c r="Q2511" s="110">
        <v>48.09</v>
      </c>
      <c r="R2511">
        <v>8097351</v>
      </c>
    </row>
    <row r="2512" spans="1:18" x14ac:dyDescent="0.25">
      <c r="A2512" s="134">
        <v>45700</v>
      </c>
      <c r="B2512" s="110">
        <v>49.11</v>
      </c>
      <c r="C2512" s="110">
        <v>48.81</v>
      </c>
      <c r="D2512" s="110">
        <v>46.8</v>
      </c>
      <c r="E2512" s="110">
        <v>47.71</v>
      </c>
      <c r="F2512" s="110">
        <v>48.81</v>
      </c>
      <c r="G2512">
        <v>1063875</v>
      </c>
      <c r="H2512" s="110"/>
      <c r="I2512" s="110"/>
      <c r="L2512" s="134">
        <v>45700</v>
      </c>
      <c r="M2512" s="110">
        <v>48.81</v>
      </c>
      <c r="N2512" s="110">
        <v>49.13</v>
      </c>
      <c r="O2512" s="110">
        <v>46.8</v>
      </c>
      <c r="P2512" s="110">
        <v>48.09</v>
      </c>
      <c r="Q2512" s="110">
        <v>48.81</v>
      </c>
      <c r="R2512">
        <v>11971510</v>
      </c>
    </row>
    <row r="2513" spans="1:18" x14ac:dyDescent="0.25">
      <c r="A2513" s="134">
        <v>45701</v>
      </c>
      <c r="B2513" s="110">
        <v>49.72</v>
      </c>
      <c r="C2513" s="110">
        <v>49.16</v>
      </c>
      <c r="D2513" s="110">
        <v>48.64</v>
      </c>
      <c r="E2513" s="110">
        <v>48.82</v>
      </c>
      <c r="F2513" s="110">
        <v>49.16</v>
      </c>
      <c r="G2513">
        <v>690177</v>
      </c>
      <c r="H2513" s="110"/>
      <c r="I2513" s="110"/>
      <c r="L2513" s="134">
        <v>45701</v>
      </c>
      <c r="M2513" s="110">
        <v>49.14</v>
      </c>
      <c r="N2513" s="110">
        <v>49.71</v>
      </c>
      <c r="O2513" s="110">
        <v>48.62</v>
      </c>
      <c r="P2513" s="110">
        <v>49</v>
      </c>
      <c r="Q2513" s="110">
        <v>49.14</v>
      </c>
      <c r="R2513">
        <v>7512384</v>
      </c>
    </row>
    <row r="2514" spans="1:18" x14ac:dyDescent="0.25">
      <c r="A2514" s="134">
        <v>45702</v>
      </c>
      <c r="B2514" s="110">
        <v>49.35</v>
      </c>
      <c r="C2514" s="110">
        <v>47.68</v>
      </c>
      <c r="D2514" s="110">
        <v>47.26</v>
      </c>
      <c r="E2514" s="110">
        <v>49.25</v>
      </c>
      <c r="F2514" s="110">
        <v>47.68</v>
      </c>
      <c r="G2514">
        <v>952546</v>
      </c>
      <c r="H2514" s="110"/>
      <c r="I2514" s="110"/>
      <c r="L2514" s="134">
        <v>45702</v>
      </c>
      <c r="M2514" s="110">
        <v>47.73</v>
      </c>
      <c r="N2514" s="110">
        <v>49.32</v>
      </c>
      <c r="O2514" s="110">
        <v>47.22</v>
      </c>
      <c r="P2514" s="110">
        <v>49.03</v>
      </c>
      <c r="Q2514" s="110">
        <v>47.73</v>
      </c>
      <c r="R2514">
        <v>7535346</v>
      </c>
    </row>
    <row r="2515" spans="1:18" x14ac:dyDescent="0.25">
      <c r="A2515" s="134">
        <v>45705</v>
      </c>
      <c r="B2515" s="110">
        <v>48.88</v>
      </c>
      <c r="C2515" s="110">
        <v>48.68</v>
      </c>
      <c r="D2515" s="110">
        <v>46.25</v>
      </c>
      <c r="E2515" s="110">
        <v>47.66</v>
      </c>
      <c r="F2515" s="110">
        <v>48.68</v>
      </c>
      <c r="G2515">
        <v>446917</v>
      </c>
      <c r="H2515" s="110"/>
      <c r="I2515" s="110"/>
      <c r="L2515" s="134">
        <v>45705</v>
      </c>
      <c r="M2515" s="110">
        <v>48.7</v>
      </c>
      <c r="N2515" s="110">
        <v>48.9</v>
      </c>
      <c r="O2515" s="110">
        <v>46.32</v>
      </c>
      <c r="P2515" s="110">
        <v>47.49</v>
      </c>
      <c r="Q2515" s="110">
        <v>48.7</v>
      </c>
      <c r="R2515">
        <v>10156384</v>
      </c>
    </row>
    <row r="2516" spans="1:18" x14ac:dyDescent="0.25">
      <c r="A2516" s="134">
        <v>45706</v>
      </c>
      <c r="B2516" s="110">
        <v>49.12</v>
      </c>
      <c r="C2516" s="110">
        <v>48.99</v>
      </c>
      <c r="D2516" s="110">
        <v>47.56</v>
      </c>
      <c r="E2516" s="110">
        <v>48.68</v>
      </c>
      <c r="F2516" s="110">
        <v>48.99</v>
      </c>
      <c r="G2516">
        <v>353476</v>
      </c>
      <c r="H2516" s="110"/>
      <c r="I2516" s="110"/>
      <c r="L2516" s="134">
        <v>45706</v>
      </c>
      <c r="M2516" s="110">
        <v>49.01</v>
      </c>
      <c r="N2516" s="110">
        <v>49.15</v>
      </c>
      <c r="O2516" s="110">
        <v>47.55</v>
      </c>
      <c r="P2516" s="110">
        <v>48.67</v>
      </c>
      <c r="Q2516" s="110">
        <v>49.01</v>
      </c>
      <c r="R2516">
        <v>9269844</v>
      </c>
    </row>
    <row r="2517" spans="1:18" x14ac:dyDescent="0.25">
      <c r="A2517" s="134">
        <v>45707</v>
      </c>
      <c r="B2517" s="110">
        <v>49.98</v>
      </c>
      <c r="C2517" s="110">
        <v>49.77</v>
      </c>
      <c r="D2517" s="110">
        <v>48.36</v>
      </c>
      <c r="E2517" s="110">
        <v>48.89</v>
      </c>
      <c r="F2517" s="110">
        <v>49.77</v>
      </c>
      <c r="G2517">
        <v>267243</v>
      </c>
      <c r="H2517" s="110"/>
      <c r="I2517" s="110"/>
      <c r="L2517" s="134">
        <v>45707</v>
      </c>
      <c r="M2517" s="110">
        <v>49.78</v>
      </c>
      <c r="N2517" s="110">
        <v>49.94</v>
      </c>
      <c r="O2517" s="110">
        <v>48.32</v>
      </c>
      <c r="P2517" s="110">
        <v>48.33</v>
      </c>
      <c r="Q2517" s="110">
        <v>49.78</v>
      </c>
      <c r="R2517">
        <v>6600123</v>
      </c>
    </row>
    <row r="2518" spans="1:18" x14ac:dyDescent="0.25">
      <c r="A2518" s="134">
        <v>45708</v>
      </c>
      <c r="B2518" s="110">
        <v>50.5</v>
      </c>
      <c r="C2518" s="110">
        <v>50.3</v>
      </c>
      <c r="D2518" s="110">
        <v>49.38</v>
      </c>
      <c r="E2518" s="110">
        <v>49.76</v>
      </c>
      <c r="F2518" s="110">
        <v>50.3</v>
      </c>
      <c r="G2518">
        <v>232182</v>
      </c>
      <c r="H2518" s="110"/>
      <c r="I2518" s="110"/>
      <c r="L2518" s="134">
        <v>45708</v>
      </c>
      <c r="M2518" s="110">
        <v>50.27</v>
      </c>
      <c r="N2518" s="110">
        <v>50.49</v>
      </c>
      <c r="O2518" s="110">
        <v>49.29</v>
      </c>
      <c r="P2518" s="110">
        <v>49.69</v>
      </c>
      <c r="Q2518" s="110">
        <v>50.27</v>
      </c>
      <c r="R2518">
        <v>6344543</v>
      </c>
    </row>
    <row r="2519" spans="1:18" x14ac:dyDescent="0.25">
      <c r="A2519" s="134">
        <v>45709</v>
      </c>
      <c r="B2519" s="110">
        <v>51.2</v>
      </c>
      <c r="C2519" s="110">
        <v>49.75</v>
      </c>
      <c r="D2519" s="110">
        <v>49.51</v>
      </c>
      <c r="E2519" s="110">
        <v>50.2</v>
      </c>
      <c r="F2519" s="110">
        <v>49.75</v>
      </c>
      <c r="G2519">
        <v>633229</v>
      </c>
      <c r="H2519" s="110"/>
      <c r="I2519" s="110"/>
      <c r="L2519" s="134">
        <v>45709</v>
      </c>
      <c r="M2519" s="110">
        <v>49.71</v>
      </c>
      <c r="N2519" s="110">
        <v>51.24</v>
      </c>
      <c r="O2519" s="110">
        <v>49.43</v>
      </c>
      <c r="P2519" s="110">
        <v>50</v>
      </c>
      <c r="Q2519" s="110">
        <v>49.71</v>
      </c>
      <c r="R2519">
        <v>6761489</v>
      </c>
    </row>
    <row r="2520" spans="1:18" x14ac:dyDescent="0.25">
      <c r="A2520" s="134">
        <v>45712</v>
      </c>
      <c r="B2520" s="110">
        <v>49.55</v>
      </c>
      <c r="C2520" s="110">
        <v>48.9</v>
      </c>
      <c r="D2520" s="110">
        <v>48.8</v>
      </c>
      <c r="E2520" s="110">
        <v>49.04</v>
      </c>
      <c r="F2520" s="110">
        <v>48.9</v>
      </c>
      <c r="G2520">
        <v>682393</v>
      </c>
      <c r="H2520" s="110"/>
      <c r="I2520" s="110"/>
      <c r="L2520" s="134">
        <v>45712</v>
      </c>
      <c r="M2520" s="110">
        <v>48.9</v>
      </c>
      <c r="N2520" s="110">
        <v>49.58</v>
      </c>
      <c r="O2520" s="110">
        <v>48.79</v>
      </c>
      <c r="P2520" s="110">
        <v>49.47</v>
      </c>
      <c r="Q2520" s="110">
        <v>48.9</v>
      </c>
      <c r="R2520">
        <v>5076856</v>
      </c>
    </row>
    <row r="2521" spans="1:18" x14ac:dyDescent="0.25">
      <c r="A2521" s="134">
        <v>45713</v>
      </c>
      <c r="B2521" s="110">
        <v>50.2</v>
      </c>
      <c r="C2521" s="110">
        <v>48.69</v>
      </c>
      <c r="D2521" s="110">
        <v>48.42</v>
      </c>
      <c r="E2521" s="110">
        <v>49.26</v>
      </c>
      <c r="F2521" s="110">
        <v>48.69</v>
      </c>
      <c r="G2521">
        <v>529090</v>
      </c>
      <c r="H2521" s="110"/>
      <c r="I2521" s="110"/>
      <c r="L2521" s="134">
        <v>45713</v>
      </c>
      <c r="M2521" s="110">
        <v>48.71</v>
      </c>
      <c r="N2521" s="110">
        <v>50.25</v>
      </c>
      <c r="O2521" s="110">
        <v>48.45</v>
      </c>
      <c r="P2521" s="110">
        <v>49.3</v>
      </c>
      <c r="Q2521" s="110">
        <v>48.71</v>
      </c>
      <c r="R2521">
        <v>5610150</v>
      </c>
    </row>
    <row r="2522" spans="1:18" x14ac:dyDescent="0.25">
      <c r="A2522" s="134">
        <v>45715</v>
      </c>
      <c r="B2522" s="110">
        <v>49.08</v>
      </c>
      <c r="C2522" s="110">
        <v>47.81</v>
      </c>
      <c r="D2522" s="110">
        <v>47.67</v>
      </c>
      <c r="E2522" s="110">
        <v>48.85</v>
      </c>
      <c r="F2522" s="110">
        <v>47.81</v>
      </c>
      <c r="G2522">
        <v>291814</v>
      </c>
      <c r="H2522" s="110"/>
      <c r="I2522" s="110"/>
      <c r="L2522" s="134">
        <v>45715</v>
      </c>
      <c r="M2522" s="110">
        <v>47.82</v>
      </c>
      <c r="N2522" s="110">
        <v>49.1</v>
      </c>
      <c r="O2522" s="110">
        <v>47.64</v>
      </c>
      <c r="P2522" s="110">
        <v>48.6</v>
      </c>
      <c r="Q2522" s="110">
        <v>47.82</v>
      </c>
      <c r="R2522">
        <v>6828616</v>
      </c>
    </row>
    <row r="2523" spans="1:18" x14ac:dyDescent="0.25">
      <c r="A2523" s="134">
        <v>45716</v>
      </c>
      <c r="B2523" s="110">
        <v>47.58</v>
      </c>
      <c r="C2523" s="110">
        <v>46.42</v>
      </c>
      <c r="D2523" s="110">
        <v>46.2</v>
      </c>
      <c r="E2523" s="110">
        <v>47.58</v>
      </c>
      <c r="F2523" s="110">
        <v>46.42</v>
      </c>
      <c r="G2523">
        <v>309007</v>
      </c>
      <c r="H2523" s="110"/>
      <c r="I2523" s="110"/>
      <c r="L2523" s="134">
        <v>45716</v>
      </c>
      <c r="M2523" s="110">
        <v>46.41</v>
      </c>
      <c r="N2523" s="110">
        <v>47.4</v>
      </c>
      <c r="O2523" s="110">
        <v>46.21</v>
      </c>
      <c r="P2523" s="110">
        <v>47.29</v>
      </c>
      <c r="Q2523" s="110">
        <v>46.41</v>
      </c>
      <c r="R2523">
        <v>6662019</v>
      </c>
    </row>
    <row r="2524" spans="1:18" x14ac:dyDescent="0.25">
      <c r="A2524" s="134">
        <v>45719</v>
      </c>
      <c r="B2524" s="110">
        <v>47</v>
      </c>
      <c r="C2524" s="110">
        <v>44.62</v>
      </c>
      <c r="D2524" s="110">
        <v>43.69</v>
      </c>
      <c r="E2524" s="110">
        <v>46.48</v>
      </c>
      <c r="F2524" s="110">
        <v>44.62</v>
      </c>
      <c r="G2524">
        <v>1781116</v>
      </c>
      <c r="H2524" s="110"/>
      <c r="I2524" s="110"/>
      <c r="L2524" s="134">
        <v>45719</v>
      </c>
      <c r="M2524" s="110">
        <v>44.64</v>
      </c>
      <c r="N2524" s="110">
        <v>46.98</v>
      </c>
      <c r="O2524" s="110">
        <v>43.67</v>
      </c>
      <c r="P2524" s="110">
        <v>46.5</v>
      </c>
      <c r="Q2524" s="110">
        <v>44.64</v>
      </c>
      <c r="R2524">
        <v>13097091</v>
      </c>
    </row>
    <row r="2525" spans="1:18" x14ac:dyDescent="0.25">
      <c r="A2525" s="134">
        <v>45720</v>
      </c>
      <c r="B2525" s="110">
        <v>45.75</v>
      </c>
      <c r="C2525" s="110">
        <v>45.4</v>
      </c>
      <c r="D2525" s="110">
        <v>43.8</v>
      </c>
      <c r="E2525" s="110">
        <v>44</v>
      </c>
      <c r="F2525" s="110">
        <v>45.4</v>
      </c>
      <c r="G2525">
        <v>495237</v>
      </c>
      <c r="H2525" s="110"/>
      <c r="I2525" s="110"/>
      <c r="L2525" s="134">
        <v>45720</v>
      </c>
      <c r="M2525" s="110">
        <v>45.41</v>
      </c>
      <c r="N2525" s="110">
        <v>45.77</v>
      </c>
      <c r="O2525" s="110">
        <v>43.8</v>
      </c>
      <c r="P2525" s="110">
        <v>44</v>
      </c>
      <c r="Q2525" s="110">
        <v>45.41</v>
      </c>
      <c r="R2525">
        <v>8881188</v>
      </c>
    </row>
    <row r="2526" spans="1:18" x14ac:dyDescent="0.25">
      <c r="A2526" s="134">
        <v>45721</v>
      </c>
      <c r="B2526" s="110">
        <v>47.35</v>
      </c>
      <c r="C2526" s="110">
        <v>47.18</v>
      </c>
      <c r="D2526" s="110">
        <v>45.27</v>
      </c>
      <c r="E2526" s="110">
        <v>45.39</v>
      </c>
      <c r="F2526" s="110">
        <v>47.18</v>
      </c>
      <c r="G2526">
        <v>437485</v>
      </c>
      <c r="H2526" s="110"/>
      <c r="I2526" s="110"/>
      <c r="L2526" s="134">
        <v>45721</v>
      </c>
      <c r="M2526" s="110">
        <v>47.18</v>
      </c>
      <c r="N2526" s="110">
        <v>47.4</v>
      </c>
      <c r="O2526" s="110">
        <v>45.21</v>
      </c>
      <c r="P2526" s="110">
        <v>45.21</v>
      </c>
      <c r="Q2526" s="110">
        <v>47.18</v>
      </c>
      <c r="R2526">
        <v>8856876</v>
      </c>
    </row>
    <row r="2527" spans="1:18" x14ac:dyDescent="0.25">
      <c r="A2527" s="134">
        <v>45722</v>
      </c>
      <c r="B2527" s="110">
        <v>48.33</v>
      </c>
      <c r="C2527" s="110">
        <v>47.76</v>
      </c>
      <c r="D2527" s="110">
        <v>47.38</v>
      </c>
      <c r="E2527" s="110">
        <v>47.89</v>
      </c>
      <c r="F2527" s="110">
        <v>47.76</v>
      </c>
      <c r="G2527">
        <v>930882</v>
      </c>
      <c r="H2527" s="110"/>
      <c r="I2527" s="110"/>
      <c r="L2527" s="134">
        <v>45722</v>
      </c>
      <c r="M2527" s="110">
        <v>47.75</v>
      </c>
      <c r="N2527" s="110">
        <v>48.29</v>
      </c>
      <c r="O2527" s="110">
        <v>47.42</v>
      </c>
      <c r="P2527" s="110">
        <v>47.8</v>
      </c>
      <c r="Q2527" s="110">
        <v>47.75</v>
      </c>
      <c r="R2527">
        <v>10545152</v>
      </c>
    </row>
    <row r="2528" spans="1:18" x14ac:dyDescent="0.25">
      <c r="A2528" s="134">
        <v>45723</v>
      </c>
      <c r="B2528" s="110">
        <v>48.38</v>
      </c>
      <c r="C2528" s="110">
        <v>47.94</v>
      </c>
      <c r="D2528" s="110">
        <v>47.5</v>
      </c>
      <c r="E2528" s="110">
        <v>47.8</v>
      </c>
      <c r="F2528" s="110">
        <v>47.94</v>
      </c>
      <c r="G2528">
        <v>460096</v>
      </c>
      <c r="H2528" s="110"/>
      <c r="I2528" s="110"/>
      <c r="L2528" s="134">
        <v>45723</v>
      </c>
      <c r="M2528" s="110">
        <v>47.96</v>
      </c>
      <c r="N2528" s="110">
        <v>48.4</v>
      </c>
      <c r="O2528" s="110">
        <v>47.45</v>
      </c>
      <c r="P2528" s="110">
        <v>47.75</v>
      </c>
      <c r="Q2528" s="110">
        <v>47.96</v>
      </c>
      <c r="R2528">
        <v>6536193</v>
      </c>
    </row>
    <row r="2529" spans="1:18" x14ac:dyDescent="0.25">
      <c r="A2529" s="134">
        <v>45726</v>
      </c>
      <c r="B2529" s="110">
        <v>48.4</v>
      </c>
      <c r="C2529" s="110">
        <v>47.67</v>
      </c>
      <c r="D2529" s="110">
        <v>47.29</v>
      </c>
      <c r="E2529" s="110">
        <v>47.97</v>
      </c>
      <c r="F2529" s="110">
        <v>47.67</v>
      </c>
      <c r="G2529">
        <v>316140</v>
      </c>
      <c r="H2529" s="110"/>
      <c r="I2529" s="110"/>
      <c r="L2529" s="134">
        <v>45726</v>
      </c>
      <c r="M2529" s="110">
        <v>47.68</v>
      </c>
      <c r="N2529" s="110">
        <v>48.44</v>
      </c>
      <c r="O2529" s="110">
        <v>47.25</v>
      </c>
      <c r="P2529" s="110">
        <v>47.96</v>
      </c>
      <c r="Q2529" s="110">
        <v>47.68</v>
      </c>
      <c r="R2529">
        <v>9037156</v>
      </c>
    </row>
    <row r="2530" spans="1:18" x14ac:dyDescent="0.25">
      <c r="A2530" s="134">
        <v>45727</v>
      </c>
      <c r="B2530" s="110">
        <v>47.44</v>
      </c>
      <c r="C2530" s="110">
        <v>47</v>
      </c>
      <c r="D2530" s="110">
        <v>46.56</v>
      </c>
      <c r="E2530" s="110">
        <v>46.86</v>
      </c>
      <c r="F2530" s="110">
        <v>47</v>
      </c>
      <c r="G2530">
        <v>274323</v>
      </c>
      <c r="H2530" s="110"/>
      <c r="I2530" s="110"/>
      <c r="L2530" s="134">
        <v>45727</v>
      </c>
      <c r="M2530" s="110">
        <v>46.97</v>
      </c>
      <c r="N2530" s="110">
        <v>47.46</v>
      </c>
      <c r="O2530" s="110">
        <v>46.53</v>
      </c>
      <c r="P2530" s="110">
        <v>47</v>
      </c>
      <c r="Q2530" s="110">
        <v>46.97</v>
      </c>
      <c r="R2530">
        <v>7509730</v>
      </c>
    </row>
    <row r="2531" spans="1:18" x14ac:dyDescent="0.25">
      <c r="A2531" s="134">
        <v>45728</v>
      </c>
      <c r="B2531" s="110">
        <v>47.64</v>
      </c>
      <c r="C2531" s="110">
        <v>46.52</v>
      </c>
      <c r="D2531" s="110">
        <v>46.28</v>
      </c>
      <c r="E2531" s="110">
        <v>46.97</v>
      </c>
      <c r="F2531" s="110">
        <v>46.52</v>
      </c>
      <c r="G2531">
        <v>530764</v>
      </c>
      <c r="H2531" s="110"/>
      <c r="I2531" s="110"/>
      <c r="L2531" s="134">
        <v>45728</v>
      </c>
      <c r="M2531" s="110">
        <v>46.51</v>
      </c>
      <c r="N2531" s="110">
        <v>47.64</v>
      </c>
      <c r="O2531" s="110">
        <v>46.29</v>
      </c>
      <c r="P2531" s="110">
        <v>46.98</v>
      </c>
      <c r="Q2531" s="110">
        <v>46.51</v>
      </c>
      <c r="R2531">
        <v>5081937</v>
      </c>
    </row>
    <row r="2532" spans="1:18" x14ac:dyDescent="0.25">
      <c r="A2532" s="134">
        <v>45729</v>
      </c>
      <c r="B2532" s="110">
        <v>47</v>
      </c>
      <c r="C2532" s="110">
        <v>45.45</v>
      </c>
      <c r="D2532" s="110">
        <v>45.36</v>
      </c>
      <c r="E2532" s="110">
        <v>46.63</v>
      </c>
      <c r="F2532" s="110">
        <v>45.45</v>
      </c>
      <c r="G2532">
        <v>771924</v>
      </c>
      <c r="H2532" s="110"/>
      <c r="I2532" s="110"/>
      <c r="L2532" s="134">
        <v>45729</v>
      </c>
      <c r="M2532" s="110">
        <v>45.43</v>
      </c>
      <c r="N2532" s="110">
        <v>46.98</v>
      </c>
      <c r="O2532" s="110">
        <v>45.34</v>
      </c>
      <c r="P2532" s="110">
        <v>46.72</v>
      </c>
      <c r="Q2532" s="110">
        <v>45.43</v>
      </c>
      <c r="R2532">
        <v>7860612</v>
      </c>
    </row>
    <row r="2533" spans="1:18" x14ac:dyDescent="0.25">
      <c r="A2533" s="134">
        <v>45733</v>
      </c>
      <c r="B2533" s="110">
        <v>45.8</v>
      </c>
      <c r="C2533" s="110">
        <v>44.42</v>
      </c>
      <c r="D2533" s="110">
        <v>44.22</v>
      </c>
      <c r="E2533" s="110">
        <v>45.61</v>
      </c>
      <c r="F2533" s="110">
        <v>44.42</v>
      </c>
      <c r="G2533">
        <v>926046</v>
      </c>
      <c r="H2533" s="110"/>
      <c r="I2533" s="110"/>
      <c r="L2533" s="134">
        <v>45733</v>
      </c>
      <c r="M2533" s="110">
        <v>44.47</v>
      </c>
      <c r="N2533" s="110">
        <v>45.79</v>
      </c>
      <c r="O2533" s="110">
        <v>44.27</v>
      </c>
      <c r="P2533" s="110">
        <v>45.54</v>
      </c>
      <c r="Q2533" s="110">
        <v>44.47</v>
      </c>
      <c r="R2533">
        <v>8382914</v>
      </c>
    </row>
    <row r="2534" spans="1:18" x14ac:dyDescent="0.25">
      <c r="A2534" s="134">
        <v>45734</v>
      </c>
      <c r="B2534" s="110">
        <v>46.35</v>
      </c>
      <c r="C2534" s="110">
        <v>45.96</v>
      </c>
      <c r="D2534" s="110">
        <v>44.5</v>
      </c>
      <c r="E2534" s="110">
        <v>44.5</v>
      </c>
      <c r="F2534" s="110">
        <v>45.96</v>
      </c>
      <c r="G2534">
        <v>530523</v>
      </c>
      <c r="H2534" s="110"/>
      <c r="I2534" s="110"/>
      <c r="L2534" s="134">
        <v>45734</v>
      </c>
      <c r="M2534" s="110">
        <v>45.95</v>
      </c>
      <c r="N2534" s="110">
        <v>46.34</v>
      </c>
      <c r="O2534" s="110">
        <v>44.47</v>
      </c>
      <c r="P2534" s="110">
        <v>44.47</v>
      </c>
      <c r="Q2534" s="110">
        <v>45.95</v>
      </c>
      <c r="R2534">
        <v>12869060</v>
      </c>
    </row>
    <row r="2535" spans="1:18" x14ac:dyDescent="0.25">
      <c r="A2535" s="134">
        <v>45735</v>
      </c>
      <c r="B2535" s="110">
        <v>47.71</v>
      </c>
      <c r="C2535" s="110">
        <v>47.56</v>
      </c>
      <c r="D2535" s="110">
        <v>45.94</v>
      </c>
      <c r="E2535" s="110">
        <v>45.94</v>
      </c>
      <c r="F2535" s="110">
        <v>47.56</v>
      </c>
      <c r="G2535">
        <v>1072548</v>
      </c>
      <c r="H2535" s="110"/>
      <c r="I2535" s="110"/>
      <c r="L2535" s="134">
        <v>45735</v>
      </c>
      <c r="M2535" s="110">
        <v>47.54</v>
      </c>
      <c r="N2535" s="110">
        <v>47.73</v>
      </c>
      <c r="O2535" s="110">
        <v>46</v>
      </c>
      <c r="P2535" s="110">
        <v>46</v>
      </c>
      <c r="Q2535" s="110">
        <v>47.54</v>
      </c>
      <c r="R2535">
        <v>8991804</v>
      </c>
    </row>
    <row r="2536" spans="1:18" x14ac:dyDescent="0.25">
      <c r="A2536" s="134">
        <v>45736</v>
      </c>
      <c r="B2536" s="110">
        <v>48.3</v>
      </c>
      <c r="C2536" s="110">
        <v>47.21</v>
      </c>
      <c r="D2536" s="110">
        <v>47.01</v>
      </c>
      <c r="E2536" s="110">
        <v>48.06</v>
      </c>
      <c r="F2536" s="110">
        <v>47.21</v>
      </c>
      <c r="G2536">
        <v>754251</v>
      </c>
      <c r="H2536" s="110"/>
      <c r="I2536" s="110"/>
      <c r="L2536" s="134">
        <v>45736</v>
      </c>
      <c r="M2536" s="110">
        <v>47.25</v>
      </c>
      <c r="N2536" s="110">
        <v>48.3</v>
      </c>
      <c r="O2536" s="110">
        <v>47</v>
      </c>
      <c r="P2536" s="110">
        <v>48.1</v>
      </c>
      <c r="Q2536" s="110">
        <v>47.25</v>
      </c>
      <c r="R2536">
        <v>10024009</v>
      </c>
    </row>
    <row r="2537" spans="1:18" x14ac:dyDescent="0.25">
      <c r="A2537" s="134">
        <v>45737</v>
      </c>
      <c r="B2537" s="110">
        <v>48.3</v>
      </c>
      <c r="C2537" s="110">
        <v>48.05</v>
      </c>
      <c r="D2537" s="110">
        <v>46.87</v>
      </c>
      <c r="E2537" s="110">
        <v>46.87</v>
      </c>
      <c r="F2537" s="110">
        <v>48.05</v>
      </c>
      <c r="G2537">
        <v>407292</v>
      </c>
      <c r="H2537" s="110"/>
      <c r="I2537" s="110"/>
      <c r="L2537" s="134">
        <v>45737</v>
      </c>
      <c r="M2537" s="110">
        <v>47.98</v>
      </c>
      <c r="N2537" s="110">
        <v>48.35</v>
      </c>
      <c r="O2537" s="110">
        <v>46.94</v>
      </c>
      <c r="P2537" s="110">
        <v>47.2</v>
      </c>
      <c r="Q2537" s="110">
        <v>47.98</v>
      </c>
      <c r="R2537">
        <v>14352892</v>
      </c>
    </row>
    <row r="2538" spans="1:18" x14ac:dyDescent="0.25">
      <c r="A2538" s="134">
        <v>45740</v>
      </c>
      <c r="B2538" s="110">
        <v>49.5</v>
      </c>
      <c r="C2538" s="110">
        <v>48.31</v>
      </c>
      <c r="D2538" s="110">
        <v>48.21</v>
      </c>
      <c r="E2538" s="110">
        <v>48.21</v>
      </c>
      <c r="F2538" s="110">
        <v>48.31</v>
      </c>
      <c r="G2538">
        <v>1378486</v>
      </c>
      <c r="H2538" s="110"/>
      <c r="I2538" s="110"/>
      <c r="L2538" s="134">
        <v>45740</v>
      </c>
      <c r="M2538" s="110">
        <v>48.3</v>
      </c>
      <c r="N2538" s="110">
        <v>49.55</v>
      </c>
      <c r="O2538" s="110">
        <v>48.16</v>
      </c>
      <c r="P2538" s="110">
        <v>48.4</v>
      </c>
      <c r="Q2538" s="110">
        <v>48.3</v>
      </c>
      <c r="R2538">
        <v>15793922</v>
      </c>
    </row>
    <row r="2539" spans="1:18" x14ac:dyDescent="0.25">
      <c r="A2539" s="134">
        <v>45741</v>
      </c>
      <c r="B2539" s="110">
        <v>48.7</v>
      </c>
      <c r="C2539" s="110">
        <v>46.58</v>
      </c>
      <c r="D2539" s="110">
        <v>46.37</v>
      </c>
      <c r="E2539" s="110">
        <v>48.33</v>
      </c>
      <c r="F2539" s="110">
        <v>46.58</v>
      </c>
      <c r="G2539">
        <v>1422296</v>
      </c>
      <c r="H2539" s="110"/>
      <c r="I2539" s="110"/>
      <c r="L2539" s="134">
        <v>45741</v>
      </c>
      <c r="M2539" s="110">
        <v>46.56</v>
      </c>
      <c r="N2539" s="110">
        <v>48.69</v>
      </c>
      <c r="O2539" s="110">
        <v>46.12</v>
      </c>
      <c r="P2539" s="110">
        <v>48.55</v>
      </c>
      <c r="Q2539" s="110">
        <v>46.56</v>
      </c>
      <c r="R2539">
        <v>17011408</v>
      </c>
    </row>
    <row r="2540" spans="1:18" x14ac:dyDescent="0.25">
      <c r="A2540" s="134">
        <v>45742</v>
      </c>
      <c r="B2540" s="110">
        <v>47.75</v>
      </c>
      <c r="C2540" s="110">
        <v>46.34</v>
      </c>
      <c r="D2540" s="110">
        <v>46.1</v>
      </c>
      <c r="E2540" s="110">
        <v>46.58</v>
      </c>
      <c r="F2540" s="110">
        <v>46.34</v>
      </c>
      <c r="G2540">
        <v>1808245</v>
      </c>
      <c r="H2540" s="110"/>
      <c r="I2540" s="110"/>
      <c r="L2540" s="134">
        <v>45742</v>
      </c>
      <c r="M2540" s="110">
        <v>46.38</v>
      </c>
      <c r="N2540" s="110">
        <v>47.77</v>
      </c>
      <c r="O2540" s="110">
        <v>46.15</v>
      </c>
      <c r="P2540" s="110">
        <v>46.6</v>
      </c>
      <c r="Q2540" s="110">
        <v>46.38</v>
      </c>
      <c r="R2540">
        <v>13516930</v>
      </c>
    </row>
    <row r="2541" spans="1:18" x14ac:dyDescent="0.25">
      <c r="A2541" s="134">
        <v>45743</v>
      </c>
      <c r="B2541" s="110">
        <v>47</v>
      </c>
      <c r="C2541" s="110">
        <v>46.81</v>
      </c>
      <c r="D2541" s="110">
        <v>45.91</v>
      </c>
      <c r="E2541" s="110">
        <v>46.45</v>
      </c>
      <c r="F2541" s="110">
        <v>46.81</v>
      </c>
      <c r="G2541">
        <v>886719</v>
      </c>
      <c r="H2541" s="110"/>
      <c r="I2541" s="110"/>
      <c r="L2541" s="134">
        <v>45743</v>
      </c>
      <c r="M2541" s="110">
        <v>46.81</v>
      </c>
      <c r="N2541" s="110">
        <v>46.98</v>
      </c>
      <c r="O2541" s="110">
        <v>45.9</v>
      </c>
      <c r="P2541" s="110">
        <v>46.38</v>
      </c>
      <c r="Q2541" s="110">
        <v>46.81</v>
      </c>
      <c r="R2541">
        <v>14870440</v>
      </c>
    </row>
    <row r="2542" spans="1:18" x14ac:dyDescent="0.25">
      <c r="A2542" s="134">
        <v>45744</v>
      </c>
      <c r="B2542" s="110">
        <v>47.7</v>
      </c>
      <c r="C2542" s="110">
        <v>46.22</v>
      </c>
      <c r="D2542" s="110">
        <v>46.08</v>
      </c>
      <c r="E2542" s="110">
        <v>46.77</v>
      </c>
      <c r="F2542" s="110">
        <v>46.22</v>
      </c>
      <c r="G2542">
        <v>1360549</v>
      </c>
      <c r="H2542" s="110"/>
      <c r="I2542" s="110"/>
      <c r="L2542" s="134">
        <v>45744</v>
      </c>
      <c r="M2542" s="110">
        <v>46.34</v>
      </c>
      <c r="N2542" s="110">
        <v>47.7</v>
      </c>
      <c r="O2542" s="110">
        <v>46.1</v>
      </c>
      <c r="P2542" s="110">
        <v>46.99</v>
      </c>
      <c r="Q2542" s="110">
        <v>46.34</v>
      </c>
      <c r="R2542">
        <v>10823721</v>
      </c>
    </row>
    <row r="2543" spans="1:18" x14ac:dyDescent="0.25">
      <c r="A2543" s="134">
        <v>45748</v>
      </c>
      <c r="B2543" s="110">
        <v>46.85</v>
      </c>
      <c r="C2543" s="110">
        <v>46.26</v>
      </c>
      <c r="D2543" s="110">
        <v>46</v>
      </c>
      <c r="E2543" s="110">
        <v>46.76</v>
      </c>
      <c r="F2543" s="110">
        <v>46.26</v>
      </c>
      <c r="G2543">
        <v>354556</v>
      </c>
      <c r="H2543" s="110"/>
      <c r="I2543" s="110"/>
      <c r="L2543" s="134">
        <v>45748</v>
      </c>
      <c r="M2543" s="110">
        <v>46.29</v>
      </c>
      <c r="N2543" s="110">
        <v>46.84</v>
      </c>
      <c r="O2543" s="110">
        <v>46.01</v>
      </c>
      <c r="P2543" s="110">
        <v>46.01</v>
      </c>
      <c r="Q2543" s="110">
        <v>46.29</v>
      </c>
      <c r="R2543">
        <v>7122070</v>
      </c>
    </row>
    <row r="2544" spans="1:18" x14ac:dyDescent="0.25">
      <c r="A2544" s="134">
        <v>45749</v>
      </c>
      <c r="B2544" s="110">
        <v>46.89</v>
      </c>
      <c r="C2544" s="110">
        <v>46.22</v>
      </c>
      <c r="D2544" s="110">
        <v>45.33</v>
      </c>
      <c r="E2544" s="110">
        <v>46.89</v>
      </c>
      <c r="F2544" s="110">
        <v>46.22</v>
      </c>
      <c r="G2544">
        <v>362124</v>
      </c>
      <c r="H2544" s="110"/>
      <c r="I2544" s="110"/>
      <c r="L2544" s="134">
        <v>45749</v>
      </c>
      <c r="M2544" s="110">
        <v>46.21</v>
      </c>
      <c r="N2544" s="110">
        <v>46.64</v>
      </c>
      <c r="O2544" s="110">
        <v>45.3</v>
      </c>
      <c r="P2544" s="110">
        <v>46.58</v>
      </c>
      <c r="Q2544" s="110">
        <v>46.21</v>
      </c>
      <c r="R2544">
        <v>7771327</v>
      </c>
    </row>
    <row r="2545" spans="1:18" x14ac:dyDescent="0.25">
      <c r="A2545" s="134">
        <v>45750</v>
      </c>
      <c r="B2545" s="110">
        <v>47.88</v>
      </c>
      <c r="C2545" s="110">
        <v>47.62</v>
      </c>
      <c r="D2545" s="110">
        <v>45.87</v>
      </c>
      <c r="E2545" s="110">
        <v>45.89</v>
      </c>
      <c r="F2545" s="110">
        <v>47.62</v>
      </c>
      <c r="G2545">
        <v>991894</v>
      </c>
      <c r="H2545" s="110"/>
      <c r="I2545" s="110"/>
      <c r="L2545" s="134">
        <v>45750</v>
      </c>
      <c r="M2545" s="110">
        <v>47.66</v>
      </c>
      <c r="N2545" s="110">
        <v>47.9</v>
      </c>
      <c r="O2545" s="110">
        <v>45.8</v>
      </c>
      <c r="P2545" s="110">
        <v>46</v>
      </c>
      <c r="Q2545" s="110">
        <v>47.66</v>
      </c>
      <c r="R2545">
        <v>13407637</v>
      </c>
    </row>
    <row r="2546" spans="1:18" x14ac:dyDescent="0.25">
      <c r="A2546" s="134">
        <v>45751</v>
      </c>
      <c r="B2546" s="110">
        <v>47.92</v>
      </c>
      <c r="C2546" s="110">
        <v>46.6</v>
      </c>
      <c r="D2546" s="110">
        <v>46.2</v>
      </c>
      <c r="E2546" s="110">
        <v>47.08</v>
      </c>
      <c r="F2546" s="110">
        <v>46.6</v>
      </c>
      <c r="G2546">
        <v>330423</v>
      </c>
      <c r="H2546" s="110"/>
      <c r="I2546" s="110"/>
      <c r="L2546" s="134">
        <v>45751</v>
      </c>
      <c r="M2546" s="110">
        <v>46.57</v>
      </c>
      <c r="N2546" s="110">
        <v>47.96</v>
      </c>
      <c r="O2546" s="110">
        <v>46.19</v>
      </c>
      <c r="P2546" s="110">
        <v>47.51</v>
      </c>
      <c r="Q2546" s="110">
        <v>46.57</v>
      </c>
      <c r="R2546">
        <v>8058182</v>
      </c>
    </row>
    <row r="2547" spans="1:18" x14ac:dyDescent="0.25">
      <c r="A2547" s="134">
        <v>45754</v>
      </c>
      <c r="B2547" s="110">
        <v>44.75</v>
      </c>
      <c r="C2547" s="110">
        <v>43.62</v>
      </c>
      <c r="D2547" s="110">
        <v>38.11</v>
      </c>
      <c r="E2547" s="110">
        <v>38.11</v>
      </c>
      <c r="F2547" s="110">
        <v>43.62</v>
      </c>
      <c r="G2547">
        <v>1654524</v>
      </c>
      <c r="H2547" s="110"/>
      <c r="I2547" s="110"/>
      <c r="L2547" s="134">
        <v>45754</v>
      </c>
      <c r="M2547" s="110">
        <v>43.62</v>
      </c>
      <c r="N2547" s="110">
        <v>44.74</v>
      </c>
      <c r="O2547" s="110">
        <v>42</v>
      </c>
      <c r="P2547" s="110">
        <v>42</v>
      </c>
      <c r="Q2547" s="110">
        <v>43.62</v>
      </c>
      <c r="R2547">
        <v>14008343</v>
      </c>
    </row>
    <row r="2548" spans="1:18" x14ac:dyDescent="0.25">
      <c r="A2548" s="134">
        <v>45755</v>
      </c>
      <c r="B2548" s="110">
        <v>45.75</v>
      </c>
      <c r="C2548" s="110">
        <v>45.2</v>
      </c>
      <c r="D2548" s="110">
        <v>44.13</v>
      </c>
      <c r="E2548" s="110">
        <v>44.94</v>
      </c>
      <c r="F2548" s="110">
        <v>45.2</v>
      </c>
      <c r="G2548">
        <v>1045499</v>
      </c>
      <c r="H2548" s="110"/>
      <c r="I2548" s="110"/>
      <c r="L2548" s="134">
        <v>45755</v>
      </c>
      <c r="M2548" s="110">
        <v>45.18</v>
      </c>
      <c r="N2548" s="110">
        <v>45.78</v>
      </c>
      <c r="O2548" s="110">
        <v>44.14</v>
      </c>
      <c r="P2548" s="110">
        <v>45</v>
      </c>
      <c r="Q2548" s="110">
        <v>45.18</v>
      </c>
      <c r="R2548">
        <v>15674965</v>
      </c>
    </row>
    <row r="2549" spans="1:18" x14ac:dyDescent="0.25">
      <c r="A2549" s="134">
        <v>45756</v>
      </c>
      <c r="B2549" s="110">
        <v>45.81</v>
      </c>
      <c r="C2549" s="110">
        <v>45.47</v>
      </c>
      <c r="D2549" s="110">
        <v>44.77</v>
      </c>
      <c r="E2549" s="110">
        <v>45.07</v>
      </c>
      <c r="F2549" s="110">
        <v>45.47</v>
      </c>
      <c r="G2549">
        <v>736103</v>
      </c>
      <c r="H2549" s="110"/>
      <c r="I2549" s="110"/>
      <c r="L2549" s="134">
        <v>45756</v>
      </c>
      <c r="M2549" s="110">
        <v>45.46</v>
      </c>
      <c r="N2549" s="110">
        <v>45.87</v>
      </c>
      <c r="O2549" s="110">
        <v>44.75</v>
      </c>
      <c r="P2549" s="110">
        <v>45.07</v>
      </c>
      <c r="Q2549" s="110">
        <v>45.46</v>
      </c>
      <c r="R2549">
        <v>9053050</v>
      </c>
    </row>
    <row r="2550" spans="1:18" x14ac:dyDescent="0.25">
      <c r="A2550" s="134">
        <v>45758</v>
      </c>
      <c r="B2550" s="110">
        <v>46.45</v>
      </c>
      <c r="C2550" s="110">
        <v>45.68</v>
      </c>
      <c r="D2550" s="110">
        <v>45.55</v>
      </c>
      <c r="E2550" s="110">
        <v>46.36</v>
      </c>
      <c r="F2550" s="110">
        <v>45.68</v>
      </c>
      <c r="G2550">
        <v>856623</v>
      </c>
      <c r="H2550" s="110"/>
      <c r="I2550" s="110"/>
      <c r="L2550" s="134">
        <v>45758</v>
      </c>
      <c r="M2550" s="110">
        <v>45.66</v>
      </c>
      <c r="N2550" s="110">
        <v>46.39</v>
      </c>
      <c r="O2550" s="110">
        <v>45.55</v>
      </c>
      <c r="P2550" s="110">
        <v>46.39</v>
      </c>
      <c r="Q2550" s="110">
        <v>45.66</v>
      </c>
      <c r="R2550">
        <v>5735494</v>
      </c>
    </row>
    <row r="2551" spans="1:18" x14ac:dyDescent="0.25">
      <c r="A2551" s="134">
        <v>45762</v>
      </c>
      <c r="B2551" s="110">
        <v>46.5</v>
      </c>
      <c r="C2551" s="110">
        <v>46.04</v>
      </c>
      <c r="D2551" s="110">
        <v>45.93</v>
      </c>
      <c r="E2551" s="110">
        <v>46.24</v>
      </c>
      <c r="F2551" s="110">
        <v>46.04</v>
      </c>
      <c r="G2551">
        <v>756087</v>
      </c>
      <c r="H2551" s="110"/>
      <c r="I2551" s="110"/>
      <c r="L2551" s="134">
        <v>45762</v>
      </c>
      <c r="M2551" s="110">
        <v>46.03</v>
      </c>
      <c r="N2551" s="110">
        <v>46.54</v>
      </c>
      <c r="O2551" s="110">
        <v>45.92</v>
      </c>
      <c r="P2551" s="110">
        <v>46.5</v>
      </c>
      <c r="Q2551" s="110">
        <v>46.03</v>
      </c>
      <c r="R2551">
        <v>8261846</v>
      </c>
    </row>
    <row r="2552" spans="1:18" x14ac:dyDescent="0.25">
      <c r="A2552" s="134">
        <v>45763</v>
      </c>
      <c r="B2552" s="110">
        <v>47.9</v>
      </c>
      <c r="C2552" s="110">
        <v>47.53</v>
      </c>
      <c r="D2552" s="110">
        <v>46.03</v>
      </c>
      <c r="E2552" s="110">
        <v>46.03</v>
      </c>
      <c r="F2552" s="110">
        <v>47.53</v>
      </c>
      <c r="G2552">
        <v>1421997</v>
      </c>
      <c r="H2552" s="110"/>
      <c r="I2552" s="110"/>
      <c r="L2552" s="134">
        <v>45763</v>
      </c>
      <c r="M2552" s="110">
        <v>47.52</v>
      </c>
      <c r="N2552" s="110">
        <v>47.88</v>
      </c>
      <c r="O2552" s="110">
        <v>46.07</v>
      </c>
      <c r="P2552" s="110">
        <v>46.17</v>
      </c>
      <c r="Q2552" s="110">
        <v>47.52</v>
      </c>
      <c r="R2552">
        <v>11279785</v>
      </c>
    </row>
    <row r="2553" spans="1:18" x14ac:dyDescent="0.25">
      <c r="A2553" s="134">
        <v>45764</v>
      </c>
      <c r="B2553" s="110">
        <v>48.9</v>
      </c>
      <c r="C2553" s="110">
        <v>48.37</v>
      </c>
      <c r="D2553" s="110">
        <v>47.61</v>
      </c>
      <c r="E2553" s="110">
        <v>47.77</v>
      </c>
      <c r="F2553" s="110">
        <v>48.37</v>
      </c>
      <c r="G2553">
        <v>1463079</v>
      </c>
      <c r="H2553" s="110"/>
      <c r="I2553" s="110"/>
      <c r="L2553" s="134">
        <v>45764</v>
      </c>
      <c r="M2553" s="110">
        <v>48.4</v>
      </c>
      <c r="N2553" s="110">
        <v>48.9</v>
      </c>
      <c r="O2553" s="110">
        <v>47.6</v>
      </c>
      <c r="P2553" s="110">
        <v>47.9</v>
      </c>
      <c r="Q2553" s="110">
        <v>48.4</v>
      </c>
      <c r="R2553">
        <v>13507204</v>
      </c>
    </row>
    <row r="2554" spans="1:18" x14ac:dyDescent="0.25">
      <c r="A2554" s="134">
        <v>45768</v>
      </c>
      <c r="B2554" s="110">
        <v>51.22</v>
      </c>
      <c r="C2554" s="110">
        <v>50.92</v>
      </c>
      <c r="D2554" s="110">
        <v>49.07</v>
      </c>
      <c r="E2554" s="110">
        <v>49.15</v>
      </c>
      <c r="F2554" s="110">
        <v>50.92</v>
      </c>
      <c r="G2554">
        <v>1570180</v>
      </c>
      <c r="H2554" s="110"/>
      <c r="I2554" s="110"/>
      <c r="L2554" s="134">
        <v>45768</v>
      </c>
      <c r="M2554" s="110">
        <v>50.9</v>
      </c>
      <c r="N2554" s="110">
        <v>51.21</v>
      </c>
      <c r="O2554" s="110">
        <v>49.06</v>
      </c>
      <c r="P2554" s="110">
        <v>49.07</v>
      </c>
      <c r="Q2554" s="110">
        <v>50.9</v>
      </c>
      <c r="R2554">
        <v>23493198</v>
      </c>
    </row>
    <row r="2555" spans="1:18" x14ac:dyDescent="0.25">
      <c r="A2555" s="134">
        <v>45769</v>
      </c>
      <c r="B2555" s="110">
        <v>51.97</v>
      </c>
      <c r="C2555" s="110">
        <v>50.5</v>
      </c>
      <c r="D2555" s="110">
        <v>50.3</v>
      </c>
      <c r="E2555" s="110">
        <v>51.5</v>
      </c>
      <c r="F2555" s="110">
        <v>50.5</v>
      </c>
      <c r="G2555">
        <v>1858582</v>
      </c>
      <c r="H2555" s="110"/>
      <c r="I2555" s="110"/>
      <c r="L2555" s="134">
        <v>45769</v>
      </c>
      <c r="M2555" s="110">
        <v>50.5</v>
      </c>
      <c r="N2555" s="110">
        <v>51.96</v>
      </c>
      <c r="O2555" s="110">
        <v>50.34</v>
      </c>
      <c r="P2555" s="110">
        <v>51.6</v>
      </c>
      <c r="Q2555" s="110">
        <v>50.5</v>
      </c>
      <c r="R2555">
        <v>21713001</v>
      </c>
    </row>
    <row r="2556" spans="1:18" x14ac:dyDescent="0.25">
      <c r="A2556" s="134">
        <v>45770</v>
      </c>
      <c r="B2556" s="110">
        <v>50.98</v>
      </c>
      <c r="C2556" s="110">
        <v>50.8</v>
      </c>
      <c r="D2556" s="110">
        <v>49.4</v>
      </c>
      <c r="E2556" s="110">
        <v>50.92</v>
      </c>
      <c r="F2556" s="110">
        <v>50.8</v>
      </c>
      <c r="G2556">
        <v>1218245</v>
      </c>
      <c r="H2556" s="110"/>
      <c r="I2556" s="110"/>
      <c r="L2556" s="134">
        <v>45770</v>
      </c>
      <c r="M2556" s="110">
        <v>50.82</v>
      </c>
      <c r="N2556" s="110">
        <v>50.99</v>
      </c>
      <c r="O2556" s="110">
        <v>49.41</v>
      </c>
      <c r="P2556" s="110">
        <v>50.84</v>
      </c>
      <c r="Q2556" s="110">
        <v>50.82</v>
      </c>
      <c r="R2556">
        <v>12161746</v>
      </c>
    </row>
    <row r="2557" spans="1:18" x14ac:dyDescent="0.25">
      <c r="A2557" s="134">
        <v>45771</v>
      </c>
      <c r="B2557" s="110">
        <v>51.17</v>
      </c>
      <c r="C2557" s="110">
        <v>50.53</v>
      </c>
      <c r="D2557" s="110">
        <v>50.47</v>
      </c>
      <c r="E2557" s="110">
        <v>50.63</v>
      </c>
      <c r="F2557" s="110">
        <v>50.53</v>
      </c>
      <c r="G2557">
        <v>316641</v>
      </c>
      <c r="H2557" s="110"/>
      <c r="I2557" s="110"/>
      <c r="L2557" s="134">
        <v>45771</v>
      </c>
      <c r="M2557" s="110">
        <v>50.54</v>
      </c>
      <c r="N2557" s="110">
        <v>51.15</v>
      </c>
      <c r="O2557" s="110">
        <v>50.5</v>
      </c>
      <c r="P2557" s="110">
        <v>50.91</v>
      </c>
      <c r="Q2557" s="110">
        <v>50.54</v>
      </c>
      <c r="R2557">
        <v>9022166</v>
      </c>
    </row>
    <row r="2558" spans="1:18" x14ac:dyDescent="0.25">
      <c r="A2558" s="134">
        <v>45772</v>
      </c>
      <c r="B2558" s="110">
        <v>51.2</v>
      </c>
      <c r="C2558" s="110">
        <v>50.12</v>
      </c>
      <c r="D2558" s="110">
        <v>49.04</v>
      </c>
      <c r="E2558" s="110">
        <v>51</v>
      </c>
      <c r="F2558" s="110">
        <v>50.12</v>
      </c>
      <c r="G2558">
        <v>1058570</v>
      </c>
      <c r="H2558" s="110"/>
      <c r="I2558" s="110"/>
      <c r="L2558" s="134">
        <v>45772</v>
      </c>
      <c r="M2558" s="110">
        <v>50.01</v>
      </c>
      <c r="N2558" s="110">
        <v>51.25</v>
      </c>
      <c r="O2558" s="110">
        <v>49</v>
      </c>
      <c r="P2558" s="110">
        <v>51</v>
      </c>
      <c r="Q2558" s="110">
        <v>50.01</v>
      </c>
      <c r="R2558">
        <v>27545895</v>
      </c>
    </row>
    <row r="2559" spans="1:18" x14ac:dyDescent="0.25">
      <c r="A2559" s="134">
        <v>45775</v>
      </c>
      <c r="B2559" s="110">
        <v>51.1</v>
      </c>
      <c r="C2559" s="110">
        <v>50.94</v>
      </c>
      <c r="D2559" s="110">
        <v>50.33</v>
      </c>
      <c r="E2559" s="110">
        <v>50.38</v>
      </c>
      <c r="F2559" s="110">
        <v>50.94</v>
      </c>
      <c r="G2559">
        <v>1622885</v>
      </c>
      <c r="H2559" s="110"/>
      <c r="I2559" s="110"/>
      <c r="L2559" s="134">
        <v>45775</v>
      </c>
      <c r="M2559" s="110">
        <v>50.93</v>
      </c>
      <c r="N2559" s="110">
        <v>51.14</v>
      </c>
      <c r="O2559" s="110">
        <v>50.26</v>
      </c>
      <c r="P2559" s="110">
        <v>50.45</v>
      </c>
      <c r="Q2559" s="110">
        <v>50.93</v>
      </c>
      <c r="R2559">
        <v>16356706</v>
      </c>
    </row>
    <row r="2560" spans="1:18" x14ac:dyDescent="0.25">
      <c r="A2560" s="134">
        <v>45776</v>
      </c>
      <c r="B2560" s="110">
        <v>52.4</v>
      </c>
      <c r="C2560" s="110">
        <v>51.44</v>
      </c>
      <c r="D2560" s="110">
        <v>50.92</v>
      </c>
      <c r="E2560" s="110">
        <v>51.41</v>
      </c>
      <c r="F2560" s="110">
        <v>51.44</v>
      </c>
      <c r="G2560">
        <v>1731221</v>
      </c>
      <c r="H2560" s="110"/>
      <c r="I2560" s="110"/>
      <c r="L2560" s="134">
        <v>45776</v>
      </c>
      <c r="M2560" s="110">
        <v>51.43</v>
      </c>
      <c r="N2560" s="110">
        <v>52.4</v>
      </c>
      <c r="O2560" s="110">
        <v>50.94</v>
      </c>
      <c r="P2560" s="110">
        <v>51.5</v>
      </c>
      <c r="Q2560" s="110">
        <v>51.43</v>
      </c>
      <c r="R2560">
        <v>15525683</v>
      </c>
    </row>
    <row r="2561" spans="1:18" x14ac:dyDescent="0.25">
      <c r="A2561" s="134">
        <v>45777</v>
      </c>
      <c r="B2561" s="110">
        <v>51.47</v>
      </c>
      <c r="C2561" s="110">
        <v>50.69</v>
      </c>
      <c r="D2561" s="110">
        <v>50.37</v>
      </c>
      <c r="E2561" s="110">
        <v>51.44</v>
      </c>
      <c r="F2561" s="110">
        <v>50.69</v>
      </c>
      <c r="G2561">
        <v>977828</v>
      </c>
      <c r="H2561" s="110"/>
      <c r="I2561" s="110"/>
      <c r="L2561" s="134">
        <v>45777</v>
      </c>
      <c r="M2561" s="110">
        <v>50.66</v>
      </c>
      <c r="N2561" s="110">
        <v>51.6</v>
      </c>
      <c r="O2561" s="110">
        <v>50.31</v>
      </c>
      <c r="P2561" s="110">
        <v>51.5</v>
      </c>
      <c r="Q2561" s="110">
        <v>50.66</v>
      </c>
      <c r="R2561">
        <v>8158351</v>
      </c>
    </row>
    <row r="2562" spans="1:18" x14ac:dyDescent="0.25">
      <c r="A2562" s="134">
        <v>45779</v>
      </c>
      <c r="B2562" s="110">
        <v>51.59</v>
      </c>
      <c r="C2562" s="110">
        <v>50.64</v>
      </c>
      <c r="D2562" s="110">
        <v>50.35</v>
      </c>
      <c r="E2562" s="110">
        <v>50.61</v>
      </c>
      <c r="F2562" s="110">
        <v>50.64</v>
      </c>
      <c r="G2562">
        <v>1084371</v>
      </c>
      <c r="H2562" s="110"/>
      <c r="I2562" s="110"/>
      <c r="L2562" s="134">
        <v>45779</v>
      </c>
      <c r="M2562" s="110">
        <v>50.63</v>
      </c>
      <c r="N2562" s="110">
        <v>51.58</v>
      </c>
      <c r="O2562" s="110">
        <v>50.35</v>
      </c>
      <c r="P2562" s="110">
        <v>50.75</v>
      </c>
      <c r="Q2562" s="110">
        <v>50.63</v>
      </c>
      <c r="R2562">
        <v>8818898</v>
      </c>
    </row>
    <row r="2563" spans="1:18" x14ac:dyDescent="0.25">
      <c r="A2563" s="134">
        <v>45782</v>
      </c>
      <c r="B2563" s="110">
        <v>52</v>
      </c>
      <c r="C2563" s="110">
        <v>51.84</v>
      </c>
      <c r="D2563" s="110">
        <v>50.54</v>
      </c>
      <c r="E2563" s="110">
        <v>51</v>
      </c>
      <c r="F2563" s="110">
        <v>51.84</v>
      </c>
      <c r="G2563">
        <v>1397616</v>
      </c>
      <c r="H2563" s="110"/>
      <c r="I2563" s="110"/>
      <c r="L2563" s="134">
        <v>45782</v>
      </c>
      <c r="M2563" s="110">
        <v>51.8</v>
      </c>
      <c r="N2563" s="110">
        <v>51.91</v>
      </c>
      <c r="O2563" s="110">
        <v>50.54</v>
      </c>
      <c r="P2563" s="110">
        <v>51.05</v>
      </c>
      <c r="Q2563" s="110">
        <v>51.8</v>
      </c>
      <c r="R2563">
        <v>9612013</v>
      </c>
    </row>
    <row r="2564" spans="1:18" x14ac:dyDescent="0.25">
      <c r="A2564" s="134">
        <v>45783</v>
      </c>
      <c r="B2564" s="110">
        <v>52.09</v>
      </c>
      <c r="C2564" s="110">
        <v>50.17</v>
      </c>
      <c r="D2564" s="110">
        <v>49.7</v>
      </c>
      <c r="E2564" s="110">
        <v>52.01</v>
      </c>
      <c r="F2564" s="110">
        <v>50.17</v>
      </c>
      <c r="G2564">
        <v>1938043</v>
      </c>
      <c r="H2564" s="110"/>
      <c r="I2564" s="110"/>
      <c r="L2564" s="134">
        <v>45783</v>
      </c>
      <c r="M2564" s="110">
        <v>50.07</v>
      </c>
      <c r="N2564" s="110">
        <v>52.25</v>
      </c>
      <c r="O2564" s="110">
        <v>49.66</v>
      </c>
      <c r="P2564" s="110">
        <v>52.25</v>
      </c>
      <c r="Q2564" s="110">
        <v>50.07</v>
      </c>
      <c r="R2564">
        <v>12027865</v>
      </c>
    </row>
    <row r="2565" spans="1:18" x14ac:dyDescent="0.25">
      <c r="A2565" s="134">
        <v>45784</v>
      </c>
      <c r="B2565" s="110">
        <v>51.17</v>
      </c>
      <c r="C2565" s="110">
        <v>50.92</v>
      </c>
      <c r="D2565" s="110">
        <v>49.08</v>
      </c>
      <c r="E2565" s="110">
        <v>49.08</v>
      </c>
      <c r="F2565" s="110">
        <v>50.92</v>
      </c>
      <c r="G2565">
        <v>1858349</v>
      </c>
      <c r="H2565" s="110"/>
      <c r="I2565" s="110"/>
      <c r="L2565" s="134">
        <v>45784</v>
      </c>
      <c r="M2565" s="110">
        <v>50.95</v>
      </c>
      <c r="N2565" s="110">
        <v>51.2</v>
      </c>
      <c r="O2565" s="110">
        <v>49.05</v>
      </c>
      <c r="P2565" s="110">
        <v>49.15</v>
      </c>
      <c r="Q2565" s="110">
        <v>50.95</v>
      </c>
      <c r="R2565">
        <v>11441530</v>
      </c>
    </row>
    <row r="2566" spans="1:18" x14ac:dyDescent="0.25">
      <c r="A2566" s="134">
        <v>45785</v>
      </c>
      <c r="B2566" s="110">
        <v>51.64</v>
      </c>
      <c r="C2566" s="110">
        <v>50.42</v>
      </c>
      <c r="D2566" s="110">
        <v>50.21</v>
      </c>
      <c r="E2566" s="110">
        <v>50.95</v>
      </c>
      <c r="F2566" s="110">
        <v>50.42</v>
      </c>
      <c r="G2566">
        <v>511488</v>
      </c>
      <c r="H2566" s="110"/>
      <c r="I2566" s="110"/>
      <c r="L2566" s="134">
        <v>45785</v>
      </c>
      <c r="M2566" s="110">
        <v>50.39</v>
      </c>
      <c r="N2566" s="110">
        <v>51.6</v>
      </c>
      <c r="O2566" s="110">
        <v>50.19</v>
      </c>
      <c r="P2566" s="110">
        <v>51.01</v>
      </c>
      <c r="Q2566" s="110">
        <v>50.39</v>
      </c>
      <c r="R2566">
        <v>9651528</v>
      </c>
    </row>
    <row r="2567" spans="1:18" x14ac:dyDescent="0.25">
      <c r="A2567" s="134">
        <v>45786</v>
      </c>
      <c r="B2567" s="110">
        <v>49.13</v>
      </c>
      <c r="C2567" s="110">
        <v>48.35</v>
      </c>
      <c r="D2567" s="110">
        <v>47.14</v>
      </c>
      <c r="E2567" s="110">
        <v>47.14</v>
      </c>
      <c r="F2567" s="110">
        <v>48.35</v>
      </c>
      <c r="G2567">
        <v>1968150</v>
      </c>
      <c r="H2567" s="110"/>
      <c r="I2567" s="110"/>
      <c r="L2567" s="134">
        <v>45786</v>
      </c>
      <c r="M2567" s="110">
        <v>48.34</v>
      </c>
      <c r="N2567" s="110">
        <v>48.73</v>
      </c>
      <c r="O2567" s="110">
        <v>47.51</v>
      </c>
      <c r="P2567" s="110">
        <v>47.61</v>
      </c>
      <c r="Q2567" s="110">
        <v>48.34</v>
      </c>
      <c r="R2567">
        <v>16147927</v>
      </c>
    </row>
    <row r="2568" spans="1:18" x14ac:dyDescent="0.25">
      <c r="A2568" s="134">
        <v>45789</v>
      </c>
      <c r="B2568" s="110">
        <v>50.9</v>
      </c>
      <c r="C2568" s="110">
        <v>50.7</v>
      </c>
      <c r="D2568" s="110">
        <v>49.84</v>
      </c>
      <c r="E2568" s="110">
        <v>50.19</v>
      </c>
      <c r="F2568" s="110">
        <v>50.7</v>
      </c>
      <c r="G2568">
        <v>1592457</v>
      </c>
      <c r="H2568" s="110"/>
      <c r="I2568" s="110"/>
      <c r="L2568" s="134">
        <v>45789</v>
      </c>
      <c r="M2568" s="110">
        <v>50.72</v>
      </c>
      <c r="N2568" s="110">
        <v>50.95</v>
      </c>
      <c r="O2568" s="110">
        <v>49.9</v>
      </c>
      <c r="P2568" s="110">
        <v>50</v>
      </c>
      <c r="Q2568" s="110">
        <v>50.72</v>
      </c>
      <c r="R2568">
        <v>11745076</v>
      </c>
    </row>
    <row r="2569" spans="1:18" x14ac:dyDescent="0.25">
      <c r="A2569" s="134">
        <v>45790</v>
      </c>
      <c r="B2569" s="110">
        <v>51.13</v>
      </c>
      <c r="C2569" s="110">
        <v>50.52</v>
      </c>
      <c r="D2569" s="110">
        <v>50.1</v>
      </c>
      <c r="E2569" s="110">
        <v>50.68</v>
      </c>
      <c r="F2569" s="110">
        <v>50.52</v>
      </c>
      <c r="G2569">
        <v>455018</v>
      </c>
      <c r="H2569" s="110"/>
      <c r="I2569" s="110"/>
      <c r="L2569" s="134">
        <v>45790</v>
      </c>
      <c r="M2569" s="110">
        <v>50.54</v>
      </c>
      <c r="N2569" s="110">
        <v>51.15</v>
      </c>
      <c r="O2569" s="110">
        <v>50</v>
      </c>
      <c r="P2569" s="110">
        <v>50.74</v>
      </c>
      <c r="Q2569" s="110">
        <v>50.54</v>
      </c>
      <c r="R2569">
        <v>10310476</v>
      </c>
    </row>
    <row r="2570" spans="1:18" x14ac:dyDescent="0.25">
      <c r="A2570" s="134">
        <v>45791</v>
      </c>
      <c r="B2570" s="110">
        <v>51</v>
      </c>
      <c r="C2570" s="110">
        <v>50.53</v>
      </c>
      <c r="D2570" s="110">
        <v>50.33</v>
      </c>
      <c r="E2570" s="110">
        <v>50.55</v>
      </c>
      <c r="F2570" s="110">
        <v>50.53</v>
      </c>
      <c r="G2570">
        <v>430493</v>
      </c>
      <c r="H2570" s="110"/>
      <c r="I2570" s="110"/>
      <c r="L2570" s="134">
        <v>45791</v>
      </c>
      <c r="M2570" s="110">
        <v>50.51</v>
      </c>
      <c r="N2570" s="110">
        <v>50.99</v>
      </c>
      <c r="O2570" s="110">
        <v>50.34</v>
      </c>
      <c r="P2570" s="110">
        <v>50.8</v>
      </c>
      <c r="Q2570" s="110">
        <v>50.51</v>
      </c>
      <c r="R2570">
        <v>7669952</v>
      </c>
    </row>
    <row r="2571" spans="1:18" x14ac:dyDescent="0.25">
      <c r="A2571" s="134">
        <v>45792</v>
      </c>
      <c r="B2571" s="110">
        <v>51.04</v>
      </c>
      <c r="C2571" s="110">
        <v>50.48</v>
      </c>
      <c r="D2571" s="110">
        <v>50.35</v>
      </c>
      <c r="E2571" s="110">
        <v>50.4</v>
      </c>
      <c r="F2571" s="110">
        <v>50.48</v>
      </c>
      <c r="G2571">
        <v>813382</v>
      </c>
      <c r="H2571" s="110"/>
      <c r="I2571" s="110"/>
      <c r="L2571" s="134">
        <v>45792</v>
      </c>
      <c r="M2571" s="110">
        <v>50.48</v>
      </c>
      <c r="N2571" s="110">
        <v>51</v>
      </c>
      <c r="O2571" s="110">
        <v>50.32</v>
      </c>
      <c r="P2571" s="110">
        <v>50.55</v>
      </c>
      <c r="Q2571" s="110">
        <v>50.48</v>
      </c>
      <c r="R2571">
        <v>10382051</v>
      </c>
    </row>
    <row r="2572" spans="1:18" x14ac:dyDescent="0.25">
      <c r="A2572" s="134">
        <v>45793</v>
      </c>
      <c r="B2572" s="110">
        <v>51.59</v>
      </c>
      <c r="C2572" s="110">
        <v>51.07</v>
      </c>
      <c r="D2572" s="110">
        <v>50.49</v>
      </c>
      <c r="E2572" s="110">
        <v>50.49</v>
      </c>
      <c r="F2572" s="110">
        <v>51.07</v>
      </c>
      <c r="G2572">
        <v>1194639</v>
      </c>
      <c r="H2572" s="110"/>
      <c r="I2572" s="110"/>
      <c r="L2572" s="134">
        <v>45793</v>
      </c>
      <c r="M2572" s="110">
        <v>51.06</v>
      </c>
      <c r="N2572" s="110">
        <v>51.59</v>
      </c>
      <c r="O2572" s="110">
        <v>50.51</v>
      </c>
      <c r="P2572" s="110">
        <v>50.55</v>
      </c>
      <c r="Q2572" s="110">
        <v>51.06</v>
      </c>
      <c r="R2572">
        <v>11172646</v>
      </c>
    </row>
    <row r="2573" spans="1:18" x14ac:dyDescent="0.25">
      <c r="A2573" s="134">
        <v>45796</v>
      </c>
      <c r="B2573" s="110">
        <v>54.07</v>
      </c>
      <c r="C2573" s="110">
        <v>53.11</v>
      </c>
      <c r="D2573" s="110">
        <v>51.02</v>
      </c>
      <c r="E2573" s="110">
        <v>51.02</v>
      </c>
      <c r="F2573" s="110">
        <v>53.11</v>
      </c>
      <c r="G2573">
        <v>3868092</v>
      </c>
      <c r="H2573" s="110"/>
      <c r="I2573" s="110"/>
      <c r="L2573" s="134">
        <v>45796</v>
      </c>
      <c r="M2573" s="110">
        <v>53.11</v>
      </c>
      <c r="N2573" s="110">
        <v>54.09</v>
      </c>
      <c r="O2573" s="110">
        <v>51.03</v>
      </c>
      <c r="P2573" s="110">
        <v>51.09</v>
      </c>
      <c r="Q2573" s="110">
        <v>53.11</v>
      </c>
      <c r="R2573">
        <v>35472570</v>
      </c>
    </row>
    <row r="2574" spans="1:18" x14ac:dyDescent="0.25">
      <c r="A2574" s="134">
        <v>45797</v>
      </c>
      <c r="B2574" s="110">
        <v>53.5</v>
      </c>
      <c r="C2574" s="110">
        <v>51.38</v>
      </c>
      <c r="D2574" s="110">
        <v>51.25</v>
      </c>
      <c r="E2574" s="110">
        <v>53.32</v>
      </c>
      <c r="F2574" s="110">
        <v>51.38</v>
      </c>
      <c r="G2574">
        <v>1449596</v>
      </c>
      <c r="H2574" s="110"/>
      <c r="I2574" s="110"/>
      <c r="L2574" s="134">
        <v>45797</v>
      </c>
      <c r="M2574" s="110">
        <v>51.39</v>
      </c>
      <c r="N2574" s="110">
        <v>53.52</v>
      </c>
      <c r="O2574" s="110">
        <v>51.25</v>
      </c>
      <c r="P2574" s="110">
        <v>53.49</v>
      </c>
      <c r="Q2574" s="110">
        <v>51.39</v>
      </c>
      <c r="R2574">
        <v>14182510</v>
      </c>
    </row>
    <row r="2575" spans="1:18" x14ac:dyDescent="0.25">
      <c r="A2575" s="134">
        <v>45798</v>
      </c>
      <c r="B2575" s="110">
        <v>51.74</v>
      </c>
      <c r="C2575" s="110">
        <v>51.24</v>
      </c>
      <c r="D2575" s="110">
        <v>50.6</v>
      </c>
      <c r="E2575" s="110">
        <v>51.42</v>
      </c>
      <c r="F2575" s="110">
        <v>51.24</v>
      </c>
      <c r="G2575">
        <v>401517</v>
      </c>
      <c r="H2575" s="110"/>
      <c r="I2575" s="110"/>
      <c r="L2575" s="134">
        <v>45798</v>
      </c>
      <c r="M2575" s="110">
        <v>51.24</v>
      </c>
      <c r="N2575" s="110">
        <v>51.73</v>
      </c>
      <c r="O2575" s="110">
        <v>50.6</v>
      </c>
      <c r="P2575" s="110">
        <v>51.5</v>
      </c>
      <c r="Q2575" s="110">
        <v>51.24</v>
      </c>
      <c r="R2575">
        <v>11845785</v>
      </c>
    </row>
    <row r="2576" spans="1:18" x14ac:dyDescent="0.25">
      <c r="A2576" s="134">
        <v>45799</v>
      </c>
      <c r="B2576" s="110">
        <v>51.77</v>
      </c>
      <c r="C2576" s="110">
        <v>50.47</v>
      </c>
      <c r="D2576" s="110">
        <v>50.11</v>
      </c>
      <c r="E2576" s="110">
        <v>51.09</v>
      </c>
      <c r="F2576" s="110">
        <v>50.47</v>
      </c>
      <c r="G2576">
        <v>838398</v>
      </c>
      <c r="H2576" s="110"/>
      <c r="I2576" s="110"/>
      <c r="L2576" s="134">
        <v>45799</v>
      </c>
      <c r="M2576" s="110">
        <v>50.45</v>
      </c>
      <c r="N2576" s="110">
        <v>51.9</v>
      </c>
      <c r="O2576" s="110">
        <v>50.12</v>
      </c>
      <c r="P2576" s="110">
        <v>51.14</v>
      </c>
      <c r="Q2576" s="110">
        <v>50.45</v>
      </c>
      <c r="R2576">
        <v>11256742</v>
      </c>
    </row>
    <row r="2577" spans="1:18" x14ac:dyDescent="0.25">
      <c r="A2577" s="134">
        <v>45800</v>
      </c>
      <c r="B2577" s="110">
        <v>51.38</v>
      </c>
      <c r="C2577" s="110">
        <v>51.25</v>
      </c>
      <c r="D2577" s="110">
        <v>50.3</v>
      </c>
      <c r="E2577" s="110">
        <v>50.68</v>
      </c>
      <c r="F2577" s="110">
        <v>51.25</v>
      </c>
      <c r="G2577">
        <v>800615</v>
      </c>
      <c r="H2577" s="110"/>
      <c r="I2577" s="110"/>
      <c r="L2577" s="134">
        <v>45800</v>
      </c>
      <c r="M2577" s="110">
        <v>51.25</v>
      </c>
      <c r="N2577" s="110">
        <v>51.39</v>
      </c>
      <c r="O2577" s="110">
        <v>50.29</v>
      </c>
      <c r="P2577" s="110">
        <v>50.62</v>
      </c>
      <c r="Q2577" s="110">
        <v>51.25</v>
      </c>
      <c r="R2577">
        <v>8293799</v>
      </c>
    </row>
    <row r="2578" spans="1:18" x14ac:dyDescent="0.25">
      <c r="A2578" s="134">
        <v>45803</v>
      </c>
      <c r="B2578" s="110">
        <v>51.75</v>
      </c>
      <c r="C2578" s="110">
        <v>51.05</v>
      </c>
      <c r="D2578" s="110">
        <v>50.94</v>
      </c>
      <c r="E2578" s="110">
        <v>51.43</v>
      </c>
      <c r="F2578" s="110">
        <v>51.05</v>
      </c>
      <c r="G2578">
        <v>706400</v>
      </c>
      <c r="H2578" s="110"/>
      <c r="I2578" s="110"/>
      <c r="L2578" s="134">
        <v>45803</v>
      </c>
      <c r="M2578" s="110">
        <v>51.07</v>
      </c>
      <c r="N2578" s="110">
        <v>51.75</v>
      </c>
      <c r="O2578" s="110">
        <v>50.92</v>
      </c>
      <c r="P2578" s="110">
        <v>51.5</v>
      </c>
      <c r="Q2578" s="110">
        <v>51.07</v>
      </c>
      <c r="R2578">
        <v>5543401</v>
      </c>
    </row>
    <row r="2579" spans="1:18" x14ac:dyDescent="0.25">
      <c r="A2579" s="134">
        <v>45804</v>
      </c>
      <c r="B2579" s="110">
        <v>51.56</v>
      </c>
      <c r="C2579" s="110">
        <v>50.97</v>
      </c>
      <c r="D2579" s="110">
        <v>50.56</v>
      </c>
      <c r="E2579" s="110">
        <v>51.56</v>
      </c>
      <c r="F2579" s="110">
        <v>50.97</v>
      </c>
      <c r="G2579">
        <v>291756</v>
      </c>
      <c r="H2579" s="110"/>
      <c r="I2579" s="110"/>
      <c r="L2579" s="134">
        <v>45804</v>
      </c>
      <c r="M2579" s="110">
        <v>50.96</v>
      </c>
      <c r="N2579" s="110">
        <v>51.49</v>
      </c>
      <c r="O2579" s="110">
        <v>50.55</v>
      </c>
      <c r="P2579" s="110">
        <v>51.3</v>
      </c>
      <c r="Q2579" s="110">
        <v>50.96</v>
      </c>
      <c r="R2579">
        <v>7280462</v>
      </c>
    </row>
    <row r="2580" spans="1:18" x14ac:dyDescent="0.25">
      <c r="A2580" s="134">
        <v>45805</v>
      </c>
      <c r="B2580" s="110">
        <v>51.55</v>
      </c>
      <c r="C2580" s="110">
        <v>51.16</v>
      </c>
      <c r="D2580" s="110">
        <v>50.99</v>
      </c>
      <c r="E2580" s="110">
        <v>51</v>
      </c>
      <c r="F2580" s="110">
        <v>51.16</v>
      </c>
      <c r="G2580">
        <v>696019</v>
      </c>
      <c r="H2580" s="110"/>
      <c r="I2580" s="110"/>
      <c r="L2580" s="134">
        <v>45805</v>
      </c>
      <c r="M2580" s="110">
        <v>51.17</v>
      </c>
      <c r="N2580" s="110">
        <v>51.57</v>
      </c>
      <c r="O2580" s="110">
        <v>50.96</v>
      </c>
      <c r="P2580" s="110">
        <v>51.01</v>
      </c>
      <c r="Q2580" s="110">
        <v>51.17</v>
      </c>
      <c r="R2580">
        <v>5599321</v>
      </c>
    </row>
    <row r="2581" spans="1:18" x14ac:dyDescent="0.25">
      <c r="A2581" s="134">
        <v>45806</v>
      </c>
      <c r="B2581" s="110">
        <v>51.51</v>
      </c>
      <c r="C2581" s="110">
        <v>50.99</v>
      </c>
      <c r="D2581" s="110">
        <v>50.93</v>
      </c>
      <c r="E2581" s="110">
        <v>51.48</v>
      </c>
      <c r="F2581" s="110">
        <v>50.99</v>
      </c>
      <c r="G2581">
        <v>238923</v>
      </c>
      <c r="H2581" s="110"/>
      <c r="I2581" s="110"/>
      <c r="L2581" s="134">
        <v>45806</v>
      </c>
      <c r="M2581" s="110">
        <v>50.99</v>
      </c>
      <c r="N2581" s="110">
        <v>51.59</v>
      </c>
      <c r="O2581" s="110">
        <v>50.91</v>
      </c>
      <c r="P2581" s="110">
        <v>51.41</v>
      </c>
      <c r="Q2581" s="110">
        <v>50.99</v>
      </c>
      <c r="R2581">
        <v>5836934</v>
      </c>
    </row>
    <row r="2582" spans="1:18" x14ac:dyDescent="0.25">
      <c r="A2582" s="134">
        <v>45807</v>
      </c>
      <c r="B2582" s="110">
        <v>54.4</v>
      </c>
      <c r="C2582" s="110">
        <v>53.99</v>
      </c>
      <c r="D2582" s="110">
        <v>50.75</v>
      </c>
      <c r="E2582" s="110">
        <v>51.01</v>
      </c>
      <c r="F2582" s="110">
        <v>53.99</v>
      </c>
      <c r="G2582">
        <v>4182520</v>
      </c>
      <c r="H2582" s="110"/>
      <c r="I2582" s="110"/>
      <c r="L2582" s="134">
        <v>45807</v>
      </c>
      <c r="M2582" s="110">
        <v>53.98</v>
      </c>
      <c r="N2582" s="110">
        <v>54.42</v>
      </c>
      <c r="O2582" s="110">
        <v>50.74</v>
      </c>
      <c r="P2582" s="110">
        <v>51.02</v>
      </c>
      <c r="Q2582" s="110">
        <v>53.98</v>
      </c>
      <c r="R2582">
        <v>47507170</v>
      </c>
    </row>
    <row r="2583" spans="1:18" x14ac:dyDescent="0.25">
      <c r="A2583" s="134">
        <v>45810</v>
      </c>
      <c r="B2583" s="110">
        <v>58</v>
      </c>
      <c r="C2583" s="110">
        <v>57.48</v>
      </c>
      <c r="D2583" s="110">
        <v>54.1</v>
      </c>
      <c r="E2583" s="110">
        <v>54.5</v>
      </c>
      <c r="F2583" s="110">
        <v>57.48</v>
      </c>
      <c r="G2583">
        <v>8466020</v>
      </c>
      <c r="H2583" s="110"/>
      <c r="I2583" s="110"/>
      <c r="L2583" s="134">
        <v>45810</v>
      </c>
      <c r="M2583" s="110">
        <v>57.51</v>
      </c>
      <c r="N2583" s="110">
        <v>58</v>
      </c>
      <c r="O2583" s="110">
        <v>54.1</v>
      </c>
      <c r="P2583" s="110">
        <v>54.35</v>
      </c>
      <c r="Q2583" s="110">
        <v>57.51</v>
      </c>
      <c r="R2583">
        <v>84450128</v>
      </c>
    </row>
    <row r="2584" spans="1:18" x14ac:dyDescent="0.25">
      <c r="A2584" s="134">
        <v>45811</v>
      </c>
      <c r="B2584" s="110">
        <v>57.92</v>
      </c>
      <c r="C2584" s="110">
        <v>56.65</v>
      </c>
      <c r="D2584" s="110">
        <v>55.7</v>
      </c>
      <c r="E2584" s="110">
        <v>57.54</v>
      </c>
      <c r="F2584" s="110">
        <v>56.65</v>
      </c>
      <c r="G2584">
        <v>1378039</v>
      </c>
      <c r="H2584" s="110"/>
      <c r="I2584" s="110"/>
      <c r="L2584" s="134">
        <v>45811</v>
      </c>
      <c r="M2584" s="110">
        <v>56.64</v>
      </c>
      <c r="N2584" s="110">
        <v>57.88</v>
      </c>
      <c r="O2584" s="110">
        <v>55.61</v>
      </c>
      <c r="P2584" s="110">
        <v>57.75</v>
      </c>
      <c r="Q2584" s="110">
        <v>56.64</v>
      </c>
      <c r="R2584">
        <v>28400564</v>
      </c>
    </row>
    <row r="2585" spans="1:18" x14ac:dyDescent="0.25">
      <c r="A2585" s="134">
        <v>45812</v>
      </c>
      <c r="B2585" s="110">
        <v>57.05</v>
      </c>
      <c r="C2585" s="110">
        <v>56.41</v>
      </c>
      <c r="D2585" s="110">
        <v>55.55</v>
      </c>
      <c r="E2585" s="110">
        <v>56.73</v>
      </c>
      <c r="F2585" s="110">
        <v>56.41</v>
      </c>
      <c r="G2585">
        <v>1375569</v>
      </c>
      <c r="H2585" s="110"/>
      <c r="I2585" s="110"/>
      <c r="L2585" s="134">
        <v>45812</v>
      </c>
      <c r="M2585" s="110">
        <v>56.41</v>
      </c>
      <c r="N2585" s="110">
        <v>57.1</v>
      </c>
      <c r="O2585" s="110">
        <v>55.56</v>
      </c>
      <c r="P2585" s="110">
        <v>56.85</v>
      </c>
      <c r="Q2585" s="110">
        <v>56.41</v>
      </c>
      <c r="R2585">
        <v>17650024</v>
      </c>
    </row>
    <row r="2586" spans="1:18" x14ac:dyDescent="0.25">
      <c r="A2586" s="134">
        <v>45813</v>
      </c>
      <c r="B2586" s="110">
        <v>57.33</v>
      </c>
      <c r="C2586" s="110">
        <v>55.92</v>
      </c>
      <c r="D2586" s="110">
        <v>55.72</v>
      </c>
      <c r="E2586" s="110">
        <v>56.62</v>
      </c>
      <c r="F2586" s="110">
        <v>55.92</v>
      </c>
      <c r="G2586">
        <v>1188819</v>
      </c>
      <c r="H2586" s="110"/>
      <c r="I2586" s="110"/>
      <c r="L2586" s="134">
        <v>45813</v>
      </c>
      <c r="M2586" s="110">
        <v>55.91</v>
      </c>
      <c r="N2586" s="110">
        <v>57.39</v>
      </c>
      <c r="O2586" s="110">
        <v>55.72</v>
      </c>
      <c r="P2586" s="110">
        <v>56.7</v>
      </c>
      <c r="Q2586" s="110">
        <v>55.91</v>
      </c>
      <c r="R2586">
        <v>11838285</v>
      </c>
    </row>
    <row r="2587" spans="1:18" x14ac:dyDescent="0.25">
      <c r="A2587" s="134">
        <v>45814</v>
      </c>
      <c r="B2587" s="110">
        <v>57.18</v>
      </c>
      <c r="C2587" s="110">
        <v>55.05</v>
      </c>
      <c r="D2587" s="110">
        <v>54.48</v>
      </c>
      <c r="E2587" s="110">
        <v>55.7</v>
      </c>
      <c r="F2587" s="110">
        <v>55.05</v>
      </c>
      <c r="G2587">
        <v>2295274</v>
      </c>
      <c r="H2587" s="110"/>
      <c r="I2587" s="110"/>
      <c r="L2587" s="134">
        <v>45814</v>
      </c>
      <c r="M2587" s="110">
        <v>55.04</v>
      </c>
      <c r="N2587" s="110">
        <v>57.16</v>
      </c>
      <c r="O2587" s="110">
        <v>54.49</v>
      </c>
      <c r="P2587" s="110">
        <v>55.65</v>
      </c>
      <c r="Q2587" s="110">
        <v>55.04</v>
      </c>
      <c r="R2587">
        <v>29951358</v>
      </c>
    </row>
    <row r="2588" spans="1:18" x14ac:dyDescent="0.25">
      <c r="A2588" s="134">
        <v>45817</v>
      </c>
      <c r="B2588" s="110">
        <v>57.79</v>
      </c>
      <c r="C2588" s="110">
        <v>56.86</v>
      </c>
      <c r="D2588" s="110">
        <v>55.2</v>
      </c>
      <c r="E2588" s="110">
        <v>55.69</v>
      </c>
      <c r="F2588" s="110">
        <v>56.86</v>
      </c>
      <c r="G2588">
        <v>3469301</v>
      </c>
      <c r="H2588" s="110"/>
      <c r="I2588" s="110"/>
      <c r="L2588" s="134">
        <v>45817</v>
      </c>
      <c r="M2588" s="110">
        <v>56.85</v>
      </c>
      <c r="N2588" s="110">
        <v>57.85</v>
      </c>
      <c r="O2588" s="110">
        <v>55.36</v>
      </c>
      <c r="P2588" s="110">
        <v>55.36</v>
      </c>
      <c r="Q2588" s="110">
        <v>56.85</v>
      </c>
      <c r="R2588">
        <v>24502314</v>
      </c>
    </row>
    <row r="2589" spans="1:18" x14ac:dyDescent="0.25">
      <c r="A2589" s="134">
        <v>45818</v>
      </c>
      <c r="B2589" s="110">
        <v>57.65</v>
      </c>
      <c r="C2589" s="110">
        <v>56.48</v>
      </c>
      <c r="D2589" s="110">
        <v>56.31</v>
      </c>
      <c r="E2589" s="110">
        <v>56.95</v>
      </c>
      <c r="F2589" s="110">
        <v>56.48</v>
      </c>
      <c r="G2589">
        <v>1463367</v>
      </c>
      <c r="H2589" s="110"/>
      <c r="I2589" s="110"/>
      <c r="L2589" s="134">
        <v>45818</v>
      </c>
      <c r="M2589" s="110">
        <v>56.48</v>
      </c>
      <c r="N2589" s="110">
        <v>57.7</v>
      </c>
      <c r="O2589" s="110">
        <v>56.34</v>
      </c>
      <c r="P2589" s="110">
        <v>57.08</v>
      </c>
      <c r="Q2589" s="110">
        <v>56.48</v>
      </c>
      <c r="R2589">
        <v>15916466</v>
      </c>
    </row>
    <row r="2590" spans="1:18" x14ac:dyDescent="0.25">
      <c r="A2590" s="134">
        <v>45819</v>
      </c>
      <c r="B2590" s="110">
        <v>56.51</v>
      </c>
      <c r="C2590" s="110">
        <v>55.99</v>
      </c>
      <c r="D2590" s="110">
        <v>55.26</v>
      </c>
      <c r="E2590" s="110">
        <v>56.48</v>
      </c>
      <c r="F2590" s="110">
        <v>55.99</v>
      </c>
      <c r="G2590">
        <v>816504</v>
      </c>
      <c r="H2590" s="110"/>
      <c r="I2590" s="110"/>
      <c r="L2590" s="134">
        <v>45819</v>
      </c>
      <c r="M2590" s="110">
        <v>55.96</v>
      </c>
      <c r="N2590" s="110">
        <v>56.7</v>
      </c>
      <c r="O2590" s="110">
        <v>55.26</v>
      </c>
      <c r="P2590" s="110">
        <v>56.5</v>
      </c>
      <c r="Q2590" s="110">
        <v>55.96</v>
      </c>
      <c r="R2590">
        <v>15201213</v>
      </c>
    </row>
    <row r="2591" spans="1:18" x14ac:dyDescent="0.25">
      <c r="A2591" s="134">
        <v>45820</v>
      </c>
      <c r="B2591" s="110">
        <v>56.44</v>
      </c>
      <c r="C2591" s="110">
        <v>54.1</v>
      </c>
      <c r="D2591" s="110">
        <v>53.85</v>
      </c>
      <c r="E2591" s="110">
        <v>56.37</v>
      </c>
      <c r="F2591" s="110">
        <v>54.1</v>
      </c>
      <c r="G2591">
        <v>1257410</v>
      </c>
      <c r="H2591" s="110"/>
      <c r="I2591" s="110"/>
      <c r="L2591" s="134">
        <v>45820</v>
      </c>
      <c r="M2591" s="110">
        <v>54.09</v>
      </c>
      <c r="N2591" s="110">
        <v>56.44</v>
      </c>
      <c r="O2591" s="110">
        <v>53.85</v>
      </c>
      <c r="P2591" s="110">
        <v>56.25</v>
      </c>
      <c r="Q2591" s="110">
        <v>54.09</v>
      </c>
      <c r="R2591">
        <v>15405284</v>
      </c>
    </row>
    <row r="2592" spans="1:18" x14ac:dyDescent="0.25">
      <c r="A2592" s="134">
        <v>45821</v>
      </c>
      <c r="B2592" s="110">
        <v>54.65</v>
      </c>
      <c r="C2592" s="110">
        <v>54.38</v>
      </c>
      <c r="D2592" s="110">
        <v>52.66</v>
      </c>
      <c r="E2592" s="110">
        <v>53.04</v>
      </c>
      <c r="F2592" s="110">
        <v>54.38</v>
      </c>
      <c r="G2592">
        <v>1248980</v>
      </c>
      <c r="H2592" s="110"/>
      <c r="I2592" s="110"/>
      <c r="L2592" s="134">
        <v>45821</v>
      </c>
      <c r="M2592" s="110">
        <v>54.4</v>
      </c>
      <c r="N2592" s="110">
        <v>54.65</v>
      </c>
      <c r="O2592" s="110">
        <v>52.67</v>
      </c>
      <c r="P2592" s="110">
        <v>53</v>
      </c>
      <c r="Q2592" s="110">
        <v>54.4</v>
      </c>
      <c r="R2592">
        <v>14054848</v>
      </c>
    </row>
    <row r="2593" spans="1:18" x14ac:dyDescent="0.25">
      <c r="A2593" s="134">
        <v>45824</v>
      </c>
      <c r="B2593" s="110">
        <v>54.83</v>
      </c>
      <c r="C2593" s="110">
        <v>54.61</v>
      </c>
      <c r="D2593" s="110">
        <v>53.06</v>
      </c>
      <c r="E2593" s="110">
        <v>54.31</v>
      </c>
      <c r="F2593" s="110">
        <v>54.61</v>
      </c>
      <c r="G2593">
        <v>630994</v>
      </c>
      <c r="H2593" s="110"/>
      <c r="I2593" s="110"/>
      <c r="L2593" s="134">
        <v>45824</v>
      </c>
      <c r="M2593" s="110">
        <v>54.61</v>
      </c>
      <c r="N2593" s="110">
        <v>54.8</v>
      </c>
      <c r="O2593" s="110">
        <v>53.05</v>
      </c>
      <c r="P2593" s="110">
        <v>54.5</v>
      </c>
      <c r="Q2593" s="110">
        <v>54.61</v>
      </c>
      <c r="R2593">
        <v>9646527</v>
      </c>
    </row>
    <row r="2594" spans="1:18" x14ac:dyDescent="0.25">
      <c r="A2594" s="134">
        <v>45825</v>
      </c>
      <c r="B2594" s="110">
        <v>56.15</v>
      </c>
      <c r="C2594" s="110">
        <v>54.58</v>
      </c>
      <c r="D2594" s="110">
        <v>54.13</v>
      </c>
      <c r="E2594" s="110">
        <v>54.78</v>
      </c>
      <c r="F2594" s="110">
        <v>54.58</v>
      </c>
      <c r="G2594">
        <v>811379</v>
      </c>
      <c r="H2594" s="110"/>
      <c r="I2594" s="110"/>
      <c r="L2594" s="134">
        <v>45825</v>
      </c>
      <c r="M2594" s="110">
        <v>54.44</v>
      </c>
      <c r="N2594" s="110">
        <v>56.19</v>
      </c>
      <c r="O2594" s="110">
        <v>54.05</v>
      </c>
      <c r="P2594" s="110">
        <v>54.86</v>
      </c>
      <c r="Q2594" s="110">
        <v>54.44</v>
      </c>
      <c r="R2594">
        <v>12340525</v>
      </c>
    </row>
    <row r="2595" spans="1:18" x14ac:dyDescent="0.25">
      <c r="A2595" s="134">
        <v>45826</v>
      </c>
      <c r="B2595" s="110">
        <v>55.1</v>
      </c>
      <c r="C2595" s="110">
        <v>54.44</v>
      </c>
      <c r="D2595" s="110">
        <v>53.69</v>
      </c>
      <c r="E2595" s="110">
        <v>54.55</v>
      </c>
      <c r="F2595" s="110">
        <v>54.44</v>
      </c>
      <c r="G2595">
        <v>805421</v>
      </c>
      <c r="H2595" s="110"/>
      <c r="I2595" s="110"/>
      <c r="L2595" s="134">
        <v>45826</v>
      </c>
      <c r="M2595" s="110">
        <v>54.48</v>
      </c>
      <c r="N2595" s="110">
        <v>55.14</v>
      </c>
      <c r="O2595" s="110">
        <v>53.66</v>
      </c>
      <c r="P2595" s="110">
        <v>54.49</v>
      </c>
      <c r="Q2595" s="110">
        <v>54.48</v>
      </c>
      <c r="R2595">
        <v>8642727</v>
      </c>
    </row>
    <row r="2596" spans="1:18" x14ac:dyDescent="0.25">
      <c r="A2596" s="134">
        <v>45827</v>
      </c>
      <c r="B2596" s="110">
        <v>54.51</v>
      </c>
      <c r="C2596" s="110">
        <v>53.73</v>
      </c>
      <c r="D2596" s="110">
        <v>53.12</v>
      </c>
      <c r="E2596" s="110">
        <v>54.5</v>
      </c>
      <c r="F2596" s="110">
        <v>53.73</v>
      </c>
      <c r="G2596">
        <v>498537</v>
      </c>
      <c r="H2596" s="110"/>
      <c r="I2596" s="110"/>
      <c r="L2596" s="134">
        <v>45827</v>
      </c>
      <c r="M2596" s="110">
        <v>53.7</v>
      </c>
      <c r="N2596" s="110">
        <v>54.6</v>
      </c>
      <c r="O2596" s="110">
        <v>53.1</v>
      </c>
      <c r="P2596" s="110">
        <v>54.44</v>
      </c>
      <c r="Q2596" s="110">
        <v>53.7</v>
      </c>
      <c r="R2596">
        <v>10692264</v>
      </c>
    </row>
    <row r="2597" spans="1:18" x14ac:dyDescent="0.25">
      <c r="A2597" s="134">
        <v>45828</v>
      </c>
      <c r="B2597" s="110">
        <v>54.4</v>
      </c>
      <c r="C2597" s="110">
        <v>53.86</v>
      </c>
      <c r="D2597" s="110">
        <v>53.59</v>
      </c>
      <c r="E2597" s="110">
        <v>53.65</v>
      </c>
      <c r="F2597" s="110">
        <v>53.86</v>
      </c>
      <c r="G2597">
        <v>563109</v>
      </c>
      <c r="H2597" s="110"/>
      <c r="I2597" s="110"/>
      <c r="L2597" s="134">
        <v>45828</v>
      </c>
      <c r="M2597" s="110">
        <v>53.87</v>
      </c>
      <c r="N2597" s="110">
        <v>54.4</v>
      </c>
      <c r="O2597" s="110">
        <v>53.54</v>
      </c>
      <c r="P2597" s="110">
        <v>53.6</v>
      </c>
      <c r="Q2597" s="110">
        <v>53.87</v>
      </c>
      <c r="R2597">
        <v>6773542</v>
      </c>
    </row>
    <row r="2598" spans="1:18" x14ac:dyDescent="0.25">
      <c r="A2598" s="134">
        <v>45831</v>
      </c>
      <c r="B2598" s="110">
        <v>53.85</v>
      </c>
      <c r="C2598" s="110">
        <v>53.42</v>
      </c>
      <c r="D2598" s="110">
        <v>53.01</v>
      </c>
      <c r="E2598" s="110">
        <v>53.01</v>
      </c>
      <c r="F2598" s="110">
        <v>53.42</v>
      </c>
      <c r="G2598">
        <v>16594773</v>
      </c>
      <c r="H2598" s="110"/>
      <c r="I2598" s="110"/>
      <c r="L2598" s="134">
        <v>45831</v>
      </c>
      <c r="M2598" s="110">
        <v>53.44</v>
      </c>
      <c r="N2598" s="110">
        <v>53.87</v>
      </c>
      <c r="O2598" s="110">
        <v>53.18</v>
      </c>
      <c r="P2598" s="110">
        <v>53.22</v>
      </c>
      <c r="Q2598" s="110">
        <v>53.44</v>
      </c>
      <c r="R2598">
        <v>6659071</v>
      </c>
    </row>
    <row r="2599" spans="1:18" x14ac:dyDescent="0.25">
      <c r="A2599" s="134">
        <v>45832</v>
      </c>
      <c r="B2599" s="110">
        <v>55.19</v>
      </c>
      <c r="C2599" s="110">
        <v>54.58</v>
      </c>
      <c r="D2599" s="110">
        <v>54</v>
      </c>
      <c r="E2599" s="110">
        <v>54</v>
      </c>
      <c r="F2599" s="110">
        <v>54.58</v>
      </c>
      <c r="G2599">
        <v>590018</v>
      </c>
      <c r="H2599" s="110"/>
      <c r="I2599" s="110"/>
      <c r="L2599" s="134">
        <v>45832</v>
      </c>
      <c r="M2599" s="110">
        <v>54.52</v>
      </c>
      <c r="N2599" s="110">
        <v>55.2</v>
      </c>
      <c r="O2599" s="110">
        <v>54.07</v>
      </c>
      <c r="P2599" s="110">
        <v>54.18</v>
      </c>
      <c r="Q2599" s="110">
        <v>54.52</v>
      </c>
      <c r="R2599">
        <v>12183609</v>
      </c>
    </row>
    <row r="2600" spans="1:18" x14ac:dyDescent="0.25">
      <c r="A2600" s="134">
        <v>45833</v>
      </c>
      <c r="B2600" s="110">
        <v>54.96</v>
      </c>
      <c r="C2600" s="110">
        <v>54.3</v>
      </c>
      <c r="D2600" s="110">
        <v>54.24</v>
      </c>
      <c r="E2600" s="110">
        <v>54.67</v>
      </c>
      <c r="F2600" s="110">
        <v>54.3</v>
      </c>
      <c r="G2600">
        <v>469834</v>
      </c>
      <c r="H2600" s="110"/>
      <c r="I2600" s="110"/>
      <c r="L2600" s="134">
        <v>45833</v>
      </c>
      <c r="M2600" s="110">
        <v>54.3</v>
      </c>
      <c r="N2600" s="110">
        <v>54.98</v>
      </c>
      <c r="O2600" s="110">
        <v>54.2</v>
      </c>
      <c r="P2600" s="110">
        <v>54.75</v>
      </c>
      <c r="Q2600" s="110">
        <v>54.3</v>
      </c>
      <c r="R2600">
        <v>6281514</v>
      </c>
    </row>
    <row r="2601" spans="1:18" x14ac:dyDescent="0.25">
      <c r="A2601" s="134">
        <v>45834</v>
      </c>
      <c r="B2601" s="110">
        <v>54.96</v>
      </c>
      <c r="C2601" s="110">
        <v>53.89</v>
      </c>
      <c r="D2601" s="110">
        <v>53.64</v>
      </c>
      <c r="E2601" s="110">
        <v>54.96</v>
      </c>
      <c r="F2601" s="110">
        <v>53.89</v>
      </c>
      <c r="G2601">
        <v>450011</v>
      </c>
      <c r="H2601" s="110"/>
      <c r="I2601" s="110"/>
      <c r="L2601" s="134">
        <v>45834</v>
      </c>
      <c r="M2601" s="110">
        <v>53.84</v>
      </c>
      <c r="N2601" s="110">
        <v>54.7</v>
      </c>
      <c r="O2601" s="110">
        <v>53.65</v>
      </c>
      <c r="P2601" s="110">
        <v>54.59</v>
      </c>
      <c r="Q2601" s="110">
        <v>53.84</v>
      </c>
      <c r="R2601">
        <v>10097515</v>
      </c>
    </row>
    <row r="2602" spans="1:18" x14ac:dyDescent="0.25">
      <c r="A2602" s="134">
        <v>45835</v>
      </c>
      <c r="B2602" s="110">
        <v>55.45</v>
      </c>
      <c r="C2602" s="110">
        <v>54.37</v>
      </c>
      <c r="D2602" s="110">
        <v>53.92</v>
      </c>
      <c r="E2602" s="110">
        <v>53.92</v>
      </c>
      <c r="F2602" s="110">
        <v>54.37</v>
      </c>
      <c r="G2602">
        <v>857596</v>
      </c>
      <c r="H2602" s="110"/>
      <c r="I2602" s="110"/>
      <c r="L2602" s="134">
        <v>45835</v>
      </c>
      <c r="M2602" s="110">
        <v>54.3</v>
      </c>
      <c r="N2602" s="110">
        <v>55.41</v>
      </c>
      <c r="O2602" s="110">
        <v>54.01</v>
      </c>
      <c r="P2602" s="110">
        <v>54.1</v>
      </c>
      <c r="Q2602" s="110">
        <v>54.3</v>
      </c>
      <c r="R2602">
        <v>12529980</v>
      </c>
    </row>
    <row r="2603" spans="1:18" x14ac:dyDescent="0.25">
      <c r="A2603" s="134">
        <v>45838</v>
      </c>
      <c r="B2603" s="110">
        <v>57.35</v>
      </c>
      <c r="C2603" s="110">
        <v>57.1</v>
      </c>
      <c r="D2603" s="110">
        <v>54.52</v>
      </c>
      <c r="E2603" s="110">
        <v>54.52</v>
      </c>
      <c r="F2603" s="110">
        <v>57.1</v>
      </c>
      <c r="G2603">
        <v>3258016</v>
      </c>
      <c r="H2603" s="110"/>
      <c r="I2603" s="110"/>
      <c r="L2603" s="134">
        <v>45838</v>
      </c>
      <c r="M2603" s="110">
        <v>57.11</v>
      </c>
      <c r="N2603" s="110">
        <v>57.35</v>
      </c>
      <c r="O2603" s="110">
        <v>54.6</v>
      </c>
      <c r="P2603" s="110">
        <v>54.6</v>
      </c>
      <c r="Q2603" s="110">
        <v>57.11</v>
      </c>
      <c r="R2603">
        <v>53156282</v>
      </c>
    </row>
    <row r="2604" spans="1:18" x14ac:dyDescent="0.25">
      <c r="A2604" s="134">
        <v>45839</v>
      </c>
      <c r="B2604" s="110">
        <v>58.84</v>
      </c>
      <c r="C2604" s="110">
        <v>58.26</v>
      </c>
      <c r="D2604" s="110">
        <v>56.47</v>
      </c>
      <c r="E2604" s="110">
        <v>57.35</v>
      </c>
      <c r="F2604" s="110">
        <v>58.26</v>
      </c>
      <c r="G2604">
        <v>2183131</v>
      </c>
      <c r="H2604" s="110"/>
      <c r="I2604" s="110"/>
      <c r="L2604" s="134">
        <v>45839</v>
      </c>
      <c r="M2604" s="110">
        <v>58.33</v>
      </c>
      <c r="N2604" s="110">
        <v>58.79</v>
      </c>
      <c r="O2604" s="110">
        <v>56.5</v>
      </c>
      <c r="P2604" s="110">
        <v>57.24</v>
      </c>
      <c r="Q2604" s="110">
        <v>58.33</v>
      </c>
      <c r="R2604">
        <v>48251029</v>
      </c>
    </row>
    <row r="2605" spans="1:18" x14ac:dyDescent="0.25">
      <c r="A2605" s="134">
        <v>45840</v>
      </c>
      <c r="B2605" s="110">
        <v>58.76</v>
      </c>
      <c r="C2605" s="110">
        <v>57.04</v>
      </c>
      <c r="D2605" s="110">
        <v>56.91</v>
      </c>
      <c r="E2605" s="110">
        <v>58.67</v>
      </c>
      <c r="F2605" s="110">
        <v>57.04</v>
      </c>
      <c r="G2605">
        <v>851716</v>
      </c>
      <c r="H2605" s="110"/>
      <c r="I2605" s="110"/>
      <c r="L2605" s="134">
        <v>45840</v>
      </c>
      <c r="M2605" s="110">
        <v>57.08</v>
      </c>
      <c r="N2605" s="110">
        <v>58.78</v>
      </c>
      <c r="O2605" s="110">
        <v>56.9</v>
      </c>
      <c r="P2605" s="110">
        <v>58.6</v>
      </c>
      <c r="Q2605" s="110">
        <v>57.08</v>
      </c>
      <c r="R2605">
        <v>21469665</v>
      </c>
    </row>
    <row r="2606" spans="1:18" x14ac:dyDescent="0.25">
      <c r="A2606" s="134">
        <v>45841</v>
      </c>
      <c r="B2606" s="110">
        <v>57.6</v>
      </c>
      <c r="C2606" s="110">
        <v>57.22</v>
      </c>
      <c r="D2606" s="110">
        <v>56.43</v>
      </c>
      <c r="E2606" s="110">
        <v>57.48</v>
      </c>
      <c r="F2606" s="110">
        <v>57.22</v>
      </c>
      <c r="G2606">
        <v>3168620</v>
      </c>
      <c r="H2606" s="110"/>
      <c r="I2606" s="110"/>
      <c r="L2606" s="134">
        <v>45841</v>
      </c>
      <c r="M2606" s="110">
        <v>57.19</v>
      </c>
      <c r="N2606" s="110">
        <v>57.47</v>
      </c>
      <c r="O2606" s="110">
        <v>56.44</v>
      </c>
      <c r="P2606" s="110">
        <v>57.29</v>
      </c>
      <c r="Q2606" s="110">
        <v>57.19</v>
      </c>
      <c r="R2606">
        <v>11508085</v>
      </c>
    </row>
    <row r="2607" spans="1:18" x14ac:dyDescent="0.25">
      <c r="A2607" s="134">
        <v>45842</v>
      </c>
      <c r="B2607" s="110">
        <v>57.71</v>
      </c>
      <c r="C2607" s="110">
        <v>57.48</v>
      </c>
      <c r="D2607" s="110">
        <v>56.82</v>
      </c>
      <c r="E2607" s="110">
        <v>57.28</v>
      </c>
      <c r="F2607" s="110">
        <v>57.48</v>
      </c>
      <c r="G2607">
        <v>1122601</v>
      </c>
      <c r="H2607" s="110"/>
      <c r="I2607" s="110"/>
      <c r="L2607" s="134">
        <v>45842</v>
      </c>
      <c r="M2607" s="110">
        <v>57.49</v>
      </c>
      <c r="N2607" s="110">
        <v>57.75</v>
      </c>
      <c r="O2607" s="110">
        <v>56.82</v>
      </c>
      <c r="P2607" s="110">
        <v>57.44</v>
      </c>
      <c r="Q2607" s="110">
        <v>57.49</v>
      </c>
      <c r="R2607">
        <v>14706449</v>
      </c>
    </row>
    <row r="2608" spans="1:18" x14ac:dyDescent="0.25">
      <c r="A2608" s="134">
        <v>45845</v>
      </c>
      <c r="B2608" s="110">
        <v>57.8</v>
      </c>
      <c r="C2608" s="110">
        <v>57.38</v>
      </c>
      <c r="D2608" s="110">
        <v>57.13</v>
      </c>
      <c r="E2608" s="110">
        <v>57.51</v>
      </c>
      <c r="F2608" s="110">
        <v>57.38</v>
      </c>
      <c r="G2608">
        <v>476026</v>
      </c>
      <c r="H2608" s="110"/>
      <c r="I2608" s="110"/>
      <c r="L2608" s="134">
        <v>45845</v>
      </c>
      <c r="M2608" s="110">
        <v>57.39</v>
      </c>
      <c r="N2608" s="110">
        <v>57.85</v>
      </c>
      <c r="O2608" s="110">
        <v>57.14</v>
      </c>
      <c r="P2608" s="110">
        <v>57.74</v>
      </c>
      <c r="Q2608" s="110">
        <v>57.39</v>
      </c>
      <c r="R2608">
        <v>9308350</v>
      </c>
    </row>
    <row r="2609" spans="1:18" x14ac:dyDescent="0.25">
      <c r="A2609" s="134">
        <v>45846</v>
      </c>
      <c r="B2609" s="110">
        <v>57.57</v>
      </c>
      <c r="C2609" s="110">
        <v>56.79</v>
      </c>
      <c r="D2609" s="110">
        <v>56.42</v>
      </c>
      <c r="E2609" s="110">
        <v>57.57</v>
      </c>
      <c r="F2609" s="110">
        <v>56.79</v>
      </c>
      <c r="G2609">
        <v>329881</v>
      </c>
      <c r="H2609" s="110"/>
      <c r="I2609" s="110"/>
      <c r="L2609" s="134">
        <v>45846</v>
      </c>
      <c r="M2609" s="110">
        <v>56.81</v>
      </c>
      <c r="N2609" s="110">
        <v>57.57</v>
      </c>
      <c r="O2609" s="110">
        <v>56.4</v>
      </c>
      <c r="P2609" s="110">
        <v>57.38</v>
      </c>
      <c r="Q2609" s="110">
        <v>56.81</v>
      </c>
      <c r="R2609">
        <v>7972654</v>
      </c>
    </row>
    <row r="2610" spans="1:18" x14ac:dyDescent="0.25">
      <c r="A2610" s="134">
        <v>45847</v>
      </c>
      <c r="B2610" s="110">
        <v>57.45</v>
      </c>
      <c r="C2610" s="110">
        <v>57.14</v>
      </c>
      <c r="D2610" s="110">
        <v>56.32</v>
      </c>
      <c r="E2610" s="110">
        <v>56.74</v>
      </c>
      <c r="F2610" s="110">
        <v>57.14</v>
      </c>
      <c r="G2610">
        <v>576970</v>
      </c>
      <c r="H2610" s="110"/>
      <c r="I2610" s="110"/>
      <c r="L2610" s="134">
        <v>45847</v>
      </c>
      <c r="M2610" s="110">
        <v>57.12</v>
      </c>
      <c r="N2610" s="110">
        <v>57.48</v>
      </c>
      <c r="O2610" s="110">
        <v>56.36</v>
      </c>
      <c r="P2610" s="110">
        <v>56.51</v>
      </c>
      <c r="Q2610" s="110">
        <v>57.12</v>
      </c>
      <c r="R2610">
        <v>9902037</v>
      </c>
    </row>
    <row r="2611" spans="1:18" x14ac:dyDescent="0.25">
      <c r="A2611" s="134">
        <v>45848</v>
      </c>
      <c r="B2611" s="110">
        <v>57.49</v>
      </c>
      <c r="C2611" s="110">
        <v>56.63</v>
      </c>
      <c r="D2611" s="110">
        <v>56.52</v>
      </c>
      <c r="E2611" s="110">
        <v>57.16</v>
      </c>
      <c r="F2611" s="110">
        <v>56.63</v>
      </c>
      <c r="G2611">
        <v>423622</v>
      </c>
      <c r="H2611" s="110"/>
      <c r="I2611" s="110"/>
      <c r="L2611" s="134">
        <v>45848</v>
      </c>
      <c r="M2611" s="110">
        <v>56.62</v>
      </c>
      <c r="N2611" s="110">
        <v>57.36</v>
      </c>
      <c r="O2611" s="110">
        <v>56.51</v>
      </c>
      <c r="P2611" s="110">
        <v>57.25</v>
      </c>
      <c r="Q2611" s="110">
        <v>56.62</v>
      </c>
      <c r="R2611">
        <v>5696264</v>
      </c>
    </row>
    <row r="2612" spans="1:18" x14ac:dyDescent="0.25">
      <c r="A2612" s="134">
        <v>45849</v>
      </c>
      <c r="B2612" s="110">
        <v>56.73</v>
      </c>
      <c r="C2612" s="110">
        <v>55.96</v>
      </c>
      <c r="D2612" s="110">
        <v>55.69</v>
      </c>
      <c r="E2612" s="110">
        <v>56.6</v>
      </c>
      <c r="F2612" s="110">
        <v>55.96</v>
      </c>
      <c r="G2612">
        <v>975621</v>
      </c>
      <c r="H2612" s="110"/>
      <c r="I2612" s="110"/>
      <c r="L2612" s="134">
        <v>45849</v>
      </c>
      <c r="M2612" s="110">
        <v>55.95</v>
      </c>
      <c r="N2612" s="110">
        <v>56.77</v>
      </c>
      <c r="O2612" s="110">
        <v>55.73</v>
      </c>
      <c r="P2612" s="110">
        <v>56.6</v>
      </c>
      <c r="Q2612" s="110">
        <v>55.95</v>
      </c>
      <c r="R2612">
        <v>10368392</v>
      </c>
    </row>
    <row r="2613" spans="1:18" x14ac:dyDescent="0.25">
      <c r="A2613" s="134">
        <v>45852</v>
      </c>
      <c r="B2613" s="110">
        <v>56.65</v>
      </c>
      <c r="C2613" s="110">
        <v>56.06</v>
      </c>
      <c r="D2613" s="110">
        <v>55.62</v>
      </c>
      <c r="E2613" s="110">
        <v>55.96</v>
      </c>
      <c r="F2613" s="110">
        <v>56.06</v>
      </c>
      <c r="G2613">
        <v>831476</v>
      </c>
      <c r="H2613" s="110"/>
      <c r="I2613" s="110"/>
      <c r="L2613" s="134">
        <v>45852</v>
      </c>
      <c r="M2613" s="110">
        <v>56.08</v>
      </c>
      <c r="N2613" s="110">
        <v>56.68</v>
      </c>
      <c r="O2613" s="110">
        <v>55.61</v>
      </c>
      <c r="P2613" s="110">
        <v>55.97</v>
      </c>
      <c r="Q2613" s="110">
        <v>56.08</v>
      </c>
      <c r="R2613">
        <v>9869575</v>
      </c>
    </row>
    <row r="2614" spans="1:18" x14ac:dyDescent="0.25">
      <c r="A2614" s="134">
        <v>45853</v>
      </c>
      <c r="B2614" s="110">
        <v>57.62</v>
      </c>
      <c r="C2614" s="110">
        <v>57.2</v>
      </c>
      <c r="D2614" s="110">
        <v>56.11</v>
      </c>
      <c r="E2614" s="110">
        <v>56.11</v>
      </c>
      <c r="F2614" s="110">
        <v>57.2</v>
      </c>
      <c r="G2614">
        <v>1103904</v>
      </c>
      <c r="H2614" s="110"/>
      <c r="I2614" s="110"/>
      <c r="L2614" s="134">
        <v>45853</v>
      </c>
      <c r="M2614" s="110">
        <v>57.17</v>
      </c>
      <c r="N2614" s="110">
        <v>57.64</v>
      </c>
      <c r="O2614" s="110">
        <v>56.22</v>
      </c>
      <c r="P2614" s="110">
        <v>56.37</v>
      </c>
      <c r="Q2614" s="110">
        <v>57.17</v>
      </c>
      <c r="R2614">
        <v>27378332</v>
      </c>
    </row>
    <row r="2615" spans="1:18" x14ac:dyDescent="0.25">
      <c r="A2615" s="134">
        <v>45854</v>
      </c>
      <c r="B2615" s="110">
        <v>58</v>
      </c>
      <c r="C2615" s="110">
        <v>57.34</v>
      </c>
      <c r="D2615" s="110">
        <v>57.07</v>
      </c>
      <c r="E2615" s="110">
        <v>57.99</v>
      </c>
      <c r="F2615" s="110">
        <v>57.34</v>
      </c>
      <c r="G2615">
        <v>1492806</v>
      </c>
      <c r="H2615" s="110"/>
      <c r="I2615" s="110"/>
      <c r="L2615" s="134">
        <v>45854</v>
      </c>
      <c r="M2615" s="110">
        <v>57.32</v>
      </c>
      <c r="N2615" s="110">
        <v>58</v>
      </c>
      <c r="O2615" s="110">
        <v>57.07</v>
      </c>
      <c r="P2615" s="110">
        <v>57.9</v>
      </c>
      <c r="Q2615" s="110">
        <v>57.32</v>
      </c>
      <c r="R2615">
        <v>22241028</v>
      </c>
    </row>
    <row r="2616" spans="1:18" x14ac:dyDescent="0.25">
      <c r="A2616" s="134">
        <v>45855</v>
      </c>
      <c r="B2616" s="110">
        <v>57.75</v>
      </c>
      <c r="C2616" s="110">
        <v>57.23</v>
      </c>
      <c r="D2616" s="110">
        <v>56.92</v>
      </c>
      <c r="E2616" s="110">
        <v>57.7</v>
      </c>
      <c r="F2616" s="110">
        <v>57.23</v>
      </c>
      <c r="G2616">
        <v>1106919</v>
      </c>
      <c r="H2616" s="110"/>
      <c r="I2616" s="110"/>
      <c r="L2616" s="134">
        <v>45855</v>
      </c>
      <c r="M2616" s="110">
        <v>57.28</v>
      </c>
      <c r="N2616" s="110">
        <v>57.74</v>
      </c>
      <c r="O2616" s="110">
        <v>56.92</v>
      </c>
      <c r="P2616" s="110">
        <v>57.64</v>
      </c>
      <c r="Q2616" s="110">
        <v>57.28</v>
      </c>
      <c r="R2616">
        <v>8667867</v>
      </c>
    </row>
    <row r="2617" spans="1:18" x14ac:dyDescent="0.25">
      <c r="A2617" s="134">
        <v>45856</v>
      </c>
      <c r="B2617" s="110">
        <v>57.39</v>
      </c>
      <c r="C2617" s="110">
        <v>56.65</v>
      </c>
      <c r="D2617" s="110">
        <v>56.4</v>
      </c>
      <c r="E2617" s="110">
        <v>57.24</v>
      </c>
      <c r="F2617" s="110">
        <v>56.65</v>
      </c>
      <c r="G2617">
        <v>542800</v>
      </c>
      <c r="H2617" s="110"/>
      <c r="I2617" s="110"/>
      <c r="L2617" s="134">
        <v>45856</v>
      </c>
      <c r="M2617" s="110">
        <v>56.62</v>
      </c>
      <c r="N2617" s="110">
        <v>57.43</v>
      </c>
      <c r="O2617" s="110">
        <v>56.4</v>
      </c>
      <c r="P2617" s="110">
        <v>57.35</v>
      </c>
      <c r="Q2617" s="110">
        <v>56.62</v>
      </c>
      <c r="R2617">
        <v>7973733</v>
      </c>
    </row>
    <row r="2618" spans="1:18" x14ac:dyDescent="0.25">
      <c r="A2618" s="134">
        <v>45859</v>
      </c>
      <c r="B2618" s="110">
        <v>57.25</v>
      </c>
      <c r="C2618" s="110">
        <v>56.63</v>
      </c>
      <c r="D2618" s="110">
        <v>56.35</v>
      </c>
      <c r="E2618" s="110">
        <v>56.7</v>
      </c>
      <c r="F2618" s="110">
        <v>56.63</v>
      </c>
      <c r="G2618">
        <v>1020793</v>
      </c>
      <c r="H2618" s="110"/>
      <c r="I2618" s="110"/>
      <c r="L2618" s="134">
        <v>45859</v>
      </c>
      <c r="M2618" s="110">
        <v>56.62</v>
      </c>
      <c r="N2618" s="110">
        <v>57.24</v>
      </c>
      <c r="O2618" s="110">
        <v>56.35</v>
      </c>
      <c r="P2618" s="110">
        <v>56.89</v>
      </c>
      <c r="Q2618" s="110">
        <v>56.62</v>
      </c>
      <c r="R2618">
        <v>7687276</v>
      </c>
    </row>
    <row r="2619" spans="1:18" x14ac:dyDescent="0.25">
      <c r="A2619" s="134">
        <v>45860</v>
      </c>
      <c r="B2619" s="110">
        <v>57.14</v>
      </c>
      <c r="C2619" s="110">
        <v>56.38</v>
      </c>
      <c r="D2619" s="110">
        <v>56.17</v>
      </c>
      <c r="E2619" s="110">
        <v>56.82</v>
      </c>
      <c r="F2619" s="110">
        <v>56.38</v>
      </c>
      <c r="G2619">
        <v>904679</v>
      </c>
      <c r="H2619" s="110"/>
      <c r="I2619" s="110"/>
      <c r="L2619" s="134">
        <v>45860</v>
      </c>
      <c r="M2619" s="110">
        <v>56.38</v>
      </c>
      <c r="N2619" s="110">
        <v>57.15</v>
      </c>
      <c r="O2619" s="110">
        <v>56.2</v>
      </c>
      <c r="P2619" s="110">
        <v>56.86</v>
      </c>
      <c r="Q2619" s="110">
        <v>56.38</v>
      </c>
      <c r="R2619">
        <v>6014293</v>
      </c>
    </row>
    <row r="2620" spans="1:18" x14ac:dyDescent="0.25">
      <c r="A2620" s="134">
        <v>45861</v>
      </c>
      <c r="B2620" s="110">
        <v>56.8</v>
      </c>
      <c r="C2620" s="110">
        <v>56.51</v>
      </c>
      <c r="D2620" s="110">
        <v>56.05</v>
      </c>
      <c r="E2620" s="110">
        <v>56.46</v>
      </c>
      <c r="F2620" s="110">
        <v>56.51</v>
      </c>
      <c r="G2620">
        <v>738081</v>
      </c>
      <c r="H2620" s="110"/>
      <c r="I2620" s="110"/>
      <c r="L2620" s="134">
        <v>45861</v>
      </c>
      <c r="M2620" s="110">
        <v>56.5</v>
      </c>
      <c r="N2620" s="110">
        <v>56.76</v>
      </c>
      <c r="O2620" s="110">
        <v>56.07</v>
      </c>
      <c r="P2620" s="110">
        <v>56.52</v>
      </c>
      <c r="Q2620" s="110">
        <v>56.5</v>
      </c>
      <c r="R2620">
        <v>4428965</v>
      </c>
    </row>
    <row r="2621" spans="1:18" x14ac:dyDescent="0.25">
      <c r="A2621" s="134">
        <v>45862</v>
      </c>
      <c r="B2621" s="110">
        <v>57.47</v>
      </c>
      <c r="C2621" s="110">
        <v>57.25</v>
      </c>
      <c r="D2621" s="110">
        <v>56.53</v>
      </c>
      <c r="E2621" s="110">
        <v>56.53</v>
      </c>
      <c r="F2621" s="110">
        <v>57.25</v>
      </c>
      <c r="G2621">
        <v>1586352</v>
      </c>
      <c r="H2621" s="110"/>
      <c r="I2621" s="110"/>
      <c r="L2621" s="134">
        <v>45862</v>
      </c>
      <c r="M2621" s="110">
        <v>57.25</v>
      </c>
      <c r="N2621" s="110">
        <v>57.49</v>
      </c>
      <c r="O2621" s="110">
        <v>56.6</v>
      </c>
      <c r="P2621" s="110">
        <v>56.6</v>
      </c>
      <c r="Q2621" s="110">
        <v>57.25</v>
      </c>
      <c r="R2621">
        <v>11104622</v>
      </c>
    </row>
    <row r="2622" spans="1:18" x14ac:dyDescent="0.25">
      <c r="A2622" s="134">
        <v>45863</v>
      </c>
      <c r="B2622" s="110">
        <v>57.38</v>
      </c>
      <c r="C2622" s="110">
        <v>56.71</v>
      </c>
      <c r="D2622" s="110">
        <v>56.6</v>
      </c>
      <c r="E2622" s="110">
        <v>57.11</v>
      </c>
      <c r="F2622" s="110">
        <v>56.71</v>
      </c>
      <c r="G2622">
        <v>1555511</v>
      </c>
      <c r="H2622" s="110"/>
      <c r="I2622" s="110"/>
      <c r="L2622" s="134">
        <v>45863</v>
      </c>
      <c r="M2622" s="110">
        <v>56.72</v>
      </c>
      <c r="N2622" s="110">
        <v>57.37</v>
      </c>
      <c r="O2622" s="110">
        <v>56.6</v>
      </c>
      <c r="P2622" s="110">
        <v>57.19</v>
      </c>
      <c r="Q2622" s="110">
        <v>56.72</v>
      </c>
      <c r="R2622">
        <v>9900749</v>
      </c>
    </row>
    <row r="2623" spans="1:18" x14ac:dyDescent="0.25">
      <c r="A2623" s="134">
        <v>45866</v>
      </c>
      <c r="B2623" s="110">
        <v>57.39</v>
      </c>
      <c r="C2623" s="110">
        <v>56.88</v>
      </c>
      <c r="D2623" s="110">
        <v>56.24</v>
      </c>
      <c r="E2623" s="110">
        <v>56.83</v>
      </c>
      <c r="F2623" s="110">
        <v>56.88</v>
      </c>
      <c r="G2623">
        <v>1172521</v>
      </c>
      <c r="H2623" s="110"/>
      <c r="I2623" s="110"/>
      <c r="L2623" s="134">
        <v>45866</v>
      </c>
      <c r="M2623" s="110">
        <v>56.83</v>
      </c>
      <c r="N2623" s="110">
        <v>57.39</v>
      </c>
      <c r="O2623" s="110">
        <v>56.23</v>
      </c>
      <c r="P2623" s="110">
        <v>56.94</v>
      </c>
      <c r="Q2623" s="110">
        <v>56.83</v>
      </c>
      <c r="R2623">
        <v>10244909</v>
      </c>
    </row>
    <row r="2624" spans="1:18" x14ac:dyDescent="0.25">
      <c r="A2624" s="134">
        <v>45867</v>
      </c>
      <c r="B2624" s="110">
        <v>57.03</v>
      </c>
      <c r="C2624" s="110">
        <v>56.74</v>
      </c>
      <c r="D2624" s="110">
        <v>56.34</v>
      </c>
      <c r="E2624" s="110">
        <v>56.68</v>
      </c>
      <c r="F2624" s="110">
        <v>56.74</v>
      </c>
      <c r="G2624">
        <v>785072</v>
      </c>
      <c r="H2624" s="110"/>
      <c r="I2624" s="110"/>
      <c r="L2624" s="134">
        <v>45867</v>
      </c>
      <c r="M2624" s="110">
        <v>56.76</v>
      </c>
      <c r="N2624" s="110">
        <v>57</v>
      </c>
      <c r="O2624" s="110">
        <v>56.26</v>
      </c>
      <c r="P2624" s="110">
        <v>56.65</v>
      </c>
      <c r="Q2624" s="110">
        <v>56.76</v>
      </c>
      <c r="R2624">
        <v>4819308</v>
      </c>
    </row>
    <row r="2625" spans="1:18" x14ac:dyDescent="0.25">
      <c r="A2625" s="134">
        <v>45868</v>
      </c>
      <c r="B2625" s="110">
        <v>57.25</v>
      </c>
      <c r="C2625" s="110">
        <v>56.51</v>
      </c>
      <c r="D2625" s="110">
        <v>56.32</v>
      </c>
      <c r="E2625" s="110">
        <v>56.88</v>
      </c>
      <c r="F2625" s="110">
        <v>56.51</v>
      </c>
      <c r="G2625">
        <v>301302</v>
      </c>
      <c r="H2625" s="110"/>
      <c r="I2625" s="110"/>
      <c r="L2625" s="134">
        <v>45868</v>
      </c>
      <c r="M2625" s="110">
        <v>56.53</v>
      </c>
      <c r="N2625" s="110">
        <v>57.25</v>
      </c>
      <c r="O2625" s="110">
        <v>56.26</v>
      </c>
      <c r="P2625" s="110">
        <v>56.71</v>
      </c>
      <c r="Q2625" s="110">
        <v>56.53</v>
      </c>
      <c r="R2625">
        <v>4827130</v>
      </c>
    </row>
    <row r="2626" spans="1:18" x14ac:dyDescent="0.25">
      <c r="A2626" s="134">
        <v>45869</v>
      </c>
      <c r="B2626" s="110">
        <v>56.35</v>
      </c>
      <c r="C2626" s="110">
        <v>56.09</v>
      </c>
      <c r="D2626" s="110">
        <v>55.19</v>
      </c>
      <c r="E2626" s="110">
        <v>56.19</v>
      </c>
      <c r="F2626" s="110">
        <v>56.09</v>
      </c>
      <c r="G2626">
        <v>448700</v>
      </c>
      <c r="H2626" s="110"/>
      <c r="I2626" s="110"/>
      <c r="L2626" s="134">
        <v>45869</v>
      </c>
      <c r="M2626" s="110">
        <v>56.08</v>
      </c>
      <c r="N2626" s="110">
        <v>56.4</v>
      </c>
      <c r="O2626" s="110">
        <v>55.22</v>
      </c>
      <c r="P2626" s="110">
        <v>56</v>
      </c>
      <c r="Q2626" s="110">
        <v>56.08</v>
      </c>
      <c r="R2626">
        <v>4937477</v>
      </c>
    </row>
    <row r="2627" spans="1:18" x14ac:dyDescent="0.25">
      <c r="A2627" s="134">
        <v>45870</v>
      </c>
      <c r="B2627" s="110">
        <v>56.28</v>
      </c>
      <c r="C2627" s="110">
        <v>54.21</v>
      </c>
      <c r="D2627" s="110">
        <v>53.9</v>
      </c>
      <c r="E2627" s="110">
        <v>56.01</v>
      </c>
      <c r="F2627" s="110">
        <v>54.21</v>
      </c>
      <c r="G2627">
        <v>1174046</v>
      </c>
      <c r="H2627" s="110"/>
      <c r="I2627" s="110"/>
      <c r="L2627" s="134">
        <v>45870</v>
      </c>
      <c r="M2627" s="110">
        <v>54.27</v>
      </c>
      <c r="N2627" s="110">
        <v>56.28</v>
      </c>
      <c r="O2627" s="110">
        <v>54.01</v>
      </c>
      <c r="P2627" s="110">
        <v>56.08</v>
      </c>
      <c r="Q2627" s="110">
        <v>54.27</v>
      </c>
      <c r="R2627">
        <v>6696783</v>
      </c>
    </row>
    <row r="2628" spans="1:18" x14ac:dyDescent="0.25">
      <c r="A2628" s="134">
        <v>45873</v>
      </c>
      <c r="B2628" s="110">
        <v>55.35</v>
      </c>
      <c r="C2628" s="110">
        <v>55.23</v>
      </c>
      <c r="D2628" s="110">
        <v>54.15</v>
      </c>
      <c r="E2628" s="110">
        <v>54.27</v>
      </c>
      <c r="F2628" s="110">
        <v>55.23</v>
      </c>
      <c r="G2628">
        <v>358449</v>
      </c>
      <c r="H2628" s="110"/>
      <c r="I2628" s="110"/>
      <c r="L2628" s="134">
        <v>45873</v>
      </c>
      <c r="M2628" s="110">
        <v>55.23</v>
      </c>
      <c r="N2628" s="110">
        <v>55.35</v>
      </c>
      <c r="O2628" s="110">
        <v>54.1</v>
      </c>
      <c r="P2628" s="110">
        <v>54.27</v>
      </c>
      <c r="Q2628" s="110">
        <v>55.23</v>
      </c>
      <c r="R2628">
        <v>6467047</v>
      </c>
    </row>
    <row r="2629" spans="1:18" x14ac:dyDescent="0.25">
      <c r="A2629" s="134">
        <v>45874</v>
      </c>
      <c r="B2629" s="110">
        <v>55.72</v>
      </c>
      <c r="C2629" s="110">
        <v>55.14</v>
      </c>
      <c r="D2629" s="110">
        <v>55</v>
      </c>
      <c r="E2629" s="110">
        <v>55.2</v>
      </c>
      <c r="F2629" s="110">
        <v>55.14</v>
      </c>
      <c r="G2629">
        <v>391360</v>
      </c>
      <c r="H2629" s="110"/>
      <c r="I2629" s="110"/>
      <c r="L2629" s="134">
        <v>45874</v>
      </c>
      <c r="M2629" s="110">
        <v>55.12</v>
      </c>
      <c r="N2629" s="110">
        <v>55.65</v>
      </c>
      <c r="O2629" s="110">
        <v>55</v>
      </c>
      <c r="P2629" s="110">
        <v>55.25</v>
      </c>
      <c r="Q2629" s="110">
        <v>55.12</v>
      </c>
      <c r="R2629">
        <v>4001138</v>
      </c>
    </row>
    <row r="2630" spans="1:18" x14ac:dyDescent="0.25">
      <c r="A2630" s="134">
        <v>45875</v>
      </c>
      <c r="B2630" s="110">
        <v>55.25</v>
      </c>
      <c r="C2630" s="110">
        <v>53.97</v>
      </c>
      <c r="D2630" s="110">
        <v>53.75</v>
      </c>
      <c r="E2630" s="110">
        <v>55.14</v>
      </c>
      <c r="F2630" s="110">
        <v>53.97</v>
      </c>
      <c r="G2630">
        <v>674449</v>
      </c>
      <c r="H2630" s="110"/>
      <c r="I2630" s="110"/>
      <c r="L2630" s="134">
        <v>45875</v>
      </c>
      <c r="M2630" s="110">
        <v>53.96</v>
      </c>
      <c r="N2630" s="110">
        <v>55.34</v>
      </c>
      <c r="O2630" s="110">
        <v>53.71</v>
      </c>
      <c r="P2630" s="110">
        <v>55.12</v>
      </c>
      <c r="Q2630" s="110">
        <v>53.96</v>
      </c>
      <c r="R2630">
        <v>7342758</v>
      </c>
    </row>
    <row r="2631" spans="1:18" x14ac:dyDescent="0.25">
      <c r="A2631" s="134">
        <v>45876</v>
      </c>
      <c r="B2631" s="110">
        <v>53.9</v>
      </c>
      <c r="C2631" s="110">
        <v>53.56</v>
      </c>
      <c r="D2631" s="110">
        <v>52.26</v>
      </c>
      <c r="E2631" s="110">
        <v>53.71</v>
      </c>
      <c r="F2631" s="110">
        <v>53.56</v>
      </c>
      <c r="G2631">
        <v>1098728</v>
      </c>
      <c r="H2631" s="110"/>
      <c r="I2631" s="110"/>
      <c r="L2631" s="134">
        <v>45876</v>
      </c>
      <c r="M2631" s="110">
        <v>53.57</v>
      </c>
      <c r="N2631" s="110">
        <v>53.96</v>
      </c>
      <c r="O2631" s="110">
        <v>52.25</v>
      </c>
      <c r="P2631" s="110">
        <v>53.74</v>
      </c>
      <c r="Q2631" s="110">
        <v>53.57</v>
      </c>
      <c r="R2631">
        <v>6729018</v>
      </c>
    </row>
    <row r="2632" spans="1:18" x14ac:dyDescent="0.25">
      <c r="A2632" s="134">
        <v>45877</v>
      </c>
      <c r="B2632" s="110">
        <v>55.92</v>
      </c>
      <c r="C2632" s="110">
        <v>55.68</v>
      </c>
      <c r="D2632" s="110">
        <v>53.76</v>
      </c>
      <c r="E2632" s="110">
        <v>53.76</v>
      </c>
      <c r="F2632" s="110">
        <v>55.68</v>
      </c>
      <c r="G2632">
        <v>1155404</v>
      </c>
      <c r="H2632" s="110"/>
      <c r="I2632" s="110"/>
      <c r="L2632" s="134">
        <v>45877</v>
      </c>
      <c r="M2632" s="110">
        <v>55.66</v>
      </c>
      <c r="N2632" s="110">
        <v>55.92</v>
      </c>
      <c r="O2632" s="110">
        <v>53.7</v>
      </c>
      <c r="P2632" s="110">
        <v>53.99</v>
      </c>
      <c r="Q2632" s="110">
        <v>55.66</v>
      </c>
      <c r="R2632">
        <v>16178429</v>
      </c>
    </row>
    <row r="2633" spans="1:18" x14ac:dyDescent="0.25">
      <c r="A2633" s="134">
        <v>45880</v>
      </c>
      <c r="B2633" s="110">
        <v>56.19</v>
      </c>
      <c r="C2633" s="110">
        <v>55.48</v>
      </c>
      <c r="D2633" s="110">
        <v>55.22</v>
      </c>
      <c r="E2633" s="110">
        <v>55.9</v>
      </c>
      <c r="F2633" s="110">
        <v>55.48</v>
      </c>
      <c r="G2633">
        <v>641989</v>
      </c>
      <c r="H2633" s="110"/>
      <c r="I2633" s="110"/>
      <c r="L2633" s="134">
        <v>45880</v>
      </c>
      <c r="M2633" s="110">
        <v>55.48</v>
      </c>
      <c r="N2633" s="110">
        <v>56.25</v>
      </c>
      <c r="O2633" s="110">
        <v>55.21</v>
      </c>
      <c r="P2633" s="110">
        <v>55.79</v>
      </c>
      <c r="Q2633" s="110">
        <v>55.48</v>
      </c>
      <c r="R2633">
        <v>5101864</v>
      </c>
    </row>
    <row r="2634" spans="1:18" x14ac:dyDescent="0.25">
      <c r="A2634" s="134">
        <v>45881</v>
      </c>
      <c r="B2634" s="110">
        <v>55.94</v>
      </c>
      <c r="C2634" s="110">
        <v>55.66</v>
      </c>
      <c r="D2634" s="110">
        <v>54.9</v>
      </c>
      <c r="E2634" s="110">
        <v>55.56</v>
      </c>
      <c r="F2634" s="110">
        <v>55.66</v>
      </c>
      <c r="G2634">
        <v>479692</v>
      </c>
      <c r="H2634" s="110"/>
      <c r="I2634" s="110"/>
      <c r="L2634" s="134">
        <v>45881</v>
      </c>
      <c r="M2634" s="110">
        <v>55.68</v>
      </c>
      <c r="N2634" s="110">
        <v>55.98</v>
      </c>
      <c r="O2634" s="110">
        <v>55.01</v>
      </c>
      <c r="P2634" s="110">
        <v>55.46</v>
      </c>
      <c r="Q2634" s="110">
        <v>55.68</v>
      </c>
      <c r="R2634">
        <v>4476773</v>
      </c>
    </row>
    <row r="2635" spans="1:18" x14ac:dyDescent="0.25">
      <c r="A2635" s="134">
        <v>45882</v>
      </c>
      <c r="B2635" s="110">
        <v>56</v>
      </c>
      <c r="C2635" s="110">
        <v>55.12</v>
      </c>
      <c r="D2635" s="110">
        <v>55</v>
      </c>
      <c r="E2635" s="110">
        <v>55.5</v>
      </c>
      <c r="F2635" s="110">
        <v>55.12</v>
      </c>
      <c r="G2635">
        <v>220426</v>
      </c>
      <c r="H2635" s="110"/>
      <c r="I2635" s="110"/>
      <c r="L2635" s="134">
        <v>45882</v>
      </c>
      <c r="M2635" s="110">
        <v>55.06</v>
      </c>
      <c r="N2635" s="110">
        <v>56.07</v>
      </c>
      <c r="O2635" s="110">
        <v>54.95</v>
      </c>
      <c r="P2635" s="110">
        <v>55.5</v>
      </c>
      <c r="Q2635" s="110">
        <v>55.06</v>
      </c>
      <c r="R2635">
        <v>3143796</v>
      </c>
    </row>
    <row r="2636" spans="1:18" x14ac:dyDescent="0.25">
      <c r="A2636" s="134">
        <v>45883</v>
      </c>
      <c r="B2636" s="110">
        <v>55.31</v>
      </c>
      <c r="C2636" s="110">
        <v>54.43</v>
      </c>
      <c r="D2636" s="110">
        <v>54.3</v>
      </c>
      <c r="E2636" s="110">
        <v>55.12</v>
      </c>
      <c r="F2636" s="110">
        <v>54.43</v>
      </c>
      <c r="G2636">
        <v>394943</v>
      </c>
      <c r="H2636" s="110"/>
      <c r="I2636" s="110"/>
      <c r="L2636" s="134">
        <v>45883</v>
      </c>
      <c r="M2636" s="110">
        <v>54.39</v>
      </c>
      <c r="N2636" s="110">
        <v>55.34</v>
      </c>
      <c r="O2636" s="110">
        <v>54</v>
      </c>
      <c r="P2636" s="110">
        <v>55.17</v>
      </c>
      <c r="Q2636" s="110">
        <v>54.39</v>
      </c>
      <c r="R2636">
        <v>3944961</v>
      </c>
    </row>
    <row r="2637" spans="1:18" x14ac:dyDescent="0.25">
      <c r="A2637" s="134">
        <v>45887</v>
      </c>
      <c r="B2637" s="110">
        <v>55.48</v>
      </c>
      <c r="C2637" s="110">
        <v>54.89</v>
      </c>
      <c r="D2637" s="110">
        <v>54.6</v>
      </c>
      <c r="E2637" s="110">
        <v>54.6</v>
      </c>
      <c r="F2637" s="110">
        <v>54.89</v>
      </c>
      <c r="G2637">
        <v>497910</v>
      </c>
      <c r="H2637" s="110"/>
      <c r="I2637" s="110"/>
      <c r="L2637" s="134">
        <v>45887</v>
      </c>
      <c r="M2637" s="110">
        <v>54.88</v>
      </c>
      <c r="N2637" s="110">
        <v>55.48</v>
      </c>
      <c r="O2637" s="110">
        <v>54.66</v>
      </c>
      <c r="P2637" s="110">
        <v>55.1</v>
      </c>
      <c r="Q2637" s="110">
        <v>54.88</v>
      </c>
      <c r="R2637">
        <v>2843428</v>
      </c>
    </row>
    <row r="2638" spans="1:18" x14ac:dyDescent="0.25">
      <c r="A2638" s="134">
        <v>45888</v>
      </c>
      <c r="B2638" s="110">
        <v>55.5</v>
      </c>
      <c r="C2638" s="110">
        <v>55.43</v>
      </c>
      <c r="D2638" s="110">
        <v>54.72</v>
      </c>
      <c r="E2638" s="110">
        <v>54.89</v>
      </c>
      <c r="F2638" s="110">
        <v>55.43</v>
      </c>
      <c r="G2638">
        <v>420399</v>
      </c>
      <c r="H2638" s="110"/>
      <c r="I2638" s="110"/>
      <c r="L2638" s="134">
        <v>45888</v>
      </c>
      <c r="M2638" s="110">
        <v>55.43</v>
      </c>
      <c r="N2638" s="110">
        <v>55.5</v>
      </c>
      <c r="O2638" s="110">
        <v>54.66</v>
      </c>
      <c r="P2638" s="110">
        <v>54.9</v>
      </c>
      <c r="Q2638" s="110">
        <v>55.43</v>
      </c>
      <c r="R2638">
        <v>3585136</v>
      </c>
    </row>
    <row r="2639" spans="1:18" x14ac:dyDescent="0.25">
      <c r="A2639" s="134">
        <v>45889</v>
      </c>
      <c r="B2639" s="110">
        <v>55.77</v>
      </c>
      <c r="C2639" s="110">
        <v>55.19</v>
      </c>
      <c r="D2639" s="110">
        <v>54.94</v>
      </c>
      <c r="E2639" s="110">
        <v>55.11</v>
      </c>
      <c r="F2639" s="110">
        <v>55.19</v>
      </c>
      <c r="G2639">
        <v>443846</v>
      </c>
      <c r="H2639" s="110"/>
      <c r="I2639" s="110"/>
      <c r="L2639" s="134">
        <v>45889</v>
      </c>
      <c r="M2639" s="110">
        <v>55.17</v>
      </c>
      <c r="N2639" s="110">
        <v>55.78</v>
      </c>
      <c r="O2639" s="110">
        <v>54.95</v>
      </c>
      <c r="P2639" s="110">
        <v>55.2</v>
      </c>
      <c r="Q2639" s="110">
        <v>55.17</v>
      </c>
      <c r="R2639">
        <v>3251772</v>
      </c>
    </row>
    <row r="2640" spans="1:18" x14ac:dyDescent="0.25">
      <c r="A2640" s="134">
        <v>45890</v>
      </c>
      <c r="B2640" s="110">
        <v>55.9</v>
      </c>
      <c r="C2640" s="110">
        <v>55.28</v>
      </c>
      <c r="D2640" s="110">
        <v>55.01</v>
      </c>
      <c r="E2640" s="110">
        <v>55.18</v>
      </c>
      <c r="F2640" s="110">
        <v>55.28</v>
      </c>
      <c r="G2640">
        <v>607834</v>
      </c>
      <c r="H2640" s="110"/>
      <c r="I2640" s="110"/>
      <c r="L2640" s="134">
        <v>45890</v>
      </c>
      <c r="M2640" s="110">
        <v>55.26</v>
      </c>
      <c r="N2640" s="110">
        <v>55.96</v>
      </c>
      <c r="O2640" s="110">
        <v>55.04</v>
      </c>
      <c r="P2640" s="110">
        <v>55.06</v>
      </c>
      <c r="Q2640" s="110">
        <v>55.26</v>
      </c>
      <c r="R2640">
        <v>7150839</v>
      </c>
    </row>
    <row r="2641" spans="1:18" x14ac:dyDescent="0.25">
      <c r="A2641" s="134">
        <v>45891</v>
      </c>
      <c r="B2641" s="110">
        <v>55.42</v>
      </c>
      <c r="C2641" s="110">
        <v>54.77</v>
      </c>
      <c r="D2641" s="110">
        <v>54.66</v>
      </c>
      <c r="E2641" s="110">
        <v>55</v>
      </c>
      <c r="F2641" s="110">
        <v>54.77</v>
      </c>
      <c r="G2641">
        <v>494367</v>
      </c>
      <c r="H2641" s="110"/>
      <c r="I2641" s="110"/>
      <c r="L2641" s="134">
        <v>45891</v>
      </c>
      <c r="M2641" s="110">
        <v>54.8</v>
      </c>
      <c r="N2641" s="110">
        <v>55.44</v>
      </c>
      <c r="O2641" s="110">
        <v>54.7</v>
      </c>
      <c r="P2641" s="110">
        <v>55.01</v>
      </c>
      <c r="Q2641" s="110">
        <v>54.8</v>
      </c>
      <c r="R2641">
        <v>3312153</v>
      </c>
    </row>
    <row r="2642" spans="1:18" x14ac:dyDescent="0.25">
      <c r="A2642" s="134">
        <v>45894</v>
      </c>
      <c r="B2642" s="110">
        <v>54.99</v>
      </c>
      <c r="C2642" s="110">
        <v>54.35</v>
      </c>
      <c r="D2642" s="110">
        <v>54.2</v>
      </c>
      <c r="E2642" s="110">
        <v>54.74</v>
      </c>
      <c r="F2642" s="110">
        <v>54.35</v>
      </c>
      <c r="G2642">
        <v>298214</v>
      </c>
      <c r="H2642" s="110"/>
      <c r="I2642" s="110"/>
      <c r="L2642" s="134">
        <v>45894</v>
      </c>
      <c r="M2642" s="110">
        <v>54.33</v>
      </c>
      <c r="N2642" s="110">
        <v>54.97</v>
      </c>
      <c r="O2642" s="110">
        <v>54.21</v>
      </c>
      <c r="P2642" s="110">
        <v>54.51</v>
      </c>
      <c r="Q2642" s="110">
        <v>54.33</v>
      </c>
      <c r="R2642">
        <v>4834532</v>
      </c>
    </row>
    <row r="2643" spans="1:18" x14ac:dyDescent="0.25">
      <c r="A2643" s="134">
        <v>45895</v>
      </c>
      <c r="B2643" s="110">
        <v>54.49</v>
      </c>
      <c r="C2643" s="110">
        <v>53.23</v>
      </c>
      <c r="D2643" s="110">
        <v>53.09</v>
      </c>
      <c r="E2643" s="110">
        <v>54.03</v>
      </c>
      <c r="F2643" s="110">
        <v>53.23</v>
      </c>
      <c r="G2643">
        <v>576862</v>
      </c>
      <c r="H2643" s="110"/>
      <c r="I2643" s="110"/>
      <c r="L2643" s="134">
        <v>45895</v>
      </c>
      <c r="M2643" s="110">
        <v>53.23</v>
      </c>
      <c r="N2643" s="110">
        <v>54.47</v>
      </c>
      <c r="O2643" s="110">
        <v>53.1</v>
      </c>
      <c r="P2643" s="110">
        <v>54.11</v>
      </c>
      <c r="Q2643" s="110">
        <v>53.23</v>
      </c>
      <c r="R2643">
        <v>3960852</v>
      </c>
    </row>
    <row r="2644" spans="1:18" x14ac:dyDescent="0.25">
      <c r="A2644" s="134">
        <v>45897</v>
      </c>
      <c r="B2644" s="110">
        <v>53.22</v>
      </c>
      <c r="C2644" s="110">
        <v>52.54</v>
      </c>
      <c r="D2644" s="110">
        <v>52.3</v>
      </c>
      <c r="E2644" s="110">
        <v>53.22</v>
      </c>
      <c r="F2644" s="110">
        <v>52.54</v>
      </c>
      <c r="G2644">
        <v>573094</v>
      </c>
      <c r="H2644" s="110"/>
      <c r="I2644" s="110"/>
      <c r="L2644" s="134">
        <v>45897</v>
      </c>
      <c r="M2644" s="110">
        <v>52.53</v>
      </c>
      <c r="N2644" s="110">
        <v>53.13</v>
      </c>
      <c r="O2644" s="110">
        <v>52.34</v>
      </c>
      <c r="P2644" s="110">
        <v>53</v>
      </c>
      <c r="Q2644" s="110">
        <v>52.53</v>
      </c>
      <c r="R2644">
        <v>3223885</v>
      </c>
    </row>
    <row r="2645" spans="1:18" x14ac:dyDescent="0.25">
      <c r="A2645" s="134">
        <v>45898</v>
      </c>
      <c r="B2645" s="110">
        <v>52.81</v>
      </c>
      <c r="C2645" s="110">
        <v>52.02</v>
      </c>
      <c r="D2645" s="110">
        <v>51.76</v>
      </c>
      <c r="E2645" s="110">
        <v>52.5</v>
      </c>
      <c r="F2645" s="110">
        <v>52.02</v>
      </c>
      <c r="G2645">
        <v>575759</v>
      </c>
      <c r="H2645" s="110"/>
      <c r="I2645" s="110"/>
      <c r="L2645" s="134">
        <v>45898</v>
      </c>
      <c r="M2645" s="110">
        <v>51.95</v>
      </c>
      <c r="N2645" s="110">
        <v>52.82</v>
      </c>
      <c r="O2645" s="110">
        <v>51.77</v>
      </c>
      <c r="P2645" s="110">
        <v>52.4</v>
      </c>
      <c r="Q2645" s="110">
        <v>51.95</v>
      </c>
      <c r="R2645">
        <v>4009667</v>
      </c>
    </row>
    <row r="2646" spans="1:18" x14ac:dyDescent="0.25">
      <c r="A2646" s="134">
        <v>45901</v>
      </c>
      <c r="B2646" s="110">
        <v>52.57</v>
      </c>
      <c r="C2646" s="110">
        <v>52.05</v>
      </c>
      <c r="D2646" s="110">
        <v>51.71</v>
      </c>
      <c r="E2646" s="110">
        <v>51.83</v>
      </c>
      <c r="F2646" s="110">
        <v>52.05</v>
      </c>
      <c r="G2646">
        <v>601382</v>
      </c>
      <c r="H2646" s="110"/>
      <c r="I2646" s="110"/>
      <c r="L2646" s="134">
        <v>45901</v>
      </c>
      <c r="M2646" s="110">
        <v>52.01</v>
      </c>
      <c r="N2646" s="110">
        <v>52.6</v>
      </c>
      <c r="O2646" s="110">
        <v>51.71</v>
      </c>
      <c r="P2646" s="110">
        <v>51.9</v>
      </c>
      <c r="Q2646" s="110">
        <v>52.01</v>
      </c>
      <c r="R2646">
        <v>6767306</v>
      </c>
    </row>
    <row r="2647" spans="1:18" x14ac:dyDescent="0.25">
      <c r="A2647" s="134">
        <v>45902</v>
      </c>
      <c r="B2647" s="110">
        <v>53.25</v>
      </c>
      <c r="C2647" s="110">
        <v>52.43</v>
      </c>
      <c r="D2647" s="110">
        <v>51.95</v>
      </c>
      <c r="E2647" s="110">
        <v>52.04</v>
      </c>
      <c r="F2647" s="110">
        <v>52.43</v>
      </c>
      <c r="G2647">
        <v>637219</v>
      </c>
      <c r="H2647" s="110"/>
      <c r="I2647" s="110"/>
      <c r="L2647" s="134">
        <v>45902</v>
      </c>
      <c r="M2647" s="110">
        <v>52.46</v>
      </c>
      <c r="N2647" s="110">
        <v>53.32</v>
      </c>
      <c r="O2647" s="110">
        <v>51.95</v>
      </c>
      <c r="P2647" s="110">
        <v>51.95</v>
      </c>
      <c r="Q2647" s="110">
        <v>52.46</v>
      </c>
      <c r="R2647">
        <v>4810539</v>
      </c>
    </row>
    <row r="2648" spans="1:18" x14ac:dyDescent="0.25">
      <c r="A2648" s="134">
        <v>45903</v>
      </c>
      <c r="B2648" s="110">
        <v>52.94</v>
      </c>
      <c r="C2648" s="110">
        <v>52.88</v>
      </c>
      <c r="D2648" s="110">
        <v>52.46</v>
      </c>
      <c r="E2648" s="110">
        <v>52.61</v>
      </c>
      <c r="F2648" s="110">
        <v>52.88</v>
      </c>
      <c r="G2648">
        <v>310844</v>
      </c>
      <c r="H2648" s="110"/>
      <c r="I2648" s="110"/>
      <c r="L2648" s="134">
        <v>45903</v>
      </c>
      <c r="M2648" s="110">
        <v>52.82</v>
      </c>
      <c r="N2648" s="110">
        <v>52.93</v>
      </c>
      <c r="O2648" s="110">
        <v>52.46</v>
      </c>
      <c r="P2648" s="110">
        <v>52.55</v>
      </c>
      <c r="Q2648" s="110">
        <v>52.82</v>
      </c>
      <c r="R2648">
        <v>3049236</v>
      </c>
    </row>
    <row r="2649" spans="1:18" x14ac:dyDescent="0.25">
      <c r="A2649" s="134">
        <v>45904</v>
      </c>
      <c r="B2649" s="110">
        <v>53.3</v>
      </c>
      <c r="C2649" s="110">
        <v>52.06</v>
      </c>
      <c r="D2649" s="110">
        <v>51.91</v>
      </c>
      <c r="E2649" s="110">
        <v>53.24</v>
      </c>
      <c r="F2649" s="110">
        <v>52.06</v>
      </c>
      <c r="G2649">
        <v>481076</v>
      </c>
      <c r="H2649" s="110"/>
      <c r="I2649" s="110"/>
      <c r="L2649" s="134">
        <v>45904</v>
      </c>
      <c r="M2649" s="110">
        <v>52.04</v>
      </c>
      <c r="N2649" s="110">
        <v>53.35</v>
      </c>
      <c r="O2649" s="110">
        <v>51.9</v>
      </c>
      <c r="P2649" s="110">
        <v>53.12</v>
      </c>
      <c r="Q2649" s="110">
        <v>52.04</v>
      </c>
      <c r="R2649">
        <v>3629831</v>
      </c>
    </row>
    <row r="2650" spans="1:18" x14ac:dyDescent="0.25">
      <c r="A2650" s="134">
        <v>45905</v>
      </c>
      <c r="B2650" s="110">
        <v>52.75</v>
      </c>
      <c r="C2650" s="110">
        <v>52.65</v>
      </c>
      <c r="D2650" s="110">
        <v>51.85</v>
      </c>
      <c r="E2650" s="110">
        <v>52.09</v>
      </c>
      <c r="F2650" s="110">
        <v>52.65</v>
      </c>
      <c r="G2650">
        <v>410325</v>
      </c>
      <c r="H2650" s="110"/>
      <c r="I2650" s="110"/>
      <c r="L2650" s="134">
        <v>45905</v>
      </c>
      <c r="M2650" s="110">
        <v>52.59</v>
      </c>
      <c r="N2650" s="110">
        <v>52.8</v>
      </c>
      <c r="O2650" s="110">
        <v>51.84</v>
      </c>
      <c r="P2650" s="110">
        <v>52.19</v>
      </c>
      <c r="Q2650" s="110">
        <v>52.59</v>
      </c>
      <c r="R2650">
        <v>3621899</v>
      </c>
    </row>
    <row r="2651" spans="1:18" x14ac:dyDescent="0.25">
      <c r="A2651" s="134">
        <v>45908</v>
      </c>
      <c r="B2651" s="110">
        <v>53.4</v>
      </c>
      <c r="C2651" s="110">
        <v>53.07</v>
      </c>
      <c r="D2651" s="110">
        <v>52.32</v>
      </c>
      <c r="E2651" s="110">
        <v>52.68</v>
      </c>
      <c r="F2651" s="110">
        <v>53.07</v>
      </c>
      <c r="G2651">
        <v>499482</v>
      </c>
      <c r="H2651" s="110"/>
      <c r="I2651" s="110"/>
      <c r="L2651" s="134">
        <v>45908</v>
      </c>
      <c r="M2651" s="110">
        <v>53.07</v>
      </c>
      <c r="N2651" s="110">
        <v>53.4</v>
      </c>
      <c r="O2651" s="110">
        <v>52.4</v>
      </c>
      <c r="P2651" s="110">
        <v>52.75</v>
      </c>
      <c r="Q2651" s="110">
        <v>53.07</v>
      </c>
      <c r="R2651">
        <v>3011666</v>
      </c>
    </row>
    <row r="2652" spans="1:18" x14ac:dyDescent="0.25">
      <c r="A2652" s="134">
        <v>45909</v>
      </c>
      <c r="B2652" s="110">
        <v>53.25</v>
      </c>
      <c r="C2652" s="110">
        <v>52.39</v>
      </c>
      <c r="D2652" s="110">
        <v>52.24</v>
      </c>
      <c r="E2652" s="110">
        <v>53</v>
      </c>
      <c r="F2652" s="110">
        <v>52.39</v>
      </c>
      <c r="G2652">
        <v>470539</v>
      </c>
      <c r="H2652" s="110"/>
      <c r="I2652" s="110"/>
      <c r="L2652" s="134">
        <v>45909</v>
      </c>
      <c r="M2652" s="110">
        <v>52.39</v>
      </c>
      <c r="N2652" s="110">
        <v>53.25</v>
      </c>
      <c r="O2652" s="110">
        <v>52.28</v>
      </c>
      <c r="P2652" s="110">
        <v>53.05</v>
      </c>
      <c r="Q2652" s="110">
        <v>52.39</v>
      </c>
      <c r="R2652">
        <v>2987241</v>
      </c>
    </row>
    <row r="2653" spans="1:18" x14ac:dyDescent="0.25">
      <c r="A2653" s="134">
        <v>45910</v>
      </c>
      <c r="B2653" s="110">
        <v>54.2</v>
      </c>
      <c r="C2653" s="110">
        <v>54.1</v>
      </c>
      <c r="D2653" s="110">
        <v>52.56</v>
      </c>
      <c r="E2653" s="110">
        <v>52.85</v>
      </c>
      <c r="F2653" s="110">
        <v>54.1</v>
      </c>
      <c r="G2653">
        <v>881554</v>
      </c>
      <c r="H2653" s="110"/>
      <c r="I2653" s="110"/>
      <c r="L2653" s="134">
        <v>45910</v>
      </c>
      <c r="M2653" s="110">
        <v>54.12</v>
      </c>
      <c r="N2653" s="110">
        <v>54.28</v>
      </c>
      <c r="O2653" s="110">
        <v>52.56</v>
      </c>
      <c r="P2653" s="110">
        <v>52.56</v>
      </c>
      <c r="Q2653" s="110">
        <v>54.12</v>
      </c>
      <c r="R2653">
        <v>8248478</v>
      </c>
    </row>
    <row r="2654" spans="1:18" x14ac:dyDescent="0.25">
      <c r="A2654" s="134">
        <v>45911</v>
      </c>
      <c r="B2654" s="110">
        <v>55.29</v>
      </c>
      <c r="C2654" s="110">
        <v>54.66</v>
      </c>
      <c r="D2654" s="110">
        <v>54.3</v>
      </c>
      <c r="E2654" s="110">
        <v>54.38</v>
      </c>
      <c r="F2654" s="110">
        <v>54.66</v>
      </c>
      <c r="G2654">
        <v>705526</v>
      </c>
      <c r="H2654" s="110"/>
      <c r="I2654" s="110"/>
      <c r="L2654" s="134">
        <v>45911</v>
      </c>
      <c r="M2654" s="110">
        <v>54.62</v>
      </c>
      <c r="N2654" s="110">
        <v>55.27</v>
      </c>
      <c r="O2654" s="110">
        <v>54.2</v>
      </c>
      <c r="P2654" s="110">
        <v>54.2</v>
      </c>
      <c r="Q2654" s="110">
        <v>54.62</v>
      </c>
      <c r="R2654">
        <v>8561903</v>
      </c>
    </row>
    <row r="2655" spans="1:18" x14ac:dyDescent="0.25">
      <c r="A2655" s="134">
        <v>45912</v>
      </c>
      <c r="B2655" s="110">
        <v>54.6</v>
      </c>
      <c r="C2655" s="110">
        <v>54.03</v>
      </c>
      <c r="D2655" s="110">
        <v>53.51</v>
      </c>
      <c r="E2655" s="110">
        <v>54.6</v>
      </c>
      <c r="F2655" s="110">
        <v>54.03</v>
      </c>
      <c r="G2655">
        <v>529428</v>
      </c>
      <c r="H2655" s="110"/>
      <c r="I2655" s="110"/>
      <c r="L2655" s="134">
        <v>45912</v>
      </c>
      <c r="M2655" s="110">
        <v>54.05</v>
      </c>
      <c r="N2655" s="110">
        <v>54.58</v>
      </c>
      <c r="O2655" s="110">
        <v>53.52</v>
      </c>
      <c r="P2655" s="110">
        <v>54.5</v>
      </c>
      <c r="Q2655" s="110">
        <v>54.05</v>
      </c>
      <c r="R2655">
        <v>5277514</v>
      </c>
    </row>
    <row r="2656" spans="1:18" x14ac:dyDescent="0.25">
      <c r="A2656" s="134">
        <v>45915</v>
      </c>
      <c r="B2656" s="110">
        <v>54.89</v>
      </c>
      <c r="C2656" s="110">
        <v>54.75</v>
      </c>
      <c r="D2656" s="110">
        <v>54</v>
      </c>
      <c r="E2656" s="110">
        <v>54</v>
      </c>
      <c r="F2656" s="110">
        <v>54.75</v>
      </c>
      <c r="G2656">
        <v>291921</v>
      </c>
      <c r="H2656" s="110"/>
      <c r="I2656" s="110"/>
      <c r="L2656" s="134">
        <v>45915</v>
      </c>
      <c r="M2656" s="110">
        <v>54.77</v>
      </c>
      <c r="N2656" s="110">
        <v>54.9</v>
      </c>
      <c r="O2656" s="110">
        <v>54</v>
      </c>
      <c r="P2656" s="110">
        <v>54.05</v>
      </c>
      <c r="Q2656" s="110">
        <v>54.77</v>
      </c>
      <c r="R2656">
        <v>4771869</v>
      </c>
    </row>
    <row r="2657" spans="1:18" x14ac:dyDescent="0.25">
      <c r="A2657" s="134">
        <v>45916</v>
      </c>
      <c r="B2657" s="110">
        <v>55.24</v>
      </c>
      <c r="C2657" s="110">
        <v>55.09</v>
      </c>
      <c r="D2657" s="110">
        <v>54.48</v>
      </c>
      <c r="E2657" s="110">
        <v>54.95</v>
      </c>
      <c r="F2657" s="110">
        <v>55.09</v>
      </c>
      <c r="G2657">
        <v>338332</v>
      </c>
      <c r="H2657" s="110"/>
      <c r="I2657" s="110"/>
      <c r="L2657" s="134">
        <v>45916</v>
      </c>
      <c r="M2657" s="110">
        <v>55.06</v>
      </c>
      <c r="N2657" s="110">
        <v>55.25</v>
      </c>
      <c r="O2657" s="110">
        <v>54.47</v>
      </c>
      <c r="P2657" s="110">
        <v>54.78</v>
      </c>
      <c r="Q2657" s="110">
        <v>55.06</v>
      </c>
      <c r="R2657">
        <v>5365569</v>
      </c>
    </row>
    <row r="2658" spans="1:18" x14ac:dyDescent="0.25">
      <c r="A2658" s="134">
        <v>45917</v>
      </c>
      <c r="B2658" s="110">
        <v>57.48</v>
      </c>
      <c r="C2658" s="110">
        <v>57.28</v>
      </c>
      <c r="D2658" s="110">
        <v>54.84</v>
      </c>
      <c r="E2658" s="110">
        <v>54.84</v>
      </c>
      <c r="F2658" s="110">
        <v>57.28</v>
      </c>
      <c r="G2658">
        <v>3492540</v>
      </c>
      <c r="H2658" s="110"/>
      <c r="I2658" s="110"/>
      <c r="L2658" s="134">
        <v>45917</v>
      </c>
      <c r="M2658" s="110">
        <v>57.31</v>
      </c>
      <c r="N2658" s="110">
        <v>57.46</v>
      </c>
      <c r="O2658" s="110">
        <v>55.1</v>
      </c>
      <c r="P2658" s="110">
        <v>55.1</v>
      </c>
      <c r="Q2658" s="110">
        <v>57.31</v>
      </c>
      <c r="R2658">
        <v>33088899</v>
      </c>
    </row>
    <row r="2659" spans="1:18" x14ac:dyDescent="0.25">
      <c r="A2659" s="134">
        <v>45918</v>
      </c>
      <c r="B2659" s="110">
        <v>57.88</v>
      </c>
      <c r="C2659" s="110">
        <v>57.25</v>
      </c>
      <c r="D2659" s="110">
        <v>56.93</v>
      </c>
      <c r="E2659" s="110">
        <v>57.47</v>
      </c>
      <c r="F2659" s="110">
        <v>57.25</v>
      </c>
      <c r="G2659">
        <v>867304</v>
      </c>
      <c r="H2659" s="110"/>
      <c r="I2659" s="110"/>
      <c r="L2659" s="134">
        <v>45918</v>
      </c>
      <c r="M2659" s="110">
        <v>57.26</v>
      </c>
      <c r="N2659" s="110">
        <v>57.9</v>
      </c>
      <c r="O2659" s="110">
        <v>56.9</v>
      </c>
      <c r="P2659" s="110">
        <v>57.4</v>
      </c>
      <c r="Q2659" s="110">
        <v>57.26</v>
      </c>
      <c r="R2659">
        <v>15894855</v>
      </c>
    </row>
    <row r="2660" spans="1:18" x14ac:dyDescent="0.25">
      <c r="A2660" s="134">
        <v>45919</v>
      </c>
      <c r="B2660" s="110">
        <v>57.93</v>
      </c>
      <c r="C2660" s="110">
        <v>57.31</v>
      </c>
      <c r="D2660" s="110">
        <v>56.85</v>
      </c>
      <c r="E2660" s="110">
        <v>57.25</v>
      </c>
      <c r="F2660" s="110">
        <v>57.31</v>
      </c>
      <c r="G2660">
        <v>567567</v>
      </c>
      <c r="H2660" s="110"/>
      <c r="I2660" s="110"/>
      <c r="L2660" s="134">
        <v>45919</v>
      </c>
      <c r="M2660" s="110">
        <v>57.32</v>
      </c>
      <c r="N2660" s="110">
        <v>57.93</v>
      </c>
      <c r="O2660" s="110">
        <v>56.87</v>
      </c>
      <c r="P2660" s="110">
        <v>57.26</v>
      </c>
      <c r="Q2660" s="110">
        <v>57.32</v>
      </c>
      <c r="R2660">
        <v>12458479</v>
      </c>
    </row>
    <row r="2661" spans="1:18" x14ac:dyDescent="0.25">
      <c r="A2661" s="134">
        <v>45922</v>
      </c>
      <c r="B2661" s="110">
        <v>57.78</v>
      </c>
      <c r="C2661" s="110">
        <v>57.21</v>
      </c>
      <c r="D2661" s="110">
        <v>56.74</v>
      </c>
      <c r="E2661" s="110">
        <v>57.31</v>
      </c>
      <c r="F2661" s="110">
        <v>57.21</v>
      </c>
      <c r="G2661">
        <v>406601</v>
      </c>
      <c r="H2661" s="110"/>
      <c r="I2661" s="110"/>
      <c r="L2661" s="134">
        <v>45922</v>
      </c>
      <c r="M2661" s="110">
        <v>57.26</v>
      </c>
      <c r="N2661" s="110">
        <v>57.75</v>
      </c>
      <c r="O2661" s="110">
        <v>56.72</v>
      </c>
      <c r="P2661" s="110">
        <v>57.02</v>
      </c>
      <c r="Q2661" s="110">
        <v>57.26</v>
      </c>
      <c r="R2661">
        <v>9602416</v>
      </c>
    </row>
    <row r="2662" spans="1:18" x14ac:dyDescent="0.25">
      <c r="A2662" s="134">
        <v>45923</v>
      </c>
      <c r="B2662" s="110">
        <v>57.4</v>
      </c>
      <c r="C2662" s="110">
        <v>57.18</v>
      </c>
      <c r="D2662" s="110">
        <v>56.31</v>
      </c>
      <c r="E2662" s="110">
        <v>57.2</v>
      </c>
      <c r="F2662" s="110">
        <v>57.18</v>
      </c>
      <c r="G2662">
        <v>254917</v>
      </c>
      <c r="H2662" s="110"/>
      <c r="I2662" s="110"/>
      <c r="L2662" s="134">
        <v>45923</v>
      </c>
      <c r="M2662" s="110">
        <v>57.19</v>
      </c>
      <c r="N2662" s="110">
        <v>57.42</v>
      </c>
      <c r="O2662" s="110">
        <v>56.3</v>
      </c>
      <c r="P2662" s="110">
        <v>57.26</v>
      </c>
      <c r="Q2662" s="110">
        <v>57.19</v>
      </c>
      <c r="R2662">
        <v>7055472</v>
      </c>
    </row>
    <row r="2663" spans="1:18" x14ac:dyDescent="0.25">
      <c r="A2663" s="134">
        <v>45924</v>
      </c>
      <c r="B2663" s="110">
        <v>58.65</v>
      </c>
      <c r="C2663" s="110">
        <v>56.34</v>
      </c>
      <c r="D2663" s="110">
        <v>56.25</v>
      </c>
      <c r="E2663" s="110">
        <v>57.29</v>
      </c>
      <c r="F2663" s="110">
        <v>56.34</v>
      </c>
      <c r="G2663">
        <v>848550</v>
      </c>
      <c r="H2663" s="110"/>
      <c r="I2663" s="110"/>
      <c r="L2663" s="134">
        <v>45924</v>
      </c>
      <c r="M2663" s="110">
        <v>56.33</v>
      </c>
      <c r="N2663" s="110">
        <v>58.68</v>
      </c>
      <c r="O2663" s="110">
        <v>56.22</v>
      </c>
      <c r="P2663" s="110">
        <v>57.4</v>
      </c>
      <c r="Q2663" s="110">
        <v>56.33</v>
      </c>
      <c r="R2663">
        <v>19579429</v>
      </c>
    </row>
    <row r="2664" spans="1:18" x14ac:dyDescent="0.25">
      <c r="A2664" s="134">
        <v>45925</v>
      </c>
      <c r="B2664" s="110">
        <v>56.8</v>
      </c>
      <c r="C2664" s="110">
        <v>55.35</v>
      </c>
      <c r="D2664" s="110">
        <v>55.11</v>
      </c>
      <c r="E2664" s="110">
        <v>56.35</v>
      </c>
      <c r="F2664" s="110">
        <v>55.35</v>
      </c>
      <c r="G2664">
        <v>757063</v>
      </c>
      <c r="H2664" s="110"/>
      <c r="I2664" s="110"/>
      <c r="L2664" s="134">
        <v>45925</v>
      </c>
      <c r="M2664" s="110">
        <v>55.33</v>
      </c>
      <c r="N2664" s="110">
        <v>56.8</v>
      </c>
      <c r="O2664" s="110">
        <v>55.15</v>
      </c>
      <c r="P2664" s="110">
        <v>56.33</v>
      </c>
      <c r="Q2664" s="110">
        <v>55.33</v>
      </c>
      <c r="R2664">
        <v>10317833</v>
      </c>
    </row>
    <row r="2665" spans="1:18" x14ac:dyDescent="0.25">
      <c r="A2665" s="134">
        <v>45926</v>
      </c>
      <c r="B2665" s="110">
        <v>55.68</v>
      </c>
      <c r="C2665" s="110">
        <v>54.01</v>
      </c>
      <c r="D2665" s="110">
        <v>53.81</v>
      </c>
      <c r="E2665" s="110">
        <v>55.27</v>
      </c>
      <c r="F2665" s="110">
        <v>54.01</v>
      </c>
      <c r="G2665">
        <v>939006</v>
      </c>
      <c r="H2665" s="110"/>
      <c r="I2665" s="110"/>
      <c r="L2665" s="134">
        <v>45926</v>
      </c>
      <c r="M2665" s="110">
        <v>53.99</v>
      </c>
      <c r="N2665" s="110">
        <v>55.49</v>
      </c>
      <c r="O2665" s="110">
        <v>53.85</v>
      </c>
      <c r="P2665" s="110">
        <v>55.49</v>
      </c>
      <c r="Q2665" s="110">
        <v>53.99</v>
      </c>
      <c r="R2665">
        <v>6912771</v>
      </c>
    </row>
    <row r="2666" spans="1:18" x14ac:dyDescent="0.25">
      <c r="A2666" s="134">
        <v>45929</v>
      </c>
      <c r="B2666" s="110">
        <v>55.55</v>
      </c>
      <c r="C2666" s="110">
        <v>54.9</v>
      </c>
      <c r="D2666" s="110">
        <v>53.92</v>
      </c>
      <c r="E2666" s="110">
        <v>54.2</v>
      </c>
      <c r="F2666" s="110">
        <v>54.9</v>
      </c>
      <c r="G2666">
        <v>943682</v>
      </c>
      <c r="H2666" s="110"/>
      <c r="I2666" s="110"/>
      <c r="L2666" s="134">
        <v>45929</v>
      </c>
      <c r="M2666" s="110">
        <v>54.89</v>
      </c>
      <c r="N2666" s="110">
        <v>55.54</v>
      </c>
      <c r="O2666" s="110">
        <v>53.91</v>
      </c>
      <c r="P2666" s="110">
        <v>54.25</v>
      </c>
      <c r="Q2666" s="110">
        <v>54.89</v>
      </c>
      <c r="R2666">
        <v>7990759</v>
      </c>
    </row>
    <row r="2667" spans="1:18" x14ac:dyDescent="0.25">
      <c r="A2667" s="134">
        <v>45930</v>
      </c>
      <c r="B2667" s="110">
        <v>56.73</v>
      </c>
      <c r="C2667" s="110">
        <v>55.95</v>
      </c>
      <c r="D2667" s="110">
        <v>54.81</v>
      </c>
      <c r="E2667" s="110">
        <v>55</v>
      </c>
      <c r="F2667" s="110">
        <v>55.95</v>
      </c>
      <c r="G2667">
        <v>1037124</v>
      </c>
      <c r="H2667" s="110"/>
      <c r="I2667" s="110"/>
      <c r="L2667" s="134">
        <v>45930</v>
      </c>
      <c r="M2667" s="110">
        <v>55.98</v>
      </c>
      <c r="N2667" s="110">
        <v>56.73</v>
      </c>
      <c r="O2667" s="110">
        <v>54.8</v>
      </c>
      <c r="P2667" s="110">
        <v>55.01</v>
      </c>
      <c r="Q2667" s="110">
        <v>55.98</v>
      </c>
      <c r="R2667">
        <v>10950312</v>
      </c>
    </row>
    <row r="2668" spans="1:18" x14ac:dyDescent="0.25">
      <c r="A2668" s="134">
        <v>45931</v>
      </c>
      <c r="B2668" s="110">
        <v>56.45</v>
      </c>
      <c r="C2668" s="110">
        <v>55.95</v>
      </c>
      <c r="D2668" s="110">
        <v>55.15</v>
      </c>
      <c r="E2668" s="110">
        <v>56.19</v>
      </c>
      <c r="F2668" s="110">
        <v>55.95</v>
      </c>
      <c r="G2668">
        <v>493178</v>
      </c>
      <c r="H2668" s="110"/>
      <c r="I2668" s="110"/>
      <c r="L2668" s="134">
        <v>45931</v>
      </c>
      <c r="M2668" s="110">
        <v>55.95</v>
      </c>
      <c r="N2668" s="110">
        <v>56.48</v>
      </c>
      <c r="O2668" s="110">
        <v>55</v>
      </c>
      <c r="P2668" s="110">
        <v>56.2</v>
      </c>
      <c r="Q2668" s="110">
        <v>55.95</v>
      </c>
      <c r="R2668">
        <v>9266506</v>
      </c>
    </row>
    <row r="2669" spans="1:18" x14ac:dyDescent="0.25">
      <c r="A2669" s="134">
        <v>45933</v>
      </c>
      <c r="B2669" s="110">
        <v>57.1</v>
      </c>
      <c r="C2669" s="110">
        <v>56.48</v>
      </c>
      <c r="D2669" s="110">
        <v>55.61</v>
      </c>
      <c r="E2669" s="110">
        <v>55.61</v>
      </c>
      <c r="F2669" s="110">
        <v>56.48</v>
      </c>
      <c r="G2669">
        <v>978260</v>
      </c>
      <c r="H2669" s="110"/>
      <c r="I2669" s="110"/>
      <c r="L2669" s="134">
        <v>45933</v>
      </c>
      <c r="M2669" s="110">
        <v>56.49</v>
      </c>
      <c r="N2669" s="110">
        <v>57.1</v>
      </c>
      <c r="O2669" s="110">
        <v>55.66</v>
      </c>
      <c r="P2669" s="110">
        <v>55.67</v>
      </c>
      <c r="Q2669" s="110">
        <v>56.49</v>
      </c>
      <c r="R2669">
        <v>10182570</v>
      </c>
    </row>
    <row r="2670" spans="1:18" x14ac:dyDescent="0.25">
      <c r="A2670" s="134">
        <v>45936</v>
      </c>
      <c r="B2670" s="110">
        <v>57.56</v>
      </c>
      <c r="C2670" s="110">
        <v>57.16</v>
      </c>
      <c r="D2670" s="110">
        <v>56.62</v>
      </c>
      <c r="E2670" s="110">
        <v>56.62</v>
      </c>
      <c r="F2670" s="110">
        <v>57.16</v>
      </c>
      <c r="G2670">
        <v>541231</v>
      </c>
      <c r="H2670" s="110"/>
      <c r="I2670" s="110"/>
      <c r="L2670" s="134">
        <v>45936</v>
      </c>
      <c r="M2670" s="110">
        <v>57.19</v>
      </c>
      <c r="N2670" s="110">
        <v>57.6</v>
      </c>
      <c r="O2670" s="110">
        <v>56.76</v>
      </c>
      <c r="P2670" s="110">
        <v>56.95</v>
      </c>
      <c r="Q2670" s="110">
        <v>57.19</v>
      </c>
      <c r="R2670">
        <v>11197289</v>
      </c>
    </row>
    <row r="2671" spans="1:18" x14ac:dyDescent="0.25">
      <c r="A2671" s="134">
        <v>45937</v>
      </c>
      <c r="B2671" s="110">
        <v>57.63</v>
      </c>
      <c r="C2671" s="110">
        <v>57.2</v>
      </c>
      <c r="D2671" s="110">
        <v>56.95</v>
      </c>
      <c r="E2671" s="110">
        <v>57.63</v>
      </c>
      <c r="F2671" s="110">
        <v>57.2</v>
      </c>
      <c r="G2671">
        <v>307235</v>
      </c>
      <c r="H2671" s="110"/>
      <c r="I2671" s="110"/>
      <c r="L2671" s="134">
        <v>45937</v>
      </c>
      <c r="M2671" s="110">
        <v>57.21</v>
      </c>
      <c r="N2671" s="110">
        <v>57.5</v>
      </c>
      <c r="O2671" s="110">
        <v>57</v>
      </c>
      <c r="P2671" s="110">
        <v>57.4</v>
      </c>
      <c r="Q2671" s="110">
        <v>57.21</v>
      </c>
      <c r="R2671">
        <v>7069012</v>
      </c>
    </row>
    <row r="2672" spans="1:18" x14ac:dyDescent="0.25">
      <c r="A2672" s="134">
        <v>45938</v>
      </c>
      <c r="B2672" s="110">
        <v>57.32</v>
      </c>
      <c r="C2672" s="110">
        <v>56.68</v>
      </c>
      <c r="D2672" s="110">
        <v>56.1</v>
      </c>
      <c r="E2672" s="110">
        <v>57.21</v>
      </c>
      <c r="F2672" s="110">
        <v>56.68</v>
      </c>
      <c r="G2672">
        <v>820986</v>
      </c>
      <c r="H2672" s="110"/>
      <c r="I2672" s="110"/>
      <c r="L2672" s="134">
        <v>45938</v>
      </c>
      <c r="M2672" s="110">
        <v>56.66</v>
      </c>
      <c r="N2672" s="110">
        <v>57.36</v>
      </c>
      <c r="O2672" s="110">
        <v>56.15</v>
      </c>
      <c r="P2672" s="110">
        <v>57.21</v>
      </c>
      <c r="Q2672" s="110">
        <v>56.66</v>
      </c>
      <c r="R2672">
        <v>5883733</v>
      </c>
    </row>
    <row r="2673" spans="1:18" x14ac:dyDescent="0.25">
      <c r="A2673" s="134">
        <v>45939</v>
      </c>
      <c r="B2673" s="110">
        <v>57.1</v>
      </c>
      <c r="C2673" s="110">
        <v>56.62</v>
      </c>
      <c r="D2673" s="110">
        <v>56.45</v>
      </c>
      <c r="E2673" s="110">
        <v>56.68</v>
      </c>
      <c r="F2673" s="110">
        <v>56.62</v>
      </c>
      <c r="G2673">
        <v>526841</v>
      </c>
      <c r="H2673" s="110"/>
      <c r="I2673" s="110"/>
      <c r="L2673" s="134">
        <v>45939</v>
      </c>
      <c r="M2673" s="110">
        <v>56.59</v>
      </c>
      <c r="N2673" s="110">
        <v>57.09</v>
      </c>
      <c r="O2673" s="110">
        <v>56.49</v>
      </c>
      <c r="P2673" s="110">
        <v>56.69</v>
      </c>
      <c r="Q2673" s="110">
        <v>56.59</v>
      </c>
      <c r="R2673">
        <v>4363351</v>
      </c>
    </row>
    <row r="2674" spans="1:18" x14ac:dyDescent="0.25">
      <c r="A2674" s="134">
        <v>45940</v>
      </c>
      <c r="B2674" s="110">
        <v>58.12</v>
      </c>
      <c r="C2674" s="110">
        <v>57.54</v>
      </c>
      <c r="D2674" s="110">
        <v>56.55</v>
      </c>
      <c r="E2674" s="110">
        <v>56.55</v>
      </c>
      <c r="F2674" s="110">
        <v>57.54</v>
      </c>
      <c r="G2674">
        <v>1488804</v>
      </c>
      <c r="H2674" s="110"/>
      <c r="I2674" s="110"/>
      <c r="L2674" s="134">
        <v>45940</v>
      </c>
      <c r="M2674" s="110">
        <v>57.53</v>
      </c>
      <c r="N2674" s="110">
        <v>58.15</v>
      </c>
      <c r="O2674" s="110">
        <v>56.61</v>
      </c>
      <c r="P2674" s="110">
        <v>56.61</v>
      </c>
      <c r="Q2674" s="110">
        <v>57.53</v>
      </c>
      <c r="R2674">
        <v>17857975</v>
      </c>
    </row>
    <row r="2675" spans="1:18" x14ac:dyDescent="0.25">
      <c r="A2675" s="134">
        <v>45943</v>
      </c>
      <c r="B2675" s="110">
        <v>57.96</v>
      </c>
      <c r="C2675" s="110">
        <v>57.57</v>
      </c>
      <c r="D2675" s="110">
        <v>57.04</v>
      </c>
      <c r="E2675" s="110">
        <v>57.76</v>
      </c>
      <c r="F2675" s="110">
        <v>57.57</v>
      </c>
      <c r="G2675">
        <v>1218228</v>
      </c>
      <c r="H2675" s="110"/>
      <c r="I2675" s="110"/>
      <c r="L2675" s="134">
        <v>45943</v>
      </c>
      <c r="M2675" s="110">
        <v>57.58</v>
      </c>
      <c r="N2675" s="110">
        <v>58</v>
      </c>
      <c r="O2675" s="110">
        <v>57</v>
      </c>
      <c r="P2675" s="110">
        <v>58</v>
      </c>
      <c r="Q2675" s="110">
        <v>57.58</v>
      </c>
      <c r="R2675">
        <v>10491350</v>
      </c>
    </row>
    <row r="2676" spans="1:18" x14ac:dyDescent="0.25">
      <c r="A2676" s="134">
        <v>45944</v>
      </c>
      <c r="B2676" s="110">
        <v>57.95</v>
      </c>
      <c r="C2676" s="110">
        <v>55.18</v>
      </c>
      <c r="D2676" s="110">
        <v>54.7</v>
      </c>
      <c r="E2676" s="110">
        <v>57.81</v>
      </c>
      <c r="F2676" s="110">
        <v>55.18</v>
      </c>
      <c r="G2676">
        <v>1046314</v>
      </c>
      <c r="H2676" s="110"/>
      <c r="I2676" s="110"/>
      <c r="L2676" s="134">
        <v>45944</v>
      </c>
      <c r="M2676" s="110">
        <v>55.11</v>
      </c>
      <c r="N2676" s="110">
        <v>57.99</v>
      </c>
      <c r="O2676" s="110">
        <v>54.66</v>
      </c>
      <c r="P2676" s="110">
        <v>57.99</v>
      </c>
      <c r="Q2676" s="110">
        <v>55.11</v>
      </c>
      <c r="R2676">
        <v>24764824</v>
      </c>
    </row>
    <row r="2677" spans="1:18" x14ac:dyDescent="0.25">
      <c r="A2677" s="134">
        <v>45945</v>
      </c>
      <c r="B2677" s="110">
        <v>60.26</v>
      </c>
      <c r="C2677" s="110">
        <v>59.3</v>
      </c>
      <c r="D2677" s="110">
        <v>55.38</v>
      </c>
      <c r="E2677" s="110">
        <v>55.9</v>
      </c>
      <c r="F2677" s="110">
        <v>59.3</v>
      </c>
      <c r="G2677">
        <v>6820386</v>
      </c>
      <c r="H2677" s="110"/>
      <c r="I2677" s="110"/>
      <c r="L2677" s="134">
        <v>45945</v>
      </c>
      <c r="M2677" s="110">
        <v>59.3</v>
      </c>
      <c r="N2677" s="110">
        <v>60.24</v>
      </c>
      <c r="O2677" s="110">
        <v>55.34</v>
      </c>
      <c r="P2677" s="110">
        <v>55.9</v>
      </c>
      <c r="Q2677" s="110">
        <v>59.3</v>
      </c>
      <c r="R2677">
        <v>95656124</v>
      </c>
    </row>
    <row r="2678" spans="1:18" x14ac:dyDescent="0.25">
      <c r="A2678" s="134">
        <v>45946</v>
      </c>
      <c r="B2678" s="110">
        <v>61.39</v>
      </c>
      <c r="C2678" s="110">
        <v>57.62</v>
      </c>
      <c r="D2678" s="110">
        <v>57.42</v>
      </c>
      <c r="E2678" s="110">
        <v>59.77</v>
      </c>
      <c r="F2678" s="110">
        <v>57.62</v>
      </c>
      <c r="G2678">
        <v>4114734</v>
      </c>
      <c r="H2678" s="110"/>
      <c r="I2678" s="110"/>
      <c r="L2678" s="134">
        <v>45946</v>
      </c>
      <c r="M2678" s="110">
        <v>57.63</v>
      </c>
      <c r="N2678" s="110">
        <v>61.39</v>
      </c>
      <c r="O2678" s="110">
        <v>57.42</v>
      </c>
      <c r="P2678" s="110">
        <v>59.7</v>
      </c>
      <c r="Q2678" s="110">
        <v>57.63</v>
      </c>
      <c r="R2678">
        <v>49389136</v>
      </c>
    </row>
    <row r="2679" spans="1:18" x14ac:dyDescent="0.25">
      <c r="A2679" s="134">
        <v>45947</v>
      </c>
      <c r="B2679" s="110">
        <v>57.87</v>
      </c>
      <c r="C2679" s="110">
        <v>57.09</v>
      </c>
      <c r="D2679" s="110">
        <v>56.54</v>
      </c>
      <c r="E2679" s="110">
        <v>57.67</v>
      </c>
      <c r="F2679" s="110">
        <v>57.09</v>
      </c>
      <c r="G2679">
        <v>821506</v>
      </c>
      <c r="H2679" s="110"/>
      <c r="I2679" s="110"/>
      <c r="L2679" s="134">
        <v>45947</v>
      </c>
      <c r="M2679" s="110">
        <v>57.11</v>
      </c>
      <c r="N2679" s="110">
        <v>57.9</v>
      </c>
      <c r="O2679" s="110">
        <v>56.52</v>
      </c>
      <c r="P2679" s="110">
        <v>57.6</v>
      </c>
      <c r="Q2679" s="110">
        <v>57.11</v>
      </c>
      <c r="R2679">
        <v>16607747</v>
      </c>
    </row>
    <row r="2680" spans="1:18" x14ac:dyDescent="0.25">
      <c r="A2680" s="134">
        <v>45950</v>
      </c>
      <c r="B2680" s="110">
        <v>59.92</v>
      </c>
      <c r="C2680" s="110">
        <v>59.58</v>
      </c>
      <c r="D2680" s="110">
        <v>57.4</v>
      </c>
      <c r="E2680" s="110">
        <v>57.85</v>
      </c>
      <c r="F2680" s="110">
        <v>59.58</v>
      </c>
      <c r="G2680">
        <v>1870567</v>
      </c>
      <c r="H2680" s="110"/>
      <c r="I2680" s="110"/>
      <c r="L2680" s="134">
        <v>45950</v>
      </c>
      <c r="M2680" s="110">
        <v>59.61</v>
      </c>
      <c r="N2680" s="110">
        <v>59.95</v>
      </c>
      <c r="O2680" s="110">
        <v>57.36</v>
      </c>
      <c r="P2680" s="110">
        <v>57.76</v>
      </c>
      <c r="Q2680" s="110">
        <v>59.61</v>
      </c>
      <c r="R2680">
        <v>48646003</v>
      </c>
    </row>
    <row r="2681" spans="1:18" x14ac:dyDescent="0.25">
      <c r="A2681" s="134">
        <v>45951</v>
      </c>
      <c r="B2681" s="110">
        <v>60.55</v>
      </c>
      <c r="C2681" s="110">
        <v>60.05</v>
      </c>
      <c r="D2681" s="110">
        <v>59.82</v>
      </c>
      <c r="E2681" s="110">
        <v>60.28</v>
      </c>
      <c r="F2681" s="110">
        <v>60.05</v>
      </c>
      <c r="G2681">
        <v>590652</v>
      </c>
      <c r="H2681" s="110"/>
      <c r="I2681" s="110"/>
      <c r="L2681" s="134">
        <v>45951</v>
      </c>
      <c r="M2681" s="110">
        <v>60.03</v>
      </c>
      <c r="N2681" s="110">
        <v>60.56</v>
      </c>
      <c r="O2681" s="110">
        <v>59.83</v>
      </c>
      <c r="P2681" s="110">
        <v>60.19</v>
      </c>
      <c r="Q2681" s="110">
        <v>60.03</v>
      </c>
      <c r="R2681">
        <v>7649315</v>
      </c>
    </row>
    <row r="2682" spans="1:18" x14ac:dyDescent="0.25">
      <c r="A2682" s="134">
        <v>45953</v>
      </c>
      <c r="B2682" s="110">
        <v>60.84</v>
      </c>
      <c r="C2682" s="110">
        <v>59.41</v>
      </c>
      <c r="D2682" s="110">
        <v>59.23</v>
      </c>
      <c r="E2682" s="110">
        <v>60.18</v>
      </c>
      <c r="F2682" s="110">
        <v>59.41</v>
      </c>
      <c r="G2682">
        <v>1928746</v>
      </c>
      <c r="H2682" s="110"/>
      <c r="I2682" s="110"/>
      <c r="L2682" s="134">
        <v>45953</v>
      </c>
      <c r="M2682" s="110">
        <v>59.42</v>
      </c>
      <c r="N2682" s="110">
        <v>60.88</v>
      </c>
      <c r="O2682" s="110">
        <v>59.22</v>
      </c>
      <c r="P2682" s="110">
        <v>60.25</v>
      </c>
      <c r="Q2682" s="110">
        <v>59.42</v>
      </c>
      <c r="R2682">
        <v>19151925</v>
      </c>
    </row>
    <row r="2683" spans="1:18" x14ac:dyDescent="0.25">
      <c r="A2683" s="134">
        <v>45954</v>
      </c>
      <c r="B2683" s="110">
        <v>59.97</v>
      </c>
      <c r="C2683" s="110">
        <v>58.93</v>
      </c>
      <c r="D2683" s="110">
        <v>58.36</v>
      </c>
      <c r="E2683" s="110">
        <v>59.51</v>
      </c>
      <c r="F2683" s="110">
        <v>58.93</v>
      </c>
      <c r="G2683">
        <v>888829</v>
      </c>
      <c r="H2683" s="110"/>
      <c r="I2683" s="110"/>
      <c r="L2683" s="134">
        <v>45954</v>
      </c>
      <c r="M2683" s="110">
        <v>58.89</v>
      </c>
      <c r="N2683" s="110">
        <v>59.94</v>
      </c>
      <c r="O2683" s="110">
        <v>58.4</v>
      </c>
      <c r="P2683" s="110">
        <v>59.68</v>
      </c>
      <c r="Q2683" s="110">
        <v>58.89</v>
      </c>
      <c r="R2683">
        <v>13536897</v>
      </c>
    </row>
    <row r="2684" spans="1:18" x14ac:dyDescent="0.25">
      <c r="A2684" s="134">
        <v>45957</v>
      </c>
      <c r="B2684" s="110">
        <v>59.6</v>
      </c>
      <c r="C2684" s="110">
        <v>58.94</v>
      </c>
      <c r="D2684" s="110">
        <v>57.85</v>
      </c>
      <c r="E2684" s="110">
        <v>58.94</v>
      </c>
      <c r="F2684" s="110">
        <v>58.94</v>
      </c>
      <c r="G2684">
        <v>1034995</v>
      </c>
      <c r="H2684" s="110"/>
      <c r="I2684" s="110"/>
      <c r="L2684" s="134">
        <v>45957</v>
      </c>
      <c r="M2684" s="110">
        <v>58.89</v>
      </c>
      <c r="N2684" s="110">
        <v>59.63</v>
      </c>
      <c r="O2684" s="110">
        <v>57.86</v>
      </c>
      <c r="P2684" s="110">
        <v>59</v>
      </c>
      <c r="Q2684" s="110">
        <v>58.89</v>
      </c>
      <c r="R2684">
        <v>18759687</v>
      </c>
    </row>
    <row r="2685" spans="1:18" x14ac:dyDescent="0.25">
      <c r="A2685" s="134">
        <v>45958</v>
      </c>
      <c r="B2685" s="110">
        <v>60.59</v>
      </c>
      <c r="C2685" s="110">
        <v>60.01</v>
      </c>
      <c r="D2685" s="110">
        <v>58.9</v>
      </c>
      <c r="E2685" s="110">
        <v>59.18</v>
      </c>
      <c r="F2685" s="110">
        <v>60.01</v>
      </c>
      <c r="G2685">
        <v>3623669</v>
      </c>
      <c r="H2685" s="110"/>
      <c r="I2685" s="110"/>
      <c r="L2685" s="134">
        <v>45958</v>
      </c>
      <c r="M2685" s="110">
        <v>60.02</v>
      </c>
      <c r="N2685" s="110">
        <v>60.6</v>
      </c>
      <c r="O2685" s="110">
        <v>58.91</v>
      </c>
      <c r="P2685" s="110">
        <v>59</v>
      </c>
      <c r="Q2685" s="110">
        <v>60.02</v>
      </c>
      <c r="R2685">
        <v>29396797</v>
      </c>
    </row>
    <row r="2686" spans="1:18" x14ac:dyDescent="0.25">
      <c r="A2686" s="134">
        <v>45959</v>
      </c>
      <c r="B2686" s="110">
        <v>60.74</v>
      </c>
      <c r="C2686" s="110">
        <v>59.77</v>
      </c>
      <c r="D2686" s="110">
        <v>59.44</v>
      </c>
      <c r="E2686" s="110">
        <v>60.21</v>
      </c>
      <c r="F2686" s="110">
        <v>59.77</v>
      </c>
      <c r="G2686">
        <v>854110</v>
      </c>
      <c r="H2686" s="110"/>
      <c r="I2686" s="110"/>
      <c r="L2686" s="134">
        <v>45959</v>
      </c>
      <c r="M2686" s="110">
        <v>59.78</v>
      </c>
      <c r="N2686" s="110">
        <v>60.79</v>
      </c>
      <c r="O2686" s="110">
        <v>59.4</v>
      </c>
      <c r="P2686" s="110">
        <v>60.3</v>
      </c>
      <c r="Q2686" s="110">
        <v>59.78</v>
      </c>
      <c r="R2686">
        <v>13979649</v>
      </c>
    </row>
    <row r="2687" spans="1:18" x14ac:dyDescent="0.25">
      <c r="A2687" s="134">
        <v>45960</v>
      </c>
      <c r="B2687" s="110">
        <v>59.99</v>
      </c>
      <c r="C2687" s="110">
        <v>58.42</v>
      </c>
      <c r="D2687" s="110">
        <v>58.27</v>
      </c>
      <c r="E2687" s="110">
        <v>59.9</v>
      </c>
      <c r="F2687" s="110">
        <v>58.42</v>
      </c>
      <c r="G2687">
        <v>452227</v>
      </c>
      <c r="H2687" s="110"/>
      <c r="I2687" s="110"/>
      <c r="L2687" s="134">
        <v>45960</v>
      </c>
      <c r="M2687" s="110">
        <v>58.43</v>
      </c>
      <c r="N2687" s="110">
        <v>60</v>
      </c>
      <c r="O2687" s="110">
        <v>58.27</v>
      </c>
      <c r="P2687" s="110">
        <v>60</v>
      </c>
      <c r="Q2687" s="110">
        <v>58.43</v>
      </c>
      <c r="R2687">
        <v>13004160</v>
      </c>
    </row>
    <row r="2688" spans="1:18" x14ac:dyDescent="0.25">
      <c r="A2688" s="134">
        <v>45961</v>
      </c>
      <c r="B2688" s="110">
        <v>61.1</v>
      </c>
      <c r="C2688" s="110">
        <v>59.04</v>
      </c>
      <c r="D2688" s="110">
        <v>58.21</v>
      </c>
      <c r="E2688" s="110">
        <v>58.43</v>
      </c>
      <c r="F2688" s="110">
        <v>59.04</v>
      </c>
      <c r="G2688">
        <v>1296686</v>
      </c>
      <c r="H2688" s="110"/>
      <c r="I2688" s="110"/>
      <c r="L2688" s="134">
        <v>45961</v>
      </c>
      <c r="M2688" s="110">
        <v>59.03</v>
      </c>
      <c r="N2688" s="110">
        <v>61.13</v>
      </c>
      <c r="O2688" s="110">
        <v>58.19</v>
      </c>
      <c r="P2688" s="110">
        <v>58.5</v>
      </c>
      <c r="Q2688" s="110">
        <v>59.03</v>
      </c>
      <c r="R2688">
        <v>35420062</v>
      </c>
    </row>
    <row r="2689" spans="1:18" x14ac:dyDescent="0.25">
      <c r="A2689" s="134">
        <v>45964</v>
      </c>
      <c r="B2689" s="110">
        <v>60.55</v>
      </c>
      <c r="C2689" s="110">
        <v>59.92</v>
      </c>
      <c r="D2689" s="110">
        <v>58.9</v>
      </c>
      <c r="E2689" s="110">
        <v>59.63</v>
      </c>
      <c r="F2689" s="110">
        <v>59.92</v>
      </c>
      <c r="G2689">
        <v>2948364</v>
      </c>
      <c r="H2689" s="110"/>
      <c r="I2689" s="110"/>
      <c r="L2689" s="134">
        <v>45964</v>
      </c>
      <c r="M2689" s="110">
        <v>59.94</v>
      </c>
      <c r="N2689" s="110">
        <v>60.55</v>
      </c>
      <c r="O2689" s="110">
        <v>58.89</v>
      </c>
      <c r="P2689" s="110">
        <v>59.7</v>
      </c>
      <c r="Q2689" s="110">
        <v>59.94</v>
      </c>
      <c r="R2689">
        <v>23641175</v>
      </c>
    </row>
    <row r="2690" spans="1:18" x14ac:dyDescent="0.25">
      <c r="A2690" s="134">
        <v>45965</v>
      </c>
      <c r="B2690" s="110">
        <v>59.94</v>
      </c>
      <c r="C2690" s="110">
        <v>58.46</v>
      </c>
      <c r="D2690" s="110">
        <v>58.3</v>
      </c>
      <c r="E2690" s="110">
        <v>59.94</v>
      </c>
      <c r="F2690" s="110">
        <v>58.46</v>
      </c>
      <c r="G2690">
        <v>667735</v>
      </c>
      <c r="H2690" s="110"/>
      <c r="I2690" s="110"/>
      <c r="L2690" s="134">
        <v>45965</v>
      </c>
      <c r="M2690" s="110">
        <v>58.44</v>
      </c>
      <c r="N2690" s="110">
        <v>59.92</v>
      </c>
      <c r="O2690" s="110">
        <v>58.29</v>
      </c>
      <c r="P2690" s="110">
        <v>59.85</v>
      </c>
      <c r="Q2690" s="110">
        <v>58.44</v>
      </c>
      <c r="R2690">
        <v>15111039</v>
      </c>
    </row>
    <row r="2691" spans="1:18" x14ac:dyDescent="0.25">
      <c r="A2691" s="134">
        <v>45967</v>
      </c>
      <c r="B2691" s="110">
        <v>59.09</v>
      </c>
      <c r="C2691" s="110">
        <v>57.45</v>
      </c>
      <c r="D2691" s="110">
        <v>57</v>
      </c>
      <c r="E2691" s="110">
        <v>58.54</v>
      </c>
      <c r="F2691" s="110">
        <v>57.45</v>
      </c>
      <c r="G2691">
        <v>1669783</v>
      </c>
      <c r="H2691" s="110"/>
      <c r="I2691" s="110"/>
      <c r="L2691" s="134">
        <v>45967</v>
      </c>
      <c r="M2691" s="110">
        <v>57.42</v>
      </c>
      <c r="N2691" s="110">
        <v>59.1</v>
      </c>
      <c r="O2691" s="110">
        <v>56.6</v>
      </c>
      <c r="P2691" s="110">
        <v>58.69</v>
      </c>
      <c r="Q2691" s="110">
        <v>57.42</v>
      </c>
      <c r="R2691">
        <v>16241664</v>
      </c>
    </row>
    <row r="2692" spans="1:18" x14ac:dyDescent="0.25">
      <c r="A2692" s="134">
        <v>45968</v>
      </c>
      <c r="B2692" s="110">
        <v>59.79</v>
      </c>
      <c r="C2692" s="110">
        <v>59.61</v>
      </c>
      <c r="D2692" s="110">
        <v>56.84</v>
      </c>
      <c r="E2692" s="110">
        <v>57.19</v>
      </c>
      <c r="F2692" s="110">
        <v>59.61</v>
      </c>
      <c r="G2692">
        <v>1839165</v>
      </c>
      <c r="H2692" s="110"/>
      <c r="I2692" s="110"/>
      <c r="L2692" s="134">
        <v>45968</v>
      </c>
      <c r="M2692" s="110">
        <v>59.62</v>
      </c>
      <c r="N2692" s="110">
        <v>59.85</v>
      </c>
      <c r="O2692" s="110">
        <v>56.9</v>
      </c>
      <c r="P2692" s="110">
        <v>57.3</v>
      </c>
      <c r="Q2692" s="110">
        <v>59.62</v>
      </c>
      <c r="R2692">
        <v>19586973</v>
      </c>
    </row>
    <row r="2693" spans="1:18" x14ac:dyDescent="0.25">
      <c r="A2693" s="134">
        <v>45971</v>
      </c>
      <c r="B2693" s="110">
        <v>59.9</v>
      </c>
      <c r="C2693" s="110">
        <v>58.3</v>
      </c>
      <c r="D2693" s="110">
        <v>57.81</v>
      </c>
      <c r="E2693" s="110">
        <v>59.86</v>
      </c>
      <c r="F2693" s="110">
        <v>58.3</v>
      </c>
      <c r="G2693">
        <v>904016</v>
      </c>
      <c r="H2693" s="110"/>
      <c r="I2693" s="110"/>
      <c r="L2693" s="134">
        <v>45971</v>
      </c>
      <c r="M2693" s="110">
        <v>58.3</v>
      </c>
      <c r="N2693" s="110">
        <v>59.75</v>
      </c>
      <c r="O2693" s="110">
        <v>57.83</v>
      </c>
      <c r="P2693" s="110">
        <v>59.71</v>
      </c>
      <c r="Q2693" s="110">
        <v>58.3</v>
      </c>
      <c r="R2693">
        <v>16252535</v>
      </c>
    </row>
    <row r="2694" spans="1:18" x14ac:dyDescent="0.25">
      <c r="A2694" s="134">
        <v>45972</v>
      </c>
      <c r="B2694" s="110">
        <v>58.68</v>
      </c>
      <c r="C2694" s="110">
        <v>57.08</v>
      </c>
      <c r="D2694" s="110">
        <v>56.69</v>
      </c>
      <c r="E2694" s="110">
        <v>58.68</v>
      </c>
      <c r="F2694" s="110">
        <v>57.08</v>
      </c>
      <c r="G2694">
        <v>1195584</v>
      </c>
      <c r="H2694" s="110"/>
      <c r="I2694" s="110"/>
      <c r="L2694" s="134">
        <v>45972</v>
      </c>
      <c r="M2694" s="110">
        <v>57.09</v>
      </c>
      <c r="N2694" s="110">
        <v>58.47</v>
      </c>
      <c r="O2694" s="110">
        <v>56.7</v>
      </c>
      <c r="P2694" s="110">
        <v>58.29</v>
      </c>
      <c r="Q2694" s="110">
        <v>57.09</v>
      </c>
      <c r="R2694">
        <v>15588082</v>
      </c>
    </row>
    <row r="2695" spans="1:18" x14ac:dyDescent="0.25">
      <c r="A2695" s="134">
        <v>45973</v>
      </c>
      <c r="B2695" s="110">
        <v>57.82</v>
      </c>
      <c r="C2695" s="110">
        <v>57.57</v>
      </c>
      <c r="D2695" s="110">
        <v>57.13</v>
      </c>
      <c r="E2695" s="110">
        <v>57.13</v>
      </c>
      <c r="F2695" s="110">
        <v>57.57</v>
      </c>
      <c r="G2695">
        <v>340512</v>
      </c>
      <c r="H2695" s="110"/>
      <c r="I2695" s="110"/>
      <c r="L2695" s="134">
        <v>45973</v>
      </c>
      <c r="M2695" s="110">
        <v>57.57</v>
      </c>
      <c r="N2695" s="110">
        <v>57.85</v>
      </c>
      <c r="O2695" s="110">
        <v>57.27</v>
      </c>
      <c r="P2695" s="110">
        <v>57.47</v>
      </c>
      <c r="Q2695" s="110">
        <v>57.57</v>
      </c>
      <c r="R2695">
        <v>7340100</v>
      </c>
    </row>
    <row r="2696" spans="1:18" x14ac:dyDescent="0.25">
      <c r="A2696" s="134">
        <v>45974</v>
      </c>
      <c r="B2696" s="110">
        <v>57.64</v>
      </c>
      <c r="C2696" s="110">
        <v>56.96</v>
      </c>
      <c r="D2696" s="110">
        <v>56.88</v>
      </c>
      <c r="E2696" s="110">
        <v>57.57</v>
      </c>
      <c r="F2696" s="110">
        <v>56.96</v>
      </c>
      <c r="G2696">
        <v>607712</v>
      </c>
      <c r="H2696" s="110"/>
      <c r="I2696" s="110"/>
      <c r="L2696" s="134">
        <v>45974</v>
      </c>
      <c r="M2696" s="110">
        <v>56.96</v>
      </c>
      <c r="N2696" s="110">
        <v>57.67</v>
      </c>
      <c r="O2696" s="110">
        <v>56.85</v>
      </c>
      <c r="P2696" s="110">
        <v>57.57</v>
      </c>
      <c r="Q2696" s="110">
        <v>56.96</v>
      </c>
      <c r="R2696">
        <v>8814278</v>
      </c>
    </row>
    <row r="2697" spans="1:18" x14ac:dyDescent="0.25">
      <c r="A2697" s="134">
        <v>45975</v>
      </c>
      <c r="B2697" s="110">
        <v>58.1</v>
      </c>
      <c r="C2697" s="110">
        <v>58</v>
      </c>
      <c r="D2697" s="110">
        <v>56.64</v>
      </c>
      <c r="E2697" s="110">
        <v>56.64</v>
      </c>
      <c r="F2697" s="110">
        <v>58</v>
      </c>
      <c r="G2697">
        <v>920462</v>
      </c>
      <c r="H2697" s="110"/>
      <c r="I2697" s="110"/>
      <c r="L2697" s="134">
        <v>45975</v>
      </c>
      <c r="M2697" s="110">
        <v>58.01</v>
      </c>
      <c r="N2697" s="110">
        <v>58.13</v>
      </c>
      <c r="O2697" s="110">
        <v>56.75</v>
      </c>
      <c r="P2697" s="110">
        <v>56.75</v>
      </c>
      <c r="Q2697" s="110">
        <v>58.01</v>
      </c>
      <c r="R2697">
        <v>13582210</v>
      </c>
    </row>
    <row r="2698" spans="1:18" x14ac:dyDescent="0.25">
      <c r="A2698" s="134">
        <v>45978</v>
      </c>
      <c r="B2698" s="110">
        <v>60.31</v>
      </c>
      <c r="C2698" s="110">
        <v>59.91</v>
      </c>
      <c r="D2698" s="110">
        <v>58</v>
      </c>
      <c r="E2698" s="110">
        <v>58</v>
      </c>
      <c r="F2698" s="110">
        <v>59.91</v>
      </c>
      <c r="G2698">
        <v>1620855</v>
      </c>
      <c r="H2698" s="110"/>
      <c r="I2698" s="110"/>
      <c r="L2698" s="134">
        <v>45978</v>
      </c>
      <c r="M2698" s="110">
        <v>59.91</v>
      </c>
      <c r="N2698" s="110">
        <v>60.33</v>
      </c>
      <c r="O2698" s="110">
        <v>57.94</v>
      </c>
      <c r="P2698" s="110">
        <v>58.05</v>
      </c>
      <c r="Q2698" s="110">
        <v>59.91</v>
      </c>
      <c r="R2698">
        <v>30529618</v>
      </c>
    </row>
    <row r="2699" spans="1:18" x14ac:dyDescent="0.25">
      <c r="A2699" s="134">
        <v>45979</v>
      </c>
      <c r="B2699" s="110">
        <v>61</v>
      </c>
      <c r="C2699" s="110">
        <v>60.43</v>
      </c>
      <c r="D2699" s="110">
        <v>59.38</v>
      </c>
      <c r="E2699" s="110">
        <v>59.91</v>
      </c>
      <c r="F2699" s="110">
        <v>60.43</v>
      </c>
      <c r="G2699">
        <v>2598176</v>
      </c>
      <c r="H2699" s="110"/>
      <c r="I2699" s="110"/>
      <c r="L2699" s="134">
        <v>45979</v>
      </c>
      <c r="M2699" s="110">
        <v>60.43</v>
      </c>
      <c r="N2699" s="110">
        <v>61</v>
      </c>
      <c r="O2699" s="110">
        <v>59.33</v>
      </c>
      <c r="P2699" s="110">
        <v>59.91</v>
      </c>
      <c r="Q2699" s="110">
        <v>60.43</v>
      </c>
      <c r="R2699">
        <v>22735995</v>
      </c>
    </row>
    <row r="2700" spans="1:18" x14ac:dyDescent="0.25">
      <c r="A2700" s="134">
        <v>45980</v>
      </c>
      <c r="B2700" s="110">
        <v>61.55</v>
      </c>
      <c r="C2700" s="110">
        <v>61.12</v>
      </c>
      <c r="D2700" s="110">
        <v>59.65</v>
      </c>
      <c r="E2700" s="110">
        <v>60.5</v>
      </c>
      <c r="F2700" s="110">
        <v>61.12</v>
      </c>
      <c r="G2700">
        <v>2045592</v>
      </c>
      <c r="H2700" s="110"/>
      <c r="I2700" s="110"/>
      <c r="L2700" s="134">
        <v>45980</v>
      </c>
      <c r="M2700" s="110">
        <v>61.14</v>
      </c>
      <c r="N2700" s="110">
        <v>61.56</v>
      </c>
      <c r="O2700" s="110">
        <v>59.65</v>
      </c>
      <c r="P2700" s="110">
        <v>60.45</v>
      </c>
      <c r="Q2700" s="110">
        <v>61.14</v>
      </c>
      <c r="R2700">
        <v>26939648</v>
      </c>
    </row>
    <row r="2701" spans="1:18" x14ac:dyDescent="0.25">
      <c r="A2701" s="134">
        <v>45981</v>
      </c>
      <c r="B2701" s="110">
        <v>61.52</v>
      </c>
      <c r="C2701" s="110">
        <v>59.78</v>
      </c>
      <c r="D2701" s="110">
        <v>59.5</v>
      </c>
      <c r="E2701" s="110">
        <v>61.49</v>
      </c>
      <c r="F2701" s="110">
        <v>59.78</v>
      </c>
      <c r="G2701">
        <v>781955</v>
      </c>
      <c r="H2701" s="110"/>
      <c r="I2701" s="110"/>
      <c r="L2701" s="134">
        <v>45981</v>
      </c>
      <c r="M2701" s="110">
        <v>59.77</v>
      </c>
      <c r="N2701" s="110">
        <v>61.5</v>
      </c>
      <c r="O2701" s="110">
        <v>59.5</v>
      </c>
      <c r="P2701" s="110">
        <v>61.4</v>
      </c>
      <c r="Q2701" s="110">
        <v>59.77</v>
      </c>
      <c r="R2701">
        <v>18468181</v>
      </c>
    </row>
    <row r="2702" spans="1:18" x14ac:dyDescent="0.25">
      <c r="A2702" s="134">
        <v>45982</v>
      </c>
      <c r="B2702" s="110">
        <v>59.78</v>
      </c>
      <c r="C2702" s="110">
        <v>58.64</v>
      </c>
      <c r="D2702" s="110">
        <v>58.32</v>
      </c>
      <c r="E2702" s="110">
        <v>59.55</v>
      </c>
      <c r="F2702" s="110">
        <v>58.64</v>
      </c>
      <c r="G2702">
        <v>849949</v>
      </c>
      <c r="H2702" s="110"/>
      <c r="I2702" s="110"/>
      <c r="L2702" s="134">
        <v>45982</v>
      </c>
      <c r="M2702" s="110">
        <v>58.68</v>
      </c>
      <c r="N2702" s="110">
        <v>59.78</v>
      </c>
      <c r="O2702" s="110">
        <v>58.32</v>
      </c>
      <c r="P2702" s="110">
        <v>59.5</v>
      </c>
      <c r="Q2702" s="110">
        <v>58.68</v>
      </c>
      <c r="R2702">
        <v>12908844</v>
      </c>
    </row>
    <row r="2703" spans="1:18" x14ac:dyDescent="0.25">
      <c r="A2703" s="134">
        <v>45985</v>
      </c>
      <c r="B2703" s="110">
        <v>59.46</v>
      </c>
      <c r="C2703" s="110">
        <v>58.25</v>
      </c>
      <c r="D2703" s="110">
        <v>58.03</v>
      </c>
      <c r="E2703" s="110">
        <v>58.68</v>
      </c>
      <c r="F2703" s="110">
        <v>58.25</v>
      </c>
      <c r="G2703">
        <v>504414</v>
      </c>
      <c r="H2703" s="110"/>
      <c r="I2703" s="110"/>
      <c r="L2703" s="134">
        <v>45985</v>
      </c>
      <c r="M2703" s="110">
        <v>58.22</v>
      </c>
      <c r="N2703" s="110">
        <v>59.55</v>
      </c>
      <c r="O2703" s="110">
        <v>58</v>
      </c>
      <c r="P2703" s="110">
        <v>58.7</v>
      </c>
      <c r="Q2703" s="110">
        <v>58.22</v>
      </c>
      <c r="R2703">
        <v>10241666</v>
      </c>
    </row>
    <row r="2704" spans="1:18" x14ac:dyDescent="0.25">
      <c r="A2704" s="134">
        <v>45986</v>
      </c>
      <c r="B2704" s="110">
        <v>59.76</v>
      </c>
      <c r="C2704" s="110">
        <v>59.59</v>
      </c>
      <c r="D2704" s="110">
        <v>57.96</v>
      </c>
      <c r="E2704" s="110">
        <v>58.52</v>
      </c>
      <c r="F2704" s="110">
        <v>59.59</v>
      </c>
      <c r="G2704">
        <v>869391</v>
      </c>
      <c r="H2704" s="110"/>
      <c r="I2704" s="110"/>
      <c r="L2704" s="134">
        <v>45986</v>
      </c>
      <c r="M2704" s="110">
        <v>59.61</v>
      </c>
      <c r="N2704" s="110">
        <v>59.75</v>
      </c>
      <c r="O2704" s="110">
        <v>58.03</v>
      </c>
      <c r="P2704" s="110">
        <v>58.45</v>
      </c>
      <c r="Q2704" s="110">
        <v>59.61</v>
      </c>
      <c r="R2704">
        <v>11644172</v>
      </c>
    </row>
    <row r="2705" spans="1:18" x14ac:dyDescent="0.25">
      <c r="A2705" s="134">
        <v>45987</v>
      </c>
      <c r="B2705" s="110">
        <v>60.93</v>
      </c>
      <c r="C2705" s="110">
        <v>59.91</v>
      </c>
      <c r="D2705" s="110">
        <v>59.61</v>
      </c>
      <c r="E2705" s="110">
        <v>59.89</v>
      </c>
      <c r="F2705" s="110">
        <v>59.91</v>
      </c>
      <c r="G2705">
        <v>1039845</v>
      </c>
      <c r="H2705" s="110"/>
      <c r="I2705" s="110"/>
      <c r="L2705" s="134">
        <v>45987</v>
      </c>
      <c r="M2705" s="110">
        <v>59.95</v>
      </c>
      <c r="N2705" s="110">
        <v>60.93</v>
      </c>
      <c r="O2705" s="110">
        <v>59.63</v>
      </c>
      <c r="P2705" s="110">
        <v>60</v>
      </c>
      <c r="Q2705" s="110">
        <v>59.95</v>
      </c>
      <c r="R2705">
        <v>14322935</v>
      </c>
    </row>
    <row r="2706" spans="1:18" x14ac:dyDescent="0.25">
      <c r="A2706" s="134">
        <v>45988</v>
      </c>
      <c r="B2706" s="110">
        <v>60.29</v>
      </c>
      <c r="C2706" s="110">
        <v>59.44</v>
      </c>
      <c r="D2706" s="110">
        <v>59.04</v>
      </c>
      <c r="E2706" s="110">
        <v>60.03</v>
      </c>
      <c r="F2706" s="110">
        <v>59.44</v>
      </c>
      <c r="G2706">
        <v>579663</v>
      </c>
      <c r="H2706" s="110"/>
      <c r="I2706" s="110"/>
      <c r="L2706" s="134">
        <v>45988</v>
      </c>
      <c r="M2706" s="110">
        <v>59.45</v>
      </c>
      <c r="N2706" s="110">
        <v>60.26</v>
      </c>
      <c r="O2706" s="110">
        <v>59</v>
      </c>
      <c r="P2706" s="110">
        <v>60.1</v>
      </c>
      <c r="Q2706" s="110">
        <v>59.45</v>
      </c>
      <c r="R2706">
        <v>8692909</v>
      </c>
    </row>
    <row r="2707" spans="1:18" x14ac:dyDescent="0.25">
      <c r="A2707" s="134">
        <v>45989</v>
      </c>
      <c r="B2707" s="110">
        <v>59.45</v>
      </c>
      <c r="C2707" s="110">
        <v>58.56</v>
      </c>
      <c r="D2707" s="110">
        <v>58.43</v>
      </c>
      <c r="E2707" s="110">
        <v>59.32</v>
      </c>
      <c r="F2707" s="110">
        <v>58.56</v>
      </c>
      <c r="G2707">
        <v>778201</v>
      </c>
      <c r="H2707" s="110"/>
      <c r="I2707" s="110"/>
      <c r="L2707" s="134">
        <v>45989</v>
      </c>
      <c r="M2707" s="110">
        <v>58.56</v>
      </c>
      <c r="N2707" s="110">
        <v>59.53</v>
      </c>
      <c r="O2707" s="110">
        <v>58.41</v>
      </c>
      <c r="P2707" s="110">
        <v>59.45</v>
      </c>
      <c r="Q2707" s="110">
        <v>58.56</v>
      </c>
      <c r="R2707">
        <v>12070813</v>
      </c>
    </row>
    <row r="2708" spans="1:18" x14ac:dyDescent="0.25">
      <c r="A2708" s="134">
        <v>45992</v>
      </c>
      <c r="B2708" s="110">
        <v>59.66</v>
      </c>
      <c r="C2708" s="110">
        <v>57.66</v>
      </c>
      <c r="D2708" s="110">
        <v>57.25</v>
      </c>
      <c r="E2708" s="110">
        <v>58.6</v>
      </c>
      <c r="F2708" s="110">
        <v>57.66</v>
      </c>
      <c r="G2708">
        <v>1668621</v>
      </c>
      <c r="H2708" s="110"/>
      <c r="I2708" s="110"/>
      <c r="L2708" s="134">
        <v>45992</v>
      </c>
      <c r="M2708" s="110">
        <v>57.65</v>
      </c>
      <c r="N2708" s="110">
        <v>59.68</v>
      </c>
      <c r="O2708" s="110">
        <v>57.25</v>
      </c>
      <c r="P2708" s="110">
        <v>58.81</v>
      </c>
      <c r="Q2708" s="110">
        <v>57.65</v>
      </c>
      <c r="R2708">
        <v>27753709</v>
      </c>
    </row>
    <row r="2709" spans="1:18" x14ac:dyDescent="0.25">
      <c r="A2709" s="134">
        <v>45993</v>
      </c>
      <c r="B2709">
        <v>58.79</v>
      </c>
      <c r="C2709">
        <v>57.61</v>
      </c>
      <c r="D2709">
        <v>56.01</v>
      </c>
      <c r="E2709">
        <v>56.32</v>
      </c>
      <c r="F2709">
        <v>57.61</v>
      </c>
      <c r="G2709">
        <v>4621377</v>
      </c>
      <c r="H2709" s="110"/>
      <c r="I2709" s="110"/>
      <c r="L2709" s="134">
        <v>45993</v>
      </c>
      <c r="M2709" s="110">
        <v>57.57</v>
      </c>
      <c r="N2709" s="110">
        <v>58.8</v>
      </c>
      <c r="O2709" s="110">
        <v>56.1</v>
      </c>
      <c r="P2709" s="110">
        <v>56.39</v>
      </c>
      <c r="Q2709" s="110">
        <v>57.57</v>
      </c>
      <c r="R2709">
        <v>108570765</v>
      </c>
    </row>
    <row r="2710" spans="1:18" x14ac:dyDescent="0.25">
      <c r="A2710" s="134">
        <v>45994</v>
      </c>
      <c r="B2710">
        <v>57.17</v>
      </c>
      <c r="C2710">
        <v>56.63</v>
      </c>
      <c r="D2710">
        <v>56.36</v>
      </c>
      <c r="E2710">
        <v>57</v>
      </c>
      <c r="F2710">
        <v>56.63</v>
      </c>
      <c r="G2710">
        <v>3700172</v>
      </c>
      <c r="H2710" s="110"/>
      <c r="I2710" s="110"/>
      <c r="L2710" s="134">
        <v>45994</v>
      </c>
      <c r="M2710" s="110">
        <v>56.64</v>
      </c>
      <c r="N2710" s="110">
        <v>57.17</v>
      </c>
      <c r="O2710" s="110">
        <v>56.36</v>
      </c>
      <c r="P2710" s="110">
        <v>57.04</v>
      </c>
      <c r="Q2710" s="110">
        <v>56.64</v>
      </c>
      <c r="R2710">
        <v>104964314</v>
      </c>
    </row>
    <row r="2711" spans="1:18" x14ac:dyDescent="0.25">
      <c r="A2711" s="134">
        <v>45995</v>
      </c>
      <c r="B2711">
        <v>57.04</v>
      </c>
      <c r="C2711">
        <v>56.96</v>
      </c>
      <c r="D2711">
        <v>55.8</v>
      </c>
      <c r="E2711">
        <v>56.5</v>
      </c>
      <c r="F2711">
        <v>56.96</v>
      </c>
      <c r="G2711">
        <v>1105269</v>
      </c>
      <c r="H2711" s="110"/>
      <c r="I2711" s="110"/>
      <c r="L2711" s="134">
        <v>45995</v>
      </c>
      <c r="M2711" s="110">
        <v>56.95</v>
      </c>
      <c r="N2711" s="110">
        <v>57</v>
      </c>
      <c r="O2711" s="110">
        <v>55.8</v>
      </c>
      <c r="P2711" s="110">
        <v>56.44</v>
      </c>
      <c r="Q2711" s="110">
        <v>56.95</v>
      </c>
      <c r="R2711">
        <v>30400987</v>
      </c>
    </row>
    <row r="2712" spans="1:18" x14ac:dyDescent="0.25">
      <c r="A2712" s="134">
        <v>45996</v>
      </c>
      <c r="B2712">
        <v>57.4</v>
      </c>
      <c r="C2712">
        <v>56.98</v>
      </c>
      <c r="D2712">
        <v>56.55</v>
      </c>
      <c r="E2712">
        <v>56.86</v>
      </c>
      <c r="F2712">
        <v>56.98</v>
      </c>
      <c r="G2712">
        <v>1405074</v>
      </c>
      <c r="H2712" s="110"/>
      <c r="I2712" s="110"/>
      <c r="L2712" s="134">
        <v>45996</v>
      </c>
      <c r="M2712" s="110">
        <v>56.98</v>
      </c>
      <c r="N2712" s="110">
        <v>57.4</v>
      </c>
      <c r="O2712" s="110">
        <v>56.47</v>
      </c>
      <c r="P2712" s="110">
        <v>56.61</v>
      </c>
      <c r="Q2712" s="110">
        <v>56.98</v>
      </c>
      <c r="R2712">
        <v>31121551</v>
      </c>
    </row>
    <row r="2713" spans="1:18" x14ac:dyDescent="0.25">
      <c r="A2713" s="134">
        <v>45999</v>
      </c>
      <c r="B2713">
        <v>57.4</v>
      </c>
      <c r="C2713">
        <v>56.3</v>
      </c>
      <c r="D2713">
        <v>55.71</v>
      </c>
      <c r="E2713">
        <v>57.25</v>
      </c>
      <c r="F2713">
        <v>56.3</v>
      </c>
      <c r="G2713">
        <v>1972456</v>
      </c>
      <c r="H2713" s="110"/>
      <c r="I2713" s="110"/>
      <c r="L2713" s="134">
        <v>45999</v>
      </c>
      <c r="M2713" s="110">
        <v>56.22</v>
      </c>
      <c r="N2713" s="110">
        <v>57.38</v>
      </c>
      <c r="O2713" s="110">
        <v>55.7</v>
      </c>
      <c r="P2713" s="110">
        <v>57.21</v>
      </c>
      <c r="Q2713" s="110">
        <v>56.22</v>
      </c>
      <c r="R2713">
        <v>21560384</v>
      </c>
    </row>
    <row r="2714" spans="1:18" x14ac:dyDescent="0.25">
      <c r="A2714" s="134">
        <v>46000</v>
      </c>
      <c r="B2714">
        <v>57.19</v>
      </c>
      <c r="C2714">
        <v>57.06</v>
      </c>
      <c r="D2714">
        <v>55.5</v>
      </c>
      <c r="E2714">
        <v>55.75</v>
      </c>
      <c r="F2714">
        <v>57.06</v>
      </c>
      <c r="G2714">
        <v>979711</v>
      </c>
      <c r="H2714" s="110"/>
      <c r="I2714" s="110"/>
      <c r="L2714" s="134">
        <v>46000</v>
      </c>
      <c r="M2714" s="110">
        <v>57.03</v>
      </c>
      <c r="N2714" s="110">
        <v>57.15</v>
      </c>
      <c r="O2714" s="110">
        <v>55.51</v>
      </c>
      <c r="P2714" s="110">
        <v>56.14</v>
      </c>
      <c r="Q2714" s="110">
        <v>57.03</v>
      </c>
      <c r="R2714">
        <v>17081289</v>
      </c>
    </row>
    <row r="2715" spans="1:18" x14ac:dyDescent="0.25">
      <c r="A2715" s="134">
        <v>46001</v>
      </c>
      <c r="B2715">
        <v>57.6</v>
      </c>
      <c r="C2715">
        <v>56.66</v>
      </c>
      <c r="D2715">
        <v>56.5</v>
      </c>
      <c r="E2715">
        <v>56.69</v>
      </c>
      <c r="F2715">
        <v>56.66</v>
      </c>
      <c r="G2715">
        <v>1047243</v>
      </c>
      <c r="H2715" s="110"/>
      <c r="I2715" s="110"/>
      <c r="L2715" s="134">
        <v>46001</v>
      </c>
      <c r="M2715" s="110">
        <v>56.72</v>
      </c>
      <c r="N2715" s="110">
        <v>57.6</v>
      </c>
      <c r="O2715" s="110">
        <v>56.53</v>
      </c>
      <c r="P2715" s="110">
        <v>57.03</v>
      </c>
      <c r="Q2715" s="110">
        <v>56.72</v>
      </c>
      <c r="R2715">
        <v>12247138</v>
      </c>
    </row>
    <row r="2716" spans="1:18" x14ac:dyDescent="0.25">
      <c r="A2716" s="134">
        <v>46002</v>
      </c>
      <c r="B2716">
        <v>57.77</v>
      </c>
      <c r="C2716">
        <v>57.48</v>
      </c>
      <c r="D2716">
        <v>56.51</v>
      </c>
      <c r="E2716">
        <v>56.85</v>
      </c>
      <c r="F2716">
        <v>57.48</v>
      </c>
      <c r="G2716">
        <v>612297</v>
      </c>
      <c r="H2716" s="110"/>
      <c r="I2716" s="110"/>
      <c r="L2716" s="134">
        <v>46002</v>
      </c>
      <c r="M2716" s="110">
        <v>57.45</v>
      </c>
      <c r="N2716" s="110">
        <v>57.75</v>
      </c>
      <c r="O2716" s="110">
        <v>56.55</v>
      </c>
      <c r="P2716" s="110">
        <v>56.95</v>
      </c>
      <c r="Q2716" s="110">
        <v>57.45</v>
      </c>
      <c r="R2716">
        <v>13418511</v>
      </c>
    </row>
    <row r="2717" spans="1:18" x14ac:dyDescent="0.25">
      <c r="A2717" s="134">
        <v>46003</v>
      </c>
      <c r="B2717">
        <v>57.65</v>
      </c>
      <c r="C2717">
        <v>57.04</v>
      </c>
      <c r="D2717">
        <v>56.9</v>
      </c>
      <c r="E2717">
        <v>57.43</v>
      </c>
      <c r="F2717">
        <v>57.04</v>
      </c>
      <c r="G2717">
        <v>1626596</v>
      </c>
      <c r="H2717" s="110"/>
      <c r="I2717" s="110"/>
      <c r="L2717" s="134">
        <v>46003</v>
      </c>
      <c r="M2717" s="110">
        <v>57.03</v>
      </c>
      <c r="N2717" s="110">
        <v>57.7</v>
      </c>
      <c r="O2717" s="110">
        <v>56.9</v>
      </c>
      <c r="P2717" s="110">
        <v>57.5</v>
      </c>
      <c r="Q2717" s="110">
        <v>57.03</v>
      </c>
      <c r="R2717">
        <v>7201810</v>
      </c>
    </row>
    <row r="2718" spans="1:18" x14ac:dyDescent="0.25">
      <c r="A2718" s="134">
        <v>46006</v>
      </c>
      <c r="B2718">
        <v>57.69</v>
      </c>
      <c r="C2718">
        <v>57.42</v>
      </c>
      <c r="D2718">
        <v>56.51</v>
      </c>
      <c r="E2718">
        <v>56.95</v>
      </c>
      <c r="F2718">
        <v>57.42</v>
      </c>
      <c r="G2718">
        <v>666173</v>
      </c>
      <c r="H2718" s="110"/>
      <c r="I2718" s="110"/>
      <c r="L2718" s="134">
        <v>46006</v>
      </c>
      <c r="M2718" s="110">
        <v>57.4</v>
      </c>
      <c r="N2718" s="110">
        <v>57.69</v>
      </c>
      <c r="O2718" s="110">
        <v>56.8</v>
      </c>
      <c r="P2718" s="110">
        <v>57</v>
      </c>
      <c r="Q2718" s="110">
        <v>57.4</v>
      </c>
      <c r="R2718">
        <v>7468077</v>
      </c>
    </row>
    <row r="2719" spans="1:18" x14ac:dyDescent="0.25">
      <c r="A2719" s="134">
        <v>46007</v>
      </c>
      <c r="B2719">
        <v>57.5</v>
      </c>
      <c r="C2719">
        <v>56.51</v>
      </c>
      <c r="D2719">
        <v>56.45</v>
      </c>
      <c r="E2719">
        <v>57.12</v>
      </c>
      <c r="F2719">
        <v>56.51</v>
      </c>
      <c r="G2719">
        <v>421905</v>
      </c>
      <c r="H2719" s="110"/>
      <c r="I2719" s="110"/>
      <c r="L2719" s="134">
        <v>46007</v>
      </c>
      <c r="M2719" s="110">
        <v>56.52</v>
      </c>
      <c r="N2719" s="110">
        <v>57.53</v>
      </c>
      <c r="O2719" s="110">
        <v>56.45</v>
      </c>
      <c r="P2719" s="110">
        <v>57.14</v>
      </c>
      <c r="Q2719" s="110">
        <v>56.52</v>
      </c>
      <c r="R2719">
        <v>6302217</v>
      </c>
    </row>
    <row r="2720" spans="1:18" x14ac:dyDescent="0.25">
      <c r="A2720" s="134">
        <v>46008</v>
      </c>
      <c r="B2720">
        <v>56.99</v>
      </c>
      <c r="C2720">
        <v>56.75</v>
      </c>
      <c r="D2720">
        <v>56.45</v>
      </c>
      <c r="E2720">
        <v>56.51</v>
      </c>
      <c r="F2720">
        <v>56.75</v>
      </c>
      <c r="G2720">
        <v>357909</v>
      </c>
      <c r="H2720" s="110"/>
      <c r="I2720" s="110"/>
      <c r="L2720" s="134">
        <v>46008</v>
      </c>
      <c r="M2720" s="110">
        <v>56.74</v>
      </c>
      <c r="N2720" s="110">
        <v>57</v>
      </c>
      <c r="O2720" s="110">
        <v>56.43</v>
      </c>
      <c r="P2720" s="110">
        <v>56.54</v>
      </c>
      <c r="Q2720" s="110">
        <v>56.74</v>
      </c>
      <c r="R2720">
        <v>9771956</v>
      </c>
    </row>
    <row r="2721" spans="1:18" x14ac:dyDescent="0.25">
      <c r="A2721" s="134">
        <v>46009</v>
      </c>
      <c r="B2721">
        <v>56.8</v>
      </c>
      <c r="C2721">
        <v>56.36</v>
      </c>
      <c r="D2721">
        <v>55.96</v>
      </c>
      <c r="E2721">
        <v>56.8</v>
      </c>
      <c r="F2721">
        <v>56.36</v>
      </c>
      <c r="G2721">
        <v>507460</v>
      </c>
      <c r="H2721" s="110"/>
      <c r="I2721" s="110"/>
      <c r="L2721" s="134">
        <v>46009</v>
      </c>
      <c r="M2721" s="110">
        <v>56.38</v>
      </c>
      <c r="N2721" s="110">
        <v>56.8</v>
      </c>
      <c r="O2721" s="110">
        <v>56</v>
      </c>
      <c r="P2721" s="110">
        <v>56.74</v>
      </c>
      <c r="Q2721" s="110">
        <v>56.38</v>
      </c>
      <c r="R2721">
        <v>7248719</v>
      </c>
    </row>
    <row r="2722" spans="1:18" x14ac:dyDescent="0.25">
      <c r="A2722" s="134">
        <v>46010</v>
      </c>
      <c r="B2722">
        <v>57.44</v>
      </c>
      <c r="C2722">
        <v>57.33</v>
      </c>
      <c r="D2722">
        <v>56.32</v>
      </c>
      <c r="E2722">
        <v>56.32</v>
      </c>
      <c r="F2722">
        <v>57.33</v>
      </c>
      <c r="G2722">
        <v>516879</v>
      </c>
      <c r="H2722" s="110"/>
      <c r="I2722" s="110"/>
      <c r="L2722" s="134">
        <v>46010</v>
      </c>
      <c r="M2722" s="110">
        <v>57.31</v>
      </c>
      <c r="N2722" s="110">
        <v>57.42</v>
      </c>
      <c r="O2722" s="110">
        <v>56.33</v>
      </c>
      <c r="P2722" s="110">
        <v>56.33</v>
      </c>
      <c r="Q2722" s="110">
        <v>57.31</v>
      </c>
      <c r="R2722">
        <v>8998094</v>
      </c>
    </row>
    <row r="2723" spans="1:18" x14ac:dyDescent="0.25">
      <c r="A2723" s="134">
        <v>46013</v>
      </c>
      <c r="B2723">
        <v>57.82</v>
      </c>
      <c r="C2723">
        <v>57.69</v>
      </c>
      <c r="D2723">
        <v>57.03</v>
      </c>
      <c r="E2723">
        <v>57.06</v>
      </c>
      <c r="F2723">
        <v>57.69</v>
      </c>
      <c r="G2723">
        <v>947728</v>
      </c>
      <c r="H2723" s="110"/>
      <c r="I2723" s="110"/>
      <c r="L2723" s="134">
        <v>46013</v>
      </c>
      <c r="M2723" s="110">
        <v>57.67</v>
      </c>
      <c r="N2723" s="110">
        <v>57.83</v>
      </c>
      <c r="O2723" s="110">
        <v>57.02</v>
      </c>
      <c r="P2723" s="110">
        <v>57.17</v>
      </c>
      <c r="Q2723" s="110">
        <v>57.67</v>
      </c>
      <c r="R2723">
        <v>9605360</v>
      </c>
    </row>
    <row r="2724" spans="1:18" x14ac:dyDescent="0.25">
      <c r="A2724" s="134">
        <v>46014</v>
      </c>
      <c r="B2724">
        <v>58.1</v>
      </c>
      <c r="C2724">
        <v>57.71</v>
      </c>
      <c r="D2724">
        <v>57.55</v>
      </c>
      <c r="E2724">
        <v>57.73</v>
      </c>
      <c r="F2724">
        <v>57.71</v>
      </c>
      <c r="G2724">
        <v>876357</v>
      </c>
      <c r="H2724" s="110"/>
      <c r="I2724" s="110"/>
      <c r="L2724" s="134">
        <v>46014</v>
      </c>
      <c r="M2724" s="110">
        <v>57.7</v>
      </c>
      <c r="N2724" s="110">
        <v>58.1</v>
      </c>
      <c r="O2724" s="110">
        <v>57.52</v>
      </c>
      <c r="P2724" s="110">
        <v>57.8</v>
      </c>
      <c r="Q2724" s="110">
        <v>57.7</v>
      </c>
      <c r="R2724">
        <v>7354932</v>
      </c>
    </row>
    <row r="2725" spans="1:18" x14ac:dyDescent="0.25">
      <c r="A2725" s="134">
        <v>46015</v>
      </c>
      <c r="B2725">
        <v>58</v>
      </c>
      <c r="C2725">
        <v>57.28</v>
      </c>
      <c r="D2725">
        <v>57.16</v>
      </c>
      <c r="E2725">
        <v>57.76</v>
      </c>
      <c r="F2725">
        <v>57.28</v>
      </c>
      <c r="G2725">
        <v>525339</v>
      </c>
      <c r="H2725" s="110"/>
      <c r="I2725" s="110"/>
      <c r="L2725" s="134">
        <v>46015</v>
      </c>
      <c r="M2725" s="110">
        <v>57.26</v>
      </c>
      <c r="N2725" s="110">
        <v>57.89</v>
      </c>
      <c r="O2725" s="110">
        <v>57.18</v>
      </c>
      <c r="P2725" s="110">
        <v>57.85</v>
      </c>
      <c r="Q2725" s="110">
        <v>57.26</v>
      </c>
      <c r="R2725">
        <v>5102637</v>
      </c>
    </row>
    <row r="2726" spans="1:18" x14ac:dyDescent="0.25">
      <c r="A2726" s="134">
        <v>46017</v>
      </c>
      <c r="B2726">
        <v>57.65</v>
      </c>
      <c r="C2726">
        <v>57</v>
      </c>
      <c r="D2726">
        <v>56.91</v>
      </c>
      <c r="E2726">
        <v>57.19</v>
      </c>
      <c r="F2726">
        <v>57</v>
      </c>
      <c r="G2726">
        <v>664750</v>
      </c>
      <c r="H2726" s="110"/>
      <c r="I2726" s="110"/>
      <c r="L2726" s="134">
        <v>46017</v>
      </c>
      <c r="M2726" s="110">
        <v>56.99</v>
      </c>
      <c r="N2726" s="110">
        <v>57.65</v>
      </c>
      <c r="O2726" s="110">
        <v>56.89</v>
      </c>
      <c r="P2726" s="110">
        <v>57.25</v>
      </c>
      <c r="Q2726" s="110">
        <v>56.99</v>
      </c>
      <c r="R2726">
        <v>7175248</v>
      </c>
    </row>
    <row r="2727" spans="1:18" x14ac:dyDescent="0.25">
      <c r="A2727" s="134">
        <v>46020</v>
      </c>
      <c r="B2727">
        <v>58.08</v>
      </c>
      <c r="C2727">
        <v>57.76</v>
      </c>
      <c r="D2727">
        <v>56.96</v>
      </c>
      <c r="E2727">
        <v>57</v>
      </c>
      <c r="F2727">
        <v>57.76</v>
      </c>
      <c r="G2727">
        <v>1108775</v>
      </c>
      <c r="H2727" s="110"/>
      <c r="I2727" s="110"/>
      <c r="L2727" s="134">
        <v>46020</v>
      </c>
      <c r="M2727" s="110">
        <v>57.77</v>
      </c>
      <c r="N2727" s="110">
        <v>58.08</v>
      </c>
      <c r="O2727" s="110">
        <v>56.93</v>
      </c>
      <c r="P2727" s="110">
        <v>57</v>
      </c>
      <c r="Q2727" s="110">
        <v>57.77</v>
      </c>
      <c r="R2727">
        <v>10337708</v>
      </c>
    </row>
    <row r="2728" spans="1:18" x14ac:dyDescent="0.25">
      <c r="A2728" s="134">
        <v>46021</v>
      </c>
      <c r="B2728">
        <v>60.89</v>
      </c>
      <c r="C2728">
        <v>60.46</v>
      </c>
      <c r="D2728">
        <v>57.28</v>
      </c>
      <c r="E2728">
        <v>57.8</v>
      </c>
      <c r="F2728">
        <v>60.46</v>
      </c>
      <c r="G2728">
        <v>1832237</v>
      </c>
      <c r="H2728" s="110"/>
      <c r="I2728" s="110"/>
      <c r="L2728" s="134">
        <v>46021</v>
      </c>
      <c r="M2728" s="110">
        <v>60.51</v>
      </c>
      <c r="N2728" s="110">
        <v>60.9</v>
      </c>
      <c r="O2728" s="110">
        <v>57.29</v>
      </c>
      <c r="P2728" s="110">
        <v>57.77</v>
      </c>
      <c r="Q2728" s="110">
        <v>60.51</v>
      </c>
      <c r="R2728">
        <v>40215113</v>
      </c>
    </row>
    <row r="2729" spans="1:18" x14ac:dyDescent="0.25">
      <c r="A2729" s="134">
        <v>46022</v>
      </c>
      <c r="B2729">
        <v>62.6</v>
      </c>
      <c r="C2729">
        <v>62.05</v>
      </c>
      <c r="D2729">
        <v>60.3</v>
      </c>
      <c r="E2729">
        <v>60.44</v>
      </c>
      <c r="F2729">
        <v>62.05</v>
      </c>
      <c r="G2729">
        <v>1872364</v>
      </c>
      <c r="H2729" s="110"/>
      <c r="I2729" s="110"/>
      <c r="L2729" s="134">
        <v>46022</v>
      </c>
      <c r="M2729" s="110">
        <v>62.05</v>
      </c>
      <c r="N2729" s="110">
        <v>62.65</v>
      </c>
      <c r="O2729" s="110">
        <v>60.27</v>
      </c>
      <c r="P2729" s="110">
        <v>60.51</v>
      </c>
      <c r="Q2729" s="110">
        <v>62.05</v>
      </c>
      <c r="R2729">
        <v>47410686</v>
      </c>
    </row>
    <row r="2730" spans="1:18" x14ac:dyDescent="0.25">
      <c r="A2730" s="134">
        <v>46023</v>
      </c>
      <c r="B2730">
        <v>63.8</v>
      </c>
      <c r="C2730">
        <v>63.58</v>
      </c>
      <c r="D2730">
        <v>61.41</v>
      </c>
      <c r="E2730">
        <v>62.47</v>
      </c>
      <c r="F2730">
        <v>63.58</v>
      </c>
      <c r="G2730">
        <v>2810679</v>
      </c>
      <c r="H2730" s="110"/>
      <c r="I2730" s="110"/>
      <c r="L2730" s="134">
        <v>46023</v>
      </c>
      <c r="M2730" s="110">
        <v>63.63</v>
      </c>
      <c r="N2730" s="110">
        <v>63.84</v>
      </c>
      <c r="O2730" s="110">
        <v>61.44</v>
      </c>
      <c r="P2730" s="110">
        <v>62.45</v>
      </c>
      <c r="Q2730" s="110">
        <v>63.63</v>
      </c>
      <c r="R2730">
        <v>31800785</v>
      </c>
    </row>
    <row r="2731" spans="1:18" x14ac:dyDescent="0.25">
      <c r="A2731" s="134">
        <v>46024</v>
      </c>
      <c r="B2731">
        <v>64.150000000000006</v>
      </c>
      <c r="C2731">
        <v>63.93</v>
      </c>
      <c r="D2731">
        <v>63.37</v>
      </c>
      <c r="E2731">
        <v>63.59</v>
      </c>
      <c r="F2731">
        <v>63.93</v>
      </c>
      <c r="G2731">
        <v>869470</v>
      </c>
      <c r="H2731" s="110"/>
      <c r="I2731" s="110"/>
      <c r="L2731" s="134">
        <v>46024</v>
      </c>
      <c r="M2731" s="110">
        <v>63.93</v>
      </c>
      <c r="N2731" s="110">
        <v>64.180000000000007</v>
      </c>
      <c r="O2731" s="110">
        <v>63.4</v>
      </c>
      <c r="P2731" s="110">
        <v>63.7</v>
      </c>
      <c r="Q2731" s="110">
        <v>63.93</v>
      </c>
      <c r="R2731">
        <v>20256377</v>
      </c>
    </row>
    <row r="2732" spans="1:18" x14ac:dyDescent="0.25">
      <c r="A2732" s="134">
        <v>46027</v>
      </c>
      <c r="B2732">
        <v>65.95</v>
      </c>
      <c r="C2732">
        <v>64.03</v>
      </c>
      <c r="D2732">
        <v>63.61</v>
      </c>
      <c r="E2732">
        <v>63.85</v>
      </c>
      <c r="F2732">
        <v>64.03</v>
      </c>
      <c r="G2732">
        <v>2392290</v>
      </c>
      <c r="H2732" s="110"/>
      <c r="I2732" s="110"/>
      <c r="L2732" s="134">
        <v>46027</v>
      </c>
      <c r="M2732" s="110">
        <v>64.03</v>
      </c>
      <c r="N2732" s="110">
        <v>65.97</v>
      </c>
      <c r="O2732" s="110">
        <v>63.61</v>
      </c>
      <c r="P2732" s="110">
        <v>64</v>
      </c>
      <c r="Q2732" s="110">
        <v>64.03</v>
      </c>
      <c r="R2732">
        <v>25139024</v>
      </c>
    </row>
    <row r="2733" spans="1:18" x14ac:dyDescent="0.25">
      <c r="A2733" s="134">
        <v>46028</v>
      </c>
      <c r="B2733">
        <v>65.040000000000006</v>
      </c>
      <c r="C2733">
        <v>64.430000000000007</v>
      </c>
      <c r="D2733">
        <v>63.7</v>
      </c>
      <c r="E2733">
        <v>64.61</v>
      </c>
      <c r="F2733">
        <v>64.430000000000007</v>
      </c>
      <c r="G2733">
        <v>2034166</v>
      </c>
      <c r="H2733" s="110"/>
      <c r="I2733" s="110"/>
      <c r="L2733" s="134">
        <v>46028</v>
      </c>
      <c r="M2733" s="110">
        <v>64.44</v>
      </c>
      <c r="N2733" s="110">
        <v>65.040000000000006</v>
      </c>
      <c r="O2733" s="110">
        <v>63.75</v>
      </c>
      <c r="P2733" s="110">
        <v>64.5</v>
      </c>
      <c r="Q2733" s="110">
        <v>64.44</v>
      </c>
      <c r="R2733">
        <v>20191411</v>
      </c>
    </row>
    <row r="2734" spans="1:18" x14ac:dyDescent="0.25">
      <c r="A2734" s="134">
        <v>46029</v>
      </c>
      <c r="B2734">
        <v>64.430000000000007</v>
      </c>
      <c r="C2734">
        <v>63.33</v>
      </c>
      <c r="D2734">
        <v>63.01</v>
      </c>
      <c r="E2734">
        <v>64.430000000000007</v>
      </c>
      <c r="F2734">
        <v>63.33</v>
      </c>
      <c r="G2734">
        <v>612899</v>
      </c>
      <c r="H2734" s="110"/>
      <c r="I2734" s="110"/>
      <c r="L2734" s="134">
        <v>46029</v>
      </c>
      <c r="M2734" s="110">
        <v>63.33</v>
      </c>
      <c r="N2734" s="110">
        <v>64.44</v>
      </c>
      <c r="O2734" s="110">
        <v>63.05</v>
      </c>
      <c r="P2734" s="110">
        <v>64.44</v>
      </c>
      <c r="Q2734" s="110">
        <v>63.33</v>
      </c>
      <c r="R2734">
        <v>12560054</v>
      </c>
    </row>
    <row r="2735" spans="1:18" x14ac:dyDescent="0.25">
      <c r="A2735" s="134">
        <v>46030</v>
      </c>
      <c r="B2735">
        <v>63.56</v>
      </c>
      <c r="C2735">
        <v>62.03</v>
      </c>
      <c r="D2735">
        <v>61.85</v>
      </c>
      <c r="E2735">
        <v>63.13</v>
      </c>
      <c r="F2735">
        <v>62.03</v>
      </c>
      <c r="G2735">
        <v>1786587</v>
      </c>
      <c r="H2735" s="110"/>
      <c r="I2735" s="110"/>
      <c r="L2735" s="134">
        <v>46030</v>
      </c>
      <c r="M2735" s="110">
        <v>62.02</v>
      </c>
      <c r="N2735" s="110">
        <v>63.56</v>
      </c>
      <c r="O2735" s="110">
        <v>61.8</v>
      </c>
      <c r="P2735" s="110">
        <v>63.2</v>
      </c>
      <c r="Q2735" s="110">
        <v>62.02</v>
      </c>
      <c r="R2735">
        <v>18814269</v>
      </c>
    </row>
    <row r="2736" spans="1:18" x14ac:dyDescent="0.25">
      <c r="A2736" s="134">
        <v>46031</v>
      </c>
      <c r="B2736">
        <v>63.89</v>
      </c>
      <c r="C2736">
        <v>62.78</v>
      </c>
      <c r="D2736">
        <v>61.94</v>
      </c>
      <c r="E2736">
        <v>61.94</v>
      </c>
      <c r="F2736">
        <v>62.78</v>
      </c>
      <c r="G2736">
        <v>1687161</v>
      </c>
      <c r="H2736" s="110"/>
      <c r="I2736" s="110"/>
      <c r="L2736" s="134">
        <v>46031</v>
      </c>
      <c r="M2736" s="110">
        <v>62.48</v>
      </c>
      <c r="N2736" s="110">
        <v>63.9</v>
      </c>
      <c r="O2736" s="110">
        <v>61.91</v>
      </c>
      <c r="P2736" s="110">
        <v>62.02</v>
      </c>
      <c r="Q2736" s="110">
        <v>62.48</v>
      </c>
      <c r="R2736">
        <v>15093484</v>
      </c>
    </row>
    <row r="2737" spans="1:18" x14ac:dyDescent="0.25">
      <c r="A2737" s="134">
        <v>46034</v>
      </c>
      <c r="B2737">
        <v>64.19</v>
      </c>
      <c r="C2737">
        <v>63.83</v>
      </c>
      <c r="D2737">
        <v>62.19</v>
      </c>
      <c r="E2737">
        <v>62.79</v>
      </c>
      <c r="F2737">
        <v>63.83</v>
      </c>
      <c r="G2737">
        <v>2251448</v>
      </c>
      <c r="H2737" s="110"/>
      <c r="I2737" s="110"/>
      <c r="L2737" s="134">
        <v>46034</v>
      </c>
      <c r="M2737" s="110">
        <v>63.77</v>
      </c>
      <c r="N2737" s="110">
        <v>64.16</v>
      </c>
      <c r="O2737" s="110">
        <v>62.18</v>
      </c>
      <c r="P2737" s="110">
        <v>62.91</v>
      </c>
      <c r="Q2737" s="110">
        <v>63.77</v>
      </c>
      <c r="R2737">
        <v>34563048</v>
      </c>
    </row>
    <row r="2738" spans="1:18" x14ac:dyDescent="0.25">
      <c r="A2738" s="134">
        <v>46035</v>
      </c>
      <c r="B2738">
        <v>65.599999999999994</v>
      </c>
      <c r="C2738">
        <v>65.08</v>
      </c>
      <c r="D2738">
        <v>63.78</v>
      </c>
      <c r="E2738">
        <v>64.02</v>
      </c>
      <c r="F2738">
        <v>65.08</v>
      </c>
      <c r="G2738">
        <v>4414811</v>
      </c>
      <c r="H2738" s="110"/>
      <c r="I2738" s="110"/>
      <c r="L2738" s="134">
        <v>46035</v>
      </c>
      <c r="M2738" s="110">
        <v>65.05</v>
      </c>
      <c r="N2738" s="110">
        <v>65.650000000000006</v>
      </c>
      <c r="O2738" s="110">
        <v>63.69</v>
      </c>
      <c r="P2738" s="110">
        <v>64.2</v>
      </c>
      <c r="Q2738" s="110">
        <v>65.05</v>
      </c>
      <c r="R2738">
        <v>51117690</v>
      </c>
    </row>
    <row r="2739" spans="1:18" x14ac:dyDescent="0.25">
      <c r="A2739" s="134">
        <v>46036</v>
      </c>
      <c r="B2739">
        <v>67.77</v>
      </c>
      <c r="C2739">
        <v>65.900000000000006</v>
      </c>
      <c r="D2739">
        <v>64.3</v>
      </c>
      <c r="E2739">
        <v>65.819999999999993</v>
      </c>
      <c r="F2739">
        <v>65.900000000000006</v>
      </c>
      <c r="G2739">
        <v>5917909</v>
      </c>
      <c r="H2739" s="110"/>
      <c r="I2739" s="110"/>
      <c r="L2739" s="134">
        <v>46036</v>
      </c>
      <c r="M2739" s="110">
        <v>65.900000000000006</v>
      </c>
      <c r="N2739" s="110">
        <v>67.739999999999995</v>
      </c>
      <c r="O2739" s="110">
        <v>64.28</v>
      </c>
      <c r="P2739" s="110">
        <v>66</v>
      </c>
      <c r="Q2739" s="110">
        <v>65.900000000000006</v>
      </c>
      <c r="R2739">
        <v>73710924</v>
      </c>
    </row>
    <row r="2740" spans="1:18" x14ac:dyDescent="0.25">
      <c r="A2740" s="134">
        <v>46038</v>
      </c>
      <c r="B2740">
        <v>67.400000000000006</v>
      </c>
      <c r="C2740">
        <v>66.569999999999993</v>
      </c>
      <c r="D2740">
        <v>66.08</v>
      </c>
      <c r="E2740">
        <v>66.25</v>
      </c>
      <c r="F2740">
        <v>66.569999999999993</v>
      </c>
      <c r="G2740">
        <v>3349567</v>
      </c>
      <c r="H2740" s="110"/>
      <c r="I2740" s="110"/>
      <c r="L2740" s="134">
        <v>46038</v>
      </c>
      <c r="M2740" s="110">
        <v>66.53</v>
      </c>
      <c r="N2740" s="110">
        <v>67.41</v>
      </c>
      <c r="O2740" s="110">
        <v>66.069999999999993</v>
      </c>
      <c r="P2740" s="110">
        <v>66.239999999999995</v>
      </c>
      <c r="Q2740" s="110">
        <v>66.53</v>
      </c>
      <c r="R2740">
        <v>26360763</v>
      </c>
    </row>
    <row r="2741" spans="1:18" x14ac:dyDescent="0.25">
      <c r="A2741" s="134">
        <v>46041</v>
      </c>
      <c r="B2741">
        <v>67.569999999999993</v>
      </c>
      <c r="C2741">
        <v>66.78</v>
      </c>
      <c r="D2741">
        <v>66.400000000000006</v>
      </c>
      <c r="E2741">
        <v>66.59</v>
      </c>
      <c r="F2741">
        <v>66.78</v>
      </c>
      <c r="G2741">
        <v>3100717</v>
      </c>
      <c r="H2741" s="110"/>
      <c r="I2741" s="110"/>
      <c r="L2741" s="134">
        <v>46041</v>
      </c>
      <c r="M2741" s="110">
        <v>66.77</v>
      </c>
      <c r="N2741" s="110">
        <v>67.59</v>
      </c>
      <c r="O2741" s="110">
        <v>66.39</v>
      </c>
      <c r="P2741" s="110">
        <v>66.819999999999993</v>
      </c>
      <c r="Q2741" s="110">
        <v>66.77</v>
      </c>
      <c r="R2741">
        <v>20429133</v>
      </c>
    </row>
    <row r="2742" spans="1:18" x14ac:dyDescent="0.25">
      <c r="A2742" s="134">
        <v>46042</v>
      </c>
      <c r="B2742">
        <v>66.95</v>
      </c>
      <c r="C2742">
        <v>63.89</v>
      </c>
      <c r="D2742">
        <v>63.58</v>
      </c>
      <c r="E2742">
        <v>66.400000000000006</v>
      </c>
      <c r="F2742">
        <v>63.89</v>
      </c>
      <c r="G2742">
        <v>3200985</v>
      </c>
      <c r="H2742" s="110"/>
      <c r="I2742" s="110"/>
      <c r="L2742" s="134">
        <v>46042</v>
      </c>
      <c r="M2742" s="110">
        <v>63.92</v>
      </c>
      <c r="N2742" s="110">
        <v>66.989999999999995</v>
      </c>
      <c r="O2742" s="110">
        <v>63.6</v>
      </c>
      <c r="P2742" s="110">
        <v>66.349999999999994</v>
      </c>
      <c r="Q2742" s="110">
        <v>63.92</v>
      </c>
      <c r="R2742">
        <v>22802538</v>
      </c>
    </row>
    <row r="2743" spans="1:18" x14ac:dyDescent="0.25">
      <c r="A2743" s="134">
        <v>46043</v>
      </c>
      <c r="B2743">
        <v>64.739999999999995</v>
      </c>
      <c r="C2743">
        <v>63.86</v>
      </c>
      <c r="D2743">
        <v>62.93</v>
      </c>
      <c r="E2743">
        <v>63.19</v>
      </c>
      <c r="F2743">
        <v>63.86</v>
      </c>
      <c r="G2743">
        <v>1791711</v>
      </c>
      <c r="H2743" s="110"/>
      <c r="I2743" s="110"/>
      <c r="L2743" s="134">
        <v>46043</v>
      </c>
      <c r="M2743" s="110">
        <v>63.89</v>
      </c>
      <c r="N2743" s="110">
        <v>64.75</v>
      </c>
      <c r="O2743" s="110">
        <v>62.91</v>
      </c>
      <c r="P2743" s="110">
        <v>63.32</v>
      </c>
      <c r="Q2743" s="110">
        <v>63.89</v>
      </c>
      <c r="R2743">
        <v>22057186</v>
      </c>
    </row>
    <row r="2744" spans="1:18" x14ac:dyDescent="0.25">
      <c r="A2744" s="134">
        <v>46044</v>
      </c>
      <c r="B2744">
        <v>66.2</v>
      </c>
      <c r="C2744">
        <v>65.760000000000005</v>
      </c>
      <c r="D2744">
        <v>64.23</v>
      </c>
      <c r="E2744">
        <v>64.23</v>
      </c>
      <c r="F2744">
        <v>65.760000000000005</v>
      </c>
      <c r="G2744">
        <v>888061</v>
      </c>
      <c r="H2744" s="110"/>
      <c r="I2744" s="110"/>
      <c r="L2744" s="134">
        <v>46044</v>
      </c>
      <c r="M2744" s="110">
        <v>65.790000000000006</v>
      </c>
      <c r="N2744" s="110">
        <v>66.2</v>
      </c>
      <c r="O2744" s="110">
        <v>64.28</v>
      </c>
      <c r="P2744" s="110">
        <v>64.5</v>
      </c>
      <c r="Q2744" s="110">
        <v>65.790000000000006</v>
      </c>
      <c r="R2744">
        <v>18274548</v>
      </c>
    </row>
    <row r="2745" spans="1:18" x14ac:dyDescent="0.25">
      <c r="A2745" s="134">
        <v>46045</v>
      </c>
      <c r="B2745">
        <v>67.41</v>
      </c>
      <c r="C2745">
        <v>65.61</v>
      </c>
      <c r="D2745">
        <v>65.2</v>
      </c>
      <c r="E2745">
        <v>66.45</v>
      </c>
      <c r="F2745">
        <v>65.61</v>
      </c>
      <c r="G2745">
        <v>1692075</v>
      </c>
      <c r="H2745" s="110"/>
      <c r="I2745" s="110"/>
      <c r="L2745" s="134">
        <v>46045</v>
      </c>
      <c r="M2745" s="110">
        <v>65.63</v>
      </c>
      <c r="N2745" s="110">
        <v>67.349999999999994</v>
      </c>
      <c r="O2745" s="110">
        <v>65.099999999999994</v>
      </c>
      <c r="P2745" s="110">
        <v>66.099999999999994</v>
      </c>
      <c r="Q2745" s="110">
        <v>65.63</v>
      </c>
      <c r="R2745">
        <v>27511949</v>
      </c>
    </row>
    <row r="2746" spans="1:18" x14ac:dyDescent="0.25">
      <c r="A2746" s="134">
        <v>46049</v>
      </c>
      <c r="B2746">
        <v>66.08</v>
      </c>
      <c r="C2746">
        <v>65</v>
      </c>
      <c r="D2746">
        <v>64.209999999999994</v>
      </c>
      <c r="E2746">
        <v>65.61</v>
      </c>
      <c r="F2746">
        <v>65</v>
      </c>
      <c r="G2746">
        <v>705884</v>
      </c>
      <c r="H2746" s="110"/>
      <c r="I2746" s="110"/>
      <c r="L2746" s="134">
        <v>46049</v>
      </c>
      <c r="M2746" s="110">
        <v>65.02</v>
      </c>
      <c r="N2746" s="110">
        <v>66.12</v>
      </c>
      <c r="O2746" s="110">
        <v>64.2</v>
      </c>
      <c r="P2746" s="110">
        <v>65.69</v>
      </c>
      <c r="Q2746" s="110">
        <v>65.02</v>
      </c>
      <c r="R2746">
        <v>16194335</v>
      </c>
    </row>
    <row r="2747" spans="1:18" x14ac:dyDescent="0.25">
      <c r="A2747" s="134">
        <v>46050</v>
      </c>
      <c r="B2747">
        <v>65.8</v>
      </c>
      <c r="C2747">
        <v>65.569999999999993</v>
      </c>
      <c r="D2747">
        <v>64.66</v>
      </c>
      <c r="E2747">
        <v>65</v>
      </c>
      <c r="F2747">
        <v>65.569999999999993</v>
      </c>
      <c r="G2747">
        <v>489769</v>
      </c>
      <c r="H2747" s="110"/>
      <c r="I2747" s="110"/>
      <c r="L2747" s="134">
        <v>46050</v>
      </c>
      <c r="M2747" s="110">
        <v>65.58</v>
      </c>
      <c r="N2747" s="110">
        <v>65.849999999999994</v>
      </c>
      <c r="O2747" s="110">
        <v>64.66</v>
      </c>
      <c r="P2747" s="110">
        <v>65.05</v>
      </c>
      <c r="Q2747" s="110">
        <v>65.58</v>
      </c>
      <c r="R2747">
        <v>9579471</v>
      </c>
    </row>
    <row r="2748" spans="1:18" x14ac:dyDescent="0.25">
      <c r="A2748" s="134">
        <v>46051</v>
      </c>
      <c r="B2748">
        <v>67.099999999999994</v>
      </c>
      <c r="C2748">
        <v>65.64</v>
      </c>
      <c r="D2748">
        <v>65.099999999999994</v>
      </c>
      <c r="E2748">
        <v>65.569999999999993</v>
      </c>
      <c r="F2748">
        <v>65.64</v>
      </c>
      <c r="G2748">
        <v>657995</v>
      </c>
      <c r="H2748" s="110"/>
      <c r="I2748" s="110"/>
      <c r="L2748" s="134">
        <v>46051</v>
      </c>
      <c r="M2748" s="110">
        <v>65.63</v>
      </c>
      <c r="N2748" s="110">
        <v>67.16</v>
      </c>
      <c r="O2748" s="110">
        <v>65.08</v>
      </c>
      <c r="P2748" s="110">
        <v>65.599999999999994</v>
      </c>
      <c r="Q2748" s="110">
        <v>65.63</v>
      </c>
      <c r="R2748">
        <v>15140399</v>
      </c>
    </row>
    <row r="2749" spans="1:18" x14ac:dyDescent="0.25">
      <c r="A2749" s="134">
        <v>46052</v>
      </c>
      <c r="B2749">
        <v>67</v>
      </c>
      <c r="C2749">
        <v>65.22</v>
      </c>
      <c r="D2749">
        <v>63.91</v>
      </c>
      <c r="E2749">
        <v>65.2</v>
      </c>
      <c r="F2749">
        <v>65.22</v>
      </c>
      <c r="G2749">
        <v>2362707</v>
      </c>
      <c r="H2749" s="110"/>
      <c r="I2749" s="110"/>
      <c r="L2749" s="134">
        <v>46052</v>
      </c>
      <c r="M2749" s="110">
        <v>65.27</v>
      </c>
      <c r="N2749" s="110">
        <v>67.03</v>
      </c>
      <c r="O2749" s="110">
        <v>63.91</v>
      </c>
      <c r="P2749" s="110">
        <v>65.3</v>
      </c>
      <c r="Q2749" s="110">
        <v>65.27</v>
      </c>
      <c r="R2749">
        <v>19871420</v>
      </c>
    </row>
    <row r="2750" spans="1:18" x14ac:dyDescent="0.25">
      <c r="A2750" s="134">
        <v>46054</v>
      </c>
      <c r="B2750">
        <v>64.760000000000005</v>
      </c>
      <c r="C2750">
        <v>60.52</v>
      </c>
      <c r="D2750">
        <v>58.69</v>
      </c>
      <c r="E2750">
        <v>64.760000000000005</v>
      </c>
      <c r="F2750">
        <v>60.52</v>
      </c>
      <c r="G2750">
        <v>1316894</v>
      </c>
      <c r="H2750" s="110"/>
      <c r="I2750" s="110"/>
      <c r="L2750" s="134">
        <v>46054</v>
      </c>
      <c r="M2750" s="110">
        <v>60.43</v>
      </c>
      <c r="N2750" s="110">
        <v>64.989999999999995</v>
      </c>
      <c r="O2750" s="110">
        <v>58.63</v>
      </c>
      <c r="P2750" s="110">
        <v>64.5</v>
      </c>
      <c r="Q2750" s="110">
        <v>60.43</v>
      </c>
      <c r="R2750">
        <v>18143218</v>
      </c>
    </row>
    <row r="2751" spans="1:18" x14ac:dyDescent="0.25">
      <c r="A2751" s="134">
        <v>46055</v>
      </c>
      <c r="B2751">
        <v>62.18</v>
      </c>
      <c r="C2751">
        <v>61.28</v>
      </c>
      <c r="D2751">
        <v>59.8</v>
      </c>
      <c r="E2751">
        <v>60.21</v>
      </c>
      <c r="F2751">
        <v>61.28</v>
      </c>
      <c r="G2751">
        <v>1831681</v>
      </c>
      <c r="H2751" s="110"/>
      <c r="I2751" s="110"/>
      <c r="L2751" s="134">
        <v>46055</v>
      </c>
      <c r="M2751" s="110">
        <v>61.35</v>
      </c>
      <c r="N2751" s="110">
        <v>62.1</v>
      </c>
      <c r="O2751" s="110">
        <v>59.79</v>
      </c>
      <c r="P2751" s="110">
        <v>60.48</v>
      </c>
      <c r="Q2751" s="110">
        <v>61.35</v>
      </c>
      <c r="R2751">
        <v>22016296</v>
      </c>
    </row>
    <row r="2752" spans="1:18" x14ac:dyDescent="0.25">
      <c r="A2752" s="134">
        <v>46056</v>
      </c>
      <c r="B2752">
        <v>64.52</v>
      </c>
      <c r="C2752">
        <v>63.64</v>
      </c>
      <c r="D2752">
        <v>62.58</v>
      </c>
      <c r="E2752">
        <v>63.37</v>
      </c>
      <c r="F2752">
        <v>63.64</v>
      </c>
      <c r="G2752">
        <v>1067234</v>
      </c>
      <c r="H2752" s="110"/>
      <c r="I2752" s="110"/>
      <c r="L2752" s="134">
        <v>46056</v>
      </c>
      <c r="M2752" s="110">
        <v>63.74</v>
      </c>
      <c r="N2752" s="110">
        <v>64.75</v>
      </c>
      <c r="O2752" s="110">
        <v>62.6</v>
      </c>
      <c r="P2752" s="110">
        <v>64</v>
      </c>
      <c r="Q2752" s="110">
        <v>63.74</v>
      </c>
      <c r="R2752">
        <v>22400851</v>
      </c>
    </row>
    <row r="2753" spans="1:18" x14ac:dyDescent="0.25">
      <c r="A2753" s="134">
        <v>46057</v>
      </c>
      <c r="B2753">
        <v>65.5</v>
      </c>
      <c r="C2753">
        <v>65.36</v>
      </c>
      <c r="D2753">
        <v>63.38</v>
      </c>
      <c r="E2753">
        <v>63.75</v>
      </c>
      <c r="F2753">
        <v>65.36</v>
      </c>
      <c r="G2753">
        <v>807342</v>
      </c>
      <c r="H2753" s="110"/>
      <c r="I2753" s="110"/>
      <c r="L2753" s="134">
        <v>46057</v>
      </c>
      <c r="M2753" s="110">
        <v>65.319999999999993</v>
      </c>
      <c r="N2753" s="110">
        <v>65.5</v>
      </c>
      <c r="O2753" s="110">
        <v>63.23</v>
      </c>
      <c r="P2753" s="110">
        <v>63.63</v>
      </c>
      <c r="Q2753" s="110">
        <v>65.319999999999993</v>
      </c>
      <c r="R2753">
        <v>14166921</v>
      </c>
    </row>
    <row r="2754" spans="1:18" x14ac:dyDescent="0.25">
      <c r="A2754" s="134">
        <v>46058</v>
      </c>
      <c r="B2754">
        <v>66</v>
      </c>
      <c r="C2754">
        <v>64.989999999999995</v>
      </c>
      <c r="D2754">
        <v>64.67</v>
      </c>
      <c r="E2754">
        <v>65.459999999999994</v>
      </c>
      <c r="F2754">
        <v>64.989999999999995</v>
      </c>
      <c r="G2754">
        <v>846312</v>
      </c>
      <c r="H2754" s="110"/>
      <c r="I2754" s="110"/>
      <c r="L2754" s="134">
        <v>46058</v>
      </c>
      <c r="M2754" s="110">
        <v>64.95</v>
      </c>
      <c r="N2754" s="110">
        <v>66.040000000000006</v>
      </c>
      <c r="O2754" s="110">
        <v>64.69</v>
      </c>
      <c r="P2754" s="110">
        <v>65.569999999999993</v>
      </c>
      <c r="Q2754" s="110">
        <v>64.95</v>
      </c>
      <c r="R2754">
        <v>9053574</v>
      </c>
    </row>
    <row r="2755" spans="1:18" x14ac:dyDescent="0.25">
      <c r="A2755" s="134">
        <v>46059</v>
      </c>
      <c r="B2755">
        <v>65.849999999999994</v>
      </c>
      <c r="C2755">
        <v>65.5</v>
      </c>
      <c r="D2755">
        <v>64.680000000000007</v>
      </c>
      <c r="E2755">
        <v>64.849999999999994</v>
      </c>
      <c r="F2755">
        <v>65.5</v>
      </c>
      <c r="G2755">
        <v>795865</v>
      </c>
      <c r="H2755" s="110"/>
      <c r="I2755" s="110"/>
      <c r="L2755" s="134">
        <v>46059</v>
      </c>
      <c r="M2755" s="110">
        <v>65.52</v>
      </c>
      <c r="N2755" s="110">
        <v>65.849999999999994</v>
      </c>
      <c r="O2755" s="110">
        <v>64.78</v>
      </c>
      <c r="P2755" s="110">
        <v>64.89</v>
      </c>
      <c r="Q2755" s="110">
        <v>65.52</v>
      </c>
      <c r="R2755">
        <v>11525371</v>
      </c>
    </row>
    <row r="2756" spans="1:18" x14ac:dyDescent="0.25">
      <c r="A2756" s="134">
        <v>46062</v>
      </c>
      <c r="B2756">
        <v>67.459999999999994</v>
      </c>
      <c r="C2756">
        <v>66.3</v>
      </c>
      <c r="D2756">
        <v>65.73</v>
      </c>
      <c r="E2756">
        <v>66.69</v>
      </c>
      <c r="F2756">
        <v>66.3</v>
      </c>
      <c r="G2756">
        <v>648553</v>
      </c>
      <c r="H2756" s="110"/>
      <c r="I2756" s="110"/>
      <c r="L2756" s="134">
        <v>46062</v>
      </c>
      <c r="M2756" s="110">
        <v>66.27</v>
      </c>
      <c r="N2756" s="110">
        <v>67.44</v>
      </c>
      <c r="O2756" s="110">
        <v>65.760000000000005</v>
      </c>
      <c r="P2756" s="110">
        <v>66.7</v>
      </c>
      <c r="Q2756" s="110">
        <v>66.27</v>
      </c>
      <c r="R2756">
        <v>16438283</v>
      </c>
    </row>
    <row r="2757" spans="1:18" x14ac:dyDescent="0.25">
      <c r="A2757" s="134">
        <v>46063</v>
      </c>
      <c r="B2757">
        <v>67.69</v>
      </c>
      <c r="C2757">
        <v>67.02</v>
      </c>
      <c r="D2757">
        <v>65.489999999999995</v>
      </c>
      <c r="E2757">
        <v>66.510000000000005</v>
      </c>
      <c r="F2757">
        <v>67.02</v>
      </c>
      <c r="G2757">
        <v>1668022</v>
      </c>
      <c r="H2757" s="110"/>
      <c r="I2757" s="110"/>
      <c r="L2757" s="134">
        <v>46063</v>
      </c>
      <c r="M2757" s="110">
        <v>67.040000000000006</v>
      </c>
      <c r="N2757" s="110">
        <v>67.7</v>
      </c>
      <c r="O2757" s="110">
        <v>65.47</v>
      </c>
      <c r="P2757" s="110">
        <v>66.61</v>
      </c>
      <c r="Q2757" s="110">
        <v>67.040000000000006</v>
      </c>
      <c r="R2757">
        <v>16462825</v>
      </c>
    </row>
    <row r="2758" spans="1:18" x14ac:dyDescent="0.25">
      <c r="A2758" s="134">
        <v>46064</v>
      </c>
      <c r="B2758">
        <v>67.239999999999995</v>
      </c>
      <c r="C2758">
        <v>66.23</v>
      </c>
      <c r="D2758">
        <v>65.75</v>
      </c>
      <c r="E2758">
        <v>67.099999999999994</v>
      </c>
      <c r="F2758">
        <v>66.23</v>
      </c>
      <c r="G2758">
        <v>445352</v>
      </c>
      <c r="H2758" s="110"/>
      <c r="I2758" s="110"/>
      <c r="L2758" s="134">
        <v>46064</v>
      </c>
      <c r="M2758" s="110">
        <v>66.239999999999995</v>
      </c>
      <c r="N2758" s="110">
        <v>67.27</v>
      </c>
      <c r="O2758" s="110">
        <v>65.73</v>
      </c>
      <c r="P2758" s="110">
        <v>67.06</v>
      </c>
      <c r="Q2758" s="110">
        <v>66.239999999999995</v>
      </c>
      <c r="R2758">
        <v>8706342</v>
      </c>
    </row>
    <row r="2759" spans="1:18" x14ac:dyDescent="0.25">
      <c r="A2759" s="134">
        <v>46065</v>
      </c>
      <c r="B2759">
        <v>67.19</v>
      </c>
      <c r="C2759">
        <v>65.59</v>
      </c>
      <c r="D2759">
        <v>65.31</v>
      </c>
      <c r="E2759">
        <v>66.08</v>
      </c>
      <c r="F2759">
        <v>65.59</v>
      </c>
      <c r="G2759">
        <v>1068832</v>
      </c>
      <c r="H2759" s="110"/>
      <c r="I2759" s="110"/>
      <c r="L2759" s="134">
        <v>46065</v>
      </c>
      <c r="M2759" s="110">
        <v>65.59</v>
      </c>
      <c r="N2759" s="110">
        <v>67.150000000000006</v>
      </c>
      <c r="O2759" s="110">
        <v>65.040000000000006</v>
      </c>
      <c r="P2759" s="110">
        <v>66.2</v>
      </c>
      <c r="Q2759" s="110">
        <v>65.59</v>
      </c>
      <c r="R2759">
        <v>12840344</v>
      </c>
    </row>
    <row r="2760" spans="1:18" x14ac:dyDescent="0.25">
      <c r="A2760" s="134">
        <v>46066</v>
      </c>
      <c r="B2760">
        <v>66</v>
      </c>
      <c r="C2760">
        <v>65.430000000000007</v>
      </c>
      <c r="D2760">
        <v>64.8</v>
      </c>
      <c r="E2760">
        <v>65.44</v>
      </c>
      <c r="F2760">
        <v>65.430000000000007</v>
      </c>
      <c r="G2760">
        <v>1110120</v>
      </c>
      <c r="H2760" s="110"/>
      <c r="I2760" s="110"/>
      <c r="L2760" s="134">
        <v>46066</v>
      </c>
      <c r="M2760" s="110">
        <v>65.44</v>
      </c>
      <c r="N2760" s="110">
        <v>66</v>
      </c>
      <c r="O2760" s="110">
        <v>64.790000000000006</v>
      </c>
      <c r="P2760" s="110">
        <v>65.400000000000006</v>
      </c>
      <c r="Q2760" s="110">
        <v>65.44</v>
      </c>
      <c r="R2760">
        <v>8944798</v>
      </c>
    </row>
    <row r="2761" spans="1:18" x14ac:dyDescent="0.25">
      <c r="A2761" s="134">
        <v>46069</v>
      </c>
      <c r="B2761">
        <v>65.739999999999995</v>
      </c>
      <c r="C2761">
        <v>65.510000000000005</v>
      </c>
      <c r="D2761">
        <v>64.38</v>
      </c>
      <c r="E2761">
        <v>65.17</v>
      </c>
      <c r="F2761">
        <v>65.510000000000005</v>
      </c>
      <c r="G2761">
        <v>455885</v>
      </c>
      <c r="H2761" s="110"/>
      <c r="I2761" s="110"/>
      <c r="L2761" s="134">
        <v>46069</v>
      </c>
      <c r="M2761" s="110">
        <v>65.52</v>
      </c>
      <c r="N2761" s="110">
        <v>65.73</v>
      </c>
      <c r="O2761" s="110">
        <v>64.260000000000005</v>
      </c>
      <c r="P2761" s="110">
        <v>65.25</v>
      </c>
      <c r="Q2761" s="110">
        <v>65.52</v>
      </c>
      <c r="R2761">
        <v>8923222</v>
      </c>
    </row>
    <row r="2762" spans="1:18" x14ac:dyDescent="0.25">
      <c r="A2762" s="134">
        <v>46070</v>
      </c>
      <c r="B2762">
        <v>67.599999999999994</v>
      </c>
      <c r="C2762">
        <v>67.260000000000005</v>
      </c>
      <c r="D2762">
        <v>65.459999999999994</v>
      </c>
      <c r="E2762">
        <v>66</v>
      </c>
      <c r="F2762">
        <v>67.260000000000005</v>
      </c>
      <c r="G2762">
        <v>842317</v>
      </c>
      <c r="H2762" s="110"/>
      <c r="I2762" s="110"/>
      <c r="L2762" s="134">
        <v>46070</v>
      </c>
      <c r="M2762" s="110">
        <v>67.3</v>
      </c>
      <c r="N2762" s="110">
        <v>67.64</v>
      </c>
      <c r="O2762" s="110">
        <v>65.44</v>
      </c>
      <c r="P2762" s="110">
        <v>65.94</v>
      </c>
      <c r="Q2762" s="110">
        <v>67.3</v>
      </c>
      <c r="R2762">
        <v>22771862</v>
      </c>
    </row>
    <row r="2763" spans="1:18" x14ac:dyDescent="0.25">
      <c r="A2763" s="134">
        <v>46071</v>
      </c>
      <c r="B2763">
        <v>69.23</v>
      </c>
      <c r="C2763">
        <v>69</v>
      </c>
      <c r="D2763">
        <v>67.400000000000006</v>
      </c>
      <c r="E2763">
        <v>67.63</v>
      </c>
      <c r="F2763">
        <v>69</v>
      </c>
      <c r="G2763">
        <v>1358559</v>
      </c>
      <c r="H2763" s="110"/>
      <c r="I2763" s="110"/>
      <c r="L2763" s="134">
        <v>46071</v>
      </c>
      <c r="M2763" s="110">
        <v>68.989999999999995</v>
      </c>
      <c r="N2763" s="110">
        <v>69.209999999999994</v>
      </c>
      <c r="O2763" s="110">
        <v>67.400000000000006</v>
      </c>
      <c r="P2763" s="110">
        <v>67.77</v>
      </c>
      <c r="Q2763" s="110">
        <v>68.989999999999995</v>
      </c>
      <c r="R2763">
        <v>31262092</v>
      </c>
    </row>
    <row r="2764" spans="1:18" x14ac:dyDescent="0.25">
      <c r="A2764" s="134">
        <v>46072</v>
      </c>
      <c r="B2764">
        <v>69.89</v>
      </c>
      <c r="C2764">
        <v>67.97</v>
      </c>
      <c r="D2764">
        <v>67.52</v>
      </c>
      <c r="E2764">
        <v>69.06</v>
      </c>
      <c r="F2764">
        <v>67.97</v>
      </c>
      <c r="G2764">
        <v>1812942</v>
      </c>
      <c r="H2764" s="110"/>
      <c r="I2764" s="110"/>
      <c r="L2764" s="134">
        <v>46072</v>
      </c>
      <c r="M2764" s="110">
        <v>68.010000000000005</v>
      </c>
      <c r="N2764" s="110">
        <v>69.849999999999994</v>
      </c>
      <c r="O2764" s="110">
        <v>67.5</v>
      </c>
      <c r="P2764" s="110">
        <v>69.33</v>
      </c>
      <c r="Q2764" s="110">
        <v>68.010000000000005</v>
      </c>
      <c r="R2764">
        <v>14850088</v>
      </c>
    </row>
    <row r="2765" spans="1:18" x14ac:dyDescent="0.25">
      <c r="A2765" s="134">
        <v>46073</v>
      </c>
      <c r="B2765">
        <v>69.349999999999994</v>
      </c>
      <c r="C2765">
        <v>68.8</v>
      </c>
      <c r="D2765">
        <v>67.17</v>
      </c>
      <c r="E2765">
        <v>67.650000000000006</v>
      </c>
      <c r="F2765">
        <v>68.8</v>
      </c>
      <c r="G2765">
        <v>698138</v>
      </c>
      <c r="H2765" s="110"/>
      <c r="I2765" s="110"/>
      <c r="L2765" s="134">
        <v>46073</v>
      </c>
      <c r="M2765" s="110">
        <v>68.790000000000006</v>
      </c>
      <c r="N2765" s="110">
        <v>69.400000000000006</v>
      </c>
      <c r="O2765" s="110">
        <v>67.22</v>
      </c>
      <c r="P2765" s="110">
        <v>67.5</v>
      </c>
      <c r="Q2765" s="110">
        <v>68.790000000000006</v>
      </c>
      <c r="R2765">
        <v>13438601</v>
      </c>
    </row>
    <row r="2766" spans="1:18" x14ac:dyDescent="0.25">
      <c r="A2766" s="134">
        <v>46076</v>
      </c>
      <c r="B2766">
        <v>71.23</v>
      </c>
      <c r="C2766">
        <v>69.66</v>
      </c>
      <c r="D2766">
        <v>69.12</v>
      </c>
      <c r="E2766">
        <v>69.34</v>
      </c>
      <c r="F2766">
        <v>69.66</v>
      </c>
      <c r="G2766">
        <v>2081130</v>
      </c>
      <c r="H2766" s="110"/>
      <c r="I2766" s="110"/>
      <c r="L2766" s="134">
        <v>46076</v>
      </c>
      <c r="M2766" s="110">
        <v>69.64</v>
      </c>
      <c r="N2766" s="110">
        <v>71.239999999999995</v>
      </c>
      <c r="O2766" s="110">
        <v>69.150000000000006</v>
      </c>
      <c r="P2766" s="110">
        <v>69.36</v>
      </c>
      <c r="Q2766" s="110">
        <v>69.64</v>
      </c>
      <c r="R2766">
        <v>21833063</v>
      </c>
    </row>
    <row r="2767" spans="1:18" x14ac:dyDescent="0.25">
      <c r="A2767" s="134">
        <v>46077</v>
      </c>
      <c r="B2767">
        <v>72.41</v>
      </c>
      <c r="C2767">
        <v>71.84</v>
      </c>
      <c r="D2767">
        <v>69.099999999999994</v>
      </c>
      <c r="E2767">
        <v>69.5</v>
      </c>
      <c r="F2767">
        <v>71.84</v>
      </c>
      <c r="G2767">
        <v>5451613</v>
      </c>
      <c r="H2767" s="110"/>
      <c r="I2767" s="110"/>
      <c r="L2767" s="134">
        <v>46077</v>
      </c>
      <c r="M2767" s="110">
        <v>71.86</v>
      </c>
      <c r="N2767" s="110">
        <v>72.44</v>
      </c>
      <c r="O2767" s="110">
        <v>69</v>
      </c>
      <c r="P2767" s="110">
        <v>69.64</v>
      </c>
      <c r="Q2767" s="110">
        <v>71.86</v>
      </c>
      <c r="R2767">
        <v>48120203</v>
      </c>
    </row>
    <row r="2768" spans="1:18" x14ac:dyDescent="0.25">
      <c r="A2768" s="134">
        <v>46078</v>
      </c>
      <c r="B2768">
        <v>74.83</v>
      </c>
      <c r="C2768">
        <v>74.150000000000006</v>
      </c>
      <c r="D2768">
        <v>71.67</v>
      </c>
      <c r="E2768">
        <v>72.040000000000006</v>
      </c>
      <c r="F2768">
        <v>74.150000000000006</v>
      </c>
      <c r="G2768">
        <v>3547595</v>
      </c>
      <c r="H2768" s="110"/>
      <c r="I2768" s="110"/>
      <c r="L2768" s="134">
        <v>46078</v>
      </c>
      <c r="M2768" s="110">
        <v>74.08</v>
      </c>
      <c r="N2768" s="110">
        <v>74.8</v>
      </c>
      <c r="O2768" s="110">
        <v>71.680000000000007</v>
      </c>
      <c r="P2768" s="110">
        <v>72.39</v>
      </c>
      <c r="Q2768" s="110">
        <v>74.08</v>
      </c>
      <c r="R2768">
        <v>61816255</v>
      </c>
    </row>
    <row r="2769" spans="1:18" x14ac:dyDescent="0.25">
      <c r="A2769" s="134">
        <v>46079</v>
      </c>
      <c r="B2769">
        <v>75.86</v>
      </c>
      <c r="C2769">
        <v>75.62</v>
      </c>
      <c r="D2769">
        <v>73.180000000000007</v>
      </c>
      <c r="E2769">
        <v>74.62</v>
      </c>
      <c r="F2769">
        <v>75.62</v>
      </c>
      <c r="G2769">
        <v>3781587</v>
      </c>
      <c r="H2769" s="110"/>
      <c r="I2769" s="110"/>
      <c r="L2769" s="134">
        <v>46079</v>
      </c>
      <c r="M2769" s="110">
        <v>75.650000000000006</v>
      </c>
      <c r="N2769" s="110">
        <v>75.900000000000006</v>
      </c>
      <c r="O2769" s="110">
        <v>73.150000000000006</v>
      </c>
      <c r="P2769" s="110">
        <v>74.75</v>
      </c>
      <c r="Q2769" s="110">
        <v>75.650000000000006</v>
      </c>
      <c r="R2769">
        <v>42042414</v>
      </c>
    </row>
    <row r="2770" spans="1:18" x14ac:dyDescent="0.25">
      <c r="A2770" s="134">
        <v>46080</v>
      </c>
      <c r="B2770">
        <v>76.989999999999995</v>
      </c>
      <c r="C2770">
        <v>74.849999999999994</v>
      </c>
      <c r="D2770">
        <v>73.8</v>
      </c>
      <c r="E2770">
        <v>75.62</v>
      </c>
      <c r="F2770">
        <v>74.849999999999994</v>
      </c>
      <c r="G2770">
        <v>3779224</v>
      </c>
      <c r="H2770" s="110"/>
      <c r="I2770" s="110"/>
      <c r="L2770" s="134">
        <v>46080</v>
      </c>
      <c r="M2770" s="110">
        <v>74.760000000000005</v>
      </c>
      <c r="N2770" s="110">
        <v>77</v>
      </c>
      <c r="O2770" s="110">
        <v>73.819999999999993</v>
      </c>
      <c r="P2770" s="110">
        <v>75.62</v>
      </c>
      <c r="Q2770" s="110">
        <v>74.760000000000005</v>
      </c>
      <c r="R2770">
        <v>31733355</v>
      </c>
    </row>
    <row r="2771" spans="1:18" x14ac:dyDescent="0.25">
      <c r="A2771" s="134">
        <v>46083</v>
      </c>
      <c r="B2771">
        <v>74.569999999999993</v>
      </c>
      <c r="C2771">
        <v>71.98</v>
      </c>
      <c r="D2771">
        <v>66.59</v>
      </c>
      <c r="E2771">
        <v>66.59</v>
      </c>
      <c r="F2771">
        <v>71.98</v>
      </c>
      <c r="G2771">
        <v>4889767</v>
      </c>
      <c r="H2771" s="110"/>
      <c r="I2771" s="110"/>
      <c r="L2771" s="134">
        <v>46083</v>
      </c>
      <c r="M2771" s="110">
        <v>71.98</v>
      </c>
      <c r="N2771" s="110">
        <v>74.58</v>
      </c>
      <c r="O2771" s="110">
        <v>70.41</v>
      </c>
      <c r="P2771" s="110">
        <v>70.650000000000006</v>
      </c>
      <c r="Q2771" s="110">
        <v>71.98</v>
      </c>
      <c r="R2771">
        <v>38923899</v>
      </c>
    </row>
    <row r="2772" spans="1:18" x14ac:dyDescent="0.25">
      <c r="A2772" s="134">
        <v>46085</v>
      </c>
      <c r="B2772">
        <v>70.540000000000006</v>
      </c>
      <c r="C2772">
        <v>68.489999999999995</v>
      </c>
      <c r="D2772">
        <v>67.239999999999995</v>
      </c>
      <c r="E2772">
        <v>70.03</v>
      </c>
      <c r="F2772">
        <v>68.489999999999995</v>
      </c>
      <c r="G2772">
        <v>3615187</v>
      </c>
      <c r="H2772" s="110"/>
      <c r="I2772" s="110"/>
      <c r="L2772" s="134">
        <v>46085</v>
      </c>
      <c r="M2772" s="110">
        <v>68.42</v>
      </c>
      <c r="N2772" s="110">
        <v>70.5</v>
      </c>
      <c r="O2772" s="110">
        <v>67.25</v>
      </c>
      <c r="P2772" s="110">
        <v>70.5</v>
      </c>
      <c r="Q2772" s="110">
        <v>68.42</v>
      </c>
      <c r="R2772">
        <v>35412738</v>
      </c>
    </row>
    <row r="2773" spans="1:18" x14ac:dyDescent="0.25">
      <c r="A2773" s="134">
        <v>46086</v>
      </c>
      <c r="B2773">
        <v>71.930000000000007</v>
      </c>
      <c r="C2773">
        <v>71.47</v>
      </c>
      <c r="D2773">
        <v>69</v>
      </c>
      <c r="E2773">
        <v>69.03</v>
      </c>
      <c r="F2773">
        <v>71.47</v>
      </c>
      <c r="G2773">
        <v>1798491</v>
      </c>
      <c r="H2773" s="110"/>
      <c r="I2773" s="110"/>
      <c r="L2773" s="134">
        <v>46086</v>
      </c>
      <c r="M2773" s="110">
        <v>71.39</v>
      </c>
      <c r="N2773" s="110">
        <v>71.91</v>
      </c>
      <c r="O2773" s="110">
        <v>69</v>
      </c>
      <c r="P2773" s="110">
        <v>69</v>
      </c>
      <c r="Q2773" s="110">
        <v>71.39</v>
      </c>
      <c r="R2773">
        <v>25095072</v>
      </c>
    </row>
    <row r="2774" spans="1:18" x14ac:dyDescent="0.25">
      <c r="A2774" s="134">
        <v>46087</v>
      </c>
      <c r="B2774">
        <v>71.16</v>
      </c>
      <c r="C2774">
        <v>70.14</v>
      </c>
      <c r="D2774">
        <v>69.8</v>
      </c>
      <c r="E2774">
        <v>71.09</v>
      </c>
      <c r="F2774">
        <v>70.14</v>
      </c>
      <c r="G2774">
        <v>1049495</v>
      </c>
      <c r="H2774" s="110"/>
      <c r="I2774" s="110"/>
      <c r="L2774" s="134">
        <v>46087</v>
      </c>
      <c r="M2774" s="110">
        <v>70.13</v>
      </c>
      <c r="N2774" s="110">
        <v>71.23</v>
      </c>
      <c r="O2774" s="110">
        <v>69.5</v>
      </c>
      <c r="P2774" s="110">
        <v>71</v>
      </c>
      <c r="Q2774" s="110">
        <v>70.13</v>
      </c>
      <c r="R2774">
        <v>15951877</v>
      </c>
    </row>
    <row r="2775" spans="1:18" x14ac:dyDescent="0.25">
      <c r="A2775" s="134">
        <v>46090</v>
      </c>
      <c r="B2775">
        <v>67.75</v>
      </c>
      <c r="C2775">
        <v>65.77</v>
      </c>
      <c r="D2775">
        <v>63.51</v>
      </c>
      <c r="E2775">
        <v>66.97</v>
      </c>
      <c r="F2775">
        <v>65.77</v>
      </c>
      <c r="G2775">
        <v>3794543</v>
      </c>
      <c r="H2775" s="110"/>
      <c r="I2775" s="110"/>
      <c r="L2775" s="134">
        <v>46090</v>
      </c>
      <c r="M2775" s="110">
        <v>65.69</v>
      </c>
      <c r="N2775" s="110">
        <v>67.5</v>
      </c>
      <c r="O2775" s="110">
        <v>63.59</v>
      </c>
      <c r="P2775" s="110">
        <v>67</v>
      </c>
      <c r="Q2775" s="110">
        <v>65.69</v>
      </c>
      <c r="R2775">
        <v>36574212</v>
      </c>
    </row>
    <row r="2776" spans="1:18" x14ac:dyDescent="0.25">
      <c r="A2776" s="134">
        <v>46091</v>
      </c>
      <c r="B2776">
        <v>69.08</v>
      </c>
      <c r="C2776">
        <v>68.75</v>
      </c>
      <c r="D2776">
        <v>66.42</v>
      </c>
      <c r="E2776">
        <v>67.25</v>
      </c>
      <c r="F2776">
        <v>68.75</v>
      </c>
      <c r="G2776">
        <v>1699938</v>
      </c>
      <c r="H2776" s="110"/>
      <c r="I2776" s="110"/>
      <c r="L2776" s="134">
        <v>46091</v>
      </c>
      <c r="M2776" s="110">
        <v>68.77</v>
      </c>
      <c r="N2776" s="110">
        <v>69.08</v>
      </c>
      <c r="O2776" s="110">
        <v>66.44</v>
      </c>
      <c r="P2776" s="110">
        <v>67.44</v>
      </c>
      <c r="Q2776" s="110">
        <v>68.77</v>
      </c>
      <c r="R2776">
        <v>20969226</v>
      </c>
    </row>
    <row r="2777" spans="1:18" x14ac:dyDescent="0.25">
      <c r="A2777" s="134">
        <v>46092</v>
      </c>
      <c r="B2777">
        <v>69.19</v>
      </c>
      <c r="C2777">
        <v>67.08</v>
      </c>
      <c r="D2777">
        <v>66.75</v>
      </c>
      <c r="E2777">
        <v>69.19</v>
      </c>
      <c r="F2777">
        <v>67.08</v>
      </c>
      <c r="G2777">
        <v>850629</v>
      </c>
      <c r="H2777" s="110"/>
      <c r="I2777" s="110"/>
      <c r="L2777" s="134">
        <v>46092</v>
      </c>
      <c r="M2777" s="110">
        <v>67.040000000000006</v>
      </c>
      <c r="N2777" s="110">
        <v>69.14</v>
      </c>
      <c r="O2777" s="110">
        <v>66.7</v>
      </c>
      <c r="P2777" s="110">
        <v>69.05</v>
      </c>
      <c r="Q2777" s="110">
        <v>67.040000000000006</v>
      </c>
      <c r="R2777">
        <v>11860949</v>
      </c>
    </row>
    <row r="2778" spans="1:18" x14ac:dyDescent="0.25">
      <c r="A2778" s="134">
        <v>46093</v>
      </c>
      <c r="B2778">
        <v>68.040000000000006</v>
      </c>
      <c r="C2778">
        <v>67.16</v>
      </c>
      <c r="D2778">
        <v>65.41</v>
      </c>
      <c r="E2778">
        <v>65.45</v>
      </c>
      <c r="F2778">
        <v>67.16</v>
      </c>
      <c r="G2778">
        <v>1622035</v>
      </c>
      <c r="H2778" s="110"/>
      <c r="I2778" s="110"/>
      <c r="L2778" s="134">
        <v>46093</v>
      </c>
      <c r="M2778" s="110">
        <v>67.11</v>
      </c>
      <c r="N2778" s="110">
        <v>68.02</v>
      </c>
      <c r="O2778" s="110">
        <v>65.45</v>
      </c>
      <c r="P2778" s="110">
        <v>65.56</v>
      </c>
      <c r="Q2778" s="110">
        <v>67.11</v>
      </c>
      <c r="R2778">
        <v>12907665</v>
      </c>
    </row>
    <row r="2779" spans="1:18" x14ac:dyDescent="0.25">
      <c r="A2779" s="134">
        <v>46094</v>
      </c>
      <c r="B2779">
        <v>67.069999999999993</v>
      </c>
      <c r="C2779">
        <v>64.09</v>
      </c>
      <c r="D2779">
        <v>63.9</v>
      </c>
      <c r="E2779">
        <v>67.069999999999993</v>
      </c>
      <c r="F2779">
        <v>64.09</v>
      </c>
      <c r="G2779">
        <v>1573812</v>
      </c>
      <c r="H2779" s="110"/>
      <c r="I2779" s="110"/>
      <c r="L2779" s="134">
        <v>46094</v>
      </c>
      <c r="M2779" s="110">
        <v>64.09</v>
      </c>
      <c r="N2779" s="110">
        <v>67.08</v>
      </c>
      <c r="O2779" s="110">
        <v>63.8</v>
      </c>
      <c r="P2779" s="110">
        <v>67</v>
      </c>
      <c r="Q2779" s="110">
        <v>64.09</v>
      </c>
      <c r="R2779">
        <v>17868529</v>
      </c>
    </row>
    <row r="2780" spans="1:18" x14ac:dyDescent="0.25">
      <c r="A2780" s="134">
        <v>46097</v>
      </c>
      <c r="B2780">
        <v>64.290000000000006</v>
      </c>
      <c r="C2780">
        <v>63.31</v>
      </c>
      <c r="D2780">
        <v>62</v>
      </c>
      <c r="E2780">
        <v>64</v>
      </c>
      <c r="F2780">
        <v>63.31</v>
      </c>
      <c r="G2780">
        <v>1594367</v>
      </c>
      <c r="H2780" s="110"/>
      <c r="I2780" s="110"/>
      <c r="L2780" s="134">
        <v>46097</v>
      </c>
      <c r="M2780" s="110">
        <v>63.33</v>
      </c>
      <c r="N2780" s="110">
        <v>64.260000000000005</v>
      </c>
      <c r="O2780" s="110">
        <v>61.9</v>
      </c>
      <c r="P2780" s="110">
        <v>63.9</v>
      </c>
      <c r="Q2780" s="110">
        <v>63.33</v>
      </c>
      <c r="R2780">
        <v>18679362</v>
      </c>
    </row>
    <row r="2781" spans="1:18" x14ac:dyDescent="0.25">
      <c r="A2781" s="134">
        <v>46098</v>
      </c>
      <c r="B2781">
        <v>63.97</v>
      </c>
      <c r="C2781">
        <v>62.47</v>
      </c>
      <c r="D2781">
        <v>61.4</v>
      </c>
      <c r="E2781">
        <v>63.97</v>
      </c>
      <c r="F2781">
        <v>62.47</v>
      </c>
      <c r="G2781">
        <v>811501</v>
      </c>
      <c r="H2781" s="110"/>
      <c r="I2781" s="110"/>
      <c r="L2781" s="134">
        <v>46098</v>
      </c>
      <c r="M2781" s="110">
        <v>62.48</v>
      </c>
      <c r="N2781" s="110">
        <v>63.89</v>
      </c>
      <c r="O2781" s="110">
        <v>61.4</v>
      </c>
      <c r="P2781" s="110">
        <v>63.85</v>
      </c>
      <c r="Q2781" s="110">
        <v>62.48</v>
      </c>
      <c r="R2781">
        <v>19530270</v>
      </c>
    </row>
    <row r="2782" spans="1:18" x14ac:dyDescent="0.25">
      <c r="A2782" s="134">
        <v>46099</v>
      </c>
      <c r="B2782">
        <v>64.39</v>
      </c>
      <c r="C2782">
        <v>64.12</v>
      </c>
      <c r="D2782">
        <v>62.53</v>
      </c>
      <c r="E2782">
        <v>62.89</v>
      </c>
      <c r="F2782">
        <v>64.12</v>
      </c>
      <c r="G2782">
        <v>980583</v>
      </c>
      <c r="H2782" s="110"/>
      <c r="I2782" s="110"/>
      <c r="L2782" s="134">
        <v>46099</v>
      </c>
      <c r="M2782" s="110">
        <v>64.13</v>
      </c>
      <c r="N2782" s="110">
        <v>64.349999999999994</v>
      </c>
      <c r="O2782" s="110">
        <v>62.78</v>
      </c>
      <c r="P2782" s="110">
        <v>62.8</v>
      </c>
      <c r="Q2782" s="110">
        <v>64.13</v>
      </c>
      <c r="R2782">
        <v>14452657</v>
      </c>
    </row>
    <row r="2783" spans="1:18" x14ac:dyDescent="0.25">
      <c r="A2783" s="134">
        <v>46100</v>
      </c>
      <c r="B2783">
        <v>63.74</v>
      </c>
      <c r="C2783">
        <v>62.62</v>
      </c>
      <c r="D2783">
        <v>61.9</v>
      </c>
      <c r="E2783">
        <v>61.9</v>
      </c>
      <c r="F2783">
        <v>62.62</v>
      </c>
      <c r="G2783">
        <v>996562</v>
      </c>
      <c r="H2783" s="110"/>
      <c r="I2783" s="110"/>
      <c r="L2783" s="134">
        <v>46100</v>
      </c>
      <c r="M2783" s="110">
        <v>62.64</v>
      </c>
      <c r="N2783" s="110">
        <v>63.75</v>
      </c>
      <c r="O2783" s="110">
        <v>61.93</v>
      </c>
      <c r="P2783" s="110">
        <v>62</v>
      </c>
      <c r="Q2783" s="110">
        <v>62.64</v>
      </c>
      <c r="R2783">
        <v>18036935</v>
      </c>
    </row>
    <row r="2784" spans="1:18" x14ac:dyDescent="0.25">
      <c r="A2784" s="134">
        <v>46101</v>
      </c>
      <c r="B2784">
        <v>66.33</v>
      </c>
      <c r="C2784">
        <v>65.34</v>
      </c>
      <c r="D2784">
        <v>63</v>
      </c>
      <c r="E2784">
        <v>63</v>
      </c>
      <c r="F2784">
        <v>65.34</v>
      </c>
      <c r="G2784">
        <v>784842</v>
      </c>
      <c r="H2784" s="110"/>
      <c r="I2784" s="110"/>
      <c r="L2784" s="134">
        <v>46101</v>
      </c>
      <c r="M2784" s="110">
        <v>65.489999999999995</v>
      </c>
      <c r="N2784" s="110">
        <v>66.33</v>
      </c>
      <c r="O2784" s="110">
        <v>63.06</v>
      </c>
      <c r="P2784" s="110">
        <v>63.06</v>
      </c>
      <c r="Q2784" s="110">
        <v>65.489999999999995</v>
      </c>
      <c r="R2784">
        <v>32971130</v>
      </c>
    </row>
    <row r="2785" spans="1:18" x14ac:dyDescent="0.25">
      <c r="A2785" s="134">
        <v>46104</v>
      </c>
      <c r="B2785">
        <v>64.59</v>
      </c>
      <c r="C2785">
        <v>62.3</v>
      </c>
      <c r="D2785">
        <v>61.55</v>
      </c>
      <c r="E2785">
        <v>64.59</v>
      </c>
      <c r="F2785">
        <v>62.3</v>
      </c>
      <c r="G2785">
        <v>1048119</v>
      </c>
      <c r="H2785" s="110"/>
      <c r="I2785" s="110"/>
      <c r="L2785" s="134">
        <v>46104</v>
      </c>
      <c r="M2785" s="110">
        <v>62.32</v>
      </c>
      <c r="N2785" s="110">
        <v>64.180000000000007</v>
      </c>
      <c r="O2785" s="110">
        <v>61.51</v>
      </c>
      <c r="P2785" s="110">
        <v>64.180000000000007</v>
      </c>
      <c r="Q2785" s="110">
        <v>62.32</v>
      </c>
      <c r="R2785">
        <v>21311564</v>
      </c>
    </row>
    <row r="2786" spans="1:18" x14ac:dyDescent="0.25">
      <c r="A2786" s="134">
        <v>46105</v>
      </c>
      <c r="B2786">
        <v>65.069999999999993</v>
      </c>
      <c r="C2786">
        <v>63.86</v>
      </c>
      <c r="D2786">
        <v>62.45</v>
      </c>
      <c r="E2786">
        <v>65.069999999999993</v>
      </c>
      <c r="F2786">
        <v>63.86</v>
      </c>
      <c r="G2786">
        <v>1272617</v>
      </c>
      <c r="H2786" s="110"/>
      <c r="I2786" s="110"/>
      <c r="L2786" s="134">
        <v>46105</v>
      </c>
      <c r="M2786" s="110">
        <v>63.88</v>
      </c>
      <c r="N2786" s="110">
        <v>64.900000000000006</v>
      </c>
      <c r="O2786" s="110">
        <v>62.42</v>
      </c>
      <c r="P2786" s="110">
        <v>64.900000000000006</v>
      </c>
      <c r="Q2786" s="110">
        <v>63.88</v>
      </c>
      <c r="R2786">
        <v>26031048</v>
      </c>
    </row>
    <row r="2787" spans="1:18" x14ac:dyDescent="0.25">
      <c r="A2787" s="134">
        <v>46106</v>
      </c>
      <c r="B2787">
        <v>66.849999999999994</v>
      </c>
      <c r="C2787">
        <v>65.5</v>
      </c>
      <c r="D2787">
        <v>64</v>
      </c>
      <c r="E2787">
        <v>64.56</v>
      </c>
      <c r="F2787">
        <v>65.5</v>
      </c>
      <c r="G2787">
        <v>848666</v>
      </c>
      <c r="H2787" s="110"/>
      <c r="I2787" s="110"/>
      <c r="L2787" s="134">
        <v>46106</v>
      </c>
      <c r="M2787" s="110">
        <v>65.510000000000005</v>
      </c>
      <c r="N2787" s="110">
        <v>66.89</v>
      </c>
      <c r="O2787" s="110">
        <v>64.02</v>
      </c>
      <c r="P2787" s="110">
        <v>64.05</v>
      </c>
      <c r="Q2787" s="110">
        <v>65.510000000000005</v>
      </c>
      <c r="R2787">
        <v>18424709</v>
      </c>
    </row>
    <row r="2788" spans="1:18" x14ac:dyDescent="0.25">
      <c r="A2788" s="134">
        <v>46108</v>
      </c>
      <c r="B2788">
        <v>64.94</v>
      </c>
      <c r="C2788">
        <v>64.459999999999994</v>
      </c>
      <c r="D2788">
        <v>63.1</v>
      </c>
      <c r="E2788">
        <v>64.45</v>
      </c>
      <c r="F2788">
        <v>64.459999999999994</v>
      </c>
      <c r="G2788">
        <v>637106</v>
      </c>
      <c r="H2788" s="110"/>
      <c r="I2788" s="110"/>
      <c r="L2788" s="134">
        <v>46108</v>
      </c>
      <c r="M2788" s="110">
        <v>64.459999999999994</v>
      </c>
      <c r="N2788" s="110">
        <v>64.95</v>
      </c>
      <c r="O2788" s="110">
        <v>63.1</v>
      </c>
      <c r="P2788" s="110">
        <v>64.8</v>
      </c>
      <c r="Q2788" s="110">
        <v>64.459999999999994</v>
      </c>
      <c r="R2788">
        <v>15925622</v>
      </c>
    </row>
    <row r="2789" spans="1:18" x14ac:dyDescent="0.25">
      <c r="A2789" s="134">
        <v>46111</v>
      </c>
      <c r="B2789">
        <v>63.34</v>
      </c>
      <c r="C2789">
        <v>61.32</v>
      </c>
      <c r="D2789">
        <v>61.1</v>
      </c>
      <c r="E2789">
        <v>63.1</v>
      </c>
      <c r="F2789">
        <v>61.32</v>
      </c>
      <c r="G2789">
        <v>1338047</v>
      </c>
      <c r="H2789" s="110"/>
      <c r="I2789" s="110"/>
      <c r="L2789" s="134">
        <v>46111</v>
      </c>
      <c r="M2789" s="110">
        <v>61.33</v>
      </c>
      <c r="N2789" s="110">
        <v>63.34</v>
      </c>
      <c r="O2789" s="110">
        <v>61.03</v>
      </c>
      <c r="P2789" s="110">
        <v>62.5</v>
      </c>
      <c r="Q2789" s="110">
        <v>61.33</v>
      </c>
      <c r="R2789">
        <v>16152002</v>
      </c>
    </row>
    <row r="2790" spans="1:18" x14ac:dyDescent="0.25">
      <c r="A2790" s="134">
        <v>46113</v>
      </c>
      <c r="B2790">
        <v>65.459999999999994</v>
      </c>
      <c r="C2790">
        <v>64.88</v>
      </c>
      <c r="D2790">
        <v>63.29</v>
      </c>
      <c r="E2790">
        <v>64.08</v>
      </c>
      <c r="F2790">
        <v>64.88</v>
      </c>
      <c r="G2790">
        <v>1312837</v>
      </c>
      <c r="H2790" s="110"/>
      <c r="I2790" s="110"/>
      <c r="L2790" s="134">
        <v>46113</v>
      </c>
      <c r="M2790" s="110">
        <v>64.88</v>
      </c>
      <c r="N2790" s="110">
        <v>65.5</v>
      </c>
      <c r="O2790" s="110">
        <v>63.25</v>
      </c>
      <c r="P2790" s="110">
        <v>64</v>
      </c>
      <c r="Q2790" s="110">
        <v>64.88</v>
      </c>
      <c r="R2790">
        <v>16041678</v>
      </c>
    </row>
    <row r="2791" spans="1:18" x14ac:dyDescent="0.25">
      <c r="A2791" s="134">
        <v>46114</v>
      </c>
      <c r="B2791">
        <v>64.239999999999995</v>
      </c>
      <c r="C2791">
        <v>63.97</v>
      </c>
      <c r="D2791">
        <v>61.24</v>
      </c>
      <c r="E2791">
        <v>63</v>
      </c>
      <c r="F2791">
        <v>63.97</v>
      </c>
      <c r="G2791">
        <v>1348108</v>
      </c>
      <c r="H2791" s="110"/>
      <c r="I2791" s="110"/>
      <c r="L2791" s="134">
        <v>46114</v>
      </c>
      <c r="M2791" s="110">
        <v>63.89</v>
      </c>
      <c r="N2791" s="110">
        <v>64.22</v>
      </c>
      <c r="O2791" s="110">
        <v>61.2</v>
      </c>
      <c r="P2791" s="110">
        <v>63</v>
      </c>
      <c r="Q2791" s="110">
        <v>63.89</v>
      </c>
      <c r="R2791">
        <v>19177352</v>
      </c>
    </row>
    <row r="2792" spans="1:18" x14ac:dyDescent="0.25">
      <c r="A2792" s="134">
        <v>46118</v>
      </c>
      <c r="B2792">
        <v>66.95</v>
      </c>
      <c r="C2792">
        <v>66.59</v>
      </c>
      <c r="D2792">
        <v>63.01</v>
      </c>
      <c r="E2792">
        <v>64.290000000000006</v>
      </c>
      <c r="F2792">
        <v>66.59</v>
      </c>
      <c r="G2792">
        <v>2105861</v>
      </c>
      <c r="H2792" s="110"/>
      <c r="I2792" s="110"/>
      <c r="L2792" s="134">
        <v>46118</v>
      </c>
      <c r="M2792" s="110">
        <v>66.59</v>
      </c>
      <c r="N2792" s="110">
        <v>67</v>
      </c>
      <c r="O2792" s="110">
        <v>63.03</v>
      </c>
      <c r="P2792" s="110">
        <v>64.22</v>
      </c>
      <c r="Q2792" s="110">
        <v>66.59</v>
      </c>
      <c r="R2792">
        <v>20626583</v>
      </c>
    </row>
    <row r="2793" spans="1:18" x14ac:dyDescent="0.25">
      <c r="A2793" s="134">
        <v>46119</v>
      </c>
      <c r="B2793">
        <v>66.88</v>
      </c>
      <c r="C2793">
        <v>66.56</v>
      </c>
      <c r="D2793">
        <v>65.39</v>
      </c>
      <c r="E2793">
        <v>66.53</v>
      </c>
      <c r="F2793">
        <v>66.56</v>
      </c>
      <c r="G2793">
        <v>919753</v>
      </c>
      <c r="H2793" s="110"/>
      <c r="I2793" s="110"/>
      <c r="L2793" s="134">
        <v>46119</v>
      </c>
      <c r="M2793" s="110">
        <v>66.540000000000006</v>
      </c>
      <c r="N2793" s="110">
        <v>66.89</v>
      </c>
      <c r="O2793" s="110">
        <v>65.41</v>
      </c>
      <c r="P2793" s="110">
        <v>66.400000000000006</v>
      </c>
      <c r="Q2793" s="110">
        <v>66.540000000000006</v>
      </c>
      <c r="R2793">
        <v>12305719</v>
      </c>
    </row>
    <row r="2794" spans="1:18" x14ac:dyDescent="0.25">
      <c r="A2794" s="134">
        <v>46120</v>
      </c>
      <c r="B2794">
        <v>70.72</v>
      </c>
      <c r="C2794">
        <v>70</v>
      </c>
      <c r="D2794">
        <v>68.33</v>
      </c>
      <c r="E2794">
        <v>69.83</v>
      </c>
      <c r="F2794">
        <v>70</v>
      </c>
      <c r="G2794">
        <v>2516965</v>
      </c>
      <c r="H2794" s="110"/>
      <c r="I2794" s="110"/>
      <c r="L2794" s="134">
        <v>46120</v>
      </c>
      <c r="M2794" s="110">
        <v>69.94</v>
      </c>
      <c r="N2794" s="110">
        <v>70.75</v>
      </c>
      <c r="O2794" s="110">
        <v>68.349999999999994</v>
      </c>
      <c r="P2794" s="110">
        <v>69.5</v>
      </c>
      <c r="Q2794" s="110">
        <v>69.94</v>
      </c>
      <c r="R2794">
        <v>29587648</v>
      </c>
    </row>
    <row r="2795" spans="1:18" x14ac:dyDescent="0.25">
      <c r="A2795" s="134">
        <v>46121</v>
      </c>
      <c r="B2795">
        <v>71.150000000000006</v>
      </c>
      <c r="C2795">
        <v>70.05</v>
      </c>
      <c r="D2795">
        <v>69.33</v>
      </c>
      <c r="E2795">
        <v>70.05</v>
      </c>
      <c r="F2795">
        <v>70.05</v>
      </c>
      <c r="G2795">
        <v>1732590</v>
      </c>
      <c r="H2795" s="110"/>
      <c r="I2795" s="110"/>
      <c r="L2795" s="134">
        <v>46121</v>
      </c>
      <c r="M2795" s="110">
        <v>70.03</v>
      </c>
      <c r="N2795" s="110">
        <v>71.11</v>
      </c>
      <c r="O2795" s="110">
        <v>69.400000000000006</v>
      </c>
      <c r="P2795" s="110">
        <v>70.27</v>
      </c>
      <c r="Q2795" s="110">
        <v>70.03</v>
      </c>
      <c r="R2795">
        <v>14480468</v>
      </c>
    </row>
    <row r="2796" spans="1:18" x14ac:dyDescent="0.25">
      <c r="A2796" s="134">
        <v>46122</v>
      </c>
      <c r="B2796">
        <v>71.48</v>
      </c>
      <c r="C2796">
        <v>70.53</v>
      </c>
      <c r="D2796">
        <v>69.25</v>
      </c>
      <c r="E2796">
        <v>70.31</v>
      </c>
      <c r="F2796">
        <v>70.53</v>
      </c>
      <c r="G2796">
        <v>1580837</v>
      </c>
      <c r="H2796" s="110"/>
      <c r="I2796" s="110"/>
      <c r="L2796" s="134">
        <v>46122</v>
      </c>
      <c r="M2796" s="110">
        <v>70.59</v>
      </c>
      <c r="N2796" s="110">
        <v>71.45</v>
      </c>
      <c r="O2796" s="110">
        <v>69.23</v>
      </c>
      <c r="P2796" s="110">
        <v>70.5</v>
      </c>
      <c r="Q2796" s="110">
        <v>70.59</v>
      </c>
      <c r="R2796">
        <v>17294214</v>
      </c>
    </row>
    <row r="2797" spans="1:18" x14ac:dyDescent="0.25">
      <c r="A2797" s="134">
        <v>46125</v>
      </c>
      <c r="B2797">
        <v>70.53</v>
      </c>
      <c r="C2797">
        <v>70.180000000000007</v>
      </c>
      <c r="D2797">
        <v>67.75</v>
      </c>
      <c r="E2797">
        <v>68.739999999999995</v>
      </c>
      <c r="F2797">
        <v>70.180000000000007</v>
      </c>
      <c r="G2797">
        <v>771866</v>
      </c>
      <c r="H2797" s="110"/>
      <c r="I2797" s="110"/>
      <c r="L2797" s="134">
        <v>46125</v>
      </c>
      <c r="M2797" s="110">
        <v>70.14</v>
      </c>
      <c r="N2797" s="110">
        <v>70.5</v>
      </c>
      <c r="O2797" s="110">
        <v>67.819999999999993</v>
      </c>
      <c r="P2797" s="110">
        <v>68.55</v>
      </c>
      <c r="Q2797" s="110">
        <v>70.14</v>
      </c>
      <c r="R2797">
        <v>18486325</v>
      </c>
    </row>
    <row r="2798" spans="1:18" x14ac:dyDescent="0.25">
      <c r="A2798" s="134">
        <v>46127</v>
      </c>
      <c r="B2798">
        <v>72.180000000000007</v>
      </c>
      <c r="C2798">
        <v>71.39</v>
      </c>
      <c r="D2798">
        <v>70.849999999999994</v>
      </c>
      <c r="E2798">
        <v>71.05</v>
      </c>
      <c r="F2798">
        <v>71.39</v>
      </c>
      <c r="G2798">
        <v>1294653</v>
      </c>
      <c r="H2798" s="110"/>
      <c r="I2798" s="110"/>
      <c r="L2798" s="134">
        <v>46127</v>
      </c>
      <c r="M2798" s="110">
        <v>71.39</v>
      </c>
      <c r="N2798" s="110">
        <v>72.239999999999995</v>
      </c>
      <c r="O2798" s="110">
        <v>70.849999999999994</v>
      </c>
      <c r="P2798" s="110">
        <v>71.42</v>
      </c>
      <c r="Q2798" s="110">
        <v>71.39</v>
      </c>
      <c r="R2798">
        <v>12896288</v>
      </c>
    </row>
    <row r="2799" spans="1:18" x14ac:dyDescent="0.25">
      <c r="A2799" s="134">
        <v>46128</v>
      </c>
      <c r="B2799">
        <v>72.27</v>
      </c>
      <c r="C2799">
        <v>71.239999999999995</v>
      </c>
      <c r="D2799">
        <v>70.260000000000005</v>
      </c>
      <c r="E2799">
        <v>71.900000000000006</v>
      </c>
      <c r="F2799">
        <v>71.239999999999995</v>
      </c>
      <c r="G2799">
        <v>1404098</v>
      </c>
      <c r="H2799" s="110"/>
      <c r="I2799" s="110"/>
      <c r="L2799" s="134">
        <v>46128</v>
      </c>
      <c r="M2799" s="110">
        <v>71.25</v>
      </c>
      <c r="N2799" s="110">
        <v>72.28</v>
      </c>
      <c r="O2799" s="110">
        <v>70.31</v>
      </c>
      <c r="P2799" s="110">
        <v>71.989999999999995</v>
      </c>
      <c r="Q2799" s="110">
        <v>71.25</v>
      </c>
      <c r="R2799">
        <v>18316236</v>
      </c>
    </row>
    <row r="2800" spans="1:18" x14ac:dyDescent="0.25">
      <c r="A2800" s="134">
        <v>46129</v>
      </c>
      <c r="B2800">
        <v>72.97</v>
      </c>
      <c r="C2800">
        <v>72.72</v>
      </c>
      <c r="D2800">
        <v>71.239999999999995</v>
      </c>
      <c r="E2800">
        <v>71.45</v>
      </c>
      <c r="F2800">
        <v>72.72</v>
      </c>
      <c r="G2800">
        <v>723770</v>
      </c>
      <c r="H2800" s="110"/>
      <c r="I2800" s="110"/>
      <c r="L2800" s="134">
        <v>46129</v>
      </c>
      <c r="M2800" s="110">
        <v>72.73</v>
      </c>
      <c r="N2800" s="110">
        <v>72.989999999999995</v>
      </c>
      <c r="O2800" s="110">
        <v>71.239999999999995</v>
      </c>
      <c r="P2800" s="110">
        <v>71.8</v>
      </c>
      <c r="Q2800" s="110">
        <v>72.73</v>
      </c>
      <c r="R2800">
        <v>17291825</v>
      </c>
    </row>
    <row r="2801" spans="8:9" x14ac:dyDescent="0.25">
      <c r="H2801" s="110"/>
      <c r="I2801" s="110"/>
    </row>
    <row r="2802" spans="8:9" x14ac:dyDescent="0.25">
      <c r="H2802" s="110"/>
      <c r="I2802" s="110"/>
    </row>
    <row r="2803" spans="8:9" x14ac:dyDescent="0.25">
      <c r="H2803" s="110"/>
      <c r="I2803" s="110"/>
    </row>
    <row r="2804" spans="8:9" x14ac:dyDescent="0.25">
      <c r="H2804" s="110"/>
      <c r="I2804" s="110"/>
    </row>
    <row r="2805" spans="8:9" x14ac:dyDescent="0.25">
      <c r="H2805" s="110"/>
      <c r="I2805" s="110"/>
    </row>
    <row r="2806" spans="8:9" x14ac:dyDescent="0.25">
      <c r="H2806" s="110"/>
      <c r="I2806" s="110"/>
    </row>
    <row r="2807" spans="8:9" x14ac:dyDescent="0.25">
      <c r="H2807" s="110"/>
      <c r="I2807" s="110"/>
    </row>
    <row r="2808" spans="8:9" x14ac:dyDescent="0.25">
      <c r="H2808" s="110"/>
      <c r="I2808" s="110"/>
    </row>
    <row r="2809" spans="8:9" x14ac:dyDescent="0.25">
      <c r="H2809" s="110"/>
      <c r="I2809" s="110"/>
    </row>
    <row r="2810" spans="8:9" x14ac:dyDescent="0.25">
      <c r="H2810" s="110"/>
      <c r="I2810" s="110"/>
    </row>
    <row r="2811" spans="8:9" x14ac:dyDescent="0.25">
      <c r="H2811" s="110"/>
      <c r="I2811" s="110"/>
    </row>
    <row r="2812" spans="8:9" x14ac:dyDescent="0.25">
      <c r="H2812" s="110"/>
      <c r="I2812" s="110"/>
    </row>
    <row r="2813" spans="8:9" x14ac:dyDescent="0.25">
      <c r="H2813" s="110"/>
      <c r="I2813" s="110"/>
    </row>
    <row r="2814" spans="8:9" x14ac:dyDescent="0.25">
      <c r="H2814" s="110"/>
      <c r="I2814" s="110"/>
    </row>
    <row r="2815" spans="8:9" x14ac:dyDescent="0.25">
      <c r="H2815" s="110"/>
      <c r="I2815" s="110"/>
    </row>
    <row r="2816" spans="8:9" x14ac:dyDescent="0.25">
      <c r="H2816" s="110"/>
      <c r="I2816" s="110"/>
    </row>
    <row r="2817" spans="8:9" x14ac:dyDescent="0.25">
      <c r="H2817" s="110"/>
      <c r="I2817" s="110"/>
    </row>
    <row r="2818" spans="8:9" x14ac:dyDescent="0.25">
      <c r="H2818" s="110"/>
      <c r="I2818" s="110"/>
    </row>
    <row r="2819" spans="8:9" x14ac:dyDescent="0.25">
      <c r="H2819" s="110"/>
      <c r="I2819" s="110"/>
    </row>
    <row r="2820" spans="8:9" x14ac:dyDescent="0.25">
      <c r="H2820" s="110"/>
      <c r="I2820" s="110"/>
    </row>
    <row r="2821" spans="8:9" x14ac:dyDescent="0.25">
      <c r="H2821" s="110"/>
      <c r="I2821" s="110"/>
    </row>
    <row r="2822" spans="8:9" x14ac:dyDescent="0.25">
      <c r="H2822" s="110"/>
      <c r="I2822" s="110"/>
    </row>
    <row r="2823" spans="8:9" x14ac:dyDescent="0.25">
      <c r="H2823" s="110"/>
      <c r="I2823" s="110"/>
    </row>
    <row r="2824" spans="8:9" x14ac:dyDescent="0.25">
      <c r="H2824" s="110"/>
      <c r="I2824" s="110"/>
    </row>
    <row r="2825" spans="8:9" x14ac:dyDescent="0.25">
      <c r="H2825" s="110"/>
      <c r="I2825" s="110"/>
    </row>
    <row r="2826" spans="8:9" x14ac:dyDescent="0.25">
      <c r="H2826" s="110"/>
      <c r="I2826" s="110"/>
    </row>
    <row r="2827" spans="8:9" x14ac:dyDescent="0.25">
      <c r="H2827" s="110"/>
      <c r="I2827" s="110"/>
    </row>
    <row r="2828" spans="8:9" x14ac:dyDescent="0.25">
      <c r="H2828" s="110"/>
      <c r="I2828" s="110"/>
    </row>
    <row r="2829" spans="8:9" x14ac:dyDescent="0.25">
      <c r="H2829" s="110"/>
      <c r="I2829" s="110"/>
    </row>
    <row r="2830" spans="8:9" x14ac:dyDescent="0.25">
      <c r="H2830" s="110"/>
      <c r="I2830" s="110"/>
    </row>
    <row r="2831" spans="8:9" x14ac:dyDescent="0.25">
      <c r="H2831" s="110"/>
      <c r="I2831" s="110"/>
    </row>
    <row r="2832" spans="8:9" x14ac:dyDescent="0.25">
      <c r="H2832" s="110"/>
      <c r="I2832" s="110"/>
    </row>
    <row r="2833" spans="8:9" x14ac:dyDescent="0.25">
      <c r="H2833" s="110"/>
      <c r="I2833" s="110"/>
    </row>
    <row r="2834" spans="8:9" x14ac:dyDescent="0.25">
      <c r="H2834" s="110"/>
      <c r="I2834" s="110"/>
    </row>
    <row r="2835" spans="8:9" x14ac:dyDescent="0.25">
      <c r="H2835" s="110"/>
      <c r="I2835" s="110"/>
    </row>
    <row r="2836" spans="8:9" x14ac:dyDescent="0.25">
      <c r="H2836" s="110"/>
      <c r="I2836" s="110"/>
    </row>
    <row r="2837" spans="8:9" x14ac:dyDescent="0.25">
      <c r="H2837" s="110"/>
      <c r="I2837" s="110"/>
    </row>
    <row r="2838" spans="8:9" x14ac:dyDescent="0.25">
      <c r="H2838" s="110"/>
      <c r="I2838" s="110"/>
    </row>
    <row r="2839" spans="8:9" x14ac:dyDescent="0.25">
      <c r="H2839" s="110"/>
      <c r="I2839" s="110"/>
    </row>
    <row r="2840" spans="8:9" x14ac:dyDescent="0.25">
      <c r="H2840" s="110"/>
      <c r="I2840" s="110"/>
    </row>
    <row r="2841" spans="8:9" x14ac:dyDescent="0.25">
      <c r="H2841" s="110"/>
      <c r="I2841" s="110"/>
    </row>
    <row r="2842" spans="8:9" x14ac:dyDescent="0.25">
      <c r="H2842" s="110"/>
      <c r="I2842" s="110"/>
    </row>
    <row r="2843" spans="8:9" x14ac:dyDescent="0.25">
      <c r="H2843" s="110"/>
      <c r="I2843" s="110"/>
    </row>
    <row r="2844" spans="8:9" x14ac:dyDescent="0.25">
      <c r="H2844" s="110"/>
      <c r="I2844" s="110"/>
    </row>
    <row r="2845" spans="8:9" x14ac:dyDescent="0.25">
      <c r="H2845" s="110"/>
      <c r="I2845" s="110"/>
    </row>
    <row r="2846" spans="8:9" x14ac:dyDescent="0.25">
      <c r="H2846" s="110"/>
      <c r="I2846" s="110"/>
    </row>
    <row r="2847" spans="8:9" x14ac:dyDescent="0.25">
      <c r="H2847" s="110"/>
      <c r="I2847" s="110"/>
    </row>
    <row r="2848" spans="8:9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Y27" activePane="bottomRight" state="frozen"/>
      <selection pane="topRight" activeCell="C1" sqref="C1"/>
      <selection pane="bottomLeft" activeCell="A6" sqref="A6"/>
      <selection pane="bottomRight" activeCell="AS56" sqref="AS56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132525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t="e" cm="1">
        <f t="array" aca="1" ref="C5" ca="1">+_xll.EQNXTDZ($A$1,$B5,C$2)</f>
        <v>#NAME?</v>
      </c>
      <c r="D5" t="e" cm="1">
        <f t="array" aca="1" ref="D5" ca="1">+_xll.EQNXTDZ($A$1,$B5,D$2)</f>
        <v>#NAME?</v>
      </c>
      <c r="E5" t="e" cm="1">
        <f t="array" aca="1" ref="E5" ca="1">+_xll.EQNXTDZ($A$1,$B5,E$2)</f>
        <v>#NAME?</v>
      </c>
      <c r="F5" t="e" cm="1">
        <f t="array" aca="1" ref="F5" ca="1">+_xll.EQNXTDZ($A$1,$B5,F$2)</f>
        <v>#NAME?</v>
      </c>
      <c r="G5" t="e" cm="1">
        <f t="array" aca="1" ref="G5" ca="1">+_xll.EQNXTDZ($A$1,$B5,G$2)</f>
        <v>#NAME?</v>
      </c>
      <c r="H5" t="e" cm="1">
        <f t="array" aca="1" ref="H5" ca="1">+_xll.EQNXTDZ($A$1,$B5,H$2)</f>
        <v>#NAME?</v>
      </c>
      <c r="I5" t="e" cm="1">
        <f t="array" aca="1" ref="I5" ca="1">+_xll.EQNXTDZ($A$1,$B5,I$2)</f>
        <v>#NAME?</v>
      </c>
      <c r="J5" t="e" cm="1">
        <f t="array" aca="1" ref="J5" ca="1">+_xll.EQNXTDZ($A$1,$B5,J$2)</f>
        <v>#NAME?</v>
      </c>
      <c r="K5" t="e" cm="1">
        <f t="array" aca="1" ref="K5" ca="1">+_xll.EQNXTDZ($A$1,$B5,K$2)</f>
        <v>#NAME?</v>
      </c>
      <c r="L5" t="e" cm="1">
        <f t="array" aca="1" ref="L5" ca="1">+_xll.EQNXTDZ($A$1,$B5,L$2)</f>
        <v>#NAME?</v>
      </c>
      <c r="M5" t="e" cm="1">
        <f t="array" aca="1" ref="M5" ca="1">+_xll.EQNXTDZ($A$1,$B5,M$2)</f>
        <v>#NAME?</v>
      </c>
      <c r="N5" t="e" cm="1">
        <f t="array" aca="1" ref="N5" ca="1">+_xll.EQNXTDZ($A$1,$B5,N$2)</f>
        <v>#NAME?</v>
      </c>
      <c r="O5" t="e" cm="1">
        <f t="array" aca="1" ref="O5" ca="1">+_xll.EQNXTDZ($A$1,$B5,O$2)</f>
        <v>#NAME?</v>
      </c>
      <c r="P5" t="e" cm="1">
        <f t="array" aca="1" ref="P5" ca="1">+_xll.EQNXTDZ($A$1,$B5,P$2)</f>
        <v>#NAME?</v>
      </c>
      <c r="Q5" t="e" cm="1">
        <f t="array" aca="1" ref="Q5" ca="1">+_xll.EQNXTDZ($A$1,$B5,Q$2)</f>
        <v>#NAME?</v>
      </c>
      <c r="R5" t="e" cm="1">
        <f t="array" aca="1" ref="R5" ca="1">+_xll.EQNXTDZ($A$1,$B5,R$2)</f>
        <v>#NAME?</v>
      </c>
      <c r="S5" t="e" cm="1">
        <f t="array" aca="1" ref="S5" ca="1">+_xll.EQNXTDZ($A$1,$B5,S$2)</f>
        <v>#NAME?</v>
      </c>
      <c r="T5" t="e" cm="1">
        <f t="array" aca="1" ref="T5" ca="1">+_xll.EQNXTDZ($A$1,$B5,T$2)</f>
        <v>#NAME?</v>
      </c>
      <c r="U5" t="e" cm="1">
        <f t="array" aca="1" ref="U5" ca="1">+_xll.EQNXTDZ($A$1,$B5,U$2)</f>
        <v>#NAME?</v>
      </c>
      <c r="V5" t="e" cm="1">
        <f t="array" aca="1" ref="V5" ca="1">+_xll.EQNXTDZ($A$1,$B5,V$2)</f>
        <v>#NAME?</v>
      </c>
      <c r="W5" t="e" cm="1">
        <f t="array" aca="1" ref="W5" ca="1">+_xll.EQNXTDZ($A$1,$B5,W$2)</f>
        <v>#NAME?</v>
      </c>
      <c r="X5" t="e" cm="1">
        <f t="array" aca="1" ref="X5" ca="1">+_xll.EQNXTDZ($A$1,$B5,X$2)</f>
        <v>#NAME?</v>
      </c>
      <c r="Y5" t="e" cm="1">
        <f t="array" aca="1" ref="Y5" ca="1">+_xll.EQNXTDZ($A$1,$B5,Y$2)</f>
        <v>#NAME?</v>
      </c>
      <c r="Z5" t="e" cm="1">
        <f t="array" aca="1" ref="Z5" ca="1">+_xll.EQNXTDZ($A$1,$B5,Z$2)</f>
        <v>#NAME?</v>
      </c>
      <c r="AA5" t="e" cm="1">
        <f t="array" aca="1" ref="AA5" ca="1">+_xll.EQNXTDZ($A$1,$B5,AA$2)</f>
        <v>#NAME?</v>
      </c>
      <c r="AB5" t="e" cm="1">
        <f t="array" aca="1" ref="AB5" ca="1">+_xll.EQNXTDZ($A$1,$B5,AB$2)</f>
        <v>#NAME?</v>
      </c>
      <c r="AC5" t="e" cm="1">
        <f t="array" aca="1" ref="AC5" ca="1">+_xll.EQNXTDZ($A$1,$B5,AC$2)</f>
        <v>#NAME?</v>
      </c>
      <c r="AD5" t="e" cm="1">
        <f t="array" aca="1" ref="AD5" ca="1">+_xll.EQNXTDZ($A$1,$B5,AD$2)</f>
        <v>#NAME?</v>
      </c>
      <c r="AE5" t="e" cm="1">
        <f t="array" aca="1" ref="AE5" ca="1">+_xll.EQNXTDZ($A$1,$B5,AE$2)</f>
        <v>#NAME?</v>
      </c>
      <c r="AF5" t="e" cm="1">
        <f t="array" aca="1" ref="AF5" ca="1">+_xll.EQNXTDZ($A$1,$B5,AF$2)</f>
        <v>#NAME?</v>
      </c>
      <c r="AG5" t="e" cm="1">
        <f t="array" aca="1" ref="AG5" ca="1">+_xll.EQNXTDZ($A$1,$B5,AG$2)</f>
        <v>#NAME?</v>
      </c>
      <c r="AH5" t="e" cm="1">
        <f t="array" aca="1" ref="AH5" ca="1">+_xll.EQNXTDZ($A$1,$B5,AH$2)</f>
        <v>#NAME?</v>
      </c>
      <c r="AI5" t="e" cm="1">
        <f t="array" aca="1" ref="AI5" ca="1">+_xll.EQNXTDZ($A$1,$B5,AI$2)</f>
        <v>#NAME?</v>
      </c>
      <c r="AJ5" t="e" cm="1">
        <f t="array" aca="1" ref="AJ5" ca="1">+_xll.EQNXTDZ($A$1,$B5,AJ$2)</f>
        <v>#NAME?</v>
      </c>
      <c r="AK5" t="e" cm="1">
        <f t="array" aca="1" ref="AK5" ca="1">+_xll.EQNXTDZ($A$1,$B5,AK$2)</f>
        <v>#NAME?</v>
      </c>
      <c r="AL5" t="e" cm="1">
        <f t="array" aca="1" ref="AL5" ca="1">+_xll.EQNXTDZ($A$1,$B5,AL$2)</f>
        <v>#NAME?</v>
      </c>
      <c r="AM5" t="e" cm="1">
        <f t="array" aca="1" ref="AM5" ca="1">+_xll.EQNXTDZ($A$1,$B5,AM$2)</f>
        <v>#NAME?</v>
      </c>
      <c r="AN5" t="e" cm="1">
        <f t="array" aca="1" ref="AN5" ca="1">+_xll.EQNXTDZ($A$1,$B5,AN$2)</f>
        <v>#NAME?</v>
      </c>
      <c r="AO5" t="e" cm="1">
        <f t="array" aca="1" ref="AO5" ca="1">+_xll.EQNXTDZ($A$1,$B5,AO$2)</f>
        <v>#NAME?</v>
      </c>
      <c r="AP5" t="e" cm="1">
        <f t="array" aca="1" ref="AP5" ca="1">+_xll.EQNXTDZ($A$1,$B5,AP$2)</f>
        <v>#NAME?</v>
      </c>
      <c r="AQ5" t="e" cm="1">
        <f t="array" aca="1" ref="AQ5" ca="1">+_xll.EQNXTDZ($A$1,$B5,AQ$2)</f>
        <v>#NAME?</v>
      </c>
      <c r="AR5" t="e" cm="1">
        <f t="array" aca="1" ref="AR5" ca="1">+_xll.EQNXTDZ($A$1,$B5,AR$2)</f>
        <v>#NAME?</v>
      </c>
      <c r="AS5" t="e" cm="1">
        <f t="array" aca="1" ref="AS5" ca="1">+_xll.EQNXTDZ($A$1,$B5,AS$2)</f>
        <v>#NAME?</v>
      </c>
      <c r="AT5" t="e" cm="1">
        <f t="array" aca="1" ref="AT5" ca="1">+_xll.EQNXTDZ($A$1,$B5,AT$2)</f>
        <v>#NAME?</v>
      </c>
      <c r="AU5" t="e" cm="1">
        <f t="array" aca="1" ref="AU5" ca="1">+_xll.EQNXTDZ($A$1,$B5,AU$2)</f>
        <v>#NAME?</v>
      </c>
      <c r="AV5" t="e" cm="1">
        <f t="array" aca="1" ref="AV5" ca="1">+_xll.EQNXTDZ($A$1,$B5,AV$2)</f>
        <v>#NAME?</v>
      </c>
      <c r="AW5" t="e" cm="1">
        <f t="array" aca="1" ref="AW5" ca="1">+_xll.EQNXTDZ($A$1,$B5,AW$2)</f>
        <v>#NAME?</v>
      </c>
      <c r="AX5" t="e" cm="1">
        <f t="array" aca="1" ref="AX5" ca="1">+_xll.EQNXTDZ($A$1,$B5,AX$2)</f>
        <v>#NAME?</v>
      </c>
      <c r="AY5" t="e" cm="1">
        <f t="array" aca="1" ref="AY5" ca="1">+_xll.EQNXTDZ($A$1,$B5,AY$2)</f>
        <v>#NAME?</v>
      </c>
      <c r="AZ5" t="e" cm="1">
        <f t="array" aca="1" ref="AZ5" ca="1">+_xll.EQNXTDZ($A$1,$B5,AZ$2)</f>
        <v>#NAME?</v>
      </c>
      <c r="BA5" t="e" cm="1">
        <f t="array" aca="1" ref="BA5" ca="1">+_xll.EQNXTDZ($A$1,$B5,BA$2)</f>
        <v>#NAME?</v>
      </c>
      <c r="BB5" t="e" cm="1">
        <f t="array" aca="1" ref="BB5" ca="1">+_xll.EQNXTDZ($A$1,$B5,BB$2)</f>
        <v>#NAME?</v>
      </c>
      <c r="BC5" t="e" cm="1">
        <f t="array" aca="1" ref="BC5" ca="1">+_xll.EQNXTDZ($A$1,$B5,BC$2)</f>
        <v>#NAME?</v>
      </c>
      <c r="BD5" t="e" cm="1">
        <f t="array" aca="1" ref="BD5" ca="1">+_xll.EQNXTDZ($A$1,$B5,BD$2)</f>
        <v>#NAME?</v>
      </c>
      <c r="BE5" t="e" cm="1">
        <f t="array" aca="1" ref="BE5" ca="1">+_xll.EQNXTDZ($A$1,$B5,BE$2)</f>
        <v>#NAME?</v>
      </c>
      <c r="BF5" t="e" cm="1">
        <f t="array" aca="1" ref="BF5" ca="1">+_xll.EQNXTDZ($A$1,$B5,BF$2)</f>
        <v>#NAME?</v>
      </c>
      <c r="BG5" t="e" cm="1">
        <f t="array" aca="1" ref="BG5" ca="1">+_xll.EQNXTDZ($A$1,$B5,BG$2)</f>
        <v>#NAME?</v>
      </c>
      <c r="BH5" t="e" cm="1">
        <f t="array" aca="1" ref="BH5" ca="1">+_xll.EQNXTDZ($A$1,$B5,BH$2)</f>
        <v>#NAME?</v>
      </c>
      <c r="BI5" t="e" cm="1">
        <f t="array" aca="1" ref="BI5" ca="1">+_xll.EQNXTDZ($A$1,$B5,BI$2)</f>
        <v>#NAME?</v>
      </c>
      <c r="BJ5" t="e" cm="1">
        <f t="array" aca="1" ref="BJ5" ca="1">+_xll.EQNXTDZ($A$1,$B5,BJ$2)</f>
        <v>#NAME?</v>
      </c>
    </row>
    <row r="6" spans="1:62" x14ac:dyDescent="0.25">
      <c r="A6" t="s">
        <v>60</v>
      </c>
      <c r="B6" t="s">
        <v>247</v>
      </c>
      <c r="C6" t="e" cm="1">
        <f t="array" aca="1" ref="C6" ca="1">+_xll.EQNXTDZ($A$1,$B6,C$2)</f>
        <v>#NAME?</v>
      </c>
      <c r="D6" t="e" cm="1">
        <f t="array" aca="1" ref="D6" ca="1">+_xll.EQNXTDZ($A$1,$B6,D$2)</f>
        <v>#NAME?</v>
      </c>
      <c r="E6" t="e" cm="1">
        <f t="array" aca="1" ref="E6" ca="1">+_xll.EQNXTDZ($A$1,$B6,E$2)</f>
        <v>#NAME?</v>
      </c>
      <c r="F6" t="e" cm="1">
        <f t="array" aca="1" ref="F6" ca="1">+_xll.EQNXTDZ($A$1,$B6,F$2)</f>
        <v>#NAME?</v>
      </c>
      <c r="G6" t="e" cm="1">
        <f t="array" aca="1" ref="G6" ca="1">+_xll.EQNXTDZ($A$1,$B6,G$2)</f>
        <v>#NAME?</v>
      </c>
      <c r="H6" t="e" cm="1">
        <f t="array" aca="1" ref="H6" ca="1">+_xll.EQNXTDZ($A$1,$B6,H$2)</f>
        <v>#NAME?</v>
      </c>
      <c r="I6" t="e" cm="1">
        <f t="array" aca="1" ref="I6" ca="1">+_xll.EQNXTDZ($A$1,$B6,I$2)</f>
        <v>#NAME?</v>
      </c>
      <c r="J6" t="e" cm="1">
        <f t="array" aca="1" ref="J6" ca="1">+_xll.EQNXTDZ($A$1,$B6,J$2)</f>
        <v>#NAME?</v>
      </c>
      <c r="K6" t="e" cm="1">
        <f t="array" aca="1" ref="K6" ca="1">+_xll.EQNXTDZ($A$1,$B6,K$2)</f>
        <v>#NAME?</v>
      </c>
      <c r="L6" t="e" cm="1">
        <f t="array" aca="1" ref="L6" ca="1">+_xll.EQNXTDZ($A$1,$B6,L$2)</f>
        <v>#NAME?</v>
      </c>
      <c r="M6" t="e" cm="1">
        <f t="array" aca="1" ref="M6" ca="1">+_xll.EQNXTDZ($A$1,$B6,M$2)</f>
        <v>#NAME?</v>
      </c>
      <c r="N6" t="e" cm="1">
        <f t="array" aca="1" ref="N6" ca="1">+_xll.EQNXTDZ($A$1,$B6,N$2)</f>
        <v>#NAME?</v>
      </c>
      <c r="O6" t="e" cm="1">
        <f t="array" aca="1" ref="O6" ca="1">+_xll.EQNXTDZ($A$1,$B6,O$2)</f>
        <v>#NAME?</v>
      </c>
      <c r="P6" t="e" cm="1">
        <f t="array" aca="1" ref="P6" ca="1">+_xll.EQNXTDZ($A$1,$B6,P$2)</f>
        <v>#NAME?</v>
      </c>
      <c r="Q6" t="e" cm="1">
        <f t="array" aca="1" ref="Q6" ca="1">+_xll.EQNXTDZ($A$1,$B6,Q$2)</f>
        <v>#NAME?</v>
      </c>
      <c r="R6" t="e" cm="1">
        <f t="array" aca="1" ref="R6" ca="1">+_xll.EQNXTDZ($A$1,$B6,R$2)</f>
        <v>#NAME?</v>
      </c>
      <c r="S6" t="e" cm="1">
        <f t="array" aca="1" ref="S6" ca="1">+_xll.EQNXTDZ($A$1,$B6,S$2)</f>
        <v>#NAME?</v>
      </c>
      <c r="T6" t="e" cm="1">
        <f t="array" aca="1" ref="T6" ca="1">+_xll.EQNXTDZ($A$1,$B6,T$2)</f>
        <v>#NAME?</v>
      </c>
      <c r="U6" t="e" cm="1">
        <f t="array" aca="1" ref="U6" ca="1">+_xll.EQNXTDZ($A$1,$B6,U$2)</f>
        <v>#NAME?</v>
      </c>
      <c r="V6" t="e" cm="1">
        <f t="array" aca="1" ref="V6" ca="1">+_xll.EQNXTDZ($A$1,$B6,V$2)</f>
        <v>#NAME?</v>
      </c>
      <c r="W6" t="e" cm="1">
        <f t="array" aca="1" ref="W6" ca="1">+_xll.EQNXTDZ($A$1,$B6,W$2)</f>
        <v>#NAME?</v>
      </c>
      <c r="X6" t="e" cm="1">
        <f t="array" aca="1" ref="X6" ca="1">+_xll.EQNXTDZ($A$1,$B6,X$2)</f>
        <v>#NAME?</v>
      </c>
      <c r="Y6" t="e" cm="1">
        <f t="array" aca="1" ref="Y6" ca="1">+_xll.EQNXTDZ($A$1,$B6,Y$2)</f>
        <v>#NAME?</v>
      </c>
      <c r="Z6" t="e" cm="1">
        <f t="array" aca="1" ref="Z6" ca="1">+_xll.EQNXTDZ($A$1,$B6,Z$2)</f>
        <v>#NAME?</v>
      </c>
      <c r="AA6" t="e" cm="1">
        <f t="array" aca="1" ref="AA6" ca="1">+_xll.EQNXTDZ($A$1,$B6,AA$2)</f>
        <v>#NAME?</v>
      </c>
      <c r="AB6" t="e" cm="1">
        <f t="array" aca="1" ref="AB6" ca="1">+_xll.EQNXTDZ($A$1,$B6,AB$2)</f>
        <v>#NAME?</v>
      </c>
      <c r="AC6" t="e" cm="1">
        <f t="array" aca="1" ref="AC6" ca="1">+_xll.EQNXTDZ($A$1,$B6,AC$2)</f>
        <v>#NAME?</v>
      </c>
      <c r="AD6" t="e" cm="1">
        <f t="array" aca="1" ref="AD6" ca="1">+_xll.EQNXTDZ($A$1,$B6,AD$2)</f>
        <v>#NAME?</v>
      </c>
      <c r="AE6" t="e" cm="1">
        <f t="array" aca="1" ref="AE6" ca="1">+_xll.EQNXTDZ($A$1,$B6,AE$2)</f>
        <v>#NAME?</v>
      </c>
      <c r="AF6" t="e" cm="1">
        <f t="array" aca="1" ref="AF6" ca="1">+_xll.EQNXTDZ($A$1,$B6,AF$2)</f>
        <v>#NAME?</v>
      </c>
      <c r="AG6" t="e" cm="1">
        <f t="array" aca="1" ref="AG6" ca="1">+_xll.EQNXTDZ($A$1,$B6,AG$2)</f>
        <v>#NAME?</v>
      </c>
      <c r="AH6" t="e" cm="1">
        <f t="array" aca="1" ref="AH6" ca="1">+_xll.EQNXTDZ($A$1,$B6,AH$2)</f>
        <v>#NAME?</v>
      </c>
      <c r="AI6" t="e" cm="1">
        <f t="array" aca="1" ref="AI6" ca="1">+_xll.EQNXTDZ($A$1,$B6,AI$2)</f>
        <v>#NAME?</v>
      </c>
      <c r="AJ6" t="e" cm="1">
        <f t="array" aca="1" ref="AJ6" ca="1">+_xll.EQNXTDZ($A$1,$B6,AJ$2)</f>
        <v>#NAME?</v>
      </c>
      <c r="AK6" t="e" cm="1">
        <f t="array" aca="1" ref="AK6" ca="1">+_xll.EQNXTDZ($A$1,$B6,AK$2)</f>
        <v>#NAME?</v>
      </c>
      <c r="AL6" t="e" cm="1">
        <f t="array" aca="1" ref="AL6" ca="1">+_xll.EQNXTDZ($A$1,$B6,AL$2)</f>
        <v>#NAME?</v>
      </c>
      <c r="AM6" t="e" cm="1">
        <f t="array" aca="1" ref="AM6" ca="1">+_xll.EQNXTDZ($A$1,$B6,AM$2)</f>
        <v>#NAME?</v>
      </c>
      <c r="AN6" t="e" cm="1">
        <f t="array" aca="1" ref="AN6" ca="1">+_xll.EQNXTDZ($A$1,$B6,AN$2)</f>
        <v>#NAME?</v>
      </c>
      <c r="AO6" t="e" cm="1">
        <f t="array" aca="1" ref="AO6" ca="1">+_xll.EQNXTDZ($A$1,$B6,AO$2)</f>
        <v>#NAME?</v>
      </c>
      <c r="AP6" t="e" cm="1">
        <f t="array" aca="1" ref="AP6" ca="1">+_xll.EQNXTDZ($A$1,$B6,AP$2)</f>
        <v>#NAME?</v>
      </c>
      <c r="AQ6" t="e" cm="1">
        <f t="array" aca="1" ref="AQ6" ca="1">+_xll.EQNXTDZ($A$1,$B6,AQ$2)</f>
        <v>#NAME?</v>
      </c>
      <c r="AR6" t="e" cm="1">
        <f t="array" aca="1" ref="AR6" ca="1">+_xll.EQNXTDZ($A$1,$B6,AR$2)</f>
        <v>#NAME?</v>
      </c>
      <c r="AS6" t="e" cm="1">
        <f t="array" aca="1" ref="AS6" ca="1">+_xll.EQNXTDZ($A$1,$B6,AS$2)</f>
        <v>#NAME?</v>
      </c>
      <c r="AT6" t="e" cm="1">
        <f t="array" aca="1" ref="AT6" ca="1">+_xll.EQNXTDZ($A$1,$B6,AT$2)</f>
        <v>#NAME?</v>
      </c>
      <c r="AU6" t="e" cm="1">
        <f t="array" aca="1" ref="AU6" ca="1">+_xll.EQNXTDZ($A$1,$B6,AU$2)</f>
        <v>#NAME?</v>
      </c>
      <c r="AV6" t="e" cm="1">
        <f t="array" aca="1" ref="AV6" ca="1">+_xll.EQNXTDZ($A$1,$B6,AV$2)</f>
        <v>#NAME?</v>
      </c>
      <c r="AW6" t="e" cm="1">
        <f t="array" aca="1" ref="AW6" ca="1">+_xll.EQNXTDZ($A$1,$B6,AW$2)</f>
        <v>#NAME?</v>
      </c>
      <c r="AX6" t="e" cm="1">
        <f t="array" aca="1" ref="AX6" ca="1">+_xll.EQNXTDZ($A$1,$B6,AX$2)</f>
        <v>#NAME?</v>
      </c>
      <c r="AY6" t="e" cm="1">
        <f t="array" aca="1" ref="AY6" ca="1">+_xll.EQNXTDZ($A$1,$B6,AY$2)</f>
        <v>#NAME?</v>
      </c>
      <c r="AZ6" t="e" cm="1">
        <f t="array" aca="1" ref="AZ6" ca="1">+_xll.EQNXTDZ($A$1,$B6,AZ$2)</f>
        <v>#NAME?</v>
      </c>
      <c r="BA6" t="e" cm="1">
        <f t="array" aca="1" ref="BA6" ca="1">+_xll.EQNXTDZ($A$1,$B6,BA$2)</f>
        <v>#NAME?</v>
      </c>
      <c r="BB6" t="e" cm="1">
        <f t="array" aca="1" ref="BB6" ca="1">+_xll.EQNXTDZ($A$1,$B6,BB$2)</f>
        <v>#NAME?</v>
      </c>
      <c r="BC6" t="e" cm="1">
        <f t="array" aca="1" ref="BC6" ca="1">+_xll.EQNXTDZ($A$1,$B6,BC$2)</f>
        <v>#NAME?</v>
      </c>
      <c r="BD6" t="e" cm="1">
        <f t="array" aca="1" ref="BD6" ca="1">+_xll.EQNXTDZ($A$1,$B6,BD$2)</f>
        <v>#NAME?</v>
      </c>
      <c r="BE6" t="e" cm="1">
        <f t="array" aca="1" ref="BE6" ca="1">+_xll.EQNXTDZ($A$1,$B6,BE$2)</f>
        <v>#NAME?</v>
      </c>
      <c r="BF6" t="e" cm="1">
        <f t="array" aca="1" ref="BF6" ca="1">+_xll.EQNXTDZ($A$1,$B6,BF$2)</f>
        <v>#NAME?</v>
      </c>
      <c r="BG6" t="e" cm="1">
        <f t="array" aca="1" ref="BG6" ca="1">+_xll.EQNXTDZ($A$1,$B6,BG$2)</f>
        <v>#NAME?</v>
      </c>
      <c r="BH6" t="e" cm="1">
        <f t="array" aca="1" ref="BH6" ca="1">+_xll.EQNXTDZ($A$1,$B6,BH$2)</f>
        <v>#NAME?</v>
      </c>
      <c r="BI6" t="e" cm="1">
        <f t="array" aca="1" ref="BI6" ca="1">+_xll.EQNXTDZ($A$1,$B6,BI$2)</f>
        <v>#NAME?</v>
      </c>
      <c r="BJ6" t="e" cm="1">
        <f t="array" aca="1" ref="BJ6" ca="1">+_xll.EQNXTDZ($A$1,$B6,BJ$2)</f>
        <v>#NAME?</v>
      </c>
    </row>
    <row r="7" spans="1:62" x14ac:dyDescent="0.25">
      <c r="A7" t="s">
        <v>3</v>
      </c>
      <c r="B7" t="s">
        <v>248</v>
      </c>
      <c r="C7" t="e" cm="1">
        <f t="array" aca="1" ref="C7" ca="1">+_xll.EQNXTDZ($A$1,$B7,C$2)</f>
        <v>#NAME?</v>
      </c>
      <c r="D7" t="e" cm="1">
        <f t="array" aca="1" ref="D7" ca="1">+_xll.EQNXTDZ($A$1,$B7,D$2)</f>
        <v>#NAME?</v>
      </c>
      <c r="E7" t="e" cm="1">
        <f t="array" aca="1" ref="E7" ca="1">+_xll.EQNXTDZ($A$1,$B7,E$2)</f>
        <v>#NAME?</v>
      </c>
      <c r="F7" t="e" cm="1">
        <f t="array" aca="1" ref="F7" ca="1">+_xll.EQNXTDZ($A$1,$B7,F$2)</f>
        <v>#NAME?</v>
      </c>
      <c r="G7" t="e" cm="1">
        <f t="array" aca="1" ref="G7" ca="1">+_xll.EQNXTDZ($A$1,$B7,G$2)</f>
        <v>#NAME?</v>
      </c>
      <c r="H7" t="e" cm="1">
        <f t="array" aca="1" ref="H7" ca="1">+_xll.EQNXTDZ($A$1,$B7,H$2)</f>
        <v>#NAME?</v>
      </c>
      <c r="I7" t="e" cm="1">
        <f t="array" aca="1" ref="I7" ca="1">+_xll.EQNXTDZ($A$1,$B7,I$2)</f>
        <v>#NAME?</v>
      </c>
      <c r="J7" t="e" cm="1">
        <f t="array" aca="1" ref="J7" ca="1">+_xll.EQNXTDZ($A$1,$B7,J$2)</f>
        <v>#NAME?</v>
      </c>
      <c r="K7" t="e" cm="1">
        <f t="array" aca="1" ref="K7" ca="1">+_xll.EQNXTDZ($A$1,$B7,K$2)</f>
        <v>#NAME?</v>
      </c>
      <c r="L7" t="e" cm="1">
        <f t="array" aca="1" ref="L7" ca="1">+_xll.EQNXTDZ($A$1,$B7,L$2)</f>
        <v>#NAME?</v>
      </c>
      <c r="M7" t="e" cm="1">
        <f t="array" aca="1" ref="M7" ca="1">+_xll.EQNXTDZ($A$1,$B7,M$2)</f>
        <v>#NAME?</v>
      </c>
      <c r="N7" t="e" cm="1">
        <f t="array" aca="1" ref="N7" ca="1">+_xll.EQNXTDZ($A$1,$B7,N$2)</f>
        <v>#NAME?</v>
      </c>
      <c r="O7" t="e" cm="1">
        <f t="array" aca="1" ref="O7" ca="1">+_xll.EQNXTDZ($A$1,$B7,O$2)</f>
        <v>#NAME?</v>
      </c>
      <c r="P7" t="e" cm="1">
        <f t="array" aca="1" ref="P7" ca="1">+_xll.EQNXTDZ($A$1,$B7,P$2)</f>
        <v>#NAME?</v>
      </c>
      <c r="Q7" t="e" cm="1">
        <f t="array" aca="1" ref="Q7" ca="1">+_xll.EQNXTDZ($A$1,$B7,Q$2)</f>
        <v>#NAME?</v>
      </c>
      <c r="R7" t="e" cm="1">
        <f t="array" aca="1" ref="R7" ca="1">+_xll.EQNXTDZ($A$1,$B7,R$2)</f>
        <v>#NAME?</v>
      </c>
      <c r="S7" t="e" cm="1">
        <f t="array" aca="1" ref="S7" ca="1">+_xll.EQNXTDZ($A$1,$B7,S$2)</f>
        <v>#NAME?</v>
      </c>
      <c r="T7" t="e" cm="1">
        <f t="array" aca="1" ref="T7" ca="1">+_xll.EQNXTDZ($A$1,$B7,T$2)</f>
        <v>#NAME?</v>
      </c>
      <c r="U7" t="e" cm="1">
        <f t="array" aca="1" ref="U7" ca="1">+_xll.EQNXTDZ($A$1,$B7,U$2)</f>
        <v>#NAME?</v>
      </c>
      <c r="V7" t="e" cm="1">
        <f t="array" aca="1" ref="V7" ca="1">+_xll.EQNXTDZ($A$1,$B7,V$2)</f>
        <v>#NAME?</v>
      </c>
      <c r="W7" t="e" cm="1">
        <f t="array" aca="1" ref="W7" ca="1">+_xll.EQNXTDZ($A$1,$B7,W$2)</f>
        <v>#NAME?</v>
      </c>
      <c r="X7" t="e" cm="1">
        <f t="array" aca="1" ref="X7" ca="1">+_xll.EQNXTDZ($A$1,$B7,X$2)</f>
        <v>#NAME?</v>
      </c>
      <c r="Y7" t="e" cm="1">
        <f t="array" aca="1" ref="Y7" ca="1">+_xll.EQNXTDZ($A$1,$B7,Y$2)</f>
        <v>#NAME?</v>
      </c>
      <c r="Z7" t="e" cm="1">
        <f t="array" aca="1" ref="Z7" ca="1">+_xll.EQNXTDZ($A$1,$B7,Z$2)</f>
        <v>#NAME?</v>
      </c>
      <c r="AA7" t="e" cm="1">
        <f t="array" aca="1" ref="AA7" ca="1">+_xll.EQNXTDZ($A$1,$B7,AA$2)</f>
        <v>#NAME?</v>
      </c>
      <c r="AB7" t="e" cm="1">
        <f t="array" aca="1" ref="AB7" ca="1">+_xll.EQNXTDZ($A$1,$B7,AB$2)</f>
        <v>#NAME?</v>
      </c>
      <c r="AC7" t="e" cm="1">
        <f t="array" aca="1" ref="AC7" ca="1">+_xll.EQNXTDZ($A$1,$B7,AC$2)</f>
        <v>#NAME?</v>
      </c>
      <c r="AD7" t="e" cm="1">
        <f t="array" aca="1" ref="AD7" ca="1">+_xll.EQNXTDZ($A$1,$B7,AD$2)</f>
        <v>#NAME?</v>
      </c>
      <c r="AE7" t="e" cm="1">
        <f t="array" aca="1" ref="AE7" ca="1">+_xll.EQNXTDZ($A$1,$B7,AE$2)</f>
        <v>#NAME?</v>
      </c>
      <c r="AF7" t="e" cm="1">
        <f t="array" aca="1" ref="AF7" ca="1">+_xll.EQNXTDZ($A$1,$B7,AF$2)</f>
        <v>#NAME?</v>
      </c>
      <c r="AG7" t="e" cm="1">
        <f t="array" aca="1" ref="AG7" ca="1">+_xll.EQNXTDZ($A$1,$B7,AG$2)</f>
        <v>#NAME?</v>
      </c>
      <c r="AH7" t="e" cm="1">
        <f t="array" aca="1" ref="AH7" ca="1">+_xll.EQNXTDZ($A$1,$B7,AH$2)</f>
        <v>#NAME?</v>
      </c>
      <c r="AI7" t="e" cm="1">
        <f t="array" aca="1" ref="AI7" ca="1">+_xll.EQNXTDZ($A$1,$B7,AI$2)</f>
        <v>#NAME?</v>
      </c>
      <c r="AJ7" t="e" cm="1">
        <f t="array" aca="1" ref="AJ7" ca="1">+_xll.EQNXTDZ($A$1,$B7,AJ$2)</f>
        <v>#NAME?</v>
      </c>
      <c r="AK7" t="e" cm="1">
        <f t="array" aca="1" ref="AK7" ca="1">+_xll.EQNXTDZ($A$1,$B7,AK$2)</f>
        <v>#NAME?</v>
      </c>
      <c r="AL7" t="e" cm="1">
        <f t="array" aca="1" ref="AL7" ca="1">+_xll.EQNXTDZ($A$1,$B7,AL$2)</f>
        <v>#NAME?</v>
      </c>
      <c r="AM7" t="e" cm="1">
        <f t="array" aca="1" ref="AM7" ca="1">+_xll.EQNXTDZ($A$1,$B7,AM$2)</f>
        <v>#NAME?</v>
      </c>
      <c r="AN7" t="e" cm="1">
        <f t="array" aca="1" ref="AN7" ca="1">+_xll.EQNXTDZ($A$1,$B7,AN$2)</f>
        <v>#NAME?</v>
      </c>
      <c r="AO7" t="e" cm="1">
        <f t="array" aca="1" ref="AO7" ca="1">+_xll.EQNXTDZ($A$1,$B7,AO$2)</f>
        <v>#NAME?</v>
      </c>
      <c r="AP7" t="e" cm="1">
        <f t="array" aca="1" ref="AP7" ca="1">+_xll.EQNXTDZ($A$1,$B7,AP$2)</f>
        <v>#NAME?</v>
      </c>
      <c r="AQ7" t="e" cm="1">
        <f t="array" aca="1" ref="AQ7" ca="1">+_xll.EQNXTDZ($A$1,$B7,AQ$2)</f>
        <v>#NAME?</v>
      </c>
      <c r="AR7" t="e" cm="1">
        <f t="array" aca="1" ref="AR7" ca="1">+_xll.EQNXTDZ($A$1,$B7,AR$2)</f>
        <v>#NAME?</v>
      </c>
      <c r="AS7" t="e" cm="1">
        <f t="array" aca="1" ref="AS7" ca="1">+_xll.EQNXTDZ($A$1,$B7,AS$2)</f>
        <v>#NAME?</v>
      </c>
      <c r="AT7" t="e" cm="1">
        <f t="array" aca="1" ref="AT7" ca="1">+_xll.EQNXTDZ($A$1,$B7,AT$2)</f>
        <v>#NAME?</v>
      </c>
      <c r="AU7" t="e" cm="1">
        <f t="array" aca="1" ref="AU7" ca="1">+_xll.EQNXTDZ($A$1,$B7,AU$2)</f>
        <v>#NAME?</v>
      </c>
      <c r="AV7" t="e" cm="1">
        <f t="array" aca="1" ref="AV7" ca="1">+_xll.EQNXTDZ($A$1,$B7,AV$2)</f>
        <v>#NAME?</v>
      </c>
      <c r="AW7" t="e" cm="1">
        <f t="array" aca="1" ref="AW7" ca="1">+_xll.EQNXTDZ($A$1,$B7,AW$2)</f>
        <v>#NAME?</v>
      </c>
      <c r="AX7" t="e" cm="1">
        <f t="array" aca="1" ref="AX7" ca="1">+_xll.EQNXTDZ($A$1,$B7,AX$2)</f>
        <v>#NAME?</v>
      </c>
      <c r="AY7" t="e" cm="1">
        <f t="array" aca="1" ref="AY7" ca="1">+_xll.EQNXTDZ($A$1,$B7,AY$2)</f>
        <v>#NAME?</v>
      </c>
      <c r="AZ7" t="e" cm="1">
        <f t="array" aca="1" ref="AZ7" ca="1">+_xll.EQNXTDZ($A$1,$B7,AZ$2)</f>
        <v>#NAME?</v>
      </c>
      <c r="BA7" t="e" cm="1">
        <f t="array" aca="1" ref="BA7" ca="1">+_xll.EQNXTDZ($A$1,$B7,BA$2)</f>
        <v>#NAME?</v>
      </c>
      <c r="BB7" t="e" cm="1">
        <f t="array" aca="1" ref="BB7" ca="1">+_xll.EQNXTDZ($A$1,$B7,BB$2)</f>
        <v>#NAME?</v>
      </c>
      <c r="BC7" t="e" cm="1">
        <f t="array" aca="1" ref="BC7" ca="1">+_xll.EQNXTDZ($A$1,$B7,BC$2)</f>
        <v>#NAME?</v>
      </c>
      <c r="BD7" t="e" cm="1">
        <f t="array" aca="1" ref="BD7" ca="1">+_xll.EQNXTDZ($A$1,$B7,BD$2)</f>
        <v>#NAME?</v>
      </c>
      <c r="BE7" t="e" cm="1">
        <f t="array" aca="1" ref="BE7" ca="1">+_xll.EQNXTDZ($A$1,$B7,BE$2)</f>
        <v>#NAME?</v>
      </c>
      <c r="BF7" t="e" cm="1">
        <f t="array" aca="1" ref="BF7" ca="1">+_xll.EQNXTDZ($A$1,$B7,BF$2)</f>
        <v>#NAME?</v>
      </c>
      <c r="BG7" t="e" cm="1">
        <f t="array" aca="1" ref="BG7" ca="1">+_xll.EQNXTDZ($A$1,$B7,BG$2)</f>
        <v>#NAME?</v>
      </c>
      <c r="BH7" t="e" cm="1">
        <f t="array" aca="1" ref="BH7" ca="1">+_xll.EQNXTDZ($A$1,$B7,BH$2)</f>
        <v>#NAME?</v>
      </c>
      <c r="BI7" t="e" cm="1">
        <f t="array" aca="1" ref="BI7" ca="1">+_xll.EQNXTDZ($A$1,$B7,BI$2)</f>
        <v>#NAME?</v>
      </c>
      <c r="BJ7" t="e" cm="1">
        <f t="array" aca="1" ref="BJ7" ca="1">+_xll.EQNXTDZ($A$1,$B7,BJ$2)</f>
        <v>#NAME?</v>
      </c>
    </row>
    <row r="8" spans="1:62" x14ac:dyDescent="0.25">
      <c r="A8" t="s">
        <v>61</v>
      </c>
      <c r="B8" t="s">
        <v>249</v>
      </c>
      <c r="C8" t="e" cm="1">
        <f t="array" aca="1" ref="C8" ca="1">+_xll.EQNXTDZ($A$1,$B8,C$2)</f>
        <v>#NAME?</v>
      </c>
      <c r="D8" t="e" cm="1">
        <f t="array" aca="1" ref="D8" ca="1">+_xll.EQNXTDZ($A$1,$B8,D$2)</f>
        <v>#NAME?</v>
      </c>
      <c r="E8" t="e" cm="1">
        <f t="array" aca="1" ref="E8" ca="1">+_xll.EQNXTDZ($A$1,$B8,E$2)</f>
        <v>#NAME?</v>
      </c>
      <c r="F8" t="e" cm="1">
        <f t="array" aca="1" ref="F8" ca="1">+_xll.EQNXTDZ($A$1,$B8,F$2)</f>
        <v>#NAME?</v>
      </c>
      <c r="G8" t="e" cm="1">
        <f t="array" aca="1" ref="G8" ca="1">+_xll.EQNXTDZ($A$1,$B8,G$2)</f>
        <v>#NAME?</v>
      </c>
      <c r="H8" t="e" cm="1">
        <f t="array" aca="1" ref="H8" ca="1">+_xll.EQNXTDZ($A$1,$B8,H$2)</f>
        <v>#NAME?</v>
      </c>
      <c r="I8" t="e" cm="1">
        <f t="array" aca="1" ref="I8" ca="1">+_xll.EQNXTDZ($A$1,$B8,I$2)</f>
        <v>#NAME?</v>
      </c>
      <c r="J8" t="e" cm="1">
        <f t="array" aca="1" ref="J8" ca="1">+_xll.EQNXTDZ($A$1,$B8,J$2)</f>
        <v>#NAME?</v>
      </c>
      <c r="K8" t="e" cm="1">
        <f t="array" aca="1" ref="K8" ca="1">+_xll.EQNXTDZ($A$1,$B8,K$2)</f>
        <v>#NAME?</v>
      </c>
      <c r="L8" t="e" cm="1">
        <f t="array" aca="1" ref="L8" ca="1">+_xll.EQNXTDZ($A$1,$B8,L$2)</f>
        <v>#NAME?</v>
      </c>
      <c r="M8" t="e" cm="1">
        <f t="array" aca="1" ref="M8" ca="1">+_xll.EQNXTDZ($A$1,$B8,M$2)</f>
        <v>#NAME?</v>
      </c>
      <c r="N8" t="e" cm="1">
        <f t="array" aca="1" ref="N8" ca="1">+_xll.EQNXTDZ($A$1,$B8,N$2)</f>
        <v>#NAME?</v>
      </c>
      <c r="O8" t="e" cm="1">
        <f t="array" aca="1" ref="O8" ca="1">+_xll.EQNXTDZ($A$1,$B8,O$2)</f>
        <v>#NAME?</v>
      </c>
      <c r="P8" t="e" cm="1">
        <f t="array" aca="1" ref="P8" ca="1">+_xll.EQNXTDZ($A$1,$B8,P$2)</f>
        <v>#NAME?</v>
      </c>
      <c r="Q8" t="e" cm="1">
        <f t="array" aca="1" ref="Q8" ca="1">+_xll.EQNXTDZ($A$1,$B8,Q$2)</f>
        <v>#NAME?</v>
      </c>
      <c r="R8" t="e" cm="1">
        <f t="array" aca="1" ref="R8" ca="1">+_xll.EQNXTDZ($A$1,$B8,R$2)</f>
        <v>#NAME?</v>
      </c>
      <c r="S8" t="e" cm="1">
        <f t="array" aca="1" ref="S8" ca="1">+_xll.EQNXTDZ($A$1,$B8,S$2)</f>
        <v>#NAME?</v>
      </c>
      <c r="T8" t="e" cm="1">
        <f t="array" aca="1" ref="T8" ca="1">+_xll.EQNXTDZ($A$1,$B8,T$2)</f>
        <v>#NAME?</v>
      </c>
      <c r="U8" t="e" cm="1">
        <f t="array" aca="1" ref="U8" ca="1">+_xll.EQNXTDZ($A$1,$B8,U$2)</f>
        <v>#NAME?</v>
      </c>
      <c r="V8" t="e" cm="1">
        <f t="array" aca="1" ref="V8" ca="1">+_xll.EQNXTDZ($A$1,$B8,V$2)</f>
        <v>#NAME?</v>
      </c>
      <c r="W8" t="e" cm="1">
        <f t="array" aca="1" ref="W8" ca="1">+_xll.EQNXTDZ($A$1,$B8,W$2)</f>
        <v>#NAME?</v>
      </c>
      <c r="X8" t="e" cm="1">
        <f t="array" aca="1" ref="X8" ca="1">+_xll.EQNXTDZ($A$1,$B8,X$2)</f>
        <v>#NAME?</v>
      </c>
      <c r="Y8" t="e" cm="1">
        <f t="array" aca="1" ref="Y8" ca="1">+_xll.EQNXTDZ($A$1,$B8,Y$2)</f>
        <v>#NAME?</v>
      </c>
      <c r="Z8" t="e" cm="1">
        <f t="array" aca="1" ref="Z8" ca="1">+_xll.EQNXTDZ($A$1,$B8,Z$2)</f>
        <v>#NAME?</v>
      </c>
      <c r="AA8" t="e" cm="1">
        <f t="array" aca="1" ref="AA8" ca="1">+_xll.EQNXTDZ($A$1,$B8,AA$2)</f>
        <v>#NAME?</v>
      </c>
      <c r="AB8" t="e" cm="1">
        <f t="array" aca="1" ref="AB8" ca="1">+_xll.EQNXTDZ($A$1,$B8,AB$2)</f>
        <v>#NAME?</v>
      </c>
      <c r="AC8" t="e" cm="1">
        <f t="array" aca="1" ref="AC8" ca="1">+_xll.EQNXTDZ($A$1,$B8,AC$2)</f>
        <v>#NAME?</v>
      </c>
      <c r="AD8" t="e" cm="1">
        <f t="array" aca="1" ref="AD8" ca="1">+_xll.EQNXTDZ($A$1,$B8,AD$2)</f>
        <v>#NAME?</v>
      </c>
      <c r="AE8" t="e" cm="1">
        <f t="array" aca="1" ref="AE8" ca="1">+_xll.EQNXTDZ($A$1,$B8,AE$2)</f>
        <v>#NAME?</v>
      </c>
      <c r="AF8" t="e" cm="1">
        <f t="array" aca="1" ref="AF8" ca="1">+_xll.EQNXTDZ($A$1,$B8,AF$2)</f>
        <v>#NAME?</v>
      </c>
      <c r="AG8" t="e" cm="1">
        <f t="array" aca="1" ref="AG8" ca="1">+_xll.EQNXTDZ($A$1,$B8,AG$2)</f>
        <v>#NAME?</v>
      </c>
      <c r="AH8" t="e" cm="1">
        <f t="array" aca="1" ref="AH8" ca="1">+_xll.EQNXTDZ($A$1,$B8,AH$2)</f>
        <v>#NAME?</v>
      </c>
      <c r="AI8" t="e" cm="1">
        <f t="array" aca="1" ref="AI8" ca="1">+_xll.EQNXTDZ($A$1,$B8,AI$2)</f>
        <v>#NAME?</v>
      </c>
      <c r="AJ8" t="e" cm="1">
        <f t="array" aca="1" ref="AJ8" ca="1">+_xll.EQNXTDZ($A$1,$B8,AJ$2)</f>
        <v>#NAME?</v>
      </c>
      <c r="AK8" t="e" cm="1">
        <f t="array" aca="1" ref="AK8" ca="1">+_xll.EQNXTDZ($A$1,$B8,AK$2)</f>
        <v>#NAME?</v>
      </c>
      <c r="AL8" t="e" cm="1">
        <f t="array" aca="1" ref="AL8" ca="1">+_xll.EQNXTDZ($A$1,$B8,AL$2)</f>
        <v>#NAME?</v>
      </c>
      <c r="AM8" t="e" cm="1">
        <f t="array" aca="1" ref="AM8" ca="1">+_xll.EQNXTDZ($A$1,$B8,AM$2)</f>
        <v>#NAME?</v>
      </c>
      <c r="AN8" t="e" cm="1">
        <f t="array" aca="1" ref="AN8" ca="1">+_xll.EQNXTDZ($A$1,$B8,AN$2)</f>
        <v>#NAME?</v>
      </c>
      <c r="AO8" t="e" cm="1">
        <f t="array" aca="1" ref="AO8" ca="1">+_xll.EQNXTDZ($A$1,$B8,AO$2)</f>
        <v>#NAME?</v>
      </c>
      <c r="AP8" t="e" cm="1">
        <f t="array" aca="1" ref="AP8" ca="1">+_xll.EQNXTDZ($A$1,$B8,AP$2)</f>
        <v>#NAME?</v>
      </c>
      <c r="AQ8" t="e" cm="1">
        <f t="array" aca="1" ref="AQ8" ca="1">+_xll.EQNXTDZ($A$1,$B8,AQ$2)</f>
        <v>#NAME?</v>
      </c>
      <c r="AR8" t="e" cm="1">
        <f t="array" aca="1" ref="AR8" ca="1">+_xll.EQNXTDZ($A$1,$B8,AR$2)</f>
        <v>#NAME?</v>
      </c>
      <c r="AS8" t="e" cm="1">
        <f t="array" aca="1" ref="AS8" ca="1">+_xll.EQNXTDZ($A$1,$B8,AS$2)</f>
        <v>#NAME?</v>
      </c>
      <c r="AT8" t="e" cm="1">
        <f t="array" aca="1" ref="AT8" ca="1">+_xll.EQNXTDZ($A$1,$B8,AT$2)</f>
        <v>#NAME?</v>
      </c>
      <c r="AU8" t="e" cm="1">
        <f t="array" aca="1" ref="AU8" ca="1">+_xll.EQNXTDZ($A$1,$B8,AU$2)</f>
        <v>#NAME?</v>
      </c>
      <c r="AV8" t="e" cm="1">
        <f t="array" aca="1" ref="AV8" ca="1">+_xll.EQNXTDZ($A$1,$B8,AV$2)</f>
        <v>#NAME?</v>
      </c>
      <c r="AW8" t="e" cm="1">
        <f t="array" aca="1" ref="AW8" ca="1">+_xll.EQNXTDZ($A$1,$B8,AW$2)</f>
        <v>#NAME?</v>
      </c>
      <c r="AX8" t="e" cm="1">
        <f t="array" aca="1" ref="AX8" ca="1">+_xll.EQNXTDZ($A$1,$B8,AX$2)</f>
        <v>#NAME?</v>
      </c>
      <c r="AY8" t="e" cm="1">
        <f t="array" aca="1" ref="AY8" ca="1">+_xll.EQNXTDZ($A$1,$B8,AY$2)</f>
        <v>#NAME?</v>
      </c>
      <c r="AZ8" t="e" cm="1">
        <f t="array" aca="1" ref="AZ8" ca="1">+_xll.EQNXTDZ($A$1,$B8,AZ$2)</f>
        <v>#NAME?</v>
      </c>
      <c r="BA8" t="e" cm="1">
        <f t="array" aca="1" ref="BA8" ca="1">+_xll.EQNXTDZ($A$1,$B8,BA$2)</f>
        <v>#NAME?</v>
      </c>
      <c r="BB8" t="e" cm="1">
        <f t="array" aca="1" ref="BB8" ca="1">+_xll.EQNXTDZ($A$1,$B8,BB$2)</f>
        <v>#NAME?</v>
      </c>
      <c r="BC8" t="e" cm="1">
        <f t="array" aca="1" ref="BC8" ca="1">+_xll.EQNXTDZ($A$1,$B8,BC$2)</f>
        <v>#NAME?</v>
      </c>
      <c r="BD8" t="e" cm="1">
        <f t="array" aca="1" ref="BD8" ca="1">+_xll.EQNXTDZ($A$1,$B8,BD$2)</f>
        <v>#NAME?</v>
      </c>
      <c r="BE8" t="e" cm="1">
        <f t="array" aca="1" ref="BE8" ca="1">+_xll.EQNXTDZ($A$1,$B8,BE$2)</f>
        <v>#NAME?</v>
      </c>
      <c r="BF8" t="e" cm="1">
        <f t="array" aca="1" ref="BF8" ca="1">+_xll.EQNXTDZ($A$1,$B8,BF$2)</f>
        <v>#NAME?</v>
      </c>
      <c r="BG8" t="e" cm="1">
        <f t="array" aca="1" ref="BG8" ca="1">+_xll.EQNXTDZ($A$1,$B8,BG$2)</f>
        <v>#NAME?</v>
      </c>
      <c r="BH8" t="e" cm="1">
        <f t="array" aca="1" ref="BH8" ca="1">+_xll.EQNXTDZ($A$1,$B8,BH$2)</f>
        <v>#NAME?</v>
      </c>
      <c r="BI8" t="e" cm="1">
        <f t="array" aca="1" ref="BI8" ca="1">+_xll.EQNXTDZ($A$1,$B8,BI$2)</f>
        <v>#NAME?</v>
      </c>
      <c r="BJ8" t="e" cm="1">
        <f t="array" aca="1" ref="BJ8" ca="1">+_xll.EQNXTDZ($A$1,$B8,BJ$2)</f>
        <v>#NAME?</v>
      </c>
    </row>
    <row r="9" spans="1:62" x14ac:dyDescent="0.25">
      <c r="A9" t="s">
        <v>62</v>
      </c>
      <c r="B9" t="s">
        <v>250</v>
      </c>
      <c r="C9" t="e" cm="1">
        <f t="array" aca="1" ref="C9" ca="1">+_xll.EQNXTDZ($A$1,$B9,C$2)</f>
        <v>#NAME?</v>
      </c>
      <c r="D9" t="e" cm="1">
        <f t="array" aca="1" ref="D9" ca="1">+_xll.EQNXTDZ($A$1,$B9,D$2)</f>
        <v>#NAME?</v>
      </c>
      <c r="E9" t="e" cm="1">
        <f t="array" aca="1" ref="E9" ca="1">+_xll.EQNXTDZ($A$1,$B9,E$2)</f>
        <v>#NAME?</v>
      </c>
      <c r="F9" t="e" cm="1">
        <f t="array" aca="1" ref="F9" ca="1">+_xll.EQNXTDZ($A$1,$B9,F$2)</f>
        <v>#NAME?</v>
      </c>
      <c r="G9" t="e" cm="1">
        <f t="array" aca="1" ref="G9" ca="1">+_xll.EQNXTDZ($A$1,$B9,G$2)</f>
        <v>#NAME?</v>
      </c>
      <c r="H9" t="e" cm="1">
        <f t="array" aca="1" ref="H9" ca="1">+_xll.EQNXTDZ($A$1,$B9,H$2)</f>
        <v>#NAME?</v>
      </c>
      <c r="I9" t="e" cm="1">
        <f t="array" aca="1" ref="I9" ca="1">+_xll.EQNXTDZ($A$1,$B9,I$2)</f>
        <v>#NAME?</v>
      </c>
      <c r="J9" t="e" cm="1">
        <f t="array" aca="1" ref="J9" ca="1">+_xll.EQNXTDZ($A$1,$B9,J$2)</f>
        <v>#NAME?</v>
      </c>
      <c r="K9" t="e" cm="1">
        <f t="array" aca="1" ref="K9" ca="1">+_xll.EQNXTDZ($A$1,$B9,K$2)</f>
        <v>#NAME?</v>
      </c>
      <c r="L9" t="e" cm="1">
        <f t="array" aca="1" ref="L9" ca="1">+_xll.EQNXTDZ($A$1,$B9,L$2)</f>
        <v>#NAME?</v>
      </c>
      <c r="M9" t="e" cm="1">
        <f t="array" aca="1" ref="M9" ca="1">+_xll.EQNXTDZ($A$1,$B9,M$2)</f>
        <v>#NAME?</v>
      </c>
      <c r="N9" t="e" cm="1">
        <f t="array" aca="1" ref="N9" ca="1">+_xll.EQNXTDZ($A$1,$B9,N$2)</f>
        <v>#NAME?</v>
      </c>
      <c r="O9" t="e" cm="1">
        <f t="array" aca="1" ref="O9" ca="1">+_xll.EQNXTDZ($A$1,$B9,O$2)</f>
        <v>#NAME?</v>
      </c>
      <c r="P9" t="e" cm="1">
        <f t="array" aca="1" ref="P9" ca="1">+_xll.EQNXTDZ($A$1,$B9,P$2)</f>
        <v>#NAME?</v>
      </c>
      <c r="Q9" t="e" cm="1">
        <f t="array" aca="1" ref="Q9" ca="1">+_xll.EQNXTDZ($A$1,$B9,Q$2)</f>
        <v>#NAME?</v>
      </c>
      <c r="R9" t="e" cm="1">
        <f t="array" aca="1" ref="R9" ca="1">+_xll.EQNXTDZ($A$1,$B9,R$2)</f>
        <v>#NAME?</v>
      </c>
      <c r="S9" t="e" cm="1">
        <f t="array" aca="1" ref="S9" ca="1">+_xll.EQNXTDZ($A$1,$B9,S$2)</f>
        <v>#NAME?</v>
      </c>
      <c r="T9" t="e" cm="1">
        <f t="array" aca="1" ref="T9" ca="1">+_xll.EQNXTDZ($A$1,$B9,T$2)</f>
        <v>#NAME?</v>
      </c>
      <c r="U9" t="e" cm="1">
        <f t="array" aca="1" ref="U9" ca="1">+_xll.EQNXTDZ($A$1,$B9,U$2)</f>
        <v>#NAME?</v>
      </c>
      <c r="V9" t="e" cm="1">
        <f t="array" aca="1" ref="V9" ca="1">+_xll.EQNXTDZ($A$1,$B9,V$2)</f>
        <v>#NAME?</v>
      </c>
      <c r="W9" t="e" cm="1">
        <f t="array" aca="1" ref="W9" ca="1">+_xll.EQNXTDZ($A$1,$B9,W$2)</f>
        <v>#NAME?</v>
      </c>
      <c r="X9" t="e" cm="1">
        <f t="array" aca="1" ref="X9" ca="1">+_xll.EQNXTDZ($A$1,$B9,X$2)</f>
        <v>#NAME?</v>
      </c>
      <c r="Y9" t="e" cm="1">
        <f t="array" aca="1" ref="Y9" ca="1">+_xll.EQNXTDZ($A$1,$B9,Y$2)</f>
        <v>#NAME?</v>
      </c>
      <c r="Z9" t="e" cm="1">
        <f t="array" aca="1" ref="Z9" ca="1">+_xll.EQNXTDZ($A$1,$B9,Z$2)</f>
        <v>#NAME?</v>
      </c>
      <c r="AA9" t="e" cm="1">
        <f t="array" aca="1" ref="AA9" ca="1">+_xll.EQNXTDZ($A$1,$B9,AA$2)</f>
        <v>#NAME?</v>
      </c>
      <c r="AB9" t="e" cm="1">
        <f t="array" aca="1" ref="AB9" ca="1">+_xll.EQNXTDZ($A$1,$B9,AB$2)</f>
        <v>#NAME?</v>
      </c>
      <c r="AC9" t="e" cm="1">
        <f t="array" aca="1" ref="AC9" ca="1">+_xll.EQNXTDZ($A$1,$B9,AC$2)</f>
        <v>#NAME?</v>
      </c>
      <c r="AD9" t="e" cm="1">
        <f t="array" aca="1" ref="AD9" ca="1">+_xll.EQNXTDZ($A$1,$B9,AD$2)</f>
        <v>#NAME?</v>
      </c>
      <c r="AE9" t="e" cm="1">
        <f t="array" aca="1" ref="AE9" ca="1">+_xll.EQNXTDZ($A$1,$B9,AE$2)</f>
        <v>#NAME?</v>
      </c>
      <c r="AF9" t="e" cm="1">
        <f t="array" aca="1" ref="AF9" ca="1">+_xll.EQNXTDZ($A$1,$B9,AF$2)</f>
        <v>#NAME?</v>
      </c>
      <c r="AG9" t="e" cm="1">
        <f t="array" aca="1" ref="AG9" ca="1">+_xll.EQNXTDZ($A$1,$B9,AG$2)</f>
        <v>#NAME?</v>
      </c>
      <c r="AH9" t="e" cm="1">
        <f t="array" aca="1" ref="AH9" ca="1">+_xll.EQNXTDZ($A$1,$B9,AH$2)</f>
        <v>#NAME?</v>
      </c>
      <c r="AI9" t="e" cm="1">
        <f t="array" aca="1" ref="AI9" ca="1">+_xll.EQNXTDZ($A$1,$B9,AI$2)</f>
        <v>#NAME?</v>
      </c>
      <c r="AJ9" t="e" cm="1">
        <f t="array" aca="1" ref="AJ9" ca="1">+_xll.EQNXTDZ($A$1,$B9,AJ$2)</f>
        <v>#NAME?</v>
      </c>
      <c r="AK9" t="e" cm="1">
        <f t="array" aca="1" ref="AK9" ca="1">+_xll.EQNXTDZ($A$1,$B9,AK$2)</f>
        <v>#NAME?</v>
      </c>
      <c r="AL9" t="e" cm="1">
        <f t="array" aca="1" ref="AL9" ca="1">+_xll.EQNXTDZ($A$1,$B9,AL$2)</f>
        <v>#NAME?</v>
      </c>
      <c r="AM9" t="e" cm="1">
        <f t="array" aca="1" ref="AM9" ca="1">+_xll.EQNXTDZ($A$1,$B9,AM$2)</f>
        <v>#NAME?</v>
      </c>
      <c r="AN9" t="e" cm="1">
        <f t="array" aca="1" ref="AN9" ca="1">+_xll.EQNXTDZ($A$1,$B9,AN$2)</f>
        <v>#NAME?</v>
      </c>
      <c r="AO9" t="e" cm="1">
        <f t="array" aca="1" ref="AO9" ca="1">+_xll.EQNXTDZ($A$1,$B9,AO$2)</f>
        <v>#NAME?</v>
      </c>
      <c r="AP9" t="e" cm="1">
        <f t="array" aca="1" ref="AP9" ca="1">+_xll.EQNXTDZ($A$1,$B9,AP$2)</f>
        <v>#NAME?</v>
      </c>
      <c r="AQ9" t="e" cm="1">
        <f t="array" aca="1" ref="AQ9" ca="1">+_xll.EQNXTDZ($A$1,$B9,AQ$2)</f>
        <v>#NAME?</v>
      </c>
      <c r="AR9" t="e" cm="1">
        <f t="array" aca="1" ref="AR9" ca="1">+_xll.EQNXTDZ($A$1,$B9,AR$2)</f>
        <v>#NAME?</v>
      </c>
      <c r="AS9" t="e" cm="1">
        <f t="array" aca="1" ref="AS9" ca="1">+_xll.EQNXTDZ($A$1,$B9,AS$2)</f>
        <v>#NAME?</v>
      </c>
      <c r="AT9" t="e" cm="1">
        <f t="array" aca="1" ref="AT9" ca="1">+_xll.EQNXTDZ($A$1,$B9,AT$2)</f>
        <v>#NAME?</v>
      </c>
      <c r="AU9" t="e" cm="1">
        <f t="array" aca="1" ref="AU9" ca="1">+_xll.EQNXTDZ($A$1,$B9,AU$2)</f>
        <v>#NAME?</v>
      </c>
      <c r="AV9" t="e" cm="1">
        <f t="array" aca="1" ref="AV9" ca="1">+_xll.EQNXTDZ($A$1,$B9,AV$2)</f>
        <v>#NAME?</v>
      </c>
      <c r="AW9" t="e" cm="1">
        <f t="array" aca="1" ref="AW9" ca="1">+_xll.EQNXTDZ($A$1,$B9,AW$2)</f>
        <v>#NAME?</v>
      </c>
      <c r="AX9" t="e" cm="1">
        <f t="array" aca="1" ref="AX9" ca="1">+_xll.EQNXTDZ($A$1,$B9,AX$2)</f>
        <v>#NAME?</v>
      </c>
      <c r="AY9" t="e" cm="1">
        <f t="array" aca="1" ref="AY9" ca="1">+_xll.EQNXTDZ($A$1,$B9,AY$2)</f>
        <v>#NAME?</v>
      </c>
      <c r="AZ9" t="e" cm="1">
        <f t="array" aca="1" ref="AZ9" ca="1">+_xll.EQNXTDZ($A$1,$B9,AZ$2)</f>
        <v>#NAME?</v>
      </c>
      <c r="BA9" t="e" cm="1">
        <f t="array" aca="1" ref="BA9" ca="1">+_xll.EQNXTDZ($A$1,$B9,BA$2)</f>
        <v>#NAME?</v>
      </c>
      <c r="BB9" t="e" cm="1">
        <f t="array" aca="1" ref="BB9" ca="1">+_xll.EQNXTDZ($A$1,$B9,BB$2)</f>
        <v>#NAME?</v>
      </c>
      <c r="BC9" t="e" cm="1">
        <f t="array" aca="1" ref="BC9" ca="1">+_xll.EQNXTDZ($A$1,$B9,BC$2)</f>
        <v>#NAME?</v>
      </c>
      <c r="BD9" t="e" cm="1">
        <f t="array" aca="1" ref="BD9" ca="1">+_xll.EQNXTDZ($A$1,$B9,BD$2)</f>
        <v>#NAME?</v>
      </c>
      <c r="BE9" t="e" cm="1">
        <f t="array" aca="1" ref="BE9" ca="1">+_xll.EQNXTDZ($A$1,$B9,BE$2)</f>
        <v>#NAME?</v>
      </c>
      <c r="BF9" t="e" cm="1">
        <f t="array" aca="1" ref="BF9" ca="1">+_xll.EQNXTDZ($A$1,$B9,BF$2)</f>
        <v>#NAME?</v>
      </c>
      <c r="BG9" t="e" cm="1">
        <f t="array" aca="1" ref="BG9" ca="1">+_xll.EQNXTDZ($A$1,$B9,BG$2)</f>
        <v>#NAME?</v>
      </c>
      <c r="BH9" t="e" cm="1">
        <f t="array" aca="1" ref="BH9" ca="1">+_xll.EQNXTDZ($A$1,$B9,BH$2)</f>
        <v>#NAME?</v>
      </c>
      <c r="BI9" t="e" cm="1">
        <f t="array" aca="1" ref="BI9" ca="1">+_xll.EQNXTDZ($A$1,$B9,BI$2)</f>
        <v>#NAME?</v>
      </c>
      <c r="BJ9" t="e" cm="1">
        <f t="array" aca="1" ref="BJ9" ca="1">+_xll.EQNXTDZ($A$1,$B9,BJ$2)</f>
        <v>#NAME?</v>
      </c>
    </row>
    <row r="10" spans="1:62" x14ac:dyDescent="0.25">
      <c r="A10" t="s">
        <v>63</v>
      </c>
      <c r="B10" t="s">
        <v>251</v>
      </c>
      <c r="C10" t="e" cm="1">
        <f t="array" aca="1" ref="C10" ca="1">+_xll.EQNXTDZ($A$1,$B10,C$2)</f>
        <v>#NAME?</v>
      </c>
      <c r="D10" t="e" cm="1">
        <f t="array" aca="1" ref="D10" ca="1">+_xll.EQNXTDZ($A$1,$B10,D$2)</f>
        <v>#NAME?</v>
      </c>
      <c r="E10" t="e" cm="1">
        <f t="array" aca="1" ref="E10" ca="1">+_xll.EQNXTDZ($A$1,$B10,E$2)</f>
        <v>#NAME?</v>
      </c>
      <c r="F10" t="e" cm="1">
        <f t="array" aca="1" ref="F10" ca="1">+_xll.EQNXTDZ($A$1,$B10,F$2)</f>
        <v>#NAME?</v>
      </c>
      <c r="G10" t="e" cm="1">
        <f t="array" aca="1" ref="G10" ca="1">+_xll.EQNXTDZ($A$1,$B10,G$2)</f>
        <v>#NAME?</v>
      </c>
      <c r="H10" t="e" cm="1">
        <f t="array" aca="1" ref="H10" ca="1">+_xll.EQNXTDZ($A$1,$B10,H$2)</f>
        <v>#NAME?</v>
      </c>
      <c r="I10" t="e" cm="1">
        <f t="array" aca="1" ref="I10" ca="1">+_xll.EQNXTDZ($A$1,$B10,I$2)</f>
        <v>#NAME?</v>
      </c>
      <c r="J10" t="e" cm="1">
        <f t="array" aca="1" ref="J10" ca="1">+_xll.EQNXTDZ($A$1,$B10,J$2)</f>
        <v>#NAME?</v>
      </c>
      <c r="K10" t="e" cm="1">
        <f t="array" aca="1" ref="K10" ca="1">+_xll.EQNXTDZ($A$1,$B10,K$2)</f>
        <v>#NAME?</v>
      </c>
      <c r="L10" t="e" cm="1">
        <f t="array" aca="1" ref="L10" ca="1">+_xll.EQNXTDZ($A$1,$B10,L$2)</f>
        <v>#NAME?</v>
      </c>
      <c r="M10" t="e" cm="1">
        <f t="array" aca="1" ref="M10" ca="1">+_xll.EQNXTDZ($A$1,$B10,M$2)</f>
        <v>#NAME?</v>
      </c>
      <c r="N10" t="e" cm="1">
        <f t="array" aca="1" ref="N10" ca="1">+_xll.EQNXTDZ($A$1,$B10,N$2)</f>
        <v>#NAME?</v>
      </c>
      <c r="O10" t="e" cm="1">
        <f t="array" aca="1" ref="O10" ca="1">+_xll.EQNXTDZ($A$1,$B10,O$2)</f>
        <v>#NAME?</v>
      </c>
      <c r="P10" t="e" cm="1">
        <f t="array" aca="1" ref="P10" ca="1">+_xll.EQNXTDZ($A$1,$B10,P$2)</f>
        <v>#NAME?</v>
      </c>
      <c r="Q10" t="e" cm="1">
        <f t="array" aca="1" ref="Q10" ca="1">+_xll.EQNXTDZ($A$1,$B10,Q$2)</f>
        <v>#NAME?</v>
      </c>
      <c r="R10" t="e" cm="1">
        <f t="array" aca="1" ref="R10" ca="1">+_xll.EQNXTDZ($A$1,$B10,R$2)</f>
        <v>#NAME?</v>
      </c>
      <c r="S10" t="e" cm="1">
        <f t="array" aca="1" ref="S10" ca="1">+_xll.EQNXTDZ($A$1,$B10,S$2)</f>
        <v>#NAME?</v>
      </c>
      <c r="T10" t="e" cm="1">
        <f t="array" aca="1" ref="T10" ca="1">+_xll.EQNXTDZ($A$1,$B10,T$2)</f>
        <v>#NAME?</v>
      </c>
      <c r="U10" t="e" cm="1">
        <f t="array" aca="1" ref="U10" ca="1">+_xll.EQNXTDZ($A$1,$B10,U$2)</f>
        <v>#NAME?</v>
      </c>
      <c r="V10" t="e" cm="1">
        <f t="array" aca="1" ref="V10" ca="1">+_xll.EQNXTDZ($A$1,$B10,V$2)</f>
        <v>#NAME?</v>
      </c>
      <c r="W10" t="e" cm="1">
        <f t="array" aca="1" ref="W10" ca="1">+_xll.EQNXTDZ($A$1,$B10,W$2)</f>
        <v>#NAME?</v>
      </c>
      <c r="X10" t="e" cm="1">
        <f t="array" aca="1" ref="X10" ca="1">+_xll.EQNXTDZ($A$1,$B10,X$2)</f>
        <v>#NAME?</v>
      </c>
      <c r="Y10" t="e" cm="1">
        <f t="array" aca="1" ref="Y10" ca="1">+_xll.EQNXTDZ($A$1,$B10,Y$2)</f>
        <v>#NAME?</v>
      </c>
      <c r="Z10" t="e" cm="1">
        <f t="array" aca="1" ref="Z10" ca="1">+_xll.EQNXTDZ($A$1,$B10,Z$2)</f>
        <v>#NAME?</v>
      </c>
      <c r="AA10" t="e" cm="1">
        <f t="array" aca="1" ref="AA10" ca="1">+_xll.EQNXTDZ($A$1,$B10,AA$2)</f>
        <v>#NAME?</v>
      </c>
      <c r="AB10" t="e" cm="1">
        <f t="array" aca="1" ref="AB10" ca="1">+_xll.EQNXTDZ($A$1,$B10,AB$2)</f>
        <v>#NAME?</v>
      </c>
      <c r="AC10" t="e" cm="1">
        <f t="array" aca="1" ref="AC10" ca="1">+_xll.EQNXTDZ($A$1,$B10,AC$2)</f>
        <v>#NAME?</v>
      </c>
      <c r="AD10" t="e" cm="1">
        <f t="array" aca="1" ref="AD10" ca="1">+_xll.EQNXTDZ($A$1,$B10,AD$2)</f>
        <v>#NAME?</v>
      </c>
      <c r="AE10" t="e" cm="1">
        <f t="array" aca="1" ref="AE10" ca="1">+_xll.EQNXTDZ($A$1,$B10,AE$2)</f>
        <v>#NAME?</v>
      </c>
      <c r="AF10" t="e" cm="1">
        <f t="array" aca="1" ref="AF10" ca="1">+_xll.EQNXTDZ($A$1,$B10,AF$2)</f>
        <v>#NAME?</v>
      </c>
      <c r="AG10" t="e" cm="1">
        <f t="array" aca="1" ref="AG10" ca="1">+_xll.EQNXTDZ($A$1,$B10,AG$2)</f>
        <v>#NAME?</v>
      </c>
      <c r="AH10" t="e" cm="1">
        <f t="array" aca="1" ref="AH10" ca="1">+_xll.EQNXTDZ($A$1,$B10,AH$2)</f>
        <v>#NAME?</v>
      </c>
      <c r="AI10" t="e" cm="1">
        <f t="array" aca="1" ref="AI10" ca="1">+_xll.EQNXTDZ($A$1,$B10,AI$2)</f>
        <v>#NAME?</v>
      </c>
      <c r="AJ10" t="e" cm="1">
        <f t="array" aca="1" ref="AJ10" ca="1">+_xll.EQNXTDZ($A$1,$B10,AJ$2)</f>
        <v>#NAME?</v>
      </c>
      <c r="AK10" t="e" cm="1">
        <f t="array" aca="1" ref="AK10" ca="1">+_xll.EQNXTDZ($A$1,$B10,AK$2)</f>
        <v>#NAME?</v>
      </c>
      <c r="AL10" t="e" cm="1">
        <f t="array" aca="1" ref="AL10" ca="1">+_xll.EQNXTDZ($A$1,$B10,AL$2)</f>
        <v>#NAME?</v>
      </c>
      <c r="AM10" t="e" cm="1">
        <f t="array" aca="1" ref="AM10" ca="1">+_xll.EQNXTDZ($A$1,$B10,AM$2)</f>
        <v>#NAME?</v>
      </c>
      <c r="AN10" t="e" cm="1">
        <f t="array" aca="1" ref="AN10" ca="1">+_xll.EQNXTDZ($A$1,$B10,AN$2)</f>
        <v>#NAME?</v>
      </c>
      <c r="AO10" t="e" cm="1">
        <f t="array" aca="1" ref="AO10" ca="1">+_xll.EQNXTDZ($A$1,$B10,AO$2)</f>
        <v>#NAME?</v>
      </c>
      <c r="AP10" t="e" cm="1">
        <f t="array" aca="1" ref="AP10" ca="1">+_xll.EQNXTDZ($A$1,$B10,AP$2)</f>
        <v>#NAME?</v>
      </c>
      <c r="AQ10" t="e" cm="1">
        <f t="array" aca="1" ref="AQ10" ca="1">+_xll.EQNXTDZ($A$1,$B10,AQ$2)</f>
        <v>#NAME?</v>
      </c>
      <c r="AR10" t="e" cm="1">
        <f t="array" aca="1" ref="AR10" ca="1">+_xll.EQNXTDZ($A$1,$B10,AR$2)</f>
        <v>#NAME?</v>
      </c>
      <c r="AS10" t="e" cm="1">
        <f t="array" aca="1" ref="AS10" ca="1">+_xll.EQNXTDZ($A$1,$B10,AS$2)</f>
        <v>#NAME?</v>
      </c>
      <c r="AT10" t="e" cm="1">
        <f t="array" aca="1" ref="AT10" ca="1">+_xll.EQNXTDZ($A$1,$B10,AT$2)</f>
        <v>#NAME?</v>
      </c>
      <c r="AU10" t="e" cm="1">
        <f t="array" aca="1" ref="AU10" ca="1">+_xll.EQNXTDZ($A$1,$B10,AU$2)</f>
        <v>#NAME?</v>
      </c>
      <c r="AV10" t="e" cm="1">
        <f t="array" aca="1" ref="AV10" ca="1">+_xll.EQNXTDZ($A$1,$B10,AV$2)</f>
        <v>#NAME?</v>
      </c>
      <c r="AW10" t="e" cm="1">
        <f t="array" aca="1" ref="AW10" ca="1">+_xll.EQNXTDZ($A$1,$B10,AW$2)</f>
        <v>#NAME?</v>
      </c>
      <c r="AX10" t="e" cm="1">
        <f t="array" aca="1" ref="AX10" ca="1">+_xll.EQNXTDZ($A$1,$B10,AX$2)</f>
        <v>#NAME?</v>
      </c>
      <c r="AY10" t="e" cm="1">
        <f t="array" aca="1" ref="AY10" ca="1">+_xll.EQNXTDZ($A$1,$B10,AY$2)</f>
        <v>#NAME?</v>
      </c>
      <c r="AZ10" t="e" cm="1">
        <f t="array" aca="1" ref="AZ10" ca="1">+_xll.EQNXTDZ($A$1,$B10,AZ$2)</f>
        <v>#NAME?</v>
      </c>
      <c r="BA10" t="e" cm="1">
        <f t="array" aca="1" ref="BA10" ca="1">+_xll.EQNXTDZ($A$1,$B10,BA$2)</f>
        <v>#NAME?</v>
      </c>
      <c r="BB10" t="e" cm="1">
        <f t="array" aca="1" ref="BB10" ca="1">+_xll.EQNXTDZ($A$1,$B10,BB$2)</f>
        <v>#NAME?</v>
      </c>
      <c r="BC10" t="e" cm="1">
        <f t="array" aca="1" ref="BC10" ca="1">+_xll.EQNXTDZ($A$1,$B10,BC$2)</f>
        <v>#NAME?</v>
      </c>
      <c r="BD10" t="e" cm="1">
        <f t="array" aca="1" ref="BD10" ca="1">+_xll.EQNXTDZ($A$1,$B10,BD$2)</f>
        <v>#NAME?</v>
      </c>
      <c r="BE10" t="e" cm="1">
        <f t="array" aca="1" ref="BE10" ca="1">+_xll.EQNXTDZ($A$1,$B10,BE$2)</f>
        <v>#NAME?</v>
      </c>
      <c r="BF10" t="e" cm="1">
        <f t="array" aca="1" ref="BF10" ca="1">+_xll.EQNXTDZ($A$1,$B10,BF$2)</f>
        <v>#NAME?</v>
      </c>
      <c r="BG10" t="e" cm="1">
        <f t="array" aca="1" ref="BG10" ca="1">+_xll.EQNXTDZ($A$1,$B10,BG$2)</f>
        <v>#NAME?</v>
      </c>
      <c r="BH10" t="e" cm="1">
        <f t="array" aca="1" ref="BH10" ca="1">+_xll.EQNXTDZ($A$1,$B10,BH$2)</f>
        <v>#NAME?</v>
      </c>
      <c r="BI10" t="e" cm="1">
        <f t="array" aca="1" ref="BI10" ca="1">+_xll.EQNXTDZ($A$1,$B10,BI$2)</f>
        <v>#NAME?</v>
      </c>
      <c r="BJ10" t="e" cm="1">
        <f t="array" aca="1" ref="BJ10" ca="1">+_xll.EQNXTDZ($A$1,$B10,BJ$2)</f>
        <v>#NAME?</v>
      </c>
    </row>
    <row r="11" spans="1:62" x14ac:dyDescent="0.25">
      <c r="A11" t="s">
        <v>331</v>
      </c>
      <c r="B11" t="s">
        <v>333</v>
      </c>
      <c r="C11" t="e" cm="1">
        <f t="array" aca="1" ref="C11" ca="1">+_xll.EQNXTDZ($A$1,$B11,C$2)</f>
        <v>#NAME?</v>
      </c>
      <c r="D11" t="e" cm="1">
        <f t="array" aca="1" ref="D11" ca="1">+_xll.EQNXTDZ($A$1,$B11,D$2)</f>
        <v>#NAME?</v>
      </c>
      <c r="E11" t="e" cm="1">
        <f t="array" aca="1" ref="E11" ca="1">+_xll.EQNXTDZ($A$1,$B11,E$2)</f>
        <v>#NAME?</v>
      </c>
      <c r="F11" t="e" cm="1">
        <f t="array" aca="1" ref="F11" ca="1">+_xll.EQNXTDZ($A$1,$B11,F$2)</f>
        <v>#NAME?</v>
      </c>
      <c r="G11" t="e" cm="1">
        <f t="array" aca="1" ref="G11" ca="1">+_xll.EQNXTDZ($A$1,$B11,G$2)</f>
        <v>#NAME?</v>
      </c>
      <c r="H11" t="e" cm="1">
        <f t="array" aca="1" ref="H11" ca="1">+_xll.EQNXTDZ($A$1,$B11,H$2)</f>
        <v>#NAME?</v>
      </c>
      <c r="I11" t="e" cm="1">
        <f t="array" aca="1" ref="I11" ca="1">+_xll.EQNXTDZ($A$1,$B11,I$2)</f>
        <v>#NAME?</v>
      </c>
      <c r="J11" t="e" cm="1">
        <f t="array" aca="1" ref="J11" ca="1">+_xll.EQNXTDZ($A$1,$B11,J$2)</f>
        <v>#NAME?</v>
      </c>
      <c r="K11" t="e" cm="1">
        <f t="array" aca="1" ref="K11" ca="1">+_xll.EQNXTDZ($A$1,$B11,K$2)</f>
        <v>#NAME?</v>
      </c>
      <c r="L11" t="e" cm="1">
        <f t="array" aca="1" ref="L11" ca="1">+_xll.EQNXTDZ($A$1,$B11,L$2)</f>
        <v>#NAME?</v>
      </c>
      <c r="M11" t="e" cm="1">
        <f t="array" aca="1" ref="M11" ca="1">+_xll.EQNXTDZ($A$1,$B11,M$2)</f>
        <v>#NAME?</v>
      </c>
      <c r="N11" t="e" cm="1">
        <f t="array" aca="1" ref="N11" ca="1">+_xll.EQNXTDZ($A$1,$B11,N$2)</f>
        <v>#NAME?</v>
      </c>
      <c r="O11" t="e" cm="1">
        <f t="array" aca="1" ref="O11" ca="1">+_xll.EQNXTDZ($A$1,$B11,O$2)</f>
        <v>#NAME?</v>
      </c>
      <c r="P11" t="e" cm="1">
        <f t="array" aca="1" ref="P11" ca="1">+_xll.EQNXTDZ($A$1,$B11,P$2)</f>
        <v>#NAME?</v>
      </c>
      <c r="Q11" t="e" cm="1">
        <f t="array" aca="1" ref="Q11" ca="1">+_xll.EQNXTDZ($A$1,$B11,Q$2)</f>
        <v>#NAME?</v>
      </c>
      <c r="R11" t="e" cm="1">
        <f t="array" aca="1" ref="R11" ca="1">+_xll.EQNXTDZ($A$1,$B11,R$2)</f>
        <v>#NAME?</v>
      </c>
      <c r="S11" t="e" cm="1">
        <f t="array" aca="1" ref="S11" ca="1">+_xll.EQNXTDZ($A$1,$B11,S$2)</f>
        <v>#NAME?</v>
      </c>
      <c r="T11" t="e" cm="1">
        <f t="array" aca="1" ref="T11" ca="1">+_xll.EQNXTDZ($A$1,$B11,T$2)</f>
        <v>#NAME?</v>
      </c>
      <c r="U11" t="e" cm="1">
        <f t="array" aca="1" ref="U11" ca="1">+_xll.EQNXTDZ($A$1,$B11,U$2)</f>
        <v>#NAME?</v>
      </c>
      <c r="V11" t="e" cm="1">
        <f t="array" aca="1" ref="V11" ca="1">+_xll.EQNXTDZ($A$1,$B11,V$2)</f>
        <v>#NAME?</v>
      </c>
      <c r="W11" t="e" cm="1">
        <f t="array" aca="1" ref="W11" ca="1">+_xll.EQNXTDZ($A$1,$B11,W$2)</f>
        <v>#NAME?</v>
      </c>
      <c r="X11" t="e" cm="1">
        <f t="array" aca="1" ref="X11" ca="1">+_xll.EQNXTDZ($A$1,$B11,X$2)</f>
        <v>#NAME?</v>
      </c>
      <c r="Y11" t="e" cm="1">
        <f t="array" aca="1" ref="Y11" ca="1">+_xll.EQNXTDZ($A$1,$B11,Y$2)</f>
        <v>#NAME?</v>
      </c>
      <c r="Z11" t="e" cm="1">
        <f t="array" aca="1" ref="Z11" ca="1">+_xll.EQNXTDZ($A$1,$B11,Z$2)</f>
        <v>#NAME?</v>
      </c>
      <c r="AA11" t="e" cm="1">
        <f t="array" aca="1" ref="AA11" ca="1">+_xll.EQNXTDZ($A$1,$B11,AA$2)</f>
        <v>#NAME?</v>
      </c>
      <c r="AB11" t="e" cm="1">
        <f t="array" aca="1" ref="AB11" ca="1">+_xll.EQNXTDZ($A$1,$B11,AB$2)</f>
        <v>#NAME?</v>
      </c>
      <c r="AC11" t="e" cm="1">
        <f t="array" aca="1" ref="AC11" ca="1">+_xll.EQNXTDZ($A$1,$B11,AC$2)</f>
        <v>#NAME?</v>
      </c>
      <c r="AD11" t="e" cm="1">
        <f t="array" aca="1" ref="AD11" ca="1">+_xll.EQNXTDZ($A$1,$B11,AD$2)</f>
        <v>#NAME?</v>
      </c>
      <c r="AE11" t="e" cm="1">
        <f t="array" aca="1" ref="AE11" ca="1">+_xll.EQNXTDZ($A$1,$B11,AE$2)</f>
        <v>#NAME?</v>
      </c>
      <c r="AF11" t="e" cm="1">
        <f t="array" aca="1" ref="AF11" ca="1">+_xll.EQNXTDZ($A$1,$B11,AF$2)</f>
        <v>#NAME?</v>
      </c>
      <c r="AG11" t="e" cm="1">
        <f t="array" aca="1" ref="AG11" ca="1">+_xll.EQNXTDZ($A$1,$B11,AG$2)</f>
        <v>#NAME?</v>
      </c>
      <c r="AH11" t="e" cm="1">
        <f t="array" aca="1" ref="AH11" ca="1">+_xll.EQNXTDZ($A$1,$B11,AH$2)</f>
        <v>#NAME?</v>
      </c>
      <c r="AI11" t="e" cm="1">
        <f t="array" aca="1" ref="AI11" ca="1">+_xll.EQNXTDZ($A$1,$B11,AI$2)</f>
        <v>#NAME?</v>
      </c>
      <c r="AJ11" t="e" cm="1">
        <f t="array" aca="1" ref="AJ11" ca="1">+_xll.EQNXTDZ($A$1,$B11,AJ$2)</f>
        <v>#NAME?</v>
      </c>
      <c r="AK11" t="e" cm="1">
        <f t="array" aca="1" ref="AK11" ca="1">+_xll.EQNXTDZ($A$1,$B11,AK$2)</f>
        <v>#NAME?</v>
      </c>
      <c r="AL11" t="e" cm="1">
        <f t="array" aca="1" ref="AL11" ca="1">+_xll.EQNXTDZ($A$1,$B11,AL$2)</f>
        <v>#NAME?</v>
      </c>
      <c r="AM11" t="e" cm="1">
        <f t="array" aca="1" ref="AM11" ca="1">+_xll.EQNXTDZ($A$1,$B11,AM$2)</f>
        <v>#NAME?</v>
      </c>
      <c r="AN11" t="e" cm="1">
        <f t="array" aca="1" ref="AN11" ca="1">+_xll.EQNXTDZ($A$1,$B11,AN$2)</f>
        <v>#NAME?</v>
      </c>
      <c r="AO11" t="e" cm="1">
        <f t="array" aca="1" ref="AO11" ca="1">+_xll.EQNXTDZ($A$1,$B11,AO$2)</f>
        <v>#NAME?</v>
      </c>
      <c r="AP11" t="e" cm="1">
        <f t="array" aca="1" ref="AP11" ca="1">+_xll.EQNXTDZ($A$1,$B11,AP$2)</f>
        <v>#NAME?</v>
      </c>
      <c r="AQ11" t="e" cm="1">
        <f t="array" aca="1" ref="AQ11" ca="1">+_xll.EQNXTDZ($A$1,$B11,AQ$2)</f>
        <v>#NAME?</v>
      </c>
      <c r="AR11" t="e" cm="1">
        <f t="array" aca="1" ref="AR11" ca="1">+_xll.EQNXTDZ($A$1,$B11,AR$2)</f>
        <v>#NAME?</v>
      </c>
      <c r="AS11" t="e" cm="1">
        <f t="array" aca="1" ref="AS11" ca="1">+_xll.EQNXTDZ($A$1,$B11,AS$2)</f>
        <v>#NAME?</v>
      </c>
      <c r="AT11" t="e" cm="1">
        <f t="array" aca="1" ref="AT11" ca="1">+_xll.EQNXTDZ($A$1,$B11,AT$2)</f>
        <v>#NAME?</v>
      </c>
      <c r="AU11" t="e" cm="1">
        <f t="array" aca="1" ref="AU11" ca="1">+_xll.EQNXTDZ($A$1,$B11,AU$2)</f>
        <v>#NAME?</v>
      </c>
      <c r="AV11" t="e" cm="1">
        <f t="array" aca="1" ref="AV11" ca="1">+_xll.EQNXTDZ($A$1,$B11,AV$2)</f>
        <v>#NAME?</v>
      </c>
      <c r="AW11" t="e" cm="1">
        <f t="array" aca="1" ref="AW11" ca="1">+_xll.EQNXTDZ($A$1,$B11,AW$2)</f>
        <v>#NAME?</v>
      </c>
      <c r="AX11" t="e" cm="1">
        <f t="array" aca="1" ref="AX11" ca="1">+_xll.EQNXTDZ($A$1,$B11,AX$2)</f>
        <v>#NAME?</v>
      </c>
      <c r="AY11" t="e" cm="1">
        <f t="array" aca="1" ref="AY11" ca="1">+_xll.EQNXTDZ($A$1,$B11,AY$2)</f>
        <v>#NAME?</v>
      </c>
      <c r="AZ11" t="e" cm="1">
        <f t="array" aca="1" ref="AZ11" ca="1">+_xll.EQNXTDZ($A$1,$B11,AZ$2)</f>
        <v>#NAME?</v>
      </c>
      <c r="BA11" t="e" cm="1">
        <f t="array" aca="1" ref="BA11" ca="1">+_xll.EQNXTDZ($A$1,$B11,BA$2)</f>
        <v>#NAME?</v>
      </c>
      <c r="BB11" t="e" cm="1">
        <f t="array" aca="1" ref="BB11" ca="1">+_xll.EQNXTDZ($A$1,$B11,BB$2)</f>
        <v>#NAME?</v>
      </c>
      <c r="BC11" t="e" cm="1">
        <f t="array" aca="1" ref="BC11" ca="1">+_xll.EQNXTDZ($A$1,$B11,BC$2)</f>
        <v>#NAME?</v>
      </c>
      <c r="BD11" t="e" cm="1">
        <f t="array" aca="1" ref="BD11" ca="1">+_xll.EQNXTDZ($A$1,$B11,BD$2)</f>
        <v>#NAME?</v>
      </c>
      <c r="BE11" t="e" cm="1">
        <f t="array" aca="1" ref="BE11" ca="1">+_xll.EQNXTDZ($A$1,$B11,BE$2)</f>
        <v>#NAME?</v>
      </c>
      <c r="BF11" t="e" cm="1">
        <f t="array" aca="1" ref="BF11" ca="1">+_xll.EQNXTDZ($A$1,$B11,BF$2)</f>
        <v>#NAME?</v>
      </c>
      <c r="BG11" t="e" cm="1">
        <f t="array" aca="1" ref="BG11" ca="1">+_xll.EQNXTDZ($A$1,$B11,BG$2)</f>
        <v>#NAME?</v>
      </c>
      <c r="BH11" t="e" cm="1">
        <f t="array" aca="1" ref="BH11" ca="1">+_xll.EQNXTDZ($A$1,$B11,BH$2)</f>
        <v>#NAME?</v>
      </c>
      <c r="BI11" t="e" cm="1">
        <f t="array" aca="1" ref="BI11" ca="1">+_xll.EQNXTDZ($A$1,$B11,BI$2)</f>
        <v>#NAME?</v>
      </c>
      <c r="BJ11" t="e" cm="1">
        <f t="array" aca="1" ref="BJ11" ca="1">+_xll.EQNXTDZ($A$1,$B11,BJ$2)</f>
        <v>#NAME?</v>
      </c>
    </row>
    <row r="12" spans="1:62" x14ac:dyDescent="0.25">
      <c r="A12" t="s">
        <v>332</v>
      </c>
      <c r="B12" t="s">
        <v>334</v>
      </c>
      <c r="C12" t="e" cm="1">
        <f t="array" aca="1" ref="C12" ca="1">+_xll.EQNXTDZ($A$1,$B12,C$2)</f>
        <v>#NAME?</v>
      </c>
      <c r="D12" t="e" cm="1">
        <f t="array" aca="1" ref="D12" ca="1">+_xll.EQNXTDZ($A$1,$B12,D$2)</f>
        <v>#NAME?</v>
      </c>
      <c r="E12" t="e" cm="1">
        <f t="array" aca="1" ref="E12" ca="1">+_xll.EQNXTDZ($A$1,$B12,E$2)</f>
        <v>#NAME?</v>
      </c>
      <c r="F12" t="e" cm="1">
        <f t="array" aca="1" ref="F12" ca="1">+_xll.EQNXTDZ($A$1,$B12,F$2)</f>
        <v>#NAME?</v>
      </c>
      <c r="G12" t="e" cm="1">
        <f t="array" aca="1" ref="G12" ca="1">+_xll.EQNXTDZ($A$1,$B12,G$2)</f>
        <v>#NAME?</v>
      </c>
      <c r="H12" t="e" cm="1">
        <f t="array" aca="1" ref="H12" ca="1">+_xll.EQNXTDZ($A$1,$B12,H$2)</f>
        <v>#NAME?</v>
      </c>
      <c r="I12" t="e" cm="1">
        <f t="array" aca="1" ref="I12" ca="1">+_xll.EQNXTDZ($A$1,$B12,I$2)</f>
        <v>#NAME?</v>
      </c>
      <c r="J12" t="e" cm="1">
        <f t="array" aca="1" ref="J12" ca="1">+_xll.EQNXTDZ($A$1,$B12,J$2)</f>
        <v>#NAME?</v>
      </c>
      <c r="K12" t="e" cm="1">
        <f t="array" aca="1" ref="K12" ca="1">+_xll.EQNXTDZ($A$1,$B12,K$2)</f>
        <v>#NAME?</v>
      </c>
      <c r="L12" t="e" cm="1">
        <f t="array" aca="1" ref="L12" ca="1">+_xll.EQNXTDZ($A$1,$B12,L$2)</f>
        <v>#NAME?</v>
      </c>
      <c r="M12" t="e" cm="1">
        <f t="array" aca="1" ref="M12" ca="1">+_xll.EQNXTDZ($A$1,$B12,M$2)</f>
        <v>#NAME?</v>
      </c>
      <c r="N12" t="e" cm="1">
        <f t="array" aca="1" ref="N12" ca="1">+_xll.EQNXTDZ($A$1,$B12,N$2)</f>
        <v>#NAME?</v>
      </c>
      <c r="O12" t="e" cm="1">
        <f t="array" aca="1" ref="O12" ca="1">+_xll.EQNXTDZ($A$1,$B12,O$2)</f>
        <v>#NAME?</v>
      </c>
      <c r="P12" t="e" cm="1">
        <f t="array" aca="1" ref="P12" ca="1">+_xll.EQNXTDZ($A$1,$B12,P$2)</f>
        <v>#NAME?</v>
      </c>
      <c r="Q12" t="e" cm="1">
        <f t="array" aca="1" ref="Q12" ca="1">+_xll.EQNXTDZ($A$1,$B12,Q$2)</f>
        <v>#NAME?</v>
      </c>
      <c r="R12" t="e" cm="1">
        <f t="array" aca="1" ref="R12" ca="1">+_xll.EQNXTDZ($A$1,$B12,R$2)</f>
        <v>#NAME?</v>
      </c>
      <c r="S12" t="e" cm="1">
        <f t="array" aca="1" ref="S12" ca="1">+_xll.EQNXTDZ($A$1,$B12,S$2)</f>
        <v>#NAME?</v>
      </c>
      <c r="T12" t="e" cm="1">
        <f t="array" aca="1" ref="T12" ca="1">+_xll.EQNXTDZ($A$1,$B12,T$2)</f>
        <v>#NAME?</v>
      </c>
      <c r="U12" t="e" cm="1">
        <f t="array" aca="1" ref="U12" ca="1">+_xll.EQNXTDZ($A$1,$B12,U$2)</f>
        <v>#NAME?</v>
      </c>
      <c r="V12" t="e" cm="1">
        <f t="array" aca="1" ref="V12" ca="1">+_xll.EQNXTDZ($A$1,$B12,V$2)</f>
        <v>#NAME?</v>
      </c>
      <c r="W12" t="e" cm="1">
        <f t="array" aca="1" ref="W12" ca="1">+_xll.EQNXTDZ($A$1,$B12,W$2)</f>
        <v>#NAME?</v>
      </c>
      <c r="X12" t="e" cm="1">
        <f t="array" aca="1" ref="X12" ca="1">+_xll.EQNXTDZ($A$1,$B12,X$2)</f>
        <v>#NAME?</v>
      </c>
      <c r="Y12" t="e" cm="1">
        <f t="array" aca="1" ref="Y12" ca="1">+_xll.EQNXTDZ($A$1,$B12,Y$2)</f>
        <v>#NAME?</v>
      </c>
      <c r="Z12" t="e" cm="1">
        <f t="array" aca="1" ref="Z12" ca="1">+_xll.EQNXTDZ($A$1,$B12,Z$2)</f>
        <v>#NAME?</v>
      </c>
      <c r="AA12" t="e" cm="1">
        <f t="array" aca="1" ref="AA12" ca="1">+_xll.EQNXTDZ($A$1,$B12,AA$2)</f>
        <v>#NAME?</v>
      </c>
      <c r="AB12" t="e" cm="1">
        <f t="array" aca="1" ref="AB12" ca="1">+_xll.EQNXTDZ($A$1,$B12,AB$2)</f>
        <v>#NAME?</v>
      </c>
      <c r="AC12" t="e" cm="1">
        <f t="array" aca="1" ref="AC12" ca="1">+_xll.EQNXTDZ($A$1,$B12,AC$2)</f>
        <v>#NAME?</v>
      </c>
      <c r="AD12" t="e" cm="1">
        <f t="array" aca="1" ref="AD12" ca="1">+_xll.EQNXTDZ($A$1,$B12,AD$2)</f>
        <v>#NAME?</v>
      </c>
      <c r="AE12" t="e" cm="1">
        <f t="array" aca="1" ref="AE12" ca="1">+_xll.EQNXTDZ($A$1,$B12,AE$2)</f>
        <v>#NAME?</v>
      </c>
      <c r="AF12" t="e" cm="1">
        <f t="array" aca="1" ref="AF12" ca="1">+_xll.EQNXTDZ($A$1,$B12,AF$2)</f>
        <v>#NAME?</v>
      </c>
      <c r="AG12" t="e" cm="1">
        <f t="array" aca="1" ref="AG12" ca="1">+_xll.EQNXTDZ($A$1,$B12,AG$2)</f>
        <v>#NAME?</v>
      </c>
      <c r="AH12" t="e" cm="1">
        <f t="array" aca="1" ref="AH12" ca="1">+_xll.EQNXTDZ($A$1,$B12,AH$2)</f>
        <v>#NAME?</v>
      </c>
      <c r="AI12" t="e" cm="1">
        <f t="array" aca="1" ref="AI12" ca="1">+_xll.EQNXTDZ($A$1,$B12,AI$2)</f>
        <v>#NAME?</v>
      </c>
      <c r="AJ12" t="e" cm="1">
        <f t="array" aca="1" ref="AJ12" ca="1">+_xll.EQNXTDZ($A$1,$B12,AJ$2)</f>
        <v>#NAME?</v>
      </c>
      <c r="AK12" t="e" cm="1">
        <f t="array" aca="1" ref="AK12" ca="1">+_xll.EQNXTDZ($A$1,$B12,AK$2)</f>
        <v>#NAME?</v>
      </c>
      <c r="AL12" t="e" cm="1">
        <f t="array" aca="1" ref="AL12" ca="1">+_xll.EQNXTDZ($A$1,$B12,AL$2)</f>
        <v>#NAME?</v>
      </c>
      <c r="AM12" t="e" cm="1">
        <f t="array" aca="1" ref="AM12" ca="1">+_xll.EQNXTDZ($A$1,$B12,AM$2)</f>
        <v>#NAME?</v>
      </c>
      <c r="AN12" t="e" cm="1">
        <f t="array" aca="1" ref="AN12" ca="1">+_xll.EQNXTDZ($A$1,$B12,AN$2)</f>
        <v>#NAME?</v>
      </c>
      <c r="AO12" t="e" cm="1">
        <f t="array" aca="1" ref="AO12" ca="1">+_xll.EQNXTDZ($A$1,$B12,AO$2)</f>
        <v>#NAME?</v>
      </c>
      <c r="AP12" t="e" cm="1">
        <f t="array" aca="1" ref="AP12" ca="1">+_xll.EQNXTDZ($A$1,$B12,AP$2)</f>
        <v>#NAME?</v>
      </c>
      <c r="AQ12" t="e" cm="1">
        <f t="array" aca="1" ref="AQ12" ca="1">+_xll.EQNXTDZ($A$1,$B12,AQ$2)</f>
        <v>#NAME?</v>
      </c>
      <c r="AR12" t="e" cm="1">
        <f t="array" aca="1" ref="AR12" ca="1">+_xll.EQNXTDZ($A$1,$B12,AR$2)</f>
        <v>#NAME?</v>
      </c>
      <c r="AS12" t="e" cm="1">
        <f t="array" aca="1" ref="AS12" ca="1">+_xll.EQNXTDZ($A$1,$B12,AS$2)</f>
        <v>#NAME?</v>
      </c>
      <c r="AT12" t="e" cm="1">
        <f t="array" aca="1" ref="AT12" ca="1">+_xll.EQNXTDZ($A$1,$B12,AT$2)</f>
        <v>#NAME?</v>
      </c>
      <c r="AU12" t="e" cm="1">
        <f t="array" aca="1" ref="AU12" ca="1">+_xll.EQNXTDZ($A$1,$B12,AU$2)</f>
        <v>#NAME?</v>
      </c>
      <c r="AV12" t="e" cm="1">
        <f t="array" aca="1" ref="AV12" ca="1">+_xll.EQNXTDZ($A$1,$B12,AV$2)</f>
        <v>#NAME?</v>
      </c>
      <c r="AW12" t="e" cm="1">
        <f t="array" aca="1" ref="AW12" ca="1">+_xll.EQNXTDZ($A$1,$B12,AW$2)</f>
        <v>#NAME?</v>
      </c>
      <c r="AX12" t="e" cm="1">
        <f t="array" aca="1" ref="AX12" ca="1">+_xll.EQNXTDZ($A$1,$B12,AX$2)</f>
        <v>#NAME?</v>
      </c>
      <c r="AY12" t="e" cm="1">
        <f t="array" aca="1" ref="AY12" ca="1">+_xll.EQNXTDZ($A$1,$B12,AY$2)</f>
        <v>#NAME?</v>
      </c>
      <c r="AZ12" t="e" cm="1">
        <f t="array" aca="1" ref="AZ12" ca="1">+_xll.EQNXTDZ($A$1,$B12,AZ$2)</f>
        <v>#NAME?</v>
      </c>
      <c r="BA12" t="e" cm="1">
        <f t="array" aca="1" ref="BA12" ca="1">+_xll.EQNXTDZ($A$1,$B12,BA$2)</f>
        <v>#NAME?</v>
      </c>
      <c r="BB12" t="e" cm="1">
        <f t="array" aca="1" ref="BB12" ca="1">+_xll.EQNXTDZ($A$1,$B12,BB$2)</f>
        <v>#NAME?</v>
      </c>
      <c r="BC12" t="e" cm="1">
        <f t="array" aca="1" ref="BC12" ca="1">+_xll.EQNXTDZ($A$1,$B12,BC$2)</f>
        <v>#NAME?</v>
      </c>
      <c r="BD12" t="e" cm="1">
        <f t="array" aca="1" ref="BD12" ca="1">+_xll.EQNXTDZ($A$1,$B12,BD$2)</f>
        <v>#NAME?</v>
      </c>
      <c r="BE12" t="e" cm="1">
        <f t="array" aca="1" ref="BE12" ca="1">+_xll.EQNXTDZ($A$1,$B12,BE$2)</f>
        <v>#NAME?</v>
      </c>
      <c r="BF12" t="e" cm="1">
        <f t="array" aca="1" ref="BF12" ca="1">+_xll.EQNXTDZ($A$1,$B12,BF$2)</f>
        <v>#NAME?</v>
      </c>
      <c r="BG12" t="e" cm="1">
        <f t="array" aca="1" ref="BG12" ca="1">+_xll.EQNXTDZ($A$1,$B12,BG$2)</f>
        <v>#NAME?</v>
      </c>
      <c r="BH12" t="e" cm="1">
        <f t="array" aca="1" ref="BH12" ca="1">+_xll.EQNXTDZ($A$1,$B12,BH$2)</f>
        <v>#NAME?</v>
      </c>
      <c r="BI12" t="e" cm="1">
        <f t="array" aca="1" ref="BI12" ca="1">+_xll.EQNXTDZ($A$1,$B12,BI$2)</f>
        <v>#NAME?</v>
      </c>
      <c r="BJ12" t="e" cm="1">
        <f t="array" aca="1" ref="BJ12" ca="1">+_xll.EQNXTDZ($A$1,$B12,BJ$2)</f>
        <v>#NAME?</v>
      </c>
    </row>
    <row r="13" spans="1:62" x14ac:dyDescent="0.25">
      <c r="A13" t="s">
        <v>203</v>
      </c>
      <c r="B13" t="s">
        <v>252</v>
      </c>
      <c r="C13" t="e" cm="1">
        <f t="array" aca="1" ref="C13" ca="1">+_xll.EQNXTDZ($A$1,$B13,C$2)</f>
        <v>#NAME?</v>
      </c>
      <c r="D13" t="e" cm="1">
        <f t="array" aca="1" ref="D13" ca="1">+_xll.EQNXTDZ($A$1,$B13,D$2)</f>
        <v>#NAME?</v>
      </c>
      <c r="E13" t="e" cm="1">
        <f t="array" aca="1" ref="E13" ca="1">+_xll.EQNXTDZ($A$1,$B13,E$2)</f>
        <v>#NAME?</v>
      </c>
      <c r="F13" t="e" cm="1">
        <f t="array" aca="1" ref="F13" ca="1">+_xll.EQNXTDZ($A$1,$B13,F$2)</f>
        <v>#NAME?</v>
      </c>
      <c r="G13" t="e" cm="1">
        <f t="array" aca="1" ref="G13" ca="1">+_xll.EQNXTDZ($A$1,$B13,G$2)</f>
        <v>#NAME?</v>
      </c>
      <c r="H13" t="e" cm="1">
        <f t="array" aca="1" ref="H13" ca="1">+_xll.EQNXTDZ($A$1,$B13,H$2)</f>
        <v>#NAME?</v>
      </c>
      <c r="I13" t="e" cm="1">
        <f t="array" aca="1" ref="I13" ca="1">+_xll.EQNXTDZ($A$1,$B13,I$2)</f>
        <v>#NAME?</v>
      </c>
      <c r="J13" t="e" cm="1">
        <f t="array" aca="1" ref="J13" ca="1">+_xll.EQNXTDZ($A$1,$B13,J$2)</f>
        <v>#NAME?</v>
      </c>
      <c r="K13" t="e" cm="1">
        <f t="array" aca="1" ref="K13" ca="1">+_xll.EQNXTDZ($A$1,$B13,K$2)</f>
        <v>#NAME?</v>
      </c>
      <c r="L13" t="e" cm="1">
        <f t="array" aca="1" ref="L13" ca="1">+_xll.EQNXTDZ($A$1,$B13,L$2)</f>
        <v>#NAME?</v>
      </c>
      <c r="M13" t="e" cm="1">
        <f t="array" aca="1" ref="M13" ca="1">+_xll.EQNXTDZ($A$1,$B13,M$2)</f>
        <v>#NAME?</v>
      </c>
      <c r="N13" t="e" cm="1">
        <f t="array" aca="1" ref="N13" ca="1">+_xll.EQNXTDZ($A$1,$B13,N$2)</f>
        <v>#NAME?</v>
      </c>
      <c r="O13" t="e" cm="1">
        <f t="array" aca="1" ref="O13" ca="1">+_xll.EQNXTDZ($A$1,$B13,O$2)</f>
        <v>#NAME?</v>
      </c>
      <c r="P13" t="e" cm="1">
        <f t="array" aca="1" ref="P13" ca="1">+_xll.EQNXTDZ($A$1,$B13,P$2)</f>
        <v>#NAME?</v>
      </c>
      <c r="Q13" t="e" cm="1">
        <f t="array" aca="1" ref="Q13" ca="1">+_xll.EQNXTDZ($A$1,$B13,Q$2)</f>
        <v>#NAME?</v>
      </c>
      <c r="R13" t="e" cm="1">
        <f t="array" aca="1" ref="R13" ca="1">+_xll.EQNXTDZ($A$1,$B13,R$2)</f>
        <v>#NAME?</v>
      </c>
      <c r="S13" t="e" cm="1">
        <f t="array" aca="1" ref="S13" ca="1">+_xll.EQNXTDZ($A$1,$B13,S$2)</f>
        <v>#NAME?</v>
      </c>
      <c r="T13" t="e" cm="1">
        <f t="array" aca="1" ref="T13" ca="1">+_xll.EQNXTDZ($A$1,$B13,T$2)</f>
        <v>#NAME?</v>
      </c>
      <c r="U13" t="e" cm="1">
        <f t="array" aca="1" ref="U13" ca="1">+_xll.EQNXTDZ($A$1,$B13,U$2)</f>
        <v>#NAME?</v>
      </c>
      <c r="V13" t="e" cm="1">
        <f t="array" aca="1" ref="V13" ca="1">+_xll.EQNXTDZ($A$1,$B13,V$2)</f>
        <v>#NAME?</v>
      </c>
      <c r="W13" t="e" cm="1">
        <f t="array" aca="1" ref="W13" ca="1">+_xll.EQNXTDZ($A$1,$B13,W$2)</f>
        <v>#NAME?</v>
      </c>
      <c r="X13" t="e" cm="1">
        <f t="array" aca="1" ref="X13" ca="1">+_xll.EQNXTDZ($A$1,$B13,X$2)</f>
        <v>#NAME?</v>
      </c>
      <c r="Y13" t="e" cm="1">
        <f t="array" aca="1" ref="Y13" ca="1">+_xll.EQNXTDZ($A$1,$B13,Y$2)</f>
        <v>#NAME?</v>
      </c>
      <c r="Z13" t="e" cm="1">
        <f t="array" aca="1" ref="Z13" ca="1">+_xll.EQNXTDZ($A$1,$B13,Z$2)</f>
        <v>#NAME?</v>
      </c>
      <c r="AA13" t="e" cm="1">
        <f t="array" aca="1" ref="AA13" ca="1">+_xll.EQNXTDZ($A$1,$B13,AA$2)</f>
        <v>#NAME?</v>
      </c>
      <c r="AB13" t="e" cm="1">
        <f t="array" aca="1" ref="AB13" ca="1">+_xll.EQNXTDZ($A$1,$B13,AB$2)</f>
        <v>#NAME?</v>
      </c>
      <c r="AC13" t="e" cm="1">
        <f t="array" aca="1" ref="AC13" ca="1">+_xll.EQNXTDZ($A$1,$B13,AC$2)</f>
        <v>#NAME?</v>
      </c>
      <c r="AD13" t="e" cm="1">
        <f t="array" aca="1" ref="AD13" ca="1">+_xll.EQNXTDZ($A$1,$B13,AD$2)</f>
        <v>#NAME?</v>
      </c>
      <c r="AE13" t="e" cm="1">
        <f t="array" aca="1" ref="AE13" ca="1">+_xll.EQNXTDZ($A$1,$B13,AE$2)</f>
        <v>#NAME?</v>
      </c>
      <c r="AF13" t="e" cm="1">
        <f t="array" aca="1" ref="AF13" ca="1">+_xll.EQNXTDZ($A$1,$B13,AF$2)</f>
        <v>#NAME?</v>
      </c>
      <c r="AG13" t="e" cm="1">
        <f t="array" aca="1" ref="AG13" ca="1">+_xll.EQNXTDZ($A$1,$B13,AG$2)</f>
        <v>#NAME?</v>
      </c>
      <c r="AH13" t="e" cm="1">
        <f t="array" aca="1" ref="AH13" ca="1">+_xll.EQNXTDZ($A$1,$B13,AH$2)</f>
        <v>#NAME?</v>
      </c>
      <c r="AI13" t="e" cm="1">
        <f t="array" aca="1" ref="AI13" ca="1">+_xll.EQNXTDZ($A$1,$B13,AI$2)</f>
        <v>#NAME?</v>
      </c>
      <c r="AJ13" t="e" cm="1">
        <f t="array" aca="1" ref="AJ13" ca="1">+_xll.EQNXTDZ($A$1,$B13,AJ$2)</f>
        <v>#NAME?</v>
      </c>
      <c r="AK13" t="e" cm="1">
        <f t="array" aca="1" ref="AK13" ca="1">+_xll.EQNXTDZ($A$1,$B13,AK$2)</f>
        <v>#NAME?</v>
      </c>
      <c r="AL13" t="e" cm="1">
        <f t="array" aca="1" ref="AL13" ca="1">+_xll.EQNXTDZ($A$1,$B13,AL$2)</f>
        <v>#NAME?</v>
      </c>
      <c r="AM13" t="e" cm="1">
        <f t="array" aca="1" ref="AM13" ca="1">+_xll.EQNXTDZ($A$1,$B13,AM$2)</f>
        <v>#NAME?</v>
      </c>
      <c r="AN13" t="e" cm="1">
        <f t="array" aca="1" ref="AN13" ca="1">+_xll.EQNXTDZ($A$1,$B13,AN$2)</f>
        <v>#NAME?</v>
      </c>
      <c r="AO13" t="e" cm="1">
        <f t="array" aca="1" ref="AO13" ca="1">+_xll.EQNXTDZ($A$1,$B13,AO$2)</f>
        <v>#NAME?</v>
      </c>
      <c r="AP13" t="e" cm="1">
        <f t="array" aca="1" ref="AP13" ca="1">+_xll.EQNXTDZ($A$1,$B13,AP$2)</f>
        <v>#NAME?</v>
      </c>
      <c r="AQ13" t="e" cm="1">
        <f t="array" aca="1" ref="AQ13" ca="1">+_xll.EQNXTDZ($A$1,$B13,AQ$2)</f>
        <v>#NAME?</v>
      </c>
      <c r="AR13" t="e" cm="1">
        <f t="array" aca="1" ref="AR13" ca="1">+_xll.EQNXTDZ($A$1,$B13,AR$2)</f>
        <v>#NAME?</v>
      </c>
      <c r="AS13" t="e" cm="1">
        <f t="array" aca="1" ref="AS13" ca="1">+_xll.EQNXTDZ($A$1,$B13,AS$2)</f>
        <v>#NAME?</v>
      </c>
      <c r="AT13" t="e" cm="1">
        <f t="array" aca="1" ref="AT13" ca="1">+_xll.EQNXTDZ($A$1,$B13,AT$2)</f>
        <v>#NAME?</v>
      </c>
      <c r="AU13" t="e" cm="1">
        <f t="array" aca="1" ref="AU13" ca="1">+_xll.EQNXTDZ($A$1,$B13,AU$2)</f>
        <v>#NAME?</v>
      </c>
      <c r="AV13" t="e" cm="1">
        <f t="array" aca="1" ref="AV13" ca="1">+_xll.EQNXTDZ($A$1,$B13,AV$2)</f>
        <v>#NAME?</v>
      </c>
      <c r="AW13" t="e" cm="1">
        <f t="array" aca="1" ref="AW13" ca="1">+_xll.EQNXTDZ($A$1,$B13,AW$2)</f>
        <v>#NAME?</v>
      </c>
      <c r="AX13" t="e" cm="1">
        <f t="array" aca="1" ref="AX13" ca="1">+_xll.EQNXTDZ($A$1,$B13,AX$2)</f>
        <v>#NAME?</v>
      </c>
      <c r="AY13" t="e" cm="1">
        <f t="array" aca="1" ref="AY13" ca="1">+_xll.EQNXTDZ($A$1,$B13,AY$2)</f>
        <v>#NAME?</v>
      </c>
      <c r="AZ13" t="e" cm="1">
        <f t="array" aca="1" ref="AZ13" ca="1">+_xll.EQNXTDZ($A$1,$B13,AZ$2)</f>
        <v>#NAME?</v>
      </c>
      <c r="BA13" t="e" cm="1">
        <f t="array" aca="1" ref="BA13" ca="1">+_xll.EQNXTDZ($A$1,$B13,BA$2)</f>
        <v>#NAME?</v>
      </c>
      <c r="BB13" t="e" cm="1">
        <f t="array" aca="1" ref="BB13" ca="1">+_xll.EQNXTDZ($A$1,$B13,BB$2)</f>
        <v>#NAME?</v>
      </c>
      <c r="BC13" t="e" cm="1">
        <f t="array" aca="1" ref="BC13" ca="1">+_xll.EQNXTDZ($A$1,$B13,BC$2)</f>
        <v>#NAME?</v>
      </c>
      <c r="BD13" t="e" cm="1">
        <f t="array" aca="1" ref="BD13" ca="1">+_xll.EQNXTDZ($A$1,$B13,BD$2)</f>
        <v>#NAME?</v>
      </c>
      <c r="BE13" t="e" cm="1">
        <f t="array" aca="1" ref="BE13" ca="1">+_xll.EQNXTDZ($A$1,$B13,BE$2)</f>
        <v>#NAME?</v>
      </c>
      <c r="BF13" t="e" cm="1">
        <f t="array" aca="1" ref="BF13" ca="1">+_xll.EQNXTDZ($A$1,$B13,BF$2)</f>
        <v>#NAME?</v>
      </c>
      <c r="BG13" t="e" cm="1">
        <f t="array" aca="1" ref="BG13" ca="1">+_xll.EQNXTDZ($A$1,$B13,BG$2)</f>
        <v>#NAME?</v>
      </c>
      <c r="BH13" t="e" cm="1">
        <f t="array" aca="1" ref="BH13" ca="1">+_xll.EQNXTDZ($A$1,$B13,BH$2)</f>
        <v>#NAME?</v>
      </c>
      <c r="BI13" t="e" cm="1">
        <f t="array" aca="1" ref="BI13" ca="1">+_xll.EQNXTDZ($A$1,$B13,BI$2)</f>
        <v>#NAME?</v>
      </c>
      <c r="BJ13" t="e" cm="1">
        <f t="array" aca="1" ref="BJ13" ca="1">+_xll.EQNXTDZ($A$1,$B13,BJ$2)</f>
        <v>#NAME?</v>
      </c>
    </row>
    <row r="14" spans="1:62" x14ac:dyDescent="0.25">
      <c r="A14" t="s">
        <v>216</v>
      </c>
      <c r="B14" t="s">
        <v>253</v>
      </c>
      <c r="C14" t="e" cm="1">
        <f t="array" aca="1" ref="C14" ca="1">+_xll.EQNXTDZ($A$1,$B14,C$2)</f>
        <v>#NAME?</v>
      </c>
      <c r="D14" t="e" cm="1">
        <f t="array" aca="1" ref="D14" ca="1">+_xll.EQNXTDZ($A$1,$B14,D$2)</f>
        <v>#NAME?</v>
      </c>
      <c r="E14" t="e" cm="1">
        <f t="array" aca="1" ref="E14" ca="1">+_xll.EQNXTDZ($A$1,$B14,E$2)</f>
        <v>#NAME?</v>
      </c>
      <c r="F14" t="e" cm="1">
        <f t="array" aca="1" ref="F14" ca="1">+_xll.EQNXTDZ($A$1,$B14,F$2)</f>
        <v>#NAME?</v>
      </c>
      <c r="G14" t="e" cm="1">
        <f t="array" aca="1" ref="G14" ca="1">+_xll.EQNXTDZ($A$1,$B14,G$2)</f>
        <v>#NAME?</v>
      </c>
      <c r="H14" t="e" cm="1">
        <f t="array" aca="1" ref="H14" ca="1">+_xll.EQNXTDZ($A$1,$B14,H$2)</f>
        <v>#NAME?</v>
      </c>
      <c r="I14" t="e" cm="1">
        <f t="array" aca="1" ref="I14" ca="1">+_xll.EQNXTDZ($A$1,$B14,I$2)</f>
        <v>#NAME?</v>
      </c>
      <c r="J14" t="e" cm="1">
        <f t="array" aca="1" ref="J14" ca="1">+_xll.EQNXTDZ($A$1,$B14,J$2)</f>
        <v>#NAME?</v>
      </c>
      <c r="K14" t="e" cm="1">
        <f t="array" aca="1" ref="K14" ca="1">+_xll.EQNXTDZ($A$1,$B14,K$2)</f>
        <v>#NAME?</v>
      </c>
      <c r="L14" t="e" cm="1">
        <f t="array" aca="1" ref="L14" ca="1">+_xll.EQNXTDZ($A$1,$B14,L$2)</f>
        <v>#NAME?</v>
      </c>
      <c r="M14" t="e" cm="1">
        <f t="array" aca="1" ref="M14" ca="1">+_xll.EQNXTDZ($A$1,$B14,M$2)</f>
        <v>#NAME?</v>
      </c>
      <c r="N14" t="e" cm="1">
        <f t="array" aca="1" ref="N14" ca="1">+_xll.EQNXTDZ($A$1,$B14,N$2)</f>
        <v>#NAME?</v>
      </c>
      <c r="O14" t="e" cm="1">
        <f t="array" aca="1" ref="O14" ca="1">+_xll.EQNXTDZ($A$1,$B14,O$2)</f>
        <v>#NAME?</v>
      </c>
      <c r="P14" t="e" cm="1">
        <f t="array" aca="1" ref="P14" ca="1">+_xll.EQNXTDZ($A$1,$B14,P$2)</f>
        <v>#NAME?</v>
      </c>
      <c r="Q14" t="e" cm="1">
        <f t="array" aca="1" ref="Q14" ca="1">+_xll.EQNXTDZ($A$1,$B14,Q$2)</f>
        <v>#NAME?</v>
      </c>
      <c r="R14" t="e" cm="1">
        <f t="array" aca="1" ref="R14" ca="1">+_xll.EQNXTDZ($A$1,$B14,R$2)</f>
        <v>#NAME?</v>
      </c>
      <c r="S14" t="e" cm="1">
        <f t="array" aca="1" ref="S14" ca="1">+_xll.EQNXTDZ($A$1,$B14,S$2)</f>
        <v>#NAME?</v>
      </c>
      <c r="T14" t="e" cm="1">
        <f t="array" aca="1" ref="T14" ca="1">+_xll.EQNXTDZ($A$1,$B14,T$2)</f>
        <v>#NAME?</v>
      </c>
      <c r="U14" t="e" cm="1">
        <f t="array" aca="1" ref="U14" ca="1">+_xll.EQNXTDZ($A$1,$B14,U$2)</f>
        <v>#NAME?</v>
      </c>
      <c r="V14" t="e" cm="1">
        <f t="array" aca="1" ref="V14" ca="1">+_xll.EQNXTDZ($A$1,$B14,V$2)</f>
        <v>#NAME?</v>
      </c>
      <c r="W14" t="e" cm="1">
        <f t="array" aca="1" ref="W14" ca="1">+_xll.EQNXTDZ($A$1,$B14,W$2)</f>
        <v>#NAME?</v>
      </c>
      <c r="X14" t="e" cm="1">
        <f t="array" aca="1" ref="X14" ca="1">+_xll.EQNXTDZ($A$1,$B14,X$2)</f>
        <v>#NAME?</v>
      </c>
      <c r="Y14" t="e" cm="1">
        <f t="array" aca="1" ref="Y14" ca="1">+_xll.EQNXTDZ($A$1,$B14,Y$2)</f>
        <v>#NAME?</v>
      </c>
      <c r="Z14" t="e" cm="1">
        <f t="array" aca="1" ref="Z14" ca="1">+_xll.EQNXTDZ($A$1,$B14,Z$2)</f>
        <v>#NAME?</v>
      </c>
      <c r="AA14" t="e" cm="1">
        <f t="array" aca="1" ref="AA14" ca="1">+_xll.EQNXTDZ($A$1,$B14,AA$2)</f>
        <v>#NAME?</v>
      </c>
      <c r="AB14" t="e" cm="1">
        <f t="array" aca="1" ref="AB14" ca="1">+_xll.EQNXTDZ($A$1,$B14,AB$2)</f>
        <v>#NAME?</v>
      </c>
      <c r="AC14" t="e" cm="1">
        <f t="array" aca="1" ref="AC14" ca="1">+_xll.EQNXTDZ($A$1,$B14,AC$2)</f>
        <v>#NAME?</v>
      </c>
      <c r="AD14" t="e" cm="1">
        <f t="array" aca="1" ref="AD14" ca="1">+_xll.EQNXTDZ($A$1,$B14,AD$2)</f>
        <v>#NAME?</v>
      </c>
      <c r="AE14" t="e" cm="1">
        <f t="array" aca="1" ref="AE14" ca="1">+_xll.EQNXTDZ($A$1,$B14,AE$2)</f>
        <v>#NAME?</v>
      </c>
      <c r="AF14" t="e" cm="1">
        <f t="array" aca="1" ref="AF14" ca="1">+_xll.EQNXTDZ($A$1,$B14,AF$2)</f>
        <v>#NAME?</v>
      </c>
      <c r="AG14" t="e" cm="1">
        <f t="array" aca="1" ref="AG14" ca="1">+_xll.EQNXTDZ($A$1,$B14,AG$2)</f>
        <v>#NAME?</v>
      </c>
      <c r="AH14" t="e" cm="1">
        <f t="array" aca="1" ref="AH14" ca="1">+_xll.EQNXTDZ($A$1,$B14,AH$2)</f>
        <v>#NAME?</v>
      </c>
      <c r="AI14" t="e" cm="1">
        <f t="array" aca="1" ref="AI14" ca="1">+_xll.EQNXTDZ($A$1,$B14,AI$2)</f>
        <v>#NAME?</v>
      </c>
      <c r="AJ14" t="e" cm="1">
        <f t="array" aca="1" ref="AJ14" ca="1">+_xll.EQNXTDZ($A$1,$B14,AJ$2)</f>
        <v>#NAME?</v>
      </c>
      <c r="AK14" t="e" cm="1">
        <f t="array" aca="1" ref="AK14" ca="1">+_xll.EQNXTDZ($A$1,$B14,AK$2)</f>
        <v>#NAME?</v>
      </c>
      <c r="AL14" t="e" cm="1">
        <f t="array" aca="1" ref="AL14" ca="1">+_xll.EQNXTDZ($A$1,$B14,AL$2)</f>
        <v>#NAME?</v>
      </c>
      <c r="AM14" t="e" cm="1">
        <f t="array" aca="1" ref="AM14" ca="1">+_xll.EQNXTDZ($A$1,$B14,AM$2)</f>
        <v>#NAME?</v>
      </c>
      <c r="AN14" t="e" cm="1">
        <f t="array" aca="1" ref="AN14" ca="1">+_xll.EQNXTDZ($A$1,$B14,AN$2)</f>
        <v>#NAME?</v>
      </c>
      <c r="AO14" t="e" cm="1">
        <f t="array" aca="1" ref="AO14" ca="1">+_xll.EQNXTDZ($A$1,$B14,AO$2)</f>
        <v>#NAME?</v>
      </c>
      <c r="AP14" t="e" cm="1">
        <f t="array" aca="1" ref="AP14" ca="1">+_xll.EQNXTDZ($A$1,$B14,AP$2)</f>
        <v>#NAME?</v>
      </c>
      <c r="AQ14" t="e" cm="1">
        <f t="array" aca="1" ref="AQ14" ca="1">+_xll.EQNXTDZ($A$1,$B14,AQ$2)</f>
        <v>#NAME?</v>
      </c>
      <c r="AR14" t="e" cm="1">
        <f t="array" aca="1" ref="AR14" ca="1">+_xll.EQNXTDZ($A$1,$B14,AR$2)</f>
        <v>#NAME?</v>
      </c>
      <c r="AS14" t="e" cm="1">
        <f t="array" aca="1" ref="AS14" ca="1">+_xll.EQNXTDZ($A$1,$B14,AS$2)</f>
        <v>#NAME?</v>
      </c>
      <c r="AT14" t="e" cm="1">
        <f t="array" aca="1" ref="AT14" ca="1">+_xll.EQNXTDZ($A$1,$B14,AT$2)</f>
        <v>#NAME?</v>
      </c>
      <c r="AU14" t="e" cm="1">
        <f t="array" aca="1" ref="AU14" ca="1">+_xll.EQNXTDZ($A$1,$B14,AU$2)</f>
        <v>#NAME?</v>
      </c>
      <c r="AV14" t="e" cm="1">
        <f t="array" aca="1" ref="AV14" ca="1">+_xll.EQNXTDZ($A$1,$B14,AV$2)</f>
        <v>#NAME?</v>
      </c>
      <c r="AW14" t="e" cm="1">
        <f t="array" aca="1" ref="AW14" ca="1">+_xll.EQNXTDZ($A$1,$B14,AW$2)</f>
        <v>#NAME?</v>
      </c>
      <c r="AX14" t="e" cm="1">
        <f t="array" aca="1" ref="AX14" ca="1">+_xll.EQNXTDZ($A$1,$B14,AX$2)</f>
        <v>#NAME?</v>
      </c>
      <c r="AY14" t="e" cm="1">
        <f t="array" aca="1" ref="AY14" ca="1">+_xll.EQNXTDZ($A$1,$B14,AY$2)</f>
        <v>#NAME?</v>
      </c>
      <c r="AZ14" t="e" cm="1">
        <f t="array" aca="1" ref="AZ14" ca="1">+_xll.EQNXTDZ($A$1,$B14,AZ$2)</f>
        <v>#NAME?</v>
      </c>
      <c r="BA14" t="e" cm="1">
        <f t="array" aca="1" ref="BA14" ca="1">+_xll.EQNXTDZ($A$1,$B14,BA$2)</f>
        <v>#NAME?</v>
      </c>
      <c r="BB14" t="e" cm="1">
        <f t="array" aca="1" ref="BB14" ca="1">+_xll.EQNXTDZ($A$1,$B14,BB$2)</f>
        <v>#NAME?</v>
      </c>
      <c r="BC14" t="e" cm="1">
        <f t="array" aca="1" ref="BC14" ca="1">+_xll.EQNXTDZ($A$1,$B14,BC$2)</f>
        <v>#NAME?</v>
      </c>
      <c r="BD14" t="e" cm="1">
        <f t="array" aca="1" ref="BD14" ca="1">+_xll.EQNXTDZ($A$1,$B14,BD$2)</f>
        <v>#NAME?</v>
      </c>
      <c r="BE14" t="e" cm="1">
        <f t="array" aca="1" ref="BE14" ca="1">+_xll.EQNXTDZ($A$1,$B14,BE$2)</f>
        <v>#NAME?</v>
      </c>
      <c r="BF14" t="e" cm="1">
        <f t="array" aca="1" ref="BF14" ca="1">+_xll.EQNXTDZ($A$1,$B14,BF$2)</f>
        <v>#NAME?</v>
      </c>
      <c r="BG14" t="e" cm="1">
        <f t="array" aca="1" ref="BG14" ca="1">+_xll.EQNXTDZ($A$1,$B14,BG$2)</f>
        <v>#NAME?</v>
      </c>
      <c r="BH14" t="e" cm="1">
        <f t="array" aca="1" ref="BH14" ca="1">+_xll.EQNXTDZ($A$1,$B14,BH$2)</f>
        <v>#NAME?</v>
      </c>
      <c r="BI14" t="e" cm="1">
        <f t="array" aca="1" ref="BI14" ca="1">+_xll.EQNXTDZ($A$1,$B14,BI$2)</f>
        <v>#NAME?</v>
      </c>
      <c r="BJ14" t="e" cm="1">
        <f t="array" aca="1" ref="BJ14" ca="1">+_xll.EQNXTDZ($A$1,$B14,BJ$2)</f>
        <v>#NAME?</v>
      </c>
    </row>
    <row r="15" spans="1:62" x14ac:dyDescent="0.25">
      <c r="A15" t="s">
        <v>217</v>
      </c>
      <c r="B15" t="s">
        <v>254</v>
      </c>
      <c r="C15" t="e" cm="1">
        <f t="array" aca="1" ref="C15" ca="1">+_xll.EQNXTDZ($A$1,$B15,C$2)</f>
        <v>#NAME?</v>
      </c>
      <c r="D15" t="e" cm="1">
        <f t="array" aca="1" ref="D15" ca="1">+_xll.EQNXTDZ($A$1,$B15,D$2)</f>
        <v>#NAME?</v>
      </c>
      <c r="E15" t="e" cm="1">
        <f t="array" aca="1" ref="E15" ca="1">+_xll.EQNXTDZ($A$1,$B15,E$2)</f>
        <v>#NAME?</v>
      </c>
      <c r="F15" t="e" cm="1">
        <f t="array" aca="1" ref="F15" ca="1">+_xll.EQNXTDZ($A$1,$B15,F$2)</f>
        <v>#NAME?</v>
      </c>
      <c r="G15" t="e" cm="1">
        <f t="array" aca="1" ref="G15" ca="1">+_xll.EQNXTDZ($A$1,$B15,G$2)</f>
        <v>#NAME?</v>
      </c>
      <c r="H15" t="e" cm="1">
        <f t="array" aca="1" ref="H15" ca="1">+_xll.EQNXTDZ($A$1,$B15,H$2)</f>
        <v>#NAME?</v>
      </c>
      <c r="I15" t="e" cm="1">
        <f t="array" aca="1" ref="I15" ca="1">+_xll.EQNXTDZ($A$1,$B15,I$2)</f>
        <v>#NAME?</v>
      </c>
      <c r="J15" t="e" cm="1">
        <f t="array" aca="1" ref="J15" ca="1">+_xll.EQNXTDZ($A$1,$B15,J$2)</f>
        <v>#NAME?</v>
      </c>
      <c r="K15" t="e" cm="1">
        <f t="array" aca="1" ref="K15" ca="1">+_xll.EQNXTDZ($A$1,$B15,K$2)</f>
        <v>#NAME?</v>
      </c>
      <c r="L15" t="e" cm="1">
        <f t="array" aca="1" ref="L15" ca="1">+_xll.EQNXTDZ($A$1,$B15,L$2)</f>
        <v>#NAME?</v>
      </c>
      <c r="M15" t="e" cm="1">
        <f t="array" aca="1" ref="M15" ca="1">+_xll.EQNXTDZ($A$1,$B15,M$2)</f>
        <v>#NAME?</v>
      </c>
      <c r="N15" t="e" cm="1">
        <f t="array" aca="1" ref="N15" ca="1">+_xll.EQNXTDZ($A$1,$B15,N$2)</f>
        <v>#NAME?</v>
      </c>
      <c r="O15" t="e" cm="1">
        <f t="array" aca="1" ref="O15" ca="1">+_xll.EQNXTDZ($A$1,$B15,O$2)</f>
        <v>#NAME?</v>
      </c>
      <c r="P15" t="e" cm="1">
        <f t="array" aca="1" ref="P15" ca="1">+_xll.EQNXTDZ($A$1,$B15,P$2)</f>
        <v>#NAME?</v>
      </c>
      <c r="Q15" t="e" cm="1">
        <f t="array" aca="1" ref="Q15" ca="1">+_xll.EQNXTDZ($A$1,$B15,Q$2)</f>
        <v>#NAME?</v>
      </c>
      <c r="R15" t="e" cm="1">
        <f t="array" aca="1" ref="R15" ca="1">+_xll.EQNXTDZ($A$1,$B15,R$2)</f>
        <v>#NAME?</v>
      </c>
      <c r="S15" t="e" cm="1">
        <f t="array" aca="1" ref="S15" ca="1">+_xll.EQNXTDZ($A$1,$B15,S$2)</f>
        <v>#NAME?</v>
      </c>
      <c r="T15" t="e" cm="1">
        <f t="array" aca="1" ref="T15" ca="1">+_xll.EQNXTDZ($A$1,$B15,T$2)</f>
        <v>#NAME?</v>
      </c>
      <c r="U15" t="e" cm="1">
        <f t="array" aca="1" ref="U15" ca="1">+_xll.EQNXTDZ($A$1,$B15,U$2)</f>
        <v>#NAME?</v>
      </c>
      <c r="V15" t="e" cm="1">
        <f t="array" aca="1" ref="V15" ca="1">+_xll.EQNXTDZ($A$1,$B15,V$2)</f>
        <v>#NAME?</v>
      </c>
      <c r="W15" t="e" cm="1">
        <f t="array" aca="1" ref="W15" ca="1">+_xll.EQNXTDZ($A$1,$B15,W$2)</f>
        <v>#NAME?</v>
      </c>
      <c r="X15" t="e" cm="1">
        <f t="array" aca="1" ref="X15" ca="1">+_xll.EQNXTDZ($A$1,$B15,X$2)</f>
        <v>#NAME?</v>
      </c>
      <c r="Y15" t="e" cm="1">
        <f t="array" aca="1" ref="Y15" ca="1">+_xll.EQNXTDZ($A$1,$B15,Y$2)</f>
        <v>#NAME?</v>
      </c>
      <c r="Z15" t="e" cm="1">
        <f t="array" aca="1" ref="Z15" ca="1">+_xll.EQNXTDZ($A$1,$B15,Z$2)</f>
        <v>#NAME?</v>
      </c>
      <c r="AA15" t="e" cm="1">
        <f t="array" aca="1" ref="AA15" ca="1">+_xll.EQNXTDZ($A$1,$B15,AA$2)</f>
        <v>#NAME?</v>
      </c>
      <c r="AB15" t="e" cm="1">
        <f t="array" aca="1" ref="AB15" ca="1">+_xll.EQNXTDZ($A$1,$B15,AB$2)</f>
        <v>#NAME?</v>
      </c>
      <c r="AC15" t="e" cm="1">
        <f t="array" aca="1" ref="AC15" ca="1">+_xll.EQNXTDZ($A$1,$B15,AC$2)</f>
        <v>#NAME?</v>
      </c>
      <c r="AD15" t="e" cm="1">
        <f t="array" aca="1" ref="AD15" ca="1">+_xll.EQNXTDZ($A$1,$B15,AD$2)</f>
        <v>#NAME?</v>
      </c>
      <c r="AE15" t="e" cm="1">
        <f t="array" aca="1" ref="AE15" ca="1">+_xll.EQNXTDZ($A$1,$B15,AE$2)</f>
        <v>#NAME?</v>
      </c>
      <c r="AF15" t="e" cm="1">
        <f t="array" aca="1" ref="AF15" ca="1">+_xll.EQNXTDZ($A$1,$B15,AF$2)</f>
        <v>#NAME?</v>
      </c>
      <c r="AG15" t="e" cm="1">
        <f t="array" aca="1" ref="AG15" ca="1">+_xll.EQNXTDZ($A$1,$B15,AG$2)</f>
        <v>#NAME?</v>
      </c>
      <c r="AH15" t="e" cm="1">
        <f t="array" aca="1" ref="AH15" ca="1">+_xll.EQNXTDZ($A$1,$B15,AH$2)</f>
        <v>#NAME?</v>
      </c>
      <c r="AI15" t="e" cm="1">
        <f t="array" aca="1" ref="AI15" ca="1">+_xll.EQNXTDZ($A$1,$B15,AI$2)</f>
        <v>#NAME?</v>
      </c>
      <c r="AJ15" t="e" cm="1">
        <f t="array" aca="1" ref="AJ15" ca="1">+_xll.EQNXTDZ($A$1,$B15,AJ$2)</f>
        <v>#NAME?</v>
      </c>
      <c r="AK15" t="e" cm="1">
        <f t="array" aca="1" ref="AK15" ca="1">+_xll.EQNXTDZ($A$1,$B15,AK$2)</f>
        <v>#NAME?</v>
      </c>
      <c r="AL15" t="e" cm="1">
        <f t="array" aca="1" ref="AL15" ca="1">+_xll.EQNXTDZ($A$1,$B15,AL$2)</f>
        <v>#NAME?</v>
      </c>
      <c r="AM15" t="e" cm="1">
        <f t="array" aca="1" ref="AM15" ca="1">+_xll.EQNXTDZ($A$1,$B15,AM$2)</f>
        <v>#NAME?</v>
      </c>
      <c r="AN15" t="e" cm="1">
        <f t="array" aca="1" ref="AN15" ca="1">+_xll.EQNXTDZ($A$1,$B15,AN$2)</f>
        <v>#NAME?</v>
      </c>
      <c r="AO15" t="e" cm="1">
        <f t="array" aca="1" ref="AO15" ca="1">+_xll.EQNXTDZ($A$1,$B15,AO$2)</f>
        <v>#NAME?</v>
      </c>
      <c r="AP15" t="e" cm="1">
        <f t="array" aca="1" ref="AP15" ca="1">+_xll.EQNXTDZ($A$1,$B15,AP$2)</f>
        <v>#NAME?</v>
      </c>
      <c r="AQ15" t="e" cm="1">
        <f t="array" aca="1" ref="AQ15" ca="1">+_xll.EQNXTDZ($A$1,$B15,AQ$2)</f>
        <v>#NAME?</v>
      </c>
      <c r="AR15" t="e" cm="1">
        <f t="array" aca="1" ref="AR15" ca="1">+_xll.EQNXTDZ($A$1,$B15,AR$2)</f>
        <v>#NAME?</v>
      </c>
      <c r="AS15" t="e" cm="1">
        <f t="array" aca="1" ref="AS15" ca="1">+_xll.EQNXTDZ($A$1,$B15,AS$2)</f>
        <v>#NAME?</v>
      </c>
      <c r="AT15" t="e" cm="1">
        <f t="array" aca="1" ref="AT15" ca="1">+_xll.EQNXTDZ($A$1,$B15,AT$2)</f>
        <v>#NAME?</v>
      </c>
      <c r="AU15" t="e" cm="1">
        <f t="array" aca="1" ref="AU15" ca="1">+_xll.EQNXTDZ($A$1,$B15,AU$2)</f>
        <v>#NAME?</v>
      </c>
      <c r="AV15" t="e" cm="1">
        <f t="array" aca="1" ref="AV15" ca="1">+_xll.EQNXTDZ($A$1,$B15,AV$2)</f>
        <v>#NAME?</v>
      </c>
      <c r="AW15" t="e" cm="1">
        <f t="array" aca="1" ref="AW15" ca="1">+_xll.EQNXTDZ($A$1,$B15,AW$2)</f>
        <v>#NAME?</v>
      </c>
      <c r="AX15" t="e" cm="1">
        <f t="array" aca="1" ref="AX15" ca="1">+_xll.EQNXTDZ($A$1,$B15,AX$2)</f>
        <v>#NAME?</v>
      </c>
      <c r="AY15" t="e" cm="1">
        <f t="array" aca="1" ref="AY15" ca="1">+_xll.EQNXTDZ($A$1,$B15,AY$2)</f>
        <v>#NAME?</v>
      </c>
      <c r="AZ15" t="e" cm="1">
        <f t="array" aca="1" ref="AZ15" ca="1">+_xll.EQNXTDZ($A$1,$B15,AZ$2)</f>
        <v>#NAME?</v>
      </c>
      <c r="BA15" t="e" cm="1">
        <f t="array" aca="1" ref="BA15" ca="1">+_xll.EQNXTDZ($A$1,$B15,BA$2)</f>
        <v>#NAME?</v>
      </c>
      <c r="BB15" t="e" cm="1">
        <f t="array" aca="1" ref="BB15" ca="1">+_xll.EQNXTDZ($A$1,$B15,BB$2)</f>
        <v>#NAME?</v>
      </c>
      <c r="BC15" t="e" cm="1">
        <f t="array" aca="1" ref="BC15" ca="1">+_xll.EQNXTDZ($A$1,$B15,BC$2)</f>
        <v>#NAME?</v>
      </c>
      <c r="BD15" t="e" cm="1">
        <f t="array" aca="1" ref="BD15" ca="1">+_xll.EQNXTDZ($A$1,$B15,BD$2)</f>
        <v>#NAME?</v>
      </c>
      <c r="BE15" t="e" cm="1">
        <f t="array" aca="1" ref="BE15" ca="1">+_xll.EQNXTDZ($A$1,$B15,BE$2)</f>
        <v>#NAME?</v>
      </c>
      <c r="BF15" t="e" cm="1">
        <f t="array" aca="1" ref="BF15" ca="1">+_xll.EQNXTDZ($A$1,$B15,BF$2)</f>
        <v>#NAME?</v>
      </c>
      <c r="BG15" t="e" cm="1">
        <f t="array" aca="1" ref="BG15" ca="1">+_xll.EQNXTDZ($A$1,$B15,BG$2)</f>
        <v>#NAME?</v>
      </c>
      <c r="BH15" t="e" cm="1">
        <f t="array" aca="1" ref="BH15" ca="1">+_xll.EQNXTDZ($A$1,$B15,BH$2)</f>
        <v>#NAME?</v>
      </c>
      <c r="BI15" t="e" cm="1">
        <f t="array" aca="1" ref="BI15" ca="1">+_xll.EQNXTDZ($A$1,$B15,BI$2)</f>
        <v>#NAME?</v>
      </c>
      <c r="BJ15" t="e" cm="1">
        <f t="array" aca="1" ref="BJ15" ca="1">+_xll.EQNXTDZ($A$1,$B15,BJ$2)</f>
        <v>#NAME?</v>
      </c>
    </row>
    <row r="16" spans="1:62" x14ac:dyDescent="0.25">
      <c r="A16" t="s">
        <v>218</v>
      </c>
      <c r="B16" t="s">
        <v>255</v>
      </c>
      <c r="C16" t="e" cm="1">
        <f t="array" aca="1" ref="C16" ca="1">+_xll.EQNXTDZ($A$1,$B16,C$2)</f>
        <v>#NAME?</v>
      </c>
      <c r="D16" t="e" cm="1">
        <f t="array" aca="1" ref="D16" ca="1">+_xll.EQNXTDZ($A$1,$B16,D$2)</f>
        <v>#NAME?</v>
      </c>
      <c r="E16" t="e" cm="1">
        <f t="array" aca="1" ref="E16" ca="1">+_xll.EQNXTDZ($A$1,$B16,E$2)</f>
        <v>#NAME?</v>
      </c>
      <c r="F16" t="e" cm="1">
        <f t="array" aca="1" ref="F16" ca="1">+_xll.EQNXTDZ($A$1,$B16,F$2)</f>
        <v>#NAME?</v>
      </c>
      <c r="G16" t="e" cm="1">
        <f t="array" aca="1" ref="G16" ca="1">+_xll.EQNXTDZ($A$1,$B16,G$2)</f>
        <v>#NAME?</v>
      </c>
      <c r="H16" t="e" cm="1">
        <f t="array" aca="1" ref="H16" ca="1">+_xll.EQNXTDZ($A$1,$B16,H$2)</f>
        <v>#NAME?</v>
      </c>
      <c r="I16" t="e" cm="1">
        <f t="array" aca="1" ref="I16" ca="1">+_xll.EQNXTDZ($A$1,$B16,I$2)</f>
        <v>#NAME?</v>
      </c>
      <c r="J16" t="e" cm="1">
        <f t="array" aca="1" ref="J16" ca="1">+_xll.EQNXTDZ($A$1,$B16,J$2)</f>
        <v>#NAME?</v>
      </c>
      <c r="K16" t="e" cm="1">
        <f t="array" aca="1" ref="K16" ca="1">+_xll.EQNXTDZ($A$1,$B16,K$2)</f>
        <v>#NAME?</v>
      </c>
      <c r="L16" t="e" cm="1">
        <f t="array" aca="1" ref="L16" ca="1">+_xll.EQNXTDZ($A$1,$B16,L$2)</f>
        <v>#NAME?</v>
      </c>
      <c r="M16" t="e" cm="1">
        <f t="array" aca="1" ref="M16" ca="1">+_xll.EQNXTDZ($A$1,$B16,M$2)</f>
        <v>#NAME?</v>
      </c>
      <c r="N16" t="e" cm="1">
        <f t="array" aca="1" ref="N16" ca="1">+_xll.EQNXTDZ($A$1,$B16,N$2)</f>
        <v>#NAME?</v>
      </c>
      <c r="O16" t="e" cm="1">
        <f t="array" aca="1" ref="O16" ca="1">+_xll.EQNXTDZ($A$1,$B16,O$2)</f>
        <v>#NAME?</v>
      </c>
      <c r="P16" t="e" cm="1">
        <f t="array" aca="1" ref="P16" ca="1">+_xll.EQNXTDZ($A$1,$B16,P$2)</f>
        <v>#NAME?</v>
      </c>
      <c r="Q16" t="e" cm="1">
        <f t="array" aca="1" ref="Q16" ca="1">+_xll.EQNXTDZ($A$1,$B16,Q$2)</f>
        <v>#NAME?</v>
      </c>
      <c r="R16" t="e" cm="1">
        <f t="array" aca="1" ref="R16" ca="1">+_xll.EQNXTDZ($A$1,$B16,R$2)</f>
        <v>#NAME?</v>
      </c>
      <c r="S16" t="e" cm="1">
        <f t="array" aca="1" ref="S16" ca="1">+_xll.EQNXTDZ($A$1,$B16,S$2)</f>
        <v>#NAME?</v>
      </c>
      <c r="T16" t="e" cm="1">
        <f t="array" aca="1" ref="T16" ca="1">+_xll.EQNXTDZ($A$1,$B16,T$2)</f>
        <v>#NAME?</v>
      </c>
      <c r="U16" t="e" cm="1">
        <f t="array" aca="1" ref="U16" ca="1">+_xll.EQNXTDZ($A$1,$B16,U$2)</f>
        <v>#NAME?</v>
      </c>
      <c r="V16" t="e" cm="1">
        <f t="array" aca="1" ref="V16" ca="1">+_xll.EQNXTDZ($A$1,$B16,V$2)</f>
        <v>#NAME?</v>
      </c>
      <c r="W16" t="e" cm="1">
        <f t="array" aca="1" ref="W16" ca="1">+_xll.EQNXTDZ($A$1,$B16,W$2)</f>
        <v>#NAME?</v>
      </c>
      <c r="X16" t="e" cm="1">
        <f t="array" aca="1" ref="X16" ca="1">+_xll.EQNXTDZ($A$1,$B16,X$2)</f>
        <v>#NAME?</v>
      </c>
      <c r="Y16" t="e" cm="1">
        <f t="array" aca="1" ref="Y16" ca="1">+_xll.EQNXTDZ($A$1,$B16,Y$2)</f>
        <v>#NAME?</v>
      </c>
      <c r="Z16" t="e" cm="1">
        <f t="array" aca="1" ref="Z16" ca="1">+_xll.EQNXTDZ($A$1,$B16,Z$2)</f>
        <v>#NAME?</v>
      </c>
      <c r="AA16" t="e" cm="1">
        <f t="array" aca="1" ref="AA16" ca="1">+_xll.EQNXTDZ($A$1,$B16,AA$2)</f>
        <v>#NAME?</v>
      </c>
      <c r="AB16" t="e" cm="1">
        <f t="array" aca="1" ref="AB16" ca="1">+_xll.EQNXTDZ($A$1,$B16,AB$2)</f>
        <v>#NAME?</v>
      </c>
      <c r="AC16" t="e" cm="1">
        <f t="array" aca="1" ref="AC16" ca="1">+_xll.EQNXTDZ($A$1,$B16,AC$2)</f>
        <v>#NAME?</v>
      </c>
      <c r="AD16" t="e" cm="1">
        <f t="array" aca="1" ref="AD16" ca="1">+_xll.EQNXTDZ($A$1,$B16,AD$2)</f>
        <v>#NAME?</v>
      </c>
      <c r="AE16" t="e" cm="1">
        <f t="array" aca="1" ref="AE16" ca="1">+_xll.EQNXTDZ($A$1,$B16,AE$2)</f>
        <v>#NAME?</v>
      </c>
      <c r="AF16" t="e" cm="1">
        <f t="array" aca="1" ref="AF16" ca="1">+_xll.EQNXTDZ($A$1,$B16,AF$2)</f>
        <v>#NAME?</v>
      </c>
      <c r="AG16" t="e" cm="1">
        <f t="array" aca="1" ref="AG16" ca="1">+_xll.EQNXTDZ($A$1,$B16,AG$2)</f>
        <v>#NAME?</v>
      </c>
      <c r="AH16" t="e" cm="1">
        <f t="array" aca="1" ref="AH16" ca="1">+_xll.EQNXTDZ($A$1,$B16,AH$2)</f>
        <v>#NAME?</v>
      </c>
      <c r="AI16" t="e" cm="1">
        <f t="array" aca="1" ref="AI16" ca="1">+_xll.EQNXTDZ($A$1,$B16,AI$2)</f>
        <v>#NAME?</v>
      </c>
      <c r="AJ16" t="e" cm="1">
        <f t="array" aca="1" ref="AJ16" ca="1">+_xll.EQNXTDZ($A$1,$B16,AJ$2)</f>
        <v>#NAME?</v>
      </c>
      <c r="AK16" t="e" cm="1">
        <f t="array" aca="1" ref="AK16" ca="1">+_xll.EQNXTDZ($A$1,$B16,AK$2)</f>
        <v>#NAME?</v>
      </c>
      <c r="AL16" t="e" cm="1">
        <f t="array" aca="1" ref="AL16" ca="1">+_xll.EQNXTDZ($A$1,$B16,AL$2)</f>
        <v>#NAME?</v>
      </c>
      <c r="AM16" t="e" cm="1">
        <f t="array" aca="1" ref="AM16" ca="1">+_xll.EQNXTDZ($A$1,$B16,AM$2)</f>
        <v>#NAME?</v>
      </c>
      <c r="AN16" t="e" cm="1">
        <f t="array" aca="1" ref="AN16" ca="1">+_xll.EQNXTDZ($A$1,$B16,AN$2)</f>
        <v>#NAME?</v>
      </c>
      <c r="AO16" t="e" cm="1">
        <f t="array" aca="1" ref="AO16" ca="1">+_xll.EQNXTDZ($A$1,$B16,AO$2)</f>
        <v>#NAME?</v>
      </c>
      <c r="AP16" t="e" cm="1">
        <f t="array" aca="1" ref="AP16" ca="1">+_xll.EQNXTDZ($A$1,$B16,AP$2)</f>
        <v>#NAME?</v>
      </c>
      <c r="AQ16" t="e" cm="1">
        <f t="array" aca="1" ref="AQ16" ca="1">+_xll.EQNXTDZ($A$1,$B16,AQ$2)</f>
        <v>#NAME?</v>
      </c>
      <c r="AR16" t="e" cm="1">
        <f t="array" aca="1" ref="AR16" ca="1">+_xll.EQNXTDZ($A$1,$B16,AR$2)</f>
        <v>#NAME?</v>
      </c>
      <c r="AS16" t="e" cm="1">
        <f t="array" aca="1" ref="AS16" ca="1">+_xll.EQNXTDZ($A$1,$B16,AS$2)</f>
        <v>#NAME?</v>
      </c>
      <c r="AT16" t="e" cm="1">
        <f t="array" aca="1" ref="AT16" ca="1">+_xll.EQNXTDZ($A$1,$B16,AT$2)</f>
        <v>#NAME?</v>
      </c>
      <c r="AU16" t="e" cm="1">
        <f t="array" aca="1" ref="AU16" ca="1">+_xll.EQNXTDZ($A$1,$B16,AU$2)</f>
        <v>#NAME?</v>
      </c>
      <c r="AV16" t="e" cm="1">
        <f t="array" aca="1" ref="AV16" ca="1">+_xll.EQNXTDZ($A$1,$B16,AV$2)</f>
        <v>#NAME?</v>
      </c>
      <c r="AW16" t="e" cm="1">
        <f t="array" aca="1" ref="AW16" ca="1">+_xll.EQNXTDZ($A$1,$B16,AW$2)</f>
        <v>#NAME?</v>
      </c>
      <c r="AX16" t="e" cm="1">
        <f t="array" aca="1" ref="AX16" ca="1">+_xll.EQNXTDZ($A$1,$B16,AX$2)</f>
        <v>#NAME?</v>
      </c>
      <c r="AY16" t="e" cm="1">
        <f t="array" aca="1" ref="AY16" ca="1">+_xll.EQNXTDZ($A$1,$B16,AY$2)</f>
        <v>#NAME?</v>
      </c>
      <c r="AZ16" t="e" cm="1">
        <f t="array" aca="1" ref="AZ16" ca="1">+_xll.EQNXTDZ($A$1,$B16,AZ$2)</f>
        <v>#NAME?</v>
      </c>
      <c r="BA16" t="e" cm="1">
        <f t="array" aca="1" ref="BA16" ca="1">+_xll.EQNXTDZ($A$1,$B16,BA$2)</f>
        <v>#NAME?</v>
      </c>
      <c r="BB16" t="e" cm="1">
        <f t="array" aca="1" ref="BB16" ca="1">+_xll.EQNXTDZ($A$1,$B16,BB$2)</f>
        <v>#NAME?</v>
      </c>
      <c r="BC16" t="e" cm="1">
        <f t="array" aca="1" ref="BC16" ca="1">+_xll.EQNXTDZ($A$1,$B16,BC$2)</f>
        <v>#NAME?</v>
      </c>
      <c r="BD16" t="e" cm="1">
        <f t="array" aca="1" ref="BD16" ca="1">+_xll.EQNXTDZ($A$1,$B16,BD$2)</f>
        <v>#NAME?</v>
      </c>
      <c r="BE16" t="e" cm="1">
        <f t="array" aca="1" ref="BE16" ca="1">+_xll.EQNXTDZ($A$1,$B16,BE$2)</f>
        <v>#NAME?</v>
      </c>
      <c r="BF16" t="e" cm="1">
        <f t="array" aca="1" ref="BF16" ca="1">+_xll.EQNXTDZ($A$1,$B16,BF$2)</f>
        <v>#NAME?</v>
      </c>
      <c r="BG16" t="e" cm="1">
        <f t="array" aca="1" ref="BG16" ca="1">+_xll.EQNXTDZ($A$1,$B16,BG$2)</f>
        <v>#NAME?</v>
      </c>
      <c r="BH16" t="e" cm="1">
        <f t="array" aca="1" ref="BH16" ca="1">+_xll.EQNXTDZ($A$1,$B16,BH$2)</f>
        <v>#NAME?</v>
      </c>
      <c r="BI16" t="e" cm="1">
        <f t="array" aca="1" ref="BI16" ca="1">+_xll.EQNXTDZ($A$1,$B16,BI$2)</f>
        <v>#NAME?</v>
      </c>
      <c r="BJ16" t="e" cm="1">
        <f t="array" aca="1" ref="BJ16" ca="1">+_xll.EQNXTDZ($A$1,$B16,BJ$2)</f>
        <v>#NAME?</v>
      </c>
    </row>
    <row r="17" spans="1:62" x14ac:dyDescent="0.25">
      <c r="A17" t="s">
        <v>219</v>
      </c>
      <c r="B17" t="s">
        <v>256</v>
      </c>
      <c r="C17" t="e" cm="1">
        <f t="array" aca="1" ref="C17" ca="1">+_xll.EQNXTDZ($A$1,$B17,C$2)</f>
        <v>#NAME?</v>
      </c>
      <c r="D17" t="e" cm="1">
        <f t="array" aca="1" ref="D17" ca="1">+_xll.EQNXTDZ($A$1,$B17,D$2)</f>
        <v>#NAME?</v>
      </c>
      <c r="E17" t="e" cm="1">
        <f t="array" aca="1" ref="E17" ca="1">+_xll.EQNXTDZ($A$1,$B17,E$2)</f>
        <v>#NAME?</v>
      </c>
      <c r="F17" t="e" cm="1">
        <f t="array" aca="1" ref="F17" ca="1">+_xll.EQNXTDZ($A$1,$B17,F$2)</f>
        <v>#NAME?</v>
      </c>
      <c r="G17" t="e" cm="1">
        <f t="array" aca="1" ref="G17" ca="1">+_xll.EQNXTDZ($A$1,$B17,G$2)</f>
        <v>#NAME?</v>
      </c>
      <c r="H17" t="e" cm="1">
        <f t="array" aca="1" ref="H17" ca="1">+_xll.EQNXTDZ($A$1,$B17,H$2)</f>
        <v>#NAME?</v>
      </c>
      <c r="I17" t="e" cm="1">
        <f t="array" aca="1" ref="I17" ca="1">+_xll.EQNXTDZ($A$1,$B17,I$2)</f>
        <v>#NAME?</v>
      </c>
      <c r="J17" t="e" cm="1">
        <f t="array" aca="1" ref="J17" ca="1">+_xll.EQNXTDZ($A$1,$B17,J$2)</f>
        <v>#NAME?</v>
      </c>
      <c r="K17" t="e" cm="1">
        <f t="array" aca="1" ref="K17" ca="1">+_xll.EQNXTDZ($A$1,$B17,K$2)</f>
        <v>#NAME?</v>
      </c>
      <c r="L17" t="e" cm="1">
        <f t="array" aca="1" ref="L17" ca="1">+_xll.EQNXTDZ($A$1,$B17,L$2)</f>
        <v>#NAME?</v>
      </c>
      <c r="M17" t="e" cm="1">
        <f t="array" aca="1" ref="M17" ca="1">+_xll.EQNXTDZ($A$1,$B17,M$2)</f>
        <v>#NAME?</v>
      </c>
      <c r="N17" t="e" cm="1">
        <f t="array" aca="1" ref="N17" ca="1">+_xll.EQNXTDZ($A$1,$B17,N$2)</f>
        <v>#NAME?</v>
      </c>
      <c r="O17" t="e" cm="1">
        <f t="array" aca="1" ref="O17" ca="1">+_xll.EQNXTDZ($A$1,$B17,O$2)</f>
        <v>#NAME?</v>
      </c>
      <c r="P17" t="e" cm="1">
        <f t="array" aca="1" ref="P17" ca="1">+_xll.EQNXTDZ($A$1,$B17,P$2)</f>
        <v>#NAME?</v>
      </c>
      <c r="Q17" t="e" cm="1">
        <f t="array" aca="1" ref="Q17" ca="1">+_xll.EQNXTDZ($A$1,$B17,Q$2)</f>
        <v>#NAME?</v>
      </c>
      <c r="R17" t="e" cm="1">
        <f t="array" aca="1" ref="R17" ca="1">+_xll.EQNXTDZ($A$1,$B17,R$2)</f>
        <v>#NAME?</v>
      </c>
      <c r="S17" t="e" cm="1">
        <f t="array" aca="1" ref="S17" ca="1">+_xll.EQNXTDZ($A$1,$B17,S$2)</f>
        <v>#NAME?</v>
      </c>
      <c r="T17" t="e" cm="1">
        <f t="array" aca="1" ref="T17" ca="1">+_xll.EQNXTDZ($A$1,$B17,T$2)</f>
        <v>#NAME?</v>
      </c>
      <c r="U17" t="e" cm="1">
        <f t="array" aca="1" ref="U17" ca="1">+_xll.EQNXTDZ($A$1,$B17,U$2)</f>
        <v>#NAME?</v>
      </c>
      <c r="V17" t="e" cm="1">
        <f t="array" aca="1" ref="V17" ca="1">+_xll.EQNXTDZ($A$1,$B17,V$2)</f>
        <v>#NAME?</v>
      </c>
      <c r="W17" t="e" cm="1">
        <f t="array" aca="1" ref="W17" ca="1">+_xll.EQNXTDZ($A$1,$B17,W$2)</f>
        <v>#NAME?</v>
      </c>
      <c r="X17" t="e" cm="1">
        <f t="array" aca="1" ref="X17" ca="1">+_xll.EQNXTDZ($A$1,$B17,X$2)</f>
        <v>#NAME?</v>
      </c>
      <c r="Y17" t="e" cm="1">
        <f t="array" aca="1" ref="Y17" ca="1">+_xll.EQNXTDZ($A$1,$B17,Y$2)</f>
        <v>#NAME?</v>
      </c>
      <c r="Z17" t="e" cm="1">
        <f t="array" aca="1" ref="Z17" ca="1">+_xll.EQNXTDZ($A$1,$B17,Z$2)</f>
        <v>#NAME?</v>
      </c>
      <c r="AA17" t="e" cm="1">
        <f t="array" aca="1" ref="AA17" ca="1">+_xll.EQNXTDZ($A$1,$B17,AA$2)</f>
        <v>#NAME?</v>
      </c>
      <c r="AB17" t="e" cm="1">
        <f t="array" aca="1" ref="AB17" ca="1">+_xll.EQNXTDZ($A$1,$B17,AB$2)</f>
        <v>#NAME?</v>
      </c>
      <c r="AC17" t="e" cm="1">
        <f t="array" aca="1" ref="AC17" ca="1">+_xll.EQNXTDZ($A$1,$B17,AC$2)</f>
        <v>#NAME?</v>
      </c>
      <c r="AD17" t="e" cm="1">
        <f t="array" aca="1" ref="AD17" ca="1">+_xll.EQNXTDZ($A$1,$B17,AD$2)</f>
        <v>#NAME?</v>
      </c>
      <c r="AE17" t="e" cm="1">
        <f t="array" aca="1" ref="AE17" ca="1">+_xll.EQNXTDZ($A$1,$B17,AE$2)</f>
        <v>#NAME?</v>
      </c>
      <c r="AF17" t="e" cm="1">
        <f t="array" aca="1" ref="AF17" ca="1">+_xll.EQNXTDZ($A$1,$B17,AF$2)</f>
        <v>#NAME?</v>
      </c>
      <c r="AG17" t="e" cm="1">
        <f t="array" aca="1" ref="AG17" ca="1">+_xll.EQNXTDZ($A$1,$B17,AG$2)</f>
        <v>#NAME?</v>
      </c>
      <c r="AH17" t="e" cm="1">
        <f t="array" aca="1" ref="AH17" ca="1">+_xll.EQNXTDZ($A$1,$B17,AH$2)</f>
        <v>#NAME?</v>
      </c>
      <c r="AI17" t="e" cm="1">
        <f t="array" aca="1" ref="AI17" ca="1">+_xll.EQNXTDZ($A$1,$B17,AI$2)</f>
        <v>#NAME?</v>
      </c>
      <c r="AJ17" t="e" cm="1">
        <f t="array" aca="1" ref="AJ17" ca="1">+_xll.EQNXTDZ($A$1,$B17,AJ$2)</f>
        <v>#NAME?</v>
      </c>
      <c r="AK17" t="e" cm="1">
        <f t="array" aca="1" ref="AK17" ca="1">+_xll.EQNXTDZ($A$1,$B17,AK$2)</f>
        <v>#NAME?</v>
      </c>
      <c r="AL17" t="e" cm="1">
        <f t="array" aca="1" ref="AL17" ca="1">+_xll.EQNXTDZ($A$1,$B17,AL$2)</f>
        <v>#NAME?</v>
      </c>
      <c r="AM17" t="e" cm="1">
        <f t="array" aca="1" ref="AM17" ca="1">+_xll.EQNXTDZ($A$1,$B17,AM$2)</f>
        <v>#NAME?</v>
      </c>
      <c r="AN17" t="e" cm="1">
        <f t="array" aca="1" ref="AN17" ca="1">+_xll.EQNXTDZ($A$1,$B17,AN$2)</f>
        <v>#NAME?</v>
      </c>
      <c r="AO17" t="e" cm="1">
        <f t="array" aca="1" ref="AO17" ca="1">+_xll.EQNXTDZ($A$1,$B17,AO$2)</f>
        <v>#NAME?</v>
      </c>
      <c r="AP17" t="e" cm="1">
        <f t="array" aca="1" ref="AP17" ca="1">+_xll.EQNXTDZ($A$1,$B17,AP$2)</f>
        <v>#NAME?</v>
      </c>
      <c r="AQ17" t="e" cm="1">
        <f t="array" aca="1" ref="AQ17" ca="1">+_xll.EQNXTDZ($A$1,$B17,AQ$2)</f>
        <v>#NAME?</v>
      </c>
      <c r="AR17" t="e" cm="1">
        <f t="array" aca="1" ref="AR17" ca="1">+_xll.EQNXTDZ($A$1,$B17,AR$2)</f>
        <v>#NAME?</v>
      </c>
      <c r="AS17" t="e" cm="1">
        <f t="array" aca="1" ref="AS17" ca="1">+_xll.EQNXTDZ($A$1,$B17,AS$2)</f>
        <v>#NAME?</v>
      </c>
      <c r="AT17" t="e" cm="1">
        <f t="array" aca="1" ref="AT17" ca="1">+_xll.EQNXTDZ($A$1,$B17,AT$2)</f>
        <v>#NAME?</v>
      </c>
      <c r="AU17" t="e" cm="1">
        <f t="array" aca="1" ref="AU17" ca="1">+_xll.EQNXTDZ($A$1,$B17,AU$2)</f>
        <v>#NAME?</v>
      </c>
      <c r="AV17" t="e" cm="1">
        <f t="array" aca="1" ref="AV17" ca="1">+_xll.EQNXTDZ($A$1,$B17,AV$2)</f>
        <v>#NAME?</v>
      </c>
      <c r="AW17" t="e" cm="1">
        <f t="array" aca="1" ref="AW17" ca="1">+_xll.EQNXTDZ($A$1,$B17,AW$2)</f>
        <v>#NAME?</v>
      </c>
      <c r="AX17" t="e" cm="1">
        <f t="array" aca="1" ref="AX17" ca="1">+_xll.EQNXTDZ($A$1,$B17,AX$2)</f>
        <v>#NAME?</v>
      </c>
      <c r="AY17" t="e" cm="1">
        <f t="array" aca="1" ref="AY17" ca="1">+_xll.EQNXTDZ($A$1,$B17,AY$2)</f>
        <v>#NAME?</v>
      </c>
      <c r="AZ17" t="e" cm="1">
        <f t="array" aca="1" ref="AZ17" ca="1">+_xll.EQNXTDZ($A$1,$B17,AZ$2)</f>
        <v>#NAME?</v>
      </c>
      <c r="BA17" t="e" cm="1">
        <f t="array" aca="1" ref="BA17" ca="1">+_xll.EQNXTDZ($A$1,$B17,BA$2)</f>
        <v>#NAME?</v>
      </c>
      <c r="BB17" t="e" cm="1">
        <f t="array" aca="1" ref="BB17" ca="1">+_xll.EQNXTDZ($A$1,$B17,BB$2)</f>
        <v>#NAME?</v>
      </c>
      <c r="BC17" t="e" cm="1">
        <f t="array" aca="1" ref="BC17" ca="1">+_xll.EQNXTDZ($A$1,$B17,BC$2)</f>
        <v>#NAME?</v>
      </c>
      <c r="BD17" t="e" cm="1">
        <f t="array" aca="1" ref="BD17" ca="1">+_xll.EQNXTDZ($A$1,$B17,BD$2)</f>
        <v>#NAME?</v>
      </c>
      <c r="BE17" t="e" cm="1">
        <f t="array" aca="1" ref="BE17" ca="1">+_xll.EQNXTDZ($A$1,$B17,BE$2)</f>
        <v>#NAME?</v>
      </c>
      <c r="BF17" t="e" cm="1">
        <f t="array" aca="1" ref="BF17" ca="1">+_xll.EQNXTDZ($A$1,$B17,BF$2)</f>
        <v>#NAME?</v>
      </c>
      <c r="BG17" t="e" cm="1">
        <f t="array" aca="1" ref="BG17" ca="1">+_xll.EQNXTDZ($A$1,$B17,BG$2)</f>
        <v>#NAME?</v>
      </c>
      <c r="BH17" t="e" cm="1">
        <f t="array" aca="1" ref="BH17" ca="1">+_xll.EQNXTDZ($A$1,$B17,BH$2)</f>
        <v>#NAME?</v>
      </c>
      <c r="BI17" t="e" cm="1">
        <f t="array" aca="1" ref="BI17" ca="1">+_xll.EQNXTDZ($A$1,$B17,BI$2)</f>
        <v>#NAME?</v>
      </c>
      <c r="BJ17" t="e" cm="1">
        <f t="array" aca="1" ref="BJ17" ca="1">+_xll.EQNXTDZ($A$1,$B17,BJ$2)</f>
        <v>#NAME?</v>
      </c>
    </row>
    <row r="18" spans="1:62" x14ac:dyDescent="0.25">
      <c r="A18" t="s">
        <v>2</v>
      </c>
      <c r="B18" t="s">
        <v>257</v>
      </c>
      <c r="C18" t="e" cm="1">
        <f t="array" aca="1" ref="C18" ca="1">+_xll.EQNXTDZ($A$1,$B18,C$2)</f>
        <v>#NAME?</v>
      </c>
      <c r="D18" t="e" cm="1">
        <f t="array" aca="1" ref="D18" ca="1">+_xll.EQNXTDZ($A$1,$B18,D$2)</f>
        <v>#NAME?</v>
      </c>
      <c r="E18" t="e" cm="1">
        <f t="array" aca="1" ref="E18" ca="1">+_xll.EQNXTDZ($A$1,$B18,E$2)</f>
        <v>#NAME?</v>
      </c>
      <c r="F18" t="e" cm="1">
        <f t="array" aca="1" ref="F18" ca="1">+_xll.EQNXTDZ($A$1,$B18,F$2)</f>
        <v>#NAME?</v>
      </c>
      <c r="G18" t="e" cm="1">
        <f t="array" aca="1" ref="G18" ca="1">+_xll.EQNXTDZ($A$1,$B18,G$2)</f>
        <v>#NAME?</v>
      </c>
      <c r="H18" t="e" cm="1">
        <f t="array" aca="1" ref="H18" ca="1">+_xll.EQNXTDZ($A$1,$B18,H$2)</f>
        <v>#NAME?</v>
      </c>
      <c r="I18" t="e" cm="1">
        <f t="array" aca="1" ref="I18" ca="1">+_xll.EQNXTDZ($A$1,$B18,I$2)</f>
        <v>#NAME?</v>
      </c>
      <c r="J18" t="e" cm="1">
        <f t="array" aca="1" ref="J18" ca="1">+_xll.EQNXTDZ($A$1,$B18,J$2)</f>
        <v>#NAME?</v>
      </c>
      <c r="K18" t="e" cm="1">
        <f t="array" aca="1" ref="K18" ca="1">+_xll.EQNXTDZ($A$1,$B18,K$2)</f>
        <v>#NAME?</v>
      </c>
      <c r="L18" t="e" cm="1">
        <f t="array" aca="1" ref="L18" ca="1">+_xll.EQNXTDZ($A$1,$B18,L$2)</f>
        <v>#NAME?</v>
      </c>
      <c r="M18" t="e" cm="1">
        <f t="array" aca="1" ref="M18" ca="1">+_xll.EQNXTDZ($A$1,$B18,M$2)</f>
        <v>#NAME?</v>
      </c>
      <c r="N18" t="e" cm="1">
        <f t="array" aca="1" ref="N18" ca="1">+_xll.EQNXTDZ($A$1,$B18,N$2)</f>
        <v>#NAME?</v>
      </c>
      <c r="O18" t="e" cm="1">
        <f t="array" aca="1" ref="O18" ca="1">+_xll.EQNXTDZ($A$1,$B18,O$2)</f>
        <v>#NAME?</v>
      </c>
      <c r="P18" t="e" cm="1">
        <f t="array" aca="1" ref="P18" ca="1">+_xll.EQNXTDZ($A$1,$B18,P$2)</f>
        <v>#NAME?</v>
      </c>
      <c r="Q18" t="e" cm="1">
        <f t="array" aca="1" ref="Q18" ca="1">+_xll.EQNXTDZ($A$1,$B18,Q$2)</f>
        <v>#NAME?</v>
      </c>
      <c r="R18" t="e" cm="1">
        <f t="array" aca="1" ref="R18" ca="1">+_xll.EQNXTDZ($A$1,$B18,R$2)</f>
        <v>#NAME?</v>
      </c>
      <c r="S18" t="e" cm="1">
        <f t="array" aca="1" ref="S18" ca="1">+_xll.EQNXTDZ($A$1,$B18,S$2)</f>
        <v>#NAME?</v>
      </c>
      <c r="T18" t="e" cm="1">
        <f t="array" aca="1" ref="T18" ca="1">+_xll.EQNXTDZ($A$1,$B18,T$2)</f>
        <v>#NAME?</v>
      </c>
      <c r="U18" t="e" cm="1">
        <f t="array" aca="1" ref="U18" ca="1">+_xll.EQNXTDZ($A$1,$B18,U$2)</f>
        <v>#NAME?</v>
      </c>
      <c r="V18" t="e" cm="1">
        <f t="array" aca="1" ref="V18" ca="1">+_xll.EQNXTDZ($A$1,$B18,V$2)</f>
        <v>#NAME?</v>
      </c>
      <c r="W18" t="e" cm="1">
        <f t="array" aca="1" ref="W18" ca="1">+_xll.EQNXTDZ($A$1,$B18,W$2)</f>
        <v>#NAME?</v>
      </c>
      <c r="X18" t="e" cm="1">
        <f t="array" aca="1" ref="X18" ca="1">+_xll.EQNXTDZ($A$1,$B18,X$2)</f>
        <v>#NAME?</v>
      </c>
      <c r="Y18" t="e" cm="1">
        <f t="array" aca="1" ref="Y18" ca="1">+_xll.EQNXTDZ($A$1,$B18,Y$2)</f>
        <v>#NAME?</v>
      </c>
      <c r="Z18" t="e" cm="1">
        <f t="array" aca="1" ref="Z18" ca="1">+_xll.EQNXTDZ($A$1,$B18,Z$2)</f>
        <v>#NAME?</v>
      </c>
      <c r="AA18" t="e" cm="1">
        <f t="array" aca="1" ref="AA18" ca="1">+_xll.EQNXTDZ($A$1,$B18,AA$2)</f>
        <v>#NAME?</v>
      </c>
      <c r="AB18" t="e" cm="1">
        <f t="array" aca="1" ref="AB18" ca="1">+_xll.EQNXTDZ($A$1,$B18,AB$2)</f>
        <v>#NAME?</v>
      </c>
      <c r="AC18" t="e" cm="1">
        <f t="array" aca="1" ref="AC18" ca="1">+_xll.EQNXTDZ($A$1,$B18,AC$2)</f>
        <v>#NAME?</v>
      </c>
      <c r="AD18" t="e" cm="1">
        <f t="array" aca="1" ref="AD18" ca="1">+_xll.EQNXTDZ($A$1,$B18,AD$2)</f>
        <v>#NAME?</v>
      </c>
      <c r="AE18" t="e" cm="1">
        <f t="array" aca="1" ref="AE18" ca="1">+_xll.EQNXTDZ($A$1,$B18,AE$2)</f>
        <v>#NAME?</v>
      </c>
      <c r="AF18" t="e" cm="1">
        <f t="array" aca="1" ref="AF18" ca="1">+_xll.EQNXTDZ($A$1,$B18,AF$2)</f>
        <v>#NAME?</v>
      </c>
      <c r="AG18" t="e" cm="1">
        <f t="array" aca="1" ref="AG18" ca="1">+_xll.EQNXTDZ($A$1,$B18,AG$2)</f>
        <v>#NAME?</v>
      </c>
      <c r="AH18" t="e" cm="1">
        <f t="array" aca="1" ref="AH18" ca="1">+_xll.EQNXTDZ($A$1,$B18,AH$2)</f>
        <v>#NAME?</v>
      </c>
      <c r="AI18" t="e" cm="1">
        <f t="array" aca="1" ref="AI18" ca="1">+_xll.EQNXTDZ($A$1,$B18,AI$2)</f>
        <v>#NAME?</v>
      </c>
      <c r="AJ18" t="e" cm="1">
        <f t="array" aca="1" ref="AJ18" ca="1">+_xll.EQNXTDZ($A$1,$B18,AJ$2)</f>
        <v>#NAME?</v>
      </c>
      <c r="AK18" t="e" cm="1">
        <f t="array" aca="1" ref="AK18" ca="1">+_xll.EQNXTDZ($A$1,$B18,AK$2)</f>
        <v>#NAME?</v>
      </c>
      <c r="AL18" t="e" cm="1">
        <f t="array" aca="1" ref="AL18" ca="1">+_xll.EQNXTDZ($A$1,$B18,AL$2)</f>
        <v>#NAME?</v>
      </c>
      <c r="AM18" t="e" cm="1">
        <f t="array" aca="1" ref="AM18" ca="1">+_xll.EQNXTDZ($A$1,$B18,AM$2)</f>
        <v>#NAME?</v>
      </c>
      <c r="AN18" t="e" cm="1">
        <f t="array" aca="1" ref="AN18" ca="1">+_xll.EQNXTDZ($A$1,$B18,AN$2)</f>
        <v>#NAME?</v>
      </c>
      <c r="AO18" t="e" cm="1">
        <f t="array" aca="1" ref="AO18" ca="1">+_xll.EQNXTDZ($A$1,$B18,AO$2)</f>
        <v>#NAME?</v>
      </c>
      <c r="AP18" t="e" cm="1">
        <f t="array" aca="1" ref="AP18" ca="1">+_xll.EQNXTDZ($A$1,$B18,AP$2)</f>
        <v>#NAME?</v>
      </c>
      <c r="AQ18" t="e" cm="1">
        <f t="array" aca="1" ref="AQ18" ca="1">+_xll.EQNXTDZ($A$1,$B18,AQ$2)</f>
        <v>#NAME?</v>
      </c>
      <c r="AR18" t="e" cm="1">
        <f t="array" aca="1" ref="AR18" ca="1">+_xll.EQNXTDZ($A$1,$B18,AR$2)</f>
        <v>#NAME?</v>
      </c>
      <c r="AS18" t="e" cm="1">
        <f t="array" aca="1" ref="AS18" ca="1">+_xll.EQNXTDZ($A$1,$B18,AS$2)</f>
        <v>#NAME?</v>
      </c>
      <c r="AT18" t="e" cm="1">
        <f t="array" aca="1" ref="AT18" ca="1">+_xll.EQNXTDZ($A$1,$B18,AT$2)</f>
        <v>#NAME?</v>
      </c>
      <c r="AU18" t="e" cm="1">
        <f t="array" aca="1" ref="AU18" ca="1">+_xll.EQNXTDZ($A$1,$B18,AU$2)</f>
        <v>#NAME?</v>
      </c>
      <c r="AV18" t="e" cm="1">
        <f t="array" aca="1" ref="AV18" ca="1">+_xll.EQNXTDZ($A$1,$B18,AV$2)</f>
        <v>#NAME?</v>
      </c>
      <c r="AW18" t="e" cm="1">
        <f t="array" aca="1" ref="AW18" ca="1">+_xll.EQNXTDZ($A$1,$B18,AW$2)</f>
        <v>#NAME?</v>
      </c>
      <c r="AX18" t="e" cm="1">
        <f t="array" aca="1" ref="AX18" ca="1">+_xll.EQNXTDZ($A$1,$B18,AX$2)</f>
        <v>#NAME?</v>
      </c>
      <c r="AY18" t="e" cm="1">
        <f t="array" aca="1" ref="AY18" ca="1">+_xll.EQNXTDZ($A$1,$B18,AY$2)</f>
        <v>#NAME?</v>
      </c>
      <c r="AZ18" t="e" cm="1">
        <f t="array" aca="1" ref="AZ18" ca="1">+_xll.EQNXTDZ($A$1,$B18,AZ$2)</f>
        <v>#NAME?</v>
      </c>
      <c r="BA18" t="e" cm="1">
        <f t="array" aca="1" ref="BA18" ca="1">+_xll.EQNXTDZ($A$1,$B18,BA$2)</f>
        <v>#NAME?</v>
      </c>
      <c r="BB18" t="e" cm="1">
        <f t="array" aca="1" ref="BB18" ca="1">+_xll.EQNXTDZ($A$1,$B18,BB$2)</f>
        <v>#NAME?</v>
      </c>
      <c r="BC18" t="e" cm="1">
        <f t="array" aca="1" ref="BC18" ca="1">+_xll.EQNXTDZ($A$1,$B18,BC$2)</f>
        <v>#NAME?</v>
      </c>
      <c r="BD18" t="e" cm="1">
        <f t="array" aca="1" ref="BD18" ca="1">+_xll.EQNXTDZ($A$1,$B18,BD$2)</f>
        <v>#NAME?</v>
      </c>
      <c r="BE18" t="e" cm="1">
        <f t="array" aca="1" ref="BE18" ca="1">+_xll.EQNXTDZ($A$1,$B18,BE$2)</f>
        <v>#NAME?</v>
      </c>
      <c r="BF18" t="e" cm="1">
        <f t="array" aca="1" ref="BF18" ca="1">+_xll.EQNXTDZ($A$1,$B18,BF$2)</f>
        <v>#NAME?</v>
      </c>
      <c r="BG18" t="e" cm="1">
        <f t="array" aca="1" ref="BG18" ca="1">+_xll.EQNXTDZ($A$1,$B18,BG$2)</f>
        <v>#NAME?</v>
      </c>
      <c r="BH18" t="e" cm="1">
        <f t="array" aca="1" ref="BH18" ca="1">+_xll.EQNXTDZ($A$1,$B18,BH$2)</f>
        <v>#NAME?</v>
      </c>
      <c r="BI18" t="e" cm="1">
        <f t="array" aca="1" ref="BI18" ca="1">+_xll.EQNXTDZ($A$1,$B18,BI$2)</f>
        <v>#NAME?</v>
      </c>
      <c r="BJ18" t="e" cm="1">
        <f t="array" aca="1" ref="BJ18" ca="1">+_xll.EQNXTDZ($A$1,$B18,BJ$2)</f>
        <v>#NAME?</v>
      </c>
    </row>
    <row r="19" spans="1:62" x14ac:dyDescent="0.25">
      <c r="A19" t="s">
        <v>12</v>
      </c>
      <c r="B19" t="s">
        <v>258</v>
      </c>
      <c r="C19" t="e" cm="1">
        <f t="array" aca="1" ref="C19" ca="1">+_xll.EQNXTDZ($A$1,$B19,C$2)</f>
        <v>#NAME?</v>
      </c>
      <c r="D19" t="e" cm="1">
        <f t="array" aca="1" ref="D19" ca="1">+_xll.EQNXTDZ($A$1,$B19,D$2)</f>
        <v>#NAME?</v>
      </c>
      <c r="E19" t="e" cm="1">
        <f t="array" aca="1" ref="E19" ca="1">+_xll.EQNXTDZ($A$1,$B19,E$2)</f>
        <v>#NAME?</v>
      </c>
      <c r="F19" t="e" cm="1">
        <f t="array" aca="1" ref="F19" ca="1">+_xll.EQNXTDZ($A$1,$B19,F$2)</f>
        <v>#NAME?</v>
      </c>
      <c r="G19" t="e" cm="1">
        <f t="array" aca="1" ref="G19" ca="1">+_xll.EQNXTDZ($A$1,$B19,G$2)</f>
        <v>#NAME?</v>
      </c>
      <c r="H19" t="e" cm="1">
        <f t="array" aca="1" ref="H19" ca="1">+_xll.EQNXTDZ($A$1,$B19,H$2)</f>
        <v>#NAME?</v>
      </c>
      <c r="I19" t="e" cm="1">
        <f t="array" aca="1" ref="I19" ca="1">+_xll.EQNXTDZ($A$1,$B19,I$2)</f>
        <v>#NAME?</v>
      </c>
      <c r="J19" t="e" cm="1">
        <f t="array" aca="1" ref="J19" ca="1">+_xll.EQNXTDZ($A$1,$B19,J$2)</f>
        <v>#NAME?</v>
      </c>
      <c r="K19" t="e" cm="1">
        <f t="array" aca="1" ref="K19" ca="1">+_xll.EQNXTDZ($A$1,$B19,K$2)</f>
        <v>#NAME?</v>
      </c>
      <c r="L19" t="e" cm="1">
        <f t="array" aca="1" ref="L19" ca="1">+_xll.EQNXTDZ($A$1,$B19,L$2)</f>
        <v>#NAME?</v>
      </c>
      <c r="M19" t="e" cm="1">
        <f t="array" aca="1" ref="M19" ca="1">+_xll.EQNXTDZ($A$1,$B19,M$2)</f>
        <v>#NAME?</v>
      </c>
      <c r="N19" t="e" cm="1">
        <f t="array" aca="1" ref="N19" ca="1">+_xll.EQNXTDZ($A$1,$B19,N$2)</f>
        <v>#NAME?</v>
      </c>
      <c r="O19" t="e" cm="1">
        <f t="array" aca="1" ref="O19" ca="1">+_xll.EQNXTDZ($A$1,$B19,O$2)</f>
        <v>#NAME?</v>
      </c>
      <c r="P19" t="e" cm="1">
        <f t="array" aca="1" ref="P19" ca="1">+_xll.EQNXTDZ($A$1,$B19,P$2)</f>
        <v>#NAME?</v>
      </c>
      <c r="Q19" t="e" cm="1">
        <f t="array" aca="1" ref="Q19" ca="1">+_xll.EQNXTDZ($A$1,$B19,Q$2)</f>
        <v>#NAME?</v>
      </c>
      <c r="R19" t="e" cm="1">
        <f t="array" aca="1" ref="R19" ca="1">+_xll.EQNXTDZ($A$1,$B19,R$2)</f>
        <v>#NAME?</v>
      </c>
      <c r="S19" t="e" cm="1">
        <f t="array" aca="1" ref="S19" ca="1">+_xll.EQNXTDZ($A$1,$B19,S$2)</f>
        <v>#NAME?</v>
      </c>
      <c r="T19" t="e" cm="1">
        <f t="array" aca="1" ref="T19" ca="1">+_xll.EQNXTDZ($A$1,$B19,T$2)</f>
        <v>#NAME?</v>
      </c>
      <c r="U19" t="e" cm="1">
        <f t="array" aca="1" ref="U19" ca="1">+_xll.EQNXTDZ($A$1,$B19,U$2)</f>
        <v>#NAME?</v>
      </c>
      <c r="V19" t="e" cm="1">
        <f t="array" aca="1" ref="V19" ca="1">+_xll.EQNXTDZ($A$1,$B19,V$2)</f>
        <v>#NAME?</v>
      </c>
      <c r="W19" t="e" cm="1">
        <f t="array" aca="1" ref="W19" ca="1">+_xll.EQNXTDZ($A$1,$B19,W$2)</f>
        <v>#NAME?</v>
      </c>
      <c r="X19" t="e" cm="1">
        <f t="array" aca="1" ref="X19" ca="1">+_xll.EQNXTDZ($A$1,$B19,X$2)</f>
        <v>#NAME?</v>
      </c>
      <c r="Y19" t="e" cm="1">
        <f t="array" aca="1" ref="Y19" ca="1">+_xll.EQNXTDZ($A$1,$B19,Y$2)</f>
        <v>#NAME?</v>
      </c>
      <c r="Z19" t="e" cm="1">
        <f t="array" aca="1" ref="Z19" ca="1">+_xll.EQNXTDZ($A$1,$B19,Z$2)</f>
        <v>#NAME?</v>
      </c>
      <c r="AA19" t="e" cm="1">
        <f t="array" aca="1" ref="AA19" ca="1">+_xll.EQNXTDZ($A$1,$B19,AA$2)</f>
        <v>#NAME?</v>
      </c>
      <c r="AB19" t="e" cm="1">
        <f t="array" aca="1" ref="AB19" ca="1">+_xll.EQNXTDZ($A$1,$B19,AB$2)</f>
        <v>#NAME?</v>
      </c>
      <c r="AC19" t="e" cm="1">
        <f t="array" aca="1" ref="AC19" ca="1">+_xll.EQNXTDZ($A$1,$B19,AC$2)</f>
        <v>#NAME?</v>
      </c>
      <c r="AD19" t="e" cm="1">
        <f t="array" aca="1" ref="AD19" ca="1">+_xll.EQNXTDZ($A$1,$B19,AD$2)</f>
        <v>#NAME?</v>
      </c>
      <c r="AE19" t="e" cm="1">
        <f t="array" aca="1" ref="AE19" ca="1">+_xll.EQNXTDZ($A$1,$B19,AE$2)</f>
        <v>#NAME?</v>
      </c>
      <c r="AF19" t="e" cm="1">
        <f t="array" aca="1" ref="AF19" ca="1">+_xll.EQNXTDZ($A$1,$B19,AF$2)</f>
        <v>#NAME?</v>
      </c>
      <c r="AG19" t="e" cm="1">
        <f t="array" aca="1" ref="AG19" ca="1">+_xll.EQNXTDZ($A$1,$B19,AG$2)</f>
        <v>#NAME?</v>
      </c>
      <c r="AH19" t="e" cm="1">
        <f t="array" aca="1" ref="AH19" ca="1">+_xll.EQNXTDZ($A$1,$B19,AH$2)</f>
        <v>#NAME?</v>
      </c>
      <c r="AI19" t="e" cm="1">
        <f t="array" aca="1" ref="AI19" ca="1">+_xll.EQNXTDZ($A$1,$B19,AI$2)</f>
        <v>#NAME?</v>
      </c>
      <c r="AJ19" t="e" cm="1">
        <f t="array" aca="1" ref="AJ19" ca="1">+_xll.EQNXTDZ($A$1,$B19,AJ$2)</f>
        <v>#NAME?</v>
      </c>
      <c r="AK19" t="e" cm="1">
        <f t="array" aca="1" ref="AK19" ca="1">+_xll.EQNXTDZ($A$1,$B19,AK$2)</f>
        <v>#NAME?</v>
      </c>
      <c r="AL19" t="e" cm="1">
        <f t="array" aca="1" ref="AL19" ca="1">+_xll.EQNXTDZ($A$1,$B19,AL$2)</f>
        <v>#NAME?</v>
      </c>
      <c r="AM19" t="e" cm="1">
        <f t="array" aca="1" ref="AM19" ca="1">+_xll.EQNXTDZ($A$1,$B19,AM$2)</f>
        <v>#NAME?</v>
      </c>
      <c r="AN19" t="e" cm="1">
        <f t="array" aca="1" ref="AN19" ca="1">+_xll.EQNXTDZ($A$1,$B19,AN$2)</f>
        <v>#NAME?</v>
      </c>
      <c r="AO19" t="e" cm="1">
        <f t="array" aca="1" ref="AO19" ca="1">+_xll.EQNXTDZ($A$1,$B19,AO$2)</f>
        <v>#NAME?</v>
      </c>
      <c r="AP19" t="e" cm="1">
        <f t="array" aca="1" ref="AP19" ca="1">+_xll.EQNXTDZ($A$1,$B19,AP$2)</f>
        <v>#NAME?</v>
      </c>
      <c r="AQ19" t="e" cm="1">
        <f t="array" aca="1" ref="AQ19" ca="1">+_xll.EQNXTDZ($A$1,$B19,AQ$2)</f>
        <v>#NAME?</v>
      </c>
      <c r="AR19" t="e" cm="1">
        <f t="array" aca="1" ref="AR19" ca="1">+_xll.EQNXTDZ($A$1,$B19,AR$2)</f>
        <v>#NAME?</v>
      </c>
      <c r="AS19" t="e" cm="1">
        <f t="array" aca="1" ref="AS19" ca="1">+_xll.EQNXTDZ($A$1,$B19,AS$2)</f>
        <v>#NAME?</v>
      </c>
      <c r="AT19" t="e" cm="1">
        <f t="array" aca="1" ref="AT19" ca="1">+_xll.EQNXTDZ($A$1,$B19,AT$2)</f>
        <v>#NAME?</v>
      </c>
      <c r="AU19" t="e" cm="1">
        <f t="array" aca="1" ref="AU19" ca="1">+_xll.EQNXTDZ($A$1,$B19,AU$2)</f>
        <v>#NAME?</v>
      </c>
      <c r="AV19" t="e" cm="1">
        <f t="array" aca="1" ref="AV19" ca="1">+_xll.EQNXTDZ($A$1,$B19,AV$2)</f>
        <v>#NAME?</v>
      </c>
      <c r="AW19" t="e" cm="1">
        <f t="array" aca="1" ref="AW19" ca="1">+_xll.EQNXTDZ($A$1,$B19,AW$2)</f>
        <v>#NAME?</v>
      </c>
      <c r="AX19" t="e" cm="1">
        <f t="array" aca="1" ref="AX19" ca="1">+_xll.EQNXTDZ($A$1,$B19,AX$2)</f>
        <v>#NAME?</v>
      </c>
      <c r="AY19" t="e" cm="1">
        <f t="array" aca="1" ref="AY19" ca="1">+_xll.EQNXTDZ($A$1,$B19,AY$2)</f>
        <v>#NAME?</v>
      </c>
      <c r="AZ19" t="e" cm="1">
        <f t="array" aca="1" ref="AZ19" ca="1">+_xll.EQNXTDZ($A$1,$B19,AZ$2)</f>
        <v>#NAME?</v>
      </c>
      <c r="BA19" t="e" cm="1">
        <f t="array" aca="1" ref="BA19" ca="1">+_xll.EQNXTDZ($A$1,$B19,BA$2)</f>
        <v>#NAME?</v>
      </c>
      <c r="BB19" t="e" cm="1">
        <f t="array" aca="1" ref="BB19" ca="1">+_xll.EQNXTDZ($A$1,$B19,BB$2)</f>
        <v>#NAME?</v>
      </c>
      <c r="BC19" t="e" cm="1">
        <f t="array" aca="1" ref="BC19" ca="1">+_xll.EQNXTDZ($A$1,$B19,BC$2)</f>
        <v>#NAME?</v>
      </c>
      <c r="BD19" t="e" cm="1">
        <f t="array" aca="1" ref="BD19" ca="1">+_xll.EQNXTDZ($A$1,$B19,BD$2)</f>
        <v>#NAME?</v>
      </c>
      <c r="BE19" t="e" cm="1">
        <f t="array" aca="1" ref="BE19" ca="1">+_xll.EQNXTDZ($A$1,$B19,BE$2)</f>
        <v>#NAME?</v>
      </c>
      <c r="BF19" t="e" cm="1">
        <f t="array" aca="1" ref="BF19" ca="1">+_xll.EQNXTDZ($A$1,$B19,BF$2)</f>
        <v>#NAME?</v>
      </c>
      <c r="BG19" t="e" cm="1">
        <f t="array" aca="1" ref="BG19" ca="1">+_xll.EQNXTDZ($A$1,$B19,BG$2)</f>
        <v>#NAME?</v>
      </c>
      <c r="BH19" t="e" cm="1">
        <f t="array" aca="1" ref="BH19" ca="1">+_xll.EQNXTDZ($A$1,$B19,BH$2)</f>
        <v>#NAME?</v>
      </c>
      <c r="BI19" t="e" cm="1">
        <f t="array" aca="1" ref="BI19" ca="1">+_xll.EQNXTDZ($A$1,$B19,BI$2)</f>
        <v>#NAME?</v>
      </c>
      <c r="BJ19" t="e" cm="1">
        <f t="array" aca="1" ref="BJ19" ca="1">+_xll.EQNXTDZ($A$1,$B19,BJ$2)</f>
        <v>#NAME?</v>
      </c>
    </row>
    <row r="20" spans="1:62" x14ac:dyDescent="0.25">
      <c r="A20" t="s">
        <v>13</v>
      </c>
      <c r="B20" t="s">
        <v>259</v>
      </c>
      <c r="C20" t="e" cm="1">
        <f t="array" aca="1" ref="C20" ca="1">+_xll.EQNXTDZ($A$1,$B20,C$2)</f>
        <v>#NAME?</v>
      </c>
      <c r="D20" t="e" cm="1">
        <f t="array" aca="1" ref="D20" ca="1">+_xll.EQNXTDZ($A$1,$B20,D$2)</f>
        <v>#NAME?</v>
      </c>
      <c r="E20" t="e" cm="1">
        <f t="array" aca="1" ref="E20" ca="1">+_xll.EQNXTDZ($A$1,$B20,E$2)</f>
        <v>#NAME?</v>
      </c>
      <c r="F20" t="e" cm="1">
        <f t="array" aca="1" ref="F20" ca="1">+_xll.EQNXTDZ($A$1,$B20,F$2)</f>
        <v>#NAME?</v>
      </c>
      <c r="G20" t="e" cm="1">
        <f t="array" aca="1" ref="G20" ca="1">+_xll.EQNXTDZ($A$1,$B20,G$2)</f>
        <v>#NAME?</v>
      </c>
      <c r="H20" t="e" cm="1">
        <f t="array" aca="1" ref="H20" ca="1">+_xll.EQNXTDZ($A$1,$B20,H$2)</f>
        <v>#NAME?</v>
      </c>
      <c r="I20" t="e" cm="1">
        <f t="array" aca="1" ref="I20" ca="1">+_xll.EQNXTDZ($A$1,$B20,I$2)</f>
        <v>#NAME?</v>
      </c>
      <c r="J20" t="e" cm="1">
        <f t="array" aca="1" ref="J20" ca="1">+_xll.EQNXTDZ($A$1,$B20,J$2)</f>
        <v>#NAME?</v>
      </c>
      <c r="K20" t="e" cm="1">
        <f t="array" aca="1" ref="K20" ca="1">+_xll.EQNXTDZ($A$1,$B20,K$2)</f>
        <v>#NAME?</v>
      </c>
      <c r="L20" t="e" cm="1">
        <f t="array" aca="1" ref="L20" ca="1">+_xll.EQNXTDZ($A$1,$B20,L$2)</f>
        <v>#NAME?</v>
      </c>
      <c r="M20" t="e" cm="1">
        <f t="array" aca="1" ref="M20" ca="1">+_xll.EQNXTDZ($A$1,$B20,M$2)</f>
        <v>#NAME?</v>
      </c>
      <c r="N20" t="e" cm="1">
        <f t="array" aca="1" ref="N20" ca="1">+_xll.EQNXTDZ($A$1,$B20,N$2)</f>
        <v>#NAME?</v>
      </c>
      <c r="O20" t="e" cm="1">
        <f t="array" aca="1" ref="O20" ca="1">+_xll.EQNXTDZ($A$1,$B20,O$2)</f>
        <v>#NAME?</v>
      </c>
      <c r="P20" t="e" cm="1">
        <f t="array" aca="1" ref="P20" ca="1">+_xll.EQNXTDZ($A$1,$B20,P$2)</f>
        <v>#NAME?</v>
      </c>
      <c r="Q20" t="e" cm="1">
        <f t="array" aca="1" ref="Q20" ca="1">+_xll.EQNXTDZ($A$1,$B20,Q$2)</f>
        <v>#NAME?</v>
      </c>
      <c r="R20" t="e" cm="1">
        <f t="array" aca="1" ref="R20" ca="1">+_xll.EQNXTDZ($A$1,$B20,R$2)</f>
        <v>#NAME?</v>
      </c>
      <c r="S20" t="e" cm="1">
        <f t="array" aca="1" ref="S20" ca="1">+_xll.EQNXTDZ($A$1,$B20,S$2)</f>
        <v>#NAME?</v>
      </c>
      <c r="T20" t="e" cm="1">
        <f t="array" aca="1" ref="T20" ca="1">+_xll.EQNXTDZ($A$1,$B20,T$2)</f>
        <v>#NAME?</v>
      </c>
      <c r="U20" t="e" cm="1">
        <f t="array" aca="1" ref="U20" ca="1">+_xll.EQNXTDZ($A$1,$B20,U$2)</f>
        <v>#NAME?</v>
      </c>
      <c r="V20" t="e" cm="1">
        <f t="array" aca="1" ref="V20" ca="1">+_xll.EQNXTDZ($A$1,$B20,V$2)</f>
        <v>#NAME?</v>
      </c>
      <c r="W20" t="e" cm="1">
        <f t="array" aca="1" ref="W20" ca="1">+_xll.EQNXTDZ($A$1,$B20,W$2)</f>
        <v>#NAME?</v>
      </c>
      <c r="X20" t="e" cm="1">
        <f t="array" aca="1" ref="X20" ca="1">+_xll.EQNXTDZ($A$1,$B20,X$2)</f>
        <v>#NAME?</v>
      </c>
      <c r="Y20" t="e" cm="1">
        <f t="array" aca="1" ref="Y20" ca="1">+_xll.EQNXTDZ($A$1,$B20,Y$2)</f>
        <v>#NAME?</v>
      </c>
      <c r="Z20" t="e" cm="1">
        <f t="array" aca="1" ref="Z20" ca="1">+_xll.EQNXTDZ($A$1,$B20,Z$2)</f>
        <v>#NAME?</v>
      </c>
      <c r="AA20" t="e" cm="1">
        <f t="array" aca="1" ref="AA20" ca="1">+_xll.EQNXTDZ($A$1,$B20,AA$2)</f>
        <v>#NAME?</v>
      </c>
      <c r="AB20" t="e" cm="1">
        <f t="array" aca="1" ref="AB20" ca="1">+_xll.EQNXTDZ($A$1,$B20,AB$2)</f>
        <v>#NAME?</v>
      </c>
      <c r="AC20" t="e" cm="1">
        <f t="array" aca="1" ref="AC20" ca="1">+_xll.EQNXTDZ($A$1,$B20,AC$2)</f>
        <v>#NAME?</v>
      </c>
      <c r="AD20" t="e" cm="1">
        <f t="array" aca="1" ref="AD20" ca="1">+_xll.EQNXTDZ($A$1,$B20,AD$2)</f>
        <v>#NAME?</v>
      </c>
      <c r="AE20" t="e" cm="1">
        <f t="array" aca="1" ref="AE20" ca="1">+_xll.EQNXTDZ($A$1,$B20,AE$2)</f>
        <v>#NAME?</v>
      </c>
      <c r="AF20" t="e" cm="1">
        <f t="array" aca="1" ref="AF20" ca="1">+_xll.EQNXTDZ($A$1,$B20,AF$2)</f>
        <v>#NAME?</v>
      </c>
      <c r="AG20" t="e" cm="1">
        <f t="array" aca="1" ref="AG20" ca="1">+_xll.EQNXTDZ($A$1,$B20,AG$2)</f>
        <v>#NAME?</v>
      </c>
      <c r="AH20" t="e" cm="1">
        <f t="array" aca="1" ref="AH20" ca="1">+_xll.EQNXTDZ($A$1,$B20,AH$2)</f>
        <v>#NAME?</v>
      </c>
      <c r="AI20" t="e" cm="1">
        <f t="array" aca="1" ref="AI20" ca="1">+_xll.EQNXTDZ($A$1,$B20,AI$2)</f>
        <v>#NAME?</v>
      </c>
      <c r="AJ20" t="e" cm="1">
        <f t="array" aca="1" ref="AJ20" ca="1">+_xll.EQNXTDZ($A$1,$B20,AJ$2)</f>
        <v>#NAME?</v>
      </c>
      <c r="AK20" t="e" cm="1">
        <f t="array" aca="1" ref="AK20" ca="1">+_xll.EQNXTDZ($A$1,$B20,AK$2)</f>
        <v>#NAME?</v>
      </c>
      <c r="AL20" t="e" cm="1">
        <f t="array" aca="1" ref="AL20" ca="1">+_xll.EQNXTDZ($A$1,$B20,AL$2)</f>
        <v>#NAME?</v>
      </c>
      <c r="AM20" t="e" cm="1">
        <f t="array" aca="1" ref="AM20" ca="1">+_xll.EQNXTDZ($A$1,$B20,AM$2)</f>
        <v>#NAME?</v>
      </c>
      <c r="AN20" t="e" cm="1">
        <f t="array" aca="1" ref="AN20" ca="1">+_xll.EQNXTDZ($A$1,$B20,AN$2)</f>
        <v>#NAME?</v>
      </c>
      <c r="AO20" t="e" cm="1">
        <f t="array" aca="1" ref="AO20" ca="1">+_xll.EQNXTDZ($A$1,$B20,AO$2)</f>
        <v>#NAME?</v>
      </c>
      <c r="AP20" t="e" cm="1">
        <f t="array" aca="1" ref="AP20" ca="1">+_xll.EQNXTDZ($A$1,$B20,AP$2)</f>
        <v>#NAME?</v>
      </c>
      <c r="AQ20" t="e" cm="1">
        <f t="array" aca="1" ref="AQ20" ca="1">+_xll.EQNXTDZ($A$1,$B20,AQ$2)</f>
        <v>#NAME?</v>
      </c>
      <c r="AR20" t="e" cm="1">
        <f t="array" aca="1" ref="AR20" ca="1">+_xll.EQNXTDZ($A$1,$B20,AR$2)</f>
        <v>#NAME?</v>
      </c>
      <c r="AS20" t="e" cm="1">
        <f t="array" aca="1" ref="AS20" ca="1">+_xll.EQNXTDZ($A$1,$B20,AS$2)</f>
        <v>#NAME?</v>
      </c>
      <c r="AT20" t="e" cm="1">
        <f t="array" aca="1" ref="AT20" ca="1">+_xll.EQNXTDZ($A$1,$B20,AT$2)</f>
        <v>#NAME?</v>
      </c>
      <c r="AU20" t="e" cm="1">
        <f t="array" aca="1" ref="AU20" ca="1">+_xll.EQNXTDZ($A$1,$B20,AU$2)</f>
        <v>#NAME?</v>
      </c>
      <c r="AV20" t="e" cm="1">
        <f t="array" aca="1" ref="AV20" ca="1">+_xll.EQNXTDZ($A$1,$B20,AV$2)</f>
        <v>#NAME?</v>
      </c>
      <c r="AW20" t="e" cm="1">
        <f t="array" aca="1" ref="AW20" ca="1">+_xll.EQNXTDZ($A$1,$B20,AW$2)</f>
        <v>#NAME?</v>
      </c>
      <c r="AX20" t="e" cm="1">
        <f t="array" aca="1" ref="AX20" ca="1">+_xll.EQNXTDZ($A$1,$B20,AX$2)</f>
        <v>#NAME?</v>
      </c>
      <c r="AY20" t="e" cm="1">
        <f t="array" aca="1" ref="AY20" ca="1">+_xll.EQNXTDZ($A$1,$B20,AY$2)</f>
        <v>#NAME?</v>
      </c>
      <c r="AZ20" t="e" cm="1">
        <f t="array" aca="1" ref="AZ20" ca="1">+_xll.EQNXTDZ($A$1,$B20,AZ$2)</f>
        <v>#NAME?</v>
      </c>
      <c r="BA20" t="e" cm="1">
        <f t="array" aca="1" ref="BA20" ca="1">+_xll.EQNXTDZ($A$1,$B20,BA$2)</f>
        <v>#NAME?</v>
      </c>
      <c r="BB20" t="e" cm="1">
        <f t="array" aca="1" ref="BB20" ca="1">+_xll.EQNXTDZ($A$1,$B20,BB$2)</f>
        <v>#NAME?</v>
      </c>
      <c r="BC20" t="e" cm="1">
        <f t="array" aca="1" ref="BC20" ca="1">+_xll.EQNXTDZ($A$1,$B20,BC$2)</f>
        <v>#NAME?</v>
      </c>
      <c r="BD20" t="e" cm="1">
        <f t="array" aca="1" ref="BD20" ca="1">+_xll.EQNXTDZ($A$1,$B20,BD$2)</f>
        <v>#NAME?</v>
      </c>
      <c r="BE20" t="e" cm="1">
        <f t="array" aca="1" ref="BE20" ca="1">+_xll.EQNXTDZ($A$1,$B20,BE$2)</f>
        <v>#NAME?</v>
      </c>
      <c r="BF20" t="e" cm="1">
        <f t="array" aca="1" ref="BF20" ca="1">+_xll.EQNXTDZ($A$1,$B20,BF$2)</f>
        <v>#NAME?</v>
      </c>
      <c r="BG20" t="e" cm="1">
        <f t="array" aca="1" ref="BG20" ca="1">+_xll.EQNXTDZ($A$1,$B20,BG$2)</f>
        <v>#NAME?</v>
      </c>
      <c r="BH20" t="e" cm="1">
        <f t="array" aca="1" ref="BH20" ca="1">+_xll.EQNXTDZ($A$1,$B20,BH$2)</f>
        <v>#NAME?</v>
      </c>
      <c r="BI20" t="e" cm="1">
        <f t="array" aca="1" ref="BI20" ca="1">+_xll.EQNXTDZ($A$1,$B20,BI$2)</f>
        <v>#NAME?</v>
      </c>
      <c r="BJ20" t="e" cm="1">
        <f t="array" aca="1" ref="BJ20" ca="1">+_xll.EQNXTDZ($A$1,$B20,BJ$2)</f>
        <v>#NAME?</v>
      </c>
    </row>
    <row r="21" spans="1:62" x14ac:dyDescent="0.25">
      <c r="A21" t="s">
        <v>220</v>
      </c>
      <c r="B21" t="s">
        <v>260</v>
      </c>
      <c r="C21" t="e" cm="1">
        <f t="array" aca="1" ref="C21" ca="1">+_xll.EQNXTDZ($A$1,$B21,C$2)</f>
        <v>#NAME?</v>
      </c>
      <c r="D21" t="e" cm="1">
        <f t="array" aca="1" ref="D21" ca="1">+_xll.EQNXTDZ($A$1,$B21,D$2)</f>
        <v>#NAME?</v>
      </c>
      <c r="E21" t="e" cm="1">
        <f t="array" aca="1" ref="E21" ca="1">+_xll.EQNXTDZ($A$1,$B21,E$2)</f>
        <v>#NAME?</v>
      </c>
      <c r="F21" t="e" cm="1">
        <f t="array" aca="1" ref="F21" ca="1">+_xll.EQNXTDZ($A$1,$B21,F$2)</f>
        <v>#NAME?</v>
      </c>
      <c r="G21" t="e" cm="1">
        <f t="array" aca="1" ref="G21" ca="1">+_xll.EQNXTDZ($A$1,$B21,G$2)</f>
        <v>#NAME?</v>
      </c>
      <c r="H21" t="e" cm="1">
        <f t="array" aca="1" ref="H21" ca="1">+_xll.EQNXTDZ($A$1,$B21,H$2)</f>
        <v>#NAME?</v>
      </c>
      <c r="I21" t="e" cm="1">
        <f t="array" aca="1" ref="I21" ca="1">+_xll.EQNXTDZ($A$1,$B21,I$2)</f>
        <v>#NAME?</v>
      </c>
      <c r="J21" t="e" cm="1">
        <f t="array" aca="1" ref="J21" ca="1">+_xll.EQNXTDZ($A$1,$B21,J$2)</f>
        <v>#NAME?</v>
      </c>
      <c r="K21" t="e" cm="1">
        <f t="array" aca="1" ref="K21" ca="1">+_xll.EQNXTDZ($A$1,$B21,K$2)</f>
        <v>#NAME?</v>
      </c>
      <c r="L21" t="e" cm="1">
        <f t="array" aca="1" ref="L21" ca="1">+_xll.EQNXTDZ($A$1,$B21,L$2)</f>
        <v>#NAME?</v>
      </c>
      <c r="M21" t="e" cm="1">
        <f t="array" aca="1" ref="M21" ca="1">+_xll.EQNXTDZ($A$1,$B21,M$2)</f>
        <v>#NAME?</v>
      </c>
      <c r="N21" t="e" cm="1">
        <f t="array" aca="1" ref="N21" ca="1">+_xll.EQNXTDZ($A$1,$B21,N$2)</f>
        <v>#NAME?</v>
      </c>
      <c r="O21" t="e" cm="1">
        <f t="array" aca="1" ref="O21" ca="1">+_xll.EQNXTDZ($A$1,$B21,O$2)</f>
        <v>#NAME?</v>
      </c>
      <c r="P21" t="e" cm="1">
        <f t="array" aca="1" ref="P21" ca="1">+_xll.EQNXTDZ($A$1,$B21,P$2)</f>
        <v>#NAME?</v>
      </c>
      <c r="Q21" t="e" cm="1">
        <f t="array" aca="1" ref="Q21" ca="1">+_xll.EQNXTDZ($A$1,$B21,Q$2)</f>
        <v>#NAME?</v>
      </c>
      <c r="R21" t="e" cm="1">
        <f t="array" aca="1" ref="R21" ca="1">+_xll.EQNXTDZ($A$1,$B21,R$2)</f>
        <v>#NAME?</v>
      </c>
      <c r="S21" t="e" cm="1">
        <f t="array" aca="1" ref="S21" ca="1">+_xll.EQNXTDZ($A$1,$B21,S$2)</f>
        <v>#NAME?</v>
      </c>
      <c r="T21" t="e" cm="1">
        <f t="array" aca="1" ref="T21" ca="1">+_xll.EQNXTDZ($A$1,$B21,T$2)</f>
        <v>#NAME?</v>
      </c>
      <c r="U21" t="e" cm="1">
        <f t="array" aca="1" ref="U21" ca="1">+_xll.EQNXTDZ($A$1,$B21,U$2)</f>
        <v>#NAME?</v>
      </c>
      <c r="V21" t="e" cm="1">
        <f t="array" aca="1" ref="V21" ca="1">+_xll.EQNXTDZ($A$1,$B21,V$2)</f>
        <v>#NAME?</v>
      </c>
      <c r="W21" t="e" cm="1">
        <f t="array" aca="1" ref="W21" ca="1">+_xll.EQNXTDZ($A$1,$B21,W$2)</f>
        <v>#NAME?</v>
      </c>
      <c r="X21" t="e" cm="1">
        <f t="array" aca="1" ref="X21" ca="1">+_xll.EQNXTDZ($A$1,$B21,X$2)</f>
        <v>#NAME?</v>
      </c>
      <c r="Y21" t="e" cm="1">
        <f t="array" aca="1" ref="Y21" ca="1">+_xll.EQNXTDZ($A$1,$B21,Y$2)</f>
        <v>#NAME?</v>
      </c>
      <c r="Z21" t="e" cm="1">
        <f t="array" aca="1" ref="Z21" ca="1">+_xll.EQNXTDZ($A$1,$B21,Z$2)</f>
        <v>#NAME?</v>
      </c>
      <c r="AA21" t="e" cm="1">
        <f t="array" aca="1" ref="AA21" ca="1">+_xll.EQNXTDZ($A$1,$B21,AA$2)</f>
        <v>#NAME?</v>
      </c>
      <c r="AB21" t="e" cm="1">
        <f t="array" aca="1" ref="AB21" ca="1">+_xll.EQNXTDZ($A$1,$B21,AB$2)</f>
        <v>#NAME?</v>
      </c>
      <c r="AC21" t="e" cm="1">
        <f t="array" aca="1" ref="AC21" ca="1">+_xll.EQNXTDZ($A$1,$B21,AC$2)</f>
        <v>#NAME?</v>
      </c>
      <c r="AD21" t="e" cm="1">
        <f t="array" aca="1" ref="AD21" ca="1">+_xll.EQNXTDZ($A$1,$B21,AD$2)</f>
        <v>#NAME?</v>
      </c>
      <c r="AE21" t="e" cm="1">
        <f t="array" aca="1" ref="AE21" ca="1">+_xll.EQNXTDZ($A$1,$B21,AE$2)</f>
        <v>#NAME?</v>
      </c>
      <c r="AF21" t="e" cm="1">
        <f t="array" aca="1" ref="AF21" ca="1">+_xll.EQNXTDZ($A$1,$B21,AF$2)</f>
        <v>#NAME?</v>
      </c>
      <c r="AG21" t="e" cm="1">
        <f t="array" aca="1" ref="AG21" ca="1">+_xll.EQNXTDZ($A$1,$B21,AG$2)</f>
        <v>#NAME?</v>
      </c>
      <c r="AH21" t="e" cm="1">
        <f t="array" aca="1" ref="AH21" ca="1">+_xll.EQNXTDZ($A$1,$B21,AH$2)</f>
        <v>#NAME?</v>
      </c>
      <c r="AI21" t="e" cm="1">
        <f t="array" aca="1" ref="AI21" ca="1">+_xll.EQNXTDZ($A$1,$B21,AI$2)</f>
        <v>#NAME?</v>
      </c>
      <c r="AJ21" t="e" cm="1">
        <f t="array" aca="1" ref="AJ21" ca="1">+_xll.EQNXTDZ($A$1,$B21,AJ$2)</f>
        <v>#NAME?</v>
      </c>
      <c r="AK21" t="e" cm="1">
        <f t="array" aca="1" ref="AK21" ca="1">+_xll.EQNXTDZ($A$1,$B21,AK$2)</f>
        <v>#NAME?</v>
      </c>
      <c r="AL21" t="e" cm="1">
        <f t="array" aca="1" ref="AL21" ca="1">+_xll.EQNXTDZ($A$1,$B21,AL$2)</f>
        <v>#NAME?</v>
      </c>
      <c r="AM21" t="e" cm="1">
        <f t="array" aca="1" ref="AM21" ca="1">+_xll.EQNXTDZ($A$1,$B21,AM$2)</f>
        <v>#NAME?</v>
      </c>
      <c r="AN21" t="e" cm="1">
        <f t="array" aca="1" ref="AN21" ca="1">+_xll.EQNXTDZ($A$1,$B21,AN$2)</f>
        <v>#NAME?</v>
      </c>
      <c r="AO21" t="e" cm="1">
        <f t="array" aca="1" ref="AO21" ca="1">+_xll.EQNXTDZ($A$1,$B21,AO$2)</f>
        <v>#NAME?</v>
      </c>
      <c r="AP21" t="e" cm="1">
        <f t="array" aca="1" ref="AP21" ca="1">+_xll.EQNXTDZ($A$1,$B21,AP$2)</f>
        <v>#NAME?</v>
      </c>
      <c r="AQ21" t="e" cm="1">
        <f t="array" aca="1" ref="AQ21" ca="1">+_xll.EQNXTDZ($A$1,$B21,AQ$2)</f>
        <v>#NAME?</v>
      </c>
      <c r="AR21" t="e" cm="1">
        <f t="array" aca="1" ref="AR21" ca="1">+_xll.EQNXTDZ($A$1,$B21,AR$2)</f>
        <v>#NAME?</v>
      </c>
      <c r="AS21" t="e" cm="1">
        <f t="array" aca="1" ref="AS21" ca="1">+_xll.EQNXTDZ($A$1,$B21,AS$2)</f>
        <v>#NAME?</v>
      </c>
      <c r="AT21" t="e" cm="1">
        <f t="array" aca="1" ref="AT21" ca="1">+_xll.EQNXTDZ($A$1,$B21,AT$2)</f>
        <v>#NAME?</v>
      </c>
      <c r="AU21" t="e" cm="1">
        <f t="array" aca="1" ref="AU21" ca="1">+_xll.EQNXTDZ($A$1,$B21,AU$2)</f>
        <v>#NAME?</v>
      </c>
      <c r="AV21" t="e" cm="1">
        <f t="array" aca="1" ref="AV21" ca="1">+_xll.EQNXTDZ($A$1,$B21,AV$2)</f>
        <v>#NAME?</v>
      </c>
      <c r="AW21" t="e" cm="1">
        <f t="array" aca="1" ref="AW21" ca="1">+_xll.EQNXTDZ($A$1,$B21,AW$2)</f>
        <v>#NAME?</v>
      </c>
      <c r="AX21" t="e" cm="1">
        <f t="array" aca="1" ref="AX21" ca="1">+_xll.EQNXTDZ($A$1,$B21,AX$2)</f>
        <v>#NAME?</v>
      </c>
      <c r="AY21" t="e" cm="1">
        <f t="array" aca="1" ref="AY21" ca="1">+_xll.EQNXTDZ($A$1,$B21,AY$2)</f>
        <v>#NAME?</v>
      </c>
      <c r="AZ21" t="e" cm="1">
        <f t="array" aca="1" ref="AZ21" ca="1">+_xll.EQNXTDZ($A$1,$B21,AZ$2)</f>
        <v>#NAME?</v>
      </c>
      <c r="BA21" t="e" cm="1">
        <f t="array" aca="1" ref="BA21" ca="1">+_xll.EQNXTDZ($A$1,$B21,BA$2)</f>
        <v>#NAME?</v>
      </c>
      <c r="BB21" t="e" cm="1">
        <f t="array" aca="1" ref="BB21" ca="1">+_xll.EQNXTDZ($A$1,$B21,BB$2)</f>
        <v>#NAME?</v>
      </c>
      <c r="BC21" t="e" cm="1">
        <f t="array" aca="1" ref="BC21" ca="1">+_xll.EQNXTDZ($A$1,$B21,BC$2)</f>
        <v>#NAME?</v>
      </c>
      <c r="BD21" t="e" cm="1">
        <f t="array" aca="1" ref="BD21" ca="1">+_xll.EQNXTDZ($A$1,$B21,BD$2)</f>
        <v>#NAME?</v>
      </c>
      <c r="BE21" t="e" cm="1">
        <f t="array" aca="1" ref="BE21" ca="1">+_xll.EQNXTDZ($A$1,$B21,BE$2)</f>
        <v>#NAME?</v>
      </c>
      <c r="BF21" t="e" cm="1">
        <f t="array" aca="1" ref="BF21" ca="1">+_xll.EQNXTDZ($A$1,$B21,BF$2)</f>
        <v>#NAME?</v>
      </c>
      <c r="BG21" t="e" cm="1">
        <f t="array" aca="1" ref="BG21" ca="1">+_xll.EQNXTDZ($A$1,$B21,BG$2)</f>
        <v>#NAME?</v>
      </c>
      <c r="BH21" t="e" cm="1">
        <f t="array" aca="1" ref="BH21" ca="1">+_xll.EQNXTDZ($A$1,$B21,BH$2)</f>
        <v>#NAME?</v>
      </c>
      <c r="BI21" t="e" cm="1">
        <f t="array" aca="1" ref="BI21" ca="1">+_xll.EQNXTDZ($A$1,$B21,BI$2)</f>
        <v>#NAME?</v>
      </c>
      <c r="BJ21" t="e" cm="1">
        <f t="array" aca="1" ref="BJ21" ca="1">+_xll.EQNXTDZ($A$1,$B21,BJ$2)</f>
        <v>#NAME?</v>
      </c>
    </row>
    <row r="22" spans="1:62" x14ac:dyDescent="0.25">
      <c r="A22" t="s">
        <v>221</v>
      </c>
      <c r="B22" t="s">
        <v>261</v>
      </c>
      <c r="C22" t="e" cm="1">
        <f t="array" aca="1" ref="C22" ca="1">+_xll.EQNXTDZ($A$1,$B22,C$2)</f>
        <v>#NAME?</v>
      </c>
      <c r="D22" t="e" cm="1">
        <f t="array" aca="1" ref="D22" ca="1">+_xll.EQNXTDZ($A$1,$B22,D$2)</f>
        <v>#NAME?</v>
      </c>
      <c r="E22" t="e" cm="1">
        <f t="array" aca="1" ref="E22" ca="1">+_xll.EQNXTDZ($A$1,$B22,E$2)</f>
        <v>#NAME?</v>
      </c>
      <c r="F22" t="e" cm="1">
        <f t="array" aca="1" ref="F22" ca="1">+_xll.EQNXTDZ($A$1,$B22,F$2)</f>
        <v>#NAME?</v>
      </c>
      <c r="G22" t="e" cm="1">
        <f t="array" aca="1" ref="G22" ca="1">+_xll.EQNXTDZ($A$1,$B22,G$2)</f>
        <v>#NAME?</v>
      </c>
      <c r="H22" t="e" cm="1">
        <f t="array" aca="1" ref="H22" ca="1">+_xll.EQNXTDZ($A$1,$B22,H$2)</f>
        <v>#NAME?</v>
      </c>
      <c r="I22" t="e" cm="1">
        <f t="array" aca="1" ref="I22" ca="1">+_xll.EQNXTDZ($A$1,$B22,I$2)</f>
        <v>#NAME?</v>
      </c>
      <c r="J22" t="e" cm="1">
        <f t="array" aca="1" ref="J22" ca="1">+_xll.EQNXTDZ($A$1,$B22,J$2)</f>
        <v>#NAME?</v>
      </c>
      <c r="K22" t="e" cm="1">
        <f t="array" aca="1" ref="K22" ca="1">+_xll.EQNXTDZ($A$1,$B22,K$2)</f>
        <v>#NAME?</v>
      </c>
      <c r="L22" t="e" cm="1">
        <f t="array" aca="1" ref="L22" ca="1">+_xll.EQNXTDZ($A$1,$B22,L$2)</f>
        <v>#NAME?</v>
      </c>
      <c r="M22" t="e" cm="1">
        <f t="array" aca="1" ref="M22" ca="1">+_xll.EQNXTDZ($A$1,$B22,M$2)</f>
        <v>#NAME?</v>
      </c>
      <c r="N22" t="e" cm="1">
        <f t="array" aca="1" ref="N22" ca="1">+_xll.EQNXTDZ($A$1,$B22,N$2)</f>
        <v>#NAME?</v>
      </c>
      <c r="O22" t="e" cm="1">
        <f t="array" aca="1" ref="O22" ca="1">+_xll.EQNXTDZ($A$1,$B22,O$2)</f>
        <v>#NAME?</v>
      </c>
      <c r="P22" t="e" cm="1">
        <f t="array" aca="1" ref="P22" ca="1">+_xll.EQNXTDZ($A$1,$B22,P$2)</f>
        <v>#NAME?</v>
      </c>
      <c r="Q22" t="e" cm="1">
        <f t="array" aca="1" ref="Q22" ca="1">+_xll.EQNXTDZ($A$1,$B22,Q$2)</f>
        <v>#NAME?</v>
      </c>
      <c r="R22" t="e" cm="1">
        <f t="array" aca="1" ref="R22" ca="1">+_xll.EQNXTDZ($A$1,$B22,R$2)</f>
        <v>#NAME?</v>
      </c>
      <c r="S22" t="e" cm="1">
        <f t="array" aca="1" ref="S22" ca="1">+_xll.EQNXTDZ($A$1,$B22,S$2)</f>
        <v>#NAME?</v>
      </c>
      <c r="T22" t="e" cm="1">
        <f t="array" aca="1" ref="T22" ca="1">+_xll.EQNXTDZ($A$1,$B22,T$2)</f>
        <v>#NAME?</v>
      </c>
      <c r="U22" t="e" cm="1">
        <f t="array" aca="1" ref="U22" ca="1">+_xll.EQNXTDZ($A$1,$B22,U$2)</f>
        <v>#NAME?</v>
      </c>
      <c r="V22" t="e" cm="1">
        <f t="array" aca="1" ref="V22" ca="1">+_xll.EQNXTDZ($A$1,$B22,V$2)</f>
        <v>#NAME?</v>
      </c>
      <c r="W22" t="e" cm="1">
        <f t="array" aca="1" ref="W22" ca="1">+_xll.EQNXTDZ($A$1,$B22,W$2)</f>
        <v>#NAME?</v>
      </c>
      <c r="X22" t="e" cm="1">
        <f t="array" aca="1" ref="X22" ca="1">+_xll.EQNXTDZ($A$1,$B22,X$2)</f>
        <v>#NAME?</v>
      </c>
      <c r="Y22" t="e" cm="1">
        <f t="array" aca="1" ref="Y22" ca="1">+_xll.EQNXTDZ($A$1,$B22,Y$2)</f>
        <v>#NAME?</v>
      </c>
      <c r="Z22" t="e" cm="1">
        <f t="array" aca="1" ref="Z22" ca="1">+_xll.EQNXTDZ($A$1,$B22,Z$2)</f>
        <v>#NAME?</v>
      </c>
      <c r="AA22" t="e" cm="1">
        <f t="array" aca="1" ref="AA22" ca="1">+_xll.EQNXTDZ($A$1,$B22,AA$2)</f>
        <v>#NAME?</v>
      </c>
      <c r="AB22" t="e" cm="1">
        <f t="array" aca="1" ref="AB22" ca="1">+_xll.EQNXTDZ($A$1,$B22,AB$2)</f>
        <v>#NAME?</v>
      </c>
      <c r="AC22" t="e" cm="1">
        <f t="array" aca="1" ref="AC22" ca="1">+_xll.EQNXTDZ($A$1,$B22,AC$2)</f>
        <v>#NAME?</v>
      </c>
      <c r="AD22" t="e" cm="1">
        <f t="array" aca="1" ref="AD22" ca="1">+_xll.EQNXTDZ($A$1,$B22,AD$2)</f>
        <v>#NAME?</v>
      </c>
      <c r="AE22" t="e" cm="1">
        <f t="array" aca="1" ref="AE22" ca="1">+_xll.EQNXTDZ($A$1,$B22,AE$2)</f>
        <v>#NAME?</v>
      </c>
      <c r="AF22" t="e" cm="1">
        <f t="array" aca="1" ref="AF22" ca="1">+_xll.EQNXTDZ($A$1,$B22,AF$2)</f>
        <v>#NAME?</v>
      </c>
      <c r="AG22" t="e" cm="1">
        <f t="array" aca="1" ref="AG22" ca="1">+_xll.EQNXTDZ($A$1,$B22,AG$2)</f>
        <v>#NAME?</v>
      </c>
      <c r="AH22" t="e" cm="1">
        <f t="array" aca="1" ref="AH22" ca="1">+_xll.EQNXTDZ($A$1,$B22,AH$2)</f>
        <v>#NAME?</v>
      </c>
      <c r="AI22" t="e" cm="1">
        <f t="array" aca="1" ref="AI22" ca="1">+_xll.EQNXTDZ($A$1,$B22,AI$2)</f>
        <v>#NAME?</v>
      </c>
      <c r="AJ22" t="e" cm="1">
        <f t="array" aca="1" ref="AJ22" ca="1">+_xll.EQNXTDZ($A$1,$B22,AJ$2)</f>
        <v>#NAME?</v>
      </c>
      <c r="AK22" t="e" cm="1">
        <f t="array" aca="1" ref="AK22" ca="1">+_xll.EQNXTDZ($A$1,$B22,AK$2)</f>
        <v>#NAME?</v>
      </c>
      <c r="AL22" t="e" cm="1">
        <f t="array" aca="1" ref="AL22" ca="1">+_xll.EQNXTDZ($A$1,$B22,AL$2)</f>
        <v>#NAME?</v>
      </c>
      <c r="AM22" t="e" cm="1">
        <f t="array" aca="1" ref="AM22" ca="1">+_xll.EQNXTDZ($A$1,$B22,AM$2)</f>
        <v>#NAME?</v>
      </c>
      <c r="AN22" t="e" cm="1">
        <f t="array" aca="1" ref="AN22" ca="1">+_xll.EQNXTDZ($A$1,$B22,AN$2)</f>
        <v>#NAME?</v>
      </c>
      <c r="AO22" t="e" cm="1">
        <f t="array" aca="1" ref="AO22" ca="1">+_xll.EQNXTDZ($A$1,$B22,AO$2)</f>
        <v>#NAME?</v>
      </c>
      <c r="AP22" t="e" cm="1">
        <f t="array" aca="1" ref="AP22" ca="1">+_xll.EQNXTDZ($A$1,$B22,AP$2)</f>
        <v>#NAME?</v>
      </c>
      <c r="AQ22" t="e" cm="1">
        <f t="array" aca="1" ref="AQ22" ca="1">+_xll.EQNXTDZ($A$1,$B22,AQ$2)</f>
        <v>#NAME?</v>
      </c>
      <c r="AR22" t="e" cm="1">
        <f t="array" aca="1" ref="AR22" ca="1">+_xll.EQNXTDZ($A$1,$B22,AR$2)</f>
        <v>#NAME?</v>
      </c>
      <c r="AS22" t="e" cm="1">
        <f t="array" aca="1" ref="AS22" ca="1">+_xll.EQNXTDZ($A$1,$B22,AS$2)</f>
        <v>#NAME?</v>
      </c>
      <c r="AT22" t="e" cm="1">
        <f t="array" aca="1" ref="AT22" ca="1">+_xll.EQNXTDZ($A$1,$B22,AT$2)</f>
        <v>#NAME?</v>
      </c>
      <c r="AU22" t="e" cm="1">
        <f t="array" aca="1" ref="AU22" ca="1">+_xll.EQNXTDZ($A$1,$B22,AU$2)</f>
        <v>#NAME?</v>
      </c>
      <c r="AV22" t="e" cm="1">
        <f t="array" aca="1" ref="AV22" ca="1">+_xll.EQNXTDZ($A$1,$B22,AV$2)</f>
        <v>#NAME?</v>
      </c>
      <c r="AW22" t="e" cm="1">
        <f t="array" aca="1" ref="AW22" ca="1">+_xll.EQNXTDZ($A$1,$B22,AW$2)</f>
        <v>#NAME?</v>
      </c>
      <c r="AX22" t="e" cm="1">
        <f t="array" aca="1" ref="AX22" ca="1">+_xll.EQNXTDZ($A$1,$B22,AX$2)</f>
        <v>#NAME?</v>
      </c>
      <c r="AY22" t="e" cm="1">
        <f t="array" aca="1" ref="AY22" ca="1">+_xll.EQNXTDZ($A$1,$B22,AY$2)</f>
        <v>#NAME?</v>
      </c>
      <c r="AZ22" t="e" cm="1">
        <f t="array" aca="1" ref="AZ22" ca="1">+_xll.EQNXTDZ($A$1,$B22,AZ$2)</f>
        <v>#NAME?</v>
      </c>
      <c r="BA22" t="e" cm="1">
        <f t="array" aca="1" ref="BA22" ca="1">+_xll.EQNXTDZ($A$1,$B22,BA$2)</f>
        <v>#NAME?</v>
      </c>
      <c r="BB22" t="e" cm="1">
        <f t="array" aca="1" ref="BB22" ca="1">+_xll.EQNXTDZ($A$1,$B22,BB$2)</f>
        <v>#NAME?</v>
      </c>
      <c r="BC22" t="e" cm="1">
        <f t="array" aca="1" ref="BC22" ca="1">+_xll.EQNXTDZ($A$1,$B22,BC$2)</f>
        <v>#NAME?</v>
      </c>
      <c r="BD22" t="e" cm="1">
        <f t="array" aca="1" ref="BD22" ca="1">+_xll.EQNXTDZ($A$1,$B22,BD$2)</f>
        <v>#NAME?</v>
      </c>
      <c r="BE22" t="e" cm="1">
        <f t="array" aca="1" ref="BE22" ca="1">+_xll.EQNXTDZ($A$1,$B22,BE$2)</f>
        <v>#NAME?</v>
      </c>
      <c r="BF22" t="e" cm="1">
        <f t="array" aca="1" ref="BF22" ca="1">+_xll.EQNXTDZ($A$1,$B22,BF$2)</f>
        <v>#NAME?</v>
      </c>
      <c r="BG22" t="e" cm="1">
        <f t="array" aca="1" ref="BG22" ca="1">+_xll.EQNXTDZ($A$1,$B22,BG$2)</f>
        <v>#NAME?</v>
      </c>
      <c r="BH22" t="e" cm="1">
        <f t="array" aca="1" ref="BH22" ca="1">+_xll.EQNXTDZ($A$1,$B22,BH$2)</f>
        <v>#NAME?</v>
      </c>
      <c r="BI22" t="e" cm="1">
        <f t="array" aca="1" ref="BI22" ca="1">+_xll.EQNXTDZ($A$1,$B22,BI$2)</f>
        <v>#NAME?</v>
      </c>
      <c r="BJ22" t="e" cm="1">
        <f t="array" aca="1" ref="BJ22" ca="1">+_xll.EQNXTDZ($A$1,$B22,BJ$2)</f>
        <v>#NAME?</v>
      </c>
    </row>
    <row r="23" spans="1:62" x14ac:dyDescent="0.25">
      <c r="A23" t="s">
        <v>222</v>
      </c>
      <c r="B23" t="s">
        <v>262</v>
      </c>
      <c r="C23" t="e" cm="1">
        <f t="array" aca="1" ref="C23" ca="1">+_xll.EQNXTDZ($A$1,$B23,C$2)</f>
        <v>#NAME?</v>
      </c>
      <c r="D23" t="e" cm="1">
        <f t="array" aca="1" ref="D23" ca="1">+_xll.EQNXTDZ($A$1,$B23,D$2)</f>
        <v>#NAME?</v>
      </c>
      <c r="E23" t="e" cm="1">
        <f t="array" aca="1" ref="E23" ca="1">+_xll.EQNXTDZ($A$1,$B23,E$2)</f>
        <v>#NAME?</v>
      </c>
      <c r="F23" t="e" cm="1">
        <f t="array" aca="1" ref="F23" ca="1">+_xll.EQNXTDZ($A$1,$B23,F$2)</f>
        <v>#NAME?</v>
      </c>
      <c r="G23" t="e" cm="1">
        <f t="array" aca="1" ref="G23" ca="1">+_xll.EQNXTDZ($A$1,$B23,G$2)</f>
        <v>#NAME?</v>
      </c>
      <c r="H23" t="e" cm="1">
        <f t="array" aca="1" ref="H23" ca="1">+_xll.EQNXTDZ($A$1,$B23,H$2)</f>
        <v>#NAME?</v>
      </c>
      <c r="I23" t="e" cm="1">
        <f t="array" aca="1" ref="I23" ca="1">+_xll.EQNXTDZ($A$1,$B23,I$2)</f>
        <v>#NAME?</v>
      </c>
      <c r="J23" t="e" cm="1">
        <f t="array" aca="1" ref="J23" ca="1">+_xll.EQNXTDZ($A$1,$B23,J$2)</f>
        <v>#NAME?</v>
      </c>
      <c r="K23" t="e" cm="1">
        <f t="array" aca="1" ref="K23" ca="1">+_xll.EQNXTDZ($A$1,$B23,K$2)</f>
        <v>#NAME?</v>
      </c>
      <c r="L23" t="e" cm="1">
        <f t="array" aca="1" ref="L23" ca="1">+_xll.EQNXTDZ($A$1,$B23,L$2)</f>
        <v>#NAME?</v>
      </c>
      <c r="M23" t="e" cm="1">
        <f t="array" aca="1" ref="M23" ca="1">+_xll.EQNXTDZ($A$1,$B23,M$2)</f>
        <v>#NAME?</v>
      </c>
      <c r="N23" t="e" cm="1">
        <f t="array" aca="1" ref="N23" ca="1">+_xll.EQNXTDZ($A$1,$B23,N$2)</f>
        <v>#NAME?</v>
      </c>
      <c r="O23" t="e" cm="1">
        <f t="array" aca="1" ref="O23" ca="1">+_xll.EQNXTDZ($A$1,$B23,O$2)</f>
        <v>#NAME?</v>
      </c>
      <c r="P23" t="e" cm="1">
        <f t="array" aca="1" ref="P23" ca="1">+_xll.EQNXTDZ($A$1,$B23,P$2)</f>
        <v>#NAME?</v>
      </c>
      <c r="Q23" t="e" cm="1">
        <f t="array" aca="1" ref="Q23" ca="1">+_xll.EQNXTDZ($A$1,$B23,Q$2)</f>
        <v>#NAME?</v>
      </c>
      <c r="R23" t="e" cm="1">
        <f t="array" aca="1" ref="R23" ca="1">+_xll.EQNXTDZ($A$1,$B23,R$2)</f>
        <v>#NAME?</v>
      </c>
      <c r="S23" t="e" cm="1">
        <f t="array" aca="1" ref="S23" ca="1">+_xll.EQNXTDZ($A$1,$B23,S$2)</f>
        <v>#NAME?</v>
      </c>
      <c r="T23" t="e" cm="1">
        <f t="array" aca="1" ref="T23" ca="1">+_xll.EQNXTDZ($A$1,$B23,T$2)</f>
        <v>#NAME?</v>
      </c>
      <c r="U23" t="e" cm="1">
        <f t="array" aca="1" ref="U23" ca="1">+_xll.EQNXTDZ($A$1,$B23,U$2)</f>
        <v>#NAME?</v>
      </c>
      <c r="V23" t="e" cm="1">
        <f t="array" aca="1" ref="V23" ca="1">+_xll.EQNXTDZ($A$1,$B23,V$2)</f>
        <v>#NAME?</v>
      </c>
      <c r="W23" t="e" cm="1">
        <f t="array" aca="1" ref="W23" ca="1">+_xll.EQNXTDZ($A$1,$B23,W$2)</f>
        <v>#NAME?</v>
      </c>
      <c r="X23" t="e" cm="1">
        <f t="array" aca="1" ref="X23" ca="1">+_xll.EQNXTDZ($A$1,$B23,X$2)</f>
        <v>#NAME?</v>
      </c>
      <c r="Y23" t="e" cm="1">
        <f t="array" aca="1" ref="Y23" ca="1">+_xll.EQNXTDZ($A$1,$B23,Y$2)</f>
        <v>#NAME?</v>
      </c>
      <c r="Z23" t="e" cm="1">
        <f t="array" aca="1" ref="Z23" ca="1">+_xll.EQNXTDZ($A$1,$B23,Z$2)</f>
        <v>#NAME?</v>
      </c>
      <c r="AA23" t="e" cm="1">
        <f t="array" aca="1" ref="AA23" ca="1">+_xll.EQNXTDZ($A$1,$B23,AA$2)</f>
        <v>#NAME?</v>
      </c>
      <c r="AB23" t="e" cm="1">
        <f t="array" aca="1" ref="AB23" ca="1">+_xll.EQNXTDZ($A$1,$B23,AB$2)</f>
        <v>#NAME?</v>
      </c>
      <c r="AC23" t="e" cm="1">
        <f t="array" aca="1" ref="AC23" ca="1">+_xll.EQNXTDZ($A$1,$B23,AC$2)</f>
        <v>#NAME?</v>
      </c>
      <c r="AD23" t="e" cm="1">
        <f t="array" aca="1" ref="AD23" ca="1">+_xll.EQNXTDZ($A$1,$B23,AD$2)</f>
        <v>#NAME?</v>
      </c>
      <c r="AE23" t="e" cm="1">
        <f t="array" aca="1" ref="AE23" ca="1">+_xll.EQNXTDZ($A$1,$B23,AE$2)</f>
        <v>#NAME?</v>
      </c>
      <c r="AF23" t="e" cm="1">
        <f t="array" aca="1" ref="AF23" ca="1">+_xll.EQNXTDZ($A$1,$B23,AF$2)</f>
        <v>#NAME?</v>
      </c>
      <c r="AG23" t="e" cm="1">
        <f t="array" aca="1" ref="AG23" ca="1">+_xll.EQNXTDZ($A$1,$B23,AG$2)</f>
        <v>#NAME?</v>
      </c>
      <c r="AH23" t="e" cm="1">
        <f t="array" aca="1" ref="AH23" ca="1">+_xll.EQNXTDZ($A$1,$B23,AH$2)</f>
        <v>#NAME?</v>
      </c>
      <c r="AI23" t="e" cm="1">
        <f t="array" aca="1" ref="AI23" ca="1">+_xll.EQNXTDZ($A$1,$B23,AI$2)</f>
        <v>#NAME?</v>
      </c>
      <c r="AJ23" t="e" cm="1">
        <f t="array" aca="1" ref="AJ23" ca="1">+_xll.EQNXTDZ($A$1,$B23,AJ$2)</f>
        <v>#NAME?</v>
      </c>
      <c r="AK23" t="e" cm="1">
        <f t="array" aca="1" ref="AK23" ca="1">+_xll.EQNXTDZ($A$1,$B23,AK$2)</f>
        <v>#NAME?</v>
      </c>
      <c r="AL23" t="e" cm="1">
        <f t="array" aca="1" ref="AL23" ca="1">+_xll.EQNXTDZ($A$1,$B23,AL$2)</f>
        <v>#NAME?</v>
      </c>
      <c r="AM23" t="e" cm="1">
        <f t="array" aca="1" ref="AM23" ca="1">+_xll.EQNXTDZ($A$1,$B23,AM$2)</f>
        <v>#NAME?</v>
      </c>
      <c r="AN23" t="e" cm="1">
        <f t="array" aca="1" ref="AN23" ca="1">+_xll.EQNXTDZ($A$1,$B23,AN$2)</f>
        <v>#NAME?</v>
      </c>
      <c r="AO23" t="e" cm="1">
        <f t="array" aca="1" ref="AO23" ca="1">+_xll.EQNXTDZ($A$1,$B23,AO$2)</f>
        <v>#NAME?</v>
      </c>
      <c r="AP23" t="e" cm="1">
        <f t="array" aca="1" ref="AP23" ca="1">+_xll.EQNXTDZ($A$1,$B23,AP$2)</f>
        <v>#NAME?</v>
      </c>
      <c r="AQ23" t="e" cm="1">
        <f t="array" aca="1" ref="AQ23" ca="1">+_xll.EQNXTDZ($A$1,$B23,AQ$2)</f>
        <v>#NAME?</v>
      </c>
      <c r="AR23" t="e" cm="1">
        <f t="array" aca="1" ref="AR23" ca="1">+_xll.EQNXTDZ($A$1,$B23,AR$2)</f>
        <v>#NAME?</v>
      </c>
      <c r="AS23" t="e" cm="1">
        <f t="array" aca="1" ref="AS23" ca="1">+_xll.EQNXTDZ($A$1,$B23,AS$2)</f>
        <v>#NAME?</v>
      </c>
      <c r="AT23" t="e" cm="1">
        <f t="array" aca="1" ref="AT23" ca="1">+_xll.EQNXTDZ($A$1,$B23,AT$2)</f>
        <v>#NAME?</v>
      </c>
      <c r="AU23" t="e" cm="1">
        <f t="array" aca="1" ref="AU23" ca="1">+_xll.EQNXTDZ($A$1,$B23,AU$2)</f>
        <v>#NAME?</v>
      </c>
      <c r="AV23" t="e" cm="1">
        <f t="array" aca="1" ref="AV23" ca="1">+_xll.EQNXTDZ($A$1,$B23,AV$2)</f>
        <v>#NAME?</v>
      </c>
      <c r="AW23" t="e" cm="1">
        <f t="array" aca="1" ref="AW23" ca="1">+_xll.EQNXTDZ($A$1,$B23,AW$2)</f>
        <v>#NAME?</v>
      </c>
      <c r="AX23" t="e" cm="1">
        <f t="array" aca="1" ref="AX23" ca="1">+_xll.EQNXTDZ($A$1,$B23,AX$2)</f>
        <v>#NAME?</v>
      </c>
      <c r="AY23" t="e" cm="1">
        <f t="array" aca="1" ref="AY23" ca="1">+_xll.EQNXTDZ($A$1,$B23,AY$2)</f>
        <v>#NAME?</v>
      </c>
      <c r="AZ23" t="e" cm="1">
        <f t="array" aca="1" ref="AZ23" ca="1">+_xll.EQNXTDZ($A$1,$B23,AZ$2)</f>
        <v>#NAME?</v>
      </c>
      <c r="BA23" t="e" cm="1">
        <f t="array" aca="1" ref="BA23" ca="1">+_xll.EQNXTDZ($A$1,$B23,BA$2)</f>
        <v>#NAME?</v>
      </c>
      <c r="BB23" t="e" cm="1">
        <f t="array" aca="1" ref="BB23" ca="1">+_xll.EQNXTDZ($A$1,$B23,BB$2)</f>
        <v>#NAME?</v>
      </c>
      <c r="BC23" t="e" cm="1">
        <f t="array" aca="1" ref="BC23" ca="1">+_xll.EQNXTDZ($A$1,$B23,BC$2)</f>
        <v>#NAME?</v>
      </c>
      <c r="BD23" t="e" cm="1">
        <f t="array" aca="1" ref="BD23" ca="1">+_xll.EQNXTDZ($A$1,$B23,BD$2)</f>
        <v>#NAME?</v>
      </c>
      <c r="BE23" t="e" cm="1">
        <f t="array" aca="1" ref="BE23" ca="1">+_xll.EQNXTDZ($A$1,$B23,BE$2)</f>
        <v>#NAME?</v>
      </c>
      <c r="BF23" t="e" cm="1">
        <f t="array" aca="1" ref="BF23" ca="1">+_xll.EQNXTDZ($A$1,$B23,BF$2)</f>
        <v>#NAME?</v>
      </c>
      <c r="BG23" t="e" cm="1">
        <f t="array" aca="1" ref="BG23" ca="1">+_xll.EQNXTDZ($A$1,$B23,BG$2)</f>
        <v>#NAME?</v>
      </c>
      <c r="BH23" t="e" cm="1">
        <f t="array" aca="1" ref="BH23" ca="1">+_xll.EQNXTDZ($A$1,$B23,BH$2)</f>
        <v>#NAME?</v>
      </c>
      <c r="BI23" t="e" cm="1">
        <f t="array" aca="1" ref="BI23" ca="1">+_xll.EQNXTDZ($A$1,$B23,BI$2)</f>
        <v>#NAME?</v>
      </c>
      <c r="BJ23" t="e" cm="1">
        <f t="array" aca="1" ref="BJ23" ca="1">+_xll.EQNXTDZ($A$1,$B23,BJ$2)</f>
        <v>#NAME?</v>
      </c>
    </row>
    <row r="24" spans="1:62" x14ac:dyDescent="0.25">
      <c r="A24" t="s">
        <v>223</v>
      </c>
      <c r="B24" t="s">
        <v>263</v>
      </c>
      <c r="C24" t="e" cm="1">
        <f t="array" aca="1" ref="C24" ca="1">+_xll.EQNXTDZ($A$1,$B24,C$2)</f>
        <v>#NAME?</v>
      </c>
      <c r="D24" t="e" cm="1">
        <f t="array" aca="1" ref="D24" ca="1">+_xll.EQNXTDZ($A$1,$B24,D$2)</f>
        <v>#NAME?</v>
      </c>
      <c r="E24" t="e" cm="1">
        <f t="array" aca="1" ref="E24" ca="1">+_xll.EQNXTDZ($A$1,$B24,E$2)</f>
        <v>#NAME?</v>
      </c>
      <c r="F24" t="e" cm="1">
        <f t="array" aca="1" ref="F24" ca="1">+_xll.EQNXTDZ($A$1,$B24,F$2)</f>
        <v>#NAME?</v>
      </c>
      <c r="G24" t="e" cm="1">
        <f t="array" aca="1" ref="G24" ca="1">+_xll.EQNXTDZ($A$1,$B24,G$2)</f>
        <v>#NAME?</v>
      </c>
      <c r="H24" t="e" cm="1">
        <f t="array" aca="1" ref="H24" ca="1">+_xll.EQNXTDZ($A$1,$B24,H$2)</f>
        <v>#NAME?</v>
      </c>
      <c r="I24" t="e" cm="1">
        <f t="array" aca="1" ref="I24" ca="1">+_xll.EQNXTDZ($A$1,$B24,I$2)</f>
        <v>#NAME?</v>
      </c>
      <c r="J24" t="e" cm="1">
        <f t="array" aca="1" ref="J24" ca="1">+_xll.EQNXTDZ($A$1,$B24,J$2)</f>
        <v>#NAME?</v>
      </c>
      <c r="K24" t="e" cm="1">
        <f t="array" aca="1" ref="K24" ca="1">+_xll.EQNXTDZ($A$1,$B24,K$2)</f>
        <v>#NAME?</v>
      </c>
      <c r="L24" t="e" cm="1">
        <f t="array" aca="1" ref="L24" ca="1">+_xll.EQNXTDZ($A$1,$B24,L$2)</f>
        <v>#NAME?</v>
      </c>
      <c r="M24" t="e" cm="1">
        <f t="array" aca="1" ref="M24" ca="1">+_xll.EQNXTDZ($A$1,$B24,M$2)</f>
        <v>#NAME?</v>
      </c>
      <c r="N24" t="e" cm="1">
        <f t="array" aca="1" ref="N24" ca="1">+_xll.EQNXTDZ($A$1,$B24,N$2)</f>
        <v>#NAME?</v>
      </c>
      <c r="O24" t="e" cm="1">
        <f t="array" aca="1" ref="O24" ca="1">+_xll.EQNXTDZ($A$1,$B24,O$2)</f>
        <v>#NAME?</v>
      </c>
      <c r="P24" t="e" cm="1">
        <f t="array" aca="1" ref="P24" ca="1">+_xll.EQNXTDZ($A$1,$B24,P$2)</f>
        <v>#NAME?</v>
      </c>
      <c r="Q24" t="e" cm="1">
        <f t="array" aca="1" ref="Q24" ca="1">+_xll.EQNXTDZ($A$1,$B24,Q$2)</f>
        <v>#NAME?</v>
      </c>
      <c r="R24" t="e" cm="1">
        <f t="array" aca="1" ref="R24" ca="1">+_xll.EQNXTDZ($A$1,$B24,R$2)</f>
        <v>#NAME?</v>
      </c>
      <c r="S24" t="e" cm="1">
        <f t="array" aca="1" ref="S24" ca="1">+_xll.EQNXTDZ($A$1,$B24,S$2)</f>
        <v>#NAME?</v>
      </c>
      <c r="T24" t="e" cm="1">
        <f t="array" aca="1" ref="T24" ca="1">+_xll.EQNXTDZ($A$1,$B24,T$2)</f>
        <v>#NAME?</v>
      </c>
      <c r="U24" t="e" cm="1">
        <f t="array" aca="1" ref="U24" ca="1">+_xll.EQNXTDZ($A$1,$B24,U$2)</f>
        <v>#NAME?</v>
      </c>
      <c r="V24" t="e" cm="1">
        <f t="array" aca="1" ref="V24" ca="1">+_xll.EQNXTDZ($A$1,$B24,V$2)</f>
        <v>#NAME?</v>
      </c>
      <c r="W24" t="e" cm="1">
        <f t="array" aca="1" ref="W24" ca="1">+_xll.EQNXTDZ($A$1,$B24,W$2)</f>
        <v>#NAME?</v>
      </c>
      <c r="X24" t="e" cm="1">
        <f t="array" aca="1" ref="X24" ca="1">+_xll.EQNXTDZ($A$1,$B24,X$2)</f>
        <v>#NAME?</v>
      </c>
      <c r="Y24" t="e" cm="1">
        <f t="array" aca="1" ref="Y24" ca="1">+_xll.EQNXTDZ($A$1,$B24,Y$2)</f>
        <v>#NAME?</v>
      </c>
      <c r="Z24" t="e" cm="1">
        <f t="array" aca="1" ref="Z24" ca="1">+_xll.EQNXTDZ($A$1,$B24,Z$2)</f>
        <v>#NAME?</v>
      </c>
      <c r="AA24" t="e" cm="1">
        <f t="array" aca="1" ref="AA24" ca="1">+_xll.EQNXTDZ($A$1,$B24,AA$2)</f>
        <v>#NAME?</v>
      </c>
      <c r="AB24" t="e" cm="1">
        <f t="array" aca="1" ref="AB24" ca="1">+_xll.EQNXTDZ($A$1,$B24,AB$2)</f>
        <v>#NAME?</v>
      </c>
      <c r="AC24" t="e" cm="1">
        <f t="array" aca="1" ref="AC24" ca="1">+_xll.EQNXTDZ($A$1,$B24,AC$2)</f>
        <v>#NAME?</v>
      </c>
      <c r="AD24" t="e" cm="1">
        <f t="array" aca="1" ref="AD24" ca="1">+_xll.EQNXTDZ($A$1,$B24,AD$2)</f>
        <v>#NAME?</v>
      </c>
      <c r="AE24" t="e" cm="1">
        <f t="array" aca="1" ref="AE24" ca="1">+_xll.EQNXTDZ($A$1,$B24,AE$2)</f>
        <v>#NAME?</v>
      </c>
      <c r="AF24" t="e" cm="1">
        <f t="array" aca="1" ref="AF24" ca="1">+_xll.EQNXTDZ($A$1,$B24,AF$2)</f>
        <v>#NAME?</v>
      </c>
      <c r="AG24" t="e" cm="1">
        <f t="array" aca="1" ref="AG24" ca="1">+_xll.EQNXTDZ($A$1,$B24,AG$2)</f>
        <v>#NAME?</v>
      </c>
      <c r="AH24" t="e" cm="1">
        <f t="array" aca="1" ref="AH24" ca="1">+_xll.EQNXTDZ($A$1,$B24,AH$2)</f>
        <v>#NAME?</v>
      </c>
      <c r="AI24" t="e" cm="1">
        <f t="array" aca="1" ref="AI24" ca="1">+_xll.EQNXTDZ($A$1,$B24,AI$2)</f>
        <v>#NAME?</v>
      </c>
      <c r="AJ24" t="e" cm="1">
        <f t="array" aca="1" ref="AJ24" ca="1">+_xll.EQNXTDZ($A$1,$B24,AJ$2)</f>
        <v>#NAME?</v>
      </c>
      <c r="AK24" t="e" cm="1">
        <f t="array" aca="1" ref="AK24" ca="1">+_xll.EQNXTDZ($A$1,$B24,AK$2)</f>
        <v>#NAME?</v>
      </c>
      <c r="AL24" t="e" cm="1">
        <f t="array" aca="1" ref="AL24" ca="1">+_xll.EQNXTDZ($A$1,$B24,AL$2)</f>
        <v>#NAME?</v>
      </c>
      <c r="AM24" t="e" cm="1">
        <f t="array" aca="1" ref="AM24" ca="1">+_xll.EQNXTDZ($A$1,$B24,AM$2)</f>
        <v>#NAME?</v>
      </c>
      <c r="AN24" t="e" cm="1">
        <f t="array" aca="1" ref="AN24" ca="1">+_xll.EQNXTDZ($A$1,$B24,AN$2)</f>
        <v>#NAME?</v>
      </c>
      <c r="AO24" t="e" cm="1">
        <f t="array" aca="1" ref="AO24" ca="1">+_xll.EQNXTDZ($A$1,$B24,AO$2)</f>
        <v>#NAME?</v>
      </c>
      <c r="AP24" t="e" cm="1">
        <f t="array" aca="1" ref="AP24" ca="1">+_xll.EQNXTDZ($A$1,$B24,AP$2)</f>
        <v>#NAME?</v>
      </c>
      <c r="AQ24" t="e" cm="1">
        <f t="array" aca="1" ref="AQ24" ca="1">+_xll.EQNXTDZ($A$1,$B24,AQ$2)</f>
        <v>#NAME?</v>
      </c>
      <c r="AR24" t="e" cm="1">
        <f t="array" aca="1" ref="AR24" ca="1">+_xll.EQNXTDZ($A$1,$B24,AR$2)</f>
        <v>#NAME?</v>
      </c>
      <c r="AS24" t="e" cm="1">
        <f t="array" aca="1" ref="AS24" ca="1">+_xll.EQNXTDZ($A$1,$B24,AS$2)</f>
        <v>#NAME?</v>
      </c>
      <c r="AT24" t="e" cm="1">
        <f t="array" aca="1" ref="AT24" ca="1">+_xll.EQNXTDZ($A$1,$B24,AT$2)</f>
        <v>#NAME?</v>
      </c>
      <c r="AU24" t="e" cm="1">
        <f t="array" aca="1" ref="AU24" ca="1">+_xll.EQNXTDZ($A$1,$B24,AU$2)</f>
        <v>#NAME?</v>
      </c>
      <c r="AV24" t="e" cm="1">
        <f t="array" aca="1" ref="AV24" ca="1">+_xll.EQNXTDZ($A$1,$B24,AV$2)</f>
        <v>#NAME?</v>
      </c>
      <c r="AW24" t="e" cm="1">
        <f t="array" aca="1" ref="AW24" ca="1">+_xll.EQNXTDZ($A$1,$B24,AW$2)</f>
        <v>#NAME?</v>
      </c>
      <c r="AX24" t="e" cm="1">
        <f t="array" aca="1" ref="AX24" ca="1">+_xll.EQNXTDZ($A$1,$B24,AX$2)</f>
        <v>#NAME?</v>
      </c>
      <c r="AY24" t="e" cm="1">
        <f t="array" aca="1" ref="AY24" ca="1">+_xll.EQNXTDZ($A$1,$B24,AY$2)</f>
        <v>#NAME?</v>
      </c>
      <c r="AZ24" t="e" cm="1">
        <f t="array" aca="1" ref="AZ24" ca="1">+_xll.EQNXTDZ($A$1,$B24,AZ$2)</f>
        <v>#NAME?</v>
      </c>
      <c r="BA24" t="e" cm="1">
        <f t="array" aca="1" ref="BA24" ca="1">+_xll.EQNXTDZ($A$1,$B24,BA$2)</f>
        <v>#NAME?</v>
      </c>
      <c r="BB24" t="e" cm="1">
        <f t="array" aca="1" ref="BB24" ca="1">+_xll.EQNXTDZ($A$1,$B24,BB$2)</f>
        <v>#NAME?</v>
      </c>
      <c r="BC24" t="e" cm="1">
        <f t="array" aca="1" ref="BC24" ca="1">+_xll.EQNXTDZ($A$1,$B24,BC$2)</f>
        <v>#NAME?</v>
      </c>
      <c r="BD24" t="e" cm="1">
        <f t="array" aca="1" ref="BD24" ca="1">+_xll.EQNXTDZ($A$1,$B24,BD$2)</f>
        <v>#NAME?</v>
      </c>
      <c r="BE24" t="e" cm="1">
        <f t="array" aca="1" ref="BE24" ca="1">+_xll.EQNXTDZ($A$1,$B24,BE$2)</f>
        <v>#NAME?</v>
      </c>
      <c r="BF24" t="e" cm="1">
        <f t="array" aca="1" ref="BF24" ca="1">+_xll.EQNXTDZ($A$1,$B24,BF$2)</f>
        <v>#NAME?</v>
      </c>
      <c r="BG24" t="e" cm="1">
        <f t="array" aca="1" ref="BG24" ca="1">+_xll.EQNXTDZ($A$1,$B24,BG$2)</f>
        <v>#NAME?</v>
      </c>
      <c r="BH24" t="e" cm="1">
        <f t="array" aca="1" ref="BH24" ca="1">+_xll.EQNXTDZ($A$1,$B24,BH$2)</f>
        <v>#NAME?</v>
      </c>
      <c r="BI24" t="e" cm="1">
        <f t="array" aca="1" ref="BI24" ca="1">+_xll.EQNXTDZ($A$1,$B24,BI$2)</f>
        <v>#NAME?</v>
      </c>
      <c r="BJ24" t="e" cm="1">
        <f t="array" aca="1" ref="BJ24" ca="1">+_xll.EQNXTDZ($A$1,$B24,BJ$2)</f>
        <v>#NAME?</v>
      </c>
    </row>
    <row r="25" spans="1:62" x14ac:dyDescent="0.25">
      <c r="A25" t="s">
        <v>224</v>
      </c>
      <c r="B25" t="s">
        <v>264</v>
      </c>
      <c r="C25" t="e" cm="1">
        <f t="array" aca="1" ref="C25" ca="1">+_xll.EQNXTDZ($A$1,$B25,C$2)</f>
        <v>#NAME?</v>
      </c>
      <c r="D25" t="e" cm="1">
        <f t="array" aca="1" ref="D25" ca="1">+_xll.EQNXTDZ($A$1,$B25,D$2)</f>
        <v>#NAME?</v>
      </c>
      <c r="E25" t="e" cm="1">
        <f t="array" aca="1" ref="E25" ca="1">+_xll.EQNXTDZ($A$1,$B25,E$2)</f>
        <v>#NAME?</v>
      </c>
      <c r="F25" t="e" cm="1">
        <f t="array" aca="1" ref="F25" ca="1">+_xll.EQNXTDZ($A$1,$B25,F$2)</f>
        <v>#NAME?</v>
      </c>
      <c r="G25" t="e" cm="1">
        <f t="array" aca="1" ref="G25" ca="1">+_xll.EQNXTDZ($A$1,$B25,G$2)</f>
        <v>#NAME?</v>
      </c>
      <c r="H25" t="e" cm="1">
        <f t="array" aca="1" ref="H25" ca="1">+_xll.EQNXTDZ($A$1,$B25,H$2)</f>
        <v>#NAME?</v>
      </c>
      <c r="I25" t="e" cm="1">
        <f t="array" aca="1" ref="I25" ca="1">+_xll.EQNXTDZ($A$1,$B25,I$2)</f>
        <v>#NAME?</v>
      </c>
      <c r="J25" t="e" cm="1">
        <f t="array" aca="1" ref="J25" ca="1">+_xll.EQNXTDZ($A$1,$B25,J$2)</f>
        <v>#NAME?</v>
      </c>
      <c r="K25" t="e" cm="1">
        <f t="array" aca="1" ref="K25" ca="1">+_xll.EQNXTDZ($A$1,$B25,K$2)</f>
        <v>#NAME?</v>
      </c>
      <c r="L25" t="e" cm="1">
        <f t="array" aca="1" ref="L25" ca="1">+_xll.EQNXTDZ($A$1,$B25,L$2)</f>
        <v>#NAME?</v>
      </c>
      <c r="M25" t="e" cm="1">
        <f t="array" aca="1" ref="M25" ca="1">+_xll.EQNXTDZ($A$1,$B25,M$2)</f>
        <v>#NAME?</v>
      </c>
      <c r="N25" t="e" cm="1">
        <f t="array" aca="1" ref="N25" ca="1">+_xll.EQNXTDZ($A$1,$B25,N$2)</f>
        <v>#NAME?</v>
      </c>
      <c r="O25" t="e" cm="1">
        <f t="array" aca="1" ref="O25" ca="1">+_xll.EQNXTDZ($A$1,$B25,O$2)</f>
        <v>#NAME?</v>
      </c>
      <c r="P25" t="e" cm="1">
        <f t="array" aca="1" ref="P25" ca="1">+_xll.EQNXTDZ($A$1,$B25,P$2)</f>
        <v>#NAME?</v>
      </c>
      <c r="Q25" t="e" cm="1">
        <f t="array" aca="1" ref="Q25" ca="1">+_xll.EQNXTDZ($A$1,$B25,Q$2)</f>
        <v>#NAME?</v>
      </c>
      <c r="R25" t="e" cm="1">
        <f t="array" aca="1" ref="R25" ca="1">+_xll.EQNXTDZ($A$1,$B25,R$2)</f>
        <v>#NAME?</v>
      </c>
      <c r="S25" t="e" cm="1">
        <f t="array" aca="1" ref="S25" ca="1">+_xll.EQNXTDZ($A$1,$B25,S$2)</f>
        <v>#NAME?</v>
      </c>
      <c r="T25" t="e" cm="1">
        <f t="array" aca="1" ref="T25" ca="1">+_xll.EQNXTDZ($A$1,$B25,T$2)</f>
        <v>#NAME?</v>
      </c>
      <c r="U25" t="e" cm="1">
        <f t="array" aca="1" ref="U25" ca="1">+_xll.EQNXTDZ($A$1,$B25,U$2)</f>
        <v>#NAME?</v>
      </c>
      <c r="V25" t="e" cm="1">
        <f t="array" aca="1" ref="V25" ca="1">+_xll.EQNXTDZ($A$1,$B25,V$2)</f>
        <v>#NAME?</v>
      </c>
      <c r="W25" t="e" cm="1">
        <f t="array" aca="1" ref="W25" ca="1">+_xll.EQNXTDZ($A$1,$B25,W$2)</f>
        <v>#NAME?</v>
      </c>
      <c r="X25" t="e" cm="1">
        <f t="array" aca="1" ref="X25" ca="1">+_xll.EQNXTDZ($A$1,$B25,X$2)</f>
        <v>#NAME?</v>
      </c>
      <c r="Y25" t="e" cm="1">
        <f t="array" aca="1" ref="Y25" ca="1">+_xll.EQNXTDZ($A$1,$B25,Y$2)</f>
        <v>#NAME?</v>
      </c>
      <c r="Z25" t="e" cm="1">
        <f t="array" aca="1" ref="Z25" ca="1">+_xll.EQNXTDZ($A$1,$B25,Z$2)</f>
        <v>#NAME?</v>
      </c>
      <c r="AA25" t="e" cm="1">
        <f t="array" aca="1" ref="AA25" ca="1">+_xll.EQNXTDZ($A$1,$B25,AA$2)</f>
        <v>#NAME?</v>
      </c>
      <c r="AB25" t="e" cm="1">
        <f t="array" aca="1" ref="AB25" ca="1">+_xll.EQNXTDZ($A$1,$B25,AB$2)</f>
        <v>#NAME?</v>
      </c>
      <c r="AC25" t="e" cm="1">
        <f t="array" aca="1" ref="AC25" ca="1">+_xll.EQNXTDZ($A$1,$B25,AC$2)</f>
        <v>#NAME?</v>
      </c>
      <c r="AD25" t="e" cm="1">
        <f t="array" aca="1" ref="AD25" ca="1">+_xll.EQNXTDZ($A$1,$B25,AD$2)</f>
        <v>#NAME?</v>
      </c>
      <c r="AE25" t="e" cm="1">
        <f t="array" aca="1" ref="AE25" ca="1">+_xll.EQNXTDZ($A$1,$B25,AE$2)</f>
        <v>#NAME?</v>
      </c>
      <c r="AF25" t="e" cm="1">
        <f t="array" aca="1" ref="AF25" ca="1">+_xll.EQNXTDZ($A$1,$B25,AF$2)</f>
        <v>#NAME?</v>
      </c>
      <c r="AG25" t="e" cm="1">
        <f t="array" aca="1" ref="AG25" ca="1">+_xll.EQNXTDZ($A$1,$B25,AG$2)</f>
        <v>#NAME?</v>
      </c>
      <c r="AH25" t="e" cm="1">
        <f t="array" aca="1" ref="AH25" ca="1">+_xll.EQNXTDZ($A$1,$B25,AH$2)</f>
        <v>#NAME?</v>
      </c>
      <c r="AI25" t="e" cm="1">
        <f t="array" aca="1" ref="AI25" ca="1">+_xll.EQNXTDZ($A$1,$B25,AI$2)</f>
        <v>#NAME?</v>
      </c>
      <c r="AJ25" t="e" cm="1">
        <f t="array" aca="1" ref="AJ25" ca="1">+_xll.EQNXTDZ($A$1,$B25,AJ$2)</f>
        <v>#NAME?</v>
      </c>
      <c r="AK25" t="e" cm="1">
        <f t="array" aca="1" ref="AK25" ca="1">+_xll.EQNXTDZ($A$1,$B25,AK$2)</f>
        <v>#NAME?</v>
      </c>
      <c r="AL25" t="e" cm="1">
        <f t="array" aca="1" ref="AL25" ca="1">+_xll.EQNXTDZ($A$1,$B25,AL$2)</f>
        <v>#NAME?</v>
      </c>
      <c r="AM25" t="e" cm="1">
        <f t="array" aca="1" ref="AM25" ca="1">+_xll.EQNXTDZ($A$1,$B25,AM$2)</f>
        <v>#NAME?</v>
      </c>
      <c r="AN25" t="e" cm="1">
        <f t="array" aca="1" ref="AN25" ca="1">+_xll.EQNXTDZ($A$1,$B25,AN$2)</f>
        <v>#NAME?</v>
      </c>
      <c r="AO25" t="e" cm="1">
        <f t="array" aca="1" ref="AO25" ca="1">+_xll.EQNXTDZ($A$1,$B25,AO$2)</f>
        <v>#NAME?</v>
      </c>
      <c r="AP25" t="e" cm="1">
        <f t="array" aca="1" ref="AP25" ca="1">+_xll.EQNXTDZ($A$1,$B25,AP$2)</f>
        <v>#NAME?</v>
      </c>
      <c r="AQ25" t="e" cm="1">
        <f t="array" aca="1" ref="AQ25" ca="1">+_xll.EQNXTDZ($A$1,$B25,AQ$2)</f>
        <v>#NAME?</v>
      </c>
      <c r="AR25" t="e" cm="1">
        <f t="array" aca="1" ref="AR25" ca="1">+_xll.EQNXTDZ($A$1,$B25,AR$2)</f>
        <v>#NAME?</v>
      </c>
      <c r="AS25" t="e" cm="1">
        <f t="array" aca="1" ref="AS25" ca="1">+_xll.EQNXTDZ($A$1,$B25,AS$2)</f>
        <v>#NAME?</v>
      </c>
      <c r="AT25" t="e" cm="1">
        <f t="array" aca="1" ref="AT25" ca="1">+_xll.EQNXTDZ($A$1,$B25,AT$2)</f>
        <v>#NAME?</v>
      </c>
      <c r="AU25" t="e" cm="1">
        <f t="array" aca="1" ref="AU25" ca="1">+_xll.EQNXTDZ($A$1,$B25,AU$2)</f>
        <v>#NAME?</v>
      </c>
      <c r="AV25" t="e" cm="1">
        <f t="array" aca="1" ref="AV25" ca="1">+_xll.EQNXTDZ($A$1,$B25,AV$2)</f>
        <v>#NAME?</v>
      </c>
      <c r="AW25" t="e" cm="1">
        <f t="array" aca="1" ref="AW25" ca="1">+_xll.EQNXTDZ($A$1,$B25,AW$2)</f>
        <v>#NAME?</v>
      </c>
      <c r="AX25" t="e" cm="1">
        <f t="array" aca="1" ref="AX25" ca="1">+_xll.EQNXTDZ($A$1,$B25,AX$2)</f>
        <v>#NAME?</v>
      </c>
      <c r="AY25" t="e" cm="1">
        <f t="array" aca="1" ref="AY25" ca="1">+_xll.EQNXTDZ($A$1,$B25,AY$2)</f>
        <v>#NAME?</v>
      </c>
      <c r="AZ25" t="e" cm="1">
        <f t="array" aca="1" ref="AZ25" ca="1">+_xll.EQNXTDZ($A$1,$B25,AZ$2)</f>
        <v>#NAME?</v>
      </c>
      <c r="BA25" t="e" cm="1">
        <f t="array" aca="1" ref="BA25" ca="1">+_xll.EQNXTDZ($A$1,$B25,BA$2)</f>
        <v>#NAME?</v>
      </c>
      <c r="BB25" t="e" cm="1">
        <f t="array" aca="1" ref="BB25" ca="1">+_xll.EQNXTDZ($A$1,$B25,BB$2)</f>
        <v>#NAME?</v>
      </c>
      <c r="BC25" t="e" cm="1">
        <f t="array" aca="1" ref="BC25" ca="1">+_xll.EQNXTDZ($A$1,$B25,BC$2)</f>
        <v>#NAME?</v>
      </c>
      <c r="BD25" t="e" cm="1">
        <f t="array" aca="1" ref="BD25" ca="1">+_xll.EQNXTDZ($A$1,$B25,BD$2)</f>
        <v>#NAME?</v>
      </c>
      <c r="BE25" t="e" cm="1">
        <f t="array" aca="1" ref="BE25" ca="1">+_xll.EQNXTDZ($A$1,$B25,BE$2)</f>
        <v>#NAME?</v>
      </c>
      <c r="BF25" t="e" cm="1">
        <f t="array" aca="1" ref="BF25" ca="1">+_xll.EQNXTDZ($A$1,$B25,BF$2)</f>
        <v>#NAME?</v>
      </c>
      <c r="BG25" t="e" cm="1">
        <f t="array" aca="1" ref="BG25" ca="1">+_xll.EQNXTDZ($A$1,$B25,BG$2)</f>
        <v>#NAME?</v>
      </c>
      <c r="BH25" t="e" cm="1">
        <f t="array" aca="1" ref="BH25" ca="1">+_xll.EQNXTDZ($A$1,$B25,BH$2)</f>
        <v>#NAME?</v>
      </c>
      <c r="BI25" t="e" cm="1">
        <f t="array" aca="1" ref="BI25" ca="1">+_xll.EQNXTDZ($A$1,$B25,BI$2)</f>
        <v>#NAME?</v>
      </c>
      <c r="BJ25" t="e" cm="1">
        <f t="array" aca="1" ref="BJ25" ca="1">+_xll.EQNXTDZ($A$1,$B25,BJ$2)</f>
        <v>#NAME?</v>
      </c>
    </row>
    <row r="26" spans="1:62" x14ac:dyDescent="0.25">
      <c r="A26" t="s">
        <v>225</v>
      </c>
      <c r="B26" t="s">
        <v>265</v>
      </c>
      <c r="C26" t="e" cm="1">
        <f t="array" aca="1" ref="C26" ca="1">+_xll.EQNXTDZ($A$1,$B26,C$2)</f>
        <v>#NAME?</v>
      </c>
      <c r="D26" t="e" cm="1">
        <f t="array" aca="1" ref="D26" ca="1">+_xll.EQNXTDZ($A$1,$B26,D$2)</f>
        <v>#NAME?</v>
      </c>
      <c r="E26" t="e" cm="1">
        <f t="array" aca="1" ref="E26" ca="1">+_xll.EQNXTDZ($A$1,$B26,E$2)</f>
        <v>#NAME?</v>
      </c>
      <c r="F26" t="e" cm="1">
        <f t="array" aca="1" ref="F26" ca="1">+_xll.EQNXTDZ($A$1,$B26,F$2)</f>
        <v>#NAME?</v>
      </c>
      <c r="G26" t="e" cm="1">
        <f t="array" aca="1" ref="G26" ca="1">+_xll.EQNXTDZ($A$1,$B26,G$2)</f>
        <v>#NAME?</v>
      </c>
      <c r="H26" t="e" cm="1">
        <f t="array" aca="1" ref="H26" ca="1">+_xll.EQNXTDZ($A$1,$B26,H$2)</f>
        <v>#NAME?</v>
      </c>
      <c r="I26" t="e" cm="1">
        <f t="array" aca="1" ref="I26" ca="1">+_xll.EQNXTDZ($A$1,$B26,I$2)</f>
        <v>#NAME?</v>
      </c>
      <c r="J26" t="e" cm="1">
        <f t="array" aca="1" ref="J26" ca="1">+_xll.EQNXTDZ($A$1,$B26,J$2)</f>
        <v>#NAME?</v>
      </c>
      <c r="K26" t="e" cm="1">
        <f t="array" aca="1" ref="K26" ca="1">+_xll.EQNXTDZ($A$1,$B26,K$2)</f>
        <v>#NAME?</v>
      </c>
      <c r="L26" t="e" cm="1">
        <f t="array" aca="1" ref="L26" ca="1">+_xll.EQNXTDZ($A$1,$B26,L$2)</f>
        <v>#NAME?</v>
      </c>
      <c r="M26" t="e" cm="1">
        <f t="array" aca="1" ref="M26" ca="1">+_xll.EQNXTDZ($A$1,$B26,M$2)</f>
        <v>#NAME?</v>
      </c>
      <c r="N26" t="e" cm="1">
        <f t="array" aca="1" ref="N26" ca="1">+_xll.EQNXTDZ($A$1,$B26,N$2)</f>
        <v>#NAME?</v>
      </c>
      <c r="O26" t="e" cm="1">
        <f t="array" aca="1" ref="O26" ca="1">+_xll.EQNXTDZ($A$1,$B26,O$2)</f>
        <v>#NAME?</v>
      </c>
      <c r="P26" t="e" cm="1">
        <f t="array" aca="1" ref="P26" ca="1">+_xll.EQNXTDZ($A$1,$B26,P$2)</f>
        <v>#NAME?</v>
      </c>
      <c r="Q26" t="e" cm="1">
        <f t="array" aca="1" ref="Q26" ca="1">+_xll.EQNXTDZ($A$1,$B26,Q$2)</f>
        <v>#NAME?</v>
      </c>
      <c r="R26" t="e" cm="1">
        <f t="array" aca="1" ref="R26" ca="1">+_xll.EQNXTDZ($A$1,$B26,R$2)</f>
        <v>#NAME?</v>
      </c>
      <c r="S26" t="e" cm="1">
        <f t="array" aca="1" ref="S26" ca="1">+_xll.EQNXTDZ($A$1,$B26,S$2)</f>
        <v>#NAME?</v>
      </c>
      <c r="T26" t="e" cm="1">
        <f t="array" aca="1" ref="T26" ca="1">+_xll.EQNXTDZ($A$1,$B26,T$2)</f>
        <v>#NAME?</v>
      </c>
      <c r="U26" t="e" cm="1">
        <f t="array" aca="1" ref="U26" ca="1">+_xll.EQNXTDZ($A$1,$B26,U$2)</f>
        <v>#NAME?</v>
      </c>
      <c r="V26" t="e" cm="1">
        <f t="array" aca="1" ref="V26" ca="1">+_xll.EQNXTDZ($A$1,$B26,V$2)</f>
        <v>#NAME?</v>
      </c>
      <c r="W26" t="e" cm="1">
        <f t="array" aca="1" ref="W26" ca="1">+_xll.EQNXTDZ($A$1,$B26,W$2)</f>
        <v>#NAME?</v>
      </c>
      <c r="X26" t="e" cm="1">
        <f t="array" aca="1" ref="X26" ca="1">+_xll.EQNXTDZ($A$1,$B26,X$2)</f>
        <v>#NAME?</v>
      </c>
      <c r="Y26" t="e" cm="1">
        <f t="array" aca="1" ref="Y26" ca="1">+_xll.EQNXTDZ($A$1,$B26,Y$2)</f>
        <v>#NAME?</v>
      </c>
      <c r="Z26" t="e" cm="1">
        <f t="array" aca="1" ref="Z26" ca="1">+_xll.EQNXTDZ($A$1,$B26,Z$2)</f>
        <v>#NAME?</v>
      </c>
      <c r="AA26" t="e" cm="1">
        <f t="array" aca="1" ref="AA26" ca="1">+_xll.EQNXTDZ($A$1,$B26,AA$2)</f>
        <v>#NAME?</v>
      </c>
      <c r="AB26" t="e" cm="1">
        <f t="array" aca="1" ref="AB26" ca="1">+_xll.EQNXTDZ($A$1,$B26,AB$2)</f>
        <v>#NAME?</v>
      </c>
      <c r="AC26" t="e" cm="1">
        <f t="array" aca="1" ref="AC26" ca="1">+_xll.EQNXTDZ($A$1,$B26,AC$2)</f>
        <v>#NAME?</v>
      </c>
      <c r="AD26" t="e" cm="1">
        <f t="array" aca="1" ref="AD26" ca="1">+_xll.EQNXTDZ($A$1,$B26,AD$2)</f>
        <v>#NAME?</v>
      </c>
      <c r="AE26" t="e" cm="1">
        <f t="array" aca="1" ref="AE26" ca="1">+_xll.EQNXTDZ($A$1,$B26,AE$2)</f>
        <v>#NAME?</v>
      </c>
      <c r="AF26" t="e" cm="1">
        <f t="array" aca="1" ref="AF26" ca="1">+_xll.EQNXTDZ($A$1,$B26,AF$2)</f>
        <v>#NAME?</v>
      </c>
      <c r="AG26" t="e" cm="1">
        <f t="array" aca="1" ref="AG26" ca="1">+_xll.EQNXTDZ($A$1,$B26,AG$2)</f>
        <v>#NAME?</v>
      </c>
      <c r="AH26" t="e" cm="1">
        <f t="array" aca="1" ref="AH26" ca="1">+_xll.EQNXTDZ($A$1,$B26,AH$2)</f>
        <v>#NAME?</v>
      </c>
      <c r="AI26" t="e" cm="1">
        <f t="array" aca="1" ref="AI26" ca="1">+_xll.EQNXTDZ($A$1,$B26,AI$2)</f>
        <v>#NAME?</v>
      </c>
      <c r="AJ26" t="e" cm="1">
        <f t="array" aca="1" ref="AJ26" ca="1">+_xll.EQNXTDZ($A$1,$B26,AJ$2)</f>
        <v>#NAME?</v>
      </c>
      <c r="AK26" t="e" cm="1">
        <f t="array" aca="1" ref="AK26" ca="1">+_xll.EQNXTDZ($A$1,$B26,AK$2)</f>
        <v>#NAME?</v>
      </c>
      <c r="AL26" t="e" cm="1">
        <f t="array" aca="1" ref="AL26" ca="1">+_xll.EQNXTDZ($A$1,$B26,AL$2)</f>
        <v>#NAME?</v>
      </c>
      <c r="AM26" t="e" cm="1">
        <f t="array" aca="1" ref="AM26" ca="1">+_xll.EQNXTDZ($A$1,$B26,AM$2)</f>
        <v>#NAME?</v>
      </c>
      <c r="AN26" t="e" cm="1">
        <f t="array" aca="1" ref="AN26" ca="1">+_xll.EQNXTDZ($A$1,$B26,AN$2)</f>
        <v>#NAME?</v>
      </c>
      <c r="AO26" t="e" cm="1">
        <f t="array" aca="1" ref="AO26" ca="1">+_xll.EQNXTDZ($A$1,$B26,AO$2)</f>
        <v>#NAME?</v>
      </c>
      <c r="AP26" t="e" cm="1">
        <f t="array" aca="1" ref="AP26" ca="1">+_xll.EQNXTDZ($A$1,$B26,AP$2)</f>
        <v>#NAME?</v>
      </c>
      <c r="AQ26" t="e" cm="1">
        <f t="array" aca="1" ref="AQ26" ca="1">+_xll.EQNXTDZ($A$1,$B26,AQ$2)</f>
        <v>#NAME?</v>
      </c>
      <c r="AR26" t="e" cm="1">
        <f t="array" aca="1" ref="AR26" ca="1">+_xll.EQNXTDZ($A$1,$B26,AR$2)</f>
        <v>#NAME?</v>
      </c>
      <c r="AS26" t="e" cm="1">
        <f t="array" aca="1" ref="AS26" ca="1">+_xll.EQNXTDZ($A$1,$B26,AS$2)</f>
        <v>#NAME?</v>
      </c>
      <c r="AT26" t="e" cm="1">
        <f t="array" aca="1" ref="AT26" ca="1">+_xll.EQNXTDZ($A$1,$B26,AT$2)</f>
        <v>#NAME?</v>
      </c>
      <c r="AU26" t="e" cm="1">
        <f t="array" aca="1" ref="AU26" ca="1">+_xll.EQNXTDZ($A$1,$B26,AU$2)</f>
        <v>#NAME?</v>
      </c>
      <c r="AV26" t="e" cm="1">
        <f t="array" aca="1" ref="AV26" ca="1">+_xll.EQNXTDZ($A$1,$B26,AV$2)</f>
        <v>#NAME?</v>
      </c>
      <c r="AW26" t="e" cm="1">
        <f t="array" aca="1" ref="AW26" ca="1">+_xll.EQNXTDZ($A$1,$B26,AW$2)</f>
        <v>#NAME?</v>
      </c>
      <c r="AX26" t="e" cm="1">
        <f t="array" aca="1" ref="AX26" ca="1">+_xll.EQNXTDZ($A$1,$B26,AX$2)</f>
        <v>#NAME?</v>
      </c>
      <c r="AY26" t="e" cm="1">
        <f t="array" aca="1" ref="AY26" ca="1">+_xll.EQNXTDZ($A$1,$B26,AY$2)</f>
        <v>#NAME?</v>
      </c>
      <c r="AZ26" t="e" cm="1">
        <f t="array" aca="1" ref="AZ26" ca="1">+_xll.EQNXTDZ($A$1,$B26,AZ$2)</f>
        <v>#NAME?</v>
      </c>
      <c r="BA26" t="e" cm="1">
        <f t="array" aca="1" ref="BA26" ca="1">+_xll.EQNXTDZ($A$1,$B26,BA$2)</f>
        <v>#NAME?</v>
      </c>
      <c r="BB26" t="e" cm="1">
        <f t="array" aca="1" ref="BB26" ca="1">+_xll.EQNXTDZ($A$1,$B26,BB$2)</f>
        <v>#NAME?</v>
      </c>
      <c r="BC26" t="e" cm="1">
        <f t="array" aca="1" ref="BC26" ca="1">+_xll.EQNXTDZ($A$1,$B26,BC$2)</f>
        <v>#NAME?</v>
      </c>
      <c r="BD26" t="e" cm="1">
        <f t="array" aca="1" ref="BD26" ca="1">+_xll.EQNXTDZ($A$1,$B26,BD$2)</f>
        <v>#NAME?</v>
      </c>
      <c r="BE26" t="e" cm="1">
        <f t="array" aca="1" ref="BE26" ca="1">+_xll.EQNXTDZ($A$1,$B26,BE$2)</f>
        <v>#NAME?</v>
      </c>
      <c r="BF26" t="e" cm="1">
        <f t="array" aca="1" ref="BF26" ca="1">+_xll.EQNXTDZ($A$1,$B26,BF$2)</f>
        <v>#NAME?</v>
      </c>
      <c r="BG26" t="e" cm="1">
        <f t="array" aca="1" ref="BG26" ca="1">+_xll.EQNXTDZ($A$1,$B26,BG$2)</f>
        <v>#NAME?</v>
      </c>
      <c r="BH26" t="e" cm="1">
        <f t="array" aca="1" ref="BH26" ca="1">+_xll.EQNXTDZ($A$1,$B26,BH$2)</f>
        <v>#NAME?</v>
      </c>
      <c r="BI26" t="e" cm="1">
        <f t="array" aca="1" ref="BI26" ca="1">+_xll.EQNXTDZ($A$1,$B26,BI$2)</f>
        <v>#NAME?</v>
      </c>
      <c r="BJ26" t="e" cm="1">
        <f t="array" aca="1" ref="BJ26" ca="1">+_xll.EQNXTDZ($A$1,$B26,BJ$2)</f>
        <v>#NAME?</v>
      </c>
    </row>
    <row r="27" spans="1:62" x14ac:dyDescent="0.25">
      <c r="A27" t="s">
        <v>226</v>
      </c>
      <c r="B27" t="s">
        <v>266</v>
      </c>
      <c r="C27" t="e" cm="1">
        <f t="array" aca="1" ref="C27" ca="1">+_xll.EQNXTDZ($A$1,$B27,C$2)</f>
        <v>#NAME?</v>
      </c>
      <c r="D27" t="e" cm="1">
        <f t="array" aca="1" ref="D27" ca="1">+_xll.EQNXTDZ($A$1,$B27,D$2)</f>
        <v>#NAME?</v>
      </c>
      <c r="E27" t="e" cm="1">
        <f t="array" aca="1" ref="E27" ca="1">+_xll.EQNXTDZ($A$1,$B27,E$2)</f>
        <v>#NAME?</v>
      </c>
      <c r="F27" t="e" cm="1">
        <f t="array" aca="1" ref="F27" ca="1">+_xll.EQNXTDZ($A$1,$B27,F$2)</f>
        <v>#NAME?</v>
      </c>
      <c r="G27" t="e" cm="1">
        <f t="array" aca="1" ref="G27" ca="1">+_xll.EQNXTDZ($A$1,$B27,G$2)</f>
        <v>#NAME?</v>
      </c>
      <c r="H27" t="e" cm="1">
        <f t="array" aca="1" ref="H27" ca="1">+_xll.EQNXTDZ($A$1,$B27,H$2)</f>
        <v>#NAME?</v>
      </c>
      <c r="I27" t="e" cm="1">
        <f t="array" aca="1" ref="I27" ca="1">+_xll.EQNXTDZ($A$1,$B27,I$2)</f>
        <v>#NAME?</v>
      </c>
      <c r="J27" t="e" cm="1">
        <f t="array" aca="1" ref="J27" ca="1">+_xll.EQNXTDZ($A$1,$B27,J$2)</f>
        <v>#NAME?</v>
      </c>
      <c r="K27" t="e" cm="1">
        <f t="array" aca="1" ref="K27" ca="1">+_xll.EQNXTDZ($A$1,$B27,K$2)</f>
        <v>#NAME?</v>
      </c>
      <c r="L27" t="e" cm="1">
        <f t="array" aca="1" ref="L27" ca="1">+_xll.EQNXTDZ($A$1,$B27,L$2)</f>
        <v>#NAME?</v>
      </c>
      <c r="M27" t="e" cm="1">
        <f t="array" aca="1" ref="M27" ca="1">+_xll.EQNXTDZ($A$1,$B27,M$2)</f>
        <v>#NAME?</v>
      </c>
      <c r="N27" t="e" cm="1">
        <f t="array" aca="1" ref="N27" ca="1">+_xll.EQNXTDZ($A$1,$B27,N$2)</f>
        <v>#NAME?</v>
      </c>
      <c r="O27" t="e" cm="1">
        <f t="array" aca="1" ref="O27" ca="1">+_xll.EQNXTDZ($A$1,$B27,O$2)</f>
        <v>#NAME?</v>
      </c>
      <c r="P27" t="e" cm="1">
        <f t="array" aca="1" ref="P27" ca="1">+_xll.EQNXTDZ($A$1,$B27,P$2)</f>
        <v>#NAME?</v>
      </c>
      <c r="Q27" t="e" cm="1">
        <f t="array" aca="1" ref="Q27" ca="1">+_xll.EQNXTDZ($A$1,$B27,Q$2)</f>
        <v>#NAME?</v>
      </c>
      <c r="R27" t="e" cm="1">
        <f t="array" aca="1" ref="R27" ca="1">+_xll.EQNXTDZ($A$1,$B27,R$2)</f>
        <v>#NAME?</v>
      </c>
      <c r="S27" t="e" cm="1">
        <f t="array" aca="1" ref="S27" ca="1">+_xll.EQNXTDZ($A$1,$B27,S$2)</f>
        <v>#NAME?</v>
      </c>
      <c r="T27" t="e" cm="1">
        <f t="array" aca="1" ref="T27" ca="1">+_xll.EQNXTDZ($A$1,$B27,T$2)</f>
        <v>#NAME?</v>
      </c>
      <c r="U27" t="e" cm="1">
        <f t="array" aca="1" ref="U27" ca="1">+_xll.EQNXTDZ($A$1,$B27,U$2)</f>
        <v>#NAME?</v>
      </c>
      <c r="V27" t="e" cm="1">
        <f t="array" aca="1" ref="V27" ca="1">+_xll.EQNXTDZ($A$1,$B27,V$2)</f>
        <v>#NAME?</v>
      </c>
      <c r="W27" t="e" cm="1">
        <f t="array" aca="1" ref="W27" ca="1">+_xll.EQNXTDZ($A$1,$B27,W$2)</f>
        <v>#NAME?</v>
      </c>
      <c r="X27" t="e" cm="1">
        <f t="array" aca="1" ref="X27" ca="1">+_xll.EQNXTDZ($A$1,$B27,X$2)</f>
        <v>#NAME?</v>
      </c>
      <c r="Y27" t="e" cm="1">
        <f t="array" aca="1" ref="Y27" ca="1">+_xll.EQNXTDZ($A$1,$B27,Y$2)</f>
        <v>#NAME?</v>
      </c>
      <c r="Z27" t="e" cm="1">
        <f t="array" aca="1" ref="Z27" ca="1">+_xll.EQNXTDZ($A$1,$B27,Z$2)</f>
        <v>#NAME?</v>
      </c>
      <c r="AA27" t="e" cm="1">
        <f t="array" aca="1" ref="AA27" ca="1">+_xll.EQNXTDZ($A$1,$B27,AA$2)</f>
        <v>#NAME?</v>
      </c>
      <c r="AB27" t="e" cm="1">
        <f t="array" aca="1" ref="AB27" ca="1">+_xll.EQNXTDZ($A$1,$B27,AB$2)</f>
        <v>#NAME?</v>
      </c>
      <c r="AC27" t="e" cm="1">
        <f t="array" aca="1" ref="AC27" ca="1">+_xll.EQNXTDZ($A$1,$B27,AC$2)</f>
        <v>#NAME?</v>
      </c>
      <c r="AD27" t="e" cm="1">
        <f t="array" aca="1" ref="AD27" ca="1">+_xll.EQNXTDZ($A$1,$B27,AD$2)</f>
        <v>#NAME?</v>
      </c>
      <c r="AE27" t="e" cm="1">
        <f t="array" aca="1" ref="AE27" ca="1">+_xll.EQNXTDZ($A$1,$B27,AE$2)</f>
        <v>#NAME?</v>
      </c>
      <c r="AF27" t="e" cm="1">
        <f t="array" aca="1" ref="AF27" ca="1">+_xll.EQNXTDZ($A$1,$B27,AF$2)</f>
        <v>#NAME?</v>
      </c>
      <c r="AG27" t="e" cm="1">
        <f t="array" aca="1" ref="AG27" ca="1">+_xll.EQNXTDZ($A$1,$B27,AG$2)</f>
        <v>#NAME?</v>
      </c>
      <c r="AH27" t="e" cm="1">
        <f t="array" aca="1" ref="AH27" ca="1">+_xll.EQNXTDZ($A$1,$B27,AH$2)</f>
        <v>#NAME?</v>
      </c>
      <c r="AI27" t="e" cm="1">
        <f t="array" aca="1" ref="AI27" ca="1">+_xll.EQNXTDZ($A$1,$B27,AI$2)</f>
        <v>#NAME?</v>
      </c>
      <c r="AJ27" t="e" cm="1">
        <f t="array" aca="1" ref="AJ27" ca="1">+_xll.EQNXTDZ($A$1,$B27,AJ$2)</f>
        <v>#NAME?</v>
      </c>
      <c r="AK27" t="e" cm="1">
        <f t="array" aca="1" ref="AK27" ca="1">+_xll.EQNXTDZ($A$1,$B27,AK$2)</f>
        <v>#NAME?</v>
      </c>
      <c r="AL27" t="e" cm="1">
        <f t="array" aca="1" ref="AL27" ca="1">+_xll.EQNXTDZ($A$1,$B27,AL$2)</f>
        <v>#NAME?</v>
      </c>
      <c r="AM27" t="e" cm="1">
        <f t="array" aca="1" ref="AM27" ca="1">+_xll.EQNXTDZ($A$1,$B27,AM$2)</f>
        <v>#NAME?</v>
      </c>
      <c r="AN27" t="e" cm="1">
        <f t="array" aca="1" ref="AN27" ca="1">+_xll.EQNXTDZ($A$1,$B27,AN$2)</f>
        <v>#NAME?</v>
      </c>
      <c r="AO27" t="e" cm="1">
        <f t="array" aca="1" ref="AO27" ca="1">+_xll.EQNXTDZ($A$1,$B27,AO$2)</f>
        <v>#NAME?</v>
      </c>
      <c r="AP27" t="e" cm="1">
        <f t="array" aca="1" ref="AP27" ca="1">+_xll.EQNXTDZ($A$1,$B27,AP$2)</f>
        <v>#NAME?</v>
      </c>
      <c r="AQ27" t="e" cm="1">
        <f t="array" aca="1" ref="AQ27" ca="1">+_xll.EQNXTDZ($A$1,$B27,AQ$2)</f>
        <v>#NAME?</v>
      </c>
      <c r="AR27" t="e" cm="1">
        <f t="array" aca="1" ref="AR27" ca="1">+_xll.EQNXTDZ($A$1,$B27,AR$2)</f>
        <v>#NAME?</v>
      </c>
      <c r="AS27" t="e" cm="1">
        <f t="array" aca="1" ref="AS27" ca="1">+_xll.EQNXTDZ($A$1,$B27,AS$2)</f>
        <v>#NAME?</v>
      </c>
      <c r="AT27" t="e" cm="1">
        <f t="array" aca="1" ref="AT27" ca="1">+_xll.EQNXTDZ($A$1,$B27,AT$2)</f>
        <v>#NAME?</v>
      </c>
      <c r="AU27" t="e" cm="1">
        <f t="array" aca="1" ref="AU27" ca="1">+_xll.EQNXTDZ($A$1,$B27,AU$2)</f>
        <v>#NAME?</v>
      </c>
      <c r="AV27" t="e" cm="1">
        <f t="array" aca="1" ref="AV27" ca="1">+_xll.EQNXTDZ($A$1,$B27,AV$2)</f>
        <v>#NAME?</v>
      </c>
      <c r="AW27" t="e" cm="1">
        <f t="array" aca="1" ref="AW27" ca="1">+_xll.EQNXTDZ($A$1,$B27,AW$2)</f>
        <v>#NAME?</v>
      </c>
      <c r="AX27" t="e" cm="1">
        <f t="array" aca="1" ref="AX27" ca="1">+_xll.EQNXTDZ($A$1,$B27,AX$2)</f>
        <v>#NAME?</v>
      </c>
      <c r="AY27" t="e" cm="1">
        <f t="array" aca="1" ref="AY27" ca="1">+_xll.EQNXTDZ($A$1,$B27,AY$2)</f>
        <v>#NAME?</v>
      </c>
      <c r="AZ27" t="e" cm="1">
        <f t="array" aca="1" ref="AZ27" ca="1">+_xll.EQNXTDZ($A$1,$B27,AZ$2)</f>
        <v>#NAME?</v>
      </c>
      <c r="BA27" t="e" cm="1">
        <f t="array" aca="1" ref="BA27" ca="1">+_xll.EQNXTDZ($A$1,$B27,BA$2)</f>
        <v>#NAME?</v>
      </c>
      <c r="BB27" t="e" cm="1">
        <f t="array" aca="1" ref="BB27" ca="1">+_xll.EQNXTDZ($A$1,$B27,BB$2)</f>
        <v>#NAME?</v>
      </c>
      <c r="BC27" t="e" cm="1">
        <f t="array" aca="1" ref="BC27" ca="1">+_xll.EQNXTDZ($A$1,$B27,BC$2)</f>
        <v>#NAME?</v>
      </c>
      <c r="BD27" t="e" cm="1">
        <f t="array" aca="1" ref="BD27" ca="1">+_xll.EQNXTDZ($A$1,$B27,BD$2)</f>
        <v>#NAME?</v>
      </c>
      <c r="BE27" t="e" cm="1">
        <f t="array" aca="1" ref="BE27" ca="1">+_xll.EQNXTDZ($A$1,$B27,BE$2)</f>
        <v>#NAME?</v>
      </c>
      <c r="BF27" t="e" cm="1">
        <f t="array" aca="1" ref="BF27" ca="1">+_xll.EQNXTDZ($A$1,$B27,BF$2)</f>
        <v>#NAME?</v>
      </c>
      <c r="BG27" t="e" cm="1">
        <f t="array" aca="1" ref="BG27" ca="1">+_xll.EQNXTDZ($A$1,$B27,BG$2)</f>
        <v>#NAME?</v>
      </c>
      <c r="BH27" t="e" cm="1">
        <f t="array" aca="1" ref="BH27" ca="1">+_xll.EQNXTDZ($A$1,$B27,BH$2)</f>
        <v>#NAME?</v>
      </c>
      <c r="BI27" t="e" cm="1">
        <f t="array" aca="1" ref="BI27" ca="1">+_xll.EQNXTDZ($A$1,$B27,BI$2)</f>
        <v>#NAME?</v>
      </c>
      <c r="BJ27" t="e" cm="1">
        <f t="array" aca="1" ref="BJ27" ca="1">+_xll.EQNXTDZ($A$1,$B27,BJ$2)</f>
        <v>#NAME?</v>
      </c>
    </row>
    <row r="28" spans="1:62" x14ac:dyDescent="0.25">
      <c r="A28" t="s">
        <v>227</v>
      </c>
      <c r="B28" t="s">
        <v>267</v>
      </c>
      <c r="C28" t="e" cm="1">
        <f t="array" aca="1" ref="C28" ca="1">+_xll.EQNXTDZ($A$1,$B28,C$2)</f>
        <v>#NAME?</v>
      </c>
      <c r="D28" t="e" cm="1">
        <f t="array" aca="1" ref="D28" ca="1">+_xll.EQNXTDZ($A$1,$B28,D$2)</f>
        <v>#NAME?</v>
      </c>
      <c r="E28" t="e" cm="1">
        <f t="array" aca="1" ref="E28" ca="1">+_xll.EQNXTDZ($A$1,$B28,E$2)</f>
        <v>#NAME?</v>
      </c>
      <c r="F28" t="e" cm="1">
        <f t="array" aca="1" ref="F28" ca="1">+_xll.EQNXTDZ($A$1,$B28,F$2)</f>
        <v>#NAME?</v>
      </c>
      <c r="G28" t="e" cm="1">
        <f t="array" aca="1" ref="G28" ca="1">+_xll.EQNXTDZ($A$1,$B28,G$2)</f>
        <v>#NAME?</v>
      </c>
      <c r="H28" t="e" cm="1">
        <f t="array" aca="1" ref="H28" ca="1">+_xll.EQNXTDZ($A$1,$B28,H$2)</f>
        <v>#NAME?</v>
      </c>
      <c r="I28" t="e" cm="1">
        <f t="array" aca="1" ref="I28" ca="1">+_xll.EQNXTDZ($A$1,$B28,I$2)</f>
        <v>#NAME?</v>
      </c>
      <c r="J28" t="e" cm="1">
        <f t="array" aca="1" ref="J28" ca="1">+_xll.EQNXTDZ($A$1,$B28,J$2)</f>
        <v>#NAME?</v>
      </c>
      <c r="K28" t="e" cm="1">
        <f t="array" aca="1" ref="K28" ca="1">+_xll.EQNXTDZ($A$1,$B28,K$2)</f>
        <v>#NAME?</v>
      </c>
      <c r="L28" t="e" cm="1">
        <f t="array" aca="1" ref="L28" ca="1">+_xll.EQNXTDZ($A$1,$B28,L$2)</f>
        <v>#NAME?</v>
      </c>
      <c r="M28" t="e" cm="1">
        <f t="array" aca="1" ref="M28" ca="1">+_xll.EQNXTDZ($A$1,$B28,M$2)</f>
        <v>#NAME?</v>
      </c>
      <c r="N28" t="e" cm="1">
        <f t="array" aca="1" ref="N28" ca="1">+_xll.EQNXTDZ($A$1,$B28,N$2)</f>
        <v>#NAME?</v>
      </c>
      <c r="O28" t="e" cm="1">
        <f t="array" aca="1" ref="O28" ca="1">+_xll.EQNXTDZ($A$1,$B28,O$2)</f>
        <v>#NAME?</v>
      </c>
      <c r="P28" t="e" cm="1">
        <f t="array" aca="1" ref="P28" ca="1">+_xll.EQNXTDZ($A$1,$B28,P$2)</f>
        <v>#NAME?</v>
      </c>
      <c r="Q28" t="e" cm="1">
        <f t="array" aca="1" ref="Q28" ca="1">+_xll.EQNXTDZ($A$1,$B28,Q$2)</f>
        <v>#NAME?</v>
      </c>
      <c r="R28" t="e" cm="1">
        <f t="array" aca="1" ref="R28" ca="1">+_xll.EQNXTDZ($A$1,$B28,R$2)</f>
        <v>#NAME?</v>
      </c>
      <c r="S28" t="e" cm="1">
        <f t="array" aca="1" ref="S28" ca="1">+_xll.EQNXTDZ($A$1,$B28,S$2)</f>
        <v>#NAME?</v>
      </c>
      <c r="T28" t="e" cm="1">
        <f t="array" aca="1" ref="T28" ca="1">+_xll.EQNXTDZ($A$1,$B28,T$2)</f>
        <v>#NAME?</v>
      </c>
      <c r="U28" t="e" cm="1">
        <f t="array" aca="1" ref="U28" ca="1">+_xll.EQNXTDZ($A$1,$B28,U$2)</f>
        <v>#NAME?</v>
      </c>
      <c r="V28" t="e" cm="1">
        <f t="array" aca="1" ref="V28" ca="1">+_xll.EQNXTDZ($A$1,$B28,V$2)</f>
        <v>#NAME?</v>
      </c>
      <c r="W28" t="e" cm="1">
        <f t="array" aca="1" ref="W28" ca="1">+_xll.EQNXTDZ($A$1,$B28,W$2)</f>
        <v>#NAME?</v>
      </c>
      <c r="X28" t="e" cm="1">
        <f t="array" aca="1" ref="X28" ca="1">+_xll.EQNXTDZ($A$1,$B28,X$2)</f>
        <v>#NAME?</v>
      </c>
      <c r="Y28" t="e" cm="1">
        <f t="array" aca="1" ref="Y28" ca="1">+_xll.EQNXTDZ($A$1,$B28,Y$2)</f>
        <v>#NAME?</v>
      </c>
      <c r="Z28" t="e" cm="1">
        <f t="array" aca="1" ref="Z28" ca="1">+_xll.EQNXTDZ($A$1,$B28,Z$2)</f>
        <v>#NAME?</v>
      </c>
      <c r="AA28" t="e" cm="1">
        <f t="array" aca="1" ref="AA28" ca="1">+_xll.EQNXTDZ($A$1,$B28,AA$2)</f>
        <v>#NAME?</v>
      </c>
      <c r="AB28" t="e" cm="1">
        <f t="array" aca="1" ref="AB28" ca="1">+_xll.EQNXTDZ($A$1,$B28,AB$2)</f>
        <v>#NAME?</v>
      </c>
      <c r="AC28" t="e" cm="1">
        <f t="array" aca="1" ref="AC28" ca="1">+_xll.EQNXTDZ($A$1,$B28,AC$2)</f>
        <v>#NAME?</v>
      </c>
      <c r="AD28" t="e" cm="1">
        <f t="array" aca="1" ref="AD28" ca="1">+_xll.EQNXTDZ($A$1,$B28,AD$2)</f>
        <v>#NAME?</v>
      </c>
      <c r="AE28" t="e" cm="1">
        <f t="array" aca="1" ref="AE28" ca="1">+_xll.EQNXTDZ($A$1,$B28,AE$2)</f>
        <v>#NAME?</v>
      </c>
      <c r="AF28" t="e" cm="1">
        <f t="array" aca="1" ref="AF28" ca="1">+_xll.EQNXTDZ($A$1,$B28,AF$2)</f>
        <v>#NAME?</v>
      </c>
      <c r="AG28" t="e" cm="1">
        <f t="array" aca="1" ref="AG28" ca="1">+_xll.EQNXTDZ($A$1,$B28,AG$2)</f>
        <v>#NAME?</v>
      </c>
      <c r="AH28" t="e" cm="1">
        <f t="array" aca="1" ref="AH28" ca="1">+_xll.EQNXTDZ($A$1,$B28,AH$2)</f>
        <v>#NAME?</v>
      </c>
      <c r="AI28" t="e" cm="1">
        <f t="array" aca="1" ref="AI28" ca="1">+_xll.EQNXTDZ($A$1,$B28,AI$2)</f>
        <v>#NAME?</v>
      </c>
      <c r="AJ28" t="e" cm="1">
        <f t="array" aca="1" ref="AJ28" ca="1">+_xll.EQNXTDZ($A$1,$B28,AJ$2)</f>
        <v>#NAME?</v>
      </c>
      <c r="AK28" t="e" cm="1">
        <f t="array" aca="1" ref="AK28" ca="1">+_xll.EQNXTDZ($A$1,$B28,AK$2)</f>
        <v>#NAME?</v>
      </c>
      <c r="AL28" t="e" cm="1">
        <f t="array" aca="1" ref="AL28" ca="1">+_xll.EQNXTDZ($A$1,$B28,AL$2)</f>
        <v>#NAME?</v>
      </c>
      <c r="AM28" t="e" cm="1">
        <f t="array" aca="1" ref="AM28" ca="1">+_xll.EQNXTDZ($A$1,$B28,AM$2)</f>
        <v>#NAME?</v>
      </c>
      <c r="AN28" t="e" cm="1">
        <f t="array" aca="1" ref="AN28" ca="1">+_xll.EQNXTDZ($A$1,$B28,AN$2)</f>
        <v>#NAME?</v>
      </c>
      <c r="AO28" t="e" cm="1">
        <f t="array" aca="1" ref="AO28" ca="1">+_xll.EQNXTDZ($A$1,$B28,AO$2)</f>
        <v>#NAME?</v>
      </c>
      <c r="AP28" t="e" cm="1">
        <f t="array" aca="1" ref="AP28" ca="1">+_xll.EQNXTDZ($A$1,$B28,AP$2)</f>
        <v>#NAME?</v>
      </c>
      <c r="AQ28" t="e" cm="1">
        <f t="array" aca="1" ref="AQ28" ca="1">+_xll.EQNXTDZ($A$1,$B28,AQ$2)</f>
        <v>#NAME?</v>
      </c>
      <c r="AR28" t="e" cm="1">
        <f t="array" aca="1" ref="AR28" ca="1">+_xll.EQNXTDZ($A$1,$B28,AR$2)</f>
        <v>#NAME?</v>
      </c>
      <c r="AS28" t="e" cm="1">
        <f t="array" aca="1" ref="AS28" ca="1">+_xll.EQNXTDZ($A$1,$B28,AS$2)</f>
        <v>#NAME?</v>
      </c>
      <c r="AT28" t="e" cm="1">
        <f t="array" aca="1" ref="AT28" ca="1">+_xll.EQNXTDZ($A$1,$B28,AT$2)</f>
        <v>#NAME?</v>
      </c>
      <c r="AU28" t="e" cm="1">
        <f t="array" aca="1" ref="AU28" ca="1">+_xll.EQNXTDZ($A$1,$B28,AU$2)</f>
        <v>#NAME?</v>
      </c>
      <c r="AV28" t="e" cm="1">
        <f t="array" aca="1" ref="AV28" ca="1">+_xll.EQNXTDZ($A$1,$B28,AV$2)</f>
        <v>#NAME?</v>
      </c>
      <c r="AW28" t="e" cm="1">
        <f t="array" aca="1" ref="AW28" ca="1">+_xll.EQNXTDZ($A$1,$B28,AW$2)</f>
        <v>#NAME?</v>
      </c>
      <c r="AX28" t="e" cm="1">
        <f t="array" aca="1" ref="AX28" ca="1">+_xll.EQNXTDZ($A$1,$B28,AX$2)</f>
        <v>#NAME?</v>
      </c>
      <c r="AY28" t="e" cm="1">
        <f t="array" aca="1" ref="AY28" ca="1">+_xll.EQNXTDZ($A$1,$B28,AY$2)</f>
        <v>#NAME?</v>
      </c>
      <c r="AZ28" t="e" cm="1">
        <f t="array" aca="1" ref="AZ28" ca="1">+_xll.EQNXTDZ($A$1,$B28,AZ$2)</f>
        <v>#NAME?</v>
      </c>
      <c r="BA28" t="e" cm="1">
        <f t="array" aca="1" ref="BA28" ca="1">+_xll.EQNXTDZ($A$1,$B28,BA$2)</f>
        <v>#NAME?</v>
      </c>
      <c r="BB28" t="e" cm="1">
        <f t="array" aca="1" ref="BB28" ca="1">+_xll.EQNXTDZ($A$1,$B28,BB$2)</f>
        <v>#NAME?</v>
      </c>
      <c r="BC28" t="e" cm="1">
        <f t="array" aca="1" ref="BC28" ca="1">+_xll.EQNXTDZ($A$1,$B28,BC$2)</f>
        <v>#NAME?</v>
      </c>
      <c r="BD28" t="e" cm="1">
        <f t="array" aca="1" ref="BD28" ca="1">+_xll.EQNXTDZ($A$1,$B28,BD$2)</f>
        <v>#NAME?</v>
      </c>
      <c r="BE28" t="e" cm="1">
        <f t="array" aca="1" ref="BE28" ca="1">+_xll.EQNXTDZ($A$1,$B28,BE$2)</f>
        <v>#NAME?</v>
      </c>
      <c r="BF28" t="e" cm="1">
        <f t="array" aca="1" ref="BF28" ca="1">+_xll.EQNXTDZ($A$1,$B28,BF$2)</f>
        <v>#NAME?</v>
      </c>
      <c r="BG28" t="e" cm="1">
        <f t="array" aca="1" ref="BG28" ca="1">+_xll.EQNXTDZ($A$1,$B28,BG$2)</f>
        <v>#NAME?</v>
      </c>
      <c r="BH28" t="e" cm="1">
        <f t="array" aca="1" ref="BH28" ca="1">+_xll.EQNXTDZ($A$1,$B28,BH$2)</f>
        <v>#NAME?</v>
      </c>
      <c r="BI28" t="e" cm="1">
        <f t="array" aca="1" ref="BI28" ca="1">+_xll.EQNXTDZ($A$1,$B28,BI$2)</f>
        <v>#NAME?</v>
      </c>
      <c r="BJ28" t="e" cm="1">
        <f t="array" aca="1" ref="BJ28" ca="1">+_xll.EQNXTDZ($A$1,$B28,BJ$2)</f>
        <v>#NAME?</v>
      </c>
    </row>
    <row r="29" spans="1:62" x14ac:dyDescent="0.25">
      <c r="A29" t="s">
        <v>228</v>
      </c>
      <c r="B29" t="s">
        <v>268</v>
      </c>
      <c r="C29" t="e" cm="1">
        <f t="array" aca="1" ref="C29" ca="1">+_xll.EQNXTDZ($A$1,$B29,C$2)</f>
        <v>#NAME?</v>
      </c>
      <c r="D29" t="e" cm="1">
        <f t="array" aca="1" ref="D29" ca="1">+_xll.EQNXTDZ($A$1,$B29,D$2)</f>
        <v>#NAME?</v>
      </c>
      <c r="E29" t="e" cm="1">
        <f t="array" aca="1" ref="E29" ca="1">+_xll.EQNXTDZ($A$1,$B29,E$2)</f>
        <v>#NAME?</v>
      </c>
      <c r="F29" t="e" cm="1">
        <f t="array" aca="1" ref="F29" ca="1">+_xll.EQNXTDZ($A$1,$B29,F$2)</f>
        <v>#NAME?</v>
      </c>
      <c r="G29" t="e" cm="1">
        <f t="array" aca="1" ref="G29" ca="1">+_xll.EQNXTDZ($A$1,$B29,G$2)</f>
        <v>#NAME?</v>
      </c>
      <c r="H29" t="e" cm="1">
        <f t="array" aca="1" ref="H29" ca="1">+_xll.EQNXTDZ($A$1,$B29,H$2)</f>
        <v>#NAME?</v>
      </c>
      <c r="I29" t="e" cm="1">
        <f t="array" aca="1" ref="I29" ca="1">+_xll.EQNXTDZ($A$1,$B29,I$2)</f>
        <v>#NAME?</v>
      </c>
      <c r="J29" t="e" cm="1">
        <f t="array" aca="1" ref="J29" ca="1">+_xll.EQNXTDZ($A$1,$B29,J$2)</f>
        <v>#NAME?</v>
      </c>
      <c r="K29" t="e" cm="1">
        <f t="array" aca="1" ref="K29" ca="1">+_xll.EQNXTDZ($A$1,$B29,K$2)</f>
        <v>#NAME?</v>
      </c>
      <c r="L29" t="e" cm="1">
        <f t="array" aca="1" ref="L29" ca="1">+_xll.EQNXTDZ($A$1,$B29,L$2)</f>
        <v>#NAME?</v>
      </c>
      <c r="M29" t="e" cm="1">
        <f t="array" aca="1" ref="M29" ca="1">+_xll.EQNXTDZ($A$1,$B29,M$2)</f>
        <v>#NAME?</v>
      </c>
      <c r="N29" t="e" cm="1">
        <f t="array" aca="1" ref="N29" ca="1">+_xll.EQNXTDZ($A$1,$B29,N$2)</f>
        <v>#NAME?</v>
      </c>
      <c r="O29" t="e" cm="1">
        <f t="array" aca="1" ref="O29" ca="1">+_xll.EQNXTDZ($A$1,$B29,O$2)</f>
        <v>#NAME?</v>
      </c>
      <c r="P29" t="e" cm="1">
        <f t="array" aca="1" ref="P29" ca="1">+_xll.EQNXTDZ($A$1,$B29,P$2)</f>
        <v>#NAME?</v>
      </c>
      <c r="Q29" t="e" cm="1">
        <f t="array" aca="1" ref="Q29" ca="1">+_xll.EQNXTDZ($A$1,$B29,Q$2)</f>
        <v>#NAME?</v>
      </c>
      <c r="R29" t="e" cm="1">
        <f t="array" aca="1" ref="R29" ca="1">+_xll.EQNXTDZ($A$1,$B29,R$2)</f>
        <v>#NAME?</v>
      </c>
      <c r="S29" t="e" cm="1">
        <f t="array" aca="1" ref="S29" ca="1">+_xll.EQNXTDZ($A$1,$B29,S$2)</f>
        <v>#NAME?</v>
      </c>
      <c r="T29" t="e" cm="1">
        <f t="array" aca="1" ref="T29" ca="1">+_xll.EQNXTDZ($A$1,$B29,T$2)</f>
        <v>#NAME?</v>
      </c>
      <c r="U29" t="e" cm="1">
        <f t="array" aca="1" ref="U29" ca="1">+_xll.EQNXTDZ($A$1,$B29,U$2)</f>
        <v>#NAME?</v>
      </c>
      <c r="V29" t="e" cm="1">
        <f t="array" aca="1" ref="V29" ca="1">+_xll.EQNXTDZ($A$1,$B29,V$2)</f>
        <v>#NAME?</v>
      </c>
      <c r="W29" t="e" cm="1">
        <f t="array" aca="1" ref="W29" ca="1">+_xll.EQNXTDZ($A$1,$B29,W$2)</f>
        <v>#NAME?</v>
      </c>
      <c r="X29" t="e" cm="1">
        <f t="array" aca="1" ref="X29" ca="1">+_xll.EQNXTDZ($A$1,$B29,X$2)</f>
        <v>#NAME?</v>
      </c>
      <c r="Y29" t="e" cm="1">
        <f t="array" aca="1" ref="Y29" ca="1">+_xll.EQNXTDZ($A$1,$B29,Y$2)</f>
        <v>#NAME?</v>
      </c>
      <c r="Z29" t="e" cm="1">
        <f t="array" aca="1" ref="Z29" ca="1">+_xll.EQNXTDZ($A$1,$B29,Z$2)</f>
        <v>#NAME?</v>
      </c>
      <c r="AA29" t="e" cm="1">
        <f t="array" aca="1" ref="AA29" ca="1">+_xll.EQNXTDZ($A$1,$B29,AA$2)</f>
        <v>#NAME?</v>
      </c>
      <c r="AB29" t="e" cm="1">
        <f t="array" aca="1" ref="AB29" ca="1">+_xll.EQNXTDZ($A$1,$B29,AB$2)</f>
        <v>#NAME?</v>
      </c>
      <c r="AC29" t="e" cm="1">
        <f t="array" aca="1" ref="AC29" ca="1">+_xll.EQNXTDZ($A$1,$B29,AC$2)</f>
        <v>#NAME?</v>
      </c>
      <c r="AD29" t="e" cm="1">
        <f t="array" aca="1" ref="AD29" ca="1">+_xll.EQNXTDZ($A$1,$B29,AD$2)</f>
        <v>#NAME?</v>
      </c>
      <c r="AE29" t="e" cm="1">
        <f t="array" aca="1" ref="AE29" ca="1">+_xll.EQNXTDZ($A$1,$B29,AE$2)</f>
        <v>#NAME?</v>
      </c>
      <c r="AF29" t="e" cm="1">
        <f t="array" aca="1" ref="AF29" ca="1">+_xll.EQNXTDZ($A$1,$B29,AF$2)</f>
        <v>#NAME?</v>
      </c>
      <c r="AG29" t="e" cm="1">
        <f t="array" aca="1" ref="AG29" ca="1">+_xll.EQNXTDZ($A$1,$B29,AG$2)</f>
        <v>#NAME?</v>
      </c>
      <c r="AH29" t="e" cm="1">
        <f t="array" aca="1" ref="AH29" ca="1">+_xll.EQNXTDZ($A$1,$B29,AH$2)</f>
        <v>#NAME?</v>
      </c>
      <c r="AI29" t="e" cm="1">
        <f t="array" aca="1" ref="AI29" ca="1">+_xll.EQNXTDZ($A$1,$B29,AI$2)</f>
        <v>#NAME?</v>
      </c>
      <c r="AJ29" t="e" cm="1">
        <f t="array" aca="1" ref="AJ29" ca="1">+_xll.EQNXTDZ($A$1,$B29,AJ$2)</f>
        <v>#NAME?</v>
      </c>
      <c r="AK29" t="e" cm="1">
        <f t="array" aca="1" ref="AK29" ca="1">+_xll.EQNXTDZ($A$1,$B29,AK$2)</f>
        <v>#NAME?</v>
      </c>
      <c r="AL29" t="e" cm="1">
        <f t="array" aca="1" ref="AL29" ca="1">+_xll.EQNXTDZ($A$1,$B29,AL$2)</f>
        <v>#NAME?</v>
      </c>
      <c r="AM29" t="e" cm="1">
        <f t="array" aca="1" ref="AM29" ca="1">+_xll.EQNXTDZ($A$1,$B29,AM$2)</f>
        <v>#NAME?</v>
      </c>
      <c r="AN29" t="e" cm="1">
        <f t="array" aca="1" ref="AN29" ca="1">+_xll.EQNXTDZ($A$1,$B29,AN$2)</f>
        <v>#NAME?</v>
      </c>
      <c r="AO29" t="e" cm="1">
        <f t="array" aca="1" ref="AO29" ca="1">+_xll.EQNXTDZ($A$1,$B29,AO$2)</f>
        <v>#NAME?</v>
      </c>
      <c r="AP29" t="e" cm="1">
        <f t="array" aca="1" ref="AP29" ca="1">+_xll.EQNXTDZ($A$1,$B29,AP$2)</f>
        <v>#NAME?</v>
      </c>
      <c r="AQ29" t="e" cm="1">
        <f t="array" aca="1" ref="AQ29" ca="1">+_xll.EQNXTDZ($A$1,$B29,AQ$2)</f>
        <v>#NAME?</v>
      </c>
      <c r="AR29" t="e" cm="1">
        <f t="array" aca="1" ref="AR29" ca="1">+_xll.EQNXTDZ($A$1,$B29,AR$2)</f>
        <v>#NAME?</v>
      </c>
      <c r="AS29" t="e" cm="1">
        <f t="array" aca="1" ref="AS29" ca="1">+_xll.EQNXTDZ($A$1,$B29,AS$2)</f>
        <v>#NAME?</v>
      </c>
      <c r="AT29" t="e" cm="1">
        <f t="array" aca="1" ref="AT29" ca="1">+_xll.EQNXTDZ($A$1,$B29,AT$2)</f>
        <v>#NAME?</v>
      </c>
      <c r="AU29" t="e" cm="1">
        <f t="array" aca="1" ref="AU29" ca="1">+_xll.EQNXTDZ($A$1,$B29,AU$2)</f>
        <v>#NAME?</v>
      </c>
      <c r="AV29" t="e" cm="1">
        <f t="array" aca="1" ref="AV29" ca="1">+_xll.EQNXTDZ($A$1,$B29,AV$2)</f>
        <v>#NAME?</v>
      </c>
      <c r="AW29" t="e" cm="1">
        <f t="array" aca="1" ref="AW29" ca="1">+_xll.EQNXTDZ($A$1,$B29,AW$2)</f>
        <v>#NAME?</v>
      </c>
      <c r="AX29" t="e" cm="1">
        <f t="array" aca="1" ref="AX29" ca="1">+_xll.EQNXTDZ($A$1,$B29,AX$2)</f>
        <v>#NAME?</v>
      </c>
      <c r="AY29" t="e" cm="1">
        <f t="array" aca="1" ref="AY29" ca="1">+_xll.EQNXTDZ($A$1,$B29,AY$2)</f>
        <v>#NAME?</v>
      </c>
      <c r="AZ29" t="e" cm="1">
        <f t="array" aca="1" ref="AZ29" ca="1">+_xll.EQNXTDZ($A$1,$B29,AZ$2)</f>
        <v>#NAME?</v>
      </c>
      <c r="BA29" t="e" cm="1">
        <f t="array" aca="1" ref="BA29" ca="1">+_xll.EQNXTDZ($A$1,$B29,BA$2)</f>
        <v>#NAME?</v>
      </c>
      <c r="BB29" t="e" cm="1">
        <f t="array" aca="1" ref="BB29" ca="1">+_xll.EQNXTDZ($A$1,$B29,BB$2)</f>
        <v>#NAME?</v>
      </c>
      <c r="BC29" t="e" cm="1">
        <f t="array" aca="1" ref="BC29" ca="1">+_xll.EQNXTDZ($A$1,$B29,BC$2)</f>
        <v>#NAME?</v>
      </c>
      <c r="BD29" t="e" cm="1">
        <f t="array" aca="1" ref="BD29" ca="1">+_xll.EQNXTDZ($A$1,$B29,BD$2)</f>
        <v>#NAME?</v>
      </c>
      <c r="BE29" t="e" cm="1">
        <f t="array" aca="1" ref="BE29" ca="1">+_xll.EQNXTDZ($A$1,$B29,BE$2)</f>
        <v>#NAME?</v>
      </c>
      <c r="BF29" t="e" cm="1">
        <f t="array" aca="1" ref="BF29" ca="1">+_xll.EQNXTDZ($A$1,$B29,BF$2)</f>
        <v>#NAME?</v>
      </c>
      <c r="BG29" t="e" cm="1">
        <f t="array" aca="1" ref="BG29" ca="1">+_xll.EQNXTDZ($A$1,$B29,BG$2)</f>
        <v>#NAME?</v>
      </c>
      <c r="BH29" t="e" cm="1">
        <f t="array" aca="1" ref="BH29" ca="1">+_xll.EQNXTDZ($A$1,$B29,BH$2)</f>
        <v>#NAME?</v>
      </c>
      <c r="BI29" t="e" cm="1">
        <f t="array" aca="1" ref="BI29" ca="1">+_xll.EQNXTDZ($A$1,$B29,BI$2)</f>
        <v>#NAME?</v>
      </c>
      <c r="BJ29" t="e" cm="1">
        <f t="array" aca="1" ref="BJ29" ca="1">+_xll.EQNXTDZ($A$1,$B29,BJ$2)</f>
        <v>#NAME?</v>
      </c>
    </row>
    <row r="30" spans="1:62" x14ac:dyDescent="0.25">
      <c r="A30" t="s">
        <v>204</v>
      </c>
      <c r="B30" t="s">
        <v>269</v>
      </c>
      <c r="C30" t="e" cm="1">
        <f t="array" aca="1" ref="C30" ca="1">+_xll.EQNXTDZ($A$1,$B30,C$2)</f>
        <v>#NAME?</v>
      </c>
      <c r="D30" t="e" cm="1">
        <f t="array" aca="1" ref="D30" ca="1">+_xll.EQNXTDZ($A$1,$B30,D$2)</f>
        <v>#NAME?</v>
      </c>
      <c r="E30" t="e" cm="1">
        <f t="array" aca="1" ref="E30" ca="1">+_xll.EQNXTDZ($A$1,$B30,E$2)</f>
        <v>#NAME?</v>
      </c>
      <c r="F30" t="e" cm="1">
        <f t="array" aca="1" ref="F30" ca="1">+_xll.EQNXTDZ($A$1,$B30,F$2)</f>
        <v>#NAME?</v>
      </c>
      <c r="G30" t="e" cm="1">
        <f t="array" aca="1" ref="G30" ca="1">+_xll.EQNXTDZ($A$1,$B30,G$2)</f>
        <v>#NAME?</v>
      </c>
      <c r="H30" t="e" cm="1">
        <f t="array" aca="1" ref="H30" ca="1">+_xll.EQNXTDZ($A$1,$B30,H$2)</f>
        <v>#NAME?</v>
      </c>
      <c r="I30" t="e" cm="1">
        <f t="array" aca="1" ref="I30" ca="1">+_xll.EQNXTDZ($A$1,$B30,I$2)</f>
        <v>#NAME?</v>
      </c>
      <c r="J30" t="e" cm="1">
        <f t="array" aca="1" ref="J30" ca="1">+_xll.EQNXTDZ($A$1,$B30,J$2)</f>
        <v>#NAME?</v>
      </c>
      <c r="K30" t="e" cm="1">
        <f t="array" aca="1" ref="K30" ca="1">+_xll.EQNXTDZ($A$1,$B30,K$2)</f>
        <v>#NAME?</v>
      </c>
      <c r="L30" t="e" cm="1">
        <f t="array" aca="1" ref="L30" ca="1">+_xll.EQNXTDZ($A$1,$B30,L$2)</f>
        <v>#NAME?</v>
      </c>
      <c r="M30" t="e" cm="1">
        <f t="array" aca="1" ref="M30" ca="1">+_xll.EQNXTDZ($A$1,$B30,M$2)</f>
        <v>#NAME?</v>
      </c>
      <c r="N30" t="e" cm="1">
        <f t="array" aca="1" ref="N30" ca="1">+_xll.EQNXTDZ($A$1,$B30,N$2)</f>
        <v>#NAME?</v>
      </c>
      <c r="O30" t="e" cm="1">
        <f t="array" aca="1" ref="O30" ca="1">+_xll.EQNXTDZ($A$1,$B30,O$2)</f>
        <v>#NAME?</v>
      </c>
      <c r="P30" t="e" cm="1">
        <f t="array" aca="1" ref="P30" ca="1">+_xll.EQNXTDZ($A$1,$B30,P$2)</f>
        <v>#NAME?</v>
      </c>
      <c r="Q30" t="e" cm="1">
        <f t="array" aca="1" ref="Q30" ca="1">+_xll.EQNXTDZ($A$1,$B30,Q$2)</f>
        <v>#NAME?</v>
      </c>
      <c r="R30" t="e" cm="1">
        <f t="array" aca="1" ref="R30" ca="1">+_xll.EQNXTDZ($A$1,$B30,R$2)</f>
        <v>#NAME?</v>
      </c>
      <c r="S30" t="e" cm="1">
        <f t="array" aca="1" ref="S30" ca="1">+_xll.EQNXTDZ($A$1,$B30,S$2)</f>
        <v>#NAME?</v>
      </c>
      <c r="T30" t="e" cm="1">
        <f t="array" aca="1" ref="T30" ca="1">+_xll.EQNXTDZ($A$1,$B30,T$2)</f>
        <v>#NAME?</v>
      </c>
      <c r="U30" t="e" cm="1">
        <f t="array" aca="1" ref="U30" ca="1">+_xll.EQNXTDZ($A$1,$B30,U$2)</f>
        <v>#NAME?</v>
      </c>
      <c r="V30" t="e" cm="1">
        <f t="array" aca="1" ref="V30" ca="1">+_xll.EQNXTDZ($A$1,$B30,V$2)</f>
        <v>#NAME?</v>
      </c>
      <c r="W30" t="e" cm="1">
        <f t="array" aca="1" ref="W30" ca="1">+_xll.EQNXTDZ($A$1,$B30,W$2)</f>
        <v>#NAME?</v>
      </c>
      <c r="X30" t="e" cm="1">
        <f t="array" aca="1" ref="X30" ca="1">+_xll.EQNXTDZ($A$1,$B30,X$2)</f>
        <v>#NAME?</v>
      </c>
      <c r="Y30" t="e" cm="1">
        <f t="array" aca="1" ref="Y30" ca="1">+_xll.EQNXTDZ($A$1,$B30,Y$2)</f>
        <v>#NAME?</v>
      </c>
      <c r="Z30" t="e" cm="1">
        <f t="array" aca="1" ref="Z30" ca="1">+_xll.EQNXTDZ($A$1,$B30,Z$2)</f>
        <v>#NAME?</v>
      </c>
      <c r="AA30" t="e" cm="1">
        <f t="array" aca="1" ref="AA30" ca="1">+_xll.EQNXTDZ($A$1,$B30,AA$2)</f>
        <v>#NAME?</v>
      </c>
      <c r="AB30" t="e" cm="1">
        <f t="array" aca="1" ref="AB30" ca="1">+_xll.EQNXTDZ($A$1,$B30,AB$2)</f>
        <v>#NAME?</v>
      </c>
      <c r="AC30" t="e" cm="1">
        <f t="array" aca="1" ref="AC30" ca="1">+_xll.EQNXTDZ($A$1,$B30,AC$2)</f>
        <v>#NAME?</v>
      </c>
      <c r="AD30" t="e" cm="1">
        <f t="array" aca="1" ref="AD30" ca="1">+_xll.EQNXTDZ($A$1,$B30,AD$2)</f>
        <v>#NAME?</v>
      </c>
      <c r="AE30" t="e" cm="1">
        <f t="array" aca="1" ref="AE30" ca="1">+_xll.EQNXTDZ($A$1,$B30,AE$2)</f>
        <v>#NAME?</v>
      </c>
      <c r="AF30" t="e" cm="1">
        <f t="array" aca="1" ref="AF30" ca="1">+_xll.EQNXTDZ($A$1,$B30,AF$2)</f>
        <v>#NAME?</v>
      </c>
      <c r="AG30" t="e" cm="1">
        <f t="array" aca="1" ref="AG30" ca="1">+_xll.EQNXTDZ($A$1,$B30,AG$2)</f>
        <v>#NAME?</v>
      </c>
      <c r="AH30" t="e" cm="1">
        <f t="array" aca="1" ref="AH30" ca="1">+_xll.EQNXTDZ($A$1,$B30,AH$2)</f>
        <v>#NAME?</v>
      </c>
      <c r="AI30" t="e" cm="1">
        <f t="array" aca="1" ref="AI30" ca="1">+_xll.EQNXTDZ($A$1,$B30,AI$2)</f>
        <v>#NAME?</v>
      </c>
      <c r="AJ30" t="e" cm="1">
        <f t="array" aca="1" ref="AJ30" ca="1">+_xll.EQNXTDZ($A$1,$B30,AJ$2)</f>
        <v>#NAME?</v>
      </c>
      <c r="AK30" t="e" cm="1">
        <f t="array" aca="1" ref="AK30" ca="1">+_xll.EQNXTDZ($A$1,$B30,AK$2)</f>
        <v>#NAME?</v>
      </c>
      <c r="AL30" t="e" cm="1">
        <f t="array" aca="1" ref="AL30" ca="1">+_xll.EQNXTDZ($A$1,$B30,AL$2)</f>
        <v>#NAME?</v>
      </c>
      <c r="AM30" t="e" cm="1">
        <f t="array" aca="1" ref="AM30" ca="1">+_xll.EQNXTDZ($A$1,$B30,AM$2)</f>
        <v>#NAME?</v>
      </c>
      <c r="AN30" t="e" cm="1">
        <f t="array" aca="1" ref="AN30" ca="1">+_xll.EQNXTDZ($A$1,$B30,AN$2)</f>
        <v>#NAME?</v>
      </c>
      <c r="AO30" t="e" cm="1">
        <f t="array" aca="1" ref="AO30" ca="1">+_xll.EQNXTDZ($A$1,$B30,AO$2)</f>
        <v>#NAME?</v>
      </c>
      <c r="AP30" t="e" cm="1">
        <f t="array" aca="1" ref="AP30" ca="1">+_xll.EQNXTDZ($A$1,$B30,AP$2)</f>
        <v>#NAME?</v>
      </c>
      <c r="AQ30" t="e" cm="1">
        <f t="array" aca="1" ref="AQ30" ca="1">+_xll.EQNXTDZ($A$1,$B30,AQ$2)</f>
        <v>#NAME?</v>
      </c>
      <c r="AR30" t="e" cm="1">
        <f t="array" aca="1" ref="AR30" ca="1">+_xll.EQNXTDZ($A$1,$B30,AR$2)</f>
        <v>#NAME?</v>
      </c>
      <c r="AS30" t="e" cm="1">
        <f t="array" aca="1" ref="AS30" ca="1">+_xll.EQNXTDZ($A$1,$B30,AS$2)</f>
        <v>#NAME?</v>
      </c>
      <c r="AT30" t="e" cm="1">
        <f t="array" aca="1" ref="AT30" ca="1">+_xll.EQNXTDZ($A$1,$B30,AT$2)</f>
        <v>#NAME?</v>
      </c>
      <c r="AU30" t="e" cm="1">
        <f t="array" aca="1" ref="AU30" ca="1">+_xll.EQNXTDZ($A$1,$B30,AU$2)</f>
        <v>#NAME?</v>
      </c>
      <c r="AV30" t="e" cm="1">
        <f t="array" aca="1" ref="AV30" ca="1">+_xll.EQNXTDZ($A$1,$B30,AV$2)</f>
        <v>#NAME?</v>
      </c>
      <c r="AW30" t="e" cm="1">
        <f t="array" aca="1" ref="AW30" ca="1">+_xll.EQNXTDZ($A$1,$B30,AW$2)</f>
        <v>#NAME?</v>
      </c>
      <c r="AX30" t="e" cm="1">
        <f t="array" aca="1" ref="AX30" ca="1">+_xll.EQNXTDZ($A$1,$B30,AX$2)</f>
        <v>#NAME?</v>
      </c>
      <c r="AY30" t="e" cm="1">
        <f t="array" aca="1" ref="AY30" ca="1">+_xll.EQNXTDZ($A$1,$B30,AY$2)</f>
        <v>#NAME?</v>
      </c>
      <c r="AZ30" t="e" cm="1">
        <f t="array" aca="1" ref="AZ30" ca="1">+_xll.EQNXTDZ($A$1,$B30,AZ$2)</f>
        <v>#NAME?</v>
      </c>
      <c r="BA30" t="e" cm="1">
        <f t="array" aca="1" ref="BA30" ca="1">+_xll.EQNXTDZ($A$1,$B30,BA$2)</f>
        <v>#NAME?</v>
      </c>
      <c r="BB30" t="e" cm="1">
        <f t="array" aca="1" ref="BB30" ca="1">+_xll.EQNXTDZ($A$1,$B30,BB$2)</f>
        <v>#NAME?</v>
      </c>
      <c r="BC30" t="e" cm="1">
        <f t="array" aca="1" ref="BC30" ca="1">+_xll.EQNXTDZ($A$1,$B30,BC$2)</f>
        <v>#NAME?</v>
      </c>
      <c r="BD30" t="e" cm="1">
        <f t="array" aca="1" ref="BD30" ca="1">+_xll.EQNXTDZ($A$1,$B30,BD$2)</f>
        <v>#NAME?</v>
      </c>
      <c r="BE30" t="e" cm="1">
        <f t="array" aca="1" ref="BE30" ca="1">+_xll.EQNXTDZ($A$1,$B30,BE$2)</f>
        <v>#NAME?</v>
      </c>
      <c r="BF30" t="e" cm="1">
        <f t="array" aca="1" ref="BF30" ca="1">+_xll.EQNXTDZ($A$1,$B30,BF$2)</f>
        <v>#NAME?</v>
      </c>
      <c r="BG30" t="e" cm="1">
        <f t="array" aca="1" ref="BG30" ca="1">+_xll.EQNXTDZ($A$1,$B30,BG$2)</f>
        <v>#NAME?</v>
      </c>
      <c r="BH30" t="e" cm="1">
        <f t="array" aca="1" ref="BH30" ca="1">+_xll.EQNXTDZ($A$1,$B30,BH$2)</f>
        <v>#NAME?</v>
      </c>
      <c r="BI30" t="e" cm="1">
        <f t="array" aca="1" ref="BI30" ca="1">+_xll.EQNXTDZ($A$1,$B30,BI$2)</f>
        <v>#NAME?</v>
      </c>
      <c r="BJ30" t="e" cm="1">
        <f t="array" aca="1" ref="BJ30" ca="1">+_xll.EQNXTDZ($A$1,$B30,BJ$2)</f>
        <v>#NAME?</v>
      </c>
    </row>
    <row r="31" spans="1:62" x14ac:dyDescent="0.25">
      <c r="A31" t="s">
        <v>229</v>
      </c>
      <c r="B31" t="s">
        <v>270</v>
      </c>
      <c r="C31" t="e" cm="1">
        <f t="array" aca="1" ref="C31" ca="1">+_xll.EQNXTDZ($A$1,$B31,C$2)</f>
        <v>#NAME?</v>
      </c>
      <c r="D31" t="e" cm="1">
        <f t="array" aca="1" ref="D31" ca="1">+_xll.EQNXTDZ($A$1,$B31,D$2)</f>
        <v>#NAME?</v>
      </c>
      <c r="E31" t="e" cm="1">
        <f t="array" aca="1" ref="E31" ca="1">+_xll.EQNXTDZ($A$1,$B31,E$2)</f>
        <v>#NAME?</v>
      </c>
      <c r="F31" t="e" cm="1">
        <f t="array" aca="1" ref="F31" ca="1">+_xll.EQNXTDZ($A$1,$B31,F$2)</f>
        <v>#NAME?</v>
      </c>
      <c r="G31" t="e" cm="1">
        <f t="array" aca="1" ref="G31" ca="1">+_xll.EQNXTDZ($A$1,$B31,G$2)</f>
        <v>#NAME?</v>
      </c>
      <c r="H31" t="e" cm="1">
        <f t="array" aca="1" ref="H31" ca="1">+_xll.EQNXTDZ($A$1,$B31,H$2)</f>
        <v>#NAME?</v>
      </c>
      <c r="I31" t="e" cm="1">
        <f t="array" aca="1" ref="I31" ca="1">+_xll.EQNXTDZ($A$1,$B31,I$2)</f>
        <v>#NAME?</v>
      </c>
      <c r="J31" t="e" cm="1">
        <f t="array" aca="1" ref="J31" ca="1">+_xll.EQNXTDZ($A$1,$B31,J$2)</f>
        <v>#NAME?</v>
      </c>
      <c r="K31" t="e" cm="1">
        <f t="array" aca="1" ref="K31" ca="1">+_xll.EQNXTDZ($A$1,$B31,K$2)</f>
        <v>#NAME?</v>
      </c>
      <c r="L31" t="e" cm="1">
        <f t="array" aca="1" ref="L31" ca="1">+_xll.EQNXTDZ($A$1,$B31,L$2)</f>
        <v>#NAME?</v>
      </c>
      <c r="M31" t="e" cm="1">
        <f t="array" aca="1" ref="M31" ca="1">+_xll.EQNXTDZ($A$1,$B31,M$2)</f>
        <v>#NAME?</v>
      </c>
      <c r="N31" t="e" cm="1">
        <f t="array" aca="1" ref="N31" ca="1">+_xll.EQNXTDZ($A$1,$B31,N$2)</f>
        <v>#NAME?</v>
      </c>
      <c r="O31" t="e" cm="1">
        <f t="array" aca="1" ref="O31" ca="1">+_xll.EQNXTDZ($A$1,$B31,O$2)</f>
        <v>#NAME?</v>
      </c>
      <c r="P31" t="e" cm="1">
        <f t="array" aca="1" ref="P31" ca="1">+_xll.EQNXTDZ($A$1,$B31,P$2)</f>
        <v>#NAME?</v>
      </c>
      <c r="Q31" t="e" cm="1">
        <f t="array" aca="1" ref="Q31" ca="1">+_xll.EQNXTDZ($A$1,$B31,Q$2)</f>
        <v>#NAME?</v>
      </c>
      <c r="R31" t="e" cm="1">
        <f t="array" aca="1" ref="R31" ca="1">+_xll.EQNXTDZ($A$1,$B31,R$2)</f>
        <v>#NAME?</v>
      </c>
      <c r="S31" t="e" cm="1">
        <f t="array" aca="1" ref="S31" ca="1">+_xll.EQNXTDZ($A$1,$B31,S$2)</f>
        <v>#NAME?</v>
      </c>
      <c r="T31" t="e" cm="1">
        <f t="array" aca="1" ref="T31" ca="1">+_xll.EQNXTDZ($A$1,$B31,T$2)</f>
        <v>#NAME?</v>
      </c>
      <c r="U31" t="e" cm="1">
        <f t="array" aca="1" ref="U31" ca="1">+_xll.EQNXTDZ($A$1,$B31,U$2)</f>
        <v>#NAME?</v>
      </c>
      <c r="V31" t="e" cm="1">
        <f t="array" aca="1" ref="V31" ca="1">+_xll.EQNXTDZ($A$1,$B31,V$2)</f>
        <v>#NAME?</v>
      </c>
      <c r="W31" t="e" cm="1">
        <f t="array" aca="1" ref="W31" ca="1">+_xll.EQNXTDZ($A$1,$B31,W$2)</f>
        <v>#NAME?</v>
      </c>
      <c r="X31" t="e" cm="1">
        <f t="array" aca="1" ref="X31" ca="1">+_xll.EQNXTDZ($A$1,$B31,X$2)</f>
        <v>#NAME?</v>
      </c>
      <c r="Y31" t="e" cm="1">
        <f t="array" aca="1" ref="Y31" ca="1">+_xll.EQNXTDZ($A$1,$B31,Y$2)</f>
        <v>#NAME?</v>
      </c>
      <c r="Z31" t="e" cm="1">
        <f t="array" aca="1" ref="Z31" ca="1">+_xll.EQNXTDZ($A$1,$B31,Z$2)</f>
        <v>#NAME?</v>
      </c>
      <c r="AA31" t="e" cm="1">
        <f t="array" aca="1" ref="AA31" ca="1">+_xll.EQNXTDZ($A$1,$B31,AA$2)</f>
        <v>#NAME?</v>
      </c>
      <c r="AB31" t="e" cm="1">
        <f t="array" aca="1" ref="AB31" ca="1">+_xll.EQNXTDZ($A$1,$B31,AB$2)</f>
        <v>#NAME?</v>
      </c>
      <c r="AC31" t="e" cm="1">
        <f t="array" aca="1" ref="AC31" ca="1">+_xll.EQNXTDZ($A$1,$B31,AC$2)</f>
        <v>#NAME?</v>
      </c>
      <c r="AD31" t="e" cm="1">
        <f t="array" aca="1" ref="AD31" ca="1">+_xll.EQNXTDZ($A$1,$B31,AD$2)</f>
        <v>#NAME?</v>
      </c>
      <c r="AE31" t="e" cm="1">
        <f t="array" aca="1" ref="AE31" ca="1">+_xll.EQNXTDZ($A$1,$B31,AE$2)</f>
        <v>#NAME?</v>
      </c>
      <c r="AF31" t="e" cm="1">
        <f t="array" aca="1" ref="AF31" ca="1">+_xll.EQNXTDZ($A$1,$B31,AF$2)</f>
        <v>#NAME?</v>
      </c>
      <c r="AG31" t="e" cm="1">
        <f t="array" aca="1" ref="AG31" ca="1">+_xll.EQNXTDZ($A$1,$B31,AG$2)</f>
        <v>#NAME?</v>
      </c>
      <c r="AH31" t="e" cm="1">
        <f t="array" aca="1" ref="AH31" ca="1">+_xll.EQNXTDZ($A$1,$B31,AH$2)</f>
        <v>#NAME?</v>
      </c>
      <c r="AI31" t="e" cm="1">
        <f t="array" aca="1" ref="AI31" ca="1">+_xll.EQNXTDZ($A$1,$B31,AI$2)</f>
        <v>#NAME?</v>
      </c>
      <c r="AJ31" t="e" cm="1">
        <f t="array" aca="1" ref="AJ31" ca="1">+_xll.EQNXTDZ($A$1,$B31,AJ$2)</f>
        <v>#NAME?</v>
      </c>
      <c r="AK31" t="e" cm="1">
        <f t="array" aca="1" ref="AK31" ca="1">+_xll.EQNXTDZ($A$1,$B31,AK$2)</f>
        <v>#NAME?</v>
      </c>
      <c r="AL31" t="e" cm="1">
        <f t="array" aca="1" ref="AL31" ca="1">+_xll.EQNXTDZ($A$1,$B31,AL$2)</f>
        <v>#NAME?</v>
      </c>
      <c r="AM31" t="e" cm="1">
        <f t="array" aca="1" ref="AM31" ca="1">+_xll.EQNXTDZ($A$1,$B31,AM$2)</f>
        <v>#NAME?</v>
      </c>
      <c r="AN31" t="e" cm="1">
        <f t="array" aca="1" ref="AN31" ca="1">+_xll.EQNXTDZ($A$1,$B31,AN$2)</f>
        <v>#NAME?</v>
      </c>
      <c r="AO31" t="e" cm="1">
        <f t="array" aca="1" ref="AO31" ca="1">+_xll.EQNXTDZ($A$1,$B31,AO$2)</f>
        <v>#NAME?</v>
      </c>
      <c r="AP31" t="e" cm="1">
        <f t="array" aca="1" ref="AP31" ca="1">+_xll.EQNXTDZ($A$1,$B31,AP$2)</f>
        <v>#NAME?</v>
      </c>
      <c r="AQ31" t="e" cm="1">
        <f t="array" aca="1" ref="AQ31" ca="1">+_xll.EQNXTDZ($A$1,$B31,AQ$2)</f>
        <v>#NAME?</v>
      </c>
      <c r="AR31" t="e" cm="1">
        <f t="array" aca="1" ref="AR31" ca="1">+_xll.EQNXTDZ($A$1,$B31,AR$2)</f>
        <v>#NAME?</v>
      </c>
      <c r="AS31" t="e" cm="1">
        <f t="array" aca="1" ref="AS31" ca="1">+_xll.EQNXTDZ($A$1,$B31,AS$2)</f>
        <v>#NAME?</v>
      </c>
      <c r="AT31" t="e" cm="1">
        <f t="array" aca="1" ref="AT31" ca="1">+_xll.EQNXTDZ($A$1,$B31,AT$2)</f>
        <v>#NAME?</v>
      </c>
      <c r="AU31" t="e" cm="1">
        <f t="array" aca="1" ref="AU31" ca="1">+_xll.EQNXTDZ($A$1,$B31,AU$2)</f>
        <v>#NAME?</v>
      </c>
      <c r="AV31" t="e" cm="1">
        <f t="array" aca="1" ref="AV31" ca="1">+_xll.EQNXTDZ($A$1,$B31,AV$2)</f>
        <v>#NAME?</v>
      </c>
      <c r="AW31" t="e" cm="1">
        <f t="array" aca="1" ref="AW31" ca="1">+_xll.EQNXTDZ($A$1,$B31,AW$2)</f>
        <v>#NAME?</v>
      </c>
      <c r="AX31" t="e" cm="1">
        <f t="array" aca="1" ref="AX31" ca="1">+_xll.EQNXTDZ($A$1,$B31,AX$2)</f>
        <v>#NAME?</v>
      </c>
      <c r="AY31" t="e" cm="1">
        <f t="array" aca="1" ref="AY31" ca="1">+_xll.EQNXTDZ($A$1,$B31,AY$2)</f>
        <v>#NAME?</v>
      </c>
      <c r="AZ31" t="e" cm="1">
        <f t="array" aca="1" ref="AZ31" ca="1">+_xll.EQNXTDZ($A$1,$B31,AZ$2)</f>
        <v>#NAME?</v>
      </c>
      <c r="BA31" t="e" cm="1">
        <f t="array" aca="1" ref="BA31" ca="1">+_xll.EQNXTDZ($A$1,$B31,BA$2)</f>
        <v>#NAME?</v>
      </c>
      <c r="BB31" t="e" cm="1">
        <f t="array" aca="1" ref="BB31" ca="1">+_xll.EQNXTDZ($A$1,$B31,BB$2)</f>
        <v>#NAME?</v>
      </c>
      <c r="BC31" t="e" cm="1">
        <f t="array" aca="1" ref="BC31" ca="1">+_xll.EQNXTDZ($A$1,$B31,BC$2)</f>
        <v>#NAME?</v>
      </c>
      <c r="BD31" t="e" cm="1">
        <f t="array" aca="1" ref="BD31" ca="1">+_xll.EQNXTDZ($A$1,$B31,BD$2)</f>
        <v>#NAME?</v>
      </c>
      <c r="BE31" t="e" cm="1">
        <f t="array" aca="1" ref="BE31" ca="1">+_xll.EQNXTDZ($A$1,$B31,BE$2)</f>
        <v>#NAME?</v>
      </c>
      <c r="BF31" t="e" cm="1">
        <f t="array" aca="1" ref="BF31" ca="1">+_xll.EQNXTDZ($A$1,$B31,BF$2)</f>
        <v>#NAME?</v>
      </c>
      <c r="BG31" t="e" cm="1">
        <f t="array" aca="1" ref="BG31" ca="1">+_xll.EQNXTDZ($A$1,$B31,BG$2)</f>
        <v>#NAME?</v>
      </c>
      <c r="BH31" t="e" cm="1">
        <f t="array" aca="1" ref="BH31" ca="1">+_xll.EQNXTDZ($A$1,$B31,BH$2)</f>
        <v>#NAME?</v>
      </c>
      <c r="BI31" t="e" cm="1">
        <f t="array" aca="1" ref="BI31" ca="1">+_xll.EQNXTDZ($A$1,$B31,BI$2)</f>
        <v>#NAME?</v>
      </c>
      <c r="BJ31" t="e" cm="1">
        <f t="array" aca="1" ref="BJ31" ca="1">+_xll.EQNXTDZ($A$1,$B31,BJ$2)</f>
        <v>#NAME?</v>
      </c>
    </row>
    <row r="32" spans="1:62" x14ac:dyDescent="0.25">
      <c r="A32" t="s">
        <v>230</v>
      </c>
      <c r="B32" t="s">
        <v>271</v>
      </c>
      <c r="C32" t="e" cm="1">
        <f t="array" aca="1" ref="C32" ca="1">+_xll.EQNXTDZ($A$1,$B32,C$2)</f>
        <v>#NAME?</v>
      </c>
      <c r="D32" t="e" cm="1">
        <f t="array" aca="1" ref="D32" ca="1">+_xll.EQNXTDZ($A$1,$B32,D$2)</f>
        <v>#NAME?</v>
      </c>
      <c r="E32" t="e" cm="1">
        <f t="array" aca="1" ref="E32" ca="1">+_xll.EQNXTDZ($A$1,$B32,E$2)</f>
        <v>#NAME?</v>
      </c>
      <c r="F32" t="e" cm="1">
        <f t="array" aca="1" ref="F32" ca="1">+_xll.EQNXTDZ($A$1,$B32,F$2)</f>
        <v>#NAME?</v>
      </c>
      <c r="G32" t="e" cm="1">
        <f t="array" aca="1" ref="G32" ca="1">+_xll.EQNXTDZ($A$1,$B32,G$2)</f>
        <v>#NAME?</v>
      </c>
      <c r="H32" t="e" cm="1">
        <f t="array" aca="1" ref="H32" ca="1">+_xll.EQNXTDZ($A$1,$B32,H$2)</f>
        <v>#NAME?</v>
      </c>
      <c r="I32" t="e" cm="1">
        <f t="array" aca="1" ref="I32" ca="1">+_xll.EQNXTDZ($A$1,$B32,I$2)</f>
        <v>#NAME?</v>
      </c>
      <c r="J32" t="e" cm="1">
        <f t="array" aca="1" ref="J32" ca="1">+_xll.EQNXTDZ($A$1,$B32,J$2)</f>
        <v>#NAME?</v>
      </c>
      <c r="K32" t="e" cm="1">
        <f t="array" aca="1" ref="K32" ca="1">+_xll.EQNXTDZ($A$1,$B32,K$2)</f>
        <v>#NAME?</v>
      </c>
      <c r="L32" t="e" cm="1">
        <f t="array" aca="1" ref="L32" ca="1">+_xll.EQNXTDZ($A$1,$B32,L$2)</f>
        <v>#NAME?</v>
      </c>
      <c r="M32" t="e" cm="1">
        <f t="array" aca="1" ref="M32" ca="1">+_xll.EQNXTDZ($A$1,$B32,M$2)</f>
        <v>#NAME?</v>
      </c>
      <c r="N32" t="e" cm="1">
        <f t="array" aca="1" ref="N32" ca="1">+_xll.EQNXTDZ($A$1,$B32,N$2)</f>
        <v>#NAME?</v>
      </c>
      <c r="O32" t="e" cm="1">
        <f t="array" aca="1" ref="O32" ca="1">+_xll.EQNXTDZ($A$1,$B32,O$2)</f>
        <v>#NAME?</v>
      </c>
      <c r="P32" t="e" cm="1">
        <f t="array" aca="1" ref="P32" ca="1">+_xll.EQNXTDZ($A$1,$B32,P$2)</f>
        <v>#NAME?</v>
      </c>
      <c r="Q32" t="e" cm="1">
        <f t="array" aca="1" ref="Q32" ca="1">+_xll.EQNXTDZ($A$1,$B32,Q$2)</f>
        <v>#NAME?</v>
      </c>
      <c r="R32" t="e" cm="1">
        <f t="array" aca="1" ref="R32" ca="1">+_xll.EQNXTDZ($A$1,$B32,R$2)</f>
        <v>#NAME?</v>
      </c>
      <c r="S32" t="e" cm="1">
        <f t="array" aca="1" ref="S32" ca="1">+_xll.EQNXTDZ($A$1,$B32,S$2)</f>
        <v>#NAME?</v>
      </c>
      <c r="T32" t="e" cm="1">
        <f t="array" aca="1" ref="T32" ca="1">+_xll.EQNXTDZ($A$1,$B32,T$2)</f>
        <v>#NAME?</v>
      </c>
      <c r="U32" t="e" cm="1">
        <f t="array" aca="1" ref="U32" ca="1">+_xll.EQNXTDZ($A$1,$B32,U$2)</f>
        <v>#NAME?</v>
      </c>
      <c r="V32" t="e" cm="1">
        <f t="array" aca="1" ref="V32" ca="1">+_xll.EQNXTDZ($A$1,$B32,V$2)</f>
        <v>#NAME?</v>
      </c>
      <c r="W32" t="e" cm="1">
        <f t="array" aca="1" ref="W32" ca="1">+_xll.EQNXTDZ($A$1,$B32,W$2)</f>
        <v>#NAME?</v>
      </c>
      <c r="X32" t="e" cm="1">
        <f t="array" aca="1" ref="X32" ca="1">+_xll.EQNXTDZ($A$1,$B32,X$2)</f>
        <v>#NAME?</v>
      </c>
      <c r="Y32" t="e" cm="1">
        <f t="array" aca="1" ref="Y32" ca="1">+_xll.EQNXTDZ($A$1,$B32,Y$2)</f>
        <v>#NAME?</v>
      </c>
      <c r="Z32" t="e" cm="1">
        <f t="array" aca="1" ref="Z32" ca="1">+_xll.EQNXTDZ($A$1,$B32,Z$2)</f>
        <v>#NAME?</v>
      </c>
      <c r="AA32" t="e" cm="1">
        <f t="array" aca="1" ref="AA32" ca="1">+_xll.EQNXTDZ($A$1,$B32,AA$2)</f>
        <v>#NAME?</v>
      </c>
      <c r="AB32" t="e" cm="1">
        <f t="array" aca="1" ref="AB32" ca="1">+_xll.EQNXTDZ($A$1,$B32,AB$2)</f>
        <v>#NAME?</v>
      </c>
      <c r="AC32" t="e" cm="1">
        <f t="array" aca="1" ref="AC32" ca="1">+_xll.EQNXTDZ($A$1,$B32,AC$2)</f>
        <v>#NAME?</v>
      </c>
      <c r="AD32" t="e" cm="1">
        <f t="array" aca="1" ref="AD32" ca="1">+_xll.EQNXTDZ($A$1,$B32,AD$2)</f>
        <v>#NAME?</v>
      </c>
      <c r="AE32" t="e" cm="1">
        <f t="array" aca="1" ref="AE32" ca="1">+_xll.EQNXTDZ($A$1,$B32,AE$2)</f>
        <v>#NAME?</v>
      </c>
      <c r="AF32" t="e" cm="1">
        <f t="array" aca="1" ref="AF32" ca="1">+_xll.EQNXTDZ($A$1,$B32,AF$2)</f>
        <v>#NAME?</v>
      </c>
      <c r="AG32" t="e" cm="1">
        <f t="array" aca="1" ref="AG32" ca="1">+_xll.EQNXTDZ($A$1,$B32,AG$2)</f>
        <v>#NAME?</v>
      </c>
      <c r="AH32" t="e" cm="1">
        <f t="array" aca="1" ref="AH32" ca="1">+_xll.EQNXTDZ($A$1,$B32,AH$2)</f>
        <v>#NAME?</v>
      </c>
      <c r="AI32" t="e" cm="1">
        <f t="array" aca="1" ref="AI32" ca="1">+_xll.EQNXTDZ($A$1,$B32,AI$2)</f>
        <v>#NAME?</v>
      </c>
      <c r="AJ32" t="e" cm="1">
        <f t="array" aca="1" ref="AJ32" ca="1">+_xll.EQNXTDZ($A$1,$B32,AJ$2)</f>
        <v>#NAME?</v>
      </c>
      <c r="AK32" t="e" cm="1">
        <f t="array" aca="1" ref="AK32" ca="1">+_xll.EQNXTDZ($A$1,$B32,AK$2)</f>
        <v>#NAME?</v>
      </c>
      <c r="AL32" t="e" cm="1">
        <f t="array" aca="1" ref="AL32" ca="1">+_xll.EQNXTDZ($A$1,$B32,AL$2)</f>
        <v>#NAME?</v>
      </c>
      <c r="AM32" t="e" cm="1">
        <f t="array" aca="1" ref="AM32" ca="1">+_xll.EQNXTDZ($A$1,$B32,AM$2)</f>
        <v>#NAME?</v>
      </c>
      <c r="AN32" t="e" cm="1">
        <f t="array" aca="1" ref="AN32" ca="1">+_xll.EQNXTDZ($A$1,$B32,AN$2)</f>
        <v>#NAME?</v>
      </c>
      <c r="AO32" t="e" cm="1">
        <f t="array" aca="1" ref="AO32" ca="1">+_xll.EQNXTDZ($A$1,$B32,AO$2)</f>
        <v>#NAME?</v>
      </c>
      <c r="AP32" t="e" cm="1">
        <f t="array" aca="1" ref="AP32" ca="1">+_xll.EQNXTDZ($A$1,$B32,AP$2)</f>
        <v>#NAME?</v>
      </c>
      <c r="AQ32" t="e" cm="1">
        <f t="array" aca="1" ref="AQ32" ca="1">+_xll.EQNXTDZ($A$1,$B32,AQ$2)</f>
        <v>#NAME?</v>
      </c>
      <c r="AR32" t="e" cm="1">
        <f t="array" aca="1" ref="AR32" ca="1">+_xll.EQNXTDZ($A$1,$B32,AR$2)</f>
        <v>#NAME?</v>
      </c>
      <c r="AS32" t="e" cm="1">
        <f t="array" aca="1" ref="AS32" ca="1">+_xll.EQNXTDZ($A$1,$B32,AS$2)</f>
        <v>#NAME?</v>
      </c>
      <c r="AT32" t="e" cm="1">
        <f t="array" aca="1" ref="AT32" ca="1">+_xll.EQNXTDZ($A$1,$B32,AT$2)</f>
        <v>#NAME?</v>
      </c>
      <c r="AU32" t="e" cm="1">
        <f t="array" aca="1" ref="AU32" ca="1">+_xll.EQNXTDZ($A$1,$B32,AU$2)</f>
        <v>#NAME?</v>
      </c>
      <c r="AV32" t="e" cm="1">
        <f t="array" aca="1" ref="AV32" ca="1">+_xll.EQNXTDZ($A$1,$B32,AV$2)</f>
        <v>#NAME?</v>
      </c>
      <c r="AW32" t="e" cm="1">
        <f t="array" aca="1" ref="AW32" ca="1">+_xll.EQNXTDZ($A$1,$B32,AW$2)</f>
        <v>#NAME?</v>
      </c>
      <c r="AX32" t="e" cm="1">
        <f t="array" aca="1" ref="AX32" ca="1">+_xll.EQNXTDZ($A$1,$B32,AX$2)</f>
        <v>#NAME?</v>
      </c>
      <c r="AY32" t="e" cm="1">
        <f t="array" aca="1" ref="AY32" ca="1">+_xll.EQNXTDZ($A$1,$B32,AY$2)</f>
        <v>#NAME?</v>
      </c>
      <c r="AZ32" t="e" cm="1">
        <f t="array" aca="1" ref="AZ32" ca="1">+_xll.EQNXTDZ($A$1,$B32,AZ$2)</f>
        <v>#NAME?</v>
      </c>
      <c r="BA32" t="e" cm="1">
        <f t="array" aca="1" ref="BA32" ca="1">+_xll.EQNXTDZ($A$1,$B32,BA$2)</f>
        <v>#NAME?</v>
      </c>
      <c r="BB32" t="e" cm="1">
        <f t="array" aca="1" ref="BB32" ca="1">+_xll.EQNXTDZ($A$1,$B32,BB$2)</f>
        <v>#NAME?</v>
      </c>
      <c r="BC32" t="e" cm="1">
        <f t="array" aca="1" ref="BC32" ca="1">+_xll.EQNXTDZ($A$1,$B32,BC$2)</f>
        <v>#NAME?</v>
      </c>
      <c r="BD32" t="e" cm="1">
        <f t="array" aca="1" ref="BD32" ca="1">+_xll.EQNXTDZ($A$1,$B32,BD$2)</f>
        <v>#NAME?</v>
      </c>
      <c r="BE32" t="e" cm="1">
        <f t="array" aca="1" ref="BE32" ca="1">+_xll.EQNXTDZ($A$1,$B32,BE$2)</f>
        <v>#NAME?</v>
      </c>
      <c r="BF32" t="e" cm="1">
        <f t="array" aca="1" ref="BF32" ca="1">+_xll.EQNXTDZ($A$1,$B32,BF$2)</f>
        <v>#NAME?</v>
      </c>
      <c r="BG32" t="e" cm="1">
        <f t="array" aca="1" ref="BG32" ca="1">+_xll.EQNXTDZ($A$1,$B32,BG$2)</f>
        <v>#NAME?</v>
      </c>
      <c r="BH32" t="e" cm="1">
        <f t="array" aca="1" ref="BH32" ca="1">+_xll.EQNXTDZ($A$1,$B32,BH$2)</f>
        <v>#NAME?</v>
      </c>
      <c r="BI32" t="e" cm="1">
        <f t="array" aca="1" ref="BI32" ca="1">+_xll.EQNXTDZ($A$1,$B32,BI$2)</f>
        <v>#NAME?</v>
      </c>
      <c r="BJ32" t="e" cm="1">
        <f t="array" aca="1" ref="BJ32" ca="1">+_xll.EQNXTDZ($A$1,$B32,BJ$2)</f>
        <v>#NAME?</v>
      </c>
    </row>
    <row r="33" spans="1:62" x14ac:dyDescent="0.25">
      <c r="A33" t="s">
        <v>231</v>
      </c>
      <c r="B33" t="s">
        <v>272</v>
      </c>
      <c r="C33" t="e" cm="1">
        <f t="array" aca="1" ref="C33" ca="1">+_xll.EQNXTDZ($A$1,$B33,C$2)</f>
        <v>#NAME?</v>
      </c>
      <c r="D33" t="e" cm="1">
        <f t="array" aca="1" ref="D33" ca="1">+_xll.EQNXTDZ($A$1,$B33,D$2)</f>
        <v>#NAME?</v>
      </c>
      <c r="E33" t="e" cm="1">
        <f t="array" aca="1" ref="E33" ca="1">+_xll.EQNXTDZ($A$1,$B33,E$2)</f>
        <v>#NAME?</v>
      </c>
      <c r="F33" t="e" cm="1">
        <f t="array" aca="1" ref="F33" ca="1">+_xll.EQNXTDZ($A$1,$B33,F$2)</f>
        <v>#NAME?</v>
      </c>
      <c r="G33" t="e" cm="1">
        <f t="array" aca="1" ref="G33" ca="1">+_xll.EQNXTDZ($A$1,$B33,G$2)</f>
        <v>#NAME?</v>
      </c>
      <c r="H33" t="e" cm="1">
        <f t="array" aca="1" ref="H33" ca="1">+_xll.EQNXTDZ($A$1,$B33,H$2)</f>
        <v>#NAME?</v>
      </c>
      <c r="I33" t="e" cm="1">
        <f t="array" aca="1" ref="I33" ca="1">+_xll.EQNXTDZ($A$1,$B33,I$2)</f>
        <v>#NAME?</v>
      </c>
      <c r="J33" t="e" cm="1">
        <f t="array" aca="1" ref="J33" ca="1">+_xll.EQNXTDZ($A$1,$B33,J$2)</f>
        <v>#NAME?</v>
      </c>
      <c r="K33" t="e" cm="1">
        <f t="array" aca="1" ref="K33" ca="1">+_xll.EQNXTDZ($A$1,$B33,K$2)</f>
        <v>#NAME?</v>
      </c>
      <c r="L33" t="e" cm="1">
        <f t="array" aca="1" ref="L33" ca="1">+_xll.EQNXTDZ($A$1,$B33,L$2)</f>
        <v>#NAME?</v>
      </c>
      <c r="M33" t="e" cm="1">
        <f t="array" aca="1" ref="M33" ca="1">+_xll.EQNXTDZ($A$1,$B33,M$2)</f>
        <v>#NAME?</v>
      </c>
      <c r="N33" t="e" cm="1">
        <f t="array" aca="1" ref="N33" ca="1">+_xll.EQNXTDZ($A$1,$B33,N$2)</f>
        <v>#NAME?</v>
      </c>
      <c r="O33" t="e" cm="1">
        <f t="array" aca="1" ref="O33" ca="1">+_xll.EQNXTDZ($A$1,$B33,O$2)</f>
        <v>#NAME?</v>
      </c>
      <c r="P33" t="e" cm="1">
        <f t="array" aca="1" ref="P33" ca="1">+_xll.EQNXTDZ($A$1,$B33,P$2)</f>
        <v>#NAME?</v>
      </c>
      <c r="Q33" t="e" cm="1">
        <f t="array" aca="1" ref="Q33" ca="1">+_xll.EQNXTDZ($A$1,$B33,Q$2)</f>
        <v>#NAME?</v>
      </c>
      <c r="R33" t="e" cm="1">
        <f t="array" aca="1" ref="R33" ca="1">+_xll.EQNXTDZ($A$1,$B33,R$2)</f>
        <v>#NAME?</v>
      </c>
      <c r="S33" t="e" cm="1">
        <f t="array" aca="1" ref="S33" ca="1">+_xll.EQNXTDZ($A$1,$B33,S$2)</f>
        <v>#NAME?</v>
      </c>
      <c r="T33" t="e" cm="1">
        <f t="array" aca="1" ref="T33" ca="1">+_xll.EQNXTDZ($A$1,$B33,T$2)</f>
        <v>#NAME?</v>
      </c>
      <c r="U33" t="e" cm="1">
        <f t="array" aca="1" ref="U33" ca="1">+_xll.EQNXTDZ($A$1,$B33,U$2)</f>
        <v>#NAME?</v>
      </c>
      <c r="V33" t="e" cm="1">
        <f t="array" aca="1" ref="V33" ca="1">+_xll.EQNXTDZ($A$1,$B33,V$2)</f>
        <v>#NAME?</v>
      </c>
      <c r="W33" t="e" cm="1">
        <f t="array" aca="1" ref="W33" ca="1">+_xll.EQNXTDZ($A$1,$B33,W$2)</f>
        <v>#NAME?</v>
      </c>
      <c r="X33" t="e" cm="1">
        <f t="array" aca="1" ref="X33" ca="1">+_xll.EQNXTDZ($A$1,$B33,X$2)</f>
        <v>#NAME?</v>
      </c>
      <c r="Y33" t="e" cm="1">
        <f t="array" aca="1" ref="Y33" ca="1">+_xll.EQNXTDZ($A$1,$B33,Y$2)</f>
        <v>#NAME?</v>
      </c>
      <c r="Z33" t="e" cm="1">
        <f t="array" aca="1" ref="Z33" ca="1">+_xll.EQNXTDZ($A$1,$B33,Z$2)</f>
        <v>#NAME?</v>
      </c>
      <c r="AA33" t="e" cm="1">
        <f t="array" aca="1" ref="AA33" ca="1">+_xll.EQNXTDZ($A$1,$B33,AA$2)</f>
        <v>#NAME?</v>
      </c>
      <c r="AB33" t="e" cm="1">
        <f t="array" aca="1" ref="AB33" ca="1">+_xll.EQNXTDZ($A$1,$B33,AB$2)</f>
        <v>#NAME?</v>
      </c>
      <c r="AC33" t="e" cm="1">
        <f t="array" aca="1" ref="AC33" ca="1">+_xll.EQNXTDZ($A$1,$B33,AC$2)</f>
        <v>#NAME?</v>
      </c>
      <c r="AD33" t="e" cm="1">
        <f t="array" aca="1" ref="AD33" ca="1">+_xll.EQNXTDZ($A$1,$B33,AD$2)</f>
        <v>#NAME?</v>
      </c>
      <c r="AE33" t="e" cm="1">
        <f t="array" aca="1" ref="AE33" ca="1">+_xll.EQNXTDZ($A$1,$B33,AE$2)</f>
        <v>#NAME?</v>
      </c>
      <c r="AF33" t="e" cm="1">
        <f t="array" aca="1" ref="AF33" ca="1">+_xll.EQNXTDZ($A$1,$B33,AF$2)</f>
        <v>#NAME?</v>
      </c>
      <c r="AG33" t="e" cm="1">
        <f t="array" aca="1" ref="AG33" ca="1">+_xll.EQNXTDZ($A$1,$B33,AG$2)</f>
        <v>#NAME?</v>
      </c>
      <c r="AH33" t="e" cm="1">
        <f t="array" aca="1" ref="AH33" ca="1">+_xll.EQNXTDZ($A$1,$B33,AH$2)</f>
        <v>#NAME?</v>
      </c>
      <c r="AI33" t="e" cm="1">
        <f t="array" aca="1" ref="AI33" ca="1">+_xll.EQNXTDZ($A$1,$B33,AI$2)</f>
        <v>#NAME?</v>
      </c>
      <c r="AJ33" t="e" cm="1">
        <f t="array" aca="1" ref="AJ33" ca="1">+_xll.EQNXTDZ($A$1,$B33,AJ$2)</f>
        <v>#NAME?</v>
      </c>
      <c r="AK33" t="e" cm="1">
        <f t="array" aca="1" ref="AK33" ca="1">+_xll.EQNXTDZ($A$1,$B33,AK$2)</f>
        <v>#NAME?</v>
      </c>
      <c r="AL33" t="e" cm="1">
        <f t="array" aca="1" ref="AL33" ca="1">+_xll.EQNXTDZ($A$1,$B33,AL$2)</f>
        <v>#NAME?</v>
      </c>
      <c r="AM33" t="e" cm="1">
        <f t="array" aca="1" ref="AM33" ca="1">+_xll.EQNXTDZ($A$1,$B33,AM$2)</f>
        <v>#NAME?</v>
      </c>
      <c r="AN33" t="e" cm="1">
        <f t="array" aca="1" ref="AN33" ca="1">+_xll.EQNXTDZ($A$1,$B33,AN$2)</f>
        <v>#NAME?</v>
      </c>
      <c r="AO33" t="e" cm="1">
        <f t="array" aca="1" ref="AO33" ca="1">+_xll.EQNXTDZ($A$1,$B33,AO$2)</f>
        <v>#NAME?</v>
      </c>
      <c r="AP33" t="e" cm="1">
        <f t="array" aca="1" ref="AP33" ca="1">+_xll.EQNXTDZ($A$1,$B33,AP$2)</f>
        <v>#NAME?</v>
      </c>
      <c r="AQ33" t="e" cm="1">
        <f t="array" aca="1" ref="AQ33" ca="1">+_xll.EQNXTDZ($A$1,$B33,AQ$2)</f>
        <v>#NAME?</v>
      </c>
      <c r="AR33" t="e" cm="1">
        <f t="array" aca="1" ref="AR33" ca="1">+_xll.EQNXTDZ($A$1,$B33,AR$2)</f>
        <v>#NAME?</v>
      </c>
      <c r="AS33" t="e" cm="1">
        <f t="array" aca="1" ref="AS33" ca="1">+_xll.EQNXTDZ($A$1,$B33,AS$2)</f>
        <v>#NAME?</v>
      </c>
      <c r="AT33" t="e" cm="1">
        <f t="array" aca="1" ref="AT33" ca="1">+_xll.EQNXTDZ($A$1,$B33,AT$2)</f>
        <v>#NAME?</v>
      </c>
      <c r="AU33" t="e" cm="1">
        <f t="array" aca="1" ref="AU33" ca="1">+_xll.EQNXTDZ($A$1,$B33,AU$2)</f>
        <v>#NAME?</v>
      </c>
      <c r="AV33" t="e" cm="1">
        <f t="array" aca="1" ref="AV33" ca="1">+_xll.EQNXTDZ($A$1,$B33,AV$2)</f>
        <v>#NAME?</v>
      </c>
      <c r="AW33" t="e" cm="1">
        <f t="array" aca="1" ref="AW33" ca="1">+_xll.EQNXTDZ($A$1,$B33,AW$2)</f>
        <v>#NAME?</v>
      </c>
      <c r="AX33" t="e" cm="1">
        <f t="array" aca="1" ref="AX33" ca="1">+_xll.EQNXTDZ($A$1,$B33,AX$2)</f>
        <v>#NAME?</v>
      </c>
      <c r="AY33" t="e" cm="1">
        <f t="array" aca="1" ref="AY33" ca="1">+_xll.EQNXTDZ($A$1,$B33,AY$2)</f>
        <v>#NAME?</v>
      </c>
      <c r="AZ33" t="e" cm="1">
        <f t="array" aca="1" ref="AZ33" ca="1">+_xll.EQNXTDZ($A$1,$B33,AZ$2)</f>
        <v>#NAME?</v>
      </c>
      <c r="BA33" t="e" cm="1">
        <f t="array" aca="1" ref="BA33" ca="1">+_xll.EQNXTDZ($A$1,$B33,BA$2)</f>
        <v>#NAME?</v>
      </c>
      <c r="BB33" t="e" cm="1">
        <f t="array" aca="1" ref="BB33" ca="1">+_xll.EQNXTDZ($A$1,$B33,BB$2)</f>
        <v>#NAME?</v>
      </c>
      <c r="BC33" t="e" cm="1">
        <f t="array" aca="1" ref="BC33" ca="1">+_xll.EQNXTDZ($A$1,$B33,BC$2)</f>
        <v>#NAME?</v>
      </c>
      <c r="BD33" t="e" cm="1">
        <f t="array" aca="1" ref="BD33" ca="1">+_xll.EQNXTDZ($A$1,$B33,BD$2)</f>
        <v>#NAME?</v>
      </c>
      <c r="BE33" t="e" cm="1">
        <f t="array" aca="1" ref="BE33" ca="1">+_xll.EQNXTDZ($A$1,$B33,BE$2)</f>
        <v>#NAME?</v>
      </c>
      <c r="BF33" t="e" cm="1">
        <f t="array" aca="1" ref="BF33" ca="1">+_xll.EQNXTDZ($A$1,$B33,BF$2)</f>
        <v>#NAME?</v>
      </c>
      <c r="BG33" t="e" cm="1">
        <f t="array" aca="1" ref="BG33" ca="1">+_xll.EQNXTDZ($A$1,$B33,BG$2)</f>
        <v>#NAME?</v>
      </c>
      <c r="BH33" t="e" cm="1">
        <f t="array" aca="1" ref="BH33" ca="1">+_xll.EQNXTDZ($A$1,$B33,BH$2)</f>
        <v>#NAME?</v>
      </c>
      <c r="BI33" t="e" cm="1">
        <f t="array" aca="1" ref="BI33" ca="1">+_xll.EQNXTDZ($A$1,$B33,BI$2)</f>
        <v>#NAME?</v>
      </c>
      <c r="BJ33" t="e" cm="1">
        <f t="array" aca="1" ref="BJ33" ca="1">+_xll.EQNXTDZ($A$1,$B33,BJ$2)</f>
        <v>#NAME?</v>
      </c>
    </row>
    <row r="34" spans="1:62" x14ac:dyDescent="0.25">
      <c r="A34" t="s">
        <v>232</v>
      </c>
      <c r="B34" t="s">
        <v>273</v>
      </c>
      <c r="C34" t="e" cm="1">
        <f t="array" aca="1" ref="C34" ca="1">+_xll.EQNXTDZ($A$1,$B34,C$2)</f>
        <v>#NAME?</v>
      </c>
      <c r="D34" t="e" cm="1">
        <f t="array" aca="1" ref="D34" ca="1">+_xll.EQNXTDZ($A$1,$B34,D$2)</f>
        <v>#NAME?</v>
      </c>
      <c r="E34" t="e" cm="1">
        <f t="array" aca="1" ref="E34" ca="1">+_xll.EQNXTDZ($A$1,$B34,E$2)</f>
        <v>#NAME?</v>
      </c>
      <c r="F34" t="e" cm="1">
        <f t="array" aca="1" ref="F34" ca="1">+_xll.EQNXTDZ($A$1,$B34,F$2)</f>
        <v>#NAME?</v>
      </c>
      <c r="G34" t="e" cm="1">
        <f t="array" aca="1" ref="G34" ca="1">+_xll.EQNXTDZ($A$1,$B34,G$2)</f>
        <v>#NAME?</v>
      </c>
      <c r="H34" t="e" cm="1">
        <f t="array" aca="1" ref="H34" ca="1">+_xll.EQNXTDZ($A$1,$B34,H$2)</f>
        <v>#NAME?</v>
      </c>
      <c r="I34" t="e" cm="1">
        <f t="array" aca="1" ref="I34" ca="1">+_xll.EQNXTDZ($A$1,$B34,I$2)</f>
        <v>#NAME?</v>
      </c>
      <c r="J34" t="e" cm="1">
        <f t="array" aca="1" ref="J34" ca="1">+_xll.EQNXTDZ($A$1,$B34,J$2)</f>
        <v>#NAME?</v>
      </c>
      <c r="K34" t="e" cm="1">
        <f t="array" aca="1" ref="K34" ca="1">+_xll.EQNXTDZ($A$1,$B34,K$2)</f>
        <v>#NAME?</v>
      </c>
      <c r="L34" t="e" cm="1">
        <f t="array" aca="1" ref="L34" ca="1">+_xll.EQNXTDZ($A$1,$B34,L$2)</f>
        <v>#NAME?</v>
      </c>
      <c r="M34" t="e" cm="1">
        <f t="array" aca="1" ref="M34" ca="1">+_xll.EQNXTDZ($A$1,$B34,M$2)</f>
        <v>#NAME?</v>
      </c>
      <c r="N34" t="e" cm="1">
        <f t="array" aca="1" ref="N34" ca="1">+_xll.EQNXTDZ($A$1,$B34,N$2)</f>
        <v>#NAME?</v>
      </c>
      <c r="O34" t="e" cm="1">
        <f t="array" aca="1" ref="O34" ca="1">+_xll.EQNXTDZ($A$1,$B34,O$2)</f>
        <v>#NAME?</v>
      </c>
      <c r="P34" t="e" cm="1">
        <f t="array" aca="1" ref="P34" ca="1">+_xll.EQNXTDZ($A$1,$B34,P$2)</f>
        <v>#NAME?</v>
      </c>
      <c r="Q34" t="e" cm="1">
        <f t="array" aca="1" ref="Q34" ca="1">+_xll.EQNXTDZ($A$1,$B34,Q$2)</f>
        <v>#NAME?</v>
      </c>
      <c r="R34" t="e" cm="1">
        <f t="array" aca="1" ref="R34" ca="1">+_xll.EQNXTDZ($A$1,$B34,R$2)</f>
        <v>#NAME?</v>
      </c>
      <c r="S34" t="e" cm="1">
        <f t="array" aca="1" ref="S34" ca="1">+_xll.EQNXTDZ($A$1,$B34,S$2)</f>
        <v>#NAME?</v>
      </c>
      <c r="T34" t="e" cm="1">
        <f t="array" aca="1" ref="T34" ca="1">+_xll.EQNXTDZ($A$1,$B34,T$2)</f>
        <v>#NAME?</v>
      </c>
      <c r="U34" t="e" cm="1">
        <f t="array" aca="1" ref="U34" ca="1">+_xll.EQNXTDZ($A$1,$B34,U$2)</f>
        <v>#NAME?</v>
      </c>
      <c r="V34" t="e" cm="1">
        <f t="array" aca="1" ref="V34" ca="1">+_xll.EQNXTDZ($A$1,$B34,V$2)</f>
        <v>#NAME?</v>
      </c>
      <c r="W34" t="e" cm="1">
        <f t="array" aca="1" ref="W34" ca="1">+_xll.EQNXTDZ($A$1,$B34,W$2)</f>
        <v>#NAME?</v>
      </c>
      <c r="X34" t="e" cm="1">
        <f t="array" aca="1" ref="X34" ca="1">+_xll.EQNXTDZ($A$1,$B34,X$2)</f>
        <v>#NAME?</v>
      </c>
      <c r="Y34" t="e" cm="1">
        <f t="array" aca="1" ref="Y34" ca="1">+_xll.EQNXTDZ($A$1,$B34,Y$2)</f>
        <v>#NAME?</v>
      </c>
      <c r="Z34" t="e" cm="1">
        <f t="array" aca="1" ref="Z34" ca="1">+_xll.EQNXTDZ($A$1,$B34,Z$2)</f>
        <v>#NAME?</v>
      </c>
      <c r="AA34" t="e" cm="1">
        <f t="array" aca="1" ref="AA34" ca="1">+_xll.EQNXTDZ($A$1,$B34,AA$2)</f>
        <v>#NAME?</v>
      </c>
      <c r="AB34" t="e" cm="1">
        <f t="array" aca="1" ref="AB34" ca="1">+_xll.EQNXTDZ($A$1,$B34,AB$2)</f>
        <v>#NAME?</v>
      </c>
      <c r="AC34" t="e" cm="1">
        <f t="array" aca="1" ref="AC34" ca="1">+_xll.EQNXTDZ($A$1,$B34,AC$2)</f>
        <v>#NAME?</v>
      </c>
      <c r="AD34" t="e" cm="1">
        <f t="array" aca="1" ref="AD34" ca="1">+_xll.EQNXTDZ($A$1,$B34,AD$2)</f>
        <v>#NAME?</v>
      </c>
      <c r="AE34" t="e" cm="1">
        <f t="array" aca="1" ref="AE34" ca="1">+_xll.EQNXTDZ($A$1,$B34,AE$2)</f>
        <v>#NAME?</v>
      </c>
      <c r="AF34" t="e" cm="1">
        <f t="array" aca="1" ref="AF34" ca="1">+_xll.EQNXTDZ($A$1,$B34,AF$2)</f>
        <v>#NAME?</v>
      </c>
      <c r="AG34" t="e" cm="1">
        <f t="array" aca="1" ref="AG34" ca="1">+_xll.EQNXTDZ($A$1,$B34,AG$2)</f>
        <v>#NAME?</v>
      </c>
      <c r="AH34" t="e" cm="1">
        <f t="array" aca="1" ref="AH34" ca="1">+_xll.EQNXTDZ($A$1,$B34,AH$2)</f>
        <v>#NAME?</v>
      </c>
      <c r="AI34" t="e" cm="1">
        <f t="array" aca="1" ref="AI34" ca="1">+_xll.EQNXTDZ($A$1,$B34,AI$2)</f>
        <v>#NAME?</v>
      </c>
      <c r="AJ34" t="e" cm="1">
        <f t="array" aca="1" ref="AJ34" ca="1">+_xll.EQNXTDZ($A$1,$B34,AJ$2)</f>
        <v>#NAME?</v>
      </c>
      <c r="AK34" t="e" cm="1">
        <f t="array" aca="1" ref="AK34" ca="1">+_xll.EQNXTDZ($A$1,$B34,AK$2)</f>
        <v>#NAME?</v>
      </c>
      <c r="AL34" t="e" cm="1">
        <f t="array" aca="1" ref="AL34" ca="1">+_xll.EQNXTDZ($A$1,$B34,AL$2)</f>
        <v>#NAME?</v>
      </c>
      <c r="AM34" t="e" cm="1">
        <f t="array" aca="1" ref="AM34" ca="1">+_xll.EQNXTDZ($A$1,$B34,AM$2)</f>
        <v>#NAME?</v>
      </c>
      <c r="AN34" t="e" cm="1">
        <f t="array" aca="1" ref="AN34" ca="1">+_xll.EQNXTDZ($A$1,$B34,AN$2)</f>
        <v>#NAME?</v>
      </c>
      <c r="AO34" t="e" cm="1">
        <f t="array" aca="1" ref="AO34" ca="1">+_xll.EQNXTDZ($A$1,$B34,AO$2)</f>
        <v>#NAME?</v>
      </c>
      <c r="AP34" t="e" cm="1">
        <f t="array" aca="1" ref="AP34" ca="1">+_xll.EQNXTDZ($A$1,$B34,AP$2)</f>
        <v>#NAME?</v>
      </c>
      <c r="AQ34" t="e" cm="1">
        <f t="array" aca="1" ref="AQ34" ca="1">+_xll.EQNXTDZ($A$1,$B34,AQ$2)</f>
        <v>#NAME?</v>
      </c>
      <c r="AR34" t="e" cm="1">
        <f t="array" aca="1" ref="AR34" ca="1">+_xll.EQNXTDZ($A$1,$B34,AR$2)</f>
        <v>#NAME?</v>
      </c>
      <c r="AS34" t="e" cm="1">
        <f t="array" aca="1" ref="AS34" ca="1">+_xll.EQNXTDZ($A$1,$B34,AS$2)</f>
        <v>#NAME?</v>
      </c>
      <c r="AT34" t="e" cm="1">
        <f t="array" aca="1" ref="AT34" ca="1">+_xll.EQNXTDZ($A$1,$B34,AT$2)</f>
        <v>#NAME?</v>
      </c>
      <c r="AU34" t="e" cm="1">
        <f t="array" aca="1" ref="AU34" ca="1">+_xll.EQNXTDZ($A$1,$B34,AU$2)</f>
        <v>#NAME?</v>
      </c>
      <c r="AV34" t="e" cm="1">
        <f t="array" aca="1" ref="AV34" ca="1">+_xll.EQNXTDZ($A$1,$B34,AV$2)</f>
        <v>#NAME?</v>
      </c>
      <c r="AW34" t="e" cm="1">
        <f t="array" aca="1" ref="AW34" ca="1">+_xll.EQNXTDZ($A$1,$B34,AW$2)</f>
        <v>#NAME?</v>
      </c>
      <c r="AX34" t="e" cm="1">
        <f t="array" aca="1" ref="AX34" ca="1">+_xll.EQNXTDZ($A$1,$B34,AX$2)</f>
        <v>#NAME?</v>
      </c>
      <c r="AY34" t="e" cm="1">
        <f t="array" aca="1" ref="AY34" ca="1">+_xll.EQNXTDZ($A$1,$B34,AY$2)</f>
        <v>#NAME?</v>
      </c>
      <c r="AZ34" t="e" cm="1">
        <f t="array" aca="1" ref="AZ34" ca="1">+_xll.EQNXTDZ($A$1,$B34,AZ$2)</f>
        <v>#NAME?</v>
      </c>
      <c r="BA34" t="e" cm="1">
        <f t="array" aca="1" ref="BA34" ca="1">+_xll.EQNXTDZ($A$1,$B34,BA$2)</f>
        <v>#NAME?</v>
      </c>
      <c r="BB34" t="e" cm="1">
        <f t="array" aca="1" ref="BB34" ca="1">+_xll.EQNXTDZ($A$1,$B34,BB$2)</f>
        <v>#NAME?</v>
      </c>
      <c r="BC34" t="e" cm="1">
        <f t="array" aca="1" ref="BC34" ca="1">+_xll.EQNXTDZ($A$1,$B34,BC$2)</f>
        <v>#NAME?</v>
      </c>
      <c r="BD34" t="e" cm="1">
        <f t="array" aca="1" ref="BD34" ca="1">+_xll.EQNXTDZ($A$1,$B34,BD$2)</f>
        <v>#NAME?</v>
      </c>
      <c r="BE34" t="e" cm="1">
        <f t="array" aca="1" ref="BE34" ca="1">+_xll.EQNXTDZ($A$1,$B34,BE$2)</f>
        <v>#NAME?</v>
      </c>
      <c r="BF34" t="e" cm="1">
        <f t="array" aca="1" ref="BF34" ca="1">+_xll.EQNXTDZ($A$1,$B34,BF$2)</f>
        <v>#NAME?</v>
      </c>
      <c r="BG34" t="e" cm="1">
        <f t="array" aca="1" ref="BG34" ca="1">+_xll.EQNXTDZ($A$1,$B34,BG$2)</f>
        <v>#NAME?</v>
      </c>
      <c r="BH34" t="e" cm="1">
        <f t="array" aca="1" ref="BH34" ca="1">+_xll.EQNXTDZ($A$1,$B34,BH$2)</f>
        <v>#NAME?</v>
      </c>
      <c r="BI34" t="e" cm="1">
        <f t="array" aca="1" ref="BI34" ca="1">+_xll.EQNXTDZ($A$1,$B34,BI$2)</f>
        <v>#NAME?</v>
      </c>
      <c r="BJ34" t="e" cm="1">
        <f t="array" aca="1" ref="BJ34" ca="1">+_xll.EQNXTDZ($A$1,$B34,BJ$2)</f>
        <v>#NAME?</v>
      </c>
    </row>
    <row r="35" spans="1:62" x14ac:dyDescent="0.25">
      <c r="A35" t="s">
        <v>233</v>
      </c>
      <c r="B35" t="s">
        <v>274</v>
      </c>
      <c r="C35" t="e" cm="1">
        <f t="array" aca="1" ref="C35" ca="1">+_xll.EQNXTDZ($A$1,$B35,C$2)</f>
        <v>#NAME?</v>
      </c>
      <c r="D35" t="e" cm="1">
        <f t="array" aca="1" ref="D35" ca="1">+_xll.EQNXTDZ($A$1,$B35,D$2)</f>
        <v>#NAME?</v>
      </c>
      <c r="E35" t="e" cm="1">
        <f t="array" aca="1" ref="E35" ca="1">+_xll.EQNXTDZ($A$1,$B35,E$2)</f>
        <v>#NAME?</v>
      </c>
      <c r="F35" t="e" cm="1">
        <f t="array" aca="1" ref="F35" ca="1">+_xll.EQNXTDZ($A$1,$B35,F$2)</f>
        <v>#NAME?</v>
      </c>
      <c r="G35" t="e" cm="1">
        <f t="array" aca="1" ref="G35" ca="1">+_xll.EQNXTDZ($A$1,$B35,G$2)</f>
        <v>#NAME?</v>
      </c>
      <c r="H35" t="e" cm="1">
        <f t="array" aca="1" ref="H35" ca="1">+_xll.EQNXTDZ($A$1,$B35,H$2)</f>
        <v>#NAME?</v>
      </c>
      <c r="I35" t="e" cm="1">
        <f t="array" aca="1" ref="I35" ca="1">+_xll.EQNXTDZ($A$1,$B35,I$2)</f>
        <v>#NAME?</v>
      </c>
      <c r="J35" t="e" cm="1">
        <f t="array" aca="1" ref="J35" ca="1">+_xll.EQNXTDZ($A$1,$B35,J$2)</f>
        <v>#NAME?</v>
      </c>
      <c r="K35" t="e" cm="1">
        <f t="array" aca="1" ref="K35" ca="1">+_xll.EQNXTDZ($A$1,$B35,K$2)</f>
        <v>#NAME?</v>
      </c>
      <c r="L35" t="e" cm="1">
        <f t="array" aca="1" ref="L35" ca="1">+_xll.EQNXTDZ($A$1,$B35,L$2)</f>
        <v>#NAME?</v>
      </c>
      <c r="M35" t="e" cm="1">
        <f t="array" aca="1" ref="M35" ca="1">+_xll.EQNXTDZ($A$1,$B35,M$2)</f>
        <v>#NAME?</v>
      </c>
      <c r="N35" t="e" cm="1">
        <f t="array" aca="1" ref="N35" ca="1">+_xll.EQNXTDZ($A$1,$B35,N$2)</f>
        <v>#NAME?</v>
      </c>
      <c r="O35" t="e" cm="1">
        <f t="array" aca="1" ref="O35" ca="1">+_xll.EQNXTDZ($A$1,$B35,O$2)</f>
        <v>#NAME?</v>
      </c>
      <c r="P35" t="e" cm="1">
        <f t="array" aca="1" ref="P35" ca="1">+_xll.EQNXTDZ($A$1,$B35,P$2)</f>
        <v>#NAME?</v>
      </c>
      <c r="Q35" t="e" cm="1">
        <f t="array" aca="1" ref="Q35" ca="1">+_xll.EQNXTDZ($A$1,$B35,Q$2)</f>
        <v>#NAME?</v>
      </c>
      <c r="R35" t="e" cm="1">
        <f t="array" aca="1" ref="R35" ca="1">+_xll.EQNXTDZ($A$1,$B35,R$2)</f>
        <v>#NAME?</v>
      </c>
      <c r="S35" t="e" cm="1">
        <f t="array" aca="1" ref="S35" ca="1">+_xll.EQNXTDZ($A$1,$B35,S$2)</f>
        <v>#NAME?</v>
      </c>
      <c r="T35" t="e" cm="1">
        <f t="array" aca="1" ref="T35" ca="1">+_xll.EQNXTDZ($A$1,$B35,T$2)</f>
        <v>#NAME?</v>
      </c>
      <c r="U35" t="e" cm="1">
        <f t="array" aca="1" ref="U35" ca="1">+_xll.EQNXTDZ($A$1,$B35,U$2)</f>
        <v>#NAME?</v>
      </c>
      <c r="V35" t="e" cm="1">
        <f t="array" aca="1" ref="V35" ca="1">+_xll.EQNXTDZ($A$1,$B35,V$2)</f>
        <v>#NAME?</v>
      </c>
      <c r="W35" t="e" cm="1">
        <f t="array" aca="1" ref="W35" ca="1">+_xll.EQNXTDZ($A$1,$B35,W$2)</f>
        <v>#NAME?</v>
      </c>
      <c r="X35" t="e" cm="1">
        <f t="array" aca="1" ref="X35" ca="1">+_xll.EQNXTDZ($A$1,$B35,X$2)</f>
        <v>#NAME?</v>
      </c>
      <c r="Y35" t="e" cm="1">
        <f t="array" aca="1" ref="Y35" ca="1">+_xll.EQNXTDZ($A$1,$B35,Y$2)</f>
        <v>#NAME?</v>
      </c>
      <c r="Z35" t="e" cm="1">
        <f t="array" aca="1" ref="Z35" ca="1">+_xll.EQNXTDZ($A$1,$B35,Z$2)</f>
        <v>#NAME?</v>
      </c>
      <c r="AA35" t="e" cm="1">
        <f t="array" aca="1" ref="AA35" ca="1">+_xll.EQNXTDZ($A$1,$B35,AA$2)</f>
        <v>#NAME?</v>
      </c>
      <c r="AB35" t="e" cm="1">
        <f t="array" aca="1" ref="AB35" ca="1">+_xll.EQNXTDZ($A$1,$B35,AB$2)</f>
        <v>#NAME?</v>
      </c>
      <c r="AC35" t="e" cm="1">
        <f t="array" aca="1" ref="AC35" ca="1">+_xll.EQNXTDZ($A$1,$B35,AC$2)</f>
        <v>#NAME?</v>
      </c>
      <c r="AD35" t="e" cm="1">
        <f t="array" aca="1" ref="AD35" ca="1">+_xll.EQNXTDZ($A$1,$B35,AD$2)</f>
        <v>#NAME?</v>
      </c>
      <c r="AE35" t="e" cm="1">
        <f t="array" aca="1" ref="AE35" ca="1">+_xll.EQNXTDZ($A$1,$B35,AE$2)</f>
        <v>#NAME?</v>
      </c>
      <c r="AF35" t="e" cm="1">
        <f t="array" aca="1" ref="AF35" ca="1">+_xll.EQNXTDZ($A$1,$B35,AF$2)</f>
        <v>#NAME?</v>
      </c>
      <c r="AG35" t="e" cm="1">
        <f t="array" aca="1" ref="AG35" ca="1">+_xll.EQNXTDZ($A$1,$B35,AG$2)</f>
        <v>#NAME?</v>
      </c>
      <c r="AH35" t="e" cm="1">
        <f t="array" aca="1" ref="AH35" ca="1">+_xll.EQNXTDZ($A$1,$B35,AH$2)</f>
        <v>#NAME?</v>
      </c>
      <c r="AI35" t="e" cm="1">
        <f t="array" aca="1" ref="AI35" ca="1">+_xll.EQNXTDZ($A$1,$B35,AI$2)</f>
        <v>#NAME?</v>
      </c>
      <c r="AJ35" t="e" cm="1">
        <f t="array" aca="1" ref="AJ35" ca="1">+_xll.EQNXTDZ($A$1,$B35,AJ$2)</f>
        <v>#NAME?</v>
      </c>
      <c r="AK35" t="e" cm="1">
        <f t="array" aca="1" ref="AK35" ca="1">+_xll.EQNXTDZ($A$1,$B35,AK$2)</f>
        <v>#NAME?</v>
      </c>
      <c r="AL35" t="e" cm="1">
        <f t="array" aca="1" ref="AL35" ca="1">+_xll.EQNXTDZ($A$1,$B35,AL$2)</f>
        <v>#NAME?</v>
      </c>
      <c r="AM35" t="e" cm="1">
        <f t="array" aca="1" ref="AM35" ca="1">+_xll.EQNXTDZ($A$1,$B35,AM$2)</f>
        <v>#NAME?</v>
      </c>
      <c r="AN35" t="e" cm="1">
        <f t="array" aca="1" ref="AN35" ca="1">+_xll.EQNXTDZ($A$1,$B35,AN$2)</f>
        <v>#NAME?</v>
      </c>
      <c r="AO35" t="e" cm="1">
        <f t="array" aca="1" ref="AO35" ca="1">+_xll.EQNXTDZ($A$1,$B35,AO$2)</f>
        <v>#NAME?</v>
      </c>
      <c r="AP35" t="e" cm="1">
        <f t="array" aca="1" ref="AP35" ca="1">+_xll.EQNXTDZ($A$1,$B35,AP$2)</f>
        <v>#NAME?</v>
      </c>
      <c r="AQ35" t="e" cm="1">
        <f t="array" aca="1" ref="AQ35" ca="1">+_xll.EQNXTDZ($A$1,$B35,AQ$2)</f>
        <v>#NAME?</v>
      </c>
      <c r="AR35" t="e" cm="1">
        <f t="array" aca="1" ref="AR35" ca="1">+_xll.EQNXTDZ($A$1,$B35,AR$2)</f>
        <v>#NAME?</v>
      </c>
      <c r="AS35" t="e" cm="1">
        <f t="array" aca="1" ref="AS35" ca="1">+_xll.EQNXTDZ($A$1,$B35,AS$2)</f>
        <v>#NAME?</v>
      </c>
      <c r="AT35" t="e" cm="1">
        <f t="array" aca="1" ref="AT35" ca="1">+_xll.EQNXTDZ($A$1,$B35,AT$2)</f>
        <v>#NAME?</v>
      </c>
      <c r="AU35" t="e" cm="1">
        <f t="array" aca="1" ref="AU35" ca="1">+_xll.EQNXTDZ($A$1,$B35,AU$2)</f>
        <v>#NAME?</v>
      </c>
      <c r="AV35" t="e" cm="1">
        <f t="array" aca="1" ref="AV35" ca="1">+_xll.EQNXTDZ($A$1,$B35,AV$2)</f>
        <v>#NAME?</v>
      </c>
      <c r="AW35" t="e" cm="1">
        <f t="array" aca="1" ref="AW35" ca="1">+_xll.EQNXTDZ($A$1,$B35,AW$2)</f>
        <v>#NAME?</v>
      </c>
      <c r="AX35" t="e" cm="1">
        <f t="array" aca="1" ref="AX35" ca="1">+_xll.EQNXTDZ($A$1,$B35,AX$2)</f>
        <v>#NAME?</v>
      </c>
      <c r="AY35" t="e" cm="1">
        <f t="array" aca="1" ref="AY35" ca="1">+_xll.EQNXTDZ($A$1,$B35,AY$2)</f>
        <v>#NAME?</v>
      </c>
      <c r="AZ35" t="e" cm="1">
        <f t="array" aca="1" ref="AZ35" ca="1">+_xll.EQNXTDZ($A$1,$B35,AZ$2)</f>
        <v>#NAME?</v>
      </c>
      <c r="BA35" t="e" cm="1">
        <f t="array" aca="1" ref="BA35" ca="1">+_xll.EQNXTDZ($A$1,$B35,BA$2)</f>
        <v>#NAME?</v>
      </c>
      <c r="BB35" t="e" cm="1">
        <f t="array" aca="1" ref="BB35" ca="1">+_xll.EQNXTDZ($A$1,$B35,BB$2)</f>
        <v>#NAME?</v>
      </c>
      <c r="BC35" t="e" cm="1">
        <f t="array" aca="1" ref="BC35" ca="1">+_xll.EQNXTDZ($A$1,$B35,BC$2)</f>
        <v>#NAME?</v>
      </c>
      <c r="BD35" t="e" cm="1">
        <f t="array" aca="1" ref="BD35" ca="1">+_xll.EQNXTDZ($A$1,$B35,BD$2)</f>
        <v>#NAME?</v>
      </c>
      <c r="BE35" t="e" cm="1">
        <f t="array" aca="1" ref="BE35" ca="1">+_xll.EQNXTDZ($A$1,$B35,BE$2)</f>
        <v>#NAME?</v>
      </c>
      <c r="BF35" t="e" cm="1">
        <f t="array" aca="1" ref="BF35" ca="1">+_xll.EQNXTDZ($A$1,$B35,BF$2)</f>
        <v>#NAME?</v>
      </c>
      <c r="BG35" t="e" cm="1">
        <f t="array" aca="1" ref="BG35" ca="1">+_xll.EQNXTDZ($A$1,$B35,BG$2)</f>
        <v>#NAME?</v>
      </c>
      <c r="BH35" t="e" cm="1">
        <f t="array" aca="1" ref="BH35" ca="1">+_xll.EQNXTDZ($A$1,$B35,BH$2)</f>
        <v>#NAME?</v>
      </c>
      <c r="BI35" t="e" cm="1">
        <f t="array" aca="1" ref="BI35" ca="1">+_xll.EQNXTDZ($A$1,$B35,BI$2)</f>
        <v>#NAME?</v>
      </c>
      <c r="BJ35" t="e" cm="1">
        <f t="array" aca="1" ref="BJ35" ca="1">+_xll.EQNXTDZ($A$1,$B35,BJ$2)</f>
        <v>#NAME?</v>
      </c>
    </row>
    <row r="36" spans="1:62" x14ac:dyDescent="0.25">
      <c r="A36" t="s">
        <v>234</v>
      </c>
      <c r="B36" t="s">
        <v>275</v>
      </c>
      <c r="C36" t="e" cm="1">
        <f t="array" aca="1" ref="C36" ca="1">+_xll.EQNXTDZ($A$1,$B36,C$2)</f>
        <v>#NAME?</v>
      </c>
      <c r="D36" t="e" cm="1">
        <f t="array" aca="1" ref="D36" ca="1">+_xll.EQNXTDZ($A$1,$B36,D$2)</f>
        <v>#NAME?</v>
      </c>
      <c r="E36" t="e" cm="1">
        <f t="array" aca="1" ref="E36" ca="1">+_xll.EQNXTDZ($A$1,$B36,E$2)</f>
        <v>#NAME?</v>
      </c>
      <c r="F36" t="e" cm="1">
        <f t="array" aca="1" ref="F36" ca="1">+_xll.EQNXTDZ($A$1,$B36,F$2)</f>
        <v>#NAME?</v>
      </c>
      <c r="G36" t="e" cm="1">
        <f t="array" aca="1" ref="G36" ca="1">+_xll.EQNXTDZ($A$1,$B36,G$2)</f>
        <v>#NAME?</v>
      </c>
      <c r="H36" t="e" cm="1">
        <f t="array" aca="1" ref="H36" ca="1">+_xll.EQNXTDZ($A$1,$B36,H$2)</f>
        <v>#NAME?</v>
      </c>
      <c r="I36" t="e" cm="1">
        <f t="array" aca="1" ref="I36" ca="1">+_xll.EQNXTDZ($A$1,$B36,I$2)</f>
        <v>#NAME?</v>
      </c>
      <c r="J36" t="e" cm="1">
        <f t="array" aca="1" ref="J36" ca="1">+_xll.EQNXTDZ($A$1,$B36,J$2)</f>
        <v>#NAME?</v>
      </c>
      <c r="K36" t="e" cm="1">
        <f t="array" aca="1" ref="K36" ca="1">+_xll.EQNXTDZ($A$1,$B36,K$2)</f>
        <v>#NAME?</v>
      </c>
      <c r="L36" t="e" cm="1">
        <f t="array" aca="1" ref="L36" ca="1">+_xll.EQNXTDZ($A$1,$B36,L$2)</f>
        <v>#NAME?</v>
      </c>
      <c r="M36" t="e" cm="1">
        <f t="array" aca="1" ref="M36" ca="1">+_xll.EQNXTDZ($A$1,$B36,M$2)</f>
        <v>#NAME?</v>
      </c>
      <c r="N36" t="e" cm="1">
        <f t="array" aca="1" ref="N36" ca="1">+_xll.EQNXTDZ($A$1,$B36,N$2)</f>
        <v>#NAME?</v>
      </c>
      <c r="O36" t="e" cm="1">
        <f t="array" aca="1" ref="O36" ca="1">+_xll.EQNXTDZ($A$1,$B36,O$2)</f>
        <v>#NAME?</v>
      </c>
      <c r="P36" t="e" cm="1">
        <f t="array" aca="1" ref="P36" ca="1">+_xll.EQNXTDZ($A$1,$B36,P$2)</f>
        <v>#NAME?</v>
      </c>
      <c r="Q36" t="e" cm="1">
        <f t="array" aca="1" ref="Q36" ca="1">+_xll.EQNXTDZ($A$1,$B36,Q$2)</f>
        <v>#NAME?</v>
      </c>
      <c r="R36" t="e" cm="1">
        <f t="array" aca="1" ref="R36" ca="1">+_xll.EQNXTDZ($A$1,$B36,R$2)</f>
        <v>#NAME?</v>
      </c>
      <c r="S36" t="e" cm="1">
        <f t="array" aca="1" ref="S36" ca="1">+_xll.EQNXTDZ($A$1,$B36,S$2)</f>
        <v>#NAME?</v>
      </c>
      <c r="T36" t="e" cm="1">
        <f t="array" aca="1" ref="T36" ca="1">+_xll.EQNXTDZ($A$1,$B36,T$2)</f>
        <v>#NAME?</v>
      </c>
      <c r="U36" t="e" cm="1">
        <f t="array" aca="1" ref="U36" ca="1">+_xll.EQNXTDZ($A$1,$B36,U$2)</f>
        <v>#NAME?</v>
      </c>
      <c r="V36" t="e" cm="1">
        <f t="array" aca="1" ref="V36" ca="1">+_xll.EQNXTDZ($A$1,$B36,V$2)</f>
        <v>#NAME?</v>
      </c>
      <c r="W36" t="e" cm="1">
        <f t="array" aca="1" ref="W36" ca="1">+_xll.EQNXTDZ($A$1,$B36,W$2)</f>
        <v>#NAME?</v>
      </c>
      <c r="X36" t="e" cm="1">
        <f t="array" aca="1" ref="X36" ca="1">+_xll.EQNXTDZ($A$1,$B36,X$2)</f>
        <v>#NAME?</v>
      </c>
      <c r="Y36" t="e" cm="1">
        <f t="array" aca="1" ref="Y36" ca="1">+_xll.EQNXTDZ($A$1,$B36,Y$2)</f>
        <v>#NAME?</v>
      </c>
      <c r="Z36" t="e" cm="1">
        <f t="array" aca="1" ref="Z36" ca="1">+_xll.EQNXTDZ($A$1,$B36,Z$2)</f>
        <v>#NAME?</v>
      </c>
      <c r="AA36" t="e" cm="1">
        <f t="array" aca="1" ref="AA36" ca="1">+_xll.EQNXTDZ($A$1,$B36,AA$2)</f>
        <v>#NAME?</v>
      </c>
      <c r="AB36" t="e" cm="1">
        <f t="array" aca="1" ref="AB36" ca="1">+_xll.EQNXTDZ($A$1,$B36,AB$2)</f>
        <v>#NAME?</v>
      </c>
      <c r="AC36" t="e" cm="1">
        <f t="array" aca="1" ref="AC36" ca="1">+_xll.EQNXTDZ($A$1,$B36,AC$2)</f>
        <v>#NAME?</v>
      </c>
      <c r="AD36" t="e" cm="1">
        <f t="array" aca="1" ref="AD36" ca="1">+_xll.EQNXTDZ($A$1,$B36,AD$2)</f>
        <v>#NAME?</v>
      </c>
      <c r="AE36" t="e" cm="1">
        <f t="array" aca="1" ref="AE36" ca="1">+_xll.EQNXTDZ($A$1,$B36,AE$2)</f>
        <v>#NAME?</v>
      </c>
      <c r="AF36" t="e" cm="1">
        <f t="array" aca="1" ref="AF36" ca="1">+_xll.EQNXTDZ($A$1,$B36,AF$2)</f>
        <v>#NAME?</v>
      </c>
      <c r="AG36" t="e" cm="1">
        <f t="array" aca="1" ref="AG36" ca="1">+_xll.EQNXTDZ($A$1,$B36,AG$2)</f>
        <v>#NAME?</v>
      </c>
      <c r="AH36" t="e" cm="1">
        <f t="array" aca="1" ref="AH36" ca="1">+_xll.EQNXTDZ($A$1,$B36,AH$2)</f>
        <v>#NAME?</v>
      </c>
      <c r="AI36" t="e" cm="1">
        <f t="array" aca="1" ref="AI36" ca="1">+_xll.EQNXTDZ($A$1,$B36,AI$2)</f>
        <v>#NAME?</v>
      </c>
      <c r="AJ36" t="e" cm="1">
        <f t="array" aca="1" ref="AJ36" ca="1">+_xll.EQNXTDZ($A$1,$B36,AJ$2)</f>
        <v>#NAME?</v>
      </c>
      <c r="AK36" t="e" cm="1">
        <f t="array" aca="1" ref="AK36" ca="1">+_xll.EQNXTDZ($A$1,$B36,AK$2)</f>
        <v>#NAME?</v>
      </c>
      <c r="AL36" t="e" cm="1">
        <f t="array" aca="1" ref="AL36" ca="1">+_xll.EQNXTDZ($A$1,$B36,AL$2)</f>
        <v>#NAME?</v>
      </c>
      <c r="AM36" t="e" cm="1">
        <f t="array" aca="1" ref="AM36" ca="1">+_xll.EQNXTDZ($A$1,$B36,AM$2)</f>
        <v>#NAME?</v>
      </c>
      <c r="AN36" t="e" cm="1">
        <f t="array" aca="1" ref="AN36" ca="1">+_xll.EQNXTDZ($A$1,$B36,AN$2)</f>
        <v>#NAME?</v>
      </c>
      <c r="AO36" t="e" cm="1">
        <f t="array" aca="1" ref="AO36" ca="1">+_xll.EQNXTDZ($A$1,$B36,AO$2)</f>
        <v>#NAME?</v>
      </c>
      <c r="AP36" t="e" cm="1">
        <f t="array" aca="1" ref="AP36" ca="1">+_xll.EQNXTDZ($A$1,$B36,AP$2)</f>
        <v>#NAME?</v>
      </c>
      <c r="AQ36" t="e" cm="1">
        <f t="array" aca="1" ref="AQ36" ca="1">+_xll.EQNXTDZ($A$1,$B36,AQ$2)</f>
        <v>#NAME?</v>
      </c>
      <c r="AR36" t="e" cm="1">
        <f t="array" aca="1" ref="AR36" ca="1">+_xll.EQNXTDZ($A$1,$B36,AR$2)</f>
        <v>#NAME?</v>
      </c>
      <c r="AS36" t="e" cm="1">
        <f t="array" aca="1" ref="AS36" ca="1">+_xll.EQNXTDZ($A$1,$B36,AS$2)</f>
        <v>#NAME?</v>
      </c>
      <c r="AT36" t="e" cm="1">
        <f t="array" aca="1" ref="AT36" ca="1">+_xll.EQNXTDZ($A$1,$B36,AT$2)</f>
        <v>#NAME?</v>
      </c>
      <c r="AU36" t="e" cm="1">
        <f t="array" aca="1" ref="AU36" ca="1">+_xll.EQNXTDZ($A$1,$B36,AU$2)</f>
        <v>#NAME?</v>
      </c>
      <c r="AV36" t="e" cm="1">
        <f t="array" aca="1" ref="AV36" ca="1">+_xll.EQNXTDZ($A$1,$B36,AV$2)</f>
        <v>#NAME?</v>
      </c>
      <c r="AW36" t="e" cm="1">
        <f t="array" aca="1" ref="AW36" ca="1">+_xll.EQNXTDZ($A$1,$B36,AW$2)</f>
        <v>#NAME?</v>
      </c>
      <c r="AX36" t="e" cm="1">
        <f t="array" aca="1" ref="AX36" ca="1">+_xll.EQNXTDZ($A$1,$B36,AX$2)</f>
        <v>#NAME?</v>
      </c>
      <c r="AY36" t="e" cm="1">
        <f t="array" aca="1" ref="AY36" ca="1">+_xll.EQNXTDZ($A$1,$B36,AY$2)</f>
        <v>#NAME?</v>
      </c>
      <c r="AZ36" t="e" cm="1">
        <f t="array" aca="1" ref="AZ36" ca="1">+_xll.EQNXTDZ($A$1,$B36,AZ$2)</f>
        <v>#NAME?</v>
      </c>
      <c r="BA36" t="e" cm="1">
        <f t="array" aca="1" ref="BA36" ca="1">+_xll.EQNXTDZ($A$1,$B36,BA$2)</f>
        <v>#NAME?</v>
      </c>
      <c r="BB36" t="e" cm="1">
        <f t="array" aca="1" ref="BB36" ca="1">+_xll.EQNXTDZ($A$1,$B36,BB$2)</f>
        <v>#NAME?</v>
      </c>
      <c r="BC36" t="e" cm="1">
        <f t="array" aca="1" ref="BC36" ca="1">+_xll.EQNXTDZ($A$1,$B36,BC$2)</f>
        <v>#NAME?</v>
      </c>
      <c r="BD36" t="e" cm="1">
        <f t="array" aca="1" ref="BD36" ca="1">+_xll.EQNXTDZ($A$1,$B36,BD$2)</f>
        <v>#NAME?</v>
      </c>
      <c r="BE36" t="e" cm="1">
        <f t="array" aca="1" ref="BE36" ca="1">+_xll.EQNXTDZ($A$1,$B36,BE$2)</f>
        <v>#NAME?</v>
      </c>
      <c r="BF36" t="e" cm="1">
        <f t="array" aca="1" ref="BF36" ca="1">+_xll.EQNXTDZ($A$1,$B36,BF$2)</f>
        <v>#NAME?</v>
      </c>
      <c r="BG36" t="e" cm="1">
        <f t="array" aca="1" ref="BG36" ca="1">+_xll.EQNXTDZ($A$1,$B36,BG$2)</f>
        <v>#NAME?</v>
      </c>
      <c r="BH36" t="e" cm="1">
        <f t="array" aca="1" ref="BH36" ca="1">+_xll.EQNXTDZ($A$1,$B36,BH$2)</f>
        <v>#NAME?</v>
      </c>
      <c r="BI36" t="e" cm="1">
        <f t="array" aca="1" ref="BI36" ca="1">+_xll.EQNXTDZ($A$1,$B36,BI$2)</f>
        <v>#NAME?</v>
      </c>
      <c r="BJ36" t="e" cm="1">
        <f t="array" aca="1" ref="BJ36" ca="1">+_xll.EQNXTDZ($A$1,$B36,BJ$2)</f>
        <v>#NAME?</v>
      </c>
    </row>
    <row r="37" spans="1:62" x14ac:dyDescent="0.25">
      <c r="A37" t="s">
        <v>235</v>
      </c>
      <c r="B37" t="s">
        <v>276</v>
      </c>
      <c r="C37" t="e" cm="1">
        <f t="array" aca="1" ref="C37" ca="1">+_xll.EQNXTDZ($A$1,$B37,C$2)</f>
        <v>#NAME?</v>
      </c>
      <c r="D37" t="e" cm="1">
        <f t="array" aca="1" ref="D37" ca="1">+_xll.EQNXTDZ($A$1,$B37,D$2)</f>
        <v>#NAME?</v>
      </c>
      <c r="E37" t="e" cm="1">
        <f t="array" aca="1" ref="E37" ca="1">+_xll.EQNXTDZ($A$1,$B37,E$2)</f>
        <v>#NAME?</v>
      </c>
      <c r="F37" t="e" cm="1">
        <f t="array" aca="1" ref="F37" ca="1">+_xll.EQNXTDZ($A$1,$B37,F$2)</f>
        <v>#NAME?</v>
      </c>
      <c r="G37" t="e" cm="1">
        <f t="array" aca="1" ref="G37" ca="1">+_xll.EQNXTDZ($A$1,$B37,G$2)</f>
        <v>#NAME?</v>
      </c>
      <c r="H37" t="e" cm="1">
        <f t="array" aca="1" ref="H37" ca="1">+_xll.EQNXTDZ($A$1,$B37,H$2)</f>
        <v>#NAME?</v>
      </c>
      <c r="I37" t="e" cm="1">
        <f t="array" aca="1" ref="I37" ca="1">+_xll.EQNXTDZ($A$1,$B37,I$2)</f>
        <v>#NAME?</v>
      </c>
      <c r="J37" t="e" cm="1">
        <f t="array" aca="1" ref="J37" ca="1">+_xll.EQNXTDZ($A$1,$B37,J$2)</f>
        <v>#NAME?</v>
      </c>
      <c r="K37" t="e" cm="1">
        <f t="array" aca="1" ref="K37" ca="1">+_xll.EQNXTDZ($A$1,$B37,K$2)</f>
        <v>#NAME?</v>
      </c>
      <c r="L37" t="e" cm="1">
        <f t="array" aca="1" ref="L37" ca="1">+_xll.EQNXTDZ($A$1,$B37,L$2)</f>
        <v>#NAME?</v>
      </c>
      <c r="M37" t="e" cm="1">
        <f t="array" aca="1" ref="M37" ca="1">+_xll.EQNXTDZ($A$1,$B37,M$2)</f>
        <v>#NAME?</v>
      </c>
      <c r="N37" t="e" cm="1">
        <f t="array" aca="1" ref="N37" ca="1">+_xll.EQNXTDZ($A$1,$B37,N$2)</f>
        <v>#NAME?</v>
      </c>
      <c r="O37" t="e" cm="1">
        <f t="array" aca="1" ref="O37" ca="1">+_xll.EQNXTDZ($A$1,$B37,O$2)</f>
        <v>#NAME?</v>
      </c>
      <c r="P37" t="e" cm="1">
        <f t="array" aca="1" ref="P37" ca="1">+_xll.EQNXTDZ($A$1,$B37,P$2)</f>
        <v>#NAME?</v>
      </c>
      <c r="Q37" t="e" cm="1">
        <f t="array" aca="1" ref="Q37" ca="1">+_xll.EQNXTDZ($A$1,$B37,Q$2)</f>
        <v>#NAME?</v>
      </c>
      <c r="R37" t="e" cm="1">
        <f t="array" aca="1" ref="R37" ca="1">+_xll.EQNXTDZ($A$1,$B37,R$2)</f>
        <v>#NAME?</v>
      </c>
      <c r="S37" t="e" cm="1">
        <f t="array" aca="1" ref="S37" ca="1">+_xll.EQNXTDZ($A$1,$B37,S$2)</f>
        <v>#NAME?</v>
      </c>
      <c r="T37" t="e" cm="1">
        <f t="array" aca="1" ref="T37" ca="1">+_xll.EQNXTDZ($A$1,$B37,T$2)</f>
        <v>#NAME?</v>
      </c>
      <c r="U37" t="e" cm="1">
        <f t="array" aca="1" ref="U37" ca="1">+_xll.EQNXTDZ($A$1,$B37,U$2)</f>
        <v>#NAME?</v>
      </c>
      <c r="V37" t="e" cm="1">
        <f t="array" aca="1" ref="V37" ca="1">+_xll.EQNXTDZ($A$1,$B37,V$2)</f>
        <v>#NAME?</v>
      </c>
      <c r="W37" t="e" cm="1">
        <f t="array" aca="1" ref="W37" ca="1">+_xll.EQNXTDZ($A$1,$B37,W$2)</f>
        <v>#NAME?</v>
      </c>
      <c r="X37" t="e" cm="1">
        <f t="array" aca="1" ref="X37" ca="1">+_xll.EQNXTDZ($A$1,$B37,X$2)</f>
        <v>#NAME?</v>
      </c>
      <c r="Y37" t="e" cm="1">
        <f t="array" aca="1" ref="Y37" ca="1">+_xll.EQNXTDZ($A$1,$B37,Y$2)</f>
        <v>#NAME?</v>
      </c>
      <c r="Z37" t="e" cm="1">
        <f t="array" aca="1" ref="Z37" ca="1">+_xll.EQNXTDZ($A$1,$B37,Z$2)</f>
        <v>#NAME?</v>
      </c>
      <c r="AA37" t="e" cm="1">
        <f t="array" aca="1" ref="AA37" ca="1">+_xll.EQNXTDZ($A$1,$B37,AA$2)</f>
        <v>#NAME?</v>
      </c>
      <c r="AB37" t="e" cm="1">
        <f t="array" aca="1" ref="AB37" ca="1">+_xll.EQNXTDZ($A$1,$B37,AB$2)</f>
        <v>#NAME?</v>
      </c>
      <c r="AC37" t="e" cm="1">
        <f t="array" aca="1" ref="AC37" ca="1">+_xll.EQNXTDZ($A$1,$B37,AC$2)</f>
        <v>#NAME?</v>
      </c>
      <c r="AD37" t="e" cm="1">
        <f t="array" aca="1" ref="AD37" ca="1">+_xll.EQNXTDZ($A$1,$B37,AD$2)</f>
        <v>#NAME?</v>
      </c>
      <c r="AE37" t="e" cm="1">
        <f t="array" aca="1" ref="AE37" ca="1">+_xll.EQNXTDZ($A$1,$B37,AE$2)</f>
        <v>#NAME?</v>
      </c>
      <c r="AF37" t="e" cm="1">
        <f t="array" aca="1" ref="AF37" ca="1">+_xll.EQNXTDZ($A$1,$B37,AF$2)</f>
        <v>#NAME?</v>
      </c>
      <c r="AG37" t="e" cm="1">
        <f t="array" aca="1" ref="AG37" ca="1">+_xll.EQNXTDZ($A$1,$B37,AG$2)</f>
        <v>#NAME?</v>
      </c>
      <c r="AH37" t="e" cm="1">
        <f t="array" aca="1" ref="AH37" ca="1">+_xll.EQNXTDZ($A$1,$B37,AH$2)</f>
        <v>#NAME?</v>
      </c>
      <c r="AI37" t="e" cm="1">
        <f t="array" aca="1" ref="AI37" ca="1">+_xll.EQNXTDZ($A$1,$B37,AI$2)</f>
        <v>#NAME?</v>
      </c>
      <c r="AJ37" t="e" cm="1">
        <f t="array" aca="1" ref="AJ37" ca="1">+_xll.EQNXTDZ($A$1,$B37,AJ$2)</f>
        <v>#NAME?</v>
      </c>
      <c r="AK37" t="e" cm="1">
        <f t="array" aca="1" ref="AK37" ca="1">+_xll.EQNXTDZ($A$1,$B37,AK$2)</f>
        <v>#NAME?</v>
      </c>
      <c r="AL37" t="e" cm="1">
        <f t="array" aca="1" ref="AL37" ca="1">+_xll.EQNXTDZ($A$1,$B37,AL$2)</f>
        <v>#NAME?</v>
      </c>
      <c r="AM37" t="e" cm="1">
        <f t="array" aca="1" ref="AM37" ca="1">+_xll.EQNXTDZ($A$1,$B37,AM$2)</f>
        <v>#NAME?</v>
      </c>
      <c r="AN37" t="e" cm="1">
        <f t="array" aca="1" ref="AN37" ca="1">+_xll.EQNXTDZ($A$1,$B37,AN$2)</f>
        <v>#NAME?</v>
      </c>
      <c r="AO37" t="e" cm="1">
        <f t="array" aca="1" ref="AO37" ca="1">+_xll.EQNXTDZ($A$1,$B37,AO$2)</f>
        <v>#NAME?</v>
      </c>
      <c r="AP37" t="e" cm="1">
        <f t="array" aca="1" ref="AP37" ca="1">+_xll.EQNXTDZ($A$1,$B37,AP$2)</f>
        <v>#NAME?</v>
      </c>
      <c r="AQ37" t="e" cm="1">
        <f t="array" aca="1" ref="AQ37" ca="1">+_xll.EQNXTDZ($A$1,$B37,AQ$2)</f>
        <v>#NAME?</v>
      </c>
      <c r="AR37" t="e" cm="1">
        <f t="array" aca="1" ref="AR37" ca="1">+_xll.EQNXTDZ($A$1,$B37,AR$2)</f>
        <v>#NAME?</v>
      </c>
      <c r="AS37" t="e" cm="1">
        <f t="array" aca="1" ref="AS37" ca="1">+_xll.EQNXTDZ($A$1,$B37,AS$2)</f>
        <v>#NAME?</v>
      </c>
      <c r="AT37" t="e" cm="1">
        <f t="array" aca="1" ref="AT37" ca="1">+_xll.EQNXTDZ($A$1,$B37,AT$2)</f>
        <v>#NAME?</v>
      </c>
      <c r="AU37" t="e" cm="1">
        <f t="array" aca="1" ref="AU37" ca="1">+_xll.EQNXTDZ($A$1,$B37,AU$2)</f>
        <v>#NAME?</v>
      </c>
      <c r="AV37" t="e" cm="1">
        <f t="array" aca="1" ref="AV37" ca="1">+_xll.EQNXTDZ($A$1,$B37,AV$2)</f>
        <v>#NAME?</v>
      </c>
      <c r="AW37" t="e" cm="1">
        <f t="array" aca="1" ref="AW37" ca="1">+_xll.EQNXTDZ($A$1,$B37,AW$2)</f>
        <v>#NAME?</v>
      </c>
      <c r="AX37" t="e" cm="1">
        <f t="array" aca="1" ref="AX37" ca="1">+_xll.EQNXTDZ($A$1,$B37,AX$2)</f>
        <v>#NAME?</v>
      </c>
      <c r="AY37" t="e" cm="1">
        <f t="array" aca="1" ref="AY37" ca="1">+_xll.EQNXTDZ($A$1,$B37,AY$2)</f>
        <v>#NAME?</v>
      </c>
      <c r="AZ37" t="e" cm="1">
        <f t="array" aca="1" ref="AZ37" ca="1">+_xll.EQNXTDZ($A$1,$B37,AZ$2)</f>
        <v>#NAME?</v>
      </c>
      <c r="BA37" t="e" cm="1">
        <f t="array" aca="1" ref="BA37" ca="1">+_xll.EQNXTDZ($A$1,$B37,BA$2)</f>
        <v>#NAME?</v>
      </c>
      <c r="BB37" t="e" cm="1">
        <f t="array" aca="1" ref="BB37" ca="1">+_xll.EQNXTDZ($A$1,$B37,BB$2)</f>
        <v>#NAME?</v>
      </c>
      <c r="BC37" t="e" cm="1">
        <f t="array" aca="1" ref="BC37" ca="1">+_xll.EQNXTDZ($A$1,$B37,BC$2)</f>
        <v>#NAME?</v>
      </c>
      <c r="BD37" t="e" cm="1">
        <f t="array" aca="1" ref="BD37" ca="1">+_xll.EQNXTDZ($A$1,$B37,BD$2)</f>
        <v>#NAME?</v>
      </c>
      <c r="BE37" t="e" cm="1">
        <f t="array" aca="1" ref="BE37" ca="1">+_xll.EQNXTDZ($A$1,$B37,BE$2)</f>
        <v>#NAME?</v>
      </c>
      <c r="BF37" t="e" cm="1">
        <f t="array" aca="1" ref="BF37" ca="1">+_xll.EQNXTDZ($A$1,$B37,BF$2)</f>
        <v>#NAME?</v>
      </c>
      <c r="BG37" t="e" cm="1">
        <f t="array" aca="1" ref="BG37" ca="1">+_xll.EQNXTDZ($A$1,$B37,BG$2)</f>
        <v>#NAME?</v>
      </c>
      <c r="BH37" t="e" cm="1">
        <f t="array" aca="1" ref="BH37" ca="1">+_xll.EQNXTDZ($A$1,$B37,BH$2)</f>
        <v>#NAME?</v>
      </c>
      <c r="BI37" t="e" cm="1">
        <f t="array" aca="1" ref="BI37" ca="1">+_xll.EQNXTDZ($A$1,$B37,BI$2)</f>
        <v>#NAME?</v>
      </c>
      <c r="BJ37" t="e" cm="1">
        <f t="array" aca="1" ref="BJ37" ca="1">+_xll.EQNXTDZ($A$1,$B37,BJ$2)</f>
        <v>#NAME?</v>
      </c>
    </row>
    <row r="38" spans="1:62" x14ac:dyDescent="0.25">
      <c r="A38" t="s">
        <v>236</v>
      </c>
      <c r="B38" t="s">
        <v>277</v>
      </c>
      <c r="C38" t="e" cm="1">
        <f t="array" aca="1" ref="C38" ca="1">+_xll.EQNXTDZ($A$1,$B38,C$2)</f>
        <v>#NAME?</v>
      </c>
      <c r="D38" t="e" cm="1">
        <f t="array" aca="1" ref="D38" ca="1">+_xll.EQNXTDZ($A$1,$B38,D$2)</f>
        <v>#NAME?</v>
      </c>
      <c r="E38" t="e" cm="1">
        <f t="array" aca="1" ref="E38" ca="1">+_xll.EQNXTDZ($A$1,$B38,E$2)</f>
        <v>#NAME?</v>
      </c>
      <c r="F38" t="e" cm="1">
        <f t="array" aca="1" ref="F38" ca="1">+_xll.EQNXTDZ($A$1,$B38,F$2)</f>
        <v>#NAME?</v>
      </c>
      <c r="G38" t="e" cm="1">
        <f t="array" aca="1" ref="G38" ca="1">+_xll.EQNXTDZ($A$1,$B38,G$2)</f>
        <v>#NAME?</v>
      </c>
      <c r="H38" t="e" cm="1">
        <f t="array" aca="1" ref="H38" ca="1">+_xll.EQNXTDZ($A$1,$B38,H$2)</f>
        <v>#NAME?</v>
      </c>
      <c r="I38" t="e" cm="1">
        <f t="array" aca="1" ref="I38" ca="1">+_xll.EQNXTDZ($A$1,$B38,I$2)</f>
        <v>#NAME?</v>
      </c>
      <c r="J38" t="e" cm="1">
        <f t="array" aca="1" ref="J38" ca="1">+_xll.EQNXTDZ($A$1,$B38,J$2)</f>
        <v>#NAME?</v>
      </c>
      <c r="K38" t="e" cm="1">
        <f t="array" aca="1" ref="K38" ca="1">+_xll.EQNXTDZ($A$1,$B38,K$2)</f>
        <v>#NAME?</v>
      </c>
      <c r="L38" t="e" cm="1">
        <f t="array" aca="1" ref="L38" ca="1">+_xll.EQNXTDZ($A$1,$B38,L$2)</f>
        <v>#NAME?</v>
      </c>
      <c r="M38" t="e" cm="1">
        <f t="array" aca="1" ref="M38" ca="1">+_xll.EQNXTDZ($A$1,$B38,M$2)</f>
        <v>#NAME?</v>
      </c>
      <c r="N38" t="e" cm="1">
        <f t="array" aca="1" ref="N38" ca="1">+_xll.EQNXTDZ($A$1,$B38,N$2)</f>
        <v>#NAME?</v>
      </c>
      <c r="O38" t="e" cm="1">
        <f t="array" aca="1" ref="O38" ca="1">+_xll.EQNXTDZ($A$1,$B38,O$2)</f>
        <v>#NAME?</v>
      </c>
      <c r="P38" t="e" cm="1">
        <f t="array" aca="1" ref="P38" ca="1">+_xll.EQNXTDZ($A$1,$B38,P$2)</f>
        <v>#NAME?</v>
      </c>
      <c r="Q38" t="e" cm="1">
        <f t="array" aca="1" ref="Q38" ca="1">+_xll.EQNXTDZ($A$1,$B38,Q$2)</f>
        <v>#NAME?</v>
      </c>
      <c r="R38" t="e" cm="1">
        <f t="array" aca="1" ref="R38" ca="1">+_xll.EQNXTDZ($A$1,$B38,R$2)</f>
        <v>#NAME?</v>
      </c>
      <c r="S38" t="e" cm="1">
        <f t="array" aca="1" ref="S38" ca="1">+_xll.EQNXTDZ($A$1,$B38,S$2)</f>
        <v>#NAME?</v>
      </c>
      <c r="T38" t="e" cm="1">
        <f t="array" aca="1" ref="T38" ca="1">+_xll.EQNXTDZ($A$1,$B38,T$2)</f>
        <v>#NAME?</v>
      </c>
      <c r="U38" t="e" cm="1">
        <f t="array" aca="1" ref="U38" ca="1">+_xll.EQNXTDZ($A$1,$B38,U$2)</f>
        <v>#NAME?</v>
      </c>
      <c r="V38" t="e" cm="1">
        <f t="array" aca="1" ref="V38" ca="1">+_xll.EQNXTDZ($A$1,$B38,V$2)</f>
        <v>#NAME?</v>
      </c>
      <c r="W38" t="e" cm="1">
        <f t="array" aca="1" ref="W38" ca="1">+_xll.EQNXTDZ($A$1,$B38,W$2)</f>
        <v>#NAME?</v>
      </c>
      <c r="X38" t="e" cm="1">
        <f t="array" aca="1" ref="X38" ca="1">+_xll.EQNXTDZ($A$1,$B38,X$2)</f>
        <v>#NAME?</v>
      </c>
      <c r="Y38" t="e" cm="1">
        <f t="array" aca="1" ref="Y38" ca="1">+_xll.EQNXTDZ($A$1,$B38,Y$2)</f>
        <v>#NAME?</v>
      </c>
      <c r="Z38" t="e" cm="1">
        <f t="array" aca="1" ref="Z38" ca="1">+_xll.EQNXTDZ($A$1,$B38,Z$2)</f>
        <v>#NAME?</v>
      </c>
      <c r="AA38" t="e" cm="1">
        <f t="array" aca="1" ref="AA38" ca="1">+_xll.EQNXTDZ($A$1,$B38,AA$2)</f>
        <v>#NAME?</v>
      </c>
      <c r="AB38" t="e" cm="1">
        <f t="array" aca="1" ref="AB38" ca="1">+_xll.EQNXTDZ($A$1,$B38,AB$2)</f>
        <v>#NAME?</v>
      </c>
      <c r="AC38" t="e" cm="1">
        <f t="array" aca="1" ref="AC38" ca="1">+_xll.EQNXTDZ($A$1,$B38,AC$2)</f>
        <v>#NAME?</v>
      </c>
      <c r="AD38" t="e" cm="1">
        <f t="array" aca="1" ref="AD38" ca="1">+_xll.EQNXTDZ($A$1,$B38,AD$2)</f>
        <v>#NAME?</v>
      </c>
      <c r="AE38" t="e" cm="1">
        <f t="array" aca="1" ref="AE38" ca="1">+_xll.EQNXTDZ($A$1,$B38,AE$2)</f>
        <v>#NAME?</v>
      </c>
      <c r="AF38" t="e" cm="1">
        <f t="array" aca="1" ref="AF38" ca="1">+_xll.EQNXTDZ($A$1,$B38,AF$2)</f>
        <v>#NAME?</v>
      </c>
      <c r="AG38" t="e" cm="1">
        <f t="array" aca="1" ref="AG38" ca="1">+_xll.EQNXTDZ($A$1,$B38,AG$2)</f>
        <v>#NAME?</v>
      </c>
      <c r="AH38" t="e" cm="1">
        <f t="array" aca="1" ref="AH38" ca="1">+_xll.EQNXTDZ($A$1,$B38,AH$2)</f>
        <v>#NAME?</v>
      </c>
      <c r="AI38" t="e" cm="1">
        <f t="array" aca="1" ref="AI38" ca="1">+_xll.EQNXTDZ($A$1,$B38,AI$2)</f>
        <v>#NAME?</v>
      </c>
      <c r="AJ38" t="e" cm="1">
        <f t="array" aca="1" ref="AJ38" ca="1">+_xll.EQNXTDZ($A$1,$B38,AJ$2)</f>
        <v>#NAME?</v>
      </c>
      <c r="AK38" t="e" cm="1">
        <f t="array" aca="1" ref="AK38" ca="1">+_xll.EQNXTDZ($A$1,$B38,AK$2)</f>
        <v>#NAME?</v>
      </c>
      <c r="AL38" t="e" cm="1">
        <f t="array" aca="1" ref="AL38" ca="1">+_xll.EQNXTDZ($A$1,$B38,AL$2)</f>
        <v>#NAME?</v>
      </c>
      <c r="AM38" t="e" cm="1">
        <f t="array" aca="1" ref="AM38" ca="1">+_xll.EQNXTDZ($A$1,$B38,AM$2)</f>
        <v>#NAME?</v>
      </c>
      <c r="AN38" t="e" cm="1">
        <f t="array" aca="1" ref="AN38" ca="1">+_xll.EQNXTDZ($A$1,$B38,AN$2)</f>
        <v>#NAME?</v>
      </c>
      <c r="AO38" t="e" cm="1">
        <f t="array" aca="1" ref="AO38" ca="1">+_xll.EQNXTDZ($A$1,$B38,AO$2)</f>
        <v>#NAME?</v>
      </c>
      <c r="AP38" t="e" cm="1">
        <f t="array" aca="1" ref="AP38" ca="1">+_xll.EQNXTDZ($A$1,$B38,AP$2)</f>
        <v>#NAME?</v>
      </c>
      <c r="AQ38" t="e" cm="1">
        <f t="array" aca="1" ref="AQ38" ca="1">+_xll.EQNXTDZ($A$1,$B38,AQ$2)</f>
        <v>#NAME?</v>
      </c>
      <c r="AR38" t="e" cm="1">
        <f t="array" aca="1" ref="AR38" ca="1">+_xll.EQNXTDZ($A$1,$B38,AR$2)</f>
        <v>#NAME?</v>
      </c>
      <c r="AS38" t="e" cm="1">
        <f t="array" aca="1" ref="AS38" ca="1">+_xll.EQNXTDZ($A$1,$B38,AS$2)</f>
        <v>#NAME?</v>
      </c>
      <c r="AT38" t="e" cm="1">
        <f t="array" aca="1" ref="AT38" ca="1">+_xll.EQNXTDZ($A$1,$B38,AT$2)</f>
        <v>#NAME?</v>
      </c>
      <c r="AU38" t="e" cm="1">
        <f t="array" aca="1" ref="AU38" ca="1">+_xll.EQNXTDZ($A$1,$B38,AU$2)</f>
        <v>#NAME?</v>
      </c>
      <c r="AV38" t="e" cm="1">
        <f t="array" aca="1" ref="AV38" ca="1">+_xll.EQNXTDZ($A$1,$B38,AV$2)</f>
        <v>#NAME?</v>
      </c>
      <c r="AW38" t="e" cm="1">
        <f t="array" aca="1" ref="AW38" ca="1">+_xll.EQNXTDZ($A$1,$B38,AW$2)</f>
        <v>#NAME?</v>
      </c>
      <c r="AX38" t="e" cm="1">
        <f t="array" aca="1" ref="AX38" ca="1">+_xll.EQNXTDZ($A$1,$B38,AX$2)</f>
        <v>#NAME?</v>
      </c>
      <c r="AY38" t="e" cm="1">
        <f t="array" aca="1" ref="AY38" ca="1">+_xll.EQNXTDZ($A$1,$B38,AY$2)</f>
        <v>#NAME?</v>
      </c>
      <c r="AZ38" t="e" cm="1">
        <f t="array" aca="1" ref="AZ38" ca="1">+_xll.EQNXTDZ($A$1,$B38,AZ$2)</f>
        <v>#NAME?</v>
      </c>
      <c r="BA38" t="e" cm="1">
        <f t="array" aca="1" ref="BA38" ca="1">+_xll.EQNXTDZ($A$1,$B38,BA$2)</f>
        <v>#NAME?</v>
      </c>
      <c r="BB38" t="e" cm="1">
        <f t="array" aca="1" ref="BB38" ca="1">+_xll.EQNXTDZ($A$1,$B38,BB$2)</f>
        <v>#NAME?</v>
      </c>
      <c r="BC38" t="e" cm="1">
        <f t="array" aca="1" ref="BC38" ca="1">+_xll.EQNXTDZ($A$1,$B38,BC$2)</f>
        <v>#NAME?</v>
      </c>
      <c r="BD38" t="e" cm="1">
        <f t="array" aca="1" ref="BD38" ca="1">+_xll.EQNXTDZ($A$1,$B38,BD$2)</f>
        <v>#NAME?</v>
      </c>
      <c r="BE38" t="e" cm="1">
        <f t="array" aca="1" ref="BE38" ca="1">+_xll.EQNXTDZ($A$1,$B38,BE$2)</f>
        <v>#NAME?</v>
      </c>
      <c r="BF38" t="e" cm="1">
        <f t="array" aca="1" ref="BF38" ca="1">+_xll.EQNXTDZ($A$1,$B38,BF$2)</f>
        <v>#NAME?</v>
      </c>
      <c r="BG38" t="e" cm="1">
        <f t="array" aca="1" ref="BG38" ca="1">+_xll.EQNXTDZ($A$1,$B38,BG$2)</f>
        <v>#NAME?</v>
      </c>
      <c r="BH38" t="e" cm="1">
        <f t="array" aca="1" ref="BH38" ca="1">+_xll.EQNXTDZ($A$1,$B38,BH$2)</f>
        <v>#NAME?</v>
      </c>
      <c r="BI38" t="e" cm="1">
        <f t="array" aca="1" ref="BI38" ca="1">+_xll.EQNXTDZ($A$1,$B38,BI$2)</f>
        <v>#NAME?</v>
      </c>
      <c r="BJ38" t="e" cm="1">
        <f t="array" aca="1" ref="BJ38" ca="1">+_xll.EQNXTDZ($A$1,$B38,BJ$2)</f>
        <v>#NAME?</v>
      </c>
    </row>
    <row r="39" spans="1:62" x14ac:dyDescent="0.25">
      <c r="A39" t="s">
        <v>237</v>
      </c>
      <c r="B39" t="s">
        <v>278</v>
      </c>
      <c r="C39" t="e" cm="1">
        <f t="array" aca="1" ref="C39" ca="1">+_xll.EQNXTDZ($A$1,$B39,C$2)</f>
        <v>#NAME?</v>
      </c>
      <c r="D39" t="e" cm="1">
        <f t="array" aca="1" ref="D39" ca="1">+_xll.EQNXTDZ($A$1,$B39,D$2)</f>
        <v>#NAME?</v>
      </c>
      <c r="E39" t="e" cm="1">
        <f t="array" aca="1" ref="E39" ca="1">+_xll.EQNXTDZ($A$1,$B39,E$2)</f>
        <v>#NAME?</v>
      </c>
      <c r="F39" t="e" cm="1">
        <f t="array" aca="1" ref="F39" ca="1">+_xll.EQNXTDZ($A$1,$B39,F$2)</f>
        <v>#NAME?</v>
      </c>
      <c r="G39" t="e" cm="1">
        <f t="array" aca="1" ref="G39" ca="1">+_xll.EQNXTDZ($A$1,$B39,G$2)</f>
        <v>#NAME?</v>
      </c>
      <c r="H39" t="e" cm="1">
        <f t="array" aca="1" ref="H39" ca="1">+_xll.EQNXTDZ($A$1,$B39,H$2)</f>
        <v>#NAME?</v>
      </c>
      <c r="I39" t="e" cm="1">
        <f t="array" aca="1" ref="I39" ca="1">+_xll.EQNXTDZ($A$1,$B39,I$2)</f>
        <v>#NAME?</v>
      </c>
      <c r="J39" t="e" cm="1">
        <f t="array" aca="1" ref="J39" ca="1">+_xll.EQNXTDZ($A$1,$B39,J$2)</f>
        <v>#NAME?</v>
      </c>
      <c r="K39" t="e" cm="1">
        <f t="array" aca="1" ref="K39" ca="1">+_xll.EQNXTDZ($A$1,$B39,K$2)</f>
        <v>#NAME?</v>
      </c>
      <c r="L39" t="e" cm="1">
        <f t="array" aca="1" ref="L39" ca="1">+_xll.EQNXTDZ($A$1,$B39,L$2)</f>
        <v>#NAME?</v>
      </c>
      <c r="M39" t="e" cm="1">
        <f t="array" aca="1" ref="M39" ca="1">+_xll.EQNXTDZ($A$1,$B39,M$2)</f>
        <v>#NAME?</v>
      </c>
      <c r="N39" t="e" cm="1">
        <f t="array" aca="1" ref="N39" ca="1">+_xll.EQNXTDZ($A$1,$B39,N$2)</f>
        <v>#NAME?</v>
      </c>
      <c r="O39" t="e" cm="1">
        <f t="array" aca="1" ref="O39" ca="1">+_xll.EQNXTDZ($A$1,$B39,O$2)</f>
        <v>#NAME?</v>
      </c>
      <c r="P39" t="e" cm="1">
        <f t="array" aca="1" ref="P39" ca="1">+_xll.EQNXTDZ($A$1,$B39,P$2)</f>
        <v>#NAME?</v>
      </c>
      <c r="Q39" t="e" cm="1">
        <f t="array" aca="1" ref="Q39" ca="1">+_xll.EQNXTDZ($A$1,$B39,Q$2)</f>
        <v>#NAME?</v>
      </c>
      <c r="R39" t="e" cm="1">
        <f t="array" aca="1" ref="R39" ca="1">+_xll.EQNXTDZ($A$1,$B39,R$2)</f>
        <v>#NAME?</v>
      </c>
      <c r="S39" t="e" cm="1">
        <f t="array" aca="1" ref="S39" ca="1">+_xll.EQNXTDZ($A$1,$B39,S$2)</f>
        <v>#NAME?</v>
      </c>
      <c r="T39" t="e" cm="1">
        <f t="array" aca="1" ref="T39" ca="1">+_xll.EQNXTDZ($A$1,$B39,T$2)</f>
        <v>#NAME?</v>
      </c>
      <c r="U39" t="e" cm="1">
        <f t="array" aca="1" ref="U39" ca="1">+_xll.EQNXTDZ($A$1,$B39,U$2)</f>
        <v>#NAME?</v>
      </c>
      <c r="V39" t="e" cm="1">
        <f t="array" aca="1" ref="V39" ca="1">+_xll.EQNXTDZ($A$1,$B39,V$2)</f>
        <v>#NAME?</v>
      </c>
      <c r="W39" t="e" cm="1">
        <f t="array" aca="1" ref="W39" ca="1">+_xll.EQNXTDZ($A$1,$B39,W$2)</f>
        <v>#NAME?</v>
      </c>
      <c r="X39" t="e" cm="1">
        <f t="array" aca="1" ref="X39" ca="1">+_xll.EQNXTDZ($A$1,$B39,X$2)</f>
        <v>#NAME?</v>
      </c>
      <c r="Y39" t="e" cm="1">
        <f t="array" aca="1" ref="Y39" ca="1">+_xll.EQNXTDZ($A$1,$B39,Y$2)</f>
        <v>#NAME?</v>
      </c>
      <c r="Z39" t="e" cm="1">
        <f t="array" aca="1" ref="Z39" ca="1">+_xll.EQNXTDZ($A$1,$B39,Z$2)</f>
        <v>#NAME?</v>
      </c>
      <c r="AA39" t="e" cm="1">
        <f t="array" aca="1" ref="AA39" ca="1">+_xll.EQNXTDZ($A$1,$B39,AA$2)</f>
        <v>#NAME?</v>
      </c>
      <c r="AB39" t="e" cm="1">
        <f t="array" aca="1" ref="AB39" ca="1">+_xll.EQNXTDZ($A$1,$B39,AB$2)</f>
        <v>#NAME?</v>
      </c>
      <c r="AC39" t="e" cm="1">
        <f t="array" aca="1" ref="AC39" ca="1">+_xll.EQNXTDZ($A$1,$B39,AC$2)</f>
        <v>#NAME?</v>
      </c>
      <c r="AD39" t="e" cm="1">
        <f t="array" aca="1" ref="AD39" ca="1">+_xll.EQNXTDZ($A$1,$B39,AD$2)</f>
        <v>#NAME?</v>
      </c>
      <c r="AE39" t="e" cm="1">
        <f t="array" aca="1" ref="AE39" ca="1">+_xll.EQNXTDZ($A$1,$B39,AE$2)</f>
        <v>#NAME?</v>
      </c>
      <c r="AF39" t="e" cm="1">
        <f t="array" aca="1" ref="AF39" ca="1">+_xll.EQNXTDZ($A$1,$B39,AF$2)</f>
        <v>#NAME?</v>
      </c>
      <c r="AG39" t="e" cm="1">
        <f t="array" aca="1" ref="AG39" ca="1">+_xll.EQNXTDZ($A$1,$B39,AG$2)</f>
        <v>#NAME?</v>
      </c>
      <c r="AH39" t="e" cm="1">
        <f t="array" aca="1" ref="AH39" ca="1">+_xll.EQNXTDZ($A$1,$B39,AH$2)</f>
        <v>#NAME?</v>
      </c>
      <c r="AI39" t="e" cm="1">
        <f t="array" aca="1" ref="AI39" ca="1">+_xll.EQNXTDZ($A$1,$B39,AI$2)</f>
        <v>#NAME?</v>
      </c>
      <c r="AJ39" t="e" cm="1">
        <f t="array" aca="1" ref="AJ39" ca="1">+_xll.EQNXTDZ($A$1,$B39,AJ$2)</f>
        <v>#NAME?</v>
      </c>
      <c r="AK39" t="e" cm="1">
        <f t="array" aca="1" ref="AK39" ca="1">+_xll.EQNXTDZ($A$1,$B39,AK$2)</f>
        <v>#NAME?</v>
      </c>
      <c r="AL39" t="e" cm="1">
        <f t="array" aca="1" ref="AL39" ca="1">+_xll.EQNXTDZ($A$1,$B39,AL$2)</f>
        <v>#NAME?</v>
      </c>
      <c r="AM39" t="e" cm="1">
        <f t="array" aca="1" ref="AM39" ca="1">+_xll.EQNXTDZ($A$1,$B39,AM$2)</f>
        <v>#NAME?</v>
      </c>
      <c r="AN39" t="e" cm="1">
        <f t="array" aca="1" ref="AN39" ca="1">+_xll.EQNXTDZ($A$1,$B39,AN$2)</f>
        <v>#NAME?</v>
      </c>
      <c r="AO39" t="e" cm="1">
        <f t="array" aca="1" ref="AO39" ca="1">+_xll.EQNXTDZ($A$1,$B39,AO$2)</f>
        <v>#NAME?</v>
      </c>
      <c r="AP39" t="e" cm="1">
        <f t="array" aca="1" ref="AP39" ca="1">+_xll.EQNXTDZ($A$1,$B39,AP$2)</f>
        <v>#NAME?</v>
      </c>
      <c r="AQ39" t="e" cm="1">
        <f t="array" aca="1" ref="AQ39" ca="1">+_xll.EQNXTDZ($A$1,$B39,AQ$2)</f>
        <v>#NAME?</v>
      </c>
      <c r="AR39" t="e" cm="1">
        <f t="array" aca="1" ref="AR39" ca="1">+_xll.EQNXTDZ($A$1,$B39,AR$2)</f>
        <v>#NAME?</v>
      </c>
      <c r="AS39" t="e" cm="1">
        <f t="array" aca="1" ref="AS39" ca="1">+_xll.EQNXTDZ($A$1,$B39,AS$2)</f>
        <v>#NAME?</v>
      </c>
      <c r="AT39" t="e" cm="1">
        <f t="array" aca="1" ref="AT39" ca="1">+_xll.EQNXTDZ($A$1,$B39,AT$2)</f>
        <v>#NAME?</v>
      </c>
      <c r="AU39" t="e" cm="1">
        <f t="array" aca="1" ref="AU39" ca="1">+_xll.EQNXTDZ($A$1,$B39,AU$2)</f>
        <v>#NAME?</v>
      </c>
      <c r="AV39" t="e" cm="1">
        <f t="array" aca="1" ref="AV39" ca="1">+_xll.EQNXTDZ($A$1,$B39,AV$2)</f>
        <v>#NAME?</v>
      </c>
      <c r="AW39" t="e" cm="1">
        <f t="array" aca="1" ref="AW39" ca="1">+_xll.EQNXTDZ($A$1,$B39,AW$2)</f>
        <v>#NAME?</v>
      </c>
      <c r="AX39" t="e" cm="1">
        <f t="array" aca="1" ref="AX39" ca="1">+_xll.EQNXTDZ($A$1,$B39,AX$2)</f>
        <v>#NAME?</v>
      </c>
      <c r="AY39" t="e" cm="1">
        <f t="array" aca="1" ref="AY39" ca="1">+_xll.EQNXTDZ($A$1,$B39,AY$2)</f>
        <v>#NAME?</v>
      </c>
      <c r="AZ39" t="e" cm="1">
        <f t="array" aca="1" ref="AZ39" ca="1">+_xll.EQNXTDZ($A$1,$B39,AZ$2)</f>
        <v>#NAME?</v>
      </c>
      <c r="BA39" t="e" cm="1">
        <f t="array" aca="1" ref="BA39" ca="1">+_xll.EQNXTDZ($A$1,$B39,BA$2)</f>
        <v>#NAME?</v>
      </c>
      <c r="BB39" t="e" cm="1">
        <f t="array" aca="1" ref="BB39" ca="1">+_xll.EQNXTDZ($A$1,$B39,BB$2)</f>
        <v>#NAME?</v>
      </c>
      <c r="BC39" t="e" cm="1">
        <f t="array" aca="1" ref="BC39" ca="1">+_xll.EQNXTDZ($A$1,$B39,BC$2)</f>
        <v>#NAME?</v>
      </c>
      <c r="BD39" t="e" cm="1">
        <f t="array" aca="1" ref="BD39" ca="1">+_xll.EQNXTDZ($A$1,$B39,BD$2)</f>
        <v>#NAME?</v>
      </c>
      <c r="BE39" t="e" cm="1">
        <f t="array" aca="1" ref="BE39" ca="1">+_xll.EQNXTDZ($A$1,$B39,BE$2)</f>
        <v>#NAME?</v>
      </c>
      <c r="BF39" t="e" cm="1">
        <f t="array" aca="1" ref="BF39" ca="1">+_xll.EQNXTDZ($A$1,$B39,BF$2)</f>
        <v>#NAME?</v>
      </c>
      <c r="BG39" t="e" cm="1">
        <f t="array" aca="1" ref="BG39" ca="1">+_xll.EQNXTDZ($A$1,$B39,BG$2)</f>
        <v>#NAME?</v>
      </c>
      <c r="BH39" t="e" cm="1">
        <f t="array" aca="1" ref="BH39" ca="1">+_xll.EQNXTDZ($A$1,$B39,BH$2)</f>
        <v>#NAME?</v>
      </c>
      <c r="BI39" t="e" cm="1">
        <f t="array" aca="1" ref="BI39" ca="1">+_xll.EQNXTDZ($A$1,$B39,BI$2)</f>
        <v>#NAME?</v>
      </c>
      <c r="BJ39" t="e" cm="1">
        <f t="array" aca="1" ref="BJ39" ca="1">+_xll.EQNXTDZ($A$1,$B39,BJ$2)</f>
        <v>#NAME?</v>
      </c>
    </row>
    <row r="40" spans="1:62" x14ac:dyDescent="0.25">
      <c r="A40" t="s">
        <v>238</v>
      </c>
      <c r="B40" t="s">
        <v>279</v>
      </c>
      <c r="C40" t="e" cm="1">
        <f t="array" aca="1" ref="C40" ca="1">+_xll.EQNXTDZ($A$1,$B40,C$2)</f>
        <v>#NAME?</v>
      </c>
      <c r="D40" t="e" cm="1">
        <f t="array" aca="1" ref="D40" ca="1">+_xll.EQNXTDZ($A$1,$B40,D$2)</f>
        <v>#NAME?</v>
      </c>
      <c r="E40" t="e" cm="1">
        <f t="array" aca="1" ref="E40" ca="1">+_xll.EQNXTDZ($A$1,$B40,E$2)</f>
        <v>#NAME?</v>
      </c>
      <c r="F40" t="e" cm="1">
        <f t="array" aca="1" ref="F40" ca="1">+_xll.EQNXTDZ($A$1,$B40,F$2)</f>
        <v>#NAME?</v>
      </c>
      <c r="G40" t="e" cm="1">
        <f t="array" aca="1" ref="G40" ca="1">+_xll.EQNXTDZ($A$1,$B40,G$2)</f>
        <v>#NAME?</v>
      </c>
      <c r="H40" t="e" cm="1">
        <f t="array" aca="1" ref="H40" ca="1">+_xll.EQNXTDZ($A$1,$B40,H$2)</f>
        <v>#NAME?</v>
      </c>
      <c r="I40" t="e" cm="1">
        <f t="array" aca="1" ref="I40" ca="1">+_xll.EQNXTDZ($A$1,$B40,I$2)</f>
        <v>#NAME?</v>
      </c>
      <c r="J40" t="e" cm="1">
        <f t="array" aca="1" ref="J40" ca="1">+_xll.EQNXTDZ($A$1,$B40,J$2)</f>
        <v>#NAME?</v>
      </c>
      <c r="K40" t="e" cm="1">
        <f t="array" aca="1" ref="K40" ca="1">+_xll.EQNXTDZ($A$1,$B40,K$2)</f>
        <v>#NAME?</v>
      </c>
      <c r="L40" t="e" cm="1">
        <f t="array" aca="1" ref="L40" ca="1">+_xll.EQNXTDZ($A$1,$B40,L$2)</f>
        <v>#NAME?</v>
      </c>
      <c r="M40" t="e" cm="1">
        <f t="array" aca="1" ref="M40" ca="1">+_xll.EQNXTDZ($A$1,$B40,M$2)</f>
        <v>#NAME?</v>
      </c>
      <c r="N40" t="e" cm="1">
        <f t="array" aca="1" ref="N40" ca="1">+_xll.EQNXTDZ($A$1,$B40,N$2)</f>
        <v>#NAME?</v>
      </c>
      <c r="O40" t="e" cm="1">
        <f t="array" aca="1" ref="O40" ca="1">+_xll.EQNXTDZ($A$1,$B40,O$2)</f>
        <v>#NAME?</v>
      </c>
      <c r="P40" t="e" cm="1">
        <f t="array" aca="1" ref="P40" ca="1">+_xll.EQNXTDZ($A$1,$B40,P$2)</f>
        <v>#NAME?</v>
      </c>
      <c r="Q40" t="e" cm="1">
        <f t="array" aca="1" ref="Q40" ca="1">+_xll.EQNXTDZ($A$1,$B40,Q$2)</f>
        <v>#NAME?</v>
      </c>
      <c r="R40" t="e" cm="1">
        <f t="array" aca="1" ref="R40" ca="1">+_xll.EQNXTDZ($A$1,$B40,R$2)</f>
        <v>#NAME?</v>
      </c>
      <c r="S40" t="e" cm="1">
        <f t="array" aca="1" ref="S40" ca="1">+_xll.EQNXTDZ($A$1,$B40,S$2)</f>
        <v>#NAME?</v>
      </c>
      <c r="T40" t="e" cm="1">
        <f t="array" aca="1" ref="T40" ca="1">+_xll.EQNXTDZ($A$1,$B40,T$2)</f>
        <v>#NAME?</v>
      </c>
      <c r="U40" t="e" cm="1">
        <f t="array" aca="1" ref="U40" ca="1">+_xll.EQNXTDZ($A$1,$B40,U$2)</f>
        <v>#NAME?</v>
      </c>
      <c r="V40" t="e" cm="1">
        <f t="array" aca="1" ref="V40" ca="1">+_xll.EQNXTDZ($A$1,$B40,V$2)</f>
        <v>#NAME?</v>
      </c>
      <c r="W40" t="e" cm="1">
        <f t="array" aca="1" ref="W40" ca="1">+_xll.EQNXTDZ($A$1,$B40,W$2)</f>
        <v>#NAME?</v>
      </c>
      <c r="X40" t="e" cm="1">
        <f t="array" aca="1" ref="X40" ca="1">+_xll.EQNXTDZ($A$1,$B40,X$2)</f>
        <v>#NAME?</v>
      </c>
      <c r="Y40" t="e" cm="1">
        <f t="array" aca="1" ref="Y40" ca="1">+_xll.EQNXTDZ($A$1,$B40,Y$2)</f>
        <v>#NAME?</v>
      </c>
      <c r="Z40" t="e" cm="1">
        <f t="array" aca="1" ref="Z40" ca="1">+_xll.EQNXTDZ($A$1,$B40,Z$2)</f>
        <v>#NAME?</v>
      </c>
      <c r="AA40" t="e" cm="1">
        <f t="array" aca="1" ref="AA40" ca="1">+_xll.EQNXTDZ($A$1,$B40,AA$2)</f>
        <v>#NAME?</v>
      </c>
      <c r="AB40" t="e" cm="1">
        <f t="array" aca="1" ref="AB40" ca="1">+_xll.EQNXTDZ($A$1,$B40,AB$2)</f>
        <v>#NAME?</v>
      </c>
      <c r="AC40" t="e" cm="1">
        <f t="array" aca="1" ref="AC40" ca="1">+_xll.EQNXTDZ($A$1,$B40,AC$2)</f>
        <v>#NAME?</v>
      </c>
      <c r="AD40" t="e" cm="1">
        <f t="array" aca="1" ref="AD40" ca="1">+_xll.EQNXTDZ($A$1,$B40,AD$2)</f>
        <v>#NAME?</v>
      </c>
      <c r="AE40" t="e" cm="1">
        <f t="array" aca="1" ref="AE40" ca="1">+_xll.EQNXTDZ($A$1,$B40,AE$2)</f>
        <v>#NAME?</v>
      </c>
      <c r="AF40" t="e" cm="1">
        <f t="array" aca="1" ref="AF40" ca="1">+_xll.EQNXTDZ($A$1,$B40,AF$2)</f>
        <v>#NAME?</v>
      </c>
      <c r="AG40" t="e" cm="1">
        <f t="array" aca="1" ref="AG40" ca="1">+_xll.EQNXTDZ($A$1,$B40,AG$2)</f>
        <v>#NAME?</v>
      </c>
      <c r="AH40" t="e" cm="1">
        <f t="array" aca="1" ref="AH40" ca="1">+_xll.EQNXTDZ($A$1,$B40,AH$2)</f>
        <v>#NAME?</v>
      </c>
      <c r="AI40" t="e" cm="1">
        <f t="array" aca="1" ref="AI40" ca="1">+_xll.EQNXTDZ($A$1,$B40,AI$2)</f>
        <v>#NAME?</v>
      </c>
      <c r="AJ40" t="e" cm="1">
        <f t="array" aca="1" ref="AJ40" ca="1">+_xll.EQNXTDZ($A$1,$B40,AJ$2)</f>
        <v>#NAME?</v>
      </c>
      <c r="AK40" t="e" cm="1">
        <f t="array" aca="1" ref="AK40" ca="1">+_xll.EQNXTDZ($A$1,$B40,AK$2)</f>
        <v>#NAME?</v>
      </c>
      <c r="AL40" t="e" cm="1">
        <f t="array" aca="1" ref="AL40" ca="1">+_xll.EQNXTDZ($A$1,$B40,AL$2)</f>
        <v>#NAME?</v>
      </c>
      <c r="AM40" t="e" cm="1">
        <f t="array" aca="1" ref="AM40" ca="1">+_xll.EQNXTDZ($A$1,$B40,AM$2)</f>
        <v>#NAME?</v>
      </c>
      <c r="AN40" t="e" cm="1">
        <f t="array" aca="1" ref="AN40" ca="1">+_xll.EQNXTDZ($A$1,$B40,AN$2)</f>
        <v>#NAME?</v>
      </c>
      <c r="AO40" t="e" cm="1">
        <f t="array" aca="1" ref="AO40" ca="1">+_xll.EQNXTDZ($A$1,$B40,AO$2)</f>
        <v>#NAME?</v>
      </c>
      <c r="AP40" t="e" cm="1">
        <f t="array" aca="1" ref="AP40" ca="1">+_xll.EQNXTDZ($A$1,$B40,AP$2)</f>
        <v>#NAME?</v>
      </c>
      <c r="AQ40" t="e" cm="1">
        <f t="array" aca="1" ref="AQ40" ca="1">+_xll.EQNXTDZ($A$1,$B40,AQ$2)</f>
        <v>#NAME?</v>
      </c>
      <c r="AR40" t="e" cm="1">
        <f t="array" aca="1" ref="AR40" ca="1">+_xll.EQNXTDZ($A$1,$B40,AR$2)</f>
        <v>#NAME?</v>
      </c>
      <c r="AS40" t="e" cm="1">
        <f t="array" aca="1" ref="AS40" ca="1">+_xll.EQNXTDZ($A$1,$B40,AS$2)</f>
        <v>#NAME?</v>
      </c>
      <c r="AT40" t="e" cm="1">
        <f t="array" aca="1" ref="AT40" ca="1">+_xll.EQNXTDZ($A$1,$B40,AT$2)</f>
        <v>#NAME?</v>
      </c>
      <c r="AU40" t="e" cm="1">
        <f t="array" aca="1" ref="AU40" ca="1">+_xll.EQNXTDZ($A$1,$B40,AU$2)</f>
        <v>#NAME?</v>
      </c>
      <c r="AV40" t="e" cm="1">
        <f t="array" aca="1" ref="AV40" ca="1">+_xll.EQNXTDZ($A$1,$B40,AV$2)</f>
        <v>#NAME?</v>
      </c>
      <c r="AW40" t="e" cm="1">
        <f t="array" aca="1" ref="AW40" ca="1">+_xll.EQNXTDZ($A$1,$B40,AW$2)</f>
        <v>#NAME?</v>
      </c>
      <c r="AX40" t="e" cm="1">
        <f t="array" aca="1" ref="AX40" ca="1">+_xll.EQNXTDZ($A$1,$B40,AX$2)</f>
        <v>#NAME?</v>
      </c>
      <c r="AY40" t="e" cm="1">
        <f t="array" aca="1" ref="AY40" ca="1">+_xll.EQNXTDZ($A$1,$B40,AY$2)</f>
        <v>#NAME?</v>
      </c>
      <c r="AZ40" t="e" cm="1">
        <f t="array" aca="1" ref="AZ40" ca="1">+_xll.EQNXTDZ($A$1,$B40,AZ$2)</f>
        <v>#NAME?</v>
      </c>
      <c r="BA40" t="e" cm="1">
        <f t="array" aca="1" ref="BA40" ca="1">+_xll.EQNXTDZ($A$1,$B40,BA$2)</f>
        <v>#NAME?</v>
      </c>
      <c r="BB40" t="e" cm="1">
        <f t="array" aca="1" ref="BB40" ca="1">+_xll.EQNXTDZ($A$1,$B40,BB$2)</f>
        <v>#NAME?</v>
      </c>
      <c r="BC40" t="e" cm="1">
        <f t="array" aca="1" ref="BC40" ca="1">+_xll.EQNXTDZ($A$1,$B40,BC$2)</f>
        <v>#NAME?</v>
      </c>
      <c r="BD40" t="e" cm="1">
        <f t="array" aca="1" ref="BD40" ca="1">+_xll.EQNXTDZ($A$1,$B40,BD$2)</f>
        <v>#NAME?</v>
      </c>
      <c r="BE40" t="e" cm="1">
        <f t="array" aca="1" ref="BE40" ca="1">+_xll.EQNXTDZ($A$1,$B40,BE$2)</f>
        <v>#NAME?</v>
      </c>
      <c r="BF40" t="e" cm="1">
        <f t="array" aca="1" ref="BF40" ca="1">+_xll.EQNXTDZ($A$1,$B40,BF$2)</f>
        <v>#NAME?</v>
      </c>
      <c r="BG40" t="e" cm="1">
        <f t="array" aca="1" ref="BG40" ca="1">+_xll.EQNXTDZ($A$1,$B40,BG$2)</f>
        <v>#NAME?</v>
      </c>
      <c r="BH40" t="e" cm="1">
        <f t="array" aca="1" ref="BH40" ca="1">+_xll.EQNXTDZ($A$1,$B40,BH$2)</f>
        <v>#NAME?</v>
      </c>
      <c r="BI40" t="e" cm="1">
        <f t="array" aca="1" ref="BI40" ca="1">+_xll.EQNXTDZ($A$1,$B40,BI$2)</f>
        <v>#NAME?</v>
      </c>
      <c r="BJ40" t="e" cm="1">
        <f t="array" aca="1" ref="BJ40" ca="1">+_xll.EQNXTDZ($A$1,$B40,BJ$2)</f>
        <v>#NAME?</v>
      </c>
    </row>
    <row r="41" spans="1:62" x14ac:dyDescent="0.25">
      <c r="A41" t="s">
        <v>239</v>
      </c>
      <c r="B41" t="s">
        <v>280</v>
      </c>
      <c r="C41" t="e" cm="1">
        <f t="array" aca="1" ref="C41" ca="1">+_xll.EQNXTDZ($A$1,$B41,C$2)</f>
        <v>#NAME?</v>
      </c>
      <c r="D41" t="e" cm="1">
        <f t="array" aca="1" ref="D41" ca="1">+_xll.EQNXTDZ($A$1,$B41,D$2)</f>
        <v>#NAME?</v>
      </c>
      <c r="E41" t="e" cm="1">
        <f t="array" aca="1" ref="E41" ca="1">+_xll.EQNXTDZ($A$1,$B41,E$2)</f>
        <v>#NAME?</v>
      </c>
      <c r="F41" t="e" cm="1">
        <f t="array" aca="1" ref="F41" ca="1">+_xll.EQNXTDZ($A$1,$B41,F$2)</f>
        <v>#NAME?</v>
      </c>
      <c r="G41" t="e" cm="1">
        <f t="array" aca="1" ref="G41" ca="1">+_xll.EQNXTDZ($A$1,$B41,G$2)</f>
        <v>#NAME?</v>
      </c>
      <c r="H41" t="e" cm="1">
        <f t="array" aca="1" ref="H41" ca="1">+_xll.EQNXTDZ($A$1,$B41,H$2)</f>
        <v>#NAME?</v>
      </c>
      <c r="I41" t="e" cm="1">
        <f t="array" aca="1" ref="I41" ca="1">+_xll.EQNXTDZ($A$1,$B41,I$2)</f>
        <v>#NAME?</v>
      </c>
      <c r="J41" t="e" cm="1">
        <f t="array" aca="1" ref="J41" ca="1">+_xll.EQNXTDZ($A$1,$B41,J$2)</f>
        <v>#NAME?</v>
      </c>
      <c r="K41" t="e" cm="1">
        <f t="array" aca="1" ref="K41" ca="1">+_xll.EQNXTDZ($A$1,$B41,K$2)</f>
        <v>#NAME?</v>
      </c>
      <c r="L41" t="e" cm="1">
        <f t="array" aca="1" ref="L41" ca="1">+_xll.EQNXTDZ($A$1,$B41,L$2)</f>
        <v>#NAME?</v>
      </c>
      <c r="M41" t="e" cm="1">
        <f t="array" aca="1" ref="M41" ca="1">+_xll.EQNXTDZ($A$1,$B41,M$2)</f>
        <v>#NAME?</v>
      </c>
      <c r="N41" t="e" cm="1">
        <f t="array" aca="1" ref="N41" ca="1">+_xll.EQNXTDZ($A$1,$B41,N$2)</f>
        <v>#NAME?</v>
      </c>
      <c r="O41" t="e" cm="1">
        <f t="array" aca="1" ref="O41" ca="1">+_xll.EQNXTDZ($A$1,$B41,O$2)</f>
        <v>#NAME?</v>
      </c>
      <c r="P41" t="e" cm="1">
        <f t="array" aca="1" ref="P41" ca="1">+_xll.EQNXTDZ($A$1,$B41,P$2)</f>
        <v>#NAME?</v>
      </c>
      <c r="Q41" t="e" cm="1">
        <f t="array" aca="1" ref="Q41" ca="1">+_xll.EQNXTDZ($A$1,$B41,Q$2)</f>
        <v>#NAME?</v>
      </c>
      <c r="R41" t="e" cm="1">
        <f t="array" aca="1" ref="R41" ca="1">+_xll.EQNXTDZ($A$1,$B41,R$2)</f>
        <v>#NAME?</v>
      </c>
      <c r="S41" t="e" cm="1">
        <f t="array" aca="1" ref="S41" ca="1">+_xll.EQNXTDZ($A$1,$B41,S$2)</f>
        <v>#NAME?</v>
      </c>
      <c r="T41" t="e" cm="1">
        <f t="array" aca="1" ref="T41" ca="1">+_xll.EQNXTDZ($A$1,$B41,T$2)</f>
        <v>#NAME?</v>
      </c>
      <c r="U41" t="e" cm="1">
        <f t="array" aca="1" ref="U41" ca="1">+_xll.EQNXTDZ($A$1,$B41,U$2)</f>
        <v>#NAME?</v>
      </c>
      <c r="V41" t="e" cm="1">
        <f t="array" aca="1" ref="V41" ca="1">+_xll.EQNXTDZ($A$1,$B41,V$2)</f>
        <v>#NAME?</v>
      </c>
      <c r="W41" t="e" cm="1">
        <f t="array" aca="1" ref="W41" ca="1">+_xll.EQNXTDZ($A$1,$B41,W$2)</f>
        <v>#NAME?</v>
      </c>
      <c r="X41" t="e" cm="1">
        <f t="array" aca="1" ref="X41" ca="1">+_xll.EQNXTDZ($A$1,$B41,X$2)</f>
        <v>#NAME?</v>
      </c>
      <c r="Y41" t="e" cm="1">
        <f t="array" aca="1" ref="Y41" ca="1">+_xll.EQNXTDZ($A$1,$B41,Y$2)</f>
        <v>#NAME?</v>
      </c>
      <c r="Z41" t="e" cm="1">
        <f t="array" aca="1" ref="Z41" ca="1">+_xll.EQNXTDZ($A$1,$B41,Z$2)</f>
        <v>#NAME?</v>
      </c>
      <c r="AA41" t="e" cm="1">
        <f t="array" aca="1" ref="AA41" ca="1">+_xll.EQNXTDZ($A$1,$B41,AA$2)</f>
        <v>#NAME?</v>
      </c>
      <c r="AB41" t="e" cm="1">
        <f t="array" aca="1" ref="AB41" ca="1">+_xll.EQNXTDZ($A$1,$B41,AB$2)</f>
        <v>#NAME?</v>
      </c>
      <c r="AC41" t="e" cm="1">
        <f t="array" aca="1" ref="AC41" ca="1">+_xll.EQNXTDZ($A$1,$B41,AC$2)</f>
        <v>#NAME?</v>
      </c>
      <c r="AD41" t="e" cm="1">
        <f t="array" aca="1" ref="AD41" ca="1">+_xll.EQNXTDZ($A$1,$B41,AD$2)</f>
        <v>#NAME?</v>
      </c>
      <c r="AE41" t="e" cm="1">
        <f t="array" aca="1" ref="AE41" ca="1">+_xll.EQNXTDZ($A$1,$B41,AE$2)</f>
        <v>#NAME?</v>
      </c>
      <c r="AF41" t="e" cm="1">
        <f t="array" aca="1" ref="AF41" ca="1">+_xll.EQNXTDZ($A$1,$B41,AF$2)</f>
        <v>#NAME?</v>
      </c>
      <c r="AG41" t="e" cm="1">
        <f t="array" aca="1" ref="AG41" ca="1">+_xll.EQNXTDZ($A$1,$B41,AG$2)</f>
        <v>#NAME?</v>
      </c>
      <c r="AH41" t="e" cm="1">
        <f t="array" aca="1" ref="AH41" ca="1">+_xll.EQNXTDZ($A$1,$B41,AH$2)</f>
        <v>#NAME?</v>
      </c>
      <c r="AI41" t="e" cm="1">
        <f t="array" aca="1" ref="AI41" ca="1">+_xll.EQNXTDZ($A$1,$B41,AI$2)</f>
        <v>#NAME?</v>
      </c>
      <c r="AJ41" t="e" cm="1">
        <f t="array" aca="1" ref="AJ41" ca="1">+_xll.EQNXTDZ($A$1,$B41,AJ$2)</f>
        <v>#NAME?</v>
      </c>
      <c r="AK41" t="e" cm="1">
        <f t="array" aca="1" ref="AK41" ca="1">+_xll.EQNXTDZ($A$1,$B41,AK$2)</f>
        <v>#NAME?</v>
      </c>
      <c r="AL41" t="e" cm="1">
        <f t="array" aca="1" ref="AL41" ca="1">+_xll.EQNXTDZ($A$1,$B41,AL$2)</f>
        <v>#NAME?</v>
      </c>
      <c r="AM41" t="e" cm="1">
        <f t="array" aca="1" ref="AM41" ca="1">+_xll.EQNXTDZ($A$1,$B41,AM$2)</f>
        <v>#NAME?</v>
      </c>
      <c r="AN41" t="e" cm="1">
        <f t="array" aca="1" ref="AN41" ca="1">+_xll.EQNXTDZ($A$1,$B41,AN$2)</f>
        <v>#NAME?</v>
      </c>
      <c r="AO41" t="e" cm="1">
        <f t="array" aca="1" ref="AO41" ca="1">+_xll.EQNXTDZ($A$1,$B41,AO$2)</f>
        <v>#NAME?</v>
      </c>
      <c r="AP41" t="e" cm="1">
        <f t="array" aca="1" ref="AP41" ca="1">+_xll.EQNXTDZ($A$1,$B41,AP$2)</f>
        <v>#NAME?</v>
      </c>
      <c r="AQ41" t="e" cm="1">
        <f t="array" aca="1" ref="AQ41" ca="1">+_xll.EQNXTDZ($A$1,$B41,AQ$2)</f>
        <v>#NAME?</v>
      </c>
      <c r="AR41" t="e" cm="1">
        <f t="array" aca="1" ref="AR41" ca="1">+_xll.EQNXTDZ($A$1,$B41,AR$2)</f>
        <v>#NAME?</v>
      </c>
      <c r="AS41" t="e" cm="1">
        <f t="array" aca="1" ref="AS41" ca="1">+_xll.EQNXTDZ($A$1,$B41,AS$2)</f>
        <v>#NAME?</v>
      </c>
      <c r="AT41" t="e" cm="1">
        <f t="array" aca="1" ref="AT41" ca="1">+_xll.EQNXTDZ($A$1,$B41,AT$2)</f>
        <v>#NAME?</v>
      </c>
      <c r="AU41" t="e" cm="1">
        <f t="array" aca="1" ref="AU41" ca="1">+_xll.EQNXTDZ($A$1,$B41,AU$2)</f>
        <v>#NAME?</v>
      </c>
      <c r="AV41" t="e" cm="1">
        <f t="array" aca="1" ref="AV41" ca="1">+_xll.EQNXTDZ($A$1,$B41,AV$2)</f>
        <v>#NAME?</v>
      </c>
      <c r="AW41" t="e" cm="1">
        <f t="array" aca="1" ref="AW41" ca="1">+_xll.EQNXTDZ($A$1,$B41,AW$2)</f>
        <v>#NAME?</v>
      </c>
      <c r="AX41" t="e" cm="1">
        <f t="array" aca="1" ref="AX41" ca="1">+_xll.EQNXTDZ($A$1,$B41,AX$2)</f>
        <v>#NAME?</v>
      </c>
      <c r="AY41" t="e" cm="1">
        <f t="array" aca="1" ref="AY41" ca="1">+_xll.EQNXTDZ($A$1,$B41,AY$2)</f>
        <v>#NAME?</v>
      </c>
      <c r="AZ41" t="e" cm="1">
        <f t="array" aca="1" ref="AZ41" ca="1">+_xll.EQNXTDZ($A$1,$B41,AZ$2)</f>
        <v>#NAME?</v>
      </c>
      <c r="BA41" t="e" cm="1">
        <f t="array" aca="1" ref="BA41" ca="1">+_xll.EQNXTDZ($A$1,$B41,BA$2)</f>
        <v>#NAME?</v>
      </c>
      <c r="BB41" t="e" cm="1">
        <f t="array" aca="1" ref="BB41" ca="1">+_xll.EQNXTDZ($A$1,$B41,BB$2)</f>
        <v>#NAME?</v>
      </c>
      <c r="BC41" t="e" cm="1">
        <f t="array" aca="1" ref="BC41" ca="1">+_xll.EQNXTDZ($A$1,$B41,BC$2)</f>
        <v>#NAME?</v>
      </c>
      <c r="BD41" t="e" cm="1">
        <f t="array" aca="1" ref="BD41" ca="1">+_xll.EQNXTDZ($A$1,$B41,BD$2)</f>
        <v>#NAME?</v>
      </c>
      <c r="BE41" t="e" cm="1">
        <f t="array" aca="1" ref="BE41" ca="1">+_xll.EQNXTDZ($A$1,$B41,BE$2)</f>
        <v>#NAME?</v>
      </c>
      <c r="BF41" t="e" cm="1">
        <f t="array" aca="1" ref="BF41" ca="1">+_xll.EQNXTDZ($A$1,$B41,BF$2)</f>
        <v>#NAME?</v>
      </c>
      <c r="BG41" t="e" cm="1">
        <f t="array" aca="1" ref="BG41" ca="1">+_xll.EQNXTDZ($A$1,$B41,BG$2)</f>
        <v>#NAME?</v>
      </c>
      <c r="BH41" t="e" cm="1">
        <f t="array" aca="1" ref="BH41" ca="1">+_xll.EQNXTDZ($A$1,$B41,BH$2)</f>
        <v>#NAME?</v>
      </c>
      <c r="BI41" t="e" cm="1">
        <f t="array" aca="1" ref="BI41" ca="1">+_xll.EQNXTDZ($A$1,$B41,BI$2)</f>
        <v>#NAME?</v>
      </c>
      <c r="BJ41" t="e" cm="1">
        <f t="array" aca="1" ref="BJ41" ca="1">+_xll.EQNXTDZ($A$1,$B41,BJ$2)</f>
        <v>#NAME?</v>
      </c>
    </row>
    <row r="42" spans="1:62" x14ac:dyDescent="0.25">
      <c r="A42" t="s">
        <v>240</v>
      </c>
      <c r="B42" t="s">
        <v>281</v>
      </c>
      <c r="C42" t="e" cm="1">
        <f t="array" aca="1" ref="C42" ca="1">+_xll.EQNXTDZ($A$1,$B42,C$2)</f>
        <v>#NAME?</v>
      </c>
      <c r="D42" t="e" cm="1">
        <f t="array" aca="1" ref="D42" ca="1">+_xll.EQNXTDZ($A$1,$B42,D$2)</f>
        <v>#NAME?</v>
      </c>
      <c r="E42" t="e" cm="1">
        <f t="array" aca="1" ref="E42" ca="1">+_xll.EQNXTDZ($A$1,$B42,E$2)</f>
        <v>#NAME?</v>
      </c>
      <c r="F42" t="e" cm="1">
        <f t="array" aca="1" ref="F42" ca="1">+_xll.EQNXTDZ($A$1,$B42,F$2)</f>
        <v>#NAME?</v>
      </c>
      <c r="G42" t="e" cm="1">
        <f t="array" aca="1" ref="G42" ca="1">+_xll.EQNXTDZ($A$1,$B42,G$2)</f>
        <v>#NAME?</v>
      </c>
      <c r="H42" t="e" cm="1">
        <f t="array" aca="1" ref="H42" ca="1">+_xll.EQNXTDZ($A$1,$B42,H$2)</f>
        <v>#NAME?</v>
      </c>
      <c r="I42" t="e" cm="1">
        <f t="array" aca="1" ref="I42" ca="1">+_xll.EQNXTDZ($A$1,$B42,I$2)</f>
        <v>#NAME?</v>
      </c>
      <c r="J42" t="e" cm="1">
        <f t="array" aca="1" ref="J42" ca="1">+_xll.EQNXTDZ($A$1,$B42,J$2)</f>
        <v>#NAME?</v>
      </c>
      <c r="K42" t="e" cm="1">
        <f t="array" aca="1" ref="K42" ca="1">+_xll.EQNXTDZ($A$1,$B42,K$2)</f>
        <v>#NAME?</v>
      </c>
      <c r="L42" t="e" cm="1">
        <f t="array" aca="1" ref="L42" ca="1">+_xll.EQNXTDZ($A$1,$B42,L$2)</f>
        <v>#NAME?</v>
      </c>
      <c r="M42" t="e" cm="1">
        <f t="array" aca="1" ref="M42" ca="1">+_xll.EQNXTDZ($A$1,$B42,M$2)</f>
        <v>#NAME?</v>
      </c>
      <c r="N42" t="e" cm="1">
        <f t="array" aca="1" ref="N42" ca="1">+_xll.EQNXTDZ($A$1,$B42,N$2)</f>
        <v>#NAME?</v>
      </c>
      <c r="O42" t="e" cm="1">
        <f t="array" aca="1" ref="O42" ca="1">+_xll.EQNXTDZ($A$1,$B42,O$2)</f>
        <v>#NAME?</v>
      </c>
      <c r="P42" t="e" cm="1">
        <f t="array" aca="1" ref="P42" ca="1">+_xll.EQNXTDZ($A$1,$B42,P$2)</f>
        <v>#NAME?</v>
      </c>
      <c r="Q42" t="e" cm="1">
        <f t="array" aca="1" ref="Q42" ca="1">+_xll.EQNXTDZ($A$1,$B42,Q$2)</f>
        <v>#NAME?</v>
      </c>
      <c r="R42" t="e" cm="1">
        <f t="array" aca="1" ref="R42" ca="1">+_xll.EQNXTDZ($A$1,$B42,R$2)</f>
        <v>#NAME?</v>
      </c>
      <c r="S42" t="e" cm="1">
        <f t="array" aca="1" ref="S42" ca="1">+_xll.EQNXTDZ($A$1,$B42,S$2)</f>
        <v>#NAME?</v>
      </c>
      <c r="T42" t="e" cm="1">
        <f t="array" aca="1" ref="T42" ca="1">+_xll.EQNXTDZ($A$1,$B42,T$2)</f>
        <v>#NAME?</v>
      </c>
      <c r="U42" t="e" cm="1">
        <f t="array" aca="1" ref="U42" ca="1">+_xll.EQNXTDZ($A$1,$B42,U$2)</f>
        <v>#NAME?</v>
      </c>
      <c r="V42" t="e" cm="1">
        <f t="array" aca="1" ref="V42" ca="1">+_xll.EQNXTDZ($A$1,$B42,V$2)</f>
        <v>#NAME?</v>
      </c>
      <c r="W42" t="e" cm="1">
        <f t="array" aca="1" ref="W42" ca="1">+_xll.EQNXTDZ($A$1,$B42,W$2)</f>
        <v>#NAME?</v>
      </c>
      <c r="X42" t="e" cm="1">
        <f t="array" aca="1" ref="X42" ca="1">+_xll.EQNXTDZ($A$1,$B42,X$2)</f>
        <v>#NAME?</v>
      </c>
      <c r="Y42" t="e" cm="1">
        <f t="array" aca="1" ref="Y42" ca="1">+_xll.EQNXTDZ($A$1,$B42,Y$2)</f>
        <v>#NAME?</v>
      </c>
      <c r="Z42" t="e" cm="1">
        <f t="array" aca="1" ref="Z42" ca="1">+_xll.EQNXTDZ($A$1,$B42,Z$2)</f>
        <v>#NAME?</v>
      </c>
      <c r="AA42" t="e" cm="1">
        <f t="array" aca="1" ref="AA42" ca="1">+_xll.EQNXTDZ($A$1,$B42,AA$2)</f>
        <v>#NAME?</v>
      </c>
      <c r="AB42" t="e" cm="1">
        <f t="array" aca="1" ref="AB42" ca="1">+_xll.EQNXTDZ($A$1,$B42,AB$2)</f>
        <v>#NAME?</v>
      </c>
      <c r="AC42" t="e" cm="1">
        <f t="array" aca="1" ref="AC42" ca="1">+_xll.EQNXTDZ($A$1,$B42,AC$2)</f>
        <v>#NAME?</v>
      </c>
      <c r="AD42" t="e" cm="1">
        <f t="array" aca="1" ref="AD42" ca="1">+_xll.EQNXTDZ($A$1,$B42,AD$2)</f>
        <v>#NAME?</v>
      </c>
      <c r="AE42" t="e" cm="1">
        <f t="array" aca="1" ref="AE42" ca="1">+_xll.EQNXTDZ($A$1,$B42,AE$2)</f>
        <v>#NAME?</v>
      </c>
      <c r="AF42" t="e" cm="1">
        <f t="array" aca="1" ref="AF42" ca="1">+_xll.EQNXTDZ($A$1,$B42,AF$2)</f>
        <v>#NAME?</v>
      </c>
      <c r="AG42" t="e" cm="1">
        <f t="array" aca="1" ref="AG42" ca="1">+_xll.EQNXTDZ($A$1,$B42,AG$2)</f>
        <v>#NAME?</v>
      </c>
      <c r="AH42" t="e" cm="1">
        <f t="array" aca="1" ref="AH42" ca="1">+_xll.EQNXTDZ($A$1,$B42,AH$2)</f>
        <v>#NAME?</v>
      </c>
      <c r="AI42" t="e" cm="1">
        <f t="array" aca="1" ref="AI42" ca="1">+_xll.EQNXTDZ($A$1,$B42,AI$2)</f>
        <v>#NAME?</v>
      </c>
      <c r="AJ42" t="e" cm="1">
        <f t="array" aca="1" ref="AJ42" ca="1">+_xll.EQNXTDZ($A$1,$B42,AJ$2)</f>
        <v>#NAME?</v>
      </c>
      <c r="AK42" t="e" cm="1">
        <f t="array" aca="1" ref="AK42" ca="1">+_xll.EQNXTDZ($A$1,$B42,AK$2)</f>
        <v>#NAME?</v>
      </c>
      <c r="AL42" t="e" cm="1">
        <f t="array" aca="1" ref="AL42" ca="1">+_xll.EQNXTDZ($A$1,$B42,AL$2)</f>
        <v>#NAME?</v>
      </c>
      <c r="AM42" t="e" cm="1">
        <f t="array" aca="1" ref="AM42" ca="1">+_xll.EQNXTDZ($A$1,$B42,AM$2)</f>
        <v>#NAME?</v>
      </c>
      <c r="AN42" t="e" cm="1">
        <f t="array" aca="1" ref="AN42" ca="1">+_xll.EQNXTDZ($A$1,$B42,AN$2)</f>
        <v>#NAME?</v>
      </c>
      <c r="AO42" t="e" cm="1">
        <f t="array" aca="1" ref="AO42" ca="1">+_xll.EQNXTDZ($A$1,$B42,AO$2)</f>
        <v>#NAME?</v>
      </c>
      <c r="AP42" t="e" cm="1">
        <f t="array" aca="1" ref="AP42" ca="1">+_xll.EQNXTDZ($A$1,$B42,AP$2)</f>
        <v>#NAME?</v>
      </c>
      <c r="AQ42" t="e" cm="1">
        <f t="array" aca="1" ref="AQ42" ca="1">+_xll.EQNXTDZ($A$1,$B42,AQ$2)</f>
        <v>#NAME?</v>
      </c>
      <c r="AR42" t="e" cm="1">
        <f t="array" aca="1" ref="AR42" ca="1">+_xll.EQNXTDZ($A$1,$B42,AR$2)</f>
        <v>#NAME?</v>
      </c>
      <c r="AS42" t="e" cm="1">
        <f t="array" aca="1" ref="AS42" ca="1">+_xll.EQNXTDZ($A$1,$B42,AS$2)</f>
        <v>#NAME?</v>
      </c>
      <c r="AT42" t="e" cm="1">
        <f t="array" aca="1" ref="AT42" ca="1">+_xll.EQNXTDZ($A$1,$B42,AT$2)</f>
        <v>#NAME?</v>
      </c>
      <c r="AU42" t="e" cm="1">
        <f t="array" aca="1" ref="AU42" ca="1">+_xll.EQNXTDZ($A$1,$B42,AU$2)</f>
        <v>#NAME?</v>
      </c>
      <c r="AV42" t="e" cm="1">
        <f t="array" aca="1" ref="AV42" ca="1">+_xll.EQNXTDZ($A$1,$B42,AV$2)</f>
        <v>#NAME?</v>
      </c>
      <c r="AW42" t="e" cm="1">
        <f t="array" aca="1" ref="AW42" ca="1">+_xll.EQNXTDZ($A$1,$B42,AW$2)</f>
        <v>#NAME?</v>
      </c>
      <c r="AX42" t="e" cm="1">
        <f t="array" aca="1" ref="AX42" ca="1">+_xll.EQNXTDZ($A$1,$B42,AX$2)</f>
        <v>#NAME?</v>
      </c>
      <c r="AY42" t="e" cm="1">
        <f t="array" aca="1" ref="AY42" ca="1">+_xll.EQNXTDZ($A$1,$B42,AY$2)</f>
        <v>#NAME?</v>
      </c>
      <c r="AZ42" t="e" cm="1">
        <f t="array" aca="1" ref="AZ42" ca="1">+_xll.EQNXTDZ($A$1,$B42,AZ$2)</f>
        <v>#NAME?</v>
      </c>
      <c r="BA42" t="e" cm="1">
        <f t="array" aca="1" ref="BA42" ca="1">+_xll.EQNXTDZ($A$1,$B42,BA$2)</f>
        <v>#NAME?</v>
      </c>
      <c r="BB42" t="e" cm="1">
        <f t="array" aca="1" ref="BB42" ca="1">+_xll.EQNXTDZ($A$1,$B42,BB$2)</f>
        <v>#NAME?</v>
      </c>
      <c r="BC42" t="e" cm="1">
        <f t="array" aca="1" ref="BC42" ca="1">+_xll.EQNXTDZ($A$1,$B42,BC$2)</f>
        <v>#NAME?</v>
      </c>
      <c r="BD42" t="e" cm="1">
        <f t="array" aca="1" ref="BD42" ca="1">+_xll.EQNXTDZ($A$1,$B42,BD$2)</f>
        <v>#NAME?</v>
      </c>
      <c r="BE42" t="e" cm="1">
        <f t="array" aca="1" ref="BE42" ca="1">+_xll.EQNXTDZ($A$1,$B42,BE$2)</f>
        <v>#NAME?</v>
      </c>
      <c r="BF42" t="e" cm="1">
        <f t="array" aca="1" ref="BF42" ca="1">+_xll.EQNXTDZ($A$1,$B42,BF$2)</f>
        <v>#NAME?</v>
      </c>
      <c r="BG42" t="e" cm="1">
        <f t="array" aca="1" ref="BG42" ca="1">+_xll.EQNXTDZ($A$1,$B42,BG$2)</f>
        <v>#NAME?</v>
      </c>
      <c r="BH42" t="e" cm="1">
        <f t="array" aca="1" ref="BH42" ca="1">+_xll.EQNXTDZ($A$1,$B42,BH$2)</f>
        <v>#NAME?</v>
      </c>
      <c r="BI42" t="e" cm="1">
        <f t="array" aca="1" ref="BI42" ca="1">+_xll.EQNXTDZ($A$1,$B42,BI$2)</f>
        <v>#NAME?</v>
      </c>
      <c r="BJ42" t="e" cm="1">
        <f t="array" aca="1" ref="BJ42" ca="1">+_xll.EQNXTDZ($A$1,$B42,BJ$2)</f>
        <v>#NAME?</v>
      </c>
    </row>
    <row r="43" spans="1:62" x14ac:dyDescent="0.25">
      <c r="A43" t="s">
        <v>241</v>
      </c>
      <c r="B43" t="s">
        <v>282</v>
      </c>
      <c r="C43" t="e" cm="1">
        <f t="array" aca="1" ref="C43" ca="1">+_xll.EQNXTDZ($A$1,$B43,C$2)</f>
        <v>#NAME?</v>
      </c>
      <c r="D43" t="e" cm="1">
        <f t="array" aca="1" ref="D43" ca="1">+_xll.EQNXTDZ($A$1,$B43,D$2)</f>
        <v>#NAME?</v>
      </c>
      <c r="E43" t="e" cm="1">
        <f t="array" aca="1" ref="E43" ca="1">+_xll.EQNXTDZ($A$1,$B43,E$2)</f>
        <v>#NAME?</v>
      </c>
      <c r="F43" t="e" cm="1">
        <f t="array" aca="1" ref="F43" ca="1">+_xll.EQNXTDZ($A$1,$B43,F$2)</f>
        <v>#NAME?</v>
      </c>
      <c r="G43" t="e" cm="1">
        <f t="array" aca="1" ref="G43" ca="1">+_xll.EQNXTDZ($A$1,$B43,G$2)</f>
        <v>#NAME?</v>
      </c>
      <c r="H43" t="e" cm="1">
        <f t="array" aca="1" ref="H43" ca="1">+_xll.EQNXTDZ($A$1,$B43,H$2)</f>
        <v>#NAME?</v>
      </c>
      <c r="I43" t="e" cm="1">
        <f t="array" aca="1" ref="I43" ca="1">+_xll.EQNXTDZ($A$1,$B43,I$2)</f>
        <v>#NAME?</v>
      </c>
      <c r="J43" t="e" cm="1">
        <f t="array" aca="1" ref="J43" ca="1">+_xll.EQNXTDZ($A$1,$B43,J$2)</f>
        <v>#NAME?</v>
      </c>
      <c r="K43" t="e" cm="1">
        <f t="array" aca="1" ref="K43" ca="1">+_xll.EQNXTDZ($A$1,$B43,K$2)</f>
        <v>#NAME?</v>
      </c>
      <c r="L43" t="e" cm="1">
        <f t="array" aca="1" ref="L43" ca="1">+_xll.EQNXTDZ($A$1,$B43,L$2)</f>
        <v>#NAME?</v>
      </c>
      <c r="M43" t="e" cm="1">
        <f t="array" aca="1" ref="M43" ca="1">+_xll.EQNXTDZ($A$1,$B43,M$2)</f>
        <v>#NAME?</v>
      </c>
      <c r="N43" t="e" cm="1">
        <f t="array" aca="1" ref="N43" ca="1">+_xll.EQNXTDZ($A$1,$B43,N$2)</f>
        <v>#NAME?</v>
      </c>
      <c r="O43" t="e" cm="1">
        <f t="array" aca="1" ref="O43" ca="1">+_xll.EQNXTDZ($A$1,$B43,O$2)</f>
        <v>#NAME?</v>
      </c>
      <c r="P43" t="e" cm="1">
        <f t="array" aca="1" ref="P43" ca="1">+_xll.EQNXTDZ($A$1,$B43,P$2)</f>
        <v>#NAME?</v>
      </c>
      <c r="Q43" t="e" cm="1">
        <f t="array" aca="1" ref="Q43" ca="1">+_xll.EQNXTDZ($A$1,$B43,Q$2)</f>
        <v>#NAME?</v>
      </c>
      <c r="R43" t="e" cm="1">
        <f t="array" aca="1" ref="R43" ca="1">+_xll.EQNXTDZ($A$1,$B43,R$2)</f>
        <v>#NAME?</v>
      </c>
      <c r="S43" t="e" cm="1">
        <f t="array" aca="1" ref="S43" ca="1">+_xll.EQNXTDZ($A$1,$B43,S$2)</f>
        <v>#NAME?</v>
      </c>
      <c r="T43" t="e" cm="1">
        <f t="array" aca="1" ref="T43" ca="1">+_xll.EQNXTDZ($A$1,$B43,T$2)</f>
        <v>#NAME?</v>
      </c>
      <c r="U43" t="e" cm="1">
        <f t="array" aca="1" ref="U43" ca="1">+_xll.EQNXTDZ($A$1,$B43,U$2)</f>
        <v>#NAME?</v>
      </c>
      <c r="V43" t="e" cm="1">
        <f t="array" aca="1" ref="V43" ca="1">+_xll.EQNXTDZ($A$1,$B43,V$2)</f>
        <v>#NAME?</v>
      </c>
      <c r="W43" t="e" cm="1">
        <f t="array" aca="1" ref="W43" ca="1">+_xll.EQNXTDZ($A$1,$B43,W$2)</f>
        <v>#NAME?</v>
      </c>
      <c r="X43" t="e" cm="1">
        <f t="array" aca="1" ref="X43" ca="1">+_xll.EQNXTDZ($A$1,$B43,X$2)</f>
        <v>#NAME?</v>
      </c>
      <c r="Y43" t="e" cm="1">
        <f t="array" aca="1" ref="Y43" ca="1">+_xll.EQNXTDZ($A$1,$B43,Y$2)</f>
        <v>#NAME?</v>
      </c>
      <c r="Z43" t="e" cm="1">
        <f t="array" aca="1" ref="Z43" ca="1">+_xll.EQNXTDZ($A$1,$B43,Z$2)</f>
        <v>#NAME?</v>
      </c>
      <c r="AA43" t="e" cm="1">
        <f t="array" aca="1" ref="AA43" ca="1">+_xll.EQNXTDZ($A$1,$B43,AA$2)</f>
        <v>#NAME?</v>
      </c>
      <c r="AB43" t="e" cm="1">
        <f t="array" aca="1" ref="AB43" ca="1">+_xll.EQNXTDZ($A$1,$B43,AB$2)</f>
        <v>#NAME?</v>
      </c>
      <c r="AC43" t="e" cm="1">
        <f t="array" aca="1" ref="AC43" ca="1">+_xll.EQNXTDZ($A$1,$B43,AC$2)</f>
        <v>#NAME?</v>
      </c>
      <c r="AD43" t="e" cm="1">
        <f t="array" aca="1" ref="AD43" ca="1">+_xll.EQNXTDZ($A$1,$B43,AD$2)</f>
        <v>#NAME?</v>
      </c>
      <c r="AE43" t="e" cm="1">
        <f t="array" aca="1" ref="AE43" ca="1">+_xll.EQNXTDZ($A$1,$B43,AE$2)</f>
        <v>#NAME?</v>
      </c>
      <c r="AF43" t="e" cm="1">
        <f t="array" aca="1" ref="AF43" ca="1">+_xll.EQNXTDZ($A$1,$B43,AF$2)</f>
        <v>#NAME?</v>
      </c>
      <c r="AG43" t="e" cm="1">
        <f t="array" aca="1" ref="AG43" ca="1">+_xll.EQNXTDZ($A$1,$B43,AG$2)</f>
        <v>#NAME?</v>
      </c>
      <c r="AH43" t="e" cm="1">
        <f t="array" aca="1" ref="AH43" ca="1">+_xll.EQNXTDZ($A$1,$B43,AH$2)</f>
        <v>#NAME?</v>
      </c>
      <c r="AI43" t="e" cm="1">
        <f t="array" aca="1" ref="AI43" ca="1">+_xll.EQNXTDZ($A$1,$B43,AI$2)</f>
        <v>#NAME?</v>
      </c>
      <c r="AJ43" t="e" cm="1">
        <f t="array" aca="1" ref="AJ43" ca="1">+_xll.EQNXTDZ($A$1,$B43,AJ$2)</f>
        <v>#NAME?</v>
      </c>
      <c r="AK43" t="e" cm="1">
        <f t="array" aca="1" ref="AK43" ca="1">+_xll.EQNXTDZ($A$1,$B43,AK$2)</f>
        <v>#NAME?</v>
      </c>
      <c r="AL43" t="e" cm="1">
        <f t="array" aca="1" ref="AL43" ca="1">+_xll.EQNXTDZ($A$1,$B43,AL$2)</f>
        <v>#NAME?</v>
      </c>
      <c r="AM43" t="e" cm="1">
        <f t="array" aca="1" ref="AM43" ca="1">+_xll.EQNXTDZ($A$1,$B43,AM$2)</f>
        <v>#NAME?</v>
      </c>
      <c r="AN43" t="e" cm="1">
        <f t="array" aca="1" ref="AN43" ca="1">+_xll.EQNXTDZ($A$1,$B43,AN$2)</f>
        <v>#NAME?</v>
      </c>
      <c r="AO43" t="e" cm="1">
        <f t="array" aca="1" ref="AO43" ca="1">+_xll.EQNXTDZ($A$1,$B43,AO$2)</f>
        <v>#NAME?</v>
      </c>
      <c r="AP43" t="e" cm="1">
        <f t="array" aca="1" ref="AP43" ca="1">+_xll.EQNXTDZ($A$1,$B43,AP$2)</f>
        <v>#NAME?</v>
      </c>
      <c r="AQ43" t="e" cm="1">
        <f t="array" aca="1" ref="AQ43" ca="1">+_xll.EQNXTDZ($A$1,$B43,AQ$2)</f>
        <v>#NAME?</v>
      </c>
      <c r="AR43" t="e" cm="1">
        <f t="array" aca="1" ref="AR43" ca="1">+_xll.EQNXTDZ($A$1,$B43,AR$2)</f>
        <v>#NAME?</v>
      </c>
      <c r="AS43" t="e" cm="1">
        <f t="array" aca="1" ref="AS43" ca="1">+_xll.EQNXTDZ($A$1,$B43,AS$2)</f>
        <v>#NAME?</v>
      </c>
      <c r="AT43" t="e" cm="1">
        <f t="array" aca="1" ref="AT43" ca="1">+_xll.EQNXTDZ($A$1,$B43,AT$2)</f>
        <v>#NAME?</v>
      </c>
      <c r="AU43" t="e" cm="1">
        <f t="array" aca="1" ref="AU43" ca="1">+_xll.EQNXTDZ($A$1,$B43,AU$2)</f>
        <v>#NAME?</v>
      </c>
      <c r="AV43" t="e" cm="1">
        <f t="array" aca="1" ref="AV43" ca="1">+_xll.EQNXTDZ($A$1,$B43,AV$2)</f>
        <v>#NAME?</v>
      </c>
      <c r="AW43" t="e" cm="1">
        <f t="array" aca="1" ref="AW43" ca="1">+_xll.EQNXTDZ($A$1,$B43,AW$2)</f>
        <v>#NAME?</v>
      </c>
      <c r="AX43" t="e" cm="1">
        <f t="array" aca="1" ref="AX43" ca="1">+_xll.EQNXTDZ($A$1,$B43,AX$2)</f>
        <v>#NAME?</v>
      </c>
      <c r="AY43" t="e" cm="1">
        <f t="array" aca="1" ref="AY43" ca="1">+_xll.EQNXTDZ($A$1,$B43,AY$2)</f>
        <v>#NAME?</v>
      </c>
      <c r="AZ43" t="e" cm="1">
        <f t="array" aca="1" ref="AZ43" ca="1">+_xll.EQNXTDZ($A$1,$B43,AZ$2)</f>
        <v>#NAME?</v>
      </c>
      <c r="BA43" t="e" cm="1">
        <f t="array" aca="1" ref="BA43" ca="1">+_xll.EQNXTDZ($A$1,$B43,BA$2)</f>
        <v>#NAME?</v>
      </c>
      <c r="BB43" t="e" cm="1">
        <f t="array" aca="1" ref="BB43" ca="1">+_xll.EQNXTDZ($A$1,$B43,BB$2)</f>
        <v>#NAME?</v>
      </c>
      <c r="BC43" t="e" cm="1">
        <f t="array" aca="1" ref="BC43" ca="1">+_xll.EQNXTDZ($A$1,$B43,BC$2)</f>
        <v>#NAME?</v>
      </c>
      <c r="BD43" t="e" cm="1">
        <f t="array" aca="1" ref="BD43" ca="1">+_xll.EQNXTDZ($A$1,$B43,BD$2)</f>
        <v>#NAME?</v>
      </c>
      <c r="BE43" t="e" cm="1">
        <f t="array" aca="1" ref="BE43" ca="1">+_xll.EQNXTDZ($A$1,$B43,BE$2)</f>
        <v>#NAME?</v>
      </c>
      <c r="BF43" t="e" cm="1">
        <f t="array" aca="1" ref="BF43" ca="1">+_xll.EQNXTDZ($A$1,$B43,BF$2)</f>
        <v>#NAME?</v>
      </c>
      <c r="BG43" t="e" cm="1">
        <f t="array" aca="1" ref="BG43" ca="1">+_xll.EQNXTDZ($A$1,$B43,BG$2)</f>
        <v>#NAME?</v>
      </c>
      <c r="BH43" t="e" cm="1">
        <f t="array" aca="1" ref="BH43" ca="1">+_xll.EQNXTDZ($A$1,$B43,BH$2)</f>
        <v>#NAME?</v>
      </c>
      <c r="BI43" t="e" cm="1">
        <f t="array" aca="1" ref="BI43" ca="1">+_xll.EQNXTDZ($A$1,$B43,BI$2)</f>
        <v>#NAME?</v>
      </c>
      <c r="BJ43" t="e" cm="1">
        <f t="array" aca="1" ref="BJ43" ca="1">+_xll.EQNXTDZ($A$1,$B43,BJ$2)</f>
        <v>#NAME?</v>
      </c>
    </row>
    <row r="44" spans="1:62" x14ac:dyDescent="0.25">
      <c r="A44" t="s">
        <v>242</v>
      </c>
      <c r="B44" t="s">
        <v>283</v>
      </c>
      <c r="C44" t="e" cm="1">
        <f t="array" aca="1" ref="C44" ca="1">+_xll.EQNXTDZ($A$1,$B44,C$2)</f>
        <v>#NAME?</v>
      </c>
      <c r="D44" t="e" cm="1">
        <f t="array" aca="1" ref="D44" ca="1">+_xll.EQNXTDZ($A$1,$B44,D$2)</f>
        <v>#NAME?</v>
      </c>
      <c r="E44" t="e" cm="1">
        <f t="array" aca="1" ref="E44" ca="1">+_xll.EQNXTDZ($A$1,$B44,E$2)</f>
        <v>#NAME?</v>
      </c>
      <c r="F44" t="e" cm="1">
        <f t="array" aca="1" ref="F44" ca="1">+_xll.EQNXTDZ($A$1,$B44,F$2)</f>
        <v>#NAME?</v>
      </c>
      <c r="G44" t="e" cm="1">
        <f t="array" aca="1" ref="G44" ca="1">+_xll.EQNXTDZ($A$1,$B44,G$2)</f>
        <v>#NAME?</v>
      </c>
      <c r="H44" t="e" cm="1">
        <f t="array" aca="1" ref="H44" ca="1">+_xll.EQNXTDZ($A$1,$B44,H$2)</f>
        <v>#NAME?</v>
      </c>
      <c r="I44" t="e" cm="1">
        <f t="array" aca="1" ref="I44" ca="1">+_xll.EQNXTDZ($A$1,$B44,I$2)</f>
        <v>#NAME?</v>
      </c>
      <c r="J44" t="e" cm="1">
        <f t="array" aca="1" ref="J44" ca="1">+_xll.EQNXTDZ($A$1,$B44,J$2)</f>
        <v>#NAME?</v>
      </c>
      <c r="K44" t="e" cm="1">
        <f t="array" aca="1" ref="K44" ca="1">+_xll.EQNXTDZ($A$1,$B44,K$2)</f>
        <v>#NAME?</v>
      </c>
      <c r="L44" t="e" cm="1">
        <f t="array" aca="1" ref="L44" ca="1">+_xll.EQNXTDZ($A$1,$B44,L$2)</f>
        <v>#NAME?</v>
      </c>
      <c r="M44" t="e" cm="1">
        <f t="array" aca="1" ref="M44" ca="1">+_xll.EQNXTDZ($A$1,$B44,M$2)</f>
        <v>#NAME?</v>
      </c>
      <c r="N44" t="e" cm="1">
        <f t="array" aca="1" ref="N44" ca="1">+_xll.EQNXTDZ($A$1,$B44,N$2)</f>
        <v>#NAME?</v>
      </c>
      <c r="O44" t="e" cm="1">
        <f t="array" aca="1" ref="O44" ca="1">+_xll.EQNXTDZ($A$1,$B44,O$2)</f>
        <v>#NAME?</v>
      </c>
      <c r="P44" t="e" cm="1">
        <f t="array" aca="1" ref="P44" ca="1">+_xll.EQNXTDZ($A$1,$B44,P$2)</f>
        <v>#NAME?</v>
      </c>
      <c r="Q44" t="e" cm="1">
        <f t="array" aca="1" ref="Q44" ca="1">+_xll.EQNXTDZ($A$1,$B44,Q$2)</f>
        <v>#NAME?</v>
      </c>
      <c r="R44" t="e" cm="1">
        <f t="array" aca="1" ref="R44" ca="1">+_xll.EQNXTDZ($A$1,$B44,R$2)</f>
        <v>#NAME?</v>
      </c>
      <c r="S44" t="e" cm="1">
        <f t="array" aca="1" ref="S44" ca="1">+_xll.EQNXTDZ($A$1,$B44,S$2)</f>
        <v>#NAME?</v>
      </c>
      <c r="T44" t="e" cm="1">
        <f t="array" aca="1" ref="T44" ca="1">+_xll.EQNXTDZ($A$1,$B44,T$2)</f>
        <v>#NAME?</v>
      </c>
      <c r="U44" t="e" cm="1">
        <f t="array" aca="1" ref="U44" ca="1">+_xll.EQNXTDZ($A$1,$B44,U$2)</f>
        <v>#NAME?</v>
      </c>
      <c r="V44" t="e" cm="1">
        <f t="array" aca="1" ref="V44" ca="1">+_xll.EQNXTDZ($A$1,$B44,V$2)</f>
        <v>#NAME?</v>
      </c>
      <c r="W44" t="e" cm="1">
        <f t="array" aca="1" ref="W44" ca="1">+_xll.EQNXTDZ($A$1,$B44,W$2)</f>
        <v>#NAME?</v>
      </c>
      <c r="X44" t="e" cm="1">
        <f t="array" aca="1" ref="X44" ca="1">+_xll.EQNXTDZ($A$1,$B44,X$2)</f>
        <v>#NAME?</v>
      </c>
      <c r="Y44" t="e" cm="1">
        <f t="array" aca="1" ref="Y44" ca="1">+_xll.EQNXTDZ($A$1,$B44,Y$2)</f>
        <v>#NAME?</v>
      </c>
      <c r="Z44" t="e" cm="1">
        <f t="array" aca="1" ref="Z44" ca="1">+_xll.EQNXTDZ($A$1,$B44,Z$2)</f>
        <v>#NAME?</v>
      </c>
      <c r="AA44" t="e" cm="1">
        <f t="array" aca="1" ref="AA44" ca="1">+_xll.EQNXTDZ($A$1,$B44,AA$2)</f>
        <v>#NAME?</v>
      </c>
      <c r="AB44" t="e" cm="1">
        <f t="array" aca="1" ref="AB44" ca="1">+_xll.EQNXTDZ($A$1,$B44,AB$2)</f>
        <v>#NAME?</v>
      </c>
      <c r="AC44" t="e" cm="1">
        <f t="array" aca="1" ref="AC44" ca="1">+_xll.EQNXTDZ($A$1,$B44,AC$2)</f>
        <v>#NAME?</v>
      </c>
      <c r="AD44" t="e" cm="1">
        <f t="array" aca="1" ref="AD44" ca="1">+_xll.EQNXTDZ($A$1,$B44,AD$2)</f>
        <v>#NAME?</v>
      </c>
      <c r="AE44" t="e" cm="1">
        <f t="array" aca="1" ref="AE44" ca="1">+_xll.EQNXTDZ($A$1,$B44,AE$2)</f>
        <v>#NAME?</v>
      </c>
      <c r="AF44" t="e" cm="1">
        <f t="array" aca="1" ref="AF44" ca="1">+_xll.EQNXTDZ($A$1,$B44,AF$2)</f>
        <v>#NAME?</v>
      </c>
      <c r="AG44" t="e" cm="1">
        <f t="array" aca="1" ref="AG44" ca="1">+_xll.EQNXTDZ($A$1,$B44,AG$2)</f>
        <v>#NAME?</v>
      </c>
      <c r="AH44" t="e" cm="1">
        <f t="array" aca="1" ref="AH44" ca="1">+_xll.EQNXTDZ($A$1,$B44,AH$2)</f>
        <v>#NAME?</v>
      </c>
      <c r="AI44" t="e" cm="1">
        <f t="array" aca="1" ref="AI44" ca="1">+_xll.EQNXTDZ($A$1,$B44,AI$2)</f>
        <v>#NAME?</v>
      </c>
      <c r="AJ44" t="e" cm="1">
        <f t="array" aca="1" ref="AJ44" ca="1">+_xll.EQNXTDZ($A$1,$B44,AJ$2)</f>
        <v>#NAME?</v>
      </c>
      <c r="AK44" t="e" cm="1">
        <f t="array" aca="1" ref="AK44" ca="1">+_xll.EQNXTDZ($A$1,$B44,AK$2)</f>
        <v>#NAME?</v>
      </c>
      <c r="AL44" t="e" cm="1">
        <f t="array" aca="1" ref="AL44" ca="1">+_xll.EQNXTDZ($A$1,$B44,AL$2)</f>
        <v>#NAME?</v>
      </c>
      <c r="AM44" t="e" cm="1">
        <f t="array" aca="1" ref="AM44" ca="1">+_xll.EQNXTDZ($A$1,$B44,AM$2)</f>
        <v>#NAME?</v>
      </c>
      <c r="AN44" t="e" cm="1">
        <f t="array" aca="1" ref="AN44" ca="1">+_xll.EQNXTDZ($A$1,$B44,AN$2)</f>
        <v>#NAME?</v>
      </c>
      <c r="AO44" t="e" cm="1">
        <f t="array" aca="1" ref="AO44" ca="1">+_xll.EQNXTDZ($A$1,$B44,AO$2)</f>
        <v>#NAME?</v>
      </c>
      <c r="AP44" t="e" cm="1">
        <f t="array" aca="1" ref="AP44" ca="1">+_xll.EQNXTDZ($A$1,$B44,AP$2)</f>
        <v>#NAME?</v>
      </c>
      <c r="AQ44" t="e" cm="1">
        <f t="array" aca="1" ref="AQ44" ca="1">+_xll.EQNXTDZ($A$1,$B44,AQ$2)</f>
        <v>#NAME?</v>
      </c>
      <c r="AR44" t="e" cm="1">
        <f t="array" aca="1" ref="AR44" ca="1">+_xll.EQNXTDZ($A$1,$B44,AR$2)</f>
        <v>#NAME?</v>
      </c>
      <c r="AS44" t="e" cm="1">
        <f t="array" aca="1" ref="AS44" ca="1">+_xll.EQNXTDZ($A$1,$B44,AS$2)</f>
        <v>#NAME?</v>
      </c>
      <c r="AT44" t="e" cm="1">
        <f t="array" aca="1" ref="AT44" ca="1">+_xll.EQNXTDZ($A$1,$B44,AT$2)</f>
        <v>#NAME?</v>
      </c>
      <c r="AU44" t="e" cm="1">
        <f t="array" aca="1" ref="AU44" ca="1">+_xll.EQNXTDZ($A$1,$B44,AU$2)</f>
        <v>#NAME?</v>
      </c>
      <c r="AV44" t="e" cm="1">
        <f t="array" aca="1" ref="AV44" ca="1">+_xll.EQNXTDZ($A$1,$B44,AV$2)</f>
        <v>#NAME?</v>
      </c>
      <c r="AW44" t="e" cm="1">
        <f t="array" aca="1" ref="AW44" ca="1">+_xll.EQNXTDZ($A$1,$B44,AW$2)</f>
        <v>#NAME?</v>
      </c>
      <c r="AX44" t="e" cm="1">
        <f t="array" aca="1" ref="AX44" ca="1">+_xll.EQNXTDZ($A$1,$B44,AX$2)</f>
        <v>#NAME?</v>
      </c>
      <c r="AY44" t="e" cm="1">
        <f t="array" aca="1" ref="AY44" ca="1">+_xll.EQNXTDZ($A$1,$B44,AY$2)</f>
        <v>#NAME?</v>
      </c>
      <c r="AZ44" t="e" cm="1">
        <f t="array" aca="1" ref="AZ44" ca="1">+_xll.EQNXTDZ($A$1,$B44,AZ$2)</f>
        <v>#NAME?</v>
      </c>
      <c r="BA44" t="e" cm="1">
        <f t="array" aca="1" ref="BA44" ca="1">+_xll.EQNXTDZ($A$1,$B44,BA$2)</f>
        <v>#NAME?</v>
      </c>
      <c r="BB44" t="e" cm="1">
        <f t="array" aca="1" ref="BB44" ca="1">+_xll.EQNXTDZ($A$1,$B44,BB$2)</f>
        <v>#NAME?</v>
      </c>
      <c r="BC44" t="e" cm="1">
        <f t="array" aca="1" ref="BC44" ca="1">+_xll.EQNXTDZ($A$1,$B44,BC$2)</f>
        <v>#NAME?</v>
      </c>
      <c r="BD44" t="e" cm="1">
        <f t="array" aca="1" ref="BD44" ca="1">+_xll.EQNXTDZ($A$1,$B44,BD$2)</f>
        <v>#NAME?</v>
      </c>
      <c r="BE44" t="e" cm="1">
        <f t="array" aca="1" ref="BE44" ca="1">+_xll.EQNXTDZ($A$1,$B44,BE$2)</f>
        <v>#NAME?</v>
      </c>
      <c r="BF44" t="e" cm="1">
        <f t="array" aca="1" ref="BF44" ca="1">+_xll.EQNXTDZ($A$1,$B44,BF$2)</f>
        <v>#NAME?</v>
      </c>
      <c r="BG44" t="e" cm="1">
        <f t="array" aca="1" ref="BG44" ca="1">+_xll.EQNXTDZ($A$1,$B44,BG$2)</f>
        <v>#NAME?</v>
      </c>
      <c r="BH44" t="e" cm="1">
        <f t="array" aca="1" ref="BH44" ca="1">+_xll.EQNXTDZ($A$1,$B44,BH$2)</f>
        <v>#NAME?</v>
      </c>
      <c r="BI44" t="e" cm="1">
        <f t="array" aca="1" ref="BI44" ca="1">+_xll.EQNXTDZ($A$1,$B44,BI$2)</f>
        <v>#NAME?</v>
      </c>
      <c r="BJ44" t="e" cm="1">
        <f t="array" aca="1" ref="BJ44" ca="1">+_xll.EQNXTDZ($A$1,$B44,BJ$2)</f>
        <v>#NAME?</v>
      </c>
    </row>
    <row r="45" spans="1:62" x14ac:dyDescent="0.25">
      <c r="A45" t="s">
        <v>243</v>
      </c>
      <c r="B45" t="s">
        <v>284</v>
      </c>
      <c r="C45" t="e" cm="1">
        <f t="array" aca="1" ref="C45" ca="1">+_xll.EQNXTDZ($A$1,$B45,C$2)</f>
        <v>#NAME?</v>
      </c>
      <c r="D45" t="e" cm="1">
        <f t="array" aca="1" ref="D45" ca="1">+_xll.EQNXTDZ($A$1,$B45,D$2)</f>
        <v>#NAME?</v>
      </c>
      <c r="E45" t="e" cm="1">
        <f t="array" aca="1" ref="E45" ca="1">+_xll.EQNXTDZ($A$1,$B45,E$2)</f>
        <v>#NAME?</v>
      </c>
      <c r="F45" t="e" cm="1">
        <f t="array" aca="1" ref="F45" ca="1">+_xll.EQNXTDZ($A$1,$B45,F$2)</f>
        <v>#NAME?</v>
      </c>
      <c r="G45" t="e" cm="1">
        <f t="array" aca="1" ref="G45" ca="1">+_xll.EQNXTDZ($A$1,$B45,G$2)</f>
        <v>#NAME?</v>
      </c>
      <c r="H45" t="e" cm="1">
        <f t="array" aca="1" ref="H45" ca="1">+_xll.EQNXTDZ($A$1,$B45,H$2)</f>
        <v>#NAME?</v>
      </c>
      <c r="I45" t="e" cm="1">
        <f t="array" aca="1" ref="I45" ca="1">+_xll.EQNXTDZ($A$1,$B45,I$2)</f>
        <v>#NAME?</v>
      </c>
      <c r="J45" t="e" cm="1">
        <f t="array" aca="1" ref="J45" ca="1">+_xll.EQNXTDZ($A$1,$B45,J$2)</f>
        <v>#NAME?</v>
      </c>
      <c r="K45" t="e" cm="1">
        <f t="array" aca="1" ref="K45" ca="1">+_xll.EQNXTDZ($A$1,$B45,K$2)</f>
        <v>#NAME?</v>
      </c>
      <c r="L45" t="e" cm="1">
        <f t="array" aca="1" ref="L45" ca="1">+_xll.EQNXTDZ($A$1,$B45,L$2)</f>
        <v>#NAME?</v>
      </c>
      <c r="M45" t="e" cm="1">
        <f t="array" aca="1" ref="M45" ca="1">+_xll.EQNXTDZ($A$1,$B45,M$2)</f>
        <v>#NAME?</v>
      </c>
      <c r="N45" t="e" cm="1">
        <f t="array" aca="1" ref="N45" ca="1">+_xll.EQNXTDZ($A$1,$B45,N$2)</f>
        <v>#NAME?</v>
      </c>
      <c r="O45" t="e" cm="1">
        <f t="array" aca="1" ref="O45" ca="1">+_xll.EQNXTDZ($A$1,$B45,O$2)</f>
        <v>#NAME?</v>
      </c>
      <c r="P45" t="e" cm="1">
        <f t="array" aca="1" ref="P45" ca="1">+_xll.EQNXTDZ($A$1,$B45,P$2)</f>
        <v>#NAME?</v>
      </c>
      <c r="Q45" t="e" cm="1">
        <f t="array" aca="1" ref="Q45" ca="1">+_xll.EQNXTDZ($A$1,$B45,Q$2)</f>
        <v>#NAME?</v>
      </c>
      <c r="R45" t="e" cm="1">
        <f t="array" aca="1" ref="R45" ca="1">+_xll.EQNXTDZ($A$1,$B45,R$2)</f>
        <v>#NAME?</v>
      </c>
      <c r="S45" t="e" cm="1">
        <f t="array" aca="1" ref="S45" ca="1">+_xll.EQNXTDZ($A$1,$B45,S$2)</f>
        <v>#NAME?</v>
      </c>
      <c r="T45" t="e" cm="1">
        <f t="array" aca="1" ref="T45" ca="1">+_xll.EQNXTDZ($A$1,$B45,T$2)</f>
        <v>#NAME?</v>
      </c>
      <c r="U45" t="e" cm="1">
        <f t="array" aca="1" ref="U45" ca="1">+_xll.EQNXTDZ($A$1,$B45,U$2)</f>
        <v>#NAME?</v>
      </c>
      <c r="V45" t="e" cm="1">
        <f t="array" aca="1" ref="V45" ca="1">+_xll.EQNXTDZ($A$1,$B45,V$2)</f>
        <v>#NAME?</v>
      </c>
      <c r="W45" t="e" cm="1">
        <f t="array" aca="1" ref="W45" ca="1">+_xll.EQNXTDZ($A$1,$B45,W$2)</f>
        <v>#NAME?</v>
      </c>
      <c r="X45" t="e" cm="1">
        <f t="array" aca="1" ref="X45" ca="1">+_xll.EQNXTDZ($A$1,$B45,X$2)</f>
        <v>#NAME?</v>
      </c>
      <c r="Y45" t="e" cm="1">
        <f t="array" aca="1" ref="Y45" ca="1">+_xll.EQNXTDZ($A$1,$B45,Y$2)</f>
        <v>#NAME?</v>
      </c>
      <c r="Z45" t="e" cm="1">
        <f t="array" aca="1" ref="Z45" ca="1">+_xll.EQNXTDZ($A$1,$B45,Z$2)</f>
        <v>#NAME?</v>
      </c>
      <c r="AA45" t="e" cm="1">
        <f t="array" aca="1" ref="AA45" ca="1">+_xll.EQNXTDZ($A$1,$B45,AA$2)</f>
        <v>#NAME?</v>
      </c>
      <c r="AB45" t="e" cm="1">
        <f t="array" aca="1" ref="AB45" ca="1">+_xll.EQNXTDZ($A$1,$B45,AB$2)</f>
        <v>#NAME?</v>
      </c>
      <c r="AC45" t="e" cm="1">
        <f t="array" aca="1" ref="AC45" ca="1">+_xll.EQNXTDZ($A$1,$B45,AC$2)</f>
        <v>#NAME?</v>
      </c>
      <c r="AD45" t="e" cm="1">
        <f t="array" aca="1" ref="AD45" ca="1">+_xll.EQNXTDZ($A$1,$B45,AD$2)</f>
        <v>#NAME?</v>
      </c>
      <c r="AE45" t="e" cm="1">
        <f t="array" aca="1" ref="AE45" ca="1">+_xll.EQNXTDZ($A$1,$B45,AE$2)</f>
        <v>#NAME?</v>
      </c>
      <c r="AF45" t="e" cm="1">
        <f t="array" aca="1" ref="AF45" ca="1">+_xll.EQNXTDZ($A$1,$B45,AF$2)</f>
        <v>#NAME?</v>
      </c>
      <c r="AG45" t="e" cm="1">
        <f t="array" aca="1" ref="AG45" ca="1">+_xll.EQNXTDZ($A$1,$B45,AG$2)</f>
        <v>#NAME?</v>
      </c>
      <c r="AH45" t="e" cm="1">
        <f t="array" aca="1" ref="AH45" ca="1">+_xll.EQNXTDZ($A$1,$B45,AH$2)</f>
        <v>#NAME?</v>
      </c>
      <c r="AI45" t="e" cm="1">
        <f t="array" aca="1" ref="AI45" ca="1">+_xll.EQNXTDZ($A$1,$B45,AI$2)</f>
        <v>#NAME?</v>
      </c>
      <c r="AJ45" t="e" cm="1">
        <f t="array" aca="1" ref="AJ45" ca="1">+_xll.EQNXTDZ($A$1,$B45,AJ$2)</f>
        <v>#NAME?</v>
      </c>
      <c r="AK45" t="e" cm="1">
        <f t="array" aca="1" ref="AK45" ca="1">+_xll.EQNXTDZ($A$1,$B45,AK$2)</f>
        <v>#NAME?</v>
      </c>
      <c r="AL45" t="e" cm="1">
        <f t="array" aca="1" ref="AL45" ca="1">+_xll.EQNXTDZ($A$1,$B45,AL$2)</f>
        <v>#NAME?</v>
      </c>
      <c r="AM45" t="e" cm="1">
        <f t="array" aca="1" ref="AM45" ca="1">+_xll.EQNXTDZ($A$1,$B45,AM$2)</f>
        <v>#NAME?</v>
      </c>
      <c r="AN45" t="e" cm="1">
        <f t="array" aca="1" ref="AN45" ca="1">+_xll.EQNXTDZ($A$1,$B45,AN$2)</f>
        <v>#NAME?</v>
      </c>
      <c r="AO45" t="e" cm="1">
        <f t="array" aca="1" ref="AO45" ca="1">+_xll.EQNXTDZ($A$1,$B45,AO$2)</f>
        <v>#NAME?</v>
      </c>
      <c r="AP45" t="e" cm="1">
        <f t="array" aca="1" ref="AP45" ca="1">+_xll.EQNXTDZ($A$1,$B45,AP$2)</f>
        <v>#NAME?</v>
      </c>
      <c r="AQ45" t="e" cm="1">
        <f t="array" aca="1" ref="AQ45" ca="1">+_xll.EQNXTDZ($A$1,$B45,AQ$2)</f>
        <v>#NAME?</v>
      </c>
      <c r="AR45" t="e" cm="1">
        <f t="array" aca="1" ref="AR45" ca="1">+_xll.EQNXTDZ($A$1,$B45,AR$2)</f>
        <v>#NAME?</v>
      </c>
      <c r="AS45" t="e" cm="1">
        <f t="array" aca="1" ref="AS45" ca="1">+_xll.EQNXTDZ($A$1,$B45,AS$2)</f>
        <v>#NAME?</v>
      </c>
      <c r="AT45" t="e" cm="1">
        <f t="array" aca="1" ref="AT45" ca="1">+_xll.EQNXTDZ($A$1,$B45,AT$2)</f>
        <v>#NAME?</v>
      </c>
      <c r="AU45" t="e" cm="1">
        <f t="array" aca="1" ref="AU45" ca="1">+_xll.EQNXTDZ($A$1,$B45,AU$2)</f>
        <v>#NAME?</v>
      </c>
      <c r="AV45" t="e" cm="1">
        <f t="array" aca="1" ref="AV45" ca="1">+_xll.EQNXTDZ($A$1,$B45,AV$2)</f>
        <v>#NAME?</v>
      </c>
      <c r="AW45" t="e" cm="1">
        <f t="array" aca="1" ref="AW45" ca="1">+_xll.EQNXTDZ($A$1,$B45,AW$2)</f>
        <v>#NAME?</v>
      </c>
      <c r="AX45" t="e" cm="1">
        <f t="array" aca="1" ref="AX45" ca="1">+_xll.EQNXTDZ($A$1,$B45,AX$2)</f>
        <v>#NAME?</v>
      </c>
      <c r="AY45" t="e" cm="1">
        <f t="array" aca="1" ref="AY45" ca="1">+_xll.EQNXTDZ($A$1,$B45,AY$2)</f>
        <v>#NAME?</v>
      </c>
      <c r="AZ45" t="e" cm="1">
        <f t="array" aca="1" ref="AZ45" ca="1">+_xll.EQNXTDZ($A$1,$B45,AZ$2)</f>
        <v>#NAME?</v>
      </c>
      <c r="BA45" t="e" cm="1">
        <f t="array" aca="1" ref="BA45" ca="1">+_xll.EQNXTDZ($A$1,$B45,BA$2)</f>
        <v>#NAME?</v>
      </c>
      <c r="BB45" t="e" cm="1">
        <f t="array" aca="1" ref="BB45" ca="1">+_xll.EQNXTDZ($A$1,$B45,BB$2)</f>
        <v>#NAME?</v>
      </c>
      <c r="BC45" t="e" cm="1">
        <f t="array" aca="1" ref="BC45" ca="1">+_xll.EQNXTDZ($A$1,$B45,BC$2)</f>
        <v>#NAME?</v>
      </c>
      <c r="BD45" t="e" cm="1">
        <f t="array" aca="1" ref="BD45" ca="1">+_xll.EQNXTDZ($A$1,$B45,BD$2)</f>
        <v>#NAME?</v>
      </c>
      <c r="BE45" t="e" cm="1">
        <f t="array" aca="1" ref="BE45" ca="1">+_xll.EQNXTDZ($A$1,$B45,BE$2)</f>
        <v>#NAME?</v>
      </c>
      <c r="BF45" t="e" cm="1">
        <f t="array" aca="1" ref="BF45" ca="1">+_xll.EQNXTDZ($A$1,$B45,BF$2)</f>
        <v>#NAME?</v>
      </c>
      <c r="BG45" t="e" cm="1">
        <f t="array" aca="1" ref="BG45" ca="1">+_xll.EQNXTDZ($A$1,$B45,BG$2)</f>
        <v>#NAME?</v>
      </c>
      <c r="BH45" t="e" cm="1">
        <f t="array" aca="1" ref="BH45" ca="1">+_xll.EQNXTDZ($A$1,$B45,BH$2)</f>
        <v>#NAME?</v>
      </c>
      <c r="BI45" t="e" cm="1">
        <f t="array" aca="1" ref="BI45" ca="1">+_xll.EQNXTDZ($A$1,$B45,BI$2)</f>
        <v>#NAME?</v>
      </c>
      <c r="BJ45" t="e" cm="1">
        <f t="array" aca="1" ref="BJ45" ca="1">+_xll.EQNXTDZ($A$1,$B45,BJ$2)</f>
        <v>#NAME?</v>
      </c>
    </row>
    <row r="46" spans="1:62" x14ac:dyDescent="0.25">
      <c r="A46" t="s">
        <v>244</v>
      </c>
      <c r="B46" t="s">
        <v>285</v>
      </c>
      <c r="C46" t="e" cm="1">
        <f t="array" aca="1" ref="C46" ca="1">+_xll.EQNXTDZ($A$1,$B46,C$2)</f>
        <v>#NAME?</v>
      </c>
      <c r="D46" t="e" cm="1">
        <f t="array" aca="1" ref="D46" ca="1">+_xll.EQNXTDZ($A$1,$B46,D$2)</f>
        <v>#NAME?</v>
      </c>
      <c r="E46" t="e" cm="1">
        <f t="array" aca="1" ref="E46" ca="1">+_xll.EQNXTDZ($A$1,$B46,E$2)</f>
        <v>#NAME?</v>
      </c>
      <c r="F46" t="e" cm="1">
        <f t="array" aca="1" ref="F46" ca="1">+_xll.EQNXTDZ($A$1,$B46,F$2)</f>
        <v>#NAME?</v>
      </c>
      <c r="G46" t="e" cm="1">
        <f t="array" aca="1" ref="G46" ca="1">+_xll.EQNXTDZ($A$1,$B46,G$2)</f>
        <v>#NAME?</v>
      </c>
      <c r="H46" t="e" cm="1">
        <f t="array" aca="1" ref="H46" ca="1">+_xll.EQNXTDZ($A$1,$B46,H$2)</f>
        <v>#NAME?</v>
      </c>
      <c r="I46" t="e" cm="1">
        <f t="array" aca="1" ref="I46" ca="1">+_xll.EQNXTDZ($A$1,$B46,I$2)</f>
        <v>#NAME?</v>
      </c>
      <c r="J46" t="e" cm="1">
        <f t="array" aca="1" ref="J46" ca="1">+_xll.EQNXTDZ($A$1,$B46,J$2)</f>
        <v>#NAME?</v>
      </c>
      <c r="K46" t="e" cm="1">
        <f t="array" aca="1" ref="K46" ca="1">+_xll.EQNXTDZ($A$1,$B46,K$2)</f>
        <v>#NAME?</v>
      </c>
      <c r="L46" t="e" cm="1">
        <f t="array" aca="1" ref="L46" ca="1">+_xll.EQNXTDZ($A$1,$B46,L$2)</f>
        <v>#NAME?</v>
      </c>
      <c r="M46" t="e" cm="1">
        <f t="array" aca="1" ref="M46" ca="1">+_xll.EQNXTDZ($A$1,$B46,M$2)</f>
        <v>#NAME?</v>
      </c>
      <c r="N46" t="e" cm="1">
        <f t="array" aca="1" ref="N46" ca="1">+_xll.EQNXTDZ($A$1,$B46,N$2)</f>
        <v>#NAME?</v>
      </c>
      <c r="O46" t="e" cm="1">
        <f t="array" aca="1" ref="O46" ca="1">+_xll.EQNXTDZ($A$1,$B46,O$2)</f>
        <v>#NAME?</v>
      </c>
      <c r="P46" t="e" cm="1">
        <f t="array" aca="1" ref="P46" ca="1">+_xll.EQNXTDZ($A$1,$B46,P$2)</f>
        <v>#NAME?</v>
      </c>
      <c r="Q46" t="e" cm="1">
        <f t="array" aca="1" ref="Q46" ca="1">+_xll.EQNXTDZ($A$1,$B46,Q$2)</f>
        <v>#NAME?</v>
      </c>
      <c r="R46" t="e" cm="1">
        <f t="array" aca="1" ref="R46" ca="1">+_xll.EQNXTDZ($A$1,$B46,R$2)</f>
        <v>#NAME?</v>
      </c>
      <c r="S46" t="e" cm="1">
        <f t="array" aca="1" ref="S46" ca="1">+_xll.EQNXTDZ($A$1,$B46,S$2)</f>
        <v>#NAME?</v>
      </c>
      <c r="T46" t="e" cm="1">
        <f t="array" aca="1" ref="T46" ca="1">+_xll.EQNXTDZ($A$1,$B46,T$2)</f>
        <v>#NAME?</v>
      </c>
      <c r="U46" t="e" cm="1">
        <f t="array" aca="1" ref="U46" ca="1">+_xll.EQNXTDZ($A$1,$B46,U$2)</f>
        <v>#NAME?</v>
      </c>
      <c r="V46" t="e" cm="1">
        <f t="array" aca="1" ref="V46" ca="1">+_xll.EQNXTDZ($A$1,$B46,V$2)</f>
        <v>#NAME?</v>
      </c>
      <c r="W46" t="e" cm="1">
        <f t="array" aca="1" ref="W46" ca="1">+_xll.EQNXTDZ($A$1,$B46,W$2)</f>
        <v>#NAME?</v>
      </c>
      <c r="X46" t="e" cm="1">
        <f t="array" aca="1" ref="X46" ca="1">+_xll.EQNXTDZ($A$1,$B46,X$2)</f>
        <v>#NAME?</v>
      </c>
      <c r="Y46" t="e" cm="1">
        <f t="array" aca="1" ref="Y46" ca="1">+_xll.EQNXTDZ($A$1,$B46,Y$2)</f>
        <v>#NAME?</v>
      </c>
      <c r="Z46" t="e" cm="1">
        <f t="array" aca="1" ref="Z46" ca="1">+_xll.EQNXTDZ($A$1,$B46,Z$2)</f>
        <v>#NAME?</v>
      </c>
      <c r="AA46" t="e" cm="1">
        <f t="array" aca="1" ref="AA46" ca="1">+_xll.EQNXTDZ($A$1,$B46,AA$2)</f>
        <v>#NAME?</v>
      </c>
      <c r="AB46" t="e" cm="1">
        <f t="array" aca="1" ref="AB46" ca="1">+_xll.EQNXTDZ($A$1,$B46,AB$2)</f>
        <v>#NAME?</v>
      </c>
      <c r="AC46" t="e" cm="1">
        <f t="array" aca="1" ref="AC46" ca="1">+_xll.EQNXTDZ($A$1,$B46,AC$2)</f>
        <v>#NAME?</v>
      </c>
      <c r="AD46" t="e" cm="1">
        <f t="array" aca="1" ref="AD46" ca="1">+_xll.EQNXTDZ($A$1,$B46,AD$2)</f>
        <v>#NAME?</v>
      </c>
      <c r="AE46" t="e" cm="1">
        <f t="array" aca="1" ref="AE46" ca="1">+_xll.EQNXTDZ($A$1,$B46,AE$2)</f>
        <v>#NAME?</v>
      </c>
      <c r="AF46" t="e" cm="1">
        <f t="array" aca="1" ref="AF46" ca="1">+_xll.EQNXTDZ($A$1,$B46,AF$2)</f>
        <v>#NAME?</v>
      </c>
      <c r="AG46" t="e" cm="1">
        <f t="array" aca="1" ref="AG46" ca="1">+_xll.EQNXTDZ($A$1,$B46,AG$2)</f>
        <v>#NAME?</v>
      </c>
      <c r="AH46" t="e" cm="1">
        <f t="array" aca="1" ref="AH46" ca="1">+_xll.EQNXTDZ($A$1,$B46,AH$2)</f>
        <v>#NAME?</v>
      </c>
      <c r="AI46" t="e" cm="1">
        <f t="array" aca="1" ref="AI46" ca="1">+_xll.EQNXTDZ($A$1,$B46,AI$2)</f>
        <v>#NAME?</v>
      </c>
      <c r="AJ46" t="e" cm="1">
        <f t="array" aca="1" ref="AJ46" ca="1">+_xll.EQNXTDZ($A$1,$B46,AJ$2)</f>
        <v>#NAME?</v>
      </c>
      <c r="AK46" t="e" cm="1">
        <f t="array" aca="1" ref="AK46" ca="1">+_xll.EQNXTDZ($A$1,$B46,AK$2)</f>
        <v>#NAME?</v>
      </c>
      <c r="AL46" t="e" cm="1">
        <f t="array" aca="1" ref="AL46" ca="1">+_xll.EQNXTDZ($A$1,$B46,AL$2)</f>
        <v>#NAME?</v>
      </c>
      <c r="AM46" t="e" cm="1">
        <f t="array" aca="1" ref="AM46" ca="1">+_xll.EQNXTDZ($A$1,$B46,AM$2)</f>
        <v>#NAME?</v>
      </c>
      <c r="AN46" t="e" cm="1">
        <f t="array" aca="1" ref="AN46" ca="1">+_xll.EQNXTDZ($A$1,$B46,AN$2)</f>
        <v>#NAME?</v>
      </c>
      <c r="AO46" t="e" cm="1">
        <f t="array" aca="1" ref="AO46" ca="1">+_xll.EQNXTDZ($A$1,$B46,AO$2)</f>
        <v>#NAME?</v>
      </c>
      <c r="AP46" t="e" cm="1">
        <f t="array" aca="1" ref="AP46" ca="1">+_xll.EQNXTDZ($A$1,$B46,AP$2)</f>
        <v>#NAME?</v>
      </c>
      <c r="AQ46" t="e" cm="1">
        <f t="array" aca="1" ref="AQ46" ca="1">+_xll.EQNXTDZ($A$1,$B46,AQ$2)</f>
        <v>#NAME?</v>
      </c>
      <c r="AR46" t="e" cm="1">
        <f t="array" aca="1" ref="AR46" ca="1">+_xll.EQNXTDZ($A$1,$B46,AR$2)</f>
        <v>#NAME?</v>
      </c>
      <c r="AS46" t="e" cm="1">
        <f t="array" aca="1" ref="AS46" ca="1">+_xll.EQNXTDZ($A$1,$B46,AS$2)</f>
        <v>#NAME?</v>
      </c>
      <c r="AT46" t="e" cm="1">
        <f t="array" aca="1" ref="AT46" ca="1">+_xll.EQNXTDZ($A$1,$B46,AT$2)</f>
        <v>#NAME?</v>
      </c>
      <c r="AU46" t="e" cm="1">
        <f t="array" aca="1" ref="AU46" ca="1">+_xll.EQNXTDZ($A$1,$B46,AU$2)</f>
        <v>#NAME?</v>
      </c>
      <c r="AV46" t="e" cm="1">
        <f t="array" aca="1" ref="AV46" ca="1">+_xll.EQNXTDZ($A$1,$B46,AV$2)</f>
        <v>#NAME?</v>
      </c>
      <c r="AW46" t="e" cm="1">
        <f t="array" aca="1" ref="AW46" ca="1">+_xll.EQNXTDZ($A$1,$B46,AW$2)</f>
        <v>#NAME?</v>
      </c>
      <c r="AX46" t="e" cm="1">
        <f t="array" aca="1" ref="AX46" ca="1">+_xll.EQNXTDZ($A$1,$B46,AX$2)</f>
        <v>#NAME?</v>
      </c>
      <c r="AY46" t="e" cm="1">
        <f t="array" aca="1" ref="AY46" ca="1">+_xll.EQNXTDZ($A$1,$B46,AY$2)</f>
        <v>#NAME?</v>
      </c>
      <c r="AZ46" t="e" cm="1">
        <f t="array" aca="1" ref="AZ46" ca="1">+_xll.EQNXTDZ($A$1,$B46,AZ$2)</f>
        <v>#NAME?</v>
      </c>
      <c r="BA46" t="e" cm="1">
        <f t="array" aca="1" ref="BA46" ca="1">+_xll.EQNXTDZ($A$1,$B46,BA$2)</f>
        <v>#NAME?</v>
      </c>
      <c r="BB46" t="e" cm="1">
        <f t="array" aca="1" ref="BB46" ca="1">+_xll.EQNXTDZ($A$1,$B46,BB$2)</f>
        <v>#NAME?</v>
      </c>
      <c r="BC46" t="e" cm="1">
        <f t="array" aca="1" ref="BC46" ca="1">+_xll.EQNXTDZ($A$1,$B46,BC$2)</f>
        <v>#NAME?</v>
      </c>
      <c r="BD46" t="e" cm="1">
        <f t="array" aca="1" ref="BD46" ca="1">+_xll.EQNXTDZ($A$1,$B46,BD$2)</f>
        <v>#NAME?</v>
      </c>
      <c r="BE46" t="e" cm="1">
        <f t="array" aca="1" ref="BE46" ca="1">+_xll.EQNXTDZ($A$1,$B46,BE$2)</f>
        <v>#NAME?</v>
      </c>
      <c r="BF46" t="e" cm="1">
        <f t="array" aca="1" ref="BF46" ca="1">+_xll.EQNXTDZ($A$1,$B46,BF$2)</f>
        <v>#NAME?</v>
      </c>
      <c r="BG46" t="e" cm="1">
        <f t="array" aca="1" ref="BG46" ca="1">+_xll.EQNXTDZ($A$1,$B46,BG$2)</f>
        <v>#NAME?</v>
      </c>
      <c r="BH46" t="e" cm="1">
        <f t="array" aca="1" ref="BH46" ca="1">+_xll.EQNXTDZ($A$1,$B46,BH$2)</f>
        <v>#NAME?</v>
      </c>
      <c r="BI46" t="e" cm="1">
        <f t="array" aca="1" ref="BI46" ca="1">+_xll.EQNXTDZ($A$1,$B46,BI$2)</f>
        <v>#NAME?</v>
      </c>
      <c r="BJ46" t="e" cm="1">
        <f t="array" aca="1" ref="BJ46" ca="1">+_xll.EQNXTDZ($A$1,$B46,BJ$2)</f>
        <v>#NAME?</v>
      </c>
    </row>
    <row r="47" spans="1:62" x14ac:dyDescent="0.25">
      <c r="A47" t="s">
        <v>245</v>
      </c>
      <c r="B47" t="s">
        <v>286</v>
      </c>
      <c r="C47" t="e" cm="1">
        <f t="array" aca="1" ref="C47" ca="1">+_xll.EQNXTDZ($A$1,$B47,C$2)</f>
        <v>#NAME?</v>
      </c>
      <c r="D47" t="e" cm="1">
        <f t="array" aca="1" ref="D47" ca="1">+_xll.EQNXTDZ($A$1,$B47,D$2)</f>
        <v>#NAME?</v>
      </c>
      <c r="E47" t="e" cm="1">
        <f t="array" aca="1" ref="E47" ca="1">+_xll.EQNXTDZ($A$1,$B47,E$2)</f>
        <v>#NAME?</v>
      </c>
      <c r="F47" t="e" cm="1">
        <f t="array" aca="1" ref="F47" ca="1">+_xll.EQNXTDZ($A$1,$B47,F$2)</f>
        <v>#NAME?</v>
      </c>
      <c r="G47" t="e" cm="1">
        <f t="array" aca="1" ref="G47" ca="1">+_xll.EQNXTDZ($A$1,$B47,G$2)</f>
        <v>#NAME?</v>
      </c>
      <c r="H47" t="e" cm="1">
        <f t="array" aca="1" ref="H47" ca="1">+_xll.EQNXTDZ($A$1,$B47,H$2)</f>
        <v>#NAME?</v>
      </c>
      <c r="I47" t="e" cm="1">
        <f t="array" aca="1" ref="I47" ca="1">+_xll.EQNXTDZ($A$1,$B47,I$2)</f>
        <v>#NAME?</v>
      </c>
      <c r="J47" t="e" cm="1">
        <f t="array" aca="1" ref="J47" ca="1">+_xll.EQNXTDZ($A$1,$B47,J$2)</f>
        <v>#NAME?</v>
      </c>
      <c r="K47" t="e" cm="1">
        <f t="array" aca="1" ref="K47" ca="1">+_xll.EQNXTDZ($A$1,$B47,K$2)</f>
        <v>#NAME?</v>
      </c>
      <c r="L47" t="e" cm="1">
        <f t="array" aca="1" ref="L47" ca="1">+_xll.EQNXTDZ($A$1,$B47,L$2)</f>
        <v>#NAME?</v>
      </c>
      <c r="M47" t="e" cm="1">
        <f t="array" aca="1" ref="M47" ca="1">+_xll.EQNXTDZ($A$1,$B47,M$2)</f>
        <v>#NAME?</v>
      </c>
      <c r="N47" t="e" cm="1">
        <f t="array" aca="1" ref="N47" ca="1">+_xll.EQNXTDZ($A$1,$B47,N$2)</f>
        <v>#NAME?</v>
      </c>
      <c r="O47" t="e" cm="1">
        <f t="array" aca="1" ref="O47" ca="1">+_xll.EQNXTDZ($A$1,$B47,O$2)</f>
        <v>#NAME?</v>
      </c>
      <c r="P47" t="e" cm="1">
        <f t="array" aca="1" ref="P47" ca="1">+_xll.EQNXTDZ($A$1,$B47,P$2)</f>
        <v>#NAME?</v>
      </c>
      <c r="Q47" t="e" cm="1">
        <f t="array" aca="1" ref="Q47" ca="1">+_xll.EQNXTDZ($A$1,$B47,Q$2)</f>
        <v>#NAME?</v>
      </c>
      <c r="R47" t="e" cm="1">
        <f t="array" aca="1" ref="R47" ca="1">+_xll.EQNXTDZ($A$1,$B47,R$2)</f>
        <v>#NAME?</v>
      </c>
      <c r="S47" t="e" cm="1">
        <f t="array" aca="1" ref="S47" ca="1">+_xll.EQNXTDZ($A$1,$B47,S$2)</f>
        <v>#NAME?</v>
      </c>
      <c r="T47" t="e" cm="1">
        <f t="array" aca="1" ref="T47" ca="1">+_xll.EQNXTDZ($A$1,$B47,T$2)</f>
        <v>#NAME?</v>
      </c>
      <c r="U47" t="e" cm="1">
        <f t="array" aca="1" ref="U47" ca="1">+_xll.EQNXTDZ($A$1,$B47,U$2)</f>
        <v>#NAME?</v>
      </c>
      <c r="V47" t="e" cm="1">
        <f t="array" aca="1" ref="V47" ca="1">+_xll.EQNXTDZ($A$1,$B47,V$2)</f>
        <v>#NAME?</v>
      </c>
      <c r="W47" t="e" cm="1">
        <f t="array" aca="1" ref="W47" ca="1">+_xll.EQNXTDZ($A$1,$B47,W$2)</f>
        <v>#NAME?</v>
      </c>
      <c r="X47" t="e" cm="1">
        <f t="array" aca="1" ref="X47" ca="1">+_xll.EQNXTDZ($A$1,$B47,X$2)</f>
        <v>#NAME?</v>
      </c>
      <c r="Y47" t="e" cm="1">
        <f t="array" aca="1" ref="Y47" ca="1">+_xll.EQNXTDZ($A$1,$B47,Y$2)</f>
        <v>#NAME?</v>
      </c>
      <c r="Z47" t="e" cm="1">
        <f t="array" aca="1" ref="Z47" ca="1">+_xll.EQNXTDZ($A$1,$B47,Z$2)</f>
        <v>#NAME?</v>
      </c>
      <c r="AA47" t="e" cm="1">
        <f t="array" aca="1" ref="AA47" ca="1">+_xll.EQNXTDZ($A$1,$B47,AA$2)</f>
        <v>#NAME?</v>
      </c>
      <c r="AB47" t="e" cm="1">
        <f t="array" aca="1" ref="AB47" ca="1">+_xll.EQNXTDZ($A$1,$B47,AB$2)</f>
        <v>#NAME?</v>
      </c>
      <c r="AC47" t="e" cm="1">
        <f t="array" aca="1" ref="AC47" ca="1">+_xll.EQNXTDZ($A$1,$B47,AC$2)</f>
        <v>#NAME?</v>
      </c>
      <c r="AD47" t="e" cm="1">
        <f t="array" aca="1" ref="AD47" ca="1">+_xll.EQNXTDZ($A$1,$B47,AD$2)</f>
        <v>#NAME?</v>
      </c>
      <c r="AE47" t="e" cm="1">
        <f t="array" aca="1" ref="AE47" ca="1">+_xll.EQNXTDZ($A$1,$B47,AE$2)</f>
        <v>#NAME?</v>
      </c>
      <c r="AF47" t="e" cm="1">
        <f t="array" aca="1" ref="AF47" ca="1">+_xll.EQNXTDZ($A$1,$B47,AF$2)</f>
        <v>#NAME?</v>
      </c>
      <c r="AG47" t="e" cm="1">
        <f t="array" aca="1" ref="AG47" ca="1">+_xll.EQNXTDZ($A$1,$B47,AG$2)</f>
        <v>#NAME?</v>
      </c>
      <c r="AH47" t="e" cm="1">
        <f t="array" aca="1" ref="AH47" ca="1">+_xll.EQNXTDZ($A$1,$B47,AH$2)</f>
        <v>#NAME?</v>
      </c>
      <c r="AI47" t="e" cm="1">
        <f t="array" aca="1" ref="AI47" ca="1">+_xll.EQNXTDZ($A$1,$B47,AI$2)</f>
        <v>#NAME?</v>
      </c>
      <c r="AJ47" t="e" cm="1">
        <f t="array" aca="1" ref="AJ47" ca="1">+_xll.EQNXTDZ($A$1,$B47,AJ$2)</f>
        <v>#NAME?</v>
      </c>
      <c r="AK47" t="e" cm="1">
        <f t="array" aca="1" ref="AK47" ca="1">+_xll.EQNXTDZ($A$1,$B47,AK$2)</f>
        <v>#NAME?</v>
      </c>
      <c r="AL47" t="e" cm="1">
        <f t="array" aca="1" ref="AL47" ca="1">+_xll.EQNXTDZ($A$1,$B47,AL$2)</f>
        <v>#NAME?</v>
      </c>
      <c r="AM47" t="e" cm="1">
        <f t="array" aca="1" ref="AM47" ca="1">+_xll.EQNXTDZ($A$1,$B47,AM$2)</f>
        <v>#NAME?</v>
      </c>
      <c r="AN47" t="e" cm="1">
        <f t="array" aca="1" ref="AN47" ca="1">+_xll.EQNXTDZ($A$1,$B47,AN$2)</f>
        <v>#NAME?</v>
      </c>
      <c r="AO47" t="e" cm="1">
        <f t="array" aca="1" ref="AO47" ca="1">+_xll.EQNXTDZ($A$1,$B47,AO$2)</f>
        <v>#NAME?</v>
      </c>
      <c r="AP47" t="e" cm="1">
        <f t="array" aca="1" ref="AP47" ca="1">+_xll.EQNXTDZ($A$1,$B47,AP$2)</f>
        <v>#NAME?</v>
      </c>
      <c r="AQ47" t="e" cm="1">
        <f t="array" aca="1" ref="AQ47" ca="1">+_xll.EQNXTDZ($A$1,$B47,AQ$2)</f>
        <v>#NAME?</v>
      </c>
      <c r="AR47" t="e" cm="1">
        <f t="array" aca="1" ref="AR47" ca="1">+_xll.EQNXTDZ($A$1,$B47,AR$2)</f>
        <v>#NAME?</v>
      </c>
      <c r="AS47" t="e" cm="1">
        <f t="array" aca="1" ref="AS47" ca="1">+_xll.EQNXTDZ($A$1,$B47,AS$2)</f>
        <v>#NAME?</v>
      </c>
      <c r="AT47" t="e" cm="1">
        <f t="array" aca="1" ref="AT47" ca="1">+_xll.EQNXTDZ($A$1,$B47,AT$2)</f>
        <v>#NAME?</v>
      </c>
      <c r="AU47" t="e" cm="1">
        <f t="array" aca="1" ref="AU47" ca="1">+_xll.EQNXTDZ($A$1,$B47,AU$2)</f>
        <v>#NAME?</v>
      </c>
      <c r="AV47" t="e" cm="1">
        <f t="array" aca="1" ref="AV47" ca="1">+_xll.EQNXTDZ($A$1,$B47,AV$2)</f>
        <v>#NAME?</v>
      </c>
      <c r="AW47" t="e" cm="1">
        <f t="array" aca="1" ref="AW47" ca="1">+_xll.EQNXTDZ($A$1,$B47,AW$2)</f>
        <v>#NAME?</v>
      </c>
      <c r="AX47" t="e" cm="1">
        <f t="array" aca="1" ref="AX47" ca="1">+_xll.EQNXTDZ($A$1,$B47,AX$2)</f>
        <v>#NAME?</v>
      </c>
      <c r="AY47" t="e" cm="1">
        <f t="array" aca="1" ref="AY47" ca="1">+_xll.EQNXTDZ($A$1,$B47,AY$2)</f>
        <v>#NAME?</v>
      </c>
      <c r="AZ47" t="e" cm="1">
        <f t="array" aca="1" ref="AZ47" ca="1">+_xll.EQNXTDZ($A$1,$B47,AZ$2)</f>
        <v>#NAME?</v>
      </c>
      <c r="BA47" t="e" cm="1">
        <f t="array" aca="1" ref="BA47" ca="1">+_xll.EQNXTDZ($A$1,$B47,BA$2)</f>
        <v>#NAME?</v>
      </c>
      <c r="BB47" t="e" cm="1">
        <f t="array" aca="1" ref="BB47" ca="1">+_xll.EQNXTDZ($A$1,$B47,BB$2)</f>
        <v>#NAME?</v>
      </c>
      <c r="BC47" t="e" cm="1">
        <f t="array" aca="1" ref="BC47" ca="1">+_xll.EQNXTDZ($A$1,$B47,BC$2)</f>
        <v>#NAME?</v>
      </c>
      <c r="BD47" t="e" cm="1">
        <f t="array" aca="1" ref="BD47" ca="1">+_xll.EQNXTDZ($A$1,$B47,BD$2)</f>
        <v>#NAME?</v>
      </c>
      <c r="BE47" t="e" cm="1">
        <f t="array" aca="1" ref="BE47" ca="1">+_xll.EQNXTDZ($A$1,$B47,BE$2)</f>
        <v>#NAME?</v>
      </c>
      <c r="BF47" t="e" cm="1">
        <f t="array" aca="1" ref="BF47" ca="1">+_xll.EQNXTDZ($A$1,$B47,BF$2)</f>
        <v>#NAME?</v>
      </c>
      <c r="BG47" t="e" cm="1">
        <f t="array" aca="1" ref="BG47" ca="1">+_xll.EQNXTDZ($A$1,$B47,BG$2)</f>
        <v>#NAME?</v>
      </c>
      <c r="BH47" t="e" cm="1">
        <f t="array" aca="1" ref="BH47" ca="1">+_xll.EQNXTDZ($A$1,$B47,BH$2)</f>
        <v>#NAME?</v>
      </c>
      <c r="BI47" t="e" cm="1">
        <f t="array" aca="1" ref="BI47" ca="1">+_xll.EQNXTDZ($A$1,$B47,BI$2)</f>
        <v>#NAME?</v>
      </c>
      <c r="BJ47" t="e" cm="1">
        <f t="array" aca="1" ref="BJ47" ca="1">+_xll.EQNXTDZ($A$1,$B47,BJ$2)</f>
        <v>#NAME?</v>
      </c>
    </row>
    <row r="48" spans="1:62" x14ac:dyDescent="0.25">
      <c r="A48" t="s">
        <v>213</v>
      </c>
      <c r="B48" t="s">
        <v>344</v>
      </c>
      <c r="C48" t="e" cm="1">
        <f t="array" aca="1" ref="C48" ca="1">+_xll.EQNXTDZ($A$1,$B48,C$2)</f>
        <v>#NAME?</v>
      </c>
      <c r="D48" t="e" cm="1">
        <f t="array" aca="1" ref="D48" ca="1">+_xll.EQNXTDZ($A$1,$B48,D$2)</f>
        <v>#NAME?</v>
      </c>
      <c r="E48" t="e" cm="1">
        <f t="array" aca="1" ref="E48" ca="1">+_xll.EQNXTDZ($A$1,$B48,E$2)</f>
        <v>#NAME?</v>
      </c>
      <c r="F48" t="e" cm="1">
        <f t="array" aca="1" ref="F48" ca="1">+_xll.EQNXTDZ($A$1,$B48,F$2)</f>
        <v>#NAME?</v>
      </c>
      <c r="G48" t="e" cm="1">
        <f t="array" aca="1" ref="G48" ca="1">+_xll.EQNXTDZ($A$1,$B48,G$2)</f>
        <v>#NAME?</v>
      </c>
      <c r="H48" t="e" cm="1">
        <f t="array" aca="1" ref="H48" ca="1">+_xll.EQNXTDZ($A$1,$B48,H$2)</f>
        <v>#NAME?</v>
      </c>
      <c r="I48" t="e" cm="1">
        <f t="array" aca="1" ref="I48" ca="1">+_xll.EQNXTDZ($A$1,$B48,I$2)</f>
        <v>#NAME?</v>
      </c>
      <c r="J48" t="e" cm="1">
        <f t="array" aca="1" ref="J48" ca="1">+_xll.EQNXTDZ($A$1,$B48,J$2)</f>
        <v>#NAME?</v>
      </c>
      <c r="K48" t="e" cm="1">
        <f t="array" aca="1" ref="K48" ca="1">+_xll.EQNXTDZ($A$1,$B48,K$2)</f>
        <v>#NAME?</v>
      </c>
      <c r="L48" t="e" cm="1">
        <f t="array" aca="1" ref="L48" ca="1">+_xll.EQNXTDZ($A$1,$B48,L$2)</f>
        <v>#NAME?</v>
      </c>
      <c r="M48" t="e" cm="1">
        <f t="array" aca="1" ref="M48" ca="1">+_xll.EQNXTDZ($A$1,$B48,M$2)</f>
        <v>#NAME?</v>
      </c>
      <c r="N48" t="e" cm="1">
        <f t="array" aca="1" ref="N48" ca="1">+_xll.EQNXTDZ($A$1,$B48,N$2)</f>
        <v>#NAME?</v>
      </c>
      <c r="O48" t="e" cm="1">
        <f t="array" aca="1" ref="O48" ca="1">+_xll.EQNXTDZ($A$1,$B48,O$2)</f>
        <v>#NAME?</v>
      </c>
      <c r="P48" t="e" cm="1">
        <f t="array" aca="1" ref="P48" ca="1">+_xll.EQNXTDZ($A$1,$B48,P$2)</f>
        <v>#NAME?</v>
      </c>
      <c r="Q48" t="e" cm="1">
        <f t="array" aca="1" ref="Q48" ca="1">+_xll.EQNXTDZ($A$1,$B48,Q$2)</f>
        <v>#NAME?</v>
      </c>
      <c r="R48" t="e" cm="1">
        <f t="array" aca="1" ref="R48" ca="1">+_xll.EQNXTDZ($A$1,$B48,R$2)</f>
        <v>#NAME?</v>
      </c>
      <c r="S48" t="e" cm="1">
        <f t="array" aca="1" ref="S48" ca="1">+_xll.EQNXTDZ($A$1,$B48,S$2)</f>
        <v>#NAME?</v>
      </c>
      <c r="T48" t="e" cm="1">
        <f t="array" aca="1" ref="T48" ca="1">+_xll.EQNXTDZ($A$1,$B48,T$2)</f>
        <v>#NAME?</v>
      </c>
      <c r="U48" t="e" cm="1">
        <f t="array" aca="1" ref="U48" ca="1">+_xll.EQNXTDZ($A$1,$B48,U$2)</f>
        <v>#NAME?</v>
      </c>
      <c r="V48" t="e" cm="1">
        <f t="array" aca="1" ref="V48" ca="1">+_xll.EQNXTDZ($A$1,$B48,V$2)</f>
        <v>#NAME?</v>
      </c>
      <c r="W48" t="e" cm="1">
        <f t="array" aca="1" ref="W48" ca="1">+_xll.EQNXTDZ($A$1,$B48,W$2)</f>
        <v>#NAME?</v>
      </c>
      <c r="X48" t="e" cm="1">
        <f t="array" aca="1" ref="X48" ca="1">+_xll.EQNXTDZ($A$1,$B48,X$2)</f>
        <v>#NAME?</v>
      </c>
      <c r="Y48" t="e" cm="1">
        <f t="array" aca="1" ref="Y48" ca="1">+_xll.EQNXTDZ($A$1,$B48,Y$2)</f>
        <v>#NAME?</v>
      </c>
      <c r="Z48" t="e" cm="1">
        <f t="array" aca="1" ref="Z48" ca="1">+_xll.EQNXTDZ($A$1,$B48,Z$2)</f>
        <v>#NAME?</v>
      </c>
      <c r="AA48" t="e" cm="1">
        <f t="array" aca="1" ref="AA48" ca="1">+_xll.EQNXTDZ($A$1,$B48,AA$2)</f>
        <v>#NAME?</v>
      </c>
      <c r="AB48" t="e" cm="1">
        <f t="array" aca="1" ref="AB48" ca="1">+_xll.EQNXTDZ($A$1,$B48,AB$2)</f>
        <v>#NAME?</v>
      </c>
      <c r="AC48" t="e" cm="1">
        <f t="array" aca="1" ref="AC48" ca="1">+_xll.EQNXTDZ($A$1,$B48,AC$2)</f>
        <v>#NAME?</v>
      </c>
      <c r="AD48" t="e" cm="1">
        <f t="array" aca="1" ref="AD48" ca="1">+_xll.EQNXTDZ($A$1,$B48,AD$2)</f>
        <v>#NAME?</v>
      </c>
      <c r="AE48" t="e" cm="1">
        <f t="array" aca="1" ref="AE48" ca="1">+_xll.EQNXTDZ($A$1,$B48,AE$2)</f>
        <v>#NAME?</v>
      </c>
      <c r="AF48" t="e" cm="1">
        <f t="array" aca="1" ref="AF48" ca="1">+_xll.EQNXTDZ($A$1,$B48,AF$2)</f>
        <v>#NAME?</v>
      </c>
      <c r="AG48" t="e" cm="1">
        <f t="array" aca="1" ref="AG48" ca="1">+_xll.EQNXTDZ($A$1,$B48,AG$2)</f>
        <v>#NAME?</v>
      </c>
      <c r="AH48" t="e" cm="1">
        <f t="array" aca="1" ref="AH48" ca="1">+_xll.EQNXTDZ($A$1,$B48,AH$2)</f>
        <v>#NAME?</v>
      </c>
      <c r="AI48" t="e" cm="1">
        <f t="array" aca="1" ref="AI48" ca="1">+_xll.EQNXTDZ($A$1,$B48,AI$2)</f>
        <v>#NAME?</v>
      </c>
      <c r="AJ48" t="e" cm="1">
        <f t="array" aca="1" ref="AJ48" ca="1">+_xll.EQNXTDZ($A$1,$B48,AJ$2)</f>
        <v>#NAME?</v>
      </c>
      <c r="AK48" t="e" cm="1">
        <f t="array" aca="1" ref="AK48" ca="1">+_xll.EQNXTDZ($A$1,$B48,AK$2)</f>
        <v>#NAME?</v>
      </c>
      <c r="AL48" t="e" cm="1">
        <f t="array" aca="1" ref="AL48" ca="1">+_xll.EQNXTDZ($A$1,$B48,AL$2)</f>
        <v>#NAME?</v>
      </c>
      <c r="AM48" t="e" cm="1">
        <f t="array" aca="1" ref="AM48" ca="1">+_xll.EQNXTDZ($A$1,$B48,AM$2)</f>
        <v>#NAME?</v>
      </c>
      <c r="AN48" t="e" cm="1">
        <f t="array" aca="1" ref="AN48" ca="1">+_xll.EQNXTDZ($A$1,$B48,AN$2)</f>
        <v>#NAME?</v>
      </c>
      <c r="AO48" t="e" cm="1">
        <f t="array" aca="1" ref="AO48" ca="1">+_xll.EQNXTDZ($A$1,$B48,AO$2)</f>
        <v>#NAME?</v>
      </c>
      <c r="AP48" t="e" cm="1">
        <f t="array" aca="1" ref="AP48" ca="1">+_xll.EQNXTDZ($A$1,$B48,AP$2)</f>
        <v>#NAME?</v>
      </c>
      <c r="AQ48" t="e" cm="1">
        <f t="array" aca="1" ref="AQ48" ca="1">+_xll.EQNXTDZ($A$1,$B48,AQ$2)</f>
        <v>#NAME?</v>
      </c>
      <c r="AR48" t="e" cm="1">
        <f t="array" aca="1" ref="AR48" ca="1">+_xll.EQNXTDZ($A$1,$B48,AR$2)</f>
        <v>#NAME?</v>
      </c>
      <c r="AS48" t="e" cm="1">
        <f t="array" aca="1" ref="AS48" ca="1">+_xll.EQNXTDZ($A$1,$B48,AS$2)</f>
        <v>#NAME?</v>
      </c>
      <c r="AT48" t="e" cm="1">
        <f t="array" aca="1" ref="AT48" ca="1">+_xll.EQNXTDZ($A$1,$B48,AT$2)</f>
        <v>#NAME?</v>
      </c>
      <c r="AU48" t="e" cm="1">
        <f t="array" aca="1" ref="AU48" ca="1">+_xll.EQNXTDZ($A$1,$B48,AU$2)</f>
        <v>#NAME?</v>
      </c>
      <c r="AV48" t="e" cm="1">
        <f t="array" aca="1" ref="AV48" ca="1">+_xll.EQNXTDZ($A$1,$B48,AV$2)</f>
        <v>#NAME?</v>
      </c>
      <c r="AW48" t="e" cm="1">
        <f t="array" aca="1" ref="AW48" ca="1">+_xll.EQNXTDZ($A$1,$B48,AW$2)</f>
        <v>#NAME?</v>
      </c>
      <c r="AX48" t="e" cm="1">
        <f t="array" aca="1" ref="AX48" ca="1">+_xll.EQNXTDZ($A$1,$B48,AX$2)</f>
        <v>#NAME?</v>
      </c>
      <c r="AY48" t="e" cm="1">
        <f t="array" aca="1" ref="AY48" ca="1">+_xll.EQNXTDZ($A$1,$B48,AY$2)</f>
        <v>#NAME?</v>
      </c>
      <c r="AZ48" t="e" cm="1">
        <f t="array" aca="1" ref="AZ48" ca="1">+_xll.EQNXTDZ($A$1,$B48,AZ$2)</f>
        <v>#NAME?</v>
      </c>
      <c r="BA48" t="e" cm="1">
        <f t="array" aca="1" ref="BA48" ca="1">+_xll.EQNXTDZ($A$1,$B48,BA$2)</f>
        <v>#NAME?</v>
      </c>
      <c r="BB48" t="e" cm="1">
        <f t="array" aca="1" ref="BB48" ca="1">+_xll.EQNXTDZ($A$1,$B48,BB$2)</f>
        <v>#NAME?</v>
      </c>
      <c r="BC48" t="e" cm="1">
        <f t="array" aca="1" ref="BC48" ca="1">+_xll.EQNXTDZ($A$1,$B48,BC$2)</f>
        <v>#NAME?</v>
      </c>
      <c r="BD48" t="e" cm="1">
        <f t="array" aca="1" ref="BD48" ca="1">+_xll.EQNXTDZ($A$1,$B48,BD$2)</f>
        <v>#NAME?</v>
      </c>
      <c r="BE48" t="e" cm="1">
        <f t="array" aca="1" ref="BE48" ca="1">+_xll.EQNXTDZ($A$1,$B48,BE$2)</f>
        <v>#NAME?</v>
      </c>
      <c r="BF48" t="e" cm="1">
        <f t="array" aca="1" ref="BF48" ca="1">+_xll.EQNXTDZ($A$1,$B48,BF$2)</f>
        <v>#NAME?</v>
      </c>
      <c r="BG48" t="e" cm="1">
        <f t="array" aca="1" ref="BG48" ca="1">+_xll.EQNXTDZ($A$1,$B48,BG$2)</f>
        <v>#NAME?</v>
      </c>
      <c r="BH48" t="e" cm="1">
        <f t="array" aca="1" ref="BH48" ca="1">+_xll.EQNXTDZ($A$1,$B48,BH$2)</f>
        <v>#NAME?</v>
      </c>
      <c r="BI48" t="e" cm="1">
        <f t="array" aca="1" ref="BI48" ca="1">+_xll.EQNXTDZ($A$1,$B48,BI$2)</f>
        <v>#NAME?</v>
      </c>
      <c r="BJ48" t="e" cm="1">
        <f t="array" aca="1" ref="BJ48" ca="1">+_xll.EQNXTDZ($A$1,$B48,BJ$2)</f>
        <v>#NAME?</v>
      </c>
    </row>
    <row r="51" spans="1:62" x14ac:dyDescent="0.25">
      <c r="C51" t="e">
        <f t="shared" ref="C51:W51" ca="1" si="0">C5</f>
        <v>#NAME?</v>
      </c>
      <c r="D51" t="e">
        <f t="shared" ca="1" si="0"/>
        <v>#NAME?</v>
      </c>
      <c r="E51" t="e">
        <f t="shared" ca="1" si="0"/>
        <v>#NAME?</v>
      </c>
      <c r="F51" t="e">
        <f t="shared" ca="1" si="0"/>
        <v>#NAME?</v>
      </c>
      <c r="G51" t="e">
        <f t="shared" ca="1" si="0"/>
        <v>#NAME?</v>
      </c>
      <c r="H51" t="e">
        <f t="shared" ca="1" si="0"/>
        <v>#NAME?</v>
      </c>
      <c r="I51" t="e">
        <f t="shared" ca="1" si="0"/>
        <v>#NAME?</v>
      </c>
      <c r="J51" t="e">
        <f t="shared" ca="1" si="0"/>
        <v>#NAME?</v>
      </c>
      <c r="K51" t="e">
        <f t="shared" ca="1" si="0"/>
        <v>#NAME?</v>
      </c>
      <c r="L51" t="e">
        <f t="shared" ca="1" si="0"/>
        <v>#NAME?</v>
      </c>
      <c r="M51" t="e">
        <f t="shared" ca="1" si="0"/>
        <v>#NAME?</v>
      </c>
      <c r="N51" t="e">
        <f t="shared" ca="1" si="0"/>
        <v>#NAME?</v>
      </c>
      <c r="O51" t="e">
        <f t="shared" ca="1" si="0"/>
        <v>#NAME?</v>
      </c>
      <c r="P51" t="e">
        <f t="shared" ca="1" si="0"/>
        <v>#NAME?</v>
      </c>
      <c r="Q51" t="e">
        <f t="shared" ca="1" si="0"/>
        <v>#NAME?</v>
      </c>
      <c r="R51" t="e">
        <f t="shared" ca="1" si="0"/>
        <v>#NAME?</v>
      </c>
      <c r="S51" t="e">
        <f t="shared" ca="1" si="0"/>
        <v>#NAME?</v>
      </c>
      <c r="T51" t="e">
        <f t="shared" ca="1" si="0"/>
        <v>#NAME?</v>
      </c>
      <c r="U51" t="e">
        <f t="shared" ca="1" si="0"/>
        <v>#NAME?</v>
      </c>
      <c r="V51" t="e">
        <f t="shared" ca="1" si="0"/>
        <v>#NAME?</v>
      </c>
      <c r="W51" t="e">
        <f t="shared" ca="1" si="0"/>
        <v>#NAME?</v>
      </c>
      <c r="X51" t="e">
        <f t="shared" ref="X51:AP51" ca="1" si="1">X5</f>
        <v>#NAME?</v>
      </c>
      <c r="Y51" t="e">
        <f t="shared" ca="1" si="1"/>
        <v>#NAME?</v>
      </c>
      <c r="Z51" t="e">
        <f t="shared" ca="1" si="1"/>
        <v>#NAME?</v>
      </c>
      <c r="AA51" t="e">
        <f t="shared" ca="1" si="1"/>
        <v>#NAME?</v>
      </c>
      <c r="AB51" t="e">
        <f t="shared" ca="1" si="1"/>
        <v>#NAME?</v>
      </c>
      <c r="AC51" t="e">
        <f t="shared" ca="1" si="1"/>
        <v>#NAME?</v>
      </c>
      <c r="AD51" t="e">
        <f t="shared" ca="1" si="1"/>
        <v>#NAME?</v>
      </c>
      <c r="AE51" t="e">
        <f t="shared" ca="1" si="1"/>
        <v>#NAME?</v>
      </c>
      <c r="AF51" t="e">
        <f t="shared" ca="1" si="1"/>
        <v>#NAME?</v>
      </c>
      <c r="AG51" t="e">
        <f t="shared" ca="1" si="1"/>
        <v>#NAME?</v>
      </c>
      <c r="AH51" t="e">
        <f t="shared" ca="1" si="1"/>
        <v>#NAME?</v>
      </c>
      <c r="AI51" t="e">
        <f t="shared" ca="1" si="1"/>
        <v>#NAME?</v>
      </c>
      <c r="AJ51" t="e">
        <f t="shared" ca="1" si="1"/>
        <v>#NAME?</v>
      </c>
      <c r="AK51" t="e">
        <f t="shared" ca="1" si="1"/>
        <v>#NAME?</v>
      </c>
      <c r="AL51" t="e">
        <f t="shared" ca="1" si="1"/>
        <v>#NAME?</v>
      </c>
      <c r="AM51" t="e">
        <f t="shared" ca="1" si="1"/>
        <v>#NAME?</v>
      </c>
      <c r="AN51" t="e">
        <f t="shared" ca="1" si="1"/>
        <v>#NAME?</v>
      </c>
      <c r="AO51" t="e">
        <f t="shared" ca="1" si="1"/>
        <v>#NAME?</v>
      </c>
      <c r="AP51" t="e">
        <f t="shared" ca="1" si="1"/>
        <v>#NAME?</v>
      </c>
      <c r="AQ51" t="e">
        <f ca="1">AQ5</f>
        <v>#NAME?</v>
      </c>
      <c r="AR51" t="e">
        <f ca="1">AR5</f>
        <v>#NAME?</v>
      </c>
      <c r="AS51" t="e">
        <f t="shared" ref="AS51:BI51" ca="1" si="2">AS5</f>
        <v>#NAME?</v>
      </c>
      <c r="AT51" t="e">
        <f t="shared" ca="1" si="2"/>
        <v>#NAME?</v>
      </c>
      <c r="AU51" t="e">
        <f t="shared" ca="1" si="2"/>
        <v>#NAME?</v>
      </c>
      <c r="AV51" t="e">
        <f t="shared" ca="1" si="2"/>
        <v>#NAME?</v>
      </c>
      <c r="AW51" t="e">
        <f t="shared" ca="1" si="2"/>
        <v>#NAME?</v>
      </c>
      <c r="AX51" t="e">
        <f t="shared" ca="1" si="2"/>
        <v>#NAME?</v>
      </c>
      <c r="AY51" t="e">
        <f t="shared" ca="1" si="2"/>
        <v>#NAME?</v>
      </c>
      <c r="AZ51" t="e">
        <f t="shared" ca="1" si="2"/>
        <v>#NAME?</v>
      </c>
      <c r="BA51" t="e">
        <f t="shared" ca="1" si="2"/>
        <v>#NAME?</v>
      </c>
      <c r="BB51" t="e">
        <f t="shared" ca="1" si="2"/>
        <v>#NAME?</v>
      </c>
      <c r="BC51" t="e">
        <f t="shared" ca="1" si="2"/>
        <v>#NAME?</v>
      </c>
      <c r="BD51" t="e">
        <f t="shared" ca="1" si="2"/>
        <v>#NAME?</v>
      </c>
      <c r="BE51" t="e">
        <f t="shared" ca="1" si="2"/>
        <v>#NAME?</v>
      </c>
      <c r="BF51" t="e">
        <f t="shared" ca="1" si="2"/>
        <v>#NAME?</v>
      </c>
      <c r="BG51" t="e">
        <f t="shared" ca="1" si="2"/>
        <v>#NAME?</v>
      </c>
      <c r="BH51" t="e">
        <f t="shared" ca="1" si="2"/>
        <v>#NAME?</v>
      </c>
      <c r="BI51" t="e">
        <f t="shared" ca="1" si="2"/>
        <v>#NAME?</v>
      </c>
      <c r="BJ51" t="e">
        <f t="shared" ref="BJ51" ca="1" si="3">BJ5</f>
        <v>#NAME?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t="e" cm="1">
        <f t="array" aca="1" ref="C53" ca="1">+_xll.EQNXTDZ($A$1,$B53,C$51)</f>
        <v>#NAME?</v>
      </c>
      <c r="D53" t="e" cm="1">
        <f t="array" aca="1" ref="D53" ca="1">+_xll.EQNXTDZ($A$1,$B53,D$51)</f>
        <v>#NAME?</v>
      </c>
      <c r="E53" t="e" cm="1">
        <f t="array" aca="1" ref="E53" ca="1">+_xll.EQNXTDZ($A$1,$B53,E$51)</f>
        <v>#NAME?</v>
      </c>
      <c r="F53" t="e" cm="1">
        <f t="array" aca="1" ref="F53" ca="1">+_xll.EQNXTDZ($A$1,$B53,F$51)</f>
        <v>#NAME?</v>
      </c>
      <c r="G53" t="e" cm="1">
        <f t="array" aca="1" ref="G53" ca="1">+_xll.EQNXTDZ($A$1,$B53,G$51)</f>
        <v>#NAME?</v>
      </c>
      <c r="H53" t="e" cm="1">
        <f t="array" aca="1" ref="H53" ca="1">+_xll.EQNXTDZ($A$1,$B53,H$51)</f>
        <v>#NAME?</v>
      </c>
      <c r="I53" t="e" cm="1">
        <f t="array" aca="1" ref="I53" ca="1">+_xll.EQNXTDZ($A$1,$B53,I$51)</f>
        <v>#NAME?</v>
      </c>
      <c r="J53" t="e" cm="1">
        <f t="array" aca="1" ref="J53" ca="1">+_xll.EQNXTDZ($A$1,$B53,J$51)</f>
        <v>#NAME?</v>
      </c>
      <c r="K53" t="e" cm="1">
        <f t="array" aca="1" ref="K53" ca="1">+_xll.EQNXTDZ($A$1,$B53,K$51)</f>
        <v>#NAME?</v>
      </c>
      <c r="L53" t="e" cm="1">
        <f t="array" aca="1" ref="L53" ca="1">+_xll.EQNXTDZ($A$1,$B53,L$51)</f>
        <v>#NAME?</v>
      </c>
      <c r="M53" t="e" cm="1">
        <f t="array" aca="1" ref="M53" ca="1">+_xll.EQNXTDZ($A$1,$B53,M$51)</f>
        <v>#NAME?</v>
      </c>
      <c r="N53" t="e" cm="1">
        <f t="array" aca="1" ref="N53" ca="1">+_xll.EQNXTDZ($A$1,$B53,N$51)</f>
        <v>#NAME?</v>
      </c>
      <c r="O53" t="e" cm="1">
        <f t="array" aca="1" ref="O53" ca="1">+_xll.EQNXTDZ($A$1,$B53,O$51)</f>
        <v>#NAME?</v>
      </c>
      <c r="P53" t="e" cm="1">
        <f t="array" aca="1" ref="P53" ca="1">+_xll.EQNXTDZ($A$1,$B53,P$51)</f>
        <v>#NAME?</v>
      </c>
      <c r="Q53" t="e" cm="1">
        <f t="array" aca="1" ref="Q53" ca="1">+_xll.EQNXTDZ($A$1,$B53,Q$51)</f>
        <v>#NAME?</v>
      </c>
      <c r="R53" t="e" cm="1">
        <f t="array" aca="1" ref="R53" ca="1">+_xll.EQNXTDZ($A$1,$B53,R$51)</f>
        <v>#NAME?</v>
      </c>
      <c r="S53" t="e" cm="1">
        <f t="array" aca="1" ref="S53" ca="1">+_xll.EQNXTDZ($A$1,$B53,S$51)</f>
        <v>#NAME?</v>
      </c>
      <c r="T53" t="e" cm="1">
        <f t="array" aca="1" ref="T53" ca="1">+_xll.EQNXTDZ($A$1,$B53,T$51)</f>
        <v>#NAME?</v>
      </c>
      <c r="U53" t="e" cm="1">
        <f t="array" aca="1" ref="U53" ca="1">+_xll.EQNXTDZ($A$1,$B53,U$51)</f>
        <v>#NAME?</v>
      </c>
      <c r="V53" t="e" cm="1">
        <f t="array" aca="1" ref="V53" ca="1">+_xll.EQNXTDZ($A$1,$B53,V$51)</f>
        <v>#NAME?</v>
      </c>
      <c r="W53" t="e" cm="1">
        <f t="array" aca="1" ref="W53" ca="1">+_xll.EQNXTDZ($A$1,$B53,W$51)</f>
        <v>#NAME?</v>
      </c>
      <c r="X53" t="e" cm="1">
        <f t="array" aca="1" ref="X53" ca="1">+_xll.EQNXTDZ($A$1,$B53,X$51)</f>
        <v>#NAME?</v>
      </c>
      <c r="Y53" t="e" cm="1">
        <f t="array" aca="1" ref="Y53" ca="1">+_xll.EQNXTDZ($A$1,$B53,Y$51)</f>
        <v>#NAME?</v>
      </c>
      <c r="Z53" t="e" cm="1">
        <f t="array" aca="1" ref="Z53" ca="1">+_xll.EQNXTDZ($A$1,$B53,Z$51)</f>
        <v>#NAME?</v>
      </c>
      <c r="AA53" t="e" cm="1">
        <f t="array" aca="1" ref="AA53" ca="1">+_xll.EQNXTDZ($A$1,$B53,AA$51)</f>
        <v>#NAME?</v>
      </c>
      <c r="AB53" t="e" cm="1">
        <f t="array" aca="1" ref="AB53" ca="1">+_xll.EQNXTDZ($A$1,$B53,AB$51)</f>
        <v>#NAME?</v>
      </c>
      <c r="AC53" t="e" cm="1">
        <f t="array" aca="1" ref="AC53" ca="1">+_xll.EQNXTDZ($A$1,$B53,AC$51)</f>
        <v>#NAME?</v>
      </c>
      <c r="AD53" t="e" cm="1">
        <f t="array" aca="1" ref="AD53" ca="1">+_xll.EQNXTDZ($A$1,$B53,AD$51)</f>
        <v>#NAME?</v>
      </c>
      <c r="AE53" t="e" cm="1">
        <f t="array" aca="1" ref="AE53" ca="1">+_xll.EQNXTDZ($A$1,$B53,AE$51)</f>
        <v>#NAME?</v>
      </c>
      <c r="AF53" t="e" cm="1">
        <f t="array" aca="1" ref="AF53" ca="1">+_xll.EQNXTDZ($A$1,$B53,AF$51)</f>
        <v>#NAME?</v>
      </c>
      <c r="AG53" t="e" cm="1">
        <f t="array" aca="1" ref="AG53" ca="1">+_xll.EQNXTDZ($A$1,$B53,AG$51)</f>
        <v>#NAME?</v>
      </c>
      <c r="AH53" t="e" cm="1">
        <f t="array" aca="1" ref="AH53" ca="1">+_xll.EQNXTDZ($A$1,$B53,AH$51)</f>
        <v>#NAME?</v>
      </c>
      <c r="AI53" t="e" cm="1">
        <f t="array" aca="1" ref="AI53" ca="1">+_xll.EQNXTDZ($A$1,$B53,AI$51)</f>
        <v>#NAME?</v>
      </c>
      <c r="AJ53" t="e" cm="1">
        <f t="array" aca="1" ref="AJ53" ca="1">+_xll.EQNXTDZ($A$1,$B53,AJ$51)</f>
        <v>#NAME?</v>
      </c>
      <c r="AK53" t="e" cm="1">
        <f t="array" aca="1" ref="AK53" ca="1">+_xll.EQNXTDZ($A$1,$B53,AK$51)</f>
        <v>#NAME?</v>
      </c>
      <c r="AL53" t="e" cm="1">
        <f t="array" aca="1" ref="AL53" ca="1">+_xll.EQNXTDZ($A$1,$B53,AL$51)</f>
        <v>#NAME?</v>
      </c>
      <c r="AM53" t="e" cm="1">
        <f t="array" aca="1" ref="AM53" ca="1">+_xll.EQNXTDZ($A$1,$B53,AM$51)</f>
        <v>#NAME?</v>
      </c>
      <c r="AN53" t="e" cm="1">
        <f t="array" aca="1" ref="AN53" ca="1">+_xll.EQNXTDZ($A$1,$B53,AN$51)</f>
        <v>#NAME?</v>
      </c>
      <c r="AO53" t="e" cm="1">
        <f t="array" aca="1" ref="AO53" ca="1">+_xll.EQNXTDZ($A$1,$B53,AO$51)</f>
        <v>#NAME?</v>
      </c>
      <c r="AP53" t="e" cm="1">
        <f t="array" aca="1" ref="AP53" ca="1">+_xll.EQNXTDZ($A$1,$B53,AP$51)</f>
        <v>#NAME?</v>
      </c>
      <c r="AQ53" t="e" cm="1">
        <f t="array" aca="1" ref="AQ53" ca="1">+_xll.EQNXTDZ($A$1,$B53,AQ$51)</f>
        <v>#NAME?</v>
      </c>
      <c r="AR53" t="e" cm="1">
        <f t="array" aca="1" ref="AR53" ca="1">+_xll.EQNXTDZ($A$1,$B53,AR$51)</f>
        <v>#NAME?</v>
      </c>
      <c r="AS53" t="e" cm="1">
        <f t="array" aca="1" ref="AS53" ca="1">+_xll.EQNXTDZ($A$1,$B53,AS$51)</f>
        <v>#NAME?</v>
      </c>
      <c r="AT53" t="e" cm="1">
        <f t="array" aca="1" ref="AT53" ca="1">+_xll.EQNXTDZ($A$1,$B53,AT$51)</f>
        <v>#NAME?</v>
      </c>
      <c r="AU53" t="e" cm="1">
        <f t="array" aca="1" ref="AU53" ca="1">+_xll.EQNXTDZ($A$1,$B53,AU$51)</f>
        <v>#NAME?</v>
      </c>
      <c r="AV53" t="e" cm="1">
        <f t="array" aca="1" ref="AV53" ca="1">+_xll.EQNXTDZ($A$1,$B53,AV$51)</f>
        <v>#NAME?</v>
      </c>
      <c r="AW53" t="e" cm="1">
        <f t="array" aca="1" ref="AW53" ca="1">+_xll.EQNXTDZ($A$1,$B53,AW$51)</f>
        <v>#NAME?</v>
      </c>
      <c r="AX53" t="e" cm="1">
        <f t="array" aca="1" ref="AX53" ca="1">+_xll.EQNXTDZ($A$1,$B53,AX$51)</f>
        <v>#NAME?</v>
      </c>
      <c r="AY53" t="e" cm="1">
        <f t="array" aca="1" ref="AY53" ca="1">+_xll.EQNXTDZ($A$1,$B53,AY$51)</f>
        <v>#NAME?</v>
      </c>
      <c r="AZ53" t="e" cm="1">
        <f t="array" aca="1" ref="AZ53" ca="1">+_xll.EQNXTDZ($A$1,$B53,AZ$51)</f>
        <v>#NAME?</v>
      </c>
      <c r="BA53" t="e" cm="1">
        <f t="array" aca="1" ref="BA53" ca="1">+_xll.EQNXTDZ($A$1,$B53,BA$51)</f>
        <v>#NAME?</v>
      </c>
      <c r="BB53" t="e" cm="1">
        <f t="array" aca="1" ref="BB53" ca="1">+_xll.EQNXTDZ($A$1,$B53,BB$51)</f>
        <v>#NAME?</v>
      </c>
      <c r="BC53" t="e" cm="1">
        <f t="array" aca="1" ref="BC53" ca="1">+_xll.EQNXTDZ($A$1,$B53,BC$51)</f>
        <v>#NAME?</v>
      </c>
      <c r="BD53" t="e" cm="1">
        <f t="array" aca="1" ref="BD53" ca="1">+_xll.EQNXTDZ($A$1,$B53,BD$51)</f>
        <v>#NAME?</v>
      </c>
      <c r="BE53" t="e" cm="1">
        <f t="array" aca="1" ref="BE53" ca="1">+_xll.EQNXTDZ($A$1,$B53,BE$51)</f>
        <v>#NAME?</v>
      </c>
      <c r="BF53" t="e" cm="1">
        <f t="array" aca="1" ref="BF53" ca="1">+_xll.EQNXTDZ($A$1,$B53,BF$51)</f>
        <v>#NAME?</v>
      </c>
      <c r="BG53" t="e" cm="1">
        <f t="array" aca="1" ref="BG53" ca="1">+_xll.EQNXTDZ($A$1,$B53,BG$51)</f>
        <v>#NAME?</v>
      </c>
      <c r="BH53" t="e" cm="1">
        <f t="array" aca="1" ref="BH53" ca="1">+_xll.EQNXTDZ($A$1,$B53,BH$51)</f>
        <v>#NAME?</v>
      </c>
      <c r="BI53" t="e" cm="1">
        <f t="array" aca="1" ref="BI53" ca="1">+_xll.EQNXTDZ($A$1,$B53,BI$51)</f>
        <v>#NAME?</v>
      </c>
      <c r="BJ53" t="e" cm="1">
        <f t="array" aca="1" ref="BJ53" ca="1">+_xll.EQNXTDZ($A$1,$B53,BJ$51)</f>
        <v>#NAME?</v>
      </c>
    </row>
    <row r="54" spans="1:62" x14ac:dyDescent="0.25">
      <c r="A54" t="s">
        <v>16</v>
      </c>
      <c r="B54" t="s">
        <v>301</v>
      </c>
      <c r="C54" t="e" cm="1">
        <f t="array" aca="1" ref="C54" ca="1">+_xll.EQNXTDZ($A$1,$B54,C$51)</f>
        <v>#NAME?</v>
      </c>
      <c r="D54" t="e" cm="1">
        <f t="array" aca="1" ref="D54" ca="1">+_xll.EQNXTDZ($A$1,$B54,D$51)</f>
        <v>#NAME?</v>
      </c>
      <c r="E54" t="e" cm="1">
        <f t="array" aca="1" ref="E54" ca="1">+_xll.EQNXTDZ($A$1,$B54,E$51)</f>
        <v>#NAME?</v>
      </c>
      <c r="F54" t="e" cm="1">
        <f t="array" aca="1" ref="F54" ca="1">+_xll.EQNXTDZ($A$1,$B54,F$51)</f>
        <v>#NAME?</v>
      </c>
      <c r="G54" t="e" cm="1">
        <f t="array" aca="1" ref="G54" ca="1">+_xll.EQNXTDZ($A$1,$B54,G$51)</f>
        <v>#NAME?</v>
      </c>
      <c r="H54" t="e" cm="1">
        <f t="array" aca="1" ref="H54" ca="1">+_xll.EQNXTDZ($A$1,$B54,H$51)</f>
        <v>#NAME?</v>
      </c>
      <c r="I54" t="e" cm="1">
        <f t="array" aca="1" ref="I54" ca="1">+_xll.EQNXTDZ($A$1,$B54,I$51)</f>
        <v>#NAME?</v>
      </c>
      <c r="J54" t="e" cm="1">
        <f t="array" aca="1" ref="J54" ca="1">+_xll.EQNXTDZ($A$1,$B54,J$51)</f>
        <v>#NAME?</v>
      </c>
      <c r="K54" t="e" cm="1">
        <f t="array" aca="1" ref="K54" ca="1">+_xll.EQNXTDZ($A$1,$B54,K$51)</f>
        <v>#NAME?</v>
      </c>
      <c r="L54" t="e" cm="1">
        <f t="array" aca="1" ref="L54" ca="1">+_xll.EQNXTDZ($A$1,$B54,L$51)</f>
        <v>#NAME?</v>
      </c>
      <c r="M54" t="e" cm="1">
        <f t="array" aca="1" ref="M54" ca="1">+_xll.EQNXTDZ($A$1,$B54,M$51)</f>
        <v>#NAME?</v>
      </c>
      <c r="N54" t="e" cm="1">
        <f t="array" aca="1" ref="N54" ca="1">+_xll.EQNXTDZ($A$1,$B54,N$51)</f>
        <v>#NAME?</v>
      </c>
      <c r="O54" t="e" cm="1">
        <f t="array" aca="1" ref="O54" ca="1">+_xll.EQNXTDZ($A$1,$B54,O$51)</f>
        <v>#NAME?</v>
      </c>
      <c r="P54" t="e" cm="1">
        <f t="array" aca="1" ref="P54" ca="1">+_xll.EQNXTDZ($A$1,$B54,P$51)</f>
        <v>#NAME?</v>
      </c>
      <c r="Q54" t="e" cm="1">
        <f t="array" aca="1" ref="Q54" ca="1">+_xll.EQNXTDZ($A$1,$B54,Q$51)</f>
        <v>#NAME?</v>
      </c>
      <c r="R54" t="e" cm="1">
        <f t="array" aca="1" ref="R54" ca="1">+_xll.EQNXTDZ($A$1,$B54,R$51)</f>
        <v>#NAME?</v>
      </c>
      <c r="S54" t="e" cm="1">
        <f t="array" aca="1" ref="S54" ca="1">+_xll.EQNXTDZ($A$1,$B54,S$51)</f>
        <v>#NAME?</v>
      </c>
      <c r="T54" t="e" cm="1">
        <f t="array" aca="1" ref="T54" ca="1">+_xll.EQNXTDZ($A$1,$B54,T$51)</f>
        <v>#NAME?</v>
      </c>
      <c r="U54" t="e" cm="1">
        <f t="array" aca="1" ref="U54" ca="1">+_xll.EQNXTDZ($A$1,$B54,U$51)</f>
        <v>#NAME?</v>
      </c>
      <c r="V54" t="e" cm="1">
        <f t="array" aca="1" ref="V54" ca="1">+_xll.EQNXTDZ($A$1,$B54,V$51)</f>
        <v>#NAME?</v>
      </c>
      <c r="W54" t="e" cm="1">
        <f t="array" aca="1" ref="W54" ca="1">+_xll.EQNXTDZ($A$1,$B54,W$51)</f>
        <v>#NAME?</v>
      </c>
      <c r="X54" t="e" cm="1">
        <f t="array" aca="1" ref="X54" ca="1">+_xll.EQNXTDZ($A$1,$B54,X$51)</f>
        <v>#NAME?</v>
      </c>
      <c r="Y54" t="e" cm="1">
        <f t="array" aca="1" ref="Y54" ca="1">+_xll.EQNXTDZ($A$1,$B54,Y$51)</f>
        <v>#NAME?</v>
      </c>
      <c r="Z54" t="e" cm="1">
        <f t="array" aca="1" ref="Z54" ca="1">+_xll.EQNXTDZ($A$1,$B54,Z$51)</f>
        <v>#NAME?</v>
      </c>
      <c r="AA54" t="e" cm="1">
        <f t="array" aca="1" ref="AA54" ca="1">+_xll.EQNXTDZ($A$1,$B54,AA$51)</f>
        <v>#NAME?</v>
      </c>
      <c r="AB54" t="e" cm="1">
        <f t="array" aca="1" ref="AB54" ca="1">+_xll.EQNXTDZ($A$1,$B54,AB$51)</f>
        <v>#NAME?</v>
      </c>
      <c r="AC54" t="e" cm="1">
        <f t="array" aca="1" ref="AC54" ca="1">+_xll.EQNXTDZ($A$1,$B54,AC$51)</f>
        <v>#NAME?</v>
      </c>
      <c r="AD54" t="e" cm="1">
        <f t="array" aca="1" ref="AD54" ca="1">+_xll.EQNXTDZ($A$1,$B54,AD$51)</f>
        <v>#NAME?</v>
      </c>
      <c r="AE54" t="e" cm="1">
        <f t="array" aca="1" ref="AE54" ca="1">+_xll.EQNXTDZ($A$1,$B54,AE$51)</f>
        <v>#NAME?</v>
      </c>
      <c r="AF54" t="e" cm="1">
        <f t="array" aca="1" ref="AF54" ca="1">+_xll.EQNXTDZ($A$1,$B54,AF$51)</f>
        <v>#NAME?</v>
      </c>
      <c r="AG54" t="e" cm="1">
        <f t="array" aca="1" ref="AG54" ca="1">+_xll.EQNXTDZ($A$1,$B54,AG$51)</f>
        <v>#NAME?</v>
      </c>
      <c r="AH54" t="e" cm="1">
        <f t="array" aca="1" ref="AH54" ca="1">+_xll.EQNXTDZ($A$1,$B54,AH$51)</f>
        <v>#NAME?</v>
      </c>
      <c r="AI54" t="e" cm="1">
        <f t="array" aca="1" ref="AI54" ca="1">+_xll.EQNXTDZ($A$1,$B54,AI$51)</f>
        <v>#NAME?</v>
      </c>
      <c r="AJ54" t="e" cm="1">
        <f t="array" aca="1" ref="AJ54" ca="1">+_xll.EQNXTDZ($A$1,$B54,AJ$51)</f>
        <v>#NAME?</v>
      </c>
      <c r="AK54" t="e" cm="1">
        <f t="array" aca="1" ref="AK54" ca="1">+_xll.EQNXTDZ($A$1,$B54,AK$51)</f>
        <v>#NAME?</v>
      </c>
      <c r="AL54" t="e" cm="1">
        <f t="array" aca="1" ref="AL54" ca="1">+_xll.EQNXTDZ($A$1,$B54,AL$51)</f>
        <v>#NAME?</v>
      </c>
      <c r="AM54" t="e" cm="1">
        <f t="array" aca="1" ref="AM54" ca="1">+_xll.EQNXTDZ($A$1,$B54,AM$51)</f>
        <v>#NAME?</v>
      </c>
      <c r="AN54" t="e" cm="1">
        <f t="array" aca="1" ref="AN54" ca="1">+_xll.EQNXTDZ($A$1,$B54,AN$51)</f>
        <v>#NAME?</v>
      </c>
      <c r="AO54" t="e" cm="1">
        <f t="array" aca="1" ref="AO54" ca="1">+_xll.EQNXTDZ($A$1,$B54,AO$51)</f>
        <v>#NAME?</v>
      </c>
      <c r="AP54" t="e" cm="1">
        <f t="array" aca="1" ref="AP54" ca="1">+_xll.EQNXTDZ($A$1,$B54,AP$51)</f>
        <v>#NAME?</v>
      </c>
      <c r="AQ54" t="e" cm="1">
        <f t="array" aca="1" ref="AQ54" ca="1">+_xll.EQNXTDZ($A$1,$B54,AQ$51)</f>
        <v>#NAME?</v>
      </c>
      <c r="AR54" t="e" cm="1">
        <f t="array" aca="1" ref="AR54" ca="1">+_xll.EQNXTDZ($A$1,$B54,AR$51)</f>
        <v>#NAME?</v>
      </c>
      <c r="AS54" t="e" cm="1">
        <f t="array" aca="1" ref="AS54" ca="1">+_xll.EQNXTDZ($A$1,$B54,AS$51)</f>
        <v>#NAME?</v>
      </c>
      <c r="AT54" t="e" cm="1">
        <f t="array" aca="1" ref="AT54" ca="1">+_xll.EQNXTDZ($A$1,$B54,AT$51)</f>
        <v>#NAME?</v>
      </c>
      <c r="AU54" t="e" cm="1">
        <f t="array" aca="1" ref="AU54" ca="1">+_xll.EQNXTDZ($A$1,$B54,AU$51)</f>
        <v>#NAME?</v>
      </c>
      <c r="AV54" t="e" cm="1">
        <f t="array" aca="1" ref="AV54" ca="1">+_xll.EQNXTDZ($A$1,$B54,AV$51)</f>
        <v>#NAME?</v>
      </c>
      <c r="AW54" t="e" cm="1">
        <f t="array" aca="1" ref="AW54" ca="1">+_xll.EQNXTDZ($A$1,$B54,AW$51)</f>
        <v>#NAME?</v>
      </c>
      <c r="AX54" t="e" cm="1">
        <f t="array" aca="1" ref="AX54" ca="1">+_xll.EQNXTDZ($A$1,$B54,AX$51)</f>
        <v>#NAME?</v>
      </c>
      <c r="AY54" t="e" cm="1">
        <f t="array" aca="1" ref="AY54" ca="1">+_xll.EQNXTDZ($A$1,$B54,AY$51)</f>
        <v>#NAME?</v>
      </c>
      <c r="AZ54" t="e" cm="1">
        <f t="array" aca="1" ref="AZ54" ca="1">+_xll.EQNXTDZ($A$1,$B54,AZ$51)</f>
        <v>#NAME?</v>
      </c>
      <c r="BA54" t="e" cm="1">
        <f t="array" aca="1" ref="BA54" ca="1">+_xll.EQNXTDZ($A$1,$B54,BA$51)</f>
        <v>#NAME?</v>
      </c>
      <c r="BB54" t="e" cm="1">
        <f t="array" aca="1" ref="BB54" ca="1">+_xll.EQNXTDZ($A$1,$B54,BB$51)</f>
        <v>#NAME?</v>
      </c>
      <c r="BC54" t="e" cm="1">
        <f t="array" aca="1" ref="BC54" ca="1">+_xll.EQNXTDZ($A$1,$B54,BC$51)</f>
        <v>#NAME?</v>
      </c>
      <c r="BD54" t="e" cm="1">
        <f t="array" aca="1" ref="BD54" ca="1">+_xll.EQNXTDZ($A$1,$B54,BD$51)</f>
        <v>#NAME?</v>
      </c>
      <c r="BE54" t="e" cm="1">
        <f t="array" aca="1" ref="BE54" ca="1">+_xll.EQNXTDZ($A$1,$B54,BE$51)</f>
        <v>#NAME?</v>
      </c>
      <c r="BF54" t="e" cm="1">
        <f t="array" aca="1" ref="BF54" ca="1">+_xll.EQNXTDZ($A$1,$B54,BF$51)</f>
        <v>#NAME?</v>
      </c>
      <c r="BG54" t="e" cm="1">
        <f t="array" aca="1" ref="BG54" ca="1">+_xll.EQNXTDZ($A$1,$B54,BG$51)</f>
        <v>#NAME?</v>
      </c>
      <c r="BH54" t="e" cm="1">
        <f t="array" aca="1" ref="BH54" ca="1">+_xll.EQNXTDZ($A$1,$B54,BH$51)</f>
        <v>#NAME?</v>
      </c>
      <c r="BI54" t="e" cm="1">
        <f t="array" aca="1" ref="BI54" ca="1">+_xll.EQNXTDZ($A$1,$B54,BI$51)</f>
        <v>#NAME?</v>
      </c>
      <c r="BJ54" t="e" cm="1">
        <f t="array" aca="1" ref="BJ54" ca="1">+_xll.EQNXTDZ($A$1,$B54,BJ$51)</f>
        <v>#NAME?</v>
      </c>
    </row>
    <row r="55" spans="1:62" x14ac:dyDescent="0.25">
      <c r="A55" t="s">
        <v>287</v>
      </c>
      <c r="B55" t="s">
        <v>302</v>
      </c>
      <c r="C55" t="e" cm="1">
        <f t="array" aca="1" ref="C55" ca="1">+_xll.EQNXTDZ($A$1,$B55,C$51)</f>
        <v>#NAME?</v>
      </c>
      <c r="D55" t="e" cm="1">
        <f t="array" aca="1" ref="D55" ca="1">+_xll.EQNXTDZ($A$1,$B55,D$51)</f>
        <v>#NAME?</v>
      </c>
      <c r="E55" t="e" cm="1">
        <f t="array" aca="1" ref="E55" ca="1">+_xll.EQNXTDZ($A$1,$B55,E$51)</f>
        <v>#NAME?</v>
      </c>
      <c r="F55" t="e" cm="1">
        <f t="array" aca="1" ref="F55" ca="1">+_xll.EQNXTDZ($A$1,$B55,F$51)</f>
        <v>#NAME?</v>
      </c>
      <c r="G55" t="e" cm="1">
        <f t="array" aca="1" ref="G55" ca="1">+_xll.EQNXTDZ($A$1,$B55,G$51)</f>
        <v>#NAME?</v>
      </c>
      <c r="H55" t="e" cm="1">
        <f t="array" aca="1" ref="H55" ca="1">+_xll.EQNXTDZ($A$1,$B55,H$51)</f>
        <v>#NAME?</v>
      </c>
      <c r="I55" t="e" cm="1">
        <f t="array" aca="1" ref="I55" ca="1">+_xll.EQNXTDZ($A$1,$B55,I$51)</f>
        <v>#NAME?</v>
      </c>
      <c r="J55" t="e" cm="1">
        <f t="array" aca="1" ref="J55" ca="1">+_xll.EQNXTDZ($A$1,$B55,J$51)</f>
        <v>#NAME?</v>
      </c>
      <c r="K55" t="e" cm="1">
        <f t="array" aca="1" ref="K55" ca="1">+_xll.EQNXTDZ($A$1,$B55,K$51)</f>
        <v>#NAME?</v>
      </c>
      <c r="L55" t="e" cm="1">
        <f t="array" aca="1" ref="L55" ca="1">+_xll.EQNXTDZ($A$1,$B55,L$51)</f>
        <v>#NAME?</v>
      </c>
      <c r="M55" t="e" cm="1">
        <f t="array" aca="1" ref="M55" ca="1">+_xll.EQNXTDZ($A$1,$B55,M$51)</f>
        <v>#NAME?</v>
      </c>
      <c r="N55" t="e" cm="1">
        <f t="array" aca="1" ref="N55" ca="1">+_xll.EQNXTDZ($A$1,$B55,N$51)</f>
        <v>#NAME?</v>
      </c>
      <c r="O55" t="e" cm="1">
        <f t="array" aca="1" ref="O55" ca="1">+_xll.EQNXTDZ($A$1,$B55,O$51)</f>
        <v>#NAME?</v>
      </c>
      <c r="P55" t="e" cm="1">
        <f t="array" aca="1" ref="P55" ca="1">+_xll.EQNXTDZ($A$1,$B55,P$51)</f>
        <v>#NAME?</v>
      </c>
      <c r="Q55" t="e" cm="1">
        <f t="array" aca="1" ref="Q55" ca="1">+_xll.EQNXTDZ($A$1,$B55,Q$51)</f>
        <v>#NAME?</v>
      </c>
      <c r="R55" t="e" cm="1">
        <f t="array" aca="1" ref="R55" ca="1">+_xll.EQNXTDZ($A$1,$B55,R$51)</f>
        <v>#NAME?</v>
      </c>
      <c r="S55" t="e" cm="1">
        <f t="array" aca="1" ref="S55" ca="1">+_xll.EQNXTDZ($A$1,$B55,S$51)</f>
        <v>#NAME?</v>
      </c>
      <c r="T55" t="e" cm="1">
        <f t="array" aca="1" ref="T55" ca="1">+_xll.EQNXTDZ($A$1,$B55,T$51)</f>
        <v>#NAME?</v>
      </c>
      <c r="U55" t="e" cm="1">
        <f t="array" aca="1" ref="U55" ca="1">+_xll.EQNXTDZ($A$1,$B55,U$51)</f>
        <v>#NAME?</v>
      </c>
      <c r="V55" t="e" cm="1">
        <f t="array" aca="1" ref="V55" ca="1">+_xll.EQNXTDZ($A$1,$B55,V$51)</f>
        <v>#NAME?</v>
      </c>
      <c r="W55" t="e" cm="1">
        <f t="array" aca="1" ref="W55" ca="1">+_xll.EQNXTDZ($A$1,$B55,W$51)</f>
        <v>#NAME?</v>
      </c>
      <c r="X55" t="e" cm="1">
        <f t="array" aca="1" ref="X55" ca="1">+_xll.EQNXTDZ($A$1,$B55,X$51)</f>
        <v>#NAME?</v>
      </c>
      <c r="Y55" t="e" cm="1">
        <f t="array" aca="1" ref="Y55" ca="1">+_xll.EQNXTDZ($A$1,$B55,Y$51)</f>
        <v>#NAME?</v>
      </c>
      <c r="Z55" t="e" cm="1">
        <f t="array" aca="1" ref="Z55" ca="1">+_xll.EQNXTDZ($A$1,$B55,Z$51)</f>
        <v>#NAME?</v>
      </c>
      <c r="AA55" t="e" cm="1">
        <f t="array" aca="1" ref="AA55" ca="1">+_xll.EQNXTDZ($A$1,$B55,AA$51)</f>
        <v>#NAME?</v>
      </c>
      <c r="AB55" t="e" cm="1">
        <f t="array" aca="1" ref="AB55" ca="1">+_xll.EQNXTDZ($A$1,$B55,AB$51)</f>
        <v>#NAME?</v>
      </c>
      <c r="AC55" t="e" cm="1">
        <f t="array" aca="1" ref="AC55" ca="1">+_xll.EQNXTDZ($A$1,$B55,AC$51)</f>
        <v>#NAME?</v>
      </c>
      <c r="AD55" t="e" cm="1">
        <f t="array" aca="1" ref="AD55" ca="1">+_xll.EQNXTDZ($A$1,$B55,AD$51)</f>
        <v>#NAME?</v>
      </c>
      <c r="AE55" t="e" cm="1">
        <f t="array" aca="1" ref="AE55" ca="1">+_xll.EQNXTDZ($A$1,$B55,AE$51)</f>
        <v>#NAME?</v>
      </c>
      <c r="AF55" t="e" cm="1">
        <f t="array" aca="1" ref="AF55" ca="1">+_xll.EQNXTDZ($A$1,$B55,AF$51)</f>
        <v>#NAME?</v>
      </c>
      <c r="AG55" t="e" cm="1">
        <f t="array" aca="1" ref="AG55" ca="1">+_xll.EQNXTDZ($A$1,$B55,AG$51)</f>
        <v>#NAME?</v>
      </c>
      <c r="AH55" t="e" cm="1">
        <f t="array" aca="1" ref="AH55" ca="1">+_xll.EQNXTDZ($A$1,$B55,AH$51)</f>
        <v>#NAME?</v>
      </c>
      <c r="AI55" t="e" cm="1">
        <f t="array" aca="1" ref="AI55" ca="1">+_xll.EQNXTDZ($A$1,$B55,AI$51)</f>
        <v>#NAME?</v>
      </c>
      <c r="AJ55" t="e" cm="1">
        <f t="array" aca="1" ref="AJ55" ca="1">+_xll.EQNXTDZ($A$1,$B55,AJ$51)</f>
        <v>#NAME?</v>
      </c>
      <c r="AK55" t="e" cm="1">
        <f t="array" aca="1" ref="AK55" ca="1">+_xll.EQNXTDZ($A$1,$B55,AK$51)</f>
        <v>#NAME?</v>
      </c>
      <c r="AL55" t="e" cm="1">
        <f t="array" aca="1" ref="AL55" ca="1">+_xll.EQNXTDZ($A$1,$B55,AL$51)</f>
        <v>#NAME?</v>
      </c>
      <c r="AM55" t="e" cm="1">
        <f t="array" aca="1" ref="AM55" ca="1">+_xll.EQNXTDZ($A$1,$B55,AM$51)</f>
        <v>#NAME?</v>
      </c>
      <c r="AN55" t="e" cm="1">
        <f t="array" aca="1" ref="AN55" ca="1">+_xll.EQNXTDZ($A$1,$B55,AN$51)</f>
        <v>#NAME?</v>
      </c>
      <c r="AO55" t="e" cm="1">
        <f t="array" aca="1" ref="AO55" ca="1">+_xll.EQNXTDZ($A$1,$B55,AO$51)</f>
        <v>#NAME?</v>
      </c>
      <c r="AP55" t="e" cm="1">
        <f t="array" aca="1" ref="AP55" ca="1">+_xll.EQNXTDZ($A$1,$B55,AP$51)</f>
        <v>#NAME?</v>
      </c>
      <c r="AQ55" t="e" cm="1">
        <f t="array" aca="1" ref="AQ55" ca="1">+_xll.EQNXTDZ($A$1,$B55,AQ$51)</f>
        <v>#NAME?</v>
      </c>
      <c r="AR55" t="e" cm="1">
        <f t="array" aca="1" ref="AR55" ca="1">+_xll.EQNXTDZ($A$1,$B55,AR$51)</f>
        <v>#NAME?</v>
      </c>
      <c r="AS55" t="e" cm="1">
        <f t="array" aca="1" ref="AS55" ca="1">+_xll.EQNXTDZ($A$1,$B55,AS$51)</f>
        <v>#NAME?</v>
      </c>
      <c r="AT55" t="e" cm="1">
        <f t="array" aca="1" ref="AT55" ca="1">+_xll.EQNXTDZ($A$1,$B55,AT$51)</f>
        <v>#NAME?</v>
      </c>
      <c r="AU55" t="e" cm="1">
        <f t="array" aca="1" ref="AU55" ca="1">+_xll.EQNXTDZ($A$1,$B55,AU$51)</f>
        <v>#NAME?</v>
      </c>
      <c r="AV55" t="e" cm="1">
        <f t="array" aca="1" ref="AV55" ca="1">+_xll.EQNXTDZ($A$1,$B55,AV$51)</f>
        <v>#NAME?</v>
      </c>
      <c r="AW55" t="e" cm="1">
        <f t="array" aca="1" ref="AW55" ca="1">+_xll.EQNXTDZ($A$1,$B55,AW$51)</f>
        <v>#NAME?</v>
      </c>
      <c r="AX55" t="e" cm="1">
        <f t="array" aca="1" ref="AX55" ca="1">+_xll.EQNXTDZ($A$1,$B55,AX$51)</f>
        <v>#NAME?</v>
      </c>
      <c r="AY55" t="e" cm="1">
        <f t="array" aca="1" ref="AY55" ca="1">+_xll.EQNXTDZ($A$1,$B55,AY$51)</f>
        <v>#NAME?</v>
      </c>
      <c r="AZ55" t="e" cm="1">
        <f t="array" aca="1" ref="AZ55" ca="1">+_xll.EQNXTDZ($A$1,$B55,AZ$51)</f>
        <v>#NAME?</v>
      </c>
      <c r="BA55" t="e" cm="1">
        <f t="array" aca="1" ref="BA55" ca="1">+_xll.EQNXTDZ($A$1,$B55,BA$51)</f>
        <v>#NAME?</v>
      </c>
      <c r="BB55" t="e" cm="1">
        <f t="array" aca="1" ref="BB55" ca="1">+_xll.EQNXTDZ($A$1,$B55,BB$51)</f>
        <v>#NAME?</v>
      </c>
      <c r="BC55" t="e" cm="1">
        <f t="array" aca="1" ref="BC55" ca="1">+_xll.EQNXTDZ($A$1,$B55,BC$51)</f>
        <v>#NAME?</v>
      </c>
      <c r="BD55" t="e" cm="1">
        <f t="array" aca="1" ref="BD55" ca="1">+_xll.EQNXTDZ($A$1,$B55,BD$51)</f>
        <v>#NAME?</v>
      </c>
      <c r="BE55" t="e" cm="1">
        <f t="array" aca="1" ref="BE55" ca="1">+_xll.EQNXTDZ($A$1,$B55,BE$51)</f>
        <v>#NAME?</v>
      </c>
      <c r="BF55" t="e" cm="1">
        <f t="array" aca="1" ref="BF55" ca="1">+_xll.EQNXTDZ($A$1,$B55,BF$51)</f>
        <v>#NAME?</v>
      </c>
      <c r="BG55" t="e" cm="1">
        <f t="array" aca="1" ref="BG55" ca="1">+_xll.EQNXTDZ($A$1,$B55,BG$51)</f>
        <v>#NAME?</v>
      </c>
      <c r="BH55" t="e" cm="1">
        <f t="array" aca="1" ref="BH55" ca="1">+_xll.EQNXTDZ($A$1,$B55,BH$51)</f>
        <v>#NAME?</v>
      </c>
      <c r="BI55" t="e" cm="1">
        <f t="array" aca="1" ref="BI55" ca="1">+_xll.EQNXTDZ($A$1,$B55,BI$51)</f>
        <v>#NAME?</v>
      </c>
      <c r="BJ55" t="e" cm="1">
        <f t="array" aca="1" ref="BJ55" ca="1">+_xll.EQNXTDZ($A$1,$B55,BJ$51)</f>
        <v>#NAME?</v>
      </c>
    </row>
    <row r="56" spans="1:62" x14ac:dyDescent="0.25">
      <c r="A56" t="s">
        <v>174</v>
      </c>
      <c r="B56" t="s">
        <v>303</v>
      </c>
      <c r="C56" t="e" cm="1">
        <f t="array" aca="1" ref="C56" ca="1">+_xll.EQNXTDZ($A$1,$B56,C$51)</f>
        <v>#NAME?</v>
      </c>
      <c r="D56" t="e" cm="1">
        <f t="array" aca="1" ref="D56" ca="1">+_xll.EQNXTDZ($A$1,$B56,D$51)</f>
        <v>#NAME?</v>
      </c>
      <c r="E56" t="e" cm="1">
        <f t="array" aca="1" ref="E56" ca="1">+_xll.EQNXTDZ($A$1,$B56,E$51)</f>
        <v>#NAME?</v>
      </c>
      <c r="F56" t="e" cm="1">
        <f t="array" aca="1" ref="F56" ca="1">+_xll.EQNXTDZ($A$1,$B56,F$51)</f>
        <v>#NAME?</v>
      </c>
      <c r="G56" t="e" cm="1">
        <f t="array" aca="1" ref="G56" ca="1">+_xll.EQNXTDZ($A$1,$B56,G$51)</f>
        <v>#NAME?</v>
      </c>
      <c r="H56" t="e" cm="1">
        <f t="array" aca="1" ref="H56" ca="1">+_xll.EQNXTDZ($A$1,$B56,H$51)</f>
        <v>#NAME?</v>
      </c>
      <c r="I56" t="e" cm="1">
        <f t="array" aca="1" ref="I56" ca="1">+_xll.EQNXTDZ($A$1,$B56,I$51)</f>
        <v>#NAME?</v>
      </c>
      <c r="J56" t="e" cm="1">
        <f t="array" aca="1" ref="J56" ca="1">+_xll.EQNXTDZ($A$1,$B56,J$51)</f>
        <v>#NAME?</v>
      </c>
      <c r="K56" t="e" cm="1">
        <f t="array" aca="1" ref="K56" ca="1">+_xll.EQNXTDZ($A$1,$B56,K$51)</f>
        <v>#NAME?</v>
      </c>
      <c r="L56" t="e" cm="1">
        <f t="array" aca="1" ref="L56" ca="1">+_xll.EQNXTDZ($A$1,$B56,L$51)</f>
        <v>#NAME?</v>
      </c>
      <c r="M56" t="e" cm="1">
        <f t="array" aca="1" ref="M56" ca="1">+_xll.EQNXTDZ($A$1,$B56,M$51)</f>
        <v>#NAME?</v>
      </c>
      <c r="N56" t="e" cm="1">
        <f t="array" aca="1" ref="N56" ca="1">+_xll.EQNXTDZ($A$1,$B56,N$51)</f>
        <v>#NAME?</v>
      </c>
      <c r="O56" t="e" cm="1">
        <f t="array" aca="1" ref="O56" ca="1">+_xll.EQNXTDZ($A$1,$B56,O$51)</f>
        <v>#NAME?</v>
      </c>
      <c r="P56" t="e" cm="1">
        <f t="array" aca="1" ref="P56" ca="1">+_xll.EQNXTDZ($A$1,$B56,P$51)</f>
        <v>#NAME?</v>
      </c>
      <c r="Q56" t="e" cm="1">
        <f t="array" aca="1" ref="Q56" ca="1">+_xll.EQNXTDZ($A$1,$B56,Q$51)</f>
        <v>#NAME?</v>
      </c>
      <c r="R56" t="e" cm="1">
        <f t="array" aca="1" ref="R56" ca="1">+_xll.EQNXTDZ($A$1,$B56,R$51)</f>
        <v>#NAME?</v>
      </c>
      <c r="S56" t="e" cm="1">
        <f t="array" aca="1" ref="S56" ca="1">+_xll.EQNXTDZ($A$1,$B56,S$51)</f>
        <v>#NAME?</v>
      </c>
      <c r="T56" t="e" cm="1">
        <f t="array" aca="1" ref="T56" ca="1">+_xll.EQNXTDZ($A$1,$B56,T$51)</f>
        <v>#NAME?</v>
      </c>
      <c r="U56" t="e" cm="1">
        <f t="array" aca="1" ref="U56" ca="1">+_xll.EQNXTDZ($A$1,$B56,U$51)</f>
        <v>#NAME?</v>
      </c>
      <c r="V56" t="e" cm="1">
        <f t="array" aca="1" ref="V56" ca="1">+_xll.EQNXTDZ($A$1,$B56,V$51)</f>
        <v>#NAME?</v>
      </c>
      <c r="W56" t="e" cm="1">
        <f t="array" aca="1" ref="W56" ca="1">+_xll.EQNXTDZ($A$1,$B56,W$51)</f>
        <v>#NAME?</v>
      </c>
      <c r="X56" t="e" cm="1">
        <f t="array" aca="1" ref="X56" ca="1">+_xll.EQNXTDZ($A$1,$B56,X$51)</f>
        <v>#NAME?</v>
      </c>
      <c r="Y56" t="e" cm="1">
        <f t="array" aca="1" ref="Y56" ca="1">+_xll.EQNXTDZ($A$1,$B56,Y$51)</f>
        <v>#NAME?</v>
      </c>
      <c r="Z56" t="e" cm="1">
        <f t="array" aca="1" ref="Z56" ca="1">+_xll.EQNXTDZ($A$1,$B56,Z$51)</f>
        <v>#NAME?</v>
      </c>
      <c r="AA56" t="e" cm="1">
        <f t="array" aca="1" ref="AA56" ca="1">+_xll.EQNXTDZ($A$1,$B56,AA$51)</f>
        <v>#NAME?</v>
      </c>
      <c r="AB56" t="e" cm="1">
        <f t="array" aca="1" ref="AB56" ca="1">+_xll.EQNXTDZ($A$1,$B56,AB$51)</f>
        <v>#NAME?</v>
      </c>
      <c r="AC56" t="e" cm="1">
        <f t="array" aca="1" ref="AC56" ca="1">+_xll.EQNXTDZ($A$1,$B56,AC$51)</f>
        <v>#NAME?</v>
      </c>
      <c r="AD56" t="e" cm="1">
        <f t="array" aca="1" ref="AD56" ca="1">+_xll.EQNXTDZ($A$1,$B56,AD$51)</f>
        <v>#NAME?</v>
      </c>
      <c r="AE56" t="e" cm="1">
        <f t="array" aca="1" ref="AE56" ca="1">+_xll.EQNXTDZ($A$1,$B56,AE$51)</f>
        <v>#NAME?</v>
      </c>
      <c r="AF56" t="e" cm="1">
        <f t="array" aca="1" ref="AF56" ca="1">+_xll.EQNXTDZ($A$1,$B56,AF$51)</f>
        <v>#NAME?</v>
      </c>
      <c r="AG56" t="e" cm="1">
        <f t="array" aca="1" ref="AG56" ca="1">+_xll.EQNXTDZ($A$1,$B56,AG$51)</f>
        <v>#NAME?</v>
      </c>
      <c r="AH56" t="e" cm="1">
        <f t="array" aca="1" ref="AH56" ca="1">+_xll.EQNXTDZ($A$1,$B56,AH$51)</f>
        <v>#NAME?</v>
      </c>
      <c r="AI56" t="e" cm="1">
        <f t="array" aca="1" ref="AI56" ca="1">+_xll.EQNXTDZ($A$1,$B56,AI$51)</f>
        <v>#NAME?</v>
      </c>
      <c r="AJ56" t="e" cm="1">
        <f t="array" aca="1" ref="AJ56" ca="1">+_xll.EQNXTDZ($A$1,$B56,AJ$51)</f>
        <v>#NAME?</v>
      </c>
      <c r="AK56" t="e" cm="1">
        <f t="array" aca="1" ref="AK56" ca="1">+_xll.EQNXTDZ($A$1,$B56,AK$51)</f>
        <v>#NAME?</v>
      </c>
      <c r="AL56" t="e" cm="1">
        <f t="array" aca="1" ref="AL56" ca="1">+_xll.EQNXTDZ($A$1,$B56,AL$51)</f>
        <v>#NAME?</v>
      </c>
      <c r="AM56" t="e" cm="1">
        <f t="array" aca="1" ref="AM56" ca="1">+_xll.EQNXTDZ($A$1,$B56,AM$51)</f>
        <v>#NAME?</v>
      </c>
      <c r="AN56" t="e" cm="1">
        <f t="array" aca="1" ref="AN56" ca="1">+_xll.EQNXTDZ($A$1,$B56,AN$51)</f>
        <v>#NAME?</v>
      </c>
      <c r="AO56" t="e" cm="1">
        <f t="array" aca="1" ref="AO56" ca="1">+_xll.EQNXTDZ($A$1,$B56,AO$51)</f>
        <v>#NAME?</v>
      </c>
      <c r="AP56" t="e" cm="1">
        <f t="array" aca="1" ref="AP56" ca="1">+_xll.EQNXTDZ($A$1,$B56,AP$51)</f>
        <v>#NAME?</v>
      </c>
      <c r="AQ56" t="e" cm="1">
        <f t="array" aca="1" ref="AQ56" ca="1">+_xll.EQNXTDZ($A$1,$B56,AQ$51)</f>
        <v>#NAME?</v>
      </c>
      <c r="AR56" t="e" cm="1">
        <f t="array" aca="1" ref="AR56" ca="1">+_xll.EQNXTDZ($A$1,$B56,AR$51)</f>
        <v>#NAME?</v>
      </c>
      <c r="AS56" t="e" cm="1">
        <f t="array" aca="1" ref="AS56" ca="1">+_xll.EQNXTDZ($A$1,$B56,AS$51)</f>
        <v>#NAME?</v>
      </c>
      <c r="AT56" t="e" cm="1">
        <f t="array" aca="1" ref="AT56" ca="1">+_xll.EQNXTDZ($A$1,$B56,AT$51)</f>
        <v>#NAME?</v>
      </c>
      <c r="AU56" t="e" cm="1">
        <f t="array" aca="1" ref="AU56" ca="1">+_xll.EQNXTDZ($A$1,$B56,AU$51)</f>
        <v>#NAME?</v>
      </c>
      <c r="AV56" t="e" cm="1">
        <f t="array" aca="1" ref="AV56" ca="1">+_xll.EQNXTDZ($A$1,$B56,AV$51)</f>
        <v>#NAME?</v>
      </c>
      <c r="AW56" t="e" cm="1">
        <f t="array" aca="1" ref="AW56" ca="1">+_xll.EQNXTDZ($A$1,$B56,AW$51)</f>
        <v>#NAME?</v>
      </c>
      <c r="AX56" t="e" cm="1">
        <f t="array" aca="1" ref="AX56" ca="1">+_xll.EQNXTDZ($A$1,$B56,AX$51)</f>
        <v>#NAME?</v>
      </c>
      <c r="AY56" t="e" cm="1">
        <f t="array" aca="1" ref="AY56" ca="1">+_xll.EQNXTDZ($A$1,$B56,AY$51)</f>
        <v>#NAME?</v>
      </c>
      <c r="AZ56" t="e" cm="1">
        <f t="array" aca="1" ref="AZ56" ca="1">+_xll.EQNXTDZ($A$1,$B56,AZ$51)</f>
        <v>#NAME?</v>
      </c>
      <c r="BA56" t="e" cm="1">
        <f t="array" aca="1" ref="BA56" ca="1">+_xll.EQNXTDZ($A$1,$B56,BA$51)</f>
        <v>#NAME?</v>
      </c>
      <c r="BB56" t="e" cm="1">
        <f t="array" aca="1" ref="BB56" ca="1">+_xll.EQNXTDZ($A$1,$B56,BB$51)</f>
        <v>#NAME?</v>
      </c>
      <c r="BC56" t="e" cm="1">
        <f t="array" aca="1" ref="BC56" ca="1">+_xll.EQNXTDZ($A$1,$B56,BC$51)</f>
        <v>#NAME?</v>
      </c>
      <c r="BD56" t="e" cm="1">
        <f t="array" aca="1" ref="BD56" ca="1">+_xll.EQNXTDZ($A$1,$B56,BD$51)</f>
        <v>#NAME?</v>
      </c>
      <c r="BE56" t="e" cm="1">
        <f t="array" aca="1" ref="BE56" ca="1">+_xll.EQNXTDZ($A$1,$B56,BE$51)</f>
        <v>#NAME?</v>
      </c>
      <c r="BF56" t="e" cm="1">
        <f t="array" aca="1" ref="BF56" ca="1">+_xll.EQNXTDZ($A$1,$B56,BF$51)</f>
        <v>#NAME?</v>
      </c>
      <c r="BG56" t="e" cm="1">
        <f t="array" aca="1" ref="BG56" ca="1">+_xll.EQNXTDZ($A$1,$B56,BG$51)</f>
        <v>#NAME?</v>
      </c>
      <c r="BH56" t="e" cm="1">
        <f t="array" aca="1" ref="BH56" ca="1">+_xll.EQNXTDZ($A$1,$B56,BH$51)</f>
        <v>#NAME?</v>
      </c>
      <c r="BI56" t="e" cm="1">
        <f t="array" aca="1" ref="BI56" ca="1">+_xll.EQNXTDZ($A$1,$B56,BI$51)</f>
        <v>#NAME?</v>
      </c>
      <c r="BJ56" t="e" cm="1">
        <f t="array" aca="1" ref="BJ56" ca="1">+_xll.EQNXTDZ($A$1,$B56,BJ$51)</f>
        <v>#NAME?</v>
      </c>
    </row>
    <row r="57" spans="1:62" x14ac:dyDescent="0.25">
      <c r="A57" t="s">
        <v>5</v>
      </c>
      <c r="B57" t="s">
        <v>304</v>
      </c>
      <c r="C57" t="e" cm="1">
        <f t="array" aca="1" ref="C57" ca="1">+_xll.EQNXTDZ($A$1,$B57,C$51)</f>
        <v>#NAME?</v>
      </c>
      <c r="D57" t="e" cm="1">
        <f t="array" aca="1" ref="D57" ca="1">+_xll.EQNXTDZ($A$1,$B57,D$51)</f>
        <v>#NAME?</v>
      </c>
      <c r="E57" t="e" cm="1">
        <f t="array" aca="1" ref="E57" ca="1">+_xll.EQNXTDZ($A$1,$B57,E$51)</f>
        <v>#NAME?</v>
      </c>
      <c r="F57" t="e" cm="1">
        <f t="array" aca="1" ref="F57" ca="1">+_xll.EQNXTDZ($A$1,$B57,F$51)</f>
        <v>#NAME?</v>
      </c>
      <c r="G57" t="e" cm="1">
        <f t="array" aca="1" ref="G57" ca="1">+_xll.EQNXTDZ($A$1,$B57,G$51)</f>
        <v>#NAME?</v>
      </c>
      <c r="H57" t="e" cm="1">
        <f t="array" aca="1" ref="H57" ca="1">+_xll.EQNXTDZ($A$1,$B57,H$51)</f>
        <v>#NAME?</v>
      </c>
      <c r="I57" t="e" cm="1">
        <f t="array" aca="1" ref="I57" ca="1">+_xll.EQNXTDZ($A$1,$B57,I$51)</f>
        <v>#NAME?</v>
      </c>
      <c r="J57" t="e" cm="1">
        <f t="array" aca="1" ref="J57" ca="1">+_xll.EQNXTDZ($A$1,$B57,J$51)</f>
        <v>#NAME?</v>
      </c>
      <c r="K57" t="e" cm="1">
        <f t="array" aca="1" ref="K57" ca="1">+_xll.EQNXTDZ($A$1,$B57,K$51)</f>
        <v>#NAME?</v>
      </c>
      <c r="L57" t="e" cm="1">
        <f t="array" aca="1" ref="L57" ca="1">+_xll.EQNXTDZ($A$1,$B57,L$51)</f>
        <v>#NAME?</v>
      </c>
      <c r="M57" t="e" cm="1">
        <f t="array" aca="1" ref="M57" ca="1">+_xll.EQNXTDZ($A$1,$B57,M$51)</f>
        <v>#NAME?</v>
      </c>
      <c r="N57" t="e" cm="1">
        <f t="array" aca="1" ref="N57" ca="1">+_xll.EQNXTDZ($A$1,$B57,N$51)</f>
        <v>#NAME?</v>
      </c>
      <c r="O57" t="e" cm="1">
        <f t="array" aca="1" ref="O57" ca="1">+_xll.EQNXTDZ($A$1,$B57,O$51)</f>
        <v>#NAME?</v>
      </c>
      <c r="P57" t="e" cm="1">
        <f t="array" aca="1" ref="P57" ca="1">+_xll.EQNXTDZ($A$1,$B57,P$51)</f>
        <v>#NAME?</v>
      </c>
      <c r="Q57" t="e" cm="1">
        <f t="array" aca="1" ref="Q57" ca="1">+_xll.EQNXTDZ($A$1,$B57,Q$51)</f>
        <v>#NAME?</v>
      </c>
      <c r="R57" t="e" cm="1">
        <f t="array" aca="1" ref="R57" ca="1">+_xll.EQNXTDZ($A$1,$B57,R$51)</f>
        <v>#NAME?</v>
      </c>
      <c r="S57" t="e" cm="1">
        <f t="array" aca="1" ref="S57" ca="1">+_xll.EQNXTDZ($A$1,$B57,S$51)</f>
        <v>#NAME?</v>
      </c>
      <c r="T57" t="e" cm="1">
        <f t="array" aca="1" ref="T57" ca="1">+_xll.EQNXTDZ($A$1,$B57,T$51)</f>
        <v>#NAME?</v>
      </c>
      <c r="U57" t="e" cm="1">
        <f t="array" aca="1" ref="U57" ca="1">+_xll.EQNXTDZ($A$1,$B57,U$51)</f>
        <v>#NAME?</v>
      </c>
      <c r="V57" t="e" cm="1">
        <f t="array" aca="1" ref="V57" ca="1">+_xll.EQNXTDZ($A$1,$B57,V$51)</f>
        <v>#NAME?</v>
      </c>
      <c r="W57" t="e" cm="1">
        <f t="array" aca="1" ref="W57" ca="1">+_xll.EQNXTDZ($A$1,$B57,W$51)</f>
        <v>#NAME?</v>
      </c>
      <c r="X57" t="e" cm="1">
        <f t="array" aca="1" ref="X57" ca="1">+_xll.EQNXTDZ($A$1,$B57,X$51)</f>
        <v>#NAME?</v>
      </c>
      <c r="Y57" t="e" cm="1">
        <f t="array" aca="1" ref="Y57" ca="1">+_xll.EQNXTDZ($A$1,$B57,Y$51)</f>
        <v>#NAME?</v>
      </c>
      <c r="Z57" t="e" cm="1">
        <f t="array" aca="1" ref="Z57" ca="1">+_xll.EQNXTDZ($A$1,$B57,Z$51)</f>
        <v>#NAME?</v>
      </c>
      <c r="AA57" t="e" cm="1">
        <f t="array" aca="1" ref="AA57" ca="1">+_xll.EQNXTDZ($A$1,$B57,AA$51)</f>
        <v>#NAME?</v>
      </c>
      <c r="AB57" t="e" cm="1">
        <f t="array" aca="1" ref="AB57" ca="1">+_xll.EQNXTDZ($A$1,$B57,AB$51)</f>
        <v>#NAME?</v>
      </c>
      <c r="AC57" t="e" cm="1">
        <f t="array" aca="1" ref="AC57" ca="1">+_xll.EQNXTDZ($A$1,$B57,AC$51)</f>
        <v>#NAME?</v>
      </c>
      <c r="AD57" t="e" cm="1">
        <f t="array" aca="1" ref="AD57" ca="1">+_xll.EQNXTDZ($A$1,$B57,AD$51)</f>
        <v>#NAME?</v>
      </c>
      <c r="AE57" t="e" cm="1">
        <f t="array" aca="1" ref="AE57" ca="1">+_xll.EQNXTDZ($A$1,$B57,AE$51)</f>
        <v>#NAME?</v>
      </c>
      <c r="AF57" t="e" cm="1">
        <f t="array" aca="1" ref="AF57" ca="1">+_xll.EQNXTDZ($A$1,$B57,AF$51)</f>
        <v>#NAME?</v>
      </c>
      <c r="AG57" t="e" cm="1">
        <f t="array" aca="1" ref="AG57" ca="1">+_xll.EQNXTDZ($A$1,$B57,AG$51)</f>
        <v>#NAME?</v>
      </c>
      <c r="AH57" t="e" cm="1">
        <f t="array" aca="1" ref="AH57" ca="1">+_xll.EQNXTDZ($A$1,$B57,AH$51)</f>
        <v>#NAME?</v>
      </c>
      <c r="AI57" t="e" cm="1">
        <f t="array" aca="1" ref="AI57" ca="1">+_xll.EQNXTDZ($A$1,$B57,AI$51)</f>
        <v>#NAME?</v>
      </c>
      <c r="AJ57" t="e" cm="1">
        <f t="array" aca="1" ref="AJ57" ca="1">+_xll.EQNXTDZ($A$1,$B57,AJ$51)</f>
        <v>#NAME?</v>
      </c>
      <c r="AK57" t="e" cm="1">
        <f t="array" aca="1" ref="AK57" ca="1">+_xll.EQNXTDZ($A$1,$B57,AK$51)</f>
        <v>#NAME?</v>
      </c>
      <c r="AL57" t="e" cm="1">
        <f t="array" aca="1" ref="AL57" ca="1">+_xll.EQNXTDZ($A$1,$B57,AL$51)</f>
        <v>#NAME?</v>
      </c>
      <c r="AM57" t="e" cm="1">
        <f t="array" aca="1" ref="AM57" ca="1">+_xll.EQNXTDZ($A$1,$B57,AM$51)</f>
        <v>#NAME?</v>
      </c>
      <c r="AN57" t="e" cm="1">
        <f t="array" aca="1" ref="AN57" ca="1">+_xll.EQNXTDZ($A$1,$B57,AN$51)</f>
        <v>#NAME?</v>
      </c>
      <c r="AO57" t="e" cm="1">
        <f t="array" aca="1" ref="AO57" ca="1">+_xll.EQNXTDZ($A$1,$B57,AO$51)</f>
        <v>#NAME?</v>
      </c>
      <c r="AP57" t="e" cm="1">
        <f t="array" aca="1" ref="AP57" ca="1">+_xll.EQNXTDZ($A$1,$B57,AP$51)</f>
        <v>#NAME?</v>
      </c>
      <c r="AQ57" t="e" cm="1">
        <f t="array" aca="1" ref="AQ57" ca="1">+_xll.EQNXTDZ($A$1,$B57,AQ$51)</f>
        <v>#NAME?</v>
      </c>
      <c r="AR57" t="e" cm="1">
        <f t="array" aca="1" ref="AR57" ca="1">+_xll.EQNXTDZ($A$1,$B57,AR$51)</f>
        <v>#NAME?</v>
      </c>
      <c r="AS57" t="e" cm="1">
        <f t="array" aca="1" ref="AS57" ca="1">+_xll.EQNXTDZ($A$1,$B57,AS$51)</f>
        <v>#NAME?</v>
      </c>
      <c r="AT57" t="e" cm="1">
        <f t="array" aca="1" ref="AT57" ca="1">+_xll.EQNXTDZ($A$1,$B57,AT$51)</f>
        <v>#NAME?</v>
      </c>
      <c r="AU57" t="e" cm="1">
        <f t="array" aca="1" ref="AU57" ca="1">+_xll.EQNXTDZ($A$1,$B57,AU$51)</f>
        <v>#NAME?</v>
      </c>
      <c r="AV57" t="e" cm="1">
        <f t="array" aca="1" ref="AV57" ca="1">+_xll.EQNXTDZ($A$1,$B57,AV$51)</f>
        <v>#NAME?</v>
      </c>
      <c r="AW57" t="e" cm="1">
        <f t="array" aca="1" ref="AW57" ca="1">+_xll.EQNXTDZ($A$1,$B57,AW$51)</f>
        <v>#NAME?</v>
      </c>
      <c r="AX57" t="e" cm="1">
        <f t="array" aca="1" ref="AX57" ca="1">+_xll.EQNXTDZ($A$1,$B57,AX$51)</f>
        <v>#NAME?</v>
      </c>
      <c r="AY57" t="e" cm="1">
        <f t="array" aca="1" ref="AY57" ca="1">+_xll.EQNXTDZ($A$1,$B57,AY$51)</f>
        <v>#NAME?</v>
      </c>
      <c r="AZ57" t="e" cm="1">
        <f t="array" aca="1" ref="AZ57" ca="1">+_xll.EQNXTDZ($A$1,$B57,AZ$51)</f>
        <v>#NAME?</v>
      </c>
      <c r="BA57" t="e" cm="1">
        <f t="array" aca="1" ref="BA57" ca="1">+_xll.EQNXTDZ($A$1,$B57,BA$51)</f>
        <v>#NAME?</v>
      </c>
      <c r="BB57" t="e" cm="1">
        <f t="array" aca="1" ref="BB57" ca="1">+_xll.EQNXTDZ($A$1,$B57,BB$51)</f>
        <v>#NAME?</v>
      </c>
      <c r="BC57" t="e" cm="1">
        <f t="array" aca="1" ref="BC57" ca="1">+_xll.EQNXTDZ($A$1,$B57,BC$51)</f>
        <v>#NAME?</v>
      </c>
      <c r="BD57" t="e" cm="1">
        <f t="array" aca="1" ref="BD57" ca="1">+_xll.EQNXTDZ($A$1,$B57,BD$51)</f>
        <v>#NAME?</v>
      </c>
      <c r="BE57" t="e" cm="1">
        <f t="array" aca="1" ref="BE57" ca="1">+_xll.EQNXTDZ($A$1,$B57,BE$51)</f>
        <v>#NAME?</v>
      </c>
      <c r="BF57" t="e" cm="1">
        <f t="array" aca="1" ref="BF57" ca="1">+_xll.EQNXTDZ($A$1,$B57,BF$51)</f>
        <v>#NAME?</v>
      </c>
      <c r="BG57" t="e" cm="1">
        <f t="array" aca="1" ref="BG57" ca="1">+_xll.EQNXTDZ($A$1,$B57,BG$51)</f>
        <v>#NAME?</v>
      </c>
      <c r="BH57" t="e" cm="1">
        <f t="array" aca="1" ref="BH57" ca="1">+_xll.EQNXTDZ($A$1,$B57,BH$51)</f>
        <v>#NAME?</v>
      </c>
      <c r="BI57" t="e" cm="1">
        <f t="array" aca="1" ref="BI57" ca="1">+_xll.EQNXTDZ($A$1,$B57,BI$51)</f>
        <v>#NAME?</v>
      </c>
      <c r="BJ57" t="e" cm="1">
        <f t="array" aca="1" ref="BJ57" ca="1">+_xll.EQNXTDZ($A$1,$B57,BJ$51)</f>
        <v>#NAME?</v>
      </c>
    </row>
    <row r="58" spans="1:62" x14ac:dyDescent="0.25">
      <c r="A58" t="s">
        <v>120</v>
      </c>
      <c r="B58" t="s">
        <v>305</v>
      </c>
      <c r="C58" t="e" cm="1">
        <f t="array" aca="1" ref="C58" ca="1">+_xll.EQNXTDZ($A$1,$B58,C$51)</f>
        <v>#NAME?</v>
      </c>
      <c r="D58" t="e" cm="1">
        <f t="array" aca="1" ref="D58" ca="1">+_xll.EQNXTDZ($A$1,$B58,D$51)</f>
        <v>#NAME?</v>
      </c>
      <c r="E58" t="e" cm="1">
        <f t="array" aca="1" ref="E58" ca="1">+_xll.EQNXTDZ($A$1,$B58,E$51)</f>
        <v>#NAME?</v>
      </c>
      <c r="F58" t="e" cm="1">
        <f t="array" aca="1" ref="F58" ca="1">+_xll.EQNXTDZ($A$1,$B58,F$51)</f>
        <v>#NAME?</v>
      </c>
      <c r="G58" t="e" cm="1">
        <f t="array" aca="1" ref="G58" ca="1">+_xll.EQNXTDZ($A$1,$B58,G$51)</f>
        <v>#NAME?</v>
      </c>
      <c r="H58" t="e" cm="1">
        <f t="array" aca="1" ref="H58" ca="1">+_xll.EQNXTDZ($A$1,$B58,H$51)</f>
        <v>#NAME?</v>
      </c>
      <c r="I58" t="e" cm="1">
        <f t="array" aca="1" ref="I58" ca="1">+_xll.EQNXTDZ($A$1,$B58,I$51)</f>
        <v>#NAME?</v>
      </c>
      <c r="J58" t="e" cm="1">
        <f t="array" aca="1" ref="J58" ca="1">+_xll.EQNXTDZ($A$1,$B58,J$51)</f>
        <v>#NAME?</v>
      </c>
      <c r="K58" t="e" cm="1">
        <f t="array" aca="1" ref="K58" ca="1">+_xll.EQNXTDZ($A$1,$B58,K$51)</f>
        <v>#NAME?</v>
      </c>
      <c r="L58" t="e" cm="1">
        <f t="array" aca="1" ref="L58" ca="1">+_xll.EQNXTDZ($A$1,$B58,L$51)</f>
        <v>#NAME?</v>
      </c>
      <c r="M58" t="e" cm="1">
        <f t="array" aca="1" ref="M58" ca="1">+_xll.EQNXTDZ($A$1,$B58,M$51)</f>
        <v>#NAME?</v>
      </c>
      <c r="N58" t="e" cm="1">
        <f t="array" aca="1" ref="N58" ca="1">+_xll.EQNXTDZ($A$1,$B58,N$51)</f>
        <v>#NAME?</v>
      </c>
      <c r="O58" t="e" cm="1">
        <f t="array" aca="1" ref="O58" ca="1">+_xll.EQNXTDZ($A$1,$B58,O$51)</f>
        <v>#NAME?</v>
      </c>
      <c r="P58" t="e" cm="1">
        <f t="array" aca="1" ref="P58" ca="1">+_xll.EQNXTDZ($A$1,$B58,P$51)</f>
        <v>#NAME?</v>
      </c>
      <c r="Q58" t="e" cm="1">
        <f t="array" aca="1" ref="Q58" ca="1">+_xll.EQNXTDZ($A$1,$B58,Q$51)</f>
        <v>#NAME?</v>
      </c>
      <c r="R58" t="e" cm="1">
        <f t="array" aca="1" ref="R58" ca="1">+_xll.EQNXTDZ($A$1,$B58,R$51)</f>
        <v>#NAME?</v>
      </c>
      <c r="S58" t="e" cm="1">
        <f t="array" aca="1" ref="S58" ca="1">+_xll.EQNXTDZ($A$1,$B58,S$51)</f>
        <v>#NAME?</v>
      </c>
      <c r="T58" t="e" cm="1">
        <f t="array" aca="1" ref="T58" ca="1">+_xll.EQNXTDZ($A$1,$B58,T$51)</f>
        <v>#NAME?</v>
      </c>
      <c r="U58" t="e" cm="1">
        <f t="array" aca="1" ref="U58" ca="1">+_xll.EQNXTDZ($A$1,$B58,U$51)</f>
        <v>#NAME?</v>
      </c>
      <c r="V58" t="e" cm="1">
        <f t="array" aca="1" ref="V58" ca="1">+_xll.EQNXTDZ($A$1,$B58,V$51)</f>
        <v>#NAME?</v>
      </c>
      <c r="W58" t="e" cm="1">
        <f t="array" aca="1" ref="W58" ca="1">+_xll.EQNXTDZ($A$1,$B58,W$51)</f>
        <v>#NAME?</v>
      </c>
      <c r="X58" t="e" cm="1">
        <f t="array" aca="1" ref="X58" ca="1">+_xll.EQNXTDZ($A$1,$B58,X$51)</f>
        <v>#NAME?</v>
      </c>
      <c r="Y58" t="e" cm="1">
        <f t="array" aca="1" ref="Y58" ca="1">+_xll.EQNXTDZ($A$1,$B58,Y$51)</f>
        <v>#NAME?</v>
      </c>
      <c r="Z58" t="e" cm="1">
        <f t="array" aca="1" ref="Z58" ca="1">+_xll.EQNXTDZ($A$1,$B58,Z$51)</f>
        <v>#NAME?</v>
      </c>
      <c r="AA58" t="e" cm="1">
        <f t="array" aca="1" ref="AA58" ca="1">+_xll.EQNXTDZ($A$1,$B58,AA$51)</f>
        <v>#NAME?</v>
      </c>
      <c r="AB58" t="e" cm="1">
        <f t="array" aca="1" ref="AB58" ca="1">+_xll.EQNXTDZ($A$1,$B58,AB$51)</f>
        <v>#NAME?</v>
      </c>
      <c r="AC58" t="e" cm="1">
        <f t="array" aca="1" ref="AC58" ca="1">+_xll.EQNXTDZ($A$1,$B58,AC$51)</f>
        <v>#NAME?</v>
      </c>
      <c r="AD58" t="e" cm="1">
        <f t="array" aca="1" ref="AD58" ca="1">+_xll.EQNXTDZ($A$1,$B58,AD$51)</f>
        <v>#NAME?</v>
      </c>
      <c r="AE58" t="e" cm="1">
        <f t="array" aca="1" ref="AE58" ca="1">+_xll.EQNXTDZ($A$1,$B58,AE$51)</f>
        <v>#NAME?</v>
      </c>
      <c r="AF58" t="e" cm="1">
        <f t="array" aca="1" ref="AF58" ca="1">+_xll.EQNXTDZ($A$1,$B58,AF$51)</f>
        <v>#NAME?</v>
      </c>
      <c r="AG58" t="e" cm="1">
        <f t="array" aca="1" ref="AG58" ca="1">+_xll.EQNXTDZ($A$1,$B58,AG$51)</f>
        <v>#NAME?</v>
      </c>
      <c r="AH58" t="e" cm="1">
        <f t="array" aca="1" ref="AH58" ca="1">+_xll.EQNXTDZ($A$1,$B58,AH$51)</f>
        <v>#NAME?</v>
      </c>
      <c r="AI58" t="e" cm="1">
        <f t="array" aca="1" ref="AI58" ca="1">+_xll.EQNXTDZ($A$1,$B58,AI$51)</f>
        <v>#NAME?</v>
      </c>
      <c r="AJ58" t="e" cm="1">
        <f t="array" aca="1" ref="AJ58" ca="1">+_xll.EQNXTDZ($A$1,$B58,AJ$51)</f>
        <v>#NAME?</v>
      </c>
      <c r="AK58" t="e" cm="1">
        <f t="array" aca="1" ref="AK58" ca="1">+_xll.EQNXTDZ($A$1,$B58,AK$51)</f>
        <v>#NAME?</v>
      </c>
      <c r="AL58" t="e" cm="1">
        <f t="array" aca="1" ref="AL58" ca="1">+_xll.EQNXTDZ($A$1,$B58,AL$51)</f>
        <v>#NAME?</v>
      </c>
      <c r="AM58" t="e" cm="1">
        <f t="array" aca="1" ref="AM58" ca="1">+_xll.EQNXTDZ($A$1,$B58,AM$51)</f>
        <v>#NAME?</v>
      </c>
      <c r="AN58" t="e" cm="1">
        <f t="array" aca="1" ref="AN58" ca="1">+_xll.EQNXTDZ($A$1,$B58,AN$51)</f>
        <v>#NAME?</v>
      </c>
      <c r="AO58" t="e" cm="1">
        <f t="array" aca="1" ref="AO58" ca="1">+_xll.EQNXTDZ($A$1,$B58,AO$51)</f>
        <v>#NAME?</v>
      </c>
      <c r="AP58" t="e" cm="1">
        <f t="array" aca="1" ref="AP58" ca="1">+_xll.EQNXTDZ($A$1,$B58,AP$51)</f>
        <v>#NAME?</v>
      </c>
      <c r="AQ58" t="e" cm="1">
        <f t="array" aca="1" ref="AQ58" ca="1">+_xll.EQNXTDZ($A$1,$B58,AQ$51)</f>
        <v>#NAME?</v>
      </c>
      <c r="AR58" t="e" cm="1">
        <f t="array" aca="1" ref="AR58" ca="1">+_xll.EQNXTDZ($A$1,$B58,AR$51)</f>
        <v>#NAME?</v>
      </c>
      <c r="AS58" t="e" cm="1">
        <f t="array" aca="1" ref="AS58" ca="1">+_xll.EQNXTDZ($A$1,$B58,AS$51)</f>
        <v>#NAME?</v>
      </c>
      <c r="AT58" t="e" cm="1">
        <f t="array" aca="1" ref="AT58" ca="1">+_xll.EQNXTDZ($A$1,$B58,AT$51)</f>
        <v>#NAME?</v>
      </c>
      <c r="AU58" t="e" cm="1">
        <f t="array" aca="1" ref="AU58" ca="1">+_xll.EQNXTDZ($A$1,$B58,AU$51)</f>
        <v>#NAME?</v>
      </c>
      <c r="AV58" t="e" cm="1">
        <f t="array" aca="1" ref="AV58" ca="1">+_xll.EQNXTDZ($A$1,$B58,AV$51)</f>
        <v>#NAME?</v>
      </c>
      <c r="AW58" t="e" cm="1">
        <f t="array" aca="1" ref="AW58" ca="1">+_xll.EQNXTDZ($A$1,$B58,AW$51)</f>
        <v>#NAME?</v>
      </c>
      <c r="AX58" t="e" cm="1">
        <f t="array" aca="1" ref="AX58" ca="1">+_xll.EQNXTDZ($A$1,$B58,AX$51)</f>
        <v>#NAME?</v>
      </c>
      <c r="AY58" t="e" cm="1">
        <f t="array" aca="1" ref="AY58" ca="1">+_xll.EQNXTDZ($A$1,$B58,AY$51)</f>
        <v>#NAME?</v>
      </c>
      <c r="AZ58" t="e" cm="1">
        <f t="array" aca="1" ref="AZ58" ca="1">+_xll.EQNXTDZ($A$1,$B58,AZ$51)</f>
        <v>#NAME?</v>
      </c>
      <c r="BA58" t="e" cm="1">
        <f t="array" aca="1" ref="BA58" ca="1">+_xll.EQNXTDZ($A$1,$B58,BA$51)</f>
        <v>#NAME?</v>
      </c>
      <c r="BB58" t="e" cm="1">
        <f t="array" aca="1" ref="BB58" ca="1">+_xll.EQNXTDZ($A$1,$B58,BB$51)</f>
        <v>#NAME?</v>
      </c>
      <c r="BC58" t="e" cm="1">
        <f t="array" aca="1" ref="BC58" ca="1">+_xll.EQNXTDZ($A$1,$B58,BC$51)</f>
        <v>#NAME?</v>
      </c>
      <c r="BD58" t="e" cm="1">
        <f t="array" aca="1" ref="BD58" ca="1">+_xll.EQNXTDZ($A$1,$B58,BD$51)</f>
        <v>#NAME?</v>
      </c>
      <c r="BE58" t="e" cm="1">
        <f t="array" aca="1" ref="BE58" ca="1">+_xll.EQNXTDZ($A$1,$B58,BE$51)</f>
        <v>#NAME?</v>
      </c>
      <c r="BF58" t="e" cm="1">
        <f t="array" aca="1" ref="BF58" ca="1">+_xll.EQNXTDZ($A$1,$B58,BF$51)</f>
        <v>#NAME?</v>
      </c>
      <c r="BG58" t="e" cm="1">
        <f t="array" aca="1" ref="BG58" ca="1">+_xll.EQNXTDZ($A$1,$B58,BG$51)</f>
        <v>#NAME?</v>
      </c>
      <c r="BH58" t="e" cm="1">
        <f t="array" aca="1" ref="BH58" ca="1">+_xll.EQNXTDZ($A$1,$B58,BH$51)</f>
        <v>#NAME?</v>
      </c>
      <c r="BI58" t="e" cm="1">
        <f t="array" aca="1" ref="BI58" ca="1">+_xll.EQNXTDZ($A$1,$B58,BI$51)</f>
        <v>#NAME?</v>
      </c>
      <c r="BJ58" t="e" cm="1">
        <f t="array" aca="1" ref="BJ58" ca="1">+_xll.EQNXTDZ($A$1,$B58,BJ$51)</f>
        <v>#NAME?</v>
      </c>
    </row>
    <row r="59" spans="1:62" x14ac:dyDescent="0.25">
      <c r="A59" t="s">
        <v>288</v>
      </c>
      <c r="B59" t="s">
        <v>306</v>
      </c>
      <c r="C59" t="e" cm="1">
        <f t="array" aca="1" ref="C59" ca="1">+_xll.EQNXTDZ($A$1,$B59,C$51)</f>
        <v>#NAME?</v>
      </c>
      <c r="D59" t="e" cm="1">
        <f t="array" aca="1" ref="D59" ca="1">+_xll.EQNXTDZ($A$1,$B59,D$51)</f>
        <v>#NAME?</v>
      </c>
      <c r="E59" t="e" cm="1">
        <f t="array" aca="1" ref="E59" ca="1">+_xll.EQNXTDZ($A$1,$B59,E$51)</f>
        <v>#NAME?</v>
      </c>
      <c r="F59" t="e" cm="1">
        <f t="array" aca="1" ref="F59" ca="1">+_xll.EQNXTDZ($A$1,$B59,F$51)</f>
        <v>#NAME?</v>
      </c>
      <c r="G59" t="e" cm="1">
        <f t="array" aca="1" ref="G59" ca="1">+_xll.EQNXTDZ($A$1,$B59,G$51)</f>
        <v>#NAME?</v>
      </c>
      <c r="H59" t="e" cm="1">
        <f t="array" aca="1" ref="H59" ca="1">+_xll.EQNXTDZ($A$1,$B59,H$51)</f>
        <v>#NAME?</v>
      </c>
      <c r="I59" t="e" cm="1">
        <f t="array" aca="1" ref="I59" ca="1">+_xll.EQNXTDZ($A$1,$B59,I$51)</f>
        <v>#NAME?</v>
      </c>
      <c r="J59" t="e" cm="1">
        <f t="array" aca="1" ref="J59" ca="1">+_xll.EQNXTDZ($A$1,$B59,J$51)</f>
        <v>#NAME?</v>
      </c>
      <c r="K59" t="e" cm="1">
        <f t="array" aca="1" ref="K59" ca="1">+_xll.EQNXTDZ($A$1,$B59,K$51)</f>
        <v>#NAME?</v>
      </c>
      <c r="L59" t="e" cm="1">
        <f t="array" aca="1" ref="L59" ca="1">+_xll.EQNXTDZ($A$1,$B59,L$51)</f>
        <v>#NAME?</v>
      </c>
      <c r="M59" t="e" cm="1">
        <f t="array" aca="1" ref="M59" ca="1">+_xll.EQNXTDZ($A$1,$B59,M$51)</f>
        <v>#NAME?</v>
      </c>
      <c r="N59" t="e" cm="1">
        <f t="array" aca="1" ref="N59" ca="1">+_xll.EQNXTDZ($A$1,$B59,N$51)</f>
        <v>#NAME?</v>
      </c>
      <c r="O59" t="e" cm="1">
        <f t="array" aca="1" ref="O59" ca="1">+_xll.EQNXTDZ($A$1,$B59,O$51)</f>
        <v>#NAME?</v>
      </c>
      <c r="P59" t="e" cm="1">
        <f t="array" aca="1" ref="P59" ca="1">+_xll.EQNXTDZ($A$1,$B59,P$51)</f>
        <v>#NAME?</v>
      </c>
      <c r="Q59" t="e" cm="1">
        <f t="array" aca="1" ref="Q59" ca="1">+_xll.EQNXTDZ($A$1,$B59,Q$51)</f>
        <v>#NAME?</v>
      </c>
      <c r="R59" t="e" cm="1">
        <f t="array" aca="1" ref="R59" ca="1">+_xll.EQNXTDZ($A$1,$B59,R$51)</f>
        <v>#NAME?</v>
      </c>
      <c r="S59" t="e" cm="1">
        <f t="array" aca="1" ref="S59" ca="1">+_xll.EQNXTDZ($A$1,$B59,S$51)</f>
        <v>#NAME?</v>
      </c>
      <c r="T59" t="e" cm="1">
        <f t="array" aca="1" ref="T59" ca="1">+_xll.EQNXTDZ($A$1,$B59,T$51)</f>
        <v>#NAME?</v>
      </c>
      <c r="U59" t="e" cm="1">
        <f t="array" aca="1" ref="U59" ca="1">+_xll.EQNXTDZ($A$1,$B59,U$51)</f>
        <v>#NAME?</v>
      </c>
      <c r="V59" t="e" cm="1">
        <f t="array" aca="1" ref="V59" ca="1">+_xll.EQNXTDZ($A$1,$B59,V$51)</f>
        <v>#NAME?</v>
      </c>
      <c r="W59" t="e" cm="1">
        <f t="array" aca="1" ref="W59" ca="1">+_xll.EQNXTDZ($A$1,$B59,W$51)</f>
        <v>#NAME?</v>
      </c>
      <c r="X59" t="e" cm="1">
        <f t="array" aca="1" ref="X59" ca="1">+_xll.EQNXTDZ($A$1,$B59,X$51)</f>
        <v>#NAME?</v>
      </c>
      <c r="Y59" t="e" cm="1">
        <f t="array" aca="1" ref="Y59" ca="1">+_xll.EQNXTDZ($A$1,$B59,Y$51)</f>
        <v>#NAME?</v>
      </c>
      <c r="Z59" t="e" cm="1">
        <f t="array" aca="1" ref="Z59" ca="1">+_xll.EQNXTDZ($A$1,$B59,Z$51)</f>
        <v>#NAME?</v>
      </c>
      <c r="AA59" t="e" cm="1">
        <f t="array" aca="1" ref="AA59" ca="1">+_xll.EQNXTDZ($A$1,$B59,AA$51)</f>
        <v>#NAME?</v>
      </c>
      <c r="AB59" t="e" cm="1">
        <f t="array" aca="1" ref="AB59" ca="1">+_xll.EQNXTDZ($A$1,$B59,AB$51)</f>
        <v>#NAME?</v>
      </c>
      <c r="AC59" t="e" cm="1">
        <f t="array" aca="1" ref="AC59" ca="1">+_xll.EQNXTDZ($A$1,$B59,AC$51)</f>
        <v>#NAME?</v>
      </c>
      <c r="AD59" t="e" cm="1">
        <f t="array" aca="1" ref="AD59" ca="1">+_xll.EQNXTDZ($A$1,$B59,AD$51)</f>
        <v>#NAME?</v>
      </c>
      <c r="AE59" t="e" cm="1">
        <f t="array" aca="1" ref="AE59" ca="1">+_xll.EQNXTDZ($A$1,$B59,AE$51)</f>
        <v>#NAME?</v>
      </c>
      <c r="AF59" t="e" cm="1">
        <f t="array" aca="1" ref="AF59" ca="1">+_xll.EQNXTDZ($A$1,$B59,AF$51)</f>
        <v>#NAME?</v>
      </c>
      <c r="AG59" t="e" cm="1">
        <f t="array" aca="1" ref="AG59" ca="1">+_xll.EQNXTDZ($A$1,$B59,AG$51)</f>
        <v>#NAME?</v>
      </c>
      <c r="AH59" t="e" cm="1">
        <f t="array" aca="1" ref="AH59" ca="1">+_xll.EQNXTDZ($A$1,$B59,AH$51)</f>
        <v>#NAME?</v>
      </c>
      <c r="AI59" t="e" cm="1">
        <f t="array" aca="1" ref="AI59" ca="1">+_xll.EQNXTDZ($A$1,$B59,AI$51)</f>
        <v>#NAME?</v>
      </c>
      <c r="AJ59" t="e" cm="1">
        <f t="array" aca="1" ref="AJ59" ca="1">+_xll.EQNXTDZ($A$1,$B59,AJ$51)</f>
        <v>#NAME?</v>
      </c>
      <c r="AK59" t="e" cm="1">
        <f t="array" aca="1" ref="AK59" ca="1">+_xll.EQNXTDZ($A$1,$B59,AK$51)</f>
        <v>#NAME?</v>
      </c>
      <c r="AL59" t="e" cm="1">
        <f t="array" aca="1" ref="AL59" ca="1">+_xll.EQNXTDZ($A$1,$B59,AL$51)</f>
        <v>#NAME?</v>
      </c>
      <c r="AM59" t="e" cm="1">
        <f t="array" aca="1" ref="AM59" ca="1">+_xll.EQNXTDZ($A$1,$B59,AM$51)</f>
        <v>#NAME?</v>
      </c>
      <c r="AN59" t="e" cm="1">
        <f t="array" aca="1" ref="AN59" ca="1">+_xll.EQNXTDZ($A$1,$B59,AN$51)</f>
        <v>#NAME?</v>
      </c>
      <c r="AO59" t="e" cm="1">
        <f t="array" aca="1" ref="AO59" ca="1">+_xll.EQNXTDZ($A$1,$B59,AO$51)</f>
        <v>#NAME?</v>
      </c>
      <c r="AP59" t="e" cm="1">
        <f t="array" aca="1" ref="AP59" ca="1">+_xll.EQNXTDZ($A$1,$B59,AP$51)</f>
        <v>#NAME?</v>
      </c>
      <c r="AQ59" t="e" cm="1">
        <f t="array" aca="1" ref="AQ59" ca="1">+_xll.EQNXTDZ($A$1,$B59,AQ$51)</f>
        <v>#NAME?</v>
      </c>
      <c r="AR59" t="e" cm="1">
        <f t="array" aca="1" ref="AR59" ca="1">+_xll.EQNXTDZ($A$1,$B59,AR$51)</f>
        <v>#NAME?</v>
      </c>
      <c r="AS59" t="e" cm="1">
        <f t="array" aca="1" ref="AS59" ca="1">+_xll.EQNXTDZ($A$1,$B59,AS$51)</f>
        <v>#NAME?</v>
      </c>
      <c r="AT59" t="e" cm="1">
        <f t="array" aca="1" ref="AT59" ca="1">+_xll.EQNXTDZ($A$1,$B59,AT$51)</f>
        <v>#NAME?</v>
      </c>
      <c r="AU59" t="e" cm="1">
        <f t="array" aca="1" ref="AU59" ca="1">+_xll.EQNXTDZ($A$1,$B59,AU$51)</f>
        <v>#NAME?</v>
      </c>
      <c r="AV59" t="e" cm="1">
        <f t="array" aca="1" ref="AV59" ca="1">+_xll.EQNXTDZ($A$1,$B59,AV$51)</f>
        <v>#NAME?</v>
      </c>
      <c r="AW59" t="e" cm="1">
        <f t="array" aca="1" ref="AW59" ca="1">+_xll.EQNXTDZ($A$1,$B59,AW$51)</f>
        <v>#NAME?</v>
      </c>
      <c r="AX59" t="e" cm="1">
        <f t="array" aca="1" ref="AX59" ca="1">+_xll.EQNXTDZ($A$1,$B59,AX$51)</f>
        <v>#NAME?</v>
      </c>
      <c r="AY59" t="e" cm="1">
        <f t="array" aca="1" ref="AY59" ca="1">+_xll.EQNXTDZ($A$1,$B59,AY$51)</f>
        <v>#NAME?</v>
      </c>
      <c r="AZ59" t="e" cm="1">
        <f t="array" aca="1" ref="AZ59" ca="1">+_xll.EQNXTDZ($A$1,$B59,AZ$51)</f>
        <v>#NAME?</v>
      </c>
      <c r="BA59" t="e" cm="1">
        <f t="array" aca="1" ref="BA59" ca="1">+_xll.EQNXTDZ($A$1,$B59,BA$51)</f>
        <v>#NAME?</v>
      </c>
      <c r="BB59" t="e" cm="1">
        <f t="array" aca="1" ref="BB59" ca="1">+_xll.EQNXTDZ($A$1,$B59,BB$51)</f>
        <v>#NAME?</v>
      </c>
      <c r="BC59" t="e" cm="1">
        <f t="array" aca="1" ref="BC59" ca="1">+_xll.EQNXTDZ($A$1,$B59,BC$51)</f>
        <v>#NAME?</v>
      </c>
      <c r="BD59" t="e" cm="1">
        <f t="array" aca="1" ref="BD59" ca="1">+_xll.EQNXTDZ($A$1,$B59,BD$51)</f>
        <v>#NAME?</v>
      </c>
      <c r="BE59" t="e" cm="1">
        <f t="array" aca="1" ref="BE59" ca="1">+_xll.EQNXTDZ($A$1,$B59,BE$51)</f>
        <v>#NAME?</v>
      </c>
      <c r="BF59" t="e" cm="1">
        <f t="array" aca="1" ref="BF59" ca="1">+_xll.EQNXTDZ($A$1,$B59,BF$51)</f>
        <v>#NAME?</v>
      </c>
      <c r="BG59" t="e" cm="1">
        <f t="array" aca="1" ref="BG59" ca="1">+_xll.EQNXTDZ($A$1,$B59,BG$51)</f>
        <v>#NAME?</v>
      </c>
      <c r="BH59" t="e" cm="1">
        <f t="array" aca="1" ref="BH59" ca="1">+_xll.EQNXTDZ($A$1,$B59,BH$51)</f>
        <v>#NAME?</v>
      </c>
      <c r="BI59" t="e" cm="1">
        <f t="array" aca="1" ref="BI59" ca="1">+_xll.EQNXTDZ($A$1,$B59,BI$51)</f>
        <v>#NAME?</v>
      </c>
      <c r="BJ59" t="e" cm="1">
        <f t="array" aca="1" ref="BJ59" ca="1">+_xll.EQNXTDZ($A$1,$B59,BJ$51)</f>
        <v>#NAME?</v>
      </c>
    </row>
    <row r="60" spans="1:62" x14ac:dyDescent="0.25">
      <c r="A60" t="s">
        <v>289</v>
      </c>
      <c r="B60" t="s">
        <v>307</v>
      </c>
      <c r="C60" t="e" cm="1">
        <f t="array" aca="1" ref="C60" ca="1">+_xll.EQNXTDZ($A$1,$B60,C$51)</f>
        <v>#NAME?</v>
      </c>
      <c r="D60" t="e" cm="1">
        <f t="array" aca="1" ref="D60" ca="1">+_xll.EQNXTDZ($A$1,$B60,D$51)</f>
        <v>#NAME?</v>
      </c>
      <c r="E60" t="e" cm="1">
        <f t="array" aca="1" ref="E60" ca="1">+_xll.EQNXTDZ($A$1,$B60,E$51)</f>
        <v>#NAME?</v>
      </c>
      <c r="F60" t="e" cm="1">
        <f t="array" aca="1" ref="F60" ca="1">+_xll.EQNXTDZ($A$1,$B60,F$51)</f>
        <v>#NAME?</v>
      </c>
      <c r="G60" t="e" cm="1">
        <f t="array" aca="1" ref="G60" ca="1">+_xll.EQNXTDZ($A$1,$B60,G$51)</f>
        <v>#NAME?</v>
      </c>
      <c r="H60" t="e" cm="1">
        <f t="array" aca="1" ref="H60" ca="1">+_xll.EQNXTDZ($A$1,$B60,H$51)</f>
        <v>#NAME?</v>
      </c>
      <c r="I60" t="e" cm="1">
        <f t="array" aca="1" ref="I60" ca="1">+_xll.EQNXTDZ($A$1,$B60,I$51)</f>
        <v>#NAME?</v>
      </c>
      <c r="J60" t="e" cm="1">
        <f t="array" aca="1" ref="J60" ca="1">+_xll.EQNXTDZ($A$1,$B60,J$51)</f>
        <v>#NAME?</v>
      </c>
      <c r="K60" t="e" cm="1">
        <f t="array" aca="1" ref="K60" ca="1">+_xll.EQNXTDZ($A$1,$B60,K$51)</f>
        <v>#NAME?</v>
      </c>
      <c r="L60" t="e" cm="1">
        <f t="array" aca="1" ref="L60" ca="1">+_xll.EQNXTDZ($A$1,$B60,L$51)</f>
        <v>#NAME?</v>
      </c>
      <c r="M60" t="e" cm="1">
        <f t="array" aca="1" ref="M60" ca="1">+_xll.EQNXTDZ($A$1,$B60,M$51)</f>
        <v>#NAME?</v>
      </c>
      <c r="N60" t="e" cm="1">
        <f t="array" aca="1" ref="N60" ca="1">+_xll.EQNXTDZ($A$1,$B60,N$51)</f>
        <v>#NAME?</v>
      </c>
      <c r="O60" t="e" cm="1">
        <f t="array" aca="1" ref="O60" ca="1">+_xll.EQNXTDZ($A$1,$B60,O$51)</f>
        <v>#NAME?</v>
      </c>
      <c r="P60" t="e" cm="1">
        <f t="array" aca="1" ref="P60" ca="1">+_xll.EQNXTDZ($A$1,$B60,P$51)</f>
        <v>#NAME?</v>
      </c>
      <c r="Q60" t="e" cm="1">
        <f t="array" aca="1" ref="Q60" ca="1">+_xll.EQNXTDZ($A$1,$B60,Q$51)</f>
        <v>#NAME?</v>
      </c>
      <c r="R60" t="e" cm="1">
        <f t="array" aca="1" ref="R60" ca="1">+_xll.EQNXTDZ($A$1,$B60,R$51)</f>
        <v>#NAME?</v>
      </c>
      <c r="S60" t="e" cm="1">
        <f t="array" aca="1" ref="S60" ca="1">+_xll.EQNXTDZ($A$1,$B60,S$51)</f>
        <v>#NAME?</v>
      </c>
      <c r="T60" t="e" cm="1">
        <f t="array" aca="1" ref="T60" ca="1">+_xll.EQNXTDZ($A$1,$B60,T$51)</f>
        <v>#NAME?</v>
      </c>
      <c r="U60" t="e" cm="1">
        <f t="array" aca="1" ref="U60" ca="1">+_xll.EQNXTDZ($A$1,$B60,U$51)</f>
        <v>#NAME?</v>
      </c>
      <c r="V60" t="e" cm="1">
        <f t="array" aca="1" ref="V60" ca="1">+_xll.EQNXTDZ($A$1,$B60,V$51)</f>
        <v>#NAME?</v>
      </c>
      <c r="W60" t="e" cm="1">
        <f t="array" aca="1" ref="W60" ca="1">+_xll.EQNXTDZ($A$1,$B60,W$51)</f>
        <v>#NAME?</v>
      </c>
      <c r="X60" t="e" cm="1">
        <f t="array" aca="1" ref="X60" ca="1">+_xll.EQNXTDZ($A$1,$B60,X$51)</f>
        <v>#NAME?</v>
      </c>
      <c r="Y60" t="e" cm="1">
        <f t="array" aca="1" ref="Y60" ca="1">+_xll.EQNXTDZ($A$1,$B60,Y$51)</f>
        <v>#NAME?</v>
      </c>
      <c r="Z60" t="e" cm="1">
        <f t="array" aca="1" ref="Z60" ca="1">+_xll.EQNXTDZ($A$1,$B60,Z$51)</f>
        <v>#NAME?</v>
      </c>
      <c r="AA60" t="e" cm="1">
        <f t="array" aca="1" ref="AA60" ca="1">+_xll.EQNXTDZ($A$1,$B60,AA$51)</f>
        <v>#NAME?</v>
      </c>
      <c r="AB60" t="e" cm="1">
        <f t="array" aca="1" ref="AB60" ca="1">+_xll.EQNXTDZ($A$1,$B60,AB$51)</f>
        <v>#NAME?</v>
      </c>
      <c r="AC60" t="e" cm="1">
        <f t="array" aca="1" ref="AC60" ca="1">+_xll.EQNXTDZ($A$1,$B60,AC$51)</f>
        <v>#NAME?</v>
      </c>
      <c r="AD60" t="e" cm="1">
        <f t="array" aca="1" ref="AD60" ca="1">+_xll.EQNXTDZ($A$1,$B60,AD$51)</f>
        <v>#NAME?</v>
      </c>
      <c r="AE60" t="e" cm="1">
        <f t="array" aca="1" ref="AE60" ca="1">+_xll.EQNXTDZ($A$1,$B60,AE$51)</f>
        <v>#NAME?</v>
      </c>
      <c r="AF60" t="e" cm="1">
        <f t="array" aca="1" ref="AF60" ca="1">+_xll.EQNXTDZ($A$1,$B60,AF$51)</f>
        <v>#NAME?</v>
      </c>
      <c r="AG60" t="e" cm="1">
        <f t="array" aca="1" ref="AG60" ca="1">+_xll.EQNXTDZ($A$1,$B60,AG$51)</f>
        <v>#NAME?</v>
      </c>
      <c r="AH60" t="e" cm="1">
        <f t="array" aca="1" ref="AH60" ca="1">+_xll.EQNXTDZ($A$1,$B60,AH$51)</f>
        <v>#NAME?</v>
      </c>
      <c r="AI60" t="e" cm="1">
        <f t="array" aca="1" ref="AI60" ca="1">+_xll.EQNXTDZ($A$1,$B60,AI$51)</f>
        <v>#NAME?</v>
      </c>
      <c r="AJ60" t="e" cm="1">
        <f t="array" aca="1" ref="AJ60" ca="1">+_xll.EQNXTDZ($A$1,$B60,AJ$51)</f>
        <v>#NAME?</v>
      </c>
      <c r="AK60" t="e" cm="1">
        <f t="array" aca="1" ref="AK60" ca="1">+_xll.EQNXTDZ($A$1,$B60,AK$51)</f>
        <v>#NAME?</v>
      </c>
      <c r="AL60" t="e" cm="1">
        <f t="array" aca="1" ref="AL60" ca="1">+_xll.EQNXTDZ($A$1,$B60,AL$51)</f>
        <v>#NAME?</v>
      </c>
      <c r="AM60" t="e" cm="1">
        <f t="array" aca="1" ref="AM60" ca="1">+_xll.EQNXTDZ($A$1,$B60,AM$51)</f>
        <v>#NAME?</v>
      </c>
      <c r="AN60" t="e" cm="1">
        <f t="array" aca="1" ref="AN60" ca="1">+_xll.EQNXTDZ($A$1,$B60,AN$51)</f>
        <v>#NAME?</v>
      </c>
      <c r="AO60" t="e" cm="1">
        <f t="array" aca="1" ref="AO60" ca="1">+_xll.EQNXTDZ($A$1,$B60,AO$51)</f>
        <v>#NAME?</v>
      </c>
      <c r="AP60" t="e" cm="1">
        <f t="array" aca="1" ref="AP60" ca="1">+_xll.EQNXTDZ($A$1,$B60,AP$51)</f>
        <v>#NAME?</v>
      </c>
      <c r="AQ60" t="e" cm="1">
        <f t="array" aca="1" ref="AQ60" ca="1">+_xll.EQNXTDZ($A$1,$B60,AQ$51)</f>
        <v>#NAME?</v>
      </c>
      <c r="AR60" t="e" cm="1">
        <f t="array" aca="1" ref="AR60" ca="1">+_xll.EQNXTDZ($A$1,$B60,AR$51)</f>
        <v>#NAME?</v>
      </c>
      <c r="AS60" t="e" cm="1">
        <f t="array" aca="1" ref="AS60" ca="1">+_xll.EQNXTDZ($A$1,$B60,AS$51)</f>
        <v>#NAME?</v>
      </c>
      <c r="AT60" t="e" cm="1">
        <f t="array" aca="1" ref="AT60" ca="1">+_xll.EQNXTDZ($A$1,$B60,AT$51)</f>
        <v>#NAME?</v>
      </c>
      <c r="AU60" t="e" cm="1">
        <f t="array" aca="1" ref="AU60" ca="1">+_xll.EQNXTDZ($A$1,$B60,AU$51)</f>
        <v>#NAME?</v>
      </c>
      <c r="AV60" t="e" cm="1">
        <f t="array" aca="1" ref="AV60" ca="1">+_xll.EQNXTDZ($A$1,$B60,AV$51)</f>
        <v>#NAME?</v>
      </c>
      <c r="AW60" t="e" cm="1">
        <f t="array" aca="1" ref="AW60" ca="1">+_xll.EQNXTDZ($A$1,$B60,AW$51)</f>
        <v>#NAME?</v>
      </c>
      <c r="AX60" t="e" cm="1">
        <f t="array" aca="1" ref="AX60" ca="1">+_xll.EQNXTDZ($A$1,$B60,AX$51)</f>
        <v>#NAME?</v>
      </c>
      <c r="AY60" t="e" cm="1">
        <f t="array" aca="1" ref="AY60" ca="1">+_xll.EQNXTDZ($A$1,$B60,AY$51)</f>
        <v>#NAME?</v>
      </c>
      <c r="AZ60" t="e" cm="1">
        <f t="array" aca="1" ref="AZ60" ca="1">+_xll.EQNXTDZ($A$1,$B60,AZ$51)</f>
        <v>#NAME?</v>
      </c>
      <c r="BA60" t="e" cm="1">
        <f t="array" aca="1" ref="BA60" ca="1">+_xll.EQNXTDZ($A$1,$B60,BA$51)</f>
        <v>#NAME?</v>
      </c>
      <c r="BB60" t="e" cm="1">
        <f t="array" aca="1" ref="BB60" ca="1">+_xll.EQNXTDZ($A$1,$B60,BB$51)</f>
        <v>#NAME?</v>
      </c>
      <c r="BC60" t="e" cm="1">
        <f t="array" aca="1" ref="BC60" ca="1">+_xll.EQNXTDZ($A$1,$B60,BC$51)</f>
        <v>#NAME?</v>
      </c>
      <c r="BD60" t="e" cm="1">
        <f t="array" aca="1" ref="BD60" ca="1">+_xll.EQNXTDZ($A$1,$B60,BD$51)</f>
        <v>#NAME?</v>
      </c>
      <c r="BE60" t="e" cm="1">
        <f t="array" aca="1" ref="BE60" ca="1">+_xll.EQNXTDZ($A$1,$B60,BE$51)</f>
        <v>#NAME?</v>
      </c>
      <c r="BF60" t="e" cm="1">
        <f t="array" aca="1" ref="BF60" ca="1">+_xll.EQNXTDZ($A$1,$B60,BF$51)</f>
        <v>#NAME?</v>
      </c>
      <c r="BG60" t="e" cm="1">
        <f t="array" aca="1" ref="BG60" ca="1">+_xll.EQNXTDZ($A$1,$B60,BG$51)</f>
        <v>#NAME?</v>
      </c>
      <c r="BH60" t="e" cm="1">
        <f t="array" aca="1" ref="BH60" ca="1">+_xll.EQNXTDZ($A$1,$B60,BH$51)</f>
        <v>#NAME?</v>
      </c>
      <c r="BI60" t="e" cm="1">
        <f t="array" aca="1" ref="BI60" ca="1">+_xll.EQNXTDZ($A$1,$B60,BI$51)</f>
        <v>#NAME?</v>
      </c>
      <c r="BJ60" t="e" cm="1">
        <f t="array" aca="1" ref="BJ60" ca="1">+_xll.EQNXTDZ($A$1,$B60,BJ$51)</f>
        <v>#NAME?</v>
      </c>
    </row>
    <row r="61" spans="1:62" x14ac:dyDescent="0.25">
      <c r="A61" t="s">
        <v>290</v>
      </c>
      <c r="B61" t="s">
        <v>308</v>
      </c>
      <c r="C61" t="e" cm="1">
        <f t="array" aca="1" ref="C61" ca="1">+_xll.EQNXTDZ($A$1,$B61,C$51)</f>
        <v>#NAME?</v>
      </c>
      <c r="D61" t="e" cm="1">
        <f t="array" aca="1" ref="D61" ca="1">+_xll.EQNXTDZ($A$1,$B61,D$51)</f>
        <v>#NAME?</v>
      </c>
      <c r="E61" t="e" cm="1">
        <f t="array" aca="1" ref="E61" ca="1">+_xll.EQNXTDZ($A$1,$B61,E$51)</f>
        <v>#NAME?</v>
      </c>
      <c r="F61" t="e" cm="1">
        <f t="array" aca="1" ref="F61" ca="1">+_xll.EQNXTDZ($A$1,$B61,F$51)</f>
        <v>#NAME?</v>
      </c>
      <c r="G61" t="e" cm="1">
        <f t="array" aca="1" ref="G61" ca="1">+_xll.EQNXTDZ($A$1,$B61,G$51)</f>
        <v>#NAME?</v>
      </c>
      <c r="H61" t="e" cm="1">
        <f t="array" aca="1" ref="H61" ca="1">+_xll.EQNXTDZ($A$1,$B61,H$51)</f>
        <v>#NAME?</v>
      </c>
      <c r="I61" t="e" cm="1">
        <f t="array" aca="1" ref="I61" ca="1">+_xll.EQNXTDZ($A$1,$B61,I$51)</f>
        <v>#NAME?</v>
      </c>
      <c r="J61" t="e" cm="1">
        <f t="array" aca="1" ref="J61" ca="1">+_xll.EQNXTDZ($A$1,$B61,J$51)</f>
        <v>#NAME?</v>
      </c>
      <c r="K61" t="e" cm="1">
        <f t="array" aca="1" ref="K61" ca="1">+_xll.EQNXTDZ($A$1,$B61,K$51)</f>
        <v>#NAME?</v>
      </c>
      <c r="L61" t="e" cm="1">
        <f t="array" aca="1" ref="L61" ca="1">+_xll.EQNXTDZ($A$1,$B61,L$51)</f>
        <v>#NAME?</v>
      </c>
      <c r="M61" t="e" cm="1">
        <f t="array" aca="1" ref="M61" ca="1">+_xll.EQNXTDZ($A$1,$B61,M$51)</f>
        <v>#NAME?</v>
      </c>
      <c r="N61" t="e" cm="1">
        <f t="array" aca="1" ref="N61" ca="1">+_xll.EQNXTDZ($A$1,$B61,N$51)</f>
        <v>#NAME?</v>
      </c>
      <c r="O61" t="e" cm="1">
        <f t="array" aca="1" ref="O61" ca="1">+_xll.EQNXTDZ($A$1,$B61,O$51)</f>
        <v>#NAME?</v>
      </c>
      <c r="P61" t="e" cm="1">
        <f t="array" aca="1" ref="P61" ca="1">+_xll.EQNXTDZ($A$1,$B61,P$51)</f>
        <v>#NAME?</v>
      </c>
      <c r="Q61" t="e" cm="1">
        <f t="array" aca="1" ref="Q61" ca="1">+_xll.EQNXTDZ($A$1,$B61,Q$51)</f>
        <v>#NAME?</v>
      </c>
      <c r="R61" t="e" cm="1">
        <f t="array" aca="1" ref="R61" ca="1">+_xll.EQNXTDZ($A$1,$B61,R$51)</f>
        <v>#NAME?</v>
      </c>
      <c r="S61" t="e" cm="1">
        <f t="array" aca="1" ref="S61" ca="1">+_xll.EQNXTDZ($A$1,$B61,S$51)</f>
        <v>#NAME?</v>
      </c>
      <c r="T61" t="e" cm="1">
        <f t="array" aca="1" ref="T61" ca="1">+_xll.EQNXTDZ($A$1,$B61,T$51)</f>
        <v>#NAME?</v>
      </c>
      <c r="U61" t="e" cm="1">
        <f t="array" aca="1" ref="U61" ca="1">+_xll.EQNXTDZ($A$1,$B61,U$51)</f>
        <v>#NAME?</v>
      </c>
      <c r="V61" t="e" cm="1">
        <f t="array" aca="1" ref="V61" ca="1">+_xll.EQNXTDZ($A$1,$B61,V$51)</f>
        <v>#NAME?</v>
      </c>
      <c r="W61" t="e" cm="1">
        <f t="array" aca="1" ref="W61" ca="1">+_xll.EQNXTDZ($A$1,$B61,W$51)</f>
        <v>#NAME?</v>
      </c>
      <c r="X61" t="e" cm="1">
        <f t="array" aca="1" ref="X61" ca="1">+_xll.EQNXTDZ($A$1,$B61,X$51)</f>
        <v>#NAME?</v>
      </c>
      <c r="Y61" t="e" cm="1">
        <f t="array" aca="1" ref="Y61" ca="1">+_xll.EQNXTDZ($A$1,$B61,Y$51)</f>
        <v>#NAME?</v>
      </c>
      <c r="Z61" t="e" cm="1">
        <f t="array" aca="1" ref="Z61" ca="1">+_xll.EQNXTDZ($A$1,$B61,Z$51)</f>
        <v>#NAME?</v>
      </c>
      <c r="AA61" t="e" cm="1">
        <f t="array" aca="1" ref="AA61" ca="1">+_xll.EQNXTDZ($A$1,$B61,AA$51)</f>
        <v>#NAME?</v>
      </c>
      <c r="AB61" t="e" cm="1">
        <f t="array" aca="1" ref="AB61" ca="1">+_xll.EQNXTDZ($A$1,$B61,AB$51)</f>
        <v>#NAME?</v>
      </c>
      <c r="AC61" t="e" cm="1">
        <f t="array" aca="1" ref="AC61" ca="1">+_xll.EQNXTDZ($A$1,$B61,AC$51)</f>
        <v>#NAME?</v>
      </c>
      <c r="AD61" t="e" cm="1">
        <f t="array" aca="1" ref="AD61" ca="1">+_xll.EQNXTDZ($A$1,$B61,AD$51)</f>
        <v>#NAME?</v>
      </c>
      <c r="AE61" t="e" cm="1">
        <f t="array" aca="1" ref="AE61" ca="1">+_xll.EQNXTDZ($A$1,$B61,AE$51)</f>
        <v>#NAME?</v>
      </c>
      <c r="AF61" t="e" cm="1">
        <f t="array" aca="1" ref="AF61" ca="1">+_xll.EQNXTDZ($A$1,$B61,AF$51)</f>
        <v>#NAME?</v>
      </c>
      <c r="AG61" t="e" cm="1">
        <f t="array" aca="1" ref="AG61" ca="1">+_xll.EQNXTDZ($A$1,$B61,AG$51)</f>
        <v>#NAME?</v>
      </c>
      <c r="AH61" t="e" cm="1">
        <f t="array" aca="1" ref="AH61" ca="1">+_xll.EQNXTDZ($A$1,$B61,AH$51)</f>
        <v>#NAME?</v>
      </c>
      <c r="AI61" t="e" cm="1">
        <f t="array" aca="1" ref="AI61" ca="1">+_xll.EQNXTDZ($A$1,$B61,AI$51)</f>
        <v>#NAME?</v>
      </c>
      <c r="AJ61" t="e" cm="1">
        <f t="array" aca="1" ref="AJ61" ca="1">+_xll.EQNXTDZ($A$1,$B61,AJ$51)</f>
        <v>#NAME?</v>
      </c>
      <c r="AK61" t="e" cm="1">
        <f t="array" aca="1" ref="AK61" ca="1">+_xll.EQNXTDZ($A$1,$B61,AK$51)</f>
        <v>#NAME?</v>
      </c>
      <c r="AL61" t="e" cm="1">
        <f t="array" aca="1" ref="AL61" ca="1">+_xll.EQNXTDZ($A$1,$B61,AL$51)</f>
        <v>#NAME?</v>
      </c>
      <c r="AM61" t="e" cm="1">
        <f t="array" aca="1" ref="AM61" ca="1">+_xll.EQNXTDZ($A$1,$B61,AM$51)</f>
        <v>#NAME?</v>
      </c>
      <c r="AN61" t="e" cm="1">
        <f t="array" aca="1" ref="AN61" ca="1">+_xll.EQNXTDZ($A$1,$B61,AN$51)</f>
        <v>#NAME?</v>
      </c>
      <c r="AO61" t="e" cm="1">
        <f t="array" aca="1" ref="AO61" ca="1">+_xll.EQNXTDZ($A$1,$B61,AO$51)</f>
        <v>#NAME?</v>
      </c>
      <c r="AP61" t="e" cm="1">
        <f t="array" aca="1" ref="AP61" ca="1">+_xll.EQNXTDZ($A$1,$B61,AP$51)</f>
        <v>#NAME?</v>
      </c>
      <c r="AQ61" t="e" cm="1">
        <f t="array" aca="1" ref="AQ61" ca="1">+_xll.EQNXTDZ($A$1,$B61,AQ$51)</f>
        <v>#NAME?</v>
      </c>
      <c r="AR61" t="e" cm="1">
        <f t="array" aca="1" ref="AR61" ca="1">+_xll.EQNXTDZ($A$1,$B61,AR$51)</f>
        <v>#NAME?</v>
      </c>
      <c r="AS61" t="e" cm="1">
        <f t="array" aca="1" ref="AS61" ca="1">+_xll.EQNXTDZ($A$1,$B61,AS$51)</f>
        <v>#NAME?</v>
      </c>
      <c r="AT61" t="e" cm="1">
        <f t="array" aca="1" ref="AT61" ca="1">+_xll.EQNXTDZ($A$1,$B61,AT$51)</f>
        <v>#NAME?</v>
      </c>
      <c r="AU61" t="e" cm="1">
        <f t="array" aca="1" ref="AU61" ca="1">+_xll.EQNXTDZ($A$1,$B61,AU$51)</f>
        <v>#NAME?</v>
      </c>
      <c r="AV61" t="e" cm="1">
        <f t="array" aca="1" ref="AV61" ca="1">+_xll.EQNXTDZ($A$1,$B61,AV$51)</f>
        <v>#NAME?</v>
      </c>
      <c r="AW61" t="e" cm="1">
        <f t="array" aca="1" ref="AW61" ca="1">+_xll.EQNXTDZ($A$1,$B61,AW$51)</f>
        <v>#NAME?</v>
      </c>
      <c r="AX61" t="e" cm="1">
        <f t="array" aca="1" ref="AX61" ca="1">+_xll.EQNXTDZ($A$1,$B61,AX$51)</f>
        <v>#NAME?</v>
      </c>
      <c r="AY61" t="e" cm="1">
        <f t="array" aca="1" ref="AY61" ca="1">+_xll.EQNXTDZ($A$1,$B61,AY$51)</f>
        <v>#NAME?</v>
      </c>
      <c r="AZ61" t="e" cm="1">
        <f t="array" aca="1" ref="AZ61" ca="1">+_xll.EQNXTDZ($A$1,$B61,AZ$51)</f>
        <v>#NAME?</v>
      </c>
      <c r="BA61" t="e" cm="1">
        <f t="array" aca="1" ref="BA61" ca="1">+_xll.EQNXTDZ($A$1,$B61,BA$51)</f>
        <v>#NAME?</v>
      </c>
      <c r="BB61" t="e" cm="1">
        <f t="array" aca="1" ref="BB61" ca="1">+_xll.EQNXTDZ($A$1,$B61,BB$51)</f>
        <v>#NAME?</v>
      </c>
      <c r="BC61" t="e" cm="1">
        <f t="array" aca="1" ref="BC61" ca="1">+_xll.EQNXTDZ($A$1,$B61,BC$51)</f>
        <v>#NAME?</v>
      </c>
      <c r="BD61" t="e" cm="1">
        <f t="array" aca="1" ref="BD61" ca="1">+_xll.EQNXTDZ($A$1,$B61,BD$51)</f>
        <v>#NAME?</v>
      </c>
      <c r="BE61" t="e" cm="1">
        <f t="array" aca="1" ref="BE61" ca="1">+_xll.EQNXTDZ($A$1,$B61,BE$51)</f>
        <v>#NAME?</v>
      </c>
      <c r="BF61" t="e" cm="1">
        <f t="array" aca="1" ref="BF61" ca="1">+_xll.EQNXTDZ($A$1,$B61,BF$51)</f>
        <v>#NAME?</v>
      </c>
      <c r="BG61" t="e" cm="1">
        <f t="array" aca="1" ref="BG61" ca="1">+_xll.EQNXTDZ($A$1,$B61,BG$51)</f>
        <v>#NAME?</v>
      </c>
      <c r="BH61" t="e" cm="1">
        <f t="array" aca="1" ref="BH61" ca="1">+_xll.EQNXTDZ($A$1,$B61,BH$51)</f>
        <v>#NAME?</v>
      </c>
      <c r="BI61" t="e" cm="1">
        <f t="array" aca="1" ref="BI61" ca="1">+_xll.EQNXTDZ($A$1,$B61,BI$51)</f>
        <v>#NAME?</v>
      </c>
      <c r="BJ61" t="e" cm="1">
        <f t="array" aca="1" ref="BJ61" ca="1">+_xll.EQNXTDZ($A$1,$B61,BJ$51)</f>
        <v>#NAME?</v>
      </c>
    </row>
    <row r="62" spans="1:62" x14ac:dyDescent="0.25">
      <c r="A62" t="s">
        <v>291</v>
      </c>
      <c r="B62" t="s">
        <v>309</v>
      </c>
      <c r="C62" t="e" cm="1">
        <f t="array" aca="1" ref="C62" ca="1">+_xll.EQNXTDZ($A$1,$B62,C$51)</f>
        <v>#NAME?</v>
      </c>
      <c r="D62" t="e" cm="1">
        <f t="array" aca="1" ref="D62" ca="1">+_xll.EQNXTDZ($A$1,$B62,D$51)</f>
        <v>#NAME?</v>
      </c>
      <c r="E62" t="e" cm="1">
        <f t="array" aca="1" ref="E62" ca="1">+_xll.EQNXTDZ($A$1,$B62,E$51)</f>
        <v>#NAME?</v>
      </c>
      <c r="F62" t="e" cm="1">
        <f t="array" aca="1" ref="F62" ca="1">+_xll.EQNXTDZ($A$1,$B62,F$51)</f>
        <v>#NAME?</v>
      </c>
      <c r="G62" t="e" cm="1">
        <f t="array" aca="1" ref="G62" ca="1">+_xll.EQNXTDZ($A$1,$B62,G$51)</f>
        <v>#NAME?</v>
      </c>
      <c r="H62" t="e" cm="1">
        <f t="array" aca="1" ref="H62" ca="1">+_xll.EQNXTDZ($A$1,$B62,H$51)</f>
        <v>#NAME?</v>
      </c>
      <c r="I62" t="e" cm="1">
        <f t="array" aca="1" ref="I62" ca="1">+_xll.EQNXTDZ($A$1,$B62,I$51)</f>
        <v>#NAME?</v>
      </c>
      <c r="J62" t="e" cm="1">
        <f t="array" aca="1" ref="J62" ca="1">+_xll.EQNXTDZ($A$1,$B62,J$51)</f>
        <v>#NAME?</v>
      </c>
      <c r="K62" t="e" cm="1">
        <f t="array" aca="1" ref="K62" ca="1">+_xll.EQNXTDZ($A$1,$B62,K$51)</f>
        <v>#NAME?</v>
      </c>
      <c r="L62" t="e" cm="1">
        <f t="array" aca="1" ref="L62" ca="1">+_xll.EQNXTDZ($A$1,$B62,L$51)</f>
        <v>#NAME?</v>
      </c>
      <c r="M62" t="e" cm="1">
        <f t="array" aca="1" ref="M62" ca="1">+_xll.EQNXTDZ($A$1,$B62,M$51)</f>
        <v>#NAME?</v>
      </c>
      <c r="N62" t="e" cm="1">
        <f t="array" aca="1" ref="N62" ca="1">+_xll.EQNXTDZ($A$1,$B62,N$51)</f>
        <v>#NAME?</v>
      </c>
      <c r="O62" t="e" cm="1">
        <f t="array" aca="1" ref="O62" ca="1">+_xll.EQNXTDZ($A$1,$B62,O$51)</f>
        <v>#NAME?</v>
      </c>
      <c r="P62" t="e" cm="1">
        <f t="array" aca="1" ref="P62" ca="1">+_xll.EQNXTDZ($A$1,$B62,P$51)</f>
        <v>#NAME?</v>
      </c>
      <c r="Q62" t="e" cm="1">
        <f t="array" aca="1" ref="Q62" ca="1">+_xll.EQNXTDZ($A$1,$B62,Q$51)</f>
        <v>#NAME?</v>
      </c>
      <c r="R62" t="e" cm="1">
        <f t="array" aca="1" ref="R62" ca="1">+_xll.EQNXTDZ($A$1,$B62,R$51)</f>
        <v>#NAME?</v>
      </c>
      <c r="S62" t="e" cm="1">
        <f t="array" aca="1" ref="S62" ca="1">+_xll.EQNXTDZ($A$1,$B62,S$51)</f>
        <v>#NAME?</v>
      </c>
      <c r="T62" t="e" cm="1">
        <f t="array" aca="1" ref="T62" ca="1">+_xll.EQNXTDZ($A$1,$B62,T$51)</f>
        <v>#NAME?</v>
      </c>
      <c r="U62" t="e" cm="1">
        <f t="array" aca="1" ref="U62" ca="1">+_xll.EQNXTDZ($A$1,$B62,U$51)</f>
        <v>#NAME?</v>
      </c>
      <c r="V62" t="e" cm="1">
        <f t="array" aca="1" ref="V62" ca="1">+_xll.EQNXTDZ($A$1,$B62,V$51)</f>
        <v>#NAME?</v>
      </c>
      <c r="W62" t="e" cm="1">
        <f t="array" aca="1" ref="W62" ca="1">+_xll.EQNXTDZ($A$1,$B62,W$51)</f>
        <v>#NAME?</v>
      </c>
      <c r="X62" t="e" cm="1">
        <f t="array" aca="1" ref="X62" ca="1">+_xll.EQNXTDZ($A$1,$B62,X$51)</f>
        <v>#NAME?</v>
      </c>
      <c r="Y62" t="e" cm="1">
        <f t="array" aca="1" ref="Y62" ca="1">+_xll.EQNXTDZ($A$1,$B62,Y$51)</f>
        <v>#NAME?</v>
      </c>
      <c r="Z62" t="e" cm="1">
        <f t="array" aca="1" ref="Z62" ca="1">+_xll.EQNXTDZ($A$1,$B62,Z$51)</f>
        <v>#NAME?</v>
      </c>
      <c r="AA62" t="e" cm="1">
        <f t="array" aca="1" ref="AA62" ca="1">+_xll.EQNXTDZ($A$1,$B62,AA$51)</f>
        <v>#NAME?</v>
      </c>
      <c r="AB62" t="e" cm="1">
        <f t="array" aca="1" ref="AB62" ca="1">+_xll.EQNXTDZ($A$1,$B62,AB$51)</f>
        <v>#NAME?</v>
      </c>
      <c r="AC62" t="e" cm="1">
        <f t="array" aca="1" ref="AC62" ca="1">+_xll.EQNXTDZ($A$1,$B62,AC$51)</f>
        <v>#NAME?</v>
      </c>
      <c r="AD62" t="e" cm="1">
        <f t="array" aca="1" ref="AD62" ca="1">+_xll.EQNXTDZ($A$1,$B62,AD$51)</f>
        <v>#NAME?</v>
      </c>
      <c r="AE62" t="e" cm="1">
        <f t="array" aca="1" ref="AE62" ca="1">+_xll.EQNXTDZ($A$1,$B62,AE$51)</f>
        <v>#NAME?</v>
      </c>
      <c r="AF62" t="e" cm="1">
        <f t="array" aca="1" ref="AF62" ca="1">+_xll.EQNXTDZ($A$1,$B62,AF$51)</f>
        <v>#NAME?</v>
      </c>
      <c r="AG62" t="e" cm="1">
        <f t="array" aca="1" ref="AG62" ca="1">+_xll.EQNXTDZ($A$1,$B62,AG$51)</f>
        <v>#NAME?</v>
      </c>
      <c r="AH62" t="e" cm="1">
        <f t="array" aca="1" ref="AH62" ca="1">+_xll.EQNXTDZ($A$1,$B62,AH$51)</f>
        <v>#NAME?</v>
      </c>
      <c r="AI62" t="e" cm="1">
        <f t="array" aca="1" ref="AI62" ca="1">+_xll.EQNXTDZ($A$1,$B62,AI$51)</f>
        <v>#NAME?</v>
      </c>
      <c r="AJ62" t="e" cm="1">
        <f t="array" aca="1" ref="AJ62" ca="1">+_xll.EQNXTDZ($A$1,$B62,AJ$51)</f>
        <v>#NAME?</v>
      </c>
      <c r="AK62" t="e" cm="1">
        <f t="array" aca="1" ref="AK62" ca="1">+_xll.EQNXTDZ($A$1,$B62,AK$51)</f>
        <v>#NAME?</v>
      </c>
      <c r="AL62" t="e" cm="1">
        <f t="array" aca="1" ref="AL62" ca="1">+_xll.EQNXTDZ($A$1,$B62,AL$51)</f>
        <v>#NAME?</v>
      </c>
      <c r="AM62" t="e" cm="1">
        <f t="array" aca="1" ref="AM62" ca="1">+_xll.EQNXTDZ($A$1,$B62,AM$51)</f>
        <v>#NAME?</v>
      </c>
      <c r="AN62" t="e" cm="1">
        <f t="array" aca="1" ref="AN62" ca="1">+_xll.EQNXTDZ($A$1,$B62,AN$51)</f>
        <v>#NAME?</v>
      </c>
      <c r="AO62" t="e" cm="1">
        <f t="array" aca="1" ref="AO62" ca="1">+_xll.EQNXTDZ($A$1,$B62,AO$51)</f>
        <v>#NAME?</v>
      </c>
      <c r="AP62" t="e" cm="1">
        <f t="array" aca="1" ref="AP62" ca="1">+_xll.EQNXTDZ($A$1,$B62,AP$51)</f>
        <v>#NAME?</v>
      </c>
      <c r="AQ62" t="e" cm="1">
        <f t="array" aca="1" ref="AQ62" ca="1">+_xll.EQNXTDZ($A$1,$B62,AQ$51)</f>
        <v>#NAME?</v>
      </c>
      <c r="AR62" t="e" cm="1">
        <f t="array" aca="1" ref="AR62" ca="1">+_xll.EQNXTDZ($A$1,$B62,AR$51)</f>
        <v>#NAME?</v>
      </c>
      <c r="AS62" t="e" cm="1">
        <f t="array" aca="1" ref="AS62" ca="1">+_xll.EQNXTDZ($A$1,$B62,AS$51)</f>
        <v>#NAME?</v>
      </c>
      <c r="AT62" t="e" cm="1">
        <f t="array" aca="1" ref="AT62" ca="1">+_xll.EQNXTDZ($A$1,$B62,AT$51)</f>
        <v>#NAME?</v>
      </c>
      <c r="AU62" t="e" cm="1">
        <f t="array" aca="1" ref="AU62" ca="1">+_xll.EQNXTDZ($A$1,$B62,AU$51)</f>
        <v>#NAME?</v>
      </c>
      <c r="AV62" t="e" cm="1">
        <f t="array" aca="1" ref="AV62" ca="1">+_xll.EQNXTDZ($A$1,$B62,AV$51)</f>
        <v>#NAME?</v>
      </c>
      <c r="AW62" t="e" cm="1">
        <f t="array" aca="1" ref="AW62" ca="1">+_xll.EQNXTDZ($A$1,$B62,AW$51)</f>
        <v>#NAME?</v>
      </c>
      <c r="AX62" t="e" cm="1">
        <f t="array" aca="1" ref="AX62" ca="1">+_xll.EQNXTDZ($A$1,$B62,AX$51)</f>
        <v>#NAME?</v>
      </c>
      <c r="AY62" t="e" cm="1">
        <f t="array" aca="1" ref="AY62" ca="1">+_xll.EQNXTDZ($A$1,$B62,AY$51)</f>
        <v>#NAME?</v>
      </c>
      <c r="AZ62" t="e" cm="1">
        <f t="array" aca="1" ref="AZ62" ca="1">+_xll.EQNXTDZ($A$1,$B62,AZ$51)</f>
        <v>#NAME?</v>
      </c>
      <c r="BA62" t="e" cm="1">
        <f t="array" aca="1" ref="BA62" ca="1">+_xll.EQNXTDZ($A$1,$B62,BA$51)</f>
        <v>#NAME?</v>
      </c>
      <c r="BB62" t="e" cm="1">
        <f t="array" aca="1" ref="BB62" ca="1">+_xll.EQNXTDZ($A$1,$B62,BB$51)</f>
        <v>#NAME?</v>
      </c>
      <c r="BC62" t="e" cm="1">
        <f t="array" aca="1" ref="BC62" ca="1">+_xll.EQNXTDZ($A$1,$B62,BC$51)</f>
        <v>#NAME?</v>
      </c>
      <c r="BD62" t="e" cm="1">
        <f t="array" aca="1" ref="BD62" ca="1">+_xll.EQNXTDZ($A$1,$B62,BD$51)</f>
        <v>#NAME?</v>
      </c>
      <c r="BE62" t="e" cm="1">
        <f t="array" aca="1" ref="BE62" ca="1">+_xll.EQNXTDZ($A$1,$B62,BE$51)</f>
        <v>#NAME?</v>
      </c>
      <c r="BF62" t="e" cm="1">
        <f t="array" aca="1" ref="BF62" ca="1">+_xll.EQNXTDZ($A$1,$B62,BF$51)</f>
        <v>#NAME?</v>
      </c>
      <c r="BG62" t="e" cm="1">
        <f t="array" aca="1" ref="BG62" ca="1">+_xll.EQNXTDZ($A$1,$B62,BG$51)</f>
        <v>#NAME?</v>
      </c>
      <c r="BH62" t="e" cm="1">
        <f t="array" aca="1" ref="BH62" ca="1">+_xll.EQNXTDZ($A$1,$B62,BH$51)</f>
        <v>#NAME?</v>
      </c>
      <c r="BI62" t="e" cm="1">
        <f t="array" aca="1" ref="BI62" ca="1">+_xll.EQNXTDZ($A$1,$B62,BI$51)</f>
        <v>#NAME?</v>
      </c>
      <c r="BJ62" t="e" cm="1">
        <f t="array" aca="1" ref="BJ62" ca="1">+_xll.EQNXTDZ($A$1,$B62,BJ$51)</f>
        <v>#NAME?</v>
      </c>
    </row>
    <row r="63" spans="1:62" x14ac:dyDescent="0.25">
      <c r="A63" t="s">
        <v>126</v>
      </c>
      <c r="B63" t="s">
        <v>310</v>
      </c>
      <c r="C63" t="e" cm="1">
        <f t="array" aca="1" ref="C63" ca="1">+_xll.EQNXTDZ($A$1,$B63,C$51)</f>
        <v>#NAME?</v>
      </c>
      <c r="D63" t="e" cm="1">
        <f t="array" aca="1" ref="D63" ca="1">+_xll.EQNXTDZ($A$1,$B63,D$51)</f>
        <v>#NAME?</v>
      </c>
      <c r="E63" t="e" cm="1">
        <f t="array" aca="1" ref="E63" ca="1">+_xll.EQNXTDZ($A$1,$B63,E$51)</f>
        <v>#NAME?</v>
      </c>
      <c r="F63" t="e" cm="1">
        <f t="array" aca="1" ref="F63" ca="1">+_xll.EQNXTDZ($A$1,$B63,F$51)</f>
        <v>#NAME?</v>
      </c>
      <c r="G63" t="e" cm="1">
        <f t="array" aca="1" ref="G63" ca="1">+_xll.EQNXTDZ($A$1,$B63,G$51)</f>
        <v>#NAME?</v>
      </c>
      <c r="H63" t="e" cm="1">
        <f t="array" aca="1" ref="H63" ca="1">+_xll.EQNXTDZ($A$1,$B63,H$51)</f>
        <v>#NAME?</v>
      </c>
      <c r="I63" t="e" cm="1">
        <f t="array" aca="1" ref="I63" ca="1">+_xll.EQNXTDZ($A$1,$B63,I$51)</f>
        <v>#NAME?</v>
      </c>
      <c r="J63" t="e" cm="1">
        <f t="array" aca="1" ref="J63" ca="1">+_xll.EQNXTDZ($A$1,$B63,J$51)</f>
        <v>#NAME?</v>
      </c>
      <c r="K63" t="e" cm="1">
        <f t="array" aca="1" ref="K63" ca="1">+_xll.EQNXTDZ($A$1,$B63,K$51)</f>
        <v>#NAME?</v>
      </c>
      <c r="L63" t="e" cm="1">
        <f t="array" aca="1" ref="L63" ca="1">+_xll.EQNXTDZ($A$1,$B63,L$51)</f>
        <v>#NAME?</v>
      </c>
      <c r="M63" t="e" cm="1">
        <f t="array" aca="1" ref="M63" ca="1">+_xll.EQNXTDZ($A$1,$B63,M$51)</f>
        <v>#NAME?</v>
      </c>
      <c r="N63" t="e" cm="1">
        <f t="array" aca="1" ref="N63" ca="1">+_xll.EQNXTDZ($A$1,$B63,N$51)</f>
        <v>#NAME?</v>
      </c>
      <c r="O63" t="e" cm="1">
        <f t="array" aca="1" ref="O63" ca="1">+_xll.EQNXTDZ($A$1,$B63,O$51)</f>
        <v>#NAME?</v>
      </c>
      <c r="P63" t="e" cm="1">
        <f t="array" aca="1" ref="P63" ca="1">+_xll.EQNXTDZ($A$1,$B63,P$51)</f>
        <v>#NAME?</v>
      </c>
      <c r="Q63" t="e" cm="1">
        <f t="array" aca="1" ref="Q63" ca="1">+_xll.EQNXTDZ($A$1,$B63,Q$51)</f>
        <v>#NAME?</v>
      </c>
      <c r="R63" t="e" cm="1">
        <f t="array" aca="1" ref="R63" ca="1">+_xll.EQNXTDZ($A$1,$B63,R$51)</f>
        <v>#NAME?</v>
      </c>
      <c r="S63" t="e" cm="1">
        <f t="array" aca="1" ref="S63" ca="1">+_xll.EQNXTDZ($A$1,$B63,S$51)</f>
        <v>#NAME?</v>
      </c>
      <c r="T63" t="e" cm="1">
        <f t="array" aca="1" ref="T63" ca="1">+_xll.EQNXTDZ($A$1,$B63,T$51)</f>
        <v>#NAME?</v>
      </c>
      <c r="U63" t="e" cm="1">
        <f t="array" aca="1" ref="U63" ca="1">+_xll.EQNXTDZ($A$1,$B63,U$51)</f>
        <v>#NAME?</v>
      </c>
      <c r="V63" t="e" cm="1">
        <f t="array" aca="1" ref="V63" ca="1">+_xll.EQNXTDZ($A$1,$B63,V$51)</f>
        <v>#NAME?</v>
      </c>
      <c r="W63" t="e" cm="1">
        <f t="array" aca="1" ref="W63" ca="1">+_xll.EQNXTDZ($A$1,$B63,W$51)</f>
        <v>#NAME?</v>
      </c>
      <c r="X63" t="e" cm="1">
        <f t="array" aca="1" ref="X63" ca="1">+_xll.EQNXTDZ($A$1,$B63,X$51)</f>
        <v>#NAME?</v>
      </c>
      <c r="Y63" t="e" cm="1">
        <f t="array" aca="1" ref="Y63" ca="1">+_xll.EQNXTDZ($A$1,$B63,Y$51)</f>
        <v>#NAME?</v>
      </c>
      <c r="Z63" t="e" cm="1">
        <f t="array" aca="1" ref="Z63" ca="1">+_xll.EQNXTDZ($A$1,$B63,Z$51)</f>
        <v>#NAME?</v>
      </c>
      <c r="AA63" t="e" cm="1">
        <f t="array" aca="1" ref="AA63" ca="1">+_xll.EQNXTDZ($A$1,$B63,AA$51)</f>
        <v>#NAME?</v>
      </c>
      <c r="AB63" t="e" cm="1">
        <f t="array" aca="1" ref="AB63" ca="1">+_xll.EQNXTDZ($A$1,$B63,AB$51)</f>
        <v>#NAME?</v>
      </c>
      <c r="AC63" t="e" cm="1">
        <f t="array" aca="1" ref="AC63" ca="1">+_xll.EQNXTDZ($A$1,$B63,AC$51)</f>
        <v>#NAME?</v>
      </c>
      <c r="AD63" t="e" cm="1">
        <f t="array" aca="1" ref="AD63" ca="1">+_xll.EQNXTDZ($A$1,$B63,AD$51)</f>
        <v>#NAME?</v>
      </c>
      <c r="AE63" t="e" cm="1">
        <f t="array" aca="1" ref="AE63" ca="1">+_xll.EQNXTDZ($A$1,$B63,AE$51)</f>
        <v>#NAME?</v>
      </c>
      <c r="AF63" t="e" cm="1">
        <f t="array" aca="1" ref="AF63" ca="1">+_xll.EQNXTDZ($A$1,$B63,AF$51)</f>
        <v>#NAME?</v>
      </c>
      <c r="AG63" t="e" cm="1">
        <f t="array" aca="1" ref="AG63" ca="1">+_xll.EQNXTDZ($A$1,$B63,AG$51)</f>
        <v>#NAME?</v>
      </c>
      <c r="AH63" t="e" cm="1">
        <f t="array" aca="1" ref="AH63" ca="1">+_xll.EQNXTDZ($A$1,$B63,AH$51)</f>
        <v>#NAME?</v>
      </c>
      <c r="AI63" t="e" cm="1">
        <f t="array" aca="1" ref="AI63" ca="1">+_xll.EQNXTDZ($A$1,$B63,AI$51)</f>
        <v>#NAME?</v>
      </c>
      <c r="AJ63" t="e" cm="1">
        <f t="array" aca="1" ref="AJ63" ca="1">+_xll.EQNXTDZ($A$1,$B63,AJ$51)</f>
        <v>#NAME?</v>
      </c>
      <c r="AK63" t="e" cm="1">
        <f t="array" aca="1" ref="AK63" ca="1">+_xll.EQNXTDZ($A$1,$B63,AK$51)</f>
        <v>#NAME?</v>
      </c>
      <c r="AL63" t="e" cm="1">
        <f t="array" aca="1" ref="AL63" ca="1">+_xll.EQNXTDZ($A$1,$B63,AL$51)</f>
        <v>#NAME?</v>
      </c>
      <c r="AM63" t="e" cm="1">
        <f t="array" aca="1" ref="AM63" ca="1">+_xll.EQNXTDZ($A$1,$B63,AM$51)</f>
        <v>#NAME?</v>
      </c>
      <c r="AN63" t="e" cm="1">
        <f t="array" aca="1" ref="AN63" ca="1">+_xll.EQNXTDZ($A$1,$B63,AN$51)</f>
        <v>#NAME?</v>
      </c>
      <c r="AO63" t="e" cm="1">
        <f t="array" aca="1" ref="AO63" ca="1">+_xll.EQNXTDZ($A$1,$B63,AO$51)</f>
        <v>#NAME?</v>
      </c>
      <c r="AP63" t="e" cm="1">
        <f t="array" aca="1" ref="AP63" ca="1">+_xll.EQNXTDZ($A$1,$B63,AP$51)</f>
        <v>#NAME?</v>
      </c>
      <c r="AQ63" t="e" cm="1">
        <f t="array" aca="1" ref="AQ63" ca="1">+_xll.EQNXTDZ($A$1,$B63,AQ$51)</f>
        <v>#NAME?</v>
      </c>
      <c r="AR63" t="e" cm="1">
        <f t="array" aca="1" ref="AR63" ca="1">+_xll.EQNXTDZ($A$1,$B63,AR$51)</f>
        <v>#NAME?</v>
      </c>
      <c r="AS63" t="e" cm="1">
        <f t="array" aca="1" ref="AS63" ca="1">+_xll.EQNXTDZ($A$1,$B63,AS$51)</f>
        <v>#NAME?</v>
      </c>
      <c r="AT63" t="e" cm="1">
        <f t="array" aca="1" ref="AT63" ca="1">+_xll.EQNXTDZ($A$1,$B63,AT$51)</f>
        <v>#NAME?</v>
      </c>
      <c r="AU63" t="e" cm="1">
        <f t="array" aca="1" ref="AU63" ca="1">+_xll.EQNXTDZ($A$1,$B63,AU$51)</f>
        <v>#NAME?</v>
      </c>
      <c r="AV63" t="e" cm="1">
        <f t="array" aca="1" ref="AV63" ca="1">+_xll.EQNXTDZ($A$1,$B63,AV$51)</f>
        <v>#NAME?</v>
      </c>
      <c r="AW63" t="e" cm="1">
        <f t="array" aca="1" ref="AW63" ca="1">+_xll.EQNXTDZ($A$1,$B63,AW$51)</f>
        <v>#NAME?</v>
      </c>
      <c r="AX63" t="e" cm="1">
        <f t="array" aca="1" ref="AX63" ca="1">+_xll.EQNXTDZ($A$1,$B63,AX$51)</f>
        <v>#NAME?</v>
      </c>
      <c r="AY63" t="e" cm="1">
        <f t="array" aca="1" ref="AY63" ca="1">+_xll.EQNXTDZ($A$1,$B63,AY$51)</f>
        <v>#NAME?</v>
      </c>
      <c r="AZ63" t="e" cm="1">
        <f t="array" aca="1" ref="AZ63" ca="1">+_xll.EQNXTDZ($A$1,$B63,AZ$51)</f>
        <v>#NAME?</v>
      </c>
      <c r="BA63" t="e" cm="1">
        <f t="array" aca="1" ref="BA63" ca="1">+_xll.EQNXTDZ($A$1,$B63,BA$51)</f>
        <v>#NAME?</v>
      </c>
      <c r="BB63" t="e" cm="1">
        <f t="array" aca="1" ref="BB63" ca="1">+_xll.EQNXTDZ($A$1,$B63,BB$51)</f>
        <v>#NAME?</v>
      </c>
      <c r="BC63" t="e" cm="1">
        <f t="array" aca="1" ref="BC63" ca="1">+_xll.EQNXTDZ($A$1,$B63,BC$51)</f>
        <v>#NAME?</v>
      </c>
      <c r="BD63" t="e" cm="1">
        <f t="array" aca="1" ref="BD63" ca="1">+_xll.EQNXTDZ($A$1,$B63,BD$51)</f>
        <v>#NAME?</v>
      </c>
      <c r="BE63" t="e" cm="1">
        <f t="array" aca="1" ref="BE63" ca="1">+_xll.EQNXTDZ($A$1,$B63,BE$51)</f>
        <v>#NAME?</v>
      </c>
      <c r="BF63" t="e" cm="1">
        <f t="array" aca="1" ref="BF63" ca="1">+_xll.EQNXTDZ($A$1,$B63,BF$51)</f>
        <v>#NAME?</v>
      </c>
      <c r="BG63" t="e" cm="1">
        <f t="array" aca="1" ref="BG63" ca="1">+_xll.EQNXTDZ($A$1,$B63,BG$51)</f>
        <v>#NAME?</v>
      </c>
      <c r="BH63" t="e" cm="1">
        <f t="array" aca="1" ref="BH63" ca="1">+_xll.EQNXTDZ($A$1,$B63,BH$51)</f>
        <v>#NAME?</v>
      </c>
      <c r="BI63" t="e" cm="1">
        <f t="array" aca="1" ref="BI63" ca="1">+_xll.EQNXTDZ($A$1,$B63,BI$51)</f>
        <v>#NAME?</v>
      </c>
      <c r="BJ63" t="e" cm="1">
        <f t="array" aca="1" ref="BJ63" ca="1">+_xll.EQNXTDZ($A$1,$B63,BJ$51)</f>
        <v>#NAME?</v>
      </c>
    </row>
    <row r="64" spans="1:62" x14ac:dyDescent="0.25">
      <c r="A64" t="s">
        <v>127</v>
      </c>
      <c r="B64" t="s">
        <v>311</v>
      </c>
      <c r="C64" t="e" cm="1">
        <f t="array" aca="1" ref="C64" ca="1">+_xll.EQNXTDZ($A$1,$B64,C$51)</f>
        <v>#NAME?</v>
      </c>
      <c r="D64" t="e" cm="1">
        <f t="array" aca="1" ref="D64" ca="1">+_xll.EQNXTDZ($A$1,$B64,D$51)</f>
        <v>#NAME?</v>
      </c>
      <c r="E64" t="e" cm="1">
        <f t="array" aca="1" ref="E64" ca="1">+_xll.EQNXTDZ($A$1,$B64,E$51)</f>
        <v>#NAME?</v>
      </c>
      <c r="F64" t="e" cm="1">
        <f t="array" aca="1" ref="F64" ca="1">+_xll.EQNXTDZ($A$1,$B64,F$51)</f>
        <v>#NAME?</v>
      </c>
      <c r="G64" t="e" cm="1">
        <f t="array" aca="1" ref="G64" ca="1">+_xll.EQNXTDZ($A$1,$B64,G$51)</f>
        <v>#NAME?</v>
      </c>
      <c r="H64" t="e" cm="1">
        <f t="array" aca="1" ref="H64" ca="1">+_xll.EQNXTDZ($A$1,$B64,H$51)</f>
        <v>#NAME?</v>
      </c>
      <c r="I64" t="e" cm="1">
        <f t="array" aca="1" ref="I64" ca="1">+_xll.EQNXTDZ($A$1,$B64,I$51)</f>
        <v>#NAME?</v>
      </c>
      <c r="J64" t="e" cm="1">
        <f t="array" aca="1" ref="J64" ca="1">+_xll.EQNXTDZ($A$1,$B64,J$51)</f>
        <v>#NAME?</v>
      </c>
      <c r="K64" t="e" cm="1">
        <f t="array" aca="1" ref="K64" ca="1">+_xll.EQNXTDZ($A$1,$B64,K$51)</f>
        <v>#NAME?</v>
      </c>
      <c r="L64" t="e" cm="1">
        <f t="array" aca="1" ref="L64" ca="1">+_xll.EQNXTDZ($A$1,$B64,L$51)</f>
        <v>#NAME?</v>
      </c>
      <c r="M64" t="e" cm="1">
        <f t="array" aca="1" ref="M64" ca="1">+_xll.EQNXTDZ($A$1,$B64,M$51)</f>
        <v>#NAME?</v>
      </c>
      <c r="N64" t="e" cm="1">
        <f t="array" aca="1" ref="N64" ca="1">+_xll.EQNXTDZ($A$1,$B64,N$51)</f>
        <v>#NAME?</v>
      </c>
      <c r="O64" t="e" cm="1">
        <f t="array" aca="1" ref="O64" ca="1">+_xll.EQNXTDZ($A$1,$B64,O$51)</f>
        <v>#NAME?</v>
      </c>
      <c r="P64" t="e" cm="1">
        <f t="array" aca="1" ref="P64" ca="1">+_xll.EQNXTDZ($A$1,$B64,P$51)</f>
        <v>#NAME?</v>
      </c>
      <c r="Q64" t="e" cm="1">
        <f t="array" aca="1" ref="Q64" ca="1">+_xll.EQNXTDZ($A$1,$B64,Q$51)</f>
        <v>#NAME?</v>
      </c>
      <c r="R64" t="e" cm="1">
        <f t="array" aca="1" ref="R64" ca="1">+_xll.EQNXTDZ($A$1,$B64,R$51)</f>
        <v>#NAME?</v>
      </c>
      <c r="S64" t="e" cm="1">
        <f t="array" aca="1" ref="S64" ca="1">+_xll.EQNXTDZ($A$1,$B64,S$51)</f>
        <v>#NAME?</v>
      </c>
      <c r="T64" t="e" cm="1">
        <f t="array" aca="1" ref="T64" ca="1">+_xll.EQNXTDZ($A$1,$B64,T$51)</f>
        <v>#NAME?</v>
      </c>
      <c r="U64" t="e" cm="1">
        <f t="array" aca="1" ref="U64" ca="1">+_xll.EQNXTDZ($A$1,$B64,U$51)</f>
        <v>#NAME?</v>
      </c>
      <c r="V64" t="e" cm="1">
        <f t="array" aca="1" ref="V64" ca="1">+_xll.EQNXTDZ($A$1,$B64,V$51)</f>
        <v>#NAME?</v>
      </c>
      <c r="W64" t="e" cm="1">
        <f t="array" aca="1" ref="W64" ca="1">+_xll.EQNXTDZ($A$1,$B64,W$51)</f>
        <v>#NAME?</v>
      </c>
      <c r="X64" t="e" cm="1">
        <f t="array" aca="1" ref="X64" ca="1">+_xll.EQNXTDZ($A$1,$B64,X$51)</f>
        <v>#NAME?</v>
      </c>
      <c r="Y64" t="e" cm="1">
        <f t="array" aca="1" ref="Y64" ca="1">+_xll.EQNXTDZ($A$1,$B64,Y$51)</f>
        <v>#NAME?</v>
      </c>
      <c r="Z64" t="e" cm="1">
        <f t="array" aca="1" ref="Z64" ca="1">+_xll.EQNXTDZ($A$1,$B64,Z$51)</f>
        <v>#NAME?</v>
      </c>
      <c r="AA64" t="e" cm="1">
        <f t="array" aca="1" ref="AA64" ca="1">+_xll.EQNXTDZ($A$1,$B64,AA$51)</f>
        <v>#NAME?</v>
      </c>
      <c r="AB64" t="e" cm="1">
        <f t="array" aca="1" ref="AB64" ca="1">+_xll.EQNXTDZ($A$1,$B64,AB$51)</f>
        <v>#NAME?</v>
      </c>
      <c r="AC64" t="e" cm="1">
        <f t="array" aca="1" ref="AC64" ca="1">+_xll.EQNXTDZ($A$1,$B64,AC$51)</f>
        <v>#NAME?</v>
      </c>
      <c r="AD64" t="e" cm="1">
        <f t="array" aca="1" ref="AD64" ca="1">+_xll.EQNXTDZ($A$1,$B64,AD$51)</f>
        <v>#NAME?</v>
      </c>
      <c r="AE64" t="e" cm="1">
        <f t="array" aca="1" ref="AE64" ca="1">+_xll.EQNXTDZ($A$1,$B64,AE$51)</f>
        <v>#NAME?</v>
      </c>
      <c r="AF64" t="e" cm="1">
        <f t="array" aca="1" ref="AF64" ca="1">+_xll.EQNXTDZ($A$1,$B64,AF$51)</f>
        <v>#NAME?</v>
      </c>
      <c r="AG64" t="e" cm="1">
        <f t="array" aca="1" ref="AG64" ca="1">+_xll.EQNXTDZ($A$1,$B64,AG$51)</f>
        <v>#NAME?</v>
      </c>
      <c r="AH64" t="e" cm="1">
        <f t="array" aca="1" ref="AH64" ca="1">+_xll.EQNXTDZ($A$1,$B64,AH$51)</f>
        <v>#NAME?</v>
      </c>
      <c r="AI64" t="e" cm="1">
        <f t="array" aca="1" ref="AI64" ca="1">+_xll.EQNXTDZ($A$1,$B64,AI$51)</f>
        <v>#NAME?</v>
      </c>
      <c r="AJ64" t="e" cm="1">
        <f t="array" aca="1" ref="AJ64" ca="1">+_xll.EQNXTDZ($A$1,$B64,AJ$51)</f>
        <v>#NAME?</v>
      </c>
      <c r="AK64" t="e" cm="1">
        <f t="array" aca="1" ref="AK64" ca="1">+_xll.EQNXTDZ($A$1,$B64,AK$51)</f>
        <v>#NAME?</v>
      </c>
      <c r="AL64" t="e" cm="1">
        <f t="array" aca="1" ref="AL64" ca="1">+_xll.EQNXTDZ($A$1,$B64,AL$51)</f>
        <v>#NAME?</v>
      </c>
      <c r="AM64" t="e" cm="1">
        <f t="array" aca="1" ref="AM64" ca="1">+_xll.EQNXTDZ($A$1,$B64,AM$51)</f>
        <v>#NAME?</v>
      </c>
      <c r="AN64" t="e" cm="1">
        <f t="array" aca="1" ref="AN64" ca="1">+_xll.EQNXTDZ($A$1,$B64,AN$51)</f>
        <v>#NAME?</v>
      </c>
      <c r="AO64" t="e" cm="1">
        <f t="array" aca="1" ref="AO64" ca="1">+_xll.EQNXTDZ($A$1,$B64,AO$51)</f>
        <v>#NAME?</v>
      </c>
      <c r="AP64" t="e" cm="1">
        <f t="array" aca="1" ref="AP64" ca="1">+_xll.EQNXTDZ($A$1,$B64,AP$51)</f>
        <v>#NAME?</v>
      </c>
      <c r="AQ64" t="e" cm="1">
        <f t="array" aca="1" ref="AQ64" ca="1">+_xll.EQNXTDZ($A$1,$B64,AQ$51)</f>
        <v>#NAME?</v>
      </c>
      <c r="AR64" t="e" cm="1">
        <f t="array" aca="1" ref="AR64" ca="1">+_xll.EQNXTDZ($A$1,$B64,AR$51)</f>
        <v>#NAME?</v>
      </c>
      <c r="AS64" t="e" cm="1">
        <f t="array" aca="1" ref="AS64" ca="1">+_xll.EQNXTDZ($A$1,$B64,AS$51)</f>
        <v>#NAME?</v>
      </c>
      <c r="AT64" t="e" cm="1">
        <f t="array" aca="1" ref="AT64" ca="1">+_xll.EQNXTDZ($A$1,$B64,AT$51)</f>
        <v>#NAME?</v>
      </c>
      <c r="AU64" t="e" cm="1">
        <f t="array" aca="1" ref="AU64" ca="1">+_xll.EQNXTDZ($A$1,$B64,AU$51)</f>
        <v>#NAME?</v>
      </c>
      <c r="AV64" t="e" cm="1">
        <f t="array" aca="1" ref="AV64" ca="1">+_xll.EQNXTDZ($A$1,$B64,AV$51)</f>
        <v>#NAME?</v>
      </c>
      <c r="AW64" t="e" cm="1">
        <f t="array" aca="1" ref="AW64" ca="1">+_xll.EQNXTDZ($A$1,$B64,AW$51)</f>
        <v>#NAME?</v>
      </c>
      <c r="AX64" t="e" cm="1">
        <f t="array" aca="1" ref="AX64" ca="1">+_xll.EQNXTDZ($A$1,$B64,AX$51)</f>
        <v>#NAME?</v>
      </c>
      <c r="AY64" t="e" cm="1">
        <f t="array" aca="1" ref="AY64" ca="1">+_xll.EQNXTDZ($A$1,$B64,AY$51)</f>
        <v>#NAME?</v>
      </c>
      <c r="AZ64" t="e" cm="1">
        <f t="array" aca="1" ref="AZ64" ca="1">+_xll.EQNXTDZ($A$1,$B64,AZ$51)</f>
        <v>#NAME?</v>
      </c>
      <c r="BA64" t="e" cm="1">
        <f t="array" aca="1" ref="BA64" ca="1">+_xll.EQNXTDZ($A$1,$B64,BA$51)</f>
        <v>#NAME?</v>
      </c>
      <c r="BB64" t="e" cm="1">
        <f t="array" aca="1" ref="BB64" ca="1">+_xll.EQNXTDZ($A$1,$B64,BB$51)</f>
        <v>#NAME?</v>
      </c>
      <c r="BC64" t="e" cm="1">
        <f t="array" aca="1" ref="BC64" ca="1">+_xll.EQNXTDZ($A$1,$B64,BC$51)</f>
        <v>#NAME?</v>
      </c>
      <c r="BD64" t="e" cm="1">
        <f t="array" aca="1" ref="BD64" ca="1">+_xll.EQNXTDZ($A$1,$B64,BD$51)</f>
        <v>#NAME?</v>
      </c>
      <c r="BE64" t="e" cm="1">
        <f t="array" aca="1" ref="BE64" ca="1">+_xll.EQNXTDZ($A$1,$B64,BE$51)</f>
        <v>#NAME?</v>
      </c>
      <c r="BF64" t="e" cm="1">
        <f t="array" aca="1" ref="BF64" ca="1">+_xll.EQNXTDZ($A$1,$B64,BF$51)</f>
        <v>#NAME?</v>
      </c>
      <c r="BG64" t="e" cm="1">
        <f t="array" aca="1" ref="BG64" ca="1">+_xll.EQNXTDZ($A$1,$B64,BG$51)</f>
        <v>#NAME?</v>
      </c>
      <c r="BH64" t="e" cm="1">
        <f t="array" aca="1" ref="BH64" ca="1">+_xll.EQNXTDZ($A$1,$B64,BH$51)</f>
        <v>#NAME?</v>
      </c>
      <c r="BI64" t="e" cm="1">
        <f t="array" aca="1" ref="BI64" ca="1">+_xll.EQNXTDZ($A$1,$B64,BI$51)</f>
        <v>#NAME?</v>
      </c>
      <c r="BJ64" t="e" cm="1">
        <f t="array" aca="1" ref="BJ64" ca="1">+_xll.EQNXTDZ($A$1,$B64,BJ$51)</f>
        <v>#NAME?</v>
      </c>
    </row>
    <row r="65" spans="1:62" x14ac:dyDescent="0.25">
      <c r="A65" t="s">
        <v>128</v>
      </c>
      <c r="B65" t="s">
        <v>312</v>
      </c>
      <c r="C65" t="e" cm="1">
        <f t="array" aca="1" ref="C65" ca="1">+_xll.EQNXTDZ($A$1,$B65,C$51)</f>
        <v>#NAME?</v>
      </c>
      <c r="D65" t="e" cm="1">
        <f t="array" aca="1" ref="D65" ca="1">+_xll.EQNXTDZ($A$1,$B65,D$51)</f>
        <v>#NAME?</v>
      </c>
      <c r="E65" t="e" cm="1">
        <f t="array" aca="1" ref="E65" ca="1">+_xll.EQNXTDZ($A$1,$B65,E$51)</f>
        <v>#NAME?</v>
      </c>
      <c r="F65" t="e" cm="1">
        <f t="array" aca="1" ref="F65" ca="1">+_xll.EQNXTDZ($A$1,$B65,F$51)</f>
        <v>#NAME?</v>
      </c>
      <c r="G65" t="e" cm="1">
        <f t="array" aca="1" ref="G65" ca="1">+_xll.EQNXTDZ($A$1,$B65,G$51)</f>
        <v>#NAME?</v>
      </c>
      <c r="H65" t="e" cm="1">
        <f t="array" aca="1" ref="H65" ca="1">+_xll.EQNXTDZ($A$1,$B65,H$51)</f>
        <v>#NAME?</v>
      </c>
      <c r="I65" t="e" cm="1">
        <f t="array" aca="1" ref="I65" ca="1">+_xll.EQNXTDZ($A$1,$B65,I$51)</f>
        <v>#NAME?</v>
      </c>
      <c r="J65" t="e" cm="1">
        <f t="array" aca="1" ref="J65" ca="1">+_xll.EQNXTDZ($A$1,$B65,J$51)</f>
        <v>#NAME?</v>
      </c>
      <c r="K65" t="e" cm="1">
        <f t="array" aca="1" ref="K65" ca="1">+_xll.EQNXTDZ($A$1,$B65,K$51)</f>
        <v>#NAME?</v>
      </c>
      <c r="L65" t="e" cm="1">
        <f t="array" aca="1" ref="L65" ca="1">+_xll.EQNXTDZ($A$1,$B65,L$51)</f>
        <v>#NAME?</v>
      </c>
      <c r="M65" t="e" cm="1">
        <f t="array" aca="1" ref="M65" ca="1">+_xll.EQNXTDZ($A$1,$B65,M$51)</f>
        <v>#NAME?</v>
      </c>
      <c r="N65" t="e" cm="1">
        <f t="array" aca="1" ref="N65" ca="1">+_xll.EQNXTDZ($A$1,$B65,N$51)</f>
        <v>#NAME?</v>
      </c>
      <c r="O65" t="e" cm="1">
        <f t="array" aca="1" ref="O65" ca="1">+_xll.EQNXTDZ($A$1,$B65,O$51)</f>
        <v>#NAME?</v>
      </c>
      <c r="P65" t="e" cm="1">
        <f t="array" aca="1" ref="P65" ca="1">+_xll.EQNXTDZ($A$1,$B65,P$51)</f>
        <v>#NAME?</v>
      </c>
      <c r="Q65" t="e" cm="1">
        <f t="array" aca="1" ref="Q65" ca="1">+_xll.EQNXTDZ($A$1,$B65,Q$51)</f>
        <v>#NAME?</v>
      </c>
      <c r="R65" t="e" cm="1">
        <f t="array" aca="1" ref="R65" ca="1">+_xll.EQNXTDZ($A$1,$B65,R$51)</f>
        <v>#NAME?</v>
      </c>
      <c r="S65" t="e" cm="1">
        <f t="array" aca="1" ref="S65" ca="1">+_xll.EQNXTDZ($A$1,$B65,S$51)</f>
        <v>#NAME?</v>
      </c>
      <c r="T65" t="e" cm="1">
        <f t="array" aca="1" ref="T65" ca="1">+_xll.EQNXTDZ($A$1,$B65,T$51)</f>
        <v>#NAME?</v>
      </c>
      <c r="U65" t="e" cm="1">
        <f t="array" aca="1" ref="U65" ca="1">+_xll.EQNXTDZ($A$1,$B65,U$51)</f>
        <v>#NAME?</v>
      </c>
      <c r="V65" t="e" cm="1">
        <f t="array" aca="1" ref="V65" ca="1">+_xll.EQNXTDZ($A$1,$B65,V$51)</f>
        <v>#NAME?</v>
      </c>
      <c r="W65" t="e" cm="1">
        <f t="array" aca="1" ref="W65" ca="1">+_xll.EQNXTDZ($A$1,$B65,W$51)</f>
        <v>#NAME?</v>
      </c>
      <c r="X65" t="e" cm="1">
        <f t="array" aca="1" ref="X65" ca="1">+_xll.EQNXTDZ($A$1,$B65,X$51)</f>
        <v>#NAME?</v>
      </c>
      <c r="Y65" t="e" cm="1">
        <f t="array" aca="1" ref="Y65" ca="1">+_xll.EQNXTDZ($A$1,$B65,Y$51)</f>
        <v>#NAME?</v>
      </c>
      <c r="Z65" t="e" cm="1">
        <f t="array" aca="1" ref="Z65" ca="1">+_xll.EQNXTDZ($A$1,$B65,Z$51)</f>
        <v>#NAME?</v>
      </c>
      <c r="AA65" t="e" cm="1">
        <f t="array" aca="1" ref="AA65" ca="1">+_xll.EQNXTDZ($A$1,$B65,AA$51)</f>
        <v>#NAME?</v>
      </c>
      <c r="AB65" t="e" cm="1">
        <f t="array" aca="1" ref="AB65" ca="1">+_xll.EQNXTDZ($A$1,$B65,AB$51)</f>
        <v>#NAME?</v>
      </c>
      <c r="AC65" t="e" cm="1">
        <f t="array" aca="1" ref="AC65" ca="1">+_xll.EQNXTDZ($A$1,$B65,AC$51)</f>
        <v>#NAME?</v>
      </c>
      <c r="AD65" t="e" cm="1">
        <f t="array" aca="1" ref="AD65" ca="1">+_xll.EQNXTDZ($A$1,$B65,AD$51)</f>
        <v>#NAME?</v>
      </c>
      <c r="AE65" t="e" cm="1">
        <f t="array" aca="1" ref="AE65" ca="1">+_xll.EQNXTDZ($A$1,$B65,AE$51)</f>
        <v>#NAME?</v>
      </c>
      <c r="AF65" t="e" cm="1">
        <f t="array" aca="1" ref="AF65" ca="1">+_xll.EQNXTDZ($A$1,$B65,AF$51)</f>
        <v>#NAME?</v>
      </c>
      <c r="AG65" t="e" cm="1">
        <f t="array" aca="1" ref="AG65" ca="1">+_xll.EQNXTDZ($A$1,$B65,AG$51)</f>
        <v>#NAME?</v>
      </c>
      <c r="AH65" t="e" cm="1">
        <f t="array" aca="1" ref="AH65" ca="1">+_xll.EQNXTDZ($A$1,$B65,AH$51)</f>
        <v>#NAME?</v>
      </c>
      <c r="AI65" t="e" cm="1">
        <f t="array" aca="1" ref="AI65" ca="1">+_xll.EQNXTDZ($A$1,$B65,AI$51)</f>
        <v>#NAME?</v>
      </c>
      <c r="AJ65" t="e" cm="1">
        <f t="array" aca="1" ref="AJ65" ca="1">+_xll.EQNXTDZ($A$1,$B65,AJ$51)</f>
        <v>#NAME?</v>
      </c>
      <c r="AK65" t="e" cm="1">
        <f t="array" aca="1" ref="AK65" ca="1">+_xll.EQNXTDZ($A$1,$B65,AK$51)</f>
        <v>#NAME?</v>
      </c>
      <c r="AL65" t="e" cm="1">
        <f t="array" aca="1" ref="AL65" ca="1">+_xll.EQNXTDZ($A$1,$B65,AL$51)</f>
        <v>#NAME?</v>
      </c>
      <c r="AM65" t="e" cm="1">
        <f t="array" aca="1" ref="AM65" ca="1">+_xll.EQNXTDZ($A$1,$B65,AM$51)</f>
        <v>#NAME?</v>
      </c>
      <c r="AN65" t="e" cm="1">
        <f t="array" aca="1" ref="AN65" ca="1">+_xll.EQNXTDZ($A$1,$B65,AN$51)</f>
        <v>#NAME?</v>
      </c>
      <c r="AO65" t="e" cm="1">
        <f t="array" aca="1" ref="AO65" ca="1">+_xll.EQNXTDZ($A$1,$B65,AO$51)</f>
        <v>#NAME?</v>
      </c>
      <c r="AP65" t="e" cm="1">
        <f t="array" aca="1" ref="AP65" ca="1">+_xll.EQNXTDZ($A$1,$B65,AP$51)</f>
        <v>#NAME?</v>
      </c>
      <c r="AQ65" t="e" cm="1">
        <f t="array" aca="1" ref="AQ65" ca="1">+_xll.EQNXTDZ($A$1,$B65,AQ$51)</f>
        <v>#NAME?</v>
      </c>
      <c r="AR65" t="e" cm="1">
        <f t="array" aca="1" ref="AR65" ca="1">+_xll.EQNXTDZ($A$1,$B65,AR$51)</f>
        <v>#NAME?</v>
      </c>
      <c r="AS65" t="e" cm="1">
        <f t="array" aca="1" ref="AS65" ca="1">+_xll.EQNXTDZ($A$1,$B65,AS$51)</f>
        <v>#NAME?</v>
      </c>
      <c r="AT65" t="e" cm="1">
        <f t="array" aca="1" ref="AT65" ca="1">+_xll.EQNXTDZ($A$1,$B65,AT$51)</f>
        <v>#NAME?</v>
      </c>
      <c r="AU65" t="e" cm="1">
        <f t="array" aca="1" ref="AU65" ca="1">+_xll.EQNXTDZ($A$1,$B65,AU$51)</f>
        <v>#NAME?</v>
      </c>
      <c r="AV65" t="e" cm="1">
        <f t="array" aca="1" ref="AV65" ca="1">+_xll.EQNXTDZ($A$1,$B65,AV$51)</f>
        <v>#NAME?</v>
      </c>
      <c r="AW65" t="e" cm="1">
        <f t="array" aca="1" ref="AW65" ca="1">+_xll.EQNXTDZ($A$1,$B65,AW$51)</f>
        <v>#NAME?</v>
      </c>
      <c r="AX65" t="e" cm="1">
        <f t="array" aca="1" ref="AX65" ca="1">+_xll.EQNXTDZ($A$1,$B65,AX$51)</f>
        <v>#NAME?</v>
      </c>
      <c r="AY65" t="e" cm="1">
        <f t="array" aca="1" ref="AY65" ca="1">+_xll.EQNXTDZ($A$1,$B65,AY$51)</f>
        <v>#NAME?</v>
      </c>
      <c r="AZ65" t="e" cm="1">
        <f t="array" aca="1" ref="AZ65" ca="1">+_xll.EQNXTDZ($A$1,$B65,AZ$51)</f>
        <v>#NAME?</v>
      </c>
      <c r="BA65" t="e" cm="1">
        <f t="array" aca="1" ref="BA65" ca="1">+_xll.EQNXTDZ($A$1,$B65,BA$51)</f>
        <v>#NAME?</v>
      </c>
      <c r="BB65" t="e" cm="1">
        <f t="array" aca="1" ref="BB65" ca="1">+_xll.EQNXTDZ($A$1,$B65,BB$51)</f>
        <v>#NAME?</v>
      </c>
      <c r="BC65" t="e" cm="1">
        <f t="array" aca="1" ref="BC65" ca="1">+_xll.EQNXTDZ($A$1,$B65,BC$51)</f>
        <v>#NAME?</v>
      </c>
      <c r="BD65" t="e" cm="1">
        <f t="array" aca="1" ref="BD65" ca="1">+_xll.EQNXTDZ($A$1,$B65,BD$51)</f>
        <v>#NAME?</v>
      </c>
      <c r="BE65" t="e" cm="1">
        <f t="array" aca="1" ref="BE65" ca="1">+_xll.EQNXTDZ($A$1,$B65,BE$51)</f>
        <v>#NAME?</v>
      </c>
      <c r="BF65" t="e" cm="1">
        <f t="array" aca="1" ref="BF65" ca="1">+_xll.EQNXTDZ($A$1,$B65,BF$51)</f>
        <v>#NAME?</v>
      </c>
      <c r="BG65" t="e" cm="1">
        <f t="array" aca="1" ref="BG65" ca="1">+_xll.EQNXTDZ($A$1,$B65,BG$51)</f>
        <v>#NAME?</v>
      </c>
      <c r="BH65" t="e" cm="1">
        <f t="array" aca="1" ref="BH65" ca="1">+_xll.EQNXTDZ($A$1,$B65,BH$51)</f>
        <v>#NAME?</v>
      </c>
      <c r="BI65" t="e" cm="1">
        <f t="array" aca="1" ref="BI65" ca="1">+_xll.EQNXTDZ($A$1,$B65,BI$51)</f>
        <v>#NAME?</v>
      </c>
      <c r="BJ65" t="e" cm="1">
        <f t="array" aca="1" ref="BJ65" ca="1">+_xll.EQNXTDZ($A$1,$B65,BJ$51)</f>
        <v>#NAME?</v>
      </c>
    </row>
    <row r="66" spans="1:62" x14ac:dyDescent="0.25">
      <c r="A66" t="s">
        <v>129</v>
      </c>
      <c r="B66" t="s">
        <v>313</v>
      </c>
      <c r="C66" t="e" cm="1">
        <f t="array" aca="1" ref="C66" ca="1">+_xll.EQNXTDZ($A$1,$B66,C$51)</f>
        <v>#NAME?</v>
      </c>
      <c r="D66" t="e" cm="1">
        <f t="array" aca="1" ref="D66" ca="1">+_xll.EQNXTDZ($A$1,$B66,D$51)</f>
        <v>#NAME?</v>
      </c>
      <c r="E66" t="e" cm="1">
        <f t="array" aca="1" ref="E66" ca="1">+_xll.EQNXTDZ($A$1,$B66,E$51)</f>
        <v>#NAME?</v>
      </c>
      <c r="F66" t="e" cm="1">
        <f t="array" aca="1" ref="F66" ca="1">+_xll.EQNXTDZ($A$1,$B66,F$51)</f>
        <v>#NAME?</v>
      </c>
      <c r="G66" t="e" cm="1">
        <f t="array" aca="1" ref="G66" ca="1">+_xll.EQNXTDZ($A$1,$B66,G$51)</f>
        <v>#NAME?</v>
      </c>
      <c r="H66" t="e" cm="1">
        <f t="array" aca="1" ref="H66" ca="1">+_xll.EQNXTDZ($A$1,$B66,H$51)</f>
        <v>#NAME?</v>
      </c>
      <c r="I66" t="e" cm="1">
        <f t="array" aca="1" ref="I66" ca="1">+_xll.EQNXTDZ($A$1,$B66,I$51)</f>
        <v>#NAME?</v>
      </c>
      <c r="J66" t="e" cm="1">
        <f t="array" aca="1" ref="J66" ca="1">+_xll.EQNXTDZ($A$1,$B66,J$51)</f>
        <v>#NAME?</v>
      </c>
      <c r="K66" t="e" cm="1">
        <f t="array" aca="1" ref="K66" ca="1">+_xll.EQNXTDZ($A$1,$B66,K$51)</f>
        <v>#NAME?</v>
      </c>
      <c r="L66" t="e" cm="1">
        <f t="array" aca="1" ref="L66" ca="1">+_xll.EQNXTDZ($A$1,$B66,L$51)</f>
        <v>#NAME?</v>
      </c>
      <c r="M66" t="e" cm="1">
        <f t="array" aca="1" ref="M66" ca="1">+_xll.EQNXTDZ($A$1,$B66,M$51)</f>
        <v>#NAME?</v>
      </c>
      <c r="N66" t="e" cm="1">
        <f t="array" aca="1" ref="N66" ca="1">+_xll.EQNXTDZ($A$1,$B66,N$51)</f>
        <v>#NAME?</v>
      </c>
      <c r="O66" t="e" cm="1">
        <f t="array" aca="1" ref="O66" ca="1">+_xll.EQNXTDZ($A$1,$B66,O$51)</f>
        <v>#NAME?</v>
      </c>
      <c r="P66" t="e" cm="1">
        <f t="array" aca="1" ref="P66" ca="1">+_xll.EQNXTDZ($A$1,$B66,P$51)</f>
        <v>#NAME?</v>
      </c>
      <c r="Q66" t="e" cm="1">
        <f t="array" aca="1" ref="Q66" ca="1">+_xll.EQNXTDZ($A$1,$B66,Q$51)</f>
        <v>#NAME?</v>
      </c>
      <c r="R66" t="e" cm="1">
        <f t="array" aca="1" ref="R66" ca="1">+_xll.EQNXTDZ($A$1,$B66,R$51)</f>
        <v>#NAME?</v>
      </c>
      <c r="S66" t="e" cm="1">
        <f t="array" aca="1" ref="S66" ca="1">+_xll.EQNXTDZ($A$1,$B66,S$51)</f>
        <v>#NAME?</v>
      </c>
      <c r="T66" t="e" cm="1">
        <f t="array" aca="1" ref="T66" ca="1">+_xll.EQNXTDZ($A$1,$B66,T$51)</f>
        <v>#NAME?</v>
      </c>
      <c r="U66" t="e" cm="1">
        <f t="array" aca="1" ref="U66" ca="1">+_xll.EQNXTDZ($A$1,$B66,U$51)</f>
        <v>#NAME?</v>
      </c>
      <c r="V66" t="e" cm="1">
        <f t="array" aca="1" ref="V66" ca="1">+_xll.EQNXTDZ($A$1,$B66,V$51)</f>
        <v>#NAME?</v>
      </c>
      <c r="W66" t="e" cm="1">
        <f t="array" aca="1" ref="W66" ca="1">+_xll.EQNXTDZ($A$1,$B66,W$51)</f>
        <v>#NAME?</v>
      </c>
      <c r="X66" t="e" cm="1">
        <f t="array" aca="1" ref="X66" ca="1">+_xll.EQNXTDZ($A$1,$B66,X$51)</f>
        <v>#NAME?</v>
      </c>
      <c r="Y66" t="e" cm="1">
        <f t="array" aca="1" ref="Y66" ca="1">+_xll.EQNXTDZ($A$1,$B66,Y$51)</f>
        <v>#NAME?</v>
      </c>
      <c r="Z66" t="e" cm="1">
        <f t="array" aca="1" ref="Z66" ca="1">+_xll.EQNXTDZ($A$1,$B66,Z$51)</f>
        <v>#NAME?</v>
      </c>
      <c r="AA66" t="e" cm="1">
        <f t="array" aca="1" ref="AA66" ca="1">+_xll.EQNXTDZ($A$1,$B66,AA$51)</f>
        <v>#NAME?</v>
      </c>
      <c r="AB66" t="e" cm="1">
        <f t="array" aca="1" ref="AB66" ca="1">+_xll.EQNXTDZ($A$1,$B66,AB$51)</f>
        <v>#NAME?</v>
      </c>
      <c r="AC66" t="e" cm="1">
        <f t="array" aca="1" ref="AC66" ca="1">+_xll.EQNXTDZ($A$1,$B66,AC$51)</f>
        <v>#NAME?</v>
      </c>
      <c r="AD66" t="e" cm="1">
        <f t="array" aca="1" ref="AD66" ca="1">+_xll.EQNXTDZ($A$1,$B66,AD$51)</f>
        <v>#NAME?</v>
      </c>
      <c r="AE66" t="e" cm="1">
        <f t="array" aca="1" ref="AE66" ca="1">+_xll.EQNXTDZ($A$1,$B66,AE$51)</f>
        <v>#NAME?</v>
      </c>
      <c r="AF66" t="e" cm="1">
        <f t="array" aca="1" ref="AF66" ca="1">+_xll.EQNXTDZ($A$1,$B66,AF$51)</f>
        <v>#NAME?</v>
      </c>
      <c r="AG66" t="e" cm="1">
        <f t="array" aca="1" ref="AG66" ca="1">+_xll.EQNXTDZ($A$1,$B66,AG$51)</f>
        <v>#NAME?</v>
      </c>
      <c r="AH66" t="e" cm="1">
        <f t="array" aca="1" ref="AH66" ca="1">+_xll.EQNXTDZ($A$1,$B66,AH$51)</f>
        <v>#NAME?</v>
      </c>
      <c r="AI66" t="e" cm="1">
        <f t="array" aca="1" ref="AI66" ca="1">+_xll.EQNXTDZ($A$1,$B66,AI$51)</f>
        <v>#NAME?</v>
      </c>
      <c r="AJ66" t="e" cm="1">
        <f t="array" aca="1" ref="AJ66" ca="1">+_xll.EQNXTDZ($A$1,$B66,AJ$51)</f>
        <v>#NAME?</v>
      </c>
      <c r="AK66" t="e" cm="1">
        <f t="array" aca="1" ref="AK66" ca="1">+_xll.EQNXTDZ($A$1,$B66,AK$51)</f>
        <v>#NAME?</v>
      </c>
      <c r="AL66" t="e" cm="1">
        <f t="array" aca="1" ref="AL66" ca="1">+_xll.EQNXTDZ($A$1,$B66,AL$51)</f>
        <v>#NAME?</v>
      </c>
      <c r="AM66" t="e" cm="1">
        <f t="array" aca="1" ref="AM66" ca="1">+_xll.EQNXTDZ($A$1,$B66,AM$51)</f>
        <v>#NAME?</v>
      </c>
      <c r="AN66" t="e" cm="1">
        <f t="array" aca="1" ref="AN66" ca="1">+_xll.EQNXTDZ($A$1,$B66,AN$51)</f>
        <v>#NAME?</v>
      </c>
      <c r="AO66" t="e" cm="1">
        <f t="array" aca="1" ref="AO66" ca="1">+_xll.EQNXTDZ($A$1,$B66,AO$51)</f>
        <v>#NAME?</v>
      </c>
      <c r="AP66" t="e" cm="1">
        <f t="array" aca="1" ref="AP66" ca="1">+_xll.EQNXTDZ($A$1,$B66,AP$51)</f>
        <v>#NAME?</v>
      </c>
      <c r="AQ66" t="e" cm="1">
        <f t="array" aca="1" ref="AQ66" ca="1">+_xll.EQNXTDZ($A$1,$B66,AQ$51)</f>
        <v>#NAME?</v>
      </c>
      <c r="AR66" t="e" cm="1">
        <f t="array" aca="1" ref="AR66" ca="1">+_xll.EQNXTDZ($A$1,$B66,AR$51)</f>
        <v>#NAME?</v>
      </c>
      <c r="AS66" t="e" cm="1">
        <f t="array" aca="1" ref="AS66" ca="1">+_xll.EQNXTDZ($A$1,$B66,AS$51)</f>
        <v>#NAME?</v>
      </c>
      <c r="AT66" t="e" cm="1">
        <f t="array" aca="1" ref="AT66" ca="1">+_xll.EQNXTDZ($A$1,$B66,AT$51)</f>
        <v>#NAME?</v>
      </c>
      <c r="AU66" t="e" cm="1">
        <f t="array" aca="1" ref="AU66" ca="1">+_xll.EQNXTDZ($A$1,$B66,AU$51)</f>
        <v>#NAME?</v>
      </c>
      <c r="AV66" t="e" cm="1">
        <f t="array" aca="1" ref="AV66" ca="1">+_xll.EQNXTDZ($A$1,$B66,AV$51)</f>
        <v>#NAME?</v>
      </c>
      <c r="AW66" t="e" cm="1">
        <f t="array" aca="1" ref="AW66" ca="1">+_xll.EQNXTDZ($A$1,$B66,AW$51)</f>
        <v>#NAME?</v>
      </c>
      <c r="AX66" t="e" cm="1">
        <f t="array" aca="1" ref="AX66" ca="1">+_xll.EQNXTDZ($A$1,$B66,AX$51)</f>
        <v>#NAME?</v>
      </c>
      <c r="AY66" t="e" cm="1">
        <f t="array" aca="1" ref="AY66" ca="1">+_xll.EQNXTDZ($A$1,$B66,AY$51)</f>
        <v>#NAME?</v>
      </c>
      <c r="AZ66" t="e" cm="1">
        <f t="array" aca="1" ref="AZ66" ca="1">+_xll.EQNXTDZ($A$1,$B66,AZ$51)</f>
        <v>#NAME?</v>
      </c>
      <c r="BA66" t="e" cm="1">
        <f t="array" aca="1" ref="BA66" ca="1">+_xll.EQNXTDZ($A$1,$B66,BA$51)</f>
        <v>#NAME?</v>
      </c>
      <c r="BB66" t="e" cm="1">
        <f t="array" aca="1" ref="BB66" ca="1">+_xll.EQNXTDZ($A$1,$B66,BB$51)</f>
        <v>#NAME?</v>
      </c>
      <c r="BC66" t="e" cm="1">
        <f t="array" aca="1" ref="BC66" ca="1">+_xll.EQNXTDZ($A$1,$B66,BC$51)</f>
        <v>#NAME?</v>
      </c>
      <c r="BD66" t="e" cm="1">
        <f t="array" aca="1" ref="BD66" ca="1">+_xll.EQNXTDZ($A$1,$B66,BD$51)</f>
        <v>#NAME?</v>
      </c>
      <c r="BE66" t="e" cm="1">
        <f t="array" aca="1" ref="BE66" ca="1">+_xll.EQNXTDZ($A$1,$B66,BE$51)</f>
        <v>#NAME?</v>
      </c>
      <c r="BF66" t="e" cm="1">
        <f t="array" aca="1" ref="BF66" ca="1">+_xll.EQNXTDZ($A$1,$B66,BF$51)</f>
        <v>#NAME?</v>
      </c>
      <c r="BG66" t="e" cm="1">
        <f t="array" aca="1" ref="BG66" ca="1">+_xll.EQNXTDZ($A$1,$B66,BG$51)</f>
        <v>#NAME?</v>
      </c>
      <c r="BH66" t="e" cm="1">
        <f t="array" aca="1" ref="BH66" ca="1">+_xll.EQNXTDZ($A$1,$B66,BH$51)</f>
        <v>#NAME?</v>
      </c>
      <c r="BI66" t="e" cm="1">
        <f t="array" aca="1" ref="BI66" ca="1">+_xll.EQNXTDZ($A$1,$B66,BI$51)</f>
        <v>#NAME?</v>
      </c>
      <c r="BJ66" t="e" cm="1">
        <f t="array" aca="1" ref="BJ66" ca="1">+_xll.EQNXTDZ($A$1,$B66,BJ$51)</f>
        <v>#NAME?</v>
      </c>
    </row>
    <row r="67" spans="1:62" x14ac:dyDescent="0.25">
      <c r="A67" t="s">
        <v>292</v>
      </c>
      <c r="B67" t="s">
        <v>314</v>
      </c>
      <c r="C67" t="e" cm="1">
        <f t="array" aca="1" ref="C67" ca="1">+_xll.EQNXTDZ($A$1,$B67,C$51)</f>
        <v>#NAME?</v>
      </c>
      <c r="D67" t="e" cm="1">
        <f t="array" aca="1" ref="D67" ca="1">+_xll.EQNXTDZ($A$1,$B67,D$51)</f>
        <v>#NAME?</v>
      </c>
      <c r="E67" t="e" cm="1">
        <f t="array" aca="1" ref="E67" ca="1">+_xll.EQNXTDZ($A$1,$B67,E$51)</f>
        <v>#NAME?</v>
      </c>
      <c r="F67" t="e" cm="1">
        <f t="array" aca="1" ref="F67" ca="1">+_xll.EQNXTDZ($A$1,$B67,F$51)</f>
        <v>#NAME?</v>
      </c>
      <c r="G67" t="e" cm="1">
        <f t="array" aca="1" ref="G67" ca="1">+_xll.EQNXTDZ($A$1,$B67,G$51)</f>
        <v>#NAME?</v>
      </c>
      <c r="H67" t="e" cm="1">
        <f t="array" aca="1" ref="H67" ca="1">+_xll.EQNXTDZ($A$1,$B67,H$51)</f>
        <v>#NAME?</v>
      </c>
      <c r="I67" t="e" cm="1">
        <f t="array" aca="1" ref="I67" ca="1">+_xll.EQNXTDZ($A$1,$B67,I$51)</f>
        <v>#NAME?</v>
      </c>
      <c r="J67" t="e" cm="1">
        <f t="array" aca="1" ref="J67" ca="1">+_xll.EQNXTDZ($A$1,$B67,J$51)</f>
        <v>#NAME?</v>
      </c>
      <c r="K67" t="e" cm="1">
        <f t="array" aca="1" ref="K67" ca="1">+_xll.EQNXTDZ($A$1,$B67,K$51)</f>
        <v>#NAME?</v>
      </c>
      <c r="L67" t="e" cm="1">
        <f t="array" aca="1" ref="L67" ca="1">+_xll.EQNXTDZ($A$1,$B67,L$51)</f>
        <v>#NAME?</v>
      </c>
      <c r="M67" t="e" cm="1">
        <f t="array" aca="1" ref="M67" ca="1">+_xll.EQNXTDZ($A$1,$B67,M$51)</f>
        <v>#NAME?</v>
      </c>
      <c r="N67" t="e" cm="1">
        <f t="array" aca="1" ref="N67" ca="1">+_xll.EQNXTDZ($A$1,$B67,N$51)</f>
        <v>#NAME?</v>
      </c>
      <c r="O67" t="e" cm="1">
        <f t="array" aca="1" ref="O67" ca="1">+_xll.EQNXTDZ($A$1,$B67,O$51)</f>
        <v>#NAME?</v>
      </c>
      <c r="P67" t="e" cm="1">
        <f t="array" aca="1" ref="P67" ca="1">+_xll.EQNXTDZ($A$1,$B67,P$51)</f>
        <v>#NAME?</v>
      </c>
      <c r="Q67" t="e" cm="1">
        <f t="array" aca="1" ref="Q67" ca="1">+_xll.EQNXTDZ($A$1,$B67,Q$51)</f>
        <v>#NAME?</v>
      </c>
      <c r="R67" t="e" cm="1">
        <f t="array" aca="1" ref="R67" ca="1">+_xll.EQNXTDZ($A$1,$B67,R$51)</f>
        <v>#NAME?</v>
      </c>
      <c r="S67" t="e" cm="1">
        <f t="array" aca="1" ref="S67" ca="1">+_xll.EQNXTDZ($A$1,$B67,S$51)</f>
        <v>#NAME?</v>
      </c>
      <c r="T67" t="e" cm="1">
        <f t="array" aca="1" ref="T67" ca="1">+_xll.EQNXTDZ($A$1,$B67,T$51)</f>
        <v>#NAME?</v>
      </c>
      <c r="U67" t="e" cm="1">
        <f t="array" aca="1" ref="U67" ca="1">+_xll.EQNXTDZ($A$1,$B67,U$51)</f>
        <v>#NAME?</v>
      </c>
      <c r="V67" t="e" cm="1">
        <f t="array" aca="1" ref="V67" ca="1">+_xll.EQNXTDZ($A$1,$B67,V$51)</f>
        <v>#NAME?</v>
      </c>
      <c r="W67" t="e" cm="1">
        <f t="array" aca="1" ref="W67" ca="1">+_xll.EQNXTDZ($A$1,$B67,W$51)</f>
        <v>#NAME?</v>
      </c>
      <c r="X67" t="e" cm="1">
        <f t="array" aca="1" ref="X67" ca="1">+_xll.EQNXTDZ($A$1,$B67,X$51)</f>
        <v>#NAME?</v>
      </c>
      <c r="Y67" t="e" cm="1">
        <f t="array" aca="1" ref="Y67" ca="1">+_xll.EQNXTDZ($A$1,$B67,Y$51)</f>
        <v>#NAME?</v>
      </c>
      <c r="Z67" t="e" cm="1">
        <f t="array" aca="1" ref="Z67" ca="1">+_xll.EQNXTDZ($A$1,$B67,Z$51)</f>
        <v>#NAME?</v>
      </c>
      <c r="AA67" t="e" cm="1">
        <f t="array" aca="1" ref="AA67" ca="1">+_xll.EQNXTDZ($A$1,$B67,AA$51)</f>
        <v>#NAME?</v>
      </c>
      <c r="AB67" t="e" cm="1">
        <f t="array" aca="1" ref="AB67" ca="1">+_xll.EQNXTDZ($A$1,$B67,AB$51)</f>
        <v>#NAME?</v>
      </c>
      <c r="AC67" t="e" cm="1">
        <f t="array" aca="1" ref="AC67" ca="1">+_xll.EQNXTDZ($A$1,$B67,AC$51)</f>
        <v>#NAME?</v>
      </c>
      <c r="AD67" t="e" cm="1">
        <f t="array" aca="1" ref="AD67" ca="1">+_xll.EQNXTDZ($A$1,$B67,AD$51)</f>
        <v>#NAME?</v>
      </c>
      <c r="AE67" t="e" cm="1">
        <f t="array" aca="1" ref="AE67" ca="1">+_xll.EQNXTDZ($A$1,$B67,AE$51)</f>
        <v>#NAME?</v>
      </c>
      <c r="AF67" t="e" cm="1">
        <f t="array" aca="1" ref="AF67" ca="1">+_xll.EQNXTDZ($A$1,$B67,AF$51)</f>
        <v>#NAME?</v>
      </c>
      <c r="AG67" t="e" cm="1">
        <f t="array" aca="1" ref="AG67" ca="1">+_xll.EQNXTDZ($A$1,$B67,AG$51)</f>
        <v>#NAME?</v>
      </c>
      <c r="AH67" t="e" cm="1">
        <f t="array" aca="1" ref="AH67" ca="1">+_xll.EQNXTDZ($A$1,$B67,AH$51)</f>
        <v>#NAME?</v>
      </c>
      <c r="AI67" t="e" cm="1">
        <f t="array" aca="1" ref="AI67" ca="1">+_xll.EQNXTDZ($A$1,$B67,AI$51)</f>
        <v>#NAME?</v>
      </c>
      <c r="AJ67" t="e" cm="1">
        <f t="array" aca="1" ref="AJ67" ca="1">+_xll.EQNXTDZ($A$1,$B67,AJ$51)</f>
        <v>#NAME?</v>
      </c>
      <c r="AK67" t="e" cm="1">
        <f t="array" aca="1" ref="AK67" ca="1">+_xll.EQNXTDZ($A$1,$B67,AK$51)</f>
        <v>#NAME?</v>
      </c>
      <c r="AL67" t="e" cm="1">
        <f t="array" aca="1" ref="AL67" ca="1">+_xll.EQNXTDZ($A$1,$B67,AL$51)</f>
        <v>#NAME?</v>
      </c>
      <c r="AM67" t="e" cm="1">
        <f t="array" aca="1" ref="AM67" ca="1">+_xll.EQNXTDZ($A$1,$B67,AM$51)</f>
        <v>#NAME?</v>
      </c>
      <c r="AN67" t="e" cm="1">
        <f t="array" aca="1" ref="AN67" ca="1">+_xll.EQNXTDZ($A$1,$B67,AN$51)</f>
        <v>#NAME?</v>
      </c>
      <c r="AO67" t="e" cm="1">
        <f t="array" aca="1" ref="AO67" ca="1">+_xll.EQNXTDZ($A$1,$B67,AO$51)</f>
        <v>#NAME?</v>
      </c>
      <c r="AP67" t="e" cm="1">
        <f t="array" aca="1" ref="AP67" ca="1">+_xll.EQNXTDZ($A$1,$B67,AP$51)</f>
        <v>#NAME?</v>
      </c>
      <c r="AQ67" t="e" cm="1">
        <f t="array" aca="1" ref="AQ67" ca="1">+_xll.EQNXTDZ($A$1,$B67,AQ$51)</f>
        <v>#NAME?</v>
      </c>
      <c r="AR67" t="e" cm="1">
        <f t="array" aca="1" ref="AR67" ca="1">+_xll.EQNXTDZ($A$1,$B67,AR$51)</f>
        <v>#NAME?</v>
      </c>
      <c r="AS67" t="e" cm="1">
        <f t="array" aca="1" ref="AS67" ca="1">+_xll.EQNXTDZ($A$1,$B67,AS$51)</f>
        <v>#NAME?</v>
      </c>
      <c r="AT67" t="e" cm="1">
        <f t="array" aca="1" ref="AT67" ca="1">+_xll.EQNXTDZ($A$1,$B67,AT$51)</f>
        <v>#NAME?</v>
      </c>
      <c r="AU67" t="e" cm="1">
        <f t="array" aca="1" ref="AU67" ca="1">+_xll.EQNXTDZ($A$1,$B67,AU$51)</f>
        <v>#NAME?</v>
      </c>
      <c r="AV67" t="e" cm="1">
        <f t="array" aca="1" ref="AV67" ca="1">+_xll.EQNXTDZ($A$1,$B67,AV$51)</f>
        <v>#NAME?</v>
      </c>
      <c r="AW67" t="e" cm="1">
        <f t="array" aca="1" ref="AW67" ca="1">+_xll.EQNXTDZ($A$1,$B67,AW$51)</f>
        <v>#NAME?</v>
      </c>
      <c r="AX67" t="e" cm="1">
        <f t="array" aca="1" ref="AX67" ca="1">+_xll.EQNXTDZ($A$1,$B67,AX$51)</f>
        <v>#NAME?</v>
      </c>
      <c r="AY67" t="e" cm="1">
        <f t="array" aca="1" ref="AY67" ca="1">+_xll.EQNXTDZ($A$1,$B67,AY$51)</f>
        <v>#NAME?</v>
      </c>
      <c r="AZ67" t="e" cm="1">
        <f t="array" aca="1" ref="AZ67" ca="1">+_xll.EQNXTDZ($A$1,$B67,AZ$51)</f>
        <v>#NAME?</v>
      </c>
      <c r="BA67" t="e" cm="1">
        <f t="array" aca="1" ref="BA67" ca="1">+_xll.EQNXTDZ($A$1,$B67,BA$51)</f>
        <v>#NAME?</v>
      </c>
      <c r="BB67" t="e" cm="1">
        <f t="array" aca="1" ref="BB67" ca="1">+_xll.EQNXTDZ($A$1,$B67,BB$51)</f>
        <v>#NAME?</v>
      </c>
      <c r="BC67" t="e" cm="1">
        <f t="array" aca="1" ref="BC67" ca="1">+_xll.EQNXTDZ($A$1,$B67,BC$51)</f>
        <v>#NAME?</v>
      </c>
      <c r="BD67" t="e" cm="1">
        <f t="array" aca="1" ref="BD67" ca="1">+_xll.EQNXTDZ($A$1,$B67,BD$51)</f>
        <v>#NAME?</v>
      </c>
      <c r="BE67" t="e" cm="1">
        <f t="array" aca="1" ref="BE67" ca="1">+_xll.EQNXTDZ($A$1,$B67,BE$51)</f>
        <v>#NAME?</v>
      </c>
      <c r="BF67" t="e" cm="1">
        <f t="array" aca="1" ref="BF67" ca="1">+_xll.EQNXTDZ($A$1,$B67,BF$51)</f>
        <v>#NAME?</v>
      </c>
      <c r="BG67" t="e" cm="1">
        <f t="array" aca="1" ref="BG67" ca="1">+_xll.EQNXTDZ($A$1,$B67,BG$51)</f>
        <v>#NAME?</v>
      </c>
      <c r="BH67" t="e" cm="1">
        <f t="array" aca="1" ref="BH67" ca="1">+_xll.EQNXTDZ($A$1,$B67,BH$51)</f>
        <v>#NAME?</v>
      </c>
      <c r="BI67" t="e" cm="1">
        <f t="array" aca="1" ref="BI67" ca="1">+_xll.EQNXTDZ($A$1,$B67,BI$51)</f>
        <v>#NAME?</v>
      </c>
      <c r="BJ67" t="e" cm="1">
        <f t="array" aca="1" ref="BJ67" ca="1">+_xll.EQNXTDZ($A$1,$B67,BJ$51)</f>
        <v>#NAME?</v>
      </c>
    </row>
    <row r="68" spans="1:62" x14ac:dyDescent="0.25">
      <c r="A68" t="s">
        <v>131</v>
      </c>
      <c r="B68" t="s">
        <v>315</v>
      </c>
      <c r="C68" t="e" cm="1">
        <f t="array" aca="1" ref="C68" ca="1">+_xll.EQNXTDZ($A$1,$B68,C$51)</f>
        <v>#NAME?</v>
      </c>
      <c r="D68" t="e" cm="1">
        <f t="array" aca="1" ref="D68" ca="1">+_xll.EQNXTDZ($A$1,$B68,D$51)</f>
        <v>#NAME?</v>
      </c>
      <c r="E68" t="e" cm="1">
        <f t="array" aca="1" ref="E68" ca="1">+_xll.EQNXTDZ($A$1,$B68,E$51)</f>
        <v>#NAME?</v>
      </c>
      <c r="F68" t="e" cm="1">
        <f t="array" aca="1" ref="F68" ca="1">+_xll.EQNXTDZ($A$1,$B68,F$51)</f>
        <v>#NAME?</v>
      </c>
      <c r="G68" t="e" cm="1">
        <f t="array" aca="1" ref="G68" ca="1">+_xll.EQNXTDZ($A$1,$B68,G$51)</f>
        <v>#NAME?</v>
      </c>
      <c r="H68" t="e" cm="1">
        <f t="array" aca="1" ref="H68" ca="1">+_xll.EQNXTDZ($A$1,$B68,H$51)</f>
        <v>#NAME?</v>
      </c>
      <c r="I68" t="e" cm="1">
        <f t="array" aca="1" ref="I68" ca="1">+_xll.EQNXTDZ($A$1,$B68,I$51)</f>
        <v>#NAME?</v>
      </c>
      <c r="J68" t="e" cm="1">
        <f t="array" aca="1" ref="J68" ca="1">+_xll.EQNXTDZ($A$1,$B68,J$51)</f>
        <v>#NAME?</v>
      </c>
      <c r="K68" t="e" cm="1">
        <f t="array" aca="1" ref="K68" ca="1">+_xll.EQNXTDZ($A$1,$B68,K$51)</f>
        <v>#NAME?</v>
      </c>
      <c r="L68" t="e" cm="1">
        <f t="array" aca="1" ref="L68" ca="1">+_xll.EQNXTDZ($A$1,$B68,L$51)</f>
        <v>#NAME?</v>
      </c>
      <c r="M68" t="e" cm="1">
        <f t="array" aca="1" ref="M68" ca="1">+_xll.EQNXTDZ($A$1,$B68,M$51)</f>
        <v>#NAME?</v>
      </c>
      <c r="N68" t="e" cm="1">
        <f t="array" aca="1" ref="N68" ca="1">+_xll.EQNXTDZ($A$1,$B68,N$51)</f>
        <v>#NAME?</v>
      </c>
      <c r="O68" t="e" cm="1">
        <f t="array" aca="1" ref="O68" ca="1">+_xll.EQNXTDZ($A$1,$B68,O$51)</f>
        <v>#NAME?</v>
      </c>
      <c r="P68" t="e" cm="1">
        <f t="array" aca="1" ref="P68" ca="1">+_xll.EQNXTDZ($A$1,$B68,P$51)</f>
        <v>#NAME?</v>
      </c>
      <c r="Q68" t="e" cm="1">
        <f t="array" aca="1" ref="Q68" ca="1">+_xll.EQNXTDZ($A$1,$B68,Q$51)</f>
        <v>#NAME?</v>
      </c>
      <c r="R68" t="e" cm="1">
        <f t="array" aca="1" ref="R68" ca="1">+_xll.EQNXTDZ($A$1,$B68,R$51)</f>
        <v>#NAME?</v>
      </c>
      <c r="S68" t="e" cm="1">
        <f t="array" aca="1" ref="S68" ca="1">+_xll.EQNXTDZ($A$1,$B68,S$51)</f>
        <v>#NAME?</v>
      </c>
      <c r="T68" t="e" cm="1">
        <f t="array" aca="1" ref="T68" ca="1">+_xll.EQNXTDZ($A$1,$B68,T$51)</f>
        <v>#NAME?</v>
      </c>
      <c r="U68" t="e" cm="1">
        <f t="array" aca="1" ref="U68" ca="1">+_xll.EQNXTDZ($A$1,$B68,U$51)</f>
        <v>#NAME?</v>
      </c>
      <c r="V68" t="e" cm="1">
        <f t="array" aca="1" ref="V68" ca="1">+_xll.EQNXTDZ($A$1,$B68,V$51)</f>
        <v>#NAME?</v>
      </c>
      <c r="W68" t="e" cm="1">
        <f t="array" aca="1" ref="W68" ca="1">+_xll.EQNXTDZ($A$1,$B68,W$51)</f>
        <v>#NAME?</v>
      </c>
      <c r="X68" t="e" cm="1">
        <f t="array" aca="1" ref="X68" ca="1">+_xll.EQNXTDZ($A$1,$B68,X$51)</f>
        <v>#NAME?</v>
      </c>
      <c r="Y68" t="e" cm="1">
        <f t="array" aca="1" ref="Y68" ca="1">+_xll.EQNXTDZ($A$1,$B68,Y$51)</f>
        <v>#NAME?</v>
      </c>
      <c r="Z68" t="e" cm="1">
        <f t="array" aca="1" ref="Z68" ca="1">+_xll.EQNXTDZ($A$1,$B68,Z$51)</f>
        <v>#NAME?</v>
      </c>
      <c r="AA68" t="e" cm="1">
        <f t="array" aca="1" ref="AA68" ca="1">+_xll.EQNXTDZ($A$1,$B68,AA$51)</f>
        <v>#NAME?</v>
      </c>
      <c r="AB68" t="e" cm="1">
        <f t="array" aca="1" ref="AB68" ca="1">+_xll.EQNXTDZ($A$1,$B68,AB$51)</f>
        <v>#NAME?</v>
      </c>
      <c r="AC68" t="e" cm="1">
        <f t="array" aca="1" ref="AC68" ca="1">+_xll.EQNXTDZ($A$1,$B68,AC$51)</f>
        <v>#NAME?</v>
      </c>
      <c r="AD68" t="e" cm="1">
        <f t="array" aca="1" ref="AD68" ca="1">+_xll.EQNXTDZ($A$1,$B68,AD$51)</f>
        <v>#NAME?</v>
      </c>
      <c r="AE68" t="e" cm="1">
        <f t="array" aca="1" ref="AE68" ca="1">+_xll.EQNXTDZ($A$1,$B68,AE$51)</f>
        <v>#NAME?</v>
      </c>
      <c r="AF68" t="e" cm="1">
        <f t="array" aca="1" ref="AF68" ca="1">+_xll.EQNXTDZ($A$1,$B68,AF$51)</f>
        <v>#NAME?</v>
      </c>
      <c r="AG68" t="e" cm="1">
        <f t="array" aca="1" ref="AG68" ca="1">+_xll.EQNXTDZ($A$1,$B68,AG$51)</f>
        <v>#NAME?</v>
      </c>
      <c r="AH68" t="e" cm="1">
        <f t="array" aca="1" ref="AH68" ca="1">+_xll.EQNXTDZ($A$1,$B68,AH$51)</f>
        <v>#NAME?</v>
      </c>
      <c r="AI68" t="e" cm="1">
        <f t="array" aca="1" ref="AI68" ca="1">+_xll.EQNXTDZ($A$1,$B68,AI$51)</f>
        <v>#NAME?</v>
      </c>
      <c r="AJ68" t="e" cm="1">
        <f t="array" aca="1" ref="AJ68" ca="1">+_xll.EQNXTDZ($A$1,$B68,AJ$51)</f>
        <v>#NAME?</v>
      </c>
      <c r="AK68" t="e" cm="1">
        <f t="array" aca="1" ref="AK68" ca="1">+_xll.EQNXTDZ($A$1,$B68,AK$51)</f>
        <v>#NAME?</v>
      </c>
      <c r="AL68" t="e" cm="1">
        <f t="array" aca="1" ref="AL68" ca="1">+_xll.EQNXTDZ($A$1,$B68,AL$51)</f>
        <v>#NAME?</v>
      </c>
      <c r="AM68" t="e" cm="1">
        <f t="array" aca="1" ref="AM68" ca="1">+_xll.EQNXTDZ($A$1,$B68,AM$51)</f>
        <v>#NAME?</v>
      </c>
      <c r="AN68" t="e" cm="1">
        <f t="array" aca="1" ref="AN68" ca="1">+_xll.EQNXTDZ($A$1,$B68,AN$51)</f>
        <v>#NAME?</v>
      </c>
      <c r="AO68" t="e" cm="1">
        <f t="array" aca="1" ref="AO68" ca="1">+_xll.EQNXTDZ($A$1,$B68,AO$51)</f>
        <v>#NAME?</v>
      </c>
      <c r="AP68" t="e" cm="1">
        <f t="array" aca="1" ref="AP68" ca="1">+_xll.EQNXTDZ($A$1,$B68,AP$51)</f>
        <v>#NAME?</v>
      </c>
      <c r="AQ68" t="e" cm="1">
        <f t="array" aca="1" ref="AQ68" ca="1">+_xll.EQNXTDZ($A$1,$B68,AQ$51)</f>
        <v>#NAME?</v>
      </c>
      <c r="AR68" t="e" cm="1">
        <f t="array" aca="1" ref="AR68" ca="1">+_xll.EQNXTDZ($A$1,$B68,AR$51)</f>
        <v>#NAME?</v>
      </c>
      <c r="AS68" t="e" cm="1">
        <f t="array" aca="1" ref="AS68" ca="1">+_xll.EQNXTDZ($A$1,$B68,AS$51)</f>
        <v>#NAME?</v>
      </c>
      <c r="AT68" t="e" cm="1">
        <f t="array" aca="1" ref="AT68" ca="1">+_xll.EQNXTDZ($A$1,$B68,AT$51)</f>
        <v>#NAME?</v>
      </c>
      <c r="AU68" t="e" cm="1">
        <f t="array" aca="1" ref="AU68" ca="1">+_xll.EQNXTDZ($A$1,$B68,AU$51)</f>
        <v>#NAME?</v>
      </c>
      <c r="AV68" t="e" cm="1">
        <f t="array" aca="1" ref="AV68" ca="1">+_xll.EQNXTDZ($A$1,$B68,AV$51)</f>
        <v>#NAME?</v>
      </c>
      <c r="AW68" t="e" cm="1">
        <f t="array" aca="1" ref="AW68" ca="1">+_xll.EQNXTDZ($A$1,$B68,AW$51)</f>
        <v>#NAME?</v>
      </c>
      <c r="AX68" t="e" cm="1">
        <f t="array" aca="1" ref="AX68" ca="1">+_xll.EQNXTDZ($A$1,$B68,AX$51)</f>
        <v>#NAME?</v>
      </c>
      <c r="AY68" t="e" cm="1">
        <f t="array" aca="1" ref="AY68" ca="1">+_xll.EQNXTDZ($A$1,$B68,AY$51)</f>
        <v>#NAME?</v>
      </c>
      <c r="AZ68" t="e" cm="1">
        <f t="array" aca="1" ref="AZ68" ca="1">+_xll.EQNXTDZ($A$1,$B68,AZ$51)</f>
        <v>#NAME?</v>
      </c>
      <c r="BA68" t="e" cm="1">
        <f t="array" aca="1" ref="BA68" ca="1">+_xll.EQNXTDZ($A$1,$B68,BA$51)</f>
        <v>#NAME?</v>
      </c>
      <c r="BB68" t="e" cm="1">
        <f t="array" aca="1" ref="BB68" ca="1">+_xll.EQNXTDZ($A$1,$B68,BB$51)</f>
        <v>#NAME?</v>
      </c>
      <c r="BC68" t="e" cm="1">
        <f t="array" aca="1" ref="BC68" ca="1">+_xll.EQNXTDZ($A$1,$B68,BC$51)</f>
        <v>#NAME?</v>
      </c>
      <c r="BD68" t="e" cm="1">
        <f t="array" aca="1" ref="BD68" ca="1">+_xll.EQNXTDZ($A$1,$B68,BD$51)</f>
        <v>#NAME?</v>
      </c>
      <c r="BE68" t="e" cm="1">
        <f t="array" aca="1" ref="BE68" ca="1">+_xll.EQNXTDZ($A$1,$B68,BE$51)</f>
        <v>#NAME?</v>
      </c>
      <c r="BF68" t="e" cm="1">
        <f t="array" aca="1" ref="BF68" ca="1">+_xll.EQNXTDZ($A$1,$B68,BF$51)</f>
        <v>#NAME?</v>
      </c>
      <c r="BG68" t="e" cm="1">
        <f t="array" aca="1" ref="BG68" ca="1">+_xll.EQNXTDZ($A$1,$B68,BG$51)</f>
        <v>#NAME?</v>
      </c>
      <c r="BH68" t="e" cm="1">
        <f t="array" aca="1" ref="BH68" ca="1">+_xll.EQNXTDZ($A$1,$B68,BH$51)</f>
        <v>#NAME?</v>
      </c>
      <c r="BI68" t="e" cm="1">
        <f t="array" aca="1" ref="BI68" ca="1">+_xll.EQNXTDZ($A$1,$B68,BI$51)</f>
        <v>#NAME?</v>
      </c>
      <c r="BJ68" t="e" cm="1">
        <f t="array" aca="1" ref="BJ68" ca="1">+_xll.EQNXTDZ($A$1,$B68,BJ$51)</f>
        <v>#NAME?</v>
      </c>
    </row>
    <row r="69" spans="1:62" x14ac:dyDescent="0.25">
      <c r="A69" t="s">
        <v>50</v>
      </c>
      <c r="B69" t="s">
        <v>316</v>
      </c>
      <c r="C69" t="e" cm="1">
        <f t="array" aca="1" ref="C69" ca="1">+_xll.EQNXTDZ($A$1,$B69,C$51)</f>
        <v>#NAME?</v>
      </c>
      <c r="D69" t="e" cm="1">
        <f t="array" aca="1" ref="D69" ca="1">+_xll.EQNXTDZ($A$1,$B69,D$51)</f>
        <v>#NAME?</v>
      </c>
      <c r="E69" t="e" cm="1">
        <f t="array" aca="1" ref="E69" ca="1">+_xll.EQNXTDZ($A$1,$B69,E$51)</f>
        <v>#NAME?</v>
      </c>
      <c r="F69" t="e" cm="1">
        <f t="array" aca="1" ref="F69" ca="1">+_xll.EQNXTDZ($A$1,$B69,F$51)</f>
        <v>#NAME?</v>
      </c>
      <c r="G69" t="e" cm="1">
        <f t="array" aca="1" ref="G69" ca="1">+_xll.EQNXTDZ($A$1,$B69,G$51)</f>
        <v>#NAME?</v>
      </c>
      <c r="H69" t="e" cm="1">
        <f t="array" aca="1" ref="H69" ca="1">+_xll.EQNXTDZ($A$1,$B69,H$51)</f>
        <v>#NAME?</v>
      </c>
      <c r="I69" t="e" cm="1">
        <f t="array" aca="1" ref="I69" ca="1">+_xll.EQNXTDZ($A$1,$B69,I$51)</f>
        <v>#NAME?</v>
      </c>
      <c r="J69" t="e" cm="1">
        <f t="array" aca="1" ref="J69" ca="1">+_xll.EQNXTDZ($A$1,$B69,J$51)</f>
        <v>#NAME?</v>
      </c>
      <c r="K69" t="e" cm="1">
        <f t="array" aca="1" ref="K69" ca="1">+_xll.EQNXTDZ($A$1,$B69,K$51)</f>
        <v>#NAME?</v>
      </c>
      <c r="L69" t="e" cm="1">
        <f t="array" aca="1" ref="L69" ca="1">+_xll.EQNXTDZ($A$1,$B69,L$51)</f>
        <v>#NAME?</v>
      </c>
      <c r="M69" t="e" cm="1">
        <f t="array" aca="1" ref="M69" ca="1">+_xll.EQNXTDZ($A$1,$B69,M$51)</f>
        <v>#NAME?</v>
      </c>
      <c r="N69" t="e" cm="1">
        <f t="array" aca="1" ref="N69" ca="1">+_xll.EQNXTDZ($A$1,$B69,N$51)</f>
        <v>#NAME?</v>
      </c>
      <c r="O69" t="e" cm="1">
        <f t="array" aca="1" ref="O69" ca="1">+_xll.EQNXTDZ($A$1,$B69,O$51)</f>
        <v>#NAME?</v>
      </c>
      <c r="P69" t="e" cm="1">
        <f t="array" aca="1" ref="P69" ca="1">+_xll.EQNXTDZ($A$1,$B69,P$51)</f>
        <v>#NAME?</v>
      </c>
      <c r="Q69" t="e" cm="1">
        <f t="array" aca="1" ref="Q69" ca="1">+_xll.EQNXTDZ($A$1,$B69,Q$51)</f>
        <v>#NAME?</v>
      </c>
      <c r="R69" t="e" cm="1">
        <f t="array" aca="1" ref="R69" ca="1">+_xll.EQNXTDZ($A$1,$B69,R$51)</f>
        <v>#NAME?</v>
      </c>
      <c r="S69" t="e" cm="1">
        <f t="array" aca="1" ref="S69" ca="1">+_xll.EQNXTDZ($A$1,$B69,S$51)</f>
        <v>#NAME?</v>
      </c>
      <c r="T69" t="e" cm="1">
        <f t="array" aca="1" ref="T69" ca="1">+_xll.EQNXTDZ($A$1,$B69,T$51)</f>
        <v>#NAME?</v>
      </c>
      <c r="U69" t="e" cm="1">
        <f t="array" aca="1" ref="U69" ca="1">+_xll.EQNXTDZ($A$1,$B69,U$51)</f>
        <v>#NAME?</v>
      </c>
      <c r="V69" t="e" cm="1">
        <f t="array" aca="1" ref="V69" ca="1">+_xll.EQNXTDZ($A$1,$B69,V$51)</f>
        <v>#NAME?</v>
      </c>
      <c r="W69" t="e" cm="1">
        <f t="array" aca="1" ref="W69" ca="1">+_xll.EQNXTDZ($A$1,$B69,W$51)</f>
        <v>#NAME?</v>
      </c>
      <c r="X69" t="e" cm="1">
        <f t="array" aca="1" ref="X69" ca="1">+_xll.EQNXTDZ($A$1,$B69,X$51)</f>
        <v>#NAME?</v>
      </c>
      <c r="Y69" t="e" cm="1">
        <f t="array" aca="1" ref="Y69" ca="1">+_xll.EQNXTDZ($A$1,$B69,Y$51)</f>
        <v>#NAME?</v>
      </c>
      <c r="Z69" t="e" cm="1">
        <f t="array" aca="1" ref="Z69" ca="1">+_xll.EQNXTDZ($A$1,$B69,Z$51)</f>
        <v>#NAME?</v>
      </c>
      <c r="AA69" t="e" cm="1">
        <f t="array" aca="1" ref="AA69" ca="1">+_xll.EQNXTDZ($A$1,$B69,AA$51)</f>
        <v>#NAME?</v>
      </c>
      <c r="AB69" t="e" cm="1">
        <f t="array" aca="1" ref="AB69" ca="1">+_xll.EQNXTDZ($A$1,$B69,AB$51)</f>
        <v>#NAME?</v>
      </c>
      <c r="AC69" t="e" cm="1">
        <f t="array" aca="1" ref="AC69" ca="1">+_xll.EQNXTDZ($A$1,$B69,AC$51)</f>
        <v>#NAME?</v>
      </c>
      <c r="AD69" t="e" cm="1">
        <f t="array" aca="1" ref="AD69" ca="1">+_xll.EQNXTDZ($A$1,$B69,AD$51)</f>
        <v>#NAME?</v>
      </c>
      <c r="AE69" t="e" cm="1">
        <f t="array" aca="1" ref="AE69" ca="1">+_xll.EQNXTDZ($A$1,$B69,AE$51)</f>
        <v>#NAME?</v>
      </c>
      <c r="AF69" t="e" cm="1">
        <f t="array" aca="1" ref="AF69" ca="1">+_xll.EQNXTDZ($A$1,$B69,AF$51)</f>
        <v>#NAME?</v>
      </c>
      <c r="AG69" t="e" cm="1">
        <f t="array" aca="1" ref="AG69" ca="1">+_xll.EQNXTDZ($A$1,$B69,AG$51)</f>
        <v>#NAME?</v>
      </c>
      <c r="AH69" t="e" cm="1">
        <f t="array" aca="1" ref="AH69" ca="1">+_xll.EQNXTDZ($A$1,$B69,AH$51)</f>
        <v>#NAME?</v>
      </c>
      <c r="AI69" t="e" cm="1">
        <f t="array" aca="1" ref="AI69" ca="1">+_xll.EQNXTDZ($A$1,$B69,AI$51)</f>
        <v>#NAME?</v>
      </c>
      <c r="AJ69" t="e" cm="1">
        <f t="array" aca="1" ref="AJ69" ca="1">+_xll.EQNXTDZ($A$1,$B69,AJ$51)</f>
        <v>#NAME?</v>
      </c>
      <c r="AK69" t="e" cm="1">
        <f t="array" aca="1" ref="AK69" ca="1">+_xll.EQNXTDZ($A$1,$B69,AK$51)</f>
        <v>#NAME?</v>
      </c>
      <c r="AL69" t="e" cm="1">
        <f t="array" aca="1" ref="AL69" ca="1">+_xll.EQNXTDZ($A$1,$B69,AL$51)</f>
        <v>#NAME?</v>
      </c>
      <c r="AM69" t="e" cm="1">
        <f t="array" aca="1" ref="AM69" ca="1">+_xll.EQNXTDZ($A$1,$B69,AM$51)</f>
        <v>#NAME?</v>
      </c>
      <c r="AN69" t="e" cm="1">
        <f t="array" aca="1" ref="AN69" ca="1">+_xll.EQNXTDZ($A$1,$B69,AN$51)</f>
        <v>#NAME?</v>
      </c>
      <c r="AO69" t="e" cm="1">
        <f t="array" aca="1" ref="AO69" ca="1">+_xll.EQNXTDZ($A$1,$B69,AO$51)</f>
        <v>#NAME?</v>
      </c>
      <c r="AP69" t="e" cm="1">
        <f t="array" aca="1" ref="AP69" ca="1">+_xll.EQNXTDZ($A$1,$B69,AP$51)</f>
        <v>#NAME?</v>
      </c>
      <c r="AQ69" t="e" cm="1">
        <f t="array" aca="1" ref="AQ69" ca="1">+_xll.EQNXTDZ($A$1,$B69,AQ$51)</f>
        <v>#NAME?</v>
      </c>
      <c r="AR69" t="e" cm="1">
        <f t="array" aca="1" ref="AR69" ca="1">+_xll.EQNXTDZ($A$1,$B69,AR$51)</f>
        <v>#NAME?</v>
      </c>
      <c r="AS69" t="e" cm="1">
        <f t="array" aca="1" ref="AS69" ca="1">+_xll.EQNXTDZ($A$1,$B69,AS$51)</f>
        <v>#NAME?</v>
      </c>
      <c r="AT69" t="e" cm="1">
        <f t="array" aca="1" ref="AT69" ca="1">+_xll.EQNXTDZ($A$1,$B69,AT$51)</f>
        <v>#NAME?</v>
      </c>
      <c r="AU69" t="e" cm="1">
        <f t="array" aca="1" ref="AU69" ca="1">+_xll.EQNXTDZ($A$1,$B69,AU$51)</f>
        <v>#NAME?</v>
      </c>
      <c r="AV69" t="e" cm="1">
        <f t="array" aca="1" ref="AV69" ca="1">+_xll.EQNXTDZ($A$1,$B69,AV$51)</f>
        <v>#NAME?</v>
      </c>
      <c r="AW69" t="e" cm="1">
        <f t="array" aca="1" ref="AW69" ca="1">+_xll.EQNXTDZ($A$1,$B69,AW$51)</f>
        <v>#NAME?</v>
      </c>
      <c r="AX69" t="e" cm="1">
        <f t="array" aca="1" ref="AX69" ca="1">+_xll.EQNXTDZ($A$1,$B69,AX$51)</f>
        <v>#NAME?</v>
      </c>
      <c r="AY69" t="e" cm="1">
        <f t="array" aca="1" ref="AY69" ca="1">+_xll.EQNXTDZ($A$1,$B69,AY$51)</f>
        <v>#NAME?</v>
      </c>
      <c r="AZ69" t="e" cm="1">
        <f t="array" aca="1" ref="AZ69" ca="1">+_xll.EQNXTDZ($A$1,$B69,AZ$51)</f>
        <v>#NAME?</v>
      </c>
      <c r="BA69" t="e" cm="1">
        <f t="array" aca="1" ref="BA69" ca="1">+_xll.EQNXTDZ($A$1,$B69,BA$51)</f>
        <v>#NAME?</v>
      </c>
      <c r="BB69" t="e" cm="1">
        <f t="array" aca="1" ref="BB69" ca="1">+_xll.EQNXTDZ($A$1,$B69,BB$51)</f>
        <v>#NAME?</v>
      </c>
      <c r="BC69" t="e" cm="1">
        <f t="array" aca="1" ref="BC69" ca="1">+_xll.EQNXTDZ($A$1,$B69,BC$51)</f>
        <v>#NAME?</v>
      </c>
      <c r="BD69" t="e" cm="1">
        <f t="array" aca="1" ref="BD69" ca="1">+_xll.EQNXTDZ($A$1,$B69,BD$51)</f>
        <v>#NAME?</v>
      </c>
      <c r="BE69" t="e" cm="1">
        <f t="array" aca="1" ref="BE69" ca="1">+_xll.EQNXTDZ($A$1,$B69,BE$51)</f>
        <v>#NAME?</v>
      </c>
      <c r="BF69" t="e" cm="1">
        <f t="array" aca="1" ref="BF69" ca="1">+_xll.EQNXTDZ($A$1,$B69,BF$51)</f>
        <v>#NAME?</v>
      </c>
      <c r="BG69" t="e" cm="1">
        <f t="array" aca="1" ref="BG69" ca="1">+_xll.EQNXTDZ($A$1,$B69,BG$51)</f>
        <v>#NAME?</v>
      </c>
      <c r="BH69" t="e" cm="1">
        <f t="array" aca="1" ref="BH69" ca="1">+_xll.EQNXTDZ($A$1,$B69,BH$51)</f>
        <v>#NAME?</v>
      </c>
      <c r="BI69" t="e" cm="1">
        <f t="array" aca="1" ref="BI69" ca="1">+_xll.EQNXTDZ($A$1,$B69,BI$51)</f>
        <v>#NAME?</v>
      </c>
      <c r="BJ69" t="e" cm="1">
        <f t="array" aca="1" ref="BJ69" ca="1">+_xll.EQNXTDZ($A$1,$B69,BJ$51)</f>
        <v>#NAME?</v>
      </c>
    </row>
    <row r="70" spans="1:62" x14ac:dyDescent="0.25">
      <c r="A70" t="s">
        <v>293</v>
      </c>
      <c r="B70" t="s">
        <v>317</v>
      </c>
      <c r="C70" t="e" cm="1">
        <f t="array" aca="1" ref="C70" ca="1">+_xll.EQNXTDZ($A$1,$B70,C$51)</f>
        <v>#NAME?</v>
      </c>
      <c r="D70" t="e" cm="1">
        <f t="array" aca="1" ref="D70" ca="1">+_xll.EQNXTDZ($A$1,$B70,D$51)</f>
        <v>#NAME?</v>
      </c>
      <c r="E70" t="e" cm="1">
        <f t="array" aca="1" ref="E70" ca="1">+_xll.EQNXTDZ($A$1,$B70,E$51)</f>
        <v>#NAME?</v>
      </c>
      <c r="F70" t="e" cm="1">
        <f t="array" aca="1" ref="F70" ca="1">+_xll.EQNXTDZ($A$1,$B70,F$51)</f>
        <v>#NAME?</v>
      </c>
      <c r="G70" t="e" cm="1">
        <f t="array" aca="1" ref="G70" ca="1">+_xll.EQNXTDZ($A$1,$B70,G$51)</f>
        <v>#NAME?</v>
      </c>
      <c r="H70" t="e" cm="1">
        <f t="array" aca="1" ref="H70" ca="1">+_xll.EQNXTDZ($A$1,$B70,H$51)</f>
        <v>#NAME?</v>
      </c>
      <c r="I70" t="e" cm="1">
        <f t="array" aca="1" ref="I70" ca="1">+_xll.EQNXTDZ($A$1,$B70,I$51)</f>
        <v>#NAME?</v>
      </c>
      <c r="J70" t="e" cm="1">
        <f t="array" aca="1" ref="J70" ca="1">+_xll.EQNXTDZ($A$1,$B70,J$51)</f>
        <v>#NAME?</v>
      </c>
      <c r="K70" t="e" cm="1">
        <f t="array" aca="1" ref="K70" ca="1">+_xll.EQNXTDZ($A$1,$B70,K$51)</f>
        <v>#NAME?</v>
      </c>
      <c r="L70" t="e" cm="1">
        <f t="array" aca="1" ref="L70" ca="1">+_xll.EQNXTDZ($A$1,$B70,L$51)</f>
        <v>#NAME?</v>
      </c>
      <c r="M70" t="e" cm="1">
        <f t="array" aca="1" ref="M70" ca="1">+_xll.EQNXTDZ($A$1,$B70,M$51)</f>
        <v>#NAME?</v>
      </c>
      <c r="N70" t="e" cm="1">
        <f t="array" aca="1" ref="N70" ca="1">+_xll.EQNXTDZ($A$1,$B70,N$51)</f>
        <v>#NAME?</v>
      </c>
      <c r="O70" t="e" cm="1">
        <f t="array" aca="1" ref="O70" ca="1">+_xll.EQNXTDZ($A$1,$B70,O$51)</f>
        <v>#NAME?</v>
      </c>
      <c r="P70" t="e" cm="1">
        <f t="array" aca="1" ref="P70" ca="1">+_xll.EQNXTDZ($A$1,$B70,P$51)</f>
        <v>#NAME?</v>
      </c>
      <c r="Q70" t="e" cm="1">
        <f t="array" aca="1" ref="Q70" ca="1">+_xll.EQNXTDZ($A$1,$B70,Q$51)</f>
        <v>#NAME?</v>
      </c>
      <c r="R70" t="e" cm="1">
        <f t="array" aca="1" ref="R70" ca="1">+_xll.EQNXTDZ($A$1,$B70,R$51)</f>
        <v>#NAME?</v>
      </c>
      <c r="S70" t="e" cm="1">
        <f t="array" aca="1" ref="S70" ca="1">+_xll.EQNXTDZ($A$1,$B70,S$51)</f>
        <v>#NAME?</v>
      </c>
      <c r="T70" t="e" cm="1">
        <f t="array" aca="1" ref="T70" ca="1">+_xll.EQNXTDZ($A$1,$B70,T$51)</f>
        <v>#NAME?</v>
      </c>
      <c r="U70" t="e" cm="1">
        <f t="array" aca="1" ref="U70" ca="1">+_xll.EQNXTDZ($A$1,$B70,U$51)</f>
        <v>#NAME?</v>
      </c>
      <c r="V70" t="e" cm="1">
        <f t="array" aca="1" ref="V70" ca="1">+_xll.EQNXTDZ($A$1,$B70,V$51)</f>
        <v>#NAME?</v>
      </c>
      <c r="W70" t="e" cm="1">
        <f t="array" aca="1" ref="W70" ca="1">+_xll.EQNXTDZ($A$1,$B70,W$51)</f>
        <v>#NAME?</v>
      </c>
      <c r="X70" t="e" cm="1">
        <f t="array" aca="1" ref="X70" ca="1">+_xll.EQNXTDZ($A$1,$B70,X$51)</f>
        <v>#NAME?</v>
      </c>
      <c r="Y70" t="e" cm="1">
        <f t="array" aca="1" ref="Y70" ca="1">+_xll.EQNXTDZ($A$1,$B70,Y$51)</f>
        <v>#NAME?</v>
      </c>
      <c r="Z70" t="e" cm="1">
        <f t="array" aca="1" ref="Z70" ca="1">+_xll.EQNXTDZ($A$1,$B70,Z$51)</f>
        <v>#NAME?</v>
      </c>
      <c r="AA70" t="e" cm="1">
        <f t="array" aca="1" ref="AA70" ca="1">+_xll.EQNXTDZ($A$1,$B70,AA$51)</f>
        <v>#NAME?</v>
      </c>
      <c r="AB70" t="e" cm="1">
        <f t="array" aca="1" ref="AB70" ca="1">+_xll.EQNXTDZ($A$1,$B70,AB$51)</f>
        <v>#NAME?</v>
      </c>
      <c r="AC70" t="e" cm="1">
        <f t="array" aca="1" ref="AC70" ca="1">+_xll.EQNXTDZ($A$1,$B70,AC$51)</f>
        <v>#NAME?</v>
      </c>
      <c r="AD70" t="e" cm="1">
        <f t="array" aca="1" ref="AD70" ca="1">+_xll.EQNXTDZ($A$1,$B70,AD$51)</f>
        <v>#NAME?</v>
      </c>
      <c r="AE70" t="e" cm="1">
        <f t="array" aca="1" ref="AE70" ca="1">+_xll.EQNXTDZ($A$1,$B70,AE$51)</f>
        <v>#NAME?</v>
      </c>
      <c r="AF70" t="e" cm="1">
        <f t="array" aca="1" ref="AF70" ca="1">+_xll.EQNXTDZ($A$1,$B70,AF$51)</f>
        <v>#NAME?</v>
      </c>
      <c r="AG70" t="e" cm="1">
        <f t="array" aca="1" ref="AG70" ca="1">+_xll.EQNXTDZ($A$1,$B70,AG$51)</f>
        <v>#NAME?</v>
      </c>
      <c r="AH70" t="e" cm="1">
        <f t="array" aca="1" ref="AH70" ca="1">+_xll.EQNXTDZ($A$1,$B70,AH$51)</f>
        <v>#NAME?</v>
      </c>
      <c r="AI70" t="e" cm="1">
        <f t="array" aca="1" ref="AI70" ca="1">+_xll.EQNXTDZ($A$1,$B70,AI$51)</f>
        <v>#NAME?</v>
      </c>
      <c r="AJ70" t="e" cm="1">
        <f t="array" aca="1" ref="AJ70" ca="1">+_xll.EQNXTDZ($A$1,$B70,AJ$51)</f>
        <v>#NAME?</v>
      </c>
      <c r="AK70" t="e" cm="1">
        <f t="array" aca="1" ref="AK70" ca="1">+_xll.EQNXTDZ($A$1,$B70,AK$51)</f>
        <v>#NAME?</v>
      </c>
      <c r="AL70" t="e" cm="1">
        <f t="array" aca="1" ref="AL70" ca="1">+_xll.EQNXTDZ($A$1,$B70,AL$51)</f>
        <v>#NAME?</v>
      </c>
      <c r="AM70" t="e" cm="1">
        <f t="array" aca="1" ref="AM70" ca="1">+_xll.EQNXTDZ($A$1,$B70,AM$51)</f>
        <v>#NAME?</v>
      </c>
      <c r="AN70" t="e" cm="1">
        <f t="array" aca="1" ref="AN70" ca="1">+_xll.EQNXTDZ($A$1,$B70,AN$51)</f>
        <v>#NAME?</v>
      </c>
      <c r="AO70" t="e" cm="1">
        <f t="array" aca="1" ref="AO70" ca="1">+_xll.EQNXTDZ($A$1,$B70,AO$51)</f>
        <v>#NAME?</v>
      </c>
      <c r="AP70" t="e" cm="1">
        <f t="array" aca="1" ref="AP70" ca="1">+_xll.EQNXTDZ($A$1,$B70,AP$51)</f>
        <v>#NAME?</v>
      </c>
      <c r="AQ70" t="e" cm="1">
        <f t="array" aca="1" ref="AQ70" ca="1">+_xll.EQNXTDZ($A$1,$B70,AQ$51)</f>
        <v>#NAME?</v>
      </c>
      <c r="AR70" t="e" cm="1">
        <f t="array" aca="1" ref="AR70" ca="1">+_xll.EQNXTDZ($A$1,$B70,AR$51)</f>
        <v>#NAME?</v>
      </c>
      <c r="AS70" t="e" cm="1">
        <f t="array" aca="1" ref="AS70" ca="1">+_xll.EQNXTDZ($A$1,$B70,AS$51)</f>
        <v>#NAME?</v>
      </c>
      <c r="AT70" t="e" cm="1">
        <f t="array" aca="1" ref="AT70" ca="1">+_xll.EQNXTDZ($A$1,$B70,AT$51)</f>
        <v>#NAME?</v>
      </c>
      <c r="AU70" t="e" cm="1">
        <f t="array" aca="1" ref="AU70" ca="1">+_xll.EQNXTDZ($A$1,$B70,AU$51)</f>
        <v>#NAME?</v>
      </c>
      <c r="AV70" t="e" cm="1">
        <f t="array" aca="1" ref="AV70" ca="1">+_xll.EQNXTDZ($A$1,$B70,AV$51)</f>
        <v>#NAME?</v>
      </c>
      <c r="AW70" t="e" cm="1">
        <f t="array" aca="1" ref="AW70" ca="1">+_xll.EQNXTDZ($A$1,$B70,AW$51)</f>
        <v>#NAME?</v>
      </c>
      <c r="AX70" t="e" cm="1">
        <f t="array" aca="1" ref="AX70" ca="1">+_xll.EQNXTDZ($A$1,$B70,AX$51)</f>
        <v>#NAME?</v>
      </c>
      <c r="AY70" t="e" cm="1">
        <f t="array" aca="1" ref="AY70" ca="1">+_xll.EQNXTDZ($A$1,$B70,AY$51)</f>
        <v>#NAME?</v>
      </c>
      <c r="AZ70" t="e" cm="1">
        <f t="array" aca="1" ref="AZ70" ca="1">+_xll.EQNXTDZ($A$1,$B70,AZ$51)</f>
        <v>#NAME?</v>
      </c>
      <c r="BA70" t="e" cm="1">
        <f t="array" aca="1" ref="BA70" ca="1">+_xll.EQNXTDZ($A$1,$B70,BA$51)</f>
        <v>#NAME?</v>
      </c>
      <c r="BB70" t="e" cm="1">
        <f t="array" aca="1" ref="BB70" ca="1">+_xll.EQNXTDZ($A$1,$B70,BB$51)</f>
        <v>#NAME?</v>
      </c>
      <c r="BC70" t="e" cm="1">
        <f t="array" aca="1" ref="BC70" ca="1">+_xll.EQNXTDZ($A$1,$B70,BC$51)</f>
        <v>#NAME?</v>
      </c>
      <c r="BD70" t="e" cm="1">
        <f t="array" aca="1" ref="BD70" ca="1">+_xll.EQNXTDZ($A$1,$B70,BD$51)</f>
        <v>#NAME?</v>
      </c>
      <c r="BE70" t="e" cm="1">
        <f t="array" aca="1" ref="BE70" ca="1">+_xll.EQNXTDZ($A$1,$B70,BE$51)</f>
        <v>#NAME?</v>
      </c>
      <c r="BF70" t="e" cm="1">
        <f t="array" aca="1" ref="BF70" ca="1">+_xll.EQNXTDZ($A$1,$B70,BF$51)</f>
        <v>#NAME?</v>
      </c>
      <c r="BG70" t="e" cm="1">
        <f t="array" aca="1" ref="BG70" ca="1">+_xll.EQNXTDZ($A$1,$B70,BG$51)</f>
        <v>#NAME?</v>
      </c>
      <c r="BH70" t="e" cm="1">
        <f t="array" aca="1" ref="BH70" ca="1">+_xll.EQNXTDZ($A$1,$B70,BH$51)</f>
        <v>#NAME?</v>
      </c>
      <c r="BI70" t="e" cm="1">
        <f t="array" aca="1" ref="BI70" ca="1">+_xll.EQNXTDZ($A$1,$B70,BI$51)</f>
        <v>#NAME?</v>
      </c>
      <c r="BJ70" t="e" cm="1">
        <f t="array" aca="1" ref="BJ70" ca="1">+_xll.EQNXTDZ($A$1,$B70,BJ$51)</f>
        <v>#NAME?</v>
      </c>
    </row>
    <row r="71" spans="1:62" x14ac:dyDescent="0.25">
      <c r="A71" t="s">
        <v>294</v>
      </c>
      <c r="B71" t="s">
        <v>318</v>
      </c>
      <c r="C71" t="e" cm="1">
        <f t="array" aca="1" ref="C71" ca="1">+_xll.EQNXTDZ($A$1,$B71,C$51)</f>
        <v>#NAME?</v>
      </c>
      <c r="D71" t="e" cm="1">
        <f t="array" aca="1" ref="D71" ca="1">+_xll.EQNXTDZ($A$1,$B71,D$51)</f>
        <v>#NAME?</v>
      </c>
      <c r="E71" t="e" cm="1">
        <f t="array" aca="1" ref="E71" ca="1">+_xll.EQNXTDZ($A$1,$B71,E$51)</f>
        <v>#NAME?</v>
      </c>
      <c r="F71" t="e" cm="1">
        <f t="array" aca="1" ref="F71" ca="1">+_xll.EQNXTDZ($A$1,$B71,F$51)</f>
        <v>#NAME?</v>
      </c>
      <c r="G71" t="e" cm="1">
        <f t="array" aca="1" ref="G71" ca="1">+_xll.EQNXTDZ($A$1,$B71,G$51)</f>
        <v>#NAME?</v>
      </c>
      <c r="H71" t="e" cm="1">
        <f t="array" aca="1" ref="H71" ca="1">+_xll.EQNXTDZ($A$1,$B71,H$51)</f>
        <v>#NAME?</v>
      </c>
      <c r="I71" t="e" cm="1">
        <f t="array" aca="1" ref="I71" ca="1">+_xll.EQNXTDZ($A$1,$B71,I$51)</f>
        <v>#NAME?</v>
      </c>
      <c r="J71" t="e" cm="1">
        <f t="array" aca="1" ref="J71" ca="1">+_xll.EQNXTDZ($A$1,$B71,J$51)</f>
        <v>#NAME?</v>
      </c>
      <c r="K71" t="e" cm="1">
        <f t="array" aca="1" ref="K71" ca="1">+_xll.EQNXTDZ($A$1,$B71,K$51)</f>
        <v>#NAME?</v>
      </c>
      <c r="L71" t="e" cm="1">
        <f t="array" aca="1" ref="L71" ca="1">+_xll.EQNXTDZ($A$1,$B71,L$51)</f>
        <v>#NAME?</v>
      </c>
      <c r="M71" t="e" cm="1">
        <f t="array" aca="1" ref="M71" ca="1">+_xll.EQNXTDZ($A$1,$B71,M$51)</f>
        <v>#NAME?</v>
      </c>
      <c r="N71" t="e" cm="1">
        <f t="array" aca="1" ref="N71" ca="1">+_xll.EQNXTDZ($A$1,$B71,N$51)</f>
        <v>#NAME?</v>
      </c>
      <c r="O71" t="e" cm="1">
        <f t="array" aca="1" ref="O71" ca="1">+_xll.EQNXTDZ($A$1,$B71,O$51)</f>
        <v>#NAME?</v>
      </c>
      <c r="P71" t="e" cm="1">
        <f t="array" aca="1" ref="P71" ca="1">+_xll.EQNXTDZ($A$1,$B71,P$51)</f>
        <v>#NAME?</v>
      </c>
      <c r="Q71" t="e" cm="1">
        <f t="array" aca="1" ref="Q71" ca="1">+_xll.EQNXTDZ($A$1,$B71,Q$51)</f>
        <v>#NAME?</v>
      </c>
      <c r="R71" t="e" cm="1">
        <f t="array" aca="1" ref="R71" ca="1">+_xll.EQNXTDZ($A$1,$B71,R$51)</f>
        <v>#NAME?</v>
      </c>
      <c r="S71" t="e" cm="1">
        <f t="array" aca="1" ref="S71" ca="1">+_xll.EQNXTDZ($A$1,$B71,S$51)</f>
        <v>#NAME?</v>
      </c>
      <c r="T71" t="e" cm="1">
        <f t="array" aca="1" ref="T71" ca="1">+_xll.EQNXTDZ($A$1,$B71,T$51)</f>
        <v>#NAME?</v>
      </c>
      <c r="U71" t="e" cm="1">
        <f t="array" aca="1" ref="U71" ca="1">+_xll.EQNXTDZ($A$1,$B71,U$51)</f>
        <v>#NAME?</v>
      </c>
      <c r="V71" t="e" cm="1">
        <f t="array" aca="1" ref="V71" ca="1">+_xll.EQNXTDZ($A$1,$B71,V$51)</f>
        <v>#NAME?</v>
      </c>
      <c r="W71" t="e" cm="1">
        <f t="array" aca="1" ref="W71" ca="1">+_xll.EQNXTDZ($A$1,$B71,W$51)</f>
        <v>#NAME?</v>
      </c>
      <c r="X71" t="e" cm="1">
        <f t="array" aca="1" ref="X71" ca="1">+_xll.EQNXTDZ($A$1,$B71,X$51)</f>
        <v>#NAME?</v>
      </c>
      <c r="Y71" t="e" cm="1">
        <f t="array" aca="1" ref="Y71" ca="1">+_xll.EQNXTDZ($A$1,$B71,Y$51)</f>
        <v>#NAME?</v>
      </c>
      <c r="Z71" t="e" cm="1">
        <f t="array" aca="1" ref="Z71" ca="1">+_xll.EQNXTDZ($A$1,$B71,Z$51)</f>
        <v>#NAME?</v>
      </c>
      <c r="AA71" t="e" cm="1">
        <f t="array" aca="1" ref="AA71" ca="1">+_xll.EQNXTDZ($A$1,$B71,AA$51)</f>
        <v>#NAME?</v>
      </c>
      <c r="AB71" t="e" cm="1">
        <f t="array" aca="1" ref="AB71" ca="1">+_xll.EQNXTDZ($A$1,$B71,AB$51)</f>
        <v>#NAME?</v>
      </c>
      <c r="AC71" t="e" cm="1">
        <f t="array" aca="1" ref="AC71" ca="1">+_xll.EQNXTDZ($A$1,$B71,AC$51)</f>
        <v>#NAME?</v>
      </c>
      <c r="AD71" t="e" cm="1">
        <f t="array" aca="1" ref="AD71" ca="1">+_xll.EQNXTDZ($A$1,$B71,AD$51)</f>
        <v>#NAME?</v>
      </c>
      <c r="AE71" t="e" cm="1">
        <f t="array" aca="1" ref="AE71" ca="1">+_xll.EQNXTDZ($A$1,$B71,AE$51)</f>
        <v>#NAME?</v>
      </c>
      <c r="AF71" t="e" cm="1">
        <f t="array" aca="1" ref="AF71" ca="1">+_xll.EQNXTDZ($A$1,$B71,AF$51)</f>
        <v>#NAME?</v>
      </c>
      <c r="AG71" t="e" cm="1">
        <f t="array" aca="1" ref="AG71" ca="1">+_xll.EQNXTDZ($A$1,$B71,AG$51)</f>
        <v>#NAME?</v>
      </c>
      <c r="AH71" t="e" cm="1">
        <f t="array" aca="1" ref="AH71" ca="1">+_xll.EQNXTDZ($A$1,$B71,AH$51)</f>
        <v>#NAME?</v>
      </c>
      <c r="AI71" t="e" cm="1">
        <f t="array" aca="1" ref="AI71" ca="1">+_xll.EQNXTDZ($A$1,$B71,AI$51)</f>
        <v>#NAME?</v>
      </c>
      <c r="AJ71" t="e" cm="1">
        <f t="array" aca="1" ref="AJ71" ca="1">+_xll.EQNXTDZ($A$1,$B71,AJ$51)</f>
        <v>#NAME?</v>
      </c>
      <c r="AK71" t="e" cm="1">
        <f t="array" aca="1" ref="AK71" ca="1">+_xll.EQNXTDZ($A$1,$B71,AK$51)</f>
        <v>#NAME?</v>
      </c>
      <c r="AL71" t="e" cm="1">
        <f t="array" aca="1" ref="AL71" ca="1">+_xll.EQNXTDZ($A$1,$B71,AL$51)</f>
        <v>#NAME?</v>
      </c>
      <c r="AM71" t="e" cm="1">
        <f t="array" aca="1" ref="AM71" ca="1">+_xll.EQNXTDZ($A$1,$B71,AM$51)</f>
        <v>#NAME?</v>
      </c>
      <c r="AN71" t="e" cm="1">
        <f t="array" aca="1" ref="AN71" ca="1">+_xll.EQNXTDZ($A$1,$B71,AN$51)</f>
        <v>#NAME?</v>
      </c>
      <c r="AO71" t="e" cm="1">
        <f t="array" aca="1" ref="AO71" ca="1">+_xll.EQNXTDZ($A$1,$B71,AO$51)</f>
        <v>#NAME?</v>
      </c>
      <c r="AP71" t="e" cm="1">
        <f t="array" aca="1" ref="AP71" ca="1">+_xll.EQNXTDZ($A$1,$B71,AP$51)</f>
        <v>#NAME?</v>
      </c>
      <c r="AQ71" t="e" cm="1">
        <f t="array" aca="1" ref="AQ71" ca="1">+_xll.EQNXTDZ($A$1,$B71,AQ$51)</f>
        <v>#NAME?</v>
      </c>
      <c r="AR71" t="e" cm="1">
        <f t="array" aca="1" ref="AR71" ca="1">+_xll.EQNXTDZ($A$1,$B71,AR$51)</f>
        <v>#NAME?</v>
      </c>
      <c r="AS71" t="e" cm="1">
        <f t="array" aca="1" ref="AS71" ca="1">+_xll.EQNXTDZ($A$1,$B71,AS$51)</f>
        <v>#NAME?</v>
      </c>
      <c r="AT71" t="e" cm="1">
        <f t="array" aca="1" ref="AT71" ca="1">+_xll.EQNXTDZ($A$1,$B71,AT$51)</f>
        <v>#NAME?</v>
      </c>
      <c r="AU71" t="e" cm="1">
        <f t="array" aca="1" ref="AU71" ca="1">+_xll.EQNXTDZ($A$1,$B71,AU$51)</f>
        <v>#NAME?</v>
      </c>
      <c r="AV71" t="e" cm="1">
        <f t="array" aca="1" ref="AV71" ca="1">+_xll.EQNXTDZ($A$1,$B71,AV$51)</f>
        <v>#NAME?</v>
      </c>
      <c r="AW71" t="e" cm="1">
        <f t="array" aca="1" ref="AW71" ca="1">+_xll.EQNXTDZ($A$1,$B71,AW$51)</f>
        <v>#NAME?</v>
      </c>
      <c r="AX71" t="e" cm="1">
        <f t="array" aca="1" ref="AX71" ca="1">+_xll.EQNXTDZ($A$1,$B71,AX$51)</f>
        <v>#NAME?</v>
      </c>
      <c r="AY71" t="e" cm="1">
        <f t="array" aca="1" ref="AY71" ca="1">+_xll.EQNXTDZ($A$1,$B71,AY$51)</f>
        <v>#NAME?</v>
      </c>
      <c r="AZ71" t="e" cm="1">
        <f t="array" aca="1" ref="AZ71" ca="1">+_xll.EQNXTDZ($A$1,$B71,AZ$51)</f>
        <v>#NAME?</v>
      </c>
      <c r="BA71" t="e" cm="1">
        <f t="array" aca="1" ref="BA71" ca="1">+_xll.EQNXTDZ($A$1,$B71,BA$51)</f>
        <v>#NAME?</v>
      </c>
      <c r="BB71" t="e" cm="1">
        <f t="array" aca="1" ref="BB71" ca="1">+_xll.EQNXTDZ($A$1,$B71,BB$51)</f>
        <v>#NAME?</v>
      </c>
      <c r="BC71" t="e" cm="1">
        <f t="array" aca="1" ref="BC71" ca="1">+_xll.EQNXTDZ($A$1,$B71,BC$51)</f>
        <v>#NAME?</v>
      </c>
      <c r="BD71" t="e" cm="1">
        <f t="array" aca="1" ref="BD71" ca="1">+_xll.EQNXTDZ($A$1,$B71,BD$51)</f>
        <v>#NAME?</v>
      </c>
      <c r="BE71" t="e" cm="1">
        <f t="array" aca="1" ref="BE71" ca="1">+_xll.EQNXTDZ($A$1,$B71,BE$51)</f>
        <v>#NAME?</v>
      </c>
      <c r="BF71" t="e" cm="1">
        <f t="array" aca="1" ref="BF71" ca="1">+_xll.EQNXTDZ($A$1,$B71,BF$51)</f>
        <v>#NAME?</v>
      </c>
      <c r="BG71" t="e" cm="1">
        <f t="array" aca="1" ref="BG71" ca="1">+_xll.EQNXTDZ($A$1,$B71,BG$51)</f>
        <v>#NAME?</v>
      </c>
      <c r="BH71" t="e" cm="1">
        <f t="array" aca="1" ref="BH71" ca="1">+_xll.EQNXTDZ($A$1,$B71,BH$51)</f>
        <v>#NAME?</v>
      </c>
      <c r="BI71" t="e" cm="1">
        <f t="array" aca="1" ref="BI71" ca="1">+_xll.EQNXTDZ($A$1,$B71,BI$51)</f>
        <v>#NAME?</v>
      </c>
      <c r="BJ71" t="e" cm="1">
        <f t="array" aca="1" ref="BJ71" ca="1">+_xll.EQNXTDZ($A$1,$B71,BJ$51)</f>
        <v>#NAME?</v>
      </c>
    </row>
    <row r="72" spans="1:62" x14ac:dyDescent="0.25">
      <c r="A72" t="s">
        <v>295</v>
      </c>
      <c r="B72" t="s">
        <v>319</v>
      </c>
      <c r="C72" t="e" cm="1">
        <f t="array" aca="1" ref="C72" ca="1">+_xll.EQNXTDZ($A$1,$B72,C$51)</f>
        <v>#NAME?</v>
      </c>
      <c r="D72" t="e" cm="1">
        <f t="array" aca="1" ref="D72" ca="1">+_xll.EQNXTDZ($A$1,$B72,D$51)</f>
        <v>#NAME?</v>
      </c>
      <c r="E72" t="e" cm="1">
        <f t="array" aca="1" ref="E72" ca="1">+_xll.EQNXTDZ($A$1,$B72,E$51)</f>
        <v>#NAME?</v>
      </c>
      <c r="F72" t="e" cm="1">
        <f t="array" aca="1" ref="F72" ca="1">+_xll.EQNXTDZ($A$1,$B72,F$51)</f>
        <v>#NAME?</v>
      </c>
      <c r="G72" t="e" cm="1">
        <f t="array" aca="1" ref="G72" ca="1">+_xll.EQNXTDZ($A$1,$B72,G$51)</f>
        <v>#NAME?</v>
      </c>
      <c r="H72" t="e" cm="1">
        <f t="array" aca="1" ref="H72" ca="1">+_xll.EQNXTDZ($A$1,$B72,H$51)</f>
        <v>#NAME?</v>
      </c>
      <c r="I72" t="e" cm="1">
        <f t="array" aca="1" ref="I72" ca="1">+_xll.EQNXTDZ($A$1,$B72,I$51)</f>
        <v>#NAME?</v>
      </c>
      <c r="J72" t="e" cm="1">
        <f t="array" aca="1" ref="J72" ca="1">+_xll.EQNXTDZ($A$1,$B72,J$51)</f>
        <v>#NAME?</v>
      </c>
      <c r="K72" t="e" cm="1">
        <f t="array" aca="1" ref="K72" ca="1">+_xll.EQNXTDZ($A$1,$B72,K$51)</f>
        <v>#NAME?</v>
      </c>
      <c r="L72" t="e" cm="1">
        <f t="array" aca="1" ref="L72" ca="1">+_xll.EQNXTDZ($A$1,$B72,L$51)</f>
        <v>#NAME?</v>
      </c>
      <c r="M72" t="e" cm="1">
        <f t="array" aca="1" ref="M72" ca="1">+_xll.EQNXTDZ($A$1,$B72,M$51)</f>
        <v>#NAME?</v>
      </c>
      <c r="N72" t="e" cm="1">
        <f t="array" aca="1" ref="N72" ca="1">+_xll.EQNXTDZ($A$1,$B72,N$51)</f>
        <v>#NAME?</v>
      </c>
      <c r="O72" t="e" cm="1">
        <f t="array" aca="1" ref="O72" ca="1">+_xll.EQNXTDZ($A$1,$B72,O$51)</f>
        <v>#NAME?</v>
      </c>
      <c r="P72" t="e" cm="1">
        <f t="array" aca="1" ref="P72" ca="1">+_xll.EQNXTDZ($A$1,$B72,P$51)</f>
        <v>#NAME?</v>
      </c>
      <c r="Q72" t="e" cm="1">
        <f t="array" aca="1" ref="Q72" ca="1">+_xll.EQNXTDZ($A$1,$B72,Q$51)</f>
        <v>#NAME?</v>
      </c>
      <c r="R72" t="e" cm="1">
        <f t="array" aca="1" ref="R72" ca="1">+_xll.EQNXTDZ($A$1,$B72,R$51)</f>
        <v>#NAME?</v>
      </c>
      <c r="S72" t="e" cm="1">
        <f t="array" aca="1" ref="S72" ca="1">+_xll.EQNXTDZ($A$1,$B72,S$51)</f>
        <v>#NAME?</v>
      </c>
      <c r="T72" t="e" cm="1">
        <f t="array" aca="1" ref="T72" ca="1">+_xll.EQNXTDZ($A$1,$B72,T$51)</f>
        <v>#NAME?</v>
      </c>
      <c r="U72" t="e" cm="1">
        <f t="array" aca="1" ref="U72" ca="1">+_xll.EQNXTDZ($A$1,$B72,U$51)</f>
        <v>#NAME?</v>
      </c>
      <c r="V72" t="e" cm="1">
        <f t="array" aca="1" ref="V72" ca="1">+_xll.EQNXTDZ($A$1,$B72,V$51)</f>
        <v>#NAME?</v>
      </c>
      <c r="W72" t="e" cm="1">
        <f t="array" aca="1" ref="W72" ca="1">+_xll.EQNXTDZ($A$1,$B72,W$51)</f>
        <v>#NAME?</v>
      </c>
      <c r="X72" t="e" cm="1">
        <f t="array" aca="1" ref="X72" ca="1">+_xll.EQNXTDZ($A$1,$B72,X$51)</f>
        <v>#NAME?</v>
      </c>
      <c r="Y72" t="e" cm="1">
        <f t="array" aca="1" ref="Y72" ca="1">+_xll.EQNXTDZ($A$1,$B72,Y$51)</f>
        <v>#NAME?</v>
      </c>
      <c r="Z72" t="e" cm="1">
        <f t="array" aca="1" ref="Z72" ca="1">+_xll.EQNXTDZ($A$1,$B72,Z$51)</f>
        <v>#NAME?</v>
      </c>
      <c r="AA72" t="e" cm="1">
        <f t="array" aca="1" ref="AA72" ca="1">+_xll.EQNXTDZ($A$1,$B72,AA$51)</f>
        <v>#NAME?</v>
      </c>
      <c r="AB72" t="e" cm="1">
        <f t="array" aca="1" ref="AB72" ca="1">+_xll.EQNXTDZ($A$1,$B72,AB$51)</f>
        <v>#NAME?</v>
      </c>
      <c r="AC72" t="e" cm="1">
        <f t="array" aca="1" ref="AC72" ca="1">+_xll.EQNXTDZ($A$1,$B72,AC$51)</f>
        <v>#NAME?</v>
      </c>
      <c r="AD72" t="e" cm="1">
        <f t="array" aca="1" ref="AD72" ca="1">+_xll.EQNXTDZ($A$1,$B72,AD$51)</f>
        <v>#NAME?</v>
      </c>
      <c r="AE72" t="e" cm="1">
        <f t="array" aca="1" ref="AE72" ca="1">+_xll.EQNXTDZ($A$1,$B72,AE$51)</f>
        <v>#NAME?</v>
      </c>
      <c r="AF72" t="e" cm="1">
        <f t="array" aca="1" ref="AF72" ca="1">+_xll.EQNXTDZ($A$1,$B72,AF$51)</f>
        <v>#NAME?</v>
      </c>
      <c r="AG72" t="e" cm="1">
        <f t="array" aca="1" ref="AG72" ca="1">+_xll.EQNXTDZ($A$1,$B72,AG$51)</f>
        <v>#NAME?</v>
      </c>
      <c r="AH72" t="e" cm="1">
        <f t="array" aca="1" ref="AH72" ca="1">+_xll.EQNXTDZ($A$1,$B72,AH$51)</f>
        <v>#NAME?</v>
      </c>
      <c r="AI72" t="e" cm="1">
        <f t="array" aca="1" ref="AI72" ca="1">+_xll.EQNXTDZ($A$1,$B72,AI$51)</f>
        <v>#NAME?</v>
      </c>
      <c r="AJ72" t="e" cm="1">
        <f t="array" aca="1" ref="AJ72" ca="1">+_xll.EQNXTDZ($A$1,$B72,AJ$51)</f>
        <v>#NAME?</v>
      </c>
      <c r="AK72" t="e" cm="1">
        <f t="array" aca="1" ref="AK72" ca="1">+_xll.EQNXTDZ($A$1,$B72,AK$51)</f>
        <v>#NAME?</v>
      </c>
      <c r="AL72" t="e" cm="1">
        <f t="array" aca="1" ref="AL72" ca="1">+_xll.EQNXTDZ($A$1,$B72,AL$51)</f>
        <v>#NAME?</v>
      </c>
      <c r="AM72" t="e" cm="1">
        <f t="array" aca="1" ref="AM72" ca="1">+_xll.EQNXTDZ($A$1,$B72,AM$51)</f>
        <v>#NAME?</v>
      </c>
      <c r="AN72" t="e" cm="1">
        <f t="array" aca="1" ref="AN72" ca="1">+_xll.EQNXTDZ($A$1,$B72,AN$51)</f>
        <v>#NAME?</v>
      </c>
      <c r="AO72" t="e" cm="1">
        <f t="array" aca="1" ref="AO72" ca="1">+_xll.EQNXTDZ($A$1,$B72,AO$51)</f>
        <v>#NAME?</v>
      </c>
      <c r="AP72" t="e" cm="1">
        <f t="array" aca="1" ref="AP72" ca="1">+_xll.EQNXTDZ($A$1,$B72,AP$51)</f>
        <v>#NAME?</v>
      </c>
      <c r="AQ72" t="e" cm="1">
        <f t="array" aca="1" ref="AQ72" ca="1">+_xll.EQNXTDZ($A$1,$B72,AQ$51)</f>
        <v>#NAME?</v>
      </c>
      <c r="AR72" t="e" cm="1">
        <f t="array" aca="1" ref="AR72" ca="1">+_xll.EQNXTDZ($A$1,$B72,AR$51)</f>
        <v>#NAME?</v>
      </c>
      <c r="AS72" t="e" cm="1">
        <f t="array" aca="1" ref="AS72" ca="1">+_xll.EQNXTDZ($A$1,$B72,AS$51)</f>
        <v>#NAME?</v>
      </c>
      <c r="AT72" t="e" cm="1">
        <f t="array" aca="1" ref="AT72" ca="1">+_xll.EQNXTDZ($A$1,$B72,AT$51)</f>
        <v>#NAME?</v>
      </c>
      <c r="AU72" t="e" cm="1">
        <f t="array" aca="1" ref="AU72" ca="1">+_xll.EQNXTDZ($A$1,$B72,AU$51)</f>
        <v>#NAME?</v>
      </c>
      <c r="AV72" t="e" cm="1">
        <f t="array" aca="1" ref="AV72" ca="1">+_xll.EQNXTDZ($A$1,$B72,AV$51)</f>
        <v>#NAME?</v>
      </c>
      <c r="AW72" t="e" cm="1">
        <f t="array" aca="1" ref="AW72" ca="1">+_xll.EQNXTDZ($A$1,$B72,AW$51)</f>
        <v>#NAME?</v>
      </c>
      <c r="AX72" t="e" cm="1">
        <f t="array" aca="1" ref="AX72" ca="1">+_xll.EQNXTDZ($A$1,$B72,AX$51)</f>
        <v>#NAME?</v>
      </c>
      <c r="AY72" t="e" cm="1">
        <f t="array" aca="1" ref="AY72" ca="1">+_xll.EQNXTDZ($A$1,$B72,AY$51)</f>
        <v>#NAME?</v>
      </c>
      <c r="AZ72" t="e" cm="1">
        <f t="array" aca="1" ref="AZ72" ca="1">+_xll.EQNXTDZ($A$1,$B72,AZ$51)</f>
        <v>#NAME?</v>
      </c>
      <c r="BA72" t="e" cm="1">
        <f t="array" aca="1" ref="BA72" ca="1">+_xll.EQNXTDZ($A$1,$B72,BA$51)</f>
        <v>#NAME?</v>
      </c>
      <c r="BB72" t="e" cm="1">
        <f t="array" aca="1" ref="BB72" ca="1">+_xll.EQNXTDZ($A$1,$B72,BB$51)</f>
        <v>#NAME?</v>
      </c>
      <c r="BC72" t="e" cm="1">
        <f t="array" aca="1" ref="BC72" ca="1">+_xll.EQNXTDZ($A$1,$B72,BC$51)</f>
        <v>#NAME?</v>
      </c>
      <c r="BD72" t="e" cm="1">
        <f t="array" aca="1" ref="BD72" ca="1">+_xll.EQNXTDZ($A$1,$B72,BD$51)</f>
        <v>#NAME?</v>
      </c>
      <c r="BE72" t="e" cm="1">
        <f t="array" aca="1" ref="BE72" ca="1">+_xll.EQNXTDZ($A$1,$B72,BE$51)</f>
        <v>#NAME?</v>
      </c>
      <c r="BF72" t="e" cm="1">
        <f t="array" aca="1" ref="BF72" ca="1">+_xll.EQNXTDZ($A$1,$B72,BF$51)</f>
        <v>#NAME?</v>
      </c>
      <c r="BG72" t="e" cm="1">
        <f t="array" aca="1" ref="BG72" ca="1">+_xll.EQNXTDZ($A$1,$B72,BG$51)</f>
        <v>#NAME?</v>
      </c>
      <c r="BH72" t="e" cm="1">
        <f t="array" aca="1" ref="BH72" ca="1">+_xll.EQNXTDZ($A$1,$B72,BH$51)</f>
        <v>#NAME?</v>
      </c>
      <c r="BI72" t="e" cm="1">
        <f t="array" aca="1" ref="BI72" ca="1">+_xll.EQNXTDZ($A$1,$B72,BI$51)</f>
        <v>#NAME?</v>
      </c>
      <c r="BJ72" t="e" cm="1">
        <f t="array" aca="1" ref="BJ72" ca="1">+_xll.EQNXTDZ($A$1,$B72,BJ$51)</f>
        <v>#NAME?</v>
      </c>
    </row>
    <row r="73" spans="1:62" x14ac:dyDescent="0.25">
      <c r="A73" t="s">
        <v>20</v>
      </c>
      <c r="B73" t="s">
        <v>320</v>
      </c>
      <c r="C73" t="e" cm="1">
        <f t="array" aca="1" ref="C73" ca="1">+_xll.EQNXTDZ($A$1,$B73,C$51)</f>
        <v>#NAME?</v>
      </c>
      <c r="D73" t="e" cm="1">
        <f t="array" aca="1" ref="D73" ca="1">+_xll.EQNXTDZ($A$1,$B73,D$51)</f>
        <v>#NAME?</v>
      </c>
      <c r="E73" t="e" cm="1">
        <f t="array" aca="1" ref="E73" ca="1">+_xll.EQNXTDZ($A$1,$B73,E$51)</f>
        <v>#NAME?</v>
      </c>
      <c r="F73" t="e" cm="1">
        <f t="array" aca="1" ref="F73" ca="1">+_xll.EQNXTDZ($A$1,$B73,F$51)</f>
        <v>#NAME?</v>
      </c>
      <c r="G73" t="e" cm="1">
        <f t="array" aca="1" ref="G73" ca="1">+_xll.EQNXTDZ($A$1,$B73,G$51)</f>
        <v>#NAME?</v>
      </c>
      <c r="H73" t="e" cm="1">
        <f t="array" aca="1" ref="H73" ca="1">+_xll.EQNXTDZ($A$1,$B73,H$51)</f>
        <v>#NAME?</v>
      </c>
      <c r="I73" t="e" cm="1">
        <f t="array" aca="1" ref="I73" ca="1">+_xll.EQNXTDZ($A$1,$B73,I$51)</f>
        <v>#NAME?</v>
      </c>
      <c r="J73" t="e" cm="1">
        <f t="array" aca="1" ref="J73" ca="1">+_xll.EQNXTDZ($A$1,$B73,J$51)</f>
        <v>#NAME?</v>
      </c>
      <c r="K73" t="e" cm="1">
        <f t="array" aca="1" ref="K73" ca="1">+_xll.EQNXTDZ($A$1,$B73,K$51)</f>
        <v>#NAME?</v>
      </c>
      <c r="L73" t="e" cm="1">
        <f t="array" aca="1" ref="L73" ca="1">+_xll.EQNXTDZ($A$1,$B73,L$51)</f>
        <v>#NAME?</v>
      </c>
      <c r="M73" t="e" cm="1">
        <f t="array" aca="1" ref="M73" ca="1">+_xll.EQNXTDZ($A$1,$B73,M$51)</f>
        <v>#NAME?</v>
      </c>
      <c r="N73" t="e" cm="1">
        <f t="array" aca="1" ref="N73" ca="1">+_xll.EQNXTDZ($A$1,$B73,N$51)</f>
        <v>#NAME?</v>
      </c>
      <c r="O73" t="e" cm="1">
        <f t="array" aca="1" ref="O73" ca="1">+_xll.EQNXTDZ($A$1,$B73,O$51)</f>
        <v>#NAME?</v>
      </c>
      <c r="P73" t="e" cm="1">
        <f t="array" aca="1" ref="P73" ca="1">+_xll.EQNXTDZ($A$1,$B73,P$51)</f>
        <v>#NAME?</v>
      </c>
      <c r="Q73" t="e" cm="1">
        <f t="array" aca="1" ref="Q73" ca="1">+_xll.EQNXTDZ($A$1,$B73,Q$51)</f>
        <v>#NAME?</v>
      </c>
      <c r="R73" t="e" cm="1">
        <f t="array" aca="1" ref="R73" ca="1">+_xll.EQNXTDZ($A$1,$B73,R$51)</f>
        <v>#NAME?</v>
      </c>
      <c r="S73" t="e" cm="1">
        <f t="array" aca="1" ref="S73" ca="1">+_xll.EQNXTDZ($A$1,$B73,S$51)</f>
        <v>#NAME?</v>
      </c>
      <c r="T73" t="e" cm="1">
        <f t="array" aca="1" ref="T73" ca="1">+_xll.EQNXTDZ($A$1,$B73,T$51)</f>
        <v>#NAME?</v>
      </c>
      <c r="U73" t="e" cm="1">
        <f t="array" aca="1" ref="U73" ca="1">+_xll.EQNXTDZ($A$1,$B73,U$51)</f>
        <v>#NAME?</v>
      </c>
      <c r="V73" t="e" cm="1">
        <f t="array" aca="1" ref="V73" ca="1">+_xll.EQNXTDZ($A$1,$B73,V$51)</f>
        <v>#NAME?</v>
      </c>
      <c r="W73" t="e" cm="1">
        <f t="array" aca="1" ref="W73" ca="1">+_xll.EQNXTDZ($A$1,$B73,W$51)</f>
        <v>#NAME?</v>
      </c>
      <c r="X73" t="e" cm="1">
        <f t="array" aca="1" ref="X73" ca="1">+_xll.EQNXTDZ($A$1,$B73,X$51)</f>
        <v>#NAME?</v>
      </c>
      <c r="Y73" t="e" cm="1">
        <f t="array" aca="1" ref="Y73" ca="1">+_xll.EQNXTDZ($A$1,$B73,Y$51)</f>
        <v>#NAME?</v>
      </c>
      <c r="Z73" t="e" cm="1">
        <f t="array" aca="1" ref="Z73" ca="1">+_xll.EQNXTDZ($A$1,$B73,Z$51)</f>
        <v>#NAME?</v>
      </c>
      <c r="AA73" t="e" cm="1">
        <f t="array" aca="1" ref="AA73" ca="1">+_xll.EQNXTDZ($A$1,$B73,AA$51)</f>
        <v>#NAME?</v>
      </c>
      <c r="AB73" t="e" cm="1">
        <f t="array" aca="1" ref="AB73" ca="1">+_xll.EQNXTDZ($A$1,$B73,AB$51)</f>
        <v>#NAME?</v>
      </c>
      <c r="AC73" t="e" cm="1">
        <f t="array" aca="1" ref="AC73" ca="1">+_xll.EQNXTDZ($A$1,$B73,AC$51)</f>
        <v>#NAME?</v>
      </c>
      <c r="AD73" t="e" cm="1">
        <f t="array" aca="1" ref="AD73" ca="1">+_xll.EQNXTDZ($A$1,$B73,AD$51)</f>
        <v>#NAME?</v>
      </c>
      <c r="AE73" t="e" cm="1">
        <f t="array" aca="1" ref="AE73" ca="1">+_xll.EQNXTDZ($A$1,$B73,AE$51)</f>
        <v>#NAME?</v>
      </c>
      <c r="AF73" t="e" cm="1">
        <f t="array" aca="1" ref="AF73" ca="1">+_xll.EQNXTDZ($A$1,$B73,AF$51)</f>
        <v>#NAME?</v>
      </c>
      <c r="AG73" t="e" cm="1">
        <f t="array" aca="1" ref="AG73" ca="1">+_xll.EQNXTDZ($A$1,$B73,AG$51)</f>
        <v>#NAME?</v>
      </c>
      <c r="AH73" t="e" cm="1">
        <f t="array" aca="1" ref="AH73" ca="1">+_xll.EQNXTDZ($A$1,$B73,AH$51)</f>
        <v>#NAME?</v>
      </c>
      <c r="AI73" t="e" cm="1">
        <f t="array" aca="1" ref="AI73" ca="1">+_xll.EQNXTDZ($A$1,$B73,AI$51)</f>
        <v>#NAME?</v>
      </c>
      <c r="AJ73" t="e" cm="1">
        <f t="array" aca="1" ref="AJ73" ca="1">+_xll.EQNXTDZ($A$1,$B73,AJ$51)</f>
        <v>#NAME?</v>
      </c>
      <c r="AK73" t="e" cm="1">
        <f t="array" aca="1" ref="AK73" ca="1">+_xll.EQNXTDZ($A$1,$B73,AK$51)</f>
        <v>#NAME?</v>
      </c>
      <c r="AL73" t="e" cm="1">
        <f t="array" aca="1" ref="AL73" ca="1">+_xll.EQNXTDZ($A$1,$B73,AL$51)</f>
        <v>#NAME?</v>
      </c>
      <c r="AM73" t="e" cm="1">
        <f t="array" aca="1" ref="AM73" ca="1">+_xll.EQNXTDZ($A$1,$B73,AM$51)</f>
        <v>#NAME?</v>
      </c>
      <c r="AN73" t="e" cm="1">
        <f t="array" aca="1" ref="AN73" ca="1">+_xll.EQNXTDZ($A$1,$B73,AN$51)</f>
        <v>#NAME?</v>
      </c>
      <c r="AO73" t="e" cm="1">
        <f t="array" aca="1" ref="AO73" ca="1">+_xll.EQNXTDZ($A$1,$B73,AO$51)</f>
        <v>#NAME?</v>
      </c>
      <c r="AP73" t="e" cm="1">
        <f t="array" aca="1" ref="AP73" ca="1">+_xll.EQNXTDZ($A$1,$B73,AP$51)</f>
        <v>#NAME?</v>
      </c>
      <c r="AQ73" t="e" cm="1">
        <f t="array" aca="1" ref="AQ73" ca="1">+_xll.EQNXTDZ($A$1,$B73,AQ$51)</f>
        <v>#NAME?</v>
      </c>
      <c r="AR73" t="e" cm="1">
        <f t="array" aca="1" ref="AR73" ca="1">+_xll.EQNXTDZ($A$1,$B73,AR$51)</f>
        <v>#NAME?</v>
      </c>
      <c r="AS73" t="e" cm="1">
        <f t="array" aca="1" ref="AS73" ca="1">+_xll.EQNXTDZ($A$1,$B73,AS$51)</f>
        <v>#NAME?</v>
      </c>
      <c r="AT73" t="e" cm="1">
        <f t="array" aca="1" ref="AT73" ca="1">+_xll.EQNXTDZ($A$1,$B73,AT$51)</f>
        <v>#NAME?</v>
      </c>
      <c r="AU73" t="e" cm="1">
        <f t="array" aca="1" ref="AU73" ca="1">+_xll.EQNXTDZ($A$1,$B73,AU$51)</f>
        <v>#NAME?</v>
      </c>
      <c r="AV73" t="e" cm="1">
        <f t="array" aca="1" ref="AV73" ca="1">+_xll.EQNXTDZ($A$1,$B73,AV$51)</f>
        <v>#NAME?</v>
      </c>
      <c r="AW73" t="e" cm="1">
        <f t="array" aca="1" ref="AW73" ca="1">+_xll.EQNXTDZ($A$1,$B73,AW$51)</f>
        <v>#NAME?</v>
      </c>
      <c r="AX73" t="e" cm="1">
        <f t="array" aca="1" ref="AX73" ca="1">+_xll.EQNXTDZ($A$1,$B73,AX$51)</f>
        <v>#NAME?</v>
      </c>
      <c r="AY73" t="e" cm="1">
        <f t="array" aca="1" ref="AY73" ca="1">+_xll.EQNXTDZ($A$1,$B73,AY$51)</f>
        <v>#NAME?</v>
      </c>
      <c r="AZ73" t="e" cm="1">
        <f t="array" aca="1" ref="AZ73" ca="1">+_xll.EQNXTDZ($A$1,$B73,AZ$51)</f>
        <v>#NAME?</v>
      </c>
      <c r="BA73" t="e" cm="1">
        <f t="array" aca="1" ref="BA73" ca="1">+_xll.EQNXTDZ($A$1,$B73,BA$51)</f>
        <v>#NAME?</v>
      </c>
      <c r="BB73" t="e" cm="1">
        <f t="array" aca="1" ref="BB73" ca="1">+_xll.EQNXTDZ($A$1,$B73,BB$51)</f>
        <v>#NAME?</v>
      </c>
      <c r="BC73" t="e" cm="1">
        <f t="array" aca="1" ref="BC73" ca="1">+_xll.EQNXTDZ($A$1,$B73,BC$51)</f>
        <v>#NAME?</v>
      </c>
      <c r="BD73" t="e" cm="1">
        <f t="array" aca="1" ref="BD73" ca="1">+_xll.EQNXTDZ($A$1,$B73,BD$51)</f>
        <v>#NAME?</v>
      </c>
      <c r="BE73" t="e" cm="1">
        <f t="array" aca="1" ref="BE73" ca="1">+_xll.EQNXTDZ($A$1,$B73,BE$51)</f>
        <v>#NAME?</v>
      </c>
      <c r="BF73" t="e" cm="1">
        <f t="array" aca="1" ref="BF73" ca="1">+_xll.EQNXTDZ($A$1,$B73,BF$51)</f>
        <v>#NAME?</v>
      </c>
      <c r="BG73" t="e" cm="1">
        <f t="array" aca="1" ref="BG73" ca="1">+_xll.EQNXTDZ($A$1,$B73,BG$51)</f>
        <v>#NAME?</v>
      </c>
      <c r="BH73" t="e" cm="1">
        <f t="array" aca="1" ref="BH73" ca="1">+_xll.EQNXTDZ($A$1,$B73,BH$51)</f>
        <v>#NAME?</v>
      </c>
      <c r="BI73" t="e" cm="1">
        <f t="array" aca="1" ref="BI73" ca="1">+_xll.EQNXTDZ($A$1,$B73,BI$51)</f>
        <v>#NAME?</v>
      </c>
      <c r="BJ73" t="e" cm="1">
        <f t="array" aca="1" ref="BJ73" ca="1">+_xll.EQNXTDZ($A$1,$B73,BJ$51)</f>
        <v>#NAME?</v>
      </c>
    </row>
    <row r="74" spans="1:62" x14ac:dyDescent="0.25">
      <c r="A74" t="s">
        <v>135</v>
      </c>
      <c r="B74" t="s">
        <v>321</v>
      </c>
      <c r="C74" t="e" cm="1">
        <f t="array" aca="1" ref="C74" ca="1">+_xll.EQNXTDZ($A$1,$B74,C$51)</f>
        <v>#NAME?</v>
      </c>
      <c r="D74" t="e" cm="1">
        <f t="array" aca="1" ref="D74" ca="1">+_xll.EQNXTDZ($A$1,$B74,D$51)</f>
        <v>#NAME?</v>
      </c>
      <c r="E74" t="e" cm="1">
        <f t="array" aca="1" ref="E74" ca="1">+_xll.EQNXTDZ($A$1,$B74,E$51)</f>
        <v>#NAME?</v>
      </c>
      <c r="F74" t="e" cm="1">
        <f t="array" aca="1" ref="F74" ca="1">+_xll.EQNXTDZ($A$1,$B74,F$51)</f>
        <v>#NAME?</v>
      </c>
      <c r="G74" t="e" cm="1">
        <f t="array" aca="1" ref="G74" ca="1">+_xll.EQNXTDZ($A$1,$B74,G$51)</f>
        <v>#NAME?</v>
      </c>
      <c r="H74" t="e" cm="1">
        <f t="array" aca="1" ref="H74" ca="1">+_xll.EQNXTDZ($A$1,$B74,H$51)</f>
        <v>#NAME?</v>
      </c>
      <c r="I74" t="e" cm="1">
        <f t="array" aca="1" ref="I74" ca="1">+_xll.EQNXTDZ($A$1,$B74,I$51)</f>
        <v>#NAME?</v>
      </c>
      <c r="J74" t="e" cm="1">
        <f t="array" aca="1" ref="J74" ca="1">+_xll.EQNXTDZ($A$1,$B74,J$51)</f>
        <v>#NAME?</v>
      </c>
      <c r="K74" t="e" cm="1">
        <f t="array" aca="1" ref="K74" ca="1">+_xll.EQNXTDZ($A$1,$B74,K$51)</f>
        <v>#NAME?</v>
      </c>
      <c r="L74" t="e" cm="1">
        <f t="array" aca="1" ref="L74" ca="1">+_xll.EQNXTDZ($A$1,$B74,L$51)</f>
        <v>#NAME?</v>
      </c>
      <c r="M74" t="e" cm="1">
        <f t="array" aca="1" ref="M74" ca="1">+_xll.EQNXTDZ($A$1,$B74,M$51)</f>
        <v>#NAME?</v>
      </c>
      <c r="N74" t="e" cm="1">
        <f t="array" aca="1" ref="N74" ca="1">+_xll.EQNXTDZ($A$1,$B74,N$51)</f>
        <v>#NAME?</v>
      </c>
      <c r="O74" t="e" cm="1">
        <f t="array" aca="1" ref="O74" ca="1">+_xll.EQNXTDZ($A$1,$B74,O$51)</f>
        <v>#NAME?</v>
      </c>
      <c r="P74" t="e" cm="1">
        <f t="array" aca="1" ref="P74" ca="1">+_xll.EQNXTDZ($A$1,$B74,P$51)</f>
        <v>#NAME?</v>
      </c>
      <c r="Q74" t="e" cm="1">
        <f t="array" aca="1" ref="Q74" ca="1">+_xll.EQNXTDZ($A$1,$B74,Q$51)</f>
        <v>#NAME?</v>
      </c>
      <c r="R74" t="e" cm="1">
        <f t="array" aca="1" ref="R74" ca="1">+_xll.EQNXTDZ($A$1,$B74,R$51)</f>
        <v>#NAME?</v>
      </c>
      <c r="S74" t="e" cm="1">
        <f t="array" aca="1" ref="S74" ca="1">+_xll.EQNXTDZ($A$1,$B74,S$51)</f>
        <v>#NAME?</v>
      </c>
      <c r="T74" t="e" cm="1">
        <f t="array" aca="1" ref="T74" ca="1">+_xll.EQNXTDZ($A$1,$B74,T$51)</f>
        <v>#NAME?</v>
      </c>
      <c r="U74" t="e" cm="1">
        <f t="array" aca="1" ref="U74" ca="1">+_xll.EQNXTDZ($A$1,$B74,U$51)</f>
        <v>#NAME?</v>
      </c>
      <c r="V74" t="e" cm="1">
        <f t="array" aca="1" ref="V74" ca="1">+_xll.EQNXTDZ($A$1,$B74,V$51)</f>
        <v>#NAME?</v>
      </c>
      <c r="W74" t="e" cm="1">
        <f t="array" aca="1" ref="W74" ca="1">+_xll.EQNXTDZ($A$1,$B74,W$51)</f>
        <v>#NAME?</v>
      </c>
      <c r="X74" t="e" cm="1">
        <f t="array" aca="1" ref="X74" ca="1">+_xll.EQNXTDZ($A$1,$B74,X$51)</f>
        <v>#NAME?</v>
      </c>
      <c r="Y74" t="e" cm="1">
        <f t="array" aca="1" ref="Y74" ca="1">+_xll.EQNXTDZ($A$1,$B74,Y$51)</f>
        <v>#NAME?</v>
      </c>
      <c r="Z74" t="e" cm="1">
        <f t="array" aca="1" ref="Z74" ca="1">+_xll.EQNXTDZ($A$1,$B74,Z$51)</f>
        <v>#NAME?</v>
      </c>
      <c r="AA74" t="e" cm="1">
        <f t="array" aca="1" ref="AA74" ca="1">+_xll.EQNXTDZ($A$1,$B74,AA$51)</f>
        <v>#NAME?</v>
      </c>
      <c r="AB74" t="e" cm="1">
        <f t="array" aca="1" ref="AB74" ca="1">+_xll.EQNXTDZ($A$1,$B74,AB$51)</f>
        <v>#NAME?</v>
      </c>
      <c r="AC74" t="e" cm="1">
        <f t="array" aca="1" ref="AC74" ca="1">+_xll.EQNXTDZ($A$1,$B74,AC$51)</f>
        <v>#NAME?</v>
      </c>
      <c r="AD74" t="e" cm="1">
        <f t="array" aca="1" ref="AD74" ca="1">+_xll.EQNXTDZ($A$1,$B74,AD$51)</f>
        <v>#NAME?</v>
      </c>
      <c r="AE74" t="e" cm="1">
        <f t="array" aca="1" ref="AE74" ca="1">+_xll.EQNXTDZ($A$1,$B74,AE$51)</f>
        <v>#NAME?</v>
      </c>
      <c r="AF74" t="e" cm="1">
        <f t="array" aca="1" ref="AF74" ca="1">+_xll.EQNXTDZ($A$1,$B74,AF$51)</f>
        <v>#NAME?</v>
      </c>
      <c r="AG74" t="e" cm="1">
        <f t="array" aca="1" ref="AG74" ca="1">+_xll.EQNXTDZ($A$1,$B74,AG$51)</f>
        <v>#NAME?</v>
      </c>
      <c r="AH74" t="e" cm="1">
        <f t="array" aca="1" ref="AH74" ca="1">+_xll.EQNXTDZ($A$1,$B74,AH$51)</f>
        <v>#NAME?</v>
      </c>
      <c r="AI74" t="e" cm="1">
        <f t="array" aca="1" ref="AI74" ca="1">+_xll.EQNXTDZ($A$1,$B74,AI$51)</f>
        <v>#NAME?</v>
      </c>
      <c r="AJ74" t="e" cm="1">
        <f t="array" aca="1" ref="AJ74" ca="1">+_xll.EQNXTDZ($A$1,$B74,AJ$51)</f>
        <v>#NAME?</v>
      </c>
      <c r="AK74" t="e" cm="1">
        <f t="array" aca="1" ref="AK74" ca="1">+_xll.EQNXTDZ($A$1,$B74,AK$51)</f>
        <v>#NAME?</v>
      </c>
      <c r="AL74" t="e" cm="1">
        <f t="array" aca="1" ref="AL74" ca="1">+_xll.EQNXTDZ($A$1,$B74,AL$51)</f>
        <v>#NAME?</v>
      </c>
      <c r="AM74" t="e" cm="1">
        <f t="array" aca="1" ref="AM74" ca="1">+_xll.EQNXTDZ($A$1,$B74,AM$51)</f>
        <v>#NAME?</v>
      </c>
      <c r="AN74" t="e" cm="1">
        <f t="array" aca="1" ref="AN74" ca="1">+_xll.EQNXTDZ($A$1,$B74,AN$51)</f>
        <v>#NAME?</v>
      </c>
      <c r="AO74" t="e" cm="1">
        <f t="array" aca="1" ref="AO74" ca="1">+_xll.EQNXTDZ($A$1,$B74,AO$51)</f>
        <v>#NAME?</v>
      </c>
      <c r="AP74" t="e" cm="1">
        <f t="array" aca="1" ref="AP74" ca="1">+_xll.EQNXTDZ($A$1,$B74,AP$51)</f>
        <v>#NAME?</v>
      </c>
      <c r="AQ74" t="e" cm="1">
        <f t="array" aca="1" ref="AQ74" ca="1">+_xll.EQNXTDZ($A$1,$B74,AQ$51)</f>
        <v>#NAME?</v>
      </c>
      <c r="AR74" t="e" cm="1">
        <f t="array" aca="1" ref="AR74" ca="1">+_xll.EQNXTDZ($A$1,$B74,AR$51)</f>
        <v>#NAME?</v>
      </c>
      <c r="AS74" t="e" cm="1">
        <f t="array" aca="1" ref="AS74" ca="1">+_xll.EQNXTDZ($A$1,$B74,AS$51)</f>
        <v>#NAME?</v>
      </c>
      <c r="AT74" t="e" cm="1">
        <f t="array" aca="1" ref="AT74" ca="1">+_xll.EQNXTDZ($A$1,$B74,AT$51)</f>
        <v>#NAME?</v>
      </c>
      <c r="AU74" t="e" cm="1">
        <f t="array" aca="1" ref="AU74" ca="1">+_xll.EQNXTDZ($A$1,$B74,AU$51)</f>
        <v>#NAME?</v>
      </c>
      <c r="AV74" t="e" cm="1">
        <f t="array" aca="1" ref="AV74" ca="1">+_xll.EQNXTDZ($A$1,$B74,AV$51)</f>
        <v>#NAME?</v>
      </c>
      <c r="AW74" t="e" cm="1">
        <f t="array" aca="1" ref="AW74" ca="1">+_xll.EQNXTDZ($A$1,$B74,AW$51)</f>
        <v>#NAME?</v>
      </c>
      <c r="AX74" t="e" cm="1">
        <f t="array" aca="1" ref="AX74" ca="1">+_xll.EQNXTDZ($A$1,$B74,AX$51)</f>
        <v>#NAME?</v>
      </c>
      <c r="AY74" t="e" cm="1">
        <f t="array" aca="1" ref="AY74" ca="1">+_xll.EQNXTDZ($A$1,$B74,AY$51)</f>
        <v>#NAME?</v>
      </c>
      <c r="AZ74" t="e" cm="1">
        <f t="array" aca="1" ref="AZ74" ca="1">+_xll.EQNXTDZ($A$1,$B74,AZ$51)</f>
        <v>#NAME?</v>
      </c>
      <c r="BA74" t="e" cm="1">
        <f t="array" aca="1" ref="BA74" ca="1">+_xll.EQNXTDZ($A$1,$B74,BA$51)</f>
        <v>#NAME?</v>
      </c>
      <c r="BB74" t="e" cm="1">
        <f t="array" aca="1" ref="BB74" ca="1">+_xll.EQNXTDZ($A$1,$B74,BB$51)</f>
        <v>#NAME?</v>
      </c>
      <c r="BC74" t="e" cm="1">
        <f t="array" aca="1" ref="BC74" ca="1">+_xll.EQNXTDZ($A$1,$B74,BC$51)</f>
        <v>#NAME?</v>
      </c>
      <c r="BD74" t="e" cm="1">
        <f t="array" aca="1" ref="BD74" ca="1">+_xll.EQNXTDZ($A$1,$B74,BD$51)</f>
        <v>#NAME?</v>
      </c>
      <c r="BE74" t="e" cm="1">
        <f t="array" aca="1" ref="BE74" ca="1">+_xll.EQNXTDZ($A$1,$B74,BE$51)</f>
        <v>#NAME?</v>
      </c>
      <c r="BF74" t="e" cm="1">
        <f t="array" aca="1" ref="BF74" ca="1">+_xll.EQNXTDZ($A$1,$B74,BF$51)</f>
        <v>#NAME?</v>
      </c>
      <c r="BG74" t="e" cm="1">
        <f t="array" aca="1" ref="BG74" ca="1">+_xll.EQNXTDZ($A$1,$B74,BG$51)</f>
        <v>#NAME?</v>
      </c>
      <c r="BH74" t="e" cm="1">
        <f t="array" aca="1" ref="BH74" ca="1">+_xll.EQNXTDZ($A$1,$B74,BH$51)</f>
        <v>#NAME?</v>
      </c>
      <c r="BI74" t="e" cm="1">
        <f t="array" aca="1" ref="BI74" ca="1">+_xll.EQNXTDZ($A$1,$B74,BI$51)</f>
        <v>#NAME?</v>
      </c>
      <c r="BJ74" t="e" cm="1">
        <f t="array" aca="1" ref="BJ74" ca="1">+_xll.EQNXTDZ($A$1,$B74,BJ$51)</f>
        <v>#NAME?</v>
      </c>
    </row>
    <row r="75" spans="1:62" x14ac:dyDescent="0.25">
      <c r="A75" t="s">
        <v>136</v>
      </c>
      <c r="B75" t="s">
        <v>322</v>
      </c>
      <c r="C75" t="e" cm="1">
        <f t="array" aca="1" ref="C75" ca="1">+_xll.EQNXTDZ($A$1,$B75,C$51)</f>
        <v>#NAME?</v>
      </c>
      <c r="D75" t="e" cm="1">
        <f t="array" aca="1" ref="D75" ca="1">+_xll.EQNXTDZ($A$1,$B75,D$51)</f>
        <v>#NAME?</v>
      </c>
      <c r="E75" t="e" cm="1">
        <f t="array" aca="1" ref="E75" ca="1">+_xll.EQNXTDZ($A$1,$B75,E$51)</f>
        <v>#NAME?</v>
      </c>
      <c r="F75" t="e" cm="1">
        <f t="array" aca="1" ref="F75" ca="1">+_xll.EQNXTDZ($A$1,$B75,F$51)</f>
        <v>#NAME?</v>
      </c>
      <c r="G75" t="e" cm="1">
        <f t="array" aca="1" ref="G75" ca="1">+_xll.EQNXTDZ($A$1,$B75,G$51)</f>
        <v>#NAME?</v>
      </c>
      <c r="H75" t="e" cm="1">
        <f t="array" aca="1" ref="H75" ca="1">+_xll.EQNXTDZ($A$1,$B75,H$51)</f>
        <v>#NAME?</v>
      </c>
      <c r="I75" t="e" cm="1">
        <f t="array" aca="1" ref="I75" ca="1">+_xll.EQNXTDZ($A$1,$B75,I$51)</f>
        <v>#NAME?</v>
      </c>
      <c r="J75" t="e" cm="1">
        <f t="array" aca="1" ref="J75" ca="1">+_xll.EQNXTDZ($A$1,$B75,J$51)</f>
        <v>#NAME?</v>
      </c>
      <c r="K75" t="e" cm="1">
        <f t="array" aca="1" ref="K75" ca="1">+_xll.EQNXTDZ($A$1,$B75,K$51)</f>
        <v>#NAME?</v>
      </c>
      <c r="L75" t="e" cm="1">
        <f t="array" aca="1" ref="L75" ca="1">+_xll.EQNXTDZ($A$1,$B75,L$51)</f>
        <v>#NAME?</v>
      </c>
      <c r="M75" t="e" cm="1">
        <f t="array" aca="1" ref="M75" ca="1">+_xll.EQNXTDZ($A$1,$B75,M$51)</f>
        <v>#NAME?</v>
      </c>
      <c r="N75" t="e" cm="1">
        <f t="array" aca="1" ref="N75" ca="1">+_xll.EQNXTDZ($A$1,$B75,N$51)</f>
        <v>#NAME?</v>
      </c>
      <c r="O75" t="e" cm="1">
        <f t="array" aca="1" ref="O75" ca="1">+_xll.EQNXTDZ($A$1,$B75,O$51)</f>
        <v>#NAME?</v>
      </c>
      <c r="P75" t="e" cm="1">
        <f t="array" aca="1" ref="P75" ca="1">+_xll.EQNXTDZ($A$1,$B75,P$51)</f>
        <v>#NAME?</v>
      </c>
      <c r="Q75" t="e" cm="1">
        <f t="array" aca="1" ref="Q75" ca="1">+_xll.EQNXTDZ($A$1,$B75,Q$51)</f>
        <v>#NAME?</v>
      </c>
      <c r="R75" t="e" cm="1">
        <f t="array" aca="1" ref="R75" ca="1">+_xll.EQNXTDZ($A$1,$B75,R$51)</f>
        <v>#NAME?</v>
      </c>
      <c r="S75" t="e" cm="1">
        <f t="array" aca="1" ref="S75" ca="1">+_xll.EQNXTDZ($A$1,$B75,S$51)</f>
        <v>#NAME?</v>
      </c>
      <c r="T75" t="e" cm="1">
        <f t="array" aca="1" ref="T75" ca="1">+_xll.EQNXTDZ($A$1,$B75,T$51)</f>
        <v>#NAME?</v>
      </c>
      <c r="U75" t="e" cm="1">
        <f t="array" aca="1" ref="U75" ca="1">+_xll.EQNXTDZ($A$1,$B75,U$51)</f>
        <v>#NAME?</v>
      </c>
      <c r="V75" t="e" cm="1">
        <f t="array" aca="1" ref="V75" ca="1">+_xll.EQNXTDZ($A$1,$B75,V$51)</f>
        <v>#NAME?</v>
      </c>
      <c r="W75" t="e" cm="1">
        <f t="array" aca="1" ref="W75" ca="1">+_xll.EQNXTDZ($A$1,$B75,W$51)</f>
        <v>#NAME?</v>
      </c>
      <c r="X75" t="e" cm="1">
        <f t="array" aca="1" ref="X75" ca="1">+_xll.EQNXTDZ($A$1,$B75,X$51)</f>
        <v>#NAME?</v>
      </c>
      <c r="Y75" t="e" cm="1">
        <f t="array" aca="1" ref="Y75" ca="1">+_xll.EQNXTDZ($A$1,$B75,Y$51)</f>
        <v>#NAME?</v>
      </c>
      <c r="Z75" t="e" cm="1">
        <f t="array" aca="1" ref="Z75" ca="1">+_xll.EQNXTDZ($A$1,$B75,Z$51)</f>
        <v>#NAME?</v>
      </c>
      <c r="AA75" t="e" cm="1">
        <f t="array" aca="1" ref="AA75" ca="1">+_xll.EQNXTDZ($A$1,$B75,AA$51)</f>
        <v>#NAME?</v>
      </c>
      <c r="AB75" t="e" cm="1">
        <f t="array" aca="1" ref="AB75" ca="1">+_xll.EQNXTDZ($A$1,$B75,AB$51)</f>
        <v>#NAME?</v>
      </c>
      <c r="AC75" t="e" cm="1">
        <f t="array" aca="1" ref="AC75" ca="1">+_xll.EQNXTDZ($A$1,$B75,AC$51)</f>
        <v>#NAME?</v>
      </c>
      <c r="AD75" t="e" cm="1">
        <f t="array" aca="1" ref="AD75" ca="1">+_xll.EQNXTDZ($A$1,$B75,AD$51)</f>
        <v>#NAME?</v>
      </c>
      <c r="AE75" t="e" cm="1">
        <f t="array" aca="1" ref="AE75" ca="1">+_xll.EQNXTDZ($A$1,$B75,AE$51)</f>
        <v>#NAME?</v>
      </c>
      <c r="AF75" t="e" cm="1">
        <f t="array" aca="1" ref="AF75" ca="1">+_xll.EQNXTDZ($A$1,$B75,AF$51)</f>
        <v>#NAME?</v>
      </c>
      <c r="AG75" t="e" cm="1">
        <f t="array" aca="1" ref="AG75" ca="1">+_xll.EQNXTDZ($A$1,$B75,AG$51)</f>
        <v>#NAME?</v>
      </c>
      <c r="AH75" t="e" cm="1">
        <f t="array" aca="1" ref="AH75" ca="1">+_xll.EQNXTDZ($A$1,$B75,AH$51)</f>
        <v>#NAME?</v>
      </c>
      <c r="AI75" t="e" cm="1">
        <f t="array" aca="1" ref="AI75" ca="1">+_xll.EQNXTDZ($A$1,$B75,AI$51)</f>
        <v>#NAME?</v>
      </c>
      <c r="AJ75" t="e" cm="1">
        <f t="array" aca="1" ref="AJ75" ca="1">+_xll.EQNXTDZ($A$1,$B75,AJ$51)</f>
        <v>#NAME?</v>
      </c>
      <c r="AK75" t="e" cm="1">
        <f t="array" aca="1" ref="AK75" ca="1">+_xll.EQNXTDZ($A$1,$B75,AK$51)</f>
        <v>#NAME?</v>
      </c>
      <c r="AL75" t="e" cm="1">
        <f t="array" aca="1" ref="AL75" ca="1">+_xll.EQNXTDZ($A$1,$B75,AL$51)</f>
        <v>#NAME?</v>
      </c>
      <c r="AM75" t="e" cm="1">
        <f t="array" aca="1" ref="AM75" ca="1">+_xll.EQNXTDZ($A$1,$B75,AM$51)</f>
        <v>#NAME?</v>
      </c>
      <c r="AN75" t="e" cm="1">
        <f t="array" aca="1" ref="AN75" ca="1">+_xll.EQNXTDZ($A$1,$B75,AN$51)</f>
        <v>#NAME?</v>
      </c>
      <c r="AO75" t="e" cm="1">
        <f t="array" aca="1" ref="AO75" ca="1">+_xll.EQNXTDZ($A$1,$B75,AO$51)</f>
        <v>#NAME?</v>
      </c>
      <c r="AP75" t="e" cm="1">
        <f t="array" aca="1" ref="AP75" ca="1">+_xll.EQNXTDZ($A$1,$B75,AP$51)</f>
        <v>#NAME?</v>
      </c>
      <c r="AQ75" t="e" cm="1">
        <f t="array" aca="1" ref="AQ75" ca="1">+_xll.EQNXTDZ($A$1,$B75,AQ$51)</f>
        <v>#NAME?</v>
      </c>
      <c r="AR75" t="e" cm="1">
        <f t="array" aca="1" ref="AR75" ca="1">+_xll.EQNXTDZ($A$1,$B75,AR$51)</f>
        <v>#NAME?</v>
      </c>
      <c r="AS75" t="e" cm="1">
        <f t="array" aca="1" ref="AS75" ca="1">+_xll.EQNXTDZ($A$1,$B75,AS$51)</f>
        <v>#NAME?</v>
      </c>
      <c r="AT75" t="e" cm="1">
        <f t="array" aca="1" ref="AT75" ca="1">+_xll.EQNXTDZ($A$1,$B75,AT$51)</f>
        <v>#NAME?</v>
      </c>
      <c r="AU75" t="e" cm="1">
        <f t="array" aca="1" ref="AU75" ca="1">+_xll.EQNXTDZ($A$1,$B75,AU$51)</f>
        <v>#NAME?</v>
      </c>
      <c r="AV75" t="e" cm="1">
        <f t="array" aca="1" ref="AV75" ca="1">+_xll.EQNXTDZ($A$1,$B75,AV$51)</f>
        <v>#NAME?</v>
      </c>
      <c r="AW75" t="e" cm="1">
        <f t="array" aca="1" ref="AW75" ca="1">+_xll.EQNXTDZ($A$1,$B75,AW$51)</f>
        <v>#NAME?</v>
      </c>
      <c r="AX75" t="e" cm="1">
        <f t="array" aca="1" ref="AX75" ca="1">+_xll.EQNXTDZ($A$1,$B75,AX$51)</f>
        <v>#NAME?</v>
      </c>
      <c r="AY75" t="e" cm="1">
        <f t="array" aca="1" ref="AY75" ca="1">+_xll.EQNXTDZ($A$1,$B75,AY$51)</f>
        <v>#NAME?</v>
      </c>
      <c r="AZ75" t="e" cm="1">
        <f t="array" aca="1" ref="AZ75" ca="1">+_xll.EQNXTDZ($A$1,$B75,AZ$51)</f>
        <v>#NAME?</v>
      </c>
      <c r="BA75" t="e" cm="1">
        <f t="array" aca="1" ref="BA75" ca="1">+_xll.EQNXTDZ($A$1,$B75,BA$51)</f>
        <v>#NAME?</v>
      </c>
      <c r="BB75" t="e" cm="1">
        <f t="array" aca="1" ref="BB75" ca="1">+_xll.EQNXTDZ($A$1,$B75,BB$51)</f>
        <v>#NAME?</v>
      </c>
      <c r="BC75" t="e" cm="1">
        <f t="array" aca="1" ref="BC75" ca="1">+_xll.EQNXTDZ($A$1,$B75,BC$51)</f>
        <v>#NAME?</v>
      </c>
      <c r="BD75" t="e" cm="1">
        <f t="array" aca="1" ref="BD75" ca="1">+_xll.EQNXTDZ($A$1,$B75,BD$51)</f>
        <v>#NAME?</v>
      </c>
      <c r="BE75" t="e" cm="1">
        <f t="array" aca="1" ref="BE75" ca="1">+_xll.EQNXTDZ($A$1,$B75,BE$51)</f>
        <v>#NAME?</v>
      </c>
      <c r="BF75" t="e" cm="1">
        <f t="array" aca="1" ref="BF75" ca="1">+_xll.EQNXTDZ($A$1,$B75,BF$51)</f>
        <v>#NAME?</v>
      </c>
      <c r="BG75" t="e" cm="1">
        <f t="array" aca="1" ref="BG75" ca="1">+_xll.EQNXTDZ($A$1,$B75,BG$51)</f>
        <v>#NAME?</v>
      </c>
      <c r="BH75" t="e" cm="1">
        <f t="array" aca="1" ref="BH75" ca="1">+_xll.EQNXTDZ($A$1,$B75,BH$51)</f>
        <v>#NAME?</v>
      </c>
      <c r="BI75" t="e" cm="1">
        <f t="array" aca="1" ref="BI75" ca="1">+_xll.EQNXTDZ($A$1,$B75,BI$51)</f>
        <v>#NAME?</v>
      </c>
      <c r="BJ75" t="e" cm="1">
        <f t="array" aca="1" ref="BJ75" ca="1">+_xll.EQNXTDZ($A$1,$B75,BJ$51)</f>
        <v>#NAME?</v>
      </c>
    </row>
    <row r="76" spans="1:62" x14ac:dyDescent="0.25">
      <c r="A76" t="s">
        <v>296</v>
      </c>
      <c r="B76" t="s">
        <v>323</v>
      </c>
      <c r="C76" t="e" cm="1">
        <f t="array" aca="1" ref="C76" ca="1">+_xll.EQNXTDZ($A$1,$B76,C$51)</f>
        <v>#NAME?</v>
      </c>
      <c r="D76" t="e" cm="1">
        <f t="array" aca="1" ref="D76" ca="1">+_xll.EQNXTDZ($A$1,$B76,D$51)</f>
        <v>#NAME?</v>
      </c>
      <c r="E76" t="e" cm="1">
        <f t="array" aca="1" ref="E76" ca="1">+_xll.EQNXTDZ($A$1,$B76,E$51)</f>
        <v>#NAME?</v>
      </c>
      <c r="F76" t="e" cm="1">
        <f t="array" aca="1" ref="F76" ca="1">+_xll.EQNXTDZ($A$1,$B76,F$51)</f>
        <v>#NAME?</v>
      </c>
      <c r="G76" t="e" cm="1">
        <f t="array" aca="1" ref="G76" ca="1">+_xll.EQNXTDZ($A$1,$B76,G$51)</f>
        <v>#NAME?</v>
      </c>
      <c r="H76" t="e" cm="1">
        <f t="array" aca="1" ref="H76" ca="1">+_xll.EQNXTDZ($A$1,$B76,H$51)</f>
        <v>#NAME?</v>
      </c>
      <c r="I76" t="e" cm="1">
        <f t="array" aca="1" ref="I76" ca="1">+_xll.EQNXTDZ($A$1,$B76,I$51)</f>
        <v>#NAME?</v>
      </c>
      <c r="J76" t="e" cm="1">
        <f t="array" aca="1" ref="J76" ca="1">+_xll.EQNXTDZ($A$1,$B76,J$51)</f>
        <v>#NAME?</v>
      </c>
      <c r="K76" t="e" cm="1">
        <f t="array" aca="1" ref="K76" ca="1">+_xll.EQNXTDZ($A$1,$B76,K$51)</f>
        <v>#NAME?</v>
      </c>
      <c r="L76" t="e" cm="1">
        <f t="array" aca="1" ref="L76" ca="1">+_xll.EQNXTDZ($A$1,$B76,L$51)</f>
        <v>#NAME?</v>
      </c>
      <c r="M76" t="e" cm="1">
        <f t="array" aca="1" ref="M76" ca="1">+_xll.EQNXTDZ($A$1,$B76,M$51)</f>
        <v>#NAME?</v>
      </c>
      <c r="N76" t="e" cm="1">
        <f t="array" aca="1" ref="N76" ca="1">+_xll.EQNXTDZ($A$1,$B76,N$51)</f>
        <v>#NAME?</v>
      </c>
      <c r="O76" t="e" cm="1">
        <f t="array" aca="1" ref="O76" ca="1">+_xll.EQNXTDZ($A$1,$B76,O$51)</f>
        <v>#NAME?</v>
      </c>
      <c r="P76" t="e" cm="1">
        <f t="array" aca="1" ref="P76" ca="1">+_xll.EQNXTDZ($A$1,$B76,P$51)</f>
        <v>#NAME?</v>
      </c>
      <c r="Q76" t="e" cm="1">
        <f t="array" aca="1" ref="Q76" ca="1">+_xll.EQNXTDZ($A$1,$B76,Q$51)</f>
        <v>#NAME?</v>
      </c>
      <c r="R76" t="e" cm="1">
        <f t="array" aca="1" ref="R76" ca="1">+_xll.EQNXTDZ($A$1,$B76,R$51)</f>
        <v>#NAME?</v>
      </c>
      <c r="S76" t="e" cm="1">
        <f t="array" aca="1" ref="S76" ca="1">+_xll.EQNXTDZ($A$1,$B76,S$51)</f>
        <v>#NAME?</v>
      </c>
      <c r="T76" t="e" cm="1">
        <f t="array" aca="1" ref="T76" ca="1">+_xll.EQNXTDZ($A$1,$B76,T$51)</f>
        <v>#NAME?</v>
      </c>
      <c r="U76" t="e" cm="1">
        <f t="array" aca="1" ref="U76" ca="1">+_xll.EQNXTDZ($A$1,$B76,U$51)</f>
        <v>#NAME?</v>
      </c>
      <c r="V76" t="e" cm="1">
        <f t="array" aca="1" ref="V76" ca="1">+_xll.EQNXTDZ($A$1,$B76,V$51)</f>
        <v>#NAME?</v>
      </c>
      <c r="W76" t="e" cm="1">
        <f t="array" aca="1" ref="W76" ca="1">+_xll.EQNXTDZ($A$1,$B76,W$51)</f>
        <v>#NAME?</v>
      </c>
      <c r="X76" t="e" cm="1">
        <f t="array" aca="1" ref="X76" ca="1">+_xll.EQNXTDZ($A$1,$B76,X$51)</f>
        <v>#NAME?</v>
      </c>
      <c r="Y76" t="e" cm="1">
        <f t="array" aca="1" ref="Y76" ca="1">+_xll.EQNXTDZ($A$1,$B76,Y$51)</f>
        <v>#NAME?</v>
      </c>
      <c r="Z76" t="e" cm="1">
        <f t="array" aca="1" ref="Z76" ca="1">+_xll.EQNXTDZ($A$1,$B76,Z$51)</f>
        <v>#NAME?</v>
      </c>
      <c r="AA76" t="e" cm="1">
        <f t="array" aca="1" ref="AA76" ca="1">+_xll.EQNXTDZ($A$1,$B76,AA$51)</f>
        <v>#NAME?</v>
      </c>
      <c r="AB76" t="e" cm="1">
        <f t="array" aca="1" ref="AB76" ca="1">+_xll.EQNXTDZ($A$1,$B76,AB$51)</f>
        <v>#NAME?</v>
      </c>
      <c r="AC76" t="e" cm="1">
        <f t="array" aca="1" ref="AC76" ca="1">+_xll.EQNXTDZ($A$1,$B76,AC$51)</f>
        <v>#NAME?</v>
      </c>
      <c r="AD76" t="e" cm="1">
        <f t="array" aca="1" ref="AD76" ca="1">+_xll.EQNXTDZ($A$1,$B76,AD$51)</f>
        <v>#NAME?</v>
      </c>
      <c r="AE76" t="e" cm="1">
        <f t="array" aca="1" ref="AE76" ca="1">+_xll.EQNXTDZ($A$1,$B76,AE$51)</f>
        <v>#NAME?</v>
      </c>
      <c r="AF76" t="e" cm="1">
        <f t="array" aca="1" ref="AF76" ca="1">+_xll.EQNXTDZ($A$1,$B76,AF$51)</f>
        <v>#NAME?</v>
      </c>
      <c r="AG76" t="e" cm="1">
        <f t="array" aca="1" ref="AG76" ca="1">+_xll.EQNXTDZ($A$1,$B76,AG$51)</f>
        <v>#NAME?</v>
      </c>
      <c r="AH76" t="e" cm="1">
        <f t="array" aca="1" ref="AH76" ca="1">+_xll.EQNXTDZ($A$1,$B76,AH$51)</f>
        <v>#NAME?</v>
      </c>
      <c r="AI76" t="e" cm="1">
        <f t="array" aca="1" ref="AI76" ca="1">+_xll.EQNXTDZ($A$1,$B76,AI$51)</f>
        <v>#NAME?</v>
      </c>
      <c r="AJ76" t="e" cm="1">
        <f t="array" aca="1" ref="AJ76" ca="1">+_xll.EQNXTDZ($A$1,$B76,AJ$51)</f>
        <v>#NAME?</v>
      </c>
      <c r="AK76" t="e" cm="1">
        <f t="array" aca="1" ref="AK76" ca="1">+_xll.EQNXTDZ($A$1,$B76,AK$51)</f>
        <v>#NAME?</v>
      </c>
      <c r="AL76" t="e" cm="1">
        <f t="array" aca="1" ref="AL76" ca="1">+_xll.EQNXTDZ($A$1,$B76,AL$51)</f>
        <v>#NAME?</v>
      </c>
      <c r="AM76" t="e" cm="1">
        <f t="array" aca="1" ref="AM76" ca="1">+_xll.EQNXTDZ($A$1,$B76,AM$51)</f>
        <v>#NAME?</v>
      </c>
      <c r="AN76" t="e" cm="1">
        <f t="array" aca="1" ref="AN76" ca="1">+_xll.EQNXTDZ($A$1,$B76,AN$51)</f>
        <v>#NAME?</v>
      </c>
      <c r="AO76" t="e" cm="1">
        <f t="array" aca="1" ref="AO76" ca="1">+_xll.EQNXTDZ($A$1,$B76,AO$51)</f>
        <v>#NAME?</v>
      </c>
      <c r="AP76" t="e" cm="1">
        <f t="array" aca="1" ref="AP76" ca="1">+_xll.EQNXTDZ($A$1,$B76,AP$51)</f>
        <v>#NAME?</v>
      </c>
      <c r="AQ76" t="e" cm="1">
        <f t="array" aca="1" ref="AQ76" ca="1">+_xll.EQNXTDZ($A$1,$B76,AQ$51)</f>
        <v>#NAME?</v>
      </c>
      <c r="AR76" t="e" cm="1">
        <f t="array" aca="1" ref="AR76" ca="1">+_xll.EQNXTDZ($A$1,$B76,AR$51)</f>
        <v>#NAME?</v>
      </c>
      <c r="AS76" t="e" cm="1">
        <f t="array" aca="1" ref="AS76" ca="1">+_xll.EQNXTDZ($A$1,$B76,AS$51)</f>
        <v>#NAME?</v>
      </c>
      <c r="AT76" t="e" cm="1">
        <f t="array" aca="1" ref="AT76" ca="1">+_xll.EQNXTDZ($A$1,$B76,AT$51)</f>
        <v>#NAME?</v>
      </c>
      <c r="AU76" t="e" cm="1">
        <f t="array" aca="1" ref="AU76" ca="1">+_xll.EQNXTDZ($A$1,$B76,AU$51)</f>
        <v>#NAME?</v>
      </c>
      <c r="AV76" t="e" cm="1">
        <f t="array" aca="1" ref="AV76" ca="1">+_xll.EQNXTDZ($A$1,$B76,AV$51)</f>
        <v>#NAME?</v>
      </c>
      <c r="AW76" t="e" cm="1">
        <f t="array" aca="1" ref="AW76" ca="1">+_xll.EQNXTDZ($A$1,$B76,AW$51)</f>
        <v>#NAME?</v>
      </c>
      <c r="AX76" t="e" cm="1">
        <f t="array" aca="1" ref="AX76" ca="1">+_xll.EQNXTDZ($A$1,$B76,AX$51)</f>
        <v>#NAME?</v>
      </c>
      <c r="AY76" t="e" cm="1">
        <f t="array" aca="1" ref="AY76" ca="1">+_xll.EQNXTDZ($A$1,$B76,AY$51)</f>
        <v>#NAME?</v>
      </c>
      <c r="AZ76" t="e" cm="1">
        <f t="array" aca="1" ref="AZ76" ca="1">+_xll.EQNXTDZ($A$1,$B76,AZ$51)</f>
        <v>#NAME?</v>
      </c>
      <c r="BA76" t="e" cm="1">
        <f t="array" aca="1" ref="BA76" ca="1">+_xll.EQNXTDZ($A$1,$B76,BA$51)</f>
        <v>#NAME?</v>
      </c>
      <c r="BB76" t="e" cm="1">
        <f t="array" aca="1" ref="BB76" ca="1">+_xll.EQNXTDZ($A$1,$B76,BB$51)</f>
        <v>#NAME?</v>
      </c>
      <c r="BC76" t="e" cm="1">
        <f t="array" aca="1" ref="BC76" ca="1">+_xll.EQNXTDZ($A$1,$B76,BC$51)</f>
        <v>#NAME?</v>
      </c>
      <c r="BD76" t="e" cm="1">
        <f t="array" aca="1" ref="BD76" ca="1">+_xll.EQNXTDZ($A$1,$B76,BD$51)</f>
        <v>#NAME?</v>
      </c>
      <c r="BE76" t="e" cm="1">
        <f t="array" aca="1" ref="BE76" ca="1">+_xll.EQNXTDZ($A$1,$B76,BE$51)</f>
        <v>#NAME?</v>
      </c>
      <c r="BF76" t="e" cm="1">
        <f t="array" aca="1" ref="BF76" ca="1">+_xll.EQNXTDZ($A$1,$B76,BF$51)</f>
        <v>#NAME?</v>
      </c>
      <c r="BG76" t="e" cm="1">
        <f t="array" aca="1" ref="BG76" ca="1">+_xll.EQNXTDZ($A$1,$B76,BG$51)</f>
        <v>#NAME?</v>
      </c>
      <c r="BH76" t="e" cm="1">
        <f t="array" aca="1" ref="BH76" ca="1">+_xll.EQNXTDZ($A$1,$B76,BH$51)</f>
        <v>#NAME?</v>
      </c>
      <c r="BI76" t="e" cm="1">
        <f t="array" aca="1" ref="BI76" ca="1">+_xll.EQNXTDZ($A$1,$B76,BI$51)</f>
        <v>#NAME?</v>
      </c>
      <c r="BJ76" t="e" cm="1">
        <f t="array" aca="1" ref="BJ76" ca="1">+_xll.EQNXTDZ($A$1,$B76,BJ$51)</f>
        <v>#NAME?</v>
      </c>
    </row>
    <row r="77" spans="1:62" x14ac:dyDescent="0.25">
      <c r="A77" t="s">
        <v>137</v>
      </c>
      <c r="B77" t="s">
        <v>324</v>
      </c>
      <c r="C77" t="e" cm="1">
        <f t="array" aca="1" ref="C77" ca="1">+_xll.EQNXTDZ($A$1,$B77,C$51)</f>
        <v>#NAME?</v>
      </c>
      <c r="D77" t="e" cm="1">
        <f t="array" aca="1" ref="D77" ca="1">+_xll.EQNXTDZ($A$1,$B77,D$51)</f>
        <v>#NAME?</v>
      </c>
      <c r="E77" t="e" cm="1">
        <f t="array" aca="1" ref="E77" ca="1">+_xll.EQNXTDZ($A$1,$B77,E$51)</f>
        <v>#NAME?</v>
      </c>
      <c r="F77" t="e" cm="1">
        <f t="array" aca="1" ref="F77" ca="1">+_xll.EQNXTDZ($A$1,$B77,F$51)</f>
        <v>#NAME?</v>
      </c>
      <c r="G77" t="e" cm="1">
        <f t="array" aca="1" ref="G77" ca="1">+_xll.EQNXTDZ($A$1,$B77,G$51)</f>
        <v>#NAME?</v>
      </c>
      <c r="H77" t="e" cm="1">
        <f t="array" aca="1" ref="H77" ca="1">+_xll.EQNXTDZ($A$1,$B77,H$51)</f>
        <v>#NAME?</v>
      </c>
      <c r="I77" t="e" cm="1">
        <f t="array" aca="1" ref="I77" ca="1">+_xll.EQNXTDZ($A$1,$B77,I$51)</f>
        <v>#NAME?</v>
      </c>
      <c r="J77" t="e" cm="1">
        <f t="array" aca="1" ref="J77" ca="1">+_xll.EQNXTDZ($A$1,$B77,J$51)</f>
        <v>#NAME?</v>
      </c>
      <c r="K77" t="e" cm="1">
        <f t="array" aca="1" ref="K77" ca="1">+_xll.EQNXTDZ($A$1,$B77,K$51)</f>
        <v>#NAME?</v>
      </c>
      <c r="L77" t="e" cm="1">
        <f t="array" aca="1" ref="L77" ca="1">+_xll.EQNXTDZ($A$1,$B77,L$51)</f>
        <v>#NAME?</v>
      </c>
      <c r="M77" t="e" cm="1">
        <f t="array" aca="1" ref="M77" ca="1">+_xll.EQNXTDZ($A$1,$B77,M$51)</f>
        <v>#NAME?</v>
      </c>
      <c r="N77" t="e" cm="1">
        <f t="array" aca="1" ref="N77" ca="1">+_xll.EQNXTDZ($A$1,$B77,N$51)</f>
        <v>#NAME?</v>
      </c>
      <c r="O77" t="e" cm="1">
        <f t="array" aca="1" ref="O77" ca="1">+_xll.EQNXTDZ($A$1,$B77,O$51)</f>
        <v>#NAME?</v>
      </c>
      <c r="P77" t="e" cm="1">
        <f t="array" aca="1" ref="P77" ca="1">+_xll.EQNXTDZ($A$1,$B77,P$51)</f>
        <v>#NAME?</v>
      </c>
      <c r="Q77" t="e" cm="1">
        <f t="array" aca="1" ref="Q77" ca="1">+_xll.EQNXTDZ($A$1,$B77,Q$51)</f>
        <v>#NAME?</v>
      </c>
      <c r="R77" t="e" cm="1">
        <f t="array" aca="1" ref="R77" ca="1">+_xll.EQNXTDZ($A$1,$B77,R$51)</f>
        <v>#NAME?</v>
      </c>
      <c r="S77" t="e" cm="1">
        <f t="array" aca="1" ref="S77" ca="1">+_xll.EQNXTDZ($A$1,$B77,S$51)</f>
        <v>#NAME?</v>
      </c>
      <c r="T77" t="e" cm="1">
        <f t="array" aca="1" ref="T77" ca="1">+_xll.EQNXTDZ($A$1,$B77,T$51)</f>
        <v>#NAME?</v>
      </c>
      <c r="U77" t="e" cm="1">
        <f t="array" aca="1" ref="U77" ca="1">+_xll.EQNXTDZ($A$1,$B77,U$51)</f>
        <v>#NAME?</v>
      </c>
      <c r="V77" t="e" cm="1">
        <f t="array" aca="1" ref="V77" ca="1">+_xll.EQNXTDZ($A$1,$B77,V$51)</f>
        <v>#NAME?</v>
      </c>
      <c r="W77" t="e" cm="1">
        <f t="array" aca="1" ref="W77" ca="1">+_xll.EQNXTDZ($A$1,$B77,W$51)</f>
        <v>#NAME?</v>
      </c>
      <c r="X77" t="e" cm="1">
        <f t="array" aca="1" ref="X77" ca="1">+_xll.EQNXTDZ($A$1,$B77,X$51)</f>
        <v>#NAME?</v>
      </c>
      <c r="Y77" t="e" cm="1">
        <f t="array" aca="1" ref="Y77" ca="1">+_xll.EQNXTDZ($A$1,$B77,Y$51)</f>
        <v>#NAME?</v>
      </c>
      <c r="Z77" t="e" cm="1">
        <f t="array" aca="1" ref="Z77" ca="1">+_xll.EQNXTDZ($A$1,$B77,Z$51)</f>
        <v>#NAME?</v>
      </c>
      <c r="AA77" t="e" cm="1">
        <f t="array" aca="1" ref="AA77" ca="1">+_xll.EQNXTDZ($A$1,$B77,AA$51)</f>
        <v>#NAME?</v>
      </c>
      <c r="AB77" t="e" cm="1">
        <f t="array" aca="1" ref="AB77" ca="1">+_xll.EQNXTDZ($A$1,$B77,AB$51)</f>
        <v>#NAME?</v>
      </c>
      <c r="AC77" t="e" cm="1">
        <f t="array" aca="1" ref="AC77" ca="1">+_xll.EQNXTDZ($A$1,$B77,AC$51)</f>
        <v>#NAME?</v>
      </c>
      <c r="AD77" t="e" cm="1">
        <f t="array" aca="1" ref="AD77" ca="1">+_xll.EQNXTDZ($A$1,$B77,AD$51)</f>
        <v>#NAME?</v>
      </c>
      <c r="AE77" t="e" cm="1">
        <f t="array" aca="1" ref="AE77" ca="1">+_xll.EQNXTDZ($A$1,$B77,AE$51)</f>
        <v>#NAME?</v>
      </c>
      <c r="AF77" t="e" cm="1">
        <f t="array" aca="1" ref="AF77" ca="1">+_xll.EQNXTDZ($A$1,$B77,AF$51)</f>
        <v>#NAME?</v>
      </c>
      <c r="AG77" t="e" cm="1">
        <f t="array" aca="1" ref="AG77" ca="1">+_xll.EQNXTDZ($A$1,$B77,AG$51)</f>
        <v>#NAME?</v>
      </c>
      <c r="AH77" t="e" cm="1">
        <f t="array" aca="1" ref="AH77" ca="1">+_xll.EQNXTDZ($A$1,$B77,AH$51)</f>
        <v>#NAME?</v>
      </c>
      <c r="AI77" t="e" cm="1">
        <f t="array" aca="1" ref="AI77" ca="1">+_xll.EQNXTDZ($A$1,$B77,AI$51)</f>
        <v>#NAME?</v>
      </c>
      <c r="AJ77" t="e" cm="1">
        <f t="array" aca="1" ref="AJ77" ca="1">+_xll.EQNXTDZ($A$1,$B77,AJ$51)</f>
        <v>#NAME?</v>
      </c>
      <c r="AK77" t="e" cm="1">
        <f t="array" aca="1" ref="AK77" ca="1">+_xll.EQNXTDZ($A$1,$B77,AK$51)</f>
        <v>#NAME?</v>
      </c>
      <c r="AL77" t="e" cm="1">
        <f t="array" aca="1" ref="AL77" ca="1">+_xll.EQNXTDZ($A$1,$B77,AL$51)</f>
        <v>#NAME?</v>
      </c>
      <c r="AM77" t="e" cm="1">
        <f t="array" aca="1" ref="AM77" ca="1">+_xll.EQNXTDZ($A$1,$B77,AM$51)</f>
        <v>#NAME?</v>
      </c>
      <c r="AN77" t="e" cm="1">
        <f t="array" aca="1" ref="AN77" ca="1">+_xll.EQNXTDZ($A$1,$B77,AN$51)</f>
        <v>#NAME?</v>
      </c>
      <c r="AO77" t="e" cm="1">
        <f t="array" aca="1" ref="AO77" ca="1">+_xll.EQNXTDZ($A$1,$B77,AO$51)</f>
        <v>#NAME?</v>
      </c>
      <c r="AP77" t="e" cm="1">
        <f t="array" aca="1" ref="AP77" ca="1">+_xll.EQNXTDZ($A$1,$B77,AP$51)</f>
        <v>#NAME?</v>
      </c>
      <c r="AQ77" t="e" cm="1">
        <f t="array" aca="1" ref="AQ77" ca="1">+_xll.EQNXTDZ($A$1,$B77,AQ$51)</f>
        <v>#NAME?</v>
      </c>
      <c r="AR77" t="e" cm="1">
        <f t="array" aca="1" ref="AR77" ca="1">+_xll.EQNXTDZ($A$1,$B77,AR$51)</f>
        <v>#NAME?</v>
      </c>
      <c r="AS77" t="e" cm="1">
        <f t="array" aca="1" ref="AS77" ca="1">+_xll.EQNXTDZ($A$1,$B77,AS$51)</f>
        <v>#NAME?</v>
      </c>
      <c r="AT77" t="e" cm="1">
        <f t="array" aca="1" ref="AT77" ca="1">+_xll.EQNXTDZ($A$1,$B77,AT$51)</f>
        <v>#NAME?</v>
      </c>
      <c r="AU77" t="e" cm="1">
        <f t="array" aca="1" ref="AU77" ca="1">+_xll.EQNXTDZ($A$1,$B77,AU$51)</f>
        <v>#NAME?</v>
      </c>
      <c r="AV77" t="e" cm="1">
        <f t="array" aca="1" ref="AV77" ca="1">+_xll.EQNXTDZ($A$1,$B77,AV$51)</f>
        <v>#NAME?</v>
      </c>
      <c r="AW77" t="e" cm="1">
        <f t="array" aca="1" ref="AW77" ca="1">+_xll.EQNXTDZ($A$1,$B77,AW$51)</f>
        <v>#NAME?</v>
      </c>
      <c r="AX77" t="e" cm="1">
        <f t="array" aca="1" ref="AX77" ca="1">+_xll.EQNXTDZ($A$1,$B77,AX$51)</f>
        <v>#NAME?</v>
      </c>
      <c r="AY77" t="e" cm="1">
        <f t="array" aca="1" ref="AY77" ca="1">+_xll.EQNXTDZ($A$1,$B77,AY$51)</f>
        <v>#NAME?</v>
      </c>
      <c r="AZ77" t="e" cm="1">
        <f t="array" aca="1" ref="AZ77" ca="1">+_xll.EQNXTDZ($A$1,$B77,AZ$51)</f>
        <v>#NAME?</v>
      </c>
      <c r="BA77" t="e" cm="1">
        <f t="array" aca="1" ref="BA77" ca="1">+_xll.EQNXTDZ($A$1,$B77,BA$51)</f>
        <v>#NAME?</v>
      </c>
      <c r="BB77" t="e" cm="1">
        <f t="array" aca="1" ref="BB77" ca="1">+_xll.EQNXTDZ($A$1,$B77,BB$51)</f>
        <v>#NAME?</v>
      </c>
      <c r="BC77" t="e" cm="1">
        <f t="array" aca="1" ref="BC77" ca="1">+_xll.EQNXTDZ($A$1,$B77,BC$51)</f>
        <v>#NAME?</v>
      </c>
      <c r="BD77" t="e" cm="1">
        <f t="array" aca="1" ref="BD77" ca="1">+_xll.EQNXTDZ($A$1,$B77,BD$51)</f>
        <v>#NAME?</v>
      </c>
      <c r="BE77" t="e" cm="1">
        <f t="array" aca="1" ref="BE77" ca="1">+_xll.EQNXTDZ($A$1,$B77,BE$51)</f>
        <v>#NAME?</v>
      </c>
      <c r="BF77" t="e" cm="1">
        <f t="array" aca="1" ref="BF77" ca="1">+_xll.EQNXTDZ($A$1,$B77,BF$51)</f>
        <v>#NAME?</v>
      </c>
      <c r="BG77" t="e" cm="1">
        <f t="array" aca="1" ref="BG77" ca="1">+_xll.EQNXTDZ($A$1,$B77,BG$51)</f>
        <v>#NAME?</v>
      </c>
      <c r="BH77" t="e" cm="1">
        <f t="array" aca="1" ref="BH77" ca="1">+_xll.EQNXTDZ($A$1,$B77,BH$51)</f>
        <v>#NAME?</v>
      </c>
      <c r="BI77" t="e" cm="1">
        <f t="array" aca="1" ref="BI77" ca="1">+_xll.EQNXTDZ($A$1,$B77,BI$51)</f>
        <v>#NAME?</v>
      </c>
      <c r="BJ77" t="e" cm="1">
        <f t="array" aca="1" ref="BJ77" ca="1">+_xll.EQNXTDZ($A$1,$B77,BJ$51)</f>
        <v>#NAME?</v>
      </c>
    </row>
    <row r="78" spans="1:62" x14ac:dyDescent="0.25">
      <c r="A78" t="s">
        <v>297</v>
      </c>
      <c r="B78" t="s">
        <v>325</v>
      </c>
      <c r="C78" t="e" cm="1">
        <f t="array" aca="1" ref="C78" ca="1">+_xll.EQNXTDZ($A$1,$B78,C$51)</f>
        <v>#NAME?</v>
      </c>
      <c r="D78" t="e" cm="1">
        <f t="array" aca="1" ref="D78" ca="1">+_xll.EQNXTDZ($A$1,$B78,D$51)</f>
        <v>#NAME?</v>
      </c>
      <c r="E78" t="e" cm="1">
        <f t="array" aca="1" ref="E78" ca="1">+_xll.EQNXTDZ($A$1,$B78,E$51)</f>
        <v>#NAME?</v>
      </c>
      <c r="F78" t="e" cm="1">
        <f t="array" aca="1" ref="F78" ca="1">+_xll.EQNXTDZ($A$1,$B78,F$51)</f>
        <v>#NAME?</v>
      </c>
      <c r="G78" t="e" cm="1">
        <f t="array" aca="1" ref="G78" ca="1">+_xll.EQNXTDZ($A$1,$B78,G$51)</f>
        <v>#NAME?</v>
      </c>
      <c r="H78" t="e" cm="1">
        <f t="array" aca="1" ref="H78" ca="1">+_xll.EQNXTDZ($A$1,$B78,H$51)</f>
        <v>#NAME?</v>
      </c>
      <c r="I78" t="e" cm="1">
        <f t="array" aca="1" ref="I78" ca="1">+_xll.EQNXTDZ($A$1,$B78,I$51)</f>
        <v>#NAME?</v>
      </c>
      <c r="J78" t="e" cm="1">
        <f t="array" aca="1" ref="J78" ca="1">+_xll.EQNXTDZ($A$1,$B78,J$51)</f>
        <v>#NAME?</v>
      </c>
      <c r="K78" t="e" cm="1">
        <f t="array" aca="1" ref="K78" ca="1">+_xll.EQNXTDZ($A$1,$B78,K$51)</f>
        <v>#NAME?</v>
      </c>
      <c r="L78" t="e" cm="1">
        <f t="array" aca="1" ref="L78" ca="1">+_xll.EQNXTDZ($A$1,$B78,L$51)</f>
        <v>#NAME?</v>
      </c>
      <c r="M78" t="e" cm="1">
        <f t="array" aca="1" ref="M78" ca="1">+_xll.EQNXTDZ($A$1,$B78,M$51)</f>
        <v>#NAME?</v>
      </c>
      <c r="N78" t="e" cm="1">
        <f t="array" aca="1" ref="N78" ca="1">+_xll.EQNXTDZ($A$1,$B78,N$51)</f>
        <v>#NAME?</v>
      </c>
      <c r="O78" t="e" cm="1">
        <f t="array" aca="1" ref="O78" ca="1">+_xll.EQNXTDZ($A$1,$B78,O$51)</f>
        <v>#NAME?</v>
      </c>
      <c r="P78" t="e" cm="1">
        <f t="array" aca="1" ref="P78" ca="1">+_xll.EQNXTDZ($A$1,$B78,P$51)</f>
        <v>#NAME?</v>
      </c>
      <c r="Q78" t="e" cm="1">
        <f t="array" aca="1" ref="Q78" ca="1">+_xll.EQNXTDZ($A$1,$B78,Q$51)</f>
        <v>#NAME?</v>
      </c>
      <c r="R78" t="e" cm="1">
        <f t="array" aca="1" ref="R78" ca="1">+_xll.EQNXTDZ($A$1,$B78,R$51)</f>
        <v>#NAME?</v>
      </c>
      <c r="S78" t="e" cm="1">
        <f t="array" aca="1" ref="S78" ca="1">+_xll.EQNXTDZ($A$1,$B78,S$51)</f>
        <v>#NAME?</v>
      </c>
      <c r="T78" t="e" cm="1">
        <f t="array" aca="1" ref="T78" ca="1">+_xll.EQNXTDZ($A$1,$B78,T$51)</f>
        <v>#NAME?</v>
      </c>
      <c r="U78" t="e" cm="1">
        <f t="array" aca="1" ref="U78" ca="1">+_xll.EQNXTDZ($A$1,$B78,U$51)</f>
        <v>#NAME?</v>
      </c>
      <c r="V78" t="e" cm="1">
        <f t="array" aca="1" ref="V78" ca="1">+_xll.EQNXTDZ($A$1,$B78,V$51)</f>
        <v>#NAME?</v>
      </c>
      <c r="W78" t="e" cm="1">
        <f t="array" aca="1" ref="W78" ca="1">+_xll.EQNXTDZ($A$1,$B78,W$51)</f>
        <v>#NAME?</v>
      </c>
      <c r="X78" t="e" cm="1">
        <f t="array" aca="1" ref="X78" ca="1">+_xll.EQNXTDZ($A$1,$B78,X$51)</f>
        <v>#NAME?</v>
      </c>
      <c r="Y78" t="e" cm="1">
        <f t="array" aca="1" ref="Y78" ca="1">+_xll.EQNXTDZ($A$1,$B78,Y$51)</f>
        <v>#NAME?</v>
      </c>
      <c r="Z78" t="e" cm="1">
        <f t="array" aca="1" ref="Z78" ca="1">+_xll.EQNXTDZ($A$1,$B78,Z$51)</f>
        <v>#NAME?</v>
      </c>
      <c r="AA78" t="e" cm="1">
        <f t="array" aca="1" ref="AA78" ca="1">+_xll.EQNXTDZ($A$1,$B78,AA$51)</f>
        <v>#NAME?</v>
      </c>
      <c r="AB78" t="e" cm="1">
        <f t="array" aca="1" ref="AB78" ca="1">+_xll.EQNXTDZ($A$1,$B78,AB$51)</f>
        <v>#NAME?</v>
      </c>
      <c r="AC78" t="e" cm="1">
        <f t="array" aca="1" ref="AC78" ca="1">+_xll.EQNXTDZ($A$1,$B78,AC$51)</f>
        <v>#NAME?</v>
      </c>
      <c r="AD78" t="e" cm="1">
        <f t="array" aca="1" ref="AD78" ca="1">+_xll.EQNXTDZ($A$1,$B78,AD$51)</f>
        <v>#NAME?</v>
      </c>
      <c r="AE78" t="e" cm="1">
        <f t="array" aca="1" ref="AE78" ca="1">+_xll.EQNXTDZ($A$1,$B78,AE$51)</f>
        <v>#NAME?</v>
      </c>
      <c r="AF78" t="e" cm="1">
        <f t="array" aca="1" ref="AF78" ca="1">+_xll.EQNXTDZ($A$1,$B78,AF$51)</f>
        <v>#NAME?</v>
      </c>
      <c r="AG78" t="e" cm="1">
        <f t="array" aca="1" ref="AG78" ca="1">+_xll.EQNXTDZ($A$1,$B78,AG$51)</f>
        <v>#NAME?</v>
      </c>
      <c r="AH78" t="e" cm="1">
        <f t="array" aca="1" ref="AH78" ca="1">+_xll.EQNXTDZ($A$1,$B78,AH$51)</f>
        <v>#NAME?</v>
      </c>
      <c r="AI78" t="e" cm="1">
        <f t="array" aca="1" ref="AI78" ca="1">+_xll.EQNXTDZ($A$1,$B78,AI$51)</f>
        <v>#NAME?</v>
      </c>
      <c r="AJ78" t="e" cm="1">
        <f t="array" aca="1" ref="AJ78" ca="1">+_xll.EQNXTDZ($A$1,$B78,AJ$51)</f>
        <v>#NAME?</v>
      </c>
      <c r="AK78" t="e" cm="1">
        <f t="array" aca="1" ref="AK78" ca="1">+_xll.EQNXTDZ($A$1,$B78,AK$51)</f>
        <v>#NAME?</v>
      </c>
      <c r="AL78" t="e" cm="1">
        <f t="array" aca="1" ref="AL78" ca="1">+_xll.EQNXTDZ($A$1,$B78,AL$51)</f>
        <v>#NAME?</v>
      </c>
      <c r="AM78" t="e" cm="1">
        <f t="array" aca="1" ref="AM78" ca="1">+_xll.EQNXTDZ($A$1,$B78,AM$51)</f>
        <v>#NAME?</v>
      </c>
      <c r="AN78" t="e" cm="1">
        <f t="array" aca="1" ref="AN78" ca="1">+_xll.EQNXTDZ($A$1,$B78,AN$51)</f>
        <v>#NAME?</v>
      </c>
      <c r="AO78" t="e" cm="1">
        <f t="array" aca="1" ref="AO78" ca="1">+_xll.EQNXTDZ($A$1,$B78,AO$51)</f>
        <v>#NAME?</v>
      </c>
      <c r="AP78" t="e" cm="1">
        <f t="array" aca="1" ref="AP78" ca="1">+_xll.EQNXTDZ($A$1,$B78,AP$51)</f>
        <v>#NAME?</v>
      </c>
      <c r="AQ78" t="e" cm="1">
        <f t="array" aca="1" ref="AQ78" ca="1">+_xll.EQNXTDZ($A$1,$B78,AQ$51)</f>
        <v>#NAME?</v>
      </c>
      <c r="AR78" t="e" cm="1">
        <f t="array" aca="1" ref="AR78" ca="1">+_xll.EQNXTDZ($A$1,$B78,AR$51)</f>
        <v>#NAME?</v>
      </c>
      <c r="AS78" t="e" cm="1">
        <f t="array" aca="1" ref="AS78" ca="1">+_xll.EQNXTDZ($A$1,$B78,AS$51)</f>
        <v>#NAME?</v>
      </c>
      <c r="AT78" t="e" cm="1">
        <f t="array" aca="1" ref="AT78" ca="1">+_xll.EQNXTDZ($A$1,$B78,AT$51)</f>
        <v>#NAME?</v>
      </c>
      <c r="AU78" t="e" cm="1">
        <f t="array" aca="1" ref="AU78" ca="1">+_xll.EQNXTDZ($A$1,$B78,AU$51)</f>
        <v>#NAME?</v>
      </c>
      <c r="AV78" t="e" cm="1">
        <f t="array" aca="1" ref="AV78" ca="1">+_xll.EQNXTDZ($A$1,$B78,AV$51)</f>
        <v>#NAME?</v>
      </c>
      <c r="AW78" t="e" cm="1">
        <f t="array" aca="1" ref="AW78" ca="1">+_xll.EQNXTDZ($A$1,$B78,AW$51)</f>
        <v>#NAME?</v>
      </c>
      <c r="AX78" t="e" cm="1">
        <f t="array" aca="1" ref="AX78" ca="1">+_xll.EQNXTDZ($A$1,$B78,AX$51)</f>
        <v>#NAME?</v>
      </c>
      <c r="AY78" t="e" cm="1">
        <f t="array" aca="1" ref="AY78" ca="1">+_xll.EQNXTDZ($A$1,$B78,AY$51)</f>
        <v>#NAME?</v>
      </c>
      <c r="AZ78" t="e" cm="1">
        <f t="array" aca="1" ref="AZ78" ca="1">+_xll.EQNXTDZ($A$1,$B78,AZ$51)</f>
        <v>#NAME?</v>
      </c>
      <c r="BA78" t="e" cm="1">
        <f t="array" aca="1" ref="BA78" ca="1">+_xll.EQNXTDZ($A$1,$B78,BA$51)</f>
        <v>#NAME?</v>
      </c>
      <c r="BB78" t="e" cm="1">
        <f t="array" aca="1" ref="BB78" ca="1">+_xll.EQNXTDZ($A$1,$B78,BB$51)</f>
        <v>#NAME?</v>
      </c>
      <c r="BC78" t="e" cm="1">
        <f t="array" aca="1" ref="BC78" ca="1">+_xll.EQNXTDZ($A$1,$B78,BC$51)</f>
        <v>#NAME?</v>
      </c>
      <c r="BD78" t="e" cm="1">
        <f t="array" aca="1" ref="BD78" ca="1">+_xll.EQNXTDZ($A$1,$B78,BD$51)</f>
        <v>#NAME?</v>
      </c>
      <c r="BE78" t="e" cm="1">
        <f t="array" aca="1" ref="BE78" ca="1">+_xll.EQNXTDZ($A$1,$B78,BE$51)</f>
        <v>#NAME?</v>
      </c>
      <c r="BF78" t="e" cm="1">
        <f t="array" aca="1" ref="BF78" ca="1">+_xll.EQNXTDZ($A$1,$B78,BF$51)</f>
        <v>#NAME?</v>
      </c>
      <c r="BG78" t="e" cm="1">
        <f t="array" aca="1" ref="BG78" ca="1">+_xll.EQNXTDZ($A$1,$B78,BG$51)</f>
        <v>#NAME?</v>
      </c>
      <c r="BH78" t="e" cm="1">
        <f t="array" aca="1" ref="BH78" ca="1">+_xll.EQNXTDZ($A$1,$B78,BH$51)</f>
        <v>#NAME?</v>
      </c>
      <c r="BI78" t="e" cm="1">
        <f t="array" aca="1" ref="BI78" ca="1">+_xll.EQNXTDZ($A$1,$B78,BI$51)</f>
        <v>#NAME?</v>
      </c>
      <c r="BJ78" t="e" cm="1">
        <f t="array" aca="1" ref="BJ78" ca="1">+_xll.EQNXTDZ($A$1,$B78,BJ$51)</f>
        <v>#NAME?</v>
      </c>
    </row>
    <row r="79" spans="1:62" x14ac:dyDescent="0.25">
      <c r="A79" t="s">
        <v>298</v>
      </c>
      <c r="B79" t="s">
        <v>326</v>
      </c>
      <c r="C79" t="e" cm="1">
        <f t="array" aca="1" ref="C79" ca="1">+_xll.EQNXTDZ($A$1,$B79,C$51)</f>
        <v>#NAME?</v>
      </c>
      <c r="D79" t="e" cm="1">
        <f t="array" aca="1" ref="D79" ca="1">+_xll.EQNXTDZ($A$1,$B79,D$51)</f>
        <v>#NAME?</v>
      </c>
      <c r="E79" t="e" cm="1">
        <f t="array" aca="1" ref="E79" ca="1">+_xll.EQNXTDZ($A$1,$B79,E$51)</f>
        <v>#NAME?</v>
      </c>
      <c r="F79" t="e" cm="1">
        <f t="array" aca="1" ref="F79" ca="1">+_xll.EQNXTDZ($A$1,$B79,F$51)</f>
        <v>#NAME?</v>
      </c>
      <c r="G79" t="e" cm="1">
        <f t="array" aca="1" ref="G79" ca="1">+_xll.EQNXTDZ($A$1,$B79,G$51)</f>
        <v>#NAME?</v>
      </c>
      <c r="H79" t="e" cm="1">
        <f t="array" aca="1" ref="H79" ca="1">+_xll.EQNXTDZ($A$1,$B79,H$51)</f>
        <v>#NAME?</v>
      </c>
      <c r="I79" t="e" cm="1">
        <f t="array" aca="1" ref="I79" ca="1">+_xll.EQNXTDZ($A$1,$B79,I$51)</f>
        <v>#NAME?</v>
      </c>
      <c r="J79" t="e" cm="1">
        <f t="array" aca="1" ref="J79" ca="1">+_xll.EQNXTDZ($A$1,$B79,J$51)</f>
        <v>#NAME?</v>
      </c>
      <c r="K79" t="e" cm="1">
        <f t="array" aca="1" ref="K79" ca="1">+_xll.EQNXTDZ($A$1,$B79,K$51)</f>
        <v>#NAME?</v>
      </c>
      <c r="L79" t="e" cm="1">
        <f t="array" aca="1" ref="L79" ca="1">+_xll.EQNXTDZ($A$1,$B79,L$51)</f>
        <v>#NAME?</v>
      </c>
      <c r="M79" t="e" cm="1">
        <f t="array" aca="1" ref="M79" ca="1">+_xll.EQNXTDZ($A$1,$B79,M$51)</f>
        <v>#NAME?</v>
      </c>
      <c r="N79" t="e" cm="1">
        <f t="array" aca="1" ref="N79" ca="1">+_xll.EQNXTDZ($A$1,$B79,N$51)</f>
        <v>#NAME?</v>
      </c>
      <c r="O79" t="e" cm="1">
        <f t="array" aca="1" ref="O79" ca="1">+_xll.EQNXTDZ($A$1,$B79,O$51)</f>
        <v>#NAME?</v>
      </c>
      <c r="P79" t="e" cm="1">
        <f t="array" aca="1" ref="P79" ca="1">+_xll.EQNXTDZ($A$1,$B79,P$51)</f>
        <v>#NAME?</v>
      </c>
      <c r="Q79" t="e" cm="1">
        <f t="array" aca="1" ref="Q79" ca="1">+_xll.EQNXTDZ($A$1,$B79,Q$51)</f>
        <v>#NAME?</v>
      </c>
      <c r="R79" t="e" cm="1">
        <f t="array" aca="1" ref="R79" ca="1">+_xll.EQNXTDZ($A$1,$B79,R$51)</f>
        <v>#NAME?</v>
      </c>
      <c r="S79" t="e" cm="1">
        <f t="array" aca="1" ref="S79" ca="1">+_xll.EQNXTDZ($A$1,$B79,S$51)</f>
        <v>#NAME?</v>
      </c>
      <c r="T79" t="e" cm="1">
        <f t="array" aca="1" ref="T79" ca="1">+_xll.EQNXTDZ($A$1,$B79,T$51)</f>
        <v>#NAME?</v>
      </c>
      <c r="U79" t="e" cm="1">
        <f t="array" aca="1" ref="U79" ca="1">+_xll.EQNXTDZ($A$1,$B79,U$51)</f>
        <v>#NAME?</v>
      </c>
      <c r="V79" t="e" cm="1">
        <f t="array" aca="1" ref="V79" ca="1">+_xll.EQNXTDZ($A$1,$B79,V$51)</f>
        <v>#NAME?</v>
      </c>
      <c r="W79" t="e" cm="1">
        <f t="array" aca="1" ref="W79" ca="1">+_xll.EQNXTDZ($A$1,$B79,W$51)</f>
        <v>#NAME?</v>
      </c>
      <c r="X79" t="e" cm="1">
        <f t="array" aca="1" ref="X79" ca="1">+_xll.EQNXTDZ($A$1,$B79,X$51)</f>
        <v>#NAME?</v>
      </c>
      <c r="Y79" t="e" cm="1">
        <f t="array" aca="1" ref="Y79" ca="1">+_xll.EQNXTDZ($A$1,$B79,Y$51)</f>
        <v>#NAME?</v>
      </c>
      <c r="Z79" t="e" cm="1">
        <f t="array" aca="1" ref="Z79" ca="1">+_xll.EQNXTDZ($A$1,$B79,Z$51)</f>
        <v>#NAME?</v>
      </c>
      <c r="AA79" t="e" cm="1">
        <f t="array" aca="1" ref="AA79" ca="1">+_xll.EQNXTDZ($A$1,$B79,AA$51)</f>
        <v>#NAME?</v>
      </c>
      <c r="AB79" t="e" cm="1">
        <f t="array" aca="1" ref="AB79" ca="1">+_xll.EQNXTDZ($A$1,$B79,AB$51)</f>
        <v>#NAME?</v>
      </c>
      <c r="AC79" t="e" cm="1">
        <f t="array" aca="1" ref="AC79" ca="1">+_xll.EQNXTDZ($A$1,$B79,AC$51)</f>
        <v>#NAME?</v>
      </c>
      <c r="AD79" t="e" cm="1">
        <f t="array" aca="1" ref="AD79" ca="1">+_xll.EQNXTDZ($A$1,$B79,AD$51)</f>
        <v>#NAME?</v>
      </c>
      <c r="AE79" t="e" cm="1">
        <f t="array" aca="1" ref="AE79" ca="1">+_xll.EQNXTDZ($A$1,$B79,AE$51)</f>
        <v>#NAME?</v>
      </c>
      <c r="AF79" t="e" cm="1">
        <f t="array" aca="1" ref="AF79" ca="1">+_xll.EQNXTDZ($A$1,$B79,AF$51)</f>
        <v>#NAME?</v>
      </c>
      <c r="AG79" t="e" cm="1">
        <f t="array" aca="1" ref="AG79" ca="1">+_xll.EQNXTDZ($A$1,$B79,AG$51)</f>
        <v>#NAME?</v>
      </c>
      <c r="AH79" t="e" cm="1">
        <f t="array" aca="1" ref="AH79" ca="1">+_xll.EQNXTDZ($A$1,$B79,AH$51)</f>
        <v>#NAME?</v>
      </c>
      <c r="AI79" t="e" cm="1">
        <f t="array" aca="1" ref="AI79" ca="1">+_xll.EQNXTDZ($A$1,$B79,AI$51)</f>
        <v>#NAME?</v>
      </c>
      <c r="AJ79" t="e" cm="1">
        <f t="array" aca="1" ref="AJ79" ca="1">+_xll.EQNXTDZ($A$1,$B79,AJ$51)</f>
        <v>#NAME?</v>
      </c>
      <c r="AK79" t="e" cm="1">
        <f t="array" aca="1" ref="AK79" ca="1">+_xll.EQNXTDZ($A$1,$B79,AK$51)</f>
        <v>#NAME?</v>
      </c>
      <c r="AL79" t="e" cm="1">
        <f t="array" aca="1" ref="AL79" ca="1">+_xll.EQNXTDZ($A$1,$B79,AL$51)</f>
        <v>#NAME?</v>
      </c>
      <c r="AM79" t="e" cm="1">
        <f t="array" aca="1" ref="AM79" ca="1">+_xll.EQNXTDZ($A$1,$B79,AM$51)</f>
        <v>#NAME?</v>
      </c>
      <c r="AN79" t="e" cm="1">
        <f t="array" aca="1" ref="AN79" ca="1">+_xll.EQNXTDZ($A$1,$B79,AN$51)</f>
        <v>#NAME?</v>
      </c>
      <c r="AO79" t="e" cm="1">
        <f t="array" aca="1" ref="AO79" ca="1">+_xll.EQNXTDZ($A$1,$B79,AO$51)</f>
        <v>#NAME?</v>
      </c>
      <c r="AP79" t="e" cm="1">
        <f t="array" aca="1" ref="AP79" ca="1">+_xll.EQNXTDZ($A$1,$B79,AP$51)</f>
        <v>#NAME?</v>
      </c>
      <c r="AQ79" t="e" cm="1">
        <f t="array" aca="1" ref="AQ79" ca="1">+_xll.EQNXTDZ($A$1,$B79,AQ$51)</f>
        <v>#NAME?</v>
      </c>
      <c r="AR79" t="e" cm="1">
        <f t="array" aca="1" ref="AR79" ca="1">+_xll.EQNXTDZ($A$1,$B79,AR$51)</f>
        <v>#NAME?</v>
      </c>
      <c r="AS79" t="e" cm="1">
        <f t="array" aca="1" ref="AS79" ca="1">+_xll.EQNXTDZ($A$1,$B79,AS$51)</f>
        <v>#NAME?</v>
      </c>
      <c r="AT79" t="e" cm="1">
        <f t="array" aca="1" ref="AT79" ca="1">+_xll.EQNXTDZ($A$1,$B79,AT$51)</f>
        <v>#NAME?</v>
      </c>
      <c r="AU79" t="e" cm="1">
        <f t="array" aca="1" ref="AU79" ca="1">+_xll.EQNXTDZ($A$1,$B79,AU$51)</f>
        <v>#NAME?</v>
      </c>
      <c r="AV79" t="e" cm="1">
        <f t="array" aca="1" ref="AV79" ca="1">+_xll.EQNXTDZ($A$1,$B79,AV$51)</f>
        <v>#NAME?</v>
      </c>
      <c r="AW79" t="e" cm="1">
        <f t="array" aca="1" ref="AW79" ca="1">+_xll.EQNXTDZ($A$1,$B79,AW$51)</f>
        <v>#NAME?</v>
      </c>
      <c r="AX79" t="e" cm="1">
        <f t="array" aca="1" ref="AX79" ca="1">+_xll.EQNXTDZ($A$1,$B79,AX$51)</f>
        <v>#NAME?</v>
      </c>
      <c r="AY79" t="e" cm="1">
        <f t="array" aca="1" ref="AY79" ca="1">+_xll.EQNXTDZ($A$1,$B79,AY$51)</f>
        <v>#NAME?</v>
      </c>
      <c r="AZ79" t="e" cm="1">
        <f t="array" aca="1" ref="AZ79" ca="1">+_xll.EQNXTDZ($A$1,$B79,AZ$51)</f>
        <v>#NAME?</v>
      </c>
      <c r="BA79" t="e" cm="1">
        <f t="array" aca="1" ref="BA79" ca="1">+_xll.EQNXTDZ($A$1,$B79,BA$51)</f>
        <v>#NAME?</v>
      </c>
      <c r="BB79" t="e" cm="1">
        <f t="array" aca="1" ref="BB79" ca="1">+_xll.EQNXTDZ($A$1,$B79,BB$51)</f>
        <v>#NAME?</v>
      </c>
      <c r="BC79" t="e" cm="1">
        <f t="array" aca="1" ref="BC79" ca="1">+_xll.EQNXTDZ($A$1,$B79,BC$51)</f>
        <v>#NAME?</v>
      </c>
      <c r="BD79" t="e" cm="1">
        <f t="array" aca="1" ref="BD79" ca="1">+_xll.EQNXTDZ($A$1,$B79,BD$51)</f>
        <v>#NAME?</v>
      </c>
      <c r="BE79" t="e" cm="1">
        <f t="array" aca="1" ref="BE79" ca="1">+_xll.EQNXTDZ($A$1,$B79,BE$51)</f>
        <v>#NAME?</v>
      </c>
      <c r="BF79" t="e" cm="1">
        <f t="array" aca="1" ref="BF79" ca="1">+_xll.EQNXTDZ($A$1,$B79,BF$51)</f>
        <v>#NAME?</v>
      </c>
      <c r="BG79" t="e" cm="1">
        <f t="array" aca="1" ref="BG79" ca="1">+_xll.EQNXTDZ($A$1,$B79,BG$51)</f>
        <v>#NAME?</v>
      </c>
      <c r="BH79" t="e" cm="1">
        <f t="array" aca="1" ref="BH79" ca="1">+_xll.EQNXTDZ($A$1,$B79,BH$51)</f>
        <v>#NAME?</v>
      </c>
      <c r="BI79" t="e" cm="1">
        <f t="array" aca="1" ref="BI79" ca="1">+_xll.EQNXTDZ($A$1,$B79,BI$51)</f>
        <v>#NAME?</v>
      </c>
      <c r="BJ79" t="e" cm="1">
        <f t="array" aca="1" ref="BJ79" ca="1">+_xll.EQNXTDZ($A$1,$B79,BJ$51)</f>
        <v>#NAME?</v>
      </c>
    </row>
    <row r="80" spans="1:62" x14ac:dyDescent="0.25">
      <c r="A80" t="s">
        <v>138</v>
      </c>
      <c r="B80" t="s">
        <v>327</v>
      </c>
      <c r="C80" t="e" cm="1">
        <f t="array" aca="1" ref="C80" ca="1">+_xll.EQNXTDZ($A$1,$B80,C$51)</f>
        <v>#NAME?</v>
      </c>
      <c r="D80" t="e" cm="1">
        <f t="array" aca="1" ref="D80" ca="1">+_xll.EQNXTDZ($A$1,$B80,D$51)</f>
        <v>#NAME?</v>
      </c>
      <c r="E80" t="e" cm="1">
        <f t="array" aca="1" ref="E80" ca="1">+_xll.EQNXTDZ($A$1,$B80,E$51)</f>
        <v>#NAME?</v>
      </c>
      <c r="F80" t="e" cm="1">
        <f t="array" aca="1" ref="F80" ca="1">+_xll.EQNXTDZ($A$1,$B80,F$51)</f>
        <v>#NAME?</v>
      </c>
      <c r="G80" t="e" cm="1">
        <f t="array" aca="1" ref="G80" ca="1">+_xll.EQNXTDZ($A$1,$B80,G$51)</f>
        <v>#NAME?</v>
      </c>
      <c r="H80" t="e" cm="1">
        <f t="array" aca="1" ref="H80" ca="1">+_xll.EQNXTDZ($A$1,$B80,H$51)</f>
        <v>#NAME?</v>
      </c>
      <c r="I80" t="e" cm="1">
        <f t="array" aca="1" ref="I80" ca="1">+_xll.EQNXTDZ($A$1,$B80,I$51)</f>
        <v>#NAME?</v>
      </c>
      <c r="J80" t="e" cm="1">
        <f t="array" aca="1" ref="J80" ca="1">+_xll.EQNXTDZ($A$1,$B80,J$51)</f>
        <v>#NAME?</v>
      </c>
      <c r="K80" t="e" cm="1">
        <f t="array" aca="1" ref="K80" ca="1">+_xll.EQNXTDZ($A$1,$B80,K$51)</f>
        <v>#NAME?</v>
      </c>
      <c r="L80" t="e" cm="1">
        <f t="array" aca="1" ref="L80" ca="1">+_xll.EQNXTDZ($A$1,$B80,L$51)</f>
        <v>#NAME?</v>
      </c>
      <c r="M80" t="e" cm="1">
        <f t="array" aca="1" ref="M80" ca="1">+_xll.EQNXTDZ($A$1,$B80,M$51)</f>
        <v>#NAME?</v>
      </c>
      <c r="N80" t="e" cm="1">
        <f t="array" aca="1" ref="N80" ca="1">+_xll.EQNXTDZ($A$1,$B80,N$51)</f>
        <v>#NAME?</v>
      </c>
      <c r="O80" t="e" cm="1">
        <f t="array" aca="1" ref="O80" ca="1">+_xll.EQNXTDZ($A$1,$B80,O$51)</f>
        <v>#NAME?</v>
      </c>
      <c r="P80" t="e" cm="1">
        <f t="array" aca="1" ref="P80" ca="1">+_xll.EQNXTDZ($A$1,$B80,P$51)</f>
        <v>#NAME?</v>
      </c>
      <c r="Q80" t="e" cm="1">
        <f t="array" aca="1" ref="Q80" ca="1">+_xll.EQNXTDZ($A$1,$B80,Q$51)</f>
        <v>#NAME?</v>
      </c>
      <c r="R80" t="e" cm="1">
        <f t="array" aca="1" ref="R80" ca="1">+_xll.EQNXTDZ($A$1,$B80,R$51)</f>
        <v>#NAME?</v>
      </c>
      <c r="S80" t="e" cm="1">
        <f t="array" aca="1" ref="S80" ca="1">+_xll.EQNXTDZ($A$1,$B80,S$51)</f>
        <v>#NAME?</v>
      </c>
      <c r="T80" t="e" cm="1">
        <f t="array" aca="1" ref="T80" ca="1">+_xll.EQNXTDZ($A$1,$B80,T$51)</f>
        <v>#NAME?</v>
      </c>
      <c r="U80" t="e" cm="1">
        <f t="array" aca="1" ref="U80" ca="1">+_xll.EQNXTDZ($A$1,$B80,U$51)</f>
        <v>#NAME?</v>
      </c>
      <c r="V80" t="e" cm="1">
        <f t="array" aca="1" ref="V80" ca="1">+_xll.EQNXTDZ($A$1,$B80,V$51)</f>
        <v>#NAME?</v>
      </c>
      <c r="W80" t="e" cm="1">
        <f t="array" aca="1" ref="W80" ca="1">+_xll.EQNXTDZ($A$1,$B80,W$51)</f>
        <v>#NAME?</v>
      </c>
      <c r="X80" t="e" cm="1">
        <f t="array" aca="1" ref="X80" ca="1">+_xll.EQNXTDZ($A$1,$B80,X$51)</f>
        <v>#NAME?</v>
      </c>
      <c r="Y80" t="e" cm="1">
        <f t="array" aca="1" ref="Y80" ca="1">+_xll.EQNXTDZ($A$1,$B80,Y$51)</f>
        <v>#NAME?</v>
      </c>
      <c r="Z80" t="e" cm="1">
        <f t="array" aca="1" ref="Z80" ca="1">+_xll.EQNXTDZ($A$1,$B80,Z$51)</f>
        <v>#NAME?</v>
      </c>
      <c r="AA80" t="e" cm="1">
        <f t="array" aca="1" ref="AA80" ca="1">+_xll.EQNXTDZ($A$1,$B80,AA$51)</f>
        <v>#NAME?</v>
      </c>
      <c r="AB80" t="e" cm="1">
        <f t="array" aca="1" ref="AB80" ca="1">+_xll.EQNXTDZ($A$1,$B80,AB$51)</f>
        <v>#NAME?</v>
      </c>
      <c r="AC80" t="e" cm="1">
        <f t="array" aca="1" ref="AC80" ca="1">+_xll.EQNXTDZ($A$1,$B80,AC$51)</f>
        <v>#NAME?</v>
      </c>
      <c r="AD80" t="e" cm="1">
        <f t="array" aca="1" ref="AD80" ca="1">+_xll.EQNXTDZ($A$1,$B80,AD$51)</f>
        <v>#NAME?</v>
      </c>
      <c r="AE80" t="e" cm="1">
        <f t="array" aca="1" ref="AE80" ca="1">+_xll.EQNXTDZ($A$1,$B80,AE$51)</f>
        <v>#NAME?</v>
      </c>
      <c r="AF80" t="e" cm="1">
        <f t="array" aca="1" ref="AF80" ca="1">+_xll.EQNXTDZ($A$1,$B80,AF$51)</f>
        <v>#NAME?</v>
      </c>
      <c r="AG80" t="e" cm="1">
        <f t="array" aca="1" ref="AG80" ca="1">+_xll.EQNXTDZ($A$1,$B80,AG$51)</f>
        <v>#NAME?</v>
      </c>
      <c r="AH80" t="e" cm="1">
        <f t="array" aca="1" ref="AH80" ca="1">+_xll.EQNXTDZ($A$1,$B80,AH$51)</f>
        <v>#NAME?</v>
      </c>
      <c r="AI80" t="e" cm="1">
        <f t="array" aca="1" ref="AI80" ca="1">+_xll.EQNXTDZ($A$1,$B80,AI$51)</f>
        <v>#NAME?</v>
      </c>
      <c r="AJ80" t="e" cm="1">
        <f t="array" aca="1" ref="AJ80" ca="1">+_xll.EQNXTDZ($A$1,$B80,AJ$51)</f>
        <v>#NAME?</v>
      </c>
      <c r="AK80" t="e" cm="1">
        <f t="array" aca="1" ref="AK80" ca="1">+_xll.EQNXTDZ($A$1,$B80,AK$51)</f>
        <v>#NAME?</v>
      </c>
      <c r="AL80" t="e" cm="1">
        <f t="array" aca="1" ref="AL80" ca="1">+_xll.EQNXTDZ($A$1,$B80,AL$51)</f>
        <v>#NAME?</v>
      </c>
      <c r="AM80" t="e" cm="1">
        <f t="array" aca="1" ref="AM80" ca="1">+_xll.EQNXTDZ($A$1,$B80,AM$51)</f>
        <v>#NAME?</v>
      </c>
      <c r="AN80" t="e" cm="1">
        <f t="array" aca="1" ref="AN80" ca="1">+_xll.EQNXTDZ($A$1,$B80,AN$51)</f>
        <v>#NAME?</v>
      </c>
      <c r="AO80" t="e" cm="1">
        <f t="array" aca="1" ref="AO80" ca="1">+_xll.EQNXTDZ($A$1,$B80,AO$51)</f>
        <v>#NAME?</v>
      </c>
      <c r="AP80" t="e" cm="1">
        <f t="array" aca="1" ref="AP80" ca="1">+_xll.EQNXTDZ($A$1,$B80,AP$51)</f>
        <v>#NAME?</v>
      </c>
      <c r="AQ80" t="e" cm="1">
        <f t="array" aca="1" ref="AQ80" ca="1">+_xll.EQNXTDZ($A$1,$B80,AQ$51)</f>
        <v>#NAME?</v>
      </c>
      <c r="AR80" t="e" cm="1">
        <f t="array" aca="1" ref="AR80" ca="1">+_xll.EQNXTDZ($A$1,$B80,AR$51)</f>
        <v>#NAME?</v>
      </c>
      <c r="AS80" t="e" cm="1">
        <f t="array" aca="1" ref="AS80" ca="1">+_xll.EQNXTDZ($A$1,$B80,AS$51)</f>
        <v>#NAME?</v>
      </c>
      <c r="AT80" t="e" cm="1">
        <f t="array" aca="1" ref="AT80" ca="1">+_xll.EQNXTDZ($A$1,$B80,AT$51)</f>
        <v>#NAME?</v>
      </c>
      <c r="AU80" t="e" cm="1">
        <f t="array" aca="1" ref="AU80" ca="1">+_xll.EQNXTDZ($A$1,$B80,AU$51)</f>
        <v>#NAME?</v>
      </c>
      <c r="AV80" t="e" cm="1">
        <f t="array" aca="1" ref="AV80" ca="1">+_xll.EQNXTDZ($A$1,$B80,AV$51)</f>
        <v>#NAME?</v>
      </c>
      <c r="AW80" t="e" cm="1">
        <f t="array" aca="1" ref="AW80" ca="1">+_xll.EQNXTDZ($A$1,$B80,AW$51)</f>
        <v>#NAME?</v>
      </c>
      <c r="AX80" t="e" cm="1">
        <f t="array" aca="1" ref="AX80" ca="1">+_xll.EQNXTDZ($A$1,$B80,AX$51)</f>
        <v>#NAME?</v>
      </c>
      <c r="AY80" t="e" cm="1">
        <f t="array" aca="1" ref="AY80" ca="1">+_xll.EQNXTDZ($A$1,$B80,AY$51)</f>
        <v>#NAME?</v>
      </c>
      <c r="AZ80" t="e" cm="1">
        <f t="array" aca="1" ref="AZ80" ca="1">+_xll.EQNXTDZ($A$1,$B80,AZ$51)</f>
        <v>#NAME?</v>
      </c>
      <c r="BA80" t="e" cm="1">
        <f t="array" aca="1" ref="BA80" ca="1">+_xll.EQNXTDZ($A$1,$B80,BA$51)</f>
        <v>#NAME?</v>
      </c>
      <c r="BB80" t="e" cm="1">
        <f t="array" aca="1" ref="BB80" ca="1">+_xll.EQNXTDZ($A$1,$B80,BB$51)</f>
        <v>#NAME?</v>
      </c>
      <c r="BC80" t="e" cm="1">
        <f t="array" aca="1" ref="BC80" ca="1">+_xll.EQNXTDZ($A$1,$B80,BC$51)</f>
        <v>#NAME?</v>
      </c>
      <c r="BD80" t="e" cm="1">
        <f t="array" aca="1" ref="BD80" ca="1">+_xll.EQNXTDZ($A$1,$B80,BD$51)</f>
        <v>#NAME?</v>
      </c>
      <c r="BE80" t="e" cm="1">
        <f t="array" aca="1" ref="BE80" ca="1">+_xll.EQNXTDZ($A$1,$B80,BE$51)</f>
        <v>#NAME?</v>
      </c>
      <c r="BF80" t="e" cm="1">
        <f t="array" aca="1" ref="BF80" ca="1">+_xll.EQNXTDZ($A$1,$B80,BF$51)</f>
        <v>#NAME?</v>
      </c>
      <c r="BG80" t="e" cm="1">
        <f t="array" aca="1" ref="BG80" ca="1">+_xll.EQNXTDZ($A$1,$B80,BG$51)</f>
        <v>#NAME?</v>
      </c>
      <c r="BH80" t="e" cm="1">
        <f t="array" aca="1" ref="BH80" ca="1">+_xll.EQNXTDZ($A$1,$B80,BH$51)</f>
        <v>#NAME?</v>
      </c>
      <c r="BI80" t="e" cm="1">
        <f t="array" aca="1" ref="BI80" ca="1">+_xll.EQNXTDZ($A$1,$B80,BI$51)</f>
        <v>#NAME?</v>
      </c>
      <c r="BJ80" t="e" cm="1">
        <f t="array" aca="1" ref="BJ80" ca="1">+_xll.EQNXTDZ($A$1,$B80,BJ$51)</f>
        <v>#NAME?</v>
      </c>
    </row>
    <row r="81" spans="1:62" x14ac:dyDescent="0.25">
      <c r="A81" t="s">
        <v>299</v>
      </c>
      <c r="B81" t="s">
        <v>328</v>
      </c>
      <c r="C81" t="e" cm="1">
        <f t="array" aca="1" ref="C81" ca="1">+_xll.EQNXTDZ($A$1,$B81,C$51)</f>
        <v>#NAME?</v>
      </c>
      <c r="D81" t="e" cm="1">
        <f t="array" aca="1" ref="D81" ca="1">+_xll.EQNXTDZ($A$1,$B81,D$51)</f>
        <v>#NAME?</v>
      </c>
      <c r="E81" t="e" cm="1">
        <f t="array" aca="1" ref="E81" ca="1">+_xll.EQNXTDZ($A$1,$B81,E$51)</f>
        <v>#NAME?</v>
      </c>
      <c r="F81" t="e" cm="1">
        <f t="array" aca="1" ref="F81" ca="1">+_xll.EQNXTDZ($A$1,$B81,F$51)</f>
        <v>#NAME?</v>
      </c>
      <c r="G81" t="e" cm="1">
        <f t="array" aca="1" ref="G81" ca="1">+_xll.EQNXTDZ($A$1,$B81,G$51)</f>
        <v>#NAME?</v>
      </c>
      <c r="H81" t="e" cm="1">
        <f t="array" aca="1" ref="H81" ca="1">+_xll.EQNXTDZ($A$1,$B81,H$51)</f>
        <v>#NAME?</v>
      </c>
      <c r="I81" t="e" cm="1">
        <f t="array" aca="1" ref="I81" ca="1">+_xll.EQNXTDZ($A$1,$B81,I$51)</f>
        <v>#NAME?</v>
      </c>
      <c r="J81" t="e" cm="1">
        <f t="array" aca="1" ref="J81" ca="1">+_xll.EQNXTDZ($A$1,$B81,J$51)</f>
        <v>#NAME?</v>
      </c>
      <c r="K81" t="e" cm="1">
        <f t="array" aca="1" ref="K81" ca="1">+_xll.EQNXTDZ($A$1,$B81,K$51)</f>
        <v>#NAME?</v>
      </c>
      <c r="L81" t="e" cm="1">
        <f t="array" aca="1" ref="L81" ca="1">+_xll.EQNXTDZ($A$1,$B81,L$51)</f>
        <v>#NAME?</v>
      </c>
      <c r="M81" t="e" cm="1">
        <f t="array" aca="1" ref="M81" ca="1">+_xll.EQNXTDZ($A$1,$B81,M$51)</f>
        <v>#NAME?</v>
      </c>
      <c r="N81" t="e" cm="1">
        <f t="array" aca="1" ref="N81" ca="1">+_xll.EQNXTDZ($A$1,$B81,N$51)</f>
        <v>#NAME?</v>
      </c>
      <c r="O81" t="e" cm="1">
        <f t="array" aca="1" ref="O81" ca="1">+_xll.EQNXTDZ($A$1,$B81,O$51)</f>
        <v>#NAME?</v>
      </c>
      <c r="P81" t="e" cm="1">
        <f t="array" aca="1" ref="P81" ca="1">+_xll.EQNXTDZ($A$1,$B81,P$51)</f>
        <v>#NAME?</v>
      </c>
      <c r="Q81" t="e" cm="1">
        <f t="array" aca="1" ref="Q81" ca="1">+_xll.EQNXTDZ($A$1,$B81,Q$51)</f>
        <v>#NAME?</v>
      </c>
      <c r="R81" t="e" cm="1">
        <f t="array" aca="1" ref="R81" ca="1">+_xll.EQNXTDZ($A$1,$B81,R$51)</f>
        <v>#NAME?</v>
      </c>
      <c r="S81" t="e" cm="1">
        <f t="array" aca="1" ref="S81" ca="1">+_xll.EQNXTDZ($A$1,$B81,S$51)</f>
        <v>#NAME?</v>
      </c>
      <c r="T81" t="e" cm="1">
        <f t="array" aca="1" ref="T81" ca="1">+_xll.EQNXTDZ($A$1,$B81,T$51)</f>
        <v>#NAME?</v>
      </c>
      <c r="U81" t="e" cm="1">
        <f t="array" aca="1" ref="U81" ca="1">+_xll.EQNXTDZ($A$1,$B81,U$51)</f>
        <v>#NAME?</v>
      </c>
      <c r="V81" t="e" cm="1">
        <f t="array" aca="1" ref="V81" ca="1">+_xll.EQNXTDZ($A$1,$B81,V$51)</f>
        <v>#NAME?</v>
      </c>
      <c r="W81" t="e" cm="1">
        <f t="array" aca="1" ref="W81" ca="1">+_xll.EQNXTDZ($A$1,$B81,W$51)</f>
        <v>#NAME?</v>
      </c>
      <c r="X81" t="e" cm="1">
        <f t="array" aca="1" ref="X81" ca="1">+_xll.EQNXTDZ($A$1,$B81,X$51)</f>
        <v>#NAME?</v>
      </c>
      <c r="Y81" t="e" cm="1">
        <f t="array" aca="1" ref="Y81" ca="1">+_xll.EQNXTDZ($A$1,$B81,Y$51)</f>
        <v>#NAME?</v>
      </c>
      <c r="Z81" t="e" cm="1">
        <f t="array" aca="1" ref="Z81" ca="1">+_xll.EQNXTDZ($A$1,$B81,Z$51)</f>
        <v>#NAME?</v>
      </c>
      <c r="AA81" t="e" cm="1">
        <f t="array" aca="1" ref="AA81" ca="1">+_xll.EQNXTDZ($A$1,$B81,AA$51)</f>
        <v>#NAME?</v>
      </c>
      <c r="AB81" t="e" cm="1">
        <f t="array" aca="1" ref="AB81" ca="1">+_xll.EQNXTDZ($A$1,$B81,AB$51)</f>
        <v>#NAME?</v>
      </c>
      <c r="AC81" t="e" cm="1">
        <f t="array" aca="1" ref="AC81" ca="1">+_xll.EQNXTDZ($A$1,$B81,AC$51)</f>
        <v>#NAME?</v>
      </c>
      <c r="AD81" t="e" cm="1">
        <f t="array" aca="1" ref="AD81" ca="1">+_xll.EQNXTDZ($A$1,$B81,AD$51)</f>
        <v>#NAME?</v>
      </c>
      <c r="AE81" t="e" cm="1">
        <f t="array" aca="1" ref="AE81" ca="1">+_xll.EQNXTDZ($A$1,$B81,AE$51)</f>
        <v>#NAME?</v>
      </c>
      <c r="AF81" t="e" cm="1">
        <f t="array" aca="1" ref="AF81" ca="1">+_xll.EQNXTDZ($A$1,$B81,AF$51)</f>
        <v>#NAME?</v>
      </c>
      <c r="AG81" t="e" cm="1">
        <f t="array" aca="1" ref="AG81" ca="1">+_xll.EQNXTDZ($A$1,$B81,AG$51)</f>
        <v>#NAME?</v>
      </c>
      <c r="AH81" t="e" cm="1">
        <f t="array" aca="1" ref="AH81" ca="1">+_xll.EQNXTDZ($A$1,$B81,AH$51)</f>
        <v>#NAME?</v>
      </c>
      <c r="AI81" t="e" cm="1">
        <f t="array" aca="1" ref="AI81" ca="1">+_xll.EQNXTDZ($A$1,$B81,AI$51)</f>
        <v>#NAME?</v>
      </c>
      <c r="AJ81" t="e" cm="1">
        <f t="array" aca="1" ref="AJ81" ca="1">+_xll.EQNXTDZ($A$1,$B81,AJ$51)</f>
        <v>#NAME?</v>
      </c>
      <c r="AK81" t="e" cm="1">
        <f t="array" aca="1" ref="AK81" ca="1">+_xll.EQNXTDZ($A$1,$B81,AK$51)</f>
        <v>#NAME?</v>
      </c>
      <c r="AL81" t="e" cm="1">
        <f t="array" aca="1" ref="AL81" ca="1">+_xll.EQNXTDZ($A$1,$B81,AL$51)</f>
        <v>#NAME?</v>
      </c>
      <c r="AM81" t="e" cm="1">
        <f t="array" aca="1" ref="AM81" ca="1">+_xll.EQNXTDZ($A$1,$B81,AM$51)</f>
        <v>#NAME?</v>
      </c>
      <c r="AN81" t="e" cm="1">
        <f t="array" aca="1" ref="AN81" ca="1">+_xll.EQNXTDZ($A$1,$B81,AN$51)</f>
        <v>#NAME?</v>
      </c>
      <c r="AO81" t="e" cm="1">
        <f t="array" aca="1" ref="AO81" ca="1">+_xll.EQNXTDZ($A$1,$B81,AO$51)</f>
        <v>#NAME?</v>
      </c>
      <c r="AP81" t="e" cm="1">
        <f t="array" aca="1" ref="AP81" ca="1">+_xll.EQNXTDZ($A$1,$B81,AP$51)</f>
        <v>#NAME?</v>
      </c>
      <c r="AQ81" t="e" cm="1">
        <f t="array" aca="1" ref="AQ81" ca="1">+_xll.EQNXTDZ($A$1,$B81,AQ$51)</f>
        <v>#NAME?</v>
      </c>
      <c r="AR81" t="e" cm="1">
        <f t="array" aca="1" ref="AR81" ca="1">+_xll.EQNXTDZ($A$1,$B81,AR$51)</f>
        <v>#NAME?</v>
      </c>
      <c r="AS81" t="e" cm="1">
        <f t="array" aca="1" ref="AS81" ca="1">+_xll.EQNXTDZ($A$1,$B81,AS$51)</f>
        <v>#NAME?</v>
      </c>
      <c r="AT81" t="e" cm="1">
        <f t="array" aca="1" ref="AT81" ca="1">+_xll.EQNXTDZ($A$1,$B81,AT$51)</f>
        <v>#NAME?</v>
      </c>
      <c r="AU81" t="e" cm="1">
        <f t="array" aca="1" ref="AU81" ca="1">+_xll.EQNXTDZ($A$1,$B81,AU$51)</f>
        <v>#NAME?</v>
      </c>
      <c r="AV81" t="e" cm="1">
        <f t="array" aca="1" ref="AV81" ca="1">+_xll.EQNXTDZ($A$1,$B81,AV$51)</f>
        <v>#NAME?</v>
      </c>
      <c r="AW81" t="e" cm="1">
        <f t="array" aca="1" ref="AW81" ca="1">+_xll.EQNXTDZ($A$1,$B81,AW$51)</f>
        <v>#NAME?</v>
      </c>
      <c r="AX81" t="e" cm="1">
        <f t="array" aca="1" ref="AX81" ca="1">+_xll.EQNXTDZ($A$1,$B81,AX$51)</f>
        <v>#NAME?</v>
      </c>
      <c r="AY81" t="e" cm="1">
        <f t="array" aca="1" ref="AY81" ca="1">+_xll.EQNXTDZ($A$1,$B81,AY$51)</f>
        <v>#NAME?</v>
      </c>
      <c r="AZ81" t="e" cm="1">
        <f t="array" aca="1" ref="AZ81" ca="1">+_xll.EQNXTDZ($A$1,$B81,AZ$51)</f>
        <v>#NAME?</v>
      </c>
      <c r="BA81" t="e" cm="1">
        <f t="array" aca="1" ref="BA81" ca="1">+_xll.EQNXTDZ($A$1,$B81,BA$51)</f>
        <v>#NAME?</v>
      </c>
      <c r="BB81" t="e" cm="1">
        <f t="array" aca="1" ref="BB81" ca="1">+_xll.EQNXTDZ($A$1,$B81,BB$51)</f>
        <v>#NAME?</v>
      </c>
      <c r="BC81" t="e" cm="1">
        <f t="array" aca="1" ref="BC81" ca="1">+_xll.EQNXTDZ($A$1,$B81,BC$51)</f>
        <v>#NAME?</v>
      </c>
      <c r="BD81" t="e" cm="1">
        <f t="array" aca="1" ref="BD81" ca="1">+_xll.EQNXTDZ($A$1,$B81,BD$51)</f>
        <v>#NAME?</v>
      </c>
      <c r="BE81" t="e" cm="1">
        <f t="array" aca="1" ref="BE81" ca="1">+_xll.EQNXTDZ($A$1,$B81,BE$51)</f>
        <v>#NAME?</v>
      </c>
      <c r="BF81" t="e" cm="1">
        <f t="array" aca="1" ref="BF81" ca="1">+_xll.EQNXTDZ($A$1,$B81,BF$51)</f>
        <v>#NAME?</v>
      </c>
      <c r="BG81" t="e" cm="1">
        <f t="array" aca="1" ref="BG81" ca="1">+_xll.EQNXTDZ($A$1,$B81,BG$51)</f>
        <v>#NAME?</v>
      </c>
      <c r="BH81" t="e" cm="1">
        <f t="array" aca="1" ref="BH81" ca="1">+_xll.EQNXTDZ($A$1,$B81,BH$51)</f>
        <v>#NAME?</v>
      </c>
      <c r="BI81" t="e" cm="1">
        <f t="array" aca="1" ref="BI81" ca="1">+_xll.EQNXTDZ($A$1,$B81,BI$51)</f>
        <v>#NAME?</v>
      </c>
      <c r="BJ81" t="e" cm="1">
        <f t="array" aca="1" ref="BJ81" ca="1">+_xll.EQNXTDZ($A$1,$B81,BJ$51)</f>
        <v>#NAME?</v>
      </c>
    </row>
    <row r="82" spans="1:62" x14ac:dyDescent="0.25">
      <c r="A82" t="s">
        <v>140</v>
      </c>
      <c r="B82" t="s">
        <v>329</v>
      </c>
      <c r="C82" t="e" cm="1">
        <f t="array" aca="1" ref="C82" ca="1">+_xll.EQNXTDZ($A$1,$B82,C$51)</f>
        <v>#NAME?</v>
      </c>
      <c r="D82" t="e" cm="1">
        <f t="array" aca="1" ref="D82" ca="1">+_xll.EQNXTDZ($A$1,$B82,D$51)</f>
        <v>#NAME?</v>
      </c>
      <c r="E82" t="e" cm="1">
        <f t="array" aca="1" ref="E82" ca="1">+_xll.EQNXTDZ($A$1,$B82,E$51)</f>
        <v>#NAME?</v>
      </c>
      <c r="F82" t="e" cm="1">
        <f t="array" aca="1" ref="F82" ca="1">+_xll.EQNXTDZ($A$1,$B82,F$51)</f>
        <v>#NAME?</v>
      </c>
      <c r="G82" t="e" cm="1">
        <f t="array" aca="1" ref="G82" ca="1">+_xll.EQNXTDZ($A$1,$B82,G$51)</f>
        <v>#NAME?</v>
      </c>
      <c r="H82" t="e" cm="1">
        <f t="array" aca="1" ref="H82" ca="1">+_xll.EQNXTDZ($A$1,$B82,H$51)</f>
        <v>#NAME?</v>
      </c>
      <c r="I82" t="e" cm="1">
        <f t="array" aca="1" ref="I82" ca="1">+_xll.EQNXTDZ($A$1,$B82,I$51)</f>
        <v>#NAME?</v>
      </c>
      <c r="J82" t="e" cm="1">
        <f t="array" aca="1" ref="J82" ca="1">+_xll.EQNXTDZ($A$1,$B82,J$51)</f>
        <v>#NAME?</v>
      </c>
      <c r="K82" t="e" cm="1">
        <f t="array" aca="1" ref="K82" ca="1">+_xll.EQNXTDZ($A$1,$B82,K$51)</f>
        <v>#NAME?</v>
      </c>
      <c r="L82" t="e" cm="1">
        <f t="array" aca="1" ref="L82" ca="1">+_xll.EQNXTDZ($A$1,$B82,L$51)</f>
        <v>#NAME?</v>
      </c>
      <c r="M82" t="e" cm="1">
        <f t="array" aca="1" ref="M82" ca="1">+_xll.EQNXTDZ($A$1,$B82,M$51)</f>
        <v>#NAME?</v>
      </c>
      <c r="N82" t="e" cm="1">
        <f t="array" aca="1" ref="N82" ca="1">+_xll.EQNXTDZ($A$1,$B82,N$51)</f>
        <v>#NAME?</v>
      </c>
      <c r="O82" t="e" cm="1">
        <f t="array" aca="1" ref="O82" ca="1">+_xll.EQNXTDZ($A$1,$B82,O$51)</f>
        <v>#NAME?</v>
      </c>
      <c r="P82" t="e" cm="1">
        <f t="array" aca="1" ref="P82" ca="1">+_xll.EQNXTDZ($A$1,$B82,P$51)</f>
        <v>#NAME?</v>
      </c>
      <c r="Q82" t="e" cm="1">
        <f t="array" aca="1" ref="Q82" ca="1">+_xll.EQNXTDZ($A$1,$B82,Q$51)</f>
        <v>#NAME?</v>
      </c>
      <c r="R82" t="e" cm="1">
        <f t="array" aca="1" ref="R82" ca="1">+_xll.EQNXTDZ($A$1,$B82,R$51)</f>
        <v>#NAME?</v>
      </c>
      <c r="S82" t="e" cm="1">
        <f t="array" aca="1" ref="S82" ca="1">+_xll.EQNXTDZ($A$1,$B82,S$51)</f>
        <v>#NAME?</v>
      </c>
      <c r="T82" t="e" cm="1">
        <f t="array" aca="1" ref="T82" ca="1">+_xll.EQNXTDZ($A$1,$B82,T$51)</f>
        <v>#NAME?</v>
      </c>
      <c r="U82" t="e" cm="1">
        <f t="array" aca="1" ref="U82" ca="1">+_xll.EQNXTDZ($A$1,$B82,U$51)</f>
        <v>#NAME?</v>
      </c>
      <c r="V82" t="e" cm="1">
        <f t="array" aca="1" ref="V82" ca="1">+_xll.EQNXTDZ($A$1,$B82,V$51)</f>
        <v>#NAME?</v>
      </c>
      <c r="W82" t="e" cm="1">
        <f t="array" aca="1" ref="W82" ca="1">+_xll.EQNXTDZ($A$1,$B82,W$51)</f>
        <v>#NAME?</v>
      </c>
      <c r="X82" t="e" cm="1">
        <f t="array" aca="1" ref="X82" ca="1">+_xll.EQNXTDZ($A$1,$B82,X$51)</f>
        <v>#NAME?</v>
      </c>
      <c r="Y82" t="e" cm="1">
        <f t="array" aca="1" ref="Y82" ca="1">+_xll.EQNXTDZ($A$1,$B82,Y$51)</f>
        <v>#NAME?</v>
      </c>
      <c r="Z82" t="e" cm="1">
        <f t="array" aca="1" ref="Z82" ca="1">+_xll.EQNXTDZ($A$1,$B82,Z$51)</f>
        <v>#NAME?</v>
      </c>
      <c r="AA82" t="e" cm="1">
        <f t="array" aca="1" ref="AA82" ca="1">+_xll.EQNXTDZ($A$1,$B82,AA$51)</f>
        <v>#NAME?</v>
      </c>
      <c r="AB82" t="e" cm="1">
        <f t="array" aca="1" ref="AB82" ca="1">+_xll.EQNXTDZ($A$1,$B82,AB$51)</f>
        <v>#NAME?</v>
      </c>
      <c r="AC82" t="e" cm="1">
        <f t="array" aca="1" ref="AC82" ca="1">+_xll.EQNXTDZ($A$1,$B82,AC$51)</f>
        <v>#NAME?</v>
      </c>
      <c r="AD82" t="e" cm="1">
        <f t="array" aca="1" ref="AD82" ca="1">+_xll.EQNXTDZ($A$1,$B82,AD$51)</f>
        <v>#NAME?</v>
      </c>
      <c r="AE82" t="e" cm="1">
        <f t="array" aca="1" ref="AE82" ca="1">+_xll.EQNXTDZ($A$1,$B82,AE$51)</f>
        <v>#NAME?</v>
      </c>
      <c r="AF82" t="e" cm="1">
        <f t="array" aca="1" ref="AF82" ca="1">+_xll.EQNXTDZ($A$1,$B82,AF$51)</f>
        <v>#NAME?</v>
      </c>
      <c r="AG82" t="e" cm="1">
        <f t="array" aca="1" ref="AG82" ca="1">+_xll.EQNXTDZ($A$1,$B82,AG$51)</f>
        <v>#NAME?</v>
      </c>
      <c r="AH82" t="e" cm="1">
        <f t="array" aca="1" ref="AH82" ca="1">+_xll.EQNXTDZ($A$1,$B82,AH$51)</f>
        <v>#NAME?</v>
      </c>
      <c r="AI82" t="e" cm="1">
        <f t="array" aca="1" ref="AI82" ca="1">+_xll.EQNXTDZ($A$1,$B82,AI$51)</f>
        <v>#NAME?</v>
      </c>
      <c r="AJ82" t="e" cm="1">
        <f t="array" aca="1" ref="AJ82" ca="1">+_xll.EQNXTDZ($A$1,$B82,AJ$51)</f>
        <v>#NAME?</v>
      </c>
      <c r="AK82" t="e" cm="1">
        <f t="array" aca="1" ref="AK82" ca="1">+_xll.EQNXTDZ($A$1,$B82,AK$51)</f>
        <v>#NAME?</v>
      </c>
      <c r="AL82" t="e" cm="1">
        <f t="array" aca="1" ref="AL82" ca="1">+_xll.EQNXTDZ($A$1,$B82,AL$51)</f>
        <v>#NAME?</v>
      </c>
      <c r="AM82" t="e" cm="1">
        <f t="array" aca="1" ref="AM82" ca="1">+_xll.EQNXTDZ($A$1,$B82,AM$51)</f>
        <v>#NAME?</v>
      </c>
      <c r="AN82" t="e" cm="1">
        <f t="array" aca="1" ref="AN82" ca="1">+_xll.EQNXTDZ($A$1,$B82,AN$51)</f>
        <v>#NAME?</v>
      </c>
      <c r="AO82" t="e" cm="1">
        <f t="array" aca="1" ref="AO82" ca="1">+_xll.EQNXTDZ($A$1,$B82,AO$51)</f>
        <v>#NAME?</v>
      </c>
      <c r="AP82" t="e" cm="1">
        <f t="array" aca="1" ref="AP82" ca="1">+_xll.EQNXTDZ($A$1,$B82,AP$51)</f>
        <v>#NAME?</v>
      </c>
      <c r="AQ82" t="e" cm="1">
        <f t="array" aca="1" ref="AQ82" ca="1">+_xll.EQNXTDZ($A$1,$B82,AQ$51)</f>
        <v>#NAME?</v>
      </c>
      <c r="AR82" t="e" cm="1">
        <f t="array" aca="1" ref="AR82" ca="1">+_xll.EQNXTDZ($A$1,$B82,AR$51)</f>
        <v>#NAME?</v>
      </c>
      <c r="AS82" t="e" cm="1">
        <f t="array" aca="1" ref="AS82" ca="1">+_xll.EQNXTDZ($A$1,$B82,AS$51)</f>
        <v>#NAME?</v>
      </c>
      <c r="AT82" t="e" cm="1">
        <f t="array" aca="1" ref="AT82" ca="1">+_xll.EQNXTDZ($A$1,$B82,AT$51)</f>
        <v>#NAME?</v>
      </c>
      <c r="AU82" t="e" cm="1">
        <f t="array" aca="1" ref="AU82" ca="1">+_xll.EQNXTDZ($A$1,$B82,AU$51)</f>
        <v>#NAME?</v>
      </c>
      <c r="AV82" t="e" cm="1">
        <f t="array" aca="1" ref="AV82" ca="1">+_xll.EQNXTDZ($A$1,$B82,AV$51)</f>
        <v>#NAME?</v>
      </c>
      <c r="AW82" t="e" cm="1">
        <f t="array" aca="1" ref="AW82" ca="1">+_xll.EQNXTDZ($A$1,$B82,AW$51)</f>
        <v>#NAME?</v>
      </c>
      <c r="AX82" t="e" cm="1">
        <f t="array" aca="1" ref="AX82" ca="1">+_xll.EQNXTDZ($A$1,$B82,AX$51)</f>
        <v>#NAME?</v>
      </c>
      <c r="AY82" t="e" cm="1">
        <f t="array" aca="1" ref="AY82" ca="1">+_xll.EQNXTDZ($A$1,$B82,AY$51)</f>
        <v>#NAME?</v>
      </c>
      <c r="AZ82" t="e" cm="1">
        <f t="array" aca="1" ref="AZ82" ca="1">+_xll.EQNXTDZ($A$1,$B82,AZ$51)</f>
        <v>#NAME?</v>
      </c>
      <c r="BA82" t="e" cm="1">
        <f t="array" aca="1" ref="BA82" ca="1">+_xll.EQNXTDZ($A$1,$B82,BA$51)</f>
        <v>#NAME?</v>
      </c>
      <c r="BB82" t="e" cm="1">
        <f t="array" aca="1" ref="BB82" ca="1">+_xll.EQNXTDZ($A$1,$B82,BB$51)</f>
        <v>#NAME?</v>
      </c>
      <c r="BC82" t="e" cm="1">
        <f t="array" aca="1" ref="BC82" ca="1">+_xll.EQNXTDZ($A$1,$B82,BC$51)</f>
        <v>#NAME?</v>
      </c>
      <c r="BD82" t="e" cm="1">
        <f t="array" aca="1" ref="BD82" ca="1">+_xll.EQNXTDZ($A$1,$B82,BD$51)</f>
        <v>#NAME?</v>
      </c>
      <c r="BE82" t="e" cm="1">
        <f t="array" aca="1" ref="BE82" ca="1">+_xll.EQNXTDZ($A$1,$B82,BE$51)</f>
        <v>#NAME?</v>
      </c>
      <c r="BF82" t="e" cm="1">
        <f t="array" aca="1" ref="BF82" ca="1">+_xll.EQNXTDZ($A$1,$B82,BF$51)</f>
        <v>#NAME?</v>
      </c>
      <c r="BG82" t="e" cm="1">
        <f t="array" aca="1" ref="BG82" ca="1">+_xll.EQNXTDZ($A$1,$B82,BG$51)</f>
        <v>#NAME?</v>
      </c>
      <c r="BH82" t="e" cm="1">
        <f t="array" aca="1" ref="BH82" ca="1">+_xll.EQNXTDZ($A$1,$B82,BH$51)</f>
        <v>#NAME?</v>
      </c>
      <c r="BI82" t="e" cm="1">
        <f t="array" aca="1" ref="BI82" ca="1">+_xll.EQNXTDZ($A$1,$B82,BI$51)</f>
        <v>#NAME?</v>
      </c>
      <c r="BJ82" t="e" cm="1">
        <f t="array" aca="1" ref="BJ82" ca="1">+_xll.EQNXTDZ($A$1,$B82,BJ$51)</f>
        <v>#NAME?</v>
      </c>
    </row>
    <row r="83" spans="1:62" x14ac:dyDescent="0.25">
      <c r="A83" t="s">
        <v>141</v>
      </c>
      <c r="B83" t="s">
        <v>330</v>
      </c>
      <c r="C83" t="e" cm="1">
        <f t="array" aca="1" ref="C83" ca="1">+_xll.EQNXTDZ($A$1,$B83,C$51)</f>
        <v>#NAME?</v>
      </c>
      <c r="D83" t="e" cm="1">
        <f t="array" aca="1" ref="D83" ca="1">+_xll.EQNXTDZ($A$1,$B83,D$51)</f>
        <v>#NAME?</v>
      </c>
      <c r="E83" t="e" cm="1">
        <f t="array" aca="1" ref="E83" ca="1">+_xll.EQNXTDZ($A$1,$B83,E$51)</f>
        <v>#NAME?</v>
      </c>
      <c r="F83" t="e" cm="1">
        <f t="array" aca="1" ref="F83" ca="1">+_xll.EQNXTDZ($A$1,$B83,F$51)</f>
        <v>#NAME?</v>
      </c>
      <c r="G83" t="e" cm="1">
        <f t="array" aca="1" ref="G83" ca="1">+_xll.EQNXTDZ($A$1,$B83,G$51)</f>
        <v>#NAME?</v>
      </c>
      <c r="H83" t="e" cm="1">
        <f t="array" aca="1" ref="H83" ca="1">+_xll.EQNXTDZ($A$1,$B83,H$51)</f>
        <v>#NAME?</v>
      </c>
      <c r="I83" t="e" cm="1">
        <f t="array" aca="1" ref="I83" ca="1">+_xll.EQNXTDZ($A$1,$B83,I$51)</f>
        <v>#NAME?</v>
      </c>
      <c r="J83" t="e" cm="1">
        <f t="array" aca="1" ref="J83" ca="1">+_xll.EQNXTDZ($A$1,$B83,J$51)</f>
        <v>#NAME?</v>
      </c>
      <c r="K83" t="e" cm="1">
        <f t="array" aca="1" ref="K83" ca="1">+_xll.EQNXTDZ($A$1,$B83,K$51)</f>
        <v>#NAME?</v>
      </c>
      <c r="L83" t="e" cm="1">
        <f t="array" aca="1" ref="L83" ca="1">+_xll.EQNXTDZ($A$1,$B83,L$51)</f>
        <v>#NAME?</v>
      </c>
      <c r="M83" t="e" cm="1">
        <f t="array" aca="1" ref="M83" ca="1">+_xll.EQNXTDZ($A$1,$B83,M$51)</f>
        <v>#NAME?</v>
      </c>
      <c r="N83" t="e" cm="1">
        <f t="array" aca="1" ref="N83" ca="1">+_xll.EQNXTDZ($A$1,$B83,N$51)</f>
        <v>#NAME?</v>
      </c>
      <c r="O83" t="e" cm="1">
        <f t="array" aca="1" ref="O83" ca="1">+_xll.EQNXTDZ($A$1,$B83,O$51)</f>
        <v>#NAME?</v>
      </c>
      <c r="P83" t="e" cm="1">
        <f t="array" aca="1" ref="P83" ca="1">+_xll.EQNXTDZ($A$1,$B83,P$51)</f>
        <v>#NAME?</v>
      </c>
      <c r="Q83" t="e" cm="1">
        <f t="array" aca="1" ref="Q83" ca="1">+_xll.EQNXTDZ($A$1,$B83,Q$51)</f>
        <v>#NAME?</v>
      </c>
      <c r="R83" t="e" cm="1">
        <f t="array" aca="1" ref="R83" ca="1">+_xll.EQNXTDZ($A$1,$B83,R$51)</f>
        <v>#NAME?</v>
      </c>
      <c r="S83" t="e" cm="1">
        <f t="array" aca="1" ref="S83" ca="1">+_xll.EQNXTDZ($A$1,$B83,S$51)</f>
        <v>#NAME?</v>
      </c>
      <c r="T83" t="e" cm="1">
        <f t="array" aca="1" ref="T83" ca="1">+_xll.EQNXTDZ($A$1,$B83,T$51)</f>
        <v>#NAME?</v>
      </c>
      <c r="U83" t="e" cm="1">
        <f t="array" aca="1" ref="U83" ca="1">+_xll.EQNXTDZ($A$1,$B83,U$51)</f>
        <v>#NAME?</v>
      </c>
      <c r="V83" t="e" cm="1">
        <f t="array" aca="1" ref="V83" ca="1">+_xll.EQNXTDZ($A$1,$B83,V$51)</f>
        <v>#NAME?</v>
      </c>
      <c r="W83" t="e" cm="1">
        <f t="array" aca="1" ref="W83" ca="1">+_xll.EQNXTDZ($A$1,$B83,W$51)</f>
        <v>#NAME?</v>
      </c>
      <c r="X83" t="e" cm="1">
        <f t="array" aca="1" ref="X83" ca="1">+_xll.EQNXTDZ($A$1,$B83,X$51)</f>
        <v>#NAME?</v>
      </c>
      <c r="Y83" t="e" cm="1">
        <f t="array" aca="1" ref="Y83" ca="1">+_xll.EQNXTDZ($A$1,$B83,Y$51)</f>
        <v>#NAME?</v>
      </c>
      <c r="Z83" t="e" cm="1">
        <f t="array" aca="1" ref="Z83" ca="1">+_xll.EQNXTDZ($A$1,$B83,Z$51)</f>
        <v>#NAME?</v>
      </c>
      <c r="AA83" t="e" cm="1">
        <f t="array" aca="1" ref="AA83" ca="1">+_xll.EQNXTDZ($A$1,$B83,AA$51)</f>
        <v>#NAME?</v>
      </c>
      <c r="AB83" t="e" cm="1">
        <f t="array" aca="1" ref="AB83" ca="1">+_xll.EQNXTDZ($A$1,$B83,AB$51)</f>
        <v>#NAME?</v>
      </c>
      <c r="AC83" t="e" cm="1">
        <f t="array" aca="1" ref="AC83" ca="1">+_xll.EQNXTDZ($A$1,$B83,AC$51)</f>
        <v>#NAME?</v>
      </c>
      <c r="AD83" t="e" cm="1">
        <f t="array" aca="1" ref="AD83" ca="1">+_xll.EQNXTDZ($A$1,$B83,AD$51)</f>
        <v>#NAME?</v>
      </c>
      <c r="AE83" t="e" cm="1">
        <f t="array" aca="1" ref="AE83" ca="1">+_xll.EQNXTDZ($A$1,$B83,AE$51)</f>
        <v>#NAME?</v>
      </c>
      <c r="AF83" t="e" cm="1">
        <f t="array" aca="1" ref="AF83" ca="1">+_xll.EQNXTDZ($A$1,$B83,AF$51)</f>
        <v>#NAME?</v>
      </c>
      <c r="AG83" t="e" cm="1">
        <f t="array" aca="1" ref="AG83" ca="1">+_xll.EQNXTDZ($A$1,$B83,AG$51)</f>
        <v>#NAME?</v>
      </c>
      <c r="AH83" t="e" cm="1">
        <f t="array" aca="1" ref="AH83" ca="1">+_xll.EQNXTDZ($A$1,$B83,AH$51)</f>
        <v>#NAME?</v>
      </c>
      <c r="AI83" t="e" cm="1">
        <f t="array" aca="1" ref="AI83" ca="1">+_xll.EQNXTDZ($A$1,$B83,AI$51)</f>
        <v>#NAME?</v>
      </c>
      <c r="AJ83" t="e" cm="1">
        <f t="array" aca="1" ref="AJ83" ca="1">+_xll.EQNXTDZ($A$1,$B83,AJ$51)</f>
        <v>#NAME?</v>
      </c>
      <c r="AK83" t="e" cm="1">
        <f t="array" aca="1" ref="AK83" ca="1">+_xll.EQNXTDZ($A$1,$B83,AK$51)</f>
        <v>#NAME?</v>
      </c>
      <c r="AL83" t="e" cm="1">
        <f t="array" aca="1" ref="AL83" ca="1">+_xll.EQNXTDZ($A$1,$B83,AL$51)</f>
        <v>#NAME?</v>
      </c>
      <c r="AM83" t="e" cm="1">
        <f t="array" aca="1" ref="AM83" ca="1">+_xll.EQNXTDZ($A$1,$B83,AM$51)</f>
        <v>#NAME?</v>
      </c>
      <c r="AN83" t="e" cm="1">
        <f t="array" aca="1" ref="AN83" ca="1">+_xll.EQNXTDZ($A$1,$B83,AN$51)</f>
        <v>#NAME?</v>
      </c>
      <c r="AO83" t="e" cm="1">
        <f t="array" aca="1" ref="AO83" ca="1">+_xll.EQNXTDZ($A$1,$B83,AO$51)</f>
        <v>#NAME?</v>
      </c>
      <c r="AP83" t="e" cm="1">
        <f t="array" aca="1" ref="AP83" ca="1">+_xll.EQNXTDZ($A$1,$B83,AP$51)</f>
        <v>#NAME?</v>
      </c>
      <c r="AQ83" t="e" cm="1">
        <f t="array" aca="1" ref="AQ83" ca="1">+_xll.EQNXTDZ($A$1,$B83,AQ$51)</f>
        <v>#NAME?</v>
      </c>
      <c r="AR83" t="e" cm="1">
        <f t="array" aca="1" ref="AR83" ca="1">+_xll.EQNXTDZ($A$1,$B83,AR$51)</f>
        <v>#NAME?</v>
      </c>
      <c r="AS83" t="e" cm="1">
        <f t="array" aca="1" ref="AS83" ca="1">+_xll.EQNXTDZ($A$1,$B83,AS$51)</f>
        <v>#NAME?</v>
      </c>
      <c r="AT83" t="e" cm="1">
        <f t="array" aca="1" ref="AT83" ca="1">+_xll.EQNXTDZ($A$1,$B83,AT$51)</f>
        <v>#NAME?</v>
      </c>
      <c r="AU83" t="e" cm="1">
        <f t="array" aca="1" ref="AU83" ca="1">+_xll.EQNXTDZ($A$1,$B83,AU$51)</f>
        <v>#NAME?</v>
      </c>
      <c r="AV83" t="e" cm="1">
        <f t="array" aca="1" ref="AV83" ca="1">+_xll.EQNXTDZ($A$1,$B83,AV$51)</f>
        <v>#NAME?</v>
      </c>
      <c r="AW83" t="e" cm="1">
        <f t="array" aca="1" ref="AW83" ca="1">+_xll.EQNXTDZ($A$1,$B83,AW$51)</f>
        <v>#NAME?</v>
      </c>
      <c r="AX83" t="e" cm="1">
        <f t="array" aca="1" ref="AX83" ca="1">+_xll.EQNXTDZ($A$1,$B83,AX$51)</f>
        <v>#NAME?</v>
      </c>
      <c r="AY83" t="e" cm="1">
        <f t="array" aca="1" ref="AY83" ca="1">+_xll.EQNXTDZ($A$1,$B83,AY$51)</f>
        <v>#NAME?</v>
      </c>
      <c r="AZ83" t="e" cm="1">
        <f t="array" aca="1" ref="AZ83" ca="1">+_xll.EQNXTDZ($A$1,$B83,AZ$51)</f>
        <v>#NAME?</v>
      </c>
      <c r="BA83" t="e" cm="1">
        <f t="array" aca="1" ref="BA83" ca="1">+_xll.EQNXTDZ($A$1,$B83,BA$51)</f>
        <v>#NAME?</v>
      </c>
      <c r="BB83" t="e" cm="1">
        <f t="array" aca="1" ref="BB83" ca="1">+_xll.EQNXTDZ($A$1,$B83,BB$51)</f>
        <v>#NAME?</v>
      </c>
      <c r="BC83" t="e" cm="1">
        <f t="array" aca="1" ref="BC83" ca="1">+_xll.EQNXTDZ($A$1,$B83,BC$51)</f>
        <v>#NAME?</v>
      </c>
      <c r="BD83" t="e" cm="1">
        <f t="array" aca="1" ref="BD83" ca="1">+_xll.EQNXTDZ($A$1,$B83,BD$51)</f>
        <v>#NAME?</v>
      </c>
      <c r="BE83" t="e" cm="1">
        <f t="array" aca="1" ref="BE83" ca="1">+_xll.EQNXTDZ($A$1,$B83,BE$51)</f>
        <v>#NAME?</v>
      </c>
      <c r="BF83" t="e" cm="1">
        <f t="array" aca="1" ref="BF83" ca="1">+_xll.EQNXTDZ($A$1,$B83,BF$51)</f>
        <v>#NAME?</v>
      </c>
      <c r="BG83" t="e" cm="1">
        <f t="array" aca="1" ref="BG83" ca="1">+_xll.EQNXTDZ($A$1,$B83,BG$51)</f>
        <v>#NAME?</v>
      </c>
      <c r="BH83" t="e" cm="1">
        <f t="array" aca="1" ref="BH83" ca="1">+_xll.EQNXTDZ($A$1,$B83,BH$51)</f>
        <v>#NAME?</v>
      </c>
      <c r="BI83" t="e" cm="1">
        <f t="array" aca="1" ref="BI83" ca="1">+_xll.EQNXTDZ($A$1,$B83,BI$51)</f>
        <v>#NAME?</v>
      </c>
      <c r="BJ83" t="e" cm="1">
        <f t="array" aca="1" ref="BJ83" ca="1">+_xll.EQNXTDZ($A$1,$B83,BJ$51)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3">
        <v>132525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e" cm="1">
        <f t="array" aca="1" ref="C3" ca="1">_xll.EQNXTDZ($A$1,$B3,C$2)</f>
        <v>#NAME?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</row>
    <row r="6" spans="1:32" x14ac:dyDescent="0.25">
      <c r="A6" t="s">
        <v>58</v>
      </c>
      <c r="B6" t="s">
        <v>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</row>
    <row r="7" spans="1:32" s="110" customFormat="1" x14ac:dyDescent="0.25">
      <c r="A7" s="110" t="s">
        <v>60</v>
      </c>
      <c r="B7" s="110" t="s">
        <v>82</v>
      </c>
      <c r="C7" t="e" cm="1">
        <f t="array" aca="1" ref="C7" ca="1">_xll.EQNXTDZ($A$1,$B7,C$1)</f>
        <v>#NAME?</v>
      </c>
      <c r="D7" t="e" cm="1">
        <f t="array" aca="1" ref="D7" ca="1">_xll.EQNXTDZ($A$1,$B7,D$1)</f>
        <v>#NAME?</v>
      </c>
      <c r="E7" t="e" cm="1">
        <f t="array" aca="1" ref="E7" ca="1">_xll.EQNXTDZ($A$1,$B7,E$1)</f>
        <v>#NAME?</v>
      </c>
      <c r="F7" t="e" cm="1">
        <f t="array" aca="1" ref="F7" ca="1">_xll.EQNXTDZ($A$1,$B7,F$1)</f>
        <v>#NAME?</v>
      </c>
      <c r="G7" t="e" cm="1">
        <f t="array" aca="1" ref="G7" ca="1">_xll.EQNXTDZ($A$1,$B7,G$1)</f>
        <v>#NAME?</v>
      </c>
      <c r="H7" t="e" cm="1">
        <f t="array" aca="1" ref="H7" ca="1">_xll.EQNXTDZ($A$1,$B7,H$1)</f>
        <v>#NAME?</v>
      </c>
      <c r="I7" t="e" cm="1">
        <f t="array" aca="1" ref="I7" ca="1">_xll.EQNXTDZ($A$1,$B7,I$1)</f>
        <v>#NAME?</v>
      </c>
      <c r="J7" t="e" cm="1">
        <f t="array" aca="1" ref="J7" ca="1">_xll.EQNXTDZ($A$1,$B7,J$1)</f>
        <v>#NAME?</v>
      </c>
      <c r="K7" t="e" cm="1">
        <f t="array" aca="1" ref="K7" ca="1">_xll.EQNXTDZ($A$1,$B7,K$1)</f>
        <v>#NAME?</v>
      </c>
      <c r="L7" t="e" cm="1">
        <f t="array" aca="1" ref="L7" ca="1">_xll.EQNXTDZ($A$1,$B7,L$1)</f>
        <v>#NAME?</v>
      </c>
      <c r="M7" t="e" cm="1">
        <f t="array" aca="1" ref="M7" ca="1">_xll.EQNXTDZ($A$1,$B7,M$1)</f>
        <v>#NAME?</v>
      </c>
      <c r="N7" t="e" cm="1">
        <f t="array" aca="1" ref="N7" ca="1">_xll.EQNXTDZ($A$1,$B7,N$1)</f>
        <v>#NAME?</v>
      </c>
      <c r="O7" t="e" cm="1">
        <f t="array" aca="1" ref="O7" ca="1">_xll.EQNXTDZ($A$1,$B7,O$1)</f>
        <v>#NAME?</v>
      </c>
      <c r="P7" t="e" cm="1">
        <f t="array" aca="1" ref="P7" ca="1">_xll.EQNXTDZ($A$1,$B7,P$1)</f>
        <v>#NAME?</v>
      </c>
      <c r="Q7" t="e" cm="1">
        <f t="array" aca="1" ref="Q7" ca="1">_xll.EQNXTDZ($A$1,$B7,Q$1)</f>
        <v>#NAME?</v>
      </c>
      <c r="R7" t="e" cm="1">
        <f t="array" aca="1" ref="R7" ca="1">_xll.EQNXTDZ($A$1,$B7,R$1)</f>
        <v>#NAME?</v>
      </c>
      <c r="S7" t="e" cm="1">
        <f t="array" aca="1" ref="S7" ca="1">_xll.EQNXTDZ($A$1,$B7,S$1)</f>
        <v>#NAME?</v>
      </c>
      <c r="T7" t="e" cm="1">
        <f t="array" aca="1" ref="T7" ca="1">_xll.EQNXTDZ($A$1,$B7,T$1)</f>
        <v>#NAME?</v>
      </c>
      <c r="U7" t="e" cm="1">
        <f t="array" aca="1" ref="U7" ca="1">_xll.EQNXTDZ($A$1,$B7,U$1)</f>
        <v>#NAME?</v>
      </c>
      <c r="V7" t="e" cm="1">
        <f t="array" aca="1" ref="V7" ca="1">_xll.EQNXTDZ($A$1,$B7,V$1)</f>
        <v>#NAME?</v>
      </c>
      <c r="W7" t="e" cm="1">
        <f t="array" aca="1" ref="W7" ca="1">_xll.EQNXTDZ($A$1,$B7,W$1)</f>
        <v>#NAME?</v>
      </c>
      <c r="X7" t="e" cm="1">
        <f t="array" aca="1" ref="X7" ca="1">_xll.EQNXTDZ($A$1,$B7,X$1)</f>
        <v>#NAME?</v>
      </c>
      <c r="Y7" t="e" cm="1">
        <f t="array" aca="1" ref="Y7" ca="1">_xll.EQNXTDZ($A$1,$B7,Y$1)</f>
        <v>#NAME?</v>
      </c>
      <c r="Z7" t="e" cm="1">
        <f t="array" aca="1" ref="Z7" ca="1">_xll.EQNXTDZ($A$1,$B7,Z$1)</f>
        <v>#NAME?</v>
      </c>
      <c r="AA7" t="e" cm="1">
        <f t="array" aca="1" ref="AA7" ca="1">_xll.EQNXTDZ($A$1,$B7,AA$1)</f>
        <v>#NAME?</v>
      </c>
      <c r="AB7" t="e" cm="1">
        <f t="array" aca="1" ref="AB7" ca="1">_xll.EQNXTDZ($A$1,$B7,AB$1)</f>
        <v>#NAME?</v>
      </c>
      <c r="AC7" t="e" cm="1">
        <f t="array" aca="1" ref="AC7" ca="1">_xll.EQNXTDZ($A$1,$B7,AC$1)</f>
        <v>#NAME?</v>
      </c>
      <c r="AD7" t="e" cm="1">
        <f t="array" aca="1" ref="AD7" ca="1">_xll.EQNXTDZ($A$1,$B7,AD$1)</f>
        <v>#NAME?</v>
      </c>
      <c r="AE7" t="e" cm="1">
        <f t="array" aca="1" ref="AE7" ca="1">_xll.EQNXTDZ($A$1,$B7,AE$1)</f>
        <v>#NAME?</v>
      </c>
      <c r="AF7" t="e" cm="1">
        <f t="array" aca="1" ref="AF7" ca="1">_xll.EQNXTDZ($A$1,$B7,AF$1)</f>
        <v>#NAME?</v>
      </c>
    </row>
    <row r="8" spans="1:32" s="110" customFormat="1" x14ac:dyDescent="0.25">
      <c r="A8" s="110" t="s">
        <v>3</v>
      </c>
      <c r="B8" s="110" t="s">
        <v>83</v>
      </c>
      <c r="C8" t="e" cm="1">
        <f t="array" aca="1" ref="C8" ca="1">_xll.EQNXTDZ($A$1,$B8,C$1)</f>
        <v>#NAME?</v>
      </c>
      <c r="D8" t="e" cm="1">
        <f t="array" aca="1" ref="D8" ca="1">_xll.EQNXTDZ($A$1,$B8,D$1)</f>
        <v>#NAME?</v>
      </c>
      <c r="E8" t="e" cm="1">
        <f t="array" aca="1" ref="E8" ca="1">_xll.EQNXTDZ($A$1,$B8,E$1)</f>
        <v>#NAME?</v>
      </c>
      <c r="F8" t="e" cm="1">
        <f t="array" aca="1" ref="F8" ca="1">_xll.EQNXTDZ($A$1,$B8,F$1)</f>
        <v>#NAME?</v>
      </c>
      <c r="G8" t="e" cm="1">
        <f t="array" aca="1" ref="G8" ca="1">_xll.EQNXTDZ($A$1,$B8,G$1)</f>
        <v>#NAME?</v>
      </c>
      <c r="H8" t="e" cm="1">
        <f t="array" aca="1" ref="H8" ca="1">_xll.EQNXTDZ($A$1,$B8,H$1)</f>
        <v>#NAME?</v>
      </c>
      <c r="I8" t="e" cm="1">
        <f t="array" aca="1" ref="I8" ca="1">_xll.EQNXTDZ($A$1,$B8,I$1)</f>
        <v>#NAME?</v>
      </c>
      <c r="J8" t="e" cm="1">
        <f t="array" aca="1" ref="J8" ca="1">_xll.EQNXTDZ($A$1,$B8,J$1)</f>
        <v>#NAME?</v>
      </c>
      <c r="K8" t="e" cm="1">
        <f t="array" aca="1" ref="K8" ca="1">_xll.EQNXTDZ($A$1,$B8,K$1)</f>
        <v>#NAME?</v>
      </c>
      <c r="L8" t="e" cm="1">
        <f t="array" aca="1" ref="L8" ca="1">_xll.EQNXTDZ($A$1,$B8,L$1)</f>
        <v>#NAME?</v>
      </c>
      <c r="M8" t="e" cm="1">
        <f t="array" aca="1" ref="M8" ca="1">_xll.EQNXTDZ($A$1,$B8,M$1)</f>
        <v>#NAME?</v>
      </c>
      <c r="N8" t="e" cm="1">
        <f t="array" aca="1" ref="N8" ca="1">_xll.EQNXTDZ($A$1,$B8,N$1)</f>
        <v>#NAME?</v>
      </c>
      <c r="O8" t="e" cm="1">
        <f t="array" aca="1" ref="O8" ca="1">_xll.EQNXTDZ($A$1,$B8,O$1)</f>
        <v>#NAME?</v>
      </c>
      <c r="P8" t="e" cm="1">
        <f t="array" aca="1" ref="P8" ca="1">_xll.EQNXTDZ($A$1,$B8,P$1)</f>
        <v>#NAME?</v>
      </c>
      <c r="Q8" t="e" cm="1">
        <f t="array" aca="1" ref="Q8" ca="1">_xll.EQNXTDZ($A$1,$B8,Q$1)</f>
        <v>#NAME?</v>
      </c>
      <c r="R8" t="e" cm="1">
        <f t="array" aca="1" ref="R8" ca="1">_xll.EQNXTDZ($A$1,$B8,R$1)</f>
        <v>#NAME?</v>
      </c>
      <c r="S8" t="e" cm="1">
        <f t="array" aca="1" ref="S8" ca="1">_xll.EQNXTDZ($A$1,$B8,S$1)</f>
        <v>#NAME?</v>
      </c>
      <c r="T8" t="e" cm="1">
        <f t="array" aca="1" ref="T8" ca="1">_xll.EQNXTDZ($A$1,$B8,T$1)</f>
        <v>#NAME?</v>
      </c>
      <c r="U8" t="e" cm="1">
        <f t="array" aca="1" ref="U8" ca="1">_xll.EQNXTDZ($A$1,$B8,U$1)</f>
        <v>#NAME?</v>
      </c>
      <c r="V8" t="e" cm="1">
        <f t="array" aca="1" ref="V8" ca="1">_xll.EQNXTDZ($A$1,$B8,V$1)</f>
        <v>#NAME?</v>
      </c>
      <c r="W8" t="e" cm="1">
        <f t="array" aca="1" ref="W8" ca="1">_xll.EQNXTDZ($A$1,$B8,W$1)</f>
        <v>#NAME?</v>
      </c>
      <c r="X8" t="e" cm="1">
        <f t="array" aca="1" ref="X8" ca="1">_xll.EQNXTDZ($A$1,$B8,X$1)</f>
        <v>#NAME?</v>
      </c>
      <c r="Y8" t="e" cm="1">
        <f t="array" aca="1" ref="Y8" ca="1">_xll.EQNXTDZ($A$1,$B8,Y$1)</f>
        <v>#NAME?</v>
      </c>
      <c r="Z8" t="e" cm="1">
        <f t="array" aca="1" ref="Z8" ca="1">_xll.EQNXTDZ($A$1,$B8,Z$1)</f>
        <v>#NAME?</v>
      </c>
      <c r="AA8" t="e" cm="1">
        <f t="array" aca="1" ref="AA8" ca="1">_xll.EQNXTDZ($A$1,$B8,AA$1)</f>
        <v>#NAME?</v>
      </c>
      <c r="AB8" t="e" cm="1">
        <f t="array" aca="1" ref="AB8" ca="1">_xll.EQNXTDZ($A$1,$B8,AB$1)</f>
        <v>#NAME?</v>
      </c>
      <c r="AC8" t="e" cm="1">
        <f t="array" aca="1" ref="AC8" ca="1">_xll.EQNXTDZ($A$1,$B8,AC$1)</f>
        <v>#NAME?</v>
      </c>
      <c r="AD8" t="e" cm="1">
        <f t="array" aca="1" ref="AD8" ca="1">_xll.EQNXTDZ($A$1,$B8,AD$1)</f>
        <v>#NAME?</v>
      </c>
      <c r="AE8" t="e" cm="1">
        <f t="array" aca="1" ref="AE8" ca="1">_xll.EQNXTDZ($A$1,$B8,AE$1)</f>
        <v>#NAME?</v>
      </c>
      <c r="AF8" t="e" cm="1">
        <f t="array" aca="1" ref="AF8" ca="1">_xll.EQNXTDZ($A$1,$B8,AF$1)</f>
        <v>#NAME?</v>
      </c>
    </row>
    <row r="9" spans="1:32" s="110" customFormat="1" x14ac:dyDescent="0.25">
      <c r="A9" s="110" t="s">
        <v>61</v>
      </c>
      <c r="B9" s="110" t="s">
        <v>84</v>
      </c>
      <c r="C9" t="e" cm="1">
        <f t="array" aca="1" ref="C9" ca="1">_xll.EQNXTDZ($A$1,$B9,C$1)</f>
        <v>#NAME?</v>
      </c>
      <c r="D9" t="e" cm="1">
        <f t="array" aca="1" ref="D9" ca="1">_xll.EQNXTDZ($A$1,$B9,D$1)</f>
        <v>#NAME?</v>
      </c>
      <c r="E9" t="e" cm="1">
        <f t="array" aca="1" ref="E9" ca="1">_xll.EQNXTDZ($A$1,$B9,E$1)</f>
        <v>#NAME?</v>
      </c>
      <c r="F9" t="e" cm="1">
        <f t="array" aca="1" ref="F9" ca="1">_xll.EQNXTDZ($A$1,$B9,F$1)</f>
        <v>#NAME?</v>
      </c>
      <c r="G9" t="e" cm="1">
        <f t="array" aca="1" ref="G9" ca="1">_xll.EQNXTDZ($A$1,$B9,G$1)</f>
        <v>#NAME?</v>
      </c>
      <c r="H9" t="e" cm="1">
        <f t="array" aca="1" ref="H9" ca="1">_xll.EQNXTDZ($A$1,$B9,H$1)</f>
        <v>#NAME?</v>
      </c>
      <c r="I9" t="e" cm="1">
        <f t="array" aca="1" ref="I9" ca="1">_xll.EQNXTDZ($A$1,$B9,I$1)</f>
        <v>#NAME?</v>
      </c>
      <c r="J9" t="e" cm="1">
        <f t="array" aca="1" ref="J9" ca="1">_xll.EQNXTDZ($A$1,$B9,J$1)</f>
        <v>#NAME?</v>
      </c>
      <c r="K9" t="e" cm="1">
        <f t="array" aca="1" ref="K9" ca="1">_xll.EQNXTDZ($A$1,$B9,K$1)</f>
        <v>#NAME?</v>
      </c>
      <c r="L9" t="e" cm="1">
        <f t="array" aca="1" ref="L9" ca="1">_xll.EQNXTDZ($A$1,$B9,L$1)</f>
        <v>#NAME?</v>
      </c>
      <c r="M9" t="e" cm="1">
        <f t="array" aca="1" ref="M9" ca="1">_xll.EQNXTDZ($A$1,$B9,M$1)</f>
        <v>#NAME?</v>
      </c>
      <c r="N9" t="e" cm="1">
        <f t="array" aca="1" ref="N9" ca="1">_xll.EQNXTDZ($A$1,$B9,N$1)</f>
        <v>#NAME?</v>
      </c>
      <c r="O9" t="e" cm="1">
        <f t="array" aca="1" ref="O9" ca="1">_xll.EQNXTDZ($A$1,$B9,O$1)</f>
        <v>#NAME?</v>
      </c>
      <c r="P9" t="e" cm="1">
        <f t="array" aca="1" ref="P9" ca="1">_xll.EQNXTDZ($A$1,$B9,P$1)</f>
        <v>#NAME?</v>
      </c>
      <c r="Q9" t="e" cm="1">
        <f t="array" aca="1" ref="Q9" ca="1">_xll.EQNXTDZ($A$1,$B9,Q$1)</f>
        <v>#NAME?</v>
      </c>
      <c r="R9" t="e" cm="1">
        <f t="array" aca="1" ref="R9" ca="1">_xll.EQNXTDZ($A$1,$B9,R$1)</f>
        <v>#NAME?</v>
      </c>
      <c r="S9" t="e" cm="1">
        <f t="array" aca="1" ref="S9" ca="1">_xll.EQNXTDZ($A$1,$B9,S$1)</f>
        <v>#NAME?</v>
      </c>
      <c r="T9" t="e" cm="1">
        <f t="array" aca="1" ref="T9" ca="1">_xll.EQNXTDZ($A$1,$B9,T$1)</f>
        <v>#NAME?</v>
      </c>
      <c r="U9" t="e" cm="1">
        <f t="array" aca="1" ref="U9" ca="1">_xll.EQNXTDZ($A$1,$B9,U$1)</f>
        <v>#NAME?</v>
      </c>
      <c r="V9" t="e" cm="1">
        <f t="array" aca="1" ref="V9" ca="1">_xll.EQNXTDZ($A$1,$B9,V$1)</f>
        <v>#NAME?</v>
      </c>
      <c r="W9" t="e" cm="1">
        <f t="array" aca="1" ref="W9" ca="1">_xll.EQNXTDZ($A$1,$B9,W$1)</f>
        <v>#NAME?</v>
      </c>
      <c r="X9" t="e" cm="1">
        <f t="array" aca="1" ref="X9" ca="1">_xll.EQNXTDZ($A$1,$B9,X$1)</f>
        <v>#NAME?</v>
      </c>
      <c r="Y9" t="e" cm="1">
        <f t="array" aca="1" ref="Y9" ca="1">_xll.EQNXTDZ($A$1,$B9,Y$1)</f>
        <v>#NAME?</v>
      </c>
      <c r="Z9" t="e" cm="1">
        <f t="array" aca="1" ref="Z9" ca="1">_xll.EQNXTDZ($A$1,$B9,Z$1)</f>
        <v>#NAME?</v>
      </c>
      <c r="AA9" t="e" cm="1">
        <f t="array" aca="1" ref="AA9" ca="1">_xll.EQNXTDZ($A$1,$B9,AA$1)</f>
        <v>#NAME?</v>
      </c>
      <c r="AB9" t="e" cm="1">
        <f t="array" aca="1" ref="AB9" ca="1">_xll.EQNXTDZ($A$1,$B9,AB$1)</f>
        <v>#NAME?</v>
      </c>
      <c r="AC9" t="e" cm="1">
        <f t="array" aca="1" ref="AC9" ca="1">_xll.EQNXTDZ($A$1,$B9,AC$1)</f>
        <v>#NAME?</v>
      </c>
      <c r="AD9" t="e" cm="1">
        <f t="array" aca="1" ref="AD9" ca="1">_xll.EQNXTDZ($A$1,$B9,AD$1)</f>
        <v>#NAME?</v>
      </c>
      <c r="AE9" t="e" cm="1">
        <f t="array" aca="1" ref="AE9" ca="1">_xll.EQNXTDZ($A$1,$B9,AE$1)</f>
        <v>#NAME?</v>
      </c>
      <c r="AF9" t="e" cm="1">
        <f t="array" aca="1" ref="AF9" ca="1">_xll.EQNXTDZ($A$1,$B9,AF$1)</f>
        <v>#NAME?</v>
      </c>
    </row>
    <row r="10" spans="1:32" s="110" customFormat="1" x14ac:dyDescent="0.25">
      <c r="A10" s="110" t="s">
        <v>62</v>
      </c>
      <c r="B10" s="110" t="s">
        <v>85</v>
      </c>
      <c r="C10" t="e" cm="1">
        <f t="array" aca="1" ref="C10" ca="1">_xll.EQNXTDZ($A$1,$B10,C$1)</f>
        <v>#NAME?</v>
      </c>
      <c r="D10" t="e" cm="1">
        <f t="array" aca="1" ref="D10" ca="1">_xll.EQNXTDZ($A$1,$B10,D$1)</f>
        <v>#NAME?</v>
      </c>
      <c r="E10" t="e" cm="1">
        <f t="array" aca="1" ref="E10" ca="1">_xll.EQNXTDZ($A$1,$B10,E$1)</f>
        <v>#NAME?</v>
      </c>
      <c r="F10" t="e" cm="1">
        <f t="array" aca="1" ref="F10" ca="1">_xll.EQNXTDZ($A$1,$B10,F$1)</f>
        <v>#NAME?</v>
      </c>
      <c r="G10" t="e" cm="1">
        <f t="array" aca="1" ref="G10" ca="1">_xll.EQNXTDZ($A$1,$B10,G$1)</f>
        <v>#NAME?</v>
      </c>
      <c r="H10" t="e" cm="1">
        <f t="array" aca="1" ref="H10" ca="1">_xll.EQNXTDZ($A$1,$B10,H$1)</f>
        <v>#NAME?</v>
      </c>
      <c r="I10" t="e" cm="1">
        <f t="array" aca="1" ref="I10" ca="1">_xll.EQNXTDZ($A$1,$B10,I$1)</f>
        <v>#NAME?</v>
      </c>
      <c r="J10" t="e" cm="1">
        <f t="array" aca="1" ref="J10" ca="1">_xll.EQNXTDZ($A$1,$B10,J$1)</f>
        <v>#NAME?</v>
      </c>
      <c r="K10" t="e" cm="1">
        <f t="array" aca="1" ref="K10" ca="1">_xll.EQNXTDZ($A$1,$B10,K$1)</f>
        <v>#NAME?</v>
      </c>
      <c r="L10" t="e" cm="1">
        <f t="array" aca="1" ref="L10" ca="1">_xll.EQNXTDZ($A$1,$B10,L$1)</f>
        <v>#NAME?</v>
      </c>
      <c r="M10" t="e" cm="1">
        <f t="array" aca="1" ref="M10" ca="1">_xll.EQNXTDZ($A$1,$B10,M$1)</f>
        <v>#NAME?</v>
      </c>
      <c r="N10" t="e" cm="1">
        <f t="array" aca="1" ref="N10" ca="1">_xll.EQNXTDZ($A$1,$B10,N$1)</f>
        <v>#NAME?</v>
      </c>
      <c r="O10" t="e" cm="1">
        <f t="array" aca="1" ref="O10" ca="1">_xll.EQNXTDZ($A$1,$B10,O$1)</f>
        <v>#NAME?</v>
      </c>
      <c r="P10" t="e" cm="1">
        <f t="array" aca="1" ref="P10" ca="1">_xll.EQNXTDZ($A$1,$B10,P$1)</f>
        <v>#NAME?</v>
      </c>
      <c r="Q10" t="e" cm="1">
        <f t="array" aca="1" ref="Q10" ca="1">_xll.EQNXTDZ($A$1,$B10,Q$1)</f>
        <v>#NAME?</v>
      </c>
      <c r="R10" t="e" cm="1">
        <f t="array" aca="1" ref="R10" ca="1">_xll.EQNXTDZ($A$1,$B10,R$1)</f>
        <v>#NAME?</v>
      </c>
      <c r="S10" t="e" cm="1">
        <f t="array" aca="1" ref="S10" ca="1">_xll.EQNXTDZ($A$1,$B10,S$1)</f>
        <v>#NAME?</v>
      </c>
      <c r="T10" t="e" cm="1">
        <f t="array" aca="1" ref="T10" ca="1">_xll.EQNXTDZ($A$1,$B10,T$1)</f>
        <v>#NAME?</v>
      </c>
      <c r="U10" t="e" cm="1">
        <f t="array" aca="1" ref="U10" ca="1">_xll.EQNXTDZ($A$1,$B10,U$1)</f>
        <v>#NAME?</v>
      </c>
      <c r="V10" t="e" cm="1">
        <f t="array" aca="1" ref="V10" ca="1">_xll.EQNXTDZ($A$1,$B10,V$1)</f>
        <v>#NAME?</v>
      </c>
      <c r="W10" t="e" cm="1">
        <f t="array" aca="1" ref="W10" ca="1">_xll.EQNXTDZ($A$1,$B10,W$1)</f>
        <v>#NAME?</v>
      </c>
      <c r="X10" t="e" cm="1">
        <f t="array" aca="1" ref="X10" ca="1">_xll.EQNXTDZ($A$1,$B10,X$1)</f>
        <v>#NAME?</v>
      </c>
      <c r="Y10" t="e" cm="1">
        <f t="array" aca="1" ref="Y10" ca="1">_xll.EQNXTDZ($A$1,$B10,Y$1)</f>
        <v>#NAME?</v>
      </c>
      <c r="Z10" t="e" cm="1">
        <f t="array" aca="1" ref="Z10" ca="1">_xll.EQNXTDZ($A$1,$B10,Z$1)</f>
        <v>#NAME?</v>
      </c>
      <c r="AA10" t="e" cm="1">
        <f t="array" aca="1" ref="AA10" ca="1">_xll.EQNXTDZ($A$1,$B10,AA$1)</f>
        <v>#NAME?</v>
      </c>
      <c r="AB10" t="e" cm="1">
        <f t="array" aca="1" ref="AB10" ca="1">_xll.EQNXTDZ($A$1,$B10,AB$1)</f>
        <v>#NAME?</v>
      </c>
      <c r="AC10" t="e" cm="1">
        <f t="array" aca="1" ref="AC10" ca="1">_xll.EQNXTDZ($A$1,$B10,AC$1)</f>
        <v>#NAME?</v>
      </c>
      <c r="AD10" t="e" cm="1">
        <f t="array" aca="1" ref="AD10" ca="1">_xll.EQNXTDZ($A$1,$B10,AD$1)</f>
        <v>#NAME?</v>
      </c>
      <c r="AE10" t="e" cm="1">
        <f t="array" aca="1" ref="AE10" ca="1">_xll.EQNXTDZ($A$1,$B10,AE$1)</f>
        <v>#NAME?</v>
      </c>
      <c r="AF10" t="e" cm="1">
        <f t="array" aca="1" ref="AF10" ca="1">_xll.EQNXTDZ($A$1,$B10,AF$1)</f>
        <v>#NAME?</v>
      </c>
    </row>
    <row r="11" spans="1:32" s="110" customFormat="1" x14ac:dyDescent="0.25">
      <c r="A11" s="110" t="s">
        <v>63</v>
      </c>
      <c r="B11" s="110" t="s">
        <v>86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</row>
    <row r="12" spans="1:32" s="110" customFormat="1" x14ac:dyDescent="0.25">
      <c r="A12" s="110" t="s">
        <v>168</v>
      </c>
      <c r="B12" s="110" t="s">
        <v>170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</row>
    <row r="13" spans="1:32" s="110" customFormat="1" x14ac:dyDescent="0.25">
      <c r="A13" s="110" t="s">
        <v>167</v>
      </c>
      <c r="B13" s="110" t="s">
        <v>169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</row>
    <row r="14" spans="1:32" s="110" customFormat="1" x14ac:dyDescent="0.25">
      <c r="A14" s="110" t="s">
        <v>171</v>
      </c>
      <c r="B14" s="110" t="s">
        <v>172</v>
      </c>
      <c r="C14" t="e" cm="1">
        <f t="array" aca="1" ref="C14" ca="1">_xll.EQNXTDZ($A$1,$B14,C$1)</f>
        <v>#NAME?</v>
      </c>
      <c r="D14" t="e" cm="1">
        <f t="array" aca="1" ref="D14" ca="1">_xll.EQNXTDZ($A$1,$B14,D$1)</f>
        <v>#NAME?</v>
      </c>
      <c r="E14" t="e" cm="1">
        <f t="array" aca="1" ref="E14" ca="1">_xll.EQNXTDZ($A$1,$B14,E$1)</f>
        <v>#NAME?</v>
      </c>
      <c r="F14" t="e" cm="1">
        <f t="array" aca="1" ref="F14" ca="1">_xll.EQNXTDZ($A$1,$B14,F$1)</f>
        <v>#NAME?</v>
      </c>
      <c r="G14" t="e" cm="1">
        <f t="array" aca="1" ref="G14" ca="1">_xll.EQNXTDZ($A$1,$B14,G$1)</f>
        <v>#NAME?</v>
      </c>
      <c r="H14" t="e" cm="1">
        <f t="array" aca="1" ref="H14" ca="1">_xll.EQNXTDZ($A$1,$B14,H$1)</f>
        <v>#NAME?</v>
      </c>
      <c r="I14" t="e" cm="1">
        <f t="array" aca="1" ref="I14" ca="1">_xll.EQNXTDZ($A$1,$B14,I$1)</f>
        <v>#NAME?</v>
      </c>
      <c r="J14" t="e" cm="1">
        <f t="array" aca="1" ref="J14" ca="1">_xll.EQNXTDZ($A$1,$B14,J$1)</f>
        <v>#NAME?</v>
      </c>
      <c r="K14" t="e" cm="1">
        <f t="array" aca="1" ref="K14" ca="1">_xll.EQNXTDZ($A$1,$B14,K$1)</f>
        <v>#NAME?</v>
      </c>
      <c r="L14" t="e" cm="1">
        <f t="array" aca="1" ref="L14" ca="1">_xll.EQNXTDZ($A$1,$B14,L$1)</f>
        <v>#NAME?</v>
      </c>
      <c r="M14" t="e" cm="1">
        <f t="array" aca="1" ref="M14" ca="1">_xll.EQNXTDZ($A$1,$B14,M$1)</f>
        <v>#NAME?</v>
      </c>
      <c r="N14" t="e" cm="1">
        <f t="array" aca="1" ref="N14" ca="1">_xll.EQNXTDZ($A$1,$B14,N$1)</f>
        <v>#NAME?</v>
      </c>
      <c r="O14" t="e" cm="1">
        <f t="array" aca="1" ref="O14" ca="1">_xll.EQNXTDZ($A$1,$B14,O$1)</f>
        <v>#NAME?</v>
      </c>
      <c r="P14" t="e" cm="1">
        <f t="array" aca="1" ref="P14" ca="1">_xll.EQNXTDZ($A$1,$B14,P$1)</f>
        <v>#NAME?</v>
      </c>
      <c r="Q14" t="e" cm="1">
        <f t="array" aca="1" ref="Q14" ca="1">_xll.EQNXTDZ($A$1,$B14,Q$1)</f>
        <v>#NAME?</v>
      </c>
      <c r="R14" t="e" cm="1">
        <f t="array" aca="1" ref="R14" ca="1">_xll.EQNXTDZ($A$1,$B14,R$1)</f>
        <v>#NAME?</v>
      </c>
      <c r="S14" t="e" cm="1">
        <f t="array" aca="1" ref="S14" ca="1">_xll.EQNXTDZ($A$1,$B14,S$1)</f>
        <v>#NAME?</v>
      </c>
      <c r="T14" t="e" cm="1">
        <f t="array" aca="1" ref="T14" ca="1">_xll.EQNXTDZ($A$1,$B14,T$1)</f>
        <v>#NAME?</v>
      </c>
      <c r="U14" t="e" cm="1">
        <f t="array" aca="1" ref="U14" ca="1">_xll.EQNXTDZ($A$1,$B14,U$1)</f>
        <v>#NAME?</v>
      </c>
      <c r="V14" t="e" cm="1">
        <f t="array" aca="1" ref="V14" ca="1">_xll.EQNXTDZ($A$1,$B14,V$1)</f>
        <v>#NAME?</v>
      </c>
      <c r="W14" t="e" cm="1">
        <f t="array" aca="1" ref="W14" ca="1">_xll.EQNXTDZ($A$1,$B14,W$1)</f>
        <v>#NAME?</v>
      </c>
      <c r="X14" t="e" cm="1">
        <f t="array" aca="1" ref="X14" ca="1">_xll.EQNXTDZ($A$1,$B14,X$1)</f>
        <v>#NAME?</v>
      </c>
      <c r="Y14" t="e" cm="1">
        <f t="array" aca="1" ref="Y14" ca="1">_xll.EQNXTDZ($A$1,$B14,Y$1)</f>
        <v>#NAME?</v>
      </c>
      <c r="Z14" t="e" cm="1">
        <f t="array" aca="1" ref="Z14" ca="1">_xll.EQNXTDZ($A$1,$B14,Z$1)</f>
        <v>#NAME?</v>
      </c>
      <c r="AA14" t="e" cm="1">
        <f t="array" aca="1" ref="AA14" ca="1">_xll.EQNXTDZ($A$1,$B14,AA$1)</f>
        <v>#NAME?</v>
      </c>
      <c r="AB14" t="e" cm="1">
        <f t="array" aca="1" ref="AB14" ca="1">_xll.EQNXTDZ($A$1,$B14,AB$1)</f>
        <v>#NAME?</v>
      </c>
      <c r="AC14" t="e" cm="1">
        <f t="array" aca="1" ref="AC14" ca="1">_xll.EQNXTDZ($A$1,$B14,AC$1)</f>
        <v>#NAME?</v>
      </c>
      <c r="AD14" t="e" cm="1">
        <f t="array" aca="1" ref="AD14" ca="1">_xll.EQNXTDZ($A$1,$B14,AD$1)</f>
        <v>#NAME?</v>
      </c>
      <c r="AE14" t="e" cm="1">
        <f t="array" aca="1" ref="AE14" ca="1">_xll.EQNXTDZ($A$1,$B14,AE$1)</f>
        <v>#NAME?</v>
      </c>
      <c r="AF14" t="e" cm="1">
        <f t="array" aca="1" ref="AF14" ca="1">_xll.EQNXTDZ($A$1,$B14,AF$1)</f>
        <v>#NAME?</v>
      </c>
    </row>
    <row r="15" spans="1:32" x14ac:dyDescent="0.25">
      <c r="A15" t="s">
        <v>368</v>
      </c>
      <c r="B15" t="s">
        <v>370</v>
      </c>
      <c r="C15" t="e" cm="1">
        <f t="array" aca="1" ref="C15" ca="1">_xll.EQNXTDZ($A$1,$B15,C$1)</f>
        <v>#NAME?</v>
      </c>
      <c r="D15" t="e" cm="1">
        <f t="array" aca="1" ref="D15" ca="1">_xll.EQNXTDZ($A$1,$B15,D$1)</f>
        <v>#NAME?</v>
      </c>
      <c r="E15" t="e" cm="1">
        <f t="array" aca="1" ref="E15" ca="1">_xll.EQNXTDZ($A$1,$B15,E$1)</f>
        <v>#NAME?</v>
      </c>
      <c r="F15" t="e" cm="1">
        <f t="array" aca="1" ref="F15" ca="1">_xll.EQNXTDZ($A$1,$B15,F$1)</f>
        <v>#NAME?</v>
      </c>
      <c r="G15" t="e" cm="1">
        <f t="array" aca="1" ref="G15" ca="1">_xll.EQNXTDZ($A$1,$B15,G$1)</f>
        <v>#NAME?</v>
      </c>
      <c r="H15" t="e" cm="1">
        <f t="array" aca="1" ref="H15" ca="1">_xll.EQNXTDZ($A$1,$B15,H$1)</f>
        <v>#NAME?</v>
      </c>
      <c r="I15" t="e" cm="1">
        <f t="array" aca="1" ref="I15" ca="1">_xll.EQNXTDZ($A$1,$B15,I$1)</f>
        <v>#NAME?</v>
      </c>
      <c r="J15" t="e" cm="1">
        <f t="array" aca="1" ref="J15" ca="1">_xll.EQNXTDZ($A$1,$B15,J$1)</f>
        <v>#NAME?</v>
      </c>
      <c r="K15" t="e" cm="1">
        <f t="array" aca="1" ref="K15" ca="1">_xll.EQNXTDZ($A$1,$B15,K$1)</f>
        <v>#NAME?</v>
      </c>
      <c r="L15" t="e" cm="1">
        <f t="array" aca="1" ref="L15" ca="1">_xll.EQNXTDZ($A$1,$B15,L$1)</f>
        <v>#NAME?</v>
      </c>
      <c r="M15" t="e" cm="1">
        <f t="array" aca="1" ref="M15" ca="1">_xll.EQNXTDZ($A$1,$B15,M$1)</f>
        <v>#NAME?</v>
      </c>
      <c r="N15" t="e" cm="1">
        <f t="array" aca="1" ref="N15" ca="1">_xll.EQNXTDZ($A$1,$B15,N$1)</f>
        <v>#NAME?</v>
      </c>
      <c r="O15" t="e" cm="1">
        <f t="array" aca="1" ref="O15" ca="1">_xll.EQNXTDZ($A$1,$B15,O$1)</f>
        <v>#NAME?</v>
      </c>
      <c r="P15" t="e" cm="1">
        <f t="array" aca="1" ref="P15" ca="1">_xll.EQNXTDZ($A$1,$B15,P$1)</f>
        <v>#NAME?</v>
      </c>
      <c r="Q15" t="e" cm="1">
        <f t="array" aca="1" ref="Q15" ca="1">_xll.EQNXTDZ($A$1,$B15,Q$1)</f>
        <v>#NAME?</v>
      </c>
      <c r="R15" t="e" cm="1">
        <f t="array" aca="1" ref="R15" ca="1">_xll.EQNXTDZ($A$1,$B15,R$1)</f>
        <v>#NAME?</v>
      </c>
      <c r="S15" t="e" cm="1">
        <f t="array" aca="1" ref="S15" ca="1">_xll.EQNXTDZ($A$1,$B15,S$1)</f>
        <v>#NAME?</v>
      </c>
      <c r="T15" t="e" cm="1">
        <f t="array" aca="1" ref="T15" ca="1">_xll.EQNXTDZ($A$1,$B15,T$1)</f>
        <v>#NAME?</v>
      </c>
      <c r="U15" t="e" cm="1">
        <f t="array" aca="1" ref="U15" ca="1">_xll.EQNXTDZ($A$1,$B15,U$1)</f>
        <v>#NAME?</v>
      </c>
      <c r="V15" t="e" cm="1">
        <f t="array" aca="1" ref="V15" ca="1">_xll.EQNXTDZ($A$1,$B15,V$1)</f>
        <v>#NAME?</v>
      </c>
      <c r="W15" t="e" cm="1">
        <f t="array" aca="1" ref="W15" ca="1">_xll.EQNXTDZ($A$1,$B15,W$1)</f>
        <v>#NAME?</v>
      </c>
      <c r="X15" t="e" cm="1">
        <f t="array" aca="1" ref="X15" ca="1">_xll.EQNXTDZ($A$1,$B15,X$1)</f>
        <v>#NAME?</v>
      </c>
      <c r="Y15" t="e" cm="1">
        <f t="array" aca="1" ref="Y15" ca="1">_xll.EQNXTDZ($A$1,$B15,Y$1)</f>
        <v>#NAME?</v>
      </c>
      <c r="Z15" t="e" cm="1">
        <f t="array" aca="1" ref="Z15" ca="1">_xll.EQNXTDZ($A$1,$B15,Z$1)</f>
        <v>#NAME?</v>
      </c>
      <c r="AA15" t="e" cm="1">
        <f t="array" aca="1" ref="AA15" ca="1">_xll.EQNXTDZ($A$1,$B15,AA$1)</f>
        <v>#NAME?</v>
      </c>
      <c r="AB15" t="e" cm="1">
        <f t="array" aca="1" ref="AB15" ca="1">_xll.EQNXTDZ($A$1,$B15,AB$1)</f>
        <v>#NAME?</v>
      </c>
      <c r="AC15" t="e" cm="1">
        <f t="array" aca="1" ref="AC15" ca="1">_xll.EQNXTDZ($A$1,$B15,AC$1)</f>
        <v>#NAME?</v>
      </c>
      <c r="AD15" t="e" cm="1">
        <f t="array" aca="1" ref="AD15" ca="1">_xll.EQNXTDZ($A$1,$B15,AD$1)</f>
        <v>#NAME?</v>
      </c>
      <c r="AE15" t="e" cm="1">
        <f t="array" aca="1" ref="AE15" ca="1">_xll.EQNXTDZ($A$1,$B15,AE$1)</f>
        <v>#NAME?</v>
      </c>
      <c r="AF15" t="e" cm="1">
        <f t="array" aca="1" ref="AF15" ca="1">_xll.EQNXTDZ($A$1,$B15,AF$1)</f>
        <v>#NAME?</v>
      </c>
    </row>
    <row r="16" spans="1:32" x14ac:dyDescent="0.25">
      <c r="A16" t="s">
        <v>369</v>
      </c>
      <c r="B16" t="s">
        <v>371</v>
      </c>
      <c r="C16" t="e" cm="1">
        <f t="array" aca="1" ref="C16" ca="1">_xll.EQNXTDZ($A$1,$B16,C$1)</f>
        <v>#NAME?</v>
      </c>
      <c r="D16" t="e" cm="1">
        <f t="array" aca="1" ref="D16" ca="1">_xll.EQNXTDZ($A$1,$B16,D$1)</f>
        <v>#NAME?</v>
      </c>
      <c r="E16" t="e" cm="1">
        <f t="array" aca="1" ref="E16" ca="1">_xll.EQNXTDZ($A$1,$B16,E$1)</f>
        <v>#NAME?</v>
      </c>
      <c r="F16" t="e" cm="1">
        <f t="array" aca="1" ref="F16" ca="1">_xll.EQNXTDZ($A$1,$B16,F$1)</f>
        <v>#NAME?</v>
      </c>
      <c r="G16" t="e" cm="1">
        <f t="array" aca="1" ref="G16" ca="1">_xll.EQNXTDZ($A$1,$B16,G$1)</f>
        <v>#NAME?</v>
      </c>
      <c r="H16" t="e" cm="1">
        <f t="array" aca="1" ref="H16" ca="1">_xll.EQNXTDZ($A$1,$B16,H$1)</f>
        <v>#NAME?</v>
      </c>
      <c r="I16" t="e" cm="1">
        <f t="array" aca="1" ref="I16" ca="1">_xll.EQNXTDZ($A$1,$B16,I$1)</f>
        <v>#NAME?</v>
      </c>
      <c r="J16" t="e" cm="1">
        <f t="array" aca="1" ref="J16" ca="1">_xll.EQNXTDZ($A$1,$B16,J$1)</f>
        <v>#NAME?</v>
      </c>
      <c r="K16" t="e" cm="1">
        <f t="array" aca="1" ref="K16" ca="1">_xll.EQNXTDZ($A$1,$B16,K$1)</f>
        <v>#NAME?</v>
      </c>
      <c r="L16" t="e" cm="1">
        <f t="array" aca="1" ref="L16" ca="1">_xll.EQNXTDZ($A$1,$B16,L$1)</f>
        <v>#NAME?</v>
      </c>
      <c r="M16" t="e" cm="1">
        <f t="array" aca="1" ref="M16" ca="1">_xll.EQNXTDZ($A$1,$B16,M$1)</f>
        <v>#NAME?</v>
      </c>
      <c r="N16" t="e" cm="1">
        <f t="array" aca="1" ref="N16" ca="1">_xll.EQNXTDZ($A$1,$B16,N$1)</f>
        <v>#NAME?</v>
      </c>
      <c r="O16" t="e" cm="1">
        <f t="array" aca="1" ref="O16" ca="1">_xll.EQNXTDZ($A$1,$B16,O$1)</f>
        <v>#NAME?</v>
      </c>
      <c r="P16" t="e" cm="1">
        <f t="array" aca="1" ref="P16" ca="1">_xll.EQNXTDZ($A$1,$B16,P$1)</f>
        <v>#NAME?</v>
      </c>
      <c r="Q16" t="e" cm="1">
        <f t="array" aca="1" ref="Q16" ca="1">_xll.EQNXTDZ($A$1,$B16,Q$1)</f>
        <v>#NAME?</v>
      </c>
      <c r="R16" t="e" cm="1">
        <f t="array" aca="1" ref="R16" ca="1">_xll.EQNXTDZ($A$1,$B16,R$1)</f>
        <v>#NAME?</v>
      </c>
      <c r="S16" t="e" cm="1">
        <f t="array" aca="1" ref="S16" ca="1">_xll.EQNXTDZ($A$1,$B16,S$1)</f>
        <v>#NAME?</v>
      </c>
      <c r="T16" t="e" cm="1">
        <f t="array" aca="1" ref="T16" ca="1">_xll.EQNXTDZ($A$1,$B16,T$1)</f>
        <v>#NAME?</v>
      </c>
      <c r="U16" t="e" cm="1">
        <f t="array" aca="1" ref="U16" ca="1">_xll.EQNXTDZ($A$1,$B16,U$1)</f>
        <v>#NAME?</v>
      </c>
      <c r="V16" t="e" cm="1">
        <f t="array" aca="1" ref="V16" ca="1">_xll.EQNXTDZ($A$1,$B16,V$1)</f>
        <v>#NAME?</v>
      </c>
      <c r="W16" t="e" cm="1">
        <f t="array" aca="1" ref="W16" ca="1">_xll.EQNXTDZ($A$1,$B16,W$1)</f>
        <v>#NAME?</v>
      </c>
      <c r="X16" t="e" cm="1">
        <f t="array" aca="1" ref="X16" ca="1">_xll.EQNXTDZ($A$1,$B16,X$1)</f>
        <v>#NAME?</v>
      </c>
      <c r="Y16" t="e" cm="1">
        <f t="array" aca="1" ref="Y16" ca="1">_xll.EQNXTDZ($A$1,$B16,Y$1)</f>
        <v>#NAME?</v>
      </c>
      <c r="Z16" t="e" cm="1">
        <f t="array" aca="1" ref="Z16" ca="1">_xll.EQNXTDZ($A$1,$B16,Z$1)</f>
        <v>#NAME?</v>
      </c>
      <c r="AA16" t="e" cm="1">
        <f t="array" aca="1" ref="AA16" ca="1">_xll.EQNXTDZ($A$1,$B16,AA$1)</f>
        <v>#NAME?</v>
      </c>
      <c r="AB16" t="e" cm="1">
        <f t="array" aca="1" ref="AB16" ca="1">_xll.EQNXTDZ($A$1,$B16,AB$1)</f>
        <v>#NAME?</v>
      </c>
      <c r="AC16" t="e" cm="1">
        <f t="array" aca="1" ref="AC16" ca="1">_xll.EQNXTDZ($A$1,$B16,AC$1)</f>
        <v>#NAME?</v>
      </c>
      <c r="AD16" t="e" cm="1">
        <f t="array" aca="1" ref="AD16" ca="1">_xll.EQNXTDZ($A$1,$B16,AD$1)</f>
        <v>#NAME?</v>
      </c>
      <c r="AE16" t="e" cm="1">
        <f t="array" aca="1" ref="AE16" ca="1">_xll.EQNXTDZ($A$1,$B16,AE$1)</f>
        <v>#NAME?</v>
      </c>
      <c r="AF16" t="e" cm="1">
        <f t="array" aca="1" ref="AF16" ca="1">_xll.EQNXTDZ($A$1,$B16,AF$1)</f>
        <v>#NAME?</v>
      </c>
    </row>
    <row r="17" spans="1:32" x14ac:dyDescent="0.25">
      <c r="A17" t="s">
        <v>372</v>
      </c>
      <c r="B17" t="s">
        <v>373</v>
      </c>
      <c r="C17" t="e" cm="1">
        <f t="array" aca="1" ref="C17" ca="1">_xll.EQNXTDZ($A$1,$B17,C$1)</f>
        <v>#NAME?</v>
      </c>
      <c r="D17" t="e" cm="1">
        <f t="array" aca="1" ref="D17" ca="1">_xll.EQNXTDZ($A$1,$B17,D$1)</f>
        <v>#NAME?</v>
      </c>
      <c r="E17" t="e" cm="1">
        <f t="array" aca="1" ref="E17" ca="1">_xll.EQNXTDZ($A$1,$B17,E$1)</f>
        <v>#NAME?</v>
      </c>
      <c r="F17" t="e" cm="1">
        <f t="array" aca="1" ref="F17" ca="1">_xll.EQNXTDZ($A$1,$B17,F$1)</f>
        <v>#NAME?</v>
      </c>
      <c r="G17" t="e" cm="1">
        <f t="array" aca="1" ref="G17" ca="1">_xll.EQNXTDZ($A$1,$B17,G$1)</f>
        <v>#NAME?</v>
      </c>
      <c r="H17" t="e" cm="1">
        <f t="array" aca="1" ref="H17" ca="1">_xll.EQNXTDZ($A$1,$B17,H$1)</f>
        <v>#NAME?</v>
      </c>
      <c r="I17" t="e" cm="1">
        <f t="array" aca="1" ref="I17" ca="1">_xll.EQNXTDZ($A$1,$B17,I$1)</f>
        <v>#NAME?</v>
      </c>
      <c r="J17" t="e" cm="1">
        <f t="array" aca="1" ref="J17" ca="1">_xll.EQNXTDZ($A$1,$B17,J$1)</f>
        <v>#NAME?</v>
      </c>
      <c r="K17" t="e" cm="1">
        <f t="array" aca="1" ref="K17" ca="1">_xll.EQNXTDZ($A$1,$B17,K$1)</f>
        <v>#NAME?</v>
      </c>
      <c r="L17" t="e" cm="1">
        <f t="array" aca="1" ref="L17" ca="1">_xll.EQNXTDZ($A$1,$B17,L$1)</f>
        <v>#NAME?</v>
      </c>
      <c r="M17" t="e" cm="1">
        <f t="array" aca="1" ref="M17" ca="1">_xll.EQNXTDZ($A$1,$B17,M$1)</f>
        <v>#NAME?</v>
      </c>
      <c r="N17" t="e" cm="1">
        <f t="array" aca="1" ref="N17" ca="1">_xll.EQNXTDZ($A$1,$B17,N$1)</f>
        <v>#NAME?</v>
      </c>
      <c r="O17" t="e" cm="1">
        <f t="array" aca="1" ref="O17" ca="1">_xll.EQNXTDZ($A$1,$B17,O$1)</f>
        <v>#NAME?</v>
      </c>
      <c r="P17" t="e" cm="1">
        <f t="array" aca="1" ref="P17" ca="1">_xll.EQNXTDZ($A$1,$B17,P$1)</f>
        <v>#NAME?</v>
      </c>
      <c r="Q17" t="e" cm="1">
        <f t="array" aca="1" ref="Q17" ca="1">_xll.EQNXTDZ($A$1,$B17,Q$1)</f>
        <v>#NAME?</v>
      </c>
      <c r="R17" t="e" cm="1">
        <f t="array" aca="1" ref="R17" ca="1">_xll.EQNXTDZ($A$1,$B17,R$1)</f>
        <v>#NAME?</v>
      </c>
      <c r="S17" t="e" cm="1">
        <f t="array" aca="1" ref="S17" ca="1">_xll.EQNXTDZ($A$1,$B17,S$1)</f>
        <v>#NAME?</v>
      </c>
      <c r="T17" t="e" cm="1">
        <f t="array" aca="1" ref="T17" ca="1">_xll.EQNXTDZ($A$1,$B17,T$1)</f>
        <v>#NAME?</v>
      </c>
      <c r="U17" t="e" cm="1">
        <f t="array" aca="1" ref="U17" ca="1">_xll.EQNXTDZ($A$1,$B17,U$1)</f>
        <v>#NAME?</v>
      </c>
      <c r="V17" t="e" cm="1">
        <f t="array" aca="1" ref="V17" ca="1">_xll.EQNXTDZ($A$1,$B17,V$1)</f>
        <v>#NAME?</v>
      </c>
      <c r="W17" t="e" cm="1">
        <f t="array" aca="1" ref="W17" ca="1">_xll.EQNXTDZ($A$1,$B17,W$1)</f>
        <v>#NAME?</v>
      </c>
      <c r="X17" t="e" cm="1">
        <f t="array" aca="1" ref="X17" ca="1">_xll.EQNXTDZ($A$1,$B17,X$1)</f>
        <v>#NAME?</v>
      </c>
      <c r="Y17" t="e" cm="1">
        <f t="array" aca="1" ref="Y17" ca="1">_xll.EQNXTDZ($A$1,$B17,Y$1)</f>
        <v>#NAME?</v>
      </c>
      <c r="Z17" t="e" cm="1">
        <f t="array" aca="1" ref="Z17" ca="1">_xll.EQNXTDZ($A$1,$B17,Z$1)</f>
        <v>#NAME?</v>
      </c>
      <c r="AA17" t="e" cm="1">
        <f t="array" aca="1" ref="AA17" ca="1">_xll.EQNXTDZ($A$1,$B17,AA$1)</f>
        <v>#NAME?</v>
      </c>
      <c r="AB17" t="e" cm="1">
        <f t="array" aca="1" ref="AB17" ca="1">_xll.EQNXTDZ($A$1,$B17,AB$1)</f>
        <v>#NAME?</v>
      </c>
      <c r="AC17" t="e" cm="1">
        <f t="array" aca="1" ref="AC17" ca="1">_xll.EQNXTDZ($A$1,$B17,AC$1)</f>
        <v>#NAME?</v>
      </c>
      <c r="AD17" t="e" cm="1">
        <f t="array" aca="1" ref="AD17" ca="1">_xll.EQNXTDZ($A$1,$B17,AD$1)</f>
        <v>#NAME?</v>
      </c>
      <c r="AE17" t="e" cm="1">
        <f t="array" aca="1" ref="AE17" ca="1">_xll.EQNXTDZ($A$1,$B17,AE$1)</f>
        <v>#NAME?</v>
      </c>
      <c r="AF17" t="e" cm="1">
        <f t="array" aca="1" ref="AF17" ca="1">_xll.EQNXTDZ($A$1,$B17,AF$1)</f>
        <v>#NAME?</v>
      </c>
    </row>
    <row r="18" spans="1:32" s="110" customFormat="1" x14ac:dyDescent="0.25">
      <c r="A18" s="110" t="s">
        <v>64</v>
      </c>
      <c r="B18" s="110" t="s">
        <v>87</v>
      </c>
      <c r="C18" t="e" cm="1">
        <f t="array" aca="1" ref="C18" ca="1">_xll.EQNXTDZ($A$1,$B18,C$1)</f>
        <v>#NAME?</v>
      </c>
      <c r="D18" t="e" cm="1">
        <f t="array" aca="1" ref="D18" ca="1">_xll.EQNXTDZ($A$1,$B18,D$1)</f>
        <v>#NAME?</v>
      </c>
      <c r="E18" t="e" cm="1">
        <f t="array" aca="1" ref="E18" ca="1">_xll.EQNXTDZ($A$1,$B18,E$1)</f>
        <v>#NAME?</v>
      </c>
      <c r="F18" t="e" cm="1">
        <f t="array" aca="1" ref="F18" ca="1">_xll.EQNXTDZ($A$1,$B18,F$1)</f>
        <v>#NAME?</v>
      </c>
      <c r="G18" t="e" cm="1">
        <f t="array" aca="1" ref="G18" ca="1">_xll.EQNXTDZ($A$1,$B18,G$1)</f>
        <v>#NAME?</v>
      </c>
      <c r="H18" t="e" cm="1">
        <f t="array" aca="1" ref="H18" ca="1">_xll.EQNXTDZ($A$1,$B18,H$1)</f>
        <v>#NAME?</v>
      </c>
      <c r="I18" t="e" cm="1">
        <f t="array" aca="1" ref="I18" ca="1">_xll.EQNXTDZ($A$1,$B18,I$1)</f>
        <v>#NAME?</v>
      </c>
      <c r="J18" t="e" cm="1">
        <f t="array" aca="1" ref="J18" ca="1">_xll.EQNXTDZ($A$1,$B18,J$1)</f>
        <v>#NAME?</v>
      </c>
      <c r="K18" t="e" cm="1">
        <f t="array" aca="1" ref="K18" ca="1">_xll.EQNXTDZ($A$1,$B18,K$1)</f>
        <v>#NAME?</v>
      </c>
      <c r="L18" t="e" cm="1">
        <f t="array" aca="1" ref="L18" ca="1">_xll.EQNXTDZ($A$1,$B18,L$1)</f>
        <v>#NAME?</v>
      </c>
      <c r="M18" t="e" cm="1">
        <f t="array" aca="1" ref="M18" ca="1">_xll.EQNXTDZ($A$1,$B18,M$1)</f>
        <v>#NAME?</v>
      </c>
      <c r="N18" t="e" cm="1">
        <f t="array" aca="1" ref="N18" ca="1">_xll.EQNXTDZ($A$1,$B18,N$1)</f>
        <v>#NAME?</v>
      </c>
      <c r="O18" t="e" cm="1">
        <f t="array" aca="1" ref="O18" ca="1">_xll.EQNXTDZ($A$1,$B18,O$1)</f>
        <v>#NAME?</v>
      </c>
      <c r="P18" t="e" cm="1">
        <f t="array" aca="1" ref="P18" ca="1">_xll.EQNXTDZ($A$1,$B18,P$1)</f>
        <v>#NAME?</v>
      </c>
      <c r="Q18" t="e" cm="1">
        <f t="array" aca="1" ref="Q18" ca="1">_xll.EQNXTDZ($A$1,$B18,Q$1)</f>
        <v>#NAME?</v>
      </c>
      <c r="R18" t="e" cm="1">
        <f t="array" aca="1" ref="R18" ca="1">_xll.EQNXTDZ($A$1,$B18,R$1)</f>
        <v>#NAME?</v>
      </c>
      <c r="S18" t="e" cm="1">
        <f t="array" aca="1" ref="S18" ca="1">_xll.EQNXTDZ($A$1,$B18,S$1)</f>
        <v>#NAME?</v>
      </c>
      <c r="T18" t="e" cm="1">
        <f t="array" aca="1" ref="T18" ca="1">_xll.EQNXTDZ($A$1,$B18,T$1)</f>
        <v>#NAME?</v>
      </c>
      <c r="U18" t="e" cm="1">
        <f t="array" aca="1" ref="U18" ca="1">_xll.EQNXTDZ($A$1,$B18,U$1)</f>
        <v>#NAME?</v>
      </c>
      <c r="V18" t="e" cm="1">
        <f t="array" aca="1" ref="V18" ca="1">_xll.EQNXTDZ($A$1,$B18,V$1)</f>
        <v>#NAME?</v>
      </c>
      <c r="W18" t="e" cm="1">
        <f t="array" aca="1" ref="W18" ca="1">_xll.EQNXTDZ($A$1,$B18,W$1)</f>
        <v>#NAME?</v>
      </c>
      <c r="X18" t="e" cm="1">
        <f t="array" aca="1" ref="X18" ca="1">_xll.EQNXTDZ($A$1,$B18,X$1)</f>
        <v>#NAME?</v>
      </c>
      <c r="Y18" t="e" cm="1">
        <f t="array" aca="1" ref="Y18" ca="1">_xll.EQNXTDZ($A$1,$B18,Y$1)</f>
        <v>#NAME?</v>
      </c>
      <c r="Z18" t="e" cm="1">
        <f t="array" aca="1" ref="Z18" ca="1">_xll.EQNXTDZ($A$1,$B18,Z$1)</f>
        <v>#NAME?</v>
      </c>
      <c r="AA18" t="e" cm="1">
        <f t="array" aca="1" ref="AA18" ca="1">_xll.EQNXTDZ($A$1,$B18,AA$1)</f>
        <v>#NAME?</v>
      </c>
      <c r="AB18" t="e" cm="1">
        <f t="array" aca="1" ref="AB18" ca="1">_xll.EQNXTDZ($A$1,$B18,AB$1)</f>
        <v>#NAME?</v>
      </c>
      <c r="AC18" t="e" cm="1">
        <f t="array" aca="1" ref="AC18" ca="1">_xll.EQNXTDZ($A$1,$B18,AC$1)</f>
        <v>#NAME?</v>
      </c>
      <c r="AD18" t="e" cm="1">
        <f t="array" aca="1" ref="AD18" ca="1">_xll.EQNXTDZ($A$1,$B18,AD$1)</f>
        <v>#NAME?</v>
      </c>
      <c r="AE18" t="e" cm="1">
        <f t="array" aca="1" ref="AE18" ca="1">_xll.EQNXTDZ($A$1,$B18,AE$1)</f>
        <v>#NAME?</v>
      </c>
      <c r="AF18" t="e" cm="1">
        <f t="array" aca="1" ref="AF18" ca="1">_xll.EQNXTDZ($A$1,$B18,AF$1)</f>
        <v>#NAME?</v>
      </c>
    </row>
    <row r="19" spans="1:32" s="110" customFormat="1" x14ac:dyDescent="0.25">
      <c r="A19" s="110" t="s">
        <v>2</v>
      </c>
      <c r="B19" s="110" t="s">
        <v>88</v>
      </c>
      <c r="C19" t="e" cm="1">
        <f t="array" aca="1" ref="C19" ca="1">_xll.EQNXTDZ($A$1,$B19,C$1)</f>
        <v>#NAME?</v>
      </c>
      <c r="D19" t="e" cm="1">
        <f t="array" aca="1" ref="D19" ca="1">_xll.EQNXTDZ($A$1,$B19,D$1)</f>
        <v>#NAME?</v>
      </c>
      <c r="E19" t="e" cm="1">
        <f t="array" aca="1" ref="E19" ca="1">_xll.EQNXTDZ($A$1,$B19,E$1)</f>
        <v>#NAME?</v>
      </c>
      <c r="F19" t="e" cm="1">
        <f t="array" aca="1" ref="F19" ca="1">_xll.EQNXTDZ($A$1,$B19,F$1)</f>
        <v>#NAME?</v>
      </c>
      <c r="G19" t="e" cm="1">
        <f t="array" aca="1" ref="G19" ca="1">_xll.EQNXTDZ($A$1,$B19,G$1)</f>
        <v>#NAME?</v>
      </c>
      <c r="H19" t="e" cm="1">
        <f t="array" aca="1" ref="H19" ca="1">_xll.EQNXTDZ($A$1,$B19,H$1)</f>
        <v>#NAME?</v>
      </c>
      <c r="I19" t="e" cm="1">
        <f t="array" aca="1" ref="I19" ca="1">_xll.EQNXTDZ($A$1,$B19,I$1)</f>
        <v>#NAME?</v>
      </c>
      <c r="J19" t="e" cm="1">
        <f t="array" aca="1" ref="J19" ca="1">_xll.EQNXTDZ($A$1,$B19,J$1)</f>
        <v>#NAME?</v>
      </c>
      <c r="K19" t="e" cm="1">
        <f t="array" aca="1" ref="K19" ca="1">_xll.EQNXTDZ($A$1,$B19,K$1)</f>
        <v>#NAME?</v>
      </c>
      <c r="L19" t="e" cm="1">
        <f t="array" aca="1" ref="L19" ca="1">_xll.EQNXTDZ($A$1,$B19,L$1)</f>
        <v>#NAME?</v>
      </c>
      <c r="M19" t="e" cm="1">
        <f t="array" aca="1" ref="M19" ca="1">_xll.EQNXTDZ($A$1,$B19,M$1)</f>
        <v>#NAME?</v>
      </c>
      <c r="N19" t="e" cm="1">
        <f t="array" aca="1" ref="N19" ca="1">_xll.EQNXTDZ($A$1,$B19,N$1)</f>
        <v>#NAME?</v>
      </c>
      <c r="O19" t="e" cm="1">
        <f t="array" aca="1" ref="O19" ca="1">_xll.EQNXTDZ($A$1,$B19,O$1)</f>
        <v>#NAME?</v>
      </c>
      <c r="P19" t="e" cm="1">
        <f t="array" aca="1" ref="P19" ca="1">_xll.EQNXTDZ($A$1,$B19,P$1)</f>
        <v>#NAME?</v>
      </c>
      <c r="Q19" t="e" cm="1">
        <f t="array" aca="1" ref="Q19" ca="1">_xll.EQNXTDZ($A$1,$B19,Q$1)</f>
        <v>#NAME?</v>
      </c>
      <c r="R19" t="e" cm="1">
        <f t="array" aca="1" ref="R19" ca="1">_xll.EQNXTDZ($A$1,$B19,R$1)</f>
        <v>#NAME?</v>
      </c>
      <c r="S19" t="e" cm="1">
        <f t="array" aca="1" ref="S19" ca="1">_xll.EQNXTDZ($A$1,$B19,S$1)</f>
        <v>#NAME?</v>
      </c>
      <c r="T19" t="e" cm="1">
        <f t="array" aca="1" ref="T19" ca="1">_xll.EQNXTDZ($A$1,$B19,T$1)</f>
        <v>#NAME?</v>
      </c>
      <c r="U19" t="e" cm="1">
        <f t="array" aca="1" ref="U19" ca="1">_xll.EQNXTDZ($A$1,$B19,U$1)</f>
        <v>#NAME?</v>
      </c>
      <c r="V19" t="e" cm="1">
        <f t="array" aca="1" ref="V19" ca="1">_xll.EQNXTDZ($A$1,$B19,V$1)</f>
        <v>#NAME?</v>
      </c>
      <c r="W19" t="e" cm="1">
        <f t="array" aca="1" ref="W19" ca="1">_xll.EQNXTDZ($A$1,$B19,W$1)</f>
        <v>#NAME?</v>
      </c>
      <c r="X19" t="e" cm="1">
        <f t="array" aca="1" ref="X19" ca="1">_xll.EQNXTDZ($A$1,$B19,X$1)</f>
        <v>#NAME?</v>
      </c>
      <c r="Y19" t="e" cm="1">
        <f t="array" aca="1" ref="Y19" ca="1">_xll.EQNXTDZ($A$1,$B19,Y$1)</f>
        <v>#NAME?</v>
      </c>
      <c r="Z19" t="e" cm="1">
        <f t="array" aca="1" ref="Z19" ca="1">_xll.EQNXTDZ($A$1,$B19,Z$1)</f>
        <v>#NAME?</v>
      </c>
      <c r="AA19" t="e" cm="1">
        <f t="array" aca="1" ref="AA19" ca="1">_xll.EQNXTDZ($A$1,$B19,AA$1)</f>
        <v>#NAME?</v>
      </c>
      <c r="AB19" t="e" cm="1">
        <f t="array" aca="1" ref="AB19" ca="1">_xll.EQNXTDZ($A$1,$B19,AB$1)</f>
        <v>#NAME?</v>
      </c>
      <c r="AC19" t="e" cm="1">
        <f t="array" aca="1" ref="AC19" ca="1">_xll.EQNXTDZ($A$1,$B19,AC$1)</f>
        <v>#NAME?</v>
      </c>
      <c r="AD19" t="e" cm="1">
        <f t="array" aca="1" ref="AD19" ca="1">_xll.EQNXTDZ($A$1,$B19,AD$1)</f>
        <v>#NAME?</v>
      </c>
      <c r="AE19" t="e" cm="1">
        <f t="array" aca="1" ref="AE19" ca="1">_xll.EQNXTDZ($A$1,$B19,AE$1)</f>
        <v>#NAME?</v>
      </c>
      <c r="AF19" t="e" cm="1">
        <f t="array" aca="1" ref="AF19" ca="1">_xll.EQNXTDZ($A$1,$B19,AF$1)</f>
        <v>#NAME?</v>
      </c>
    </row>
    <row r="20" spans="1:32" s="110" customFormat="1" x14ac:dyDescent="0.25">
      <c r="A20" s="110" t="s">
        <v>65</v>
      </c>
      <c r="B20" s="110" t="s">
        <v>89</v>
      </c>
      <c r="C20" t="e" cm="1">
        <f t="array" aca="1" ref="C20" ca="1">_xll.EQNXTDZ($A$1,$B20,C$1)</f>
        <v>#NAME?</v>
      </c>
      <c r="D20" t="e" cm="1">
        <f t="array" aca="1" ref="D20" ca="1">_xll.EQNXTDZ($A$1,$B20,D$1)</f>
        <v>#NAME?</v>
      </c>
      <c r="E20" t="e" cm="1">
        <f t="array" aca="1" ref="E20" ca="1">_xll.EQNXTDZ($A$1,$B20,E$1)</f>
        <v>#NAME?</v>
      </c>
      <c r="F20" t="e" cm="1">
        <f t="array" aca="1" ref="F20" ca="1">_xll.EQNXTDZ($A$1,$B20,F$1)</f>
        <v>#NAME?</v>
      </c>
      <c r="G20" t="e" cm="1">
        <f t="array" aca="1" ref="G20" ca="1">_xll.EQNXTDZ($A$1,$B20,G$1)</f>
        <v>#NAME?</v>
      </c>
      <c r="H20" t="e" cm="1">
        <f t="array" aca="1" ref="H20" ca="1">_xll.EQNXTDZ($A$1,$B20,H$1)</f>
        <v>#NAME?</v>
      </c>
      <c r="I20" t="e" cm="1">
        <f t="array" aca="1" ref="I20" ca="1">_xll.EQNXTDZ($A$1,$B20,I$1)</f>
        <v>#NAME?</v>
      </c>
      <c r="J20" t="e" cm="1">
        <f t="array" aca="1" ref="J20" ca="1">_xll.EQNXTDZ($A$1,$B20,J$1)</f>
        <v>#NAME?</v>
      </c>
      <c r="K20" t="e" cm="1">
        <f t="array" aca="1" ref="K20" ca="1">_xll.EQNXTDZ($A$1,$B20,K$1)</f>
        <v>#NAME?</v>
      </c>
      <c r="L20" t="e" cm="1">
        <f t="array" aca="1" ref="L20" ca="1">_xll.EQNXTDZ($A$1,$B20,L$1)</f>
        <v>#NAME?</v>
      </c>
      <c r="M20" t="e" cm="1">
        <f t="array" aca="1" ref="M20" ca="1">_xll.EQNXTDZ($A$1,$B20,M$1)</f>
        <v>#NAME?</v>
      </c>
      <c r="N20" t="e" cm="1">
        <f t="array" aca="1" ref="N20" ca="1">_xll.EQNXTDZ($A$1,$B20,N$1)</f>
        <v>#NAME?</v>
      </c>
      <c r="O20" t="e" cm="1">
        <f t="array" aca="1" ref="O20" ca="1">_xll.EQNXTDZ($A$1,$B20,O$1)</f>
        <v>#NAME?</v>
      </c>
      <c r="P20" t="e" cm="1">
        <f t="array" aca="1" ref="P20" ca="1">_xll.EQNXTDZ($A$1,$B20,P$1)</f>
        <v>#NAME?</v>
      </c>
      <c r="Q20" t="e" cm="1">
        <f t="array" aca="1" ref="Q20" ca="1">_xll.EQNXTDZ($A$1,$B20,Q$1)</f>
        <v>#NAME?</v>
      </c>
      <c r="R20" t="e" cm="1">
        <f t="array" aca="1" ref="R20" ca="1">_xll.EQNXTDZ($A$1,$B20,R$1)</f>
        <v>#NAME?</v>
      </c>
      <c r="S20" t="e" cm="1">
        <f t="array" aca="1" ref="S20" ca="1">_xll.EQNXTDZ($A$1,$B20,S$1)</f>
        <v>#NAME?</v>
      </c>
      <c r="T20" t="e" cm="1">
        <f t="array" aca="1" ref="T20" ca="1">_xll.EQNXTDZ($A$1,$B20,T$1)</f>
        <v>#NAME?</v>
      </c>
      <c r="U20" t="e" cm="1">
        <f t="array" aca="1" ref="U20" ca="1">_xll.EQNXTDZ($A$1,$B20,U$1)</f>
        <v>#NAME?</v>
      </c>
      <c r="V20" t="e" cm="1">
        <f t="array" aca="1" ref="V20" ca="1">_xll.EQNXTDZ($A$1,$B20,V$1)</f>
        <v>#NAME?</v>
      </c>
      <c r="W20" t="e" cm="1">
        <f t="array" aca="1" ref="W20" ca="1">_xll.EQNXTDZ($A$1,$B20,W$1)</f>
        <v>#NAME?</v>
      </c>
      <c r="X20" t="e" cm="1">
        <f t="array" aca="1" ref="X20" ca="1">_xll.EQNXTDZ($A$1,$B20,X$1)</f>
        <v>#NAME?</v>
      </c>
      <c r="Y20" t="e" cm="1">
        <f t="array" aca="1" ref="Y20" ca="1">_xll.EQNXTDZ($A$1,$B20,Y$1)</f>
        <v>#NAME?</v>
      </c>
      <c r="Z20" t="e" cm="1">
        <f t="array" aca="1" ref="Z20" ca="1">_xll.EQNXTDZ($A$1,$B20,Z$1)</f>
        <v>#NAME?</v>
      </c>
      <c r="AA20" t="e" cm="1">
        <f t="array" aca="1" ref="AA20" ca="1">_xll.EQNXTDZ($A$1,$B20,AA$1)</f>
        <v>#NAME?</v>
      </c>
      <c r="AB20" t="e" cm="1">
        <f t="array" aca="1" ref="AB20" ca="1">_xll.EQNXTDZ($A$1,$B20,AB$1)</f>
        <v>#NAME?</v>
      </c>
      <c r="AC20" t="e" cm="1">
        <f t="array" aca="1" ref="AC20" ca="1">_xll.EQNXTDZ($A$1,$B20,AC$1)</f>
        <v>#NAME?</v>
      </c>
      <c r="AD20" t="e" cm="1">
        <f t="array" aca="1" ref="AD20" ca="1">_xll.EQNXTDZ($A$1,$B20,AD$1)</f>
        <v>#NAME?</v>
      </c>
      <c r="AE20" t="e" cm="1">
        <f t="array" aca="1" ref="AE20" ca="1">_xll.EQNXTDZ($A$1,$B20,AE$1)</f>
        <v>#NAME?</v>
      </c>
      <c r="AF20" t="e" cm="1">
        <f t="array" aca="1" ref="AF20" ca="1">_xll.EQNXTDZ($A$1,$B20,AF$1)</f>
        <v>#NAME?</v>
      </c>
    </row>
    <row r="21" spans="1:32" s="110" customFormat="1" x14ac:dyDescent="0.25">
      <c r="A21" s="110" t="s">
        <v>66</v>
      </c>
      <c r="B21" s="110" t="s">
        <v>90</v>
      </c>
      <c r="C21" t="e" cm="1">
        <f t="array" aca="1" ref="C21" ca="1">_xll.EQNXTDZ($A$1,$B21,C$1)</f>
        <v>#NAME?</v>
      </c>
      <c r="D21" t="e" cm="1">
        <f t="array" aca="1" ref="D21" ca="1">_xll.EQNXTDZ($A$1,$B21,D$1)</f>
        <v>#NAME?</v>
      </c>
      <c r="E21" t="e" cm="1">
        <f t="array" aca="1" ref="E21" ca="1">_xll.EQNXTDZ($A$1,$B21,E$1)</f>
        <v>#NAME?</v>
      </c>
      <c r="F21" t="e" cm="1">
        <f t="array" aca="1" ref="F21" ca="1">_xll.EQNXTDZ($A$1,$B21,F$1)</f>
        <v>#NAME?</v>
      </c>
      <c r="G21" t="e" cm="1">
        <f t="array" aca="1" ref="G21" ca="1">_xll.EQNXTDZ($A$1,$B21,G$1)</f>
        <v>#NAME?</v>
      </c>
      <c r="H21" t="e" cm="1">
        <f t="array" aca="1" ref="H21" ca="1">_xll.EQNXTDZ($A$1,$B21,H$1)</f>
        <v>#NAME?</v>
      </c>
      <c r="I21" t="e" cm="1">
        <f t="array" aca="1" ref="I21" ca="1">_xll.EQNXTDZ($A$1,$B21,I$1)</f>
        <v>#NAME?</v>
      </c>
      <c r="J21" t="e" cm="1">
        <f t="array" aca="1" ref="J21" ca="1">_xll.EQNXTDZ($A$1,$B21,J$1)</f>
        <v>#NAME?</v>
      </c>
      <c r="K21" t="e" cm="1">
        <f t="array" aca="1" ref="K21" ca="1">_xll.EQNXTDZ($A$1,$B21,K$1)</f>
        <v>#NAME?</v>
      </c>
      <c r="L21" t="e" cm="1">
        <f t="array" aca="1" ref="L21" ca="1">_xll.EQNXTDZ($A$1,$B21,L$1)</f>
        <v>#NAME?</v>
      </c>
      <c r="M21" t="e" cm="1">
        <f t="array" aca="1" ref="M21" ca="1">_xll.EQNXTDZ($A$1,$B21,M$1)</f>
        <v>#NAME?</v>
      </c>
      <c r="N21" t="e" cm="1">
        <f t="array" aca="1" ref="N21" ca="1">_xll.EQNXTDZ($A$1,$B21,N$1)</f>
        <v>#NAME?</v>
      </c>
      <c r="O21" t="e" cm="1">
        <f t="array" aca="1" ref="O21" ca="1">_xll.EQNXTDZ($A$1,$B21,O$1)</f>
        <v>#NAME?</v>
      </c>
      <c r="P21" t="e" cm="1">
        <f t="array" aca="1" ref="P21" ca="1">_xll.EQNXTDZ($A$1,$B21,P$1)</f>
        <v>#NAME?</v>
      </c>
      <c r="Q21" t="e" cm="1">
        <f t="array" aca="1" ref="Q21" ca="1">_xll.EQNXTDZ($A$1,$B21,Q$1)</f>
        <v>#NAME?</v>
      </c>
      <c r="R21" t="e" cm="1">
        <f t="array" aca="1" ref="R21" ca="1">_xll.EQNXTDZ($A$1,$B21,R$1)</f>
        <v>#NAME?</v>
      </c>
      <c r="S21" t="e" cm="1">
        <f t="array" aca="1" ref="S21" ca="1">_xll.EQNXTDZ($A$1,$B21,S$1)</f>
        <v>#NAME?</v>
      </c>
      <c r="T21" t="e" cm="1">
        <f t="array" aca="1" ref="T21" ca="1">_xll.EQNXTDZ($A$1,$B21,T$1)</f>
        <v>#NAME?</v>
      </c>
      <c r="U21" t="e" cm="1">
        <f t="array" aca="1" ref="U21" ca="1">_xll.EQNXTDZ($A$1,$B21,U$1)</f>
        <v>#NAME?</v>
      </c>
      <c r="V21" t="e" cm="1">
        <f t="array" aca="1" ref="V21" ca="1">_xll.EQNXTDZ($A$1,$B21,V$1)</f>
        <v>#NAME?</v>
      </c>
      <c r="W21" t="e" cm="1">
        <f t="array" aca="1" ref="W21" ca="1">_xll.EQNXTDZ($A$1,$B21,W$1)</f>
        <v>#NAME?</v>
      </c>
      <c r="X21" t="e" cm="1">
        <f t="array" aca="1" ref="X21" ca="1">_xll.EQNXTDZ($A$1,$B21,X$1)</f>
        <v>#NAME?</v>
      </c>
      <c r="Y21" t="e" cm="1">
        <f t="array" aca="1" ref="Y21" ca="1">_xll.EQNXTDZ($A$1,$B21,Y$1)</f>
        <v>#NAME?</v>
      </c>
      <c r="Z21" t="e" cm="1">
        <f t="array" aca="1" ref="Z21" ca="1">_xll.EQNXTDZ($A$1,$B21,Z$1)</f>
        <v>#NAME?</v>
      </c>
      <c r="AA21" t="e" cm="1">
        <f t="array" aca="1" ref="AA21" ca="1">_xll.EQNXTDZ($A$1,$B21,AA$1)</f>
        <v>#NAME?</v>
      </c>
      <c r="AB21" t="e" cm="1">
        <f t="array" aca="1" ref="AB21" ca="1">_xll.EQNXTDZ($A$1,$B21,AB$1)</f>
        <v>#NAME?</v>
      </c>
      <c r="AC21" t="e" cm="1">
        <f t="array" aca="1" ref="AC21" ca="1">_xll.EQNXTDZ($A$1,$B21,AC$1)</f>
        <v>#NAME?</v>
      </c>
      <c r="AD21" t="e" cm="1">
        <f t="array" aca="1" ref="AD21" ca="1">_xll.EQNXTDZ($A$1,$B21,AD$1)</f>
        <v>#NAME?</v>
      </c>
      <c r="AE21" t="e" cm="1">
        <f t="array" aca="1" ref="AE21" ca="1">_xll.EQNXTDZ($A$1,$B21,AE$1)</f>
        <v>#NAME?</v>
      </c>
      <c r="AF21" t="e" cm="1">
        <f t="array" aca="1" ref="AF21" ca="1">_xll.EQNXTDZ($A$1,$B21,AF$1)</f>
        <v>#NAME?</v>
      </c>
    </row>
    <row r="22" spans="1:32" s="110" customFormat="1" x14ac:dyDescent="0.25">
      <c r="A22" s="110" t="s">
        <v>67</v>
      </c>
      <c r="B22" s="110" t="s">
        <v>91</v>
      </c>
      <c r="C22" t="e" cm="1">
        <f t="array" aca="1" ref="C22" ca="1">_xll.EQNXTDZ($A$1,$B22,C$1)</f>
        <v>#NAME?</v>
      </c>
      <c r="D22" t="e" cm="1">
        <f t="array" aca="1" ref="D22" ca="1">_xll.EQNXTDZ($A$1,$B22,D$1)</f>
        <v>#NAME?</v>
      </c>
      <c r="E22" t="e" cm="1">
        <f t="array" aca="1" ref="E22" ca="1">_xll.EQNXTDZ($A$1,$B22,E$1)</f>
        <v>#NAME?</v>
      </c>
      <c r="F22" t="e" cm="1">
        <f t="array" aca="1" ref="F22" ca="1">_xll.EQNXTDZ($A$1,$B22,F$1)</f>
        <v>#NAME?</v>
      </c>
      <c r="G22" t="e" cm="1">
        <f t="array" aca="1" ref="G22" ca="1">_xll.EQNXTDZ($A$1,$B22,G$1)</f>
        <v>#NAME?</v>
      </c>
      <c r="H22" t="e" cm="1">
        <f t="array" aca="1" ref="H22" ca="1">_xll.EQNXTDZ($A$1,$B22,H$1)</f>
        <v>#NAME?</v>
      </c>
      <c r="I22" t="e" cm="1">
        <f t="array" aca="1" ref="I22" ca="1">_xll.EQNXTDZ($A$1,$B22,I$1)</f>
        <v>#NAME?</v>
      </c>
      <c r="J22" t="e" cm="1">
        <f t="array" aca="1" ref="J22" ca="1">_xll.EQNXTDZ($A$1,$B22,J$1)</f>
        <v>#NAME?</v>
      </c>
      <c r="K22" t="e" cm="1">
        <f t="array" aca="1" ref="K22" ca="1">_xll.EQNXTDZ($A$1,$B22,K$1)</f>
        <v>#NAME?</v>
      </c>
      <c r="L22" t="e" cm="1">
        <f t="array" aca="1" ref="L22" ca="1">_xll.EQNXTDZ($A$1,$B22,L$1)</f>
        <v>#NAME?</v>
      </c>
      <c r="M22" t="e" cm="1">
        <f t="array" aca="1" ref="M22" ca="1">_xll.EQNXTDZ($A$1,$B22,M$1)</f>
        <v>#NAME?</v>
      </c>
      <c r="N22" t="e" cm="1">
        <f t="array" aca="1" ref="N22" ca="1">_xll.EQNXTDZ($A$1,$B22,N$1)</f>
        <v>#NAME?</v>
      </c>
      <c r="O22" t="e" cm="1">
        <f t="array" aca="1" ref="O22" ca="1">_xll.EQNXTDZ($A$1,$B22,O$1)</f>
        <v>#NAME?</v>
      </c>
      <c r="P22" t="e" cm="1">
        <f t="array" aca="1" ref="P22" ca="1">_xll.EQNXTDZ($A$1,$B22,P$1)</f>
        <v>#NAME?</v>
      </c>
      <c r="Q22" t="e" cm="1">
        <f t="array" aca="1" ref="Q22" ca="1">_xll.EQNXTDZ($A$1,$B22,Q$1)</f>
        <v>#NAME?</v>
      </c>
      <c r="R22" t="e" cm="1">
        <f t="array" aca="1" ref="R22" ca="1">_xll.EQNXTDZ($A$1,$B22,R$1)</f>
        <v>#NAME?</v>
      </c>
      <c r="S22" t="e" cm="1">
        <f t="array" aca="1" ref="S22" ca="1">_xll.EQNXTDZ($A$1,$B22,S$1)</f>
        <v>#NAME?</v>
      </c>
      <c r="T22" t="e" cm="1">
        <f t="array" aca="1" ref="T22" ca="1">_xll.EQNXTDZ($A$1,$B22,T$1)</f>
        <v>#NAME?</v>
      </c>
      <c r="U22" t="e" cm="1">
        <f t="array" aca="1" ref="U22" ca="1">_xll.EQNXTDZ($A$1,$B22,U$1)</f>
        <v>#NAME?</v>
      </c>
      <c r="V22" t="e" cm="1">
        <f t="array" aca="1" ref="V22" ca="1">_xll.EQNXTDZ($A$1,$B22,V$1)</f>
        <v>#NAME?</v>
      </c>
      <c r="W22" t="e" cm="1">
        <f t="array" aca="1" ref="W22" ca="1">_xll.EQNXTDZ($A$1,$B22,W$1)</f>
        <v>#NAME?</v>
      </c>
      <c r="X22" t="e" cm="1">
        <f t="array" aca="1" ref="X22" ca="1">_xll.EQNXTDZ($A$1,$B22,X$1)</f>
        <v>#NAME?</v>
      </c>
      <c r="Y22" t="e" cm="1">
        <f t="array" aca="1" ref="Y22" ca="1">_xll.EQNXTDZ($A$1,$B22,Y$1)</f>
        <v>#NAME?</v>
      </c>
      <c r="Z22" t="e" cm="1">
        <f t="array" aca="1" ref="Z22" ca="1">_xll.EQNXTDZ($A$1,$B22,Z$1)</f>
        <v>#NAME?</v>
      </c>
      <c r="AA22" t="e" cm="1">
        <f t="array" aca="1" ref="AA22" ca="1">_xll.EQNXTDZ($A$1,$B22,AA$1)</f>
        <v>#NAME?</v>
      </c>
      <c r="AB22" t="e" cm="1">
        <f t="array" aca="1" ref="AB22" ca="1">_xll.EQNXTDZ($A$1,$B22,AB$1)</f>
        <v>#NAME?</v>
      </c>
      <c r="AC22" t="e" cm="1">
        <f t="array" aca="1" ref="AC22" ca="1">_xll.EQNXTDZ($A$1,$B22,AC$1)</f>
        <v>#NAME?</v>
      </c>
      <c r="AD22" t="e" cm="1">
        <f t="array" aca="1" ref="AD22" ca="1">_xll.EQNXTDZ($A$1,$B22,AD$1)</f>
        <v>#NAME?</v>
      </c>
      <c r="AE22" t="e" cm="1">
        <f t="array" aca="1" ref="AE22" ca="1">_xll.EQNXTDZ($A$1,$B22,AE$1)</f>
        <v>#NAME?</v>
      </c>
      <c r="AF22" t="e" cm="1">
        <f t="array" aca="1" ref="AF22" ca="1">_xll.EQNXTDZ($A$1,$B22,AF$1)</f>
        <v>#NAME?</v>
      </c>
    </row>
    <row r="23" spans="1:32" s="110" customFormat="1" x14ac:dyDescent="0.25">
      <c r="A23" s="110" t="s">
        <v>68</v>
      </c>
      <c r="B23" s="110" t="s">
        <v>92</v>
      </c>
      <c r="C23" t="e" cm="1">
        <f t="array" aca="1" ref="C23" ca="1">_xll.EQNXTDZ($A$1,$B23,C$1)</f>
        <v>#NAME?</v>
      </c>
      <c r="D23" t="e" cm="1">
        <f t="array" aca="1" ref="D23" ca="1">_xll.EQNXTDZ($A$1,$B23,D$1)</f>
        <v>#NAME?</v>
      </c>
      <c r="E23" t="e" cm="1">
        <f t="array" aca="1" ref="E23" ca="1">_xll.EQNXTDZ($A$1,$B23,E$1)</f>
        <v>#NAME?</v>
      </c>
      <c r="F23" t="e" cm="1">
        <f t="array" aca="1" ref="F23" ca="1">_xll.EQNXTDZ($A$1,$B23,F$1)</f>
        <v>#NAME?</v>
      </c>
      <c r="G23" t="e" cm="1">
        <f t="array" aca="1" ref="G23" ca="1">_xll.EQNXTDZ($A$1,$B23,G$1)</f>
        <v>#NAME?</v>
      </c>
      <c r="H23" t="e" cm="1">
        <f t="array" aca="1" ref="H23" ca="1">_xll.EQNXTDZ($A$1,$B23,H$1)</f>
        <v>#NAME?</v>
      </c>
      <c r="I23" t="e" cm="1">
        <f t="array" aca="1" ref="I23" ca="1">_xll.EQNXTDZ($A$1,$B23,I$1)</f>
        <v>#NAME?</v>
      </c>
      <c r="J23" t="e" cm="1">
        <f t="array" aca="1" ref="J23" ca="1">_xll.EQNXTDZ($A$1,$B23,J$1)</f>
        <v>#NAME?</v>
      </c>
      <c r="K23" t="e" cm="1">
        <f t="array" aca="1" ref="K23" ca="1">_xll.EQNXTDZ($A$1,$B23,K$1)</f>
        <v>#NAME?</v>
      </c>
      <c r="L23" t="e" cm="1">
        <f t="array" aca="1" ref="L23" ca="1">_xll.EQNXTDZ($A$1,$B23,L$1)</f>
        <v>#NAME?</v>
      </c>
      <c r="M23" t="e" cm="1">
        <f t="array" aca="1" ref="M23" ca="1">_xll.EQNXTDZ($A$1,$B23,M$1)</f>
        <v>#NAME?</v>
      </c>
      <c r="N23" t="e" cm="1">
        <f t="array" aca="1" ref="N23" ca="1">_xll.EQNXTDZ($A$1,$B23,N$1)</f>
        <v>#NAME?</v>
      </c>
      <c r="O23" t="e" cm="1">
        <f t="array" aca="1" ref="O23" ca="1">_xll.EQNXTDZ($A$1,$B23,O$1)</f>
        <v>#NAME?</v>
      </c>
      <c r="P23" t="e" cm="1">
        <f t="array" aca="1" ref="P23" ca="1">_xll.EQNXTDZ($A$1,$B23,P$1)</f>
        <v>#NAME?</v>
      </c>
      <c r="Q23" t="e" cm="1">
        <f t="array" aca="1" ref="Q23" ca="1">_xll.EQNXTDZ($A$1,$B23,Q$1)</f>
        <v>#NAME?</v>
      </c>
      <c r="R23" t="e" cm="1">
        <f t="array" aca="1" ref="R23" ca="1">_xll.EQNXTDZ($A$1,$B23,R$1)</f>
        <v>#NAME?</v>
      </c>
      <c r="S23" t="e" cm="1">
        <f t="array" aca="1" ref="S23" ca="1">_xll.EQNXTDZ($A$1,$B23,S$1)</f>
        <v>#NAME?</v>
      </c>
      <c r="T23" t="e" cm="1">
        <f t="array" aca="1" ref="T23" ca="1">_xll.EQNXTDZ($A$1,$B23,T$1)</f>
        <v>#NAME?</v>
      </c>
      <c r="U23" t="e" cm="1">
        <f t="array" aca="1" ref="U23" ca="1">_xll.EQNXTDZ($A$1,$B23,U$1)</f>
        <v>#NAME?</v>
      </c>
      <c r="V23" t="e" cm="1">
        <f t="array" aca="1" ref="V23" ca="1">_xll.EQNXTDZ($A$1,$B23,V$1)</f>
        <v>#NAME?</v>
      </c>
      <c r="W23" t="e" cm="1">
        <f t="array" aca="1" ref="W23" ca="1">_xll.EQNXTDZ($A$1,$B23,W$1)</f>
        <v>#NAME?</v>
      </c>
      <c r="X23" t="e" cm="1">
        <f t="array" aca="1" ref="X23" ca="1">_xll.EQNXTDZ($A$1,$B23,X$1)</f>
        <v>#NAME?</v>
      </c>
      <c r="Y23" t="e" cm="1">
        <f t="array" aca="1" ref="Y23" ca="1">_xll.EQNXTDZ($A$1,$B23,Y$1)</f>
        <v>#NAME?</v>
      </c>
      <c r="Z23" t="e" cm="1">
        <f t="array" aca="1" ref="Z23" ca="1">_xll.EQNXTDZ($A$1,$B23,Z$1)</f>
        <v>#NAME?</v>
      </c>
      <c r="AA23" t="e" cm="1">
        <f t="array" aca="1" ref="AA23" ca="1">_xll.EQNXTDZ($A$1,$B23,AA$1)</f>
        <v>#NAME?</v>
      </c>
      <c r="AB23" t="e" cm="1">
        <f t="array" aca="1" ref="AB23" ca="1">_xll.EQNXTDZ($A$1,$B23,AB$1)</f>
        <v>#NAME?</v>
      </c>
      <c r="AC23" t="e" cm="1">
        <f t="array" aca="1" ref="AC23" ca="1">_xll.EQNXTDZ($A$1,$B23,AC$1)</f>
        <v>#NAME?</v>
      </c>
      <c r="AD23" t="e" cm="1">
        <f t="array" aca="1" ref="AD23" ca="1">_xll.EQNXTDZ($A$1,$B23,AD$1)</f>
        <v>#NAME?</v>
      </c>
      <c r="AE23" t="e" cm="1">
        <f t="array" aca="1" ref="AE23" ca="1">_xll.EQNXTDZ($A$1,$B23,AE$1)</f>
        <v>#NAME?</v>
      </c>
      <c r="AF23" t="e" cm="1">
        <f t="array" aca="1" ref="AF23" ca="1">_xll.EQNXTDZ($A$1,$B23,AF$1)</f>
        <v>#NAME?</v>
      </c>
    </row>
    <row r="24" spans="1:32" s="110" customFormat="1" x14ac:dyDescent="0.25">
      <c r="A24" s="110" t="s">
        <v>69</v>
      </c>
      <c r="B24" s="110" t="s">
        <v>93</v>
      </c>
      <c r="C24" t="e" cm="1">
        <f t="array" aca="1" ref="C24" ca="1">_xll.EQNXTDZ($A$1,$B24,C$1)</f>
        <v>#NAME?</v>
      </c>
      <c r="D24" t="e" cm="1">
        <f t="array" aca="1" ref="D24" ca="1">_xll.EQNXTDZ($A$1,$B24,D$1)</f>
        <v>#NAME?</v>
      </c>
      <c r="E24" t="e" cm="1">
        <f t="array" aca="1" ref="E24" ca="1">_xll.EQNXTDZ($A$1,$B24,E$1)</f>
        <v>#NAME?</v>
      </c>
      <c r="F24" t="e" cm="1">
        <f t="array" aca="1" ref="F24" ca="1">_xll.EQNXTDZ($A$1,$B24,F$1)</f>
        <v>#NAME?</v>
      </c>
      <c r="G24" t="e" cm="1">
        <f t="array" aca="1" ref="G24" ca="1">_xll.EQNXTDZ($A$1,$B24,G$1)</f>
        <v>#NAME?</v>
      </c>
      <c r="H24" t="e" cm="1">
        <f t="array" aca="1" ref="H24" ca="1">_xll.EQNXTDZ($A$1,$B24,H$1)</f>
        <v>#NAME?</v>
      </c>
      <c r="I24" t="e" cm="1">
        <f t="array" aca="1" ref="I24" ca="1">_xll.EQNXTDZ($A$1,$B24,I$1)</f>
        <v>#NAME?</v>
      </c>
      <c r="J24" t="e" cm="1">
        <f t="array" aca="1" ref="J24" ca="1">_xll.EQNXTDZ($A$1,$B24,J$1)</f>
        <v>#NAME?</v>
      </c>
      <c r="K24" t="e" cm="1">
        <f t="array" aca="1" ref="K24" ca="1">_xll.EQNXTDZ($A$1,$B24,K$1)</f>
        <v>#NAME?</v>
      </c>
      <c r="L24" t="e" cm="1">
        <f t="array" aca="1" ref="L24" ca="1">_xll.EQNXTDZ($A$1,$B24,L$1)</f>
        <v>#NAME?</v>
      </c>
      <c r="M24" t="e" cm="1">
        <f t="array" aca="1" ref="M24" ca="1">_xll.EQNXTDZ($A$1,$B24,M$1)</f>
        <v>#NAME?</v>
      </c>
      <c r="N24" t="e" cm="1">
        <f t="array" aca="1" ref="N24" ca="1">_xll.EQNXTDZ($A$1,$B24,N$1)</f>
        <v>#NAME?</v>
      </c>
      <c r="O24" t="e" cm="1">
        <f t="array" aca="1" ref="O24" ca="1">_xll.EQNXTDZ($A$1,$B24,O$1)</f>
        <v>#NAME?</v>
      </c>
      <c r="P24" t="e" cm="1">
        <f t="array" aca="1" ref="P24" ca="1">_xll.EQNXTDZ($A$1,$B24,P$1)</f>
        <v>#NAME?</v>
      </c>
      <c r="Q24" t="e" cm="1">
        <f t="array" aca="1" ref="Q24" ca="1">_xll.EQNXTDZ($A$1,$B24,Q$1)</f>
        <v>#NAME?</v>
      </c>
      <c r="R24" t="e" cm="1">
        <f t="array" aca="1" ref="R24" ca="1">_xll.EQNXTDZ($A$1,$B24,R$1)</f>
        <v>#NAME?</v>
      </c>
      <c r="S24" t="e" cm="1">
        <f t="array" aca="1" ref="S24" ca="1">_xll.EQNXTDZ($A$1,$B24,S$1)</f>
        <v>#NAME?</v>
      </c>
      <c r="T24" t="e" cm="1">
        <f t="array" aca="1" ref="T24" ca="1">_xll.EQNXTDZ($A$1,$B24,T$1)</f>
        <v>#NAME?</v>
      </c>
      <c r="U24" t="e" cm="1">
        <f t="array" aca="1" ref="U24" ca="1">_xll.EQNXTDZ($A$1,$B24,U$1)</f>
        <v>#NAME?</v>
      </c>
      <c r="V24" t="e" cm="1">
        <f t="array" aca="1" ref="V24" ca="1">_xll.EQNXTDZ($A$1,$B24,V$1)</f>
        <v>#NAME?</v>
      </c>
      <c r="W24" t="e" cm="1">
        <f t="array" aca="1" ref="W24" ca="1">_xll.EQNXTDZ($A$1,$B24,W$1)</f>
        <v>#NAME?</v>
      </c>
      <c r="X24" t="e" cm="1">
        <f t="array" aca="1" ref="X24" ca="1">_xll.EQNXTDZ($A$1,$B24,X$1)</f>
        <v>#NAME?</v>
      </c>
      <c r="Y24" t="e" cm="1">
        <f t="array" aca="1" ref="Y24" ca="1">_xll.EQNXTDZ($A$1,$B24,Y$1)</f>
        <v>#NAME?</v>
      </c>
      <c r="Z24" t="e" cm="1">
        <f t="array" aca="1" ref="Z24" ca="1">_xll.EQNXTDZ($A$1,$B24,Z$1)</f>
        <v>#NAME?</v>
      </c>
      <c r="AA24" t="e" cm="1">
        <f t="array" aca="1" ref="AA24" ca="1">_xll.EQNXTDZ($A$1,$B24,AA$1)</f>
        <v>#NAME?</v>
      </c>
      <c r="AB24" t="e" cm="1">
        <f t="array" aca="1" ref="AB24" ca="1">_xll.EQNXTDZ($A$1,$B24,AB$1)</f>
        <v>#NAME?</v>
      </c>
      <c r="AC24" t="e" cm="1">
        <f t="array" aca="1" ref="AC24" ca="1">_xll.EQNXTDZ($A$1,$B24,AC$1)</f>
        <v>#NAME?</v>
      </c>
      <c r="AD24" t="e" cm="1">
        <f t="array" aca="1" ref="AD24" ca="1">_xll.EQNXTDZ($A$1,$B24,AD$1)</f>
        <v>#NAME?</v>
      </c>
      <c r="AE24" t="e" cm="1">
        <f t="array" aca="1" ref="AE24" ca="1">_xll.EQNXTDZ($A$1,$B24,AE$1)</f>
        <v>#NAME?</v>
      </c>
      <c r="AF24" t="e" cm="1">
        <f t="array" aca="1" ref="AF24" ca="1">_xll.EQNXTDZ($A$1,$B24,AF$1)</f>
        <v>#NAME?</v>
      </c>
    </row>
    <row r="25" spans="1:32" s="110" customFormat="1" x14ac:dyDescent="0.25">
      <c r="A25" s="110" t="s">
        <v>5</v>
      </c>
      <c r="B25" s="110" t="s">
        <v>94</v>
      </c>
      <c r="C25" t="e" cm="1">
        <f t="array" aca="1" ref="C25" ca="1">_xll.EQNXTDZ($A$1,$B25,C$1)</f>
        <v>#NAME?</v>
      </c>
      <c r="D25" t="e" cm="1">
        <f t="array" aca="1" ref="D25" ca="1">_xll.EQNXTDZ($A$1,$B25,D$1)</f>
        <v>#NAME?</v>
      </c>
      <c r="E25" t="e" cm="1">
        <f t="array" aca="1" ref="E25" ca="1">_xll.EQNXTDZ($A$1,$B25,E$1)</f>
        <v>#NAME?</v>
      </c>
      <c r="F25" t="e" cm="1">
        <f t="array" aca="1" ref="F25" ca="1">_xll.EQNXTDZ($A$1,$B25,F$1)</f>
        <v>#NAME?</v>
      </c>
      <c r="G25" t="e" cm="1">
        <f t="array" aca="1" ref="G25" ca="1">_xll.EQNXTDZ($A$1,$B25,G$1)</f>
        <v>#NAME?</v>
      </c>
      <c r="H25" t="e" cm="1">
        <f t="array" aca="1" ref="H25" ca="1">_xll.EQNXTDZ($A$1,$B25,H$1)</f>
        <v>#NAME?</v>
      </c>
      <c r="I25" t="e" cm="1">
        <f t="array" aca="1" ref="I25" ca="1">_xll.EQNXTDZ($A$1,$B25,I$1)</f>
        <v>#NAME?</v>
      </c>
      <c r="J25" t="e" cm="1">
        <f t="array" aca="1" ref="J25" ca="1">_xll.EQNXTDZ($A$1,$B25,J$1)</f>
        <v>#NAME?</v>
      </c>
      <c r="K25" t="e" cm="1">
        <f t="array" aca="1" ref="K25" ca="1">_xll.EQNXTDZ($A$1,$B25,K$1)</f>
        <v>#NAME?</v>
      </c>
      <c r="L25" t="e" cm="1">
        <f t="array" aca="1" ref="L25" ca="1">_xll.EQNXTDZ($A$1,$B25,L$1)</f>
        <v>#NAME?</v>
      </c>
      <c r="M25" t="e" cm="1">
        <f t="array" aca="1" ref="M25" ca="1">_xll.EQNXTDZ($A$1,$B25,M$1)</f>
        <v>#NAME?</v>
      </c>
      <c r="N25" t="e" cm="1">
        <f t="array" aca="1" ref="N25" ca="1">_xll.EQNXTDZ($A$1,$B25,N$1)</f>
        <v>#NAME?</v>
      </c>
      <c r="O25" t="e" cm="1">
        <f t="array" aca="1" ref="O25" ca="1">_xll.EQNXTDZ($A$1,$B25,O$1)</f>
        <v>#NAME?</v>
      </c>
      <c r="P25" t="e" cm="1">
        <f t="array" aca="1" ref="P25" ca="1">_xll.EQNXTDZ($A$1,$B25,P$1)</f>
        <v>#NAME?</v>
      </c>
      <c r="Q25" t="e" cm="1">
        <f t="array" aca="1" ref="Q25" ca="1">_xll.EQNXTDZ($A$1,$B25,Q$1)</f>
        <v>#NAME?</v>
      </c>
      <c r="R25" t="e" cm="1">
        <f t="array" aca="1" ref="R25" ca="1">_xll.EQNXTDZ($A$1,$B25,R$1)</f>
        <v>#NAME?</v>
      </c>
      <c r="S25" t="e" cm="1">
        <f t="array" aca="1" ref="S25" ca="1">_xll.EQNXTDZ($A$1,$B25,S$1)</f>
        <v>#NAME?</v>
      </c>
      <c r="T25" t="e" cm="1">
        <f t="array" aca="1" ref="T25" ca="1">_xll.EQNXTDZ($A$1,$B25,T$1)</f>
        <v>#NAME?</v>
      </c>
      <c r="U25" t="e" cm="1">
        <f t="array" aca="1" ref="U25" ca="1">_xll.EQNXTDZ($A$1,$B25,U$1)</f>
        <v>#NAME?</v>
      </c>
      <c r="V25" t="e" cm="1">
        <f t="array" aca="1" ref="V25" ca="1">_xll.EQNXTDZ($A$1,$B25,V$1)</f>
        <v>#NAME?</v>
      </c>
      <c r="W25" t="e" cm="1">
        <f t="array" aca="1" ref="W25" ca="1">_xll.EQNXTDZ($A$1,$B25,W$1)</f>
        <v>#NAME?</v>
      </c>
      <c r="X25" t="e" cm="1">
        <f t="array" aca="1" ref="X25" ca="1">_xll.EQNXTDZ($A$1,$B25,X$1)</f>
        <v>#NAME?</v>
      </c>
      <c r="Y25" t="e" cm="1">
        <f t="array" aca="1" ref="Y25" ca="1">_xll.EQNXTDZ($A$1,$B25,Y$1)</f>
        <v>#NAME?</v>
      </c>
      <c r="Z25" t="e" cm="1">
        <f t="array" aca="1" ref="Z25" ca="1">_xll.EQNXTDZ($A$1,$B25,Z$1)</f>
        <v>#NAME?</v>
      </c>
      <c r="AA25" t="e" cm="1">
        <f t="array" aca="1" ref="AA25" ca="1">_xll.EQNXTDZ($A$1,$B25,AA$1)</f>
        <v>#NAME?</v>
      </c>
      <c r="AB25" t="e" cm="1">
        <f t="array" aca="1" ref="AB25" ca="1">_xll.EQNXTDZ($A$1,$B25,AB$1)</f>
        <v>#NAME?</v>
      </c>
      <c r="AC25" t="e" cm="1">
        <f t="array" aca="1" ref="AC25" ca="1">_xll.EQNXTDZ($A$1,$B25,AC$1)</f>
        <v>#NAME?</v>
      </c>
      <c r="AD25" t="e" cm="1">
        <f t="array" aca="1" ref="AD25" ca="1">_xll.EQNXTDZ($A$1,$B25,AD$1)</f>
        <v>#NAME?</v>
      </c>
      <c r="AE25" t="e" cm="1">
        <f t="array" aca="1" ref="AE25" ca="1">_xll.EQNXTDZ($A$1,$B25,AE$1)</f>
        <v>#NAME?</v>
      </c>
      <c r="AF25" t="e" cm="1">
        <f t="array" aca="1" ref="AF25" ca="1">_xll.EQNXTDZ($A$1,$B25,AF$1)</f>
        <v>#NAME?</v>
      </c>
    </row>
    <row r="26" spans="1:32" s="110" customFormat="1" x14ac:dyDescent="0.25">
      <c r="A26" s="110" t="s">
        <v>70</v>
      </c>
      <c r="B26" s="110" t="s">
        <v>95</v>
      </c>
      <c r="C26" t="e" cm="1">
        <f t="array" aca="1" ref="C26" ca="1">_xll.EQNXTDZ($A$1,$B26,C$1)</f>
        <v>#NAME?</v>
      </c>
      <c r="D26" t="e" cm="1">
        <f t="array" aca="1" ref="D26" ca="1">_xll.EQNXTDZ($A$1,$B26,D$1)</f>
        <v>#NAME?</v>
      </c>
      <c r="E26" t="e" cm="1">
        <f t="array" aca="1" ref="E26" ca="1">_xll.EQNXTDZ($A$1,$B26,E$1)</f>
        <v>#NAME?</v>
      </c>
      <c r="F26" t="e" cm="1">
        <f t="array" aca="1" ref="F26" ca="1">_xll.EQNXTDZ($A$1,$B26,F$1)</f>
        <v>#NAME?</v>
      </c>
      <c r="G26" t="e" cm="1">
        <f t="array" aca="1" ref="G26" ca="1">_xll.EQNXTDZ($A$1,$B26,G$1)</f>
        <v>#NAME?</v>
      </c>
      <c r="H26" t="e" cm="1">
        <f t="array" aca="1" ref="H26" ca="1">_xll.EQNXTDZ($A$1,$B26,H$1)</f>
        <v>#NAME?</v>
      </c>
      <c r="I26" t="e" cm="1">
        <f t="array" aca="1" ref="I26" ca="1">_xll.EQNXTDZ($A$1,$B26,I$1)</f>
        <v>#NAME?</v>
      </c>
      <c r="J26" t="e" cm="1">
        <f t="array" aca="1" ref="J26" ca="1">_xll.EQNXTDZ($A$1,$B26,J$1)</f>
        <v>#NAME?</v>
      </c>
      <c r="K26" t="e" cm="1">
        <f t="array" aca="1" ref="K26" ca="1">_xll.EQNXTDZ($A$1,$B26,K$1)</f>
        <v>#NAME?</v>
      </c>
      <c r="L26" t="e" cm="1">
        <f t="array" aca="1" ref="L26" ca="1">_xll.EQNXTDZ($A$1,$B26,L$1)</f>
        <v>#NAME?</v>
      </c>
      <c r="M26" t="e" cm="1">
        <f t="array" aca="1" ref="M26" ca="1">_xll.EQNXTDZ($A$1,$B26,M$1)</f>
        <v>#NAME?</v>
      </c>
      <c r="N26" t="e" cm="1">
        <f t="array" aca="1" ref="N26" ca="1">_xll.EQNXTDZ($A$1,$B26,N$1)</f>
        <v>#NAME?</v>
      </c>
      <c r="O26" t="e" cm="1">
        <f t="array" aca="1" ref="O26" ca="1">_xll.EQNXTDZ($A$1,$B26,O$1)</f>
        <v>#NAME?</v>
      </c>
      <c r="P26" t="e" cm="1">
        <f t="array" aca="1" ref="P26" ca="1">_xll.EQNXTDZ($A$1,$B26,P$1)</f>
        <v>#NAME?</v>
      </c>
      <c r="Q26" t="e" cm="1">
        <f t="array" aca="1" ref="Q26" ca="1">_xll.EQNXTDZ($A$1,$B26,Q$1)</f>
        <v>#NAME?</v>
      </c>
      <c r="R26" t="e" cm="1">
        <f t="array" aca="1" ref="R26" ca="1">_xll.EQNXTDZ($A$1,$B26,R$1)</f>
        <v>#NAME?</v>
      </c>
      <c r="S26" t="e" cm="1">
        <f t="array" aca="1" ref="S26" ca="1">_xll.EQNXTDZ($A$1,$B26,S$1)</f>
        <v>#NAME?</v>
      </c>
      <c r="T26" t="e" cm="1">
        <f t="array" aca="1" ref="T26" ca="1">_xll.EQNXTDZ($A$1,$B26,T$1)</f>
        <v>#NAME?</v>
      </c>
      <c r="U26" t="e" cm="1">
        <f t="array" aca="1" ref="U26" ca="1">_xll.EQNXTDZ($A$1,$B26,U$1)</f>
        <v>#NAME?</v>
      </c>
      <c r="V26" t="e" cm="1">
        <f t="array" aca="1" ref="V26" ca="1">_xll.EQNXTDZ($A$1,$B26,V$1)</f>
        <v>#NAME?</v>
      </c>
      <c r="W26" t="e" cm="1">
        <f t="array" aca="1" ref="W26" ca="1">_xll.EQNXTDZ($A$1,$B26,W$1)</f>
        <v>#NAME?</v>
      </c>
      <c r="X26" t="e" cm="1">
        <f t="array" aca="1" ref="X26" ca="1">_xll.EQNXTDZ($A$1,$B26,X$1)</f>
        <v>#NAME?</v>
      </c>
      <c r="Y26" t="e" cm="1">
        <f t="array" aca="1" ref="Y26" ca="1">_xll.EQNXTDZ($A$1,$B26,Y$1)</f>
        <v>#NAME?</v>
      </c>
      <c r="Z26" t="e" cm="1">
        <f t="array" aca="1" ref="Z26" ca="1">_xll.EQNXTDZ($A$1,$B26,Z$1)</f>
        <v>#NAME?</v>
      </c>
      <c r="AA26" t="e" cm="1">
        <f t="array" aca="1" ref="AA26" ca="1">_xll.EQNXTDZ($A$1,$B26,AA$1)</f>
        <v>#NAME?</v>
      </c>
      <c r="AB26" t="e" cm="1">
        <f t="array" aca="1" ref="AB26" ca="1">_xll.EQNXTDZ($A$1,$B26,AB$1)</f>
        <v>#NAME?</v>
      </c>
      <c r="AC26" t="e" cm="1">
        <f t="array" aca="1" ref="AC26" ca="1">_xll.EQNXTDZ($A$1,$B26,AC$1)</f>
        <v>#NAME?</v>
      </c>
      <c r="AD26" t="e" cm="1">
        <f t="array" aca="1" ref="AD26" ca="1">_xll.EQNXTDZ($A$1,$B26,AD$1)</f>
        <v>#NAME?</v>
      </c>
      <c r="AE26" t="e" cm="1">
        <f t="array" aca="1" ref="AE26" ca="1">_xll.EQNXTDZ($A$1,$B26,AE$1)</f>
        <v>#NAME?</v>
      </c>
      <c r="AF26" t="e" cm="1">
        <f t="array" aca="1" ref="AF26" ca="1">_xll.EQNXTDZ($A$1,$B26,AF$1)</f>
        <v>#NAME?</v>
      </c>
    </row>
    <row r="27" spans="1:32" s="110" customFormat="1" x14ac:dyDescent="0.25">
      <c r="A27" s="110" t="s">
        <v>71</v>
      </c>
      <c r="B27" s="110" t="s">
        <v>96</v>
      </c>
      <c r="C27" t="e" cm="1">
        <f t="array" aca="1" ref="C27" ca="1">_xll.EQNXTDZ($A$1,$B27,C$1)</f>
        <v>#NAME?</v>
      </c>
      <c r="D27" t="e" cm="1">
        <f t="array" aca="1" ref="D27" ca="1">_xll.EQNXTDZ($A$1,$B27,D$1)</f>
        <v>#NAME?</v>
      </c>
      <c r="E27" t="e" cm="1">
        <f t="array" aca="1" ref="E27" ca="1">_xll.EQNXTDZ($A$1,$B27,E$1)</f>
        <v>#NAME?</v>
      </c>
      <c r="F27" t="e" cm="1">
        <f t="array" aca="1" ref="F27" ca="1">_xll.EQNXTDZ($A$1,$B27,F$1)</f>
        <v>#NAME?</v>
      </c>
      <c r="G27" t="e" cm="1">
        <f t="array" aca="1" ref="G27" ca="1">_xll.EQNXTDZ($A$1,$B27,G$1)</f>
        <v>#NAME?</v>
      </c>
      <c r="H27" t="e" cm="1">
        <f t="array" aca="1" ref="H27" ca="1">_xll.EQNXTDZ($A$1,$B27,H$1)</f>
        <v>#NAME?</v>
      </c>
      <c r="I27" t="e" cm="1">
        <f t="array" aca="1" ref="I27" ca="1">_xll.EQNXTDZ($A$1,$B27,I$1)</f>
        <v>#NAME?</v>
      </c>
      <c r="J27" t="e" cm="1">
        <f t="array" aca="1" ref="J27" ca="1">_xll.EQNXTDZ($A$1,$B27,J$1)</f>
        <v>#NAME?</v>
      </c>
      <c r="K27" t="e" cm="1">
        <f t="array" aca="1" ref="K27" ca="1">_xll.EQNXTDZ($A$1,$B27,K$1)</f>
        <v>#NAME?</v>
      </c>
      <c r="L27" t="e" cm="1">
        <f t="array" aca="1" ref="L27" ca="1">_xll.EQNXTDZ($A$1,$B27,L$1)</f>
        <v>#NAME?</v>
      </c>
      <c r="M27" t="e" cm="1">
        <f t="array" aca="1" ref="M27" ca="1">_xll.EQNXTDZ($A$1,$B27,M$1)</f>
        <v>#NAME?</v>
      </c>
      <c r="N27" t="e" cm="1">
        <f t="array" aca="1" ref="N27" ca="1">_xll.EQNXTDZ($A$1,$B27,N$1)</f>
        <v>#NAME?</v>
      </c>
      <c r="O27" t="e" cm="1">
        <f t="array" aca="1" ref="O27" ca="1">_xll.EQNXTDZ($A$1,$B27,O$1)</f>
        <v>#NAME?</v>
      </c>
      <c r="P27" t="e" cm="1">
        <f t="array" aca="1" ref="P27" ca="1">_xll.EQNXTDZ($A$1,$B27,P$1)</f>
        <v>#NAME?</v>
      </c>
      <c r="Q27" t="e" cm="1">
        <f t="array" aca="1" ref="Q27" ca="1">_xll.EQNXTDZ($A$1,$B27,Q$1)</f>
        <v>#NAME?</v>
      </c>
      <c r="R27" t="e" cm="1">
        <f t="array" aca="1" ref="R27" ca="1">_xll.EQNXTDZ($A$1,$B27,R$1)</f>
        <v>#NAME?</v>
      </c>
      <c r="S27" t="e" cm="1">
        <f t="array" aca="1" ref="S27" ca="1">_xll.EQNXTDZ($A$1,$B27,S$1)</f>
        <v>#NAME?</v>
      </c>
      <c r="T27" t="e" cm="1">
        <f t="array" aca="1" ref="T27" ca="1">_xll.EQNXTDZ($A$1,$B27,T$1)</f>
        <v>#NAME?</v>
      </c>
      <c r="U27" t="e" cm="1">
        <f t="array" aca="1" ref="U27" ca="1">_xll.EQNXTDZ($A$1,$B27,U$1)</f>
        <v>#NAME?</v>
      </c>
      <c r="V27" t="e" cm="1">
        <f t="array" aca="1" ref="V27" ca="1">_xll.EQNXTDZ($A$1,$B27,V$1)</f>
        <v>#NAME?</v>
      </c>
      <c r="W27" t="e" cm="1">
        <f t="array" aca="1" ref="W27" ca="1">_xll.EQNXTDZ($A$1,$B27,W$1)</f>
        <v>#NAME?</v>
      </c>
      <c r="X27" t="e" cm="1">
        <f t="array" aca="1" ref="X27" ca="1">_xll.EQNXTDZ($A$1,$B27,X$1)</f>
        <v>#NAME?</v>
      </c>
      <c r="Y27" t="e" cm="1">
        <f t="array" aca="1" ref="Y27" ca="1">_xll.EQNXTDZ($A$1,$B27,Y$1)</f>
        <v>#NAME?</v>
      </c>
      <c r="Z27" t="e" cm="1">
        <f t="array" aca="1" ref="Z27" ca="1">_xll.EQNXTDZ($A$1,$B27,Z$1)</f>
        <v>#NAME?</v>
      </c>
      <c r="AA27" t="e" cm="1">
        <f t="array" aca="1" ref="AA27" ca="1">_xll.EQNXTDZ($A$1,$B27,AA$1)</f>
        <v>#NAME?</v>
      </c>
      <c r="AB27" t="e" cm="1">
        <f t="array" aca="1" ref="AB27" ca="1">_xll.EQNXTDZ($A$1,$B27,AB$1)</f>
        <v>#NAME?</v>
      </c>
      <c r="AC27" t="e" cm="1">
        <f t="array" aca="1" ref="AC27" ca="1">_xll.EQNXTDZ($A$1,$B27,AC$1)</f>
        <v>#NAME?</v>
      </c>
      <c r="AD27" t="e" cm="1">
        <f t="array" aca="1" ref="AD27" ca="1">_xll.EQNXTDZ($A$1,$B27,AD$1)</f>
        <v>#NAME?</v>
      </c>
      <c r="AE27" t="e" cm="1">
        <f t="array" aca="1" ref="AE27" ca="1">_xll.EQNXTDZ($A$1,$B27,AE$1)</f>
        <v>#NAME?</v>
      </c>
      <c r="AF27" t="e" cm="1">
        <f t="array" aca="1" ref="AF27" ca="1">_xll.EQNXTDZ($A$1,$B27,AF$1)</f>
        <v>#NAME?</v>
      </c>
    </row>
    <row r="28" spans="1:32" s="110" customFormat="1" x14ac:dyDescent="0.25">
      <c r="A28" s="110" t="s">
        <v>72</v>
      </c>
      <c r="B28" s="110" t="s">
        <v>97</v>
      </c>
      <c r="C28" t="e" cm="1">
        <f t="array" aca="1" ref="C28" ca="1">_xll.EQNXTDZ($A$1,$B28,C$1)</f>
        <v>#NAME?</v>
      </c>
      <c r="D28" t="e" cm="1">
        <f t="array" aca="1" ref="D28" ca="1">_xll.EQNXTDZ($A$1,$B28,D$1)</f>
        <v>#NAME?</v>
      </c>
      <c r="E28" t="e" cm="1">
        <f t="array" aca="1" ref="E28" ca="1">_xll.EQNXTDZ($A$1,$B28,E$1)</f>
        <v>#NAME?</v>
      </c>
      <c r="F28" t="e" cm="1">
        <f t="array" aca="1" ref="F28" ca="1">_xll.EQNXTDZ($A$1,$B28,F$1)</f>
        <v>#NAME?</v>
      </c>
      <c r="G28" t="e" cm="1">
        <f t="array" aca="1" ref="G28" ca="1">_xll.EQNXTDZ($A$1,$B28,G$1)</f>
        <v>#NAME?</v>
      </c>
      <c r="H28" t="e" cm="1">
        <f t="array" aca="1" ref="H28" ca="1">_xll.EQNXTDZ($A$1,$B28,H$1)</f>
        <v>#NAME?</v>
      </c>
      <c r="I28" t="e" cm="1">
        <f t="array" aca="1" ref="I28" ca="1">_xll.EQNXTDZ($A$1,$B28,I$1)</f>
        <v>#NAME?</v>
      </c>
      <c r="J28" t="e" cm="1">
        <f t="array" aca="1" ref="J28" ca="1">_xll.EQNXTDZ($A$1,$B28,J$1)</f>
        <v>#NAME?</v>
      </c>
      <c r="K28" t="e" cm="1">
        <f t="array" aca="1" ref="K28" ca="1">_xll.EQNXTDZ($A$1,$B28,K$1)</f>
        <v>#NAME?</v>
      </c>
      <c r="L28" t="e" cm="1">
        <f t="array" aca="1" ref="L28" ca="1">_xll.EQNXTDZ($A$1,$B28,L$1)</f>
        <v>#NAME?</v>
      </c>
      <c r="M28" t="e" cm="1">
        <f t="array" aca="1" ref="M28" ca="1">_xll.EQNXTDZ($A$1,$B28,M$1)</f>
        <v>#NAME?</v>
      </c>
      <c r="N28" t="e" cm="1">
        <f t="array" aca="1" ref="N28" ca="1">_xll.EQNXTDZ($A$1,$B28,N$1)</f>
        <v>#NAME?</v>
      </c>
      <c r="O28" t="e" cm="1">
        <f t="array" aca="1" ref="O28" ca="1">_xll.EQNXTDZ($A$1,$B28,O$1)</f>
        <v>#NAME?</v>
      </c>
      <c r="P28" t="e" cm="1">
        <f t="array" aca="1" ref="P28" ca="1">_xll.EQNXTDZ($A$1,$B28,P$1)</f>
        <v>#NAME?</v>
      </c>
      <c r="Q28" t="e" cm="1">
        <f t="array" aca="1" ref="Q28" ca="1">_xll.EQNXTDZ($A$1,$B28,Q$1)</f>
        <v>#NAME?</v>
      </c>
      <c r="R28" t="e" cm="1">
        <f t="array" aca="1" ref="R28" ca="1">_xll.EQNXTDZ($A$1,$B28,R$1)</f>
        <v>#NAME?</v>
      </c>
      <c r="S28" t="e" cm="1">
        <f t="array" aca="1" ref="S28" ca="1">_xll.EQNXTDZ($A$1,$B28,S$1)</f>
        <v>#NAME?</v>
      </c>
      <c r="T28" t="e" cm="1">
        <f t="array" aca="1" ref="T28" ca="1">_xll.EQNXTDZ($A$1,$B28,T$1)</f>
        <v>#NAME?</v>
      </c>
      <c r="U28" t="e" cm="1">
        <f t="array" aca="1" ref="U28" ca="1">_xll.EQNXTDZ($A$1,$B28,U$1)</f>
        <v>#NAME?</v>
      </c>
      <c r="V28" t="e" cm="1">
        <f t="array" aca="1" ref="V28" ca="1">_xll.EQNXTDZ($A$1,$B28,V$1)</f>
        <v>#NAME?</v>
      </c>
      <c r="W28" t="e" cm="1">
        <f t="array" aca="1" ref="W28" ca="1">_xll.EQNXTDZ($A$1,$B28,W$1)</f>
        <v>#NAME?</v>
      </c>
      <c r="X28" t="e" cm="1">
        <f t="array" aca="1" ref="X28" ca="1">_xll.EQNXTDZ($A$1,$B28,X$1)</f>
        <v>#NAME?</v>
      </c>
      <c r="Y28" t="e" cm="1">
        <f t="array" aca="1" ref="Y28" ca="1">_xll.EQNXTDZ($A$1,$B28,Y$1)</f>
        <v>#NAME?</v>
      </c>
      <c r="Z28" t="e" cm="1">
        <f t="array" aca="1" ref="Z28" ca="1">_xll.EQNXTDZ($A$1,$B28,Z$1)</f>
        <v>#NAME?</v>
      </c>
      <c r="AA28" t="e" cm="1">
        <f t="array" aca="1" ref="AA28" ca="1">_xll.EQNXTDZ($A$1,$B28,AA$1)</f>
        <v>#NAME?</v>
      </c>
      <c r="AB28" t="e" cm="1">
        <f t="array" aca="1" ref="AB28" ca="1">_xll.EQNXTDZ($A$1,$B28,AB$1)</f>
        <v>#NAME?</v>
      </c>
      <c r="AC28" t="e" cm="1">
        <f t="array" aca="1" ref="AC28" ca="1">_xll.EQNXTDZ($A$1,$B28,AC$1)</f>
        <v>#NAME?</v>
      </c>
      <c r="AD28" t="e" cm="1">
        <f t="array" aca="1" ref="AD28" ca="1">_xll.EQNXTDZ($A$1,$B28,AD$1)</f>
        <v>#NAME?</v>
      </c>
      <c r="AE28" t="e" cm="1">
        <f t="array" aca="1" ref="AE28" ca="1">_xll.EQNXTDZ($A$1,$B28,AE$1)</f>
        <v>#NAME?</v>
      </c>
      <c r="AF28" t="e" cm="1">
        <f t="array" aca="1" ref="AF28" ca="1">_xll.EQNXTDZ($A$1,$B28,AF$1)</f>
        <v>#NAME?</v>
      </c>
    </row>
    <row r="29" spans="1:32" s="110" customFormat="1" x14ac:dyDescent="0.25">
      <c r="A29" s="110" t="s">
        <v>73</v>
      </c>
      <c r="B29" s="110" t="s">
        <v>98</v>
      </c>
      <c r="C29" t="e" cm="1">
        <f t="array" aca="1" ref="C29" ca="1">_xll.EQNXTDZ($A$1,$B29,C$1)</f>
        <v>#NAME?</v>
      </c>
      <c r="D29" t="e" cm="1">
        <f t="array" aca="1" ref="D29" ca="1">_xll.EQNXTDZ($A$1,$B29,D$1)</f>
        <v>#NAME?</v>
      </c>
      <c r="E29" t="e" cm="1">
        <f t="array" aca="1" ref="E29" ca="1">_xll.EQNXTDZ($A$1,$B29,E$1)</f>
        <v>#NAME?</v>
      </c>
      <c r="F29" t="e" cm="1">
        <f t="array" aca="1" ref="F29" ca="1">_xll.EQNXTDZ($A$1,$B29,F$1)</f>
        <v>#NAME?</v>
      </c>
      <c r="G29" t="e" cm="1">
        <f t="array" aca="1" ref="G29" ca="1">_xll.EQNXTDZ($A$1,$B29,G$1)</f>
        <v>#NAME?</v>
      </c>
      <c r="H29" t="e" cm="1">
        <f t="array" aca="1" ref="H29" ca="1">_xll.EQNXTDZ($A$1,$B29,H$1)</f>
        <v>#NAME?</v>
      </c>
      <c r="I29" t="e" cm="1">
        <f t="array" aca="1" ref="I29" ca="1">_xll.EQNXTDZ($A$1,$B29,I$1)</f>
        <v>#NAME?</v>
      </c>
      <c r="J29" t="e" cm="1">
        <f t="array" aca="1" ref="J29" ca="1">_xll.EQNXTDZ($A$1,$B29,J$1)</f>
        <v>#NAME?</v>
      </c>
      <c r="K29" t="e" cm="1">
        <f t="array" aca="1" ref="K29" ca="1">_xll.EQNXTDZ($A$1,$B29,K$1)</f>
        <v>#NAME?</v>
      </c>
      <c r="L29" t="e" cm="1">
        <f t="array" aca="1" ref="L29" ca="1">_xll.EQNXTDZ($A$1,$B29,L$1)</f>
        <v>#NAME?</v>
      </c>
      <c r="M29" t="e" cm="1">
        <f t="array" aca="1" ref="M29" ca="1">_xll.EQNXTDZ($A$1,$B29,M$1)</f>
        <v>#NAME?</v>
      </c>
      <c r="N29" t="e" cm="1">
        <f t="array" aca="1" ref="N29" ca="1">_xll.EQNXTDZ($A$1,$B29,N$1)</f>
        <v>#NAME?</v>
      </c>
      <c r="O29" t="e" cm="1">
        <f t="array" aca="1" ref="O29" ca="1">_xll.EQNXTDZ($A$1,$B29,O$1)</f>
        <v>#NAME?</v>
      </c>
      <c r="P29" t="e" cm="1">
        <f t="array" aca="1" ref="P29" ca="1">_xll.EQNXTDZ($A$1,$B29,P$1)</f>
        <v>#NAME?</v>
      </c>
      <c r="Q29" t="e" cm="1">
        <f t="array" aca="1" ref="Q29" ca="1">_xll.EQNXTDZ($A$1,$B29,Q$1)</f>
        <v>#NAME?</v>
      </c>
      <c r="R29" t="e" cm="1">
        <f t="array" aca="1" ref="R29" ca="1">_xll.EQNXTDZ($A$1,$B29,R$1)</f>
        <v>#NAME?</v>
      </c>
      <c r="S29" t="e" cm="1">
        <f t="array" aca="1" ref="S29" ca="1">_xll.EQNXTDZ($A$1,$B29,S$1)</f>
        <v>#NAME?</v>
      </c>
      <c r="T29" t="e" cm="1">
        <f t="array" aca="1" ref="T29" ca="1">_xll.EQNXTDZ($A$1,$B29,T$1)</f>
        <v>#NAME?</v>
      </c>
      <c r="U29" t="e" cm="1">
        <f t="array" aca="1" ref="U29" ca="1">_xll.EQNXTDZ($A$1,$B29,U$1)</f>
        <v>#NAME?</v>
      </c>
      <c r="V29" t="e" cm="1">
        <f t="array" aca="1" ref="V29" ca="1">_xll.EQNXTDZ($A$1,$B29,V$1)</f>
        <v>#NAME?</v>
      </c>
      <c r="W29" t="e" cm="1">
        <f t="array" aca="1" ref="W29" ca="1">_xll.EQNXTDZ($A$1,$B29,W$1)</f>
        <v>#NAME?</v>
      </c>
      <c r="X29" t="e" cm="1">
        <f t="array" aca="1" ref="X29" ca="1">_xll.EQNXTDZ($A$1,$B29,X$1)</f>
        <v>#NAME?</v>
      </c>
      <c r="Y29" t="e" cm="1">
        <f t="array" aca="1" ref="Y29" ca="1">_xll.EQNXTDZ($A$1,$B29,Y$1)</f>
        <v>#NAME?</v>
      </c>
      <c r="Z29" t="e" cm="1">
        <f t="array" aca="1" ref="Z29" ca="1">_xll.EQNXTDZ($A$1,$B29,Z$1)</f>
        <v>#NAME?</v>
      </c>
      <c r="AA29" t="e" cm="1">
        <f t="array" aca="1" ref="AA29" ca="1">_xll.EQNXTDZ($A$1,$B29,AA$1)</f>
        <v>#NAME?</v>
      </c>
      <c r="AB29" t="e" cm="1">
        <f t="array" aca="1" ref="AB29" ca="1">_xll.EQNXTDZ($A$1,$B29,AB$1)</f>
        <v>#NAME?</v>
      </c>
      <c r="AC29" t="e" cm="1">
        <f t="array" aca="1" ref="AC29" ca="1">_xll.EQNXTDZ($A$1,$B29,AC$1)</f>
        <v>#NAME?</v>
      </c>
      <c r="AD29" t="e" cm="1">
        <f t="array" aca="1" ref="AD29" ca="1">_xll.EQNXTDZ($A$1,$B29,AD$1)</f>
        <v>#NAME?</v>
      </c>
      <c r="AE29" t="e" cm="1">
        <f t="array" aca="1" ref="AE29" ca="1">_xll.EQNXTDZ($A$1,$B29,AE$1)</f>
        <v>#NAME?</v>
      </c>
      <c r="AF29" t="e" cm="1">
        <f t="array" aca="1" ref="AF29" ca="1">_xll.EQNXTDZ($A$1,$B29,AF$1)</f>
        <v>#NAME?</v>
      </c>
    </row>
    <row r="30" spans="1:32" s="110" customFormat="1" x14ac:dyDescent="0.25">
      <c r="A30" s="110" t="s">
        <v>74</v>
      </c>
      <c r="B30" s="110" t="s">
        <v>99</v>
      </c>
      <c r="C30" t="e" cm="1">
        <f t="array" aca="1" ref="C30" ca="1">_xll.EQNXTDZ($A$1,$B30,C$1)</f>
        <v>#NAME?</v>
      </c>
      <c r="D30" t="e" cm="1">
        <f t="array" aca="1" ref="D30" ca="1">_xll.EQNXTDZ($A$1,$B30,D$1)</f>
        <v>#NAME?</v>
      </c>
      <c r="E30" t="e" cm="1">
        <f t="array" aca="1" ref="E30" ca="1">_xll.EQNXTDZ($A$1,$B30,E$1)</f>
        <v>#NAME?</v>
      </c>
      <c r="F30" t="e" cm="1">
        <f t="array" aca="1" ref="F30" ca="1">_xll.EQNXTDZ($A$1,$B30,F$1)</f>
        <v>#NAME?</v>
      </c>
      <c r="G30" t="e" cm="1">
        <f t="array" aca="1" ref="G30" ca="1">_xll.EQNXTDZ($A$1,$B30,G$1)</f>
        <v>#NAME?</v>
      </c>
      <c r="H30" t="e" cm="1">
        <f t="array" aca="1" ref="H30" ca="1">_xll.EQNXTDZ($A$1,$B30,H$1)</f>
        <v>#NAME?</v>
      </c>
      <c r="I30" t="e" cm="1">
        <f t="array" aca="1" ref="I30" ca="1">_xll.EQNXTDZ($A$1,$B30,I$1)</f>
        <v>#NAME?</v>
      </c>
      <c r="J30" t="e" cm="1">
        <f t="array" aca="1" ref="J30" ca="1">_xll.EQNXTDZ($A$1,$B30,J$1)</f>
        <v>#NAME?</v>
      </c>
      <c r="K30" t="e" cm="1">
        <f t="array" aca="1" ref="K30" ca="1">_xll.EQNXTDZ($A$1,$B30,K$1)</f>
        <v>#NAME?</v>
      </c>
      <c r="L30" t="e" cm="1">
        <f t="array" aca="1" ref="L30" ca="1">_xll.EQNXTDZ($A$1,$B30,L$1)</f>
        <v>#NAME?</v>
      </c>
      <c r="M30" t="e" cm="1">
        <f t="array" aca="1" ref="M30" ca="1">_xll.EQNXTDZ($A$1,$B30,M$1)</f>
        <v>#NAME?</v>
      </c>
      <c r="N30" t="e" cm="1">
        <f t="array" aca="1" ref="N30" ca="1">_xll.EQNXTDZ($A$1,$B30,N$1)</f>
        <v>#NAME?</v>
      </c>
      <c r="O30" t="e" cm="1">
        <f t="array" aca="1" ref="O30" ca="1">_xll.EQNXTDZ($A$1,$B30,O$1)</f>
        <v>#NAME?</v>
      </c>
      <c r="P30" t="e" cm="1">
        <f t="array" aca="1" ref="P30" ca="1">_xll.EQNXTDZ($A$1,$B30,P$1)</f>
        <v>#NAME?</v>
      </c>
      <c r="Q30" t="e" cm="1">
        <f t="array" aca="1" ref="Q30" ca="1">_xll.EQNXTDZ($A$1,$B30,Q$1)</f>
        <v>#NAME?</v>
      </c>
      <c r="R30" t="e" cm="1">
        <f t="array" aca="1" ref="R30" ca="1">_xll.EQNXTDZ($A$1,$B30,R$1)</f>
        <v>#NAME?</v>
      </c>
      <c r="S30" t="e" cm="1">
        <f t="array" aca="1" ref="S30" ca="1">_xll.EQNXTDZ($A$1,$B30,S$1)</f>
        <v>#NAME?</v>
      </c>
      <c r="T30" t="e" cm="1">
        <f t="array" aca="1" ref="T30" ca="1">_xll.EQNXTDZ($A$1,$B30,T$1)</f>
        <v>#NAME?</v>
      </c>
      <c r="U30" t="e" cm="1">
        <f t="array" aca="1" ref="U30" ca="1">_xll.EQNXTDZ($A$1,$B30,U$1)</f>
        <v>#NAME?</v>
      </c>
      <c r="V30" t="e" cm="1">
        <f t="array" aca="1" ref="V30" ca="1">_xll.EQNXTDZ($A$1,$B30,V$1)</f>
        <v>#NAME?</v>
      </c>
      <c r="W30" t="e" cm="1">
        <f t="array" aca="1" ref="W30" ca="1">_xll.EQNXTDZ($A$1,$B30,W$1)</f>
        <v>#NAME?</v>
      </c>
      <c r="X30" t="e" cm="1">
        <f t="array" aca="1" ref="X30" ca="1">_xll.EQNXTDZ($A$1,$B30,X$1)</f>
        <v>#NAME?</v>
      </c>
      <c r="Y30" t="e" cm="1">
        <f t="array" aca="1" ref="Y30" ca="1">_xll.EQNXTDZ($A$1,$B30,Y$1)</f>
        <v>#NAME?</v>
      </c>
      <c r="Z30" t="e" cm="1">
        <f t="array" aca="1" ref="Z30" ca="1">_xll.EQNXTDZ($A$1,$B30,Z$1)</f>
        <v>#NAME?</v>
      </c>
      <c r="AA30" t="e" cm="1">
        <f t="array" aca="1" ref="AA30" ca="1">_xll.EQNXTDZ($A$1,$B30,AA$1)</f>
        <v>#NAME?</v>
      </c>
      <c r="AB30" t="e" cm="1">
        <f t="array" aca="1" ref="AB30" ca="1">_xll.EQNXTDZ($A$1,$B30,AB$1)</f>
        <v>#NAME?</v>
      </c>
      <c r="AC30" t="e" cm="1">
        <f t="array" aca="1" ref="AC30" ca="1">_xll.EQNXTDZ($A$1,$B30,AC$1)</f>
        <v>#NAME?</v>
      </c>
      <c r="AD30" t="e" cm="1">
        <f t="array" aca="1" ref="AD30" ca="1">_xll.EQNXTDZ($A$1,$B30,AD$1)</f>
        <v>#NAME?</v>
      </c>
      <c r="AE30" t="e" cm="1">
        <f t="array" aca="1" ref="AE30" ca="1">_xll.EQNXTDZ($A$1,$B30,AE$1)</f>
        <v>#NAME?</v>
      </c>
      <c r="AF30" t="e" cm="1">
        <f t="array" aca="1" ref="AF30" ca="1">_xll.EQNXTDZ($A$1,$B30,AF$1)</f>
        <v>#NAME?</v>
      </c>
    </row>
    <row r="31" spans="1:32" s="110" customFormat="1" x14ac:dyDescent="0.25">
      <c r="A31" s="110" t="s">
        <v>75</v>
      </c>
      <c r="B31" s="110" t="s">
        <v>100</v>
      </c>
      <c r="C31" t="e" cm="1">
        <f t="array" aca="1" ref="C31" ca="1">_xll.EQNXTDZ($A$1,$B31,C$1)</f>
        <v>#NAME?</v>
      </c>
      <c r="D31" t="e" cm="1">
        <f t="array" aca="1" ref="D31" ca="1">_xll.EQNXTDZ($A$1,$B31,D$1)</f>
        <v>#NAME?</v>
      </c>
      <c r="E31" t="e" cm="1">
        <f t="array" aca="1" ref="E31" ca="1">_xll.EQNXTDZ($A$1,$B31,E$1)</f>
        <v>#NAME?</v>
      </c>
      <c r="F31" t="e" cm="1">
        <f t="array" aca="1" ref="F31" ca="1">_xll.EQNXTDZ($A$1,$B31,F$1)</f>
        <v>#NAME?</v>
      </c>
      <c r="G31" t="e" cm="1">
        <f t="array" aca="1" ref="G31" ca="1">_xll.EQNXTDZ($A$1,$B31,G$1)</f>
        <v>#NAME?</v>
      </c>
      <c r="H31" t="e" cm="1">
        <f t="array" aca="1" ref="H31" ca="1">_xll.EQNXTDZ($A$1,$B31,H$1)</f>
        <v>#NAME?</v>
      </c>
      <c r="I31" t="e" cm="1">
        <f t="array" aca="1" ref="I31" ca="1">_xll.EQNXTDZ($A$1,$B31,I$1)</f>
        <v>#NAME?</v>
      </c>
      <c r="J31" t="e" cm="1">
        <f t="array" aca="1" ref="J31" ca="1">_xll.EQNXTDZ($A$1,$B31,J$1)</f>
        <v>#NAME?</v>
      </c>
      <c r="K31" t="e" cm="1">
        <f t="array" aca="1" ref="K31" ca="1">_xll.EQNXTDZ($A$1,$B31,K$1)</f>
        <v>#NAME?</v>
      </c>
      <c r="L31" t="e" cm="1">
        <f t="array" aca="1" ref="L31" ca="1">_xll.EQNXTDZ($A$1,$B31,L$1)</f>
        <v>#NAME?</v>
      </c>
      <c r="M31" t="e" cm="1">
        <f t="array" aca="1" ref="M31" ca="1">_xll.EQNXTDZ($A$1,$B31,M$1)</f>
        <v>#NAME?</v>
      </c>
      <c r="N31" t="e" cm="1">
        <f t="array" aca="1" ref="N31" ca="1">_xll.EQNXTDZ($A$1,$B31,N$1)</f>
        <v>#NAME?</v>
      </c>
      <c r="O31" t="e" cm="1">
        <f t="array" aca="1" ref="O31" ca="1">_xll.EQNXTDZ($A$1,$B31,O$1)</f>
        <v>#NAME?</v>
      </c>
      <c r="P31" t="e" cm="1">
        <f t="array" aca="1" ref="P31" ca="1">_xll.EQNXTDZ($A$1,$B31,P$1)</f>
        <v>#NAME?</v>
      </c>
      <c r="Q31" t="e" cm="1">
        <f t="array" aca="1" ref="Q31" ca="1">_xll.EQNXTDZ($A$1,$B31,Q$1)</f>
        <v>#NAME?</v>
      </c>
      <c r="R31" t="e" cm="1">
        <f t="array" aca="1" ref="R31" ca="1">_xll.EQNXTDZ($A$1,$B31,R$1)</f>
        <v>#NAME?</v>
      </c>
      <c r="S31" t="e" cm="1">
        <f t="array" aca="1" ref="S31" ca="1">_xll.EQNXTDZ($A$1,$B31,S$1)</f>
        <v>#NAME?</v>
      </c>
      <c r="T31" t="e" cm="1">
        <f t="array" aca="1" ref="T31" ca="1">_xll.EQNXTDZ($A$1,$B31,T$1)</f>
        <v>#NAME?</v>
      </c>
      <c r="U31" t="e" cm="1">
        <f t="array" aca="1" ref="U31" ca="1">_xll.EQNXTDZ($A$1,$B31,U$1)</f>
        <v>#NAME?</v>
      </c>
      <c r="V31" t="e" cm="1">
        <f t="array" aca="1" ref="V31" ca="1">_xll.EQNXTDZ($A$1,$B31,V$1)</f>
        <v>#NAME?</v>
      </c>
      <c r="W31" t="e" cm="1">
        <f t="array" aca="1" ref="W31" ca="1">_xll.EQNXTDZ($A$1,$B31,W$1)</f>
        <v>#NAME?</v>
      </c>
      <c r="X31" t="e" cm="1">
        <f t="array" aca="1" ref="X31" ca="1">_xll.EQNXTDZ($A$1,$B31,X$1)</f>
        <v>#NAME?</v>
      </c>
      <c r="Y31" t="e" cm="1">
        <f t="array" aca="1" ref="Y31" ca="1">_xll.EQNXTDZ($A$1,$B31,Y$1)</f>
        <v>#NAME?</v>
      </c>
      <c r="Z31" t="e" cm="1">
        <f t="array" aca="1" ref="Z31" ca="1">_xll.EQNXTDZ($A$1,$B31,Z$1)</f>
        <v>#NAME?</v>
      </c>
      <c r="AA31" t="e" cm="1">
        <f t="array" aca="1" ref="AA31" ca="1">_xll.EQNXTDZ($A$1,$B31,AA$1)</f>
        <v>#NAME?</v>
      </c>
      <c r="AB31" t="e" cm="1">
        <f t="array" aca="1" ref="AB31" ca="1">_xll.EQNXTDZ($A$1,$B31,AB$1)</f>
        <v>#NAME?</v>
      </c>
      <c r="AC31" t="e" cm="1">
        <f t="array" aca="1" ref="AC31" ca="1">_xll.EQNXTDZ($A$1,$B31,AC$1)</f>
        <v>#NAME?</v>
      </c>
      <c r="AD31" t="e" cm="1">
        <f t="array" aca="1" ref="AD31" ca="1">_xll.EQNXTDZ($A$1,$B31,AD$1)</f>
        <v>#NAME?</v>
      </c>
      <c r="AE31" t="e" cm="1">
        <f t="array" aca="1" ref="AE31" ca="1">_xll.EQNXTDZ($A$1,$B31,AE$1)</f>
        <v>#NAME?</v>
      </c>
      <c r="AF31" t="e" cm="1">
        <f t="array" aca="1" ref="AF31" ca="1">_xll.EQNXTDZ($A$1,$B31,AF$1)</f>
        <v>#NAME?</v>
      </c>
    </row>
    <row r="32" spans="1:32" s="110" customFormat="1" x14ac:dyDescent="0.25">
      <c r="A32" s="110" t="s">
        <v>76</v>
      </c>
      <c r="B32" s="110" t="s">
        <v>101</v>
      </c>
      <c r="C32" t="e" cm="1">
        <f t="array" aca="1" ref="C32" ca="1">_xll.EQNXTDZ($A$1,$B32,C$1)</f>
        <v>#NAME?</v>
      </c>
      <c r="D32" t="e" cm="1">
        <f t="array" aca="1" ref="D32" ca="1">_xll.EQNXTDZ($A$1,$B32,D$1)</f>
        <v>#NAME?</v>
      </c>
      <c r="E32" t="e" cm="1">
        <f t="array" aca="1" ref="E32" ca="1">_xll.EQNXTDZ($A$1,$B32,E$1)</f>
        <v>#NAME?</v>
      </c>
      <c r="F32" t="e" cm="1">
        <f t="array" aca="1" ref="F32" ca="1">_xll.EQNXTDZ($A$1,$B32,F$1)</f>
        <v>#NAME?</v>
      </c>
      <c r="G32" t="e" cm="1">
        <f t="array" aca="1" ref="G32" ca="1">_xll.EQNXTDZ($A$1,$B32,G$1)</f>
        <v>#NAME?</v>
      </c>
      <c r="H32" t="e" cm="1">
        <f t="array" aca="1" ref="H32" ca="1">_xll.EQNXTDZ($A$1,$B32,H$1)</f>
        <v>#NAME?</v>
      </c>
      <c r="I32" t="e" cm="1">
        <f t="array" aca="1" ref="I32" ca="1">_xll.EQNXTDZ($A$1,$B32,I$1)</f>
        <v>#NAME?</v>
      </c>
      <c r="J32" t="e" cm="1">
        <f t="array" aca="1" ref="J32" ca="1">_xll.EQNXTDZ($A$1,$B32,J$1)</f>
        <v>#NAME?</v>
      </c>
      <c r="K32" t="e" cm="1">
        <f t="array" aca="1" ref="K32" ca="1">_xll.EQNXTDZ($A$1,$B32,K$1)</f>
        <v>#NAME?</v>
      </c>
      <c r="L32" t="e" cm="1">
        <f t="array" aca="1" ref="L32" ca="1">_xll.EQNXTDZ($A$1,$B32,L$1)</f>
        <v>#NAME?</v>
      </c>
      <c r="M32" t="e" cm="1">
        <f t="array" aca="1" ref="M32" ca="1">_xll.EQNXTDZ($A$1,$B32,M$1)</f>
        <v>#NAME?</v>
      </c>
      <c r="N32" t="e" cm="1">
        <f t="array" aca="1" ref="N32" ca="1">_xll.EQNXTDZ($A$1,$B32,N$1)</f>
        <v>#NAME?</v>
      </c>
      <c r="O32" t="e" cm="1">
        <f t="array" aca="1" ref="O32" ca="1">_xll.EQNXTDZ($A$1,$B32,O$1)</f>
        <v>#NAME?</v>
      </c>
      <c r="P32" t="e" cm="1">
        <f t="array" aca="1" ref="P32" ca="1">_xll.EQNXTDZ($A$1,$B32,P$1)</f>
        <v>#NAME?</v>
      </c>
      <c r="Q32" t="e" cm="1">
        <f t="array" aca="1" ref="Q32" ca="1">_xll.EQNXTDZ($A$1,$B32,Q$1)</f>
        <v>#NAME?</v>
      </c>
      <c r="R32" t="e" cm="1">
        <f t="array" aca="1" ref="R32" ca="1">_xll.EQNXTDZ($A$1,$B32,R$1)</f>
        <v>#NAME?</v>
      </c>
      <c r="S32" t="e" cm="1">
        <f t="array" aca="1" ref="S32" ca="1">_xll.EQNXTDZ($A$1,$B32,S$1)</f>
        <v>#NAME?</v>
      </c>
      <c r="T32" t="e" cm="1">
        <f t="array" aca="1" ref="T32" ca="1">_xll.EQNXTDZ($A$1,$B32,T$1)</f>
        <v>#NAME?</v>
      </c>
      <c r="U32" t="e" cm="1">
        <f t="array" aca="1" ref="U32" ca="1">_xll.EQNXTDZ($A$1,$B32,U$1)</f>
        <v>#NAME?</v>
      </c>
      <c r="V32" t="e" cm="1">
        <f t="array" aca="1" ref="V32" ca="1">_xll.EQNXTDZ($A$1,$B32,V$1)</f>
        <v>#NAME?</v>
      </c>
      <c r="W32" t="e" cm="1">
        <f t="array" aca="1" ref="W32" ca="1">_xll.EQNXTDZ($A$1,$B32,W$1)</f>
        <v>#NAME?</v>
      </c>
      <c r="X32" t="e" cm="1">
        <f t="array" aca="1" ref="X32" ca="1">_xll.EQNXTDZ($A$1,$B32,X$1)</f>
        <v>#NAME?</v>
      </c>
      <c r="Y32" t="e" cm="1">
        <f t="array" aca="1" ref="Y32" ca="1">_xll.EQNXTDZ($A$1,$B32,Y$1)</f>
        <v>#NAME?</v>
      </c>
      <c r="Z32" t="e" cm="1">
        <f t="array" aca="1" ref="Z32" ca="1">_xll.EQNXTDZ($A$1,$B32,Z$1)</f>
        <v>#NAME?</v>
      </c>
      <c r="AA32" t="e" cm="1">
        <f t="array" aca="1" ref="AA32" ca="1">_xll.EQNXTDZ($A$1,$B32,AA$1)</f>
        <v>#NAME?</v>
      </c>
      <c r="AB32" t="e" cm="1">
        <f t="array" aca="1" ref="AB32" ca="1">_xll.EQNXTDZ($A$1,$B32,AB$1)</f>
        <v>#NAME?</v>
      </c>
      <c r="AC32" t="e" cm="1">
        <f t="array" aca="1" ref="AC32" ca="1">_xll.EQNXTDZ($A$1,$B32,AC$1)</f>
        <v>#NAME?</v>
      </c>
      <c r="AD32" t="e" cm="1">
        <f t="array" aca="1" ref="AD32" ca="1">_xll.EQNXTDZ($A$1,$B32,AD$1)</f>
        <v>#NAME?</v>
      </c>
      <c r="AE32" t="e" cm="1">
        <f t="array" aca="1" ref="AE32" ca="1">_xll.EQNXTDZ($A$1,$B32,AE$1)</f>
        <v>#NAME?</v>
      </c>
      <c r="AF32" t="e" cm="1">
        <f t="array" aca="1" ref="AF32" ca="1">_xll.EQNXTDZ($A$1,$B32,AF$1)</f>
        <v>#NAME?</v>
      </c>
    </row>
    <row r="33" spans="1:32" s="110" customFormat="1" x14ac:dyDescent="0.25">
      <c r="A33" s="110" t="s">
        <v>77</v>
      </c>
      <c r="B33" s="110" t="s">
        <v>102</v>
      </c>
      <c r="C33" t="e" cm="1">
        <f t="array" aca="1" ref="C33" ca="1">_xll.EQNXTDZ($A$1,$B33,C$1)</f>
        <v>#NAME?</v>
      </c>
      <c r="D33" t="e" cm="1">
        <f t="array" aca="1" ref="D33" ca="1">_xll.EQNXTDZ($A$1,$B33,D$1)</f>
        <v>#NAME?</v>
      </c>
      <c r="E33" t="e" cm="1">
        <f t="array" aca="1" ref="E33" ca="1">_xll.EQNXTDZ($A$1,$B33,E$1)</f>
        <v>#NAME?</v>
      </c>
      <c r="F33" t="e" cm="1">
        <f t="array" aca="1" ref="F33" ca="1">_xll.EQNXTDZ($A$1,$B33,F$1)</f>
        <v>#NAME?</v>
      </c>
      <c r="G33" t="e" cm="1">
        <f t="array" aca="1" ref="G33" ca="1">_xll.EQNXTDZ($A$1,$B33,G$1)</f>
        <v>#NAME?</v>
      </c>
      <c r="H33" t="e" cm="1">
        <f t="array" aca="1" ref="H33" ca="1">_xll.EQNXTDZ($A$1,$B33,H$1)</f>
        <v>#NAME?</v>
      </c>
      <c r="I33" t="e" cm="1">
        <f t="array" aca="1" ref="I33" ca="1">_xll.EQNXTDZ($A$1,$B33,I$1)</f>
        <v>#NAME?</v>
      </c>
      <c r="J33" t="e" cm="1">
        <f t="array" aca="1" ref="J33" ca="1">_xll.EQNXTDZ($A$1,$B33,J$1)</f>
        <v>#NAME?</v>
      </c>
      <c r="K33" t="e" cm="1">
        <f t="array" aca="1" ref="K33" ca="1">_xll.EQNXTDZ($A$1,$B33,K$1)</f>
        <v>#NAME?</v>
      </c>
      <c r="L33" t="e" cm="1">
        <f t="array" aca="1" ref="L33" ca="1">_xll.EQNXTDZ($A$1,$B33,L$1)</f>
        <v>#NAME?</v>
      </c>
      <c r="M33" t="e" cm="1">
        <f t="array" aca="1" ref="M33" ca="1">_xll.EQNXTDZ($A$1,$B33,M$1)</f>
        <v>#NAME?</v>
      </c>
      <c r="N33" t="e" cm="1">
        <f t="array" aca="1" ref="N33" ca="1">_xll.EQNXTDZ($A$1,$B33,N$1)</f>
        <v>#NAME?</v>
      </c>
      <c r="O33" t="e" cm="1">
        <f t="array" aca="1" ref="O33" ca="1">_xll.EQNXTDZ($A$1,$B33,O$1)</f>
        <v>#NAME?</v>
      </c>
      <c r="P33" t="e" cm="1">
        <f t="array" aca="1" ref="P33" ca="1">_xll.EQNXTDZ($A$1,$B33,P$1)</f>
        <v>#NAME?</v>
      </c>
      <c r="Q33" t="e" cm="1">
        <f t="array" aca="1" ref="Q33" ca="1">_xll.EQNXTDZ($A$1,$B33,Q$1)</f>
        <v>#NAME?</v>
      </c>
      <c r="R33" t="e" cm="1">
        <f t="array" aca="1" ref="R33" ca="1">_xll.EQNXTDZ($A$1,$B33,R$1)</f>
        <v>#NAME?</v>
      </c>
      <c r="S33" t="e" cm="1">
        <f t="array" aca="1" ref="S33" ca="1">_xll.EQNXTDZ($A$1,$B33,S$1)</f>
        <v>#NAME?</v>
      </c>
      <c r="T33" t="e" cm="1">
        <f t="array" aca="1" ref="T33" ca="1">_xll.EQNXTDZ($A$1,$B33,T$1)</f>
        <v>#NAME?</v>
      </c>
      <c r="U33" t="e" cm="1">
        <f t="array" aca="1" ref="U33" ca="1">_xll.EQNXTDZ($A$1,$B33,U$1)</f>
        <v>#NAME?</v>
      </c>
      <c r="V33" t="e" cm="1">
        <f t="array" aca="1" ref="V33" ca="1">_xll.EQNXTDZ($A$1,$B33,V$1)</f>
        <v>#NAME?</v>
      </c>
      <c r="W33" t="e" cm="1">
        <f t="array" aca="1" ref="W33" ca="1">_xll.EQNXTDZ($A$1,$B33,W$1)</f>
        <v>#NAME?</v>
      </c>
      <c r="X33" t="e" cm="1">
        <f t="array" aca="1" ref="X33" ca="1">_xll.EQNXTDZ($A$1,$B33,X$1)</f>
        <v>#NAME?</v>
      </c>
      <c r="Y33" t="e" cm="1">
        <f t="array" aca="1" ref="Y33" ca="1">_xll.EQNXTDZ($A$1,$B33,Y$1)</f>
        <v>#NAME?</v>
      </c>
      <c r="Z33" t="e" cm="1">
        <f t="array" aca="1" ref="Z33" ca="1">_xll.EQNXTDZ($A$1,$B33,Z$1)</f>
        <v>#NAME?</v>
      </c>
      <c r="AA33" t="e" cm="1">
        <f t="array" aca="1" ref="AA33" ca="1">_xll.EQNXTDZ($A$1,$B33,AA$1)</f>
        <v>#NAME?</v>
      </c>
      <c r="AB33" t="e" cm="1">
        <f t="array" aca="1" ref="AB33" ca="1">_xll.EQNXTDZ($A$1,$B33,AB$1)</f>
        <v>#NAME?</v>
      </c>
      <c r="AC33" t="e" cm="1">
        <f t="array" aca="1" ref="AC33" ca="1">_xll.EQNXTDZ($A$1,$B33,AC$1)</f>
        <v>#NAME?</v>
      </c>
      <c r="AD33" t="e" cm="1">
        <f t="array" aca="1" ref="AD33" ca="1">_xll.EQNXTDZ($A$1,$B33,AD$1)</f>
        <v>#NAME?</v>
      </c>
      <c r="AE33" t="e" cm="1">
        <f t="array" aca="1" ref="AE33" ca="1">_xll.EQNXTDZ($A$1,$B33,AE$1)</f>
        <v>#NAME?</v>
      </c>
      <c r="AF33" t="e" cm="1">
        <f t="array" aca="1" ref="AF33" ca="1">_xll.EQNXTDZ($A$1,$B33,AF$1)</f>
        <v>#NAME?</v>
      </c>
    </row>
    <row r="34" spans="1:32" s="110" customFormat="1" x14ac:dyDescent="0.25">
      <c r="A34" s="110" t="s">
        <v>78</v>
      </c>
      <c r="B34" s="110" t="s">
        <v>103</v>
      </c>
      <c r="C34" t="e" cm="1">
        <f t="array" aca="1" ref="C34" ca="1">_xll.EQNXTDZ($A$1,$B34,C$1)</f>
        <v>#NAME?</v>
      </c>
      <c r="D34" t="e" cm="1">
        <f t="array" aca="1" ref="D34" ca="1">_xll.EQNXTDZ($A$1,$B34,D$1)</f>
        <v>#NAME?</v>
      </c>
      <c r="E34" t="e" cm="1">
        <f t="array" aca="1" ref="E34" ca="1">_xll.EQNXTDZ($A$1,$B34,E$1)</f>
        <v>#NAME?</v>
      </c>
      <c r="F34" t="e" cm="1">
        <f t="array" aca="1" ref="F34" ca="1">_xll.EQNXTDZ($A$1,$B34,F$1)</f>
        <v>#NAME?</v>
      </c>
      <c r="G34" t="e" cm="1">
        <f t="array" aca="1" ref="G34" ca="1">_xll.EQNXTDZ($A$1,$B34,G$1)</f>
        <v>#NAME?</v>
      </c>
      <c r="H34" t="e" cm="1">
        <f t="array" aca="1" ref="H34" ca="1">_xll.EQNXTDZ($A$1,$B34,H$1)</f>
        <v>#NAME?</v>
      </c>
      <c r="I34" t="e" cm="1">
        <f t="array" aca="1" ref="I34" ca="1">_xll.EQNXTDZ($A$1,$B34,I$1)</f>
        <v>#NAME?</v>
      </c>
      <c r="J34" t="e" cm="1">
        <f t="array" aca="1" ref="J34" ca="1">_xll.EQNXTDZ($A$1,$B34,J$1)</f>
        <v>#NAME?</v>
      </c>
      <c r="K34" t="e" cm="1">
        <f t="array" aca="1" ref="K34" ca="1">_xll.EQNXTDZ($A$1,$B34,K$1)</f>
        <v>#NAME?</v>
      </c>
      <c r="L34" t="e" cm="1">
        <f t="array" aca="1" ref="L34" ca="1">_xll.EQNXTDZ($A$1,$B34,L$1)</f>
        <v>#NAME?</v>
      </c>
      <c r="M34" t="e" cm="1">
        <f t="array" aca="1" ref="M34" ca="1">_xll.EQNXTDZ($A$1,$B34,M$1)</f>
        <v>#NAME?</v>
      </c>
      <c r="N34" t="e" cm="1">
        <f t="array" aca="1" ref="N34" ca="1">_xll.EQNXTDZ($A$1,$B34,N$1)</f>
        <v>#NAME?</v>
      </c>
      <c r="O34" t="e" cm="1">
        <f t="array" aca="1" ref="O34" ca="1">_xll.EQNXTDZ($A$1,$B34,O$1)</f>
        <v>#NAME?</v>
      </c>
      <c r="P34" t="e" cm="1">
        <f t="array" aca="1" ref="P34" ca="1">_xll.EQNXTDZ($A$1,$B34,P$1)</f>
        <v>#NAME?</v>
      </c>
      <c r="Q34" t="e" cm="1">
        <f t="array" aca="1" ref="Q34" ca="1">_xll.EQNXTDZ($A$1,$B34,Q$1)</f>
        <v>#NAME?</v>
      </c>
      <c r="R34" t="e" cm="1">
        <f t="array" aca="1" ref="R34" ca="1">_xll.EQNXTDZ($A$1,$B34,R$1)</f>
        <v>#NAME?</v>
      </c>
      <c r="S34" t="e" cm="1">
        <f t="array" aca="1" ref="S34" ca="1">_xll.EQNXTDZ($A$1,$B34,S$1)</f>
        <v>#NAME?</v>
      </c>
      <c r="T34" t="e" cm="1">
        <f t="array" aca="1" ref="T34" ca="1">_xll.EQNXTDZ($A$1,$B34,T$1)</f>
        <v>#NAME?</v>
      </c>
      <c r="U34" t="e" cm="1">
        <f t="array" aca="1" ref="U34" ca="1">_xll.EQNXTDZ($A$1,$B34,U$1)</f>
        <v>#NAME?</v>
      </c>
      <c r="V34" t="e" cm="1">
        <f t="array" aca="1" ref="V34" ca="1">_xll.EQNXTDZ($A$1,$B34,V$1)</f>
        <v>#NAME?</v>
      </c>
      <c r="W34" t="e" cm="1">
        <f t="array" aca="1" ref="W34" ca="1">_xll.EQNXTDZ($A$1,$B34,W$1)</f>
        <v>#NAME?</v>
      </c>
      <c r="X34" t="e" cm="1">
        <f t="array" aca="1" ref="X34" ca="1">_xll.EQNXTDZ($A$1,$B34,X$1)</f>
        <v>#NAME?</v>
      </c>
      <c r="Y34" t="e" cm="1">
        <f t="array" aca="1" ref="Y34" ca="1">_xll.EQNXTDZ($A$1,$B34,Y$1)</f>
        <v>#NAME?</v>
      </c>
      <c r="Z34" t="e" cm="1">
        <f t="array" aca="1" ref="Z34" ca="1">_xll.EQNXTDZ($A$1,$B34,Z$1)</f>
        <v>#NAME?</v>
      </c>
      <c r="AA34" t="e" cm="1">
        <f t="array" aca="1" ref="AA34" ca="1">_xll.EQNXTDZ($A$1,$B34,AA$1)</f>
        <v>#NAME?</v>
      </c>
      <c r="AB34" t="e" cm="1">
        <f t="array" aca="1" ref="AB34" ca="1">_xll.EQNXTDZ($A$1,$B34,AB$1)</f>
        <v>#NAME?</v>
      </c>
      <c r="AC34" t="e" cm="1">
        <f t="array" aca="1" ref="AC34" ca="1">_xll.EQNXTDZ($A$1,$B34,AC$1)</f>
        <v>#NAME?</v>
      </c>
      <c r="AD34" t="e" cm="1">
        <f t="array" aca="1" ref="AD34" ca="1">_xll.EQNXTDZ($A$1,$B34,AD$1)</f>
        <v>#NAME?</v>
      </c>
      <c r="AE34" t="e" cm="1">
        <f t="array" aca="1" ref="AE34" ca="1">_xll.EQNXTDZ($A$1,$B34,AE$1)</f>
        <v>#NAME?</v>
      </c>
      <c r="AF34" t="e" cm="1">
        <f t="array" aca="1" ref="AF34" ca="1">_xll.EQNXTDZ($A$1,$B34,AF$1)</f>
        <v>#NAME?</v>
      </c>
    </row>
    <row r="35" spans="1:32" s="110" customFormat="1" x14ac:dyDescent="0.25">
      <c r="A35" s="110" t="s">
        <v>79</v>
      </c>
      <c r="B35" s="110" t="s">
        <v>104</v>
      </c>
      <c r="C35" t="e" cm="1">
        <f t="array" aca="1" ref="C35" ca="1">_xll.EQNXTDZ($A$1,$B35,C$1)</f>
        <v>#NAME?</v>
      </c>
      <c r="D35" t="e" cm="1">
        <f t="array" aca="1" ref="D35" ca="1">_xll.EQNXTDZ($A$1,$B35,D$1)</f>
        <v>#NAME?</v>
      </c>
      <c r="E35" t="e" cm="1">
        <f t="array" aca="1" ref="E35" ca="1">_xll.EQNXTDZ($A$1,$B35,E$1)</f>
        <v>#NAME?</v>
      </c>
      <c r="F35" t="e" cm="1">
        <f t="array" aca="1" ref="F35" ca="1">_xll.EQNXTDZ($A$1,$B35,F$1)</f>
        <v>#NAME?</v>
      </c>
      <c r="G35" t="e" cm="1">
        <f t="array" aca="1" ref="G35" ca="1">_xll.EQNXTDZ($A$1,$B35,G$1)</f>
        <v>#NAME?</v>
      </c>
      <c r="H35" t="e" cm="1">
        <f t="array" aca="1" ref="H35" ca="1">_xll.EQNXTDZ($A$1,$B35,H$1)</f>
        <v>#NAME?</v>
      </c>
      <c r="I35" t="e" cm="1">
        <f t="array" aca="1" ref="I35" ca="1">_xll.EQNXTDZ($A$1,$B35,I$1)</f>
        <v>#NAME?</v>
      </c>
      <c r="J35" t="e" cm="1">
        <f t="array" aca="1" ref="J35" ca="1">_xll.EQNXTDZ($A$1,$B35,J$1)</f>
        <v>#NAME?</v>
      </c>
      <c r="K35" t="e" cm="1">
        <f t="array" aca="1" ref="K35" ca="1">_xll.EQNXTDZ($A$1,$B35,K$1)</f>
        <v>#NAME?</v>
      </c>
      <c r="L35" t="e" cm="1">
        <f t="array" aca="1" ref="L35" ca="1">_xll.EQNXTDZ($A$1,$B35,L$1)</f>
        <v>#NAME?</v>
      </c>
      <c r="M35" t="e" cm="1">
        <f t="array" aca="1" ref="M35" ca="1">_xll.EQNXTDZ($A$1,$B35,M$1)</f>
        <v>#NAME?</v>
      </c>
      <c r="N35" t="e" cm="1">
        <f t="array" aca="1" ref="N35" ca="1">_xll.EQNXTDZ($A$1,$B35,N$1)</f>
        <v>#NAME?</v>
      </c>
      <c r="O35" t="e" cm="1">
        <f t="array" aca="1" ref="O35" ca="1">_xll.EQNXTDZ($A$1,$B35,O$1)</f>
        <v>#NAME?</v>
      </c>
      <c r="P35" t="e" cm="1">
        <f t="array" aca="1" ref="P35" ca="1">_xll.EQNXTDZ($A$1,$B35,P$1)</f>
        <v>#NAME?</v>
      </c>
      <c r="Q35" t="e" cm="1">
        <f t="array" aca="1" ref="Q35" ca="1">_xll.EQNXTDZ($A$1,$B35,Q$1)</f>
        <v>#NAME?</v>
      </c>
      <c r="R35" t="e" cm="1">
        <f t="array" aca="1" ref="R35" ca="1">_xll.EQNXTDZ($A$1,$B35,R$1)</f>
        <v>#NAME?</v>
      </c>
      <c r="S35" t="e" cm="1">
        <f t="array" aca="1" ref="S35" ca="1">_xll.EQNXTDZ($A$1,$B35,S$1)</f>
        <v>#NAME?</v>
      </c>
      <c r="T35" t="e" cm="1">
        <f t="array" aca="1" ref="T35" ca="1">_xll.EQNXTDZ($A$1,$B35,T$1)</f>
        <v>#NAME?</v>
      </c>
      <c r="U35" t="e" cm="1">
        <f t="array" aca="1" ref="U35" ca="1">_xll.EQNXTDZ($A$1,$B35,U$1)</f>
        <v>#NAME?</v>
      </c>
      <c r="V35" t="e" cm="1">
        <f t="array" aca="1" ref="V35" ca="1">_xll.EQNXTDZ($A$1,$B35,V$1)</f>
        <v>#NAME?</v>
      </c>
      <c r="W35" t="e" cm="1">
        <f t="array" aca="1" ref="W35" ca="1">_xll.EQNXTDZ($A$1,$B35,W$1)</f>
        <v>#NAME?</v>
      </c>
      <c r="X35" t="e" cm="1">
        <f t="array" aca="1" ref="X35" ca="1">_xll.EQNXTDZ($A$1,$B35,X$1)</f>
        <v>#NAME?</v>
      </c>
      <c r="Y35" t="e" cm="1">
        <f t="array" aca="1" ref="Y35" ca="1">_xll.EQNXTDZ($A$1,$B35,Y$1)</f>
        <v>#NAME?</v>
      </c>
      <c r="Z35" t="e" cm="1">
        <f t="array" aca="1" ref="Z35" ca="1">_xll.EQNXTDZ($A$1,$B35,Z$1)</f>
        <v>#NAME?</v>
      </c>
      <c r="AA35" t="e" cm="1">
        <f t="array" aca="1" ref="AA35" ca="1">_xll.EQNXTDZ($A$1,$B35,AA$1)</f>
        <v>#NAME?</v>
      </c>
      <c r="AB35" t="e" cm="1">
        <f t="array" aca="1" ref="AB35" ca="1">_xll.EQNXTDZ($A$1,$B35,AB$1)</f>
        <v>#NAME?</v>
      </c>
      <c r="AC35" t="e" cm="1">
        <f t="array" aca="1" ref="AC35" ca="1">_xll.EQNXTDZ($A$1,$B35,AC$1)</f>
        <v>#NAME?</v>
      </c>
      <c r="AD35" t="e" cm="1">
        <f t="array" aca="1" ref="AD35" ca="1">_xll.EQNXTDZ($A$1,$B35,AD$1)</f>
        <v>#NAME?</v>
      </c>
      <c r="AE35" t="e" cm="1">
        <f t="array" aca="1" ref="AE35" ca="1">_xll.EQNXTDZ($A$1,$B35,AE$1)</f>
        <v>#NAME?</v>
      </c>
      <c r="AF35" t="e" cm="1">
        <f t="array" aca="1" ref="AF35" ca="1">_xll.EQNXTDZ($A$1,$B35,AF$1)</f>
        <v>#NAME?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t="e" cm="1">
        <f t="array" aca="1" ref="C38" ca="1">_xll.EQNXTDZ($A$1,$B38,C$1)</f>
        <v>#NAME?</v>
      </c>
      <c r="D38" t="e" cm="1">
        <f t="array" aca="1" ref="D38" ca="1">_xll.EQNXTDZ($A$1,$B38,D$1)</f>
        <v>#NAME?</v>
      </c>
      <c r="E38" t="e" cm="1">
        <f t="array" aca="1" ref="E38" ca="1">_xll.EQNXTDZ($A$1,$B38,E$1)</f>
        <v>#NAME?</v>
      </c>
      <c r="F38" t="e" cm="1">
        <f t="array" aca="1" ref="F38" ca="1">_xll.EQNXTDZ($A$1,$B38,F$1)</f>
        <v>#NAME?</v>
      </c>
      <c r="G38" t="e" cm="1">
        <f t="array" aca="1" ref="G38" ca="1">_xll.EQNXTDZ($A$1,$B38,G$1)</f>
        <v>#NAME?</v>
      </c>
      <c r="H38" t="e" cm="1">
        <f t="array" aca="1" ref="H38" ca="1">_xll.EQNXTDZ($A$1,$B38,H$1)</f>
        <v>#NAME?</v>
      </c>
      <c r="I38" t="e" cm="1">
        <f t="array" aca="1" ref="I38" ca="1">_xll.EQNXTDZ($A$1,$B38,I$1)</f>
        <v>#NAME?</v>
      </c>
      <c r="J38" t="e" cm="1">
        <f t="array" aca="1" ref="J38" ca="1">_xll.EQNXTDZ($A$1,$B38,J$1)</f>
        <v>#NAME?</v>
      </c>
      <c r="K38" t="e" cm="1">
        <f t="array" aca="1" ref="K38" ca="1">_xll.EQNXTDZ($A$1,$B38,K$1)</f>
        <v>#NAME?</v>
      </c>
      <c r="L38" t="e" cm="1">
        <f t="array" aca="1" ref="L38" ca="1">_xll.EQNXTDZ($A$1,$B38,L$1)</f>
        <v>#NAME?</v>
      </c>
      <c r="M38" t="e" cm="1">
        <f t="array" aca="1" ref="M38" ca="1">_xll.EQNXTDZ($A$1,$B38,M$1)</f>
        <v>#NAME?</v>
      </c>
      <c r="N38" t="e" cm="1">
        <f t="array" aca="1" ref="N38" ca="1">_xll.EQNXTDZ($A$1,$B38,N$1)</f>
        <v>#NAME?</v>
      </c>
      <c r="O38" t="e" cm="1">
        <f t="array" aca="1" ref="O38" ca="1">_xll.EQNXTDZ($A$1,$B38,O$1)</f>
        <v>#NAME?</v>
      </c>
      <c r="P38" t="e" cm="1">
        <f t="array" aca="1" ref="P38" ca="1">_xll.EQNXTDZ($A$1,$B38,P$1)</f>
        <v>#NAME?</v>
      </c>
      <c r="Q38" t="e" cm="1">
        <f t="array" aca="1" ref="Q38" ca="1">_xll.EQNXTDZ($A$1,$B38,Q$1)</f>
        <v>#NAME?</v>
      </c>
      <c r="R38" t="e" cm="1">
        <f t="array" aca="1" ref="R38" ca="1">_xll.EQNXTDZ($A$1,$B38,R$1)</f>
        <v>#NAME?</v>
      </c>
      <c r="S38" t="e" cm="1">
        <f t="array" aca="1" ref="S38" ca="1">_xll.EQNXTDZ($A$1,$B38,S$1)</f>
        <v>#NAME?</v>
      </c>
      <c r="T38" t="e" cm="1">
        <f t="array" aca="1" ref="T38" ca="1">_xll.EQNXTDZ($A$1,$B38,T$1)</f>
        <v>#NAME?</v>
      </c>
      <c r="U38" t="e" cm="1">
        <f t="array" aca="1" ref="U38" ca="1">_xll.EQNXTDZ($A$1,$B38,U$1)</f>
        <v>#NAME?</v>
      </c>
      <c r="V38" t="e" cm="1">
        <f t="array" aca="1" ref="V38" ca="1">_xll.EQNXTDZ($A$1,$B38,V$1)</f>
        <v>#NAME?</v>
      </c>
      <c r="W38" t="e" cm="1">
        <f t="array" aca="1" ref="W38" ca="1">_xll.EQNXTDZ($A$1,$B38,W$1)</f>
        <v>#NAME?</v>
      </c>
      <c r="X38" t="e" cm="1">
        <f t="array" aca="1" ref="X38" ca="1">_xll.EQNXTDZ($A$1,$B38,X$1)</f>
        <v>#NAME?</v>
      </c>
      <c r="Y38" t="e" cm="1">
        <f t="array" aca="1" ref="Y38" ca="1">_xll.EQNXTDZ($A$1,$B38,Y$1)</f>
        <v>#NAME?</v>
      </c>
      <c r="Z38" t="e" cm="1">
        <f t="array" aca="1" ref="Z38" ca="1">_xll.EQNXTDZ($A$1,$B38,Z$1)</f>
        <v>#NAME?</v>
      </c>
      <c r="AA38" t="e" cm="1">
        <f t="array" aca="1" ref="AA38" ca="1">_xll.EQNXTDZ($A$1,$B38,AA$1)</f>
        <v>#NAME?</v>
      </c>
      <c r="AB38" t="e" cm="1">
        <f t="array" aca="1" ref="AB38" ca="1">_xll.EQNXTDZ($A$1,$B38,AB$1)</f>
        <v>#NAME?</v>
      </c>
      <c r="AC38" t="e" cm="1">
        <f t="array" aca="1" ref="AC38" ca="1">_xll.EQNXTDZ($A$1,$B38,AC$1)</f>
        <v>#NAME?</v>
      </c>
      <c r="AD38" t="e" cm="1">
        <f t="array" aca="1" ref="AD38" ca="1">_xll.EQNXTDZ($A$1,$B38,AD$1)</f>
        <v>#NAME?</v>
      </c>
      <c r="AE38" t="e" cm="1">
        <f t="array" aca="1" ref="AE38" ca="1">_xll.EQNXTDZ($A$1,$B38,AE$1)</f>
        <v>#NAME?</v>
      </c>
      <c r="AF38" t="e" cm="1">
        <f t="array" aca="1" ref="AF38" ca="1">_xll.EQNXTDZ($A$1,$B38,AF$1)</f>
        <v>#NAME?</v>
      </c>
    </row>
    <row r="39" spans="1:32" s="110" customFormat="1" x14ac:dyDescent="0.25">
      <c r="A39" s="110" t="s">
        <v>174</v>
      </c>
      <c r="B39" s="110" t="s">
        <v>178</v>
      </c>
      <c r="C39" t="e" cm="1">
        <f t="array" aca="1" ref="C39" ca="1">_xll.EQNXTDZ($A$1,$B39,C$1)</f>
        <v>#NAME?</v>
      </c>
      <c r="D39" t="e" cm="1">
        <f t="array" aca="1" ref="D39" ca="1">_xll.EQNXTDZ($A$1,$B39,D$1)</f>
        <v>#NAME?</v>
      </c>
      <c r="E39" t="e" cm="1">
        <f t="array" aca="1" ref="E39" ca="1">_xll.EQNXTDZ($A$1,$B39,E$1)</f>
        <v>#NAME?</v>
      </c>
      <c r="F39" t="e" cm="1">
        <f t="array" aca="1" ref="F39" ca="1">_xll.EQNXTDZ($A$1,$B39,F$1)</f>
        <v>#NAME?</v>
      </c>
      <c r="G39" t="e" cm="1">
        <f t="array" aca="1" ref="G39" ca="1">_xll.EQNXTDZ($A$1,$B39,G$1)</f>
        <v>#NAME?</v>
      </c>
      <c r="H39" t="e" cm="1">
        <f t="array" aca="1" ref="H39" ca="1">_xll.EQNXTDZ($A$1,$B39,H$1)</f>
        <v>#NAME?</v>
      </c>
      <c r="I39" t="e" cm="1">
        <f t="array" aca="1" ref="I39" ca="1">_xll.EQNXTDZ($A$1,$B39,I$1)</f>
        <v>#NAME?</v>
      </c>
      <c r="J39" t="e" cm="1">
        <f t="array" aca="1" ref="J39" ca="1">_xll.EQNXTDZ($A$1,$B39,J$1)</f>
        <v>#NAME?</v>
      </c>
      <c r="K39" t="e" cm="1">
        <f t="array" aca="1" ref="K39" ca="1">_xll.EQNXTDZ($A$1,$B39,K$1)</f>
        <v>#NAME?</v>
      </c>
      <c r="L39" t="e" cm="1">
        <f t="array" aca="1" ref="L39" ca="1">_xll.EQNXTDZ($A$1,$B39,L$1)</f>
        <v>#NAME?</v>
      </c>
      <c r="M39" t="e" cm="1">
        <f t="array" aca="1" ref="M39" ca="1">_xll.EQNXTDZ($A$1,$B39,M$1)</f>
        <v>#NAME?</v>
      </c>
      <c r="N39" t="e" cm="1">
        <f t="array" aca="1" ref="N39" ca="1">_xll.EQNXTDZ($A$1,$B39,N$1)</f>
        <v>#NAME?</v>
      </c>
      <c r="O39" t="e" cm="1">
        <f t="array" aca="1" ref="O39" ca="1">_xll.EQNXTDZ($A$1,$B39,O$1)</f>
        <v>#NAME?</v>
      </c>
      <c r="P39" t="e" cm="1">
        <f t="array" aca="1" ref="P39" ca="1">_xll.EQNXTDZ($A$1,$B39,P$1)</f>
        <v>#NAME?</v>
      </c>
      <c r="Q39" t="e" cm="1">
        <f t="array" aca="1" ref="Q39" ca="1">_xll.EQNXTDZ($A$1,$B39,Q$1)</f>
        <v>#NAME?</v>
      </c>
      <c r="R39" t="e" cm="1">
        <f t="array" aca="1" ref="R39" ca="1">_xll.EQNXTDZ($A$1,$B39,R$1)</f>
        <v>#NAME?</v>
      </c>
      <c r="S39" t="e" cm="1">
        <f t="array" aca="1" ref="S39" ca="1">_xll.EQNXTDZ($A$1,$B39,S$1)</f>
        <v>#NAME?</v>
      </c>
      <c r="T39" t="e" cm="1">
        <f t="array" aca="1" ref="T39" ca="1">_xll.EQNXTDZ($A$1,$B39,T$1)</f>
        <v>#NAME?</v>
      </c>
      <c r="U39" t="e" cm="1">
        <f t="array" aca="1" ref="U39" ca="1">_xll.EQNXTDZ($A$1,$B39,U$1)</f>
        <v>#NAME?</v>
      </c>
      <c r="V39" t="e" cm="1">
        <f t="array" aca="1" ref="V39" ca="1">_xll.EQNXTDZ($A$1,$B39,V$1)</f>
        <v>#NAME?</v>
      </c>
      <c r="W39" t="e" cm="1">
        <f t="array" aca="1" ref="W39" ca="1">_xll.EQNXTDZ($A$1,$B39,W$1)</f>
        <v>#NAME?</v>
      </c>
      <c r="X39" t="e" cm="1">
        <f t="array" aca="1" ref="X39" ca="1">_xll.EQNXTDZ($A$1,$B39,X$1)</f>
        <v>#NAME?</v>
      </c>
      <c r="Y39" t="e" cm="1">
        <f t="array" aca="1" ref="Y39" ca="1">_xll.EQNXTDZ($A$1,$B39,Y$1)</f>
        <v>#NAME?</v>
      </c>
      <c r="Z39" t="e" cm="1">
        <f t="array" aca="1" ref="Z39" ca="1">_xll.EQNXTDZ($A$1,$B39,Z$1)</f>
        <v>#NAME?</v>
      </c>
      <c r="AA39" t="e" cm="1">
        <f t="array" aca="1" ref="AA39" ca="1">_xll.EQNXTDZ($A$1,$B39,AA$1)</f>
        <v>#NAME?</v>
      </c>
      <c r="AB39" t="e" cm="1">
        <f t="array" aca="1" ref="AB39" ca="1">_xll.EQNXTDZ($A$1,$B39,AB$1)</f>
        <v>#NAME?</v>
      </c>
      <c r="AC39" t="e" cm="1">
        <f t="array" aca="1" ref="AC39" ca="1">_xll.EQNXTDZ($A$1,$B39,AC$1)</f>
        <v>#NAME?</v>
      </c>
      <c r="AD39" t="e" cm="1">
        <f t="array" aca="1" ref="AD39" ca="1">_xll.EQNXTDZ($A$1,$B39,AD$1)</f>
        <v>#NAME?</v>
      </c>
      <c r="AE39" t="e" cm="1">
        <f t="array" aca="1" ref="AE39" ca="1">_xll.EQNXTDZ($A$1,$B39,AE$1)</f>
        <v>#NAME?</v>
      </c>
      <c r="AF39" t="e" cm="1">
        <f t="array" aca="1" ref="AF39" ca="1">_xll.EQNXTDZ($A$1,$B39,AF$1)</f>
        <v>#NAME?</v>
      </c>
    </row>
    <row r="40" spans="1:32" s="110" customFormat="1" x14ac:dyDescent="0.25">
      <c r="A40" s="110" t="s">
        <v>175</v>
      </c>
      <c r="B40" s="110" t="s">
        <v>179</v>
      </c>
      <c r="C40" t="e" cm="1">
        <f t="array" aca="1" ref="C40" ca="1">_xll.EQNXTDZ($A$1,$B40,C$1)</f>
        <v>#NAME?</v>
      </c>
      <c r="D40" t="e" cm="1">
        <f t="array" aca="1" ref="D40" ca="1">_xll.EQNXTDZ($A$1,$B40,D$1)</f>
        <v>#NAME?</v>
      </c>
      <c r="E40" t="e" cm="1">
        <f t="array" aca="1" ref="E40" ca="1">_xll.EQNXTDZ($A$1,$B40,E$1)</f>
        <v>#NAME?</v>
      </c>
      <c r="F40" t="e" cm="1">
        <f t="array" aca="1" ref="F40" ca="1">_xll.EQNXTDZ($A$1,$B40,F$1)</f>
        <v>#NAME?</v>
      </c>
      <c r="G40" t="e" cm="1">
        <f t="array" aca="1" ref="G40" ca="1">_xll.EQNXTDZ($A$1,$B40,G$1)</f>
        <v>#NAME?</v>
      </c>
      <c r="H40" t="e" cm="1">
        <f t="array" aca="1" ref="H40" ca="1">_xll.EQNXTDZ($A$1,$B40,H$1)</f>
        <v>#NAME?</v>
      </c>
      <c r="I40" t="e" cm="1">
        <f t="array" aca="1" ref="I40" ca="1">_xll.EQNXTDZ($A$1,$B40,I$1)</f>
        <v>#NAME?</v>
      </c>
      <c r="J40" t="e" cm="1">
        <f t="array" aca="1" ref="J40" ca="1">_xll.EQNXTDZ($A$1,$B40,J$1)</f>
        <v>#NAME?</v>
      </c>
      <c r="K40" t="e" cm="1">
        <f t="array" aca="1" ref="K40" ca="1">_xll.EQNXTDZ($A$1,$B40,K$1)</f>
        <v>#NAME?</v>
      </c>
      <c r="L40" t="e" cm="1">
        <f t="array" aca="1" ref="L40" ca="1">_xll.EQNXTDZ($A$1,$B40,L$1)</f>
        <v>#NAME?</v>
      </c>
      <c r="M40" t="e" cm="1">
        <f t="array" aca="1" ref="M40" ca="1">_xll.EQNXTDZ($A$1,$B40,M$1)</f>
        <v>#NAME?</v>
      </c>
      <c r="N40" t="e" cm="1">
        <f t="array" aca="1" ref="N40" ca="1">_xll.EQNXTDZ($A$1,$B40,N$1)</f>
        <v>#NAME?</v>
      </c>
      <c r="O40" t="e" cm="1">
        <f t="array" aca="1" ref="O40" ca="1">_xll.EQNXTDZ($A$1,$B40,O$1)</f>
        <v>#NAME?</v>
      </c>
      <c r="P40" t="e" cm="1">
        <f t="array" aca="1" ref="P40" ca="1">_xll.EQNXTDZ($A$1,$B40,P$1)</f>
        <v>#NAME?</v>
      </c>
      <c r="Q40" t="e" cm="1">
        <f t="array" aca="1" ref="Q40" ca="1">_xll.EQNXTDZ($A$1,$B40,Q$1)</f>
        <v>#NAME?</v>
      </c>
      <c r="R40" t="e" cm="1">
        <f t="array" aca="1" ref="R40" ca="1">_xll.EQNXTDZ($A$1,$B40,R$1)</f>
        <v>#NAME?</v>
      </c>
      <c r="S40" t="e" cm="1">
        <f t="array" aca="1" ref="S40" ca="1">_xll.EQNXTDZ($A$1,$B40,S$1)</f>
        <v>#NAME?</v>
      </c>
      <c r="T40" t="e" cm="1">
        <f t="array" aca="1" ref="T40" ca="1">_xll.EQNXTDZ($A$1,$B40,T$1)</f>
        <v>#NAME?</v>
      </c>
      <c r="U40" t="e" cm="1">
        <f t="array" aca="1" ref="U40" ca="1">_xll.EQNXTDZ($A$1,$B40,U$1)</f>
        <v>#NAME?</v>
      </c>
      <c r="V40" t="e" cm="1">
        <f t="array" aca="1" ref="V40" ca="1">_xll.EQNXTDZ($A$1,$B40,V$1)</f>
        <v>#NAME?</v>
      </c>
      <c r="W40" t="e" cm="1">
        <f t="array" aca="1" ref="W40" ca="1">_xll.EQNXTDZ($A$1,$B40,W$1)</f>
        <v>#NAME?</v>
      </c>
      <c r="X40" t="e" cm="1">
        <f t="array" aca="1" ref="X40" ca="1">_xll.EQNXTDZ($A$1,$B40,X$1)</f>
        <v>#NAME?</v>
      </c>
      <c r="Y40" t="e" cm="1">
        <f t="array" aca="1" ref="Y40" ca="1">_xll.EQNXTDZ($A$1,$B40,Y$1)</f>
        <v>#NAME?</v>
      </c>
      <c r="Z40" t="e" cm="1">
        <f t="array" aca="1" ref="Z40" ca="1">_xll.EQNXTDZ($A$1,$B40,Z$1)</f>
        <v>#NAME?</v>
      </c>
      <c r="AA40" t="e" cm="1">
        <f t="array" aca="1" ref="AA40" ca="1">_xll.EQNXTDZ($A$1,$B40,AA$1)</f>
        <v>#NAME?</v>
      </c>
      <c r="AB40" t="e" cm="1">
        <f t="array" aca="1" ref="AB40" ca="1">_xll.EQNXTDZ($A$1,$B40,AB$1)</f>
        <v>#NAME?</v>
      </c>
      <c r="AC40" t="e" cm="1">
        <f t="array" aca="1" ref="AC40" ca="1">_xll.EQNXTDZ($A$1,$B40,AC$1)</f>
        <v>#NAME?</v>
      </c>
      <c r="AD40" t="e" cm="1">
        <f t="array" aca="1" ref="AD40" ca="1">_xll.EQNXTDZ($A$1,$B40,AD$1)</f>
        <v>#NAME?</v>
      </c>
      <c r="AE40" t="e" cm="1">
        <f t="array" aca="1" ref="AE40" ca="1">_xll.EQNXTDZ($A$1,$B40,AE$1)</f>
        <v>#NAME?</v>
      </c>
      <c r="AF40" t="e" cm="1">
        <f t="array" aca="1" ref="AF40" ca="1">_xll.EQNXTDZ($A$1,$B40,AF$1)</f>
        <v>#NAME?</v>
      </c>
    </row>
    <row r="41" spans="1:32" s="110" customFormat="1" x14ac:dyDescent="0.25">
      <c r="A41" s="110" t="s">
        <v>176</v>
      </c>
      <c r="B41" s="110" t="s">
        <v>180</v>
      </c>
      <c r="C41" t="e" cm="1">
        <f t="array" aca="1" ref="C41" ca="1">_xll.EQNXTDZ($A$1,$B41,C$1)</f>
        <v>#NAME?</v>
      </c>
      <c r="D41" t="e" cm="1">
        <f t="array" aca="1" ref="D41" ca="1">_xll.EQNXTDZ($A$1,$B41,D$1)</f>
        <v>#NAME?</v>
      </c>
      <c r="E41" t="e" cm="1">
        <f t="array" aca="1" ref="E41" ca="1">_xll.EQNXTDZ($A$1,$B41,E$1)</f>
        <v>#NAME?</v>
      </c>
      <c r="F41" t="e" cm="1">
        <f t="array" aca="1" ref="F41" ca="1">_xll.EQNXTDZ($A$1,$B41,F$1)</f>
        <v>#NAME?</v>
      </c>
      <c r="G41" t="e" cm="1">
        <f t="array" aca="1" ref="G41" ca="1">_xll.EQNXTDZ($A$1,$B41,G$1)</f>
        <v>#NAME?</v>
      </c>
      <c r="H41" t="e" cm="1">
        <f t="array" aca="1" ref="H41" ca="1">_xll.EQNXTDZ($A$1,$B41,H$1)</f>
        <v>#NAME?</v>
      </c>
      <c r="I41" t="e" cm="1">
        <f t="array" aca="1" ref="I41" ca="1">_xll.EQNXTDZ($A$1,$B41,I$1)</f>
        <v>#NAME?</v>
      </c>
      <c r="J41" t="e" cm="1">
        <f t="array" aca="1" ref="J41" ca="1">_xll.EQNXTDZ($A$1,$B41,J$1)</f>
        <v>#NAME?</v>
      </c>
      <c r="K41" t="e" cm="1">
        <f t="array" aca="1" ref="K41" ca="1">_xll.EQNXTDZ($A$1,$B41,K$1)</f>
        <v>#NAME?</v>
      </c>
      <c r="L41" t="e" cm="1">
        <f t="array" aca="1" ref="L41" ca="1">_xll.EQNXTDZ($A$1,$B41,L$1)</f>
        <v>#NAME?</v>
      </c>
      <c r="M41" t="e" cm="1">
        <f t="array" aca="1" ref="M41" ca="1">_xll.EQNXTDZ($A$1,$B41,M$1)</f>
        <v>#NAME?</v>
      </c>
      <c r="N41" t="e" cm="1">
        <f t="array" aca="1" ref="N41" ca="1">_xll.EQNXTDZ($A$1,$B41,N$1)</f>
        <v>#NAME?</v>
      </c>
      <c r="O41" t="e" cm="1">
        <f t="array" aca="1" ref="O41" ca="1">_xll.EQNXTDZ($A$1,$B41,O$1)</f>
        <v>#NAME?</v>
      </c>
      <c r="P41" t="e" cm="1">
        <f t="array" aca="1" ref="P41" ca="1">_xll.EQNXTDZ($A$1,$B41,P$1)</f>
        <v>#NAME?</v>
      </c>
      <c r="Q41" t="e" cm="1">
        <f t="array" aca="1" ref="Q41" ca="1">_xll.EQNXTDZ($A$1,$B41,Q$1)</f>
        <v>#NAME?</v>
      </c>
      <c r="R41" t="e" cm="1">
        <f t="array" aca="1" ref="R41" ca="1">_xll.EQNXTDZ($A$1,$B41,R$1)</f>
        <v>#NAME?</v>
      </c>
      <c r="S41" t="e" cm="1">
        <f t="array" aca="1" ref="S41" ca="1">_xll.EQNXTDZ($A$1,$B41,S$1)</f>
        <v>#NAME?</v>
      </c>
      <c r="T41" t="e" cm="1">
        <f t="array" aca="1" ref="T41" ca="1">_xll.EQNXTDZ($A$1,$B41,T$1)</f>
        <v>#NAME?</v>
      </c>
      <c r="U41" t="e" cm="1">
        <f t="array" aca="1" ref="U41" ca="1">_xll.EQNXTDZ($A$1,$B41,U$1)</f>
        <v>#NAME?</v>
      </c>
      <c r="V41" t="e" cm="1">
        <f t="array" aca="1" ref="V41" ca="1">_xll.EQNXTDZ($A$1,$B41,V$1)</f>
        <v>#NAME?</v>
      </c>
      <c r="W41" t="e" cm="1">
        <f t="array" aca="1" ref="W41" ca="1">_xll.EQNXTDZ($A$1,$B41,W$1)</f>
        <v>#NAME?</v>
      </c>
      <c r="X41" t="e" cm="1">
        <f t="array" aca="1" ref="X41" ca="1">_xll.EQNXTDZ($A$1,$B41,X$1)</f>
        <v>#NAME?</v>
      </c>
      <c r="Y41" t="e" cm="1">
        <f t="array" aca="1" ref="Y41" ca="1">_xll.EQNXTDZ($A$1,$B41,Y$1)</f>
        <v>#NAME?</v>
      </c>
      <c r="Z41" t="e" cm="1">
        <f t="array" aca="1" ref="Z41" ca="1">_xll.EQNXTDZ($A$1,$B41,Z$1)</f>
        <v>#NAME?</v>
      </c>
      <c r="AA41" t="e" cm="1">
        <f t="array" aca="1" ref="AA41" ca="1">_xll.EQNXTDZ($A$1,$B41,AA$1)</f>
        <v>#NAME?</v>
      </c>
      <c r="AB41" t="e" cm="1">
        <f t="array" aca="1" ref="AB41" ca="1">_xll.EQNXTDZ($A$1,$B41,AB$1)</f>
        <v>#NAME?</v>
      </c>
      <c r="AC41" t="e" cm="1">
        <f t="array" aca="1" ref="AC41" ca="1">_xll.EQNXTDZ($A$1,$B41,AC$1)</f>
        <v>#NAME?</v>
      </c>
      <c r="AD41" t="e" cm="1">
        <f t="array" aca="1" ref="AD41" ca="1">_xll.EQNXTDZ($A$1,$B41,AD$1)</f>
        <v>#NAME?</v>
      </c>
      <c r="AE41" t="e" cm="1">
        <f t="array" aca="1" ref="AE41" ca="1">_xll.EQNXTDZ($A$1,$B41,AE$1)</f>
        <v>#NAME?</v>
      </c>
      <c r="AF41" t="e" cm="1">
        <f t="array" aca="1" ref="AF41" ca="1">_xll.EQNXTDZ($A$1,$B41,AF$1)</f>
        <v>#NAME?</v>
      </c>
    </row>
    <row r="42" spans="1:32" s="110" customFormat="1" x14ac:dyDescent="0.25">
      <c r="A42" s="110" t="s">
        <v>120</v>
      </c>
      <c r="B42" s="110" t="s">
        <v>181</v>
      </c>
      <c r="C42" t="e" cm="1">
        <f t="array" aca="1" ref="C42" ca="1">_xll.EQNXTDZ($A$1,$B42,C$1)</f>
        <v>#NAME?</v>
      </c>
      <c r="D42" t="e" cm="1">
        <f t="array" aca="1" ref="D42" ca="1">_xll.EQNXTDZ($A$1,$B42,D$1)</f>
        <v>#NAME?</v>
      </c>
      <c r="E42" t="e" cm="1">
        <f t="array" aca="1" ref="E42" ca="1">_xll.EQNXTDZ($A$1,$B42,E$1)</f>
        <v>#NAME?</v>
      </c>
      <c r="F42" t="e" cm="1">
        <f t="array" aca="1" ref="F42" ca="1">_xll.EQNXTDZ($A$1,$B42,F$1)</f>
        <v>#NAME?</v>
      </c>
      <c r="G42" t="e" cm="1">
        <f t="array" aca="1" ref="G42" ca="1">_xll.EQNXTDZ($A$1,$B42,G$1)</f>
        <v>#NAME?</v>
      </c>
      <c r="H42" t="e" cm="1">
        <f t="array" aca="1" ref="H42" ca="1">_xll.EQNXTDZ($A$1,$B42,H$1)</f>
        <v>#NAME?</v>
      </c>
      <c r="I42" t="e" cm="1">
        <f t="array" aca="1" ref="I42" ca="1">_xll.EQNXTDZ($A$1,$B42,I$1)</f>
        <v>#NAME?</v>
      </c>
      <c r="J42" t="e" cm="1">
        <f t="array" aca="1" ref="J42" ca="1">_xll.EQNXTDZ($A$1,$B42,J$1)</f>
        <v>#NAME?</v>
      </c>
      <c r="K42" t="e" cm="1">
        <f t="array" aca="1" ref="K42" ca="1">_xll.EQNXTDZ($A$1,$B42,K$1)</f>
        <v>#NAME?</v>
      </c>
      <c r="L42" t="e" cm="1">
        <f t="array" aca="1" ref="L42" ca="1">_xll.EQNXTDZ($A$1,$B42,L$1)</f>
        <v>#NAME?</v>
      </c>
      <c r="M42" t="e" cm="1">
        <f t="array" aca="1" ref="M42" ca="1">_xll.EQNXTDZ($A$1,$B42,M$1)</f>
        <v>#NAME?</v>
      </c>
      <c r="N42" t="e" cm="1">
        <f t="array" aca="1" ref="N42" ca="1">_xll.EQNXTDZ($A$1,$B42,N$1)</f>
        <v>#NAME?</v>
      </c>
      <c r="O42" t="e" cm="1">
        <f t="array" aca="1" ref="O42" ca="1">_xll.EQNXTDZ($A$1,$B42,O$1)</f>
        <v>#NAME?</v>
      </c>
      <c r="P42" t="e" cm="1">
        <f t="array" aca="1" ref="P42" ca="1">_xll.EQNXTDZ($A$1,$B42,P$1)</f>
        <v>#NAME?</v>
      </c>
      <c r="Q42" t="e" cm="1">
        <f t="array" aca="1" ref="Q42" ca="1">_xll.EQNXTDZ($A$1,$B42,Q$1)</f>
        <v>#NAME?</v>
      </c>
      <c r="R42" t="e" cm="1">
        <f t="array" aca="1" ref="R42" ca="1">_xll.EQNXTDZ($A$1,$B42,R$1)</f>
        <v>#NAME?</v>
      </c>
      <c r="S42" t="e" cm="1">
        <f t="array" aca="1" ref="S42" ca="1">_xll.EQNXTDZ($A$1,$B42,S$1)</f>
        <v>#NAME?</v>
      </c>
      <c r="T42" t="e" cm="1">
        <f t="array" aca="1" ref="T42" ca="1">_xll.EQNXTDZ($A$1,$B42,T$1)</f>
        <v>#NAME?</v>
      </c>
      <c r="U42" t="e" cm="1">
        <f t="array" aca="1" ref="U42" ca="1">_xll.EQNXTDZ($A$1,$B42,U$1)</f>
        <v>#NAME?</v>
      </c>
      <c r="V42" t="e" cm="1">
        <f t="array" aca="1" ref="V42" ca="1">_xll.EQNXTDZ($A$1,$B42,V$1)</f>
        <v>#NAME?</v>
      </c>
      <c r="W42" t="e" cm="1">
        <f t="array" aca="1" ref="W42" ca="1">_xll.EQNXTDZ($A$1,$B42,W$1)</f>
        <v>#NAME?</v>
      </c>
      <c r="X42" t="e" cm="1">
        <f t="array" aca="1" ref="X42" ca="1">_xll.EQNXTDZ($A$1,$B42,X$1)</f>
        <v>#NAME?</v>
      </c>
      <c r="Y42" t="e" cm="1">
        <f t="array" aca="1" ref="Y42" ca="1">_xll.EQNXTDZ($A$1,$B42,Y$1)</f>
        <v>#NAME?</v>
      </c>
      <c r="Z42" t="e" cm="1">
        <f t="array" aca="1" ref="Z42" ca="1">_xll.EQNXTDZ($A$1,$B42,Z$1)</f>
        <v>#NAME?</v>
      </c>
      <c r="AA42" t="e" cm="1">
        <f t="array" aca="1" ref="AA42" ca="1">_xll.EQNXTDZ($A$1,$B42,AA$1)</f>
        <v>#NAME?</v>
      </c>
      <c r="AB42" t="e" cm="1">
        <f t="array" aca="1" ref="AB42" ca="1">_xll.EQNXTDZ($A$1,$B42,AB$1)</f>
        <v>#NAME?</v>
      </c>
      <c r="AC42" t="e" cm="1">
        <f t="array" aca="1" ref="AC42" ca="1">_xll.EQNXTDZ($A$1,$B42,AC$1)</f>
        <v>#NAME?</v>
      </c>
      <c r="AD42" t="e" cm="1">
        <f t="array" aca="1" ref="AD42" ca="1">_xll.EQNXTDZ($A$1,$B42,AD$1)</f>
        <v>#NAME?</v>
      </c>
      <c r="AE42" t="e" cm="1">
        <f t="array" aca="1" ref="AE42" ca="1">_xll.EQNXTDZ($A$1,$B42,AE$1)</f>
        <v>#NAME?</v>
      </c>
      <c r="AF42" t="e" cm="1">
        <f t="array" aca="1" ref="AF42" ca="1">_xll.EQNXTDZ($A$1,$B42,AF$1)</f>
        <v>#NAME?</v>
      </c>
    </row>
    <row r="43" spans="1:32" s="110" customFormat="1" x14ac:dyDescent="0.25">
      <c r="A43" s="110" t="s">
        <v>126</v>
      </c>
      <c r="B43" s="110" t="s">
        <v>182</v>
      </c>
      <c r="C43" t="e" cm="1">
        <f t="array" aca="1" ref="C43" ca="1">_xll.EQNXTDZ($A$1,$B43,C$1)</f>
        <v>#NAME?</v>
      </c>
      <c r="D43" t="e" cm="1">
        <f t="array" aca="1" ref="D43" ca="1">_xll.EQNXTDZ($A$1,$B43,D$1)</f>
        <v>#NAME?</v>
      </c>
      <c r="E43" t="e" cm="1">
        <f t="array" aca="1" ref="E43" ca="1">_xll.EQNXTDZ($A$1,$B43,E$1)</f>
        <v>#NAME?</v>
      </c>
      <c r="F43" t="e" cm="1">
        <f t="array" aca="1" ref="F43" ca="1">_xll.EQNXTDZ($A$1,$B43,F$1)</f>
        <v>#NAME?</v>
      </c>
      <c r="G43" t="e" cm="1">
        <f t="array" aca="1" ref="G43" ca="1">_xll.EQNXTDZ($A$1,$B43,G$1)</f>
        <v>#NAME?</v>
      </c>
      <c r="H43" t="e" cm="1">
        <f t="array" aca="1" ref="H43" ca="1">_xll.EQNXTDZ($A$1,$B43,H$1)</f>
        <v>#NAME?</v>
      </c>
      <c r="I43" t="e" cm="1">
        <f t="array" aca="1" ref="I43" ca="1">_xll.EQNXTDZ($A$1,$B43,I$1)</f>
        <v>#NAME?</v>
      </c>
      <c r="J43" t="e" cm="1">
        <f t="array" aca="1" ref="J43" ca="1">_xll.EQNXTDZ($A$1,$B43,J$1)</f>
        <v>#NAME?</v>
      </c>
      <c r="K43" t="e" cm="1">
        <f t="array" aca="1" ref="K43" ca="1">_xll.EQNXTDZ($A$1,$B43,K$1)</f>
        <v>#NAME?</v>
      </c>
      <c r="L43" t="e" cm="1">
        <f t="array" aca="1" ref="L43" ca="1">_xll.EQNXTDZ($A$1,$B43,L$1)</f>
        <v>#NAME?</v>
      </c>
      <c r="M43" t="e" cm="1">
        <f t="array" aca="1" ref="M43" ca="1">_xll.EQNXTDZ($A$1,$B43,M$1)</f>
        <v>#NAME?</v>
      </c>
      <c r="N43" t="e" cm="1">
        <f t="array" aca="1" ref="N43" ca="1">_xll.EQNXTDZ($A$1,$B43,N$1)</f>
        <v>#NAME?</v>
      </c>
      <c r="O43" t="e" cm="1">
        <f t="array" aca="1" ref="O43" ca="1">_xll.EQNXTDZ($A$1,$B43,O$1)</f>
        <v>#NAME?</v>
      </c>
      <c r="P43" t="e" cm="1">
        <f t="array" aca="1" ref="P43" ca="1">_xll.EQNXTDZ($A$1,$B43,P$1)</f>
        <v>#NAME?</v>
      </c>
      <c r="Q43" t="e" cm="1">
        <f t="array" aca="1" ref="Q43" ca="1">_xll.EQNXTDZ($A$1,$B43,Q$1)</f>
        <v>#NAME?</v>
      </c>
      <c r="R43" t="e" cm="1">
        <f t="array" aca="1" ref="R43" ca="1">_xll.EQNXTDZ($A$1,$B43,R$1)</f>
        <v>#NAME?</v>
      </c>
      <c r="S43" t="e" cm="1">
        <f t="array" aca="1" ref="S43" ca="1">_xll.EQNXTDZ($A$1,$B43,S$1)</f>
        <v>#NAME?</v>
      </c>
      <c r="T43" t="e" cm="1">
        <f t="array" aca="1" ref="T43" ca="1">_xll.EQNXTDZ($A$1,$B43,T$1)</f>
        <v>#NAME?</v>
      </c>
      <c r="U43" t="e" cm="1">
        <f t="array" aca="1" ref="U43" ca="1">_xll.EQNXTDZ($A$1,$B43,U$1)</f>
        <v>#NAME?</v>
      </c>
      <c r="V43" t="e" cm="1">
        <f t="array" aca="1" ref="V43" ca="1">_xll.EQNXTDZ($A$1,$B43,V$1)</f>
        <v>#NAME?</v>
      </c>
      <c r="W43" t="e" cm="1">
        <f t="array" aca="1" ref="W43" ca="1">_xll.EQNXTDZ($A$1,$B43,W$1)</f>
        <v>#NAME?</v>
      </c>
      <c r="X43" t="e" cm="1">
        <f t="array" aca="1" ref="X43" ca="1">_xll.EQNXTDZ($A$1,$B43,X$1)</f>
        <v>#NAME?</v>
      </c>
      <c r="Y43" t="e" cm="1">
        <f t="array" aca="1" ref="Y43" ca="1">_xll.EQNXTDZ($A$1,$B43,Y$1)</f>
        <v>#NAME?</v>
      </c>
      <c r="Z43" t="e" cm="1">
        <f t="array" aca="1" ref="Z43" ca="1">_xll.EQNXTDZ($A$1,$B43,Z$1)</f>
        <v>#NAME?</v>
      </c>
      <c r="AA43" t="e" cm="1">
        <f t="array" aca="1" ref="AA43" ca="1">_xll.EQNXTDZ($A$1,$B43,AA$1)</f>
        <v>#NAME?</v>
      </c>
      <c r="AB43" t="e" cm="1">
        <f t="array" aca="1" ref="AB43" ca="1">_xll.EQNXTDZ($A$1,$B43,AB$1)</f>
        <v>#NAME?</v>
      </c>
      <c r="AC43" t="e" cm="1">
        <f t="array" aca="1" ref="AC43" ca="1">_xll.EQNXTDZ($A$1,$B43,AC$1)</f>
        <v>#NAME?</v>
      </c>
      <c r="AD43" t="e" cm="1">
        <f t="array" aca="1" ref="AD43" ca="1">_xll.EQNXTDZ($A$1,$B43,AD$1)</f>
        <v>#NAME?</v>
      </c>
      <c r="AE43" t="e" cm="1">
        <f t="array" aca="1" ref="AE43" ca="1">_xll.EQNXTDZ($A$1,$B43,AE$1)</f>
        <v>#NAME?</v>
      </c>
      <c r="AF43" t="e" cm="1">
        <f t="array" aca="1" ref="AF43" ca="1">_xll.EQNXTDZ($A$1,$B43,AF$1)</f>
        <v>#NAME?</v>
      </c>
    </row>
    <row r="44" spans="1:32" x14ac:dyDescent="0.25">
      <c r="A44" t="s">
        <v>183</v>
      </c>
      <c r="B44" t="s">
        <v>186</v>
      </c>
      <c r="C44" t="e" cm="1">
        <f t="array" aca="1" ref="C44" ca="1">_xll.EQNXTDZ($A$1,$B44,C$1)</f>
        <v>#NAME?</v>
      </c>
      <c r="D44" t="e" cm="1">
        <f t="array" aca="1" ref="D44" ca="1">_xll.EQNXTDZ($A$1,$B44,D$1)</f>
        <v>#NAME?</v>
      </c>
      <c r="E44" t="e" cm="1">
        <f t="array" aca="1" ref="E44" ca="1">_xll.EQNXTDZ($A$1,$B44,E$1)</f>
        <v>#NAME?</v>
      </c>
      <c r="F44" t="e" cm="1">
        <f t="array" aca="1" ref="F44" ca="1">_xll.EQNXTDZ($A$1,$B44,F$1)</f>
        <v>#NAME?</v>
      </c>
      <c r="G44" t="e" cm="1">
        <f t="array" aca="1" ref="G44" ca="1">_xll.EQNXTDZ($A$1,$B44,G$1)</f>
        <v>#NAME?</v>
      </c>
      <c r="H44" t="e" cm="1">
        <f t="array" aca="1" ref="H44" ca="1">_xll.EQNXTDZ($A$1,$B44,H$1)</f>
        <v>#NAME?</v>
      </c>
      <c r="I44" t="e" cm="1">
        <f t="array" aca="1" ref="I44" ca="1">_xll.EQNXTDZ($A$1,$B44,I$1)</f>
        <v>#NAME?</v>
      </c>
      <c r="J44" t="e" cm="1">
        <f t="array" aca="1" ref="J44" ca="1">_xll.EQNXTDZ($A$1,$B44,J$1)</f>
        <v>#NAME?</v>
      </c>
      <c r="K44" t="e" cm="1">
        <f t="array" aca="1" ref="K44" ca="1">_xll.EQNXTDZ($A$1,$B44,K$1)</f>
        <v>#NAME?</v>
      </c>
      <c r="L44" t="e" cm="1">
        <f t="array" aca="1" ref="L44" ca="1">_xll.EQNXTDZ($A$1,$B44,L$1)</f>
        <v>#NAME?</v>
      </c>
      <c r="M44" t="e" cm="1">
        <f t="array" aca="1" ref="M44" ca="1">_xll.EQNXTDZ($A$1,$B44,M$1)</f>
        <v>#NAME?</v>
      </c>
      <c r="N44" t="e" cm="1">
        <f t="array" aca="1" ref="N44" ca="1">_xll.EQNXTDZ($A$1,$B44,N$1)</f>
        <v>#NAME?</v>
      </c>
      <c r="O44" t="e" cm="1">
        <f t="array" aca="1" ref="O44" ca="1">_xll.EQNXTDZ($A$1,$B44,O$1)</f>
        <v>#NAME?</v>
      </c>
      <c r="P44" t="e" cm="1">
        <f t="array" aca="1" ref="P44" ca="1">_xll.EQNXTDZ($A$1,$B44,P$1)</f>
        <v>#NAME?</v>
      </c>
      <c r="Q44" t="e" cm="1">
        <f t="array" aca="1" ref="Q44" ca="1">_xll.EQNXTDZ($A$1,$B44,Q$1)</f>
        <v>#NAME?</v>
      </c>
      <c r="R44" t="e" cm="1">
        <f t="array" aca="1" ref="R44" ca="1">_xll.EQNXTDZ($A$1,$B44,R$1)</f>
        <v>#NAME?</v>
      </c>
      <c r="S44" t="e" cm="1">
        <f t="array" aca="1" ref="S44" ca="1">_xll.EQNXTDZ($A$1,$B44,S$1)</f>
        <v>#NAME?</v>
      </c>
      <c r="T44" t="e" cm="1">
        <f t="array" aca="1" ref="T44" ca="1">_xll.EQNXTDZ($A$1,$B44,T$1)</f>
        <v>#NAME?</v>
      </c>
      <c r="U44" t="e" cm="1">
        <f t="array" aca="1" ref="U44" ca="1">_xll.EQNXTDZ($A$1,$B44,U$1)</f>
        <v>#NAME?</v>
      </c>
      <c r="V44" t="e" cm="1">
        <f t="array" aca="1" ref="V44" ca="1">_xll.EQNXTDZ($A$1,$B44,V$1)</f>
        <v>#NAME?</v>
      </c>
      <c r="W44" t="e" cm="1">
        <f t="array" aca="1" ref="W44" ca="1">_xll.EQNXTDZ($A$1,$B44,W$1)</f>
        <v>#NAME?</v>
      </c>
      <c r="X44" t="e" cm="1">
        <f t="array" aca="1" ref="X44" ca="1">_xll.EQNXTDZ($A$1,$B44,X$1)</f>
        <v>#NAME?</v>
      </c>
      <c r="Y44" t="e" cm="1">
        <f t="array" aca="1" ref="Y44" ca="1">_xll.EQNXTDZ($A$1,$B44,Y$1)</f>
        <v>#NAME?</v>
      </c>
      <c r="Z44" t="e" cm="1">
        <f t="array" aca="1" ref="Z44" ca="1">_xll.EQNXTDZ($A$1,$B44,Z$1)</f>
        <v>#NAME?</v>
      </c>
      <c r="AA44" t="e" cm="1">
        <f t="array" aca="1" ref="AA44" ca="1">_xll.EQNXTDZ($A$1,$B44,AA$1)</f>
        <v>#NAME?</v>
      </c>
      <c r="AB44" t="e" cm="1">
        <f t="array" aca="1" ref="AB44" ca="1">_xll.EQNXTDZ($A$1,$B44,AB$1)</f>
        <v>#NAME?</v>
      </c>
      <c r="AC44" t="e" cm="1">
        <f t="array" aca="1" ref="AC44" ca="1">_xll.EQNXTDZ($A$1,$B44,AC$1)</f>
        <v>#NAME?</v>
      </c>
      <c r="AD44" t="e" cm="1">
        <f t="array" aca="1" ref="AD44" ca="1">_xll.EQNXTDZ($A$1,$B44,AD$1)</f>
        <v>#NAME?</v>
      </c>
      <c r="AE44" t="e" cm="1">
        <f t="array" aca="1" ref="AE44" ca="1">_xll.EQNXTDZ($A$1,$B44,AE$1)</f>
        <v>#NAME?</v>
      </c>
      <c r="AF44" t="e" cm="1">
        <f t="array" aca="1" ref="AF44" ca="1">_xll.EQNXTDZ($A$1,$B44,AF$1)</f>
        <v>#NAME?</v>
      </c>
    </row>
    <row r="45" spans="1:32" x14ac:dyDescent="0.25">
      <c r="A45" t="s">
        <v>189</v>
      </c>
      <c r="B45" t="s">
        <v>193</v>
      </c>
      <c r="C45" t="e" cm="1">
        <f t="array" aca="1" ref="C45" ca="1">_xll.EQNXTDZ($A$1,$B45,C$1)</f>
        <v>#NAME?</v>
      </c>
      <c r="D45" t="e" cm="1">
        <f t="array" aca="1" ref="D45" ca="1">_xll.EQNXTDZ($A$1,$B45,D$1)</f>
        <v>#NAME?</v>
      </c>
      <c r="E45" t="e" cm="1">
        <f t="array" aca="1" ref="E45" ca="1">_xll.EQNXTDZ($A$1,$B45,E$1)</f>
        <v>#NAME?</v>
      </c>
      <c r="F45" t="e" cm="1">
        <f t="array" aca="1" ref="F45" ca="1">_xll.EQNXTDZ($A$1,$B45,F$1)</f>
        <v>#NAME?</v>
      </c>
      <c r="G45" t="e" cm="1">
        <f t="array" aca="1" ref="G45" ca="1">_xll.EQNXTDZ($A$1,$B45,G$1)</f>
        <v>#NAME?</v>
      </c>
      <c r="H45" t="e" cm="1">
        <f t="array" aca="1" ref="H45" ca="1">_xll.EQNXTDZ($A$1,$B45,H$1)</f>
        <v>#NAME?</v>
      </c>
      <c r="I45" t="e" cm="1">
        <f t="array" aca="1" ref="I45" ca="1">_xll.EQNXTDZ($A$1,$B45,I$1)</f>
        <v>#NAME?</v>
      </c>
      <c r="J45" t="e" cm="1">
        <f t="array" aca="1" ref="J45" ca="1">_xll.EQNXTDZ($A$1,$B45,J$1)</f>
        <v>#NAME?</v>
      </c>
      <c r="K45" t="e" cm="1">
        <f t="array" aca="1" ref="K45" ca="1">_xll.EQNXTDZ($A$1,$B45,K$1)</f>
        <v>#NAME?</v>
      </c>
      <c r="L45" t="e" cm="1">
        <f t="array" aca="1" ref="L45" ca="1">_xll.EQNXTDZ($A$1,$B45,L$1)</f>
        <v>#NAME?</v>
      </c>
      <c r="M45" t="e" cm="1">
        <f t="array" aca="1" ref="M45" ca="1">_xll.EQNXTDZ($A$1,$B45,M$1)</f>
        <v>#NAME?</v>
      </c>
      <c r="N45" t="e" cm="1">
        <f t="array" aca="1" ref="N45" ca="1">_xll.EQNXTDZ($A$1,$B45,N$1)</f>
        <v>#NAME?</v>
      </c>
      <c r="O45" t="e" cm="1">
        <f t="array" aca="1" ref="O45" ca="1">_xll.EQNXTDZ($A$1,$B45,O$1)</f>
        <v>#NAME?</v>
      </c>
      <c r="P45" t="e" cm="1">
        <f t="array" aca="1" ref="P45" ca="1">_xll.EQNXTDZ($A$1,$B45,P$1)</f>
        <v>#NAME?</v>
      </c>
      <c r="Q45" t="e" cm="1">
        <f t="array" aca="1" ref="Q45" ca="1">_xll.EQNXTDZ($A$1,$B45,Q$1)</f>
        <v>#NAME?</v>
      </c>
      <c r="R45" t="e" cm="1">
        <f t="array" aca="1" ref="R45" ca="1">_xll.EQNXTDZ($A$1,$B45,R$1)</f>
        <v>#NAME?</v>
      </c>
      <c r="S45" t="e" cm="1">
        <f t="array" aca="1" ref="S45" ca="1">_xll.EQNXTDZ($A$1,$B45,S$1)</f>
        <v>#NAME?</v>
      </c>
      <c r="T45" t="e" cm="1">
        <f t="array" aca="1" ref="T45" ca="1">_xll.EQNXTDZ($A$1,$B45,T$1)</f>
        <v>#NAME?</v>
      </c>
      <c r="U45" t="e" cm="1">
        <f t="array" aca="1" ref="U45" ca="1">_xll.EQNXTDZ($A$1,$B45,U$1)</f>
        <v>#NAME?</v>
      </c>
      <c r="V45" t="e" cm="1">
        <f t="array" aca="1" ref="V45" ca="1">_xll.EQNXTDZ($A$1,$B45,V$1)</f>
        <v>#NAME?</v>
      </c>
      <c r="W45" t="e" cm="1">
        <f t="array" aca="1" ref="W45" ca="1">_xll.EQNXTDZ($A$1,$B45,W$1)</f>
        <v>#NAME?</v>
      </c>
      <c r="X45" t="e" cm="1">
        <f t="array" aca="1" ref="X45" ca="1">_xll.EQNXTDZ($A$1,$B45,X$1)</f>
        <v>#NAME?</v>
      </c>
      <c r="Y45" t="e" cm="1">
        <f t="array" aca="1" ref="Y45" ca="1">_xll.EQNXTDZ($A$1,$B45,Y$1)</f>
        <v>#NAME?</v>
      </c>
      <c r="Z45" t="e" cm="1">
        <f t="array" aca="1" ref="Z45" ca="1">_xll.EQNXTDZ($A$1,$B45,Z$1)</f>
        <v>#NAME?</v>
      </c>
      <c r="AA45" t="e" cm="1">
        <f t="array" aca="1" ref="AA45" ca="1">_xll.EQNXTDZ($A$1,$B45,AA$1)</f>
        <v>#NAME?</v>
      </c>
      <c r="AB45" t="e" cm="1">
        <f t="array" aca="1" ref="AB45" ca="1">_xll.EQNXTDZ($A$1,$B45,AB$1)</f>
        <v>#NAME?</v>
      </c>
      <c r="AC45" t="e" cm="1">
        <f t="array" aca="1" ref="AC45" ca="1">_xll.EQNXTDZ($A$1,$B45,AC$1)</f>
        <v>#NAME?</v>
      </c>
      <c r="AD45" t="e" cm="1">
        <f t="array" aca="1" ref="AD45" ca="1">_xll.EQNXTDZ($A$1,$B45,AD$1)</f>
        <v>#NAME?</v>
      </c>
      <c r="AE45" t="e" cm="1">
        <f t="array" aca="1" ref="AE45" ca="1">_xll.EQNXTDZ($A$1,$B45,AE$1)</f>
        <v>#NAME?</v>
      </c>
      <c r="AF45" t="e" cm="1">
        <f t="array" aca="1" ref="AF45" ca="1">_xll.EQNXTDZ($A$1,$B45,AF$1)</f>
        <v>#NAME?</v>
      </c>
    </row>
    <row r="46" spans="1:32" x14ac:dyDescent="0.25">
      <c r="A46" t="s">
        <v>190</v>
      </c>
      <c r="B46" t="s">
        <v>194</v>
      </c>
      <c r="C46" t="e" cm="1">
        <f t="array" aca="1" ref="C46" ca="1">_xll.EQNXTDZ($A$1,$B46,C$1)</f>
        <v>#NAME?</v>
      </c>
      <c r="D46" t="e" cm="1">
        <f t="array" aca="1" ref="D46" ca="1">_xll.EQNXTDZ($A$1,$B46,D$1)</f>
        <v>#NAME?</v>
      </c>
      <c r="E46" t="e" cm="1">
        <f t="array" aca="1" ref="E46" ca="1">_xll.EQNXTDZ($A$1,$B46,E$1)</f>
        <v>#NAME?</v>
      </c>
      <c r="F46" t="e" cm="1">
        <f t="array" aca="1" ref="F46" ca="1">_xll.EQNXTDZ($A$1,$B46,F$1)</f>
        <v>#NAME?</v>
      </c>
      <c r="G46" t="e" cm="1">
        <f t="array" aca="1" ref="G46" ca="1">_xll.EQNXTDZ($A$1,$B46,G$1)</f>
        <v>#NAME?</v>
      </c>
      <c r="H46" t="e" cm="1">
        <f t="array" aca="1" ref="H46" ca="1">_xll.EQNXTDZ($A$1,$B46,H$1)</f>
        <v>#NAME?</v>
      </c>
      <c r="I46" t="e" cm="1">
        <f t="array" aca="1" ref="I46" ca="1">_xll.EQNXTDZ($A$1,$B46,I$1)</f>
        <v>#NAME?</v>
      </c>
      <c r="J46" t="e" cm="1">
        <f t="array" aca="1" ref="J46" ca="1">_xll.EQNXTDZ($A$1,$B46,J$1)</f>
        <v>#NAME?</v>
      </c>
      <c r="K46" t="e" cm="1">
        <f t="array" aca="1" ref="K46" ca="1">_xll.EQNXTDZ($A$1,$B46,K$1)</f>
        <v>#NAME?</v>
      </c>
      <c r="L46" t="e" cm="1">
        <f t="array" aca="1" ref="L46" ca="1">_xll.EQNXTDZ($A$1,$B46,L$1)</f>
        <v>#NAME?</v>
      </c>
      <c r="M46" t="e" cm="1">
        <f t="array" aca="1" ref="M46" ca="1">_xll.EQNXTDZ($A$1,$B46,M$1)</f>
        <v>#NAME?</v>
      </c>
      <c r="N46" t="e" cm="1">
        <f t="array" aca="1" ref="N46" ca="1">_xll.EQNXTDZ($A$1,$B46,N$1)</f>
        <v>#NAME?</v>
      </c>
      <c r="O46" t="e" cm="1">
        <f t="array" aca="1" ref="O46" ca="1">_xll.EQNXTDZ($A$1,$B46,O$1)</f>
        <v>#NAME?</v>
      </c>
      <c r="P46" t="e" cm="1">
        <f t="array" aca="1" ref="P46" ca="1">_xll.EQNXTDZ($A$1,$B46,P$1)</f>
        <v>#NAME?</v>
      </c>
      <c r="Q46" t="e" cm="1">
        <f t="array" aca="1" ref="Q46" ca="1">_xll.EQNXTDZ($A$1,$B46,Q$1)</f>
        <v>#NAME?</v>
      </c>
      <c r="R46" t="e" cm="1">
        <f t="array" aca="1" ref="R46" ca="1">_xll.EQNXTDZ($A$1,$B46,R$1)</f>
        <v>#NAME?</v>
      </c>
      <c r="S46" t="e" cm="1">
        <f t="array" aca="1" ref="S46" ca="1">_xll.EQNXTDZ($A$1,$B46,S$1)</f>
        <v>#NAME?</v>
      </c>
      <c r="T46" t="e" cm="1">
        <f t="array" aca="1" ref="T46" ca="1">_xll.EQNXTDZ($A$1,$B46,T$1)</f>
        <v>#NAME?</v>
      </c>
      <c r="U46" t="e" cm="1">
        <f t="array" aca="1" ref="U46" ca="1">_xll.EQNXTDZ($A$1,$B46,U$1)</f>
        <v>#NAME?</v>
      </c>
      <c r="V46" t="e" cm="1">
        <f t="array" aca="1" ref="V46" ca="1">_xll.EQNXTDZ($A$1,$B46,V$1)</f>
        <v>#NAME?</v>
      </c>
      <c r="W46" t="e" cm="1">
        <f t="array" aca="1" ref="W46" ca="1">_xll.EQNXTDZ($A$1,$B46,W$1)</f>
        <v>#NAME?</v>
      </c>
      <c r="X46" t="e" cm="1">
        <f t="array" aca="1" ref="X46" ca="1">_xll.EQNXTDZ($A$1,$B46,X$1)</f>
        <v>#NAME?</v>
      </c>
      <c r="Y46" t="e" cm="1">
        <f t="array" aca="1" ref="Y46" ca="1">_xll.EQNXTDZ($A$1,$B46,Y$1)</f>
        <v>#NAME?</v>
      </c>
      <c r="Z46" t="e" cm="1">
        <f t="array" aca="1" ref="Z46" ca="1">_xll.EQNXTDZ($A$1,$B46,Z$1)</f>
        <v>#NAME?</v>
      </c>
      <c r="AA46" t="e" cm="1">
        <f t="array" aca="1" ref="AA46" ca="1">_xll.EQNXTDZ($A$1,$B46,AA$1)</f>
        <v>#NAME?</v>
      </c>
      <c r="AB46" t="e" cm="1">
        <f t="array" aca="1" ref="AB46" ca="1">_xll.EQNXTDZ($A$1,$B46,AB$1)</f>
        <v>#NAME?</v>
      </c>
      <c r="AC46" t="e" cm="1">
        <f t="array" aca="1" ref="AC46" ca="1">_xll.EQNXTDZ($A$1,$B46,AC$1)</f>
        <v>#NAME?</v>
      </c>
      <c r="AD46" t="e" cm="1">
        <f t="array" aca="1" ref="AD46" ca="1">_xll.EQNXTDZ($A$1,$B46,AD$1)</f>
        <v>#NAME?</v>
      </c>
      <c r="AE46" t="e" cm="1">
        <f t="array" aca="1" ref="AE46" ca="1">_xll.EQNXTDZ($A$1,$B46,AE$1)</f>
        <v>#NAME?</v>
      </c>
      <c r="AF46" t="e" cm="1">
        <f t="array" aca="1" ref="AF46" ca="1">_xll.EQNXTDZ($A$1,$B46,AF$1)</f>
        <v>#NAME?</v>
      </c>
    </row>
    <row r="47" spans="1:32" x14ac:dyDescent="0.25">
      <c r="A47" t="s">
        <v>191</v>
      </c>
      <c r="B47" t="s">
        <v>195</v>
      </c>
      <c r="C47" t="e" cm="1">
        <f t="array" aca="1" ref="C47" ca="1">_xll.EQNXTDZ($A$1,$B47,C$1)</f>
        <v>#NAME?</v>
      </c>
      <c r="D47" t="e" cm="1">
        <f t="array" aca="1" ref="D47" ca="1">_xll.EQNXTDZ($A$1,$B47,D$1)</f>
        <v>#NAME?</v>
      </c>
      <c r="E47" t="e" cm="1">
        <f t="array" aca="1" ref="E47" ca="1">_xll.EQNXTDZ($A$1,$B47,E$1)</f>
        <v>#NAME?</v>
      </c>
      <c r="F47" t="e" cm="1">
        <f t="array" aca="1" ref="F47" ca="1">_xll.EQNXTDZ($A$1,$B47,F$1)</f>
        <v>#NAME?</v>
      </c>
      <c r="G47" t="e" cm="1">
        <f t="array" aca="1" ref="G47" ca="1">_xll.EQNXTDZ($A$1,$B47,G$1)</f>
        <v>#NAME?</v>
      </c>
      <c r="H47" t="e" cm="1">
        <f t="array" aca="1" ref="H47" ca="1">_xll.EQNXTDZ($A$1,$B47,H$1)</f>
        <v>#NAME?</v>
      </c>
      <c r="I47" t="e" cm="1">
        <f t="array" aca="1" ref="I47" ca="1">_xll.EQNXTDZ($A$1,$B47,I$1)</f>
        <v>#NAME?</v>
      </c>
      <c r="J47" t="e" cm="1">
        <f t="array" aca="1" ref="J47" ca="1">_xll.EQNXTDZ($A$1,$B47,J$1)</f>
        <v>#NAME?</v>
      </c>
      <c r="K47" t="e" cm="1">
        <f t="array" aca="1" ref="K47" ca="1">_xll.EQNXTDZ($A$1,$B47,K$1)</f>
        <v>#NAME?</v>
      </c>
      <c r="L47" t="e" cm="1">
        <f t="array" aca="1" ref="L47" ca="1">_xll.EQNXTDZ($A$1,$B47,L$1)</f>
        <v>#NAME?</v>
      </c>
      <c r="M47" t="e" cm="1">
        <f t="array" aca="1" ref="M47" ca="1">_xll.EQNXTDZ($A$1,$B47,M$1)</f>
        <v>#NAME?</v>
      </c>
      <c r="N47" t="e" cm="1">
        <f t="array" aca="1" ref="N47" ca="1">_xll.EQNXTDZ($A$1,$B47,N$1)</f>
        <v>#NAME?</v>
      </c>
      <c r="O47" t="e" cm="1">
        <f t="array" aca="1" ref="O47" ca="1">_xll.EQNXTDZ($A$1,$B47,O$1)</f>
        <v>#NAME?</v>
      </c>
      <c r="P47" t="e" cm="1">
        <f t="array" aca="1" ref="P47" ca="1">_xll.EQNXTDZ($A$1,$B47,P$1)</f>
        <v>#NAME?</v>
      </c>
      <c r="Q47" t="e" cm="1">
        <f t="array" aca="1" ref="Q47" ca="1">_xll.EQNXTDZ($A$1,$B47,Q$1)</f>
        <v>#NAME?</v>
      </c>
      <c r="R47" t="e" cm="1">
        <f t="array" aca="1" ref="R47" ca="1">_xll.EQNXTDZ($A$1,$B47,R$1)</f>
        <v>#NAME?</v>
      </c>
      <c r="S47" t="e" cm="1">
        <f t="array" aca="1" ref="S47" ca="1">_xll.EQNXTDZ($A$1,$B47,S$1)</f>
        <v>#NAME?</v>
      </c>
      <c r="T47" t="e" cm="1">
        <f t="array" aca="1" ref="T47" ca="1">_xll.EQNXTDZ($A$1,$B47,T$1)</f>
        <v>#NAME?</v>
      </c>
      <c r="U47" t="e" cm="1">
        <f t="array" aca="1" ref="U47" ca="1">_xll.EQNXTDZ($A$1,$B47,U$1)</f>
        <v>#NAME?</v>
      </c>
      <c r="V47" t="e" cm="1">
        <f t="array" aca="1" ref="V47" ca="1">_xll.EQNXTDZ($A$1,$B47,V$1)</f>
        <v>#NAME?</v>
      </c>
      <c r="W47" t="e" cm="1">
        <f t="array" aca="1" ref="W47" ca="1">_xll.EQNXTDZ($A$1,$B47,W$1)</f>
        <v>#NAME?</v>
      </c>
      <c r="X47" t="e" cm="1">
        <f t="array" aca="1" ref="X47" ca="1">_xll.EQNXTDZ($A$1,$B47,X$1)</f>
        <v>#NAME?</v>
      </c>
      <c r="Y47" t="e" cm="1">
        <f t="array" aca="1" ref="Y47" ca="1">_xll.EQNXTDZ($A$1,$B47,Y$1)</f>
        <v>#NAME?</v>
      </c>
      <c r="Z47" t="e" cm="1">
        <f t="array" aca="1" ref="Z47" ca="1">_xll.EQNXTDZ($A$1,$B47,Z$1)</f>
        <v>#NAME?</v>
      </c>
      <c r="AA47" t="e" cm="1">
        <f t="array" aca="1" ref="AA47" ca="1">_xll.EQNXTDZ($A$1,$B47,AA$1)</f>
        <v>#NAME?</v>
      </c>
      <c r="AB47" t="e" cm="1">
        <f t="array" aca="1" ref="AB47" ca="1">_xll.EQNXTDZ($A$1,$B47,AB$1)</f>
        <v>#NAME?</v>
      </c>
      <c r="AC47" t="e" cm="1">
        <f t="array" aca="1" ref="AC47" ca="1">_xll.EQNXTDZ($A$1,$B47,AC$1)</f>
        <v>#NAME?</v>
      </c>
      <c r="AD47" t="e" cm="1">
        <f t="array" aca="1" ref="AD47" ca="1">_xll.EQNXTDZ($A$1,$B47,AD$1)</f>
        <v>#NAME?</v>
      </c>
      <c r="AE47" t="e" cm="1">
        <f t="array" aca="1" ref="AE47" ca="1">_xll.EQNXTDZ($A$1,$B47,AE$1)</f>
        <v>#NAME?</v>
      </c>
      <c r="AF47" t="e" cm="1">
        <f t="array" aca="1" ref="AF47" ca="1">_xll.EQNXTDZ($A$1,$B47,AF$1)</f>
        <v>#NAME?</v>
      </c>
    </row>
    <row r="48" spans="1:32" s="110" customFormat="1" x14ac:dyDescent="0.25">
      <c r="A48" s="110" t="s">
        <v>184</v>
      </c>
      <c r="B48" s="110" t="s">
        <v>187</v>
      </c>
      <c r="C48" t="e" cm="1">
        <f t="array" aca="1" ref="C48" ca="1">_xll.EQNXTDZ($A$1,$B48,C$1)</f>
        <v>#NAME?</v>
      </c>
      <c r="D48" t="e" cm="1">
        <f t="array" aca="1" ref="D48" ca="1">_xll.EQNXTDZ($A$1,$B48,D$1)</f>
        <v>#NAME?</v>
      </c>
      <c r="E48" t="e" cm="1">
        <f t="array" aca="1" ref="E48" ca="1">_xll.EQNXTDZ($A$1,$B48,E$1)</f>
        <v>#NAME?</v>
      </c>
      <c r="F48" t="e" cm="1">
        <f t="array" aca="1" ref="F48" ca="1">_xll.EQNXTDZ($A$1,$B48,F$1)</f>
        <v>#NAME?</v>
      </c>
      <c r="G48" t="e" cm="1">
        <f t="array" aca="1" ref="G48" ca="1">_xll.EQNXTDZ($A$1,$B48,G$1)</f>
        <v>#NAME?</v>
      </c>
      <c r="H48" t="e" cm="1">
        <f t="array" aca="1" ref="H48" ca="1">_xll.EQNXTDZ($A$1,$B48,H$1)</f>
        <v>#NAME?</v>
      </c>
      <c r="I48" t="e" cm="1">
        <f t="array" aca="1" ref="I48" ca="1">_xll.EQNXTDZ($A$1,$B48,I$1)</f>
        <v>#NAME?</v>
      </c>
      <c r="J48" t="e" cm="1">
        <f t="array" aca="1" ref="J48" ca="1">_xll.EQNXTDZ($A$1,$B48,J$1)</f>
        <v>#NAME?</v>
      </c>
      <c r="K48" t="e" cm="1">
        <f t="array" aca="1" ref="K48" ca="1">_xll.EQNXTDZ($A$1,$B48,K$1)</f>
        <v>#NAME?</v>
      </c>
      <c r="L48" t="e" cm="1">
        <f t="array" aca="1" ref="L48" ca="1">_xll.EQNXTDZ($A$1,$B48,L$1)</f>
        <v>#NAME?</v>
      </c>
      <c r="M48" t="e" cm="1">
        <f t="array" aca="1" ref="M48" ca="1">_xll.EQNXTDZ($A$1,$B48,M$1)</f>
        <v>#NAME?</v>
      </c>
      <c r="N48" t="e" cm="1">
        <f t="array" aca="1" ref="N48" ca="1">_xll.EQNXTDZ($A$1,$B48,N$1)</f>
        <v>#NAME?</v>
      </c>
      <c r="O48" t="e" cm="1">
        <f t="array" aca="1" ref="O48" ca="1">_xll.EQNXTDZ($A$1,$B48,O$1)</f>
        <v>#NAME?</v>
      </c>
      <c r="P48" t="e" cm="1">
        <f t="array" aca="1" ref="P48" ca="1">_xll.EQNXTDZ($A$1,$B48,P$1)</f>
        <v>#NAME?</v>
      </c>
      <c r="Q48" t="e" cm="1">
        <f t="array" aca="1" ref="Q48" ca="1">_xll.EQNXTDZ($A$1,$B48,Q$1)</f>
        <v>#NAME?</v>
      </c>
      <c r="R48" t="e" cm="1">
        <f t="array" aca="1" ref="R48" ca="1">_xll.EQNXTDZ($A$1,$B48,R$1)</f>
        <v>#NAME?</v>
      </c>
      <c r="S48" t="e" cm="1">
        <f t="array" aca="1" ref="S48" ca="1">_xll.EQNXTDZ($A$1,$B48,S$1)</f>
        <v>#NAME?</v>
      </c>
      <c r="T48" t="e" cm="1">
        <f t="array" aca="1" ref="T48" ca="1">_xll.EQNXTDZ($A$1,$B48,T$1)</f>
        <v>#NAME?</v>
      </c>
      <c r="U48" t="e" cm="1">
        <f t="array" aca="1" ref="U48" ca="1">_xll.EQNXTDZ($A$1,$B48,U$1)</f>
        <v>#NAME?</v>
      </c>
      <c r="V48" t="e" cm="1">
        <f t="array" aca="1" ref="V48" ca="1">_xll.EQNXTDZ($A$1,$B48,V$1)</f>
        <v>#NAME?</v>
      </c>
      <c r="W48" t="e" cm="1">
        <f t="array" aca="1" ref="W48" ca="1">_xll.EQNXTDZ($A$1,$B48,W$1)</f>
        <v>#NAME?</v>
      </c>
      <c r="X48" t="e" cm="1">
        <f t="array" aca="1" ref="X48" ca="1">_xll.EQNXTDZ($A$1,$B48,X$1)</f>
        <v>#NAME?</v>
      </c>
      <c r="Y48" t="e" cm="1">
        <f t="array" aca="1" ref="Y48" ca="1">_xll.EQNXTDZ($A$1,$B48,Y$1)</f>
        <v>#NAME?</v>
      </c>
      <c r="Z48" t="e" cm="1">
        <f t="array" aca="1" ref="Z48" ca="1">_xll.EQNXTDZ($A$1,$B48,Z$1)</f>
        <v>#NAME?</v>
      </c>
      <c r="AA48" t="e" cm="1">
        <f t="array" aca="1" ref="AA48" ca="1">_xll.EQNXTDZ($A$1,$B48,AA$1)</f>
        <v>#NAME?</v>
      </c>
      <c r="AB48" t="e" cm="1">
        <f t="array" aca="1" ref="AB48" ca="1">_xll.EQNXTDZ($A$1,$B48,AB$1)</f>
        <v>#NAME?</v>
      </c>
      <c r="AC48" t="e" cm="1">
        <f t="array" aca="1" ref="AC48" ca="1">_xll.EQNXTDZ($A$1,$B48,AC$1)</f>
        <v>#NAME?</v>
      </c>
      <c r="AD48" t="e" cm="1">
        <f t="array" aca="1" ref="AD48" ca="1">_xll.EQNXTDZ($A$1,$B48,AD$1)</f>
        <v>#NAME?</v>
      </c>
      <c r="AE48" t="e" cm="1">
        <f t="array" aca="1" ref="AE48" ca="1">_xll.EQNXTDZ($A$1,$B48,AE$1)</f>
        <v>#NAME?</v>
      </c>
      <c r="AF48" t="e" cm="1">
        <f t="array" aca="1" ref="AF48" ca="1">_xll.EQNXTDZ($A$1,$B48,AF$1)</f>
        <v>#NAME?</v>
      </c>
    </row>
    <row r="49" spans="1:32" s="110" customFormat="1" x14ac:dyDescent="0.25">
      <c r="A49" s="110" t="s">
        <v>185</v>
      </c>
      <c r="B49" s="110" t="s">
        <v>188</v>
      </c>
      <c r="C49" t="e" cm="1">
        <f t="array" aca="1" ref="C49" ca="1">_xll.EQNXTDZ($A$1,$B49,C$1)</f>
        <v>#NAME?</v>
      </c>
      <c r="D49" t="e" cm="1">
        <f t="array" aca="1" ref="D49" ca="1">_xll.EQNXTDZ($A$1,$B49,D$1)</f>
        <v>#NAME?</v>
      </c>
      <c r="E49" t="e" cm="1">
        <f t="array" aca="1" ref="E49" ca="1">_xll.EQNXTDZ($A$1,$B49,E$1)</f>
        <v>#NAME?</v>
      </c>
      <c r="F49" t="e" cm="1">
        <f t="array" aca="1" ref="F49" ca="1">_xll.EQNXTDZ($A$1,$B49,F$1)</f>
        <v>#NAME?</v>
      </c>
      <c r="G49" t="e" cm="1">
        <f t="array" aca="1" ref="G49" ca="1">_xll.EQNXTDZ($A$1,$B49,G$1)</f>
        <v>#NAME?</v>
      </c>
      <c r="H49" t="e" cm="1">
        <f t="array" aca="1" ref="H49" ca="1">_xll.EQNXTDZ($A$1,$B49,H$1)</f>
        <v>#NAME?</v>
      </c>
      <c r="I49" t="e" cm="1">
        <f t="array" aca="1" ref="I49" ca="1">_xll.EQNXTDZ($A$1,$B49,I$1)</f>
        <v>#NAME?</v>
      </c>
      <c r="J49" t="e" cm="1">
        <f t="array" aca="1" ref="J49" ca="1">_xll.EQNXTDZ($A$1,$B49,J$1)</f>
        <v>#NAME?</v>
      </c>
      <c r="K49" t="e" cm="1">
        <f t="array" aca="1" ref="K49" ca="1">_xll.EQNXTDZ($A$1,$B49,K$1)</f>
        <v>#NAME?</v>
      </c>
      <c r="L49" t="e" cm="1">
        <f t="array" aca="1" ref="L49" ca="1">_xll.EQNXTDZ($A$1,$B49,L$1)</f>
        <v>#NAME?</v>
      </c>
      <c r="M49" t="e" cm="1">
        <f t="array" aca="1" ref="M49" ca="1">_xll.EQNXTDZ($A$1,$B49,M$1)</f>
        <v>#NAME?</v>
      </c>
      <c r="N49" t="e" cm="1">
        <f t="array" aca="1" ref="N49" ca="1">_xll.EQNXTDZ($A$1,$B49,N$1)</f>
        <v>#NAME?</v>
      </c>
      <c r="O49" t="e" cm="1">
        <f t="array" aca="1" ref="O49" ca="1">_xll.EQNXTDZ($A$1,$B49,O$1)</f>
        <v>#NAME?</v>
      </c>
      <c r="P49" t="e" cm="1">
        <f t="array" aca="1" ref="P49" ca="1">_xll.EQNXTDZ($A$1,$B49,P$1)</f>
        <v>#NAME?</v>
      </c>
      <c r="Q49" t="e" cm="1">
        <f t="array" aca="1" ref="Q49" ca="1">_xll.EQNXTDZ($A$1,$B49,Q$1)</f>
        <v>#NAME?</v>
      </c>
      <c r="R49" t="e" cm="1">
        <f t="array" aca="1" ref="R49" ca="1">_xll.EQNXTDZ($A$1,$B49,R$1)</f>
        <v>#NAME?</v>
      </c>
      <c r="S49" t="e" cm="1">
        <f t="array" aca="1" ref="S49" ca="1">_xll.EQNXTDZ($A$1,$B49,S$1)</f>
        <v>#NAME?</v>
      </c>
      <c r="T49" t="e" cm="1">
        <f t="array" aca="1" ref="T49" ca="1">_xll.EQNXTDZ($A$1,$B49,T$1)</f>
        <v>#NAME?</v>
      </c>
      <c r="U49" t="e" cm="1">
        <f t="array" aca="1" ref="U49" ca="1">_xll.EQNXTDZ($A$1,$B49,U$1)</f>
        <v>#NAME?</v>
      </c>
      <c r="V49" t="e" cm="1">
        <f t="array" aca="1" ref="V49" ca="1">_xll.EQNXTDZ($A$1,$B49,V$1)</f>
        <v>#NAME?</v>
      </c>
      <c r="W49" t="e" cm="1">
        <f t="array" aca="1" ref="W49" ca="1">_xll.EQNXTDZ($A$1,$B49,W$1)</f>
        <v>#NAME?</v>
      </c>
      <c r="X49" t="e" cm="1">
        <f t="array" aca="1" ref="X49" ca="1">_xll.EQNXTDZ($A$1,$B49,X$1)</f>
        <v>#NAME?</v>
      </c>
      <c r="Y49" t="e" cm="1">
        <f t="array" aca="1" ref="Y49" ca="1">_xll.EQNXTDZ($A$1,$B49,Y$1)</f>
        <v>#NAME?</v>
      </c>
      <c r="Z49" t="e" cm="1">
        <f t="array" aca="1" ref="Z49" ca="1">_xll.EQNXTDZ($A$1,$B49,Z$1)</f>
        <v>#NAME?</v>
      </c>
      <c r="AA49" t="e" cm="1">
        <f t="array" aca="1" ref="AA49" ca="1">_xll.EQNXTDZ($A$1,$B49,AA$1)</f>
        <v>#NAME?</v>
      </c>
      <c r="AB49" t="e" cm="1">
        <f t="array" aca="1" ref="AB49" ca="1">_xll.EQNXTDZ($A$1,$B49,AB$1)</f>
        <v>#NAME?</v>
      </c>
      <c r="AC49" t="e" cm="1">
        <f t="array" aca="1" ref="AC49" ca="1">_xll.EQNXTDZ($A$1,$B49,AC$1)</f>
        <v>#NAME?</v>
      </c>
      <c r="AD49" t="e" cm="1">
        <f t="array" aca="1" ref="AD49" ca="1">_xll.EQNXTDZ($A$1,$B49,AD$1)</f>
        <v>#NAME?</v>
      </c>
      <c r="AE49" t="e" cm="1">
        <f t="array" aca="1" ref="AE49" ca="1">_xll.EQNXTDZ($A$1,$B49,AE$1)</f>
        <v>#NAME?</v>
      </c>
      <c r="AF49" t="e" cm="1">
        <f t="array" aca="1" ref="AF49" ca="1">_xll.EQNXTDZ($A$1,$B49,AF$1)</f>
        <v>#NAME?</v>
      </c>
    </row>
    <row r="50" spans="1:32" x14ac:dyDescent="0.25">
      <c r="A50" t="s">
        <v>204</v>
      </c>
      <c r="B50" t="s">
        <v>214</v>
      </c>
      <c r="C50" t="e" cm="1">
        <f t="array" aca="1" ref="C50" ca="1">_xll.EQNXTDZ($A$1,$B50,C$1)</f>
        <v>#NAME?</v>
      </c>
      <c r="D50" t="e" cm="1">
        <f t="array" aca="1" ref="D50" ca="1">_xll.EQNXTDZ($A$1,$B50,D$1)</f>
        <v>#NAME?</v>
      </c>
      <c r="E50" t="e" cm="1">
        <f t="array" aca="1" ref="E50" ca="1">_xll.EQNXTDZ($A$1,$B50,E$1)</f>
        <v>#NAME?</v>
      </c>
      <c r="F50" t="e" cm="1">
        <f t="array" aca="1" ref="F50" ca="1">_xll.EQNXTDZ($A$1,$B50,F$1)</f>
        <v>#NAME?</v>
      </c>
      <c r="G50" t="e" cm="1">
        <f t="array" aca="1" ref="G50" ca="1">_xll.EQNXTDZ($A$1,$B50,G$1)</f>
        <v>#NAME?</v>
      </c>
      <c r="H50" t="e" cm="1">
        <f t="array" aca="1" ref="H50" ca="1">_xll.EQNXTDZ($A$1,$B50,H$1)</f>
        <v>#NAME?</v>
      </c>
      <c r="I50" t="e" cm="1">
        <f t="array" aca="1" ref="I50" ca="1">_xll.EQNXTDZ($A$1,$B50,I$1)</f>
        <v>#NAME?</v>
      </c>
      <c r="J50" t="e" cm="1">
        <f t="array" aca="1" ref="J50" ca="1">_xll.EQNXTDZ($A$1,$B50,J$1)</f>
        <v>#NAME?</v>
      </c>
      <c r="K50" t="e" cm="1">
        <f t="array" aca="1" ref="K50" ca="1">_xll.EQNXTDZ($A$1,$B50,K$1)</f>
        <v>#NAME?</v>
      </c>
      <c r="L50" t="e" cm="1">
        <f t="array" aca="1" ref="L50" ca="1">_xll.EQNXTDZ($A$1,$B50,L$1)</f>
        <v>#NAME?</v>
      </c>
      <c r="M50" t="e" cm="1">
        <f t="array" aca="1" ref="M50" ca="1">_xll.EQNXTDZ($A$1,$B50,M$1)</f>
        <v>#NAME?</v>
      </c>
      <c r="N50" t="e" cm="1">
        <f t="array" aca="1" ref="N50" ca="1">_xll.EQNXTDZ($A$1,$B50,N$1)</f>
        <v>#NAME?</v>
      </c>
      <c r="O50" t="e" cm="1">
        <f t="array" aca="1" ref="O50" ca="1">_xll.EQNXTDZ($A$1,$B50,O$1)</f>
        <v>#NAME?</v>
      </c>
      <c r="P50" t="e" cm="1">
        <f t="array" aca="1" ref="P50" ca="1">_xll.EQNXTDZ($A$1,$B50,P$1)</f>
        <v>#NAME?</v>
      </c>
      <c r="Q50" t="e" cm="1">
        <f t="array" aca="1" ref="Q50" ca="1">_xll.EQNXTDZ($A$1,$B50,Q$1)</f>
        <v>#NAME?</v>
      </c>
      <c r="R50" t="e" cm="1">
        <f t="array" aca="1" ref="R50" ca="1">_xll.EQNXTDZ($A$1,$B50,R$1)</f>
        <v>#NAME?</v>
      </c>
      <c r="S50" t="e" cm="1">
        <f t="array" aca="1" ref="S50" ca="1">_xll.EQNXTDZ($A$1,$B50,S$1)</f>
        <v>#NAME?</v>
      </c>
      <c r="T50" t="e" cm="1">
        <f t="array" aca="1" ref="T50" ca="1">_xll.EQNXTDZ($A$1,$B50,T$1)</f>
        <v>#NAME?</v>
      </c>
      <c r="U50" t="e" cm="1">
        <f t="array" aca="1" ref="U50" ca="1">_xll.EQNXTDZ($A$1,$B50,U$1)</f>
        <v>#NAME?</v>
      </c>
      <c r="V50" t="e" cm="1">
        <f t="array" aca="1" ref="V50" ca="1">_xll.EQNXTDZ($A$1,$B50,V$1)</f>
        <v>#NAME?</v>
      </c>
      <c r="W50" t="e" cm="1">
        <f t="array" aca="1" ref="W50" ca="1">_xll.EQNXTDZ($A$1,$B50,W$1)</f>
        <v>#NAME?</v>
      </c>
      <c r="X50" t="e" cm="1">
        <f t="array" aca="1" ref="X50" ca="1">_xll.EQNXTDZ($A$1,$B50,X$1)</f>
        <v>#NAME?</v>
      </c>
      <c r="Y50" t="e" cm="1">
        <f t="array" aca="1" ref="Y50" ca="1">_xll.EQNXTDZ($A$1,$B50,Y$1)</f>
        <v>#NAME?</v>
      </c>
      <c r="Z50" t="e" cm="1">
        <f t="array" aca="1" ref="Z50" ca="1">_xll.EQNXTDZ($A$1,$B50,Z$1)</f>
        <v>#NAME?</v>
      </c>
      <c r="AA50" t="e" cm="1">
        <f t="array" aca="1" ref="AA50" ca="1">_xll.EQNXTDZ($A$1,$B50,AA$1)</f>
        <v>#NAME?</v>
      </c>
      <c r="AB50" t="e" cm="1">
        <f t="array" aca="1" ref="AB50" ca="1">_xll.EQNXTDZ($A$1,$B50,AB$1)</f>
        <v>#NAME?</v>
      </c>
      <c r="AC50" t="e" cm="1">
        <f t="array" aca="1" ref="AC50" ca="1">_xll.EQNXTDZ($A$1,$B50,AC$1)</f>
        <v>#NAME?</v>
      </c>
      <c r="AD50" t="e" cm="1">
        <f t="array" aca="1" ref="AD50" ca="1">_xll.EQNXTDZ($A$1,$B50,AD$1)</f>
        <v>#NAME?</v>
      </c>
      <c r="AE50" t="e" cm="1">
        <f t="array" aca="1" ref="AE50" ca="1">_xll.EQNXTDZ($A$1,$B50,AE$1)</f>
        <v>#NAME?</v>
      </c>
      <c r="AF50" t="e" cm="1">
        <f t="array" aca="1" ref="AF50" ca="1">_xll.EQNXTDZ($A$1,$B50,AF$1)</f>
        <v>#NAME?</v>
      </c>
    </row>
    <row r="51" spans="1:32" x14ac:dyDescent="0.25">
      <c r="A51" t="s">
        <v>192</v>
      </c>
      <c r="B51" t="s">
        <v>196</v>
      </c>
      <c r="C51" t="e" cm="1">
        <f t="array" aca="1" ref="C51" ca="1">_xll.EQNXTDZ($A$1,$B51,C$1)</f>
        <v>#NAME?</v>
      </c>
      <c r="D51" t="e" cm="1">
        <f t="array" aca="1" ref="D51" ca="1">_xll.EQNXTDZ($A$1,$B51,D$1)</f>
        <v>#NAME?</v>
      </c>
      <c r="E51" t="e" cm="1">
        <f t="array" aca="1" ref="E51" ca="1">_xll.EQNXTDZ($A$1,$B51,E$1)</f>
        <v>#NAME?</v>
      </c>
      <c r="F51" t="e" cm="1">
        <f t="array" aca="1" ref="F51" ca="1">_xll.EQNXTDZ($A$1,$B51,F$1)</f>
        <v>#NAME?</v>
      </c>
      <c r="G51" t="e" cm="1">
        <f t="array" aca="1" ref="G51" ca="1">_xll.EQNXTDZ($A$1,$B51,G$1)</f>
        <v>#NAME?</v>
      </c>
      <c r="H51" t="e" cm="1">
        <f t="array" aca="1" ref="H51" ca="1">_xll.EQNXTDZ($A$1,$B51,H$1)</f>
        <v>#NAME?</v>
      </c>
      <c r="I51" t="e" cm="1">
        <f t="array" aca="1" ref="I51" ca="1">_xll.EQNXTDZ($A$1,$B51,I$1)</f>
        <v>#NAME?</v>
      </c>
      <c r="J51" t="e" cm="1">
        <f t="array" aca="1" ref="J51" ca="1">_xll.EQNXTDZ($A$1,$B51,J$1)</f>
        <v>#NAME?</v>
      </c>
      <c r="K51" t="e" cm="1">
        <f t="array" aca="1" ref="K51" ca="1">_xll.EQNXTDZ($A$1,$B51,K$1)</f>
        <v>#NAME?</v>
      </c>
      <c r="L51" t="e" cm="1">
        <f t="array" aca="1" ref="L51" ca="1">_xll.EQNXTDZ($A$1,$B51,L$1)</f>
        <v>#NAME?</v>
      </c>
      <c r="M51" t="e" cm="1">
        <f t="array" aca="1" ref="M51" ca="1">_xll.EQNXTDZ($A$1,$B51,M$1)</f>
        <v>#NAME?</v>
      </c>
      <c r="N51" t="e" cm="1">
        <f t="array" aca="1" ref="N51" ca="1">_xll.EQNXTDZ($A$1,$B51,N$1)</f>
        <v>#NAME?</v>
      </c>
      <c r="O51" t="e" cm="1">
        <f t="array" aca="1" ref="O51" ca="1">_xll.EQNXTDZ($A$1,$B51,O$1)</f>
        <v>#NAME?</v>
      </c>
      <c r="P51" t="e" cm="1">
        <f t="array" aca="1" ref="P51" ca="1">_xll.EQNXTDZ($A$1,$B51,P$1)</f>
        <v>#NAME?</v>
      </c>
      <c r="Q51" t="e" cm="1">
        <f t="array" aca="1" ref="Q51" ca="1">_xll.EQNXTDZ($A$1,$B51,Q$1)</f>
        <v>#NAME?</v>
      </c>
      <c r="R51" t="e" cm="1">
        <f t="array" aca="1" ref="R51" ca="1">_xll.EQNXTDZ($A$1,$B51,R$1)</f>
        <v>#NAME?</v>
      </c>
      <c r="S51" t="e" cm="1">
        <f t="array" aca="1" ref="S51" ca="1">_xll.EQNXTDZ($A$1,$B51,S$1)</f>
        <v>#NAME?</v>
      </c>
      <c r="T51" t="e" cm="1">
        <f t="array" aca="1" ref="T51" ca="1">_xll.EQNXTDZ($A$1,$B51,T$1)</f>
        <v>#NAME?</v>
      </c>
      <c r="U51" t="e" cm="1">
        <f t="array" aca="1" ref="U51" ca="1">_xll.EQNXTDZ($A$1,$B51,U$1)</f>
        <v>#NAME?</v>
      </c>
      <c r="V51" t="e" cm="1">
        <f t="array" aca="1" ref="V51" ca="1">_xll.EQNXTDZ($A$1,$B51,V$1)</f>
        <v>#NAME?</v>
      </c>
      <c r="W51" t="e" cm="1">
        <f t="array" aca="1" ref="W51" ca="1">_xll.EQNXTDZ($A$1,$B51,W$1)</f>
        <v>#NAME?</v>
      </c>
      <c r="X51" t="e" cm="1">
        <f t="array" aca="1" ref="X51" ca="1">_xll.EQNXTDZ($A$1,$B51,X$1)</f>
        <v>#NAME?</v>
      </c>
      <c r="Y51" t="e" cm="1">
        <f t="array" aca="1" ref="Y51" ca="1">_xll.EQNXTDZ($A$1,$B51,Y$1)</f>
        <v>#NAME?</v>
      </c>
      <c r="Z51" t="e" cm="1">
        <f t="array" aca="1" ref="Z51" ca="1">_xll.EQNXTDZ($A$1,$B51,Z$1)</f>
        <v>#NAME?</v>
      </c>
      <c r="AA51" t="e" cm="1">
        <f t="array" aca="1" ref="AA51" ca="1">_xll.EQNXTDZ($A$1,$B51,AA$1)</f>
        <v>#NAME?</v>
      </c>
      <c r="AB51" t="e" cm="1">
        <f t="array" aca="1" ref="AB51" ca="1">_xll.EQNXTDZ($A$1,$B51,AB$1)</f>
        <v>#NAME?</v>
      </c>
      <c r="AC51" t="e" cm="1">
        <f t="array" aca="1" ref="AC51" ca="1">_xll.EQNXTDZ($A$1,$B51,AC$1)</f>
        <v>#NAME?</v>
      </c>
      <c r="AD51" t="e" cm="1">
        <f t="array" aca="1" ref="AD51" ca="1">_xll.EQNXTDZ($A$1,$B51,AD$1)</f>
        <v>#NAME?</v>
      </c>
      <c r="AE51" t="e" cm="1">
        <f t="array" aca="1" ref="AE51" ca="1">_xll.EQNXTDZ($A$1,$B51,AE$1)</f>
        <v>#NAME?</v>
      </c>
      <c r="AF51" t="e" cm="1">
        <f t="array" aca="1" ref="AF51" ca="1">_xll.EQNXTDZ($A$1,$B51,AF$1)</f>
        <v>#NAME?</v>
      </c>
    </row>
    <row r="52" spans="1:32" x14ac:dyDescent="0.25">
      <c r="A52" t="s">
        <v>209</v>
      </c>
      <c r="B52" t="s">
        <v>206</v>
      </c>
      <c r="C52" t="e" cm="1">
        <f t="array" aca="1" ref="C52" ca="1">_xll.EQNXTDZ($A$1,$B52,C$1)</f>
        <v>#NAME?</v>
      </c>
      <c r="D52" t="e" cm="1">
        <f t="array" aca="1" ref="D52" ca="1">_xll.EQNXTDZ($A$1,$B52,D$1)</f>
        <v>#NAME?</v>
      </c>
      <c r="E52" t="e" cm="1">
        <f t="array" aca="1" ref="E52" ca="1">_xll.EQNXTDZ($A$1,$B52,E$1)</f>
        <v>#NAME?</v>
      </c>
      <c r="F52" t="e" cm="1">
        <f t="array" aca="1" ref="F52" ca="1">_xll.EQNXTDZ($A$1,$B52,F$1)</f>
        <v>#NAME?</v>
      </c>
      <c r="G52" t="e" cm="1">
        <f t="array" aca="1" ref="G52" ca="1">_xll.EQNXTDZ($A$1,$B52,G$1)</f>
        <v>#NAME?</v>
      </c>
      <c r="H52" t="e" cm="1">
        <f t="array" aca="1" ref="H52" ca="1">_xll.EQNXTDZ($A$1,$B52,H$1)</f>
        <v>#NAME?</v>
      </c>
      <c r="I52" t="e" cm="1">
        <f t="array" aca="1" ref="I52" ca="1">_xll.EQNXTDZ($A$1,$B52,I$1)</f>
        <v>#NAME?</v>
      </c>
      <c r="J52" t="e" cm="1">
        <f t="array" aca="1" ref="J52" ca="1">_xll.EQNXTDZ($A$1,$B52,J$1)</f>
        <v>#NAME?</v>
      </c>
      <c r="K52" t="e" cm="1">
        <f t="array" aca="1" ref="K52" ca="1">_xll.EQNXTDZ($A$1,$B52,K$1)</f>
        <v>#NAME?</v>
      </c>
      <c r="L52" t="e" cm="1">
        <f t="array" aca="1" ref="L52" ca="1">_xll.EQNXTDZ($A$1,$B52,L$1)</f>
        <v>#NAME?</v>
      </c>
      <c r="M52" t="e" cm="1">
        <f t="array" aca="1" ref="M52" ca="1">_xll.EQNXTDZ($A$1,$B52,M$1)</f>
        <v>#NAME?</v>
      </c>
      <c r="N52" t="e" cm="1">
        <f t="array" aca="1" ref="N52" ca="1">_xll.EQNXTDZ($A$1,$B52,N$1)</f>
        <v>#NAME?</v>
      </c>
      <c r="O52" t="e" cm="1">
        <f t="array" aca="1" ref="O52" ca="1">_xll.EQNXTDZ($A$1,$B52,O$1)</f>
        <v>#NAME?</v>
      </c>
      <c r="P52" t="e" cm="1">
        <f t="array" aca="1" ref="P52" ca="1">_xll.EQNXTDZ($A$1,$B52,P$1)</f>
        <v>#NAME?</v>
      </c>
      <c r="Q52" t="e" cm="1">
        <f t="array" aca="1" ref="Q52" ca="1">_xll.EQNXTDZ($A$1,$B52,Q$1)</f>
        <v>#NAME?</v>
      </c>
      <c r="R52" t="e" cm="1">
        <f t="array" aca="1" ref="R52" ca="1">_xll.EQNXTDZ($A$1,$B52,R$1)</f>
        <v>#NAME?</v>
      </c>
      <c r="S52" t="e" cm="1">
        <f t="array" aca="1" ref="S52" ca="1">_xll.EQNXTDZ($A$1,$B52,S$1)</f>
        <v>#NAME?</v>
      </c>
      <c r="T52" t="e" cm="1">
        <f t="array" aca="1" ref="T52" ca="1">_xll.EQNXTDZ($A$1,$B52,T$1)</f>
        <v>#NAME?</v>
      </c>
      <c r="U52" t="e" cm="1">
        <f t="array" aca="1" ref="U52" ca="1">_xll.EQNXTDZ($A$1,$B52,U$1)</f>
        <v>#NAME?</v>
      </c>
      <c r="V52" t="e" cm="1">
        <f t="array" aca="1" ref="V52" ca="1">_xll.EQNXTDZ($A$1,$B52,V$1)</f>
        <v>#NAME?</v>
      </c>
      <c r="W52" t="e" cm="1">
        <f t="array" aca="1" ref="W52" ca="1">_xll.EQNXTDZ($A$1,$B52,W$1)</f>
        <v>#NAME?</v>
      </c>
      <c r="X52" t="e" cm="1">
        <f t="array" aca="1" ref="X52" ca="1">_xll.EQNXTDZ($A$1,$B52,X$1)</f>
        <v>#NAME?</v>
      </c>
      <c r="Y52" t="e" cm="1">
        <f t="array" aca="1" ref="Y52" ca="1">_xll.EQNXTDZ($A$1,$B52,Y$1)</f>
        <v>#NAME?</v>
      </c>
      <c r="Z52" t="e" cm="1">
        <f t="array" aca="1" ref="Z52" ca="1">_xll.EQNXTDZ($A$1,$B52,Z$1)</f>
        <v>#NAME?</v>
      </c>
      <c r="AA52" t="e" cm="1">
        <f t="array" aca="1" ref="AA52" ca="1">_xll.EQNXTDZ($A$1,$B52,AA$1)</f>
        <v>#NAME?</v>
      </c>
      <c r="AB52" t="e" cm="1">
        <f t="array" aca="1" ref="AB52" ca="1">_xll.EQNXTDZ($A$1,$B52,AB$1)</f>
        <v>#NAME?</v>
      </c>
      <c r="AC52" t="e" cm="1">
        <f t="array" aca="1" ref="AC52" ca="1">_xll.EQNXTDZ($A$1,$B52,AC$1)</f>
        <v>#NAME?</v>
      </c>
      <c r="AD52" t="e" cm="1">
        <f t="array" aca="1" ref="AD52" ca="1">_xll.EQNXTDZ($A$1,$B52,AD$1)</f>
        <v>#NAME?</v>
      </c>
      <c r="AE52" t="e" cm="1">
        <f t="array" aca="1" ref="AE52" ca="1">_xll.EQNXTDZ($A$1,$B52,AE$1)</f>
        <v>#NAME?</v>
      </c>
      <c r="AF52" t="e" cm="1">
        <f t="array" aca="1" ref="AF52" ca="1">_xll.EQNXTDZ($A$1,$B52,AF$1)</f>
        <v>#NAME?</v>
      </c>
    </row>
    <row r="53" spans="1:32" x14ac:dyDescent="0.25">
      <c r="A53" t="s">
        <v>210</v>
      </c>
      <c r="B53" t="s">
        <v>207</v>
      </c>
      <c r="C53" t="e" cm="1">
        <f t="array" aca="1" ref="C53" ca="1">_xll.EQNXTDZ($A$1,$B53,C$1)</f>
        <v>#NAME?</v>
      </c>
      <c r="D53" t="e" cm="1">
        <f t="array" aca="1" ref="D53" ca="1">_xll.EQNXTDZ($A$1,$B53,D$1)</f>
        <v>#NAME?</v>
      </c>
      <c r="E53" t="e" cm="1">
        <f t="array" aca="1" ref="E53" ca="1">_xll.EQNXTDZ($A$1,$B53,E$1)</f>
        <v>#NAME?</v>
      </c>
      <c r="F53" t="e" cm="1">
        <f t="array" aca="1" ref="F53" ca="1">_xll.EQNXTDZ($A$1,$B53,F$1)</f>
        <v>#NAME?</v>
      </c>
      <c r="G53" t="e" cm="1">
        <f t="array" aca="1" ref="G53" ca="1">_xll.EQNXTDZ($A$1,$B53,G$1)</f>
        <v>#NAME?</v>
      </c>
      <c r="H53" t="e" cm="1">
        <f t="array" aca="1" ref="H53" ca="1">_xll.EQNXTDZ($A$1,$B53,H$1)</f>
        <v>#NAME?</v>
      </c>
      <c r="I53" t="e" cm="1">
        <f t="array" aca="1" ref="I53" ca="1">_xll.EQNXTDZ($A$1,$B53,I$1)</f>
        <v>#NAME?</v>
      </c>
      <c r="J53" t="e" cm="1">
        <f t="array" aca="1" ref="J53" ca="1">_xll.EQNXTDZ($A$1,$B53,J$1)</f>
        <v>#NAME?</v>
      </c>
      <c r="K53" t="e" cm="1">
        <f t="array" aca="1" ref="K53" ca="1">_xll.EQNXTDZ($A$1,$B53,K$1)</f>
        <v>#NAME?</v>
      </c>
      <c r="L53" t="e" cm="1">
        <f t="array" aca="1" ref="L53" ca="1">_xll.EQNXTDZ($A$1,$B53,L$1)</f>
        <v>#NAME?</v>
      </c>
      <c r="M53" t="e" cm="1">
        <f t="array" aca="1" ref="M53" ca="1">_xll.EQNXTDZ($A$1,$B53,M$1)</f>
        <v>#NAME?</v>
      </c>
      <c r="N53" t="e" cm="1">
        <f t="array" aca="1" ref="N53" ca="1">_xll.EQNXTDZ($A$1,$B53,N$1)</f>
        <v>#NAME?</v>
      </c>
      <c r="O53" t="e" cm="1">
        <f t="array" aca="1" ref="O53" ca="1">_xll.EQNXTDZ($A$1,$B53,O$1)</f>
        <v>#NAME?</v>
      </c>
      <c r="P53" t="e" cm="1">
        <f t="array" aca="1" ref="P53" ca="1">_xll.EQNXTDZ($A$1,$B53,P$1)</f>
        <v>#NAME?</v>
      </c>
      <c r="Q53" t="e" cm="1">
        <f t="array" aca="1" ref="Q53" ca="1">_xll.EQNXTDZ($A$1,$B53,Q$1)</f>
        <v>#NAME?</v>
      </c>
      <c r="R53" t="e" cm="1">
        <f t="array" aca="1" ref="R53" ca="1">_xll.EQNXTDZ($A$1,$B53,R$1)</f>
        <v>#NAME?</v>
      </c>
      <c r="S53" t="e" cm="1">
        <f t="array" aca="1" ref="S53" ca="1">_xll.EQNXTDZ($A$1,$B53,S$1)</f>
        <v>#NAME?</v>
      </c>
      <c r="T53" t="e" cm="1">
        <f t="array" aca="1" ref="T53" ca="1">_xll.EQNXTDZ($A$1,$B53,T$1)</f>
        <v>#NAME?</v>
      </c>
      <c r="U53" t="e" cm="1">
        <f t="array" aca="1" ref="U53" ca="1">_xll.EQNXTDZ($A$1,$B53,U$1)</f>
        <v>#NAME?</v>
      </c>
      <c r="V53" t="e" cm="1">
        <f t="array" aca="1" ref="V53" ca="1">_xll.EQNXTDZ($A$1,$B53,V$1)</f>
        <v>#NAME?</v>
      </c>
      <c r="W53" t="e" cm="1">
        <f t="array" aca="1" ref="W53" ca="1">_xll.EQNXTDZ($A$1,$B53,W$1)</f>
        <v>#NAME?</v>
      </c>
      <c r="X53" t="e" cm="1">
        <f t="array" aca="1" ref="X53" ca="1">_xll.EQNXTDZ($A$1,$B53,X$1)</f>
        <v>#NAME?</v>
      </c>
      <c r="Y53" t="e" cm="1">
        <f t="array" aca="1" ref="Y53" ca="1">_xll.EQNXTDZ($A$1,$B53,Y$1)</f>
        <v>#NAME?</v>
      </c>
      <c r="Z53" t="e" cm="1">
        <f t="array" aca="1" ref="Z53" ca="1">_xll.EQNXTDZ($A$1,$B53,Z$1)</f>
        <v>#NAME?</v>
      </c>
      <c r="AA53" t="e" cm="1">
        <f t="array" aca="1" ref="AA53" ca="1">_xll.EQNXTDZ($A$1,$B53,AA$1)</f>
        <v>#NAME?</v>
      </c>
      <c r="AB53" t="e" cm="1">
        <f t="array" aca="1" ref="AB53" ca="1">_xll.EQNXTDZ($A$1,$B53,AB$1)</f>
        <v>#NAME?</v>
      </c>
      <c r="AC53" t="e" cm="1">
        <f t="array" aca="1" ref="AC53" ca="1">_xll.EQNXTDZ($A$1,$B53,AC$1)</f>
        <v>#NAME?</v>
      </c>
      <c r="AD53" t="e" cm="1">
        <f t="array" aca="1" ref="AD53" ca="1">_xll.EQNXTDZ($A$1,$B53,AD$1)</f>
        <v>#NAME?</v>
      </c>
      <c r="AE53" t="e" cm="1">
        <f t="array" aca="1" ref="AE53" ca="1">_xll.EQNXTDZ($A$1,$B53,AE$1)</f>
        <v>#NAME?</v>
      </c>
      <c r="AF53" t="e" cm="1">
        <f t="array" aca="1" ref="AF53" ca="1">_xll.EQNXTDZ($A$1,$B53,AF$1)</f>
        <v>#NAME?</v>
      </c>
    </row>
    <row r="54" spans="1:32" x14ac:dyDescent="0.25">
      <c r="A54" t="s">
        <v>205</v>
      </c>
      <c r="B54" t="s">
        <v>208</v>
      </c>
      <c r="C54" t="e" cm="1">
        <f t="array" aca="1" ref="C54" ca="1">_xll.EQNXTDZ($A$1,$B54,C$1)</f>
        <v>#NAME?</v>
      </c>
      <c r="D54" t="e" cm="1">
        <f t="array" aca="1" ref="D54" ca="1">_xll.EQNXTDZ($A$1,$B54,D$1)</f>
        <v>#NAME?</v>
      </c>
      <c r="E54" t="e" cm="1">
        <f t="array" aca="1" ref="E54" ca="1">_xll.EQNXTDZ($A$1,$B54,E$1)</f>
        <v>#NAME?</v>
      </c>
      <c r="F54" t="e" cm="1">
        <f t="array" aca="1" ref="F54" ca="1">_xll.EQNXTDZ($A$1,$B54,F$1)</f>
        <v>#NAME?</v>
      </c>
      <c r="G54" t="e" cm="1">
        <f t="array" aca="1" ref="G54" ca="1">_xll.EQNXTDZ($A$1,$B54,G$1)</f>
        <v>#NAME?</v>
      </c>
      <c r="H54" t="e" cm="1">
        <f t="array" aca="1" ref="H54" ca="1">_xll.EQNXTDZ($A$1,$B54,H$1)</f>
        <v>#NAME?</v>
      </c>
      <c r="I54" t="e" cm="1">
        <f t="array" aca="1" ref="I54" ca="1">_xll.EQNXTDZ($A$1,$B54,I$1)</f>
        <v>#NAME?</v>
      </c>
      <c r="J54" t="e" cm="1">
        <f t="array" aca="1" ref="J54" ca="1">_xll.EQNXTDZ($A$1,$B54,J$1)</f>
        <v>#NAME?</v>
      </c>
      <c r="K54" t="e" cm="1">
        <f t="array" aca="1" ref="K54" ca="1">_xll.EQNXTDZ($A$1,$B54,K$1)</f>
        <v>#NAME?</v>
      </c>
      <c r="L54" t="e" cm="1">
        <f t="array" aca="1" ref="L54" ca="1">_xll.EQNXTDZ($A$1,$B54,L$1)</f>
        <v>#NAME?</v>
      </c>
      <c r="M54" t="e" cm="1">
        <f t="array" aca="1" ref="M54" ca="1">_xll.EQNXTDZ($A$1,$B54,M$1)</f>
        <v>#NAME?</v>
      </c>
      <c r="N54" t="e" cm="1">
        <f t="array" aca="1" ref="N54" ca="1">_xll.EQNXTDZ($A$1,$B54,N$1)</f>
        <v>#NAME?</v>
      </c>
      <c r="O54" t="e" cm="1">
        <f t="array" aca="1" ref="O54" ca="1">_xll.EQNXTDZ($A$1,$B54,O$1)</f>
        <v>#NAME?</v>
      </c>
      <c r="P54" t="e" cm="1">
        <f t="array" aca="1" ref="P54" ca="1">_xll.EQNXTDZ($A$1,$B54,P$1)</f>
        <v>#NAME?</v>
      </c>
      <c r="Q54" t="e" cm="1">
        <f t="array" aca="1" ref="Q54" ca="1">_xll.EQNXTDZ($A$1,$B54,Q$1)</f>
        <v>#NAME?</v>
      </c>
      <c r="R54" t="e" cm="1">
        <f t="array" aca="1" ref="R54" ca="1">_xll.EQNXTDZ($A$1,$B54,R$1)</f>
        <v>#NAME?</v>
      </c>
      <c r="S54" t="e" cm="1">
        <f t="array" aca="1" ref="S54" ca="1">_xll.EQNXTDZ($A$1,$B54,S$1)</f>
        <v>#NAME?</v>
      </c>
      <c r="T54" t="e" cm="1">
        <f t="array" aca="1" ref="T54" ca="1">_xll.EQNXTDZ($A$1,$B54,T$1)</f>
        <v>#NAME?</v>
      </c>
      <c r="U54" t="e" cm="1">
        <f t="array" aca="1" ref="U54" ca="1">_xll.EQNXTDZ($A$1,$B54,U$1)</f>
        <v>#NAME?</v>
      </c>
      <c r="V54" t="e" cm="1">
        <f t="array" aca="1" ref="V54" ca="1">_xll.EQNXTDZ($A$1,$B54,V$1)</f>
        <v>#NAME?</v>
      </c>
      <c r="W54" t="e" cm="1">
        <f t="array" aca="1" ref="W54" ca="1">_xll.EQNXTDZ($A$1,$B54,W$1)</f>
        <v>#NAME?</v>
      </c>
      <c r="X54" t="e" cm="1">
        <f t="array" aca="1" ref="X54" ca="1">_xll.EQNXTDZ($A$1,$B54,X$1)</f>
        <v>#NAME?</v>
      </c>
      <c r="Y54" t="e" cm="1">
        <f t="array" aca="1" ref="Y54" ca="1">_xll.EQNXTDZ($A$1,$B54,Y$1)</f>
        <v>#NAME?</v>
      </c>
      <c r="Z54" t="e" cm="1">
        <f t="array" aca="1" ref="Z54" ca="1">_xll.EQNXTDZ($A$1,$B54,Z$1)</f>
        <v>#NAME?</v>
      </c>
      <c r="AA54" t="e" cm="1">
        <f t="array" aca="1" ref="AA54" ca="1">_xll.EQNXTDZ($A$1,$B54,AA$1)</f>
        <v>#NAME?</v>
      </c>
      <c r="AB54" t="e" cm="1">
        <f t="array" aca="1" ref="AB54" ca="1">_xll.EQNXTDZ($A$1,$B54,AB$1)</f>
        <v>#NAME?</v>
      </c>
      <c r="AC54" t="e" cm="1">
        <f t="array" aca="1" ref="AC54" ca="1">_xll.EQNXTDZ($A$1,$B54,AC$1)</f>
        <v>#NAME?</v>
      </c>
      <c r="AD54" t="e" cm="1">
        <f t="array" aca="1" ref="AD54" ca="1">_xll.EQNXTDZ($A$1,$B54,AD$1)</f>
        <v>#NAME?</v>
      </c>
      <c r="AE54" t="e" cm="1">
        <f t="array" aca="1" ref="AE54" ca="1">_xll.EQNXTDZ($A$1,$B54,AE$1)</f>
        <v>#NAME?</v>
      </c>
      <c r="AF54" t="e" cm="1">
        <f t="array" aca="1" ref="AF54" ca="1">_xll.EQNXTDZ($A$1,$B54,AF$1)</f>
        <v>#NAME?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t="e" cm="1">
        <f t="array" aca="1" ref="C59" ca="1">_xll.EQNXTDZ($A$1,$B59,C$1)</f>
        <v>#NAME?</v>
      </c>
      <c r="D59" t="e" cm="1">
        <f t="array" aca="1" ref="D59" ca="1">_xll.EQNXTDZ($A$1,$B59,D$1)</f>
        <v>#NAME?</v>
      </c>
      <c r="E59" t="e" cm="1">
        <f t="array" aca="1" ref="E59" ca="1">_xll.EQNXTDZ($A$1,$B59,E$1)</f>
        <v>#NAME?</v>
      </c>
      <c r="F59" t="e" cm="1">
        <f t="array" aca="1" ref="F59" ca="1">_xll.EQNXTDZ($A$1,$B59,F$1)</f>
        <v>#NAME?</v>
      </c>
      <c r="G59" t="e" cm="1">
        <f t="array" aca="1" ref="G59" ca="1">_xll.EQNXTDZ($A$1,$B59,G$1)</f>
        <v>#NAME?</v>
      </c>
      <c r="H59" t="e" cm="1">
        <f t="array" aca="1" ref="H59" ca="1">_xll.EQNXTDZ($A$1,$B59,H$1)</f>
        <v>#NAME?</v>
      </c>
      <c r="I59" t="e" cm="1">
        <f t="array" aca="1" ref="I59" ca="1">_xll.EQNXTDZ($A$1,$B59,I$1)</f>
        <v>#NAME?</v>
      </c>
      <c r="J59" t="e" cm="1">
        <f t="array" aca="1" ref="J59" ca="1">_xll.EQNXTDZ($A$1,$B59,J$1)</f>
        <v>#NAME?</v>
      </c>
      <c r="K59" t="e" cm="1">
        <f t="array" aca="1" ref="K59" ca="1">_xll.EQNXTDZ($A$1,$B59,K$1)</f>
        <v>#NAME?</v>
      </c>
      <c r="L59" t="e" cm="1">
        <f t="array" aca="1" ref="L59" ca="1">_xll.EQNXTDZ($A$1,$B59,L$1)</f>
        <v>#NAME?</v>
      </c>
      <c r="M59" t="e" cm="1">
        <f t="array" aca="1" ref="M59" ca="1">_xll.EQNXTDZ($A$1,$B59,M$1)</f>
        <v>#NAME?</v>
      </c>
      <c r="N59" t="e" cm="1">
        <f t="array" aca="1" ref="N59" ca="1">_xll.EQNXTDZ($A$1,$B59,N$1)</f>
        <v>#NAME?</v>
      </c>
      <c r="O59" t="e" cm="1">
        <f t="array" aca="1" ref="O59" ca="1">_xll.EQNXTDZ($A$1,$B59,O$1)</f>
        <v>#NAME?</v>
      </c>
      <c r="P59" t="e" cm="1">
        <f t="array" aca="1" ref="P59" ca="1">_xll.EQNXTDZ($A$1,$B59,P$1)</f>
        <v>#NAME?</v>
      </c>
      <c r="Q59" t="e" cm="1">
        <f t="array" aca="1" ref="Q59" ca="1">_xll.EQNXTDZ($A$1,$B59,Q$1)</f>
        <v>#NAME?</v>
      </c>
      <c r="R59" t="e" cm="1">
        <f t="array" aca="1" ref="R59" ca="1">_xll.EQNXTDZ($A$1,$B59,R$1)</f>
        <v>#NAME?</v>
      </c>
      <c r="S59" t="e" cm="1">
        <f t="array" aca="1" ref="S59" ca="1">_xll.EQNXTDZ($A$1,$B59,S$1)</f>
        <v>#NAME?</v>
      </c>
      <c r="T59" t="e" cm="1">
        <f t="array" aca="1" ref="T59" ca="1">_xll.EQNXTDZ($A$1,$B59,T$1)</f>
        <v>#NAME?</v>
      </c>
      <c r="U59" t="e" cm="1">
        <f t="array" aca="1" ref="U59" ca="1">_xll.EQNXTDZ($A$1,$B59,U$1)</f>
        <v>#NAME?</v>
      </c>
      <c r="V59" t="e" cm="1">
        <f t="array" aca="1" ref="V59" ca="1">_xll.EQNXTDZ($A$1,$B59,V$1)</f>
        <v>#NAME?</v>
      </c>
      <c r="W59" t="e" cm="1">
        <f t="array" aca="1" ref="W59" ca="1">_xll.EQNXTDZ($A$1,$B59,W$1)</f>
        <v>#NAME?</v>
      </c>
      <c r="X59" t="e" cm="1">
        <f t="array" aca="1" ref="X59" ca="1">_xll.EQNXTDZ($A$1,$B59,X$1)</f>
        <v>#NAME?</v>
      </c>
      <c r="Y59" t="e" cm="1">
        <f t="array" aca="1" ref="Y59" ca="1">_xll.EQNXTDZ($A$1,$B59,Y$1)</f>
        <v>#NAME?</v>
      </c>
      <c r="Z59" t="e" cm="1">
        <f t="array" aca="1" ref="Z59" ca="1">_xll.EQNXTDZ($A$1,$B59,Z$1)</f>
        <v>#NAME?</v>
      </c>
      <c r="AA59" t="e" cm="1">
        <f t="array" aca="1" ref="AA59" ca="1">_xll.EQNXTDZ($A$1,$B59,AA$1)</f>
        <v>#NAME?</v>
      </c>
      <c r="AB59" t="e" cm="1">
        <f t="array" aca="1" ref="AB59" ca="1">_xll.EQNXTDZ($A$1,$B59,AB$1)</f>
        <v>#NAME?</v>
      </c>
      <c r="AC59" t="e" cm="1">
        <f t="array" aca="1" ref="AC59" ca="1">_xll.EQNXTDZ($A$1,$B59,AC$1)</f>
        <v>#NAME?</v>
      </c>
      <c r="AD59" t="e" cm="1">
        <f t="array" aca="1" ref="AD59" ca="1">_xll.EQNXTDZ($A$1,$B59,AD$1)</f>
        <v>#NAME?</v>
      </c>
      <c r="AE59" t="e" cm="1">
        <f t="array" aca="1" ref="AE59" ca="1">_xll.EQNXTDZ($A$1,$B59,AE$1)</f>
        <v>#NAME?</v>
      </c>
      <c r="AF59" t="e" cm="1">
        <f t="array" aca="1" ref="AF59" ca="1">_xll.EQNXTDZ($A$1,$B59,AF$1)</f>
        <v>#NAME?</v>
      </c>
    </row>
    <row r="60" spans="1:32" x14ac:dyDescent="0.25">
      <c r="A60" t="s">
        <v>125</v>
      </c>
      <c r="B60" t="s">
        <v>144</v>
      </c>
      <c r="C60" t="e" cm="1">
        <f t="array" aca="1" ref="C60" ca="1">_xll.EQNXTDZ($A$1,$B60,C$1)</f>
        <v>#NAME?</v>
      </c>
      <c r="D60" t="e" cm="1">
        <f t="array" aca="1" ref="D60" ca="1">_xll.EQNXTDZ($A$1,$B60,D$1)</f>
        <v>#NAME?</v>
      </c>
      <c r="E60" t="e" cm="1">
        <f t="array" aca="1" ref="E60" ca="1">_xll.EQNXTDZ($A$1,$B60,E$1)</f>
        <v>#NAME?</v>
      </c>
      <c r="F60" t="e" cm="1">
        <f t="array" aca="1" ref="F60" ca="1">_xll.EQNXTDZ($A$1,$B60,F$1)</f>
        <v>#NAME?</v>
      </c>
      <c r="G60" t="e" cm="1">
        <f t="array" aca="1" ref="G60" ca="1">_xll.EQNXTDZ($A$1,$B60,G$1)</f>
        <v>#NAME?</v>
      </c>
      <c r="H60" t="e" cm="1">
        <f t="array" aca="1" ref="H60" ca="1">_xll.EQNXTDZ($A$1,$B60,H$1)</f>
        <v>#NAME?</v>
      </c>
      <c r="I60" t="e" cm="1">
        <f t="array" aca="1" ref="I60" ca="1">_xll.EQNXTDZ($A$1,$B60,I$1)</f>
        <v>#NAME?</v>
      </c>
      <c r="J60" t="e" cm="1">
        <f t="array" aca="1" ref="J60" ca="1">_xll.EQNXTDZ($A$1,$B60,J$1)</f>
        <v>#NAME?</v>
      </c>
      <c r="K60" t="e" cm="1">
        <f t="array" aca="1" ref="K60" ca="1">_xll.EQNXTDZ($A$1,$B60,K$1)</f>
        <v>#NAME?</v>
      </c>
      <c r="L60" t="e" cm="1">
        <f t="array" aca="1" ref="L60" ca="1">_xll.EQNXTDZ($A$1,$B60,L$1)</f>
        <v>#NAME?</v>
      </c>
      <c r="M60" t="e" cm="1">
        <f t="array" aca="1" ref="M60" ca="1">_xll.EQNXTDZ($A$1,$B60,M$1)</f>
        <v>#NAME?</v>
      </c>
      <c r="N60" t="e" cm="1">
        <f t="array" aca="1" ref="N60" ca="1">_xll.EQNXTDZ($A$1,$B60,N$1)</f>
        <v>#NAME?</v>
      </c>
      <c r="O60" t="e" cm="1">
        <f t="array" aca="1" ref="O60" ca="1">_xll.EQNXTDZ($A$1,$B60,O$1)</f>
        <v>#NAME?</v>
      </c>
      <c r="P60" t="e" cm="1">
        <f t="array" aca="1" ref="P60" ca="1">_xll.EQNXTDZ($A$1,$B60,P$1)</f>
        <v>#NAME?</v>
      </c>
      <c r="Q60" t="e" cm="1">
        <f t="array" aca="1" ref="Q60" ca="1">_xll.EQNXTDZ($A$1,$B60,Q$1)</f>
        <v>#NAME?</v>
      </c>
      <c r="R60" t="e" cm="1">
        <f t="array" aca="1" ref="R60" ca="1">_xll.EQNXTDZ($A$1,$B60,R$1)</f>
        <v>#NAME?</v>
      </c>
      <c r="S60" t="e" cm="1">
        <f t="array" aca="1" ref="S60" ca="1">_xll.EQNXTDZ($A$1,$B60,S$1)</f>
        <v>#NAME?</v>
      </c>
      <c r="T60" t="e" cm="1">
        <f t="array" aca="1" ref="T60" ca="1">_xll.EQNXTDZ($A$1,$B60,T$1)</f>
        <v>#NAME?</v>
      </c>
      <c r="U60" t="e" cm="1">
        <f t="array" aca="1" ref="U60" ca="1">_xll.EQNXTDZ($A$1,$B60,U$1)</f>
        <v>#NAME?</v>
      </c>
      <c r="V60" t="e" cm="1">
        <f t="array" aca="1" ref="V60" ca="1">_xll.EQNXTDZ($A$1,$B60,V$1)</f>
        <v>#NAME?</v>
      </c>
      <c r="W60" t="e" cm="1">
        <f t="array" aca="1" ref="W60" ca="1">_xll.EQNXTDZ($A$1,$B60,W$1)</f>
        <v>#NAME?</v>
      </c>
      <c r="X60" t="e" cm="1">
        <f t="array" aca="1" ref="X60" ca="1">_xll.EQNXTDZ($A$1,$B60,X$1)</f>
        <v>#NAME?</v>
      </c>
      <c r="Y60" t="e" cm="1">
        <f t="array" aca="1" ref="Y60" ca="1">_xll.EQNXTDZ($A$1,$B60,Y$1)</f>
        <v>#NAME?</v>
      </c>
      <c r="Z60" t="e" cm="1">
        <f t="array" aca="1" ref="Z60" ca="1">_xll.EQNXTDZ($A$1,$B60,Z$1)</f>
        <v>#NAME?</v>
      </c>
      <c r="AA60" t="e" cm="1">
        <f t="array" aca="1" ref="AA60" ca="1">_xll.EQNXTDZ($A$1,$B60,AA$1)</f>
        <v>#NAME?</v>
      </c>
      <c r="AB60" t="e" cm="1">
        <f t="array" aca="1" ref="AB60" ca="1">_xll.EQNXTDZ($A$1,$B60,AB$1)</f>
        <v>#NAME?</v>
      </c>
      <c r="AC60" t="e" cm="1">
        <f t="array" aca="1" ref="AC60" ca="1">_xll.EQNXTDZ($A$1,$B60,AC$1)</f>
        <v>#NAME?</v>
      </c>
      <c r="AD60" t="e" cm="1">
        <f t="array" aca="1" ref="AD60" ca="1">_xll.EQNXTDZ($A$1,$B60,AD$1)</f>
        <v>#NAME?</v>
      </c>
      <c r="AE60" t="e" cm="1">
        <f t="array" aca="1" ref="AE60" ca="1">_xll.EQNXTDZ($A$1,$B60,AE$1)</f>
        <v>#NAME?</v>
      </c>
      <c r="AF60" t="e" cm="1">
        <f t="array" aca="1" ref="AF60" ca="1">_xll.EQNXTDZ($A$1,$B60,AF$1)</f>
        <v>#NAME?</v>
      </c>
    </row>
    <row r="61" spans="1:32" x14ac:dyDescent="0.25">
      <c r="A61" t="s">
        <v>59</v>
      </c>
      <c r="B61" t="s">
        <v>145</v>
      </c>
      <c r="C61" t="e" cm="1">
        <f t="array" aca="1" ref="C61" ca="1">_xll.EQNXTDZ($A$1,$B61,C$1)</f>
        <v>#NAME?</v>
      </c>
      <c r="D61" t="e" cm="1">
        <f t="array" aca="1" ref="D61" ca="1">_xll.EQNXTDZ($A$1,$B61,D$1)</f>
        <v>#NAME?</v>
      </c>
      <c r="E61" t="e" cm="1">
        <f t="array" aca="1" ref="E61" ca="1">_xll.EQNXTDZ($A$1,$B61,E$1)</f>
        <v>#NAME?</v>
      </c>
      <c r="F61" t="e" cm="1">
        <f t="array" aca="1" ref="F61" ca="1">_xll.EQNXTDZ($A$1,$B61,F$1)</f>
        <v>#NAME?</v>
      </c>
      <c r="G61" t="e" cm="1">
        <f t="array" aca="1" ref="G61" ca="1">_xll.EQNXTDZ($A$1,$B61,G$1)</f>
        <v>#NAME?</v>
      </c>
      <c r="H61" t="e" cm="1">
        <f t="array" aca="1" ref="H61" ca="1">_xll.EQNXTDZ($A$1,$B61,H$1)</f>
        <v>#NAME?</v>
      </c>
      <c r="I61" t="e" cm="1">
        <f t="array" aca="1" ref="I61" ca="1">_xll.EQNXTDZ($A$1,$B61,I$1)</f>
        <v>#NAME?</v>
      </c>
      <c r="J61" t="e" cm="1">
        <f t="array" aca="1" ref="J61" ca="1">_xll.EQNXTDZ($A$1,$B61,J$1)</f>
        <v>#NAME?</v>
      </c>
      <c r="K61" t="e" cm="1">
        <f t="array" aca="1" ref="K61" ca="1">_xll.EQNXTDZ($A$1,$B61,K$1)</f>
        <v>#NAME?</v>
      </c>
      <c r="L61" t="e" cm="1">
        <f t="array" aca="1" ref="L61" ca="1">_xll.EQNXTDZ($A$1,$B61,L$1)</f>
        <v>#NAME?</v>
      </c>
      <c r="M61" t="e" cm="1">
        <f t="array" aca="1" ref="M61" ca="1">_xll.EQNXTDZ($A$1,$B61,M$1)</f>
        <v>#NAME?</v>
      </c>
      <c r="N61" t="e" cm="1">
        <f t="array" aca="1" ref="N61" ca="1">_xll.EQNXTDZ($A$1,$B61,N$1)</f>
        <v>#NAME?</v>
      </c>
      <c r="O61" t="e" cm="1">
        <f t="array" aca="1" ref="O61" ca="1">_xll.EQNXTDZ($A$1,$B61,O$1)</f>
        <v>#NAME?</v>
      </c>
      <c r="P61" t="e" cm="1">
        <f t="array" aca="1" ref="P61" ca="1">_xll.EQNXTDZ($A$1,$B61,P$1)</f>
        <v>#NAME?</v>
      </c>
      <c r="Q61" t="e" cm="1">
        <f t="array" aca="1" ref="Q61" ca="1">_xll.EQNXTDZ($A$1,$B61,Q$1)</f>
        <v>#NAME?</v>
      </c>
      <c r="R61" t="e" cm="1">
        <f t="array" aca="1" ref="R61" ca="1">_xll.EQNXTDZ($A$1,$B61,R$1)</f>
        <v>#NAME?</v>
      </c>
      <c r="S61" t="e" cm="1">
        <f t="array" aca="1" ref="S61" ca="1">_xll.EQNXTDZ($A$1,$B61,S$1)</f>
        <v>#NAME?</v>
      </c>
      <c r="T61" t="e" cm="1">
        <f t="array" aca="1" ref="T61" ca="1">_xll.EQNXTDZ($A$1,$B61,T$1)</f>
        <v>#NAME?</v>
      </c>
      <c r="U61" t="e" cm="1">
        <f t="array" aca="1" ref="U61" ca="1">_xll.EQNXTDZ($A$1,$B61,U$1)</f>
        <v>#NAME?</v>
      </c>
      <c r="V61" t="e" cm="1">
        <f t="array" aca="1" ref="V61" ca="1">_xll.EQNXTDZ($A$1,$B61,V$1)</f>
        <v>#NAME?</v>
      </c>
      <c r="W61" t="e" cm="1">
        <f t="array" aca="1" ref="W61" ca="1">_xll.EQNXTDZ($A$1,$B61,W$1)</f>
        <v>#NAME?</v>
      </c>
      <c r="X61" t="e" cm="1">
        <f t="array" aca="1" ref="X61" ca="1">_xll.EQNXTDZ($A$1,$B61,X$1)</f>
        <v>#NAME?</v>
      </c>
      <c r="Y61" t="e" cm="1">
        <f t="array" aca="1" ref="Y61" ca="1">_xll.EQNXTDZ($A$1,$B61,Y$1)</f>
        <v>#NAME?</v>
      </c>
      <c r="Z61" t="e" cm="1">
        <f t="array" aca="1" ref="Z61" ca="1">_xll.EQNXTDZ($A$1,$B61,Z$1)</f>
        <v>#NAME?</v>
      </c>
      <c r="AA61" t="e" cm="1">
        <f t="array" aca="1" ref="AA61" ca="1">_xll.EQNXTDZ($A$1,$B61,AA$1)</f>
        <v>#NAME?</v>
      </c>
      <c r="AB61" t="e" cm="1">
        <f t="array" aca="1" ref="AB61" ca="1">_xll.EQNXTDZ($A$1,$B61,AB$1)</f>
        <v>#NAME?</v>
      </c>
      <c r="AC61" t="e" cm="1">
        <f t="array" aca="1" ref="AC61" ca="1">_xll.EQNXTDZ($A$1,$B61,AC$1)</f>
        <v>#NAME?</v>
      </c>
      <c r="AD61" t="e" cm="1">
        <f t="array" aca="1" ref="AD61" ca="1">_xll.EQNXTDZ($A$1,$B61,AD$1)</f>
        <v>#NAME?</v>
      </c>
      <c r="AE61" t="e" cm="1">
        <f t="array" aca="1" ref="AE61" ca="1">_xll.EQNXTDZ($A$1,$B61,AE$1)</f>
        <v>#NAME?</v>
      </c>
      <c r="AF61" t="e" cm="1">
        <f t="array" aca="1" ref="AF61" ca="1">_xll.EQNXTDZ($A$1,$B61,AF$1)</f>
        <v>#NAME?</v>
      </c>
    </row>
    <row r="62" spans="1:32" x14ac:dyDescent="0.25">
      <c r="A62" t="s">
        <v>58</v>
      </c>
      <c r="B62" t="s">
        <v>146</v>
      </c>
      <c r="C62" t="e" cm="1">
        <f t="array" aca="1" ref="C62" ca="1">_xll.EQNXTDZ($A$1,$B62,C$1)</f>
        <v>#NAME?</v>
      </c>
      <c r="D62" t="e" cm="1">
        <f t="array" aca="1" ref="D62" ca="1">_xll.EQNXTDZ($A$1,$B62,D$1)</f>
        <v>#NAME?</v>
      </c>
      <c r="E62" t="e" cm="1">
        <f t="array" aca="1" ref="E62" ca="1">_xll.EQNXTDZ($A$1,$B62,E$1)</f>
        <v>#NAME?</v>
      </c>
      <c r="F62" t="e" cm="1">
        <f t="array" aca="1" ref="F62" ca="1">_xll.EQNXTDZ($A$1,$B62,F$1)</f>
        <v>#NAME?</v>
      </c>
      <c r="G62" t="e" cm="1">
        <f t="array" aca="1" ref="G62" ca="1">_xll.EQNXTDZ($A$1,$B62,G$1)</f>
        <v>#NAME?</v>
      </c>
      <c r="H62" t="e" cm="1">
        <f t="array" aca="1" ref="H62" ca="1">_xll.EQNXTDZ($A$1,$B62,H$1)</f>
        <v>#NAME?</v>
      </c>
      <c r="I62" t="e" cm="1">
        <f t="array" aca="1" ref="I62" ca="1">_xll.EQNXTDZ($A$1,$B62,I$1)</f>
        <v>#NAME?</v>
      </c>
      <c r="J62" t="e" cm="1">
        <f t="array" aca="1" ref="J62" ca="1">_xll.EQNXTDZ($A$1,$B62,J$1)</f>
        <v>#NAME?</v>
      </c>
      <c r="K62" t="e" cm="1">
        <f t="array" aca="1" ref="K62" ca="1">_xll.EQNXTDZ($A$1,$B62,K$1)</f>
        <v>#NAME?</v>
      </c>
      <c r="L62" t="e" cm="1">
        <f t="array" aca="1" ref="L62" ca="1">_xll.EQNXTDZ($A$1,$B62,L$1)</f>
        <v>#NAME?</v>
      </c>
      <c r="M62" t="e" cm="1">
        <f t="array" aca="1" ref="M62" ca="1">_xll.EQNXTDZ($A$1,$B62,M$1)</f>
        <v>#NAME?</v>
      </c>
      <c r="N62" t="e" cm="1">
        <f t="array" aca="1" ref="N62" ca="1">_xll.EQNXTDZ($A$1,$B62,N$1)</f>
        <v>#NAME?</v>
      </c>
      <c r="O62" t="e" cm="1">
        <f t="array" aca="1" ref="O62" ca="1">_xll.EQNXTDZ($A$1,$B62,O$1)</f>
        <v>#NAME?</v>
      </c>
      <c r="P62" t="e" cm="1">
        <f t="array" aca="1" ref="P62" ca="1">_xll.EQNXTDZ($A$1,$B62,P$1)</f>
        <v>#NAME?</v>
      </c>
      <c r="Q62" t="e" cm="1">
        <f t="array" aca="1" ref="Q62" ca="1">_xll.EQNXTDZ($A$1,$B62,Q$1)</f>
        <v>#NAME?</v>
      </c>
      <c r="R62" t="e" cm="1">
        <f t="array" aca="1" ref="R62" ca="1">_xll.EQNXTDZ($A$1,$B62,R$1)</f>
        <v>#NAME?</v>
      </c>
      <c r="S62" t="e" cm="1">
        <f t="array" aca="1" ref="S62" ca="1">_xll.EQNXTDZ($A$1,$B62,S$1)</f>
        <v>#NAME?</v>
      </c>
      <c r="T62" t="e" cm="1">
        <f t="array" aca="1" ref="T62" ca="1">_xll.EQNXTDZ($A$1,$B62,T$1)</f>
        <v>#NAME?</v>
      </c>
      <c r="U62" t="e" cm="1">
        <f t="array" aca="1" ref="U62" ca="1">_xll.EQNXTDZ($A$1,$B62,U$1)</f>
        <v>#NAME?</v>
      </c>
      <c r="V62" t="e" cm="1">
        <f t="array" aca="1" ref="V62" ca="1">_xll.EQNXTDZ($A$1,$B62,V$1)</f>
        <v>#NAME?</v>
      </c>
      <c r="W62" t="e" cm="1">
        <f t="array" aca="1" ref="W62" ca="1">_xll.EQNXTDZ($A$1,$B62,W$1)</f>
        <v>#NAME?</v>
      </c>
      <c r="X62" t="e" cm="1">
        <f t="array" aca="1" ref="X62" ca="1">_xll.EQNXTDZ($A$1,$B62,X$1)</f>
        <v>#NAME?</v>
      </c>
      <c r="Y62" t="e" cm="1">
        <f t="array" aca="1" ref="Y62" ca="1">_xll.EQNXTDZ($A$1,$B62,Y$1)</f>
        <v>#NAME?</v>
      </c>
      <c r="Z62" t="e" cm="1">
        <f t="array" aca="1" ref="Z62" ca="1">_xll.EQNXTDZ($A$1,$B62,Z$1)</f>
        <v>#NAME?</v>
      </c>
      <c r="AA62" t="e" cm="1">
        <f t="array" aca="1" ref="AA62" ca="1">_xll.EQNXTDZ($A$1,$B62,AA$1)</f>
        <v>#NAME?</v>
      </c>
      <c r="AB62" t="e" cm="1">
        <f t="array" aca="1" ref="AB62" ca="1">_xll.EQNXTDZ($A$1,$B62,AB$1)</f>
        <v>#NAME?</v>
      </c>
      <c r="AC62" t="e" cm="1">
        <f t="array" aca="1" ref="AC62" ca="1">_xll.EQNXTDZ($A$1,$B62,AC$1)</f>
        <v>#NAME?</v>
      </c>
      <c r="AD62" t="e" cm="1">
        <f t="array" aca="1" ref="AD62" ca="1">_xll.EQNXTDZ($A$1,$B62,AD$1)</f>
        <v>#NAME?</v>
      </c>
      <c r="AE62" t="e" cm="1">
        <f t="array" aca="1" ref="AE62" ca="1">_xll.EQNXTDZ($A$1,$B62,AE$1)</f>
        <v>#NAME?</v>
      </c>
      <c r="AF62" t="e" cm="1">
        <f t="array" aca="1" ref="AF62" ca="1">_xll.EQNXTDZ($A$1,$B62,AF$1)</f>
        <v>#NAME?</v>
      </c>
    </row>
    <row r="63" spans="1:32" s="110" customFormat="1" x14ac:dyDescent="0.25">
      <c r="A63" s="110" t="s">
        <v>16</v>
      </c>
      <c r="B63" s="110" t="s">
        <v>121</v>
      </c>
      <c r="C63" t="e" cm="1">
        <f t="array" aca="1" ref="C63" ca="1">_xll.EQNXTDZ($A$1,$B63,C$1)</f>
        <v>#NAME?</v>
      </c>
      <c r="D63" t="e" cm="1">
        <f t="array" aca="1" ref="D63" ca="1">_xll.EQNXTDZ($A$1,$B63,D$1)</f>
        <v>#NAME?</v>
      </c>
      <c r="E63" t="e" cm="1">
        <f t="array" aca="1" ref="E63" ca="1">_xll.EQNXTDZ($A$1,$B63,E$1)</f>
        <v>#NAME?</v>
      </c>
      <c r="F63" t="e" cm="1">
        <f t="array" aca="1" ref="F63" ca="1">_xll.EQNXTDZ($A$1,$B63,F$1)</f>
        <v>#NAME?</v>
      </c>
      <c r="G63" t="e" cm="1">
        <f t="array" aca="1" ref="G63" ca="1">_xll.EQNXTDZ($A$1,$B63,G$1)</f>
        <v>#NAME?</v>
      </c>
      <c r="H63" t="e" cm="1">
        <f t="array" aca="1" ref="H63" ca="1">_xll.EQNXTDZ($A$1,$B63,H$1)</f>
        <v>#NAME?</v>
      </c>
      <c r="I63" t="e" cm="1">
        <f t="array" aca="1" ref="I63" ca="1">_xll.EQNXTDZ($A$1,$B63,I$1)</f>
        <v>#NAME?</v>
      </c>
      <c r="J63" t="e" cm="1">
        <f t="array" aca="1" ref="J63" ca="1">_xll.EQNXTDZ($A$1,$B63,J$1)</f>
        <v>#NAME?</v>
      </c>
      <c r="K63" t="e" cm="1">
        <f t="array" aca="1" ref="K63" ca="1">_xll.EQNXTDZ($A$1,$B63,K$1)</f>
        <v>#NAME?</v>
      </c>
      <c r="L63" t="e" cm="1">
        <f t="array" aca="1" ref="L63" ca="1">_xll.EQNXTDZ($A$1,$B63,L$1)</f>
        <v>#NAME?</v>
      </c>
      <c r="M63" t="e" cm="1">
        <f t="array" aca="1" ref="M63" ca="1">_xll.EQNXTDZ($A$1,$B63,M$1)</f>
        <v>#NAME?</v>
      </c>
      <c r="N63" t="e" cm="1">
        <f t="array" aca="1" ref="N63" ca="1">_xll.EQNXTDZ($A$1,$B63,N$1)</f>
        <v>#NAME?</v>
      </c>
      <c r="O63" t="e" cm="1">
        <f t="array" aca="1" ref="O63" ca="1">_xll.EQNXTDZ($A$1,$B63,O$1)</f>
        <v>#NAME?</v>
      </c>
      <c r="P63" t="e" cm="1">
        <f t="array" aca="1" ref="P63" ca="1">_xll.EQNXTDZ($A$1,$B63,P$1)</f>
        <v>#NAME?</v>
      </c>
      <c r="Q63" t="e" cm="1">
        <f t="array" aca="1" ref="Q63" ca="1">_xll.EQNXTDZ($A$1,$B63,Q$1)</f>
        <v>#NAME?</v>
      </c>
      <c r="R63" t="e" cm="1">
        <f t="array" aca="1" ref="R63" ca="1">_xll.EQNXTDZ($A$1,$B63,R$1)</f>
        <v>#NAME?</v>
      </c>
      <c r="S63" t="e" cm="1">
        <f t="array" aca="1" ref="S63" ca="1">_xll.EQNXTDZ($A$1,$B63,S$1)</f>
        <v>#NAME?</v>
      </c>
      <c r="T63" t="e" cm="1">
        <f t="array" aca="1" ref="T63" ca="1">_xll.EQNXTDZ($A$1,$B63,T$1)</f>
        <v>#NAME?</v>
      </c>
      <c r="U63" t="e" cm="1">
        <f t="array" aca="1" ref="U63" ca="1">_xll.EQNXTDZ($A$1,$B63,U$1)</f>
        <v>#NAME?</v>
      </c>
      <c r="V63" t="e" cm="1">
        <f t="array" aca="1" ref="V63" ca="1">_xll.EQNXTDZ($A$1,$B63,V$1)</f>
        <v>#NAME?</v>
      </c>
      <c r="W63" t="e" cm="1">
        <f t="array" aca="1" ref="W63" ca="1">_xll.EQNXTDZ($A$1,$B63,W$1)</f>
        <v>#NAME?</v>
      </c>
      <c r="X63" t="e" cm="1">
        <f t="array" aca="1" ref="X63" ca="1">_xll.EQNXTDZ($A$1,$B63,X$1)</f>
        <v>#NAME?</v>
      </c>
      <c r="Y63" t="e" cm="1">
        <f t="array" aca="1" ref="Y63" ca="1">_xll.EQNXTDZ($A$1,$B63,Y$1)</f>
        <v>#NAME?</v>
      </c>
      <c r="Z63" t="e" cm="1">
        <f t="array" aca="1" ref="Z63" ca="1">_xll.EQNXTDZ($A$1,$B63,Z$1)</f>
        <v>#NAME?</v>
      </c>
      <c r="AA63" t="e" cm="1">
        <f t="array" aca="1" ref="AA63" ca="1">_xll.EQNXTDZ($A$1,$B63,AA$1)</f>
        <v>#NAME?</v>
      </c>
      <c r="AB63" t="e" cm="1">
        <f t="array" aca="1" ref="AB63" ca="1">_xll.EQNXTDZ($A$1,$B63,AB$1)</f>
        <v>#NAME?</v>
      </c>
      <c r="AC63" t="e" cm="1">
        <f t="array" aca="1" ref="AC63" ca="1">_xll.EQNXTDZ($A$1,$B63,AC$1)</f>
        <v>#NAME?</v>
      </c>
      <c r="AD63" t="e" cm="1">
        <f t="array" aca="1" ref="AD63" ca="1">_xll.EQNXTDZ($A$1,$B63,AD$1)</f>
        <v>#NAME?</v>
      </c>
      <c r="AE63" t="e" cm="1">
        <f t="array" aca="1" ref="AE63" ca="1">_xll.EQNXTDZ($A$1,$B63,AE$1)</f>
        <v>#NAME?</v>
      </c>
      <c r="AF63" t="e" cm="1">
        <f t="array" aca="1" ref="AF63" ca="1">_xll.EQNXTDZ($A$1,$B63,AF$1)</f>
        <v>#NAME?</v>
      </c>
    </row>
    <row r="64" spans="1:32" x14ac:dyDescent="0.25">
      <c r="A64" t="s">
        <v>17</v>
      </c>
      <c r="B64" t="s">
        <v>202</v>
      </c>
      <c r="C64" t="e" cm="1">
        <f t="array" aca="1" ref="C64" ca="1">_xll.EQNXTDZ($A$1,$B64,C$1)</f>
        <v>#NAME?</v>
      </c>
      <c r="D64" t="e" cm="1">
        <f t="array" aca="1" ref="D64" ca="1">_xll.EQNXTDZ($A$1,$B64,D$1)</f>
        <v>#NAME?</v>
      </c>
      <c r="E64" t="e" cm="1">
        <f t="array" aca="1" ref="E64" ca="1">_xll.EQNXTDZ($A$1,$B64,E$1)</f>
        <v>#NAME?</v>
      </c>
      <c r="F64" t="e" cm="1">
        <f t="array" aca="1" ref="F64" ca="1">_xll.EQNXTDZ($A$1,$B64,F$1)</f>
        <v>#NAME?</v>
      </c>
      <c r="G64" t="e" cm="1">
        <f t="array" aca="1" ref="G64" ca="1">_xll.EQNXTDZ($A$1,$B64,G$1)</f>
        <v>#NAME?</v>
      </c>
      <c r="H64" t="e" cm="1">
        <f t="array" aca="1" ref="H64" ca="1">_xll.EQNXTDZ($A$1,$B64,H$1)</f>
        <v>#NAME?</v>
      </c>
      <c r="I64" t="e" cm="1">
        <f t="array" aca="1" ref="I64" ca="1">_xll.EQNXTDZ($A$1,$B64,I$1)</f>
        <v>#NAME?</v>
      </c>
      <c r="J64" t="e" cm="1">
        <f t="array" aca="1" ref="J64" ca="1">_xll.EQNXTDZ($A$1,$B64,J$1)</f>
        <v>#NAME?</v>
      </c>
      <c r="K64" t="e" cm="1">
        <f t="array" aca="1" ref="K64" ca="1">_xll.EQNXTDZ($A$1,$B64,K$1)</f>
        <v>#NAME?</v>
      </c>
      <c r="L64" t="e" cm="1">
        <f t="array" aca="1" ref="L64" ca="1">_xll.EQNXTDZ($A$1,$B64,L$1)</f>
        <v>#NAME?</v>
      </c>
      <c r="M64" t="e" cm="1">
        <f t="array" aca="1" ref="M64" ca="1">_xll.EQNXTDZ($A$1,$B64,M$1)</f>
        <v>#NAME?</v>
      </c>
      <c r="N64" t="e" cm="1">
        <f t="array" aca="1" ref="N64" ca="1">_xll.EQNXTDZ($A$1,$B64,N$1)</f>
        <v>#NAME?</v>
      </c>
      <c r="O64" t="e" cm="1">
        <f t="array" aca="1" ref="O64" ca="1">_xll.EQNXTDZ($A$1,$B64,O$1)</f>
        <v>#NAME?</v>
      </c>
      <c r="P64" t="e" cm="1">
        <f t="array" aca="1" ref="P64" ca="1">_xll.EQNXTDZ($A$1,$B64,P$1)</f>
        <v>#NAME?</v>
      </c>
      <c r="Q64" t="e" cm="1">
        <f t="array" aca="1" ref="Q64" ca="1">_xll.EQNXTDZ($A$1,$B64,Q$1)</f>
        <v>#NAME?</v>
      </c>
      <c r="R64" t="e" cm="1">
        <f t="array" aca="1" ref="R64" ca="1">_xll.EQNXTDZ($A$1,$B64,R$1)</f>
        <v>#NAME?</v>
      </c>
      <c r="S64" t="e" cm="1">
        <f t="array" aca="1" ref="S64" ca="1">_xll.EQNXTDZ($A$1,$B64,S$1)</f>
        <v>#NAME?</v>
      </c>
      <c r="T64" t="e" cm="1">
        <f t="array" aca="1" ref="T64" ca="1">_xll.EQNXTDZ($A$1,$B64,T$1)</f>
        <v>#NAME?</v>
      </c>
      <c r="U64" t="e" cm="1">
        <f t="array" aca="1" ref="U64" ca="1">_xll.EQNXTDZ($A$1,$B64,U$1)</f>
        <v>#NAME?</v>
      </c>
      <c r="V64" t="e" cm="1">
        <f t="array" aca="1" ref="V64" ca="1">_xll.EQNXTDZ($A$1,$B64,V$1)</f>
        <v>#NAME?</v>
      </c>
      <c r="W64" t="e" cm="1">
        <f t="array" aca="1" ref="W64" ca="1">_xll.EQNXTDZ($A$1,$B64,W$1)</f>
        <v>#NAME?</v>
      </c>
      <c r="X64" t="e" cm="1">
        <f t="array" aca="1" ref="X64" ca="1">_xll.EQNXTDZ($A$1,$B64,X$1)</f>
        <v>#NAME?</v>
      </c>
      <c r="Y64" t="e" cm="1">
        <f t="array" aca="1" ref="Y64" ca="1">_xll.EQNXTDZ($A$1,$B64,Y$1)</f>
        <v>#NAME?</v>
      </c>
      <c r="Z64" t="e" cm="1">
        <f t="array" aca="1" ref="Z64" ca="1">_xll.EQNXTDZ($A$1,$B64,Z$1)</f>
        <v>#NAME?</v>
      </c>
      <c r="AA64" t="e" cm="1">
        <f t="array" aca="1" ref="AA64" ca="1">_xll.EQNXTDZ($A$1,$B64,AA$1)</f>
        <v>#NAME?</v>
      </c>
      <c r="AB64" t="e" cm="1">
        <f t="array" aca="1" ref="AB64" ca="1">_xll.EQNXTDZ($A$1,$B64,AB$1)</f>
        <v>#NAME?</v>
      </c>
      <c r="AC64" t="e" cm="1">
        <f t="array" aca="1" ref="AC64" ca="1">_xll.EQNXTDZ($A$1,$B64,AC$1)</f>
        <v>#NAME?</v>
      </c>
      <c r="AD64" t="e" cm="1">
        <f t="array" aca="1" ref="AD64" ca="1">_xll.EQNXTDZ($A$1,$B64,AD$1)</f>
        <v>#NAME?</v>
      </c>
      <c r="AE64" t="e" cm="1">
        <f t="array" aca="1" ref="AE64" ca="1">_xll.EQNXTDZ($A$1,$B64,AE$1)</f>
        <v>#NAME?</v>
      </c>
      <c r="AF64" t="e" cm="1">
        <f t="array" aca="1" ref="AF64" ca="1">_xll.EQNXTDZ($A$1,$B64,AF$1)</f>
        <v>#NAME?</v>
      </c>
    </row>
    <row r="65" spans="1:32" s="110" customFormat="1" x14ac:dyDescent="0.25">
      <c r="A65" s="110" t="s">
        <v>18</v>
      </c>
      <c r="B65" s="110" t="s">
        <v>122</v>
      </c>
      <c r="C65" t="e" cm="1">
        <f t="array" aca="1" ref="C65" ca="1">_xll.EQNXTDZ($A$1,$B65,C$1)</f>
        <v>#NAME?</v>
      </c>
      <c r="D65" t="e" cm="1">
        <f t="array" aca="1" ref="D65" ca="1">_xll.EQNXTDZ($A$1,$B65,D$1)</f>
        <v>#NAME?</v>
      </c>
      <c r="E65" t="e" cm="1">
        <f t="array" aca="1" ref="E65" ca="1">_xll.EQNXTDZ($A$1,$B65,E$1)</f>
        <v>#NAME?</v>
      </c>
      <c r="F65" t="e" cm="1">
        <f t="array" aca="1" ref="F65" ca="1">_xll.EQNXTDZ($A$1,$B65,F$1)</f>
        <v>#NAME?</v>
      </c>
      <c r="G65" t="e" cm="1">
        <f t="array" aca="1" ref="G65" ca="1">_xll.EQNXTDZ($A$1,$B65,G$1)</f>
        <v>#NAME?</v>
      </c>
      <c r="H65" t="e" cm="1">
        <f t="array" aca="1" ref="H65" ca="1">_xll.EQNXTDZ($A$1,$B65,H$1)</f>
        <v>#NAME?</v>
      </c>
      <c r="I65" t="e" cm="1">
        <f t="array" aca="1" ref="I65" ca="1">_xll.EQNXTDZ($A$1,$B65,I$1)</f>
        <v>#NAME?</v>
      </c>
      <c r="J65" t="e" cm="1">
        <f t="array" aca="1" ref="J65" ca="1">_xll.EQNXTDZ($A$1,$B65,J$1)</f>
        <v>#NAME?</v>
      </c>
      <c r="K65" t="e" cm="1">
        <f t="array" aca="1" ref="K65" ca="1">_xll.EQNXTDZ($A$1,$B65,K$1)</f>
        <v>#NAME?</v>
      </c>
      <c r="L65" t="e" cm="1">
        <f t="array" aca="1" ref="L65" ca="1">_xll.EQNXTDZ($A$1,$B65,L$1)</f>
        <v>#NAME?</v>
      </c>
      <c r="M65" t="e" cm="1">
        <f t="array" aca="1" ref="M65" ca="1">_xll.EQNXTDZ($A$1,$B65,M$1)</f>
        <v>#NAME?</v>
      </c>
      <c r="N65" t="e" cm="1">
        <f t="array" aca="1" ref="N65" ca="1">_xll.EQNXTDZ($A$1,$B65,N$1)</f>
        <v>#NAME?</v>
      </c>
      <c r="O65" t="e" cm="1">
        <f t="array" aca="1" ref="O65" ca="1">_xll.EQNXTDZ($A$1,$B65,O$1)</f>
        <v>#NAME?</v>
      </c>
      <c r="P65" t="e" cm="1">
        <f t="array" aca="1" ref="P65" ca="1">_xll.EQNXTDZ($A$1,$B65,P$1)</f>
        <v>#NAME?</v>
      </c>
      <c r="Q65" t="e" cm="1">
        <f t="array" aca="1" ref="Q65" ca="1">_xll.EQNXTDZ($A$1,$B65,Q$1)</f>
        <v>#NAME?</v>
      </c>
      <c r="R65" t="e" cm="1">
        <f t="array" aca="1" ref="R65" ca="1">_xll.EQNXTDZ($A$1,$B65,R$1)</f>
        <v>#NAME?</v>
      </c>
      <c r="S65" t="e" cm="1">
        <f t="array" aca="1" ref="S65" ca="1">_xll.EQNXTDZ($A$1,$B65,S$1)</f>
        <v>#NAME?</v>
      </c>
      <c r="T65" t="e" cm="1">
        <f t="array" aca="1" ref="T65" ca="1">_xll.EQNXTDZ($A$1,$B65,T$1)</f>
        <v>#NAME?</v>
      </c>
      <c r="U65" t="e" cm="1">
        <f t="array" aca="1" ref="U65" ca="1">_xll.EQNXTDZ($A$1,$B65,U$1)</f>
        <v>#NAME?</v>
      </c>
      <c r="V65" t="e" cm="1">
        <f t="array" aca="1" ref="V65" ca="1">_xll.EQNXTDZ($A$1,$B65,V$1)</f>
        <v>#NAME?</v>
      </c>
      <c r="W65" t="e" cm="1">
        <f t="array" aca="1" ref="W65" ca="1">_xll.EQNXTDZ($A$1,$B65,W$1)</f>
        <v>#NAME?</v>
      </c>
      <c r="X65" t="e" cm="1">
        <f t="array" aca="1" ref="X65" ca="1">_xll.EQNXTDZ($A$1,$B65,X$1)</f>
        <v>#NAME?</v>
      </c>
      <c r="Y65" t="e" cm="1">
        <f t="array" aca="1" ref="Y65" ca="1">_xll.EQNXTDZ($A$1,$B65,Y$1)</f>
        <v>#NAME?</v>
      </c>
      <c r="Z65" t="e" cm="1">
        <f t="array" aca="1" ref="Z65" ca="1">_xll.EQNXTDZ($A$1,$B65,Z$1)</f>
        <v>#NAME?</v>
      </c>
      <c r="AA65" t="e" cm="1">
        <f t="array" aca="1" ref="AA65" ca="1">_xll.EQNXTDZ($A$1,$B65,AA$1)</f>
        <v>#NAME?</v>
      </c>
      <c r="AB65" t="e" cm="1">
        <f t="array" aca="1" ref="AB65" ca="1">_xll.EQNXTDZ($A$1,$B65,AB$1)</f>
        <v>#NAME?</v>
      </c>
      <c r="AC65" t="e" cm="1">
        <f t="array" aca="1" ref="AC65" ca="1">_xll.EQNXTDZ($A$1,$B65,AC$1)</f>
        <v>#NAME?</v>
      </c>
      <c r="AD65" t="e" cm="1">
        <f t="array" aca="1" ref="AD65" ca="1">_xll.EQNXTDZ($A$1,$B65,AD$1)</f>
        <v>#NAME?</v>
      </c>
      <c r="AE65" t="e" cm="1">
        <f t="array" aca="1" ref="AE65" ca="1">_xll.EQNXTDZ($A$1,$B65,AE$1)</f>
        <v>#NAME?</v>
      </c>
      <c r="AF65" t="e" cm="1">
        <f t="array" aca="1" ref="AF65" ca="1">_xll.EQNXTDZ($A$1,$B65,AF$1)</f>
        <v>#NAME?</v>
      </c>
    </row>
    <row r="66" spans="1:32" s="110" customFormat="1" x14ac:dyDescent="0.25">
      <c r="A66" s="110" t="s">
        <v>5</v>
      </c>
      <c r="B66" s="110" t="s">
        <v>147</v>
      </c>
      <c r="C66" t="e" cm="1">
        <f t="array" aca="1" ref="C66" ca="1">_xll.EQNXTDZ($A$1,$B66,C$1)</f>
        <v>#NAME?</v>
      </c>
      <c r="D66" t="e" cm="1">
        <f t="array" aca="1" ref="D66" ca="1">_xll.EQNXTDZ($A$1,$B66,D$1)</f>
        <v>#NAME?</v>
      </c>
      <c r="E66" t="e" cm="1">
        <f t="array" aca="1" ref="E66" ca="1">_xll.EQNXTDZ($A$1,$B66,E$1)</f>
        <v>#NAME?</v>
      </c>
      <c r="F66" t="e" cm="1">
        <f t="array" aca="1" ref="F66" ca="1">_xll.EQNXTDZ($A$1,$B66,F$1)</f>
        <v>#NAME?</v>
      </c>
      <c r="G66" t="e" cm="1">
        <f t="array" aca="1" ref="G66" ca="1">_xll.EQNXTDZ($A$1,$B66,G$1)</f>
        <v>#NAME?</v>
      </c>
      <c r="H66" t="e" cm="1">
        <f t="array" aca="1" ref="H66" ca="1">_xll.EQNXTDZ($A$1,$B66,H$1)</f>
        <v>#NAME?</v>
      </c>
      <c r="I66" t="e" cm="1">
        <f t="array" aca="1" ref="I66" ca="1">_xll.EQNXTDZ($A$1,$B66,I$1)</f>
        <v>#NAME?</v>
      </c>
      <c r="J66" t="e" cm="1">
        <f t="array" aca="1" ref="J66" ca="1">_xll.EQNXTDZ($A$1,$B66,J$1)</f>
        <v>#NAME?</v>
      </c>
      <c r="K66" t="e" cm="1">
        <f t="array" aca="1" ref="K66" ca="1">_xll.EQNXTDZ($A$1,$B66,K$1)</f>
        <v>#NAME?</v>
      </c>
      <c r="L66" t="e" cm="1">
        <f t="array" aca="1" ref="L66" ca="1">_xll.EQNXTDZ($A$1,$B66,L$1)</f>
        <v>#NAME?</v>
      </c>
      <c r="M66" t="e" cm="1">
        <f t="array" aca="1" ref="M66" ca="1">_xll.EQNXTDZ($A$1,$B66,M$1)</f>
        <v>#NAME?</v>
      </c>
      <c r="N66" t="e" cm="1">
        <f t="array" aca="1" ref="N66" ca="1">_xll.EQNXTDZ($A$1,$B66,N$1)</f>
        <v>#NAME?</v>
      </c>
      <c r="O66" t="e" cm="1">
        <f t="array" aca="1" ref="O66" ca="1">_xll.EQNXTDZ($A$1,$B66,O$1)</f>
        <v>#NAME?</v>
      </c>
      <c r="P66" t="e" cm="1">
        <f t="array" aca="1" ref="P66" ca="1">_xll.EQNXTDZ($A$1,$B66,P$1)</f>
        <v>#NAME?</v>
      </c>
      <c r="Q66" t="e" cm="1">
        <f t="array" aca="1" ref="Q66" ca="1">_xll.EQNXTDZ($A$1,$B66,Q$1)</f>
        <v>#NAME?</v>
      </c>
      <c r="R66" t="e" cm="1">
        <f t="array" aca="1" ref="R66" ca="1">_xll.EQNXTDZ($A$1,$B66,R$1)</f>
        <v>#NAME?</v>
      </c>
      <c r="S66" t="e" cm="1">
        <f t="array" aca="1" ref="S66" ca="1">_xll.EQNXTDZ($A$1,$B66,S$1)</f>
        <v>#NAME?</v>
      </c>
      <c r="T66" t="e" cm="1">
        <f t="array" aca="1" ref="T66" ca="1">_xll.EQNXTDZ($A$1,$B66,T$1)</f>
        <v>#NAME?</v>
      </c>
      <c r="U66" t="e" cm="1">
        <f t="array" aca="1" ref="U66" ca="1">_xll.EQNXTDZ($A$1,$B66,U$1)</f>
        <v>#NAME?</v>
      </c>
      <c r="V66" t="e" cm="1">
        <f t="array" aca="1" ref="V66" ca="1">_xll.EQNXTDZ($A$1,$B66,V$1)</f>
        <v>#NAME?</v>
      </c>
      <c r="W66" t="e" cm="1">
        <f t="array" aca="1" ref="W66" ca="1">_xll.EQNXTDZ($A$1,$B66,W$1)</f>
        <v>#NAME?</v>
      </c>
      <c r="X66" t="e" cm="1">
        <f t="array" aca="1" ref="X66" ca="1">_xll.EQNXTDZ($A$1,$B66,X$1)</f>
        <v>#NAME?</v>
      </c>
      <c r="Y66" t="e" cm="1">
        <f t="array" aca="1" ref="Y66" ca="1">_xll.EQNXTDZ($A$1,$B66,Y$1)</f>
        <v>#NAME?</v>
      </c>
      <c r="Z66" t="e" cm="1">
        <f t="array" aca="1" ref="Z66" ca="1">_xll.EQNXTDZ($A$1,$B66,Z$1)</f>
        <v>#NAME?</v>
      </c>
      <c r="AA66" t="e" cm="1">
        <f t="array" aca="1" ref="AA66" ca="1">_xll.EQNXTDZ($A$1,$B66,AA$1)</f>
        <v>#NAME?</v>
      </c>
      <c r="AB66" t="e" cm="1">
        <f t="array" aca="1" ref="AB66" ca="1">_xll.EQNXTDZ($A$1,$B66,AB$1)</f>
        <v>#NAME?</v>
      </c>
      <c r="AC66" t="e" cm="1">
        <f t="array" aca="1" ref="AC66" ca="1">_xll.EQNXTDZ($A$1,$B66,AC$1)</f>
        <v>#NAME?</v>
      </c>
      <c r="AD66" t="e" cm="1">
        <f t="array" aca="1" ref="AD66" ca="1">_xll.EQNXTDZ($A$1,$B66,AD$1)</f>
        <v>#NAME?</v>
      </c>
      <c r="AE66" t="e" cm="1">
        <f t="array" aca="1" ref="AE66" ca="1">_xll.EQNXTDZ($A$1,$B66,AE$1)</f>
        <v>#NAME?</v>
      </c>
      <c r="AF66" t="e" cm="1">
        <f t="array" aca="1" ref="AF66" ca="1">_xll.EQNXTDZ($A$1,$B66,AF$1)</f>
        <v>#NAME?</v>
      </c>
    </row>
    <row r="67" spans="1:32" s="110" customFormat="1" x14ac:dyDescent="0.25">
      <c r="A67" s="110" t="s">
        <v>120</v>
      </c>
      <c r="B67" s="110" t="s">
        <v>123</v>
      </c>
      <c r="C67" t="e" cm="1">
        <f t="array" aca="1" ref="C67" ca="1">_xll.EQNXTDZ($A$1,$B67,C$1)</f>
        <v>#NAME?</v>
      </c>
      <c r="D67" t="e" cm="1">
        <f t="array" aca="1" ref="D67" ca="1">_xll.EQNXTDZ($A$1,$B67,D$1)</f>
        <v>#NAME?</v>
      </c>
      <c r="E67" t="e" cm="1">
        <f t="array" aca="1" ref="E67" ca="1">_xll.EQNXTDZ($A$1,$B67,E$1)</f>
        <v>#NAME?</v>
      </c>
      <c r="F67" t="e" cm="1">
        <f t="array" aca="1" ref="F67" ca="1">_xll.EQNXTDZ($A$1,$B67,F$1)</f>
        <v>#NAME?</v>
      </c>
      <c r="G67" t="e" cm="1">
        <f t="array" aca="1" ref="G67" ca="1">_xll.EQNXTDZ($A$1,$B67,G$1)</f>
        <v>#NAME?</v>
      </c>
      <c r="H67" t="e" cm="1">
        <f t="array" aca="1" ref="H67" ca="1">_xll.EQNXTDZ($A$1,$B67,H$1)</f>
        <v>#NAME?</v>
      </c>
      <c r="I67" t="e" cm="1">
        <f t="array" aca="1" ref="I67" ca="1">_xll.EQNXTDZ($A$1,$B67,I$1)</f>
        <v>#NAME?</v>
      </c>
      <c r="J67" t="e" cm="1">
        <f t="array" aca="1" ref="J67" ca="1">_xll.EQNXTDZ($A$1,$B67,J$1)</f>
        <v>#NAME?</v>
      </c>
      <c r="K67" t="e" cm="1">
        <f t="array" aca="1" ref="K67" ca="1">_xll.EQNXTDZ($A$1,$B67,K$1)</f>
        <v>#NAME?</v>
      </c>
      <c r="L67" t="e" cm="1">
        <f t="array" aca="1" ref="L67" ca="1">_xll.EQNXTDZ($A$1,$B67,L$1)</f>
        <v>#NAME?</v>
      </c>
      <c r="M67" t="e" cm="1">
        <f t="array" aca="1" ref="M67" ca="1">_xll.EQNXTDZ($A$1,$B67,M$1)</f>
        <v>#NAME?</v>
      </c>
      <c r="N67" t="e" cm="1">
        <f t="array" aca="1" ref="N67" ca="1">_xll.EQNXTDZ($A$1,$B67,N$1)</f>
        <v>#NAME?</v>
      </c>
      <c r="O67" t="e" cm="1">
        <f t="array" aca="1" ref="O67" ca="1">_xll.EQNXTDZ($A$1,$B67,O$1)</f>
        <v>#NAME?</v>
      </c>
      <c r="P67" t="e" cm="1">
        <f t="array" aca="1" ref="P67" ca="1">_xll.EQNXTDZ($A$1,$B67,P$1)</f>
        <v>#NAME?</v>
      </c>
      <c r="Q67" t="e" cm="1">
        <f t="array" aca="1" ref="Q67" ca="1">_xll.EQNXTDZ($A$1,$B67,Q$1)</f>
        <v>#NAME?</v>
      </c>
      <c r="R67" t="e" cm="1">
        <f t="array" aca="1" ref="R67" ca="1">_xll.EQNXTDZ($A$1,$B67,R$1)</f>
        <v>#NAME?</v>
      </c>
      <c r="S67" t="e" cm="1">
        <f t="array" aca="1" ref="S67" ca="1">_xll.EQNXTDZ($A$1,$B67,S$1)</f>
        <v>#NAME?</v>
      </c>
      <c r="T67" t="e" cm="1">
        <f t="array" aca="1" ref="T67" ca="1">_xll.EQNXTDZ($A$1,$B67,T$1)</f>
        <v>#NAME?</v>
      </c>
      <c r="U67" t="e" cm="1">
        <f t="array" aca="1" ref="U67" ca="1">_xll.EQNXTDZ($A$1,$B67,U$1)</f>
        <v>#NAME?</v>
      </c>
      <c r="V67" t="e" cm="1">
        <f t="array" aca="1" ref="V67" ca="1">_xll.EQNXTDZ($A$1,$B67,V$1)</f>
        <v>#NAME?</v>
      </c>
      <c r="W67" t="e" cm="1">
        <f t="array" aca="1" ref="W67" ca="1">_xll.EQNXTDZ($A$1,$B67,W$1)</f>
        <v>#NAME?</v>
      </c>
      <c r="X67" t="e" cm="1">
        <f t="array" aca="1" ref="X67" ca="1">_xll.EQNXTDZ($A$1,$B67,X$1)</f>
        <v>#NAME?</v>
      </c>
      <c r="Y67" t="e" cm="1">
        <f t="array" aca="1" ref="Y67" ca="1">_xll.EQNXTDZ($A$1,$B67,Y$1)</f>
        <v>#NAME?</v>
      </c>
      <c r="Z67" t="e" cm="1">
        <f t="array" aca="1" ref="Z67" ca="1">_xll.EQNXTDZ($A$1,$B67,Z$1)</f>
        <v>#NAME?</v>
      </c>
      <c r="AA67" t="e" cm="1">
        <f t="array" aca="1" ref="AA67" ca="1">_xll.EQNXTDZ($A$1,$B67,AA$1)</f>
        <v>#NAME?</v>
      </c>
      <c r="AB67" t="e" cm="1">
        <f t="array" aca="1" ref="AB67" ca="1">_xll.EQNXTDZ($A$1,$B67,AB$1)</f>
        <v>#NAME?</v>
      </c>
      <c r="AC67" t="e" cm="1">
        <f t="array" aca="1" ref="AC67" ca="1">_xll.EQNXTDZ($A$1,$B67,AC$1)</f>
        <v>#NAME?</v>
      </c>
      <c r="AD67" t="e" cm="1">
        <f t="array" aca="1" ref="AD67" ca="1">_xll.EQNXTDZ($A$1,$B67,AD$1)</f>
        <v>#NAME?</v>
      </c>
      <c r="AE67" t="e" cm="1">
        <f t="array" aca="1" ref="AE67" ca="1">_xll.EQNXTDZ($A$1,$B67,AE$1)</f>
        <v>#NAME?</v>
      </c>
      <c r="AF67" t="e" cm="1">
        <f t="array" aca="1" ref="AF67" ca="1">_xll.EQNXTDZ($A$1,$B67,AF$1)</f>
        <v>#NAME?</v>
      </c>
    </row>
    <row r="68" spans="1:32" s="110" customFormat="1" x14ac:dyDescent="0.25">
      <c r="A68" s="110" t="s">
        <v>126</v>
      </c>
      <c r="B68" s="110" t="s">
        <v>148</v>
      </c>
      <c r="C68" t="e" cm="1">
        <f t="array" aca="1" ref="C68" ca="1">_xll.EQNXTDZ($A$1,$B68,C$1)</f>
        <v>#NAME?</v>
      </c>
      <c r="D68" t="e" cm="1">
        <f t="array" aca="1" ref="D68" ca="1">_xll.EQNXTDZ($A$1,$B68,D$1)</f>
        <v>#NAME?</v>
      </c>
      <c r="E68" t="e" cm="1">
        <f t="array" aca="1" ref="E68" ca="1">_xll.EQNXTDZ($A$1,$B68,E$1)</f>
        <v>#NAME?</v>
      </c>
      <c r="F68" t="e" cm="1">
        <f t="array" aca="1" ref="F68" ca="1">_xll.EQNXTDZ($A$1,$B68,F$1)</f>
        <v>#NAME?</v>
      </c>
      <c r="G68" t="e" cm="1">
        <f t="array" aca="1" ref="G68" ca="1">_xll.EQNXTDZ($A$1,$B68,G$1)</f>
        <v>#NAME?</v>
      </c>
      <c r="H68" t="e" cm="1">
        <f t="array" aca="1" ref="H68" ca="1">_xll.EQNXTDZ($A$1,$B68,H$1)</f>
        <v>#NAME?</v>
      </c>
      <c r="I68" t="e" cm="1">
        <f t="array" aca="1" ref="I68" ca="1">_xll.EQNXTDZ($A$1,$B68,I$1)</f>
        <v>#NAME?</v>
      </c>
      <c r="J68" t="e" cm="1">
        <f t="array" aca="1" ref="J68" ca="1">_xll.EQNXTDZ($A$1,$B68,J$1)</f>
        <v>#NAME?</v>
      </c>
      <c r="K68" t="e" cm="1">
        <f t="array" aca="1" ref="K68" ca="1">_xll.EQNXTDZ($A$1,$B68,K$1)</f>
        <v>#NAME?</v>
      </c>
      <c r="L68" t="e" cm="1">
        <f t="array" aca="1" ref="L68" ca="1">_xll.EQNXTDZ($A$1,$B68,L$1)</f>
        <v>#NAME?</v>
      </c>
      <c r="M68" t="e" cm="1">
        <f t="array" aca="1" ref="M68" ca="1">_xll.EQNXTDZ($A$1,$B68,M$1)</f>
        <v>#NAME?</v>
      </c>
      <c r="N68" t="e" cm="1">
        <f t="array" aca="1" ref="N68" ca="1">_xll.EQNXTDZ($A$1,$B68,N$1)</f>
        <v>#NAME?</v>
      </c>
      <c r="O68" t="e" cm="1">
        <f t="array" aca="1" ref="O68" ca="1">_xll.EQNXTDZ($A$1,$B68,O$1)</f>
        <v>#NAME?</v>
      </c>
      <c r="P68" t="e" cm="1">
        <f t="array" aca="1" ref="P68" ca="1">_xll.EQNXTDZ($A$1,$B68,P$1)</f>
        <v>#NAME?</v>
      </c>
      <c r="Q68" t="e" cm="1">
        <f t="array" aca="1" ref="Q68" ca="1">_xll.EQNXTDZ($A$1,$B68,Q$1)</f>
        <v>#NAME?</v>
      </c>
      <c r="R68" t="e" cm="1">
        <f t="array" aca="1" ref="R68" ca="1">_xll.EQNXTDZ($A$1,$B68,R$1)</f>
        <v>#NAME?</v>
      </c>
      <c r="S68" t="e" cm="1">
        <f t="array" aca="1" ref="S68" ca="1">_xll.EQNXTDZ($A$1,$B68,S$1)</f>
        <v>#NAME?</v>
      </c>
      <c r="T68" t="e" cm="1">
        <f t="array" aca="1" ref="T68" ca="1">_xll.EQNXTDZ($A$1,$B68,T$1)</f>
        <v>#NAME?</v>
      </c>
      <c r="U68" t="e" cm="1">
        <f t="array" aca="1" ref="U68" ca="1">_xll.EQNXTDZ($A$1,$B68,U$1)</f>
        <v>#NAME?</v>
      </c>
      <c r="V68" t="e" cm="1">
        <f t="array" aca="1" ref="V68" ca="1">_xll.EQNXTDZ($A$1,$B68,V$1)</f>
        <v>#NAME?</v>
      </c>
      <c r="W68" t="e" cm="1">
        <f t="array" aca="1" ref="W68" ca="1">_xll.EQNXTDZ($A$1,$B68,W$1)</f>
        <v>#NAME?</v>
      </c>
      <c r="X68" t="e" cm="1">
        <f t="array" aca="1" ref="X68" ca="1">_xll.EQNXTDZ($A$1,$B68,X$1)</f>
        <v>#NAME?</v>
      </c>
      <c r="Y68" t="e" cm="1">
        <f t="array" aca="1" ref="Y68" ca="1">_xll.EQNXTDZ($A$1,$B68,Y$1)</f>
        <v>#NAME?</v>
      </c>
      <c r="Z68" t="e" cm="1">
        <f t="array" aca="1" ref="Z68" ca="1">_xll.EQNXTDZ($A$1,$B68,Z$1)</f>
        <v>#NAME?</v>
      </c>
      <c r="AA68" t="e" cm="1">
        <f t="array" aca="1" ref="AA68" ca="1">_xll.EQNXTDZ($A$1,$B68,AA$1)</f>
        <v>#NAME?</v>
      </c>
      <c r="AB68" t="e" cm="1">
        <f t="array" aca="1" ref="AB68" ca="1">_xll.EQNXTDZ($A$1,$B68,AB$1)</f>
        <v>#NAME?</v>
      </c>
      <c r="AC68" t="e" cm="1">
        <f t="array" aca="1" ref="AC68" ca="1">_xll.EQNXTDZ($A$1,$B68,AC$1)</f>
        <v>#NAME?</v>
      </c>
      <c r="AD68" t="e" cm="1">
        <f t="array" aca="1" ref="AD68" ca="1">_xll.EQNXTDZ($A$1,$B68,AD$1)</f>
        <v>#NAME?</v>
      </c>
      <c r="AE68" t="e" cm="1">
        <f t="array" aca="1" ref="AE68" ca="1">_xll.EQNXTDZ($A$1,$B68,AE$1)</f>
        <v>#NAME?</v>
      </c>
      <c r="AF68" t="e" cm="1">
        <f t="array" aca="1" ref="AF68" ca="1">_xll.EQNXTDZ($A$1,$B68,AF$1)</f>
        <v>#NAME?</v>
      </c>
    </row>
    <row r="69" spans="1:32" s="110" customFormat="1" x14ac:dyDescent="0.25">
      <c r="A69" s="110" t="s">
        <v>127</v>
      </c>
      <c r="B69" s="110" t="s">
        <v>149</v>
      </c>
      <c r="C69" t="e" cm="1">
        <f t="array" aca="1" ref="C69" ca="1">_xll.EQNXTDZ($A$1,$B69,C$1)</f>
        <v>#NAME?</v>
      </c>
      <c r="D69" t="e" cm="1">
        <f t="array" aca="1" ref="D69" ca="1">_xll.EQNXTDZ($A$1,$B69,D$1)</f>
        <v>#NAME?</v>
      </c>
      <c r="E69" t="e" cm="1">
        <f t="array" aca="1" ref="E69" ca="1">_xll.EQNXTDZ($A$1,$B69,E$1)</f>
        <v>#NAME?</v>
      </c>
      <c r="F69" t="e" cm="1">
        <f t="array" aca="1" ref="F69" ca="1">_xll.EQNXTDZ($A$1,$B69,F$1)</f>
        <v>#NAME?</v>
      </c>
      <c r="G69" t="e" cm="1">
        <f t="array" aca="1" ref="G69" ca="1">_xll.EQNXTDZ($A$1,$B69,G$1)</f>
        <v>#NAME?</v>
      </c>
      <c r="H69" t="e" cm="1">
        <f t="array" aca="1" ref="H69" ca="1">_xll.EQNXTDZ($A$1,$B69,H$1)</f>
        <v>#NAME?</v>
      </c>
      <c r="I69" t="e" cm="1">
        <f t="array" aca="1" ref="I69" ca="1">_xll.EQNXTDZ($A$1,$B69,I$1)</f>
        <v>#NAME?</v>
      </c>
      <c r="J69" t="e" cm="1">
        <f t="array" aca="1" ref="J69" ca="1">_xll.EQNXTDZ($A$1,$B69,J$1)</f>
        <v>#NAME?</v>
      </c>
      <c r="K69" t="e" cm="1">
        <f t="array" aca="1" ref="K69" ca="1">_xll.EQNXTDZ($A$1,$B69,K$1)</f>
        <v>#NAME?</v>
      </c>
      <c r="L69" t="e" cm="1">
        <f t="array" aca="1" ref="L69" ca="1">_xll.EQNXTDZ($A$1,$B69,L$1)</f>
        <v>#NAME?</v>
      </c>
      <c r="M69" t="e" cm="1">
        <f t="array" aca="1" ref="M69" ca="1">_xll.EQNXTDZ($A$1,$B69,M$1)</f>
        <v>#NAME?</v>
      </c>
      <c r="N69" t="e" cm="1">
        <f t="array" aca="1" ref="N69" ca="1">_xll.EQNXTDZ($A$1,$B69,N$1)</f>
        <v>#NAME?</v>
      </c>
      <c r="O69" t="e" cm="1">
        <f t="array" aca="1" ref="O69" ca="1">_xll.EQNXTDZ($A$1,$B69,O$1)</f>
        <v>#NAME?</v>
      </c>
      <c r="P69" t="e" cm="1">
        <f t="array" aca="1" ref="P69" ca="1">_xll.EQNXTDZ($A$1,$B69,P$1)</f>
        <v>#NAME?</v>
      </c>
      <c r="Q69" t="e" cm="1">
        <f t="array" aca="1" ref="Q69" ca="1">_xll.EQNXTDZ($A$1,$B69,Q$1)</f>
        <v>#NAME?</v>
      </c>
      <c r="R69" t="e" cm="1">
        <f t="array" aca="1" ref="R69" ca="1">_xll.EQNXTDZ($A$1,$B69,R$1)</f>
        <v>#NAME?</v>
      </c>
      <c r="S69" t="e" cm="1">
        <f t="array" aca="1" ref="S69" ca="1">_xll.EQNXTDZ($A$1,$B69,S$1)</f>
        <v>#NAME?</v>
      </c>
      <c r="T69" t="e" cm="1">
        <f t="array" aca="1" ref="T69" ca="1">_xll.EQNXTDZ($A$1,$B69,T$1)</f>
        <v>#NAME?</v>
      </c>
      <c r="U69" t="e" cm="1">
        <f t="array" aca="1" ref="U69" ca="1">_xll.EQNXTDZ($A$1,$B69,U$1)</f>
        <v>#NAME?</v>
      </c>
      <c r="V69" t="e" cm="1">
        <f t="array" aca="1" ref="V69" ca="1">_xll.EQNXTDZ($A$1,$B69,V$1)</f>
        <v>#NAME?</v>
      </c>
      <c r="W69" t="e" cm="1">
        <f t="array" aca="1" ref="W69" ca="1">_xll.EQNXTDZ($A$1,$B69,W$1)</f>
        <v>#NAME?</v>
      </c>
      <c r="X69" t="e" cm="1">
        <f t="array" aca="1" ref="X69" ca="1">_xll.EQNXTDZ($A$1,$B69,X$1)</f>
        <v>#NAME?</v>
      </c>
      <c r="Y69" t="e" cm="1">
        <f t="array" aca="1" ref="Y69" ca="1">_xll.EQNXTDZ($A$1,$B69,Y$1)</f>
        <v>#NAME?</v>
      </c>
      <c r="Z69" t="e" cm="1">
        <f t="array" aca="1" ref="Z69" ca="1">_xll.EQNXTDZ($A$1,$B69,Z$1)</f>
        <v>#NAME?</v>
      </c>
      <c r="AA69" t="e" cm="1">
        <f t="array" aca="1" ref="AA69" ca="1">_xll.EQNXTDZ($A$1,$B69,AA$1)</f>
        <v>#NAME?</v>
      </c>
      <c r="AB69" t="e" cm="1">
        <f t="array" aca="1" ref="AB69" ca="1">_xll.EQNXTDZ($A$1,$B69,AB$1)</f>
        <v>#NAME?</v>
      </c>
      <c r="AC69" t="e" cm="1">
        <f t="array" aca="1" ref="AC69" ca="1">_xll.EQNXTDZ($A$1,$B69,AC$1)</f>
        <v>#NAME?</v>
      </c>
      <c r="AD69" t="e" cm="1">
        <f t="array" aca="1" ref="AD69" ca="1">_xll.EQNXTDZ($A$1,$B69,AD$1)</f>
        <v>#NAME?</v>
      </c>
      <c r="AE69" t="e" cm="1">
        <f t="array" aca="1" ref="AE69" ca="1">_xll.EQNXTDZ($A$1,$B69,AE$1)</f>
        <v>#NAME?</v>
      </c>
      <c r="AF69" t="e" cm="1">
        <f t="array" aca="1" ref="AF69" ca="1">_xll.EQNXTDZ($A$1,$B69,AF$1)</f>
        <v>#NAME?</v>
      </c>
    </row>
    <row r="70" spans="1:32" s="110" customFormat="1" x14ac:dyDescent="0.25">
      <c r="A70" s="110" t="s">
        <v>128</v>
      </c>
      <c r="B70" s="110" t="s">
        <v>150</v>
      </c>
      <c r="C70" t="e" cm="1">
        <f t="array" aca="1" ref="C70" ca="1">_xll.EQNXTDZ($A$1,$B70,C$1)</f>
        <v>#NAME?</v>
      </c>
      <c r="D70" t="e" cm="1">
        <f t="array" aca="1" ref="D70" ca="1">_xll.EQNXTDZ($A$1,$B70,D$1)</f>
        <v>#NAME?</v>
      </c>
      <c r="E70" t="e" cm="1">
        <f t="array" aca="1" ref="E70" ca="1">_xll.EQNXTDZ($A$1,$B70,E$1)</f>
        <v>#NAME?</v>
      </c>
      <c r="F70" t="e" cm="1">
        <f t="array" aca="1" ref="F70" ca="1">_xll.EQNXTDZ($A$1,$B70,F$1)</f>
        <v>#NAME?</v>
      </c>
      <c r="G70" t="e" cm="1">
        <f t="array" aca="1" ref="G70" ca="1">_xll.EQNXTDZ($A$1,$B70,G$1)</f>
        <v>#NAME?</v>
      </c>
      <c r="H70" t="e" cm="1">
        <f t="array" aca="1" ref="H70" ca="1">_xll.EQNXTDZ($A$1,$B70,H$1)</f>
        <v>#NAME?</v>
      </c>
      <c r="I70" t="e" cm="1">
        <f t="array" aca="1" ref="I70" ca="1">_xll.EQNXTDZ($A$1,$B70,I$1)</f>
        <v>#NAME?</v>
      </c>
      <c r="J70" t="e" cm="1">
        <f t="array" aca="1" ref="J70" ca="1">_xll.EQNXTDZ($A$1,$B70,J$1)</f>
        <v>#NAME?</v>
      </c>
      <c r="K70" t="e" cm="1">
        <f t="array" aca="1" ref="K70" ca="1">_xll.EQNXTDZ($A$1,$B70,K$1)</f>
        <v>#NAME?</v>
      </c>
      <c r="L70" t="e" cm="1">
        <f t="array" aca="1" ref="L70" ca="1">_xll.EQNXTDZ($A$1,$B70,L$1)</f>
        <v>#NAME?</v>
      </c>
      <c r="M70" t="e" cm="1">
        <f t="array" aca="1" ref="M70" ca="1">_xll.EQNXTDZ($A$1,$B70,M$1)</f>
        <v>#NAME?</v>
      </c>
      <c r="N70" t="e" cm="1">
        <f t="array" aca="1" ref="N70" ca="1">_xll.EQNXTDZ($A$1,$B70,N$1)</f>
        <v>#NAME?</v>
      </c>
      <c r="O70" t="e" cm="1">
        <f t="array" aca="1" ref="O70" ca="1">_xll.EQNXTDZ($A$1,$B70,O$1)</f>
        <v>#NAME?</v>
      </c>
      <c r="P70" t="e" cm="1">
        <f t="array" aca="1" ref="P70" ca="1">_xll.EQNXTDZ($A$1,$B70,P$1)</f>
        <v>#NAME?</v>
      </c>
      <c r="Q70" t="e" cm="1">
        <f t="array" aca="1" ref="Q70" ca="1">_xll.EQNXTDZ($A$1,$B70,Q$1)</f>
        <v>#NAME?</v>
      </c>
      <c r="R70" t="e" cm="1">
        <f t="array" aca="1" ref="R70" ca="1">_xll.EQNXTDZ($A$1,$B70,R$1)</f>
        <v>#NAME?</v>
      </c>
      <c r="S70" t="e" cm="1">
        <f t="array" aca="1" ref="S70" ca="1">_xll.EQNXTDZ($A$1,$B70,S$1)</f>
        <v>#NAME?</v>
      </c>
      <c r="T70" t="e" cm="1">
        <f t="array" aca="1" ref="T70" ca="1">_xll.EQNXTDZ($A$1,$B70,T$1)</f>
        <v>#NAME?</v>
      </c>
      <c r="U70" t="e" cm="1">
        <f t="array" aca="1" ref="U70" ca="1">_xll.EQNXTDZ($A$1,$B70,U$1)</f>
        <v>#NAME?</v>
      </c>
      <c r="V70" t="e" cm="1">
        <f t="array" aca="1" ref="V70" ca="1">_xll.EQNXTDZ($A$1,$B70,V$1)</f>
        <v>#NAME?</v>
      </c>
      <c r="W70" t="e" cm="1">
        <f t="array" aca="1" ref="W70" ca="1">_xll.EQNXTDZ($A$1,$B70,W$1)</f>
        <v>#NAME?</v>
      </c>
      <c r="X70" t="e" cm="1">
        <f t="array" aca="1" ref="X70" ca="1">_xll.EQNXTDZ($A$1,$B70,X$1)</f>
        <v>#NAME?</v>
      </c>
      <c r="Y70" t="e" cm="1">
        <f t="array" aca="1" ref="Y70" ca="1">_xll.EQNXTDZ($A$1,$B70,Y$1)</f>
        <v>#NAME?</v>
      </c>
      <c r="Z70" t="e" cm="1">
        <f t="array" aca="1" ref="Z70" ca="1">_xll.EQNXTDZ($A$1,$B70,Z$1)</f>
        <v>#NAME?</v>
      </c>
      <c r="AA70" t="e" cm="1">
        <f t="array" aca="1" ref="AA70" ca="1">_xll.EQNXTDZ($A$1,$B70,AA$1)</f>
        <v>#NAME?</v>
      </c>
      <c r="AB70" t="e" cm="1">
        <f t="array" aca="1" ref="AB70" ca="1">_xll.EQNXTDZ($A$1,$B70,AB$1)</f>
        <v>#NAME?</v>
      </c>
      <c r="AC70" t="e" cm="1">
        <f t="array" aca="1" ref="AC70" ca="1">_xll.EQNXTDZ($A$1,$B70,AC$1)</f>
        <v>#NAME?</v>
      </c>
      <c r="AD70" t="e" cm="1">
        <f t="array" aca="1" ref="AD70" ca="1">_xll.EQNXTDZ($A$1,$B70,AD$1)</f>
        <v>#NAME?</v>
      </c>
      <c r="AE70" t="e" cm="1">
        <f t="array" aca="1" ref="AE70" ca="1">_xll.EQNXTDZ($A$1,$B70,AE$1)</f>
        <v>#NAME?</v>
      </c>
      <c r="AF70" t="e" cm="1">
        <f t="array" aca="1" ref="AF70" ca="1">_xll.EQNXTDZ($A$1,$B70,AF$1)</f>
        <v>#NAME?</v>
      </c>
    </row>
    <row r="71" spans="1:32" s="110" customFormat="1" x14ac:dyDescent="0.25">
      <c r="A71" s="110" t="s">
        <v>129</v>
      </c>
      <c r="B71" s="110" t="s">
        <v>151</v>
      </c>
      <c r="C71" t="e" cm="1">
        <f t="array" aca="1" ref="C71" ca="1">_xll.EQNXTDZ($A$1,$B71,C$1)</f>
        <v>#NAME?</v>
      </c>
      <c r="D71" t="e" cm="1">
        <f t="array" aca="1" ref="D71" ca="1">_xll.EQNXTDZ($A$1,$B71,D$1)</f>
        <v>#NAME?</v>
      </c>
      <c r="E71" t="e" cm="1">
        <f t="array" aca="1" ref="E71" ca="1">_xll.EQNXTDZ($A$1,$B71,E$1)</f>
        <v>#NAME?</v>
      </c>
      <c r="F71" t="e" cm="1">
        <f t="array" aca="1" ref="F71" ca="1">_xll.EQNXTDZ($A$1,$B71,F$1)</f>
        <v>#NAME?</v>
      </c>
      <c r="G71" t="e" cm="1">
        <f t="array" aca="1" ref="G71" ca="1">_xll.EQNXTDZ($A$1,$B71,G$1)</f>
        <v>#NAME?</v>
      </c>
      <c r="H71" t="e" cm="1">
        <f t="array" aca="1" ref="H71" ca="1">_xll.EQNXTDZ($A$1,$B71,H$1)</f>
        <v>#NAME?</v>
      </c>
      <c r="I71" t="e" cm="1">
        <f t="array" aca="1" ref="I71" ca="1">_xll.EQNXTDZ($A$1,$B71,I$1)</f>
        <v>#NAME?</v>
      </c>
      <c r="J71" t="e" cm="1">
        <f t="array" aca="1" ref="J71" ca="1">_xll.EQNXTDZ($A$1,$B71,J$1)</f>
        <v>#NAME?</v>
      </c>
      <c r="K71" t="e" cm="1">
        <f t="array" aca="1" ref="K71" ca="1">_xll.EQNXTDZ($A$1,$B71,K$1)</f>
        <v>#NAME?</v>
      </c>
      <c r="L71" t="e" cm="1">
        <f t="array" aca="1" ref="L71" ca="1">_xll.EQNXTDZ($A$1,$B71,L$1)</f>
        <v>#NAME?</v>
      </c>
      <c r="M71" t="e" cm="1">
        <f t="array" aca="1" ref="M71" ca="1">_xll.EQNXTDZ($A$1,$B71,M$1)</f>
        <v>#NAME?</v>
      </c>
      <c r="N71" t="e" cm="1">
        <f t="array" aca="1" ref="N71" ca="1">_xll.EQNXTDZ($A$1,$B71,N$1)</f>
        <v>#NAME?</v>
      </c>
      <c r="O71" t="e" cm="1">
        <f t="array" aca="1" ref="O71" ca="1">_xll.EQNXTDZ($A$1,$B71,O$1)</f>
        <v>#NAME?</v>
      </c>
      <c r="P71" t="e" cm="1">
        <f t="array" aca="1" ref="P71" ca="1">_xll.EQNXTDZ($A$1,$B71,P$1)</f>
        <v>#NAME?</v>
      </c>
      <c r="Q71" t="e" cm="1">
        <f t="array" aca="1" ref="Q71" ca="1">_xll.EQNXTDZ($A$1,$B71,Q$1)</f>
        <v>#NAME?</v>
      </c>
      <c r="R71" t="e" cm="1">
        <f t="array" aca="1" ref="R71" ca="1">_xll.EQNXTDZ($A$1,$B71,R$1)</f>
        <v>#NAME?</v>
      </c>
      <c r="S71" t="e" cm="1">
        <f t="array" aca="1" ref="S71" ca="1">_xll.EQNXTDZ($A$1,$B71,S$1)</f>
        <v>#NAME?</v>
      </c>
      <c r="T71" t="e" cm="1">
        <f t="array" aca="1" ref="T71" ca="1">_xll.EQNXTDZ($A$1,$B71,T$1)</f>
        <v>#NAME?</v>
      </c>
      <c r="U71" t="e" cm="1">
        <f t="array" aca="1" ref="U71" ca="1">_xll.EQNXTDZ($A$1,$B71,U$1)</f>
        <v>#NAME?</v>
      </c>
      <c r="V71" t="e" cm="1">
        <f t="array" aca="1" ref="V71" ca="1">_xll.EQNXTDZ($A$1,$B71,V$1)</f>
        <v>#NAME?</v>
      </c>
      <c r="W71" t="e" cm="1">
        <f t="array" aca="1" ref="W71" ca="1">_xll.EQNXTDZ($A$1,$B71,W$1)</f>
        <v>#NAME?</v>
      </c>
      <c r="X71" t="e" cm="1">
        <f t="array" aca="1" ref="X71" ca="1">_xll.EQNXTDZ($A$1,$B71,X$1)</f>
        <v>#NAME?</v>
      </c>
      <c r="Y71" t="e" cm="1">
        <f t="array" aca="1" ref="Y71" ca="1">_xll.EQNXTDZ($A$1,$B71,Y$1)</f>
        <v>#NAME?</v>
      </c>
      <c r="Z71" t="e" cm="1">
        <f t="array" aca="1" ref="Z71" ca="1">_xll.EQNXTDZ($A$1,$B71,Z$1)</f>
        <v>#NAME?</v>
      </c>
      <c r="AA71" t="e" cm="1">
        <f t="array" aca="1" ref="AA71" ca="1">_xll.EQNXTDZ($A$1,$B71,AA$1)</f>
        <v>#NAME?</v>
      </c>
      <c r="AB71" t="e" cm="1">
        <f t="array" aca="1" ref="AB71" ca="1">_xll.EQNXTDZ($A$1,$B71,AB$1)</f>
        <v>#NAME?</v>
      </c>
      <c r="AC71" t="e" cm="1">
        <f t="array" aca="1" ref="AC71" ca="1">_xll.EQNXTDZ($A$1,$B71,AC$1)</f>
        <v>#NAME?</v>
      </c>
      <c r="AD71" t="e" cm="1">
        <f t="array" aca="1" ref="AD71" ca="1">_xll.EQNXTDZ($A$1,$B71,AD$1)</f>
        <v>#NAME?</v>
      </c>
      <c r="AE71" t="e" cm="1">
        <f t="array" aca="1" ref="AE71" ca="1">_xll.EQNXTDZ($A$1,$B71,AE$1)</f>
        <v>#NAME?</v>
      </c>
      <c r="AF71" t="e" cm="1">
        <f t="array" aca="1" ref="AF71" ca="1">_xll.EQNXTDZ($A$1,$B71,AF$1)</f>
        <v>#NAME?</v>
      </c>
    </row>
    <row r="72" spans="1:32" s="110" customFormat="1" x14ac:dyDescent="0.25">
      <c r="A72" s="110" t="s">
        <v>130</v>
      </c>
      <c r="B72" s="110" t="s">
        <v>152</v>
      </c>
      <c r="C72" t="e" cm="1">
        <f t="array" aca="1" ref="C72" ca="1">_xll.EQNXTDZ($A$1,$B72,C$1)</f>
        <v>#NAME?</v>
      </c>
      <c r="D72" t="e" cm="1">
        <f t="array" aca="1" ref="D72" ca="1">_xll.EQNXTDZ($A$1,$B72,D$1)</f>
        <v>#NAME?</v>
      </c>
      <c r="E72" t="e" cm="1">
        <f t="array" aca="1" ref="E72" ca="1">_xll.EQNXTDZ($A$1,$B72,E$1)</f>
        <v>#NAME?</v>
      </c>
      <c r="F72" t="e" cm="1">
        <f t="array" aca="1" ref="F72" ca="1">_xll.EQNXTDZ($A$1,$B72,F$1)</f>
        <v>#NAME?</v>
      </c>
      <c r="G72" t="e" cm="1">
        <f t="array" aca="1" ref="G72" ca="1">_xll.EQNXTDZ($A$1,$B72,G$1)</f>
        <v>#NAME?</v>
      </c>
      <c r="H72" t="e" cm="1">
        <f t="array" aca="1" ref="H72" ca="1">_xll.EQNXTDZ($A$1,$B72,H$1)</f>
        <v>#NAME?</v>
      </c>
      <c r="I72" t="e" cm="1">
        <f t="array" aca="1" ref="I72" ca="1">_xll.EQNXTDZ($A$1,$B72,I$1)</f>
        <v>#NAME?</v>
      </c>
      <c r="J72" t="e" cm="1">
        <f t="array" aca="1" ref="J72" ca="1">_xll.EQNXTDZ($A$1,$B72,J$1)</f>
        <v>#NAME?</v>
      </c>
      <c r="K72" t="e" cm="1">
        <f t="array" aca="1" ref="K72" ca="1">_xll.EQNXTDZ($A$1,$B72,K$1)</f>
        <v>#NAME?</v>
      </c>
      <c r="L72" t="e" cm="1">
        <f t="array" aca="1" ref="L72" ca="1">_xll.EQNXTDZ($A$1,$B72,L$1)</f>
        <v>#NAME?</v>
      </c>
      <c r="M72" t="e" cm="1">
        <f t="array" aca="1" ref="M72" ca="1">_xll.EQNXTDZ($A$1,$B72,M$1)</f>
        <v>#NAME?</v>
      </c>
      <c r="N72" t="e" cm="1">
        <f t="array" aca="1" ref="N72" ca="1">_xll.EQNXTDZ($A$1,$B72,N$1)</f>
        <v>#NAME?</v>
      </c>
      <c r="O72" t="e" cm="1">
        <f t="array" aca="1" ref="O72" ca="1">_xll.EQNXTDZ($A$1,$B72,O$1)</f>
        <v>#NAME?</v>
      </c>
      <c r="P72" t="e" cm="1">
        <f t="array" aca="1" ref="P72" ca="1">_xll.EQNXTDZ($A$1,$B72,P$1)</f>
        <v>#NAME?</v>
      </c>
      <c r="Q72" t="e" cm="1">
        <f t="array" aca="1" ref="Q72" ca="1">_xll.EQNXTDZ($A$1,$B72,Q$1)</f>
        <v>#NAME?</v>
      </c>
      <c r="R72" t="e" cm="1">
        <f t="array" aca="1" ref="R72" ca="1">_xll.EQNXTDZ($A$1,$B72,R$1)</f>
        <v>#NAME?</v>
      </c>
      <c r="S72" t="e" cm="1">
        <f t="array" aca="1" ref="S72" ca="1">_xll.EQNXTDZ($A$1,$B72,S$1)</f>
        <v>#NAME?</v>
      </c>
      <c r="T72" t="e" cm="1">
        <f t="array" aca="1" ref="T72" ca="1">_xll.EQNXTDZ($A$1,$B72,T$1)</f>
        <v>#NAME?</v>
      </c>
      <c r="U72" t="e" cm="1">
        <f t="array" aca="1" ref="U72" ca="1">_xll.EQNXTDZ($A$1,$B72,U$1)</f>
        <v>#NAME?</v>
      </c>
      <c r="V72" t="e" cm="1">
        <f t="array" aca="1" ref="V72" ca="1">_xll.EQNXTDZ($A$1,$B72,V$1)</f>
        <v>#NAME?</v>
      </c>
      <c r="W72" t="e" cm="1">
        <f t="array" aca="1" ref="W72" ca="1">_xll.EQNXTDZ($A$1,$B72,W$1)</f>
        <v>#NAME?</v>
      </c>
      <c r="X72" t="e" cm="1">
        <f t="array" aca="1" ref="X72" ca="1">_xll.EQNXTDZ($A$1,$B72,X$1)</f>
        <v>#NAME?</v>
      </c>
      <c r="Y72" t="e" cm="1">
        <f t="array" aca="1" ref="Y72" ca="1">_xll.EQNXTDZ($A$1,$B72,Y$1)</f>
        <v>#NAME?</v>
      </c>
      <c r="Z72" t="e" cm="1">
        <f t="array" aca="1" ref="Z72" ca="1">_xll.EQNXTDZ($A$1,$B72,Z$1)</f>
        <v>#NAME?</v>
      </c>
      <c r="AA72" t="e" cm="1">
        <f t="array" aca="1" ref="AA72" ca="1">_xll.EQNXTDZ($A$1,$B72,AA$1)</f>
        <v>#NAME?</v>
      </c>
      <c r="AB72" t="e" cm="1">
        <f t="array" aca="1" ref="AB72" ca="1">_xll.EQNXTDZ($A$1,$B72,AB$1)</f>
        <v>#NAME?</v>
      </c>
      <c r="AC72" t="e" cm="1">
        <f t="array" aca="1" ref="AC72" ca="1">_xll.EQNXTDZ($A$1,$B72,AC$1)</f>
        <v>#NAME?</v>
      </c>
      <c r="AD72" t="e" cm="1">
        <f t="array" aca="1" ref="AD72" ca="1">_xll.EQNXTDZ($A$1,$B72,AD$1)</f>
        <v>#NAME?</v>
      </c>
      <c r="AE72" t="e" cm="1">
        <f t="array" aca="1" ref="AE72" ca="1">_xll.EQNXTDZ($A$1,$B72,AE$1)</f>
        <v>#NAME?</v>
      </c>
      <c r="AF72" t="e" cm="1">
        <f t="array" aca="1" ref="AF72" ca="1">_xll.EQNXTDZ($A$1,$B72,AF$1)</f>
        <v>#NAME?</v>
      </c>
    </row>
    <row r="73" spans="1:32" s="110" customFormat="1" x14ac:dyDescent="0.25">
      <c r="A73" s="110" t="s">
        <v>131</v>
      </c>
      <c r="B73" s="110" t="s">
        <v>153</v>
      </c>
      <c r="C73" t="e" cm="1">
        <f t="array" aca="1" ref="C73" ca="1">_xll.EQNXTDZ($A$1,$B73,C$1)</f>
        <v>#NAME?</v>
      </c>
      <c r="D73" t="e" cm="1">
        <f t="array" aca="1" ref="D73" ca="1">_xll.EQNXTDZ($A$1,$B73,D$1)</f>
        <v>#NAME?</v>
      </c>
      <c r="E73" t="e" cm="1">
        <f t="array" aca="1" ref="E73" ca="1">_xll.EQNXTDZ($A$1,$B73,E$1)</f>
        <v>#NAME?</v>
      </c>
      <c r="F73" t="e" cm="1">
        <f t="array" aca="1" ref="F73" ca="1">_xll.EQNXTDZ($A$1,$B73,F$1)</f>
        <v>#NAME?</v>
      </c>
      <c r="G73" t="e" cm="1">
        <f t="array" aca="1" ref="G73" ca="1">_xll.EQNXTDZ($A$1,$B73,G$1)</f>
        <v>#NAME?</v>
      </c>
      <c r="H73" t="e" cm="1">
        <f t="array" aca="1" ref="H73" ca="1">_xll.EQNXTDZ($A$1,$B73,H$1)</f>
        <v>#NAME?</v>
      </c>
      <c r="I73" t="e" cm="1">
        <f t="array" aca="1" ref="I73" ca="1">_xll.EQNXTDZ($A$1,$B73,I$1)</f>
        <v>#NAME?</v>
      </c>
      <c r="J73" t="e" cm="1">
        <f t="array" aca="1" ref="J73" ca="1">_xll.EQNXTDZ($A$1,$B73,J$1)</f>
        <v>#NAME?</v>
      </c>
      <c r="K73" t="e" cm="1">
        <f t="array" aca="1" ref="K73" ca="1">_xll.EQNXTDZ($A$1,$B73,K$1)</f>
        <v>#NAME?</v>
      </c>
      <c r="L73" t="e" cm="1">
        <f t="array" aca="1" ref="L73" ca="1">_xll.EQNXTDZ($A$1,$B73,L$1)</f>
        <v>#NAME?</v>
      </c>
      <c r="M73" t="e" cm="1">
        <f t="array" aca="1" ref="M73" ca="1">_xll.EQNXTDZ($A$1,$B73,M$1)</f>
        <v>#NAME?</v>
      </c>
      <c r="N73" t="e" cm="1">
        <f t="array" aca="1" ref="N73" ca="1">_xll.EQNXTDZ($A$1,$B73,N$1)</f>
        <v>#NAME?</v>
      </c>
      <c r="O73" t="e" cm="1">
        <f t="array" aca="1" ref="O73" ca="1">_xll.EQNXTDZ($A$1,$B73,O$1)</f>
        <v>#NAME?</v>
      </c>
      <c r="P73" t="e" cm="1">
        <f t="array" aca="1" ref="P73" ca="1">_xll.EQNXTDZ($A$1,$B73,P$1)</f>
        <v>#NAME?</v>
      </c>
      <c r="Q73" t="e" cm="1">
        <f t="array" aca="1" ref="Q73" ca="1">_xll.EQNXTDZ($A$1,$B73,Q$1)</f>
        <v>#NAME?</v>
      </c>
      <c r="R73" t="e" cm="1">
        <f t="array" aca="1" ref="R73" ca="1">_xll.EQNXTDZ($A$1,$B73,R$1)</f>
        <v>#NAME?</v>
      </c>
      <c r="S73" t="e" cm="1">
        <f t="array" aca="1" ref="S73" ca="1">_xll.EQNXTDZ($A$1,$B73,S$1)</f>
        <v>#NAME?</v>
      </c>
      <c r="T73" t="e" cm="1">
        <f t="array" aca="1" ref="T73" ca="1">_xll.EQNXTDZ($A$1,$B73,T$1)</f>
        <v>#NAME?</v>
      </c>
      <c r="U73" t="e" cm="1">
        <f t="array" aca="1" ref="U73" ca="1">_xll.EQNXTDZ($A$1,$B73,U$1)</f>
        <v>#NAME?</v>
      </c>
      <c r="V73" t="e" cm="1">
        <f t="array" aca="1" ref="V73" ca="1">_xll.EQNXTDZ($A$1,$B73,V$1)</f>
        <v>#NAME?</v>
      </c>
      <c r="W73" t="e" cm="1">
        <f t="array" aca="1" ref="W73" ca="1">_xll.EQNXTDZ($A$1,$B73,W$1)</f>
        <v>#NAME?</v>
      </c>
      <c r="X73" t="e" cm="1">
        <f t="array" aca="1" ref="X73" ca="1">_xll.EQNXTDZ($A$1,$B73,X$1)</f>
        <v>#NAME?</v>
      </c>
      <c r="Y73" t="e" cm="1">
        <f t="array" aca="1" ref="Y73" ca="1">_xll.EQNXTDZ($A$1,$B73,Y$1)</f>
        <v>#NAME?</v>
      </c>
      <c r="Z73" t="e" cm="1">
        <f t="array" aca="1" ref="Z73" ca="1">_xll.EQNXTDZ($A$1,$B73,Z$1)</f>
        <v>#NAME?</v>
      </c>
      <c r="AA73" t="e" cm="1">
        <f t="array" aca="1" ref="AA73" ca="1">_xll.EQNXTDZ($A$1,$B73,AA$1)</f>
        <v>#NAME?</v>
      </c>
      <c r="AB73" t="e" cm="1">
        <f t="array" aca="1" ref="AB73" ca="1">_xll.EQNXTDZ($A$1,$B73,AB$1)</f>
        <v>#NAME?</v>
      </c>
      <c r="AC73" t="e" cm="1">
        <f t="array" aca="1" ref="AC73" ca="1">_xll.EQNXTDZ($A$1,$B73,AC$1)</f>
        <v>#NAME?</v>
      </c>
      <c r="AD73" t="e" cm="1">
        <f t="array" aca="1" ref="AD73" ca="1">_xll.EQNXTDZ($A$1,$B73,AD$1)</f>
        <v>#NAME?</v>
      </c>
      <c r="AE73" t="e" cm="1">
        <f t="array" aca="1" ref="AE73" ca="1">_xll.EQNXTDZ($A$1,$B73,AE$1)</f>
        <v>#NAME?</v>
      </c>
      <c r="AF73" t="e" cm="1">
        <f t="array" aca="1" ref="AF73" ca="1">_xll.EQNXTDZ($A$1,$B73,AF$1)</f>
        <v>#NAME?</v>
      </c>
    </row>
    <row r="74" spans="1:32" s="110" customFormat="1" x14ac:dyDescent="0.25">
      <c r="A74" s="110" t="s">
        <v>50</v>
      </c>
      <c r="B74" s="110" t="s">
        <v>154</v>
      </c>
      <c r="C74" t="e" cm="1">
        <f t="array" aca="1" ref="C74" ca="1">_xll.EQNXTDZ($A$1,$B74,C$1)</f>
        <v>#NAME?</v>
      </c>
      <c r="D74" t="e" cm="1">
        <f t="array" aca="1" ref="D74" ca="1">_xll.EQNXTDZ($A$1,$B74,D$1)</f>
        <v>#NAME?</v>
      </c>
      <c r="E74" t="e" cm="1">
        <f t="array" aca="1" ref="E74" ca="1">_xll.EQNXTDZ($A$1,$B74,E$1)</f>
        <v>#NAME?</v>
      </c>
      <c r="F74" t="e" cm="1">
        <f t="array" aca="1" ref="F74" ca="1">_xll.EQNXTDZ($A$1,$B74,F$1)</f>
        <v>#NAME?</v>
      </c>
      <c r="G74" t="e" cm="1">
        <f t="array" aca="1" ref="G74" ca="1">_xll.EQNXTDZ($A$1,$B74,G$1)</f>
        <v>#NAME?</v>
      </c>
      <c r="H74" t="e" cm="1">
        <f t="array" aca="1" ref="H74" ca="1">_xll.EQNXTDZ($A$1,$B74,H$1)</f>
        <v>#NAME?</v>
      </c>
      <c r="I74" t="e" cm="1">
        <f t="array" aca="1" ref="I74" ca="1">_xll.EQNXTDZ($A$1,$B74,I$1)</f>
        <v>#NAME?</v>
      </c>
      <c r="J74" t="e" cm="1">
        <f t="array" aca="1" ref="J74" ca="1">_xll.EQNXTDZ($A$1,$B74,J$1)</f>
        <v>#NAME?</v>
      </c>
      <c r="K74" t="e" cm="1">
        <f t="array" aca="1" ref="K74" ca="1">_xll.EQNXTDZ($A$1,$B74,K$1)</f>
        <v>#NAME?</v>
      </c>
      <c r="L74" t="e" cm="1">
        <f t="array" aca="1" ref="L74" ca="1">_xll.EQNXTDZ($A$1,$B74,L$1)</f>
        <v>#NAME?</v>
      </c>
      <c r="M74" t="e" cm="1">
        <f t="array" aca="1" ref="M74" ca="1">_xll.EQNXTDZ($A$1,$B74,M$1)</f>
        <v>#NAME?</v>
      </c>
      <c r="N74" t="e" cm="1">
        <f t="array" aca="1" ref="N74" ca="1">_xll.EQNXTDZ($A$1,$B74,N$1)</f>
        <v>#NAME?</v>
      </c>
      <c r="O74" t="e" cm="1">
        <f t="array" aca="1" ref="O74" ca="1">_xll.EQNXTDZ($A$1,$B74,O$1)</f>
        <v>#NAME?</v>
      </c>
      <c r="P74" t="e" cm="1">
        <f t="array" aca="1" ref="P74" ca="1">_xll.EQNXTDZ($A$1,$B74,P$1)</f>
        <v>#NAME?</v>
      </c>
      <c r="Q74" t="e" cm="1">
        <f t="array" aca="1" ref="Q74" ca="1">_xll.EQNXTDZ($A$1,$B74,Q$1)</f>
        <v>#NAME?</v>
      </c>
      <c r="R74" t="e" cm="1">
        <f t="array" aca="1" ref="R74" ca="1">_xll.EQNXTDZ($A$1,$B74,R$1)</f>
        <v>#NAME?</v>
      </c>
      <c r="S74" t="e" cm="1">
        <f t="array" aca="1" ref="S74" ca="1">_xll.EQNXTDZ($A$1,$B74,S$1)</f>
        <v>#NAME?</v>
      </c>
      <c r="T74" t="e" cm="1">
        <f t="array" aca="1" ref="T74" ca="1">_xll.EQNXTDZ($A$1,$B74,T$1)</f>
        <v>#NAME?</v>
      </c>
      <c r="U74" t="e" cm="1">
        <f t="array" aca="1" ref="U74" ca="1">_xll.EQNXTDZ($A$1,$B74,U$1)</f>
        <v>#NAME?</v>
      </c>
      <c r="V74" t="e" cm="1">
        <f t="array" aca="1" ref="V74" ca="1">_xll.EQNXTDZ($A$1,$B74,V$1)</f>
        <v>#NAME?</v>
      </c>
      <c r="W74" t="e" cm="1">
        <f t="array" aca="1" ref="W74" ca="1">_xll.EQNXTDZ($A$1,$B74,W$1)</f>
        <v>#NAME?</v>
      </c>
      <c r="X74" t="e" cm="1">
        <f t="array" aca="1" ref="X74" ca="1">_xll.EQNXTDZ($A$1,$B74,X$1)</f>
        <v>#NAME?</v>
      </c>
      <c r="Y74" t="e" cm="1">
        <f t="array" aca="1" ref="Y74" ca="1">_xll.EQNXTDZ($A$1,$B74,Y$1)</f>
        <v>#NAME?</v>
      </c>
      <c r="Z74" t="e" cm="1">
        <f t="array" aca="1" ref="Z74" ca="1">_xll.EQNXTDZ($A$1,$B74,Z$1)</f>
        <v>#NAME?</v>
      </c>
      <c r="AA74" t="e" cm="1">
        <f t="array" aca="1" ref="AA74" ca="1">_xll.EQNXTDZ($A$1,$B74,AA$1)</f>
        <v>#NAME?</v>
      </c>
      <c r="AB74" t="e" cm="1">
        <f t="array" aca="1" ref="AB74" ca="1">_xll.EQNXTDZ($A$1,$B74,AB$1)</f>
        <v>#NAME?</v>
      </c>
      <c r="AC74" t="e" cm="1">
        <f t="array" aca="1" ref="AC74" ca="1">_xll.EQNXTDZ($A$1,$B74,AC$1)</f>
        <v>#NAME?</v>
      </c>
      <c r="AD74" t="e" cm="1">
        <f t="array" aca="1" ref="AD74" ca="1">_xll.EQNXTDZ($A$1,$B74,AD$1)</f>
        <v>#NAME?</v>
      </c>
      <c r="AE74" t="e" cm="1">
        <f t="array" aca="1" ref="AE74" ca="1">_xll.EQNXTDZ($A$1,$B74,AE$1)</f>
        <v>#NAME?</v>
      </c>
      <c r="AF74" t="e" cm="1">
        <f t="array" aca="1" ref="AF74" ca="1">_xll.EQNXTDZ($A$1,$B74,AF$1)</f>
        <v>#NAME?</v>
      </c>
    </row>
    <row r="75" spans="1:32" s="110" customFormat="1" x14ac:dyDescent="0.25">
      <c r="A75" s="110" t="s">
        <v>132</v>
      </c>
      <c r="B75" s="110" t="s">
        <v>155</v>
      </c>
      <c r="C75" t="e" cm="1">
        <f t="array" aca="1" ref="C75" ca="1">_xll.EQNXTDZ($A$1,$B75,C$1)</f>
        <v>#NAME?</v>
      </c>
      <c r="D75" t="e" cm="1">
        <f t="array" aca="1" ref="D75" ca="1">_xll.EQNXTDZ($A$1,$B75,D$1)</f>
        <v>#NAME?</v>
      </c>
      <c r="E75" t="e" cm="1">
        <f t="array" aca="1" ref="E75" ca="1">_xll.EQNXTDZ($A$1,$B75,E$1)</f>
        <v>#NAME?</v>
      </c>
      <c r="F75" t="e" cm="1">
        <f t="array" aca="1" ref="F75" ca="1">_xll.EQNXTDZ($A$1,$B75,F$1)</f>
        <v>#NAME?</v>
      </c>
      <c r="G75" t="e" cm="1">
        <f t="array" aca="1" ref="G75" ca="1">_xll.EQNXTDZ($A$1,$B75,G$1)</f>
        <v>#NAME?</v>
      </c>
      <c r="H75" t="e" cm="1">
        <f t="array" aca="1" ref="H75" ca="1">_xll.EQNXTDZ($A$1,$B75,H$1)</f>
        <v>#NAME?</v>
      </c>
      <c r="I75" t="e" cm="1">
        <f t="array" aca="1" ref="I75" ca="1">_xll.EQNXTDZ($A$1,$B75,I$1)</f>
        <v>#NAME?</v>
      </c>
      <c r="J75" t="e" cm="1">
        <f t="array" aca="1" ref="J75" ca="1">_xll.EQNXTDZ($A$1,$B75,J$1)</f>
        <v>#NAME?</v>
      </c>
      <c r="K75" t="e" cm="1">
        <f t="array" aca="1" ref="K75" ca="1">_xll.EQNXTDZ($A$1,$B75,K$1)</f>
        <v>#NAME?</v>
      </c>
      <c r="L75" t="e" cm="1">
        <f t="array" aca="1" ref="L75" ca="1">_xll.EQNXTDZ($A$1,$B75,L$1)</f>
        <v>#NAME?</v>
      </c>
      <c r="M75" t="e" cm="1">
        <f t="array" aca="1" ref="M75" ca="1">_xll.EQNXTDZ($A$1,$B75,M$1)</f>
        <v>#NAME?</v>
      </c>
      <c r="N75" t="e" cm="1">
        <f t="array" aca="1" ref="N75" ca="1">_xll.EQNXTDZ($A$1,$B75,N$1)</f>
        <v>#NAME?</v>
      </c>
      <c r="O75" t="e" cm="1">
        <f t="array" aca="1" ref="O75" ca="1">_xll.EQNXTDZ($A$1,$B75,O$1)</f>
        <v>#NAME?</v>
      </c>
      <c r="P75" t="e" cm="1">
        <f t="array" aca="1" ref="P75" ca="1">_xll.EQNXTDZ($A$1,$B75,P$1)</f>
        <v>#NAME?</v>
      </c>
      <c r="Q75" t="e" cm="1">
        <f t="array" aca="1" ref="Q75" ca="1">_xll.EQNXTDZ($A$1,$B75,Q$1)</f>
        <v>#NAME?</v>
      </c>
      <c r="R75" t="e" cm="1">
        <f t="array" aca="1" ref="R75" ca="1">_xll.EQNXTDZ($A$1,$B75,R$1)</f>
        <v>#NAME?</v>
      </c>
      <c r="S75" t="e" cm="1">
        <f t="array" aca="1" ref="S75" ca="1">_xll.EQNXTDZ($A$1,$B75,S$1)</f>
        <v>#NAME?</v>
      </c>
      <c r="T75" t="e" cm="1">
        <f t="array" aca="1" ref="T75" ca="1">_xll.EQNXTDZ($A$1,$B75,T$1)</f>
        <v>#NAME?</v>
      </c>
      <c r="U75" t="e" cm="1">
        <f t="array" aca="1" ref="U75" ca="1">_xll.EQNXTDZ($A$1,$B75,U$1)</f>
        <v>#NAME?</v>
      </c>
      <c r="V75" t="e" cm="1">
        <f t="array" aca="1" ref="V75" ca="1">_xll.EQNXTDZ($A$1,$B75,V$1)</f>
        <v>#NAME?</v>
      </c>
      <c r="W75" t="e" cm="1">
        <f t="array" aca="1" ref="W75" ca="1">_xll.EQNXTDZ($A$1,$B75,W$1)</f>
        <v>#NAME?</v>
      </c>
      <c r="X75" t="e" cm="1">
        <f t="array" aca="1" ref="X75" ca="1">_xll.EQNXTDZ($A$1,$B75,X$1)</f>
        <v>#NAME?</v>
      </c>
      <c r="Y75" t="e" cm="1">
        <f t="array" aca="1" ref="Y75" ca="1">_xll.EQNXTDZ($A$1,$B75,Y$1)</f>
        <v>#NAME?</v>
      </c>
      <c r="Z75" t="e" cm="1">
        <f t="array" aca="1" ref="Z75" ca="1">_xll.EQNXTDZ($A$1,$B75,Z$1)</f>
        <v>#NAME?</v>
      </c>
      <c r="AA75" t="e" cm="1">
        <f t="array" aca="1" ref="AA75" ca="1">_xll.EQNXTDZ($A$1,$B75,AA$1)</f>
        <v>#NAME?</v>
      </c>
      <c r="AB75" t="e" cm="1">
        <f t="array" aca="1" ref="AB75" ca="1">_xll.EQNXTDZ($A$1,$B75,AB$1)</f>
        <v>#NAME?</v>
      </c>
      <c r="AC75" t="e" cm="1">
        <f t="array" aca="1" ref="AC75" ca="1">_xll.EQNXTDZ($A$1,$B75,AC$1)</f>
        <v>#NAME?</v>
      </c>
      <c r="AD75" t="e" cm="1">
        <f t="array" aca="1" ref="AD75" ca="1">_xll.EQNXTDZ($A$1,$B75,AD$1)</f>
        <v>#NAME?</v>
      </c>
      <c r="AE75" t="e" cm="1">
        <f t="array" aca="1" ref="AE75" ca="1">_xll.EQNXTDZ($A$1,$B75,AE$1)</f>
        <v>#NAME?</v>
      </c>
      <c r="AF75" t="e" cm="1">
        <f t="array" aca="1" ref="AF75" ca="1">_xll.EQNXTDZ($A$1,$B75,AF$1)</f>
        <v>#NAME?</v>
      </c>
    </row>
    <row r="76" spans="1:32" s="110" customFormat="1" x14ac:dyDescent="0.25">
      <c r="A76" s="110" t="s">
        <v>133</v>
      </c>
      <c r="B76" s="110" t="s">
        <v>156</v>
      </c>
      <c r="C76" t="e" cm="1">
        <f t="array" aca="1" ref="C76" ca="1">_xll.EQNXTDZ($A$1,$B76,C$1)</f>
        <v>#NAME?</v>
      </c>
      <c r="D76" t="e" cm="1">
        <f t="array" aca="1" ref="D76" ca="1">_xll.EQNXTDZ($A$1,$B76,D$1)</f>
        <v>#NAME?</v>
      </c>
      <c r="E76" t="e" cm="1">
        <f t="array" aca="1" ref="E76" ca="1">_xll.EQNXTDZ($A$1,$B76,E$1)</f>
        <v>#NAME?</v>
      </c>
      <c r="F76" t="e" cm="1">
        <f t="array" aca="1" ref="F76" ca="1">_xll.EQNXTDZ($A$1,$B76,F$1)</f>
        <v>#NAME?</v>
      </c>
      <c r="G76" t="e" cm="1">
        <f t="array" aca="1" ref="G76" ca="1">_xll.EQNXTDZ($A$1,$B76,G$1)</f>
        <v>#NAME?</v>
      </c>
      <c r="H76" t="e" cm="1">
        <f t="array" aca="1" ref="H76" ca="1">_xll.EQNXTDZ($A$1,$B76,H$1)</f>
        <v>#NAME?</v>
      </c>
      <c r="I76" t="e" cm="1">
        <f t="array" aca="1" ref="I76" ca="1">_xll.EQNXTDZ($A$1,$B76,I$1)</f>
        <v>#NAME?</v>
      </c>
      <c r="J76" t="e" cm="1">
        <f t="array" aca="1" ref="J76" ca="1">_xll.EQNXTDZ($A$1,$B76,J$1)</f>
        <v>#NAME?</v>
      </c>
      <c r="K76" t="e" cm="1">
        <f t="array" aca="1" ref="K76" ca="1">_xll.EQNXTDZ($A$1,$B76,K$1)</f>
        <v>#NAME?</v>
      </c>
      <c r="L76" t="e" cm="1">
        <f t="array" aca="1" ref="L76" ca="1">_xll.EQNXTDZ($A$1,$B76,L$1)</f>
        <v>#NAME?</v>
      </c>
      <c r="M76" t="e" cm="1">
        <f t="array" aca="1" ref="M76" ca="1">_xll.EQNXTDZ($A$1,$B76,M$1)</f>
        <v>#NAME?</v>
      </c>
      <c r="N76" t="e" cm="1">
        <f t="array" aca="1" ref="N76" ca="1">_xll.EQNXTDZ($A$1,$B76,N$1)</f>
        <v>#NAME?</v>
      </c>
      <c r="O76" t="e" cm="1">
        <f t="array" aca="1" ref="O76" ca="1">_xll.EQNXTDZ($A$1,$B76,O$1)</f>
        <v>#NAME?</v>
      </c>
      <c r="P76" t="e" cm="1">
        <f t="array" aca="1" ref="P76" ca="1">_xll.EQNXTDZ($A$1,$B76,P$1)</f>
        <v>#NAME?</v>
      </c>
      <c r="Q76" t="e" cm="1">
        <f t="array" aca="1" ref="Q76" ca="1">_xll.EQNXTDZ($A$1,$B76,Q$1)</f>
        <v>#NAME?</v>
      </c>
      <c r="R76" t="e" cm="1">
        <f t="array" aca="1" ref="R76" ca="1">_xll.EQNXTDZ($A$1,$B76,R$1)</f>
        <v>#NAME?</v>
      </c>
      <c r="S76" t="e" cm="1">
        <f t="array" aca="1" ref="S76" ca="1">_xll.EQNXTDZ($A$1,$B76,S$1)</f>
        <v>#NAME?</v>
      </c>
      <c r="T76" t="e" cm="1">
        <f t="array" aca="1" ref="T76" ca="1">_xll.EQNXTDZ($A$1,$B76,T$1)</f>
        <v>#NAME?</v>
      </c>
      <c r="U76" t="e" cm="1">
        <f t="array" aca="1" ref="U76" ca="1">_xll.EQNXTDZ($A$1,$B76,U$1)</f>
        <v>#NAME?</v>
      </c>
      <c r="V76" t="e" cm="1">
        <f t="array" aca="1" ref="V76" ca="1">_xll.EQNXTDZ($A$1,$B76,V$1)</f>
        <v>#NAME?</v>
      </c>
      <c r="W76" t="e" cm="1">
        <f t="array" aca="1" ref="W76" ca="1">_xll.EQNXTDZ($A$1,$B76,W$1)</f>
        <v>#NAME?</v>
      </c>
      <c r="X76" t="e" cm="1">
        <f t="array" aca="1" ref="X76" ca="1">_xll.EQNXTDZ($A$1,$B76,X$1)</f>
        <v>#NAME?</v>
      </c>
      <c r="Y76" t="e" cm="1">
        <f t="array" aca="1" ref="Y76" ca="1">_xll.EQNXTDZ($A$1,$B76,Y$1)</f>
        <v>#NAME?</v>
      </c>
      <c r="Z76" t="e" cm="1">
        <f t="array" aca="1" ref="Z76" ca="1">_xll.EQNXTDZ($A$1,$B76,Z$1)</f>
        <v>#NAME?</v>
      </c>
      <c r="AA76" t="e" cm="1">
        <f t="array" aca="1" ref="AA76" ca="1">_xll.EQNXTDZ($A$1,$B76,AA$1)</f>
        <v>#NAME?</v>
      </c>
      <c r="AB76" t="e" cm="1">
        <f t="array" aca="1" ref="AB76" ca="1">_xll.EQNXTDZ($A$1,$B76,AB$1)</f>
        <v>#NAME?</v>
      </c>
      <c r="AC76" t="e" cm="1">
        <f t="array" aca="1" ref="AC76" ca="1">_xll.EQNXTDZ($A$1,$B76,AC$1)</f>
        <v>#NAME?</v>
      </c>
      <c r="AD76" t="e" cm="1">
        <f t="array" aca="1" ref="AD76" ca="1">_xll.EQNXTDZ($A$1,$B76,AD$1)</f>
        <v>#NAME?</v>
      </c>
      <c r="AE76" t="e" cm="1">
        <f t="array" aca="1" ref="AE76" ca="1">_xll.EQNXTDZ($A$1,$B76,AE$1)</f>
        <v>#NAME?</v>
      </c>
      <c r="AF76" t="e" cm="1">
        <f t="array" aca="1" ref="AF76" ca="1">_xll.EQNXTDZ($A$1,$B76,AF$1)</f>
        <v>#NAME?</v>
      </c>
    </row>
    <row r="77" spans="1:32" s="110" customFormat="1" x14ac:dyDescent="0.25">
      <c r="A77" s="110" t="s">
        <v>134</v>
      </c>
      <c r="B77" s="110" t="s">
        <v>157</v>
      </c>
      <c r="C77" t="e" cm="1">
        <f t="array" aca="1" ref="C77" ca="1">_xll.EQNXTDZ($A$1,$B77,C$1)</f>
        <v>#NAME?</v>
      </c>
      <c r="D77" t="e" cm="1">
        <f t="array" aca="1" ref="D77" ca="1">_xll.EQNXTDZ($A$1,$B77,D$1)</f>
        <v>#NAME?</v>
      </c>
      <c r="E77" t="e" cm="1">
        <f t="array" aca="1" ref="E77" ca="1">_xll.EQNXTDZ($A$1,$B77,E$1)</f>
        <v>#NAME?</v>
      </c>
      <c r="F77" t="e" cm="1">
        <f t="array" aca="1" ref="F77" ca="1">_xll.EQNXTDZ($A$1,$B77,F$1)</f>
        <v>#NAME?</v>
      </c>
      <c r="G77" t="e" cm="1">
        <f t="array" aca="1" ref="G77" ca="1">_xll.EQNXTDZ($A$1,$B77,G$1)</f>
        <v>#NAME?</v>
      </c>
      <c r="H77" t="e" cm="1">
        <f t="array" aca="1" ref="H77" ca="1">_xll.EQNXTDZ($A$1,$B77,H$1)</f>
        <v>#NAME?</v>
      </c>
      <c r="I77" t="e" cm="1">
        <f t="array" aca="1" ref="I77" ca="1">_xll.EQNXTDZ($A$1,$B77,I$1)</f>
        <v>#NAME?</v>
      </c>
      <c r="J77" t="e" cm="1">
        <f t="array" aca="1" ref="J77" ca="1">_xll.EQNXTDZ($A$1,$B77,J$1)</f>
        <v>#NAME?</v>
      </c>
      <c r="K77" t="e" cm="1">
        <f t="array" aca="1" ref="K77" ca="1">_xll.EQNXTDZ($A$1,$B77,K$1)</f>
        <v>#NAME?</v>
      </c>
      <c r="L77" t="e" cm="1">
        <f t="array" aca="1" ref="L77" ca="1">_xll.EQNXTDZ($A$1,$B77,L$1)</f>
        <v>#NAME?</v>
      </c>
      <c r="M77" t="e" cm="1">
        <f t="array" aca="1" ref="M77" ca="1">_xll.EQNXTDZ($A$1,$B77,M$1)</f>
        <v>#NAME?</v>
      </c>
      <c r="N77" t="e" cm="1">
        <f t="array" aca="1" ref="N77" ca="1">_xll.EQNXTDZ($A$1,$B77,N$1)</f>
        <v>#NAME?</v>
      </c>
      <c r="O77" t="e" cm="1">
        <f t="array" aca="1" ref="O77" ca="1">_xll.EQNXTDZ($A$1,$B77,O$1)</f>
        <v>#NAME?</v>
      </c>
      <c r="P77" t="e" cm="1">
        <f t="array" aca="1" ref="P77" ca="1">_xll.EQNXTDZ($A$1,$B77,P$1)</f>
        <v>#NAME?</v>
      </c>
      <c r="Q77" t="e" cm="1">
        <f t="array" aca="1" ref="Q77" ca="1">_xll.EQNXTDZ($A$1,$B77,Q$1)</f>
        <v>#NAME?</v>
      </c>
      <c r="R77" t="e" cm="1">
        <f t="array" aca="1" ref="R77" ca="1">_xll.EQNXTDZ($A$1,$B77,R$1)</f>
        <v>#NAME?</v>
      </c>
      <c r="S77" t="e" cm="1">
        <f t="array" aca="1" ref="S77" ca="1">_xll.EQNXTDZ($A$1,$B77,S$1)</f>
        <v>#NAME?</v>
      </c>
      <c r="T77" t="e" cm="1">
        <f t="array" aca="1" ref="T77" ca="1">_xll.EQNXTDZ($A$1,$B77,T$1)</f>
        <v>#NAME?</v>
      </c>
      <c r="U77" t="e" cm="1">
        <f t="array" aca="1" ref="U77" ca="1">_xll.EQNXTDZ($A$1,$B77,U$1)</f>
        <v>#NAME?</v>
      </c>
      <c r="V77" t="e" cm="1">
        <f t="array" aca="1" ref="V77" ca="1">_xll.EQNXTDZ($A$1,$B77,V$1)</f>
        <v>#NAME?</v>
      </c>
      <c r="W77" t="e" cm="1">
        <f t="array" aca="1" ref="W77" ca="1">_xll.EQNXTDZ($A$1,$B77,W$1)</f>
        <v>#NAME?</v>
      </c>
      <c r="X77" t="e" cm="1">
        <f t="array" aca="1" ref="X77" ca="1">_xll.EQNXTDZ($A$1,$B77,X$1)</f>
        <v>#NAME?</v>
      </c>
      <c r="Y77" t="e" cm="1">
        <f t="array" aca="1" ref="Y77" ca="1">_xll.EQNXTDZ($A$1,$B77,Y$1)</f>
        <v>#NAME?</v>
      </c>
      <c r="Z77" t="e" cm="1">
        <f t="array" aca="1" ref="Z77" ca="1">_xll.EQNXTDZ($A$1,$B77,Z$1)</f>
        <v>#NAME?</v>
      </c>
      <c r="AA77" t="e" cm="1">
        <f t="array" aca="1" ref="AA77" ca="1">_xll.EQNXTDZ($A$1,$B77,AA$1)</f>
        <v>#NAME?</v>
      </c>
      <c r="AB77" t="e" cm="1">
        <f t="array" aca="1" ref="AB77" ca="1">_xll.EQNXTDZ($A$1,$B77,AB$1)</f>
        <v>#NAME?</v>
      </c>
      <c r="AC77" t="e" cm="1">
        <f t="array" aca="1" ref="AC77" ca="1">_xll.EQNXTDZ($A$1,$B77,AC$1)</f>
        <v>#NAME?</v>
      </c>
      <c r="AD77" t="e" cm="1">
        <f t="array" aca="1" ref="AD77" ca="1">_xll.EQNXTDZ($A$1,$B77,AD$1)</f>
        <v>#NAME?</v>
      </c>
      <c r="AE77" t="e" cm="1">
        <f t="array" aca="1" ref="AE77" ca="1">_xll.EQNXTDZ($A$1,$B77,AE$1)</f>
        <v>#NAME?</v>
      </c>
      <c r="AF77" t="e" cm="1">
        <f t="array" aca="1" ref="AF77" ca="1">_xll.EQNXTDZ($A$1,$B77,AF$1)</f>
        <v>#NAME?</v>
      </c>
    </row>
    <row r="78" spans="1:32" s="110" customFormat="1" x14ac:dyDescent="0.25">
      <c r="A78" s="110" t="s">
        <v>20</v>
      </c>
      <c r="B78" s="110" t="s">
        <v>158</v>
      </c>
      <c r="C78" t="e" cm="1">
        <f t="array" aca="1" ref="C78" ca="1">_xll.EQNXTDZ($A$1,$B78,C$1)</f>
        <v>#NAME?</v>
      </c>
      <c r="D78" t="e" cm="1">
        <f t="array" aca="1" ref="D78" ca="1">_xll.EQNXTDZ($A$1,$B78,D$1)</f>
        <v>#NAME?</v>
      </c>
      <c r="E78" t="e" cm="1">
        <f t="array" aca="1" ref="E78" ca="1">_xll.EQNXTDZ($A$1,$B78,E$1)</f>
        <v>#NAME?</v>
      </c>
      <c r="F78" t="e" cm="1">
        <f t="array" aca="1" ref="F78" ca="1">_xll.EQNXTDZ($A$1,$B78,F$1)</f>
        <v>#NAME?</v>
      </c>
      <c r="G78" t="e" cm="1">
        <f t="array" aca="1" ref="G78" ca="1">_xll.EQNXTDZ($A$1,$B78,G$1)</f>
        <v>#NAME?</v>
      </c>
      <c r="H78" t="e" cm="1">
        <f t="array" aca="1" ref="H78" ca="1">_xll.EQNXTDZ($A$1,$B78,H$1)</f>
        <v>#NAME?</v>
      </c>
      <c r="I78" t="e" cm="1">
        <f t="array" aca="1" ref="I78" ca="1">_xll.EQNXTDZ($A$1,$B78,I$1)</f>
        <v>#NAME?</v>
      </c>
      <c r="J78" t="e" cm="1">
        <f t="array" aca="1" ref="J78" ca="1">_xll.EQNXTDZ($A$1,$B78,J$1)</f>
        <v>#NAME?</v>
      </c>
      <c r="K78" t="e" cm="1">
        <f t="array" aca="1" ref="K78" ca="1">_xll.EQNXTDZ($A$1,$B78,K$1)</f>
        <v>#NAME?</v>
      </c>
      <c r="L78" t="e" cm="1">
        <f t="array" aca="1" ref="L78" ca="1">_xll.EQNXTDZ($A$1,$B78,L$1)</f>
        <v>#NAME?</v>
      </c>
      <c r="M78" t="e" cm="1">
        <f t="array" aca="1" ref="M78" ca="1">_xll.EQNXTDZ($A$1,$B78,M$1)</f>
        <v>#NAME?</v>
      </c>
      <c r="N78" t="e" cm="1">
        <f t="array" aca="1" ref="N78" ca="1">_xll.EQNXTDZ($A$1,$B78,N$1)</f>
        <v>#NAME?</v>
      </c>
      <c r="O78" t="e" cm="1">
        <f t="array" aca="1" ref="O78" ca="1">_xll.EQNXTDZ($A$1,$B78,O$1)</f>
        <v>#NAME?</v>
      </c>
      <c r="P78" t="e" cm="1">
        <f t="array" aca="1" ref="P78" ca="1">_xll.EQNXTDZ($A$1,$B78,P$1)</f>
        <v>#NAME?</v>
      </c>
      <c r="Q78" t="e" cm="1">
        <f t="array" aca="1" ref="Q78" ca="1">_xll.EQNXTDZ($A$1,$B78,Q$1)</f>
        <v>#NAME?</v>
      </c>
      <c r="R78" t="e" cm="1">
        <f t="array" aca="1" ref="R78" ca="1">_xll.EQNXTDZ($A$1,$B78,R$1)</f>
        <v>#NAME?</v>
      </c>
      <c r="S78" t="e" cm="1">
        <f t="array" aca="1" ref="S78" ca="1">_xll.EQNXTDZ($A$1,$B78,S$1)</f>
        <v>#NAME?</v>
      </c>
      <c r="T78" t="e" cm="1">
        <f t="array" aca="1" ref="T78" ca="1">_xll.EQNXTDZ($A$1,$B78,T$1)</f>
        <v>#NAME?</v>
      </c>
      <c r="U78" t="e" cm="1">
        <f t="array" aca="1" ref="U78" ca="1">_xll.EQNXTDZ($A$1,$B78,U$1)</f>
        <v>#NAME?</v>
      </c>
      <c r="V78" t="e" cm="1">
        <f t="array" aca="1" ref="V78" ca="1">_xll.EQNXTDZ($A$1,$B78,V$1)</f>
        <v>#NAME?</v>
      </c>
      <c r="W78" t="e" cm="1">
        <f t="array" aca="1" ref="W78" ca="1">_xll.EQNXTDZ($A$1,$B78,W$1)</f>
        <v>#NAME?</v>
      </c>
      <c r="X78" t="e" cm="1">
        <f t="array" aca="1" ref="X78" ca="1">_xll.EQNXTDZ($A$1,$B78,X$1)</f>
        <v>#NAME?</v>
      </c>
      <c r="Y78" t="e" cm="1">
        <f t="array" aca="1" ref="Y78" ca="1">_xll.EQNXTDZ($A$1,$B78,Y$1)</f>
        <v>#NAME?</v>
      </c>
      <c r="Z78" t="e" cm="1">
        <f t="array" aca="1" ref="Z78" ca="1">_xll.EQNXTDZ($A$1,$B78,Z$1)</f>
        <v>#NAME?</v>
      </c>
      <c r="AA78" t="e" cm="1">
        <f t="array" aca="1" ref="AA78" ca="1">_xll.EQNXTDZ($A$1,$B78,AA$1)</f>
        <v>#NAME?</v>
      </c>
      <c r="AB78" t="e" cm="1">
        <f t="array" aca="1" ref="AB78" ca="1">_xll.EQNXTDZ($A$1,$B78,AB$1)</f>
        <v>#NAME?</v>
      </c>
      <c r="AC78" t="e" cm="1">
        <f t="array" aca="1" ref="AC78" ca="1">_xll.EQNXTDZ($A$1,$B78,AC$1)</f>
        <v>#NAME?</v>
      </c>
      <c r="AD78" t="e" cm="1">
        <f t="array" aca="1" ref="AD78" ca="1">_xll.EQNXTDZ($A$1,$B78,AD$1)</f>
        <v>#NAME?</v>
      </c>
      <c r="AE78" t="e" cm="1">
        <f t="array" aca="1" ref="AE78" ca="1">_xll.EQNXTDZ($A$1,$B78,AE$1)</f>
        <v>#NAME?</v>
      </c>
      <c r="AF78" t="e" cm="1">
        <f t="array" aca="1" ref="AF78" ca="1">_xll.EQNXTDZ($A$1,$B78,AF$1)</f>
        <v>#NAME?</v>
      </c>
    </row>
    <row r="79" spans="1:32" s="110" customFormat="1" x14ac:dyDescent="0.25">
      <c r="A79" s="110" t="s">
        <v>135</v>
      </c>
      <c r="B79" s="110" t="s">
        <v>159</v>
      </c>
      <c r="C79" t="e" cm="1">
        <f t="array" aca="1" ref="C79" ca="1">_xll.EQNXTDZ($A$1,$B79,C$1)</f>
        <v>#NAME?</v>
      </c>
      <c r="D79" t="e" cm="1">
        <f t="array" aca="1" ref="D79" ca="1">_xll.EQNXTDZ($A$1,$B79,D$1)</f>
        <v>#NAME?</v>
      </c>
      <c r="E79" t="e" cm="1">
        <f t="array" aca="1" ref="E79" ca="1">_xll.EQNXTDZ($A$1,$B79,E$1)</f>
        <v>#NAME?</v>
      </c>
      <c r="F79" t="e" cm="1">
        <f t="array" aca="1" ref="F79" ca="1">_xll.EQNXTDZ($A$1,$B79,F$1)</f>
        <v>#NAME?</v>
      </c>
      <c r="G79" t="e" cm="1">
        <f t="array" aca="1" ref="G79" ca="1">_xll.EQNXTDZ($A$1,$B79,G$1)</f>
        <v>#NAME?</v>
      </c>
      <c r="H79" t="e" cm="1">
        <f t="array" aca="1" ref="H79" ca="1">_xll.EQNXTDZ($A$1,$B79,H$1)</f>
        <v>#NAME?</v>
      </c>
      <c r="I79" t="e" cm="1">
        <f t="array" aca="1" ref="I79" ca="1">_xll.EQNXTDZ($A$1,$B79,I$1)</f>
        <v>#NAME?</v>
      </c>
      <c r="J79" t="e" cm="1">
        <f t="array" aca="1" ref="J79" ca="1">_xll.EQNXTDZ($A$1,$B79,J$1)</f>
        <v>#NAME?</v>
      </c>
      <c r="K79" t="e" cm="1">
        <f t="array" aca="1" ref="K79" ca="1">_xll.EQNXTDZ($A$1,$B79,K$1)</f>
        <v>#NAME?</v>
      </c>
      <c r="L79" t="e" cm="1">
        <f t="array" aca="1" ref="L79" ca="1">_xll.EQNXTDZ($A$1,$B79,L$1)</f>
        <v>#NAME?</v>
      </c>
      <c r="M79" t="e" cm="1">
        <f t="array" aca="1" ref="M79" ca="1">_xll.EQNXTDZ($A$1,$B79,M$1)</f>
        <v>#NAME?</v>
      </c>
      <c r="N79" t="e" cm="1">
        <f t="array" aca="1" ref="N79" ca="1">_xll.EQNXTDZ($A$1,$B79,N$1)</f>
        <v>#NAME?</v>
      </c>
      <c r="O79" t="e" cm="1">
        <f t="array" aca="1" ref="O79" ca="1">_xll.EQNXTDZ($A$1,$B79,O$1)</f>
        <v>#NAME?</v>
      </c>
      <c r="P79" t="e" cm="1">
        <f t="array" aca="1" ref="P79" ca="1">_xll.EQNXTDZ($A$1,$B79,P$1)</f>
        <v>#NAME?</v>
      </c>
      <c r="Q79" t="e" cm="1">
        <f t="array" aca="1" ref="Q79" ca="1">_xll.EQNXTDZ($A$1,$B79,Q$1)</f>
        <v>#NAME?</v>
      </c>
      <c r="R79" t="e" cm="1">
        <f t="array" aca="1" ref="R79" ca="1">_xll.EQNXTDZ($A$1,$B79,R$1)</f>
        <v>#NAME?</v>
      </c>
      <c r="S79" t="e" cm="1">
        <f t="array" aca="1" ref="S79" ca="1">_xll.EQNXTDZ($A$1,$B79,S$1)</f>
        <v>#NAME?</v>
      </c>
      <c r="T79" t="e" cm="1">
        <f t="array" aca="1" ref="T79" ca="1">_xll.EQNXTDZ($A$1,$B79,T$1)</f>
        <v>#NAME?</v>
      </c>
      <c r="U79" t="e" cm="1">
        <f t="array" aca="1" ref="U79" ca="1">_xll.EQNXTDZ($A$1,$B79,U$1)</f>
        <v>#NAME?</v>
      </c>
      <c r="V79" t="e" cm="1">
        <f t="array" aca="1" ref="V79" ca="1">_xll.EQNXTDZ($A$1,$B79,V$1)</f>
        <v>#NAME?</v>
      </c>
      <c r="W79" t="e" cm="1">
        <f t="array" aca="1" ref="W79" ca="1">_xll.EQNXTDZ($A$1,$B79,W$1)</f>
        <v>#NAME?</v>
      </c>
      <c r="X79" t="e" cm="1">
        <f t="array" aca="1" ref="X79" ca="1">_xll.EQNXTDZ($A$1,$B79,X$1)</f>
        <v>#NAME?</v>
      </c>
      <c r="Y79" t="e" cm="1">
        <f t="array" aca="1" ref="Y79" ca="1">_xll.EQNXTDZ($A$1,$B79,Y$1)</f>
        <v>#NAME?</v>
      </c>
      <c r="Z79" t="e" cm="1">
        <f t="array" aca="1" ref="Z79" ca="1">_xll.EQNXTDZ($A$1,$B79,Z$1)</f>
        <v>#NAME?</v>
      </c>
      <c r="AA79" t="e" cm="1">
        <f t="array" aca="1" ref="AA79" ca="1">_xll.EQNXTDZ($A$1,$B79,AA$1)</f>
        <v>#NAME?</v>
      </c>
      <c r="AB79" t="e" cm="1">
        <f t="array" aca="1" ref="AB79" ca="1">_xll.EQNXTDZ($A$1,$B79,AB$1)</f>
        <v>#NAME?</v>
      </c>
      <c r="AC79" t="e" cm="1">
        <f t="array" aca="1" ref="AC79" ca="1">_xll.EQNXTDZ($A$1,$B79,AC$1)</f>
        <v>#NAME?</v>
      </c>
      <c r="AD79" t="e" cm="1">
        <f t="array" aca="1" ref="AD79" ca="1">_xll.EQNXTDZ($A$1,$B79,AD$1)</f>
        <v>#NAME?</v>
      </c>
      <c r="AE79" t="e" cm="1">
        <f t="array" aca="1" ref="AE79" ca="1">_xll.EQNXTDZ($A$1,$B79,AE$1)</f>
        <v>#NAME?</v>
      </c>
      <c r="AF79" t="e" cm="1">
        <f t="array" aca="1" ref="AF79" ca="1">_xll.EQNXTDZ($A$1,$B79,AF$1)</f>
        <v>#NAME?</v>
      </c>
    </row>
    <row r="80" spans="1:32" s="110" customFormat="1" x14ac:dyDescent="0.25">
      <c r="A80" s="110" t="s">
        <v>136</v>
      </c>
      <c r="B80" s="110" t="s">
        <v>160</v>
      </c>
      <c r="C80" t="e" cm="1">
        <f t="array" aca="1" ref="C80" ca="1">_xll.EQNXTDZ($A$1,$B80,C$1)</f>
        <v>#NAME?</v>
      </c>
      <c r="D80" t="e" cm="1">
        <f t="array" aca="1" ref="D80" ca="1">_xll.EQNXTDZ($A$1,$B80,D$1)</f>
        <v>#NAME?</v>
      </c>
      <c r="E80" t="e" cm="1">
        <f t="array" aca="1" ref="E80" ca="1">_xll.EQNXTDZ($A$1,$B80,E$1)</f>
        <v>#NAME?</v>
      </c>
      <c r="F80" t="e" cm="1">
        <f t="array" aca="1" ref="F80" ca="1">_xll.EQNXTDZ($A$1,$B80,F$1)</f>
        <v>#NAME?</v>
      </c>
      <c r="G80" t="e" cm="1">
        <f t="array" aca="1" ref="G80" ca="1">_xll.EQNXTDZ($A$1,$B80,G$1)</f>
        <v>#NAME?</v>
      </c>
      <c r="H80" t="e" cm="1">
        <f t="array" aca="1" ref="H80" ca="1">_xll.EQNXTDZ($A$1,$B80,H$1)</f>
        <v>#NAME?</v>
      </c>
      <c r="I80" t="e" cm="1">
        <f t="array" aca="1" ref="I80" ca="1">_xll.EQNXTDZ($A$1,$B80,I$1)</f>
        <v>#NAME?</v>
      </c>
      <c r="J80" t="e" cm="1">
        <f t="array" aca="1" ref="J80" ca="1">_xll.EQNXTDZ($A$1,$B80,J$1)</f>
        <v>#NAME?</v>
      </c>
      <c r="K80" t="e" cm="1">
        <f t="array" aca="1" ref="K80" ca="1">_xll.EQNXTDZ($A$1,$B80,K$1)</f>
        <v>#NAME?</v>
      </c>
      <c r="L80" t="e" cm="1">
        <f t="array" aca="1" ref="L80" ca="1">_xll.EQNXTDZ($A$1,$B80,L$1)</f>
        <v>#NAME?</v>
      </c>
      <c r="M80" t="e" cm="1">
        <f t="array" aca="1" ref="M80" ca="1">_xll.EQNXTDZ($A$1,$B80,M$1)</f>
        <v>#NAME?</v>
      </c>
      <c r="N80" t="e" cm="1">
        <f t="array" aca="1" ref="N80" ca="1">_xll.EQNXTDZ($A$1,$B80,N$1)</f>
        <v>#NAME?</v>
      </c>
      <c r="O80" t="e" cm="1">
        <f t="array" aca="1" ref="O80" ca="1">_xll.EQNXTDZ($A$1,$B80,O$1)</f>
        <v>#NAME?</v>
      </c>
      <c r="P80" t="e" cm="1">
        <f t="array" aca="1" ref="P80" ca="1">_xll.EQNXTDZ($A$1,$B80,P$1)</f>
        <v>#NAME?</v>
      </c>
      <c r="Q80" t="e" cm="1">
        <f t="array" aca="1" ref="Q80" ca="1">_xll.EQNXTDZ($A$1,$B80,Q$1)</f>
        <v>#NAME?</v>
      </c>
      <c r="R80" t="e" cm="1">
        <f t="array" aca="1" ref="R80" ca="1">_xll.EQNXTDZ($A$1,$B80,R$1)</f>
        <v>#NAME?</v>
      </c>
      <c r="S80" t="e" cm="1">
        <f t="array" aca="1" ref="S80" ca="1">_xll.EQNXTDZ($A$1,$B80,S$1)</f>
        <v>#NAME?</v>
      </c>
      <c r="T80" t="e" cm="1">
        <f t="array" aca="1" ref="T80" ca="1">_xll.EQNXTDZ($A$1,$B80,T$1)</f>
        <v>#NAME?</v>
      </c>
      <c r="U80" t="e" cm="1">
        <f t="array" aca="1" ref="U80" ca="1">_xll.EQNXTDZ($A$1,$B80,U$1)</f>
        <v>#NAME?</v>
      </c>
      <c r="V80" t="e" cm="1">
        <f t="array" aca="1" ref="V80" ca="1">_xll.EQNXTDZ($A$1,$B80,V$1)</f>
        <v>#NAME?</v>
      </c>
      <c r="W80" t="e" cm="1">
        <f t="array" aca="1" ref="W80" ca="1">_xll.EQNXTDZ($A$1,$B80,W$1)</f>
        <v>#NAME?</v>
      </c>
      <c r="X80" t="e" cm="1">
        <f t="array" aca="1" ref="X80" ca="1">_xll.EQNXTDZ($A$1,$B80,X$1)</f>
        <v>#NAME?</v>
      </c>
      <c r="Y80" t="e" cm="1">
        <f t="array" aca="1" ref="Y80" ca="1">_xll.EQNXTDZ($A$1,$B80,Y$1)</f>
        <v>#NAME?</v>
      </c>
      <c r="Z80" t="e" cm="1">
        <f t="array" aca="1" ref="Z80" ca="1">_xll.EQNXTDZ($A$1,$B80,Z$1)</f>
        <v>#NAME?</v>
      </c>
      <c r="AA80" t="e" cm="1">
        <f t="array" aca="1" ref="AA80" ca="1">_xll.EQNXTDZ($A$1,$B80,AA$1)</f>
        <v>#NAME?</v>
      </c>
      <c r="AB80" t="e" cm="1">
        <f t="array" aca="1" ref="AB80" ca="1">_xll.EQNXTDZ($A$1,$B80,AB$1)</f>
        <v>#NAME?</v>
      </c>
      <c r="AC80" t="e" cm="1">
        <f t="array" aca="1" ref="AC80" ca="1">_xll.EQNXTDZ($A$1,$B80,AC$1)</f>
        <v>#NAME?</v>
      </c>
      <c r="AD80" t="e" cm="1">
        <f t="array" aca="1" ref="AD80" ca="1">_xll.EQNXTDZ($A$1,$B80,AD$1)</f>
        <v>#NAME?</v>
      </c>
      <c r="AE80" t="e" cm="1">
        <f t="array" aca="1" ref="AE80" ca="1">_xll.EQNXTDZ($A$1,$B80,AE$1)</f>
        <v>#NAME?</v>
      </c>
      <c r="AF80" t="e" cm="1">
        <f t="array" aca="1" ref="AF80" ca="1">_xll.EQNXTDZ($A$1,$B80,AF$1)</f>
        <v>#NAME?</v>
      </c>
    </row>
    <row r="81" spans="1:32" s="110" customFormat="1" x14ac:dyDescent="0.25">
      <c r="A81" s="110" t="s">
        <v>137</v>
      </c>
      <c r="B81" s="110" t="s">
        <v>161</v>
      </c>
      <c r="C81" t="e" cm="1">
        <f t="array" aca="1" ref="C81" ca="1">_xll.EQNXTDZ($A$1,$B81,C$1)</f>
        <v>#NAME?</v>
      </c>
      <c r="D81" t="e" cm="1">
        <f t="array" aca="1" ref="D81" ca="1">_xll.EQNXTDZ($A$1,$B81,D$1)</f>
        <v>#NAME?</v>
      </c>
      <c r="E81" t="e" cm="1">
        <f t="array" aca="1" ref="E81" ca="1">_xll.EQNXTDZ($A$1,$B81,E$1)</f>
        <v>#NAME?</v>
      </c>
      <c r="F81" t="e" cm="1">
        <f t="array" aca="1" ref="F81" ca="1">_xll.EQNXTDZ($A$1,$B81,F$1)</f>
        <v>#NAME?</v>
      </c>
      <c r="G81" t="e" cm="1">
        <f t="array" aca="1" ref="G81" ca="1">_xll.EQNXTDZ($A$1,$B81,G$1)</f>
        <v>#NAME?</v>
      </c>
      <c r="H81" t="e" cm="1">
        <f t="array" aca="1" ref="H81" ca="1">_xll.EQNXTDZ($A$1,$B81,H$1)</f>
        <v>#NAME?</v>
      </c>
      <c r="I81" t="e" cm="1">
        <f t="array" aca="1" ref="I81" ca="1">_xll.EQNXTDZ($A$1,$B81,I$1)</f>
        <v>#NAME?</v>
      </c>
      <c r="J81" t="e" cm="1">
        <f t="array" aca="1" ref="J81" ca="1">_xll.EQNXTDZ($A$1,$B81,J$1)</f>
        <v>#NAME?</v>
      </c>
      <c r="K81" t="e" cm="1">
        <f t="array" aca="1" ref="K81" ca="1">_xll.EQNXTDZ($A$1,$B81,K$1)</f>
        <v>#NAME?</v>
      </c>
      <c r="L81" t="e" cm="1">
        <f t="array" aca="1" ref="L81" ca="1">_xll.EQNXTDZ($A$1,$B81,L$1)</f>
        <v>#NAME?</v>
      </c>
      <c r="M81" t="e" cm="1">
        <f t="array" aca="1" ref="M81" ca="1">_xll.EQNXTDZ($A$1,$B81,M$1)</f>
        <v>#NAME?</v>
      </c>
      <c r="N81" t="e" cm="1">
        <f t="array" aca="1" ref="N81" ca="1">_xll.EQNXTDZ($A$1,$B81,N$1)</f>
        <v>#NAME?</v>
      </c>
      <c r="O81" t="e" cm="1">
        <f t="array" aca="1" ref="O81" ca="1">_xll.EQNXTDZ($A$1,$B81,O$1)</f>
        <v>#NAME?</v>
      </c>
      <c r="P81" t="e" cm="1">
        <f t="array" aca="1" ref="P81" ca="1">_xll.EQNXTDZ($A$1,$B81,P$1)</f>
        <v>#NAME?</v>
      </c>
      <c r="Q81" t="e" cm="1">
        <f t="array" aca="1" ref="Q81" ca="1">_xll.EQNXTDZ($A$1,$B81,Q$1)</f>
        <v>#NAME?</v>
      </c>
      <c r="R81" t="e" cm="1">
        <f t="array" aca="1" ref="R81" ca="1">_xll.EQNXTDZ($A$1,$B81,R$1)</f>
        <v>#NAME?</v>
      </c>
      <c r="S81" t="e" cm="1">
        <f t="array" aca="1" ref="S81" ca="1">_xll.EQNXTDZ($A$1,$B81,S$1)</f>
        <v>#NAME?</v>
      </c>
      <c r="T81" t="e" cm="1">
        <f t="array" aca="1" ref="T81" ca="1">_xll.EQNXTDZ($A$1,$B81,T$1)</f>
        <v>#NAME?</v>
      </c>
      <c r="U81" t="e" cm="1">
        <f t="array" aca="1" ref="U81" ca="1">_xll.EQNXTDZ($A$1,$B81,U$1)</f>
        <v>#NAME?</v>
      </c>
      <c r="V81" t="e" cm="1">
        <f t="array" aca="1" ref="V81" ca="1">_xll.EQNXTDZ($A$1,$B81,V$1)</f>
        <v>#NAME?</v>
      </c>
      <c r="W81" t="e" cm="1">
        <f t="array" aca="1" ref="W81" ca="1">_xll.EQNXTDZ($A$1,$B81,W$1)</f>
        <v>#NAME?</v>
      </c>
      <c r="X81" t="e" cm="1">
        <f t="array" aca="1" ref="X81" ca="1">_xll.EQNXTDZ($A$1,$B81,X$1)</f>
        <v>#NAME?</v>
      </c>
      <c r="Y81" t="e" cm="1">
        <f t="array" aca="1" ref="Y81" ca="1">_xll.EQNXTDZ($A$1,$B81,Y$1)</f>
        <v>#NAME?</v>
      </c>
      <c r="Z81" t="e" cm="1">
        <f t="array" aca="1" ref="Z81" ca="1">_xll.EQNXTDZ($A$1,$B81,Z$1)</f>
        <v>#NAME?</v>
      </c>
      <c r="AA81" t="e" cm="1">
        <f t="array" aca="1" ref="AA81" ca="1">_xll.EQNXTDZ($A$1,$B81,AA$1)</f>
        <v>#NAME?</v>
      </c>
      <c r="AB81" t="e" cm="1">
        <f t="array" aca="1" ref="AB81" ca="1">_xll.EQNXTDZ($A$1,$B81,AB$1)</f>
        <v>#NAME?</v>
      </c>
      <c r="AC81" t="e" cm="1">
        <f t="array" aca="1" ref="AC81" ca="1">_xll.EQNXTDZ($A$1,$B81,AC$1)</f>
        <v>#NAME?</v>
      </c>
      <c r="AD81" t="e" cm="1">
        <f t="array" aca="1" ref="AD81" ca="1">_xll.EQNXTDZ($A$1,$B81,AD$1)</f>
        <v>#NAME?</v>
      </c>
      <c r="AE81" t="e" cm="1">
        <f t="array" aca="1" ref="AE81" ca="1">_xll.EQNXTDZ($A$1,$B81,AE$1)</f>
        <v>#NAME?</v>
      </c>
      <c r="AF81" t="e" cm="1">
        <f t="array" aca="1" ref="AF81" ca="1">_xll.EQNXTDZ($A$1,$B81,AF$1)</f>
        <v>#NAME?</v>
      </c>
    </row>
    <row r="82" spans="1:32" s="110" customFormat="1" x14ac:dyDescent="0.25">
      <c r="A82" s="110" t="s">
        <v>138</v>
      </c>
      <c r="B82" s="110" t="s">
        <v>162</v>
      </c>
      <c r="C82" t="e" cm="1">
        <f t="array" aca="1" ref="C82" ca="1">_xll.EQNXTDZ($A$1,$B82,C$1)</f>
        <v>#NAME?</v>
      </c>
      <c r="D82" t="e" cm="1">
        <f t="array" aca="1" ref="D82" ca="1">_xll.EQNXTDZ($A$1,$B82,D$1)</f>
        <v>#NAME?</v>
      </c>
      <c r="E82" t="e" cm="1">
        <f t="array" aca="1" ref="E82" ca="1">_xll.EQNXTDZ($A$1,$B82,E$1)</f>
        <v>#NAME?</v>
      </c>
      <c r="F82" t="e" cm="1">
        <f t="array" aca="1" ref="F82" ca="1">_xll.EQNXTDZ($A$1,$B82,F$1)</f>
        <v>#NAME?</v>
      </c>
      <c r="G82" t="e" cm="1">
        <f t="array" aca="1" ref="G82" ca="1">_xll.EQNXTDZ($A$1,$B82,G$1)</f>
        <v>#NAME?</v>
      </c>
      <c r="H82" t="e" cm="1">
        <f t="array" aca="1" ref="H82" ca="1">_xll.EQNXTDZ($A$1,$B82,H$1)</f>
        <v>#NAME?</v>
      </c>
      <c r="I82" t="e" cm="1">
        <f t="array" aca="1" ref="I82" ca="1">_xll.EQNXTDZ($A$1,$B82,I$1)</f>
        <v>#NAME?</v>
      </c>
      <c r="J82" t="e" cm="1">
        <f t="array" aca="1" ref="J82" ca="1">_xll.EQNXTDZ($A$1,$B82,J$1)</f>
        <v>#NAME?</v>
      </c>
      <c r="K82" t="e" cm="1">
        <f t="array" aca="1" ref="K82" ca="1">_xll.EQNXTDZ($A$1,$B82,K$1)</f>
        <v>#NAME?</v>
      </c>
      <c r="L82" t="e" cm="1">
        <f t="array" aca="1" ref="L82" ca="1">_xll.EQNXTDZ($A$1,$B82,L$1)</f>
        <v>#NAME?</v>
      </c>
      <c r="M82" t="e" cm="1">
        <f t="array" aca="1" ref="M82" ca="1">_xll.EQNXTDZ($A$1,$B82,M$1)</f>
        <v>#NAME?</v>
      </c>
      <c r="N82" t="e" cm="1">
        <f t="array" aca="1" ref="N82" ca="1">_xll.EQNXTDZ($A$1,$B82,N$1)</f>
        <v>#NAME?</v>
      </c>
      <c r="O82" t="e" cm="1">
        <f t="array" aca="1" ref="O82" ca="1">_xll.EQNXTDZ($A$1,$B82,O$1)</f>
        <v>#NAME?</v>
      </c>
      <c r="P82" t="e" cm="1">
        <f t="array" aca="1" ref="P82" ca="1">_xll.EQNXTDZ($A$1,$B82,P$1)</f>
        <v>#NAME?</v>
      </c>
      <c r="Q82" t="e" cm="1">
        <f t="array" aca="1" ref="Q82" ca="1">_xll.EQNXTDZ($A$1,$B82,Q$1)</f>
        <v>#NAME?</v>
      </c>
      <c r="R82" t="e" cm="1">
        <f t="array" aca="1" ref="R82" ca="1">_xll.EQNXTDZ($A$1,$B82,R$1)</f>
        <v>#NAME?</v>
      </c>
      <c r="S82" t="e" cm="1">
        <f t="array" aca="1" ref="S82" ca="1">_xll.EQNXTDZ($A$1,$B82,S$1)</f>
        <v>#NAME?</v>
      </c>
      <c r="T82" t="e" cm="1">
        <f t="array" aca="1" ref="T82" ca="1">_xll.EQNXTDZ($A$1,$B82,T$1)</f>
        <v>#NAME?</v>
      </c>
      <c r="U82" t="e" cm="1">
        <f t="array" aca="1" ref="U82" ca="1">_xll.EQNXTDZ($A$1,$B82,U$1)</f>
        <v>#NAME?</v>
      </c>
      <c r="V82" t="e" cm="1">
        <f t="array" aca="1" ref="V82" ca="1">_xll.EQNXTDZ($A$1,$B82,V$1)</f>
        <v>#NAME?</v>
      </c>
      <c r="W82" t="e" cm="1">
        <f t="array" aca="1" ref="W82" ca="1">_xll.EQNXTDZ($A$1,$B82,W$1)</f>
        <v>#NAME?</v>
      </c>
      <c r="X82" t="e" cm="1">
        <f t="array" aca="1" ref="X82" ca="1">_xll.EQNXTDZ($A$1,$B82,X$1)</f>
        <v>#NAME?</v>
      </c>
      <c r="Y82" t="e" cm="1">
        <f t="array" aca="1" ref="Y82" ca="1">_xll.EQNXTDZ($A$1,$B82,Y$1)</f>
        <v>#NAME?</v>
      </c>
      <c r="Z82" t="e" cm="1">
        <f t="array" aca="1" ref="Z82" ca="1">_xll.EQNXTDZ($A$1,$B82,Z$1)</f>
        <v>#NAME?</v>
      </c>
      <c r="AA82" t="e" cm="1">
        <f t="array" aca="1" ref="AA82" ca="1">_xll.EQNXTDZ($A$1,$B82,AA$1)</f>
        <v>#NAME?</v>
      </c>
      <c r="AB82" t="e" cm="1">
        <f t="array" aca="1" ref="AB82" ca="1">_xll.EQNXTDZ($A$1,$B82,AB$1)</f>
        <v>#NAME?</v>
      </c>
      <c r="AC82" t="e" cm="1">
        <f t="array" aca="1" ref="AC82" ca="1">_xll.EQNXTDZ($A$1,$B82,AC$1)</f>
        <v>#NAME?</v>
      </c>
      <c r="AD82" t="e" cm="1">
        <f t="array" aca="1" ref="AD82" ca="1">_xll.EQNXTDZ($A$1,$B82,AD$1)</f>
        <v>#NAME?</v>
      </c>
      <c r="AE82" t="e" cm="1">
        <f t="array" aca="1" ref="AE82" ca="1">_xll.EQNXTDZ($A$1,$B82,AE$1)</f>
        <v>#NAME?</v>
      </c>
      <c r="AF82" t="e" cm="1">
        <f t="array" aca="1" ref="AF82" ca="1">_xll.EQNXTDZ($A$1,$B82,AF$1)</f>
        <v>#NAME?</v>
      </c>
    </row>
    <row r="83" spans="1:32" s="110" customFormat="1" x14ac:dyDescent="0.25">
      <c r="A83" s="110" t="s">
        <v>139</v>
      </c>
      <c r="B83" s="110" t="s">
        <v>163</v>
      </c>
      <c r="C83" t="e" cm="1">
        <f t="array" aca="1" ref="C83" ca="1">_xll.EQNXTDZ($A$1,$B83,C$1)</f>
        <v>#NAME?</v>
      </c>
      <c r="D83" t="e" cm="1">
        <f t="array" aca="1" ref="D83" ca="1">_xll.EQNXTDZ($A$1,$B83,D$1)</f>
        <v>#NAME?</v>
      </c>
      <c r="E83" t="e" cm="1">
        <f t="array" aca="1" ref="E83" ca="1">_xll.EQNXTDZ($A$1,$B83,E$1)</f>
        <v>#NAME?</v>
      </c>
      <c r="F83" t="e" cm="1">
        <f t="array" aca="1" ref="F83" ca="1">_xll.EQNXTDZ($A$1,$B83,F$1)</f>
        <v>#NAME?</v>
      </c>
      <c r="G83" t="e" cm="1">
        <f t="array" aca="1" ref="G83" ca="1">_xll.EQNXTDZ($A$1,$B83,G$1)</f>
        <v>#NAME?</v>
      </c>
      <c r="H83" t="e" cm="1">
        <f t="array" aca="1" ref="H83" ca="1">_xll.EQNXTDZ($A$1,$B83,H$1)</f>
        <v>#NAME?</v>
      </c>
      <c r="I83" t="e" cm="1">
        <f t="array" aca="1" ref="I83" ca="1">_xll.EQNXTDZ($A$1,$B83,I$1)</f>
        <v>#NAME?</v>
      </c>
      <c r="J83" t="e" cm="1">
        <f t="array" aca="1" ref="J83" ca="1">_xll.EQNXTDZ($A$1,$B83,J$1)</f>
        <v>#NAME?</v>
      </c>
      <c r="K83" t="e" cm="1">
        <f t="array" aca="1" ref="K83" ca="1">_xll.EQNXTDZ($A$1,$B83,K$1)</f>
        <v>#NAME?</v>
      </c>
      <c r="L83" t="e" cm="1">
        <f t="array" aca="1" ref="L83" ca="1">_xll.EQNXTDZ($A$1,$B83,L$1)</f>
        <v>#NAME?</v>
      </c>
      <c r="M83" t="e" cm="1">
        <f t="array" aca="1" ref="M83" ca="1">_xll.EQNXTDZ($A$1,$B83,M$1)</f>
        <v>#NAME?</v>
      </c>
      <c r="N83" t="e" cm="1">
        <f t="array" aca="1" ref="N83" ca="1">_xll.EQNXTDZ($A$1,$B83,N$1)</f>
        <v>#NAME?</v>
      </c>
      <c r="O83" t="e" cm="1">
        <f t="array" aca="1" ref="O83" ca="1">_xll.EQNXTDZ($A$1,$B83,O$1)</f>
        <v>#NAME?</v>
      </c>
      <c r="P83" t="e" cm="1">
        <f t="array" aca="1" ref="P83" ca="1">_xll.EQNXTDZ($A$1,$B83,P$1)</f>
        <v>#NAME?</v>
      </c>
      <c r="Q83" t="e" cm="1">
        <f t="array" aca="1" ref="Q83" ca="1">_xll.EQNXTDZ($A$1,$B83,Q$1)</f>
        <v>#NAME?</v>
      </c>
      <c r="R83" t="e" cm="1">
        <f t="array" aca="1" ref="R83" ca="1">_xll.EQNXTDZ($A$1,$B83,R$1)</f>
        <v>#NAME?</v>
      </c>
      <c r="S83" t="e" cm="1">
        <f t="array" aca="1" ref="S83" ca="1">_xll.EQNXTDZ($A$1,$B83,S$1)</f>
        <v>#NAME?</v>
      </c>
      <c r="T83" t="e" cm="1">
        <f t="array" aca="1" ref="T83" ca="1">_xll.EQNXTDZ($A$1,$B83,T$1)</f>
        <v>#NAME?</v>
      </c>
      <c r="U83" t="e" cm="1">
        <f t="array" aca="1" ref="U83" ca="1">_xll.EQNXTDZ($A$1,$B83,U$1)</f>
        <v>#NAME?</v>
      </c>
      <c r="V83" t="e" cm="1">
        <f t="array" aca="1" ref="V83" ca="1">_xll.EQNXTDZ($A$1,$B83,V$1)</f>
        <v>#NAME?</v>
      </c>
      <c r="W83" t="e" cm="1">
        <f t="array" aca="1" ref="W83" ca="1">_xll.EQNXTDZ($A$1,$B83,W$1)</f>
        <v>#NAME?</v>
      </c>
      <c r="X83" t="e" cm="1">
        <f t="array" aca="1" ref="X83" ca="1">_xll.EQNXTDZ($A$1,$B83,X$1)</f>
        <v>#NAME?</v>
      </c>
      <c r="Y83" t="e" cm="1">
        <f t="array" aca="1" ref="Y83" ca="1">_xll.EQNXTDZ($A$1,$B83,Y$1)</f>
        <v>#NAME?</v>
      </c>
      <c r="Z83" t="e" cm="1">
        <f t="array" aca="1" ref="Z83" ca="1">_xll.EQNXTDZ($A$1,$B83,Z$1)</f>
        <v>#NAME?</v>
      </c>
      <c r="AA83" t="e" cm="1">
        <f t="array" aca="1" ref="AA83" ca="1">_xll.EQNXTDZ($A$1,$B83,AA$1)</f>
        <v>#NAME?</v>
      </c>
      <c r="AB83" t="e" cm="1">
        <f t="array" aca="1" ref="AB83" ca="1">_xll.EQNXTDZ($A$1,$B83,AB$1)</f>
        <v>#NAME?</v>
      </c>
      <c r="AC83" t="e" cm="1">
        <f t="array" aca="1" ref="AC83" ca="1">_xll.EQNXTDZ($A$1,$B83,AC$1)</f>
        <v>#NAME?</v>
      </c>
      <c r="AD83" t="e" cm="1">
        <f t="array" aca="1" ref="AD83" ca="1">_xll.EQNXTDZ($A$1,$B83,AD$1)</f>
        <v>#NAME?</v>
      </c>
      <c r="AE83" t="e" cm="1">
        <f t="array" aca="1" ref="AE83" ca="1">_xll.EQNXTDZ($A$1,$B83,AE$1)</f>
        <v>#NAME?</v>
      </c>
      <c r="AF83" t="e" cm="1">
        <f t="array" aca="1" ref="AF83" ca="1">_xll.EQNXTDZ($A$1,$B83,AF$1)</f>
        <v>#NAME?</v>
      </c>
    </row>
    <row r="84" spans="1:32" s="110" customFormat="1" x14ac:dyDescent="0.25">
      <c r="A84" s="110" t="s">
        <v>140</v>
      </c>
      <c r="B84" s="110" t="s">
        <v>164</v>
      </c>
      <c r="C84" t="e" cm="1">
        <f t="array" aca="1" ref="C84" ca="1">_xll.EQNXTDZ($A$1,$B84,C$1)</f>
        <v>#NAME?</v>
      </c>
      <c r="D84" t="e" cm="1">
        <f t="array" aca="1" ref="D84" ca="1">_xll.EQNXTDZ($A$1,$B84,D$1)</f>
        <v>#NAME?</v>
      </c>
      <c r="E84" t="e" cm="1">
        <f t="array" aca="1" ref="E84" ca="1">_xll.EQNXTDZ($A$1,$B84,E$1)</f>
        <v>#NAME?</v>
      </c>
      <c r="F84" t="e" cm="1">
        <f t="array" aca="1" ref="F84" ca="1">_xll.EQNXTDZ($A$1,$B84,F$1)</f>
        <v>#NAME?</v>
      </c>
      <c r="G84" t="e" cm="1">
        <f t="array" aca="1" ref="G84" ca="1">_xll.EQNXTDZ($A$1,$B84,G$1)</f>
        <v>#NAME?</v>
      </c>
      <c r="H84" t="e" cm="1">
        <f t="array" aca="1" ref="H84" ca="1">_xll.EQNXTDZ($A$1,$B84,H$1)</f>
        <v>#NAME?</v>
      </c>
      <c r="I84" t="e" cm="1">
        <f t="array" aca="1" ref="I84" ca="1">_xll.EQNXTDZ($A$1,$B84,I$1)</f>
        <v>#NAME?</v>
      </c>
      <c r="J84" t="e" cm="1">
        <f t="array" aca="1" ref="J84" ca="1">_xll.EQNXTDZ($A$1,$B84,J$1)</f>
        <v>#NAME?</v>
      </c>
      <c r="K84" t="e" cm="1">
        <f t="array" aca="1" ref="K84" ca="1">_xll.EQNXTDZ($A$1,$B84,K$1)</f>
        <v>#NAME?</v>
      </c>
      <c r="L84" t="e" cm="1">
        <f t="array" aca="1" ref="L84" ca="1">_xll.EQNXTDZ($A$1,$B84,L$1)</f>
        <v>#NAME?</v>
      </c>
      <c r="M84" t="e" cm="1">
        <f t="array" aca="1" ref="M84" ca="1">_xll.EQNXTDZ($A$1,$B84,M$1)</f>
        <v>#NAME?</v>
      </c>
      <c r="N84" t="e" cm="1">
        <f t="array" aca="1" ref="N84" ca="1">_xll.EQNXTDZ($A$1,$B84,N$1)</f>
        <v>#NAME?</v>
      </c>
      <c r="O84" t="e" cm="1">
        <f t="array" aca="1" ref="O84" ca="1">_xll.EQNXTDZ($A$1,$B84,O$1)</f>
        <v>#NAME?</v>
      </c>
      <c r="P84" t="e" cm="1">
        <f t="array" aca="1" ref="P84" ca="1">_xll.EQNXTDZ($A$1,$B84,P$1)</f>
        <v>#NAME?</v>
      </c>
      <c r="Q84" t="e" cm="1">
        <f t="array" aca="1" ref="Q84" ca="1">_xll.EQNXTDZ($A$1,$B84,Q$1)</f>
        <v>#NAME?</v>
      </c>
      <c r="R84" t="e" cm="1">
        <f t="array" aca="1" ref="R84" ca="1">_xll.EQNXTDZ($A$1,$B84,R$1)</f>
        <v>#NAME?</v>
      </c>
      <c r="S84" t="e" cm="1">
        <f t="array" aca="1" ref="S84" ca="1">_xll.EQNXTDZ($A$1,$B84,S$1)</f>
        <v>#NAME?</v>
      </c>
      <c r="T84" t="e" cm="1">
        <f t="array" aca="1" ref="T84" ca="1">_xll.EQNXTDZ($A$1,$B84,T$1)</f>
        <v>#NAME?</v>
      </c>
      <c r="U84" t="e" cm="1">
        <f t="array" aca="1" ref="U84" ca="1">_xll.EQNXTDZ($A$1,$B84,U$1)</f>
        <v>#NAME?</v>
      </c>
      <c r="V84" t="e" cm="1">
        <f t="array" aca="1" ref="V84" ca="1">_xll.EQNXTDZ($A$1,$B84,V$1)</f>
        <v>#NAME?</v>
      </c>
      <c r="W84" t="e" cm="1">
        <f t="array" aca="1" ref="W84" ca="1">_xll.EQNXTDZ($A$1,$B84,W$1)</f>
        <v>#NAME?</v>
      </c>
      <c r="X84" t="e" cm="1">
        <f t="array" aca="1" ref="X84" ca="1">_xll.EQNXTDZ($A$1,$B84,X$1)</f>
        <v>#NAME?</v>
      </c>
      <c r="Y84" t="e" cm="1">
        <f t="array" aca="1" ref="Y84" ca="1">_xll.EQNXTDZ($A$1,$B84,Y$1)</f>
        <v>#NAME?</v>
      </c>
      <c r="Z84" t="e" cm="1">
        <f t="array" aca="1" ref="Z84" ca="1">_xll.EQNXTDZ($A$1,$B84,Z$1)</f>
        <v>#NAME?</v>
      </c>
      <c r="AA84" t="e" cm="1">
        <f t="array" aca="1" ref="AA84" ca="1">_xll.EQNXTDZ($A$1,$B84,AA$1)</f>
        <v>#NAME?</v>
      </c>
      <c r="AB84" t="e" cm="1">
        <f t="array" aca="1" ref="AB84" ca="1">_xll.EQNXTDZ($A$1,$B84,AB$1)</f>
        <v>#NAME?</v>
      </c>
      <c r="AC84" t="e" cm="1">
        <f t="array" aca="1" ref="AC84" ca="1">_xll.EQNXTDZ($A$1,$B84,AC$1)</f>
        <v>#NAME?</v>
      </c>
      <c r="AD84" t="e" cm="1">
        <f t="array" aca="1" ref="AD84" ca="1">_xll.EQNXTDZ($A$1,$B84,AD$1)</f>
        <v>#NAME?</v>
      </c>
      <c r="AE84" t="e" cm="1">
        <f t="array" aca="1" ref="AE84" ca="1">_xll.EQNXTDZ($A$1,$B84,AE$1)</f>
        <v>#NAME?</v>
      </c>
      <c r="AF84" t="e" cm="1">
        <f t="array" aca="1" ref="AF84" ca="1">_xll.EQNXTDZ($A$1,$B84,AF$1)</f>
        <v>#NAME?</v>
      </c>
    </row>
    <row r="85" spans="1:32" s="110" customFormat="1" x14ac:dyDescent="0.25">
      <c r="A85" s="110" t="s">
        <v>141</v>
      </c>
      <c r="B85" s="110" t="s">
        <v>165</v>
      </c>
      <c r="C85" t="e" cm="1">
        <f t="array" aca="1" ref="C85" ca="1">_xll.EQNXTDZ($A$1,$B85,C$1)</f>
        <v>#NAME?</v>
      </c>
      <c r="D85" t="e" cm="1">
        <f t="array" aca="1" ref="D85" ca="1">_xll.EQNXTDZ($A$1,$B85,D$1)</f>
        <v>#NAME?</v>
      </c>
      <c r="E85" t="e" cm="1">
        <f t="array" aca="1" ref="E85" ca="1">_xll.EQNXTDZ($A$1,$B85,E$1)</f>
        <v>#NAME?</v>
      </c>
      <c r="F85" t="e" cm="1">
        <f t="array" aca="1" ref="F85" ca="1">_xll.EQNXTDZ($A$1,$B85,F$1)</f>
        <v>#NAME?</v>
      </c>
      <c r="G85" t="e" cm="1">
        <f t="array" aca="1" ref="G85" ca="1">_xll.EQNXTDZ($A$1,$B85,G$1)</f>
        <v>#NAME?</v>
      </c>
      <c r="H85" t="e" cm="1">
        <f t="array" aca="1" ref="H85" ca="1">_xll.EQNXTDZ($A$1,$B85,H$1)</f>
        <v>#NAME?</v>
      </c>
      <c r="I85" t="e" cm="1">
        <f t="array" aca="1" ref="I85" ca="1">_xll.EQNXTDZ($A$1,$B85,I$1)</f>
        <v>#NAME?</v>
      </c>
      <c r="J85" t="e" cm="1">
        <f t="array" aca="1" ref="J85" ca="1">_xll.EQNXTDZ($A$1,$B85,J$1)</f>
        <v>#NAME?</v>
      </c>
      <c r="K85" t="e" cm="1">
        <f t="array" aca="1" ref="K85" ca="1">_xll.EQNXTDZ($A$1,$B85,K$1)</f>
        <v>#NAME?</v>
      </c>
      <c r="L85" t="e" cm="1">
        <f t="array" aca="1" ref="L85" ca="1">_xll.EQNXTDZ($A$1,$B85,L$1)</f>
        <v>#NAME?</v>
      </c>
      <c r="M85" t="e" cm="1">
        <f t="array" aca="1" ref="M85" ca="1">_xll.EQNXTDZ($A$1,$B85,M$1)</f>
        <v>#NAME?</v>
      </c>
      <c r="N85" t="e" cm="1">
        <f t="array" aca="1" ref="N85" ca="1">_xll.EQNXTDZ($A$1,$B85,N$1)</f>
        <v>#NAME?</v>
      </c>
      <c r="O85" t="e" cm="1">
        <f t="array" aca="1" ref="O85" ca="1">_xll.EQNXTDZ($A$1,$B85,O$1)</f>
        <v>#NAME?</v>
      </c>
      <c r="P85" t="e" cm="1">
        <f t="array" aca="1" ref="P85" ca="1">_xll.EQNXTDZ($A$1,$B85,P$1)</f>
        <v>#NAME?</v>
      </c>
      <c r="Q85" t="e" cm="1">
        <f t="array" aca="1" ref="Q85" ca="1">_xll.EQNXTDZ($A$1,$B85,Q$1)</f>
        <v>#NAME?</v>
      </c>
      <c r="R85" t="e" cm="1">
        <f t="array" aca="1" ref="R85" ca="1">_xll.EQNXTDZ($A$1,$B85,R$1)</f>
        <v>#NAME?</v>
      </c>
      <c r="S85" t="e" cm="1">
        <f t="array" aca="1" ref="S85" ca="1">_xll.EQNXTDZ($A$1,$B85,S$1)</f>
        <v>#NAME?</v>
      </c>
      <c r="T85" t="e" cm="1">
        <f t="array" aca="1" ref="T85" ca="1">_xll.EQNXTDZ($A$1,$B85,T$1)</f>
        <v>#NAME?</v>
      </c>
      <c r="U85" t="e" cm="1">
        <f t="array" aca="1" ref="U85" ca="1">_xll.EQNXTDZ($A$1,$B85,U$1)</f>
        <v>#NAME?</v>
      </c>
      <c r="V85" t="e" cm="1">
        <f t="array" aca="1" ref="V85" ca="1">_xll.EQNXTDZ($A$1,$B85,V$1)</f>
        <v>#NAME?</v>
      </c>
      <c r="W85" t="e" cm="1">
        <f t="array" aca="1" ref="W85" ca="1">_xll.EQNXTDZ($A$1,$B85,W$1)</f>
        <v>#NAME?</v>
      </c>
      <c r="X85" t="e" cm="1">
        <f t="array" aca="1" ref="X85" ca="1">_xll.EQNXTDZ($A$1,$B85,X$1)</f>
        <v>#NAME?</v>
      </c>
      <c r="Y85" t="e" cm="1">
        <f t="array" aca="1" ref="Y85" ca="1">_xll.EQNXTDZ($A$1,$B85,Y$1)</f>
        <v>#NAME?</v>
      </c>
      <c r="Z85" t="e" cm="1">
        <f t="array" aca="1" ref="Z85" ca="1">_xll.EQNXTDZ($A$1,$B85,Z$1)</f>
        <v>#NAME?</v>
      </c>
      <c r="AA85" t="e" cm="1">
        <f t="array" aca="1" ref="AA85" ca="1">_xll.EQNXTDZ($A$1,$B85,AA$1)</f>
        <v>#NAME?</v>
      </c>
      <c r="AB85" t="e" cm="1">
        <f t="array" aca="1" ref="AB85" ca="1">_xll.EQNXTDZ($A$1,$B85,AB$1)</f>
        <v>#NAME?</v>
      </c>
      <c r="AC85" t="e" cm="1">
        <f t="array" aca="1" ref="AC85" ca="1">_xll.EQNXTDZ($A$1,$B85,AC$1)</f>
        <v>#NAME?</v>
      </c>
      <c r="AD85" t="e" cm="1">
        <f t="array" aca="1" ref="AD85" ca="1">_xll.EQNXTDZ($A$1,$B85,AD$1)</f>
        <v>#NAME?</v>
      </c>
      <c r="AE85" t="e" cm="1">
        <f t="array" aca="1" ref="AE85" ca="1">_xll.EQNXTDZ($A$1,$B85,AE$1)</f>
        <v>#NAME?</v>
      </c>
      <c r="AF85" t="e" cm="1">
        <f t="array" aca="1" ref="AF85" ca="1">_xll.EQNXTDZ($A$1,$B85,AF$1)</f>
        <v>#NAME?</v>
      </c>
    </row>
    <row r="86" spans="1:32" s="110" customFormat="1" x14ac:dyDescent="0.25">
      <c r="A86" s="110" t="s">
        <v>142</v>
      </c>
      <c r="B86" s="110" t="s">
        <v>166</v>
      </c>
      <c r="C86" t="e" cm="1">
        <f t="array" aca="1" ref="C86" ca="1">_xll.EQNXTDZ($A$1,$B86,C$1)</f>
        <v>#NAME?</v>
      </c>
      <c r="D86" t="e" cm="1">
        <f t="array" aca="1" ref="D86" ca="1">_xll.EQNXTDZ($A$1,$B86,D$1)</f>
        <v>#NAME?</v>
      </c>
      <c r="E86" t="e" cm="1">
        <f t="array" aca="1" ref="E86" ca="1">_xll.EQNXTDZ($A$1,$B86,E$1)</f>
        <v>#NAME?</v>
      </c>
      <c r="F86" t="e" cm="1">
        <f t="array" aca="1" ref="F86" ca="1">_xll.EQNXTDZ($A$1,$B86,F$1)</f>
        <v>#NAME?</v>
      </c>
      <c r="G86" t="e" cm="1">
        <f t="array" aca="1" ref="G86" ca="1">_xll.EQNXTDZ($A$1,$B86,G$1)</f>
        <v>#NAME?</v>
      </c>
      <c r="H86" t="e" cm="1">
        <f t="array" aca="1" ref="H86" ca="1">_xll.EQNXTDZ($A$1,$B86,H$1)</f>
        <v>#NAME?</v>
      </c>
      <c r="I86" t="e" cm="1">
        <f t="array" aca="1" ref="I86" ca="1">_xll.EQNXTDZ($A$1,$B86,I$1)</f>
        <v>#NAME?</v>
      </c>
      <c r="J86" t="e" cm="1">
        <f t="array" aca="1" ref="J86" ca="1">_xll.EQNXTDZ($A$1,$B86,J$1)</f>
        <v>#NAME?</v>
      </c>
      <c r="K86" t="e" cm="1">
        <f t="array" aca="1" ref="K86" ca="1">_xll.EQNXTDZ($A$1,$B86,K$1)</f>
        <v>#NAME?</v>
      </c>
      <c r="L86" t="e" cm="1">
        <f t="array" aca="1" ref="L86" ca="1">_xll.EQNXTDZ($A$1,$B86,L$1)</f>
        <v>#NAME?</v>
      </c>
      <c r="M86" t="e" cm="1">
        <f t="array" aca="1" ref="M86" ca="1">_xll.EQNXTDZ($A$1,$B86,M$1)</f>
        <v>#NAME?</v>
      </c>
      <c r="N86" t="e" cm="1">
        <f t="array" aca="1" ref="N86" ca="1">_xll.EQNXTDZ($A$1,$B86,N$1)</f>
        <v>#NAME?</v>
      </c>
      <c r="O86" t="e" cm="1">
        <f t="array" aca="1" ref="O86" ca="1">_xll.EQNXTDZ($A$1,$B86,O$1)</f>
        <v>#NAME?</v>
      </c>
      <c r="P86" t="e" cm="1">
        <f t="array" aca="1" ref="P86" ca="1">_xll.EQNXTDZ($A$1,$B86,P$1)</f>
        <v>#NAME?</v>
      </c>
      <c r="Q86" t="e" cm="1">
        <f t="array" aca="1" ref="Q86" ca="1">_xll.EQNXTDZ($A$1,$B86,Q$1)</f>
        <v>#NAME?</v>
      </c>
      <c r="R86" t="e" cm="1">
        <f t="array" aca="1" ref="R86" ca="1">_xll.EQNXTDZ($A$1,$B86,R$1)</f>
        <v>#NAME?</v>
      </c>
      <c r="S86" t="e" cm="1">
        <f t="array" aca="1" ref="S86" ca="1">_xll.EQNXTDZ($A$1,$B86,S$1)</f>
        <v>#NAME?</v>
      </c>
      <c r="T86" t="e" cm="1">
        <f t="array" aca="1" ref="T86" ca="1">_xll.EQNXTDZ($A$1,$B86,T$1)</f>
        <v>#NAME?</v>
      </c>
      <c r="U86" t="e" cm="1">
        <f t="array" aca="1" ref="U86" ca="1">_xll.EQNXTDZ($A$1,$B86,U$1)</f>
        <v>#NAME?</v>
      </c>
      <c r="V86" t="e" cm="1">
        <f t="array" aca="1" ref="V86" ca="1">_xll.EQNXTDZ($A$1,$B86,V$1)</f>
        <v>#NAME?</v>
      </c>
      <c r="W86" t="e" cm="1">
        <f t="array" aca="1" ref="W86" ca="1">_xll.EQNXTDZ($A$1,$B86,W$1)</f>
        <v>#NAME?</v>
      </c>
      <c r="X86" t="e" cm="1">
        <f t="array" aca="1" ref="X86" ca="1">_xll.EQNXTDZ($A$1,$B86,X$1)</f>
        <v>#NAME?</v>
      </c>
      <c r="Y86" t="e" cm="1">
        <f t="array" aca="1" ref="Y86" ca="1">_xll.EQNXTDZ($A$1,$B86,Y$1)</f>
        <v>#NAME?</v>
      </c>
      <c r="Z86" t="e" cm="1">
        <f t="array" aca="1" ref="Z86" ca="1">_xll.EQNXTDZ($A$1,$B86,Z$1)</f>
        <v>#NAME?</v>
      </c>
      <c r="AA86" t="e" cm="1">
        <f t="array" aca="1" ref="AA86" ca="1">_xll.EQNXTDZ($A$1,$B86,AA$1)</f>
        <v>#NAME?</v>
      </c>
      <c r="AB86" t="e" cm="1">
        <f t="array" aca="1" ref="AB86" ca="1">_xll.EQNXTDZ($A$1,$B86,AB$1)</f>
        <v>#NAME?</v>
      </c>
      <c r="AC86" t="e" cm="1">
        <f t="array" aca="1" ref="AC86" ca="1">_xll.EQNXTDZ($A$1,$B86,AC$1)</f>
        <v>#NAME?</v>
      </c>
      <c r="AD86" t="e" cm="1">
        <f t="array" aca="1" ref="AD86" ca="1">_xll.EQNXTDZ($A$1,$B86,AD$1)</f>
        <v>#NAME?</v>
      </c>
      <c r="AE86" t="e" cm="1">
        <f t="array" aca="1" ref="AE86" ca="1">_xll.EQNXTDZ($A$1,$B86,AE$1)</f>
        <v>#NAME?</v>
      </c>
      <c r="AF86" t="e" cm="1">
        <f t="array" aca="1" ref="AF86" ca="1">_xll.EQNXTDZ($A$1,$B86,AF$1)</f>
        <v>#NAME?</v>
      </c>
    </row>
    <row r="87" spans="1:32" x14ac:dyDescent="0.25">
      <c r="A87" t="s">
        <v>56</v>
      </c>
      <c r="B87" t="s">
        <v>57</v>
      </c>
      <c r="C87" t="e" cm="1">
        <f t="array" aca="1" ref="C87" ca="1">_xll.EQNXTDZ($A$1,$B87,C$1)</f>
        <v>#NAME?</v>
      </c>
      <c r="D87" t="e" cm="1">
        <f t="array" aca="1" ref="D87" ca="1">_xll.EQNXTDZ($A$1,$B87,D$1)</f>
        <v>#NAME?</v>
      </c>
      <c r="E87" t="e" cm="1">
        <f t="array" aca="1" ref="E87" ca="1">_xll.EQNXTDZ($A$1,$B87,E$1)</f>
        <v>#NAME?</v>
      </c>
      <c r="F87" t="e" cm="1">
        <f t="array" aca="1" ref="F87" ca="1">_xll.EQNXTDZ($A$1,$B87,F$1)</f>
        <v>#NAME?</v>
      </c>
      <c r="G87" t="e" cm="1">
        <f t="array" aca="1" ref="G87" ca="1">_xll.EQNXTDZ($A$1,$B87,G$1)</f>
        <v>#NAME?</v>
      </c>
      <c r="H87" t="e" cm="1">
        <f t="array" aca="1" ref="H87" ca="1">_xll.EQNXTDZ($A$1,$B87,H$1)</f>
        <v>#NAME?</v>
      </c>
      <c r="I87" t="e" cm="1">
        <f t="array" aca="1" ref="I87" ca="1">_xll.EQNXTDZ($A$1,$B87,I$1)</f>
        <v>#NAME?</v>
      </c>
      <c r="J87" t="e" cm="1">
        <f t="array" aca="1" ref="J87" ca="1">_xll.EQNXTDZ($A$1,$B87,J$1)</f>
        <v>#NAME?</v>
      </c>
      <c r="K87" t="e" cm="1">
        <f t="array" aca="1" ref="K87" ca="1">_xll.EQNXTDZ($A$1,$B87,K$1)</f>
        <v>#NAME?</v>
      </c>
      <c r="L87" t="e" cm="1">
        <f t="array" aca="1" ref="L87" ca="1">_xll.EQNXTDZ($A$1,$B87,L$1)</f>
        <v>#NAME?</v>
      </c>
      <c r="M87" t="e" cm="1">
        <f t="array" aca="1" ref="M87" ca="1">_xll.EQNXTDZ($A$1,$B87,M$1)</f>
        <v>#NAME?</v>
      </c>
      <c r="N87" t="e" cm="1">
        <f t="array" aca="1" ref="N87" ca="1">_xll.EQNXTDZ($A$1,$B87,N$1)</f>
        <v>#NAME?</v>
      </c>
      <c r="O87" t="e" cm="1">
        <f t="array" aca="1" ref="O87" ca="1">_xll.EQNXTDZ($A$1,$B87,O$1)</f>
        <v>#NAME?</v>
      </c>
      <c r="P87" t="e" cm="1">
        <f t="array" aca="1" ref="P87" ca="1">_xll.EQNXTDZ($A$1,$B87,P$1)</f>
        <v>#NAME?</v>
      </c>
      <c r="Q87" t="e" cm="1">
        <f t="array" aca="1" ref="Q87" ca="1">_xll.EQNXTDZ($A$1,$B87,Q$1)</f>
        <v>#NAME?</v>
      </c>
      <c r="R87" t="e" cm="1">
        <f t="array" aca="1" ref="R87" ca="1">_xll.EQNXTDZ($A$1,$B87,R$1)</f>
        <v>#NAME?</v>
      </c>
      <c r="S87" t="e" cm="1">
        <f t="array" aca="1" ref="S87" ca="1">_xll.EQNXTDZ($A$1,$B87,S$1)</f>
        <v>#NAME?</v>
      </c>
      <c r="T87" t="e" cm="1">
        <f t="array" aca="1" ref="T87" ca="1">_xll.EQNXTDZ($A$1,$B87,T$1)</f>
        <v>#NAME?</v>
      </c>
      <c r="U87" t="e" cm="1">
        <f t="array" aca="1" ref="U87" ca="1">_xll.EQNXTDZ($A$1,$B87,U$1)</f>
        <v>#NAME?</v>
      </c>
      <c r="V87" t="e" cm="1">
        <f t="array" aca="1" ref="V87" ca="1">_xll.EQNXTDZ($A$1,$B87,V$1)</f>
        <v>#NAME?</v>
      </c>
      <c r="W87" t="e" cm="1">
        <f t="array" aca="1" ref="W87" ca="1">_xll.EQNXTDZ($A$1,$B87,W$1)</f>
        <v>#NAME?</v>
      </c>
      <c r="X87" t="e" cm="1">
        <f t="array" aca="1" ref="X87" ca="1">_xll.EQNXTDZ($A$1,$B87,X$1)</f>
        <v>#NAME?</v>
      </c>
      <c r="Y87" t="e" cm="1">
        <f t="array" aca="1" ref="Y87" ca="1">_xll.EQNXTDZ($A$1,$B87,Y$1)</f>
        <v>#NAME?</v>
      </c>
      <c r="Z87" t="e" cm="1">
        <f t="array" aca="1" ref="Z87" ca="1">_xll.EQNXTDZ($A$1,$B87,Z$1)</f>
        <v>#NAME?</v>
      </c>
      <c r="AA87" t="e" cm="1">
        <f t="array" aca="1" ref="AA87" ca="1">_xll.EQNXTDZ($A$1,$B87,AA$1)</f>
        <v>#NAME?</v>
      </c>
      <c r="AB87" t="e" cm="1">
        <f t="array" aca="1" ref="AB87" ca="1">_xll.EQNXTDZ($A$1,$B87,AB$1)</f>
        <v>#NAME?</v>
      </c>
      <c r="AC87" t="e" cm="1">
        <f t="array" aca="1" ref="AC87" ca="1">_xll.EQNXTDZ($A$1,$B87,AC$1)</f>
        <v>#NAME?</v>
      </c>
      <c r="AD87" t="e" cm="1">
        <f t="array" aca="1" ref="AD87" ca="1">_xll.EQNXTDZ($A$1,$B87,AD$1)</f>
        <v>#NAME?</v>
      </c>
      <c r="AE87" t="e" cm="1">
        <f t="array" aca="1" ref="AE87" ca="1">_xll.EQNXTDZ($A$1,$B87,AE$1)</f>
        <v>#NAME?</v>
      </c>
      <c r="AF87" t="e" cm="1">
        <f t="array" aca="1" ref="AF87" ca="1">_xll.EQNXTDZ($A$1,$B87,AF$1)</f>
        <v>#NAME?</v>
      </c>
    </row>
    <row r="88" spans="1:32" x14ac:dyDescent="0.25">
      <c r="A88" t="s">
        <v>200</v>
      </c>
      <c r="B88" t="s">
        <v>201</v>
      </c>
      <c r="C88" t="e" cm="1">
        <f t="array" aca="1" ref="C88" ca="1">_xll.EQNXTDZ($A$1,$B88,C$1)</f>
        <v>#NAME?</v>
      </c>
      <c r="D88" t="e" cm="1">
        <f t="array" aca="1" ref="D88" ca="1">_xll.EQNXTDZ($A$1,$B88,D$1)</f>
        <v>#NAME?</v>
      </c>
      <c r="E88" t="e" cm="1">
        <f t="array" aca="1" ref="E88" ca="1">_xll.EQNXTDZ($A$1,$B88,E$1)</f>
        <v>#NAME?</v>
      </c>
      <c r="F88" t="e" cm="1">
        <f t="array" aca="1" ref="F88" ca="1">_xll.EQNXTDZ($A$1,$B88,F$1)</f>
        <v>#NAME?</v>
      </c>
      <c r="G88" t="e" cm="1">
        <f t="array" aca="1" ref="G88" ca="1">_xll.EQNXTDZ($A$1,$B88,G$1)</f>
        <v>#NAME?</v>
      </c>
      <c r="H88" t="e" cm="1">
        <f t="array" aca="1" ref="H88" ca="1">_xll.EQNXTDZ($A$1,$B88,H$1)</f>
        <v>#NAME?</v>
      </c>
      <c r="I88" t="e" cm="1">
        <f t="array" aca="1" ref="I88" ca="1">_xll.EQNXTDZ($A$1,$B88,I$1)</f>
        <v>#NAME?</v>
      </c>
      <c r="J88" t="e" cm="1">
        <f t="array" aca="1" ref="J88" ca="1">_xll.EQNXTDZ($A$1,$B88,J$1)</f>
        <v>#NAME?</v>
      </c>
      <c r="K88" t="e" cm="1">
        <f t="array" aca="1" ref="K88" ca="1">_xll.EQNXTDZ($A$1,$B88,K$1)</f>
        <v>#NAME?</v>
      </c>
      <c r="L88" t="e" cm="1">
        <f t="array" aca="1" ref="L88" ca="1">_xll.EQNXTDZ($A$1,$B88,L$1)</f>
        <v>#NAME?</v>
      </c>
      <c r="M88" t="e" cm="1">
        <f t="array" aca="1" ref="M88" ca="1">_xll.EQNXTDZ($A$1,$B88,M$1)</f>
        <v>#NAME?</v>
      </c>
      <c r="N88" t="e" cm="1">
        <f t="array" aca="1" ref="N88" ca="1">_xll.EQNXTDZ($A$1,$B88,N$1)</f>
        <v>#NAME?</v>
      </c>
      <c r="O88" t="e" cm="1">
        <f t="array" aca="1" ref="O88" ca="1">_xll.EQNXTDZ($A$1,$B88,O$1)</f>
        <v>#NAME?</v>
      </c>
      <c r="P88" t="e" cm="1">
        <f t="array" aca="1" ref="P88" ca="1">_xll.EQNXTDZ($A$1,$B88,P$1)</f>
        <v>#NAME?</v>
      </c>
      <c r="Q88" t="e" cm="1">
        <f t="array" aca="1" ref="Q88" ca="1">_xll.EQNXTDZ($A$1,$B88,Q$1)</f>
        <v>#NAME?</v>
      </c>
      <c r="R88" t="e" cm="1">
        <f t="array" aca="1" ref="R88" ca="1">_xll.EQNXTDZ($A$1,$B88,R$1)</f>
        <v>#NAME?</v>
      </c>
      <c r="S88" t="e" cm="1">
        <f t="array" aca="1" ref="S88" ca="1">_xll.EQNXTDZ($A$1,$B88,S$1)</f>
        <v>#NAME?</v>
      </c>
      <c r="T88" t="e" cm="1">
        <f t="array" aca="1" ref="T88" ca="1">_xll.EQNXTDZ($A$1,$B88,T$1)</f>
        <v>#NAME?</v>
      </c>
      <c r="U88" t="e" cm="1">
        <f t="array" aca="1" ref="U88" ca="1">_xll.EQNXTDZ($A$1,$B88,U$1)</f>
        <v>#NAME?</v>
      </c>
      <c r="V88" t="e" cm="1">
        <f t="array" aca="1" ref="V88" ca="1">_xll.EQNXTDZ($A$1,$B88,V$1)</f>
        <v>#NAME?</v>
      </c>
      <c r="W88" t="e" cm="1">
        <f t="array" aca="1" ref="W88" ca="1">_xll.EQNXTDZ($A$1,$B88,W$1)</f>
        <v>#NAME?</v>
      </c>
      <c r="X88" t="e" cm="1">
        <f t="array" aca="1" ref="X88" ca="1">_xll.EQNXTDZ($A$1,$B88,X$1)</f>
        <v>#NAME?</v>
      </c>
      <c r="Y88" t="e" cm="1">
        <f t="array" aca="1" ref="Y88" ca="1">_xll.EQNXTDZ($A$1,$B88,Y$1)</f>
        <v>#NAME?</v>
      </c>
      <c r="Z88" t="e" cm="1">
        <f t="array" aca="1" ref="Z88" ca="1">_xll.EQNXTDZ($A$1,$B88,Z$1)</f>
        <v>#NAME?</v>
      </c>
      <c r="AA88" t="e" cm="1">
        <f t="array" aca="1" ref="AA88" ca="1">_xll.EQNXTDZ($A$1,$B88,AA$1)</f>
        <v>#NAME?</v>
      </c>
      <c r="AB88" t="e" cm="1">
        <f t="array" aca="1" ref="AB88" ca="1">_xll.EQNXTDZ($A$1,$B88,AB$1)</f>
        <v>#NAME?</v>
      </c>
      <c r="AC88" t="e" cm="1">
        <f t="array" aca="1" ref="AC88" ca="1">_xll.EQNXTDZ($A$1,$B88,AC$1)</f>
        <v>#NAME?</v>
      </c>
      <c r="AD88" t="e" cm="1">
        <f t="array" aca="1" ref="AD88" ca="1">_xll.EQNXTDZ($A$1,$B88,AD$1)</f>
        <v>#NAME?</v>
      </c>
      <c r="AE88" t="e" cm="1">
        <f t="array" aca="1" ref="AE88" ca="1">_xll.EQNXTDZ($A$1,$B88,AE$1)</f>
        <v>#NAME?</v>
      </c>
      <c r="AF88" t="e" cm="1">
        <f t="array" aca="1" ref="AF88" ca="1">_xll.EQNXTDZ($A$1,$B88,AF$1)</f>
        <v>#NAME?</v>
      </c>
    </row>
    <row r="91" spans="1:32" x14ac:dyDescent="0.25">
      <c r="A91" t="s">
        <v>56</v>
      </c>
      <c r="B91" t="s">
        <v>57</v>
      </c>
      <c r="C91" t="e" cm="1">
        <f t="array" aca="1" ref="C91" ca="1">_xll.EQNXTDZ($A$1,$B91,C$1)</f>
        <v>#NAME?</v>
      </c>
      <c r="D91" t="e" cm="1">
        <f t="array" aca="1" ref="D91" ca="1">_xll.EQNXTDZ($A$1,$B91,D$1)</f>
        <v>#NAME?</v>
      </c>
      <c r="E91" t="e" cm="1">
        <f t="array" aca="1" ref="E91" ca="1">_xll.EQNXTDZ($A$1,$B91,E$1)</f>
        <v>#NAME?</v>
      </c>
      <c r="F91" t="e" cm="1">
        <f t="array" aca="1" ref="F91" ca="1">_xll.EQNXTDZ($A$1,$B91,F$1)</f>
        <v>#NAME?</v>
      </c>
      <c r="G91" t="e" cm="1">
        <f t="array" aca="1" ref="G91" ca="1">_xll.EQNXTDZ($A$1,$B91,G$1)</f>
        <v>#NAME?</v>
      </c>
      <c r="H91" t="e" cm="1">
        <f t="array" aca="1" ref="H91" ca="1">_xll.EQNXTDZ($A$1,$B91,H$1)</f>
        <v>#NAME?</v>
      </c>
      <c r="I91" t="e" cm="1">
        <f t="array" aca="1" ref="I91" ca="1">_xll.EQNXTDZ($A$1,$B91,I$1)</f>
        <v>#NAME?</v>
      </c>
      <c r="J91" t="e" cm="1">
        <f t="array" aca="1" ref="J91" ca="1">_xll.EQNXTDZ($A$1,$B91,J$1)</f>
        <v>#NAME?</v>
      </c>
      <c r="K91" t="e" cm="1">
        <f t="array" aca="1" ref="K91" ca="1">_xll.EQNXTDZ($A$1,$B91,K$1)</f>
        <v>#NAME?</v>
      </c>
      <c r="L91" t="e" cm="1">
        <f t="array" aca="1" ref="L91" ca="1">_xll.EQNXTDZ($A$1,$B91,L$1)</f>
        <v>#NAME?</v>
      </c>
      <c r="M91" t="e" cm="1">
        <f t="array" aca="1" ref="M91" ca="1">_xll.EQNXTDZ($A$1,$B91,M$1)</f>
        <v>#NAME?</v>
      </c>
      <c r="N91" t="e" cm="1">
        <f t="array" aca="1" ref="N91" ca="1">_xll.EQNXTDZ($A$1,$B91,N$1)</f>
        <v>#NAME?</v>
      </c>
      <c r="O91" t="e" cm="1">
        <f t="array" aca="1" ref="O91" ca="1">_xll.EQNXTDZ($A$1,$B91,O$1)</f>
        <v>#NAME?</v>
      </c>
      <c r="P91" t="e" cm="1">
        <f t="array" aca="1" ref="P91" ca="1">_xll.EQNXTDZ($A$1,$B91,P$1)</f>
        <v>#NAME?</v>
      </c>
      <c r="Q91" t="e" cm="1">
        <f t="array" aca="1" ref="Q91" ca="1">_xll.EQNXTDZ($A$1,$B91,Q$1)</f>
        <v>#NAME?</v>
      </c>
      <c r="R91" t="e" cm="1">
        <f t="array" aca="1" ref="R91" ca="1">_xll.EQNXTDZ($A$1,$B91,R$1)</f>
        <v>#NAME?</v>
      </c>
      <c r="S91" t="e" cm="1">
        <f t="array" aca="1" ref="S91" ca="1">_xll.EQNXTDZ($A$1,$B91,S$1)</f>
        <v>#NAME?</v>
      </c>
      <c r="T91" t="e" cm="1">
        <f t="array" aca="1" ref="T91" ca="1">_xll.EQNXTDZ($A$1,$B91,T$1)</f>
        <v>#NAME?</v>
      </c>
      <c r="U91" t="e" cm="1">
        <f t="array" aca="1" ref="U91" ca="1">_xll.EQNXTDZ($A$1,$B91,U$1)</f>
        <v>#NAME?</v>
      </c>
      <c r="V91" t="e" cm="1">
        <f t="array" aca="1" ref="V91" ca="1">_xll.EQNXTDZ($A$1,$B91,V$1)</f>
        <v>#NAME?</v>
      </c>
      <c r="W91" t="e" cm="1">
        <f t="array" aca="1" ref="W91" ca="1">_xll.EQNXTDZ($A$1,$B91,W$1)</f>
        <v>#NAME?</v>
      </c>
      <c r="X91" t="e" cm="1">
        <f t="array" aca="1" ref="X91" ca="1">_xll.EQNXTDZ($A$1,$B91,X$1)</f>
        <v>#NAME?</v>
      </c>
      <c r="Y91" t="e" cm="1">
        <f t="array" aca="1" ref="Y91" ca="1">_xll.EQNXTDZ($A$1,$B91,Y$1)</f>
        <v>#NAME?</v>
      </c>
      <c r="Z91" t="e" cm="1">
        <f t="array" aca="1" ref="Z91" ca="1">_xll.EQNXTDZ($A$1,$B91,Z$1)</f>
        <v>#NAME?</v>
      </c>
      <c r="AA91" t="e" cm="1">
        <f t="array" aca="1" ref="AA91" ca="1">_xll.EQNXTDZ($A$1,$B91,AA$1)</f>
        <v>#NAME?</v>
      </c>
      <c r="AB91" t="e" cm="1">
        <f t="array" aca="1" ref="AB91" ca="1">_xll.EQNXTDZ($A$1,$B91,AB$1)</f>
        <v>#NAME?</v>
      </c>
      <c r="AC91" t="e" cm="1">
        <f t="array" aca="1" ref="AC91" ca="1">_xll.EQNXTDZ($A$1,$B91,AC$1)</f>
        <v>#NAME?</v>
      </c>
      <c r="AD91" t="e" cm="1">
        <f t="array" aca="1" ref="AD91" ca="1">_xll.EQNXTDZ($A$1,$B91,AD$1)</f>
        <v>#NAME?</v>
      </c>
      <c r="AE91" t="e" cm="1">
        <f t="array" aca="1" ref="AE91" ca="1">_xll.EQNXTDZ($A$1,$B91,AE$1)</f>
        <v>#NAME?</v>
      </c>
      <c r="AF91" t="e" cm="1">
        <f t="array" aca="1" ref="AF91" ca="1">_xll.EQNXTDZ($A$1,$B91,AF$1)</f>
        <v>#NAME?</v>
      </c>
    </row>
    <row r="92" spans="1:32" x14ac:dyDescent="0.25">
      <c r="A92" t="s">
        <v>352</v>
      </c>
      <c r="B92" t="s">
        <v>355</v>
      </c>
      <c r="C92" t="e" cm="1">
        <f t="array" aca="1" ref="C92" ca="1">_xll.EQNXTDZ($A$1,$B92,C$1)</f>
        <v>#NAME?</v>
      </c>
      <c r="D92" t="e" cm="1">
        <f t="array" aca="1" ref="D92" ca="1">_xll.EQNXTDZ($A$1,$B92,D$1)</f>
        <v>#NAME?</v>
      </c>
      <c r="E92" t="e" cm="1">
        <f t="array" aca="1" ref="E92" ca="1">_xll.EQNXTDZ($A$1,$B92,E$1)</f>
        <v>#NAME?</v>
      </c>
      <c r="F92" t="e" cm="1">
        <f t="array" aca="1" ref="F92" ca="1">_xll.EQNXTDZ($A$1,$B92,F$1)</f>
        <v>#NAME?</v>
      </c>
      <c r="G92" t="e" cm="1">
        <f t="array" aca="1" ref="G92" ca="1">_xll.EQNXTDZ($A$1,$B92,G$1)</f>
        <v>#NAME?</v>
      </c>
      <c r="H92" t="e" cm="1">
        <f t="array" aca="1" ref="H92" ca="1">_xll.EQNXTDZ($A$1,$B92,H$1)</f>
        <v>#NAME?</v>
      </c>
      <c r="I92" t="e" cm="1">
        <f t="array" aca="1" ref="I92" ca="1">_xll.EQNXTDZ($A$1,$B92,I$1)</f>
        <v>#NAME?</v>
      </c>
      <c r="J92" t="e" cm="1">
        <f t="array" aca="1" ref="J92" ca="1">_xll.EQNXTDZ($A$1,$B92,J$1)</f>
        <v>#NAME?</v>
      </c>
      <c r="K92" t="e" cm="1">
        <f t="array" aca="1" ref="K92" ca="1">_xll.EQNXTDZ($A$1,$B92,K$1)</f>
        <v>#NAME?</v>
      </c>
      <c r="L92" t="e" cm="1">
        <f t="array" aca="1" ref="L92" ca="1">_xll.EQNXTDZ($A$1,$B92,L$1)</f>
        <v>#NAME?</v>
      </c>
      <c r="M92" t="e" cm="1">
        <f t="array" aca="1" ref="M92" ca="1">_xll.EQNXTDZ($A$1,$B92,M$1)</f>
        <v>#NAME?</v>
      </c>
      <c r="N92" t="e" cm="1">
        <f t="array" aca="1" ref="N92" ca="1">_xll.EQNXTDZ($A$1,$B92,N$1)</f>
        <v>#NAME?</v>
      </c>
      <c r="O92" t="e" cm="1">
        <f t="array" aca="1" ref="O92" ca="1">_xll.EQNXTDZ($A$1,$B92,O$1)</f>
        <v>#NAME?</v>
      </c>
      <c r="P92" t="e" cm="1">
        <f t="array" aca="1" ref="P92" ca="1">_xll.EQNXTDZ($A$1,$B92,P$1)</f>
        <v>#NAME?</v>
      </c>
      <c r="Q92" t="e" cm="1">
        <f t="array" aca="1" ref="Q92" ca="1">_xll.EQNXTDZ($A$1,$B92,Q$1)</f>
        <v>#NAME?</v>
      </c>
      <c r="R92" t="e" cm="1">
        <f t="array" aca="1" ref="R92" ca="1">_xll.EQNXTDZ($A$1,$B92,R$1)</f>
        <v>#NAME?</v>
      </c>
      <c r="S92" t="e" cm="1">
        <f t="array" aca="1" ref="S92" ca="1">_xll.EQNXTDZ($A$1,$B92,S$1)</f>
        <v>#NAME?</v>
      </c>
      <c r="T92" t="e" cm="1">
        <f t="array" aca="1" ref="T92" ca="1">_xll.EQNXTDZ($A$1,$B92,T$1)</f>
        <v>#NAME?</v>
      </c>
      <c r="U92" t="e" cm="1">
        <f t="array" aca="1" ref="U92" ca="1">_xll.EQNXTDZ($A$1,$B92,U$1)</f>
        <v>#NAME?</v>
      </c>
      <c r="V92" t="e" cm="1">
        <f t="array" aca="1" ref="V92" ca="1">_xll.EQNXTDZ($A$1,$B92,V$1)</f>
        <v>#NAME?</v>
      </c>
      <c r="W92" t="e" cm="1">
        <f t="array" aca="1" ref="W92" ca="1">_xll.EQNXTDZ($A$1,$B92,W$1)</f>
        <v>#NAME?</v>
      </c>
      <c r="X92" t="e" cm="1">
        <f t="array" aca="1" ref="X92" ca="1">_xll.EQNXTDZ($A$1,$B92,X$1)</f>
        <v>#NAME?</v>
      </c>
      <c r="Y92" t="e" cm="1">
        <f t="array" aca="1" ref="Y92" ca="1">_xll.EQNXTDZ($A$1,$B92,Y$1)</f>
        <v>#NAME?</v>
      </c>
      <c r="Z92" t="e" cm="1">
        <f t="array" aca="1" ref="Z92" ca="1">_xll.EQNXTDZ($A$1,$B92,Z$1)</f>
        <v>#NAME?</v>
      </c>
      <c r="AA92" t="e" cm="1">
        <f t="array" aca="1" ref="AA92" ca="1">_xll.EQNXTDZ($A$1,$B92,AA$1)</f>
        <v>#NAME?</v>
      </c>
      <c r="AB92" t="e" cm="1">
        <f t="array" aca="1" ref="AB92" ca="1">_xll.EQNXTDZ($A$1,$B92,AB$1)</f>
        <v>#NAME?</v>
      </c>
      <c r="AC92" t="e" cm="1">
        <f t="array" aca="1" ref="AC92" ca="1">_xll.EQNXTDZ($A$1,$B92,AC$1)</f>
        <v>#NAME?</v>
      </c>
      <c r="AD92" t="e" cm="1">
        <f t="array" aca="1" ref="AD92" ca="1">_xll.EQNXTDZ($A$1,$B92,AD$1)</f>
        <v>#NAME?</v>
      </c>
      <c r="AE92" t="e" cm="1">
        <f t="array" aca="1" ref="AE92" ca="1">_xll.EQNXTDZ($A$1,$B92,AE$1)</f>
        <v>#NAME?</v>
      </c>
      <c r="AF92" t="e" cm="1">
        <f t="array" aca="1" ref="AF92" ca="1">_xll.EQNXTDZ($A$1,$B92,AF$1)</f>
        <v>#NAME?</v>
      </c>
    </row>
    <row r="93" spans="1:32" x14ac:dyDescent="0.25">
      <c r="A93" t="s">
        <v>354</v>
      </c>
      <c r="B93" t="s">
        <v>357</v>
      </c>
      <c r="C93" t="e" cm="1">
        <f t="array" aca="1" ref="C93" ca="1">_xll.EQNXTDZ($A$1,$B93,C$1)</f>
        <v>#NAME?</v>
      </c>
      <c r="D93" t="e" cm="1">
        <f t="array" aca="1" ref="D93" ca="1">_xll.EQNXTDZ($A$1,$B93,D$1)</f>
        <v>#NAME?</v>
      </c>
      <c r="E93" t="e" cm="1">
        <f t="array" aca="1" ref="E93" ca="1">_xll.EQNXTDZ($A$1,$B93,E$1)</f>
        <v>#NAME?</v>
      </c>
      <c r="F93" t="e" cm="1">
        <f t="array" aca="1" ref="F93" ca="1">_xll.EQNXTDZ($A$1,$B93,F$1)</f>
        <v>#NAME?</v>
      </c>
      <c r="G93" t="e" cm="1">
        <f t="array" aca="1" ref="G93" ca="1">_xll.EQNXTDZ($A$1,$B93,G$1)</f>
        <v>#NAME?</v>
      </c>
      <c r="H93" t="e" cm="1">
        <f t="array" aca="1" ref="H93" ca="1">_xll.EQNXTDZ($A$1,$B93,H$1)</f>
        <v>#NAME?</v>
      </c>
      <c r="I93" t="e" cm="1">
        <f t="array" aca="1" ref="I93" ca="1">_xll.EQNXTDZ($A$1,$B93,I$1)</f>
        <v>#NAME?</v>
      </c>
      <c r="J93" t="e" cm="1">
        <f t="array" aca="1" ref="J93" ca="1">_xll.EQNXTDZ($A$1,$B93,J$1)</f>
        <v>#NAME?</v>
      </c>
      <c r="K93" t="e" cm="1">
        <f t="array" aca="1" ref="K93" ca="1">_xll.EQNXTDZ($A$1,$B93,K$1)</f>
        <v>#NAME?</v>
      </c>
      <c r="L93" t="e" cm="1">
        <f t="array" aca="1" ref="L93" ca="1">_xll.EQNXTDZ($A$1,$B93,L$1)</f>
        <v>#NAME?</v>
      </c>
      <c r="M93" t="e" cm="1">
        <f t="array" aca="1" ref="M93" ca="1">_xll.EQNXTDZ($A$1,$B93,M$1)</f>
        <v>#NAME?</v>
      </c>
      <c r="N93" t="e" cm="1">
        <f t="array" aca="1" ref="N93" ca="1">_xll.EQNXTDZ($A$1,$B93,N$1)</f>
        <v>#NAME?</v>
      </c>
      <c r="O93" t="e" cm="1">
        <f t="array" aca="1" ref="O93" ca="1">_xll.EQNXTDZ($A$1,$B93,O$1)</f>
        <v>#NAME?</v>
      </c>
      <c r="P93" t="e" cm="1">
        <f t="array" aca="1" ref="P93" ca="1">_xll.EQNXTDZ($A$1,$B93,P$1)</f>
        <v>#NAME?</v>
      </c>
      <c r="Q93" t="e" cm="1">
        <f t="array" aca="1" ref="Q93" ca="1">_xll.EQNXTDZ($A$1,$B93,Q$1)</f>
        <v>#NAME?</v>
      </c>
      <c r="R93" t="e" cm="1">
        <f t="array" aca="1" ref="R93" ca="1">_xll.EQNXTDZ($A$1,$B93,R$1)</f>
        <v>#NAME?</v>
      </c>
      <c r="S93" t="e" cm="1">
        <f t="array" aca="1" ref="S93" ca="1">_xll.EQNXTDZ($A$1,$B93,S$1)</f>
        <v>#NAME?</v>
      </c>
      <c r="T93" t="e" cm="1">
        <f t="array" aca="1" ref="T93" ca="1">_xll.EQNXTDZ($A$1,$B93,T$1)</f>
        <v>#NAME?</v>
      </c>
      <c r="U93" t="e" cm="1">
        <f t="array" aca="1" ref="U93" ca="1">_xll.EQNXTDZ($A$1,$B93,U$1)</f>
        <v>#NAME?</v>
      </c>
      <c r="V93" t="e" cm="1">
        <f t="array" aca="1" ref="V93" ca="1">_xll.EQNXTDZ($A$1,$B93,V$1)</f>
        <v>#NAME?</v>
      </c>
      <c r="W93" t="e" cm="1">
        <f t="array" aca="1" ref="W93" ca="1">_xll.EQNXTDZ($A$1,$B93,W$1)</f>
        <v>#NAME?</v>
      </c>
      <c r="X93" t="e" cm="1">
        <f t="array" aca="1" ref="X93" ca="1">_xll.EQNXTDZ($A$1,$B93,X$1)</f>
        <v>#NAME?</v>
      </c>
      <c r="Y93" t="e" cm="1">
        <f t="array" aca="1" ref="Y93" ca="1">_xll.EQNXTDZ($A$1,$B93,Y$1)</f>
        <v>#NAME?</v>
      </c>
      <c r="Z93" t="e" cm="1">
        <f t="array" aca="1" ref="Z93" ca="1">_xll.EQNXTDZ($A$1,$B93,Z$1)</f>
        <v>#NAME?</v>
      </c>
      <c r="AA93" t="e" cm="1">
        <f t="array" aca="1" ref="AA93" ca="1">_xll.EQNXTDZ($A$1,$B93,AA$1)</f>
        <v>#NAME?</v>
      </c>
      <c r="AB93" t="e" cm="1">
        <f t="array" aca="1" ref="AB93" ca="1">_xll.EQNXTDZ($A$1,$B93,AB$1)</f>
        <v>#NAME?</v>
      </c>
      <c r="AC93" t="e" cm="1">
        <f t="array" aca="1" ref="AC93" ca="1">_xll.EQNXTDZ($A$1,$B93,AC$1)</f>
        <v>#NAME?</v>
      </c>
      <c r="AD93" t="e" cm="1">
        <f t="array" aca="1" ref="AD93" ca="1">_xll.EQNXTDZ($A$1,$B93,AD$1)</f>
        <v>#NAME?</v>
      </c>
      <c r="AE93" t="e" cm="1">
        <f t="array" aca="1" ref="AE93" ca="1">_xll.EQNXTDZ($A$1,$B93,AE$1)</f>
        <v>#NAME?</v>
      </c>
      <c r="AF93" t="e" cm="1">
        <f t="array" aca="1" ref="AF93" ca="1">_xll.EQNXTDZ($A$1,$B93,AF$1)</f>
        <v>#NAME?</v>
      </c>
    </row>
    <row r="94" spans="1:32" x14ac:dyDescent="0.25">
      <c r="A94" t="s">
        <v>353</v>
      </c>
      <c r="B94" t="s">
        <v>356</v>
      </c>
      <c r="C94" t="e" cm="1">
        <f t="array" aca="1" ref="C94" ca="1">_xll.EQNXTDZ($A$1,$B94,C$1)</f>
        <v>#NAME?</v>
      </c>
      <c r="D94" t="e" cm="1">
        <f t="array" aca="1" ref="D94" ca="1">_xll.EQNXTDZ($A$1,$B94,D$1)</f>
        <v>#NAME?</v>
      </c>
      <c r="E94" t="e" cm="1">
        <f t="array" aca="1" ref="E94" ca="1">_xll.EQNXTDZ($A$1,$B94,E$1)</f>
        <v>#NAME?</v>
      </c>
      <c r="F94" t="e" cm="1">
        <f t="array" aca="1" ref="F94" ca="1">_xll.EQNXTDZ($A$1,$B94,F$1)</f>
        <v>#NAME?</v>
      </c>
      <c r="G94" t="e" cm="1">
        <f t="array" aca="1" ref="G94" ca="1">_xll.EQNXTDZ($A$1,$B94,G$1)</f>
        <v>#NAME?</v>
      </c>
      <c r="H94" t="e" cm="1">
        <f t="array" aca="1" ref="H94" ca="1">_xll.EQNXTDZ($A$1,$B94,H$1)</f>
        <v>#NAME?</v>
      </c>
      <c r="I94" t="e" cm="1">
        <f t="array" aca="1" ref="I94" ca="1">_xll.EQNXTDZ($A$1,$B94,I$1)</f>
        <v>#NAME?</v>
      </c>
      <c r="J94" t="e" cm="1">
        <f t="array" aca="1" ref="J94" ca="1">_xll.EQNXTDZ($A$1,$B94,J$1)</f>
        <v>#NAME?</v>
      </c>
      <c r="K94" t="e" cm="1">
        <f t="array" aca="1" ref="K94" ca="1">_xll.EQNXTDZ($A$1,$B94,K$1)</f>
        <v>#NAME?</v>
      </c>
      <c r="L94" t="e" cm="1">
        <f t="array" aca="1" ref="L94" ca="1">_xll.EQNXTDZ($A$1,$B94,L$1)</f>
        <v>#NAME?</v>
      </c>
      <c r="M94" t="e" cm="1">
        <f t="array" aca="1" ref="M94" ca="1">_xll.EQNXTDZ($A$1,$B94,M$1)</f>
        <v>#NAME?</v>
      </c>
      <c r="N94" t="e" cm="1">
        <f t="array" aca="1" ref="N94" ca="1">_xll.EQNXTDZ($A$1,$B94,N$1)</f>
        <v>#NAME?</v>
      </c>
      <c r="O94" t="e" cm="1">
        <f t="array" aca="1" ref="O94" ca="1">_xll.EQNXTDZ($A$1,$B94,O$1)</f>
        <v>#NAME?</v>
      </c>
      <c r="P94" t="e" cm="1">
        <f t="array" aca="1" ref="P94" ca="1">_xll.EQNXTDZ($A$1,$B94,P$1)</f>
        <v>#NAME?</v>
      </c>
      <c r="Q94" t="e" cm="1">
        <f t="array" aca="1" ref="Q94" ca="1">_xll.EQNXTDZ($A$1,$B94,Q$1)</f>
        <v>#NAME?</v>
      </c>
      <c r="R94" t="e" cm="1">
        <f t="array" aca="1" ref="R94" ca="1">_xll.EQNXTDZ($A$1,$B94,R$1)</f>
        <v>#NAME?</v>
      </c>
      <c r="S94" t="e" cm="1">
        <f t="array" aca="1" ref="S94" ca="1">_xll.EQNXTDZ($A$1,$B94,S$1)</f>
        <v>#NAME?</v>
      </c>
      <c r="T94" t="e" cm="1">
        <f t="array" aca="1" ref="T94" ca="1">_xll.EQNXTDZ($A$1,$B94,T$1)</f>
        <v>#NAME?</v>
      </c>
      <c r="U94" t="e" cm="1">
        <f t="array" aca="1" ref="U94" ca="1">_xll.EQNXTDZ($A$1,$B94,U$1)</f>
        <v>#NAME?</v>
      </c>
      <c r="V94" t="e" cm="1">
        <f t="array" aca="1" ref="V94" ca="1">_xll.EQNXTDZ($A$1,$B94,V$1)</f>
        <v>#NAME?</v>
      </c>
      <c r="W94" t="e" cm="1">
        <f t="array" aca="1" ref="W94" ca="1">_xll.EQNXTDZ($A$1,$B94,W$1)</f>
        <v>#NAME?</v>
      </c>
      <c r="X94" t="e" cm="1">
        <f t="array" aca="1" ref="X94" ca="1">_xll.EQNXTDZ($A$1,$B94,X$1)</f>
        <v>#NAME?</v>
      </c>
      <c r="Y94" t="e" cm="1">
        <f t="array" aca="1" ref="Y94" ca="1">_xll.EQNXTDZ($A$1,$B94,Y$1)</f>
        <v>#NAME?</v>
      </c>
      <c r="Z94" t="e" cm="1">
        <f t="array" aca="1" ref="Z94" ca="1">_xll.EQNXTDZ($A$1,$B94,Z$1)</f>
        <v>#NAME?</v>
      </c>
      <c r="AA94" t="e" cm="1">
        <f t="array" aca="1" ref="AA94" ca="1">_xll.EQNXTDZ($A$1,$B94,AA$1)</f>
        <v>#NAME?</v>
      </c>
      <c r="AB94" t="e" cm="1">
        <f t="array" aca="1" ref="AB94" ca="1">_xll.EQNXTDZ($A$1,$B94,AB$1)</f>
        <v>#NAME?</v>
      </c>
      <c r="AC94" t="e" cm="1">
        <f t="array" aca="1" ref="AC94" ca="1">_xll.EQNXTDZ($A$1,$B94,AC$1)</f>
        <v>#NAME?</v>
      </c>
      <c r="AD94" t="e" cm="1">
        <f t="array" aca="1" ref="AD94" ca="1">_xll.EQNXTDZ($A$1,$B94,AD$1)</f>
        <v>#NAME?</v>
      </c>
      <c r="AE94" t="e" cm="1">
        <f t="array" aca="1" ref="AE94" ca="1">_xll.EQNXTDZ($A$1,$B94,AE$1)</f>
        <v>#NAME?</v>
      </c>
      <c r="AF94" t="e" cm="1">
        <f t="array" aca="1" ref="AF94" ca="1">_xll.EQNXTDZ($A$1,$B94,AF$1)</f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132525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335</v>
      </c>
      <c r="B6" t="s">
        <v>380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0" customFormat="1" x14ac:dyDescent="0.25">
      <c r="A7" s="110" t="s">
        <v>38</v>
      </c>
      <c r="B7" s="110" t="s">
        <v>381</v>
      </c>
      <c r="C7" s="110" t="e" cm="1">
        <f t="array" aca="1" ref="C7" ca="1">_xll.EQNXTDZ($A$1,$B7,C$1)</f>
        <v>#NAME?</v>
      </c>
      <c r="D7" s="110" t="e" cm="1">
        <f t="array" aca="1" ref="D7" ca="1">_xll.EQNXTDZ($A$1,$B7,D$1)</f>
        <v>#NAME?</v>
      </c>
      <c r="E7" s="110" t="e" cm="1">
        <f t="array" aca="1" ref="E7" ca="1">_xll.EQNXTDZ($A$1,$B7,E$1)</f>
        <v>#NAME?</v>
      </c>
      <c r="F7" s="110" t="e" cm="1">
        <f t="array" aca="1" ref="F7" ca="1">_xll.EQNXTDZ($A$1,$B7,F$1)</f>
        <v>#NAME?</v>
      </c>
      <c r="G7" s="110" t="e" cm="1">
        <f t="array" aca="1" ref="G7" ca="1">_xll.EQNXTDZ($A$1,$B7,G$1)</f>
        <v>#NAME?</v>
      </c>
      <c r="H7" s="110" t="e" cm="1">
        <f t="array" aca="1" ref="H7" ca="1">_xll.EQNXTDZ($A$1,$B7,H$1)</f>
        <v>#NAME?</v>
      </c>
      <c r="I7" s="110" t="e" cm="1">
        <f t="array" aca="1" ref="I7" ca="1">_xll.EQNXTDZ($A$1,$B7,I$1)</f>
        <v>#NAME?</v>
      </c>
      <c r="J7" s="110" t="e" cm="1">
        <f t="array" aca="1" ref="J7" ca="1">_xll.EQNXTDZ($A$1,$B7,J$1)</f>
        <v>#NAME?</v>
      </c>
      <c r="K7" s="110" t="e" cm="1">
        <f t="array" aca="1" ref="K7" ca="1">_xll.EQNXTDZ($A$1,$B7,K$1)</f>
        <v>#NAME?</v>
      </c>
      <c r="L7" s="110" t="e" cm="1">
        <f t="array" aca="1" ref="L7" ca="1">_xll.EQNXTDZ($A$1,$B7,L$1)</f>
        <v>#NAME?</v>
      </c>
      <c r="M7" s="110" t="e" cm="1">
        <f t="array" aca="1" ref="M7" ca="1">_xll.EQNXTDZ($A$1,$B7,M$1)</f>
        <v>#NAME?</v>
      </c>
      <c r="N7" s="110" t="e" cm="1">
        <f t="array" aca="1" ref="N7" ca="1">_xll.EQNXTDZ($A$1,$B7,N$1)</f>
        <v>#NAME?</v>
      </c>
      <c r="O7" s="110" t="e" cm="1">
        <f t="array" aca="1" ref="O7" ca="1">_xll.EQNXTDZ($A$1,$B7,O$1)</f>
        <v>#NAME?</v>
      </c>
      <c r="P7" s="110" t="e" cm="1">
        <f t="array" aca="1" ref="P7" ca="1">_xll.EQNXTDZ($A$1,$B7,P$1)</f>
        <v>#NAME?</v>
      </c>
      <c r="Q7" s="110" t="e" cm="1">
        <f t="array" aca="1" ref="Q7" ca="1">_xll.EQNXTDZ($A$1,$B7,Q$1)</f>
        <v>#NAME?</v>
      </c>
      <c r="R7" s="110" t="e" cm="1">
        <f t="array" aca="1" ref="R7" ca="1">_xll.EQNXTDZ($A$1,$B7,R$1)</f>
        <v>#NAME?</v>
      </c>
      <c r="S7" s="110" t="e" cm="1">
        <f t="array" aca="1" ref="S7" ca="1">_xll.EQNXTDZ($A$1,$B7,S$1)</f>
        <v>#NAME?</v>
      </c>
      <c r="T7" s="110" t="e" cm="1">
        <f t="array" aca="1" ref="T7" ca="1">_xll.EQNXTDZ($A$1,$B7,T$1)</f>
        <v>#NAME?</v>
      </c>
      <c r="U7" s="110" t="e" cm="1">
        <f t="array" aca="1" ref="U7" ca="1">_xll.EQNXTDZ($A$1,$B7,U$1)</f>
        <v>#NAME?</v>
      </c>
      <c r="V7" s="110" t="e" cm="1">
        <f t="array" aca="1" ref="V7" ca="1">_xll.EQNXTDZ($A$1,$B7,V$1)</f>
        <v>#NAME?</v>
      </c>
      <c r="W7" s="110" t="e" cm="1">
        <f t="array" aca="1" ref="W7" ca="1">_xll.EQNXTDZ($A$1,$B7,W$1)</f>
        <v>#NAME?</v>
      </c>
      <c r="X7" s="110" t="e" cm="1">
        <f t="array" aca="1" ref="X7" ca="1">_xll.EQNXTDZ($A$1,$B7,X$1)</f>
        <v>#NAME?</v>
      </c>
      <c r="Y7" s="110" t="e" cm="1">
        <f t="array" aca="1" ref="Y7" ca="1">_xll.EQNXTDZ($A$1,$B7,Y$1)</f>
        <v>#NAME?</v>
      </c>
      <c r="Z7" s="110" t="e" cm="1">
        <f t="array" aca="1" ref="Z7" ca="1">_xll.EQNXTDZ($A$1,$B7,Z$1)</f>
        <v>#NAME?</v>
      </c>
      <c r="AA7" s="110" t="e" cm="1">
        <f t="array" aca="1" ref="AA7" ca="1">_xll.EQNXTDZ($A$1,$B7,AA$1)</f>
        <v>#NAME?</v>
      </c>
      <c r="AB7" s="110" t="e" cm="1">
        <f t="array" aca="1" ref="AB7" ca="1">_xll.EQNXTDZ($A$1,$B7,AB$1)</f>
        <v>#NAME?</v>
      </c>
      <c r="AC7" s="110" t="e" cm="1">
        <f t="array" aca="1" ref="AC7" ca="1">_xll.EQNXTDZ($A$1,$B7,AC$1)</f>
        <v>#NAME?</v>
      </c>
      <c r="AD7" s="110" t="e" cm="1">
        <f t="array" aca="1" ref="AD7" ca="1">_xll.EQNXTDZ($A$1,$B7,AD$1)</f>
        <v>#NAME?</v>
      </c>
      <c r="AE7" s="110" t="e" cm="1">
        <f t="array" aca="1" ref="AE7" ca="1">_xll.EQNXTDZ($A$1,$B7,AE$1)</f>
        <v>#NAME?</v>
      </c>
      <c r="AF7" s="110" t="e" cm="1">
        <f t="array" aca="1" ref="AF7" ca="1">_xll.EQNXTDZ($A$1,$B7,AF$1)</f>
        <v>#NAME?</v>
      </c>
      <c r="AG7" s="110" t="e" cm="1">
        <f t="array" aca="1" ref="AG7" ca="1">_xll.EQNXTDZ($A$1,$B7,AG$1)</f>
        <v>#NAME?</v>
      </c>
      <c r="AH7" s="110" t="e" cm="1">
        <f t="array" aca="1" ref="AH7" ca="1">_xll.EQNXTDZ($A$1,$B7,AH$1)</f>
        <v>#NAME?</v>
      </c>
      <c r="AI7" s="110" t="e" cm="1">
        <f t="array" aca="1" ref="AI7" ca="1">_xll.EQNXTDZ($A$1,$B7,AI$1)</f>
        <v>#NAME?</v>
      </c>
      <c r="AJ7" s="110" t="e" cm="1">
        <f t="array" aca="1" ref="AJ7" ca="1">_xll.EQNXTDZ($A$1,$B7,AJ$1)</f>
        <v>#NAME?</v>
      </c>
      <c r="AK7" s="110" t="e" cm="1">
        <f t="array" aca="1" ref="AK7" ca="1">_xll.EQNXTDZ($A$1,$B7,AK$1)</f>
        <v>#NAME?</v>
      </c>
      <c r="AL7" s="110" t="e" cm="1">
        <f t="array" aca="1" ref="AL7" ca="1">_xll.EQNXTDZ($A$1,$B7,AL$1)</f>
        <v>#NAME?</v>
      </c>
      <c r="AM7" s="110" t="e" cm="1">
        <f t="array" aca="1" ref="AM7" ca="1">_xll.EQNXTDZ($A$1,$B7,AM$1)</f>
        <v>#NAME?</v>
      </c>
      <c r="AN7" s="110" t="e" cm="1">
        <f t="array" aca="1" ref="AN7" ca="1">_xll.EQNXTDZ($A$1,$B7,AN$1)</f>
        <v>#NAME?</v>
      </c>
      <c r="AO7" s="110" t="e" cm="1">
        <f t="array" aca="1" ref="AO7" ca="1">_xll.EQNXTDZ($A$1,$B7,AO$1)</f>
        <v>#NAME?</v>
      </c>
      <c r="AP7" s="110" t="e" cm="1">
        <f t="array" aca="1" ref="AP7" ca="1">_xll.EQNXTDZ($A$1,$B7,AP$1)</f>
        <v>#NAME?</v>
      </c>
      <c r="AQ7" s="110" t="e" cm="1">
        <f t="array" aca="1" ref="AQ7" ca="1">_xll.EQNXTDZ($A$1,$B7,AQ$1)</f>
        <v>#NAME?</v>
      </c>
      <c r="AR7" s="110" t="e" cm="1">
        <f t="array" aca="1" ref="AR7" ca="1">_xll.EQNXTDZ($A$1,$B7,AR$1)</f>
        <v>#NAME?</v>
      </c>
      <c r="AS7" s="110" t="e" cm="1">
        <f t="array" aca="1" ref="AS7" ca="1">_xll.EQNXTDZ($A$1,$B7,AS$1)</f>
        <v>#NAME?</v>
      </c>
      <c r="AT7" s="110" t="e" cm="1">
        <f t="array" aca="1" ref="AT7" ca="1">_xll.EQNXTDZ($A$1,$B7,AT$1)</f>
        <v>#NAME?</v>
      </c>
      <c r="AU7" s="110" t="e" cm="1">
        <f t="array" aca="1" ref="AU7" ca="1">_xll.EQNXTDZ($A$1,$B7,AU$1)</f>
        <v>#NAME?</v>
      </c>
      <c r="AV7" s="110" t="e" cm="1">
        <f t="array" aca="1" ref="AV7" ca="1">_xll.EQNXTDZ($A$1,$B7,AV$1)</f>
        <v>#NAME?</v>
      </c>
      <c r="AW7" s="110" t="e" cm="1">
        <f t="array" aca="1" ref="AW7" ca="1">_xll.EQNXTDZ($A$1,$B7,AW$1)</f>
        <v>#NAME?</v>
      </c>
      <c r="AX7" s="110" t="e" cm="1">
        <f t="array" aca="1" ref="AX7" ca="1">_xll.EQNXTDZ($A$1,$B7,AX$1)</f>
        <v>#NAME?</v>
      </c>
      <c r="AY7" s="110" t="e" cm="1">
        <f t="array" aca="1" ref="AY7" ca="1">_xll.EQNXTDZ($A$1,$B7,AY$1)</f>
        <v>#NAME?</v>
      </c>
      <c r="AZ7" s="110" t="e" cm="1">
        <f t="array" aca="1" ref="AZ7" ca="1">_xll.EQNXTDZ($A$1,$B7,AZ$1)</f>
        <v>#NAME?</v>
      </c>
      <c r="BA7" s="110" t="e" cm="1">
        <f t="array" aca="1" ref="BA7" ca="1">_xll.EQNXTDZ($A$1,$B7,BA$1)</f>
        <v>#NAME?</v>
      </c>
      <c r="BB7" s="110" t="e" cm="1">
        <f t="array" aca="1" ref="BB7" ca="1">_xll.EQNXTDZ($A$1,$B7,BB$1)</f>
        <v>#NAME?</v>
      </c>
      <c r="BC7" s="110" t="e" cm="1">
        <f t="array" aca="1" ref="BC7" ca="1">_xll.EQNXTDZ($A$1,$B7,BC$1)</f>
        <v>#NAME?</v>
      </c>
      <c r="BD7" s="110" t="e" cm="1">
        <f t="array" aca="1" ref="BD7" ca="1">_xll.EQNXTDZ($A$1,$B7,BD$1)</f>
        <v>#NAME?</v>
      </c>
      <c r="BE7" s="110" t="e" cm="1">
        <f t="array" aca="1" ref="BE7" ca="1">_xll.EQNXTDZ($A$1,$B7,BE$1)</f>
        <v>#NAME?</v>
      </c>
      <c r="BF7" s="110" t="e" cm="1">
        <f t="array" aca="1" ref="BF7" ca="1">_xll.EQNXTDZ($A$1,$B7,BF$1)</f>
        <v>#NAME?</v>
      </c>
      <c r="BG7" s="110" t="e" cm="1">
        <f t="array" aca="1" ref="BG7" ca="1">_xll.EQNXTDZ($A$1,$B7,BG$1)</f>
        <v>#NAME?</v>
      </c>
      <c r="BH7" s="110" t="e" cm="1">
        <f t="array" aca="1" ref="BH7" ca="1">_xll.EQNXTDZ($A$1,$B7,BH$1)</f>
        <v>#NAME?</v>
      </c>
      <c r="BI7" s="110" t="e" cm="1">
        <f t="array" aca="1" ref="BI7" ca="1">_xll.EQNXTDZ($A$1,$B7,BI$1)</f>
        <v>#NAME?</v>
      </c>
      <c r="BJ7" s="110" t="e" cm="1">
        <f t="array" aca="1" ref="BJ7" ca="1">_xll.EQNXTDZ($A$1,$B7,BJ$1)</f>
        <v>#NAME?</v>
      </c>
      <c r="BK7" s="110" t="e" cm="1">
        <f t="array" aca="1" ref="BK7" ca="1">_xll.EQNXTDZ($A$1,$B7,BK$1)</f>
        <v>#NAME?</v>
      </c>
      <c r="BL7" s="110" t="e" cm="1">
        <f t="array" aca="1" ref="BL7" ca="1">_xll.EQNXTDZ($A$1,$B7,BL$1)</f>
        <v>#NAME?</v>
      </c>
      <c r="BM7" s="110" t="e" cm="1">
        <f t="array" aca="1" ref="BM7" ca="1">_xll.EQNXTDZ($A$1,$B7,BM$1)</f>
        <v>#NAME?</v>
      </c>
      <c r="BN7" s="110" t="e" cm="1">
        <f t="array" aca="1" ref="BN7" ca="1">_xll.EQNXTDZ($A$1,$B7,BN$1)</f>
        <v>#NAME?</v>
      </c>
      <c r="BO7" s="110" t="e" cm="1">
        <f t="array" aca="1" ref="BO7" ca="1">_xll.EQNXTDZ($A$1,$B7,BO$1)</f>
        <v>#NAME?</v>
      </c>
      <c r="BP7" s="110" t="e" cm="1">
        <f t="array" aca="1" ref="BP7" ca="1">_xll.EQNXTDZ($A$1,$B7,BP$1)</f>
        <v>#NAME?</v>
      </c>
      <c r="BQ7" s="110" t="e" cm="1">
        <f t="array" aca="1" ref="BQ7" ca="1">_xll.EQNXTDZ($A$1,$B7,BQ$1)</f>
        <v>#NAME?</v>
      </c>
      <c r="BR7" s="110" t="e" cm="1">
        <f t="array" aca="1" ref="BR7" ca="1">_xll.EQNXTDZ($A$1,$B7,BR$1)</f>
        <v>#NAME?</v>
      </c>
      <c r="BS7" s="110" t="e" cm="1">
        <f t="array" aca="1" ref="BS7" ca="1">_xll.EQNXTDZ($A$1,$B7,BS$1)</f>
        <v>#NAME?</v>
      </c>
      <c r="BT7" s="110" t="e" cm="1">
        <f t="array" aca="1" ref="BT7" ca="1">_xll.EQNXTDZ($A$1,$B7,BT$1)</f>
        <v>#NAME?</v>
      </c>
      <c r="BU7" s="110" t="e" cm="1">
        <f t="array" aca="1" ref="BU7" ca="1">_xll.EQNXTDZ($A$1,$B7,BU$1)</f>
        <v>#NAME?</v>
      </c>
      <c r="BV7" s="110" t="e" cm="1">
        <f t="array" aca="1" ref="BV7" ca="1">_xll.EQNXTDZ($A$1,$B7,BV$1)</f>
        <v>#NAME?</v>
      </c>
      <c r="BW7" s="110" t="e" cm="1">
        <f t="array" aca="1" ref="BW7" ca="1">_xll.EQNXTDZ($A$1,$B7,BW$1)</f>
        <v>#NAME?</v>
      </c>
      <c r="BX7" s="110" t="e" cm="1">
        <f t="array" aca="1" ref="BX7" ca="1">_xll.EQNXTDZ($A$1,$B7,BX$1)</f>
        <v>#NAME?</v>
      </c>
      <c r="BY7" s="110" t="e" cm="1">
        <f t="array" aca="1" ref="BY7" ca="1">_xll.EQNXTDZ($A$1,$B7,BY$1)</f>
        <v>#NAME?</v>
      </c>
      <c r="BZ7" s="110" t="e" cm="1">
        <f t="array" aca="1" ref="BZ7" ca="1">_xll.EQNXTDZ($A$1,$B7,BZ$1)</f>
        <v>#NAME?</v>
      </c>
      <c r="CA7" s="110" t="e" cm="1">
        <f t="array" aca="1" ref="CA7" ca="1">_xll.EQNXTDZ($A$1,$B7,CA$1)</f>
        <v>#NAME?</v>
      </c>
      <c r="CB7" s="110" t="e" cm="1">
        <f t="array" aca="1" ref="CB7" ca="1">_xll.EQNXTDZ($A$1,$B7,CB$1)</f>
        <v>#NAME?</v>
      </c>
      <c r="CC7" s="110" t="e" cm="1">
        <f t="array" aca="1" ref="CC7" ca="1">_xll.EQNXTDZ($A$1,$B7,CC$1)</f>
        <v>#NAME?</v>
      </c>
      <c r="CD7" s="110" t="e" cm="1">
        <f t="array" aca="1" ref="CD7" ca="1">_xll.EQNXTDZ($A$1,$B7,CD$1)</f>
        <v>#NAME?</v>
      </c>
      <c r="CE7" s="110" t="e" cm="1">
        <f t="array" aca="1" ref="CE7" ca="1">_xll.EQNXTDZ($A$1,$B7,CE$1)</f>
        <v>#NAME?</v>
      </c>
      <c r="CF7" s="110" t="e" cm="1">
        <f t="array" aca="1" ref="CF7" ca="1">_xll.EQNXTDZ($A$1,$B7,CF$1)</f>
        <v>#NAME?</v>
      </c>
      <c r="CG7" s="110" t="e" cm="1">
        <f t="array" aca="1" ref="CG7" ca="1">_xll.EQNXTDZ($A$1,$B7,CG$1)</f>
        <v>#NAME?</v>
      </c>
      <c r="CH7" s="110" t="e" cm="1">
        <f t="array" aca="1" ref="CH7" ca="1">_xll.EQNXTDZ($A$1,$B7,CH$1)</f>
        <v>#NAME?</v>
      </c>
      <c r="CI7" s="110" t="e" cm="1">
        <f t="array" aca="1" ref="CI7" ca="1">_xll.EQNXTDZ($A$1,$B7,CI$1)</f>
        <v>#NAME?</v>
      </c>
      <c r="CJ7" s="110" t="e" cm="1">
        <f t="array" aca="1" ref="CJ7" ca="1">_xll.EQNXTDZ($A$1,$B7,CJ$1)</f>
        <v>#NAME?</v>
      </c>
      <c r="CK7" s="110" t="e" cm="1">
        <f t="array" aca="1" ref="CK7" ca="1">_xll.EQNXTDZ($A$1,$B7,CK$1)</f>
        <v>#NAME?</v>
      </c>
      <c r="CL7" s="110" t="e" cm="1">
        <f t="array" aca="1" ref="CL7" ca="1">_xll.EQNXTDZ($A$1,$B7,CL$1)</f>
        <v>#NAME?</v>
      </c>
      <c r="CM7" s="110" t="e" cm="1">
        <f t="array" aca="1" ref="CM7" ca="1">_xll.EQNXTDZ($A$1,$B7,CM$1)</f>
        <v>#NAME?</v>
      </c>
      <c r="CN7" s="110" t="e" cm="1">
        <f t="array" aca="1" ref="CN7" ca="1">_xll.EQNXTDZ($A$1,$B7,CN$1)</f>
        <v>#NAME?</v>
      </c>
      <c r="CO7" s="110" t="e" cm="1">
        <f t="array" aca="1" ref="CO7" ca="1">_xll.EQNXTDZ($A$1,$B7,CO$1)</f>
        <v>#NAME?</v>
      </c>
      <c r="CP7" s="110" t="e" cm="1">
        <f t="array" aca="1" ref="CP7" ca="1">_xll.EQNXTDZ($A$1,$B7,CP$1)</f>
        <v>#NAME?</v>
      </c>
      <c r="CQ7" s="110" t="e" cm="1">
        <f t="array" aca="1" ref="CQ7" ca="1">_xll.EQNXTDZ($A$1,$B7,CQ$1)</f>
        <v>#NAME?</v>
      </c>
      <c r="CR7" s="110" t="e" cm="1">
        <f t="array" aca="1" ref="CR7" ca="1">_xll.EQNXTDZ($A$1,$B7,CR$1)</f>
        <v>#NAME?</v>
      </c>
      <c r="CS7" s="110" t="e" cm="1">
        <f t="array" aca="1" ref="CS7" ca="1">_xll.EQNXTDZ($A$1,$B7,CS$1)</f>
        <v>#NAME?</v>
      </c>
      <c r="CT7" s="110" t="e" cm="1">
        <f t="array" aca="1" ref="CT7" ca="1">_xll.EQNXTDZ($A$1,$B7,CT$1)</f>
        <v>#NAME?</v>
      </c>
      <c r="CU7" s="110" t="e" cm="1">
        <f t="array" aca="1" ref="CU7" ca="1">_xll.EQNXTDZ($A$1,$B7,CU$1)</f>
        <v>#NAME?</v>
      </c>
      <c r="CV7" s="110" t="e" cm="1">
        <f t="array" aca="1" ref="CV7" ca="1">_xll.EQNXTDZ($A$1,$B7,CV$1)</f>
        <v>#NAME?</v>
      </c>
      <c r="CW7" s="110" t="e" cm="1">
        <f t="array" aca="1" ref="CW7" ca="1">_xll.EQNXTDZ($A$1,$B7,CW$1)</f>
        <v>#NAME?</v>
      </c>
      <c r="CX7" s="110" t="e" cm="1">
        <f t="array" aca="1" ref="CX7" ca="1">_xll.EQNXTDZ($A$1,$B7,CX$1)</f>
        <v>#NAME?</v>
      </c>
      <c r="CY7" s="110" t="e" cm="1">
        <f t="array" aca="1" ref="CY7" ca="1">_xll.EQNXTDZ($A$1,$B7,CY$1)</f>
        <v>#NAME?</v>
      </c>
      <c r="CZ7" s="110" t="e" cm="1">
        <f t="array" aca="1" ref="CZ7" ca="1">_xll.EQNXTDZ($A$1,$B7,CZ$1)</f>
        <v>#NAME?</v>
      </c>
      <c r="DA7" s="110" t="e" cm="1">
        <f t="array" aca="1" ref="DA7" ca="1">_xll.EQNXTDZ($A$1,$B7,DA$1)</f>
        <v>#NAME?</v>
      </c>
      <c r="DB7" s="110" t="e" cm="1">
        <f t="array" aca="1" ref="DB7" ca="1">_xll.EQNXTDZ($A$1,$B7,DB$1)</f>
        <v>#NAME?</v>
      </c>
      <c r="DC7" s="110" t="e" cm="1">
        <f t="array" aca="1" ref="DC7" ca="1">_xll.EQNXTDZ($A$1,$B7,DC$1)</f>
        <v>#NAME?</v>
      </c>
      <c r="DD7" s="110" t="e" cm="1">
        <f t="array" aca="1" ref="DD7" ca="1">_xll.EQNXTDZ($A$1,$B7,DD$1)</f>
        <v>#NAME?</v>
      </c>
      <c r="DE7" s="110" t="e" cm="1">
        <f t="array" aca="1" ref="DE7" ca="1">_xll.EQNXTDZ($A$1,$B7,DE$1)</f>
        <v>#NAME?</v>
      </c>
      <c r="DF7" s="110" t="e" cm="1">
        <f t="array" aca="1" ref="DF7" ca="1">_xll.EQNXTDZ($A$1,$B7,DF$1)</f>
        <v>#NAME?</v>
      </c>
      <c r="DG7" s="110" t="e" cm="1">
        <f t="array" aca="1" ref="DG7" ca="1">_xll.EQNXTDZ($A$1,$B7,DG$1)</f>
        <v>#NAME?</v>
      </c>
      <c r="DH7" s="110" t="e" cm="1">
        <f t="array" aca="1" ref="DH7" ca="1">_xll.EQNXTDZ($A$1,$B7,DH$1)</f>
        <v>#NAME?</v>
      </c>
      <c r="DI7" s="110" t="e" cm="1">
        <f t="array" aca="1" ref="DI7" ca="1">_xll.EQNXTDZ($A$1,$B7,DI$1)</f>
        <v>#NAME?</v>
      </c>
      <c r="DJ7" s="110" t="e" cm="1">
        <f t="array" aca="1" ref="DJ7" ca="1">_xll.EQNXTDZ($A$1,$B7,DJ$1)</f>
        <v>#NAME?</v>
      </c>
      <c r="DK7" s="110" t="e" cm="1">
        <f t="array" aca="1" ref="DK7" ca="1">_xll.EQNXTDZ($A$1,$B7,DK$1)</f>
        <v>#NAME?</v>
      </c>
      <c r="DL7" s="110" t="e" cm="1">
        <f t="array" aca="1" ref="DL7" ca="1">_xll.EQNXTDZ($A$1,$B7,DL$1)</f>
        <v>#NAME?</v>
      </c>
      <c r="DM7" s="110" t="e" cm="1">
        <f t="array" aca="1" ref="DM7" ca="1">_xll.EQNXTDZ($A$1,$B7,DM$1)</f>
        <v>#NAME?</v>
      </c>
      <c r="DN7" s="110" t="e" cm="1">
        <f t="array" aca="1" ref="DN7" ca="1">_xll.EQNXTDZ($A$1,$B7,DN$1)</f>
        <v>#NAME?</v>
      </c>
      <c r="DO7" s="110" t="e" cm="1">
        <f t="array" aca="1" ref="DO7" ca="1">_xll.EQNXTDZ($A$1,$B7,DO$1)</f>
        <v>#NAME?</v>
      </c>
      <c r="DP7" s="110" t="e" cm="1">
        <f t="array" aca="1" ref="DP7" ca="1">_xll.EQNXTDZ($A$1,$B7,DP$1)</f>
        <v>#NAME?</v>
      </c>
      <c r="DQ7" s="110" t="e" cm="1">
        <f t="array" aca="1" ref="DQ7" ca="1">_xll.EQNXTDZ($A$1,$B7,DQ$1)</f>
        <v>#NAME?</v>
      </c>
      <c r="DR7" s="110" t="e" cm="1">
        <f t="array" aca="1" ref="DR7" ca="1">_xll.EQNXTDZ($A$1,$B7,DR$1)</f>
        <v>#NAME?</v>
      </c>
      <c r="DS7" s="110" t="e" cm="1">
        <f t="array" aca="1" ref="DS7" ca="1">_xll.EQNXTDZ($A$1,$B7,DS$1)</f>
        <v>#NAME?</v>
      </c>
      <c r="DT7" s="110" t="e" cm="1">
        <f t="array" aca="1" ref="DT7" ca="1">_xll.EQNXTDZ($A$1,$B7,DT$1)</f>
        <v>#NAME?</v>
      </c>
      <c r="DU7" s="110" t="e" cm="1">
        <f t="array" aca="1" ref="DU7" ca="1">_xll.EQNXTDZ($A$1,$B7,DU$1)</f>
        <v>#NAME?</v>
      </c>
      <c r="DV7" s="110" t="e" cm="1">
        <f t="array" aca="1" ref="DV7" ca="1">_xll.EQNXTDZ($A$1,$B7,DV$1)</f>
        <v>#NAME?</v>
      </c>
      <c r="DW7" s="110" t="e" cm="1">
        <f t="array" aca="1" ref="DW7" ca="1">_xll.EQNXTDZ($A$1,$B7,DW$1)</f>
        <v>#NAME?</v>
      </c>
      <c r="DX7" s="110" t="e" cm="1">
        <f t="array" aca="1" ref="DX7" ca="1">_xll.EQNXTDZ($A$1,$B7,DX$1)</f>
        <v>#NAME?</v>
      </c>
      <c r="DY7" s="110" t="e" cm="1">
        <f t="array" aca="1" ref="DY7" ca="1">_xll.EQNXTDZ($A$1,$B7,DY$1)</f>
        <v>#NAME?</v>
      </c>
      <c r="DZ7" s="110" t="e" cm="1">
        <f t="array" aca="1" ref="DZ7" ca="1">_xll.EQNXTDZ($A$1,$B7,DZ$1)</f>
        <v>#NAME?</v>
      </c>
      <c r="EA7" s="110" t="e" cm="1">
        <f t="array" aca="1" ref="EA7" ca="1">_xll.EQNXTDZ($A$1,$B7,EA$1)</f>
        <v>#NAME?</v>
      </c>
      <c r="EB7" s="110" t="e" cm="1">
        <f t="array" aca="1" ref="EB7" ca="1">_xll.EQNXTDZ($A$1,$B7,EB$1)</f>
        <v>#NAME?</v>
      </c>
      <c r="EC7" s="110" t="e" cm="1">
        <f t="array" aca="1" ref="EC7" ca="1">_xll.EQNXTDZ($A$1,$B7,EC$1)</f>
        <v>#NAME?</v>
      </c>
      <c r="ED7" s="110" t="e" cm="1">
        <f t="array" aca="1" ref="ED7" ca="1">_xll.EQNXTDZ($A$1,$B7,ED$1)</f>
        <v>#NAME?</v>
      </c>
      <c r="EE7" s="110" t="e" cm="1">
        <f t="array" aca="1" ref="EE7" ca="1">_xll.EQNXTDZ($A$1,$B7,EE$1)</f>
        <v>#NAME?</v>
      </c>
      <c r="EF7" s="110" t="e" cm="1">
        <f t="array" aca="1" ref="EF7" ca="1">_xll.EQNXTDZ($A$1,$B7,EF$1)</f>
        <v>#NAME?</v>
      </c>
      <c r="EG7" s="110" t="e" cm="1">
        <f t="array" aca="1" ref="EG7" ca="1">_xll.EQNXTDZ($A$1,$B7,EG$1)</f>
        <v>#NAME?</v>
      </c>
      <c r="EH7" s="110" t="e" cm="1">
        <f t="array" aca="1" ref="EH7" ca="1">_xll.EQNXTDZ($A$1,$B7,EH$1)</f>
        <v>#NAME?</v>
      </c>
      <c r="EI7" s="110" t="e" cm="1">
        <f t="array" aca="1" ref="EI7" ca="1">_xll.EQNXTDZ($A$1,$B7,EI$1)</f>
        <v>#NAME?</v>
      </c>
      <c r="EJ7" s="110" t="e" cm="1">
        <f t="array" aca="1" ref="EJ7" ca="1">_xll.EQNXTDZ($A$1,$B7,EJ$1)</f>
        <v>#NAME?</v>
      </c>
      <c r="EK7" s="110" t="e" cm="1">
        <f t="array" aca="1" ref="EK7" ca="1">_xll.EQNXTDZ($A$1,$B7,EK$1)</f>
        <v>#NAME?</v>
      </c>
      <c r="EL7" s="110" t="e" cm="1">
        <f t="array" aca="1" ref="EL7" ca="1">_xll.EQNXTDZ($A$1,$B7,EL$1)</f>
        <v>#NAME?</v>
      </c>
      <c r="EM7" s="110" t="e" cm="1">
        <f t="array" aca="1" ref="EM7" ca="1">_xll.EQNXTDZ($A$1,$B7,EM$1)</f>
        <v>#NAME?</v>
      </c>
      <c r="EN7" s="110" t="e" cm="1">
        <f t="array" aca="1" ref="EN7" ca="1">_xll.EQNXTDZ($A$1,$B7,EN$1)</f>
        <v>#NAME?</v>
      </c>
      <c r="EO7" s="110" t="e" cm="1">
        <f t="array" aca="1" ref="EO7" ca="1">_xll.EQNXTDZ($A$1,$B7,EO$1)</f>
        <v>#NAME?</v>
      </c>
      <c r="EP7" s="110" t="e" cm="1">
        <f t="array" aca="1" ref="EP7" ca="1">_xll.EQNXTDZ($A$1,$B7,EP$1)</f>
        <v>#NAME?</v>
      </c>
      <c r="EQ7" s="110" t="e" cm="1">
        <f t="array" aca="1" ref="EQ7" ca="1">_xll.EQNXTDZ($A$1,$B7,EQ$1)</f>
        <v>#NAME?</v>
      </c>
      <c r="ER7" s="110" t="e" cm="1">
        <f t="array" aca="1" ref="ER7" ca="1">_xll.EQNXTDZ($A$1,$B7,ER$1)</f>
        <v>#NAME?</v>
      </c>
      <c r="ES7" s="110" t="e" cm="1">
        <f t="array" aca="1" ref="ES7" ca="1">_xll.EQNXTDZ($A$1,$B7,ES$1)</f>
        <v>#NAME?</v>
      </c>
      <c r="ET7" s="110" t="e" cm="1">
        <f t="array" aca="1" ref="ET7" ca="1">_xll.EQNXTDZ($A$1,$B7,ET$1)</f>
        <v>#NAME?</v>
      </c>
      <c r="EU7" s="110" t="e" cm="1">
        <f t="array" aca="1" ref="EU7" ca="1">_xll.EQNXTDZ($A$1,$B7,EU$1)</f>
        <v>#NAME?</v>
      </c>
      <c r="EV7" s="110" t="e" cm="1">
        <f t="array" aca="1" ref="EV7" ca="1">_xll.EQNXTDZ($A$1,$B7,EV$1)</f>
        <v>#NAME?</v>
      </c>
      <c r="EW7" s="110" t="e" cm="1">
        <f t="array" aca="1" ref="EW7" ca="1">_xll.EQNXTDZ($A$1,$B7,EW$1)</f>
        <v>#NAME?</v>
      </c>
      <c r="EX7" s="110" t="e" cm="1">
        <f t="array" aca="1" ref="EX7" ca="1">_xll.EQNXTDZ($A$1,$B7,EX$1)</f>
        <v>#NAME?</v>
      </c>
      <c r="EY7" s="110" t="e" cm="1">
        <f t="array" aca="1" ref="EY7" ca="1">_xll.EQNXTDZ($A$1,$B7,EY$1)</f>
        <v>#NAME?</v>
      </c>
      <c r="EZ7" s="110" t="e" cm="1">
        <f t="array" aca="1" ref="EZ7" ca="1">_xll.EQNXTDZ($A$1,$B7,EZ$1)</f>
        <v>#NAME?</v>
      </c>
      <c r="FA7" s="110" t="e" cm="1">
        <f t="array" aca="1" ref="FA7" ca="1">_xll.EQNXTDZ($A$1,$B7,FA$1)</f>
        <v>#NAME?</v>
      </c>
      <c r="FB7" s="110" t="e" cm="1">
        <f t="array" aca="1" ref="FB7" ca="1">_xll.EQNXTDZ($A$1,$B7,FB$1)</f>
        <v>#NAME?</v>
      </c>
      <c r="FC7" s="110" t="e" cm="1">
        <f t="array" aca="1" ref="FC7" ca="1">_xll.EQNXTDZ($A$1,$B7,FC$1)</f>
        <v>#NAME?</v>
      </c>
      <c r="FD7" s="110" t="e" cm="1">
        <f t="array" aca="1" ref="FD7" ca="1">_xll.EQNXTDZ($A$1,$B7,FD$1)</f>
        <v>#NAME?</v>
      </c>
      <c r="FE7" s="110" t="e" cm="1">
        <f t="array" aca="1" ref="FE7" ca="1">_xll.EQNXTDZ($A$1,$B7,FE$1)</f>
        <v>#NAME?</v>
      </c>
      <c r="FF7" s="110" t="e" cm="1">
        <f t="array" aca="1" ref="FF7" ca="1">_xll.EQNXTDZ($A$1,$B7,FF$1)</f>
        <v>#NAME?</v>
      </c>
      <c r="FG7" s="110" t="e" cm="1">
        <f t="array" aca="1" ref="FG7" ca="1">_xll.EQNXTDZ($A$1,$B7,FG$1)</f>
        <v>#NAME?</v>
      </c>
      <c r="FH7" s="110" t="e" cm="1">
        <f t="array" aca="1" ref="FH7" ca="1">_xll.EQNXTDZ($A$1,$B7,FH$1)</f>
        <v>#NAME?</v>
      </c>
      <c r="FI7" s="110" t="e" cm="1">
        <f t="array" aca="1" ref="FI7" ca="1">_xll.EQNXTDZ($A$1,$B7,FI$1)</f>
        <v>#NAME?</v>
      </c>
      <c r="FJ7" s="110" t="e" cm="1">
        <f t="array" aca="1" ref="FJ7" ca="1">_xll.EQNXTDZ($A$1,$B7,FJ$1)</f>
        <v>#NAME?</v>
      </c>
      <c r="FK7" s="110" t="e" cm="1">
        <f t="array" aca="1" ref="FK7" ca="1">_xll.EQNXTDZ($A$1,$B7,FK$1)</f>
        <v>#NAME?</v>
      </c>
      <c r="FL7" s="110" t="e" cm="1">
        <f t="array" aca="1" ref="FL7" ca="1">_xll.EQNXTDZ($A$1,$B7,FL$1)</f>
        <v>#NAME?</v>
      </c>
      <c r="FM7" s="110" t="e" cm="1">
        <f t="array" aca="1" ref="FM7" ca="1">_xll.EQNXTDZ($A$1,$B7,FM$1)</f>
        <v>#NAME?</v>
      </c>
      <c r="FN7" s="110" t="e" cm="1">
        <f t="array" aca="1" ref="FN7" ca="1">_xll.EQNXTDZ($A$1,$B7,FN$1)</f>
        <v>#NAME?</v>
      </c>
      <c r="FO7" s="110" t="e" cm="1">
        <f t="array" aca="1" ref="FO7" ca="1">_xll.EQNXTDZ($A$1,$B7,FO$1)</f>
        <v>#NAME?</v>
      </c>
      <c r="FP7" s="110" t="e" cm="1">
        <f t="array" aca="1" ref="FP7" ca="1">_xll.EQNXTDZ($A$1,$B7,FP$1)</f>
        <v>#NAME?</v>
      </c>
      <c r="FQ7" s="110" t="e" cm="1">
        <f t="array" aca="1" ref="FQ7" ca="1">_xll.EQNXTDZ($A$1,$B7,FQ$1)</f>
        <v>#NAME?</v>
      </c>
      <c r="FR7" s="110" t="e" cm="1">
        <f t="array" aca="1" ref="FR7" ca="1">_xll.EQNXTDZ($A$1,$B7,FR$1)</f>
        <v>#NAME?</v>
      </c>
      <c r="FS7" s="110" t="e" cm="1">
        <f t="array" aca="1" ref="FS7" ca="1">_xll.EQNXTDZ($A$1,$B7,FS$1)</f>
        <v>#NAME?</v>
      </c>
      <c r="FT7" s="110" t="e" cm="1">
        <f t="array" aca="1" ref="FT7" ca="1">_xll.EQNXTDZ($A$1,$B7,FT$1)</f>
        <v>#NAME?</v>
      </c>
      <c r="FU7" s="110" t="e" cm="1">
        <f t="array" aca="1" ref="FU7" ca="1">_xll.EQNXTDZ($A$1,$B7,FU$1)</f>
        <v>#NAME?</v>
      </c>
      <c r="FV7" s="110" t="e" cm="1">
        <f t="array" aca="1" ref="FV7" ca="1">_xll.EQNXTDZ($A$1,$B7,FV$1)</f>
        <v>#NAME?</v>
      </c>
      <c r="FW7" s="110" t="e" cm="1">
        <f t="array" aca="1" ref="FW7" ca="1">_xll.EQNXTDZ($A$1,$B7,FW$1)</f>
        <v>#NAME?</v>
      </c>
      <c r="FX7" s="110" t="e" cm="1">
        <f t="array" aca="1" ref="FX7" ca="1">_xll.EQNXTDZ($A$1,$B7,FX$1)</f>
        <v>#NAME?</v>
      </c>
      <c r="FY7" s="110" t="e" cm="1">
        <f t="array" aca="1" ref="FY7" ca="1">_xll.EQNXTDZ($A$1,$B7,FY$1)</f>
        <v>#NAME?</v>
      </c>
      <c r="FZ7" s="110" t="e" cm="1">
        <f t="array" aca="1" ref="FZ7" ca="1">_xll.EQNXTDZ($A$1,$B7,FZ$1)</f>
        <v>#NAME?</v>
      </c>
      <c r="GA7" s="110" t="e" cm="1">
        <f t="array" aca="1" ref="GA7" ca="1">_xll.EQNXTDZ($A$1,$B7,GA$1)</f>
        <v>#NAME?</v>
      </c>
      <c r="GB7" s="110" t="e" cm="1">
        <f t="array" aca="1" ref="GB7" ca="1">_xll.EQNXTDZ($A$1,$B7,GB$1)</f>
        <v>#NAME?</v>
      </c>
      <c r="GC7" s="110" t="e" cm="1">
        <f t="array" aca="1" ref="GC7" ca="1">_xll.EQNXTDZ($A$1,$B7,GC$1)</f>
        <v>#NAME?</v>
      </c>
      <c r="GD7" s="110" t="e" cm="1">
        <f t="array" aca="1" ref="GD7" ca="1">_xll.EQNXTDZ($A$1,$B7,GD$1)</f>
        <v>#NAME?</v>
      </c>
      <c r="GE7" s="110" t="e" cm="1">
        <f t="array" aca="1" ref="GE7" ca="1">_xll.EQNXTDZ($A$1,$B7,GE$1)</f>
        <v>#NAME?</v>
      </c>
      <c r="GF7" s="110" t="e" cm="1">
        <f t="array" aca="1" ref="GF7" ca="1">_xll.EQNXTDZ($A$1,$B7,GF$1)</f>
        <v>#NAME?</v>
      </c>
      <c r="GG7" s="110" t="e" cm="1">
        <f t="array" aca="1" ref="GG7" ca="1">_xll.EQNXTDZ($A$1,$B7,GG$1)</f>
        <v>#NAME?</v>
      </c>
      <c r="GH7" s="110" t="e" cm="1">
        <f t="array" aca="1" ref="GH7" ca="1">_xll.EQNXTDZ($A$1,$B7,GH$1)</f>
        <v>#NAME?</v>
      </c>
      <c r="GI7" s="110" t="e" cm="1">
        <f t="array" aca="1" ref="GI7" ca="1">_xll.EQNXTDZ($A$1,$B7,GI$1)</f>
        <v>#NAME?</v>
      </c>
      <c r="GJ7" s="110" t="e" cm="1">
        <f t="array" aca="1" ref="GJ7" ca="1">_xll.EQNXTDZ($A$1,$B7,GJ$1)</f>
        <v>#NAME?</v>
      </c>
      <c r="GK7" s="110" t="e" cm="1">
        <f t="array" aca="1" ref="GK7" ca="1">_xll.EQNXTDZ($A$1,$B7,GK$1)</f>
        <v>#NAME?</v>
      </c>
      <c r="GL7" s="110" t="e" cm="1">
        <f t="array" aca="1" ref="GL7" ca="1">_xll.EQNXTDZ($A$1,$B7,GL$1)</f>
        <v>#NAME?</v>
      </c>
      <c r="GM7" s="110" t="e" cm="1">
        <f t="array" aca="1" ref="GM7" ca="1">_xll.EQNXTDZ($A$1,$B7,GM$1)</f>
        <v>#NAME?</v>
      </c>
      <c r="GN7" s="110" t="e" cm="1">
        <f t="array" aca="1" ref="GN7" ca="1">_xll.EQNXTDZ($A$1,$B7,GN$1)</f>
        <v>#NAME?</v>
      </c>
      <c r="GO7" s="110" t="e" cm="1">
        <f t="array" aca="1" ref="GO7" ca="1">_xll.EQNXTDZ($A$1,$B7,GO$1)</f>
        <v>#NAME?</v>
      </c>
      <c r="GP7" s="110" t="e" cm="1">
        <f t="array" aca="1" ref="GP7" ca="1">_xll.EQNXTDZ($A$1,$B7,GP$1)</f>
        <v>#NAME?</v>
      </c>
      <c r="GQ7" s="110" t="e" cm="1">
        <f t="array" aca="1" ref="GQ7" ca="1">_xll.EQNXTDZ($A$1,$B7,GQ$1)</f>
        <v>#NAME?</v>
      </c>
      <c r="GR7" s="110" t="e" cm="1">
        <f t="array" aca="1" ref="GR7" ca="1">_xll.EQNXTDZ($A$1,$B7,GR$1)</f>
        <v>#NAME?</v>
      </c>
      <c r="GS7" s="110" t="e" cm="1">
        <f t="array" aca="1" ref="GS7" ca="1">_xll.EQNXTDZ($A$1,$B7,GS$1)</f>
        <v>#NAME?</v>
      </c>
      <c r="GT7" s="110" t="e" cm="1">
        <f t="array" aca="1" ref="GT7" ca="1">_xll.EQNXTDZ($A$1,$B7,GT$1)</f>
        <v>#NAME?</v>
      </c>
      <c r="GU7" s="110" t="e" cm="1">
        <f t="array" aca="1" ref="GU7" ca="1">_xll.EQNXTDZ($A$1,$B7,GU$1)</f>
        <v>#NAME?</v>
      </c>
      <c r="GV7" s="110" t="e" cm="1">
        <f t="array" aca="1" ref="GV7" ca="1">_xll.EQNXTDZ($A$1,$B7,GV$1)</f>
        <v>#NAME?</v>
      </c>
      <c r="GW7" s="110" t="e" cm="1">
        <f t="array" aca="1" ref="GW7" ca="1">_xll.EQNXTDZ($A$1,$B7,GW$1)</f>
        <v>#NAME?</v>
      </c>
      <c r="GX7" s="110" t="e" cm="1">
        <f t="array" aca="1" ref="GX7" ca="1">_xll.EQNXTDZ($A$1,$B7,GX$1)</f>
        <v>#NAME?</v>
      </c>
      <c r="GY7" s="110" t="e" cm="1">
        <f t="array" aca="1" ref="GY7" ca="1">_xll.EQNXTDZ($A$1,$B7,GY$1)</f>
        <v>#NAME?</v>
      </c>
      <c r="GZ7" s="110" t="e" cm="1">
        <f t="array" aca="1" ref="GZ7" ca="1">_xll.EQNXTDZ($A$1,$B7,GZ$1)</f>
        <v>#NAME?</v>
      </c>
      <c r="HA7" s="110" t="e" cm="1">
        <f t="array" aca="1" ref="HA7" ca="1">_xll.EQNXTDZ($A$1,$B7,HA$1)</f>
        <v>#NAME?</v>
      </c>
      <c r="HB7" s="110" t="e" cm="1">
        <f t="array" aca="1" ref="HB7" ca="1">_xll.EQNXTDZ($A$1,$B7,HB$1)</f>
        <v>#NAME?</v>
      </c>
      <c r="HC7" s="110" t="e" cm="1">
        <f t="array" aca="1" ref="HC7" ca="1">_xll.EQNXTDZ($A$1,$B7,HC$1)</f>
        <v>#NAME?</v>
      </c>
      <c r="HD7" s="110" t="e" cm="1">
        <f t="array" aca="1" ref="HD7" ca="1">_xll.EQNXTDZ($A$1,$B7,HD$1)</f>
        <v>#NAME?</v>
      </c>
      <c r="HE7" s="110" t="e" cm="1">
        <f t="array" aca="1" ref="HE7" ca="1">_xll.EQNXTDZ($A$1,$B7,HE$1)</f>
        <v>#NAME?</v>
      </c>
      <c r="HF7" s="110" t="e" cm="1">
        <f t="array" aca="1" ref="HF7" ca="1">_xll.EQNXTDZ($A$1,$B7,HF$1)</f>
        <v>#NAME?</v>
      </c>
      <c r="HG7" s="110" t="e" cm="1">
        <f t="array" aca="1" ref="HG7" ca="1">_xll.EQNXTDZ($A$1,$B7,HG$1)</f>
        <v>#NAME?</v>
      </c>
      <c r="HH7" s="110" t="e" cm="1">
        <f t="array" aca="1" ref="HH7" ca="1">_xll.EQNXTDZ($A$1,$B7,HH$1)</f>
        <v>#NAME?</v>
      </c>
      <c r="HP7" s="110" t="e">
        <f ca="1">+MAX(D7:F7)</f>
        <v>#NAME?</v>
      </c>
      <c r="HQ7" s="110" t="e">
        <f ca="1">+MAX(G7:I7)</f>
        <v>#NAME?</v>
      </c>
      <c r="HR7" s="110" t="e">
        <f ca="1">+MAX(J7:L7)</f>
        <v>#NAME?</v>
      </c>
      <c r="HS7" s="110" t="e">
        <f ca="1">+MAX(M7:O7)</f>
        <v>#NAME?</v>
      </c>
      <c r="HT7" s="110" t="e">
        <f ca="1">+MAX(P7:R7)</f>
        <v>#NAME?</v>
      </c>
      <c r="HU7" s="110" t="e">
        <f ca="1">+MAX(S7:U7)</f>
        <v>#NAME?</v>
      </c>
      <c r="HV7" s="110" t="e">
        <f ca="1">+MAX(V7:X7)</f>
        <v>#NAME?</v>
      </c>
      <c r="HW7" s="110" t="e">
        <f ca="1">+MAX(Y7:AA7)</f>
        <v>#NAME?</v>
      </c>
      <c r="HX7" s="110" t="e">
        <f ca="1">+MAX(AB7:AD7)</f>
        <v>#NAME?</v>
      </c>
      <c r="HY7" s="110" t="e">
        <f ca="1">+MAX(AE7:AG7)</f>
        <v>#NAME?</v>
      </c>
      <c r="HZ7" s="110" t="e">
        <f ca="1">+MAX(AH7:AJ7)</f>
        <v>#NAME?</v>
      </c>
      <c r="IA7" s="110" t="e">
        <f ca="1">+MAX(AK7:AM7)</f>
        <v>#NAME?</v>
      </c>
      <c r="IB7" s="110" t="e">
        <f ca="1">+MAX(AN7:AP7)</f>
        <v>#NAME?</v>
      </c>
      <c r="IC7" s="110" t="e">
        <f ca="1">+MAX(AQ7:AS7)</f>
        <v>#NAME?</v>
      </c>
      <c r="ID7" s="110" t="e">
        <f ca="1">+MAX(AT7:AV7)</f>
        <v>#NAME?</v>
      </c>
      <c r="IE7" s="110" t="e">
        <f ca="1">+MAX(AW7:AY7)</f>
        <v>#NAME?</v>
      </c>
      <c r="IF7" s="110" t="e">
        <f ca="1">+MAX(AZ7:BB7)</f>
        <v>#NAME?</v>
      </c>
      <c r="IG7" s="110" t="e">
        <f ca="1">+MAX(BC7:BE7)</f>
        <v>#NAME?</v>
      </c>
      <c r="IH7" s="110" t="e">
        <f ca="1">+MAX(BF7:BH7)</f>
        <v>#NAME?</v>
      </c>
      <c r="II7" s="110" t="e">
        <f ca="1">+MAX(BI7:BK7)</f>
        <v>#NAME?</v>
      </c>
      <c r="IJ7" s="110" t="e">
        <f ca="1">+MAX(BL7:BN7)</f>
        <v>#NAME?</v>
      </c>
      <c r="IK7" s="110" t="e">
        <f ca="1">+MAX(BO7:BQ7)</f>
        <v>#NAME?</v>
      </c>
      <c r="IL7" s="110" t="e">
        <f ca="1">+MAX(BR7:BT7)</f>
        <v>#NAME?</v>
      </c>
      <c r="IM7" s="110" t="e">
        <f ca="1">+MAX(BU7:BW7)</f>
        <v>#NAME?</v>
      </c>
      <c r="IN7" s="110" t="e">
        <f ca="1">+MAX(BX7:BZ7)</f>
        <v>#NAME?</v>
      </c>
      <c r="IO7" s="110" t="e">
        <f ca="1">+MAX(CA7:CC7)</f>
        <v>#NAME?</v>
      </c>
      <c r="IP7" s="110" t="e">
        <f ca="1">+MAX(CD7:CF7)</f>
        <v>#NAME?</v>
      </c>
      <c r="IQ7" s="110" t="e">
        <f ca="1">+MAX(CG7:CI7)</f>
        <v>#NAME?</v>
      </c>
      <c r="IR7" s="110" t="e">
        <f ca="1">+MAX(CJ7:CL7)</f>
        <v>#NAME?</v>
      </c>
      <c r="IS7" s="110" t="e">
        <f ca="1">+MAX(CM7:CO7)</f>
        <v>#NAME?</v>
      </c>
      <c r="IT7" s="110" t="e">
        <f ca="1">+MAX(CP7:CR7)</f>
        <v>#NAME?</v>
      </c>
      <c r="IU7" s="110" t="e">
        <f ca="1">+MAX(CS7:CU7)</f>
        <v>#NAME?</v>
      </c>
      <c r="IV7" s="110" t="e">
        <f ca="1">+MAX(CV7:CX7)</f>
        <v>#NAME?</v>
      </c>
      <c r="IW7" s="110" t="e">
        <f ca="1">+MAX(CY7:DA7)</f>
        <v>#NAME?</v>
      </c>
      <c r="IX7" s="110" t="e">
        <f ca="1">+MAX(DB7:DD7)</f>
        <v>#NAME?</v>
      </c>
      <c r="IY7" s="110" t="e">
        <f ca="1">+MAX(DE7:DG7)</f>
        <v>#NAME?</v>
      </c>
      <c r="IZ7" s="110" t="e">
        <f ca="1">+MAX(DH7:DJ7)</f>
        <v>#NAME?</v>
      </c>
      <c r="JA7" s="110" t="e">
        <f ca="1">+MAX(DK7:DM7)</f>
        <v>#NAME?</v>
      </c>
      <c r="JB7" s="110" t="e">
        <f ca="1">+MAX(DN7:DP7)</f>
        <v>#NAME?</v>
      </c>
      <c r="JC7" s="110" t="e">
        <f ca="1">+MAX(DQ7:DS7)</f>
        <v>#NAME?</v>
      </c>
      <c r="JD7" s="110" t="e">
        <f ca="1">+MAX(DT7:DV7)</f>
        <v>#NAME?</v>
      </c>
      <c r="JE7" s="110" t="e">
        <f ca="1">+MAX(DW7:DY7)</f>
        <v>#NAME?</v>
      </c>
      <c r="JF7" s="110" t="e">
        <f ca="1">+MAX(DZ7:EB7)</f>
        <v>#NAME?</v>
      </c>
      <c r="JG7" s="110" t="e">
        <f ca="1">+MAX(EC7:EE7)</f>
        <v>#NAME?</v>
      </c>
      <c r="JH7" s="110" t="e">
        <f ca="1">+MAX(EF7:EH7)</f>
        <v>#NAME?</v>
      </c>
      <c r="JI7" s="110" t="e">
        <f ca="1">+MAX(EI7:EK7)</f>
        <v>#NAME?</v>
      </c>
      <c r="JJ7" s="110" t="e">
        <f ca="1">+MAX(EL7:EN7)</f>
        <v>#NAME?</v>
      </c>
      <c r="JK7" s="110" t="e">
        <f ca="1">MAX(EO7:EQ7)</f>
        <v>#NAME?</v>
      </c>
      <c r="JL7" s="110" t="e">
        <f ca="1">MAX(ER7:ET7)</f>
        <v>#NAME?</v>
      </c>
      <c r="JM7" s="110" t="e">
        <f ca="1">MAX(EU7:EW7)</f>
        <v>#NAME?</v>
      </c>
      <c r="JN7" s="110" t="e">
        <f ca="1">MAX(EX7:EZ7)</f>
        <v>#NAME?</v>
      </c>
      <c r="JO7" s="110" t="e">
        <f ca="1">MAX(FA7:FC7)</f>
        <v>#NAME?</v>
      </c>
      <c r="JP7" s="110" t="e">
        <f ca="1">MAX(FD7:FF7)</f>
        <v>#NAME?</v>
      </c>
      <c r="JQ7" s="110" t="e">
        <f ca="1">MAX(FG7:FI7)</f>
        <v>#NAME?</v>
      </c>
      <c r="JR7" s="110" t="e">
        <f ca="1">MAX(FJ7:FL7)</f>
        <v>#NAME?</v>
      </c>
      <c r="JS7" s="110" t="e">
        <f ca="1">MAX(FM7:FO7)</f>
        <v>#NAME?</v>
      </c>
      <c r="JT7" s="110" t="e">
        <f ca="1">MAX(FP7:FR7)</f>
        <v>#NAME?</v>
      </c>
      <c r="JU7" s="110" t="e">
        <f ca="1">MAX(FS7:FU7)</f>
        <v>#NAME?</v>
      </c>
      <c r="JV7" s="110" t="e">
        <f ca="1">MAX(FV7:FX7)</f>
        <v>#NAME?</v>
      </c>
      <c r="JW7" s="110" t="e">
        <f ca="1">MAX(FY7:GA7)</f>
        <v>#NAME?</v>
      </c>
      <c r="JX7" s="110" t="e">
        <f ca="1">MAX(GB7:GD7)</f>
        <v>#NAME?</v>
      </c>
      <c r="JY7" s="110" t="e">
        <f ca="1">MAX(GE7:GG7)</f>
        <v>#NAME?</v>
      </c>
      <c r="JZ7" s="110" t="e">
        <f ca="1">MAX(GH7:GJ7)</f>
        <v>#NAME?</v>
      </c>
      <c r="KA7" s="110" t="e">
        <f ca="1">MAX(GK7:GM7)</f>
        <v>#NAME?</v>
      </c>
      <c r="KB7" s="110" t="e">
        <f ca="1">MAX(GN7:GP7)</f>
        <v>#NAME?</v>
      </c>
      <c r="KC7" s="110" t="e">
        <f ca="1">MAX(GQ7:GS7)</f>
        <v>#NAME?</v>
      </c>
      <c r="KD7" s="110" t="e">
        <f ca="1">MAX(GT7:GV7)</f>
        <v>#NAME?</v>
      </c>
      <c r="KE7" s="110" t="e">
        <f ca="1">MAX(GW7:GY7)</f>
        <v>#NAME?</v>
      </c>
      <c r="KF7" s="110" t="e">
        <f ca="1">MAX(GZ7:HB7)</f>
        <v>#NAME?</v>
      </c>
      <c r="KG7" s="110" t="e">
        <f ca="1">MAX(HC7:HE7)</f>
        <v>#NAME?</v>
      </c>
      <c r="KH7" s="110" t="e">
        <f ca="1">MAX(HF7:HH7)</f>
        <v>#NAME?</v>
      </c>
    </row>
    <row r="8" spans="1:294" s="110" customFormat="1" x14ac:dyDescent="0.25">
      <c r="A8" s="110" t="s">
        <v>39</v>
      </c>
      <c r="B8" s="110" t="s">
        <v>382</v>
      </c>
      <c r="C8" s="110" t="e" cm="1">
        <f t="array" aca="1" ref="C8" ca="1">_xll.EQNXTDZ($A$1,$B8,C$1)</f>
        <v>#NAME?</v>
      </c>
      <c r="D8" s="110" t="e" cm="1">
        <f t="array" aca="1" ref="D8" ca="1">_xll.EQNXTDZ($A$1,$B8,D$1)</f>
        <v>#NAME?</v>
      </c>
      <c r="E8" s="110" t="e" cm="1">
        <f t="array" aca="1" ref="E8" ca="1">_xll.EQNXTDZ($A$1,$B8,E$1)</f>
        <v>#NAME?</v>
      </c>
      <c r="F8" s="110" t="e" cm="1">
        <f t="array" aca="1" ref="F8" ca="1">_xll.EQNXTDZ($A$1,$B8,F$1)</f>
        <v>#NAME?</v>
      </c>
      <c r="G8" s="110" t="e" cm="1">
        <f t="array" aca="1" ref="G8" ca="1">_xll.EQNXTDZ($A$1,$B8,G$1)</f>
        <v>#NAME?</v>
      </c>
      <c r="H8" s="110" t="e" cm="1">
        <f t="array" aca="1" ref="H8" ca="1">_xll.EQNXTDZ($A$1,$B8,H$1)</f>
        <v>#NAME?</v>
      </c>
      <c r="I8" s="110" t="e" cm="1">
        <f t="array" aca="1" ref="I8" ca="1">_xll.EQNXTDZ($A$1,$B8,I$1)</f>
        <v>#NAME?</v>
      </c>
      <c r="J8" s="110" t="e" cm="1">
        <f t="array" aca="1" ref="J8" ca="1">_xll.EQNXTDZ($A$1,$B8,J$1)</f>
        <v>#NAME?</v>
      </c>
      <c r="K8" s="110" t="e" cm="1">
        <f t="array" aca="1" ref="K8" ca="1">_xll.EQNXTDZ($A$1,$B8,K$1)</f>
        <v>#NAME?</v>
      </c>
      <c r="L8" s="110" t="e" cm="1">
        <f t="array" aca="1" ref="L8" ca="1">_xll.EQNXTDZ($A$1,$B8,L$1)</f>
        <v>#NAME?</v>
      </c>
      <c r="M8" s="110" t="e" cm="1">
        <f t="array" aca="1" ref="M8" ca="1">_xll.EQNXTDZ($A$1,$B8,M$1)</f>
        <v>#NAME?</v>
      </c>
      <c r="N8" s="110" t="e" cm="1">
        <f t="array" aca="1" ref="N8" ca="1">_xll.EQNXTDZ($A$1,$B8,N$1)</f>
        <v>#NAME?</v>
      </c>
      <c r="O8" s="110" t="e" cm="1">
        <f t="array" aca="1" ref="O8" ca="1">_xll.EQNXTDZ($A$1,$B8,O$1)</f>
        <v>#NAME?</v>
      </c>
      <c r="P8" s="110" t="e" cm="1">
        <f t="array" aca="1" ref="P8" ca="1">_xll.EQNXTDZ($A$1,$B8,P$1)</f>
        <v>#NAME?</v>
      </c>
      <c r="Q8" s="110" t="e" cm="1">
        <f t="array" aca="1" ref="Q8" ca="1">_xll.EQNXTDZ($A$1,$B8,Q$1)</f>
        <v>#NAME?</v>
      </c>
      <c r="R8" s="110" t="e" cm="1">
        <f t="array" aca="1" ref="R8" ca="1">_xll.EQNXTDZ($A$1,$B8,R$1)</f>
        <v>#NAME?</v>
      </c>
      <c r="S8" s="110" t="e" cm="1">
        <f t="array" aca="1" ref="S8" ca="1">_xll.EQNXTDZ($A$1,$B8,S$1)</f>
        <v>#NAME?</v>
      </c>
      <c r="T8" s="110" t="e" cm="1">
        <f t="array" aca="1" ref="T8" ca="1">_xll.EQNXTDZ($A$1,$B8,T$1)</f>
        <v>#NAME?</v>
      </c>
      <c r="U8" s="110" t="e" cm="1">
        <f t="array" aca="1" ref="U8" ca="1">_xll.EQNXTDZ($A$1,$B8,U$1)</f>
        <v>#NAME?</v>
      </c>
      <c r="V8" s="110" t="e" cm="1">
        <f t="array" aca="1" ref="V8" ca="1">_xll.EQNXTDZ($A$1,$B8,V$1)</f>
        <v>#NAME?</v>
      </c>
      <c r="W8" s="110" t="e" cm="1">
        <f t="array" aca="1" ref="W8" ca="1">_xll.EQNXTDZ($A$1,$B8,W$1)</f>
        <v>#NAME?</v>
      </c>
      <c r="X8" s="110" t="e" cm="1">
        <f t="array" aca="1" ref="X8" ca="1">_xll.EQNXTDZ($A$1,$B8,X$1)</f>
        <v>#NAME?</v>
      </c>
      <c r="Y8" s="110" t="e" cm="1">
        <f t="array" aca="1" ref="Y8" ca="1">_xll.EQNXTDZ($A$1,$B8,Y$1)</f>
        <v>#NAME?</v>
      </c>
      <c r="Z8" s="110" t="e" cm="1">
        <f t="array" aca="1" ref="Z8" ca="1">_xll.EQNXTDZ($A$1,$B8,Z$1)</f>
        <v>#NAME?</v>
      </c>
      <c r="AA8" s="110" t="e" cm="1">
        <f t="array" aca="1" ref="AA8" ca="1">_xll.EQNXTDZ($A$1,$B8,AA$1)</f>
        <v>#NAME?</v>
      </c>
      <c r="AB8" s="110" t="e" cm="1">
        <f t="array" aca="1" ref="AB8" ca="1">_xll.EQNXTDZ($A$1,$B8,AB$1)</f>
        <v>#NAME?</v>
      </c>
      <c r="AC8" s="110" t="e" cm="1">
        <f t="array" aca="1" ref="AC8" ca="1">_xll.EQNXTDZ($A$1,$B8,AC$1)</f>
        <v>#NAME?</v>
      </c>
      <c r="AD8" s="110" t="e" cm="1">
        <f t="array" aca="1" ref="AD8" ca="1">_xll.EQNXTDZ($A$1,$B8,AD$1)</f>
        <v>#NAME?</v>
      </c>
      <c r="AE8" s="110" t="e" cm="1">
        <f t="array" aca="1" ref="AE8" ca="1">_xll.EQNXTDZ($A$1,$B8,AE$1)</f>
        <v>#NAME?</v>
      </c>
      <c r="AF8" s="110" t="e" cm="1">
        <f t="array" aca="1" ref="AF8" ca="1">_xll.EQNXTDZ($A$1,$B8,AF$1)</f>
        <v>#NAME?</v>
      </c>
      <c r="AG8" s="110" t="e" cm="1">
        <f t="array" aca="1" ref="AG8" ca="1">_xll.EQNXTDZ($A$1,$B8,AG$1)</f>
        <v>#NAME?</v>
      </c>
      <c r="AH8" s="110" t="e" cm="1">
        <f t="array" aca="1" ref="AH8" ca="1">_xll.EQNXTDZ($A$1,$B8,AH$1)</f>
        <v>#NAME?</v>
      </c>
      <c r="AI8" s="110" t="e" cm="1">
        <f t="array" aca="1" ref="AI8" ca="1">_xll.EQNXTDZ($A$1,$B8,AI$1)</f>
        <v>#NAME?</v>
      </c>
      <c r="AJ8" s="110" t="e" cm="1">
        <f t="array" aca="1" ref="AJ8" ca="1">_xll.EQNXTDZ($A$1,$B8,AJ$1)</f>
        <v>#NAME?</v>
      </c>
      <c r="AK8" s="110" t="e" cm="1">
        <f t="array" aca="1" ref="AK8" ca="1">_xll.EQNXTDZ($A$1,$B8,AK$1)</f>
        <v>#NAME?</v>
      </c>
      <c r="AL8" s="110" t="e" cm="1">
        <f t="array" aca="1" ref="AL8" ca="1">_xll.EQNXTDZ($A$1,$B8,AL$1)</f>
        <v>#NAME?</v>
      </c>
      <c r="AM8" s="110" t="e" cm="1">
        <f t="array" aca="1" ref="AM8" ca="1">_xll.EQNXTDZ($A$1,$B8,AM$1)</f>
        <v>#NAME?</v>
      </c>
      <c r="AN8" s="110" t="e" cm="1">
        <f t="array" aca="1" ref="AN8" ca="1">_xll.EQNXTDZ($A$1,$B8,AN$1)</f>
        <v>#NAME?</v>
      </c>
      <c r="AO8" s="110" t="e" cm="1">
        <f t="array" aca="1" ref="AO8" ca="1">_xll.EQNXTDZ($A$1,$B8,AO$1)</f>
        <v>#NAME?</v>
      </c>
      <c r="AP8" s="110" t="e" cm="1">
        <f t="array" aca="1" ref="AP8" ca="1">_xll.EQNXTDZ($A$1,$B8,AP$1)</f>
        <v>#NAME?</v>
      </c>
      <c r="AQ8" s="110" t="e" cm="1">
        <f t="array" aca="1" ref="AQ8" ca="1">_xll.EQNXTDZ($A$1,$B8,AQ$1)</f>
        <v>#NAME?</v>
      </c>
      <c r="AR8" s="110" t="e" cm="1">
        <f t="array" aca="1" ref="AR8" ca="1">_xll.EQNXTDZ($A$1,$B8,AR$1)</f>
        <v>#NAME?</v>
      </c>
      <c r="AS8" s="110" t="e" cm="1">
        <f t="array" aca="1" ref="AS8" ca="1">_xll.EQNXTDZ($A$1,$B8,AS$1)</f>
        <v>#NAME?</v>
      </c>
      <c r="AT8" s="110" t="e" cm="1">
        <f t="array" aca="1" ref="AT8" ca="1">_xll.EQNXTDZ($A$1,$B8,AT$1)</f>
        <v>#NAME?</v>
      </c>
      <c r="AU8" s="110" t="e" cm="1">
        <f t="array" aca="1" ref="AU8" ca="1">_xll.EQNXTDZ($A$1,$B8,AU$1)</f>
        <v>#NAME?</v>
      </c>
      <c r="AV8" s="110" t="e" cm="1">
        <f t="array" aca="1" ref="AV8" ca="1">_xll.EQNXTDZ($A$1,$B8,AV$1)</f>
        <v>#NAME?</v>
      </c>
      <c r="AW8" s="110" t="e" cm="1">
        <f t="array" aca="1" ref="AW8" ca="1">_xll.EQNXTDZ($A$1,$B8,AW$1)</f>
        <v>#NAME?</v>
      </c>
      <c r="AX8" s="110" t="e" cm="1">
        <f t="array" aca="1" ref="AX8" ca="1">_xll.EQNXTDZ($A$1,$B8,AX$1)</f>
        <v>#NAME?</v>
      </c>
      <c r="AY8" s="110" t="e" cm="1">
        <f t="array" aca="1" ref="AY8" ca="1">_xll.EQNXTDZ($A$1,$B8,AY$1)</f>
        <v>#NAME?</v>
      </c>
      <c r="AZ8" s="110" t="e" cm="1">
        <f t="array" aca="1" ref="AZ8" ca="1">_xll.EQNXTDZ($A$1,$B8,AZ$1)</f>
        <v>#NAME?</v>
      </c>
      <c r="BA8" s="110" t="e" cm="1">
        <f t="array" aca="1" ref="BA8" ca="1">_xll.EQNXTDZ($A$1,$B8,BA$1)</f>
        <v>#NAME?</v>
      </c>
      <c r="BB8" s="110" t="e" cm="1">
        <f t="array" aca="1" ref="BB8" ca="1">_xll.EQNXTDZ($A$1,$B8,BB$1)</f>
        <v>#NAME?</v>
      </c>
      <c r="BC8" s="110" t="e" cm="1">
        <f t="array" aca="1" ref="BC8" ca="1">_xll.EQNXTDZ($A$1,$B8,BC$1)</f>
        <v>#NAME?</v>
      </c>
      <c r="BD8" s="110" t="e" cm="1">
        <f t="array" aca="1" ref="BD8" ca="1">_xll.EQNXTDZ($A$1,$B8,BD$1)</f>
        <v>#NAME?</v>
      </c>
      <c r="BE8" s="110" t="e" cm="1">
        <f t="array" aca="1" ref="BE8" ca="1">_xll.EQNXTDZ($A$1,$B8,BE$1)</f>
        <v>#NAME?</v>
      </c>
      <c r="BF8" s="110" t="e" cm="1">
        <f t="array" aca="1" ref="BF8" ca="1">_xll.EQNXTDZ($A$1,$B8,BF$1)</f>
        <v>#NAME?</v>
      </c>
      <c r="BG8" s="110" t="e" cm="1">
        <f t="array" aca="1" ref="BG8" ca="1">_xll.EQNXTDZ($A$1,$B8,BG$1)</f>
        <v>#NAME?</v>
      </c>
      <c r="BH8" s="110" t="e" cm="1">
        <f t="array" aca="1" ref="BH8" ca="1">_xll.EQNXTDZ($A$1,$B8,BH$1)</f>
        <v>#NAME?</v>
      </c>
      <c r="BI8" s="110" t="e" cm="1">
        <f t="array" aca="1" ref="BI8" ca="1">_xll.EQNXTDZ($A$1,$B8,BI$1)</f>
        <v>#NAME?</v>
      </c>
      <c r="BJ8" s="110" t="e" cm="1">
        <f t="array" aca="1" ref="BJ8" ca="1">_xll.EQNXTDZ($A$1,$B8,BJ$1)</f>
        <v>#NAME?</v>
      </c>
      <c r="BK8" s="110" t="e" cm="1">
        <f t="array" aca="1" ref="BK8" ca="1">_xll.EQNXTDZ($A$1,$B8,BK$1)</f>
        <v>#NAME?</v>
      </c>
      <c r="BL8" s="110" t="e" cm="1">
        <f t="array" aca="1" ref="BL8" ca="1">_xll.EQNXTDZ($A$1,$B8,BL$1)</f>
        <v>#NAME?</v>
      </c>
      <c r="BM8" s="110" t="e" cm="1">
        <f t="array" aca="1" ref="BM8" ca="1">_xll.EQNXTDZ($A$1,$B8,BM$1)</f>
        <v>#NAME?</v>
      </c>
      <c r="BN8" s="110" t="e" cm="1">
        <f t="array" aca="1" ref="BN8" ca="1">_xll.EQNXTDZ($A$1,$B8,BN$1)</f>
        <v>#NAME?</v>
      </c>
      <c r="BO8" s="110" t="e" cm="1">
        <f t="array" aca="1" ref="BO8" ca="1">_xll.EQNXTDZ($A$1,$B8,BO$1)</f>
        <v>#NAME?</v>
      </c>
      <c r="BP8" s="110" t="e" cm="1">
        <f t="array" aca="1" ref="BP8" ca="1">_xll.EQNXTDZ($A$1,$B8,BP$1)</f>
        <v>#NAME?</v>
      </c>
      <c r="BQ8" s="110" t="e" cm="1">
        <f t="array" aca="1" ref="BQ8" ca="1">_xll.EQNXTDZ($A$1,$B8,BQ$1)</f>
        <v>#NAME?</v>
      </c>
      <c r="BR8" s="110" t="e" cm="1">
        <f t="array" aca="1" ref="BR8" ca="1">_xll.EQNXTDZ($A$1,$B8,BR$1)</f>
        <v>#NAME?</v>
      </c>
      <c r="BS8" s="110" t="e" cm="1">
        <f t="array" aca="1" ref="BS8" ca="1">_xll.EQNXTDZ($A$1,$B8,BS$1)</f>
        <v>#NAME?</v>
      </c>
      <c r="BT8" s="110" t="e" cm="1">
        <f t="array" aca="1" ref="BT8" ca="1">_xll.EQNXTDZ($A$1,$B8,BT$1)</f>
        <v>#NAME?</v>
      </c>
      <c r="BU8" s="110" t="e" cm="1">
        <f t="array" aca="1" ref="BU8" ca="1">_xll.EQNXTDZ($A$1,$B8,BU$1)</f>
        <v>#NAME?</v>
      </c>
      <c r="BV8" s="110" t="e" cm="1">
        <f t="array" aca="1" ref="BV8" ca="1">_xll.EQNXTDZ($A$1,$B8,BV$1)</f>
        <v>#NAME?</v>
      </c>
      <c r="BW8" s="110" t="e" cm="1">
        <f t="array" aca="1" ref="BW8" ca="1">_xll.EQNXTDZ($A$1,$B8,BW$1)</f>
        <v>#NAME?</v>
      </c>
      <c r="BX8" s="110" t="e" cm="1">
        <f t="array" aca="1" ref="BX8" ca="1">_xll.EQNXTDZ($A$1,$B8,BX$1)</f>
        <v>#NAME?</v>
      </c>
      <c r="BY8" s="110" t="e" cm="1">
        <f t="array" aca="1" ref="BY8" ca="1">_xll.EQNXTDZ($A$1,$B8,BY$1)</f>
        <v>#NAME?</v>
      </c>
      <c r="BZ8" s="110" t="e" cm="1">
        <f t="array" aca="1" ref="BZ8" ca="1">_xll.EQNXTDZ($A$1,$B8,BZ$1)</f>
        <v>#NAME?</v>
      </c>
      <c r="CA8" s="110" t="e" cm="1">
        <f t="array" aca="1" ref="CA8" ca="1">_xll.EQNXTDZ($A$1,$B8,CA$1)</f>
        <v>#NAME?</v>
      </c>
      <c r="CB8" s="110" t="e" cm="1">
        <f t="array" aca="1" ref="CB8" ca="1">_xll.EQNXTDZ($A$1,$B8,CB$1)</f>
        <v>#NAME?</v>
      </c>
      <c r="CC8" s="110" t="e" cm="1">
        <f t="array" aca="1" ref="CC8" ca="1">_xll.EQNXTDZ($A$1,$B8,CC$1)</f>
        <v>#NAME?</v>
      </c>
      <c r="CD8" s="110" t="e" cm="1">
        <f t="array" aca="1" ref="CD8" ca="1">_xll.EQNXTDZ($A$1,$B8,CD$1)</f>
        <v>#NAME?</v>
      </c>
      <c r="CE8" s="110" t="e" cm="1">
        <f t="array" aca="1" ref="CE8" ca="1">_xll.EQNXTDZ($A$1,$B8,CE$1)</f>
        <v>#NAME?</v>
      </c>
      <c r="CF8" s="110" t="e" cm="1">
        <f t="array" aca="1" ref="CF8" ca="1">_xll.EQNXTDZ($A$1,$B8,CF$1)</f>
        <v>#NAME?</v>
      </c>
      <c r="CG8" s="110" t="e" cm="1">
        <f t="array" aca="1" ref="CG8" ca="1">_xll.EQNXTDZ($A$1,$B8,CG$1)</f>
        <v>#NAME?</v>
      </c>
      <c r="CH8" s="110" t="e" cm="1">
        <f t="array" aca="1" ref="CH8" ca="1">_xll.EQNXTDZ($A$1,$B8,CH$1)</f>
        <v>#NAME?</v>
      </c>
      <c r="CI8" s="110" t="e" cm="1">
        <f t="array" aca="1" ref="CI8" ca="1">_xll.EQNXTDZ($A$1,$B8,CI$1)</f>
        <v>#NAME?</v>
      </c>
      <c r="CJ8" s="110" t="e" cm="1">
        <f t="array" aca="1" ref="CJ8" ca="1">_xll.EQNXTDZ($A$1,$B8,CJ$1)</f>
        <v>#NAME?</v>
      </c>
      <c r="CK8" s="110" t="e" cm="1">
        <f t="array" aca="1" ref="CK8" ca="1">_xll.EQNXTDZ($A$1,$B8,CK$1)</f>
        <v>#NAME?</v>
      </c>
      <c r="CL8" s="110" t="e" cm="1">
        <f t="array" aca="1" ref="CL8" ca="1">_xll.EQNXTDZ($A$1,$B8,CL$1)</f>
        <v>#NAME?</v>
      </c>
      <c r="CM8" s="110" t="e" cm="1">
        <f t="array" aca="1" ref="CM8" ca="1">_xll.EQNXTDZ($A$1,$B8,CM$1)</f>
        <v>#NAME?</v>
      </c>
      <c r="CN8" s="110" t="e" cm="1">
        <f t="array" aca="1" ref="CN8" ca="1">_xll.EQNXTDZ($A$1,$B8,CN$1)</f>
        <v>#NAME?</v>
      </c>
      <c r="CO8" s="110" t="e" cm="1">
        <f t="array" aca="1" ref="CO8" ca="1">_xll.EQNXTDZ($A$1,$B8,CO$1)</f>
        <v>#NAME?</v>
      </c>
      <c r="CP8" s="110" t="e" cm="1">
        <f t="array" aca="1" ref="CP8" ca="1">_xll.EQNXTDZ($A$1,$B8,CP$1)</f>
        <v>#NAME?</v>
      </c>
      <c r="CQ8" s="110" t="e" cm="1">
        <f t="array" aca="1" ref="CQ8" ca="1">_xll.EQNXTDZ($A$1,$B8,CQ$1)</f>
        <v>#NAME?</v>
      </c>
      <c r="CR8" s="110" t="e" cm="1">
        <f t="array" aca="1" ref="CR8" ca="1">_xll.EQNXTDZ($A$1,$B8,CR$1)</f>
        <v>#NAME?</v>
      </c>
      <c r="CS8" s="110" t="e" cm="1">
        <f t="array" aca="1" ref="CS8" ca="1">_xll.EQNXTDZ($A$1,$B8,CS$1)</f>
        <v>#NAME?</v>
      </c>
      <c r="CT8" s="110" t="e" cm="1">
        <f t="array" aca="1" ref="CT8" ca="1">_xll.EQNXTDZ($A$1,$B8,CT$1)</f>
        <v>#NAME?</v>
      </c>
      <c r="CU8" s="110" t="e" cm="1">
        <f t="array" aca="1" ref="CU8" ca="1">_xll.EQNXTDZ($A$1,$B8,CU$1)</f>
        <v>#NAME?</v>
      </c>
      <c r="CV8" s="110" t="e" cm="1">
        <f t="array" aca="1" ref="CV8" ca="1">_xll.EQNXTDZ($A$1,$B8,CV$1)</f>
        <v>#NAME?</v>
      </c>
      <c r="CW8" s="110" t="e" cm="1">
        <f t="array" aca="1" ref="CW8" ca="1">_xll.EQNXTDZ($A$1,$B8,CW$1)</f>
        <v>#NAME?</v>
      </c>
      <c r="CX8" s="110" t="e" cm="1">
        <f t="array" aca="1" ref="CX8" ca="1">_xll.EQNXTDZ($A$1,$B8,CX$1)</f>
        <v>#NAME?</v>
      </c>
      <c r="CY8" s="110" t="e" cm="1">
        <f t="array" aca="1" ref="CY8" ca="1">_xll.EQNXTDZ($A$1,$B8,CY$1)</f>
        <v>#NAME?</v>
      </c>
      <c r="CZ8" s="110" t="e" cm="1">
        <f t="array" aca="1" ref="CZ8" ca="1">_xll.EQNXTDZ($A$1,$B8,CZ$1)</f>
        <v>#NAME?</v>
      </c>
      <c r="DA8" s="110" t="e" cm="1">
        <f t="array" aca="1" ref="DA8" ca="1">_xll.EQNXTDZ($A$1,$B8,DA$1)</f>
        <v>#NAME?</v>
      </c>
      <c r="DB8" s="110" t="e" cm="1">
        <f t="array" aca="1" ref="DB8" ca="1">_xll.EQNXTDZ($A$1,$B8,DB$1)</f>
        <v>#NAME?</v>
      </c>
      <c r="DC8" s="110" t="e" cm="1">
        <f t="array" aca="1" ref="DC8" ca="1">_xll.EQNXTDZ($A$1,$B8,DC$1)</f>
        <v>#NAME?</v>
      </c>
      <c r="DD8" s="110" t="e" cm="1">
        <f t="array" aca="1" ref="DD8" ca="1">_xll.EQNXTDZ($A$1,$B8,DD$1)</f>
        <v>#NAME?</v>
      </c>
      <c r="DE8" s="110" t="e" cm="1">
        <f t="array" aca="1" ref="DE8" ca="1">_xll.EQNXTDZ($A$1,$B8,DE$1)</f>
        <v>#NAME?</v>
      </c>
      <c r="DF8" s="110" t="e" cm="1">
        <f t="array" aca="1" ref="DF8" ca="1">_xll.EQNXTDZ($A$1,$B8,DF$1)</f>
        <v>#NAME?</v>
      </c>
      <c r="DG8" s="110" t="e" cm="1">
        <f t="array" aca="1" ref="DG8" ca="1">_xll.EQNXTDZ($A$1,$B8,DG$1)</f>
        <v>#NAME?</v>
      </c>
      <c r="DH8" s="110" t="e" cm="1">
        <f t="array" aca="1" ref="DH8" ca="1">_xll.EQNXTDZ($A$1,$B8,DH$1)</f>
        <v>#NAME?</v>
      </c>
      <c r="DI8" s="110" t="e" cm="1">
        <f t="array" aca="1" ref="DI8" ca="1">_xll.EQNXTDZ($A$1,$B8,DI$1)</f>
        <v>#NAME?</v>
      </c>
      <c r="DJ8" s="110" t="e" cm="1">
        <f t="array" aca="1" ref="DJ8" ca="1">_xll.EQNXTDZ($A$1,$B8,DJ$1)</f>
        <v>#NAME?</v>
      </c>
      <c r="DK8" s="110" t="e" cm="1">
        <f t="array" aca="1" ref="DK8" ca="1">_xll.EQNXTDZ($A$1,$B8,DK$1)</f>
        <v>#NAME?</v>
      </c>
      <c r="DL8" s="110" t="e" cm="1">
        <f t="array" aca="1" ref="DL8" ca="1">_xll.EQNXTDZ($A$1,$B8,DL$1)</f>
        <v>#NAME?</v>
      </c>
      <c r="DM8" s="110" t="e" cm="1">
        <f t="array" aca="1" ref="DM8" ca="1">_xll.EQNXTDZ($A$1,$B8,DM$1)</f>
        <v>#NAME?</v>
      </c>
      <c r="DN8" s="110" t="e" cm="1">
        <f t="array" aca="1" ref="DN8" ca="1">_xll.EQNXTDZ($A$1,$B8,DN$1)</f>
        <v>#NAME?</v>
      </c>
      <c r="DO8" s="110" t="e" cm="1">
        <f t="array" aca="1" ref="DO8" ca="1">_xll.EQNXTDZ($A$1,$B8,DO$1)</f>
        <v>#NAME?</v>
      </c>
      <c r="DP8" s="110" t="e" cm="1">
        <f t="array" aca="1" ref="DP8" ca="1">_xll.EQNXTDZ($A$1,$B8,DP$1)</f>
        <v>#NAME?</v>
      </c>
      <c r="DQ8" s="110" t="e" cm="1">
        <f t="array" aca="1" ref="DQ8" ca="1">_xll.EQNXTDZ($A$1,$B8,DQ$1)</f>
        <v>#NAME?</v>
      </c>
      <c r="DR8" s="110" t="e" cm="1">
        <f t="array" aca="1" ref="DR8" ca="1">_xll.EQNXTDZ($A$1,$B8,DR$1)</f>
        <v>#NAME?</v>
      </c>
      <c r="DS8" s="110" t="e" cm="1">
        <f t="array" aca="1" ref="DS8" ca="1">_xll.EQNXTDZ($A$1,$B8,DS$1)</f>
        <v>#NAME?</v>
      </c>
      <c r="DT8" s="110" t="e" cm="1">
        <f t="array" aca="1" ref="DT8" ca="1">_xll.EQNXTDZ($A$1,$B8,DT$1)</f>
        <v>#NAME?</v>
      </c>
      <c r="DU8" s="110" t="e" cm="1">
        <f t="array" aca="1" ref="DU8" ca="1">_xll.EQNXTDZ($A$1,$B8,DU$1)</f>
        <v>#NAME?</v>
      </c>
      <c r="DV8" s="110" t="e" cm="1">
        <f t="array" aca="1" ref="DV8" ca="1">_xll.EQNXTDZ($A$1,$B8,DV$1)</f>
        <v>#NAME?</v>
      </c>
      <c r="DW8" s="110" t="e" cm="1">
        <f t="array" aca="1" ref="DW8" ca="1">_xll.EQNXTDZ($A$1,$B8,DW$1)</f>
        <v>#NAME?</v>
      </c>
      <c r="DX8" s="110" t="e" cm="1">
        <f t="array" aca="1" ref="DX8" ca="1">_xll.EQNXTDZ($A$1,$B8,DX$1)</f>
        <v>#NAME?</v>
      </c>
      <c r="DY8" s="110" t="e" cm="1">
        <f t="array" aca="1" ref="DY8" ca="1">_xll.EQNXTDZ($A$1,$B8,DY$1)</f>
        <v>#NAME?</v>
      </c>
      <c r="DZ8" s="110" t="e" cm="1">
        <f t="array" aca="1" ref="DZ8" ca="1">_xll.EQNXTDZ($A$1,$B8,DZ$1)</f>
        <v>#NAME?</v>
      </c>
      <c r="EA8" s="110" t="e" cm="1">
        <f t="array" aca="1" ref="EA8" ca="1">_xll.EQNXTDZ($A$1,$B8,EA$1)</f>
        <v>#NAME?</v>
      </c>
      <c r="EB8" s="110" t="e" cm="1">
        <f t="array" aca="1" ref="EB8" ca="1">_xll.EQNXTDZ($A$1,$B8,EB$1)</f>
        <v>#NAME?</v>
      </c>
      <c r="EC8" s="110" t="e" cm="1">
        <f t="array" aca="1" ref="EC8" ca="1">_xll.EQNXTDZ($A$1,$B8,EC$1)</f>
        <v>#NAME?</v>
      </c>
      <c r="ED8" s="110" t="e" cm="1">
        <f t="array" aca="1" ref="ED8" ca="1">_xll.EQNXTDZ($A$1,$B8,ED$1)</f>
        <v>#NAME?</v>
      </c>
      <c r="EE8" s="110" t="e" cm="1">
        <f t="array" aca="1" ref="EE8" ca="1">_xll.EQNXTDZ($A$1,$B8,EE$1)</f>
        <v>#NAME?</v>
      </c>
      <c r="EF8" s="110" t="e" cm="1">
        <f t="array" aca="1" ref="EF8" ca="1">_xll.EQNXTDZ($A$1,$B8,EF$1)</f>
        <v>#NAME?</v>
      </c>
      <c r="EG8" s="110" t="e" cm="1">
        <f t="array" aca="1" ref="EG8" ca="1">_xll.EQNXTDZ($A$1,$B8,EG$1)</f>
        <v>#NAME?</v>
      </c>
      <c r="EH8" s="110" t="e" cm="1">
        <f t="array" aca="1" ref="EH8" ca="1">_xll.EQNXTDZ($A$1,$B8,EH$1)</f>
        <v>#NAME?</v>
      </c>
      <c r="EI8" s="110" t="e" cm="1">
        <f t="array" aca="1" ref="EI8" ca="1">_xll.EQNXTDZ($A$1,$B8,EI$1)</f>
        <v>#NAME?</v>
      </c>
      <c r="EJ8" s="110" t="e" cm="1">
        <f t="array" aca="1" ref="EJ8" ca="1">_xll.EQNXTDZ($A$1,$B8,EJ$1)</f>
        <v>#NAME?</v>
      </c>
      <c r="EK8" s="110" t="e" cm="1">
        <f t="array" aca="1" ref="EK8" ca="1">_xll.EQNXTDZ($A$1,$B8,EK$1)</f>
        <v>#NAME?</v>
      </c>
      <c r="EL8" s="110" t="e" cm="1">
        <f t="array" aca="1" ref="EL8" ca="1">_xll.EQNXTDZ($A$1,$B8,EL$1)</f>
        <v>#NAME?</v>
      </c>
      <c r="EM8" s="110" t="e" cm="1">
        <f t="array" aca="1" ref="EM8" ca="1">_xll.EQNXTDZ($A$1,$B8,EM$1)</f>
        <v>#NAME?</v>
      </c>
      <c r="EN8" s="110" t="e" cm="1">
        <f t="array" aca="1" ref="EN8" ca="1">_xll.EQNXTDZ($A$1,$B8,EN$1)</f>
        <v>#NAME?</v>
      </c>
      <c r="EO8" s="110" t="e" cm="1">
        <f t="array" aca="1" ref="EO8" ca="1">_xll.EQNXTDZ($A$1,$B8,EO$1)</f>
        <v>#NAME?</v>
      </c>
      <c r="EP8" s="110" t="e" cm="1">
        <f t="array" aca="1" ref="EP8" ca="1">_xll.EQNXTDZ($A$1,$B8,EP$1)</f>
        <v>#NAME?</v>
      </c>
      <c r="EQ8" s="110" t="e" cm="1">
        <f t="array" aca="1" ref="EQ8" ca="1">_xll.EQNXTDZ($A$1,$B8,EQ$1)</f>
        <v>#NAME?</v>
      </c>
      <c r="ER8" s="110" t="e" cm="1">
        <f t="array" aca="1" ref="ER8" ca="1">_xll.EQNXTDZ($A$1,$B8,ER$1)</f>
        <v>#NAME?</v>
      </c>
      <c r="ES8" s="110" t="e" cm="1">
        <f t="array" aca="1" ref="ES8" ca="1">_xll.EQNXTDZ($A$1,$B8,ES$1)</f>
        <v>#NAME?</v>
      </c>
      <c r="ET8" s="110" t="e" cm="1">
        <f t="array" aca="1" ref="ET8" ca="1">_xll.EQNXTDZ($A$1,$B8,ET$1)</f>
        <v>#NAME?</v>
      </c>
      <c r="EU8" s="110" t="e" cm="1">
        <f t="array" aca="1" ref="EU8" ca="1">_xll.EQNXTDZ($A$1,$B8,EU$1)</f>
        <v>#NAME?</v>
      </c>
      <c r="EV8" s="110" t="e" cm="1">
        <f t="array" aca="1" ref="EV8" ca="1">_xll.EQNXTDZ($A$1,$B8,EV$1)</f>
        <v>#NAME?</v>
      </c>
      <c r="EW8" s="110" t="e" cm="1">
        <f t="array" aca="1" ref="EW8" ca="1">_xll.EQNXTDZ($A$1,$B8,EW$1)</f>
        <v>#NAME?</v>
      </c>
      <c r="EX8" s="110" t="e" cm="1">
        <f t="array" aca="1" ref="EX8" ca="1">_xll.EQNXTDZ($A$1,$B8,EX$1)</f>
        <v>#NAME?</v>
      </c>
      <c r="EY8" s="110" t="e" cm="1">
        <f t="array" aca="1" ref="EY8" ca="1">_xll.EQNXTDZ($A$1,$B8,EY$1)</f>
        <v>#NAME?</v>
      </c>
      <c r="EZ8" s="110" t="e" cm="1">
        <f t="array" aca="1" ref="EZ8" ca="1">_xll.EQNXTDZ($A$1,$B8,EZ$1)</f>
        <v>#NAME?</v>
      </c>
      <c r="FA8" s="110" t="e" cm="1">
        <f t="array" aca="1" ref="FA8" ca="1">_xll.EQNXTDZ($A$1,$B8,FA$1)</f>
        <v>#NAME?</v>
      </c>
      <c r="FB8" s="110" t="e" cm="1">
        <f t="array" aca="1" ref="FB8" ca="1">_xll.EQNXTDZ($A$1,$B8,FB$1)</f>
        <v>#NAME?</v>
      </c>
      <c r="FC8" s="110" t="e" cm="1">
        <f t="array" aca="1" ref="FC8" ca="1">_xll.EQNXTDZ($A$1,$B8,FC$1)</f>
        <v>#NAME?</v>
      </c>
      <c r="FD8" s="110" t="e" cm="1">
        <f t="array" aca="1" ref="FD8" ca="1">_xll.EQNXTDZ($A$1,$B8,FD$1)</f>
        <v>#NAME?</v>
      </c>
      <c r="FE8" s="110" t="e" cm="1">
        <f t="array" aca="1" ref="FE8" ca="1">_xll.EQNXTDZ($A$1,$B8,FE$1)</f>
        <v>#NAME?</v>
      </c>
      <c r="FF8" s="110" t="e" cm="1">
        <f t="array" aca="1" ref="FF8" ca="1">_xll.EQNXTDZ($A$1,$B8,FF$1)</f>
        <v>#NAME?</v>
      </c>
      <c r="FG8" s="110" t="e" cm="1">
        <f t="array" aca="1" ref="FG8" ca="1">_xll.EQNXTDZ($A$1,$B8,FG$1)</f>
        <v>#NAME?</v>
      </c>
      <c r="FH8" s="110" t="e" cm="1">
        <f t="array" aca="1" ref="FH8" ca="1">_xll.EQNXTDZ($A$1,$B8,FH$1)</f>
        <v>#NAME?</v>
      </c>
      <c r="FI8" s="110" t="e" cm="1">
        <f t="array" aca="1" ref="FI8" ca="1">_xll.EQNXTDZ($A$1,$B8,FI$1)</f>
        <v>#NAME?</v>
      </c>
      <c r="FJ8" s="110" t="e" cm="1">
        <f t="array" aca="1" ref="FJ8" ca="1">_xll.EQNXTDZ($A$1,$B8,FJ$1)</f>
        <v>#NAME?</v>
      </c>
      <c r="FK8" s="110" t="e" cm="1">
        <f t="array" aca="1" ref="FK8" ca="1">_xll.EQNXTDZ($A$1,$B8,FK$1)</f>
        <v>#NAME?</v>
      </c>
      <c r="FL8" s="110" t="e" cm="1">
        <f t="array" aca="1" ref="FL8" ca="1">_xll.EQNXTDZ($A$1,$B8,FL$1)</f>
        <v>#NAME?</v>
      </c>
      <c r="FM8" s="110" t="e" cm="1">
        <f t="array" aca="1" ref="FM8" ca="1">_xll.EQNXTDZ($A$1,$B8,FM$1)</f>
        <v>#NAME?</v>
      </c>
      <c r="FN8" s="110" t="e" cm="1">
        <f t="array" aca="1" ref="FN8" ca="1">_xll.EQNXTDZ($A$1,$B8,FN$1)</f>
        <v>#NAME?</v>
      </c>
      <c r="FO8" s="110" t="e" cm="1">
        <f t="array" aca="1" ref="FO8" ca="1">_xll.EQNXTDZ($A$1,$B8,FO$1)</f>
        <v>#NAME?</v>
      </c>
      <c r="FP8" s="110" t="e" cm="1">
        <f t="array" aca="1" ref="FP8" ca="1">_xll.EQNXTDZ($A$1,$B8,FP$1)</f>
        <v>#NAME?</v>
      </c>
      <c r="FQ8" s="110" t="e" cm="1">
        <f t="array" aca="1" ref="FQ8" ca="1">_xll.EQNXTDZ($A$1,$B8,FQ$1)</f>
        <v>#NAME?</v>
      </c>
      <c r="FR8" s="110" t="e" cm="1">
        <f t="array" aca="1" ref="FR8" ca="1">_xll.EQNXTDZ($A$1,$B8,FR$1)</f>
        <v>#NAME?</v>
      </c>
      <c r="FS8" s="110" t="e" cm="1">
        <f t="array" aca="1" ref="FS8" ca="1">_xll.EQNXTDZ($A$1,$B8,FS$1)</f>
        <v>#NAME?</v>
      </c>
      <c r="FT8" s="110" t="e" cm="1">
        <f t="array" aca="1" ref="FT8" ca="1">_xll.EQNXTDZ($A$1,$B8,FT$1)</f>
        <v>#NAME?</v>
      </c>
      <c r="FU8" s="110" t="e" cm="1">
        <f t="array" aca="1" ref="FU8" ca="1">_xll.EQNXTDZ($A$1,$B8,FU$1)</f>
        <v>#NAME?</v>
      </c>
      <c r="FV8" s="110" t="e" cm="1">
        <f t="array" aca="1" ref="FV8" ca="1">_xll.EQNXTDZ($A$1,$B8,FV$1)</f>
        <v>#NAME?</v>
      </c>
      <c r="FW8" s="110" t="e" cm="1">
        <f t="array" aca="1" ref="FW8" ca="1">_xll.EQNXTDZ($A$1,$B8,FW$1)</f>
        <v>#NAME?</v>
      </c>
      <c r="FX8" s="110" t="e" cm="1">
        <f t="array" aca="1" ref="FX8" ca="1">_xll.EQNXTDZ($A$1,$B8,FX$1)</f>
        <v>#NAME?</v>
      </c>
      <c r="FY8" s="110" t="e" cm="1">
        <f t="array" aca="1" ref="FY8" ca="1">_xll.EQNXTDZ($A$1,$B8,FY$1)</f>
        <v>#NAME?</v>
      </c>
      <c r="FZ8" s="110" t="e" cm="1">
        <f t="array" aca="1" ref="FZ8" ca="1">_xll.EQNXTDZ($A$1,$B8,FZ$1)</f>
        <v>#NAME?</v>
      </c>
      <c r="GA8" s="110" t="e" cm="1">
        <f t="array" aca="1" ref="GA8" ca="1">_xll.EQNXTDZ($A$1,$B8,GA$1)</f>
        <v>#NAME?</v>
      </c>
      <c r="GB8" s="110" t="e" cm="1">
        <f t="array" aca="1" ref="GB8" ca="1">_xll.EQNXTDZ($A$1,$B8,GB$1)</f>
        <v>#NAME?</v>
      </c>
      <c r="GC8" s="110" t="e" cm="1">
        <f t="array" aca="1" ref="GC8" ca="1">_xll.EQNXTDZ($A$1,$B8,GC$1)</f>
        <v>#NAME?</v>
      </c>
      <c r="GD8" s="110" t="e" cm="1">
        <f t="array" aca="1" ref="GD8" ca="1">_xll.EQNXTDZ($A$1,$B8,GD$1)</f>
        <v>#NAME?</v>
      </c>
      <c r="GE8" s="110" t="e" cm="1">
        <f t="array" aca="1" ref="GE8" ca="1">_xll.EQNXTDZ($A$1,$B8,GE$1)</f>
        <v>#NAME?</v>
      </c>
      <c r="GF8" s="110" t="e" cm="1">
        <f t="array" aca="1" ref="GF8" ca="1">_xll.EQNXTDZ($A$1,$B8,GF$1)</f>
        <v>#NAME?</v>
      </c>
      <c r="GG8" s="110" t="e" cm="1">
        <f t="array" aca="1" ref="GG8" ca="1">_xll.EQNXTDZ($A$1,$B8,GG$1)</f>
        <v>#NAME?</v>
      </c>
      <c r="GH8" s="110" t="e" cm="1">
        <f t="array" aca="1" ref="GH8" ca="1">_xll.EQNXTDZ($A$1,$B8,GH$1)</f>
        <v>#NAME?</v>
      </c>
      <c r="GI8" s="110" t="e" cm="1">
        <f t="array" aca="1" ref="GI8" ca="1">_xll.EQNXTDZ($A$1,$B8,GI$1)</f>
        <v>#NAME?</v>
      </c>
      <c r="GJ8" s="110" t="e" cm="1">
        <f t="array" aca="1" ref="GJ8" ca="1">_xll.EQNXTDZ($A$1,$B8,GJ$1)</f>
        <v>#NAME?</v>
      </c>
      <c r="GK8" s="110" t="e" cm="1">
        <f t="array" aca="1" ref="GK8" ca="1">_xll.EQNXTDZ($A$1,$B8,GK$1)</f>
        <v>#NAME?</v>
      </c>
      <c r="GL8" s="110" t="e" cm="1">
        <f t="array" aca="1" ref="GL8" ca="1">_xll.EQNXTDZ($A$1,$B8,GL$1)</f>
        <v>#NAME?</v>
      </c>
      <c r="GM8" s="110" t="e" cm="1">
        <f t="array" aca="1" ref="GM8" ca="1">_xll.EQNXTDZ($A$1,$B8,GM$1)</f>
        <v>#NAME?</v>
      </c>
      <c r="GN8" s="110" t="e" cm="1">
        <f t="array" aca="1" ref="GN8" ca="1">_xll.EQNXTDZ($A$1,$B8,GN$1)</f>
        <v>#NAME?</v>
      </c>
      <c r="GO8" s="110" t="e" cm="1">
        <f t="array" aca="1" ref="GO8" ca="1">_xll.EQNXTDZ($A$1,$B8,GO$1)</f>
        <v>#NAME?</v>
      </c>
      <c r="GP8" s="110" t="e" cm="1">
        <f t="array" aca="1" ref="GP8" ca="1">_xll.EQNXTDZ($A$1,$B8,GP$1)</f>
        <v>#NAME?</v>
      </c>
      <c r="GQ8" s="110" t="e" cm="1">
        <f t="array" aca="1" ref="GQ8" ca="1">_xll.EQNXTDZ($A$1,$B8,GQ$1)</f>
        <v>#NAME?</v>
      </c>
      <c r="GR8" s="110" t="e" cm="1">
        <f t="array" aca="1" ref="GR8" ca="1">_xll.EQNXTDZ($A$1,$B8,GR$1)</f>
        <v>#NAME?</v>
      </c>
      <c r="GS8" s="110" t="e" cm="1">
        <f t="array" aca="1" ref="GS8" ca="1">_xll.EQNXTDZ($A$1,$B8,GS$1)</f>
        <v>#NAME?</v>
      </c>
      <c r="GT8" s="110" t="e" cm="1">
        <f t="array" aca="1" ref="GT8" ca="1">_xll.EQNXTDZ($A$1,$B8,GT$1)</f>
        <v>#NAME?</v>
      </c>
      <c r="GU8" s="110" t="e" cm="1">
        <f t="array" aca="1" ref="GU8" ca="1">_xll.EQNXTDZ($A$1,$B8,GU$1)</f>
        <v>#NAME?</v>
      </c>
      <c r="GV8" s="110" t="e" cm="1">
        <f t="array" aca="1" ref="GV8" ca="1">_xll.EQNXTDZ($A$1,$B8,GV$1)</f>
        <v>#NAME?</v>
      </c>
      <c r="GW8" s="110" t="e" cm="1">
        <f t="array" aca="1" ref="GW8" ca="1">_xll.EQNXTDZ($A$1,$B8,GW$1)</f>
        <v>#NAME?</v>
      </c>
      <c r="GX8" s="110" t="e" cm="1">
        <f t="array" aca="1" ref="GX8" ca="1">_xll.EQNXTDZ($A$1,$B8,GX$1)</f>
        <v>#NAME?</v>
      </c>
      <c r="GY8" s="110" t="e" cm="1">
        <f t="array" aca="1" ref="GY8" ca="1">_xll.EQNXTDZ($A$1,$B8,GY$1)</f>
        <v>#NAME?</v>
      </c>
      <c r="GZ8" s="110" t="e" cm="1">
        <f t="array" aca="1" ref="GZ8" ca="1">_xll.EQNXTDZ($A$1,$B8,GZ$1)</f>
        <v>#NAME?</v>
      </c>
      <c r="HA8" s="110" t="e" cm="1">
        <f t="array" aca="1" ref="HA8" ca="1">_xll.EQNXTDZ($A$1,$B8,HA$1)</f>
        <v>#NAME?</v>
      </c>
      <c r="HB8" s="110" t="e" cm="1">
        <f t="array" aca="1" ref="HB8" ca="1">_xll.EQNXTDZ($A$1,$B8,HB$1)</f>
        <v>#NAME?</v>
      </c>
      <c r="HC8" s="110" t="e" cm="1">
        <f t="array" aca="1" ref="HC8" ca="1">_xll.EQNXTDZ($A$1,$B8,HC$1)</f>
        <v>#NAME?</v>
      </c>
      <c r="HD8" s="110" t="e" cm="1">
        <f t="array" aca="1" ref="HD8" ca="1">_xll.EQNXTDZ($A$1,$B8,HD$1)</f>
        <v>#NAME?</v>
      </c>
      <c r="HE8" s="110" t="e" cm="1">
        <f t="array" aca="1" ref="HE8" ca="1">_xll.EQNXTDZ($A$1,$B8,HE$1)</f>
        <v>#NAME?</v>
      </c>
      <c r="HF8" s="110" t="e" cm="1">
        <f t="array" aca="1" ref="HF8" ca="1">_xll.EQNXTDZ($A$1,$B8,HF$1)</f>
        <v>#NAME?</v>
      </c>
      <c r="HG8" s="110" t="e" cm="1">
        <f t="array" aca="1" ref="HG8" ca="1">_xll.EQNXTDZ($A$1,$B8,HG$1)</f>
        <v>#NAME?</v>
      </c>
      <c r="HH8" s="110" t="e" cm="1">
        <f t="array" aca="1" ref="HH8" ca="1">_xll.EQNXTDZ($A$1,$B8,HH$1)</f>
        <v>#NAME?</v>
      </c>
      <c r="HP8" s="110" t="e">
        <f ca="1">+MIN(D8:F8)</f>
        <v>#NAME?</v>
      </c>
      <c r="HQ8" s="110" t="e">
        <f ca="1">+MIN(G8:I8)</f>
        <v>#NAME?</v>
      </c>
      <c r="HR8" s="110" t="e">
        <f ca="1">+MIN(J8:L8)</f>
        <v>#NAME?</v>
      </c>
      <c r="HS8" s="110" t="e">
        <f ca="1">+MIN(M8:O8)</f>
        <v>#NAME?</v>
      </c>
      <c r="HT8" s="110" t="e">
        <f ca="1">+MIN(P8:R8)</f>
        <v>#NAME?</v>
      </c>
      <c r="HU8" s="110" t="e">
        <f ca="1">+MIN(S8:U8)</f>
        <v>#NAME?</v>
      </c>
      <c r="HV8" s="110" t="e">
        <f ca="1">+MIN(V8:X8)</f>
        <v>#NAME?</v>
      </c>
      <c r="HW8" s="110" t="e">
        <f ca="1">+MIN(Y8:AA8)</f>
        <v>#NAME?</v>
      </c>
      <c r="HX8" s="110" t="e">
        <f ca="1">+MIN(AB8:AD8)</f>
        <v>#NAME?</v>
      </c>
      <c r="HY8" s="110" t="e">
        <f ca="1">+MIN(AE8:AG8)</f>
        <v>#NAME?</v>
      </c>
      <c r="HZ8" s="110" t="e">
        <f ca="1">+MIN(AH8:AJ8)</f>
        <v>#NAME?</v>
      </c>
      <c r="IA8" s="110" t="e">
        <f ca="1">+MIN(AK8:AM8)</f>
        <v>#NAME?</v>
      </c>
      <c r="IB8" s="110" t="e">
        <f ca="1">+MIN(AN8:AP8)</f>
        <v>#NAME?</v>
      </c>
      <c r="IC8" s="110" t="e">
        <f ca="1">+MIN(AQ8:AS8)</f>
        <v>#NAME?</v>
      </c>
      <c r="ID8" s="110" t="e">
        <f ca="1">+MIN(AT8:AV8)</f>
        <v>#NAME?</v>
      </c>
      <c r="IE8" s="110" t="e">
        <f ca="1">+MIN(AW8:AY8)</f>
        <v>#NAME?</v>
      </c>
      <c r="IF8" s="110" t="e">
        <f ca="1">+MIN(AZ8:BB8)</f>
        <v>#NAME?</v>
      </c>
      <c r="IG8" s="110" t="e">
        <f ca="1">+MIN(BC8:BE8)</f>
        <v>#NAME?</v>
      </c>
      <c r="IH8" s="110" t="e">
        <f ca="1">+MIN(BF8:BH8)</f>
        <v>#NAME?</v>
      </c>
      <c r="II8" s="110" t="e">
        <f ca="1">+MIN(BI8:BK8)</f>
        <v>#NAME?</v>
      </c>
      <c r="IJ8" s="110" t="e">
        <f ca="1">+MIN(BL8:BN8)</f>
        <v>#NAME?</v>
      </c>
      <c r="IK8" s="110" t="e">
        <f ca="1">+MIN(BO8:BQ8)</f>
        <v>#NAME?</v>
      </c>
      <c r="IL8" s="110" t="e">
        <f ca="1">+MIN(BR8:BT8)</f>
        <v>#NAME?</v>
      </c>
      <c r="IM8" s="110" t="e">
        <f ca="1">+MIN(BU8:BW8)</f>
        <v>#NAME?</v>
      </c>
      <c r="IN8" s="110" t="e">
        <f ca="1">+MIN(BX8:BZ8)</f>
        <v>#NAME?</v>
      </c>
      <c r="IO8" s="110" t="e">
        <f ca="1">+MIN(CA8:CC8)</f>
        <v>#NAME?</v>
      </c>
      <c r="IP8" s="110" t="e">
        <f ca="1">+MIN(CD8:CF8)</f>
        <v>#NAME?</v>
      </c>
      <c r="IQ8" s="110" t="e">
        <f ca="1">+MIN(CG8:CI8)</f>
        <v>#NAME?</v>
      </c>
      <c r="IR8" s="110" t="e">
        <f ca="1">+MIN(CJ8:CL8)</f>
        <v>#NAME?</v>
      </c>
      <c r="IS8" s="110" t="e">
        <f ca="1">+MIN(CM8:CO8)</f>
        <v>#NAME?</v>
      </c>
      <c r="IT8" s="110" t="e">
        <f ca="1">+MIN(CP8:CR8)</f>
        <v>#NAME?</v>
      </c>
      <c r="IU8" s="110" t="e">
        <f ca="1">+MIN(CS8:CU8)</f>
        <v>#NAME?</v>
      </c>
      <c r="IV8" s="110" t="e">
        <f ca="1">+MIN(CV8:CX8)</f>
        <v>#NAME?</v>
      </c>
      <c r="IW8" s="110" t="e">
        <f ca="1">+MIN(CY8:DA8)</f>
        <v>#NAME?</v>
      </c>
      <c r="IX8" s="110" t="e">
        <f ca="1">+MIN(DB8:DD8)</f>
        <v>#NAME?</v>
      </c>
      <c r="IY8" s="110" t="e">
        <f ca="1">+MIN(DE8:DG8)</f>
        <v>#NAME?</v>
      </c>
      <c r="IZ8" s="110" t="e">
        <f ca="1">+MIN(DH8:DJ8)</f>
        <v>#NAME?</v>
      </c>
      <c r="JA8" s="110" t="e">
        <f ca="1">+MIN(DK8:DM8)</f>
        <v>#NAME?</v>
      </c>
      <c r="JB8" s="110" t="e">
        <f ca="1">+MIN(DN8:DP8)</f>
        <v>#NAME?</v>
      </c>
      <c r="JC8" s="110" t="e">
        <f ca="1">+MIN(DQ8:DS8)</f>
        <v>#NAME?</v>
      </c>
      <c r="JD8" s="110" t="e">
        <f ca="1">+MIN(DT8:DV8)</f>
        <v>#NAME?</v>
      </c>
      <c r="JE8" s="110" t="e">
        <f ca="1">+MIN(DW8:DY8)</f>
        <v>#NAME?</v>
      </c>
      <c r="JF8" s="110" t="e">
        <f ca="1">+MIN(DZ8:EB8)</f>
        <v>#NAME?</v>
      </c>
      <c r="JG8" s="110" t="e">
        <f ca="1">+MIN(EC8:EE8)</f>
        <v>#NAME?</v>
      </c>
      <c r="JH8" s="110" t="e">
        <f ca="1">+MIN(EF8:EH8)</f>
        <v>#NAME?</v>
      </c>
      <c r="JI8" s="110" t="e">
        <f ca="1">+MIN(EI8:EK8)</f>
        <v>#NAME?</v>
      </c>
      <c r="JJ8" s="110" t="e">
        <f ca="1">+MIN(EL8:EN8)</f>
        <v>#NAME?</v>
      </c>
      <c r="JK8" s="110" t="e">
        <f ca="1">MIN(EO8:EQ8)</f>
        <v>#NAME?</v>
      </c>
      <c r="JL8" s="110" t="e">
        <f ca="1">MIN(ER8:ET8)</f>
        <v>#NAME?</v>
      </c>
      <c r="JM8" s="110" t="e">
        <f ca="1">MIN(EU8:EW8)</f>
        <v>#NAME?</v>
      </c>
      <c r="JN8" s="110" t="e">
        <f ca="1">MIN(EX8:EZ8)</f>
        <v>#NAME?</v>
      </c>
      <c r="JO8" s="110" t="e">
        <f ca="1">MIN(FA8:FC8)</f>
        <v>#NAME?</v>
      </c>
      <c r="JP8" s="110" t="e">
        <f ca="1">MIN(FD8:FF8)</f>
        <v>#NAME?</v>
      </c>
      <c r="JQ8" s="110" t="e">
        <f ca="1">MIN(FG8:FI8)</f>
        <v>#NAME?</v>
      </c>
      <c r="JR8" s="110" t="e">
        <f ca="1">MIN(FJ8:FL8)</f>
        <v>#NAME?</v>
      </c>
      <c r="JS8" s="110" t="e">
        <f ca="1">MIN(FM8:FO8)</f>
        <v>#NAME?</v>
      </c>
      <c r="JT8" s="110" t="e">
        <f ca="1">MIN(FP8:FR8)</f>
        <v>#NAME?</v>
      </c>
      <c r="JU8" s="110" t="e">
        <f ca="1">MIN(FS8:FU8)</f>
        <v>#NAME?</v>
      </c>
      <c r="JV8" s="110" t="e">
        <f ca="1">MIN(FV8:FX8)</f>
        <v>#NAME?</v>
      </c>
      <c r="JW8" s="110" t="e">
        <f ca="1">MIN(FY8:GA8)</f>
        <v>#NAME?</v>
      </c>
      <c r="JX8" s="110" t="e">
        <f ca="1">MIN(GB8:GD8)</f>
        <v>#NAME?</v>
      </c>
      <c r="JY8" s="110" t="e">
        <f ca="1">MIN(GE8:GG8)</f>
        <v>#NAME?</v>
      </c>
      <c r="JZ8" s="110" t="e">
        <f ca="1">MIN(GH8:GJ8)</f>
        <v>#NAME?</v>
      </c>
      <c r="KA8" s="110" t="e">
        <f ca="1">MIN(GK8:GM8)</f>
        <v>#NAME?</v>
      </c>
      <c r="KB8" s="110" t="e">
        <f ca="1">MIN(GN8:GP8)</f>
        <v>#NAME?</v>
      </c>
      <c r="KC8" s="110" t="e">
        <f ca="1">MIN(GQ8:GS8)</f>
        <v>#NAME?</v>
      </c>
      <c r="KD8" s="110" t="e">
        <f ca="1">MIN(GT8:GV8)</f>
        <v>#NAME?</v>
      </c>
      <c r="KE8" s="110" t="e">
        <f ca="1">MIN(GW8:GY8)</f>
        <v>#NAME?</v>
      </c>
      <c r="KF8" s="110" t="e">
        <f ca="1">MIN(GZ8:HB8)</f>
        <v>#NAME?</v>
      </c>
      <c r="KG8" s="110" t="e">
        <f ca="1">MIN(HC8:HE8)</f>
        <v>#NAME?</v>
      </c>
      <c r="KH8" s="110" t="e">
        <f ca="1">MIN(HF8:HH8)</f>
        <v>#NAME?</v>
      </c>
    </row>
    <row r="9" spans="1:294" s="110" customFormat="1" x14ac:dyDescent="0.25">
      <c r="A9" s="110" t="s">
        <v>41</v>
      </c>
      <c r="B9" s="110" t="s">
        <v>383</v>
      </c>
      <c r="C9" s="110" t="e" cm="1">
        <f t="array" aca="1" ref="C9" ca="1">_xll.EQNXTDZ($A$1,$B9,C$1)</f>
        <v>#NAME?</v>
      </c>
      <c r="D9" s="110" t="e" cm="1">
        <f t="array" aca="1" ref="D9" ca="1">_xll.EQNXTDZ($A$1,$B9,D$1)</f>
        <v>#NAME?</v>
      </c>
      <c r="E9" s="110" t="e" cm="1">
        <f t="array" aca="1" ref="E9" ca="1">_xll.EQNXTDZ($A$1,$B9,E$1)</f>
        <v>#NAME?</v>
      </c>
      <c r="F9" s="110" t="e" cm="1">
        <f t="array" aca="1" ref="F9" ca="1">_xll.EQNXTDZ($A$1,$B9,F$1)</f>
        <v>#NAME?</v>
      </c>
      <c r="G9" s="110" t="e" cm="1">
        <f t="array" aca="1" ref="G9" ca="1">_xll.EQNXTDZ($A$1,$B9,G$1)</f>
        <v>#NAME?</v>
      </c>
      <c r="H9" s="110" t="e" cm="1">
        <f t="array" aca="1" ref="H9" ca="1">_xll.EQNXTDZ($A$1,$B9,H$1)</f>
        <v>#NAME?</v>
      </c>
      <c r="I9" s="110" t="e" cm="1">
        <f t="array" aca="1" ref="I9" ca="1">_xll.EQNXTDZ($A$1,$B9,I$1)</f>
        <v>#NAME?</v>
      </c>
      <c r="J9" s="110" t="e" cm="1">
        <f t="array" aca="1" ref="J9" ca="1">_xll.EQNXTDZ($A$1,$B9,J$1)</f>
        <v>#NAME?</v>
      </c>
      <c r="K9" s="110" t="e" cm="1">
        <f t="array" aca="1" ref="K9" ca="1">_xll.EQNXTDZ($A$1,$B9,K$1)</f>
        <v>#NAME?</v>
      </c>
      <c r="L9" s="110" t="e" cm="1">
        <f t="array" aca="1" ref="L9" ca="1">_xll.EQNXTDZ($A$1,$B9,L$1)</f>
        <v>#NAME?</v>
      </c>
      <c r="M9" s="110" t="e" cm="1">
        <f t="array" aca="1" ref="M9" ca="1">_xll.EQNXTDZ($A$1,$B9,M$1)</f>
        <v>#NAME?</v>
      </c>
      <c r="N9" s="110" t="e" cm="1">
        <f t="array" aca="1" ref="N9" ca="1">_xll.EQNXTDZ($A$1,$B9,N$1)</f>
        <v>#NAME?</v>
      </c>
      <c r="O9" s="110" t="e" cm="1">
        <f t="array" aca="1" ref="O9" ca="1">_xll.EQNXTDZ($A$1,$B9,O$1)</f>
        <v>#NAME?</v>
      </c>
      <c r="P9" s="110" t="e" cm="1">
        <f t="array" aca="1" ref="P9" ca="1">_xll.EQNXTDZ($A$1,$B9,P$1)</f>
        <v>#NAME?</v>
      </c>
      <c r="Q9" s="110" t="e" cm="1">
        <f t="array" aca="1" ref="Q9" ca="1">_xll.EQNXTDZ($A$1,$B9,Q$1)</f>
        <v>#NAME?</v>
      </c>
      <c r="R9" s="110" t="e" cm="1">
        <f t="array" aca="1" ref="R9" ca="1">_xll.EQNXTDZ($A$1,$B9,R$1)</f>
        <v>#NAME?</v>
      </c>
      <c r="S9" s="110" t="e" cm="1">
        <f t="array" aca="1" ref="S9" ca="1">_xll.EQNXTDZ($A$1,$B9,S$1)</f>
        <v>#NAME?</v>
      </c>
      <c r="T9" s="110" t="e" cm="1">
        <f t="array" aca="1" ref="T9" ca="1">_xll.EQNXTDZ($A$1,$B9,T$1)</f>
        <v>#NAME?</v>
      </c>
      <c r="U9" s="110" t="e" cm="1">
        <f t="array" aca="1" ref="U9" ca="1">_xll.EQNXTDZ($A$1,$B9,U$1)</f>
        <v>#NAME?</v>
      </c>
      <c r="V9" s="110" t="e" cm="1">
        <f t="array" aca="1" ref="V9" ca="1">_xll.EQNXTDZ($A$1,$B9,V$1)</f>
        <v>#NAME?</v>
      </c>
      <c r="W9" s="110" t="e" cm="1">
        <f t="array" aca="1" ref="W9" ca="1">_xll.EQNXTDZ($A$1,$B9,W$1)</f>
        <v>#NAME?</v>
      </c>
      <c r="X9" s="110" t="e" cm="1">
        <f t="array" aca="1" ref="X9" ca="1">_xll.EQNXTDZ($A$1,$B9,X$1)</f>
        <v>#NAME?</v>
      </c>
      <c r="Y9" s="110" t="e" cm="1">
        <f t="array" aca="1" ref="Y9" ca="1">_xll.EQNXTDZ($A$1,$B9,Y$1)</f>
        <v>#NAME?</v>
      </c>
      <c r="Z9" s="110" t="e" cm="1">
        <f t="array" aca="1" ref="Z9" ca="1">_xll.EQNXTDZ($A$1,$B9,Z$1)</f>
        <v>#NAME?</v>
      </c>
      <c r="AA9" s="110" t="e" cm="1">
        <f t="array" aca="1" ref="AA9" ca="1">_xll.EQNXTDZ($A$1,$B9,AA$1)</f>
        <v>#NAME?</v>
      </c>
      <c r="AB9" s="110" t="e" cm="1">
        <f t="array" aca="1" ref="AB9" ca="1">_xll.EQNXTDZ($A$1,$B9,AB$1)</f>
        <v>#NAME?</v>
      </c>
      <c r="AC9" s="110" t="e" cm="1">
        <f t="array" aca="1" ref="AC9" ca="1">_xll.EQNXTDZ($A$1,$B9,AC$1)</f>
        <v>#NAME?</v>
      </c>
      <c r="AD9" s="110" t="e" cm="1">
        <f t="array" aca="1" ref="AD9" ca="1">_xll.EQNXTDZ($A$1,$B9,AD$1)</f>
        <v>#NAME?</v>
      </c>
      <c r="AE9" s="110" t="e" cm="1">
        <f t="array" aca="1" ref="AE9" ca="1">_xll.EQNXTDZ($A$1,$B9,AE$1)</f>
        <v>#NAME?</v>
      </c>
      <c r="AF9" s="110" t="e" cm="1">
        <f t="array" aca="1" ref="AF9" ca="1">_xll.EQNXTDZ($A$1,$B9,AF$1)</f>
        <v>#NAME?</v>
      </c>
      <c r="AG9" s="110" t="e" cm="1">
        <f t="array" aca="1" ref="AG9" ca="1">_xll.EQNXTDZ($A$1,$B9,AG$1)</f>
        <v>#NAME?</v>
      </c>
      <c r="AH9" s="110" t="e" cm="1">
        <f t="array" aca="1" ref="AH9" ca="1">_xll.EQNXTDZ($A$1,$B9,AH$1)</f>
        <v>#NAME?</v>
      </c>
      <c r="AI9" s="110" t="e" cm="1">
        <f t="array" aca="1" ref="AI9" ca="1">_xll.EQNXTDZ($A$1,$B9,AI$1)</f>
        <v>#NAME?</v>
      </c>
      <c r="AJ9" s="110" t="e" cm="1">
        <f t="array" aca="1" ref="AJ9" ca="1">_xll.EQNXTDZ($A$1,$B9,AJ$1)</f>
        <v>#NAME?</v>
      </c>
      <c r="AK9" s="110" t="e" cm="1">
        <f t="array" aca="1" ref="AK9" ca="1">_xll.EQNXTDZ($A$1,$B9,AK$1)</f>
        <v>#NAME?</v>
      </c>
      <c r="AL9" s="110" t="e" cm="1">
        <f t="array" aca="1" ref="AL9" ca="1">_xll.EQNXTDZ($A$1,$B9,AL$1)</f>
        <v>#NAME?</v>
      </c>
      <c r="AM9" s="110" t="e" cm="1">
        <f t="array" aca="1" ref="AM9" ca="1">_xll.EQNXTDZ($A$1,$B9,AM$1)</f>
        <v>#NAME?</v>
      </c>
      <c r="AN9" s="110" t="e" cm="1">
        <f t="array" aca="1" ref="AN9" ca="1">_xll.EQNXTDZ($A$1,$B9,AN$1)</f>
        <v>#NAME?</v>
      </c>
      <c r="AO9" s="110" t="e" cm="1">
        <f t="array" aca="1" ref="AO9" ca="1">_xll.EQNXTDZ($A$1,$B9,AO$1)</f>
        <v>#NAME?</v>
      </c>
      <c r="AP9" s="110" t="e" cm="1">
        <f t="array" aca="1" ref="AP9" ca="1">_xll.EQNXTDZ($A$1,$B9,AP$1)</f>
        <v>#NAME?</v>
      </c>
      <c r="AQ9" s="110" t="e" cm="1">
        <f t="array" aca="1" ref="AQ9" ca="1">_xll.EQNXTDZ($A$1,$B9,AQ$1)</f>
        <v>#NAME?</v>
      </c>
      <c r="AR9" s="110" t="e" cm="1">
        <f t="array" aca="1" ref="AR9" ca="1">_xll.EQNXTDZ($A$1,$B9,AR$1)</f>
        <v>#NAME?</v>
      </c>
      <c r="AS9" s="110" t="e" cm="1">
        <f t="array" aca="1" ref="AS9" ca="1">_xll.EQNXTDZ($A$1,$B9,AS$1)</f>
        <v>#NAME?</v>
      </c>
      <c r="AT9" s="110" t="e" cm="1">
        <f t="array" aca="1" ref="AT9" ca="1">_xll.EQNXTDZ($A$1,$B9,AT$1)</f>
        <v>#NAME?</v>
      </c>
      <c r="AU9" s="110" t="e" cm="1">
        <f t="array" aca="1" ref="AU9" ca="1">_xll.EQNXTDZ($A$1,$B9,AU$1)</f>
        <v>#NAME?</v>
      </c>
      <c r="AV9" s="110" t="e" cm="1">
        <f t="array" aca="1" ref="AV9" ca="1">_xll.EQNXTDZ($A$1,$B9,AV$1)</f>
        <v>#NAME?</v>
      </c>
      <c r="AW9" s="110" t="e" cm="1">
        <f t="array" aca="1" ref="AW9" ca="1">_xll.EQNXTDZ($A$1,$B9,AW$1)</f>
        <v>#NAME?</v>
      </c>
      <c r="AX9" s="110" t="e" cm="1">
        <f t="array" aca="1" ref="AX9" ca="1">_xll.EQNXTDZ($A$1,$B9,AX$1)</f>
        <v>#NAME?</v>
      </c>
      <c r="AY9" s="110" t="e" cm="1">
        <f t="array" aca="1" ref="AY9" ca="1">_xll.EQNXTDZ($A$1,$B9,AY$1)</f>
        <v>#NAME?</v>
      </c>
      <c r="AZ9" s="110" t="e" cm="1">
        <f t="array" aca="1" ref="AZ9" ca="1">_xll.EQNXTDZ($A$1,$B9,AZ$1)</f>
        <v>#NAME?</v>
      </c>
      <c r="BA9" s="110" t="e" cm="1">
        <f t="array" aca="1" ref="BA9" ca="1">_xll.EQNXTDZ($A$1,$B9,BA$1)</f>
        <v>#NAME?</v>
      </c>
      <c r="BB9" s="110" t="e" cm="1">
        <f t="array" aca="1" ref="BB9" ca="1">_xll.EQNXTDZ($A$1,$B9,BB$1)</f>
        <v>#NAME?</v>
      </c>
      <c r="BC9" s="110" t="e" cm="1">
        <f t="array" aca="1" ref="BC9" ca="1">_xll.EQNXTDZ($A$1,$B9,BC$1)</f>
        <v>#NAME?</v>
      </c>
      <c r="BD9" s="110" t="e" cm="1">
        <f t="array" aca="1" ref="BD9" ca="1">_xll.EQNXTDZ($A$1,$B9,BD$1)</f>
        <v>#NAME?</v>
      </c>
      <c r="BE9" s="110" t="e" cm="1">
        <f t="array" aca="1" ref="BE9" ca="1">_xll.EQNXTDZ($A$1,$B9,BE$1)</f>
        <v>#NAME?</v>
      </c>
      <c r="BF9" s="110" t="e" cm="1">
        <f t="array" aca="1" ref="BF9" ca="1">_xll.EQNXTDZ($A$1,$B9,BF$1)</f>
        <v>#NAME?</v>
      </c>
      <c r="BG9" s="110" t="e" cm="1">
        <f t="array" aca="1" ref="BG9" ca="1">_xll.EQNXTDZ($A$1,$B9,BG$1)</f>
        <v>#NAME?</v>
      </c>
      <c r="BH9" s="110" t="e" cm="1">
        <f t="array" aca="1" ref="BH9" ca="1">_xll.EQNXTDZ($A$1,$B9,BH$1)</f>
        <v>#NAME?</v>
      </c>
      <c r="BI9" s="110" t="e" cm="1">
        <f t="array" aca="1" ref="BI9" ca="1">_xll.EQNXTDZ($A$1,$B9,BI$1)</f>
        <v>#NAME?</v>
      </c>
      <c r="BJ9" s="110" t="e" cm="1">
        <f t="array" aca="1" ref="BJ9" ca="1">_xll.EQNXTDZ($A$1,$B9,BJ$1)</f>
        <v>#NAME?</v>
      </c>
      <c r="BK9" s="110" t="e" cm="1">
        <f t="array" aca="1" ref="BK9" ca="1">_xll.EQNXTDZ($A$1,$B9,BK$1)</f>
        <v>#NAME?</v>
      </c>
      <c r="BL9" s="110" t="e" cm="1">
        <f t="array" aca="1" ref="BL9" ca="1">_xll.EQNXTDZ($A$1,$B9,BL$1)</f>
        <v>#NAME?</v>
      </c>
      <c r="BM9" s="110" t="e" cm="1">
        <f t="array" aca="1" ref="BM9" ca="1">_xll.EQNXTDZ($A$1,$B9,BM$1)</f>
        <v>#NAME?</v>
      </c>
      <c r="BN9" s="110" t="e" cm="1">
        <f t="array" aca="1" ref="BN9" ca="1">_xll.EQNXTDZ($A$1,$B9,BN$1)</f>
        <v>#NAME?</v>
      </c>
      <c r="BO9" s="110" t="e" cm="1">
        <f t="array" aca="1" ref="BO9" ca="1">_xll.EQNXTDZ($A$1,$B9,BO$1)</f>
        <v>#NAME?</v>
      </c>
      <c r="BP9" s="110" t="e" cm="1">
        <f t="array" aca="1" ref="BP9" ca="1">_xll.EQNXTDZ($A$1,$B9,BP$1)</f>
        <v>#NAME?</v>
      </c>
      <c r="BQ9" s="110" t="e" cm="1">
        <f t="array" aca="1" ref="BQ9" ca="1">_xll.EQNXTDZ($A$1,$B9,BQ$1)</f>
        <v>#NAME?</v>
      </c>
      <c r="BR9" s="110" t="e" cm="1">
        <f t="array" aca="1" ref="BR9" ca="1">_xll.EQNXTDZ($A$1,$B9,BR$1)</f>
        <v>#NAME?</v>
      </c>
      <c r="BS9" s="110" t="e" cm="1">
        <f t="array" aca="1" ref="BS9" ca="1">_xll.EQNXTDZ($A$1,$B9,BS$1)</f>
        <v>#NAME?</v>
      </c>
      <c r="BT9" s="110" t="e" cm="1">
        <f t="array" aca="1" ref="BT9" ca="1">_xll.EQNXTDZ($A$1,$B9,BT$1)</f>
        <v>#NAME?</v>
      </c>
      <c r="BU9" s="110" t="e" cm="1">
        <f t="array" aca="1" ref="BU9" ca="1">_xll.EQNXTDZ($A$1,$B9,BU$1)</f>
        <v>#NAME?</v>
      </c>
      <c r="BV9" s="110" t="e" cm="1">
        <f t="array" aca="1" ref="BV9" ca="1">_xll.EQNXTDZ($A$1,$B9,BV$1)</f>
        <v>#NAME?</v>
      </c>
      <c r="BW9" s="110" t="e" cm="1">
        <f t="array" aca="1" ref="BW9" ca="1">_xll.EQNXTDZ($A$1,$B9,BW$1)</f>
        <v>#NAME?</v>
      </c>
      <c r="BX9" s="110" t="e" cm="1">
        <f t="array" aca="1" ref="BX9" ca="1">_xll.EQNXTDZ($A$1,$B9,BX$1)</f>
        <v>#NAME?</v>
      </c>
      <c r="BY9" s="110" t="e" cm="1">
        <f t="array" aca="1" ref="BY9" ca="1">_xll.EQNXTDZ($A$1,$B9,BY$1)</f>
        <v>#NAME?</v>
      </c>
      <c r="BZ9" s="110" t="e" cm="1">
        <f t="array" aca="1" ref="BZ9" ca="1">_xll.EQNXTDZ($A$1,$B9,BZ$1)</f>
        <v>#NAME?</v>
      </c>
      <c r="CA9" s="110" t="e" cm="1">
        <f t="array" aca="1" ref="CA9" ca="1">_xll.EQNXTDZ($A$1,$B9,CA$1)</f>
        <v>#NAME?</v>
      </c>
      <c r="CB9" s="110" t="e" cm="1">
        <f t="array" aca="1" ref="CB9" ca="1">_xll.EQNXTDZ($A$1,$B9,CB$1)</f>
        <v>#NAME?</v>
      </c>
      <c r="CC9" s="110" t="e" cm="1">
        <f t="array" aca="1" ref="CC9" ca="1">_xll.EQNXTDZ($A$1,$B9,CC$1)</f>
        <v>#NAME?</v>
      </c>
      <c r="CD9" s="110" t="e" cm="1">
        <f t="array" aca="1" ref="CD9" ca="1">_xll.EQNXTDZ($A$1,$B9,CD$1)</f>
        <v>#NAME?</v>
      </c>
      <c r="CE9" s="110" t="e" cm="1">
        <f t="array" aca="1" ref="CE9" ca="1">_xll.EQNXTDZ($A$1,$B9,CE$1)</f>
        <v>#NAME?</v>
      </c>
      <c r="CF9" s="110" t="e" cm="1">
        <f t="array" aca="1" ref="CF9" ca="1">_xll.EQNXTDZ($A$1,$B9,CF$1)</f>
        <v>#NAME?</v>
      </c>
      <c r="CG9" s="110" t="e" cm="1">
        <f t="array" aca="1" ref="CG9" ca="1">_xll.EQNXTDZ($A$1,$B9,CG$1)</f>
        <v>#NAME?</v>
      </c>
      <c r="CH9" s="110" t="e" cm="1">
        <f t="array" aca="1" ref="CH9" ca="1">_xll.EQNXTDZ($A$1,$B9,CH$1)</f>
        <v>#NAME?</v>
      </c>
      <c r="CI9" s="110" t="e" cm="1">
        <f t="array" aca="1" ref="CI9" ca="1">_xll.EQNXTDZ($A$1,$B9,CI$1)</f>
        <v>#NAME?</v>
      </c>
      <c r="CJ9" s="110" t="e" cm="1">
        <f t="array" aca="1" ref="CJ9" ca="1">_xll.EQNXTDZ($A$1,$B9,CJ$1)</f>
        <v>#NAME?</v>
      </c>
      <c r="CK9" s="110" t="e" cm="1">
        <f t="array" aca="1" ref="CK9" ca="1">_xll.EQNXTDZ($A$1,$B9,CK$1)</f>
        <v>#NAME?</v>
      </c>
      <c r="CL9" s="110" t="e" cm="1">
        <f t="array" aca="1" ref="CL9" ca="1">_xll.EQNXTDZ($A$1,$B9,CL$1)</f>
        <v>#NAME?</v>
      </c>
      <c r="CM9" s="110" t="e" cm="1">
        <f t="array" aca="1" ref="CM9" ca="1">_xll.EQNXTDZ($A$1,$B9,CM$1)</f>
        <v>#NAME?</v>
      </c>
      <c r="CN9" s="110" t="e" cm="1">
        <f t="array" aca="1" ref="CN9" ca="1">_xll.EQNXTDZ($A$1,$B9,CN$1)</f>
        <v>#NAME?</v>
      </c>
      <c r="CO9" s="110" t="e" cm="1">
        <f t="array" aca="1" ref="CO9" ca="1">_xll.EQNXTDZ($A$1,$B9,CO$1)</f>
        <v>#NAME?</v>
      </c>
      <c r="CP9" s="110" t="e" cm="1">
        <f t="array" aca="1" ref="CP9" ca="1">_xll.EQNXTDZ($A$1,$B9,CP$1)</f>
        <v>#NAME?</v>
      </c>
      <c r="CQ9" s="110" t="e" cm="1">
        <f t="array" aca="1" ref="CQ9" ca="1">_xll.EQNXTDZ($A$1,$B9,CQ$1)</f>
        <v>#NAME?</v>
      </c>
      <c r="CR9" s="110" t="e" cm="1">
        <f t="array" aca="1" ref="CR9" ca="1">_xll.EQNXTDZ($A$1,$B9,CR$1)</f>
        <v>#NAME?</v>
      </c>
      <c r="CS9" s="110" t="e" cm="1">
        <f t="array" aca="1" ref="CS9" ca="1">_xll.EQNXTDZ($A$1,$B9,CS$1)</f>
        <v>#NAME?</v>
      </c>
      <c r="CT9" s="110" t="e" cm="1">
        <f t="array" aca="1" ref="CT9" ca="1">_xll.EQNXTDZ($A$1,$B9,CT$1)</f>
        <v>#NAME?</v>
      </c>
      <c r="CU9" s="110" t="e" cm="1">
        <f t="array" aca="1" ref="CU9" ca="1">_xll.EQNXTDZ($A$1,$B9,CU$1)</f>
        <v>#NAME?</v>
      </c>
      <c r="CV9" s="110" t="e" cm="1">
        <f t="array" aca="1" ref="CV9" ca="1">_xll.EQNXTDZ($A$1,$B9,CV$1)</f>
        <v>#NAME?</v>
      </c>
      <c r="CW9" s="110" t="e" cm="1">
        <f t="array" aca="1" ref="CW9" ca="1">_xll.EQNXTDZ($A$1,$B9,CW$1)</f>
        <v>#NAME?</v>
      </c>
      <c r="CX9" s="110" t="e" cm="1">
        <f t="array" aca="1" ref="CX9" ca="1">_xll.EQNXTDZ($A$1,$B9,CX$1)</f>
        <v>#NAME?</v>
      </c>
      <c r="CY9" s="110" t="e" cm="1">
        <f t="array" aca="1" ref="CY9" ca="1">_xll.EQNXTDZ($A$1,$B9,CY$1)</f>
        <v>#NAME?</v>
      </c>
      <c r="CZ9" s="110" t="e" cm="1">
        <f t="array" aca="1" ref="CZ9" ca="1">_xll.EQNXTDZ($A$1,$B9,CZ$1)</f>
        <v>#NAME?</v>
      </c>
      <c r="DA9" s="110" t="e" cm="1">
        <f t="array" aca="1" ref="DA9" ca="1">_xll.EQNXTDZ($A$1,$B9,DA$1)</f>
        <v>#NAME?</v>
      </c>
      <c r="DB9" s="110" t="e" cm="1">
        <f t="array" aca="1" ref="DB9" ca="1">_xll.EQNXTDZ($A$1,$B9,DB$1)</f>
        <v>#NAME?</v>
      </c>
      <c r="DC9" s="110" t="e" cm="1">
        <f t="array" aca="1" ref="DC9" ca="1">_xll.EQNXTDZ($A$1,$B9,DC$1)</f>
        <v>#NAME?</v>
      </c>
      <c r="DD9" s="110" t="e" cm="1">
        <f t="array" aca="1" ref="DD9" ca="1">_xll.EQNXTDZ($A$1,$B9,DD$1)</f>
        <v>#NAME?</v>
      </c>
      <c r="DE9" s="110" t="e" cm="1">
        <f t="array" aca="1" ref="DE9" ca="1">_xll.EQNXTDZ($A$1,$B9,DE$1)</f>
        <v>#NAME?</v>
      </c>
      <c r="DF9" s="110" t="e" cm="1">
        <f t="array" aca="1" ref="DF9" ca="1">_xll.EQNXTDZ($A$1,$B9,DF$1)</f>
        <v>#NAME?</v>
      </c>
      <c r="DG9" s="110" t="e" cm="1">
        <f t="array" aca="1" ref="DG9" ca="1">_xll.EQNXTDZ($A$1,$B9,DG$1)</f>
        <v>#NAME?</v>
      </c>
      <c r="DH9" s="110" t="e" cm="1">
        <f t="array" aca="1" ref="DH9" ca="1">_xll.EQNXTDZ($A$1,$B9,DH$1)</f>
        <v>#NAME?</v>
      </c>
      <c r="DI9" s="110" t="e" cm="1">
        <f t="array" aca="1" ref="DI9" ca="1">_xll.EQNXTDZ($A$1,$B9,DI$1)</f>
        <v>#NAME?</v>
      </c>
      <c r="DJ9" s="110" t="e" cm="1">
        <f t="array" aca="1" ref="DJ9" ca="1">_xll.EQNXTDZ($A$1,$B9,DJ$1)</f>
        <v>#NAME?</v>
      </c>
      <c r="DK9" s="110" t="e" cm="1">
        <f t="array" aca="1" ref="DK9" ca="1">_xll.EQNXTDZ($A$1,$B9,DK$1)</f>
        <v>#NAME?</v>
      </c>
      <c r="DL9" s="110" t="e" cm="1">
        <f t="array" aca="1" ref="DL9" ca="1">_xll.EQNXTDZ($A$1,$B9,DL$1)</f>
        <v>#NAME?</v>
      </c>
      <c r="DM9" s="110" t="e" cm="1">
        <f t="array" aca="1" ref="DM9" ca="1">_xll.EQNXTDZ($A$1,$B9,DM$1)</f>
        <v>#NAME?</v>
      </c>
      <c r="DN9" s="110" t="e" cm="1">
        <f t="array" aca="1" ref="DN9" ca="1">_xll.EQNXTDZ($A$1,$B9,DN$1)</f>
        <v>#NAME?</v>
      </c>
      <c r="DO9" s="110" t="e" cm="1">
        <f t="array" aca="1" ref="DO9" ca="1">_xll.EQNXTDZ($A$1,$B9,DO$1)</f>
        <v>#NAME?</v>
      </c>
      <c r="DP9" s="110" t="e" cm="1">
        <f t="array" aca="1" ref="DP9" ca="1">_xll.EQNXTDZ($A$1,$B9,DP$1)</f>
        <v>#NAME?</v>
      </c>
      <c r="DQ9" s="110" t="e" cm="1">
        <f t="array" aca="1" ref="DQ9" ca="1">_xll.EQNXTDZ($A$1,$B9,DQ$1)</f>
        <v>#NAME?</v>
      </c>
      <c r="DR9" s="110" t="e" cm="1">
        <f t="array" aca="1" ref="DR9" ca="1">_xll.EQNXTDZ($A$1,$B9,DR$1)</f>
        <v>#NAME?</v>
      </c>
      <c r="DS9" s="110" t="e" cm="1">
        <f t="array" aca="1" ref="DS9" ca="1">_xll.EQNXTDZ($A$1,$B9,DS$1)</f>
        <v>#NAME?</v>
      </c>
      <c r="DT9" s="110" t="e" cm="1">
        <f t="array" aca="1" ref="DT9" ca="1">_xll.EQNXTDZ($A$1,$B9,DT$1)</f>
        <v>#NAME?</v>
      </c>
      <c r="DU9" s="110" t="e" cm="1">
        <f t="array" aca="1" ref="DU9" ca="1">_xll.EQNXTDZ($A$1,$B9,DU$1)</f>
        <v>#NAME?</v>
      </c>
      <c r="DV9" s="110" t="e" cm="1">
        <f t="array" aca="1" ref="DV9" ca="1">_xll.EQNXTDZ($A$1,$B9,DV$1)</f>
        <v>#NAME?</v>
      </c>
      <c r="DW9" s="110" t="e" cm="1">
        <f t="array" aca="1" ref="DW9" ca="1">_xll.EQNXTDZ($A$1,$B9,DW$1)</f>
        <v>#NAME?</v>
      </c>
      <c r="DX9" s="110" t="e" cm="1">
        <f t="array" aca="1" ref="DX9" ca="1">_xll.EQNXTDZ($A$1,$B9,DX$1)</f>
        <v>#NAME?</v>
      </c>
      <c r="DY9" s="110" t="e" cm="1">
        <f t="array" aca="1" ref="DY9" ca="1">_xll.EQNXTDZ($A$1,$B9,DY$1)</f>
        <v>#NAME?</v>
      </c>
      <c r="DZ9" s="110" t="e" cm="1">
        <f t="array" aca="1" ref="DZ9" ca="1">_xll.EQNXTDZ($A$1,$B9,DZ$1)</f>
        <v>#NAME?</v>
      </c>
      <c r="EA9" s="110" t="e" cm="1">
        <f t="array" aca="1" ref="EA9" ca="1">_xll.EQNXTDZ($A$1,$B9,EA$1)</f>
        <v>#NAME?</v>
      </c>
      <c r="EB9" s="110" t="e" cm="1">
        <f t="array" aca="1" ref="EB9" ca="1">_xll.EQNXTDZ($A$1,$B9,EB$1)</f>
        <v>#NAME?</v>
      </c>
      <c r="EC9" s="110" t="e" cm="1">
        <f t="array" aca="1" ref="EC9" ca="1">_xll.EQNXTDZ($A$1,$B9,EC$1)</f>
        <v>#NAME?</v>
      </c>
      <c r="ED9" s="110" t="e" cm="1">
        <f t="array" aca="1" ref="ED9" ca="1">_xll.EQNXTDZ($A$1,$B9,ED$1)</f>
        <v>#NAME?</v>
      </c>
      <c r="EE9" s="110" t="e" cm="1">
        <f t="array" aca="1" ref="EE9" ca="1">_xll.EQNXTDZ($A$1,$B9,EE$1)</f>
        <v>#NAME?</v>
      </c>
      <c r="EF9" s="110" t="e" cm="1">
        <f t="array" aca="1" ref="EF9" ca="1">_xll.EQNXTDZ($A$1,$B9,EF$1)</f>
        <v>#NAME?</v>
      </c>
      <c r="EG9" s="110" t="e" cm="1">
        <f t="array" aca="1" ref="EG9" ca="1">_xll.EQNXTDZ($A$1,$B9,EG$1)</f>
        <v>#NAME?</v>
      </c>
      <c r="EH9" s="110" t="e" cm="1">
        <f t="array" aca="1" ref="EH9" ca="1">_xll.EQNXTDZ($A$1,$B9,EH$1)</f>
        <v>#NAME?</v>
      </c>
      <c r="EI9" s="110" t="e" cm="1">
        <f t="array" aca="1" ref="EI9" ca="1">_xll.EQNXTDZ($A$1,$B9,EI$1)</f>
        <v>#NAME?</v>
      </c>
      <c r="EJ9" s="110" t="e" cm="1">
        <f t="array" aca="1" ref="EJ9" ca="1">_xll.EQNXTDZ($A$1,$B9,EJ$1)</f>
        <v>#NAME?</v>
      </c>
      <c r="EK9" s="110" t="e" cm="1">
        <f t="array" aca="1" ref="EK9" ca="1">_xll.EQNXTDZ($A$1,$B9,EK$1)</f>
        <v>#NAME?</v>
      </c>
      <c r="EL9" s="110" t="e" cm="1">
        <f t="array" aca="1" ref="EL9" ca="1">_xll.EQNXTDZ($A$1,$B9,EL$1)</f>
        <v>#NAME?</v>
      </c>
      <c r="EM9" s="110" t="e" cm="1">
        <f t="array" aca="1" ref="EM9" ca="1">_xll.EQNXTDZ($A$1,$B9,EM$1)</f>
        <v>#NAME?</v>
      </c>
      <c r="EN9" s="110" t="e" cm="1">
        <f t="array" aca="1" ref="EN9" ca="1">_xll.EQNXTDZ($A$1,$B9,EN$1)</f>
        <v>#NAME?</v>
      </c>
      <c r="EO9" s="110" t="e" cm="1">
        <f t="array" aca="1" ref="EO9" ca="1">_xll.EQNXTDZ($A$1,$B9,EO$1)</f>
        <v>#NAME?</v>
      </c>
      <c r="EP9" s="110" t="e" cm="1">
        <f t="array" aca="1" ref="EP9" ca="1">_xll.EQNXTDZ($A$1,$B9,EP$1)</f>
        <v>#NAME?</v>
      </c>
      <c r="EQ9" s="110" t="e" cm="1">
        <f t="array" aca="1" ref="EQ9" ca="1">_xll.EQNXTDZ($A$1,$B9,EQ$1)</f>
        <v>#NAME?</v>
      </c>
      <c r="ER9" s="110" t="e" cm="1">
        <f t="array" aca="1" ref="ER9" ca="1">_xll.EQNXTDZ($A$1,$B9,ER$1)</f>
        <v>#NAME?</v>
      </c>
      <c r="ES9" s="110" t="e" cm="1">
        <f t="array" aca="1" ref="ES9" ca="1">_xll.EQNXTDZ($A$1,$B9,ES$1)</f>
        <v>#NAME?</v>
      </c>
      <c r="ET9" s="110" t="e" cm="1">
        <f t="array" aca="1" ref="ET9" ca="1">_xll.EQNXTDZ($A$1,$B9,ET$1)</f>
        <v>#NAME?</v>
      </c>
      <c r="EU9" s="110" t="e" cm="1">
        <f t="array" aca="1" ref="EU9" ca="1">_xll.EQNXTDZ($A$1,$B9,EU$1)</f>
        <v>#NAME?</v>
      </c>
      <c r="EV9" s="110" t="e" cm="1">
        <f t="array" aca="1" ref="EV9" ca="1">_xll.EQNXTDZ($A$1,$B9,EV$1)</f>
        <v>#NAME?</v>
      </c>
      <c r="EW9" s="110" t="e" cm="1">
        <f t="array" aca="1" ref="EW9" ca="1">_xll.EQNXTDZ($A$1,$B9,EW$1)</f>
        <v>#NAME?</v>
      </c>
      <c r="EX9" s="110" t="e" cm="1">
        <f t="array" aca="1" ref="EX9" ca="1">_xll.EQNXTDZ($A$1,$B9,EX$1)</f>
        <v>#NAME?</v>
      </c>
      <c r="EY9" s="110" t="e" cm="1">
        <f t="array" aca="1" ref="EY9" ca="1">_xll.EQNXTDZ($A$1,$B9,EY$1)</f>
        <v>#NAME?</v>
      </c>
      <c r="EZ9" s="110" t="e" cm="1">
        <f t="array" aca="1" ref="EZ9" ca="1">_xll.EQNXTDZ($A$1,$B9,EZ$1)</f>
        <v>#NAME?</v>
      </c>
      <c r="FA9" s="110" t="e" cm="1">
        <f t="array" aca="1" ref="FA9" ca="1">_xll.EQNXTDZ($A$1,$B9,FA$1)</f>
        <v>#NAME?</v>
      </c>
      <c r="FB9" s="110" t="e" cm="1">
        <f t="array" aca="1" ref="FB9" ca="1">_xll.EQNXTDZ($A$1,$B9,FB$1)</f>
        <v>#NAME?</v>
      </c>
      <c r="FC9" s="110" t="e" cm="1">
        <f t="array" aca="1" ref="FC9" ca="1">_xll.EQNXTDZ($A$1,$B9,FC$1)</f>
        <v>#NAME?</v>
      </c>
      <c r="FD9" s="110" t="e" cm="1">
        <f t="array" aca="1" ref="FD9" ca="1">_xll.EQNXTDZ($A$1,$B9,FD$1)</f>
        <v>#NAME?</v>
      </c>
      <c r="FE9" s="110" t="e" cm="1">
        <f t="array" aca="1" ref="FE9" ca="1">_xll.EQNXTDZ($A$1,$B9,FE$1)</f>
        <v>#NAME?</v>
      </c>
      <c r="FF9" s="110" t="e" cm="1">
        <f t="array" aca="1" ref="FF9" ca="1">_xll.EQNXTDZ($A$1,$B9,FF$1)</f>
        <v>#NAME?</v>
      </c>
      <c r="FG9" s="110" t="e" cm="1">
        <f t="array" aca="1" ref="FG9" ca="1">_xll.EQNXTDZ($A$1,$B9,FG$1)</f>
        <v>#NAME?</v>
      </c>
      <c r="FH9" s="110" t="e" cm="1">
        <f t="array" aca="1" ref="FH9" ca="1">_xll.EQNXTDZ($A$1,$B9,FH$1)</f>
        <v>#NAME?</v>
      </c>
      <c r="FI9" s="110" t="e" cm="1">
        <f t="array" aca="1" ref="FI9" ca="1">_xll.EQNXTDZ($A$1,$B9,FI$1)</f>
        <v>#NAME?</v>
      </c>
      <c r="FJ9" s="110" t="e" cm="1">
        <f t="array" aca="1" ref="FJ9" ca="1">_xll.EQNXTDZ($A$1,$B9,FJ$1)</f>
        <v>#NAME?</v>
      </c>
      <c r="FK9" s="110" t="e" cm="1">
        <f t="array" aca="1" ref="FK9" ca="1">_xll.EQNXTDZ($A$1,$B9,FK$1)</f>
        <v>#NAME?</v>
      </c>
      <c r="FL9" s="110" t="e" cm="1">
        <f t="array" aca="1" ref="FL9" ca="1">_xll.EQNXTDZ($A$1,$B9,FL$1)</f>
        <v>#NAME?</v>
      </c>
      <c r="FM9" s="110" t="e" cm="1">
        <f t="array" aca="1" ref="FM9" ca="1">_xll.EQNXTDZ($A$1,$B9,FM$1)</f>
        <v>#NAME?</v>
      </c>
      <c r="FN9" s="110" t="e" cm="1">
        <f t="array" aca="1" ref="FN9" ca="1">_xll.EQNXTDZ($A$1,$B9,FN$1)</f>
        <v>#NAME?</v>
      </c>
      <c r="FO9" s="110" t="e" cm="1">
        <f t="array" aca="1" ref="FO9" ca="1">_xll.EQNXTDZ($A$1,$B9,FO$1)</f>
        <v>#NAME?</v>
      </c>
      <c r="FP9" s="110" t="e" cm="1">
        <f t="array" aca="1" ref="FP9" ca="1">_xll.EQNXTDZ($A$1,$B9,FP$1)</f>
        <v>#NAME?</v>
      </c>
      <c r="FQ9" s="110" t="e" cm="1">
        <f t="array" aca="1" ref="FQ9" ca="1">_xll.EQNXTDZ($A$1,$B9,FQ$1)</f>
        <v>#NAME?</v>
      </c>
      <c r="FR9" s="110" t="e" cm="1">
        <f t="array" aca="1" ref="FR9" ca="1">_xll.EQNXTDZ($A$1,$B9,FR$1)</f>
        <v>#NAME?</v>
      </c>
      <c r="FS9" s="110" t="e" cm="1">
        <f t="array" aca="1" ref="FS9" ca="1">_xll.EQNXTDZ($A$1,$B9,FS$1)</f>
        <v>#NAME?</v>
      </c>
      <c r="FT9" s="110" t="e" cm="1">
        <f t="array" aca="1" ref="FT9" ca="1">_xll.EQNXTDZ($A$1,$B9,FT$1)</f>
        <v>#NAME?</v>
      </c>
      <c r="FU9" s="110" t="e" cm="1">
        <f t="array" aca="1" ref="FU9" ca="1">_xll.EQNXTDZ($A$1,$B9,FU$1)</f>
        <v>#NAME?</v>
      </c>
      <c r="FV9" s="110" t="e" cm="1">
        <f t="array" aca="1" ref="FV9" ca="1">_xll.EQNXTDZ($A$1,$B9,FV$1)</f>
        <v>#NAME?</v>
      </c>
      <c r="FW9" s="110" t="e" cm="1">
        <f t="array" aca="1" ref="FW9" ca="1">_xll.EQNXTDZ($A$1,$B9,FW$1)</f>
        <v>#NAME?</v>
      </c>
      <c r="FX9" s="110" t="e" cm="1">
        <f t="array" aca="1" ref="FX9" ca="1">_xll.EQNXTDZ($A$1,$B9,FX$1)</f>
        <v>#NAME?</v>
      </c>
      <c r="FY9" s="110" t="e" cm="1">
        <f t="array" aca="1" ref="FY9" ca="1">_xll.EQNXTDZ($A$1,$B9,FY$1)</f>
        <v>#NAME?</v>
      </c>
      <c r="FZ9" s="110" t="e" cm="1">
        <f t="array" aca="1" ref="FZ9" ca="1">_xll.EQNXTDZ($A$1,$B9,FZ$1)</f>
        <v>#NAME?</v>
      </c>
      <c r="GA9" s="110" t="e" cm="1">
        <f t="array" aca="1" ref="GA9" ca="1">_xll.EQNXTDZ($A$1,$B9,GA$1)</f>
        <v>#NAME?</v>
      </c>
      <c r="GB9" s="110" t="e" cm="1">
        <f t="array" aca="1" ref="GB9" ca="1">_xll.EQNXTDZ($A$1,$B9,GB$1)</f>
        <v>#NAME?</v>
      </c>
      <c r="GC9" s="110" t="e" cm="1">
        <f t="array" aca="1" ref="GC9" ca="1">_xll.EQNXTDZ($A$1,$B9,GC$1)</f>
        <v>#NAME?</v>
      </c>
      <c r="GD9" s="110" t="e" cm="1">
        <f t="array" aca="1" ref="GD9" ca="1">_xll.EQNXTDZ($A$1,$B9,GD$1)</f>
        <v>#NAME?</v>
      </c>
      <c r="GE9" s="110" t="e" cm="1">
        <f t="array" aca="1" ref="GE9" ca="1">_xll.EQNXTDZ($A$1,$B9,GE$1)</f>
        <v>#NAME?</v>
      </c>
      <c r="GF9" s="110" t="e" cm="1">
        <f t="array" aca="1" ref="GF9" ca="1">_xll.EQNXTDZ($A$1,$B9,GF$1)</f>
        <v>#NAME?</v>
      </c>
      <c r="GG9" s="110" t="e" cm="1">
        <f t="array" aca="1" ref="GG9" ca="1">_xll.EQNXTDZ($A$1,$B9,GG$1)</f>
        <v>#NAME?</v>
      </c>
      <c r="GH9" s="110" t="e" cm="1">
        <f t="array" aca="1" ref="GH9" ca="1">_xll.EQNXTDZ($A$1,$B9,GH$1)</f>
        <v>#NAME?</v>
      </c>
      <c r="GI9" s="110" t="e" cm="1">
        <f t="array" aca="1" ref="GI9" ca="1">_xll.EQNXTDZ($A$1,$B9,GI$1)</f>
        <v>#NAME?</v>
      </c>
      <c r="GJ9" s="110" t="e" cm="1">
        <f t="array" aca="1" ref="GJ9" ca="1">_xll.EQNXTDZ($A$1,$B9,GJ$1)</f>
        <v>#NAME?</v>
      </c>
      <c r="GK9" s="110" t="e" cm="1">
        <f t="array" aca="1" ref="GK9" ca="1">_xll.EQNXTDZ($A$1,$B9,GK$1)</f>
        <v>#NAME?</v>
      </c>
      <c r="GL9" s="110" t="e" cm="1">
        <f t="array" aca="1" ref="GL9" ca="1">_xll.EQNXTDZ($A$1,$B9,GL$1)</f>
        <v>#NAME?</v>
      </c>
      <c r="GM9" s="110" t="e" cm="1">
        <f t="array" aca="1" ref="GM9" ca="1">_xll.EQNXTDZ($A$1,$B9,GM$1)</f>
        <v>#NAME?</v>
      </c>
      <c r="GN9" s="110" t="e" cm="1">
        <f t="array" aca="1" ref="GN9" ca="1">_xll.EQNXTDZ($A$1,$B9,GN$1)</f>
        <v>#NAME?</v>
      </c>
      <c r="GO9" s="110" t="e" cm="1">
        <f t="array" aca="1" ref="GO9" ca="1">_xll.EQNXTDZ($A$1,$B9,GO$1)</f>
        <v>#NAME?</v>
      </c>
      <c r="GP9" s="110" t="e" cm="1">
        <f t="array" aca="1" ref="GP9" ca="1">_xll.EQNXTDZ($A$1,$B9,GP$1)</f>
        <v>#NAME?</v>
      </c>
      <c r="GQ9" s="110" t="e" cm="1">
        <f t="array" aca="1" ref="GQ9" ca="1">_xll.EQNXTDZ($A$1,$B9,GQ$1)</f>
        <v>#NAME?</v>
      </c>
      <c r="GR9" s="110" t="e" cm="1">
        <f t="array" aca="1" ref="GR9" ca="1">_xll.EQNXTDZ($A$1,$B9,GR$1)</f>
        <v>#NAME?</v>
      </c>
      <c r="GS9" s="110" t="e" cm="1">
        <f t="array" aca="1" ref="GS9" ca="1">_xll.EQNXTDZ($A$1,$B9,GS$1)</f>
        <v>#NAME?</v>
      </c>
      <c r="GT9" s="110" t="e" cm="1">
        <f t="array" aca="1" ref="GT9" ca="1">_xll.EQNXTDZ($A$1,$B9,GT$1)</f>
        <v>#NAME?</v>
      </c>
      <c r="GU9" s="110" t="e" cm="1">
        <f t="array" aca="1" ref="GU9" ca="1">_xll.EQNXTDZ($A$1,$B9,GU$1)</f>
        <v>#NAME?</v>
      </c>
      <c r="GV9" s="110" t="e" cm="1">
        <f t="array" aca="1" ref="GV9" ca="1">_xll.EQNXTDZ($A$1,$B9,GV$1)</f>
        <v>#NAME?</v>
      </c>
      <c r="GW9" s="110" t="e" cm="1">
        <f t="array" aca="1" ref="GW9" ca="1">_xll.EQNXTDZ($A$1,$B9,GW$1)</f>
        <v>#NAME?</v>
      </c>
      <c r="GX9" s="110" t="e" cm="1">
        <f t="array" aca="1" ref="GX9" ca="1">_xll.EQNXTDZ($A$1,$B9,GX$1)</f>
        <v>#NAME?</v>
      </c>
      <c r="GY9" s="110" t="e" cm="1">
        <f t="array" aca="1" ref="GY9" ca="1">_xll.EQNXTDZ($A$1,$B9,GY$1)</f>
        <v>#NAME?</v>
      </c>
      <c r="GZ9" s="110" t="e" cm="1">
        <f t="array" aca="1" ref="GZ9" ca="1">_xll.EQNXTDZ($A$1,$B9,GZ$1)</f>
        <v>#NAME?</v>
      </c>
      <c r="HA9" s="110" t="e" cm="1">
        <f t="array" aca="1" ref="HA9" ca="1">_xll.EQNXTDZ($A$1,$B9,HA$1)</f>
        <v>#NAME?</v>
      </c>
      <c r="HB9" s="110" t="e" cm="1">
        <f t="array" aca="1" ref="HB9" ca="1">_xll.EQNXTDZ($A$1,$B9,HB$1)</f>
        <v>#NAME?</v>
      </c>
      <c r="HC9" s="110" t="e" cm="1">
        <f t="array" aca="1" ref="HC9" ca="1">_xll.EQNXTDZ($A$1,$B9,HC$1)</f>
        <v>#NAME?</v>
      </c>
      <c r="HD9" s="110" t="e" cm="1">
        <f t="array" aca="1" ref="HD9" ca="1">_xll.EQNXTDZ($A$1,$B9,HD$1)</f>
        <v>#NAME?</v>
      </c>
      <c r="HE9" s="110" t="e" cm="1">
        <f t="array" aca="1" ref="HE9" ca="1">_xll.EQNXTDZ($A$1,$B9,HE$1)</f>
        <v>#NAME?</v>
      </c>
      <c r="HF9" s="110" t="e" cm="1">
        <f t="array" aca="1" ref="HF9" ca="1">_xll.EQNXTDZ($A$1,$B9,HF$1)</f>
        <v>#NAME?</v>
      </c>
      <c r="HG9" s="110" t="e" cm="1">
        <f t="array" aca="1" ref="HG9" ca="1">_xll.EQNXTDZ($A$1,$B9,HG$1)</f>
        <v>#NAME?</v>
      </c>
      <c r="HH9" s="110" t="e" cm="1">
        <f t="array" aca="1" ref="HH9" ca="1">_xll.EQNXTDZ($A$1,$B9,HH$1)</f>
        <v>#NAME?</v>
      </c>
      <c r="HP9" s="110" t="e">
        <f ca="1">+F9</f>
        <v>#NAME?</v>
      </c>
      <c r="HQ9" s="110" t="e">
        <f ca="1">+I9</f>
        <v>#NAME?</v>
      </c>
      <c r="HR9" s="110" t="e">
        <f ca="1">+L9</f>
        <v>#NAME?</v>
      </c>
      <c r="HS9" s="110" t="e">
        <f ca="1">+O9</f>
        <v>#NAME?</v>
      </c>
      <c r="HT9" s="110" t="e">
        <f ca="1">+R9</f>
        <v>#NAME?</v>
      </c>
      <c r="HU9" s="110" t="e">
        <f ca="1">+U9</f>
        <v>#NAME?</v>
      </c>
      <c r="HV9" s="110" t="e">
        <f ca="1">+X9</f>
        <v>#NAME?</v>
      </c>
      <c r="HW9" s="110" t="e">
        <f ca="1">+AA9</f>
        <v>#NAME?</v>
      </c>
      <c r="HX9" s="110" t="e">
        <f ca="1">+AD9</f>
        <v>#NAME?</v>
      </c>
      <c r="HY9" s="110" t="e">
        <f ca="1">+AG9</f>
        <v>#NAME?</v>
      </c>
      <c r="HZ9" s="110" t="e">
        <f ca="1">+AJ9</f>
        <v>#NAME?</v>
      </c>
      <c r="IA9" s="110" t="e">
        <f ca="1">+AM9</f>
        <v>#NAME?</v>
      </c>
      <c r="IB9" s="110" t="e">
        <f ca="1">+AP9</f>
        <v>#NAME?</v>
      </c>
      <c r="IC9" s="110" t="e">
        <f ca="1">+AS9</f>
        <v>#NAME?</v>
      </c>
      <c r="ID9" s="110" t="e">
        <f ca="1">+AV9</f>
        <v>#NAME?</v>
      </c>
      <c r="IE9" s="110" t="e">
        <f ca="1">+AY9</f>
        <v>#NAME?</v>
      </c>
      <c r="IF9" s="110" t="e">
        <f ca="1">+BB9</f>
        <v>#NAME?</v>
      </c>
      <c r="IG9" s="110" t="e">
        <f ca="1">+BE9</f>
        <v>#NAME?</v>
      </c>
      <c r="IH9" s="110" t="e">
        <f ca="1">+BH9</f>
        <v>#NAME?</v>
      </c>
      <c r="II9" s="110" t="e">
        <f ca="1">+BK9</f>
        <v>#NAME?</v>
      </c>
      <c r="IJ9" s="110" t="e">
        <f ca="1">+BN9</f>
        <v>#NAME?</v>
      </c>
      <c r="IK9" s="110" t="e">
        <f ca="1">+BQ9</f>
        <v>#NAME?</v>
      </c>
      <c r="IL9" s="110" t="e">
        <f ca="1">+BT9</f>
        <v>#NAME?</v>
      </c>
      <c r="IM9" s="110" t="e">
        <f ca="1">+BW9</f>
        <v>#NAME?</v>
      </c>
      <c r="IN9" s="110" t="e">
        <f ca="1">+BZ9</f>
        <v>#NAME?</v>
      </c>
      <c r="IO9" s="110" t="e">
        <f ca="1">+CC9</f>
        <v>#NAME?</v>
      </c>
      <c r="IP9" s="110" t="e">
        <f ca="1">+CF9</f>
        <v>#NAME?</v>
      </c>
      <c r="IQ9" s="110" t="e">
        <f ca="1">+CI9</f>
        <v>#NAME?</v>
      </c>
      <c r="IR9" s="110" t="e">
        <f ca="1">+CL9</f>
        <v>#NAME?</v>
      </c>
      <c r="IS9" s="110" t="e">
        <f ca="1">+CO9</f>
        <v>#NAME?</v>
      </c>
      <c r="IT9" s="110" t="e">
        <f ca="1">+CR9</f>
        <v>#NAME?</v>
      </c>
      <c r="IU9" s="110" t="e">
        <f ca="1">+CU9</f>
        <v>#NAME?</v>
      </c>
      <c r="IV9" s="110" t="e">
        <f ca="1">+CX9</f>
        <v>#NAME?</v>
      </c>
      <c r="IW9" s="110" t="e">
        <f ca="1">+DA9</f>
        <v>#NAME?</v>
      </c>
      <c r="IX9" s="110" t="e">
        <f ca="1">+DD9</f>
        <v>#NAME?</v>
      </c>
      <c r="IY9" s="110" t="e">
        <f ca="1">+DG9</f>
        <v>#NAME?</v>
      </c>
      <c r="IZ9" s="110" t="e">
        <f ca="1">+DJ9</f>
        <v>#NAME?</v>
      </c>
      <c r="JA9" s="110" t="e">
        <f ca="1">+DM9</f>
        <v>#NAME?</v>
      </c>
      <c r="JB9" s="110" t="e">
        <f ca="1">+DP9</f>
        <v>#NAME?</v>
      </c>
      <c r="JC9" s="110" t="e">
        <f ca="1">+DS9</f>
        <v>#NAME?</v>
      </c>
      <c r="JD9" s="110" t="e">
        <f ca="1">+DV9</f>
        <v>#NAME?</v>
      </c>
      <c r="JE9" s="110" t="e">
        <f ca="1">+DY9</f>
        <v>#NAME?</v>
      </c>
      <c r="JF9" s="110" t="e">
        <f ca="1">+EB9</f>
        <v>#NAME?</v>
      </c>
      <c r="JG9" s="110" t="e">
        <f ca="1">+EE9</f>
        <v>#NAME?</v>
      </c>
      <c r="JH9" s="110" t="e">
        <f ca="1">+EH9</f>
        <v>#NAME?</v>
      </c>
      <c r="JI9" s="110" t="e">
        <f ca="1">+EK9</f>
        <v>#NAME?</v>
      </c>
      <c r="JJ9" s="110" t="e">
        <f ca="1">+EN9</f>
        <v>#NAME?</v>
      </c>
      <c r="JK9" s="110" t="e">
        <f ca="1">EQ9</f>
        <v>#NAME?</v>
      </c>
      <c r="JL9" s="110" t="e">
        <f ca="1">ET9</f>
        <v>#NAME?</v>
      </c>
      <c r="JM9" s="110" t="e">
        <f ca="1">EW9</f>
        <v>#NAME?</v>
      </c>
      <c r="JN9" s="110" t="e">
        <f ca="1">EZ9</f>
        <v>#NAME?</v>
      </c>
      <c r="JO9" s="110" t="e">
        <f ca="1">FC9</f>
        <v>#NAME?</v>
      </c>
      <c r="JP9" s="110" t="e">
        <f ca="1">FF9</f>
        <v>#NAME?</v>
      </c>
      <c r="JQ9" s="110" t="e">
        <f ca="1">FI9</f>
        <v>#NAME?</v>
      </c>
      <c r="JR9" s="110" t="e">
        <f ca="1">FL9</f>
        <v>#NAME?</v>
      </c>
      <c r="JS9" s="110" t="e">
        <f ca="1">FO9</f>
        <v>#NAME?</v>
      </c>
      <c r="JT9" s="110" t="e">
        <f ca="1">FR9</f>
        <v>#NAME?</v>
      </c>
      <c r="JU9" s="110" t="e">
        <f ca="1">FU9</f>
        <v>#NAME?</v>
      </c>
      <c r="JV9" s="110" t="e">
        <f ca="1">FX9</f>
        <v>#NAME?</v>
      </c>
      <c r="JW9" s="110" t="e">
        <f ca="1">GA9</f>
        <v>#NAME?</v>
      </c>
      <c r="JX9" s="110" t="e">
        <f ca="1">GD9</f>
        <v>#NAME?</v>
      </c>
      <c r="JY9" s="110" t="e">
        <f ca="1">GG9</f>
        <v>#NAME?</v>
      </c>
      <c r="JZ9" s="110" t="e">
        <f ca="1">GJ9</f>
        <v>#NAME?</v>
      </c>
      <c r="KA9" s="110" t="e">
        <f ca="1">GM9</f>
        <v>#NAME?</v>
      </c>
      <c r="KB9" s="110" t="e">
        <f ca="1">GP9</f>
        <v>#NAME?</v>
      </c>
      <c r="KC9" s="110" t="e">
        <f ca="1">GS9</f>
        <v>#NAME?</v>
      </c>
      <c r="KD9" s="110" t="e">
        <f ca="1">GV9</f>
        <v>#NAME?</v>
      </c>
      <c r="KE9" s="110" t="e">
        <f ca="1">GY9</f>
        <v>#NAME?</v>
      </c>
      <c r="KF9" s="110" t="e">
        <f ca="1">HB9</f>
        <v>#NAME?</v>
      </c>
      <c r="KG9" s="110" t="e">
        <f ca="1">HE9</f>
        <v>#NAME?</v>
      </c>
      <c r="KH9" s="110" t="e">
        <f ca="1">HH9</f>
        <v>#NAME?</v>
      </c>
    </row>
    <row r="11" spans="1:294" x14ac:dyDescent="0.25">
      <c r="A11" t="s">
        <v>56</v>
      </c>
      <c r="B11" t="s">
        <v>57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183</v>
      </c>
      <c r="B12" t="s">
        <v>186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335</v>
      </c>
      <c r="B13" t="s">
        <v>336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0" customFormat="1" x14ac:dyDescent="0.25">
      <c r="A14" s="110" t="s">
        <v>38</v>
      </c>
      <c r="B14" s="110" t="s">
        <v>337</v>
      </c>
      <c r="C14" s="110" t="e" cm="1">
        <f t="array" aca="1" ref="C14" ca="1">_xll.EQNXTDZ($A$1,$B14,C$1)</f>
        <v>#NAME?</v>
      </c>
      <c r="D14" s="110" t="e" cm="1">
        <f t="array" aca="1" ref="D14" ca="1">_xll.EQNXTDZ($A$1,$B14,D$1)</f>
        <v>#NAME?</v>
      </c>
      <c r="E14" s="110" t="e" cm="1">
        <f t="array" aca="1" ref="E14" ca="1">_xll.EQNXTDZ($A$1,$B14,E$1)</f>
        <v>#NAME?</v>
      </c>
      <c r="F14" s="110" t="e" cm="1">
        <f t="array" aca="1" ref="F14" ca="1">_xll.EQNXTDZ($A$1,$B14,F$1)</f>
        <v>#NAME?</v>
      </c>
      <c r="G14" s="110" t="e" cm="1">
        <f t="array" aca="1" ref="G14" ca="1">_xll.EQNXTDZ($A$1,$B14,G$1)</f>
        <v>#NAME?</v>
      </c>
      <c r="H14" s="110" t="e" cm="1">
        <f t="array" aca="1" ref="H14" ca="1">_xll.EQNXTDZ($A$1,$B14,H$1)</f>
        <v>#NAME?</v>
      </c>
      <c r="I14" s="110" t="e" cm="1">
        <f t="array" aca="1" ref="I14" ca="1">_xll.EQNXTDZ($A$1,$B14,I$1)</f>
        <v>#NAME?</v>
      </c>
      <c r="J14" s="110" t="e" cm="1">
        <f t="array" aca="1" ref="J14" ca="1">_xll.EQNXTDZ($A$1,$B14,J$1)</f>
        <v>#NAME?</v>
      </c>
      <c r="K14" s="110" t="e" cm="1">
        <f t="array" aca="1" ref="K14" ca="1">_xll.EQNXTDZ($A$1,$B14,K$1)</f>
        <v>#NAME?</v>
      </c>
      <c r="L14" s="110" t="e" cm="1">
        <f t="array" aca="1" ref="L14" ca="1">_xll.EQNXTDZ($A$1,$B14,L$1)</f>
        <v>#NAME?</v>
      </c>
      <c r="M14" s="110" t="e" cm="1">
        <f t="array" aca="1" ref="M14" ca="1">_xll.EQNXTDZ($A$1,$B14,M$1)</f>
        <v>#NAME?</v>
      </c>
      <c r="N14" s="110" t="e" cm="1">
        <f t="array" aca="1" ref="N14" ca="1">_xll.EQNXTDZ($A$1,$B14,N$1)</f>
        <v>#NAME?</v>
      </c>
      <c r="O14" s="110" t="e" cm="1">
        <f t="array" aca="1" ref="O14" ca="1">_xll.EQNXTDZ($A$1,$B14,O$1)</f>
        <v>#NAME?</v>
      </c>
      <c r="P14" s="110" t="e" cm="1">
        <f t="array" aca="1" ref="P14" ca="1">_xll.EQNXTDZ($A$1,$B14,P$1)</f>
        <v>#NAME?</v>
      </c>
      <c r="Q14" s="110" t="e" cm="1">
        <f t="array" aca="1" ref="Q14" ca="1">_xll.EQNXTDZ($A$1,$B14,Q$1)</f>
        <v>#NAME?</v>
      </c>
      <c r="R14" s="110" t="e" cm="1">
        <f t="array" aca="1" ref="R14" ca="1">_xll.EQNXTDZ($A$1,$B14,R$1)</f>
        <v>#NAME?</v>
      </c>
      <c r="S14" s="110" t="e" cm="1">
        <f t="array" aca="1" ref="S14" ca="1">_xll.EQNXTDZ($A$1,$B14,S$1)</f>
        <v>#NAME?</v>
      </c>
      <c r="T14" s="110" t="e" cm="1">
        <f t="array" aca="1" ref="T14" ca="1">_xll.EQNXTDZ($A$1,$B14,T$1)</f>
        <v>#NAME?</v>
      </c>
      <c r="U14" s="110" t="e" cm="1">
        <f t="array" aca="1" ref="U14" ca="1">_xll.EQNXTDZ($A$1,$B14,U$1)</f>
        <v>#NAME?</v>
      </c>
      <c r="V14" s="110" t="e" cm="1">
        <f t="array" aca="1" ref="V14" ca="1">_xll.EQNXTDZ($A$1,$B14,V$1)</f>
        <v>#NAME?</v>
      </c>
      <c r="W14" s="110" t="e" cm="1">
        <f t="array" aca="1" ref="W14" ca="1">_xll.EQNXTDZ($A$1,$B14,W$1)</f>
        <v>#NAME?</v>
      </c>
      <c r="X14" s="110" t="e" cm="1">
        <f t="array" aca="1" ref="X14" ca="1">_xll.EQNXTDZ($A$1,$B14,X$1)</f>
        <v>#NAME?</v>
      </c>
      <c r="Y14" s="110" t="e" cm="1">
        <f t="array" aca="1" ref="Y14" ca="1">_xll.EQNXTDZ($A$1,$B14,Y$1)</f>
        <v>#NAME?</v>
      </c>
      <c r="Z14" s="110" t="e" cm="1">
        <f t="array" aca="1" ref="Z14" ca="1">_xll.EQNXTDZ($A$1,$B14,Z$1)</f>
        <v>#NAME?</v>
      </c>
      <c r="AA14" s="110" t="e" cm="1">
        <f t="array" aca="1" ref="AA14" ca="1">_xll.EQNXTDZ($A$1,$B14,AA$1)</f>
        <v>#NAME?</v>
      </c>
      <c r="AB14" s="110" t="e" cm="1">
        <f t="array" aca="1" ref="AB14" ca="1">_xll.EQNXTDZ($A$1,$B14,AB$1)</f>
        <v>#NAME?</v>
      </c>
      <c r="AC14" s="110" t="e" cm="1">
        <f t="array" aca="1" ref="AC14" ca="1">_xll.EQNXTDZ($A$1,$B14,AC$1)</f>
        <v>#NAME?</v>
      </c>
      <c r="AD14" s="110" t="e" cm="1">
        <f t="array" aca="1" ref="AD14" ca="1">_xll.EQNXTDZ($A$1,$B14,AD$1)</f>
        <v>#NAME?</v>
      </c>
      <c r="AE14" s="110" t="e" cm="1">
        <f t="array" aca="1" ref="AE14" ca="1">_xll.EQNXTDZ($A$1,$B14,AE$1)</f>
        <v>#NAME?</v>
      </c>
      <c r="AF14" s="110" t="e" cm="1">
        <f t="array" aca="1" ref="AF14" ca="1">_xll.EQNXTDZ($A$1,$B14,AF$1)</f>
        <v>#NAME?</v>
      </c>
      <c r="AG14" s="110" t="e" cm="1">
        <f t="array" aca="1" ref="AG14" ca="1">_xll.EQNXTDZ($A$1,$B14,AG$1)</f>
        <v>#NAME?</v>
      </c>
      <c r="AH14" s="110" t="e" cm="1">
        <f t="array" aca="1" ref="AH14" ca="1">_xll.EQNXTDZ($A$1,$B14,AH$1)</f>
        <v>#NAME?</v>
      </c>
      <c r="AI14" s="110" t="e" cm="1">
        <f t="array" aca="1" ref="AI14" ca="1">_xll.EQNXTDZ($A$1,$B14,AI$1)</f>
        <v>#NAME?</v>
      </c>
      <c r="AJ14" s="110" t="e" cm="1">
        <f t="array" aca="1" ref="AJ14" ca="1">_xll.EQNXTDZ($A$1,$B14,AJ$1)</f>
        <v>#NAME?</v>
      </c>
      <c r="AK14" s="110" t="e" cm="1">
        <f t="array" aca="1" ref="AK14" ca="1">_xll.EQNXTDZ($A$1,$B14,AK$1)</f>
        <v>#NAME?</v>
      </c>
      <c r="AL14" s="110" t="e" cm="1">
        <f t="array" aca="1" ref="AL14" ca="1">_xll.EQNXTDZ($A$1,$B14,AL$1)</f>
        <v>#NAME?</v>
      </c>
      <c r="AM14" s="110" t="e" cm="1">
        <f t="array" aca="1" ref="AM14" ca="1">_xll.EQNXTDZ($A$1,$B14,AM$1)</f>
        <v>#NAME?</v>
      </c>
      <c r="AN14" s="110" t="e" cm="1">
        <f t="array" aca="1" ref="AN14" ca="1">_xll.EQNXTDZ($A$1,$B14,AN$1)</f>
        <v>#NAME?</v>
      </c>
      <c r="AO14" s="110" t="e" cm="1">
        <f t="array" aca="1" ref="AO14" ca="1">_xll.EQNXTDZ($A$1,$B14,AO$1)</f>
        <v>#NAME?</v>
      </c>
      <c r="AP14" s="110" t="e" cm="1">
        <f t="array" aca="1" ref="AP14" ca="1">_xll.EQNXTDZ($A$1,$B14,AP$1)</f>
        <v>#NAME?</v>
      </c>
      <c r="AQ14" s="110" t="e" cm="1">
        <f t="array" aca="1" ref="AQ14" ca="1">_xll.EQNXTDZ($A$1,$B14,AQ$1)</f>
        <v>#NAME?</v>
      </c>
      <c r="AR14" s="110" t="e" cm="1">
        <f t="array" aca="1" ref="AR14" ca="1">_xll.EQNXTDZ($A$1,$B14,AR$1)</f>
        <v>#NAME?</v>
      </c>
      <c r="AS14" s="110" t="e" cm="1">
        <f t="array" aca="1" ref="AS14" ca="1">_xll.EQNXTDZ($A$1,$B14,AS$1)</f>
        <v>#NAME?</v>
      </c>
      <c r="AT14" s="110" t="e" cm="1">
        <f t="array" aca="1" ref="AT14" ca="1">_xll.EQNXTDZ($A$1,$B14,AT$1)</f>
        <v>#NAME?</v>
      </c>
      <c r="AU14" s="110" t="e" cm="1">
        <f t="array" aca="1" ref="AU14" ca="1">_xll.EQNXTDZ($A$1,$B14,AU$1)</f>
        <v>#NAME?</v>
      </c>
      <c r="AV14" s="110" t="e" cm="1">
        <f t="array" aca="1" ref="AV14" ca="1">_xll.EQNXTDZ($A$1,$B14,AV$1)</f>
        <v>#NAME?</v>
      </c>
      <c r="AW14" s="110" t="e" cm="1">
        <f t="array" aca="1" ref="AW14" ca="1">_xll.EQNXTDZ($A$1,$B14,AW$1)</f>
        <v>#NAME?</v>
      </c>
      <c r="AX14" s="110" t="e" cm="1">
        <f t="array" aca="1" ref="AX14" ca="1">_xll.EQNXTDZ($A$1,$B14,AX$1)</f>
        <v>#NAME?</v>
      </c>
      <c r="AY14" s="110" t="e" cm="1">
        <f t="array" aca="1" ref="AY14" ca="1">_xll.EQNXTDZ($A$1,$B14,AY$1)</f>
        <v>#NAME?</v>
      </c>
      <c r="AZ14" s="110" t="e" cm="1">
        <f t="array" aca="1" ref="AZ14" ca="1">_xll.EQNXTDZ($A$1,$B14,AZ$1)</f>
        <v>#NAME?</v>
      </c>
      <c r="BA14" s="110" t="e" cm="1">
        <f t="array" aca="1" ref="BA14" ca="1">_xll.EQNXTDZ($A$1,$B14,BA$1)</f>
        <v>#NAME?</v>
      </c>
      <c r="BB14" s="110" t="e" cm="1">
        <f t="array" aca="1" ref="BB14" ca="1">_xll.EQNXTDZ($A$1,$B14,BB$1)</f>
        <v>#NAME?</v>
      </c>
      <c r="BC14" s="110" t="e" cm="1">
        <f t="array" aca="1" ref="BC14" ca="1">_xll.EQNXTDZ($A$1,$B14,BC$1)</f>
        <v>#NAME?</v>
      </c>
      <c r="BD14" s="110" t="e" cm="1">
        <f t="array" aca="1" ref="BD14" ca="1">_xll.EQNXTDZ($A$1,$B14,BD$1)</f>
        <v>#NAME?</v>
      </c>
      <c r="BE14" s="110" t="e" cm="1">
        <f t="array" aca="1" ref="BE14" ca="1">_xll.EQNXTDZ($A$1,$B14,BE$1)</f>
        <v>#NAME?</v>
      </c>
      <c r="BF14" s="110" t="e" cm="1">
        <f t="array" aca="1" ref="BF14" ca="1">_xll.EQNXTDZ($A$1,$B14,BF$1)</f>
        <v>#NAME?</v>
      </c>
      <c r="BG14" s="110" t="e" cm="1">
        <f t="array" aca="1" ref="BG14" ca="1">_xll.EQNXTDZ($A$1,$B14,BG$1)</f>
        <v>#NAME?</v>
      </c>
      <c r="BH14" s="110" t="e" cm="1">
        <f t="array" aca="1" ref="BH14" ca="1">_xll.EQNXTDZ($A$1,$B14,BH$1)</f>
        <v>#NAME?</v>
      </c>
      <c r="BI14" s="110" t="e" cm="1">
        <f t="array" aca="1" ref="BI14" ca="1">_xll.EQNXTDZ($A$1,$B14,BI$1)</f>
        <v>#NAME?</v>
      </c>
      <c r="BJ14" s="110" t="e" cm="1">
        <f t="array" aca="1" ref="BJ14" ca="1">_xll.EQNXTDZ($A$1,$B14,BJ$1)</f>
        <v>#NAME?</v>
      </c>
      <c r="BK14" s="110" t="e" cm="1">
        <f t="array" aca="1" ref="BK14" ca="1">_xll.EQNXTDZ($A$1,$B14,BK$1)</f>
        <v>#NAME?</v>
      </c>
      <c r="BL14" s="110" t="e" cm="1">
        <f t="array" aca="1" ref="BL14" ca="1">_xll.EQNXTDZ($A$1,$B14,BL$1)</f>
        <v>#NAME?</v>
      </c>
      <c r="BM14" s="110" t="e" cm="1">
        <f t="array" aca="1" ref="BM14" ca="1">_xll.EQNXTDZ($A$1,$B14,BM$1)</f>
        <v>#NAME?</v>
      </c>
      <c r="BN14" s="110" t="e" cm="1">
        <f t="array" aca="1" ref="BN14" ca="1">_xll.EQNXTDZ($A$1,$B14,BN$1)</f>
        <v>#NAME?</v>
      </c>
      <c r="BO14" s="110" t="e" cm="1">
        <f t="array" aca="1" ref="BO14" ca="1">_xll.EQNXTDZ($A$1,$B14,BO$1)</f>
        <v>#NAME?</v>
      </c>
      <c r="BP14" s="110" t="e" cm="1">
        <f t="array" aca="1" ref="BP14" ca="1">_xll.EQNXTDZ($A$1,$B14,BP$1)</f>
        <v>#NAME?</v>
      </c>
      <c r="BQ14" s="110" t="e" cm="1">
        <f t="array" aca="1" ref="BQ14" ca="1">_xll.EQNXTDZ($A$1,$B14,BQ$1)</f>
        <v>#NAME?</v>
      </c>
      <c r="BR14" s="110" t="e" cm="1">
        <f t="array" aca="1" ref="BR14" ca="1">_xll.EQNXTDZ($A$1,$B14,BR$1)</f>
        <v>#NAME?</v>
      </c>
      <c r="BS14" s="110" t="e" cm="1">
        <f t="array" aca="1" ref="BS14" ca="1">_xll.EQNXTDZ($A$1,$B14,BS$1)</f>
        <v>#NAME?</v>
      </c>
      <c r="BT14" s="110" t="e" cm="1">
        <f t="array" aca="1" ref="BT14" ca="1">_xll.EQNXTDZ($A$1,$B14,BT$1)</f>
        <v>#NAME?</v>
      </c>
      <c r="BU14" s="110" t="e" cm="1">
        <f t="array" aca="1" ref="BU14" ca="1">_xll.EQNXTDZ($A$1,$B14,BU$1)</f>
        <v>#NAME?</v>
      </c>
      <c r="BV14" s="110" t="e" cm="1">
        <f t="array" aca="1" ref="BV14" ca="1">_xll.EQNXTDZ($A$1,$B14,BV$1)</f>
        <v>#NAME?</v>
      </c>
      <c r="BW14" s="110" t="e" cm="1">
        <f t="array" aca="1" ref="BW14" ca="1">_xll.EQNXTDZ($A$1,$B14,BW$1)</f>
        <v>#NAME?</v>
      </c>
      <c r="BX14" s="110" t="e" cm="1">
        <f t="array" aca="1" ref="BX14" ca="1">_xll.EQNXTDZ($A$1,$B14,BX$1)</f>
        <v>#NAME?</v>
      </c>
      <c r="BY14" s="110" t="e" cm="1">
        <f t="array" aca="1" ref="BY14" ca="1">_xll.EQNXTDZ($A$1,$B14,BY$1)</f>
        <v>#NAME?</v>
      </c>
      <c r="BZ14" s="110" t="e" cm="1">
        <f t="array" aca="1" ref="BZ14" ca="1">_xll.EQNXTDZ($A$1,$B14,BZ$1)</f>
        <v>#NAME?</v>
      </c>
      <c r="CA14" s="110" t="e" cm="1">
        <f t="array" aca="1" ref="CA14" ca="1">_xll.EQNXTDZ($A$1,$B14,CA$1)</f>
        <v>#NAME?</v>
      </c>
      <c r="CB14" s="110" t="e" cm="1">
        <f t="array" aca="1" ref="CB14" ca="1">_xll.EQNXTDZ($A$1,$B14,CB$1)</f>
        <v>#NAME?</v>
      </c>
      <c r="CC14" s="110" t="e" cm="1">
        <f t="array" aca="1" ref="CC14" ca="1">_xll.EQNXTDZ($A$1,$B14,CC$1)</f>
        <v>#NAME?</v>
      </c>
      <c r="CD14" s="110" t="e" cm="1">
        <f t="array" aca="1" ref="CD14" ca="1">_xll.EQNXTDZ($A$1,$B14,CD$1)</f>
        <v>#NAME?</v>
      </c>
      <c r="CE14" s="110" t="e" cm="1">
        <f t="array" aca="1" ref="CE14" ca="1">_xll.EQNXTDZ($A$1,$B14,CE$1)</f>
        <v>#NAME?</v>
      </c>
      <c r="CF14" s="110" t="e" cm="1">
        <f t="array" aca="1" ref="CF14" ca="1">_xll.EQNXTDZ($A$1,$B14,CF$1)</f>
        <v>#NAME?</v>
      </c>
      <c r="CG14" s="110" t="e" cm="1">
        <f t="array" aca="1" ref="CG14" ca="1">_xll.EQNXTDZ($A$1,$B14,CG$1)</f>
        <v>#NAME?</v>
      </c>
      <c r="CH14" s="110" t="e" cm="1">
        <f t="array" aca="1" ref="CH14" ca="1">_xll.EQNXTDZ($A$1,$B14,CH$1)</f>
        <v>#NAME?</v>
      </c>
      <c r="CI14" s="110" t="e" cm="1">
        <f t="array" aca="1" ref="CI14" ca="1">_xll.EQNXTDZ($A$1,$B14,CI$1)</f>
        <v>#NAME?</v>
      </c>
      <c r="CJ14" s="110" t="e" cm="1">
        <f t="array" aca="1" ref="CJ14" ca="1">_xll.EQNXTDZ($A$1,$B14,CJ$1)</f>
        <v>#NAME?</v>
      </c>
      <c r="CK14" s="110" t="e" cm="1">
        <f t="array" aca="1" ref="CK14" ca="1">_xll.EQNXTDZ($A$1,$B14,CK$1)</f>
        <v>#NAME?</v>
      </c>
      <c r="CL14" s="110" t="e" cm="1">
        <f t="array" aca="1" ref="CL14" ca="1">_xll.EQNXTDZ($A$1,$B14,CL$1)</f>
        <v>#NAME?</v>
      </c>
      <c r="CM14" s="110" t="e" cm="1">
        <f t="array" aca="1" ref="CM14" ca="1">_xll.EQNXTDZ($A$1,$B14,CM$1)</f>
        <v>#NAME?</v>
      </c>
      <c r="CN14" s="110" t="e" cm="1">
        <f t="array" aca="1" ref="CN14" ca="1">_xll.EQNXTDZ($A$1,$B14,CN$1)</f>
        <v>#NAME?</v>
      </c>
      <c r="CO14" s="110" t="e" cm="1">
        <f t="array" aca="1" ref="CO14" ca="1">_xll.EQNXTDZ($A$1,$B14,CO$1)</f>
        <v>#NAME?</v>
      </c>
      <c r="CP14" s="110" t="e" cm="1">
        <f t="array" aca="1" ref="CP14" ca="1">_xll.EQNXTDZ($A$1,$B14,CP$1)</f>
        <v>#NAME?</v>
      </c>
      <c r="CQ14" s="110" t="e" cm="1">
        <f t="array" aca="1" ref="CQ14" ca="1">_xll.EQNXTDZ($A$1,$B14,CQ$1)</f>
        <v>#NAME?</v>
      </c>
      <c r="CR14" s="110" t="e" cm="1">
        <f t="array" aca="1" ref="CR14" ca="1">_xll.EQNXTDZ($A$1,$B14,CR$1)</f>
        <v>#NAME?</v>
      </c>
      <c r="CS14" s="110" t="e" cm="1">
        <f t="array" aca="1" ref="CS14" ca="1">_xll.EQNXTDZ($A$1,$B14,CS$1)</f>
        <v>#NAME?</v>
      </c>
      <c r="CT14" s="110" t="e" cm="1">
        <f t="array" aca="1" ref="CT14" ca="1">_xll.EQNXTDZ($A$1,$B14,CT$1)</f>
        <v>#NAME?</v>
      </c>
      <c r="CU14" s="110" t="e" cm="1">
        <f t="array" aca="1" ref="CU14" ca="1">_xll.EQNXTDZ($A$1,$B14,CU$1)</f>
        <v>#NAME?</v>
      </c>
      <c r="CV14" s="110" t="e" cm="1">
        <f t="array" aca="1" ref="CV14" ca="1">_xll.EQNXTDZ($A$1,$B14,CV$1)</f>
        <v>#NAME?</v>
      </c>
      <c r="CW14" s="110" t="e" cm="1">
        <f t="array" aca="1" ref="CW14" ca="1">_xll.EQNXTDZ($A$1,$B14,CW$1)</f>
        <v>#NAME?</v>
      </c>
      <c r="CX14" s="110" t="e" cm="1">
        <f t="array" aca="1" ref="CX14" ca="1">_xll.EQNXTDZ($A$1,$B14,CX$1)</f>
        <v>#NAME?</v>
      </c>
      <c r="CY14" s="110" t="e" cm="1">
        <f t="array" aca="1" ref="CY14" ca="1">_xll.EQNXTDZ($A$1,$B14,CY$1)</f>
        <v>#NAME?</v>
      </c>
      <c r="CZ14" s="110" t="e" cm="1">
        <f t="array" aca="1" ref="CZ14" ca="1">_xll.EQNXTDZ($A$1,$B14,CZ$1)</f>
        <v>#NAME?</v>
      </c>
      <c r="DA14" s="110" t="e" cm="1">
        <f t="array" aca="1" ref="DA14" ca="1">_xll.EQNXTDZ($A$1,$B14,DA$1)</f>
        <v>#NAME?</v>
      </c>
      <c r="DB14" s="110" t="e" cm="1">
        <f t="array" aca="1" ref="DB14" ca="1">_xll.EQNXTDZ($A$1,$B14,DB$1)</f>
        <v>#NAME?</v>
      </c>
      <c r="DC14" s="110" t="e" cm="1">
        <f t="array" aca="1" ref="DC14" ca="1">_xll.EQNXTDZ($A$1,$B14,DC$1)</f>
        <v>#NAME?</v>
      </c>
      <c r="DD14" s="110" t="e" cm="1">
        <f t="array" aca="1" ref="DD14" ca="1">_xll.EQNXTDZ($A$1,$B14,DD$1)</f>
        <v>#NAME?</v>
      </c>
      <c r="DE14" s="110" t="e" cm="1">
        <f t="array" aca="1" ref="DE14" ca="1">_xll.EQNXTDZ($A$1,$B14,DE$1)</f>
        <v>#NAME?</v>
      </c>
      <c r="DF14" s="110" t="e" cm="1">
        <f t="array" aca="1" ref="DF14" ca="1">_xll.EQNXTDZ($A$1,$B14,DF$1)</f>
        <v>#NAME?</v>
      </c>
      <c r="DG14" s="110" t="e" cm="1">
        <f t="array" aca="1" ref="DG14" ca="1">_xll.EQNXTDZ($A$1,$B14,DG$1)</f>
        <v>#NAME?</v>
      </c>
      <c r="DH14" s="110" t="e" cm="1">
        <f t="array" aca="1" ref="DH14" ca="1">_xll.EQNXTDZ($A$1,$B14,DH$1)</f>
        <v>#NAME?</v>
      </c>
      <c r="DI14" s="110" t="e" cm="1">
        <f t="array" aca="1" ref="DI14" ca="1">_xll.EQNXTDZ($A$1,$B14,DI$1)</f>
        <v>#NAME?</v>
      </c>
      <c r="DJ14" s="110" t="e" cm="1">
        <f t="array" aca="1" ref="DJ14" ca="1">_xll.EQNXTDZ($A$1,$B14,DJ$1)</f>
        <v>#NAME?</v>
      </c>
      <c r="DK14" s="110" t="e" cm="1">
        <f t="array" aca="1" ref="DK14" ca="1">_xll.EQNXTDZ($A$1,$B14,DK$1)</f>
        <v>#NAME?</v>
      </c>
      <c r="DL14" s="110" t="e" cm="1">
        <f t="array" aca="1" ref="DL14" ca="1">_xll.EQNXTDZ($A$1,$B14,DL$1)</f>
        <v>#NAME?</v>
      </c>
      <c r="DM14" s="110" t="e" cm="1">
        <f t="array" aca="1" ref="DM14" ca="1">_xll.EQNXTDZ($A$1,$B14,DM$1)</f>
        <v>#NAME?</v>
      </c>
      <c r="DN14" s="110" t="e" cm="1">
        <f t="array" aca="1" ref="DN14" ca="1">_xll.EQNXTDZ($A$1,$B14,DN$1)</f>
        <v>#NAME?</v>
      </c>
      <c r="DO14" s="110" t="e" cm="1">
        <f t="array" aca="1" ref="DO14" ca="1">_xll.EQNXTDZ($A$1,$B14,DO$1)</f>
        <v>#NAME?</v>
      </c>
      <c r="DP14" s="110" t="e" cm="1">
        <f t="array" aca="1" ref="DP14" ca="1">_xll.EQNXTDZ($A$1,$B14,DP$1)</f>
        <v>#NAME?</v>
      </c>
      <c r="DQ14" s="110" t="e" cm="1">
        <f t="array" aca="1" ref="DQ14" ca="1">_xll.EQNXTDZ($A$1,$B14,DQ$1)</f>
        <v>#NAME?</v>
      </c>
      <c r="DR14" s="110" t="e" cm="1">
        <f t="array" aca="1" ref="DR14" ca="1">_xll.EQNXTDZ($A$1,$B14,DR$1)</f>
        <v>#NAME?</v>
      </c>
      <c r="DS14" s="110" t="e" cm="1">
        <f t="array" aca="1" ref="DS14" ca="1">_xll.EQNXTDZ($A$1,$B14,DS$1)</f>
        <v>#NAME?</v>
      </c>
      <c r="DT14" s="110" t="e" cm="1">
        <f t="array" aca="1" ref="DT14" ca="1">_xll.EQNXTDZ($A$1,$B14,DT$1)</f>
        <v>#NAME?</v>
      </c>
      <c r="DU14" s="110" t="e" cm="1">
        <f t="array" aca="1" ref="DU14" ca="1">_xll.EQNXTDZ($A$1,$B14,DU$1)</f>
        <v>#NAME?</v>
      </c>
      <c r="DV14" s="110" t="e" cm="1">
        <f t="array" aca="1" ref="DV14" ca="1">_xll.EQNXTDZ($A$1,$B14,DV$1)</f>
        <v>#NAME?</v>
      </c>
      <c r="DW14" s="110" t="e" cm="1">
        <f t="array" aca="1" ref="DW14" ca="1">_xll.EQNXTDZ($A$1,$B14,DW$1)</f>
        <v>#NAME?</v>
      </c>
      <c r="DX14" s="110" t="e" cm="1">
        <f t="array" aca="1" ref="DX14" ca="1">_xll.EQNXTDZ($A$1,$B14,DX$1)</f>
        <v>#NAME?</v>
      </c>
      <c r="DY14" s="110" t="e" cm="1">
        <f t="array" aca="1" ref="DY14" ca="1">_xll.EQNXTDZ($A$1,$B14,DY$1)</f>
        <v>#NAME?</v>
      </c>
      <c r="DZ14" s="110" t="e" cm="1">
        <f t="array" aca="1" ref="DZ14" ca="1">_xll.EQNXTDZ($A$1,$B14,DZ$1)</f>
        <v>#NAME?</v>
      </c>
      <c r="EA14" s="110" t="e" cm="1">
        <f t="array" aca="1" ref="EA14" ca="1">_xll.EQNXTDZ($A$1,$B14,EA$1)</f>
        <v>#NAME?</v>
      </c>
      <c r="EB14" s="110" t="e" cm="1">
        <f t="array" aca="1" ref="EB14" ca="1">_xll.EQNXTDZ($A$1,$B14,EB$1)</f>
        <v>#NAME?</v>
      </c>
      <c r="EC14" s="110" t="e" cm="1">
        <f t="array" aca="1" ref="EC14" ca="1">_xll.EQNXTDZ($A$1,$B14,EC$1)</f>
        <v>#NAME?</v>
      </c>
      <c r="ED14" s="110" t="e" cm="1">
        <f t="array" aca="1" ref="ED14" ca="1">_xll.EQNXTDZ($A$1,$B14,ED$1)</f>
        <v>#NAME?</v>
      </c>
      <c r="EE14" s="110" t="e" cm="1">
        <f t="array" aca="1" ref="EE14" ca="1">_xll.EQNXTDZ($A$1,$B14,EE$1)</f>
        <v>#NAME?</v>
      </c>
      <c r="EF14" s="110" t="e" cm="1">
        <f t="array" aca="1" ref="EF14" ca="1">_xll.EQNXTDZ($A$1,$B14,EF$1)</f>
        <v>#NAME?</v>
      </c>
      <c r="EG14" s="110" t="e" cm="1">
        <f t="array" aca="1" ref="EG14" ca="1">_xll.EQNXTDZ($A$1,$B14,EG$1)</f>
        <v>#NAME?</v>
      </c>
      <c r="EH14" s="110" t="e" cm="1">
        <f t="array" aca="1" ref="EH14" ca="1">_xll.EQNXTDZ($A$1,$B14,EH$1)</f>
        <v>#NAME?</v>
      </c>
      <c r="EI14" s="110" t="e" cm="1">
        <f t="array" aca="1" ref="EI14" ca="1">_xll.EQNXTDZ($A$1,$B14,EI$1)</f>
        <v>#NAME?</v>
      </c>
      <c r="EJ14" s="110" t="e" cm="1">
        <f t="array" aca="1" ref="EJ14" ca="1">_xll.EQNXTDZ($A$1,$B14,EJ$1)</f>
        <v>#NAME?</v>
      </c>
      <c r="EK14" s="110" t="e" cm="1">
        <f t="array" aca="1" ref="EK14" ca="1">_xll.EQNXTDZ($A$1,$B14,EK$1)</f>
        <v>#NAME?</v>
      </c>
      <c r="EL14" s="110" t="e" cm="1">
        <f t="array" aca="1" ref="EL14" ca="1">_xll.EQNXTDZ($A$1,$B14,EL$1)</f>
        <v>#NAME?</v>
      </c>
      <c r="EM14" s="110" t="e" cm="1">
        <f t="array" aca="1" ref="EM14" ca="1">_xll.EQNXTDZ($A$1,$B14,EM$1)</f>
        <v>#NAME?</v>
      </c>
      <c r="EN14" s="110" t="e" cm="1">
        <f t="array" aca="1" ref="EN14" ca="1">_xll.EQNXTDZ($A$1,$B14,EN$1)</f>
        <v>#NAME?</v>
      </c>
      <c r="EO14" s="110" t="e" cm="1">
        <f t="array" aca="1" ref="EO14" ca="1">_xll.EQNXTDZ($A$1,$B14,EO$1)</f>
        <v>#NAME?</v>
      </c>
      <c r="EP14" s="110" t="e" cm="1">
        <f t="array" aca="1" ref="EP14" ca="1">_xll.EQNXTDZ($A$1,$B14,EP$1)</f>
        <v>#NAME?</v>
      </c>
      <c r="EQ14" s="110" t="e" cm="1">
        <f t="array" aca="1" ref="EQ14" ca="1">_xll.EQNXTDZ($A$1,$B14,EQ$1)</f>
        <v>#NAME?</v>
      </c>
      <c r="ER14" s="110" t="e" cm="1">
        <f t="array" aca="1" ref="ER14" ca="1">_xll.EQNXTDZ($A$1,$B14,ER$1)</f>
        <v>#NAME?</v>
      </c>
      <c r="ES14" s="110" t="e" cm="1">
        <f t="array" aca="1" ref="ES14" ca="1">_xll.EQNXTDZ($A$1,$B14,ES$1)</f>
        <v>#NAME?</v>
      </c>
      <c r="ET14" s="110" t="e" cm="1">
        <f t="array" aca="1" ref="ET14" ca="1">_xll.EQNXTDZ($A$1,$B14,ET$1)</f>
        <v>#NAME?</v>
      </c>
      <c r="EU14" s="110" t="e" cm="1">
        <f t="array" aca="1" ref="EU14" ca="1">_xll.EQNXTDZ($A$1,$B14,EU$1)</f>
        <v>#NAME?</v>
      </c>
      <c r="EV14" s="110" t="e" cm="1">
        <f t="array" aca="1" ref="EV14" ca="1">_xll.EQNXTDZ($A$1,$B14,EV$1)</f>
        <v>#NAME?</v>
      </c>
      <c r="EW14" s="110" t="e" cm="1">
        <f t="array" aca="1" ref="EW14" ca="1">_xll.EQNXTDZ($A$1,$B14,EW$1)</f>
        <v>#NAME?</v>
      </c>
      <c r="EX14" s="110" t="e" cm="1">
        <f t="array" aca="1" ref="EX14" ca="1">_xll.EQNXTDZ($A$1,$B14,EX$1)</f>
        <v>#NAME?</v>
      </c>
      <c r="EY14" s="110" t="e" cm="1">
        <f t="array" aca="1" ref="EY14" ca="1">_xll.EQNXTDZ($A$1,$B14,EY$1)</f>
        <v>#NAME?</v>
      </c>
      <c r="EZ14" s="110" t="e" cm="1">
        <f t="array" aca="1" ref="EZ14" ca="1">_xll.EQNXTDZ($A$1,$B14,EZ$1)</f>
        <v>#NAME?</v>
      </c>
      <c r="FA14" s="110" t="e" cm="1">
        <f t="array" aca="1" ref="FA14" ca="1">_xll.EQNXTDZ($A$1,$B14,FA$1)</f>
        <v>#NAME?</v>
      </c>
      <c r="FB14" s="110" t="e" cm="1">
        <f t="array" aca="1" ref="FB14" ca="1">_xll.EQNXTDZ($A$1,$B14,FB$1)</f>
        <v>#NAME?</v>
      </c>
      <c r="FC14" s="110" t="e" cm="1">
        <f t="array" aca="1" ref="FC14" ca="1">_xll.EQNXTDZ($A$1,$B14,FC$1)</f>
        <v>#NAME?</v>
      </c>
      <c r="FD14" s="110" t="e" cm="1">
        <f t="array" aca="1" ref="FD14" ca="1">_xll.EQNXTDZ($A$1,$B14,FD$1)</f>
        <v>#NAME?</v>
      </c>
      <c r="FE14" s="110" t="e" cm="1">
        <f t="array" aca="1" ref="FE14" ca="1">_xll.EQNXTDZ($A$1,$B14,FE$1)</f>
        <v>#NAME?</v>
      </c>
      <c r="FF14" s="110" t="e" cm="1">
        <f t="array" aca="1" ref="FF14" ca="1">_xll.EQNXTDZ($A$1,$B14,FF$1)</f>
        <v>#NAME?</v>
      </c>
      <c r="FG14" s="110" t="e" cm="1">
        <f t="array" aca="1" ref="FG14" ca="1">_xll.EQNXTDZ($A$1,$B14,FG$1)</f>
        <v>#NAME?</v>
      </c>
      <c r="FH14" s="110" t="e" cm="1">
        <f t="array" aca="1" ref="FH14" ca="1">_xll.EQNXTDZ($A$1,$B14,FH$1)</f>
        <v>#NAME?</v>
      </c>
      <c r="FI14" s="110" t="e" cm="1">
        <f t="array" aca="1" ref="FI14" ca="1">_xll.EQNXTDZ($A$1,$B14,FI$1)</f>
        <v>#NAME?</v>
      </c>
      <c r="FJ14" s="110" t="e" cm="1">
        <f t="array" aca="1" ref="FJ14" ca="1">_xll.EQNXTDZ($A$1,$B14,FJ$1)</f>
        <v>#NAME?</v>
      </c>
      <c r="FK14" s="110" t="e" cm="1">
        <f t="array" aca="1" ref="FK14" ca="1">_xll.EQNXTDZ($A$1,$B14,FK$1)</f>
        <v>#NAME?</v>
      </c>
      <c r="FL14" s="110" t="e" cm="1">
        <f t="array" aca="1" ref="FL14" ca="1">_xll.EQNXTDZ($A$1,$B14,FL$1)</f>
        <v>#NAME?</v>
      </c>
      <c r="FM14" s="110" t="e" cm="1">
        <f t="array" aca="1" ref="FM14" ca="1">_xll.EQNXTDZ($A$1,$B14,FM$1)</f>
        <v>#NAME?</v>
      </c>
      <c r="FN14" s="110" t="e" cm="1">
        <f t="array" aca="1" ref="FN14" ca="1">_xll.EQNXTDZ($A$1,$B14,FN$1)</f>
        <v>#NAME?</v>
      </c>
      <c r="FO14" s="110" t="e" cm="1">
        <f t="array" aca="1" ref="FO14" ca="1">_xll.EQNXTDZ($A$1,$B14,FO$1)</f>
        <v>#NAME?</v>
      </c>
      <c r="FP14" s="110" t="e" cm="1">
        <f t="array" aca="1" ref="FP14" ca="1">_xll.EQNXTDZ($A$1,$B14,FP$1)</f>
        <v>#NAME?</v>
      </c>
      <c r="FQ14" s="110" t="e" cm="1">
        <f t="array" aca="1" ref="FQ14" ca="1">_xll.EQNXTDZ($A$1,$B14,FQ$1)</f>
        <v>#NAME?</v>
      </c>
      <c r="FR14" s="110" t="e" cm="1">
        <f t="array" aca="1" ref="FR14" ca="1">_xll.EQNXTDZ($A$1,$B14,FR$1)</f>
        <v>#NAME?</v>
      </c>
      <c r="FS14" s="110" t="e" cm="1">
        <f t="array" aca="1" ref="FS14" ca="1">_xll.EQNXTDZ($A$1,$B14,FS$1)</f>
        <v>#NAME?</v>
      </c>
      <c r="FT14" s="110" t="e" cm="1">
        <f t="array" aca="1" ref="FT14" ca="1">_xll.EQNXTDZ($A$1,$B14,FT$1)</f>
        <v>#NAME?</v>
      </c>
      <c r="FU14" s="110" t="e" cm="1">
        <f t="array" aca="1" ref="FU14" ca="1">_xll.EQNXTDZ($A$1,$B14,FU$1)</f>
        <v>#NAME?</v>
      </c>
      <c r="FV14" s="110" t="e" cm="1">
        <f t="array" aca="1" ref="FV14" ca="1">_xll.EQNXTDZ($A$1,$B14,FV$1)</f>
        <v>#NAME?</v>
      </c>
      <c r="FW14" s="110" t="e" cm="1">
        <f t="array" aca="1" ref="FW14" ca="1">_xll.EQNXTDZ($A$1,$B14,FW$1)</f>
        <v>#NAME?</v>
      </c>
      <c r="FX14" s="110" t="e" cm="1">
        <f t="array" aca="1" ref="FX14" ca="1">_xll.EQNXTDZ($A$1,$B14,FX$1)</f>
        <v>#NAME?</v>
      </c>
      <c r="FY14" s="110" t="e" cm="1">
        <f t="array" aca="1" ref="FY14" ca="1">_xll.EQNXTDZ($A$1,$B14,FY$1)</f>
        <v>#NAME?</v>
      </c>
      <c r="FZ14" s="110" t="e" cm="1">
        <f t="array" aca="1" ref="FZ14" ca="1">_xll.EQNXTDZ($A$1,$B14,FZ$1)</f>
        <v>#NAME?</v>
      </c>
      <c r="GA14" s="110" t="e" cm="1">
        <f t="array" aca="1" ref="GA14" ca="1">_xll.EQNXTDZ($A$1,$B14,GA$1)</f>
        <v>#NAME?</v>
      </c>
      <c r="GB14" s="110" t="e" cm="1">
        <f t="array" aca="1" ref="GB14" ca="1">_xll.EQNXTDZ($A$1,$B14,GB$1)</f>
        <v>#NAME?</v>
      </c>
      <c r="GC14" s="110" t="e" cm="1">
        <f t="array" aca="1" ref="GC14" ca="1">_xll.EQNXTDZ($A$1,$B14,GC$1)</f>
        <v>#NAME?</v>
      </c>
      <c r="GD14" s="110" t="e" cm="1">
        <f t="array" aca="1" ref="GD14" ca="1">_xll.EQNXTDZ($A$1,$B14,GD$1)</f>
        <v>#NAME?</v>
      </c>
      <c r="GE14" s="110" t="e" cm="1">
        <f t="array" aca="1" ref="GE14" ca="1">_xll.EQNXTDZ($A$1,$B14,GE$1)</f>
        <v>#NAME?</v>
      </c>
      <c r="GF14" s="110" t="e" cm="1">
        <f t="array" aca="1" ref="GF14" ca="1">_xll.EQNXTDZ($A$1,$B14,GF$1)</f>
        <v>#NAME?</v>
      </c>
      <c r="GG14" s="110" t="e" cm="1">
        <f t="array" aca="1" ref="GG14" ca="1">_xll.EQNXTDZ($A$1,$B14,GG$1)</f>
        <v>#NAME?</v>
      </c>
      <c r="GH14" s="110" t="e" cm="1">
        <f t="array" aca="1" ref="GH14" ca="1">_xll.EQNXTDZ($A$1,$B14,GH$1)</f>
        <v>#NAME?</v>
      </c>
      <c r="GI14" s="110" t="e" cm="1">
        <f t="array" aca="1" ref="GI14" ca="1">_xll.EQNXTDZ($A$1,$B14,GI$1)</f>
        <v>#NAME?</v>
      </c>
      <c r="GJ14" s="110" t="e" cm="1">
        <f t="array" aca="1" ref="GJ14" ca="1">_xll.EQNXTDZ($A$1,$B14,GJ$1)</f>
        <v>#NAME?</v>
      </c>
      <c r="GK14" s="110" t="e" cm="1">
        <f t="array" aca="1" ref="GK14" ca="1">_xll.EQNXTDZ($A$1,$B14,GK$1)</f>
        <v>#NAME?</v>
      </c>
      <c r="GL14" s="110" t="e" cm="1">
        <f t="array" aca="1" ref="GL14" ca="1">_xll.EQNXTDZ($A$1,$B14,GL$1)</f>
        <v>#NAME?</v>
      </c>
      <c r="GM14" s="110" t="e" cm="1">
        <f t="array" aca="1" ref="GM14" ca="1">_xll.EQNXTDZ($A$1,$B14,GM$1)</f>
        <v>#NAME?</v>
      </c>
      <c r="GN14" s="110" t="e" cm="1">
        <f t="array" aca="1" ref="GN14" ca="1">_xll.EQNXTDZ($A$1,$B14,GN$1)</f>
        <v>#NAME?</v>
      </c>
      <c r="GO14" s="110" t="e" cm="1">
        <f t="array" aca="1" ref="GO14" ca="1">_xll.EQNXTDZ($A$1,$B14,GO$1)</f>
        <v>#NAME?</v>
      </c>
      <c r="GP14" s="110" t="e" cm="1">
        <f t="array" aca="1" ref="GP14" ca="1">_xll.EQNXTDZ($A$1,$B14,GP$1)</f>
        <v>#NAME?</v>
      </c>
      <c r="GQ14" s="110" t="e" cm="1">
        <f t="array" aca="1" ref="GQ14" ca="1">_xll.EQNXTDZ($A$1,$B14,GQ$1)</f>
        <v>#NAME?</v>
      </c>
      <c r="GR14" s="110" t="e" cm="1">
        <f t="array" aca="1" ref="GR14" ca="1">_xll.EQNXTDZ($A$1,$B14,GR$1)</f>
        <v>#NAME?</v>
      </c>
      <c r="GS14" s="110" t="e" cm="1">
        <f t="array" aca="1" ref="GS14" ca="1">_xll.EQNXTDZ($A$1,$B14,GS$1)</f>
        <v>#NAME?</v>
      </c>
      <c r="GT14" s="110" t="e" cm="1">
        <f t="array" aca="1" ref="GT14" ca="1">_xll.EQNXTDZ($A$1,$B14,GT$1)</f>
        <v>#NAME?</v>
      </c>
      <c r="GU14" s="110" t="e" cm="1">
        <f t="array" aca="1" ref="GU14" ca="1">_xll.EQNXTDZ($A$1,$B14,GU$1)</f>
        <v>#NAME?</v>
      </c>
      <c r="GV14" s="110" t="e" cm="1">
        <f t="array" aca="1" ref="GV14" ca="1">_xll.EQNXTDZ($A$1,$B14,GV$1)</f>
        <v>#NAME?</v>
      </c>
      <c r="GW14" s="110" t="e" cm="1">
        <f t="array" aca="1" ref="GW14" ca="1">_xll.EQNXTDZ($A$1,$B14,GW$1)</f>
        <v>#NAME?</v>
      </c>
      <c r="GX14" s="110" t="e" cm="1">
        <f t="array" aca="1" ref="GX14" ca="1">_xll.EQNXTDZ($A$1,$B14,GX$1)</f>
        <v>#NAME?</v>
      </c>
      <c r="GY14" s="110" t="e" cm="1">
        <f t="array" aca="1" ref="GY14" ca="1">_xll.EQNXTDZ($A$1,$B14,GY$1)</f>
        <v>#NAME?</v>
      </c>
      <c r="GZ14" s="110" t="e" cm="1">
        <f t="array" aca="1" ref="GZ14" ca="1">_xll.EQNXTDZ($A$1,$B14,GZ$1)</f>
        <v>#NAME?</v>
      </c>
      <c r="HA14" s="110" t="e" cm="1">
        <f t="array" aca="1" ref="HA14" ca="1">_xll.EQNXTDZ($A$1,$B14,HA$1)</f>
        <v>#NAME?</v>
      </c>
      <c r="HB14" s="110" t="e" cm="1">
        <f t="array" aca="1" ref="HB14" ca="1">_xll.EQNXTDZ($A$1,$B14,HB$1)</f>
        <v>#NAME?</v>
      </c>
      <c r="HC14" s="110" t="e" cm="1">
        <f t="array" aca="1" ref="HC14" ca="1">_xll.EQNXTDZ($A$1,$B14,HC$1)</f>
        <v>#NAME?</v>
      </c>
      <c r="HD14" s="110" t="e" cm="1">
        <f t="array" aca="1" ref="HD14" ca="1">_xll.EQNXTDZ($A$1,$B14,HD$1)</f>
        <v>#NAME?</v>
      </c>
      <c r="HE14" s="110" t="e" cm="1">
        <f t="array" aca="1" ref="HE14" ca="1">_xll.EQNXTDZ($A$1,$B14,HE$1)</f>
        <v>#NAME?</v>
      </c>
      <c r="HF14" s="110" t="e" cm="1">
        <f t="array" aca="1" ref="HF14" ca="1">_xll.EQNXTDZ($A$1,$B14,HF$1)</f>
        <v>#NAME?</v>
      </c>
      <c r="HG14" s="110" t="e" cm="1">
        <f t="array" aca="1" ref="HG14" ca="1">_xll.EQNXTDZ($A$1,$B14,HG$1)</f>
        <v>#NAME?</v>
      </c>
      <c r="HH14" s="110" t="e" cm="1">
        <f t="array" aca="1" ref="HH14" ca="1">_xll.EQNXTDZ($A$1,$B14,HH$1)</f>
        <v>#NAME?</v>
      </c>
      <c r="HP14" s="110" t="e">
        <f ca="1">+MAX(D14:F14)</f>
        <v>#NAME?</v>
      </c>
      <c r="HQ14" s="110" t="e">
        <f ca="1">+MAX(G14:I14)</f>
        <v>#NAME?</v>
      </c>
      <c r="HR14" s="110" t="e">
        <f ca="1">+MAX(J14:L14)</f>
        <v>#NAME?</v>
      </c>
      <c r="HS14" s="110" t="e">
        <f ca="1">+MAX(M14:O14)</f>
        <v>#NAME?</v>
      </c>
      <c r="HT14" s="110" t="e">
        <f ca="1">+MAX(P14:R14)</f>
        <v>#NAME?</v>
      </c>
      <c r="HU14" s="110" t="e">
        <f ca="1">+MAX(S14:U14)</f>
        <v>#NAME?</v>
      </c>
      <c r="HV14" s="110" t="e">
        <f ca="1">+MAX(V14:X14)</f>
        <v>#NAME?</v>
      </c>
      <c r="HW14" s="110" t="e">
        <f ca="1">+MAX(Y14:AA14)</f>
        <v>#NAME?</v>
      </c>
      <c r="HX14" s="110" t="e">
        <f ca="1">+MAX(AB14:AD14)</f>
        <v>#NAME?</v>
      </c>
      <c r="HY14" s="110" t="e">
        <f ca="1">+MAX(AE14:AG14)</f>
        <v>#NAME?</v>
      </c>
      <c r="HZ14" s="110" t="e">
        <f ca="1">+MAX(AH14:AJ14)</f>
        <v>#NAME?</v>
      </c>
      <c r="IA14" s="110" t="e">
        <f ca="1">+MAX(AK14:AM14)</f>
        <v>#NAME?</v>
      </c>
      <c r="IB14" s="110" t="e">
        <f ca="1">+MAX(AN14:AP14)</f>
        <v>#NAME?</v>
      </c>
      <c r="IC14" s="110" t="e">
        <f ca="1">+MAX(AQ14:AS14)</f>
        <v>#NAME?</v>
      </c>
      <c r="ID14" s="110" t="e">
        <f ca="1">+MAX(AT14:AV14)</f>
        <v>#NAME?</v>
      </c>
      <c r="IE14" s="110" t="e">
        <f ca="1">+MAX(AW14:AY14)</f>
        <v>#NAME?</v>
      </c>
      <c r="IF14" s="110" t="e">
        <f ca="1">+MAX(AZ14:BB14)</f>
        <v>#NAME?</v>
      </c>
      <c r="IG14" s="110" t="e">
        <f ca="1">+MAX(BC14:BE14)</f>
        <v>#NAME?</v>
      </c>
      <c r="IH14" s="110" t="e">
        <f ca="1">+MAX(BF14:BH14)</f>
        <v>#NAME?</v>
      </c>
      <c r="II14" s="110" t="e">
        <f ca="1">+MAX(BI14:BK14)</f>
        <v>#NAME?</v>
      </c>
      <c r="IJ14" s="110" t="e">
        <f ca="1">+MAX(BL14:BN14)</f>
        <v>#NAME?</v>
      </c>
      <c r="IK14" s="110" t="e">
        <f ca="1">+MAX(BO14:BQ14)</f>
        <v>#NAME?</v>
      </c>
      <c r="IL14" s="110" t="e">
        <f ca="1">+MAX(BR14:BT14)</f>
        <v>#NAME?</v>
      </c>
      <c r="IM14" s="110" t="e">
        <f ca="1">+MAX(BU14:BW14)</f>
        <v>#NAME?</v>
      </c>
      <c r="IN14" s="110" t="e">
        <f ca="1">+MAX(BX14:BZ14)</f>
        <v>#NAME?</v>
      </c>
      <c r="IO14" s="110" t="e">
        <f ca="1">+MAX(CA14:CC14)</f>
        <v>#NAME?</v>
      </c>
      <c r="IP14" s="110" t="e">
        <f ca="1">+MAX(CD14:CF14)</f>
        <v>#NAME?</v>
      </c>
      <c r="IQ14" s="110" t="e">
        <f ca="1">+MAX(CG14:CI14)</f>
        <v>#NAME?</v>
      </c>
      <c r="IR14" s="110" t="e">
        <f ca="1">+MAX(CJ14:CL14)</f>
        <v>#NAME?</v>
      </c>
      <c r="IS14" s="110" t="e">
        <f ca="1">+MAX(CM14:CO14)</f>
        <v>#NAME?</v>
      </c>
      <c r="IT14" s="110" t="e">
        <f ca="1">+MAX(CP14:CR14)</f>
        <v>#NAME?</v>
      </c>
      <c r="IU14" s="110" t="e">
        <f ca="1">+MAX(CS14:CU14)</f>
        <v>#NAME?</v>
      </c>
      <c r="IV14" s="110" t="e">
        <f ca="1">+MAX(CV14:CX14)</f>
        <v>#NAME?</v>
      </c>
      <c r="IW14" s="110" t="e">
        <f ca="1">+MAX(CY14:DA14)</f>
        <v>#NAME?</v>
      </c>
      <c r="IX14" s="110" t="e">
        <f ca="1">+MAX(DB14:DD14)</f>
        <v>#NAME?</v>
      </c>
      <c r="IY14" s="110" t="e">
        <f ca="1">+MAX(DE14:DG14)</f>
        <v>#NAME?</v>
      </c>
      <c r="IZ14" s="110" t="e">
        <f ca="1">+MAX(DH14:DJ14)</f>
        <v>#NAME?</v>
      </c>
      <c r="JA14" s="110" t="e">
        <f ca="1">+MAX(DK14:DM14)</f>
        <v>#NAME?</v>
      </c>
      <c r="JB14" s="110" t="e">
        <f ca="1">+MAX(DN14:DP14)</f>
        <v>#NAME?</v>
      </c>
      <c r="JC14" s="110" t="e">
        <f ca="1">+MAX(DQ14:DS14)</f>
        <v>#NAME?</v>
      </c>
      <c r="JD14" s="110" t="e">
        <f ca="1">+MAX(DT14:DV14)</f>
        <v>#NAME?</v>
      </c>
      <c r="JE14" s="110" t="e">
        <f ca="1">+MAX(DW14:DY14)</f>
        <v>#NAME?</v>
      </c>
      <c r="JF14" s="110" t="e">
        <f ca="1">+MAX(DZ14:EB14)</f>
        <v>#NAME?</v>
      </c>
      <c r="JG14" s="110" t="e">
        <f ca="1">+MAX(EC14:EE14)</f>
        <v>#NAME?</v>
      </c>
      <c r="JH14" s="110" t="e">
        <f ca="1">+MAX(EF14:EH14)</f>
        <v>#NAME?</v>
      </c>
      <c r="JI14" s="110" t="e">
        <f ca="1">+MAX(EI14:EK14)</f>
        <v>#NAME?</v>
      </c>
      <c r="JJ14" s="110" t="e">
        <f ca="1">+MAX(EL14:EN14)</f>
        <v>#NAME?</v>
      </c>
      <c r="JK14" s="110" t="e">
        <f ca="1">MAX(EO14:EQ14)</f>
        <v>#NAME?</v>
      </c>
      <c r="JL14" s="110" t="e">
        <f ca="1">MAX(ER14:ET14)</f>
        <v>#NAME?</v>
      </c>
      <c r="JM14" s="110" t="e">
        <f ca="1">MAX(EU14:EW14)</f>
        <v>#NAME?</v>
      </c>
      <c r="JN14" s="110" t="e">
        <f ca="1">MAX(EX14:EZ14)</f>
        <v>#NAME?</v>
      </c>
      <c r="JO14" s="110" t="e">
        <f ca="1">MAX(FA14:FC14)</f>
        <v>#NAME?</v>
      </c>
      <c r="JP14" s="110" t="e">
        <f ca="1">MAX(FD14:FF14)</f>
        <v>#NAME?</v>
      </c>
      <c r="JQ14" s="110" t="e">
        <f ca="1">MAX(FG14:FI14)</f>
        <v>#NAME?</v>
      </c>
      <c r="JR14" s="110" t="e">
        <f ca="1">MAX(FJ14:FL14)</f>
        <v>#NAME?</v>
      </c>
      <c r="JS14" s="110" t="e">
        <f ca="1">MAX(FM14:FO14)</f>
        <v>#NAME?</v>
      </c>
      <c r="JT14" s="110" t="e">
        <f ca="1">MAX(FP14:FR14)</f>
        <v>#NAME?</v>
      </c>
      <c r="JU14" s="110" t="e">
        <f ca="1">MAX(FS14:FU14)</f>
        <v>#NAME?</v>
      </c>
      <c r="JV14" s="110" t="e">
        <f ca="1">MAX(FV14:FX14)</f>
        <v>#NAME?</v>
      </c>
      <c r="JW14" s="110" t="e">
        <f ca="1">MAX(FY14:GA14)</f>
        <v>#NAME?</v>
      </c>
      <c r="JX14" s="110" t="e">
        <f ca="1">MAX(GB14:GD14)</f>
        <v>#NAME?</v>
      </c>
      <c r="JY14" s="110" t="e">
        <f ca="1">MAX(GE14:GG14)</f>
        <v>#NAME?</v>
      </c>
      <c r="JZ14" s="110" t="e">
        <f ca="1">MAX(GH14:GJ14)</f>
        <v>#NAME?</v>
      </c>
      <c r="KA14" s="110" t="e">
        <f ca="1">MAX(GK14:GM14)</f>
        <v>#NAME?</v>
      </c>
      <c r="KB14" s="110" t="e">
        <f ca="1">MAX(GN14:GP14)</f>
        <v>#NAME?</v>
      </c>
      <c r="KC14" s="110" t="e">
        <f ca="1">MAX(GQ14:GS14)</f>
        <v>#NAME?</v>
      </c>
      <c r="KD14" s="110" t="e">
        <f ca="1">MAX(GT14:GV14)</f>
        <v>#NAME?</v>
      </c>
      <c r="KE14" s="110" t="e">
        <f ca="1">MAX(GW14:GY14)</f>
        <v>#NAME?</v>
      </c>
      <c r="KF14" s="110" t="e">
        <f ca="1">MAX(GZ14:HB14)</f>
        <v>#NAME?</v>
      </c>
      <c r="KG14" s="110" t="e">
        <f ca="1">MAX(HC14:HE14)</f>
        <v>#NAME?</v>
      </c>
      <c r="KH14" s="110" t="e">
        <f ca="1">MAX(HF14:HH14)</f>
        <v>#NAME?</v>
      </c>
    </row>
    <row r="15" spans="1:294" s="110" customFormat="1" x14ac:dyDescent="0.25">
      <c r="A15" s="110" t="s">
        <v>39</v>
      </c>
      <c r="B15" s="110" t="s">
        <v>338</v>
      </c>
      <c r="C15" s="110" t="e" cm="1">
        <f t="array" aca="1" ref="C15" ca="1">_xll.EQNXTDZ($A$1,$B15,C$1)</f>
        <v>#NAME?</v>
      </c>
      <c r="D15" s="110" t="e" cm="1">
        <f t="array" aca="1" ref="D15" ca="1">_xll.EQNXTDZ($A$1,$B15,D$1)</f>
        <v>#NAME?</v>
      </c>
      <c r="E15" s="110" t="e" cm="1">
        <f t="array" aca="1" ref="E15" ca="1">_xll.EQNXTDZ($A$1,$B15,E$1)</f>
        <v>#NAME?</v>
      </c>
      <c r="F15" s="110" t="e" cm="1">
        <f t="array" aca="1" ref="F15" ca="1">_xll.EQNXTDZ($A$1,$B15,F$1)</f>
        <v>#NAME?</v>
      </c>
      <c r="G15" s="110" t="e" cm="1">
        <f t="array" aca="1" ref="G15" ca="1">_xll.EQNXTDZ($A$1,$B15,G$1)</f>
        <v>#NAME?</v>
      </c>
      <c r="H15" s="110" t="e" cm="1">
        <f t="array" aca="1" ref="H15" ca="1">_xll.EQNXTDZ($A$1,$B15,H$1)</f>
        <v>#NAME?</v>
      </c>
      <c r="I15" s="110" t="e" cm="1">
        <f t="array" aca="1" ref="I15" ca="1">_xll.EQNXTDZ($A$1,$B15,I$1)</f>
        <v>#NAME?</v>
      </c>
      <c r="J15" s="110" t="e" cm="1">
        <f t="array" aca="1" ref="J15" ca="1">_xll.EQNXTDZ($A$1,$B15,J$1)</f>
        <v>#NAME?</v>
      </c>
      <c r="K15" s="110" t="e" cm="1">
        <f t="array" aca="1" ref="K15" ca="1">_xll.EQNXTDZ($A$1,$B15,K$1)</f>
        <v>#NAME?</v>
      </c>
      <c r="L15" s="110" t="e" cm="1">
        <f t="array" aca="1" ref="L15" ca="1">_xll.EQNXTDZ($A$1,$B15,L$1)</f>
        <v>#NAME?</v>
      </c>
      <c r="M15" s="110" t="e" cm="1">
        <f t="array" aca="1" ref="M15" ca="1">_xll.EQNXTDZ($A$1,$B15,M$1)</f>
        <v>#NAME?</v>
      </c>
      <c r="N15" s="110" t="e" cm="1">
        <f t="array" aca="1" ref="N15" ca="1">_xll.EQNXTDZ($A$1,$B15,N$1)</f>
        <v>#NAME?</v>
      </c>
      <c r="O15" s="110" t="e" cm="1">
        <f t="array" aca="1" ref="O15" ca="1">_xll.EQNXTDZ($A$1,$B15,O$1)</f>
        <v>#NAME?</v>
      </c>
      <c r="P15" s="110" t="e" cm="1">
        <f t="array" aca="1" ref="P15" ca="1">_xll.EQNXTDZ($A$1,$B15,P$1)</f>
        <v>#NAME?</v>
      </c>
      <c r="Q15" s="110" t="e" cm="1">
        <f t="array" aca="1" ref="Q15" ca="1">_xll.EQNXTDZ($A$1,$B15,Q$1)</f>
        <v>#NAME?</v>
      </c>
      <c r="R15" s="110" t="e" cm="1">
        <f t="array" aca="1" ref="R15" ca="1">_xll.EQNXTDZ($A$1,$B15,R$1)</f>
        <v>#NAME?</v>
      </c>
      <c r="S15" s="110" t="e" cm="1">
        <f t="array" aca="1" ref="S15" ca="1">_xll.EQNXTDZ($A$1,$B15,S$1)</f>
        <v>#NAME?</v>
      </c>
      <c r="T15" s="110" t="e" cm="1">
        <f t="array" aca="1" ref="T15" ca="1">_xll.EQNXTDZ($A$1,$B15,T$1)</f>
        <v>#NAME?</v>
      </c>
      <c r="U15" s="110" t="e" cm="1">
        <f t="array" aca="1" ref="U15" ca="1">_xll.EQNXTDZ($A$1,$B15,U$1)</f>
        <v>#NAME?</v>
      </c>
      <c r="V15" s="110" t="e" cm="1">
        <f t="array" aca="1" ref="V15" ca="1">_xll.EQNXTDZ($A$1,$B15,V$1)</f>
        <v>#NAME?</v>
      </c>
      <c r="W15" s="110" t="e" cm="1">
        <f t="array" aca="1" ref="W15" ca="1">_xll.EQNXTDZ($A$1,$B15,W$1)</f>
        <v>#NAME?</v>
      </c>
      <c r="X15" s="110" t="e" cm="1">
        <f t="array" aca="1" ref="X15" ca="1">_xll.EQNXTDZ($A$1,$B15,X$1)</f>
        <v>#NAME?</v>
      </c>
      <c r="Y15" s="110" t="e" cm="1">
        <f t="array" aca="1" ref="Y15" ca="1">_xll.EQNXTDZ($A$1,$B15,Y$1)</f>
        <v>#NAME?</v>
      </c>
      <c r="Z15" s="110" t="e" cm="1">
        <f t="array" aca="1" ref="Z15" ca="1">_xll.EQNXTDZ($A$1,$B15,Z$1)</f>
        <v>#NAME?</v>
      </c>
      <c r="AA15" s="110" t="e" cm="1">
        <f t="array" aca="1" ref="AA15" ca="1">_xll.EQNXTDZ($A$1,$B15,AA$1)</f>
        <v>#NAME?</v>
      </c>
      <c r="AB15" s="110" t="e" cm="1">
        <f t="array" aca="1" ref="AB15" ca="1">_xll.EQNXTDZ($A$1,$B15,AB$1)</f>
        <v>#NAME?</v>
      </c>
      <c r="AC15" s="110" t="e" cm="1">
        <f t="array" aca="1" ref="AC15" ca="1">_xll.EQNXTDZ($A$1,$B15,AC$1)</f>
        <v>#NAME?</v>
      </c>
      <c r="AD15" s="110" t="e" cm="1">
        <f t="array" aca="1" ref="AD15" ca="1">_xll.EQNXTDZ($A$1,$B15,AD$1)</f>
        <v>#NAME?</v>
      </c>
      <c r="AE15" s="110" t="e" cm="1">
        <f t="array" aca="1" ref="AE15" ca="1">_xll.EQNXTDZ($A$1,$B15,AE$1)</f>
        <v>#NAME?</v>
      </c>
      <c r="AF15" s="110" t="e" cm="1">
        <f t="array" aca="1" ref="AF15" ca="1">_xll.EQNXTDZ($A$1,$B15,AF$1)</f>
        <v>#NAME?</v>
      </c>
      <c r="AG15" s="110" t="e" cm="1">
        <f t="array" aca="1" ref="AG15" ca="1">_xll.EQNXTDZ($A$1,$B15,AG$1)</f>
        <v>#NAME?</v>
      </c>
      <c r="AH15" s="110" t="e" cm="1">
        <f t="array" aca="1" ref="AH15" ca="1">_xll.EQNXTDZ($A$1,$B15,AH$1)</f>
        <v>#NAME?</v>
      </c>
      <c r="AI15" s="110" t="e" cm="1">
        <f t="array" aca="1" ref="AI15" ca="1">_xll.EQNXTDZ($A$1,$B15,AI$1)</f>
        <v>#NAME?</v>
      </c>
      <c r="AJ15" s="110" t="e" cm="1">
        <f t="array" aca="1" ref="AJ15" ca="1">_xll.EQNXTDZ($A$1,$B15,AJ$1)</f>
        <v>#NAME?</v>
      </c>
      <c r="AK15" s="110" t="e" cm="1">
        <f t="array" aca="1" ref="AK15" ca="1">_xll.EQNXTDZ($A$1,$B15,AK$1)</f>
        <v>#NAME?</v>
      </c>
      <c r="AL15" s="110" t="e" cm="1">
        <f t="array" aca="1" ref="AL15" ca="1">_xll.EQNXTDZ($A$1,$B15,AL$1)</f>
        <v>#NAME?</v>
      </c>
      <c r="AM15" s="110" t="e" cm="1">
        <f t="array" aca="1" ref="AM15" ca="1">_xll.EQNXTDZ($A$1,$B15,AM$1)</f>
        <v>#NAME?</v>
      </c>
      <c r="AN15" s="110" t="e" cm="1">
        <f t="array" aca="1" ref="AN15" ca="1">_xll.EQNXTDZ($A$1,$B15,AN$1)</f>
        <v>#NAME?</v>
      </c>
      <c r="AO15" s="110" t="e" cm="1">
        <f t="array" aca="1" ref="AO15" ca="1">_xll.EQNXTDZ($A$1,$B15,AO$1)</f>
        <v>#NAME?</v>
      </c>
      <c r="AP15" s="110" t="e" cm="1">
        <f t="array" aca="1" ref="AP15" ca="1">_xll.EQNXTDZ($A$1,$B15,AP$1)</f>
        <v>#NAME?</v>
      </c>
      <c r="AQ15" s="110" t="e" cm="1">
        <f t="array" aca="1" ref="AQ15" ca="1">_xll.EQNXTDZ($A$1,$B15,AQ$1)</f>
        <v>#NAME?</v>
      </c>
      <c r="AR15" s="110" t="e" cm="1">
        <f t="array" aca="1" ref="AR15" ca="1">_xll.EQNXTDZ($A$1,$B15,AR$1)</f>
        <v>#NAME?</v>
      </c>
      <c r="AS15" s="110" t="e" cm="1">
        <f t="array" aca="1" ref="AS15" ca="1">_xll.EQNXTDZ($A$1,$B15,AS$1)</f>
        <v>#NAME?</v>
      </c>
      <c r="AT15" s="110" t="e" cm="1">
        <f t="array" aca="1" ref="AT15" ca="1">_xll.EQNXTDZ($A$1,$B15,AT$1)</f>
        <v>#NAME?</v>
      </c>
      <c r="AU15" s="110" t="e" cm="1">
        <f t="array" aca="1" ref="AU15" ca="1">_xll.EQNXTDZ($A$1,$B15,AU$1)</f>
        <v>#NAME?</v>
      </c>
      <c r="AV15" s="110" t="e" cm="1">
        <f t="array" aca="1" ref="AV15" ca="1">_xll.EQNXTDZ($A$1,$B15,AV$1)</f>
        <v>#NAME?</v>
      </c>
      <c r="AW15" s="110" t="e" cm="1">
        <f t="array" aca="1" ref="AW15" ca="1">_xll.EQNXTDZ($A$1,$B15,AW$1)</f>
        <v>#NAME?</v>
      </c>
      <c r="AX15" s="110" t="e" cm="1">
        <f t="array" aca="1" ref="AX15" ca="1">_xll.EQNXTDZ($A$1,$B15,AX$1)</f>
        <v>#NAME?</v>
      </c>
      <c r="AY15" s="110" t="e" cm="1">
        <f t="array" aca="1" ref="AY15" ca="1">_xll.EQNXTDZ($A$1,$B15,AY$1)</f>
        <v>#NAME?</v>
      </c>
      <c r="AZ15" s="110" t="e" cm="1">
        <f t="array" aca="1" ref="AZ15" ca="1">_xll.EQNXTDZ($A$1,$B15,AZ$1)</f>
        <v>#NAME?</v>
      </c>
      <c r="BA15" s="110" t="e" cm="1">
        <f t="array" aca="1" ref="BA15" ca="1">_xll.EQNXTDZ($A$1,$B15,BA$1)</f>
        <v>#NAME?</v>
      </c>
      <c r="BB15" s="110" t="e" cm="1">
        <f t="array" aca="1" ref="BB15" ca="1">_xll.EQNXTDZ($A$1,$B15,BB$1)</f>
        <v>#NAME?</v>
      </c>
      <c r="BC15" s="110" t="e" cm="1">
        <f t="array" aca="1" ref="BC15" ca="1">_xll.EQNXTDZ($A$1,$B15,BC$1)</f>
        <v>#NAME?</v>
      </c>
      <c r="BD15" s="110" t="e" cm="1">
        <f t="array" aca="1" ref="BD15" ca="1">_xll.EQNXTDZ($A$1,$B15,BD$1)</f>
        <v>#NAME?</v>
      </c>
      <c r="BE15" s="110" t="e" cm="1">
        <f t="array" aca="1" ref="BE15" ca="1">_xll.EQNXTDZ($A$1,$B15,BE$1)</f>
        <v>#NAME?</v>
      </c>
      <c r="BF15" s="110" t="e" cm="1">
        <f t="array" aca="1" ref="BF15" ca="1">_xll.EQNXTDZ($A$1,$B15,BF$1)</f>
        <v>#NAME?</v>
      </c>
      <c r="BG15" s="110" t="e" cm="1">
        <f t="array" aca="1" ref="BG15" ca="1">_xll.EQNXTDZ($A$1,$B15,BG$1)</f>
        <v>#NAME?</v>
      </c>
      <c r="BH15" s="110" t="e" cm="1">
        <f t="array" aca="1" ref="BH15" ca="1">_xll.EQNXTDZ($A$1,$B15,BH$1)</f>
        <v>#NAME?</v>
      </c>
      <c r="BI15" s="110" t="e" cm="1">
        <f t="array" aca="1" ref="BI15" ca="1">_xll.EQNXTDZ($A$1,$B15,BI$1)</f>
        <v>#NAME?</v>
      </c>
      <c r="BJ15" s="110" t="e" cm="1">
        <f t="array" aca="1" ref="BJ15" ca="1">_xll.EQNXTDZ($A$1,$B15,BJ$1)</f>
        <v>#NAME?</v>
      </c>
      <c r="BK15" s="110" t="e" cm="1">
        <f t="array" aca="1" ref="BK15" ca="1">_xll.EQNXTDZ($A$1,$B15,BK$1)</f>
        <v>#NAME?</v>
      </c>
      <c r="BL15" s="110" t="e" cm="1">
        <f t="array" aca="1" ref="BL15" ca="1">_xll.EQNXTDZ($A$1,$B15,BL$1)</f>
        <v>#NAME?</v>
      </c>
      <c r="BM15" s="110" t="e" cm="1">
        <f t="array" aca="1" ref="BM15" ca="1">_xll.EQNXTDZ($A$1,$B15,BM$1)</f>
        <v>#NAME?</v>
      </c>
      <c r="BN15" s="110" t="e" cm="1">
        <f t="array" aca="1" ref="BN15" ca="1">_xll.EQNXTDZ($A$1,$B15,BN$1)</f>
        <v>#NAME?</v>
      </c>
      <c r="BO15" s="110" t="e" cm="1">
        <f t="array" aca="1" ref="BO15" ca="1">_xll.EQNXTDZ($A$1,$B15,BO$1)</f>
        <v>#NAME?</v>
      </c>
      <c r="BP15" s="110" t="e" cm="1">
        <f t="array" aca="1" ref="BP15" ca="1">_xll.EQNXTDZ($A$1,$B15,BP$1)</f>
        <v>#NAME?</v>
      </c>
      <c r="BQ15" s="110" t="e" cm="1">
        <f t="array" aca="1" ref="BQ15" ca="1">_xll.EQNXTDZ($A$1,$B15,BQ$1)</f>
        <v>#NAME?</v>
      </c>
      <c r="BR15" s="110" t="e" cm="1">
        <f t="array" aca="1" ref="BR15" ca="1">_xll.EQNXTDZ($A$1,$B15,BR$1)</f>
        <v>#NAME?</v>
      </c>
      <c r="BS15" s="110" t="e" cm="1">
        <f t="array" aca="1" ref="BS15" ca="1">_xll.EQNXTDZ($A$1,$B15,BS$1)</f>
        <v>#NAME?</v>
      </c>
      <c r="BT15" s="110" t="e" cm="1">
        <f t="array" aca="1" ref="BT15" ca="1">_xll.EQNXTDZ($A$1,$B15,BT$1)</f>
        <v>#NAME?</v>
      </c>
      <c r="BU15" s="110" t="e" cm="1">
        <f t="array" aca="1" ref="BU15" ca="1">_xll.EQNXTDZ($A$1,$B15,BU$1)</f>
        <v>#NAME?</v>
      </c>
      <c r="BV15" s="110" t="e" cm="1">
        <f t="array" aca="1" ref="BV15" ca="1">_xll.EQNXTDZ($A$1,$B15,BV$1)</f>
        <v>#NAME?</v>
      </c>
      <c r="BW15" s="110" t="e" cm="1">
        <f t="array" aca="1" ref="BW15" ca="1">_xll.EQNXTDZ($A$1,$B15,BW$1)</f>
        <v>#NAME?</v>
      </c>
      <c r="BX15" s="110" t="e" cm="1">
        <f t="array" aca="1" ref="BX15" ca="1">_xll.EQNXTDZ($A$1,$B15,BX$1)</f>
        <v>#NAME?</v>
      </c>
      <c r="BY15" s="110" t="e" cm="1">
        <f t="array" aca="1" ref="BY15" ca="1">_xll.EQNXTDZ($A$1,$B15,BY$1)</f>
        <v>#NAME?</v>
      </c>
      <c r="BZ15" s="110" t="e" cm="1">
        <f t="array" aca="1" ref="BZ15" ca="1">_xll.EQNXTDZ($A$1,$B15,BZ$1)</f>
        <v>#NAME?</v>
      </c>
      <c r="CA15" s="110" t="e" cm="1">
        <f t="array" aca="1" ref="CA15" ca="1">_xll.EQNXTDZ($A$1,$B15,CA$1)</f>
        <v>#NAME?</v>
      </c>
      <c r="CB15" s="110" t="e" cm="1">
        <f t="array" aca="1" ref="CB15" ca="1">_xll.EQNXTDZ($A$1,$B15,CB$1)</f>
        <v>#NAME?</v>
      </c>
      <c r="CC15" s="110" t="e" cm="1">
        <f t="array" aca="1" ref="CC15" ca="1">_xll.EQNXTDZ($A$1,$B15,CC$1)</f>
        <v>#NAME?</v>
      </c>
      <c r="CD15" s="110" t="e" cm="1">
        <f t="array" aca="1" ref="CD15" ca="1">_xll.EQNXTDZ($A$1,$B15,CD$1)</f>
        <v>#NAME?</v>
      </c>
      <c r="CE15" s="110" t="e" cm="1">
        <f t="array" aca="1" ref="CE15" ca="1">_xll.EQNXTDZ($A$1,$B15,CE$1)</f>
        <v>#NAME?</v>
      </c>
      <c r="CF15" s="110" t="e" cm="1">
        <f t="array" aca="1" ref="CF15" ca="1">_xll.EQNXTDZ($A$1,$B15,CF$1)</f>
        <v>#NAME?</v>
      </c>
      <c r="CG15" s="110" t="e" cm="1">
        <f t="array" aca="1" ref="CG15" ca="1">_xll.EQNXTDZ($A$1,$B15,CG$1)</f>
        <v>#NAME?</v>
      </c>
      <c r="CH15" s="110" t="e" cm="1">
        <f t="array" aca="1" ref="CH15" ca="1">_xll.EQNXTDZ($A$1,$B15,CH$1)</f>
        <v>#NAME?</v>
      </c>
      <c r="CI15" s="110" t="e" cm="1">
        <f t="array" aca="1" ref="CI15" ca="1">_xll.EQNXTDZ($A$1,$B15,CI$1)</f>
        <v>#NAME?</v>
      </c>
      <c r="CJ15" s="110" t="e" cm="1">
        <f t="array" aca="1" ref="CJ15" ca="1">_xll.EQNXTDZ($A$1,$B15,CJ$1)</f>
        <v>#NAME?</v>
      </c>
      <c r="CK15" s="110" t="e" cm="1">
        <f t="array" aca="1" ref="CK15" ca="1">_xll.EQNXTDZ($A$1,$B15,CK$1)</f>
        <v>#NAME?</v>
      </c>
      <c r="CL15" s="110" t="e" cm="1">
        <f t="array" aca="1" ref="CL15" ca="1">_xll.EQNXTDZ($A$1,$B15,CL$1)</f>
        <v>#NAME?</v>
      </c>
      <c r="CM15" s="110" t="e" cm="1">
        <f t="array" aca="1" ref="CM15" ca="1">_xll.EQNXTDZ($A$1,$B15,CM$1)</f>
        <v>#NAME?</v>
      </c>
      <c r="CN15" s="110" t="e" cm="1">
        <f t="array" aca="1" ref="CN15" ca="1">_xll.EQNXTDZ($A$1,$B15,CN$1)</f>
        <v>#NAME?</v>
      </c>
      <c r="CO15" s="110" t="e" cm="1">
        <f t="array" aca="1" ref="CO15" ca="1">_xll.EQNXTDZ($A$1,$B15,CO$1)</f>
        <v>#NAME?</v>
      </c>
      <c r="CP15" s="110" t="e" cm="1">
        <f t="array" aca="1" ref="CP15" ca="1">_xll.EQNXTDZ($A$1,$B15,CP$1)</f>
        <v>#NAME?</v>
      </c>
      <c r="CQ15" s="110" t="e" cm="1">
        <f t="array" aca="1" ref="CQ15" ca="1">_xll.EQNXTDZ($A$1,$B15,CQ$1)</f>
        <v>#NAME?</v>
      </c>
      <c r="CR15" s="110" t="e" cm="1">
        <f t="array" aca="1" ref="CR15" ca="1">_xll.EQNXTDZ($A$1,$B15,CR$1)</f>
        <v>#NAME?</v>
      </c>
      <c r="CS15" s="110" t="e" cm="1">
        <f t="array" aca="1" ref="CS15" ca="1">_xll.EQNXTDZ($A$1,$B15,CS$1)</f>
        <v>#NAME?</v>
      </c>
      <c r="CT15" s="110" t="e" cm="1">
        <f t="array" aca="1" ref="CT15" ca="1">_xll.EQNXTDZ($A$1,$B15,CT$1)</f>
        <v>#NAME?</v>
      </c>
      <c r="CU15" s="110" t="e" cm="1">
        <f t="array" aca="1" ref="CU15" ca="1">_xll.EQNXTDZ($A$1,$B15,CU$1)</f>
        <v>#NAME?</v>
      </c>
      <c r="CV15" s="110" t="e" cm="1">
        <f t="array" aca="1" ref="CV15" ca="1">_xll.EQNXTDZ($A$1,$B15,CV$1)</f>
        <v>#NAME?</v>
      </c>
      <c r="CW15" s="110" t="e" cm="1">
        <f t="array" aca="1" ref="CW15" ca="1">_xll.EQNXTDZ($A$1,$B15,CW$1)</f>
        <v>#NAME?</v>
      </c>
      <c r="CX15" s="110" t="e" cm="1">
        <f t="array" aca="1" ref="CX15" ca="1">_xll.EQNXTDZ($A$1,$B15,CX$1)</f>
        <v>#NAME?</v>
      </c>
      <c r="CY15" s="110" t="e" cm="1">
        <f t="array" aca="1" ref="CY15" ca="1">_xll.EQNXTDZ($A$1,$B15,CY$1)</f>
        <v>#NAME?</v>
      </c>
      <c r="CZ15" s="110" t="e" cm="1">
        <f t="array" aca="1" ref="CZ15" ca="1">_xll.EQNXTDZ($A$1,$B15,CZ$1)</f>
        <v>#NAME?</v>
      </c>
      <c r="DA15" s="110" t="e" cm="1">
        <f t="array" aca="1" ref="DA15" ca="1">_xll.EQNXTDZ($A$1,$B15,DA$1)</f>
        <v>#NAME?</v>
      </c>
      <c r="DB15" s="110" t="e" cm="1">
        <f t="array" aca="1" ref="DB15" ca="1">_xll.EQNXTDZ($A$1,$B15,DB$1)</f>
        <v>#NAME?</v>
      </c>
      <c r="DC15" s="110" t="e" cm="1">
        <f t="array" aca="1" ref="DC15" ca="1">_xll.EQNXTDZ($A$1,$B15,DC$1)</f>
        <v>#NAME?</v>
      </c>
      <c r="DD15" s="110" t="e" cm="1">
        <f t="array" aca="1" ref="DD15" ca="1">_xll.EQNXTDZ($A$1,$B15,DD$1)</f>
        <v>#NAME?</v>
      </c>
      <c r="DE15" s="110" t="e" cm="1">
        <f t="array" aca="1" ref="DE15" ca="1">_xll.EQNXTDZ($A$1,$B15,DE$1)</f>
        <v>#NAME?</v>
      </c>
      <c r="DF15" s="110" t="e" cm="1">
        <f t="array" aca="1" ref="DF15" ca="1">_xll.EQNXTDZ($A$1,$B15,DF$1)</f>
        <v>#NAME?</v>
      </c>
      <c r="DG15" s="110" t="e" cm="1">
        <f t="array" aca="1" ref="DG15" ca="1">_xll.EQNXTDZ($A$1,$B15,DG$1)</f>
        <v>#NAME?</v>
      </c>
      <c r="DH15" s="110" t="e" cm="1">
        <f t="array" aca="1" ref="DH15" ca="1">_xll.EQNXTDZ($A$1,$B15,DH$1)</f>
        <v>#NAME?</v>
      </c>
      <c r="DI15" s="110" t="e" cm="1">
        <f t="array" aca="1" ref="DI15" ca="1">_xll.EQNXTDZ($A$1,$B15,DI$1)</f>
        <v>#NAME?</v>
      </c>
      <c r="DJ15" s="110" t="e" cm="1">
        <f t="array" aca="1" ref="DJ15" ca="1">_xll.EQNXTDZ($A$1,$B15,DJ$1)</f>
        <v>#NAME?</v>
      </c>
      <c r="DK15" s="110" t="e" cm="1">
        <f t="array" aca="1" ref="DK15" ca="1">_xll.EQNXTDZ($A$1,$B15,DK$1)</f>
        <v>#NAME?</v>
      </c>
      <c r="DL15" s="110" t="e" cm="1">
        <f t="array" aca="1" ref="DL15" ca="1">_xll.EQNXTDZ($A$1,$B15,DL$1)</f>
        <v>#NAME?</v>
      </c>
      <c r="DM15" s="110" t="e" cm="1">
        <f t="array" aca="1" ref="DM15" ca="1">_xll.EQNXTDZ($A$1,$B15,DM$1)</f>
        <v>#NAME?</v>
      </c>
      <c r="DN15" s="110" t="e" cm="1">
        <f t="array" aca="1" ref="DN15" ca="1">_xll.EQNXTDZ($A$1,$B15,DN$1)</f>
        <v>#NAME?</v>
      </c>
      <c r="DO15" s="110" t="e" cm="1">
        <f t="array" aca="1" ref="DO15" ca="1">_xll.EQNXTDZ($A$1,$B15,DO$1)</f>
        <v>#NAME?</v>
      </c>
      <c r="DP15" s="110" t="e" cm="1">
        <f t="array" aca="1" ref="DP15" ca="1">_xll.EQNXTDZ($A$1,$B15,DP$1)</f>
        <v>#NAME?</v>
      </c>
      <c r="DQ15" s="110" t="e" cm="1">
        <f t="array" aca="1" ref="DQ15" ca="1">_xll.EQNXTDZ($A$1,$B15,DQ$1)</f>
        <v>#NAME?</v>
      </c>
      <c r="DR15" s="110" t="e" cm="1">
        <f t="array" aca="1" ref="DR15" ca="1">_xll.EQNXTDZ($A$1,$B15,DR$1)</f>
        <v>#NAME?</v>
      </c>
      <c r="DS15" s="110" t="e" cm="1">
        <f t="array" aca="1" ref="DS15" ca="1">_xll.EQNXTDZ($A$1,$B15,DS$1)</f>
        <v>#NAME?</v>
      </c>
      <c r="DT15" s="110" t="e" cm="1">
        <f t="array" aca="1" ref="DT15" ca="1">_xll.EQNXTDZ($A$1,$B15,DT$1)</f>
        <v>#NAME?</v>
      </c>
      <c r="DU15" s="110" t="e" cm="1">
        <f t="array" aca="1" ref="DU15" ca="1">_xll.EQNXTDZ($A$1,$B15,DU$1)</f>
        <v>#NAME?</v>
      </c>
      <c r="DV15" s="110" t="e" cm="1">
        <f t="array" aca="1" ref="DV15" ca="1">_xll.EQNXTDZ($A$1,$B15,DV$1)</f>
        <v>#NAME?</v>
      </c>
      <c r="DW15" s="110" t="e" cm="1">
        <f t="array" aca="1" ref="DW15" ca="1">_xll.EQNXTDZ($A$1,$B15,DW$1)</f>
        <v>#NAME?</v>
      </c>
      <c r="DX15" s="110" t="e" cm="1">
        <f t="array" aca="1" ref="DX15" ca="1">_xll.EQNXTDZ($A$1,$B15,DX$1)</f>
        <v>#NAME?</v>
      </c>
      <c r="DY15" s="110" t="e" cm="1">
        <f t="array" aca="1" ref="DY15" ca="1">_xll.EQNXTDZ($A$1,$B15,DY$1)</f>
        <v>#NAME?</v>
      </c>
      <c r="DZ15" s="110" t="e" cm="1">
        <f t="array" aca="1" ref="DZ15" ca="1">_xll.EQNXTDZ($A$1,$B15,DZ$1)</f>
        <v>#NAME?</v>
      </c>
      <c r="EA15" s="110" t="e" cm="1">
        <f t="array" aca="1" ref="EA15" ca="1">_xll.EQNXTDZ($A$1,$B15,EA$1)</f>
        <v>#NAME?</v>
      </c>
      <c r="EB15" s="110" t="e" cm="1">
        <f t="array" aca="1" ref="EB15" ca="1">_xll.EQNXTDZ($A$1,$B15,EB$1)</f>
        <v>#NAME?</v>
      </c>
      <c r="EC15" s="110" t="e" cm="1">
        <f t="array" aca="1" ref="EC15" ca="1">_xll.EQNXTDZ($A$1,$B15,EC$1)</f>
        <v>#NAME?</v>
      </c>
      <c r="ED15" s="110" t="e" cm="1">
        <f t="array" aca="1" ref="ED15" ca="1">_xll.EQNXTDZ($A$1,$B15,ED$1)</f>
        <v>#NAME?</v>
      </c>
      <c r="EE15" s="110" t="e" cm="1">
        <f t="array" aca="1" ref="EE15" ca="1">_xll.EQNXTDZ($A$1,$B15,EE$1)</f>
        <v>#NAME?</v>
      </c>
      <c r="EF15" s="110" t="e" cm="1">
        <f t="array" aca="1" ref="EF15" ca="1">_xll.EQNXTDZ($A$1,$B15,EF$1)</f>
        <v>#NAME?</v>
      </c>
      <c r="EG15" s="110" t="e" cm="1">
        <f t="array" aca="1" ref="EG15" ca="1">_xll.EQNXTDZ($A$1,$B15,EG$1)</f>
        <v>#NAME?</v>
      </c>
      <c r="EH15" s="110" t="e" cm="1">
        <f t="array" aca="1" ref="EH15" ca="1">_xll.EQNXTDZ($A$1,$B15,EH$1)</f>
        <v>#NAME?</v>
      </c>
      <c r="EI15" s="110" t="e" cm="1">
        <f t="array" aca="1" ref="EI15" ca="1">_xll.EQNXTDZ($A$1,$B15,EI$1)</f>
        <v>#NAME?</v>
      </c>
      <c r="EJ15" s="110" t="e" cm="1">
        <f t="array" aca="1" ref="EJ15" ca="1">_xll.EQNXTDZ($A$1,$B15,EJ$1)</f>
        <v>#NAME?</v>
      </c>
      <c r="EK15" s="110" t="e" cm="1">
        <f t="array" aca="1" ref="EK15" ca="1">_xll.EQNXTDZ($A$1,$B15,EK$1)</f>
        <v>#NAME?</v>
      </c>
      <c r="EL15" s="110" t="e" cm="1">
        <f t="array" aca="1" ref="EL15" ca="1">_xll.EQNXTDZ($A$1,$B15,EL$1)</f>
        <v>#NAME?</v>
      </c>
      <c r="EM15" s="110" t="e" cm="1">
        <f t="array" aca="1" ref="EM15" ca="1">_xll.EQNXTDZ($A$1,$B15,EM$1)</f>
        <v>#NAME?</v>
      </c>
      <c r="EN15" s="110" t="e" cm="1">
        <f t="array" aca="1" ref="EN15" ca="1">_xll.EQNXTDZ($A$1,$B15,EN$1)</f>
        <v>#NAME?</v>
      </c>
      <c r="EO15" s="110" t="e" cm="1">
        <f t="array" aca="1" ref="EO15" ca="1">_xll.EQNXTDZ($A$1,$B15,EO$1)</f>
        <v>#NAME?</v>
      </c>
      <c r="EP15" s="110" t="e" cm="1">
        <f t="array" aca="1" ref="EP15" ca="1">_xll.EQNXTDZ($A$1,$B15,EP$1)</f>
        <v>#NAME?</v>
      </c>
      <c r="EQ15" s="110" t="e" cm="1">
        <f t="array" aca="1" ref="EQ15" ca="1">_xll.EQNXTDZ($A$1,$B15,EQ$1)</f>
        <v>#NAME?</v>
      </c>
      <c r="ER15" s="110" t="e" cm="1">
        <f t="array" aca="1" ref="ER15" ca="1">_xll.EQNXTDZ($A$1,$B15,ER$1)</f>
        <v>#NAME?</v>
      </c>
      <c r="ES15" s="110" t="e" cm="1">
        <f t="array" aca="1" ref="ES15" ca="1">_xll.EQNXTDZ($A$1,$B15,ES$1)</f>
        <v>#NAME?</v>
      </c>
      <c r="ET15" s="110" t="e" cm="1">
        <f t="array" aca="1" ref="ET15" ca="1">_xll.EQNXTDZ($A$1,$B15,ET$1)</f>
        <v>#NAME?</v>
      </c>
      <c r="EU15" s="110" t="e" cm="1">
        <f t="array" aca="1" ref="EU15" ca="1">_xll.EQNXTDZ($A$1,$B15,EU$1)</f>
        <v>#NAME?</v>
      </c>
      <c r="EV15" s="110" t="e" cm="1">
        <f t="array" aca="1" ref="EV15" ca="1">_xll.EQNXTDZ($A$1,$B15,EV$1)</f>
        <v>#NAME?</v>
      </c>
      <c r="EW15" s="110" t="e" cm="1">
        <f t="array" aca="1" ref="EW15" ca="1">_xll.EQNXTDZ($A$1,$B15,EW$1)</f>
        <v>#NAME?</v>
      </c>
      <c r="EX15" s="110" t="e" cm="1">
        <f t="array" aca="1" ref="EX15" ca="1">_xll.EQNXTDZ($A$1,$B15,EX$1)</f>
        <v>#NAME?</v>
      </c>
      <c r="EY15" s="110" t="e" cm="1">
        <f t="array" aca="1" ref="EY15" ca="1">_xll.EQNXTDZ($A$1,$B15,EY$1)</f>
        <v>#NAME?</v>
      </c>
      <c r="EZ15" s="110" t="e" cm="1">
        <f t="array" aca="1" ref="EZ15" ca="1">_xll.EQNXTDZ($A$1,$B15,EZ$1)</f>
        <v>#NAME?</v>
      </c>
      <c r="FA15" s="110" t="e" cm="1">
        <f t="array" aca="1" ref="FA15" ca="1">_xll.EQNXTDZ($A$1,$B15,FA$1)</f>
        <v>#NAME?</v>
      </c>
      <c r="FB15" s="110" t="e" cm="1">
        <f t="array" aca="1" ref="FB15" ca="1">_xll.EQNXTDZ($A$1,$B15,FB$1)</f>
        <v>#NAME?</v>
      </c>
      <c r="FC15" s="110" t="e" cm="1">
        <f t="array" aca="1" ref="FC15" ca="1">_xll.EQNXTDZ($A$1,$B15,FC$1)</f>
        <v>#NAME?</v>
      </c>
      <c r="FD15" s="110" t="e" cm="1">
        <f t="array" aca="1" ref="FD15" ca="1">_xll.EQNXTDZ($A$1,$B15,FD$1)</f>
        <v>#NAME?</v>
      </c>
      <c r="FE15" s="110" t="e" cm="1">
        <f t="array" aca="1" ref="FE15" ca="1">_xll.EQNXTDZ($A$1,$B15,FE$1)</f>
        <v>#NAME?</v>
      </c>
      <c r="FF15" s="110" t="e" cm="1">
        <f t="array" aca="1" ref="FF15" ca="1">_xll.EQNXTDZ($A$1,$B15,FF$1)</f>
        <v>#NAME?</v>
      </c>
      <c r="FG15" s="110" t="e" cm="1">
        <f t="array" aca="1" ref="FG15" ca="1">_xll.EQNXTDZ($A$1,$B15,FG$1)</f>
        <v>#NAME?</v>
      </c>
      <c r="FH15" s="110" t="e" cm="1">
        <f t="array" aca="1" ref="FH15" ca="1">_xll.EQNXTDZ($A$1,$B15,FH$1)</f>
        <v>#NAME?</v>
      </c>
      <c r="FI15" s="110" t="e" cm="1">
        <f t="array" aca="1" ref="FI15" ca="1">_xll.EQNXTDZ($A$1,$B15,FI$1)</f>
        <v>#NAME?</v>
      </c>
      <c r="FJ15" s="110" t="e" cm="1">
        <f t="array" aca="1" ref="FJ15" ca="1">_xll.EQNXTDZ($A$1,$B15,FJ$1)</f>
        <v>#NAME?</v>
      </c>
      <c r="FK15" s="110" t="e" cm="1">
        <f t="array" aca="1" ref="FK15" ca="1">_xll.EQNXTDZ($A$1,$B15,FK$1)</f>
        <v>#NAME?</v>
      </c>
      <c r="FL15" s="110" t="e" cm="1">
        <f t="array" aca="1" ref="FL15" ca="1">_xll.EQNXTDZ($A$1,$B15,FL$1)</f>
        <v>#NAME?</v>
      </c>
      <c r="FM15" s="110" t="e" cm="1">
        <f t="array" aca="1" ref="FM15" ca="1">_xll.EQNXTDZ($A$1,$B15,FM$1)</f>
        <v>#NAME?</v>
      </c>
      <c r="FN15" s="110" t="e" cm="1">
        <f t="array" aca="1" ref="FN15" ca="1">_xll.EQNXTDZ($A$1,$B15,FN$1)</f>
        <v>#NAME?</v>
      </c>
      <c r="FO15" s="110" t="e" cm="1">
        <f t="array" aca="1" ref="FO15" ca="1">_xll.EQNXTDZ($A$1,$B15,FO$1)</f>
        <v>#NAME?</v>
      </c>
      <c r="FP15" s="110" t="e" cm="1">
        <f t="array" aca="1" ref="FP15" ca="1">_xll.EQNXTDZ($A$1,$B15,FP$1)</f>
        <v>#NAME?</v>
      </c>
      <c r="FQ15" s="110" t="e" cm="1">
        <f t="array" aca="1" ref="FQ15" ca="1">_xll.EQNXTDZ($A$1,$B15,FQ$1)</f>
        <v>#NAME?</v>
      </c>
      <c r="FR15" s="110" t="e" cm="1">
        <f t="array" aca="1" ref="FR15" ca="1">_xll.EQNXTDZ($A$1,$B15,FR$1)</f>
        <v>#NAME?</v>
      </c>
      <c r="FS15" s="110" t="e" cm="1">
        <f t="array" aca="1" ref="FS15" ca="1">_xll.EQNXTDZ($A$1,$B15,FS$1)</f>
        <v>#NAME?</v>
      </c>
      <c r="FT15" s="110" t="e" cm="1">
        <f t="array" aca="1" ref="FT15" ca="1">_xll.EQNXTDZ($A$1,$B15,FT$1)</f>
        <v>#NAME?</v>
      </c>
      <c r="FU15" s="110" t="e" cm="1">
        <f t="array" aca="1" ref="FU15" ca="1">_xll.EQNXTDZ($A$1,$B15,FU$1)</f>
        <v>#NAME?</v>
      </c>
      <c r="FV15" s="110" t="e" cm="1">
        <f t="array" aca="1" ref="FV15" ca="1">_xll.EQNXTDZ($A$1,$B15,FV$1)</f>
        <v>#NAME?</v>
      </c>
      <c r="FW15" s="110" t="e" cm="1">
        <f t="array" aca="1" ref="FW15" ca="1">_xll.EQNXTDZ($A$1,$B15,FW$1)</f>
        <v>#NAME?</v>
      </c>
      <c r="FX15" s="110" t="e" cm="1">
        <f t="array" aca="1" ref="FX15" ca="1">_xll.EQNXTDZ($A$1,$B15,FX$1)</f>
        <v>#NAME?</v>
      </c>
      <c r="FY15" s="110" t="e" cm="1">
        <f t="array" aca="1" ref="FY15" ca="1">_xll.EQNXTDZ($A$1,$B15,FY$1)</f>
        <v>#NAME?</v>
      </c>
      <c r="FZ15" s="110" t="e" cm="1">
        <f t="array" aca="1" ref="FZ15" ca="1">_xll.EQNXTDZ($A$1,$B15,FZ$1)</f>
        <v>#NAME?</v>
      </c>
      <c r="GA15" s="110" t="e" cm="1">
        <f t="array" aca="1" ref="GA15" ca="1">_xll.EQNXTDZ($A$1,$B15,GA$1)</f>
        <v>#NAME?</v>
      </c>
      <c r="GB15" s="110" t="e" cm="1">
        <f t="array" aca="1" ref="GB15" ca="1">_xll.EQNXTDZ($A$1,$B15,GB$1)</f>
        <v>#NAME?</v>
      </c>
      <c r="GC15" s="110" t="e" cm="1">
        <f t="array" aca="1" ref="GC15" ca="1">_xll.EQNXTDZ($A$1,$B15,GC$1)</f>
        <v>#NAME?</v>
      </c>
      <c r="GD15" s="110" t="e" cm="1">
        <f t="array" aca="1" ref="GD15" ca="1">_xll.EQNXTDZ($A$1,$B15,GD$1)</f>
        <v>#NAME?</v>
      </c>
      <c r="GE15" s="110" t="e" cm="1">
        <f t="array" aca="1" ref="GE15" ca="1">_xll.EQNXTDZ($A$1,$B15,GE$1)</f>
        <v>#NAME?</v>
      </c>
      <c r="GF15" s="110" t="e" cm="1">
        <f t="array" aca="1" ref="GF15" ca="1">_xll.EQNXTDZ($A$1,$B15,GF$1)</f>
        <v>#NAME?</v>
      </c>
      <c r="GG15" s="110" t="e" cm="1">
        <f t="array" aca="1" ref="GG15" ca="1">_xll.EQNXTDZ($A$1,$B15,GG$1)</f>
        <v>#NAME?</v>
      </c>
      <c r="GH15" s="110" t="e" cm="1">
        <f t="array" aca="1" ref="GH15" ca="1">_xll.EQNXTDZ($A$1,$B15,GH$1)</f>
        <v>#NAME?</v>
      </c>
      <c r="GI15" s="110" t="e" cm="1">
        <f t="array" aca="1" ref="GI15" ca="1">_xll.EQNXTDZ($A$1,$B15,GI$1)</f>
        <v>#NAME?</v>
      </c>
      <c r="GJ15" s="110" t="e" cm="1">
        <f t="array" aca="1" ref="GJ15" ca="1">_xll.EQNXTDZ($A$1,$B15,GJ$1)</f>
        <v>#NAME?</v>
      </c>
      <c r="GK15" s="110" t="e" cm="1">
        <f t="array" aca="1" ref="GK15" ca="1">_xll.EQNXTDZ($A$1,$B15,GK$1)</f>
        <v>#NAME?</v>
      </c>
      <c r="GL15" s="110" t="e" cm="1">
        <f t="array" aca="1" ref="GL15" ca="1">_xll.EQNXTDZ($A$1,$B15,GL$1)</f>
        <v>#NAME?</v>
      </c>
      <c r="GM15" s="110" t="e" cm="1">
        <f t="array" aca="1" ref="GM15" ca="1">_xll.EQNXTDZ($A$1,$B15,GM$1)</f>
        <v>#NAME?</v>
      </c>
      <c r="GN15" s="110" t="e" cm="1">
        <f t="array" aca="1" ref="GN15" ca="1">_xll.EQNXTDZ($A$1,$B15,GN$1)</f>
        <v>#NAME?</v>
      </c>
      <c r="GO15" s="110" t="e" cm="1">
        <f t="array" aca="1" ref="GO15" ca="1">_xll.EQNXTDZ($A$1,$B15,GO$1)</f>
        <v>#NAME?</v>
      </c>
      <c r="GP15" s="110" t="e" cm="1">
        <f t="array" aca="1" ref="GP15" ca="1">_xll.EQNXTDZ($A$1,$B15,GP$1)</f>
        <v>#NAME?</v>
      </c>
      <c r="GQ15" s="110" t="e" cm="1">
        <f t="array" aca="1" ref="GQ15" ca="1">_xll.EQNXTDZ($A$1,$B15,GQ$1)</f>
        <v>#NAME?</v>
      </c>
      <c r="GR15" s="110" t="e" cm="1">
        <f t="array" aca="1" ref="GR15" ca="1">_xll.EQNXTDZ($A$1,$B15,GR$1)</f>
        <v>#NAME?</v>
      </c>
      <c r="GS15" s="110" t="e" cm="1">
        <f t="array" aca="1" ref="GS15" ca="1">_xll.EQNXTDZ($A$1,$B15,GS$1)</f>
        <v>#NAME?</v>
      </c>
      <c r="GT15" s="110" t="e" cm="1">
        <f t="array" aca="1" ref="GT15" ca="1">_xll.EQNXTDZ($A$1,$B15,GT$1)</f>
        <v>#NAME?</v>
      </c>
      <c r="GU15" s="110" t="e" cm="1">
        <f t="array" aca="1" ref="GU15" ca="1">_xll.EQNXTDZ($A$1,$B15,GU$1)</f>
        <v>#NAME?</v>
      </c>
      <c r="GV15" s="110" t="e" cm="1">
        <f t="array" aca="1" ref="GV15" ca="1">_xll.EQNXTDZ($A$1,$B15,GV$1)</f>
        <v>#NAME?</v>
      </c>
      <c r="GW15" s="110" t="e" cm="1">
        <f t="array" aca="1" ref="GW15" ca="1">_xll.EQNXTDZ($A$1,$B15,GW$1)</f>
        <v>#NAME?</v>
      </c>
      <c r="GX15" s="110" t="e" cm="1">
        <f t="array" aca="1" ref="GX15" ca="1">_xll.EQNXTDZ($A$1,$B15,GX$1)</f>
        <v>#NAME?</v>
      </c>
      <c r="GY15" s="110" t="e" cm="1">
        <f t="array" aca="1" ref="GY15" ca="1">_xll.EQNXTDZ($A$1,$B15,GY$1)</f>
        <v>#NAME?</v>
      </c>
      <c r="GZ15" s="110" t="e" cm="1">
        <f t="array" aca="1" ref="GZ15" ca="1">_xll.EQNXTDZ($A$1,$B15,GZ$1)</f>
        <v>#NAME?</v>
      </c>
      <c r="HA15" s="110" t="e" cm="1">
        <f t="array" aca="1" ref="HA15" ca="1">_xll.EQNXTDZ($A$1,$B15,HA$1)</f>
        <v>#NAME?</v>
      </c>
      <c r="HB15" s="110" t="e" cm="1">
        <f t="array" aca="1" ref="HB15" ca="1">_xll.EQNXTDZ($A$1,$B15,HB$1)</f>
        <v>#NAME?</v>
      </c>
      <c r="HC15" s="110" t="e" cm="1">
        <f t="array" aca="1" ref="HC15" ca="1">_xll.EQNXTDZ($A$1,$B15,HC$1)</f>
        <v>#NAME?</v>
      </c>
      <c r="HD15" s="110" t="e" cm="1">
        <f t="array" aca="1" ref="HD15" ca="1">_xll.EQNXTDZ($A$1,$B15,HD$1)</f>
        <v>#NAME?</v>
      </c>
      <c r="HE15" s="110" t="e" cm="1">
        <f t="array" aca="1" ref="HE15" ca="1">_xll.EQNXTDZ($A$1,$B15,HE$1)</f>
        <v>#NAME?</v>
      </c>
      <c r="HF15" s="110" t="e" cm="1">
        <f t="array" aca="1" ref="HF15" ca="1">_xll.EQNXTDZ($A$1,$B15,HF$1)</f>
        <v>#NAME?</v>
      </c>
      <c r="HG15" s="110" t="e" cm="1">
        <f t="array" aca="1" ref="HG15" ca="1">_xll.EQNXTDZ($A$1,$B15,HG$1)</f>
        <v>#NAME?</v>
      </c>
      <c r="HH15" s="110" t="e" cm="1">
        <f t="array" aca="1" ref="HH15" ca="1">_xll.EQNXTDZ($A$1,$B15,HH$1)</f>
        <v>#NAME?</v>
      </c>
      <c r="HP15" s="110" t="e">
        <f ca="1">+MIN(D15:F15)</f>
        <v>#NAME?</v>
      </c>
      <c r="HQ15" s="110" t="e">
        <f ca="1">+MIN(G15:I15)</f>
        <v>#NAME?</v>
      </c>
      <c r="HR15" s="110" t="e">
        <f ca="1">+MIN(J15:L15)</f>
        <v>#NAME?</v>
      </c>
      <c r="HS15" s="110" t="e">
        <f ca="1">+MIN(M15:O15)</f>
        <v>#NAME?</v>
      </c>
      <c r="HT15" s="110" t="e">
        <f ca="1">+MIN(P15:R15)</f>
        <v>#NAME?</v>
      </c>
      <c r="HU15" s="110" t="e">
        <f ca="1">+MIN(S15:U15)</f>
        <v>#NAME?</v>
      </c>
      <c r="HV15" s="110" t="e">
        <f ca="1">+MIN(V15:X15)</f>
        <v>#NAME?</v>
      </c>
      <c r="HW15" s="110" t="e">
        <f ca="1">+MIN(Y15:AA15)</f>
        <v>#NAME?</v>
      </c>
      <c r="HX15" s="110" t="e">
        <f ca="1">+MIN(AB15:AD15)</f>
        <v>#NAME?</v>
      </c>
      <c r="HY15" s="110" t="e">
        <f ca="1">+MIN(AE15:AG15)</f>
        <v>#NAME?</v>
      </c>
      <c r="HZ15" s="110" t="e">
        <f ca="1">+MIN(AH15:AJ15)</f>
        <v>#NAME?</v>
      </c>
      <c r="IA15" s="110" t="e">
        <f ca="1">+MIN(AK15:AM15)</f>
        <v>#NAME?</v>
      </c>
      <c r="IB15" s="110" t="e">
        <f ca="1">+MIN(AN15:AP15)</f>
        <v>#NAME?</v>
      </c>
      <c r="IC15" s="110" t="e">
        <f ca="1">+MIN(AQ15:AS15)</f>
        <v>#NAME?</v>
      </c>
      <c r="ID15" s="110" t="e">
        <f ca="1">+MIN(AT15:AV15)</f>
        <v>#NAME?</v>
      </c>
      <c r="IE15" s="110" t="e">
        <f ca="1">+MIN(AW15:AY15)</f>
        <v>#NAME?</v>
      </c>
      <c r="IF15" s="110" t="e">
        <f ca="1">+MIN(AZ15:BB15)</f>
        <v>#NAME?</v>
      </c>
      <c r="IG15" s="110" t="e">
        <f ca="1">+MIN(BC15:BE15)</f>
        <v>#NAME?</v>
      </c>
      <c r="IH15" s="110" t="e">
        <f ca="1">+MIN(BF15:BH15)</f>
        <v>#NAME?</v>
      </c>
      <c r="II15" s="110" t="e">
        <f ca="1">+MIN(BI15:BK15)</f>
        <v>#NAME?</v>
      </c>
      <c r="IJ15" s="110" t="e">
        <f ca="1">+MIN(BL15:BN15)</f>
        <v>#NAME?</v>
      </c>
      <c r="IK15" s="110" t="e">
        <f ca="1">+MIN(BO15:BQ15)</f>
        <v>#NAME?</v>
      </c>
      <c r="IL15" s="110" t="e">
        <f ca="1">+MIN(BR15:BT15)</f>
        <v>#NAME?</v>
      </c>
      <c r="IM15" s="110" t="e">
        <f ca="1">+MIN(BU15:BW15)</f>
        <v>#NAME?</v>
      </c>
      <c r="IN15" s="110" t="e">
        <f ca="1">+MIN(BX15:BZ15)</f>
        <v>#NAME?</v>
      </c>
      <c r="IO15" s="110" t="e">
        <f ca="1">+MIN(CA15:CC15)</f>
        <v>#NAME?</v>
      </c>
      <c r="IP15" s="110" t="e">
        <f ca="1">+MIN(CD15:CF15)</f>
        <v>#NAME?</v>
      </c>
      <c r="IQ15" s="110" t="e">
        <f ca="1">+MIN(CG15:CI15)</f>
        <v>#NAME?</v>
      </c>
      <c r="IR15" s="110" t="e">
        <f ca="1">+MIN(CJ15:CL15)</f>
        <v>#NAME?</v>
      </c>
      <c r="IS15" s="110" t="e">
        <f ca="1">+MIN(CM15:CO15)</f>
        <v>#NAME?</v>
      </c>
      <c r="IT15" s="110" t="e">
        <f ca="1">+MIN(CP15:CR15)</f>
        <v>#NAME?</v>
      </c>
      <c r="IU15" s="110" t="e">
        <f ca="1">+MIN(CS15:CU15)</f>
        <v>#NAME?</v>
      </c>
      <c r="IV15" s="110" t="e">
        <f ca="1">+MIN(CV15:CX15)</f>
        <v>#NAME?</v>
      </c>
      <c r="IW15" s="110" t="e">
        <f ca="1">+MIN(CY15:DA15)</f>
        <v>#NAME?</v>
      </c>
      <c r="IX15" s="110" t="e">
        <f ca="1">+MIN(DB15:DD15)</f>
        <v>#NAME?</v>
      </c>
      <c r="IY15" s="110" t="e">
        <f ca="1">+MIN(DE15:DG15)</f>
        <v>#NAME?</v>
      </c>
      <c r="IZ15" s="110" t="e">
        <f ca="1">+MIN(DH15:DJ15)</f>
        <v>#NAME?</v>
      </c>
      <c r="JA15" s="110" t="e">
        <f ca="1">+MIN(DK15:DM15)</f>
        <v>#NAME?</v>
      </c>
      <c r="JB15" s="110" t="e">
        <f ca="1">+MIN(DN15:DP15)</f>
        <v>#NAME?</v>
      </c>
      <c r="JC15" s="110" t="e">
        <f ca="1">+MIN(DQ15:DS15)</f>
        <v>#NAME?</v>
      </c>
      <c r="JD15" s="110" t="e">
        <f ca="1">+MIN(DT15:DV15)</f>
        <v>#NAME?</v>
      </c>
      <c r="JE15" s="110" t="e">
        <f ca="1">+MIN(DW15:DY15)</f>
        <v>#NAME?</v>
      </c>
      <c r="JF15" s="110" t="e">
        <f ca="1">+MIN(DZ15:EB15)</f>
        <v>#NAME?</v>
      </c>
      <c r="JG15" s="110" t="e">
        <f ca="1">+MIN(EC15:EE15)</f>
        <v>#NAME?</v>
      </c>
      <c r="JH15" s="110" t="e">
        <f ca="1">+MIN(EF15:EH15)</f>
        <v>#NAME?</v>
      </c>
      <c r="JI15" s="110" t="e">
        <f ca="1">+MIN(EI15:EK15)</f>
        <v>#NAME?</v>
      </c>
      <c r="JJ15" s="110" t="e">
        <f ca="1">+MIN(EL15:EN15)</f>
        <v>#NAME?</v>
      </c>
      <c r="JK15" s="110" t="e">
        <f ca="1">MIN(EO15:EQ15)</f>
        <v>#NAME?</v>
      </c>
      <c r="JL15" s="110" t="e">
        <f ca="1">MIN(ER15:ET15)</f>
        <v>#NAME?</v>
      </c>
      <c r="JM15" s="110" t="e">
        <f ca="1">MIN(EU15:EW15)</f>
        <v>#NAME?</v>
      </c>
      <c r="JN15" s="110" t="e">
        <f ca="1">MIN(EX15:EZ15)</f>
        <v>#NAME?</v>
      </c>
      <c r="JO15" s="110" t="e">
        <f ca="1">MIN(FA15:FC15)</f>
        <v>#NAME?</v>
      </c>
      <c r="JP15" s="110" t="e">
        <f ca="1">MIN(FD15:FF15)</f>
        <v>#NAME?</v>
      </c>
      <c r="JQ15" s="110" t="e">
        <f ca="1">MIN(FG15:FI15)</f>
        <v>#NAME?</v>
      </c>
      <c r="JR15" s="110" t="e">
        <f ca="1">MIN(FJ15:FL15)</f>
        <v>#NAME?</v>
      </c>
      <c r="JS15" s="110" t="e">
        <f ca="1">MIN(FM15:FO15)</f>
        <v>#NAME?</v>
      </c>
      <c r="JT15" s="110" t="e">
        <f ca="1">MIN(FP15:FR15)</f>
        <v>#NAME?</v>
      </c>
      <c r="JU15" s="110" t="e">
        <f ca="1">MIN(FS15:FU15)</f>
        <v>#NAME?</v>
      </c>
      <c r="JV15" s="110" t="e">
        <f ca="1">MIN(FV15:FX15)</f>
        <v>#NAME?</v>
      </c>
      <c r="JW15" s="110" t="e">
        <f ca="1">MIN(FY15:GA15)</f>
        <v>#NAME?</v>
      </c>
      <c r="JX15" s="110" t="e">
        <f ca="1">MIN(GB15:GD15)</f>
        <v>#NAME?</v>
      </c>
      <c r="JY15" s="110" t="e">
        <f ca="1">MIN(GE15:GG15)</f>
        <v>#NAME?</v>
      </c>
      <c r="JZ15" s="110" t="e">
        <f ca="1">MIN(GH15:GJ15)</f>
        <v>#NAME?</v>
      </c>
      <c r="KA15" s="110" t="e">
        <f ca="1">MIN(GK15:GM15)</f>
        <v>#NAME?</v>
      </c>
      <c r="KB15" s="110" t="e">
        <f ca="1">MIN(GN15:GP15)</f>
        <v>#NAME?</v>
      </c>
      <c r="KC15" s="110" t="e">
        <f ca="1">MIN(GQ15:GS15)</f>
        <v>#NAME?</v>
      </c>
      <c r="KD15" s="110" t="e">
        <f ca="1">MIN(GT15:GV15)</f>
        <v>#NAME?</v>
      </c>
      <c r="KE15" s="110" t="e">
        <f ca="1">MIN(GW15:GY15)</f>
        <v>#NAME?</v>
      </c>
      <c r="KF15" s="110" t="e">
        <f ca="1">MIN(GZ15:HB15)</f>
        <v>#NAME?</v>
      </c>
      <c r="KG15" s="110" t="e">
        <f ca="1">MIN(HC15:HE15)</f>
        <v>#NAME?</v>
      </c>
      <c r="KH15" s="110" t="e">
        <f ca="1">MIN(HF15:HH15)</f>
        <v>#NAME?</v>
      </c>
    </row>
    <row r="16" spans="1:294" s="110" customFormat="1" x14ac:dyDescent="0.25">
      <c r="A16" s="110" t="s">
        <v>41</v>
      </c>
      <c r="B16" s="110" t="s">
        <v>339</v>
      </c>
      <c r="C16" s="110" t="e" cm="1">
        <f t="array" aca="1" ref="C16" ca="1">_xll.EQNXTDZ($A$1,$B16,C$1)</f>
        <v>#NAME?</v>
      </c>
      <c r="D16" s="110" t="e" cm="1">
        <f t="array" aca="1" ref="D16" ca="1">_xll.EQNXTDZ($A$1,$B16,D$1)</f>
        <v>#NAME?</v>
      </c>
      <c r="E16" s="110" t="e" cm="1">
        <f t="array" aca="1" ref="E16" ca="1">_xll.EQNXTDZ($A$1,$B16,E$1)</f>
        <v>#NAME?</v>
      </c>
      <c r="F16" s="110" t="e" cm="1">
        <f t="array" aca="1" ref="F16" ca="1">_xll.EQNXTDZ($A$1,$B16,F$1)</f>
        <v>#NAME?</v>
      </c>
      <c r="G16" s="110" t="e" cm="1">
        <f t="array" aca="1" ref="G16" ca="1">_xll.EQNXTDZ($A$1,$B16,G$1)</f>
        <v>#NAME?</v>
      </c>
      <c r="H16" s="110" t="e" cm="1">
        <f t="array" aca="1" ref="H16" ca="1">_xll.EQNXTDZ($A$1,$B16,H$1)</f>
        <v>#NAME?</v>
      </c>
      <c r="I16" s="110" t="e" cm="1">
        <f t="array" aca="1" ref="I16" ca="1">_xll.EQNXTDZ($A$1,$B16,I$1)</f>
        <v>#NAME?</v>
      </c>
      <c r="J16" s="110" t="e" cm="1">
        <f t="array" aca="1" ref="J16" ca="1">_xll.EQNXTDZ($A$1,$B16,J$1)</f>
        <v>#NAME?</v>
      </c>
      <c r="K16" s="110" t="e" cm="1">
        <f t="array" aca="1" ref="K16" ca="1">_xll.EQNXTDZ($A$1,$B16,K$1)</f>
        <v>#NAME?</v>
      </c>
      <c r="L16" s="110" t="e" cm="1">
        <f t="array" aca="1" ref="L16" ca="1">_xll.EQNXTDZ($A$1,$B16,L$1)</f>
        <v>#NAME?</v>
      </c>
      <c r="M16" s="110" t="e" cm="1">
        <f t="array" aca="1" ref="M16" ca="1">_xll.EQNXTDZ($A$1,$B16,M$1)</f>
        <v>#NAME?</v>
      </c>
      <c r="N16" s="110" t="e" cm="1">
        <f t="array" aca="1" ref="N16" ca="1">_xll.EQNXTDZ($A$1,$B16,N$1)</f>
        <v>#NAME?</v>
      </c>
      <c r="O16" s="110" t="e" cm="1">
        <f t="array" aca="1" ref="O16" ca="1">_xll.EQNXTDZ($A$1,$B16,O$1)</f>
        <v>#NAME?</v>
      </c>
      <c r="P16" s="110" t="e" cm="1">
        <f t="array" aca="1" ref="P16" ca="1">_xll.EQNXTDZ($A$1,$B16,P$1)</f>
        <v>#NAME?</v>
      </c>
      <c r="Q16" s="110" t="e" cm="1">
        <f t="array" aca="1" ref="Q16" ca="1">_xll.EQNXTDZ($A$1,$B16,Q$1)</f>
        <v>#NAME?</v>
      </c>
      <c r="R16" s="110" t="e" cm="1">
        <f t="array" aca="1" ref="R16" ca="1">_xll.EQNXTDZ($A$1,$B16,R$1)</f>
        <v>#NAME?</v>
      </c>
      <c r="S16" s="110" t="e" cm="1">
        <f t="array" aca="1" ref="S16" ca="1">_xll.EQNXTDZ($A$1,$B16,S$1)</f>
        <v>#NAME?</v>
      </c>
      <c r="T16" s="110" t="e" cm="1">
        <f t="array" aca="1" ref="T16" ca="1">_xll.EQNXTDZ($A$1,$B16,T$1)</f>
        <v>#NAME?</v>
      </c>
      <c r="U16" s="110" t="e" cm="1">
        <f t="array" aca="1" ref="U16" ca="1">_xll.EQNXTDZ($A$1,$B16,U$1)</f>
        <v>#NAME?</v>
      </c>
      <c r="V16" s="110" t="e" cm="1">
        <f t="array" aca="1" ref="V16" ca="1">_xll.EQNXTDZ($A$1,$B16,V$1)</f>
        <v>#NAME?</v>
      </c>
      <c r="W16" s="110" t="e" cm="1">
        <f t="array" aca="1" ref="W16" ca="1">_xll.EQNXTDZ($A$1,$B16,W$1)</f>
        <v>#NAME?</v>
      </c>
      <c r="X16" s="110" t="e" cm="1">
        <f t="array" aca="1" ref="X16" ca="1">_xll.EQNXTDZ($A$1,$B16,X$1)</f>
        <v>#NAME?</v>
      </c>
      <c r="Y16" s="110" t="e" cm="1">
        <f t="array" aca="1" ref="Y16" ca="1">_xll.EQNXTDZ($A$1,$B16,Y$1)</f>
        <v>#NAME?</v>
      </c>
      <c r="Z16" s="110" t="e" cm="1">
        <f t="array" aca="1" ref="Z16" ca="1">_xll.EQNXTDZ($A$1,$B16,Z$1)</f>
        <v>#NAME?</v>
      </c>
      <c r="AA16" s="110" t="e" cm="1">
        <f t="array" aca="1" ref="AA16" ca="1">_xll.EQNXTDZ($A$1,$B16,AA$1)</f>
        <v>#NAME?</v>
      </c>
      <c r="AB16" s="110" t="e" cm="1">
        <f t="array" aca="1" ref="AB16" ca="1">_xll.EQNXTDZ($A$1,$B16,AB$1)</f>
        <v>#NAME?</v>
      </c>
      <c r="AC16" s="110" t="e" cm="1">
        <f t="array" aca="1" ref="AC16" ca="1">_xll.EQNXTDZ($A$1,$B16,AC$1)</f>
        <v>#NAME?</v>
      </c>
      <c r="AD16" s="110" t="e" cm="1">
        <f t="array" aca="1" ref="AD16" ca="1">_xll.EQNXTDZ($A$1,$B16,AD$1)</f>
        <v>#NAME?</v>
      </c>
      <c r="AE16" s="110" t="e" cm="1">
        <f t="array" aca="1" ref="AE16" ca="1">_xll.EQNXTDZ($A$1,$B16,AE$1)</f>
        <v>#NAME?</v>
      </c>
      <c r="AF16" s="110" t="e" cm="1">
        <f t="array" aca="1" ref="AF16" ca="1">_xll.EQNXTDZ($A$1,$B16,AF$1)</f>
        <v>#NAME?</v>
      </c>
      <c r="AG16" s="110" t="e" cm="1">
        <f t="array" aca="1" ref="AG16" ca="1">_xll.EQNXTDZ($A$1,$B16,AG$1)</f>
        <v>#NAME?</v>
      </c>
      <c r="AH16" s="110" t="e" cm="1">
        <f t="array" aca="1" ref="AH16" ca="1">_xll.EQNXTDZ($A$1,$B16,AH$1)</f>
        <v>#NAME?</v>
      </c>
      <c r="AI16" s="110" t="e" cm="1">
        <f t="array" aca="1" ref="AI16" ca="1">_xll.EQNXTDZ($A$1,$B16,AI$1)</f>
        <v>#NAME?</v>
      </c>
      <c r="AJ16" s="110" t="e" cm="1">
        <f t="array" aca="1" ref="AJ16" ca="1">_xll.EQNXTDZ($A$1,$B16,AJ$1)</f>
        <v>#NAME?</v>
      </c>
      <c r="AK16" s="110" t="e" cm="1">
        <f t="array" aca="1" ref="AK16" ca="1">_xll.EQNXTDZ($A$1,$B16,AK$1)</f>
        <v>#NAME?</v>
      </c>
      <c r="AL16" s="110" t="e" cm="1">
        <f t="array" aca="1" ref="AL16" ca="1">_xll.EQNXTDZ($A$1,$B16,AL$1)</f>
        <v>#NAME?</v>
      </c>
      <c r="AM16" s="110" t="e" cm="1">
        <f t="array" aca="1" ref="AM16" ca="1">_xll.EQNXTDZ($A$1,$B16,AM$1)</f>
        <v>#NAME?</v>
      </c>
      <c r="AN16" s="110" t="e" cm="1">
        <f t="array" aca="1" ref="AN16" ca="1">_xll.EQNXTDZ($A$1,$B16,AN$1)</f>
        <v>#NAME?</v>
      </c>
      <c r="AO16" s="110" t="e" cm="1">
        <f t="array" aca="1" ref="AO16" ca="1">_xll.EQNXTDZ($A$1,$B16,AO$1)</f>
        <v>#NAME?</v>
      </c>
      <c r="AP16" s="110" t="e" cm="1">
        <f t="array" aca="1" ref="AP16" ca="1">_xll.EQNXTDZ($A$1,$B16,AP$1)</f>
        <v>#NAME?</v>
      </c>
      <c r="AQ16" s="110" t="e" cm="1">
        <f t="array" aca="1" ref="AQ16" ca="1">_xll.EQNXTDZ($A$1,$B16,AQ$1)</f>
        <v>#NAME?</v>
      </c>
      <c r="AR16" s="110" t="e" cm="1">
        <f t="array" aca="1" ref="AR16" ca="1">_xll.EQNXTDZ($A$1,$B16,AR$1)</f>
        <v>#NAME?</v>
      </c>
      <c r="AS16" s="110" t="e" cm="1">
        <f t="array" aca="1" ref="AS16" ca="1">_xll.EQNXTDZ($A$1,$B16,AS$1)</f>
        <v>#NAME?</v>
      </c>
      <c r="AT16" s="110" t="e" cm="1">
        <f t="array" aca="1" ref="AT16" ca="1">_xll.EQNXTDZ($A$1,$B16,AT$1)</f>
        <v>#NAME?</v>
      </c>
      <c r="AU16" s="110" t="e" cm="1">
        <f t="array" aca="1" ref="AU16" ca="1">_xll.EQNXTDZ($A$1,$B16,AU$1)</f>
        <v>#NAME?</v>
      </c>
      <c r="AV16" s="110" t="e" cm="1">
        <f t="array" aca="1" ref="AV16" ca="1">_xll.EQNXTDZ($A$1,$B16,AV$1)</f>
        <v>#NAME?</v>
      </c>
      <c r="AW16" s="110" t="e" cm="1">
        <f t="array" aca="1" ref="AW16" ca="1">_xll.EQNXTDZ($A$1,$B16,AW$1)</f>
        <v>#NAME?</v>
      </c>
      <c r="AX16" s="110" t="e" cm="1">
        <f t="array" aca="1" ref="AX16" ca="1">_xll.EQNXTDZ($A$1,$B16,AX$1)</f>
        <v>#NAME?</v>
      </c>
      <c r="AY16" s="110" t="e" cm="1">
        <f t="array" aca="1" ref="AY16" ca="1">_xll.EQNXTDZ($A$1,$B16,AY$1)</f>
        <v>#NAME?</v>
      </c>
      <c r="AZ16" s="110" t="e" cm="1">
        <f t="array" aca="1" ref="AZ16" ca="1">_xll.EQNXTDZ($A$1,$B16,AZ$1)</f>
        <v>#NAME?</v>
      </c>
      <c r="BA16" s="110" t="e" cm="1">
        <f t="array" aca="1" ref="BA16" ca="1">_xll.EQNXTDZ($A$1,$B16,BA$1)</f>
        <v>#NAME?</v>
      </c>
      <c r="BB16" s="110" t="e" cm="1">
        <f t="array" aca="1" ref="BB16" ca="1">_xll.EQNXTDZ($A$1,$B16,BB$1)</f>
        <v>#NAME?</v>
      </c>
      <c r="BC16" s="110" t="e" cm="1">
        <f t="array" aca="1" ref="BC16" ca="1">_xll.EQNXTDZ($A$1,$B16,BC$1)</f>
        <v>#NAME?</v>
      </c>
      <c r="BD16" s="110" t="e" cm="1">
        <f t="array" aca="1" ref="BD16" ca="1">_xll.EQNXTDZ($A$1,$B16,BD$1)</f>
        <v>#NAME?</v>
      </c>
      <c r="BE16" s="110" t="e" cm="1">
        <f t="array" aca="1" ref="BE16" ca="1">_xll.EQNXTDZ($A$1,$B16,BE$1)</f>
        <v>#NAME?</v>
      </c>
      <c r="BF16" s="110" t="e" cm="1">
        <f t="array" aca="1" ref="BF16" ca="1">_xll.EQNXTDZ($A$1,$B16,BF$1)</f>
        <v>#NAME?</v>
      </c>
      <c r="BG16" s="110" t="e" cm="1">
        <f t="array" aca="1" ref="BG16" ca="1">_xll.EQNXTDZ($A$1,$B16,BG$1)</f>
        <v>#NAME?</v>
      </c>
      <c r="BH16" s="110" t="e" cm="1">
        <f t="array" aca="1" ref="BH16" ca="1">_xll.EQNXTDZ($A$1,$B16,BH$1)</f>
        <v>#NAME?</v>
      </c>
      <c r="BI16" s="110" t="e" cm="1">
        <f t="array" aca="1" ref="BI16" ca="1">_xll.EQNXTDZ($A$1,$B16,BI$1)</f>
        <v>#NAME?</v>
      </c>
      <c r="BJ16" s="110" t="e" cm="1">
        <f t="array" aca="1" ref="BJ16" ca="1">_xll.EQNXTDZ($A$1,$B16,BJ$1)</f>
        <v>#NAME?</v>
      </c>
      <c r="BK16" s="110" t="e" cm="1">
        <f t="array" aca="1" ref="BK16" ca="1">_xll.EQNXTDZ($A$1,$B16,BK$1)</f>
        <v>#NAME?</v>
      </c>
      <c r="BL16" s="110" t="e" cm="1">
        <f t="array" aca="1" ref="BL16" ca="1">_xll.EQNXTDZ($A$1,$B16,BL$1)</f>
        <v>#NAME?</v>
      </c>
      <c r="BM16" s="110" t="e" cm="1">
        <f t="array" aca="1" ref="BM16" ca="1">_xll.EQNXTDZ($A$1,$B16,BM$1)</f>
        <v>#NAME?</v>
      </c>
      <c r="BN16" s="110" t="e" cm="1">
        <f t="array" aca="1" ref="BN16" ca="1">_xll.EQNXTDZ($A$1,$B16,BN$1)</f>
        <v>#NAME?</v>
      </c>
      <c r="BO16" s="110" t="e" cm="1">
        <f t="array" aca="1" ref="BO16" ca="1">_xll.EQNXTDZ($A$1,$B16,BO$1)</f>
        <v>#NAME?</v>
      </c>
      <c r="BP16" s="110" t="e" cm="1">
        <f t="array" aca="1" ref="BP16" ca="1">_xll.EQNXTDZ($A$1,$B16,BP$1)</f>
        <v>#NAME?</v>
      </c>
      <c r="BQ16" s="110" t="e" cm="1">
        <f t="array" aca="1" ref="BQ16" ca="1">_xll.EQNXTDZ($A$1,$B16,BQ$1)</f>
        <v>#NAME?</v>
      </c>
      <c r="BR16" s="110" t="e" cm="1">
        <f t="array" aca="1" ref="BR16" ca="1">_xll.EQNXTDZ($A$1,$B16,BR$1)</f>
        <v>#NAME?</v>
      </c>
      <c r="BS16" s="110" t="e" cm="1">
        <f t="array" aca="1" ref="BS16" ca="1">_xll.EQNXTDZ($A$1,$B16,BS$1)</f>
        <v>#NAME?</v>
      </c>
      <c r="BT16" s="110" t="e" cm="1">
        <f t="array" aca="1" ref="BT16" ca="1">_xll.EQNXTDZ($A$1,$B16,BT$1)</f>
        <v>#NAME?</v>
      </c>
      <c r="BU16" s="110" t="e" cm="1">
        <f t="array" aca="1" ref="BU16" ca="1">_xll.EQNXTDZ($A$1,$B16,BU$1)</f>
        <v>#NAME?</v>
      </c>
      <c r="BV16" s="110" t="e" cm="1">
        <f t="array" aca="1" ref="BV16" ca="1">_xll.EQNXTDZ($A$1,$B16,BV$1)</f>
        <v>#NAME?</v>
      </c>
      <c r="BW16" s="110" t="e" cm="1">
        <f t="array" aca="1" ref="BW16" ca="1">_xll.EQNXTDZ($A$1,$B16,BW$1)</f>
        <v>#NAME?</v>
      </c>
      <c r="BX16" s="110" t="e" cm="1">
        <f t="array" aca="1" ref="BX16" ca="1">_xll.EQNXTDZ($A$1,$B16,BX$1)</f>
        <v>#NAME?</v>
      </c>
      <c r="BY16" s="110" t="e" cm="1">
        <f t="array" aca="1" ref="BY16" ca="1">_xll.EQNXTDZ($A$1,$B16,BY$1)</f>
        <v>#NAME?</v>
      </c>
      <c r="BZ16" s="110" t="e" cm="1">
        <f t="array" aca="1" ref="BZ16" ca="1">_xll.EQNXTDZ($A$1,$B16,BZ$1)</f>
        <v>#NAME?</v>
      </c>
      <c r="CA16" s="110" t="e" cm="1">
        <f t="array" aca="1" ref="CA16" ca="1">_xll.EQNXTDZ($A$1,$B16,CA$1)</f>
        <v>#NAME?</v>
      </c>
      <c r="CB16" s="110" t="e" cm="1">
        <f t="array" aca="1" ref="CB16" ca="1">_xll.EQNXTDZ($A$1,$B16,CB$1)</f>
        <v>#NAME?</v>
      </c>
      <c r="CC16" s="110" t="e" cm="1">
        <f t="array" aca="1" ref="CC16" ca="1">_xll.EQNXTDZ($A$1,$B16,CC$1)</f>
        <v>#NAME?</v>
      </c>
      <c r="CD16" s="110" t="e" cm="1">
        <f t="array" aca="1" ref="CD16" ca="1">_xll.EQNXTDZ($A$1,$B16,CD$1)</f>
        <v>#NAME?</v>
      </c>
      <c r="CE16" s="110" t="e" cm="1">
        <f t="array" aca="1" ref="CE16" ca="1">_xll.EQNXTDZ($A$1,$B16,CE$1)</f>
        <v>#NAME?</v>
      </c>
      <c r="CF16" s="110" t="e" cm="1">
        <f t="array" aca="1" ref="CF16" ca="1">_xll.EQNXTDZ($A$1,$B16,CF$1)</f>
        <v>#NAME?</v>
      </c>
      <c r="CG16" s="110" t="e" cm="1">
        <f t="array" aca="1" ref="CG16" ca="1">_xll.EQNXTDZ($A$1,$B16,CG$1)</f>
        <v>#NAME?</v>
      </c>
      <c r="CH16" s="110" t="e" cm="1">
        <f t="array" aca="1" ref="CH16" ca="1">_xll.EQNXTDZ($A$1,$B16,CH$1)</f>
        <v>#NAME?</v>
      </c>
      <c r="CI16" s="110" t="e" cm="1">
        <f t="array" aca="1" ref="CI16" ca="1">_xll.EQNXTDZ($A$1,$B16,CI$1)</f>
        <v>#NAME?</v>
      </c>
      <c r="CJ16" s="110" t="e" cm="1">
        <f t="array" aca="1" ref="CJ16" ca="1">_xll.EQNXTDZ($A$1,$B16,CJ$1)</f>
        <v>#NAME?</v>
      </c>
      <c r="CK16" s="110" t="e" cm="1">
        <f t="array" aca="1" ref="CK16" ca="1">_xll.EQNXTDZ($A$1,$B16,CK$1)</f>
        <v>#NAME?</v>
      </c>
      <c r="CL16" s="110" t="e" cm="1">
        <f t="array" aca="1" ref="CL16" ca="1">_xll.EQNXTDZ($A$1,$B16,CL$1)</f>
        <v>#NAME?</v>
      </c>
      <c r="CM16" s="110" t="e" cm="1">
        <f t="array" aca="1" ref="CM16" ca="1">_xll.EQNXTDZ($A$1,$B16,CM$1)</f>
        <v>#NAME?</v>
      </c>
      <c r="CN16" s="110" t="e" cm="1">
        <f t="array" aca="1" ref="CN16" ca="1">_xll.EQNXTDZ($A$1,$B16,CN$1)</f>
        <v>#NAME?</v>
      </c>
      <c r="CO16" s="110" t="e" cm="1">
        <f t="array" aca="1" ref="CO16" ca="1">_xll.EQNXTDZ($A$1,$B16,CO$1)</f>
        <v>#NAME?</v>
      </c>
      <c r="CP16" s="110" t="e" cm="1">
        <f t="array" aca="1" ref="CP16" ca="1">_xll.EQNXTDZ($A$1,$B16,CP$1)</f>
        <v>#NAME?</v>
      </c>
      <c r="CQ16" s="110" t="e" cm="1">
        <f t="array" aca="1" ref="CQ16" ca="1">_xll.EQNXTDZ($A$1,$B16,CQ$1)</f>
        <v>#NAME?</v>
      </c>
      <c r="CR16" s="110" t="e" cm="1">
        <f t="array" aca="1" ref="CR16" ca="1">_xll.EQNXTDZ($A$1,$B16,CR$1)</f>
        <v>#NAME?</v>
      </c>
      <c r="CS16" s="110" t="e" cm="1">
        <f t="array" aca="1" ref="CS16" ca="1">_xll.EQNXTDZ($A$1,$B16,CS$1)</f>
        <v>#NAME?</v>
      </c>
      <c r="CT16" s="110" t="e" cm="1">
        <f t="array" aca="1" ref="CT16" ca="1">_xll.EQNXTDZ($A$1,$B16,CT$1)</f>
        <v>#NAME?</v>
      </c>
      <c r="CU16" s="110" t="e" cm="1">
        <f t="array" aca="1" ref="CU16" ca="1">_xll.EQNXTDZ($A$1,$B16,CU$1)</f>
        <v>#NAME?</v>
      </c>
      <c r="CV16" s="110" t="e" cm="1">
        <f t="array" aca="1" ref="CV16" ca="1">_xll.EQNXTDZ($A$1,$B16,CV$1)</f>
        <v>#NAME?</v>
      </c>
      <c r="CW16" s="110" t="e" cm="1">
        <f t="array" aca="1" ref="CW16" ca="1">_xll.EQNXTDZ($A$1,$B16,CW$1)</f>
        <v>#NAME?</v>
      </c>
      <c r="CX16" s="110" t="e" cm="1">
        <f t="array" aca="1" ref="CX16" ca="1">_xll.EQNXTDZ($A$1,$B16,CX$1)</f>
        <v>#NAME?</v>
      </c>
      <c r="CY16" s="110" t="e" cm="1">
        <f t="array" aca="1" ref="CY16" ca="1">_xll.EQNXTDZ($A$1,$B16,CY$1)</f>
        <v>#NAME?</v>
      </c>
      <c r="CZ16" s="110" t="e" cm="1">
        <f t="array" aca="1" ref="CZ16" ca="1">_xll.EQNXTDZ($A$1,$B16,CZ$1)</f>
        <v>#NAME?</v>
      </c>
      <c r="DA16" s="110" t="e" cm="1">
        <f t="array" aca="1" ref="DA16" ca="1">_xll.EQNXTDZ($A$1,$B16,DA$1)</f>
        <v>#NAME?</v>
      </c>
      <c r="DB16" s="110" t="e" cm="1">
        <f t="array" aca="1" ref="DB16" ca="1">_xll.EQNXTDZ($A$1,$B16,DB$1)</f>
        <v>#NAME?</v>
      </c>
      <c r="DC16" s="110" t="e" cm="1">
        <f t="array" aca="1" ref="DC16" ca="1">_xll.EQNXTDZ($A$1,$B16,DC$1)</f>
        <v>#NAME?</v>
      </c>
      <c r="DD16" s="110" t="e" cm="1">
        <f t="array" aca="1" ref="DD16" ca="1">_xll.EQNXTDZ($A$1,$B16,DD$1)</f>
        <v>#NAME?</v>
      </c>
      <c r="DE16" s="110" t="e" cm="1">
        <f t="array" aca="1" ref="DE16" ca="1">_xll.EQNXTDZ($A$1,$B16,DE$1)</f>
        <v>#NAME?</v>
      </c>
      <c r="DF16" s="110" t="e" cm="1">
        <f t="array" aca="1" ref="DF16" ca="1">_xll.EQNXTDZ($A$1,$B16,DF$1)</f>
        <v>#NAME?</v>
      </c>
      <c r="DG16" s="110" t="e" cm="1">
        <f t="array" aca="1" ref="DG16" ca="1">_xll.EQNXTDZ($A$1,$B16,DG$1)</f>
        <v>#NAME?</v>
      </c>
      <c r="DH16" s="110" t="e" cm="1">
        <f t="array" aca="1" ref="DH16" ca="1">_xll.EQNXTDZ($A$1,$B16,DH$1)</f>
        <v>#NAME?</v>
      </c>
      <c r="DI16" s="110" t="e" cm="1">
        <f t="array" aca="1" ref="DI16" ca="1">_xll.EQNXTDZ($A$1,$B16,DI$1)</f>
        <v>#NAME?</v>
      </c>
      <c r="DJ16" s="110" t="e" cm="1">
        <f t="array" aca="1" ref="DJ16" ca="1">_xll.EQNXTDZ($A$1,$B16,DJ$1)</f>
        <v>#NAME?</v>
      </c>
      <c r="DK16" s="110" t="e" cm="1">
        <f t="array" aca="1" ref="DK16" ca="1">_xll.EQNXTDZ($A$1,$B16,DK$1)</f>
        <v>#NAME?</v>
      </c>
      <c r="DL16" s="110" t="e" cm="1">
        <f t="array" aca="1" ref="DL16" ca="1">_xll.EQNXTDZ($A$1,$B16,DL$1)</f>
        <v>#NAME?</v>
      </c>
      <c r="DM16" s="110" t="e" cm="1">
        <f t="array" aca="1" ref="DM16" ca="1">_xll.EQNXTDZ($A$1,$B16,DM$1)</f>
        <v>#NAME?</v>
      </c>
      <c r="DN16" s="110" t="e" cm="1">
        <f t="array" aca="1" ref="DN16" ca="1">_xll.EQNXTDZ($A$1,$B16,DN$1)</f>
        <v>#NAME?</v>
      </c>
      <c r="DO16" s="110" t="e" cm="1">
        <f t="array" aca="1" ref="DO16" ca="1">_xll.EQNXTDZ($A$1,$B16,DO$1)</f>
        <v>#NAME?</v>
      </c>
      <c r="DP16" s="110" t="e" cm="1">
        <f t="array" aca="1" ref="DP16" ca="1">_xll.EQNXTDZ($A$1,$B16,DP$1)</f>
        <v>#NAME?</v>
      </c>
      <c r="DQ16" s="110" t="e" cm="1">
        <f t="array" aca="1" ref="DQ16" ca="1">_xll.EQNXTDZ($A$1,$B16,DQ$1)</f>
        <v>#NAME?</v>
      </c>
      <c r="DR16" s="110" t="e" cm="1">
        <f t="array" aca="1" ref="DR16" ca="1">_xll.EQNXTDZ($A$1,$B16,DR$1)</f>
        <v>#NAME?</v>
      </c>
      <c r="DS16" s="110" t="e" cm="1">
        <f t="array" aca="1" ref="DS16" ca="1">_xll.EQNXTDZ($A$1,$B16,DS$1)</f>
        <v>#NAME?</v>
      </c>
      <c r="DT16" s="110" t="e" cm="1">
        <f t="array" aca="1" ref="DT16" ca="1">_xll.EQNXTDZ($A$1,$B16,DT$1)</f>
        <v>#NAME?</v>
      </c>
      <c r="DU16" s="110" t="e" cm="1">
        <f t="array" aca="1" ref="DU16" ca="1">_xll.EQNXTDZ($A$1,$B16,DU$1)</f>
        <v>#NAME?</v>
      </c>
      <c r="DV16" s="110" t="e" cm="1">
        <f t="array" aca="1" ref="DV16" ca="1">_xll.EQNXTDZ($A$1,$B16,DV$1)</f>
        <v>#NAME?</v>
      </c>
      <c r="DW16" s="110" t="e" cm="1">
        <f t="array" aca="1" ref="DW16" ca="1">_xll.EQNXTDZ($A$1,$B16,DW$1)</f>
        <v>#NAME?</v>
      </c>
      <c r="DX16" s="110" t="e" cm="1">
        <f t="array" aca="1" ref="DX16" ca="1">_xll.EQNXTDZ($A$1,$B16,DX$1)</f>
        <v>#NAME?</v>
      </c>
      <c r="DY16" s="110" t="e" cm="1">
        <f t="array" aca="1" ref="DY16" ca="1">_xll.EQNXTDZ($A$1,$B16,DY$1)</f>
        <v>#NAME?</v>
      </c>
      <c r="DZ16" s="110" t="e" cm="1">
        <f t="array" aca="1" ref="DZ16" ca="1">_xll.EQNXTDZ($A$1,$B16,DZ$1)</f>
        <v>#NAME?</v>
      </c>
      <c r="EA16" s="110" t="e" cm="1">
        <f t="array" aca="1" ref="EA16" ca="1">_xll.EQNXTDZ($A$1,$B16,EA$1)</f>
        <v>#NAME?</v>
      </c>
      <c r="EB16" s="110" t="e" cm="1">
        <f t="array" aca="1" ref="EB16" ca="1">_xll.EQNXTDZ($A$1,$B16,EB$1)</f>
        <v>#NAME?</v>
      </c>
      <c r="EC16" s="110" t="e" cm="1">
        <f t="array" aca="1" ref="EC16" ca="1">_xll.EQNXTDZ($A$1,$B16,EC$1)</f>
        <v>#NAME?</v>
      </c>
      <c r="ED16" s="110" t="e" cm="1">
        <f t="array" aca="1" ref="ED16" ca="1">_xll.EQNXTDZ($A$1,$B16,ED$1)</f>
        <v>#NAME?</v>
      </c>
      <c r="EE16" s="110" t="e" cm="1">
        <f t="array" aca="1" ref="EE16" ca="1">_xll.EQNXTDZ($A$1,$B16,EE$1)</f>
        <v>#NAME?</v>
      </c>
      <c r="EF16" s="110" t="e" cm="1">
        <f t="array" aca="1" ref="EF16" ca="1">_xll.EQNXTDZ($A$1,$B16,EF$1)</f>
        <v>#NAME?</v>
      </c>
      <c r="EG16" s="110" t="e" cm="1">
        <f t="array" aca="1" ref="EG16" ca="1">_xll.EQNXTDZ($A$1,$B16,EG$1)</f>
        <v>#NAME?</v>
      </c>
      <c r="EH16" s="110" t="e" cm="1">
        <f t="array" aca="1" ref="EH16" ca="1">_xll.EQNXTDZ($A$1,$B16,EH$1)</f>
        <v>#NAME?</v>
      </c>
      <c r="EI16" s="110" t="e" cm="1">
        <f t="array" aca="1" ref="EI16" ca="1">_xll.EQNXTDZ($A$1,$B16,EI$1)</f>
        <v>#NAME?</v>
      </c>
      <c r="EJ16" s="110" t="e" cm="1">
        <f t="array" aca="1" ref="EJ16" ca="1">_xll.EQNXTDZ($A$1,$B16,EJ$1)</f>
        <v>#NAME?</v>
      </c>
      <c r="EK16" s="110" t="e" cm="1">
        <f t="array" aca="1" ref="EK16" ca="1">_xll.EQNXTDZ($A$1,$B16,EK$1)</f>
        <v>#NAME?</v>
      </c>
      <c r="EL16" s="110" t="e" cm="1">
        <f t="array" aca="1" ref="EL16" ca="1">_xll.EQNXTDZ($A$1,$B16,EL$1)</f>
        <v>#NAME?</v>
      </c>
      <c r="EM16" s="110" t="e" cm="1">
        <f t="array" aca="1" ref="EM16" ca="1">_xll.EQNXTDZ($A$1,$B16,EM$1)</f>
        <v>#NAME?</v>
      </c>
      <c r="EN16" s="110" t="e" cm="1">
        <f t="array" aca="1" ref="EN16" ca="1">_xll.EQNXTDZ($A$1,$B16,EN$1)</f>
        <v>#NAME?</v>
      </c>
      <c r="EO16" s="110" t="e" cm="1">
        <f t="array" aca="1" ref="EO16" ca="1">_xll.EQNXTDZ($A$1,$B16,EO$1)</f>
        <v>#NAME?</v>
      </c>
      <c r="EP16" s="110" t="e" cm="1">
        <f t="array" aca="1" ref="EP16" ca="1">_xll.EQNXTDZ($A$1,$B16,EP$1)</f>
        <v>#NAME?</v>
      </c>
      <c r="EQ16" s="110" t="e" cm="1">
        <f t="array" aca="1" ref="EQ16" ca="1">_xll.EQNXTDZ($A$1,$B16,EQ$1)</f>
        <v>#NAME?</v>
      </c>
      <c r="ER16" s="110" t="e" cm="1">
        <f t="array" aca="1" ref="ER16" ca="1">_xll.EQNXTDZ($A$1,$B16,ER$1)</f>
        <v>#NAME?</v>
      </c>
      <c r="ES16" s="110" t="e" cm="1">
        <f t="array" aca="1" ref="ES16" ca="1">_xll.EQNXTDZ($A$1,$B16,ES$1)</f>
        <v>#NAME?</v>
      </c>
      <c r="ET16" s="110" t="e" cm="1">
        <f t="array" aca="1" ref="ET16" ca="1">_xll.EQNXTDZ($A$1,$B16,ET$1)</f>
        <v>#NAME?</v>
      </c>
      <c r="EU16" s="110" t="e" cm="1">
        <f t="array" aca="1" ref="EU16" ca="1">_xll.EQNXTDZ($A$1,$B16,EU$1)</f>
        <v>#NAME?</v>
      </c>
      <c r="EV16" s="110" t="e" cm="1">
        <f t="array" aca="1" ref="EV16" ca="1">_xll.EQNXTDZ($A$1,$B16,EV$1)</f>
        <v>#NAME?</v>
      </c>
      <c r="EW16" s="110" t="e" cm="1">
        <f t="array" aca="1" ref="EW16" ca="1">_xll.EQNXTDZ($A$1,$B16,EW$1)</f>
        <v>#NAME?</v>
      </c>
      <c r="EX16" s="110" t="e" cm="1">
        <f t="array" aca="1" ref="EX16" ca="1">_xll.EQNXTDZ($A$1,$B16,EX$1)</f>
        <v>#NAME?</v>
      </c>
      <c r="EY16" s="110" t="e" cm="1">
        <f t="array" aca="1" ref="EY16" ca="1">_xll.EQNXTDZ($A$1,$B16,EY$1)</f>
        <v>#NAME?</v>
      </c>
      <c r="EZ16" s="110" t="e" cm="1">
        <f t="array" aca="1" ref="EZ16" ca="1">_xll.EQNXTDZ($A$1,$B16,EZ$1)</f>
        <v>#NAME?</v>
      </c>
      <c r="FA16" s="110" t="e" cm="1">
        <f t="array" aca="1" ref="FA16" ca="1">_xll.EQNXTDZ($A$1,$B16,FA$1)</f>
        <v>#NAME?</v>
      </c>
      <c r="FB16" s="110" t="e" cm="1">
        <f t="array" aca="1" ref="FB16" ca="1">_xll.EQNXTDZ($A$1,$B16,FB$1)</f>
        <v>#NAME?</v>
      </c>
      <c r="FC16" s="110" t="e" cm="1">
        <f t="array" aca="1" ref="FC16" ca="1">_xll.EQNXTDZ($A$1,$B16,FC$1)</f>
        <v>#NAME?</v>
      </c>
      <c r="FD16" s="110" t="e" cm="1">
        <f t="array" aca="1" ref="FD16" ca="1">_xll.EQNXTDZ($A$1,$B16,FD$1)</f>
        <v>#NAME?</v>
      </c>
      <c r="FE16" s="110" t="e" cm="1">
        <f t="array" aca="1" ref="FE16" ca="1">_xll.EQNXTDZ($A$1,$B16,FE$1)</f>
        <v>#NAME?</v>
      </c>
      <c r="FF16" s="110" t="e" cm="1">
        <f t="array" aca="1" ref="FF16" ca="1">_xll.EQNXTDZ($A$1,$B16,FF$1)</f>
        <v>#NAME?</v>
      </c>
      <c r="FG16" s="110" t="e" cm="1">
        <f t="array" aca="1" ref="FG16" ca="1">_xll.EQNXTDZ($A$1,$B16,FG$1)</f>
        <v>#NAME?</v>
      </c>
      <c r="FH16" s="110" t="e" cm="1">
        <f t="array" aca="1" ref="FH16" ca="1">_xll.EQNXTDZ($A$1,$B16,FH$1)</f>
        <v>#NAME?</v>
      </c>
      <c r="FI16" s="110" t="e" cm="1">
        <f t="array" aca="1" ref="FI16" ca="1">_xll.EQNXTDZ($A$1,$B16,FI$1)</f>
        <v>#NAME?</v>
      </c>
      <c r="FJ16" s="110" t="e" cm="1">
        <f t="array" aca="1" ref="FJ16" ca="1">_xll.EQNXTDZ($A$1,$B16,FJ$1)</f>
        <v>#NAME?</v>
      </c>
      <c r="FK16" s="110" t="e" cm="1">
        <f t="array" aca="1" ref="FK16" ca="1">_xll.EQNXTDZ($A$1,$B16,FK$1)</f>
        <v>#NAME?</v>
      </c>
      <c r="FL16" s="110" t="e" cm="1">
        <f t="array" aca="1" ref="FL16" ca="1">_xll.EQNXTDZ($A$1,$B16,FL$1)</f>
        <v>#NAME?</v>
      </c>
      <c r="FM16" s="110" t="e" cm="1">
        <f t="array" aca="1" ref="FM16" ca="1">_xll.EQNXTDZ($A$1,$B16,FM$1)</f>
        <v>#NAME?</v>
      </c>
      <c r="FN16" s="110" t="e" cm="1">
        <f t="array" aca="1" ref="FN16" ca="1">_xll.EQNXTDZ($A$1,$B16,FN$1)</f>
        <v>#NAME?</v>
      </c>
      <c r="FO16" s="110" t="e" cm="1">
        <f t="array" aca="1" ref="FO16" ca="1">_xll.EQNXTDZ($A$1,$B16,FO$1)</f>
        <v>#NAME?</v>
      </c>
      <c r="FP16" s="110" t="e" cm="1">
        <f t="array" aca="1" ref="FP16" ca="1">_xll.EQNXTDZ($A$1,$B16,FP$1)</f>
        <v>#NAME?</v>
      </c>
      <c r="FQ16" s="110" t="e" cm="1">
        <f t="array" aca="1" ref="FQ16" ca="1">_xll.EQNXTDZ($A$1,$B16,FQ$1)</f>
        <v>#NAME?</v>
      </c>
      <c r="FR16" s="110" t="e" cm="1">
        <f t="array" aca="1" ref="FR16" ca="1">_xll.EQNXTDZ($A$1,$B16,FR$1)</f>
        <v>#NAME?</v>
      </c>
      <c r="FS16" s="110" t="e" cm="1">
        <f t="array" aca="1" ref="FS16" ca="1">_xll.EQNXTDZ($A$1,$B16,FS$1)</f>
        <v>#NAME?</v>
      </c>
      <c r="FT16" s="110" t="e" cm="1">
        <f t="array" aca="1" ref="FT16" ca="1">_xll.EQNXTDZ($A$1,$B16,FT$1)</f>
        <v>#NAME?</v>
      </c>
      <c r="FU16" s="110" t="e" cm="1">
        <f t="array" aca="1" ref="FU16" ca="1">_xll.EQNXTDZ($A$1,$B16,FU$1)</f>
        <v>#NAME?</v>
      </c>
      <c r="FV16" s="110" t="e" cm="1">
        <f t="array" aca="1" ref="FV16" ca="1">_xll.EQNXTDZ($A$1,$B16,FV$1)</f>
        <v>#NAME?</v>
      </c>
      <c r="FW16" s="110" t="e" cm="1">
        <f t="array" aca="1" ref="FW16" ca="1">_xll.EQNXTDZ($A$1,$B16,FW$1)</f>
        <v>#NAME?</v>
      </c>
      <c r="FX16" s="110" t="e" cm="1">
        <f t="array" aca="1" ref="FX16" ca="1">_xll.EQNXTDZ($A$1,$B16,FX$1)</f>
        <v>#NAME?</v>
      </c>
      <c r="FY16" s="110" t="e" cm="1">
        <f t="array" aca="1" ref="FY16" ca="1">_xll.EQNXTDZ($A$1,$B16,FY$1)</f>
        <v>#NAME?</v>
      </c>
      <c r="FZ16" s="110" t="e" cm="1">
        <f t="array" aca="1" ref="FZ16" ca="1">_xll.EQNXTDZ($A$1,$B16,FZ$1)</f>
        <v>#NAME?</v>
      </c>
      <c r="GA16" s="110" t="e" cm="1">
        <f t="array" aca="1" ref="GA16" ca="1">_xll.EQNXTDZ($A$1,$B16,GA$1)</f>
        <v>#NAME?</v>
      </c>
      <c r="GB16" s="110" t="e" cm="1">
        <f t="array" aca="1" ref="GB16" ca="1">_xll.EQNXTDZ($A$1,$B16,GB$1)</f>
        <v>#NAME?</v>
      </c>
      <c r="GC16" s="110" t="e" cm="1">
        <f t="array" aca="1" ref="GC16" ca="1">_xll.EQNXTDZ($A$1,$B16,GC$1)</f>
        <v>#NAME?</v>
      </c>
      <c r="GD16" s="110" t="e" cm="1">
        <f t="array" aca="1" ref="GD16" ca="1">_xll.EQNXTDZ($A$1,$B16,GD$1)</f>
        <v>#NAME?</v>
      </c>
      <c r="GE16" s="110" t="e" cm="1">
        <f t="array" aca="1" ref="GE16" ca="1">_xll.EQNXTDZ($A$1,$B16,GE$1)</f>
        <v>#NAME?</v>
      </c>
      <c r="GF16" s="110" t="e" cm="1">
        <f t="array" aca="1" ref="GF16" ca="1">_xll.EQNXTDZ($A$1,$B16,GF$1)</f>
        <v>#NAME?</v>
      </c>
      <c r="GG16" s="110" t="e" cm="1">
        <f t="array" aca="1" ref="GG16" ca="1">_xll.EQNXTDZ($A$1,$B16,GG$1)</f>
        <v>#NAME?</v>
      </c>
      <c r="GH16" s="110" t="e" cm="1">
        <f t="array" aca="1" ref="GH16" ca="1">_xll.EQNXTDZ($A$1,$B16,GH$1)</f>
        <v>#NAME?</v>
      </c>
      <c r="GI16" s="110" t="e" cm="1">
        <f t="array" aca="1" ref="GI16" ca="1">_xll.EQNXTDZ($A$1,$B16,GI$1)</f>
        <v>#NAME?</v>
      </c>
      <c r="GJ16" s="110" t="e" cm="1">
        <f t="array" aca="1" ref="GJ16" ca="1">_xll.EQNXTDZ($A$1,$B16,GJ$1)</f>
        <v>#NAME?</v>
      </c>
      <c r="GK16" s="110" t="e" cm="1">
        <f t="array" aca="1" ref="GK16" ca="1">_xll.EQNXTDZ($A$1,$B16,GK$1)</f>
        <v>#NAME?</v>
      </c>
      <c r="GL16" s="110" t="e" cm="1">
        <f t="array" aca="1" ref="GL16" ca="1">_xll.EQNXTDZ($A$1,$B16,GL$1)</f>
        <v>#NAME?</v>
      </c>
      <c r="GM16" s="110" t="e" cm="1">
        <f t="array" aca="1" ref="GM16" ca="1">_xll.EQNXTDZ($A$1,$B16,GM$1)</f>
        <v>#NAME?</v>
      </c>
      <c r="GN16" s="110" t="e" cm="1">
        <f t="array" aca="1" ref="GN16" ca="1">_xll.EQNXTDZ($A$1,$B16,GN$1)</f>
        <v>#NAME?</v>
      </c>
      <c r="GO16" s="110" t="e" cm="1">
        <f t="array" aca="1" ref="GO16" ca="1">_xll.EQNXTDZ($A$1,$B16,GO$1)</f>
        <v>#NAME?</v>
      </c>
      <c r="GP16" s="110" t="e" cm="1">
        <f t="array" aca="1" ref="GP16" ca="1">_xll.EQNXTDZ($A$1,$B16,GP$1)</f>
        <v>#NAME?</v>
      </c>
      <c r="GQ16" s="110" t="e" cm="1">
        <f t="array" aca="1" ref="GQ16" ca="1">_xll.EQNXTDZ($A$1,$B16,GQ$1)</f>
        <v>#NAME?</v>
      </c>
      <c r="GR16" s="110" t="e" cm="1">
        <f t="array" aca="1" ref="GR16" ca="1">_xll.EQNXTDZ($A$1,$B16,GR$1)</f>
        <v>#NAME?</v>
      </c>
      <c r="GS16" s="110" t="e" cm="1">
        <f t="array" aca="1" ref="GS16" ca="1">_xll.EQNXTDZ($A$1,$B16,GS$1)</f>
        <v>#NAME?</v>
      </c>
      <c r="GT16" s="110" t="e" cm="1">
        <f t="array" aca="1" ref="GT16" ca="1">_xll.EQNXTDZ($A$1,$B16,GT$1)</f>
        <v>#NAME?</v>
      </c>
      <c r="GU16" s="110" t="e" cm="1">
        <f t="array" aca="1" ref="GU16" ca="1">_xll.EQNXTDZ($A$1,$B16,GU$1)</f>
        <v>#NAME?</v>
      </c>
      <c r="GV16" s="110" t="e" cm="1">
        <f t="array" aca="1" ref="GV16" ca="1">_xll.EQNXTDZ($A$1,$B16,GV$1)</f>
        <v>#NAME?</v>
      </c>
      <c r="GW16" s="110" t="e" cm="1">
        <f t="array" aca="1" ref="GW16" ca="1">_xll.EQNXTDZ($A$1,$B16,GW$1)</f>
        <v>#NAME?</v>
      </c>
      <c r="GX16" s="110" t="e" cm="1">
        <f t="array" aca="1" ref="GX16" ca="1">_xll.EQNXTDZ($A$1,$B16,GX$1)</f>
        <v>#NAME?</v>
      </c>
      <c r="GY16" s="110" t="e" cm="1">
        <f t="array" aca="1" ref="GY16" ca="1">_xll.EQNXTDZ($A$1,$B16,GY$1)</f>
        <v>#NAME?</v>
      </c>
      <c r="GZ16" s="110" t="e" cm="1">
        <f t="array" aca="1" ref="GZ16" ca="1">_xll.EQNXTDZ($A$1,$B16,GZ$1)</f>
        <v>#NAME?</v>
      </c>
      <c r="HA16" s="110" t="e" cm="1">
        <f t="array" aca="1" ref="HA16" ca="1">_xll.EQNXTDZ($A$1,$B16,HA$1)</f>
        <v>#NAME?</v>
      </c>
      <c r="HB16" s="110" t="e" cm="1">
        <f t="array" aca="1" ref="HB16" ca="1">_xll.EQNXTDZ($A$1,$B16,HB$1)</f>
        <v>#NAME?</v>
      </c>
      <c r="HC16" s="110" t="e" cm="1">
        <f t="array" aca="1" ref="HC16" ca="1">_xll.EQNXTDZ($A$1,$B16,HC$1)</f>
        <v>#NAME?</v>
      </c>
      <c r="HD16" s="110" t="e" cm="1">
        <f t="array" aca="1" ref="HD16" ca="1">_xll.EQNXTDZ($A$1,$B16,HD$1)</f>
        <v>#NAME?</v>
      </c>
      <c r="HE16" s="110" t="e" cm="1">
        <f t="array" aca="1" ref="HE16" ca="1">_xll.EQNXTDZ($A$1,$B16,HE$1)</f>
        <v>#NAME?</v>
      </c>
      <c r="HF16" s="110" t="e" cm="1">
        <f t="array" aca="1" ref="HF16" ca="1">_xll.EQNXTDZ($A$1,$B16,HF$1)</f>
        <v>#NAME?</v>
      </c>
      <c r="HG16" s="110" t="e" cm="1">
        <f t="array" aca="1" ref="HG16" ca="1">_xll.EQNXTDZ($A$1,$B16,HG$1)</f>
        <v>#NAME?</v>
      </c>
      <c r="HH16" s="110" t="e" cm="1">
        <f t="array" aca="1" ref="HH16" ca="1">_xll.EQNXTDZ($A$1,$B16,HH$1)</f>
        <v>#NAME?</v>
      </c>
      <c r="HP16" s="110" t="e">
        <f ca="1">+F16</f>
        <v>#NAME?</v>
      </c>
      <c r="HQ16" s="110" t="e">
        <f ca="1">+I16</f>
        <v>#NAME?</v>
      </c>
      <c r="HR16" s="110" t="e">
        <f ca="1">+L16</f>
        <v>#NAME?</v>
      </c>
      <c r="HS16" s="110" t="e">
        <f ca="1">+O16</f>
        <v>#NAME?</v>
      </c>
      <c r="HT16" s="110" t="e">
        <f ca="1">+R16</f>
        <v>#NAME?</v>
      </c>
      <c r="HU16" s="110" t="e">
        <f ca="1">+U16</f>
        <v>#NAME?</v>
      </c>
      <c r="HV16" s="110" t="e">
        <f ca="1">+X16</f>
        <v>#NAME?</v>
      </c>
      <c r="HW16" s="110" t="e">
        <f ca="1">+AA16</f>
        <v>#NAME?</v>
      </c>
      <c r="HX16" s="110" t="e">
        <f ca="1">+AD16</f>
        <v>#NAME?</v>
      </c>
      <c r="HY16" s="110" t="e">
        <f ca="1">+AG16</f>
        <v>#NAME?</v>
      </c>
      <c r="HZ16" s="110" t="e">
        <f ca="1">+AJ16</f>
        <v>#NAME?</v>
      </c>
      <c r="IA16" s="110" t="e">
        <f ca="1">+AM16</f>
        <v>#NAME?</v>
      </c>
      <c r="IB16" s="110" t="e">
        <f ca="1">+AP16</f>
        <v>#NAME?</v>
      </c>
      <c r="IC16" s="110" t="e">
        <f ca="1">+AS16</f>
        <v>#NAME?</v>
      </c>
      <c r="ID16" s="110" t="e">
        <f ca="1">+AV16</f>
        <v>#NAME?</v>
      </c>
      <c r="IE16" s="110" t="e">
        <f ca="1">+AY16</f>
        <v>#NAME?</v>
      </c>
      <c r="IF16" s="110" t="e">
        <f ca="1">+BB16</f>
        <v>#NAME?</v>
      </c>
      <c r="IG16" s="110" t="e">
        <f ca="1">+BE16</f>
        <v>#NAME?</v>
      </c>
      <c r="IH16" s="110" t="e">
        <f ca="1">+BH16</f>
        <v>#NAME?</v>
      </c>
      <c r="II16" s="110" t="e">
        <f ca="1">+BK16</f>
        <v>#NAME?</v>
      </c>
      <c r="IJ16" s="110" t="e">
        <f ca="1">+BN16</f>
        <v>#NAME?</v>
      </c>
      <c r="IK16" s="110" t="e">
        <f ca="1">+BQ16</f>
        <v>#NAME?</v>
      </c>
      <c r="IL16" s="110" t="e">
        <f ca="1">+BT16</f>
        <v>#NAME?</v>
      </c>
      <c r="IM16" s="110" t="e">
        <f ca="1">+BW16</f>
        <v>#NAME?</v>
      </c>
      <c r="IN16" s="110" t="e">
        <f ca="1">+BZ16</f>
        <v>#NAME?</v>
      </c>
      <c r="IO16" s="110" t="e">
        <f ca="1">+CC16</f>
        <v>#NAME?</v>
      </c>
      <c r="IP16" s="110" t="e">
        <f ca="1">+CF16</f>
        <v>#NAME?</v>
      </c>
      <c r="IQ16" s="110" t="e">
        <f ca="1">+CI16</f>
        <v>#NAME?</v>
      </c>
      <c r="IR16" s="110" t="e">
        <f ca="1">+CL16</f>
        <v>#NAME?</v>
      </c>
      <c r="IS16" s="110" t="e">
        <f ca="1">+CO16</f>
        <v>#NAME?</v>
      </c>
      <c r="IT16" s="110" t="e">
        <f ca="1">+CR16</f>
        <v>#NAME?</v>
      </c>
      <c r="IU16" s="110" t="e">
        <f ca="1">+CU16</f>
        <v>#NAME?</v>
      </c>
      <c r="IV16" s="110" t="e">
        <f ca="1">+CX16</f>
        <v>#NAME?</v>
      </c>
      <c r="IW16" s="110" t="e">
        <f ca="1">+DA16</f>
        <v>#NAME?</v>
      </c>
      <c r="IX16" s="110" t="e">
        <f ca="1">+DD16</f>
        <v>#NAME?</v>
      </c>
      <c r="IY16" s="110" t="e">
        <f ca="1">+DG16</f>
        <v>#NAME?</v>
      </c>
      <c r="IZ16" s="110" t="e">
        <f ca="1">+DJ16</f>
        <v>#NAME?</v>
      </c>
      <c r="JA16" s="110" t="e">
        <f ca="1">+DM16</f>
        <v>#NAME?</v>
      </c>
      <c r="JB16" s="110" t="e">
        <f ca="1">+DP16</f>
        <v>#NAME?</v>
      </c>
      <c r="JC16" s="110" t="e">
        <f ca="1">+DS16</f>
        <v>#NAME?</v>
      </c>
      <c r="JD16" s="110" t="e">
        <f ca="1">+DV16</f>
        <v>#NAME?</v>
      </c>
      <c r="JE16" s="110" t="e">
        <f ca="1">+DY16</f>
        <v>#NAME?</v>
      </c>
      <c r="JF16" s="110" t="e">
        <f ca="1">+EB16</f>
        <v>#NAME?</v>
      </c>
      <c r="JG16" s="110" t="e">
        <f ca="1">+EE16</f>
        <v>#NAME?</v>
      </c>
      <c r="JH16" s="110" t="e">
        <f ca="1">+EH16</f>
        <v>#NAME?</v>
      </c>
      <c r="JI16" s="110" t="e">
        <f ca="1">+EK16</f>
        <v>#NAME?</v>
      </c>
      <c r="JJ16" s="110" t="e">
        <f ca="1">+EN16</f>
        <v>#NAME?</v>
      </c>
      <c r="JK16" s="110" t="e">
        <f ca="1">EQ16</f>
        <v>#NAME?</v>
      </c>
      <c r="JL16" s="110" t="e">
        <f ca="1">ET16</f>
        <v>#NAME?</v>
      </c>
      <c r="JM16" s="110" t="e">
        <f ca="1">EW16</f>
        <v>#NAME?</v>
      </c>
      <c r="JN16" s="110" t="e">
        <f ca="1">EZ16</f>
        <v>#NAME?</v>
      </c>
      <c r="JO16" s="110" t="e">
        <f ca="1">FC16</f>
        <v>#NAME?</v>
      </c>
      <c r="JP16" s="110" t="e">
        <f ca="1">FF16</f>
        <v>#NAME?</v>
      </c>
      <c r="JQ16" s="110" t="e">
        <f ca="1">FI16</f>
        <v>#NAME?</v>
      </c>
      <c r="JR16" s="110" t="e">
        <f ca="1">FL16</f>
        <v>#NAME?</v>
      </c>
      <c r="JS16" s="110" t="e">
        <f ca="1">FO16</f>
        <v>#NAME?</v>
      </c>
      <c r="JT16" s="110" t="e">
        <f ca="1">FR16</f>
        <v>#NAME?</v>
      </c>
      <c r="JU16" s="110" t="e">
        <f ca="1">FU16</f>
        <v>#NAME?</v>
      </c>
      <c r="JV16" s="110" t="e">
        <f ca="1">FX16</f>
        <v>#NAME?</v>
      </c>
      <c r="JW16" s="110" t="e">
        <f ca="1">GA16</f>
        <v>#NAME?</v>
      </c>
      <c r="JX16" s="110" t="e">
        <f ca="1">GD16</f>
        <v>#NAME?</v>
      </c>
      <c r="JY16" s="110" t="e">
        <f ca="1">GG16</f>
        <v>#NAME?</v>
      </c>
      <c r="JZ16" s="110" t="e">
        <f ca="1">GJ16</f>
        <v>#NAME?</v>
      </c>
      <c r="KA16" s="110" t="e">
        <f ca="1">GM16</f>
        <v>#NAME?</v>
      </c>
      <c r="KB16" s="110" t="e">
        <f ca="1">GP16</f>
        <v>#NAME?</v>
      </c>
      <c r="KC16" s="110" t="e">
        <f ca="1">GS16</f>
        <v>#NAME?</v>
      </c>
      <c r="KD16" s="110" t="e">
        <f ca="1">GV16</f>
        <v>#NAME?</v>
      </c>
      <c r="KE16" s="110" t="e">
        <f ca="1">GY16</f>
        <v>#NAME?</v>
      </c>
      <c r="KF16" s="110" t="e">
        <f ca="1">HB16</f>
        <v>#NAME?</v>
      </c>
      <c r="KG16" s="110" t="e">
        <f ca="1">HE16</f>
        <v>#NAME?</v>
      </c>
      <c r="KH16" s="110" t="e">
        <f ca="1">HH16</f>
        <v>#NAME?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 t="e">
        <f ca="1">+IF(HP14=0,HP7,HP14)</f>
        <v>#NAME?</v>
      </c>
      <c r="HQ19" s="110" t="e">
        <f t="shared" ref="HQ19:JO21" ca="1" si="0">+IF(HQ14=0,HQ7,HQ14)</f>
        <v>#NAME?</v>
      </c>
      <c r="HR19" s="110" t="e">
        <f t="shared" ca="1" si="0"/>
        <v>#NAME?</v>
      </c>
      <c r="HS19" s="110" t="e">
        <f t="shared" ca="1" si="0"/>
        <v>#NAME?</v>
      </c>
      <c r="HT19" s="110" t="e">
        <f t="shared" ca="1" si="0"/>
        <v>#NAME?</v>
      </c>
      <c r="HU19" s="110" t="e">
        <f t="shared" ca="1" si="0"/>
        <v>#NAME?</v>
      </c>
      <c r="HV19" s="110" t="e">
        <f t="shared" ca="1" si="0"/>
        <v>#NAME?</v>
      </c>
      <c r="HW19" s="110" t="e">
        <f t="shared" ca="1" si="0"/>
        <v>#NAME?</v>
      </c>
      <c r="HX19" s="110" t="e">
        <f t="shared" ca="1" si="0"/>
        <v>#NAME?</v>
      </c>
      <c r="HY19" s="110" t="e">
        <f t="shared" ca="1" si="0"/>
        <v>#NAME?</v>
      </c>
      <c r="HZ19" s="110" t="e">
        <f t="shared" ca="1" si="0"/>
        <v>#NAME?</v>
      </c>
      <c r="IA19" s="110" t="e">
        <f t="shared" ca="1" si="0"/>
        <v>#NAME?</v>
      </c>
      <c r="IB19" s="110" t="e">
        <f t="shared" ca="1" si="0"/>
        <v>#NAME?</v>
      </c>
      <c r="IC19" s="110" t="e">
        <f t="shared" ca="1" si="0"/>
        <v>#NAME?</v>
      </c>
      <c r="ID19" s="110" t="e">
        <f t="shared" ca="1" si="0"/>
        <v>#NAME?</v>
      </c>
      <c r="IE19" s="110" t="e">
        <f t="shared" ca="1" si="0"/>
        <v>#NAME?</v>
      </c>
      <c r="IF19" s="110" t="e">
        <f t="shared" ca="1" si="0"/>
        <v>#NAME?</v>
      </c>
      <c r="IG19" s="110" t="e">
        <f t="shared" ca="1" si="0"/>
        <v>#NAME?</v>
      </c>
      <c r="IH19" s="110" t="e">
        <f t="shared" ca="1" si="0"/>
        <v>#NAME?</v>
      </c>
      <c r="II19" s="110" t="e">
        <f t="shared" ca="1" si="0"/>
        <v>#NAME?</v>
      </c>
      <c r="IJ19" s="110" t="e">
        <f t="shared" ca="1" si="0"/>
        <v>#NAME?</v>
      </c>
      <c r="IK19" s="110" t="e">
        <f t="shared" ca="1" si="0"/>
        <v>#NAME?</v>
      </c>
      <c r="IL19" s="110" t="e">
        <f t="shared" ca="1" si="0"/>
        <v>#NAME?</v>
      </c>
      <c r="IM19" s="110" t="e">
        <f t="shared" ca="1" si="0"/>
        <v>#NAME?</v>
      </c>
      <c r="IN19" s="110" t="e">
        <f t="shared" ca="1" si="0"/>
        <v>#NAME?</v>
      </c>
      <c r="IO19" s="110" t="e">
        <f t="shared" ca="1" si="0"/>
        <v>#NAME?</v>
      </c>
      <c r="IP19" s="110" t="e">
        <f t="shared" ca="1" si="0"/>
        <v>#NAME?</v>
      </c>
      <c r="IQ19" s="110" t="e">
        <f t="shared" ca="1" si="0"/>
        <v>#NAME?</v>
      </c>
      <c r="IR19" s="110" t="e">
        <f t="shared" ca="1" si="0"/>
        <v>#NAME?</v>
      </c>
      <c r="IS19" s="110" t="e">
        <f t="shared" ca="1" si="0"/>
        <v>#NAME?</v>
      </c>
      <c r="IT19" s="110" t="e">
        <f t="shared" ca="1" si="0"/>
        <v>#NAME?</v>
      </c>
      <c r="IU19" s="110" t="e">
        <f t="shared" ca="1" si="0"/>
        <v>#NAME?</v>
      </c>
      <c r="IV19" s="110" t="e">
        <f t="shared" ca="1" si="0"/>
        <v>#NAME?</v>
      </c>
      <c r="IW19" s="110" t="e">
        <f t="shared" ca="1" si="0"/>
        <v>#NAME?</v>
      </c>
      <c r="IX19" s="110" t="e">
        <f t="shared" ca="1" si="0"/>
        <v>#NAME?</v>
      </c>
      <c r="IY19" s="110" t="e">
        <f t="shared" ca="1" si="0"/>
        <v>#NAME?</v>
      </c>
      <c r="IZ19" s="110" t="e">
        <f t="shared" ca="1" si="0"/>
        <v>#NAME?</v>
      </c>
      <c r="JA19" s="110" t="e">
        <f t="shared" ca="1" si="0"/>
        <v>#NAME?</v>
      </c>
      <c r="JB19" s="110" t="e">
        <f t="shared" ca="1" si="0"/>
        <v>#NAME?</v>
      </c>
      <c r="JC19" s="110" t="e">
        <f t="shared" ca="1" si="0"/>
        <v>#NAME?</v>
      </c>
      <c r="JD19" s="110" t="e">
        <f t="shared" ca="1" si="0"/>
        <v>#NAME?</v>
      </c>
      <c r="JE19" s="110" t="e">
        <f t="shared" ca="1" si="0"/>
        <v>#NAME?</v>
      </c>
      <c r="JF19" s="110" t="e">
        <f t="shared" ca="1" si="0"/>
        <v>#NAME?</v>
      </c>
      <c r="JG19" s="110" t="e">
        <f t="shared" ca="1" si="0"/>
        <v>#NAME?</v>
      </c>
      <c r="JH19" s="110" t="e">
        <f t="shared" ca="1" si="0"/>
        <v>#NAME?</v>
      </c>
      <c r="JI19" s="110" t="e">
        <f t="shared" ca="1" si="0"/>
        <v>#NAME?</v>
      </c>
      <c r="JJ19" s="110" t="e">
        <f t="shared" ca="1" si="0"/>
        <v>#NAME?</v>
      </c>
      <c r="JK19" s="110" t="e">
        <f t="shared" ca="1" si="0"/>
        <v>#NAME?</v>
      </c>
      <c r="JL19" s="110" t="e">
        <f t="shared" ca="1" si="0"/>
        <v>#NAME?</v>
      </c>
      <c r="JM19" s="110" t="e">
        <f t="shared" ca="1" si="0"/>
        <v>#NAME?</v>
      </c>
      <c r="JN19" s="110" t="e">
        <f t="shared" ca="1" si="0"/>
        <v>#NAME?</v>
      </c>
      <c r="JO19" s="110" t="e">
        <f t="shared" ca="1" si="0"/>
        <v>#NAME?</v>
      </c>
      <c r="JP19" s="110" t="e">
        <f t="shared" ref="JP19:KH21" ca="1" si="1">+IF(JP14=0,JP7,JP14)</f>
        <v>#NAME?</v>
      </c>
      <c r="JQ19" s="110" t="e">
        <f t="shared" ca="1" si="1"/>
        <v>#NAME?</v>
      </c>
      <c r="JR19" s="110" t="e">
        <f t="shared" ca="1" si="1"/>
        <v>#NAME?</v>
      </c>
      <c r="JS19" s="110" t="e">
        <f t="shared" ca="1" si="1"/>
        <v>#NAME?</v>
      </c>
      <c r="JT19" s="110" t="e">
        <f t="shared" ca="1" si="1"/>
        <v>#NAME?</v>
      </c>
      <c r="JU19" s="110" t="e">
        <f t="shared" ca="1" si="1"/>
        <v>#NAME?</v>
      </c>
      <c r="JV19" s="110" t="e">
        <f t="shared" ca="1" si="1"/>
        <v>#NAME?</v>
      </c>
      <c r="JW19" s="110" t="e">
        <f t="shared" ca="1" si="1"/>
        <v>#NAME?</v>
      </c>
      <c r="JX19" s="110" t="e">
        <f t="shared" ca="1" si="1"/>
        <v>#NAME?</v>
      </c>
      <c r="JY19" s="110" t="e">
        <f t="shared" ca="1" si="1"/>
        <v>#NAME?</v>
      </c>
      <c r="JZ19" s="110" t="e">
        <f t="shared" ca="1" si="1"/>
        <v>#NAME?</v>
      </c>
      <c r="KA19" s="110" t="e">
        <f t="shared" ca="1" si="1"/>
        <v>#NAME?</v>
      </c>
      <c r="KB19" s="110" t="e">
        <f t="shared" ca="1" si="1"/>
        <v>#NAME?</v>
      </c>
      <c r="KC19" s="110" t="e">
        <f t="shared" ca="1" si="1"/>
        <v>#NAME?</v>
      </c>
      <c r="KD19" s="110" t="e">
        <f t="shared" ca="1" si="1"/>
        <v>#NAME?</v>
      </c>
      <c r="KE19" s="110" t="e">
        <f t="shared" ca="1" si="1"/>
        <v>#NAME?</v>
      </c>
      <c r="KF19" s="110" t="e">
        <f t="shared" ca="1" si="1"/>
        <v>#NAME?</v>
      </c>
      <c r="KG19" s="110" t="e">
        <f t="shared" ca="1" si="1"/>
        <v>#NAME?</v>
      </c>
      <c r="KH19" s="110" t="e">
        <f t="shared" ca="1" si="1"/>
        <v>#NAME?</v>
      </c>
    </row>
    <row r="20" spans="1:294" s="110" customFormat="1" x14ac:dyDescent="0.25">
      <c r="A20" s="110" t="s">
        <v>39</v>
      </c>
      <c r="HP20" s="110" t="e">
        <f t="shared" ref="HP20:IE21" ca="1" si="2">+IF(HP15=0,HP8,HP15)</f>
        <v>#NAME?</v>
      </c>
      <c r="HQ20" s="110" t="e">
        <f t="shared" ca="1" si="2"/>
        <v>#NAME?</v>
      </c>
      <c r="HR20" s="110" t="e">
        <f t="shared" ca="1" si="2"/>
        <v>#NAME?</v>
      </c>
      <c r="HS20" s="110" t="e">
        <f t="shared" ca="1" si="2"/>
        <v>#NAME?</v>
      </c>
      <c r="HT20" s="110" t="e">
        <f t="shared" ca="1" si="2"/>
        <v>#NAME?</v>
      </c>
      <c r="HU20" s="110" t="e">
        <f t="shared" ca="1" si="2"/>
        <v>#NAME?</v>
      </c>
      <c r="HV20" s="110" t="e">
        <f t="shared" ca="1" si="2"/>
        <v>#NAME?</v>
      </c>
      <c r="HW20" s="110" t="e">
        <f t="shared" ca="1" si="2"/>
        <v>#NAME?</v>
      </c>
      <c r="HX20" s="110" t="e">
        <f t="shared" ca="1" si="2"/>
        <v>#NAME?</v>
      </c>
      <c r="HY20" s="110" t="e">
        <f t="shared" ca="1" si="2"/>
        <v>#NAME?</v>
      </c>
      <c r="HZ20" s="110" t="e">
        <f t="shared" ca="1" si="2"/>
        <v>#NAME?</v>
      </c>
      <c r="IA20" s="110" t="e">
        <f t="shared" ca="1" si="2"/>
        <v>#NAME?</v>
      </c>
      <c r="IB20" s="110" t="e">
        <f t="shared" ca="1" si="2"/>
        <v>#NAME?</v>
      </c>
      <c r="IC20" s="110" t="e">
        <f t="shared" ca="1" si="2"/>
        <v>#NAME?</v>
      </c>
      <c r="ID20" s="110" t="e">
        <f t="shared" ca="1" si="2"/>
        <v>#NAME?</v>
      </c>
      <c r="IE20" s="110" t="e">
        <f t="shared" ca="1" si="2"/>
        <v>#NAME?</v>
      </c>
      <c r="IF20" s="110" t="e">
        <f t="shared" ca="1" si="0"/>
        <v>#NAME?</v>
      </c>
      <c r="IG20" s="110" t="e">
        <f t="shared" ca="1" si="0"/>
        <v>#NAME?</v>
      </c>
      <c r="IH20" s="110" t="e">
        <f t="shared" ca="1" si="0"/>
        <v>#NAME?</v>
      </c>
      <c r="II20" s="110" t="e">
        <f t="shared" ca="1" si="0"/>
        <v>#NAME?</v>
      </c>
      <c r="IJ20" s="110" t="e">
        <f t="shared" ca="1" si="0"/>
        <v>#NAME?</v>
      </c>
      <c r="IK20" s="110" t="e">
        <f t="shared" ca="1" si="0"/>
        <v>#NAME?</v>
      </c>
      <c r="IL20" s="110" t="e">
        <f t="shared" ca="1" si="0"/>
        <v>#NAME?</v>
      </c>
      <c r="IM20" s="110" t="e">
        <f t="shared" ca="1" si="0"/>
        <v>#NAME?</v>
      </c>
      <c r="IN20" s="110" t="e">
        <f t="shared" ca="1" si="0"/>
        <v>#NAME?</v>
      </c>
      <c r="IO20" s="110" t="e">
        <f t="shared" ca="1" si="0"/>
        <v>#NAME?</v>
      </c>
      <c r="IP20" s="110" t="e">
        <f t="shared" ca="1" si="0"/>
        <v>#NAME?</v>
      </c>
      <c r="IQ20" s="110" t="e">
        <f t="shared" ca="1" si="0"/>
        <v>#NAME?</v>
      </c>
      <c r="IR20" s="110" t="e">
        <f t="shared" ca="1" si="0"/>
        <v>#NAME?</v>
      </c>
      <c r="IS20" s="110" t="e">
        <f t="shared" ca="1" si="0"/>
        <v>#NAME?</v>
      </c>
      <c r="IT20" s="110" t="e">
        <f t="shared" ca="1" si="0"/>
        <v>#NAME?</v>
      </c>
      <c r="IU20" s="110" t="e">
        <f t="shared" ca="1" si="0"/>
        <v>#NAME?</v>
      </c>
      <c r="IV20" s="110" t="e">
        <f t="shared" ca="1" si="0"/>
        <v>#NAME?</v>
      </c>
      <c r="IW20" s="110" t="e">
        <f t="shared" ca="1" si="0"/>
        <v>#NAME?</v>
      </c>
      <c r="IX20" s="110" t="e">
        <f t="shared" ca="1" si="0"/>
        <v>#NAME?</v>
      </c>
      <c r="IY20" s="110" t="e">
        <f t="shared" ca="1" si="0"/>
        <v>#NAME?</v>
      </c>
      <c r="IZ20" s="110" t="e">
        <f t="shared" ca="1" si="0"/>
        <v>#NAME?</v>
      </c>
      <c r="JA20" s="110" t="e">
        <f t="shared" ca="1" si="0"/>
        <v>#NAME?</v>
      </c>
      <c r="JB20" s="110" t="e">
        <f t="shared" ca="1" si="0"/>
        <v>#NAME?</v>
      </c>
      <c r="JC20" s="110" t="e">
        <f t="shared" ca="1" si="0"/>
        <v>#NAME?</v>
      </c>
      <c r="JD20" s="110" t="e">
        <f t="shared" ca="1" si="0"/>
        <v>#NAME?</v>
      </c>
      <c r="JE20" s="110" t="e">
        <f t="shared" ca="1" si="0"/>
        <v>#NAME?</v>
      </c>
      <c r="JF20" s="110" t="e">
        <f t="shared" ca="1" si="0"/>
        <v>#NAME?</v>
      </c>
      <c r="JG20" s="110" t="e">
        <f t="shared" ca="1" si="0"/>
        <v>#NAME?</v>
      </c>
      <c r="JH20" s="110" t="e">
        <f t="shared" ca="1" si="0"/>
        <v>#NAME?</v>
      </c>
      <c r="JI20" s="110" t="e">
        <f t="shared" ca="1" si="0"/>
        <v>#NAME?</v>
      </c>
      <c r="JJ20" s="110" t="e">
        <f t="shared" ca="1" si="0"/>
        <v>#NAME?</v>
      </c>
      <c r="JK20" s="110" t="e">
        <f t="shared" ca="1" si="0"/>
        <v>#NAME?</v>
      </c>
      <c r="JL20" s="110" t="e">
        <f t="shared" ca="1" si="0"/>
        <v>#NAME?</v>
      </c>
      <c r="JM20" s="110" t="e">
        <f t="shared" ca="1" si="0"/>
        <v>#NAME?</v>
      </c>
      <c r="JN20" s="110" t="e">
        <f t="shared" ca="1" si="0"/>
        <v>#NAME?</v>
      </c>
      <c r="JO20" s="110" t="e">
        <f t="shared" ca="1" si="0"/>
        <v>#NAME?</v>
      </c>
      <c r="JP20" s="110" t="e">
        <f t="shared" ref="JP20" ca="1" si="3">+IF(JP15=0,JP8,JP15)</f>
        <v>#NAME?</v>
      </c>
      <c r="JQ20" s="110" t="e">
        <f t="shared" ca="1" si="1"/>
        <v>#NAME?</v>
      </c>
      <c r="JR20" s="110" t="e">
        <f t="shared" ca="1" si="1"/>
        <v>#NAME?</v>
      </c>
      <c r="JS20" s="110" t="e">
        <f t="shared" ca="1" si="1"/>
        <v>#NAME?</v>
      </c>
      <c r="JT20" s="110" t="e">
        <f t="shared" ca="1" si="1"/>
        <v>#NAME?</v>
      </c>
      <c r="JU20" s="110" t="e">
        <f t="shared" ca="1" si="1"/>
        <v>#NAME?</v>
      </c>
      <c r="JV20" s="110" t="e">
        <f t="shared" ca="1" si="1"/>
        <v>#NAME?</v>
      </c>
      <c r="JW20" s="110" t="e">
        <f t="shared" ca="1" si="1"/>
        <v>#NAME?</v>
      </c>
      <c r="JX20" s="110" t="e">
        <f t="shared" ca="1" si="1"/>
        <v>#NAME?</v>
      </c>
      <c r="JY20" s="110" t="e">
        <f t="shared" ca="1" si="1"/>
        <v>#NAME?</v>
      </c>
      <c r="JZ20" s="110" t="e">
        <f t="shared" ca="1" si="1"/>
        <v>#NAME?</v>
      </c>
      <c r="KA20" s="110" t="e">
        <f t="shared" ca="1" si="1"/>
        <v>#NAME?</v>
      </c>
      <c r="KB20" s="110" t="e">
        <f t="shared" ca="1" si="1"/>
        <v>#NAME?</v>
      </c>
      <c r="KC20" s="110" t="e">
        <f t="shared" ca="1" si="1"/>
        <v>#NAME?</v>
      </c>
      <c r="KD20" s="110" t="e">
        <f t="shared" ca="1" si="1"/>
        <v>#NAME?</v>
      </c>
      <c r="KE20" s="110" t="e">
        <f t="shared" ca="1" si="1"/>
        <v>#NAME?</v>
      </c>
      <c r="KF20" s="110" t="e">
        <f t="shared" ca="1" si="1"/>
        <v>#NAME?</v>
      </c>
      <c r="KG20" s="110" t="e">
        <f t="shared" ca="1" si="1"/>
        <v>#NAME?</v>
      </c>
      <c r="KH20" s="110" t="e">
        <f t="shared" ca="1" si="1"/>
        <v>#NAME?</v>
      </c>
    </row>
    <row r="21" spans="1:294" s="110" customFormat="1" x14ac:dyDescent="0.25">
      <c r="A21" s="110" t="s">
        <v>41</v>
      </c>
      <c r="HP21" s="110" t="e">
        <f t="shared" ca="1" si="2"/>
        <v>#NAME?</v>
      </c>
      <c r="HQ21" s="110" t="e">
        <f t="shared" ca="1" si="0"/>
        <v>#NAME?</v>
      </c>
      <c r="HR21" s="110" t="e">
        <f t="shared" ca="1" si="0"/>
        <v>#NAME?</v>
      </c>
      <c r="HS21" s="110" t="e">
        <f t="shared" ca="1" si="0"/>
        <v>#NAME?</v>
      </c>
      <c r="HT21" s="110" t="e">
        <f t="shared" ca="1" si="0"/>
        <v>#NAME?</v>
      </c>
      <c r="HU21" s="110" t="e">
        <f t="shared" ca="1" si="0"/>
        <v>#NAME?</v>
      </c>
      <c r="HV21" s="110" t="e">
        <f t="shared" ca="1" si="0"/>
        <v>#NAME?</v>
      </c>
      <c r="HW21" s="110" t="e">
        <f t="shared" ca="1" si="0"/>
        <v>#NAME?</v>
      </c>
      <c r="HX21" s="110" t="e">
        <f t="shared" ca="1" si="0"/>
        <v>#NAME?</v>
      </c>
      <c r="HY21" s="110" t="e">
        <f t="shared" ca="1" si="0"/>
        <v>#NAME?</v>
      </c>
      <c r="HZ21" s="110" t="e">
        <f t="shared" ca="1" si="0"/>
        <v>#NAME?</v>
      </c>
      <c r="IA21" s="110" t="e">
        <f t="shared" ca="1" si="0"/>
        <v>#NAME?</v>
      </c>
      <c r="IB21" s="110" t="e">
        <f t="shared" ca="1" si="0"/>
        <v>#NAME?</v>
      </c>
      <c r="IC21" s="110" t="e">
        <f t="shared" ca="1" si="0"/>
        <v>#NAME?</v>
      </c>
      <c r="ID21" s="110" t="e">
        <f t="shared" ca="1" si="0"/>
        <v>#NAME?</v>
      </c>
      <c r="IE21" s="110" t="e">
        <f t="shared" ca="1" si="0"/>
        <v>#NAME?</v>
      </c>
      <c r="IF21" s="110" t="e">
        <f t="shared" ca="1" si="0"/>
        <v>#NAME?</v>
      </c>
      <c r="IG21" s="110" t="e">
        <f t="shared" ca="1" si="0"/>
        <v>#NAME?</v>
      </c>
      <c r="IH21" s="110" t="e">
        <f t="shared" ca="1" si="0"/>
        <v>#NAME?</v>
      </c>
      <c r="II21" s="110" t="e">
        <f t="shared" ca="1" si="0"/>
        <v>#NAME?</v>
      </c>
      <c r="IJ21" s="110" t="e">
        <f t="shared" ca="1" si="0"/>
        <v>#NAME?</v>
      </c>
      <c r="IK21" s="110" t="e">
        <f t="shared" ca="1" si="0"/>
        <v>#NAME?</v>
      </c>
      <c r="IL21" s="110" t="e">
        <f t="shared" ca="1" si="0"/>
        <v>#NAME?</v>
      </c>
      <c r="IM21" s="110" t="e">
        <f t="shared" ca="1" si="0"/>
        <v>#NAME?</v>
      </c>
      <c r="IN21" s="110" t="e">
        <f t="shared" ca="1" si="0"/>
        <v>#NAME?</v>
      </c>
      <c r="IO21" s="110" t="e">
        <f t="shared" ca="1" si="0"/>
        <v>#NAME?</v>
      </c>
      <c r="IP21" s="110" t="e">
        <f t="shared" ca="1" si="0"/>
        <v>#NAME?</v>
      </c>
      <c r="IQ21" s="110" t="e">
        <f t="shared" ca="1" si="0"/>
        <v>#NAME?</v>
      </c>
      <c r="IR21" s="110" t="e">
        <f t="shared" ca="1" si="0"/>
        <v>#NAME?</v>
      </c>
      <c r="IS21" s="110" t="e">
        <f t="shared" ca="1" si="0"/>
        <v>#NAME?</v>
      </c>
      <c r="IT21" s="110" t="e">
        <f t="shared" ca="1" si="0"/>
        <v>#NAME?</v>
      </c>
      <c r="IU21" s="110" t="e">
        <f t="shared" ca="1" si="0"/>
        <v>#NAME?</v>
      </c>
      <c r="IV21" s="110" t="e">
        <f t="shared" ca="1" si="0"/>
        <v>#NAME?</v>
      </c>
      <c r="IW21" s="110" t="e">
        <f t="shared" ca="1" si="0"/>
        <v>#NAME?</v>
      </c>
      <c r="IX21" s="110" t="e">
        <f t="shared" ca="1" si="0"/>
        <v>#NAME?</v>
      </c>
      <c r="IY21" s="110" t="e">
        <f t="shared" ca="1" si="0"/>
        <v>#NAME?</v>
      </c>
      <c r="IZ21" s="110" t="e">
        <f t="shared" ca="1" si="0"/>
        <v>#NAME?</v>
      </c>
      <c r="JA21" s="110" t="e">
        <f t="shared" ca="1" si="0"/>
        <v>#NAME?</v>
      </c>
      <c r="JB21" s="110" t="e">
        <f t="shared" ca="1" si="0"/>
        <v>#NAME?</v>
      </c>
      <c r="JC21" s="110" t="e">
        <f t="shared" ca="1" si="0"/>
        <v>#NAME?</v>
      </c>
      <c r="JD21" s="110" t="e">
        <f t="shared" ca="1" si="0"/>
        <v>#NAME?</v>
      </c>
      <c r="JE21" s="110" t="e">
        <f t="shared" ca="1" si="0"/>
        <v>#NAME?</v>
      </c>
      <c r="JF21" s="110" t="e">
        <f t="shared" ca="1" si="0"/>
        <v>#NAME?</v>
      </c>
      <c r="JG21" s="110" t="e">
        <f t="shared" ca="1" si="0"/>
        <v>#NAME?</v>
      </c>
      <c r="JH21" s="110" t="e">
        <f t="shared" ca="1" si="0"/>
        <v>#NAME?</v>
      </c>
      <c r="JI21" s="110" t="e">
        <f t="shared" ca="1" si="0"/>
        <v>#NAME?</v>
      </c>
      <c r="JJ21" s="110" t="e">
        <f t="shared" ca="1" si="0"/>
        <v>#NAME?</v>
      </c>
      <c r="JK21" s="110" t="e">
        <f t="shared" ca="1" si="0"/>
        <v>#NAME?</v>
      </c>
      <c r="JL21" s="110" t="e">
        <f t="shared" ca="1" si="0"/>
        <v>#NAME?</v>
      </c>
      <c r="JM21" s="110" t="e">
        <f t="shared" ca="1" si="0"/>
        <v>#NAME?</v>
      </c>
      <c r="JN21" s="110" t="e">
        <f t="shared" ca="1" si="0"/>
        <v>#NAME?</v>
      </c>
      <c r="JO21" s="110" t="e">
        <f t="shared" ca="1" si="0"/>
        <v>#NAME?</v>
      </c>
      <c r="JP21" s="110" t="e">
        <f t="shared" ref="JP21" ca="1" si="4">+IF(JP16=0,JP9,JP16)</f>
        <v>#NAME?</v>
      </c>
      <c r="JQ21" s="110" t="e">
        <f t="shared" ca="1" si="1"/>
        <v>#NAME?</v>
      </c>
      <c r="JR21" s="110" t="e">
        <f t="shared" ca="1" si="1"/>
        <v>#NAME?</v>
      </c>
      <c r="JS21" s="110" t="e">
        <f t="shared" ca="1" si="1"/>
        <v>#NAME?</v>
      </c>
      <c r="JT21" s="110" t="e">
        <f t="shared" ca="1" si="1"/>
        <v>#NAME?</v>
      </c>
      <c r="JU21" s="110" t="e">
        <f t="shared" ca="1" si="1"/>
        <v>#NAME?</v>
      </c>
      <c r="JV21" s="110" t="e">
        <f t="shared" ca="1" si="1"/>
        <v>#NAME?</v>
      </c>
      <c r="JW21" s="110" t="e">
        <f t="shared" ca="1" si="1"/>
        <v>#NAME?</v>
      </c>
      <c r="JX21" s="110" t="e">
        <f t="shared" ca="1" si="1"/>
        <v>#NAME?</v>
      </c>
      <c r="JY21" s="110" t="e">
        <f t="shared" ca="1" si="1"/>
        <v>#NAME?</v>
      </c>
      <c r="JZ21" s="110" t="e">
        <f t="shared" ca="1" si="1"/>
        <v>#NAME?</v>
      </c>
      <c r="KA21" s="110" t="e">
        <f t="shared" ca="1" si="1"/>
        <v>#NAME?</v>
      </c>
      <c r="KB21" s="110" t="e">
        <f t="shared" ca="1" si="1"/>
        <v>#NAME?</v>
      </c>
      <c r="KC21" s="110" t="e">
        <f t="shared" ca="1" si="1"/>
        <v>#NAME?</v>
      </c>
      <c r="KD21" s="110" t="e">
        <f t="shared" ca="1" si="1"/>
        <v>#NAME?</v>
      </c>
      <c r="KE21" s="110" t="e">
        <f t="shared" ca="1" si="1"/>
        <v>#NAME?</v>
      </c>
      <c r="KF21" s="110" t="e">
        <f t="shared" ca="1" si="1"/>
        <v>#NAME?</v>
      </c>
      <c r="KG21" s="110" t="e">
        <f t="shared" ca="1" si="1"/>
        <v>#NAME?</v>
      </c>
      <c r="KH21" s="110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e">
        <f ca="1">_xll.EQNXTV("Company-Profit And Loss",A1,"Crores/INR/40/Asc/N2",C3,D3,E3,F3,G3,H3)</f>
        <v>#NAME?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2026-06-15T15:44:18Z</dcterms:modified>
</cp:coreProperties>
</file>