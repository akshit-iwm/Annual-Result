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1717A366-EA4A-4E22-8912-3D76BA9B94F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F6" i="2"/>
  <c r="AB36" i="2"/>
  <c r="AB64" i="2"/>
  <c r="AC26" i="2"/>
  <c r="AC53" i="2"/>
  <c r="AE68" i="2"/>
  <c r="AE80" i="2"/>
  <c r="AE92" i="2"/>
  <c r="AD19" i="2"/>
  <c r="AD54" i="2"/>
  <c r="AE50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E46" i="2"/>
  <c r="AE85" i="2"/>
  <c r="AF60" i="2"/>
  <c r="AB80" i="2"/>
  <c r="AE35" i="2"/>
  <c r="AE83" i="2"/>
  <c r="AC86" i="2"/>
  <c r="AF88" i="2"/>
  <c r="AE65" i="2"/>
  <c r="AD32" i="2"/>
  <c r="AF71" i="2"/>
  <c r="AF107" i="2"/>
  <c r="AD59" i="2"/>
  <c r="AE76" i="2"/>
  <c r="AB8" i="2"/>
  <c r="AB43" i="2"/>
  <c r="AB108" i="2"/>
  <c r="AE95" i="2"/>
  <c r="AE58" i="2"/>
  <c r="AC8" i="2"/>
  <c r="AD56" i="2"/>
  <c r="AF89" i="2"/>
  <c r="AF34" i="2"/>
  <c r="AC91" i="2"/>
  <c r="AE27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F10" i="2"/>
  <c r="AF45" i="2"/>
  <c r="AC6" i="2"/>
  <c r="AC30" i="2"/>
  <c r="AC57" i="2"/>
  <c r="AE70" i="2"/>
  <c r="AE82" i="2"/>
  <c r="AC95" i="2"/>
  <c r="AB24" i="2"/>
  <c r="AC64" i="2"/>
  <c r="AB96" i="2"/>
  <c r="AE7" i="2"/>
  <c r="AB70" i="2"/>
  <c r="AB86" i="2"/>
  <c r="AB106" i="2"/>
  <c r="AC62" i="2"/>
  <c r="AF108" i="2"/>
  <c r="AE89" i="2"/>
  <c r="AD43" i="2"/>
  <c r="AD52" i="2"/>
  <c r="AE32" i="2"/>
  <c r="AB66" i="2"/>
  <c r="AE81" i="2"/>
  <c r="AF78" i="2"/>
  <c r="AF84" i="2"/>
  <c r="AF104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C17" i="2"/>
  <c r="AD33" i="2"/>
  <c r="AF63" i="2"/>
  <c r="AF87" i="2"/>
  <c r="AF65" i="2"/>
  <c r="AB51" i="2"/>
  <c r="AC104" i="2"/>
  <c r="AB98" i="2"/>
  <c r="AF5" i="2"/>
  <c r="AF112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54" i="2"/>
  <c r="AE87" i="2"/>
  <c r="AE23" i="2"/>
  <c r="AD73" i="2"/>
  <c r="AD89" i="2"/>
  <c r="AD109" i="2"/>
  <c r="AC66" i="2"/>
  <c r="AC90" i="2"/>
  <c r="AD16" i="2"/>
  <c r="AD51" i="2"/>
  <c r="AC29" i="2"/>
  <c r="AC56" i="2"/>
  <c r="AF79" i="2"/>
  <c r="AC105" i="2"/>
  <c r="AF26" i="2"/>
  <c r="AE64" i="2"/>
  <c r="AE88" i="2"/>
  <c r="AC74" i="2"/>
  <c r="AC78" i="2"/>
  <c r="AE47" i="2"/>
  <c r="AB16" i="2"/>
  <c r="AB76" i="2"/>
  <c r="AE109" i="2"/>
  <c r="AE79" i="2"/>
  <c r="AC110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1" i="2"/>
  <c r="AC88" i="2"/>
  <c r="AC36" i="2"/>
  <c r="AB74" i="2"/>
  <c r="AB90" i="2"/>
  <c r="AB110" i="2"/>
  <c r="AE69" i="2"/>
  <c r="AE93" i="2"/>
  <c r="AD23" i="2"/>
  <c r="AC75" i="2"/>
  <c r="AC87" i="2"/>
  <c r="AE110" i="2"/>
  <c r="AC12" i="2"/>
  <c r="AD77" i="2"/>
  <c r="AE73" i="2"/>
  <c r="AC44" i="2"/>
  <c r="AD17" i="2"/>
  <c r="AC106" i="2"/>
  <c r="AD21" i="2"/>
  <c r="AF81" i="2"/>
  <c r="AC67" i="2"/>
  <c r="AB82" i="2"/>
  <c r="AE19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C70" i="2"/>
  <c r="AC94" i="2"/>
  <c r="AB87" i="2"/>
  <c r="AB107" i="2"/>
  <c r="AE104" i="2"/>
  <c r="AE17" i="2"/>
  <c r="AD87" i="2"/>
  <c r="AD107" i="2"/>
  <c r="AC68" i="2"/>
  <c r="AC92" i="2"/>
  <c r="AC55" i="2"/>
  <c r="AC18" i="2"/>
  <c r="AB72" i="2"/>
  <c r="AE71" i="2"/>
  <c r="AB94" i="2"/>
  <c r="AC24" i="2"/>
  <c r="AF97" i="2"/>
  <c r="AC79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95" i="2"/>
  <c r="AD58" i="2"/>
  <c r="AE44" i="2"/>
  <c r="AC63" i="2"/>
  <c r="AF41" i="2"/>
  <c r="AD71" i="2"/>
  <c r="AD93" i="2"/>
  <c r="AE97" i="2"/>
  <c r="AD8" i="2"/>
  <c r="AD24" i="2"/>
  <c r="AC5" i="2"/>
  <c r="AC113" i="2" s="1"/>
  <c r="AF95" i="2"/>
  <c r="AC45" i="2"/>
  <c r="AE15" i="2"/>
  <c r="AB88" i="2"/>
  <c r="AB78" i="2"/>
  <c r="AC98" i="2"/>
  <c r="AD5" i="2"/>
  <c r="AD113" i="2" s="1"/>
  <c r="AF73" i="2"/>
  <c r="AF109" i="2"/>
  <c r="AD63" i="2"/>
  <c r="AE52" i="2"/>
  <c r="AC47" i="2"/>
  <c r="AB92" i="2"/>
  <c r="AC76" i="2"/>
  <c r="AF68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11" i="2"/>
  <c r="AE77" i="2"/>
  <c r="AE105" i="2"/>
  <c r="AF55" i="2"/>
  <c r="AB73" i="2"/>
  <c r="AB89" i="2"/>
  <c r="AC109" i="2"/>
  <c r="AD31" i="2"/>
  <c r="AF62" i="2"/>
  <c r="AC22" i="2"/>
  <c r="AE66" i="2"/>
  <c r="AE78" i="2"/>
  <c r="AE90" i="2"/>
  <c r="AF14" i="2"/>
  <c r="AE31" i="2"/>
  <c r="AD91" i="2"/>
  <c r="AC16" i="2"/>
  <c r="AE107" i="2"/>
  <c r="AC82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B65" i="2"/>
  <c r="AB81" i="2"/>
  <c r="AB97" i="2"/>
  <c r="AB109" i="2"/>
  <c r="AC49" i="2"/>
  <c r="AF49" i="2"/>
  <c r="AD75" i="2"/>
  <c r="AE75" i="2"/>
  <c r="AE99" i="2"/>
  <c r="AE63" i="2"/>
  <c r="AD81" i="2"/>
  <c r="AD97" i="2"/>
  <c r="AD10" i="2"/>
  <c r="AD18" i="2"/>
  <c r="AD26" i="2"/>
  <c r="AD34" i="2"/>
  <c r="AD45" i="2"/>
  <c r="AD53" i="2"/>
  <c r="AE8" i="2"/>
  <c r="AE20" i="2"/>
  <c r="AD40" i="2"/>
  <c r="AE25" i="2"/>
  <c r="AF94" i="2"/>
  <c r="AC43" i="2"/>
  <c r="AF113" i="2"/>
  <c r="AF111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2" i="1"/>
  <c r="AA231" i="1"/>
  <c r="AA120" i="1"/>
  <c r="AA10" i="1"/>
  <c r="AA37" i="1"/>
  <c r="AA194" i="1"/>
  <c r="AA182" i="1"/>
  <c r="AA154" i="1"/>
  <c r="AA179" i="1"/>
  <c r="AA173" i="1"/>
  <c r="AA253" i="1"/>
  <c r="AA134" i="1"/>
  <c r="AA138" i="1" s="1"/>
  <c r="AB111" i="2"/>
  <c r="AB112" i="2"/>
  <c r="AA73" i="1" s="1"/>
  <c r="B1" i="9"/>
  <c r="AB113" i="2"/>
  <c r="AA74" i="1" s="1"/>
  <c r="AE113" i="2"/>
  <c r="L1" i="9"/>
  <c r="AE111" i="2"/>
  <c r="AD111" i="2"/>
  <c r="AC111" i="2"/>
  <c r="AE112" i="2"/>
  <c r="A1" i="9"/>
  <c r="AD112" i="2"/>
  <c r="AC112" i="2"/>
  <c r="AA183" i="1" l="1"/>
  <c r="AA161" i="1"/>
  <c r="AA168" i="1" s="1"/>
  <c r="AA109" i="1" s="1"/>
  <c r="AA180" i="1"/>
  <c r="AA156" i="1"/>
  <c r="AA185" i="1" s="1"/>
  <c r="AA184" i="1" s="1"/>
  <c r="AA27" i="1"/>
  <c r="AA98" i="1"/>
  <c r="AA244" i="1"/>
  <c r="AA16" i="1"/>
  <c r="AA181" i="1"/>
  <c r="AA186" i="1"/>
  <c r="AA246" i="1"/>
  <c r="AA248" i="1"/>
  <c r="AA33" i="1"/>
  <c r="AA175" i="1"/>
  <c r="AA157" i="1"/>
  <c r="AA165" i="1" s="1"/>
  <c r="AA129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7" i="1" l="1"/>
  <c r="AA28" i="1"/>
  <c r="AA16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112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Y73" i="2"/>
  <c r="Y76" i="2"/>
  <c r="Y75" i="2"/>
  <c r="Z104" i="2"/>
  <c r="Z30" i="2"/>
  <c r="AA94" i="2"/>
  <c r="BB24" i="3"/>
  <c r="BD26" i="3"/>
  <c r="BC32" i="3"/>
  <c r="BB41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L8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EZ7" i="4" a="1"/>
  <c r="EZ5" i="4" a="1"/>
  <c r="BT42" i="3"/>
  <c r="BM16" i="3"/>
  <c r="AA55" i="2"/>
  <c r="AA93" i="2"/>
  <c r="BA31" i="3"/>
  <c r="BA9" i="3"/>
  <c r="BA22" i="3"/>
  <c r="Z47" i="2"/>
  <c r="AA36" i="2"/>
  <c r="Z96" i="2"/>
  <c r="Z68" i="2"/>
  <c r="BA40" i="3"/>
  <c r="AA108" i="2"/>
  <c r="Z18" i="2"/>
  <c r="AA84" i="2"/>
  <c r="AA52" i="2"/>
  <c r="BB12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Y8" i="4" a="1"/>
  <c r="FE13" i="4" a="1"/>
  <c r="BF7" i="3"/>
  <c r="BH29" i="3"/>
  <c r="AA72" i="2"/>
  <c r="Y68" i="2"/>
  <c r="Z109" i="2"/>
  <c r="BD32" i="3"/>
  <c r="Y42" i="2"/>
  <c r="Y98" i="2"/>
  <c r="BC14" i="3"/>
  <c r="BD45" i="3"/>
  <c r="Y11" i="2"/>
  <c r="Y77" i="2"/>
  <c r="BC31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G45" i="3"/>
  <c r="BE31" i="3"/>
  <c r="BN23" i="3"/>
  <c r="BL40" i="3"/>
  <c r="BG33" i="3"/>
  <c r="AA24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L25" i="3"/>
  <c r="BF24" i="3"/>
  <c r="BT9" i="3"/>
  <c r="BP14" i="3"/>
  <c r="BI33" i="3"/>
  <c r="BN9" i="3"/>
  <c r="BH26" i="3"/>
  <c r="BF45" i="3"/>
  <c r="CL63" i="1" s="1"/>
  <c r="BK19" i="3"/>
  <c r="BK35" i="3"/>
  <c r="BJ40" i="3"/>
  <c r="Y83" i="2"/>
  <c r="Y88" i="2"/>
  <c r="Y28" i="2"/>
  <c r="C4" i="2"/>
  <c r="AA29" i="2"/>
  <c r="Z13" i="2"/>
  <c r="BA45" i="3"/>
  <c r="BD18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G59" i="3" s="1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Q9" i="3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P57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Z66" i="2"/>
  <c r="Z76" i="2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Q15" i="3"/>
  <c r="BG7" i="3"/>
  <c r="BS29" i="3"/>
  <c r="BP15" i="3"/>
  <c r="BI45" i="3"/>
  <c r="BF22" i="3"/>
  <c r="BG40" i="3"/>
  <c r="BM40" i="3"/>
  <c r="Z67" i="2"/>
  <c r="Z22" i="2"/>
  <c r="BC37" i="3"/>
  <c r="BD39" i="3"/>
  <c r="BD36" i="3"/>
  <c r="W6" i="2"/>
  <c r="Y65" i="2"/>
  <c r="AA26" i="2"/>
  <c r="Z86" i="2"/>
  <c r="BA36" i="3"/>
  <c r="BB21" i="3"/>
  <c r="AA20" i="2"/>
  <c r="Y92" i="2"/>
  <c r="AA13" i="2"/>
  <c r="Y30" i="2"/>
  <c r="AV10" i="3"/>
  <c r="BC23" i="3"/>
  <c r="Z32" i="2"/>
  <c r="BA21" i="3"/>
  <c r="Z27" i="2"/>
  <c r="Z52" i="2"/>
  <c r="BD15" i="3"/>
  <c r="Y89" i="2"/>
  <c r="Z41" i="2"/>
  <c r="Y53" i="2"/>
  <c r="FA8" i="4" a="1"/>
  <c r="EX16" i="4" a="1"/>
  <c r="FC5" i="4" a="1"/>
  <c r="FE6" i="4" a="1"/>
  <c r="EY15" i="4" a="1"/>
  <c r="FC13" i="4" a="1"/>
  <c r="FE15" i="4" a="1"/>
  <c r="Z90" i="2"/>
  <c r="Y56" i="2"/>
  <c r="BD38" i="3"/>
  <c r="BB39" i="3"/>
  <c r="Y63" i="2"/>
  <c r="Y97" i="2"/>
  <c r="BQ21" i="3"/>
  <c r="BG27" i="3"/>
  <c r="BO36" i="3"/>
  <c r="BP29" i="3"/>
  <c r="BL16" i="3"/>
  <c r="BJ36" i="3"/>
  <c r="BF13" i="3"/>
  <c r="BI42" i="3"/>
  <c r="Z48" i="2"/>
  <c r="Z54" i="2"/>
  <c r="BB45" i="3"/>
  <c r="BA16" i="3"/>
  <c r="AA87" i="2"/>
  <c r="Y108" i="2"/>
  <c r="Y62" i="2"/>
  <c r="AA76" i="2"/>
  <c r="Y25" i="2"/>
  <c r="BD8" i="3"/>
  <c r="BB18" i="3"/>
  <c r="AA42" i="2"/>
  <c r="Z106" i="2"/>
  <c r="AA99" i="2"/>
  <c r="Y82" i="2"/>
  <c r="BD9" i="3"/>
  <c r="Y48" i="2"/>
  <c r="Z87" i="2"/>
  <c r="BC22" i="3"/>
  <c r="BC5" i="3"/>
  <c r="AA49" i="2"/>
  <c r="BC26" i="3"/>
  <c r="BA30" i="3"/>
  <c r="Y41" i="2"/>
  <c r="AA15" i="2"/>
  <c r="EY11" i="4" a="1"/>
  <c r="FC7" i="4" a="1"/>
  <c r="FD8" i="4" a="1"/>
  <c r="FE9" i="4" a="1"/>
  <c r="FF8" i="4" a="1"/>
  <c r="FE11" i="4" a="1"/>
  <c r="FA14" i="4" a="1"/>
  <c r="BH7" i="3"/>
  <c r="Y104" i="2"/>
  <c r="AA78" i="2"/>
  <c r="BA17" i="3"/>
  <c r="BA29" i="3"/>
  <c r="Z107" i="2"/>
  <c r="Y58" i="2"/>
  <c r="AA86" i="2"/>
  <c r="Z95" i="2"/>
  <c r="BA15" i="3"/>
  <c r="BB19" i="3"/>
  <c r="BC45" i="3"/>
  <c r="Z59" i="2"/>
  <c r="AA65" i="2"/>
  <c r="AA21" i="2"/>
  <c r="BD46" i="3"/>
  <c r="Y86" i="2"/>
  <c r="BD31" i="3"/>
  <c r="Z33" i="2"/>
  <c r="BD40" i="3"/>
  <c r="FD7" i="4" a="1"/>
  <c r="FC6" i="4" a="1"/>
  <c r="BQ27" i="3"/>
  <c r="BJ24" i="3"/>
  <c r="BT21" i="3"/>
  <c r="BE5" i="3"/>
  <c r="BN21" i="3"/>
  <c r="BH41" i="3"/>
  <c r="BF17" i="3"/>
  <c r="CL21" i="1" s="1"/>
  <c r="BQ33" i="3"/>
  <c r="BV15" i="3"/>
  <c r="BP42" i="3"/>
  <c r="BK8" i="3"/>
  <c r="BN35" i="3"/>
  <c r="BJ38" i="3"/>
  <c r="BL28" i="3"/>
  <c r="BN16" i="3"/>
  <c r="Y51" i="2"/>
  <c r="Y99" i="2"/>
  <c r="BA20" i="3"/>
  <c r="BD37" i="3"/>
  <c r="Z20" i="2"/>
  <c r="AA48" i="2"/>
  <c r="AA50" i="2"/>
  <c r="Z80" i="2"/>
  <c r="BC28" i="3"/>
  <c r="BC39" i="3"/>
  <c r="BB46" i="3"/>
  <c r="Y109" i="2"/>
  <c r="AA98" i="2"/>
  <c r="Y57" i="2"/>
  <c r="Z105" i="2"/>
  <c r="BA7" i="3"/>
  <c r="AA31" i="2"/>
  <c r="Y66" i="2"/>
  <c r="BA10" i="3"/>
  <c r="BD17" i="3"/>
  <c r="Y95" i="2"/>
  <c r="BB36" i="3"/>
  <c r="BC35" i="3"/>
  <c r="Z17" i="2"/>
  <c r="AA45" i="2"/>
  <c r="EY14" i="4" a="1"/>
  <c r="FD15" i="4" a="1"/>
  <c r="FA11" i="4" a="1"/>
  <c r="FE14" i="4" a="1"/>
  <c r="EX6" i="4" a="1"/>
  <c r="EY16" i="4" a="1"/>
  <c r="FB16" i="4" a="1"/>
  <c r="EZ13" i="4" a="1"/>
  <c r="BR10" i="3"/>
  <c r="BD21" i="3"/>
  <c r="AA58" i="2"/>
  <c r="BA41" i="3"/>
  <c r="Z35" i="2"/>
  <c r="Y81" i="2"/>
  <c r="BC9" i="3"/>
  <c r="Z43" i="2"/>
  <c r="BB11" i="3"/>
  <c r="EX13" i="4" a="1"/>
  <c r="EX12" i="4" a="1"/>
  <c r="BQ39" i="3"/>
  <c r="BV21" i="3"/>
  <c r="BE45" i="3"/>
  <c r="BM9" i="3"/>
  <c r="BF41" i="3"/>
  <c r="BJ14" i="3"/>
  <c r="BN33" i="3"/>
  <c r="BH23" i="3"/>
  <c r="Y36" i="2"/>
  <c r="Z50" i="2"/>
  <c r="BA26" i="3"/>
  <c r="BC10" i="3"/>
  <c r="Y43" i="2"/>
  <c r="AA10" i="2"/>
  <c r="AA81" i="2"/>
  <c r="Y106" i="2"/>
  <c r="BC13" i="3"/>
  <c r="BB5" i="3"/>
  <c r="AA88" i="2"/>
  <c r="Z31" i="2"/>
  <c r="Z94" i="2"/>
  <c r="Z45" i="2"/>
  <c r="AA82" i="2"/>
  <c r="BB27" i="3"/>
  <c r="Y7" i="2"/>
  <c r="BD16" i="3"/>
  <c r="BC6" i="3"/>
  <c r="BD24" i="3"/>
  <c r="Z34" i="2"/>
  <c r="BA38" i="3"/>
  <c r="Y105" i="2"/>
  <c r="Y29" i="2"/>
  <c r="Y87" i="2"/>
  <c r="FA6" i="4" a="1"/>
  <c r="FB8" i="4" a="1"/>
  <c r="FC16" i="4" a="1"/>
  <c r="FB12" i="4" a="1"/>
  <c r="FD16" i="4" a="1"/>
  <c r="EX8" i="4" a="1"/>
  <c r="EY6" i="4" a="1"/>
  <c r="BB26" i="3"/>
  <c r="BA23" i="3"/>
  <c r="AA25" i="2"/>
  <c r="BD27" i="3"/>
  <c r="Z42" i="2"/>
  <c r="FF16" i="4" a="1"/>
  <c r="FD6" i="4" a="1"/>
  <c r="EY12" i="4" a="1"/>
  <c r="FB11" i="4" a="1"/>
  <c r="FE16" i="4" a="1"/>
  <c r="BV33" i="3"/>
  <c r="BK14" i="3"/>
  <c r="BK21" i="3"/>
  <c r="BG9" i="3"/>
  <c r="Y64" i="2"/>
  <c r="Y20" i="2"/>
  <c r="AA79" i="2"/>
  <c r="Z77" i="2"/>
  <c r="BC17" i="3"/>
  <c r="AA33" i="2"/>
  <c r="Z65" i="2"/>
  <c r="BC34" i="3"/>
  <c r="BA34" i="3"/>
  <c r="BB10" i="3"/>
  <c r="Y107" i="2"/>
  <c r="BC40" i="3"/>
  <c r="Z69" i="2"/>
  <c r="EX11" i="4" a="1"/>
  <c r="FE8" i="4" a="1"/>
  <c r="FF12" i="4" a="1"/>
  <c r="BQ56" i="3"/>
  <c r="BV27" i="3"/>
  <c r="BF27" i="3"/>
  <c r="BI13" i="3"/>
  <c r="BI16" i="3"/>
  <c r="BL9" i="3"/>
  <c r="BI6" i="3"/>
  <c r="AA14" i="2"/>
  <c r="Y12" i="2"/>
  <c r="BB32" i="3"/>
  <c r="BC12" i="3"/>
  <c r="Y17" i="2"/>
  <c r="AA30" i="2"/>
  <c r="AA35" i="2"/>
  <c r="Y15" i="2"/>
  <c r="BB16" i="3"/>
  <c r="BD30" i="3"/>
  <c r="Z6" i="2"/>
  <c r="AA74" i="2"/>
  <c r="Y5" i="2"/>
  <c r="AA70" i="2"/>
  <c r="X6" i="2"/>
  <c r="AA97" i="2"/>
  <c r="BC33" i="3"/>
  <c r="BA18" i="3"/>
  <c r="Z93" i="2"/>
  <c r="BC46" i="3"/>
  <c r="FC8" i="4" a="1"/>
  <c r="BM6" i="3"/>
  <c r="BN28" i="3"/>
  <c r="Z62" i="2"/>
  <c r="BB15" i="3"/>
  <c r="AA28" i="2"/>
  <c r="Y31" i="2"/>
  <c r="BO39" i="3"/>
  <c r="BV39" i="3"/>
  <c r="BK27" i="3"/>
  <c r="BG18" i="3"/>
  <c r="BM36" i="3"/>
  <c r="BT19" i="3"/>
  <c r="BM10" i="3"/>
  <c r="AA40" i="2"/>
  <c r="AA80" i="2"/>
  <c r="AA47" i="2"/>
  <c r="BC41" i="3"/>
  <c r="BB37" i="3"/>
  <c r="Y9" i="2"/>
  <c r="Z5" i="2"/>
  <c r="Y91" i="2"/>
  <c r="Y71" i="2"/>
  <c r="BA6" i="3"/>
  <c r="BC29" i="3"/>
  <c r="Z73" i="2"/>
  <c r="Y8" i="2"/>
  <c r="AA12" i="2"/>
  <c r="Y90" i="2"/>
  <c r="Y74" i="2"/>
  <c r="BB8" i="3"/>
  <c r="Z83" i="2"/>
  <c r="BD25" i="3"/>
  <c r="BD12" i="3"/>
  <c r="Z28" i="2"/>
  <c r="Z56" i="2"/>
  <c r="BD5" i="3"/>
  <c r="Z82" i="2"/>
  <c r="AA59" i="2"/>
  <c r="FF13" i="4" a="1"/>
  <c r="EY7" i="4" a="1"/>
  <c r="EX5" i="4" a="1"/>
  <c r="FB13" i="4" a="1"/>
  <c r="FF6" i="4" a="1"/>
  <c r="EY9" i="4" a="1"/>
  <c r="EZ9" i="4" a="1"/>
  <c r="BA28" i="3"/>
  <c r="AA73" i="2"/>
  <c r="BB31" i="3"/>
  <c r="Z26" i="2"/>
  <c r="Z8" i="2"/>
  <c r="Y18" i="2"/>
  <c r="Z63" i="2"/>
  <c r="BB29" i="3"/>
  <c r="FE5" i="4" a="1"/>
  <c r="EZ8" i="4" a="1"/>
  <c r="EY13" i="4" a="1"/>
  <c r="FA16" i="4" a="1"/>
  <c r="EX15" i="4" a="1"/>
  <c r="FB15" i="4" a="1"/>
  <c r="EX7" i="4" a="1"/>
  <c r="FF7" i="4" a="1"/>
  <c r="BJ25" i="3"/>
  <c r="BP41" i="3"/>
  <c r="BG38" i="3"/>
  <c r="BH17" i="3"/>
  <c r="BI38" i="3"/>
  <c r="Y22" i="2"/>
  <c r="BC20" i="3"/>
  <c r="Z85" i="2"/>
  <c r="AA46" i="2"/>
  <c r="Y34" i="2"/>
  <c r="BB35" i="3"/>
  <c r="BT41" i="3"/>
  <c r="BS5" i="3"/>
  <c r="BF26" i="3"/>
  <c r="BI19" i="3"/>
  <c r="BE42" i="3"/>
  <c r="BT37" i="3"/>
  <c r="BE22" i="3"/>
  <c r="AA109" i="2"/>
  <c r="Z36" i="2"/>
  <c r="Y35" i="2"/>
  <c r="BC16" i="3"/>
  <c r="BD29" i="3"/>
  <c r="AA106" i="2"/>
  <c r="Y80" i="2"/>
  <c r="Z81" i="2"/>
  <c r="Y61" i="2"/>
  <c r="BD10" i="3"/>
  <c r="BC42" i="3"/>
  <c r="AA56" i="2"/>
  <c r="Y47" i="2"/>
  <c r="Y55" i="2"/>
  <c r="AA32" i="2"/>
  <c r="BB13" i="3"/>
  <c r="BA33" i="3"/>
  <c r="Y67" i="2"/>
  <c r="BA11" i="3"/>
  <c r="BC30" i="3"/>
  <c r="Y69" i="2"/>
  <c r="Y79" i="2"/>
  <c r="BB28" i="3"/>
  <c r="Y54" i="2"/>
  <c r="Y110" i="2"/>
  <c r="FD14" i="4" a="1"/>
  <c r="FA7" i="4" a="1"/>
  <c r="FA15" i="4" a="1"/>
  <c r="FF9" i="4" a="1"/>
  <c r="FD11" i="4" a="1"/>
  <c r="FE7" i="4" a="1"/>
  <c r="FF5" i="4" a="1"/>
  <c r="BA39" i="3"/>
  <c r="Z92" i="2"/>
  <c r="Z74" i="2"/>
  <c r="AA89" i="2"/>
  <c r="BD41" i="3"/>
  <c r="BC36" i="3"/>
  <c r="Z88" i="2"/>
  <c r="Z24" i="2"/>
  <c r="AA7" i="2"/>
  <c r="BD13" i="3"/>
  <c r="Y19" i="2"/>
  <c r="Z11" i="2"/>
  <c r="Z70" i="2"/>
  <c r="BC7" i="3"/>
  <c r="BA24" i="3"/>
  <c r="Z16" i="2"/>
  <c r="Z78" i="2"/>
  <c r="Z7" i="2"/>
  <c r="AA57" i="2"/>
  <c r="FC12" i="4" a="1"/>
  <c r="FA9" i="4" a="1"/>
  <c r="FD5" i="4" a="1"/>
  <c r="FE12" i="4" a="1"/>
  <c r="EX9" i="4" a="1"/>
  <c r="BK26" i="3"/>
  <c r="BS11" i="3"/>
  <c r="BT16" i="3"/>
  <c r="BE23" i="3"/>
  <c r="BL21" i="3"/>
  <c r="BP26" i="3"/>
  <c r="BG25" i="3"/>
  <c r="Y85" i="2"/>
  <c r="Z108" i="2"/>
  <c r="Z72" i="2"/>
  <c r="BC8" i="3"/>
  <c r="BB38" i="3"/>
  <c r="AA66" i="2"/>
  <c r="Y33" i="2"/>
  <c r="Z61" i="2"/>
  <c r="Z12" i="2"/>
  <c r="FA13" i="4" a="1"/>
  <c r="FC15" i="4" a="1"/>
  <c r="BM35" i="3"/>
  <c r="BD35" i="3"/>
  <c r="Y96" i="2"/>
  <c r="Z71" i="2"/>
  <c r="Y52" i="2"/>
  <c r="BB23" i="3"/>
  <c r="FF15" i="4" a="1"/>
  <c r="FF11" i="4" a="1"/>
  <c r="EZ16" i="4" a="1"/>
  <c r="FB6" i="4" a="1"/>
  <c r="EZ6" i="4" a="1"/>
  <c r="BN5" i="3"/>
  <c r="BS17" i="3"/>
  <c r="BT28" i="3"/>
  <c r="BG24" i="3"/>
  <c r="BJ42" i="3"/>
  <c r="BP40" i="3"/>
  <c r="BI26" i="3"/>
  <c r="Y94" i="2"/>
  <c r="AA51" i="2"/>
  <c r="BC38" i="3"/>
  <c r="BB30" i="3"/>
  <c r="BC15" i="3"/>
  <c r="AA9" i="2"/>
  <c r="Z49" i="2"/>
  <c r="AA63" i="2"/>
  <c r="Z21" i="2"/>
  <c r="BA32" i="3"/>
  <c r="BA5" i="3"/>
  <c r="Z23" i="2"/>
  <c r="AA85" i="2"/>
  <c r="Y45" i="2"/>
  <c r="AA92" i="2"/>
  <c r="BB33" i="3"/>
  <c r="BB7" i="3"/>
  <c r="Z58" i="2"/>
  <c r="BB42" i="3"/>
  <c r="AA43" i="2"/>
  <c r="Y27" i="2"/>
  <c r="BA25" i="3"/>
  <c r="AA75" i="2"/>
  <c r="Z51" i="2"/>
  <c r="BB40" i="3"/>
  <c r="FC14" i="4" a="1"/>
  <c r="EZ11" i="4" a="1"/>
  <c r="FF14" i="4" a="1"/>
  <c r="EY5" i="4" a="1"/>
  <c r="BS23" i="3"/>
  <c r="BC27" i="3"/>
  <c r="Z29" i="2"/>
  <c r="BA8" i="3"/>
  <c r="EX14" i="4" a="1"/>
  <c r="FB7" i="4" a="1"/>
  <c r="FB5" i="4" a="1"/>
  <c r="CL47" i="1" l="1"/>
  <c r="CL9" i="1"/>
  <c r="AA52" i="1"/>
  <c r="AA54" i="1"/>
  <c r="AA193" i="1"/>
  <c r="AA195" i="1" s="1"/>
  <c r="CL194" i="1"/>
  <c r="CL253" i="1"/>
  <c r="CL231" i="1"/>
  <c r="CL10" i="1"/>
  <c r="CL252" i="1"/>
  <c r="CL65" i="1"/>
  <c r="CL26" i="1"/>
  <c r="CL27" i="1" s="1"/>
  <c r="CK35" i="1"/>
  <c r="CK51" i="1"/>
  <c r="CK63" i="1"/>
  <c r="CK14" i="1"/>
  <c r="CK9" i="1"/>
  <c r="CK64" i="1"/>
  <c r="CK47" i="1"/>
  <c r="Z47" i="1"/>
  <c r="CK46" i="1"/>
  <c r="CK25" i="1"/>
  <c r="CK21" i="1"/>
  <c r="CK13" i="1"/>
  <c r="CK22" i="1"/>
  <c r="CK39" i="1"/>
  <c r="CK8" i="1"/>
  <c r="CK15" i="1"/>
  <c r="CK36" i="1"/>
  <c r="CK20" i="1"/>
  <c r="CK32" i="1"/>
  <c r="CK24" i="1"/>
  <c r="CK23" i="1"/>
  <c r="CK45" i="1"/>
  <c r="CK65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Z231" i="1" s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U58" i="3"/>
  <c r="BH62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H59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GJ16" i="4" a="1"/>
  <c r="HH16" i="4" a="1"/>
  <c r="HB8" i="4" a="1"/>
  <c r="GS13" i="4" a="1"/>
  <c r="BE85" i="3"/>
  <c r="BP92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V48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FL15" i="4" a="1"/>
  <c r="GV15" i="4" a="1"/>
  <c r="FR16" i="4" a="1"/>
  <c r="GP16" i="4" a="1"/>
  <c r="FS12" i="4" a="1"/>
  <c r="HG9" i="4" a="1"/>
  <c r="FV14" i="4" a="1"/>
  <c r="FM11" i="4" a="1"/>
  <c r="BG66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FJ12" i="4" a="1"/>
  <c r="HF12" i="4" a="1"/>
  <c r="GZ13" i="4" a="1"/>
  <c r="GQ11" i="4" a="1"/>
  <c r="GK12" i="4" a="1"/>
  <c r="GE13" i="4" a="1"/>
  <c r="FY14" i="4" a="1"/>
  <c r="FN8" i="4" a="1"/>
  <c r="FU13" i="4" a="1"/>
  <c r="BK84" i="3"/>
  <c r="BG79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FX16" i="4" a="1"/>
  <c r="GV16" i="4" a="1"/>
  <c r="GD14" i="4" a="1"/>
  <c r="HE11" i="4" a="1"/>
  <c r="GQ14" i="4" a="1"/>
  <c r="HE13" i="4" a="1"/>
  <c r="BT49" i="3"/>
  <c r="BP60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FZ9" i="4" a="1"/>
  <c r="GD13" i="4" a="1"/>
  <c r="FM6" i="4" a="1"/>
  <c r="GI8" i="4" a="1"/>
  <c r="GR9" i="4" a="1"/>
  <c r="FP14" i="4" a="1"/>
  <c r="FU6" i="4" a="1"/>
  <c r="BP50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BP77" i="3"/>
  <c r="BL86" i="3"/>
  <c r="BM95" i="3"/>
  <c r="BG95" i="3"/>
  <c r="BB81" i="3"/>
  <c r="BL58" i="3"/>
  <c r="BI85" i="3"/>
  <c r="BQ96" i="3"/>
  <c r="BN92" i="3"/>
  <c r="BS65" i="3"/>
  <c r="BU97" i="3"/>
  <c r="BR83" i="3"/>
  <c r="BV97" i="3"/>
  <c r="BT60" i="3"/>
  <c r="BN62" i="3"/>
  <c r="BP82" i="3"/>
  <c r="BS62" i="3"/>
  <c r="BH91" i="3"/>
  <c r="BI56" i="3"/>
  <c r="BF62" i="3"/>
  <c r="CL124" i="1" s="1"/>
  <c r="BJ93" i="3"/>
  <c r="BJ83" i="3"/>
  <c r="BK57" i="3"/>
  <c r="FL5" i="4" a="1"/>
  <c r="GQ7" i="4" a="1"/>
  <c r="FH14" i="4" a="1"/>
  <c r="GC7" i="4" a="1"/>
  <c r="GD7" i="4" a="1"/>
  <c r="FH6" i="4" a="1"/>
  <c r="GM6" i="4" a="1"/>
  <c r="FI7" i="4" a="1"/>
  <c r="GP5" i="4" a="1"/>
  <c r="FH9" i="4" a="1"/>
  <c r="HC7" i="4" a="1"/>
  <c r="FN11" i="4" a="1"/>
  <c r="FR5" i="4" a="1"/>
  <c r="HB7" i="4" a="1"/>
  <c r="FM14" i="4" a="1"/>
  <c r="GN11" i="4" a="1"/>
  <c r="FL13" i="4" a="1"/>
  <c r="FK9" i="4" a="1"/>
  <c r="GS12" i="4" a="1"/>
  <c r="HC13" i="4" a="1"/>
  <c r="FQ9" i="4" a="1"/>
  <c r="GE14" i="4" a="1"/>
  <c r="GX15" i="4" a="1"/>
  <c r="GB16" i="4" a="1"/>
  <c r="HF16" i="4" a="1"/>
  <c r="FU11" i="4" a="1"/>
  <c r="HG14" i="4" a="1"/>
  <c r="HF6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HH8" i="4" a="1"/>
  <c r="HE15" i="4" a="1"/>
  <c r="FS14" i="4" a="1"/>
  <c r="BC64" i="3"/>
  <c r="BD48" i="3"/>
  <c r="BD81" i="3"/>
  <c r="HC16" i="4" a="1"/>
  <c r="BC74" i="3"/>
  <c r="Y113" i="2"/>
  <c r="FX11" i="4" a="1"/>
  <c r="BI47" i="3"/>
  <c r="BO93" i="3"/>
  <c r="FX5" i="4" a="1"/>
  <c r="GW6" i="4" a="1"/>
  <c r="GQ9" i="4" a="1"/>
  <c r="BG86" i="3"/>
  <c r="BC49" i="3"/>
  <c r="BM48" i="3"/>
  <c r="BH64" i="3"/>
  <c r="BB82" i="3"/>
  <c r="BL64" i="3"/>
  <c r="BF65" i="3"/>
  <c r="CL150" i="1" s="1"/>
  <c r="BU75" i="3"/>
  <c r="BO55" i="3"/>
  <c r="BS47" i="3"/>
  <c r="BU64" i="3"/>
  <c r="BV50" i="3"/>
  <c r="BV87" i="3"/>
  <c r="BT89" i="3"/>
  <c r="BN74" i="3"/>
  <c r="BF73" i="3"/>
  <c r="BS67" i="3"/>
  <c r="BH89" i="3"/>
  <c r="BI75" i="3"/>
  <c r="BF57" i="3"/>
  <c r="CL118" i="1" s="1"/>
  <c r="BJ97" i="3"/>
  <c r="BJ85" i="3"/>
  <c r="BK92" i="3"/>
  <c r="FP5" i="4" a="1"/>
  <c r="FG9" i="4" a="1"/>
  <c r="GF14" i="4" a="1"/>
  <c r="FS8" i="4" a="1"/>
  <c r="FX9" i="4" a="1"/>
  <c r="GU7" i="4" a="1"/>
  <c r="GB7" i="4" a="1"/>
  <c r="GP8" i="4" a="1"/>
  <c r="FL6" i="4" a="1"/>
  <c r="FI12" i="4" a="1"/>
  <c r="FV6" i="4" a="1"/>
  <c r="GF11" i="4" a="1"/>
  <c r="GS6" i="4" a="1"/>
  <c r="GM9" i="4" a="1"/>
  <c r="GK14" i="4" a="1"/>
  <c r="GV11" i="4" a="1"/>
  <c r="FQ13" i="4" a="1"/>
  <c r="GA9" i="4" a="1"/>
  <c r="GV12" i="4" a="1"/>
  <c r="FI14" i="4" a="1"/>
  <c r="GL9" i="4" a="1"/>
  <c r="GU14" i="4" a="1"/>
  <c r="GZ15" i="4" a="1"/>
  <c r="GD16" i="4" a="1"/>
  <c r="HE7" i="4" a="1"/>
  <c r="GJ11" i="4" a="1"/>
  <c r="FI15" i="4" a="1"/>
  <c r="GD8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GF9" i="4" a="1"/>
  <c r="HA12" i="4" a="1"/>
  <c r="FL14" i="4" a="1"/>
  <c r="FN12" i="4" a="1"/>
  <c r="GG15" i="4" a="1"/>
  <c r="GA16" i="4" a="1"/>
  <c r="HB14" i="4" a="1"/>
  <c r="BD65" i="3"/>
  <c r="BJ56" i="3"/>
  <c r="BC82" i="3"/>
  <c r="BM62" i="3"/>
  <c r="BM81" i="3"/>
  <c r="BA76" i="3"/>
  <c r="BL60" i="3"/>
  <c r="BF92" i="3"/>
  <c r="CL155" i="1" s="1"/>
  <c r="BU87" i="3"/>
  <c r="BO63" i="3"/>
  <c r="BS97" i="3"/>
  <c r="BR81" i="3"/>
  <c r="BV54" i="3"/>
  <c r="BT58" i="3"/>
  <c r="BT95" i="3"/>
  <c r="BN71" i="3"/>
  <c r="BF55" i="3"/>
  <c r="BS70" i="3"/>
  <c r="BL95" i="3"/>
  <c r="BI77" i="3"/>
  <c r="BF72" i="3"/>
  <c r="CL135" i="1" s="1"/>
  <c r="BJ91" i="3"/>
  <c r="BK81" i="3"/>
  <c r="BK56" i="3"/>
  <c r="GQ5" i="4" a="1"/>
  <c r="GH6" i="4" a="1"/>
  <c r="FR15" i="4" a="1"/>
  <c r="GE8" i="4" a="1"/>
  <c r="GU11" i="4" a="1"/>
  <c r="GO5" i="4" a="1"/>
  <c r="GN8" i="4" a="1"/>
  <c r="FI5" i="4" a="1"/>
  <c r="FR6" i="4" a="1"/>
  <c r="HB13" i="4" a="1"/>
  <c r="GT6" i="4" a="1"/>
  <c r="GZ6" i="4" a="1"/>
  <c r="FR7" i="4" a="1"/>
  <c r="FL7" i="4" a="1"/>
  <c r="FG15" i="4" a="1"/>
  <c r="HA11" i="4" a="1"/>
  <c r="FT13" i="4" a="1"/>
  <c r="HC9" i="4" a="1"/>
  <c r="HF14" i="4" a="1"/>
  <c r="HD15" i="4" a="1"/>
  <c r="GF16" i="4" a="1"/>
  <c r="GO11" i="4" a="1"/>
  <c r="FM15" i="4" a="1"/>
  <c r="HD13" i="4" a="1"/>
  <c r="GY16" i="4" a="1"/>
  <c r="BC79" i="3"/>
  <c r="BD57" i="3"/>
  <c r="BC54" i="3"/>
  <c r="BD96" i="3"/>
  <c r="BA65" i="3"/>
  <c r="FX8" i="4" a="1"/>
  <c r="FO14" i="4" a="1"/>
  <c r="FV9" i="4" a="1"/>
  <c r="BH80" i="3"/>
  <c r="BR73" i="3"/>
  <c r="BI65" i="3"/>
  <c r="BK86" i="3"/>
  <c r="GA13" i="4" a="1"/>
  <c r="BA67" i="3"/>
  <c r="BR56" i="3"/>
  <c r="BF84" i="3"/>
  <c r="CL146" i="1" s="1"/>
  <c r="BF86" i="3"/>
  <c r="BA78" i="3"/>
  <c r="BL80" i="3"/>
  <c r="BF78" i="3"/>
  <c r="CL142" i="1" s="1"/>
  <c r="BR92" i="3"/>
  <c r="BO76" i="3"/>
  <c r="BS86" i="3"/>
  <c r="BR48" i="3"/>
  <c r="BV72" i="3"/>
  <c r="BT67" i="3"/>
  <c r="BT97" i="3"/>
  <c r="BN68" i="3"/>
  <c r="BF75" i="3"/>
  <c r="BS76" i="3"/>
  <c r="BE47" i="3"/>
  <c r="BI50" i="3"/>
  <c r="BJ74" i="3"/>
  <c r="BJ64" i="3"/>
  <c r="BK88" i="3"/>
  <c r="BK65" i="3"/>
  <c r="GH7" i="4" a="1"/>
  <c r="FR9" i="4" a="1"/>
  <c r="FO5" i="4" a="1"/>
  <c r="HC8" i="4" a="1"/>
  <c r="GO12" i="4" a="1"/>
  <c r="FK6" i="4" a="1"/>
  <c r="FJ11" i="4" a="1"/>
  <c r="FY5" i="4" a="1"/>
  <c r="FK7" i="4" a="1"/>
  <c r="FX14" i="4" a="1"/>
  <c r="GF7" i="4" a="1"/>
  <c r="GN9" i="4" a="1"/>
  <c r="GM7" i="4" a="1"/>
  <c r="GJ8" i="4" a="1"/>
  <c r="GV5" i="4" a="1"/>
  <c r="FG12" i="4" a="1"/>
  <c r="FY13" i="4" a="1"/>
  <c r="GL11" i="4" a="1"/>
  <c r="HD12" i="4" a="1"/>
  <c r="FT14" i="4" a="1"/>
  <c r="FQ11" i="4" a="1"/>
  <c r="FP15" i="4" a="1"/>
  <c r="HF15" i="4" a="1"/>
  <c r="GH16" i="4" a="1"/>
  <c r="FH13" i="4" a="1"/>
  <c r="GI12" i="4" a="1"/>
  <c r="FT15" i="4" a="1"/>
  <c r="GU9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C48" i="3"/>
  <c r="BJ82" i="3"/>
  <c r="BJ92" i="3"/>
  <c r="BK83" i="3"/>
  <c r="BK97" i="3"/>
  <c r="HF7" i="4" a="1"/>
  <c r="GA5" i="4" a="1"/>
  <c r="GA7" i="4" a="1"/>
  <c r="FK13" i="4" a="1"/>
  <c r="FV11" i="4" a="1"/>
  <c r="FT5" i="4" a="1"/>
  <c r="FW9" i="4" a="1"/>
  <c r="GV14" i="4" a="1"/>
  <c r="GW8" i="4" a="1"/>
  <c r="HC11" i="4" a="1"/>
  <c r="FL8" i="4" a="1"/>
  <c r="GV9" i="4" a="1"/>
  <c r="FR8" i="4" a="1"/>
  <c r="FR12" i="4" a="1"/>
  <c r="FG13" i="4" a="1"/>
  <c r="GG14" i="4" a="1"/>
  <c r="GG11" i="4" a="1"/>
  <c r="FS15" i="4" a="1"/>
  <c r="HH15" i="4" a="1"/>
  <c r="GL16" i="4" a="1"/>
  <c r="FN14" i="4" a="1"/>
  <c r="GT12" i="4" a="1"/>
  <c r="FX15" i="4" a="1"/>
  <c r="FI11" i="4" a="1"/>
  <c r="FR14" i="4" a="1"/>
  <c r="GK15" i="4" a="1"/>
  <c r="FG16" i="4" a="1"/>
  <c r="GE16" i="4" a="1"/>
  <c r="BC83" i="3"/>
  <c r="BD72" i="3"/>
  <c r="BD90" i="3"/>
  <c r="BB93" i="3"/>
  <c r="GS14" i="4" a="1"/>
  <c r="GU13" i="4" a="1"/>
  <c r="BC59" i="3"/>
  <c r="BE62" i="3"/>
  <c r="BU91" i="3"/>
  <c r="BT83" i="3"/>
  <c r="FS5" i="4" a="1"/>
  <c r="GU6" i="4" a="1"/>
  <c r="HD9" i="4" a="1"/>
  <c r="GX13" i="4" a="1"/>
  <c r="FZ14" i="4" a="1"/>
  <c r="GY15" i="4" a="1"/>
  <c r="BC75" i="3"/>
  <c r="BA72" i="3"/>
  <c r="BM60" i="3"/>
  <c r="Z111" i="2"/>
  <c r="BP97" i="3"/>
  <c r="BA61" i="3"/>
  <c r="BL91" i="3"/>
  <c r="BF82" i="3"/>
  <c r="CL145" i="1" s="1"/>
  <c r="CL180" i="1" s="1"/>
  <c r="BR63" i="3"/>
  <c r="BO89" i="3"/>
  <c r="BS61" i="3"/>
  <c r="BR78" i="3"/>
  <c r="BV93" i="3"/>
  <c r="BT76" i="3"/>
  <c r="BN57" i="3"/>
  <c r="BN72" i="3"/>
  <c r="AA112" i="2"/>
  <c r="BS49" i="3"/>
  <c r="BE79" i="3"/>
  <c r="BM69" i="3"/>
  <c r="GH9" i="4" a="1"/>
  <c r="GI6" i="4" a="1"/>
  <c r="GB13" i="4" a="1"/>
  <c r="GY11" i="4" a="1"/>
  <c r="BD67" i="3"/>
  <c r="BD74" i="3"/>
  <c r="FG7" i="4" a="1"/>
  <c r="FX12" i="4" a="1"/>
  <c r="HB16" i="4" a="1"/>
  <c r="HG12" i="4" a="1"/>
  <c r="GW15" i="4" a="1"/>
  <c r="BD56" i="3"/>
  <c r="BH61" i="3"/>
  <c r="GJ6" i="4" a="1"/>
  <c r="FO15" i="4" a="1"/>
  <c r="FQ15" i="4" a="1"/>
  <c r="BD80" i="3"/>
  <c r="BA70" i="3"/>
  <c r="BN49" i="3"/>
  <c r="BB55" i="3"/>
  <c r="BD70" i="3"/>
  <c r="BC57" i="3"/>
  <c r="BL87" i="3"/>
  <c r="BF85" i="3"/>
  <c r="CL147" i="1" s="1"/>
  <c r="BR57" i="3"/>
  <c r="BO50" i="3"/>
  <c r="BS56" i="3"/>
  <c r="BR72" i="3"/>
  <c r="BV84" i="3"/>
  <c r="BT77" i="3"/>
  <c r="BN89" i="3"/>
  <c r="BN69" i="3"/>
  <c r="AA113" i="2"/>
  <c r="BS94" i="3"/>
  <c r="BE54" i="3"/>
  <c r="BM75" i="3"/>
  <c r="BJ84" i="3"/>
  <c r="BJ94" i="3"/>
  <c r="BK75" i="3"/>
  <c r="BK47" i="3"/>
  <c r="GR5" i="4" a="1"/>
  <c r="GX9" i="4" a="1"/>
  <c r="FH5" i="4" a="1"/>
  <c r="FL9" i="4" a="1"/>
  <c r="HG13" i="4" a="1"/>
  <c r="FX7" i="4" a="1"/>
  <c r="GS5" i="4" a="1"/>
  <c r="GV6" i="4" a="1"/>
  <c r="HA5" i="4" a="1"/>
  <c r="FZ15" i="4" a="1"/>
  <c r="GU5" i="4" a="1"/>
  <c r="GZ12" i="4" a="1"/>
  <c r="GA6" i="4" a="1"/>
  <c r="FH11" i="4" a="1"/>
  <c r="GW9" i="4" a="1"/>
  <c r="FW12" i="4" a="1"/>
  <c r="GJ13" i="4" a="1"/>
  <c r="HB11" i="4" a="1"/>
  <c r="FO13" i="4" a="1"/>
  <c r="GJ14" i="4" a="1"/>
  <c r="FK12" i="4" a="1"/>
  <c r="GF15" i="4" a="1"/>
  <c r="FH16" i="4" a="1"/>
  <c r="GN16" i="4" a="1"/>
  <c r="GY14" i="4" a="1"/>
  <c r="FM13" i="4" a="1"/>
  <c r="GA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FK5" i="4" a="1"/>
  <c r="GL14" i="4" a="1"/>
  <c r="BG94" i="3"/>
  <c r="BJ79" i="3"/>
  <c r="HG6" i="4" a="1"/>
  <c r="FW5" i="4" a="1"/>
  <c r="HC12" i="4" a="1"/>
  <c r="GT15" i="4" a="1"/>
  <c r="FP13" i="4" a="1"/>
  <c r="BC62" i="3"/>
  <c r="BA91" i="3"/>
  <c r="BP76" i="3"/>
  <c r="BB58" i="3"/>
  <c r="BD89" i="3"/>
  <c r="BD73" i="3"/>
  <c r="BE83" i="3"/>
  <c r="BQ70" i="3"/>
  <c r="BV56" i="3"/>
  <c r="BO67" i="3"/>
  <c r="BU49" i="3"/>
  <c r="BR60" i="3"/>
  <c r="BV76" i="3"/>
  <c r="BT96" i="3"/>
  <c r="BN95" i="3"/>
  <c r="BN73" i="3"/>
  <c r="BO69" i="3"/>
  <c r="BP55" i="3"/>
  <c r="BE58" i="3"/>
  <c r="BM54" i="3"/>
  <c r="BJ58" i="3"/>
  <c r="BJ57" i="3"/>
  <c r="BK67" i="3"/>
  <c r="BK63" i="3"/>
  <c r="GL6" i="4" a="1"/>
  <c r="FR11" i="4" a="1"/>
  <c r="GH5" i="4" a="1"/>
  <c r="GJ9" i="4" a="1"/>
  <c r="GO7" i="4" a="1"/>
  <c r="GV7" i="4" a="1"/>
  <c r="GK5" i="4" a="1"/>
  <c r="FO7" i="4" a="1"/>
  <c r="GW7" i="4" a="1"/>
  <c r="FI9" i="4" a="1"/>
  <c r="FT6" i="4" a="1"/>
  <c r="GN14" i="4" a="1"/>
  <c r="FP7" i="4" a="1"/>
  <c r="FT11" i="4" a="1"/>
  <c r="HE9" i="4" a="1"/>
  <c r="FZ12" i="4" a="1"/>
  <c r="GO13" i="4" a="1"/>
  <c r="HG11" i="4" a="1"/>
  <c r="FR13" i="4" a="1"/>
  <c r="GO14" i="4" a="1"/>
  <c r="FV12" i="4" a="1"/>
  <c r="GH15" i="4" a="1"/>
  <c r="FJ16" i="4" a="1"/>
  <c r="GR16" i="4" a="1"/>
  <c r="FV15" i="4" a="1"/>
  <c r="FX13" i="4" a="1"/>
  <c r="GD15" i="4" a="1"/>
  <c r="GW11" i="4" a="1"/>
  <c r="GH14" i="4" a="1"/>
  <c r="GO15" i="4" a="1"/>
  <c r="FK16" i="4" a="1"/>
  <c r="GI16" i="4" a="1"/>
  <c r="HG16" i="4" a="1"/>
  <c r="BC90" i="3"/>
  <c r="BC88" i="3"/>
  <c r="BC93" i="3"/>
  <c r="FV16" i="4" a="1"/>
  <c r="FN15" i="4" a="1"/>
  <c r="GQ16" i="4" a="1"/>
  <c r="BC97" i="3"/>
  <c r="BT91" i="3"/>
  <c r="BV69" i="3"/>
  <c r="BN58" i="3"/>
  <c r="BH97" i="3"/>
  <c r="BF58" i="3"/>
  <c r="CL119" i="1" s="1"/>
  <c r="BJ95" i="3"/>
  <c r="FG6" i="4" a="1"/>
  <c r="FZ7" i="4" a="1"/>
  <c r="GK11" i="4" a="1"/>
  <c r="GF12" i="4" a="1"/>
  <c r="HD16" i="4" a="1"/>
  <c r="GS16" i="4" a="1"/>
  <c r="BA63" i="3"/>
  <c r="BG55" i="3"/>
  <c r="BB69" i="3"/>
  <c r="BU48" i="3"/>
  <c r="BQ55" i="3"/>
  <c r="BE72" i="3"/>
  <c r="BQ72" i="3"/>
  <c r="BV81" i="3"/>
  <c r="BO79" i="3"/>
  <c r="BU62" i="3"/>
  <c r="BR95" i="3"/>
  <c r="BV74" i="3"/>
  <c r="BT56" i="3"/>
  <c r="BN80" i="3"/>
  <c r="BN83" i="3"/>
  <c r="BO85" i="3"/>
  <c r="BP63" i="3"/>
  <c r="BE91" i="3"/>
  <c r="BM85" i="3"/>
  <c r="BJ60" i="3"/>
  <c r="BJ61" i="3"/>
  <c r="BK58" i="3"/>
  <c r="BK71" i="3"/>
  <c r="GY6" i="4" a="1"/>
  <c r="FZ11" i="4" a="1"/>
  <c r="HB5" i="4" a="1"/>
  <c r="GX6" i="4" a="1"/>
  <c r="GX8" i="4" a="1"/>
  <c r="GC8" i="4" a="1"/>
  <c r="GH11" i="4" a="1"/>
  <c r="GP7" i="4" a="1"/>
  <c r="GT9" i="4" a="1"/>
  <c r="FQ5" i="4" a="1"/>
  <c r="GR6" i="4" a="1"/>
  <c r="FJ15" i="4" a="1"/>
  <c r="FJ8" i="4" a="1"/>
  <c r="GD11" i="4" a="1"/>
  <c r="FK11" i="4" a="1"/>
  <c r="GE12" i="4" a="1"/>
  <c r="GW13" i="4" a="1"/>
  <c r="FH12" i="4" a="1"/>
  <c r="FZ13" i="4" a="1"/>
  <c r="GR14" i="4" a="1"/>
  <c r="HB12" i="4" a="1"/>
  <c r="GJ15" i="4" a="1"/>
  <c r="FN16" i="4" a="1"/>
  <c r="GT16" i="4" a="1"/>
  <c r="GP6" i="4" a="1"/>
  <c r="HH13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Z112" i="2"/>
  <c r="GU15" i="4" a="1"/>
  <c r="BG80" i="3"/>
  <c r="BH94" i="3"/>
  <c r="GR15" i="4" a="1"/>
  <c r="GC11" i="4" a="1"/>
  <c r="BD77" i="3"/>
  <c r="BI74" i="3"/>
  <c r="BS88" i="3"/>
  <c r="BQ59" i="3"/>
  <c r="BG76" i="3"/>
  <c r="BB66" i="3"/>
  <c r="BP58" i="3"/>
  <c r="BH83" i="3"/>
  <c r="BE87" i="3"/>
  <c r="BQ74" i="3"/>
  <c r="BV83" i="3"/>
  <c r="BO87" i="3"/>
  <c r="BU67" i="3"/>
  <c r="BR66" i="3"/>
  <c r="BV82" i="3"/>
  <c r="BT78" i="3"/>
  <c r="BN50" i="3"/>
  <c r="BP54" i="3"/>
  <c r="BO73" i="3"/>
  <c r="BG82" i="3"/>
  <c r="BE59" i="3"/>
  <c r="BM58" i="3"/>
  <c r="BJ68" i="3"/>
  <c r="BJ65" i="3"/>
  <c r="BK85" i="3"/>
  <c r="BK89" i="3"/>
  <c r="GS7" i="4" a="1"/>
  <c r="FZ6" i="4" a="1"/>
  <c r="HD6" i="4" a="1"/>
  <c r="FT8" i="4" a="1"/>
  <c r="GS9" i="4" a="1"/>
  <c r="FQ6" i="4" a="1"/>
  <c r="HF11" i="4" a="1"/>
  <c r="FI8" i="4" a="1"/>
  <c r="HF9" i="4" a="1"/>
  <c r="FN5" i="4" a="1"/>
  <c r="FO9" i="4" a="1"/>
  <c r="GE6" i="4" a="1"/>
  <c r="HA8" i="4" a="1"/>
  <c r="GO6" i="4" a="1"/>
  <c r="FW11" i="4" a="1"/>
  <c r="GH12" i="4" a="1"/>
  <c r="FN7" i="4" a="1"/>
  <c r="FM12" i="4" a="1"/>
  <c r="GM13" i="4" a="1"/>
  <c r="GW14" i="4" a="1"/>
  <c r="HA13" i="4" a="1"/>
  <c r="GL15" i="4" a="1"/>
  <c r="FP16" i="4" a="1"/>
  <c r="GX16" i="4" a="1"/>
  <c r="GJ7" i="4" a="1"/>
  <c r="FK14" i="4" a="1"/>
  <c r="GC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GB6" i="4" a="1"/>
  <c r="GW12" i="4" a="1"/>
  <c r="GD6" i="4" a="1"/>
  <c r="FP11" i="4" a="1"/>
  <c r="GK6" i="4" a="1"/>
  <c r="FJ6" i="4" a="1"/>
  <c r="FZ8" i="4" a="1"/>
  <c r="HF5" i="4" a="1"/>
  <c r="FS9" i="4" a="1"/>
  <c r="GA11" i="4" a="1"/>
  <c r="GP12" i="4" a="1"/>
  <c r="GI7" i="4" a="1"/>
  <c r="GP13" i="4" a="1"/>
  <c r="HE14" i="4" a="1"/>
  <c r="FJ14" i="4" a="1"/>
  <c r="GN15" i="4" a="1"/>
  <c r="GZ16" i="4" a="1"/>
  <c r="GI14" i="4" a="1"/>
  <c r="HC14" i="4" a="1"/>
  <c r="GO16" i="4" a="1"/>
  <c r="GY9" i="4" a="1"/>
  <c r="BC61" i="3"/>
  <c r="BD97" i="3"/>
  <c r="BQ81" i="3"/>
  <c r="BR90" i="3"/>
  <c r="BT82" i="3"/>
  <c r="BN90" i="3"/>
  <c r="BG90" i="3"/>
  <c r="BF74" i="3"/>
  <c r="BJ77" i="3"/>
  <c r="FM5" i="4" a="1"/>
  <c r="GE11" i="4" a="1"/>
  <c r="FS16" i="4" a="1"/>
  <c r="BQ83" i="3"/>
  <c r="BP56" i="3"/>
  <c r="BG83" i="3"/>
  <c r="BB87" i="3"/>
  <c r="BI69" i="3"/>
  <c r="BH71" i="3"/>
  <c r="BE70" i="3"/>
  <c r="BQ67" i="3"/>
  <c r="BT50" i="3"/>
  <c r="BS71" i="3"/>
  <c r="BU86" i="3"/>
  <c r="BR69" i="3"/>
  <c r="BV96" i="3"/>
  <c r="BT81" i="3"/>
  <c r="BN93" i="3"/>
  <c r="BP95" i="3"/>
  <c r="BO60" i="3"/>
  <c r="BG84" i="3"/>
  <c r="BE81" i="3"/>
  <c r="BF68" i="3"/>
  <c r="CL134" i="1" s="1"/>
  <c r="BJ80" i="3"/>
  <c r="BJ75" i="3"/>
  <c r="BK62" i="3"/>
  <c r="GE15" i="4" a="1"/>
  <c r="GM5" i="4" a="1"/>
  <c r="GJ12" i="4" a="1"/>
  <c r="FS6" i="4" a="1"/>
  <c r="GR8" i="4" a="1"/>
  <c r="FG5" i="4" a="1"/>
  <c r="FU12" i="4" a="1"/>
  <c r="FT16" i="4" a="1"/>
  <c r="FV8" i="4" a="1"/>
  <c r="GA14" i="4" a="1"/>
  <c r="GL12" i="4" a="1"/>
  <c r="FQ16" i="4" a="1"/>
  <c r="BC95" i="3"/>
  <c r="BC76" i="3"/>
  <c r="BD66" i="3"/>
  <c r="BH47" i="3"/>
  <c r="BB83" i="3"/>
  <c r="BI72" i="3"/>
  <c r="BI62" i="3"/>
  <c r="BT80" i="3"/>
  <c r="BS85" i="3"/>
  <c r="BU89" i="3"/>
  <c r="BV55" i="3"/>
  <c r="BP75" i="3"/>
  <c r="BO86" i="3"/>
  <c r="BI63" i="3"/>
  <c r="BJ96" i="3"/>
  <c r="BK76" i="3"/>
  <c r="FI6" i="4" a="1"/>
  <c r="HE12" i="4" a="1"/>
  <c r="GQ6" i="4" a="1"/>
  <c r="GP9" i="4" a="1"/>
  <c r="GG5" i="4" a="1"/>
  <c r="FV7" i="4" a="1"/>
  <c r="FH7" i="4" a="1"/>
  <c r="GN5" i="4" a="1"/>
  <c r="GP11" i="4" a="1"/>
  <c r="GU12" i="4" a="1"/>
  <c r="GT7" i="4" a="1"/>
  <c r="HH14" i="4" a="1"/>
  <c r="FH15" i="4" a="1"/>
  <c r="BC92" i="3"/>
  <c r="BH96" i="3"/>
  <c r="BP74" i="3"/>
  <c r="HF8" i="4" a="1"/>
  <c r="HD7" i="4" a="1"/>
  <c r="GR12" i="4" a="1"/>
  <c r="FM8" i="4" a="1"/>
  <c r="FY7" i="4" a="1"/>
  <c r="FZ16" i="4" a="1"/>
  <c r="FY15" i="4" a="1"/>
  <c r="FU16" i="4" a="1"/>
  <c r="GZ11" i="4" a="1"/>
  <c r="BC66" i="3"/>
  <c r="CL137" i="1" l="1"/>
  <c r="CH140" i="1"/>
  <c r="CI140" i="1" s="1"/>
  <c r="AA202" i="1"/>
  <c r="CL98" i="1"/>
  <c r="CL99" i="1" s="1"/>
  <c r="X10" i="1"/>
  <c r="X180" i="1"/>
  <c r="CL128" i="1"/>
  <c r="CL148" i="1"/>
  <c r="CL16" i="1"/>
  <c r="CK10" i="1"/>
  <c r="CK16" i="1" s="1"/>
  <c r="CL19" i="1" s="1"/>
  <c r="CL161" i="1"/>
  <c r="CL182" i="1"/>
  <c r="CL138" i="1"/>
  <c r="CL156" i="1"/>
  <c r="CL120" i="1"/>
  <c r="CL129" i="1" s="1"/>
  <c r="CK26" i="1"/>
  <c r="CO20" i="1"/>
  <c r="CS20" i="1" s="1"/>
  <c r="Z154" i="1"/>
  <c r="JU16" i="4" s="1"/>
  <c r="JQ15" i="4" s="1"/>
  <c r="JQ7" i="4" s="1"/>
  <c r="KB9" i="4" s="1"/>
  <c r="CJ151" i="1"/>
  <c r="KE9" i="4" s="1"/>
  <c r="KE21" i="4" s="1"/>
  <c r="CJ143" i="1"/>
  <c r="JY9" i="4" s="1"/>
  <c r="KA16" i="4" s="1"/>
  <c r="JS16" i="4" s="1"/>
  <c r="KA15" i="4" s="1"/>
  <c r="JS9" i="4" s="1"/>
  <c r="KC9" i="4" s="1"/>
  <c r="CJ140" i="1"/>
  <c r="CJ202" i="1" s="1"/>
  <c r="CJ152" i="1"/>
  <c r="KC15" i="4" s="1"/>
  <c r="KC16" i="4" s="1"/>
  <c r="KG9" i="4" s="1"/>
  <c r="JQ9" i="4" s="1"/>
  <c r="JZ9" i="4" s="1"/>
  <c r="CJ153" i="1"/>
  <c r="CJ183" i="1" s="1"/>
  <c r="CK183" i="1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KG21" i="4" s="1"/>
  <c r="JY16" i="4" s="1"/>
  <c r="JQ16" i="4" s="1"/>
  <c r="JQ21" i="4" s="1"/>
  <c r="CK77" i="1" s="1"/>
  <c r="JR9" i="4" s="1"/>
  <c r="Z74" i="1"/>
  <c r="CJ133" i="1"/>
  <c r="CK133" i="1" s="1"/>
  <c r="CJ159" i="1"/>
  <c r="CJ117" i="1"/>
  <c r="KF16" i="4" s="1"/>
  <c r="CJ137" i="1"/>
  <c r="CK137" i="1" s="1"/>
  <c r="Z73" i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D9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JT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CJ150" i="1"/>
  <c r="JW16" i="4" s="1"/>
  <c r="CJ134" i="1"/>
  <c r="CK33" i="1" s="1"/>
  <c r="CJ154" i="1"/>
  <c r="JX16" i="4" s="1"/>
  <c r="JW9" i="4" s="1"/>
  <c r="KA9" i="4" s="1"/>
  <c r="JV9" i="4" s="1"/>
  <c r="CI73" i="1"/>
  <c r="CJ144" i="1"/>
  <c r="CJ179" i="1" s="1"/>
  <c r="CK179" i="1" s="1"/>
  <c r="CJ149" i="1"/>
  <c r="JR7" i="4" s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KD14" i="4" s="1"/>
  <c r="CJ145" i="1"/>
  <c r="CJ180" i="1" s="1"/>
  <c r="CK180" i="1" s="1"/>
  <c r="CH74" i="1"/>
  <c r="KD16" i="4" s="1"/>
  <c r="JV16" i="4" s="1"/>
  <c r="KF15" i="4" s="1"/>
  <c r="JX15" i="4" s="1"/>
  <c r="KD8" i="4" s="1"/>
  <c r="JU9" i="4" s="1"/>
  <c r="KF9" i="4" s="1"/>
  <c r="X73" i="1"/>
  <c r="KB16" i="4" s="1"/>
  <c r="JT16" i="4" s="1"/>
  <c r="CJ147" i="1"/>
  <c r="Y74" i="1"/>
  <c r="CI74" i="1"/>
  <c r="CJ160" i="1"/>
  <c r="CK74" i="1"/>
  <c r="CJ142" i="1"/>
  <c r="CH73" i="1"/>
  <c r="KH16" i="4" s="1"/>
  <c r="JZ16" i="4" s="1"/>
  <c r="JZ21" i="4" s="1"/>
  <c r="JR16" i="4" s="1"/>
  <c r="JR21" i="4" s="1"/>
  <c r="CL77" i="1" s="1"/>
  <c r="JX9" i="4" s="1"/>
  <c r="KH7" i="4" s="1"/>
  <c r="KH9" i="4" s="1"/>
  <c r="CJ74" i="1"/>
  <c r="CJ155" i="1"/>
  <c r="CJ124" i="1"/>
  <c r="CK124" i="1" s="1"/>
  <c r="CM124" i="1" s="1"/>
  <c r="CG73" i="1"/>
  <c r="CJ73" i="1"/>
  <c r="CG74" i="1"/>
  <c r="Z183" i="1"/>
  <c r="X179" i="1"/>
  <c r="X252" i="1"/>
  <c r="Z180" i="1"/>
  <c r="Y148" i="1"/>
  <c r="X148" i="1"/>
  <c r="CK98" i="1"/>
  <c r="CK99" i="1" s="1"/>
  <c r="Y173" i="1"/>
  <c r="Y179" i="1"/>
  <c r="Z253" i="1"/>
  <c r="Z194" i="1"/>
  <c r="CH143" i="1"/>
  <c r="Z148" i="1"/>
  <c r="Y252" i="1"/>
  <c r="Y231" i="1"/>
  <c r="Y183" i="1"/>
  <c r="CH144" i="1"/>
  <c r="CH179" i="1" s="1"/>
  <c r="CI179" i="1" s="1"/>
  <c r="Z179" i="1"/>
  <c r="Y26" i="1"/>
  <c r="Y134" i="1"/>
  <c r="Y161" i="1"/>
  <c r="Z209" i="1" s="1"/>
  <c r="X183" i="1"/>
  <c r="Y10" i="1"/>
  <c r="Z252" i="1"/>
  <c r="X173" i="1"/>
  <c r="CH159" i="1"/>
  <c r="CH161" i="1" s="1"/>
  <c r="CI209" i="1" s="1"/>
  <c r="Z161" i="1"/>
  <c r="AA209" i="1" s="1"/>
  <c r="X194" i="1"/>
  <c r="X253" i="1"/>
  <c r="Y194" i="1"/>
  <c r="Y253" i="1"/>
  <c r="CH119" i="1"/>
  <c r="CH120" i="1" s="1"/>
  <c r="Z120" i="1"/>
  <c r="CH135" i="1"/>
  <c r="CI135" i="1" s="1"/>
  <c r="Z131" i="1"/>
  <c r="CG194" i="1"/>
  <c r="CG253" i="1"/>
  <c r="Y156" i="1"/>
  <c r="CH253" i="1"/>
  <c r="CG252" i="1"/>
  <c r="X134" i="1"/>
  <c r="CI231" i="1"/>
  <c r="CI10" i="1"/>
  <c r="CM133" i="1"/>
  <c r="CN133" i="1" s="1"/>
  <c r="CO133" i="1" s="1"/>
  <c r="CP133" i="1" s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J65" i="1"/>
  <c r="CH128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M137" i="1" l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I202" i="1"/>
  <c r="X98" i="1"/>
  <c r="CW20" i="1"/>
  <c r="DA20" i="1" s="1"/>
  <c r="CK27" i="1"/>
  <c r="X16" i="1"/>
  <c r="CL168" i="1"/>
  <c r="CL109" i="1" s="1"/>
  <c r="Z182" i="1"/>
  <c r="AA196" i="1"/>
  <c r="Z175" i="1"/>
  <c r="AA207" i="1"/>
  <c r="AA11" i="1"/>
  <c r="AA188" i="1"/>
  <c r="AA249" i="1"/>
  <c r="AA206" i="1"/>
  <c r="CJ131" i="1"/>
  <c r="CK131" i="1" s="1"/>
  <c r="JY21" i="4"/>
  <c r="KB8" i="4"/>
  <c r="JW21" i="4"/>
  <c r="KD7" i="4"/>
  <c r="JU14" i="4"/>
  <c r="KC14" i="4"/>
  <c r="JU21" i="4"/>
  <c r="JS15" i="4"/>
  <c r="KA14" i="4"/>
  <c r="JV8" i="4"/>
  <c r="JZ8" i="4"/>
  <c r="JW14" i="4"/>
  <c r="JQ8" i="4"/>
  <c r="JU8" i="4"/>
  <c r="JT7" i="4"/>
  <c r="KB21" i="4"/>
  <c r="JT21" i="4"/>
  <c r="KD15" i="4"/>
  <c r="JR15" i="4"/>
  <c r="KB7" i="4"/>
  <c r="KA7" i="4"/>
  <c r="JT8" i="4"/>
  <c r="KC8" i="4"/>
  <c r="KC20" i="4" s="1"/>
  <c r="KF7" i="4"/>
  <c r="CK11" i="1"/>
  <c r="X27" i="1"/>
  <c r="CH154" i="1"/>
  <c r="CH156" i="1" s="1"/>
  <c r="CH185" i="1" s="1"/>
  <c r="Z156" i="1"/>
  <c r="AA197" i="1" s="1"/>
  <c r="CL17" i="1"/>
  <c r="CL28" i="1"/>
  <c r="CL248" i="1"/>
  <c r="CL246" i="1"/>
  <c r="CL181" i="1"/>
  <c r="CL92" i="1"/>
  <c r="JW7" i="4"/>
  <c r="JS8" i="4"/>
  <c r="KG14" i="4"/>
  <c r="KB15" i="4"/>
  <c r="KB20" i="4" s="1"/>
  <c r="KE14" i="4"/>
  <c r="JZ7" i="4"/>
  <c r="JS7" i="4"/>
  <c r="KC21" i="4"/>
  <c r="KC7" i="4"/>
  <c r="KA8" i="4"/>
  <c r="KA20" i="4" s="1"/>
  <c r="JX8" i="4"/>
  <c r="JZ15" i="4"/>
  <c r="JZ20" i="4" s="1"/>
  <c r="KE7" i="4"/>
  <c r="CJ120" i="1"/>
  <c r="CJ92" i="1" s="1"/>
  <c r="CJ94" i="1" s="1"/>
  <c r="JU15" i="4"/>
  <c r="JU20" i="4" s="1"/>
  <c r="KE8" i="4"/>
  <c r="KH21" i="4"/>
  <c r="KG15" i="4"/>
  <c r="JQ14" i="4"/>
  <c r="JQ19" i="4" s="1"/>
  <c r="CK78" i="1" s="1"/>
  <c r="JX14" i="4"/>
  <c r="CL12" i="1"/>
  <c r="CL188" i="1"/>
  <c r="CL185" i="1"/>
  <c r="CL157" i="1"/>
  <c r="CL165" i="1" s="1"/>
  <c r="CL166" i="1" s="1"/>
  <c r="CL102" i="1"/>
  <c r="CI16" i="1"/>
  <c r="CL244" i="1"/>
  <c r="CL225" i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KH14" i="4"/>
  <c r="KH19" i="4" s="1"/>
  <c r="JR14" i="4"/>
  <c r="JR19" i="4" s="1"/>
  <c r="CL78" i="1" s="1"/>
  <c r="KH8" i="4"/>
  <c r="JU7" i="4"/>
  <c r="CJ138" i="1"/>
  <c r="JX7" i="4"/>
  <c r="JZ14" i="4"/>
  <c r="JV15" i="4"/>
  <c r="JV20" i="4" s="1"/>
  <c r="JV7" i="4"/>
  <c r="JX21" i="4"/>
  <c r="KF14" i="4"/>
  <c r="KF19" i="4" s="1"/>
  <c r="CJ161" i="1"/>
  <c r="JT14" i="4"/>
  <c r="JT19" i="4" s="1"/>
  <c r="JW8" i="4"/>
  <c r="JV21" i="4"/>
  <c r="KF8" i="4"/>
  <c r="KF20" i="4" s="1"/>
  <c r="JY14" i="4"/>
  <c r="JS14" i="4"/>
  <c r="JS19" i="4" s="1"/>
  <c r="JV14" i="4"/>
  <c r="JV19" i="4" s="1"/>
  <c r="JT15" i="4"/>
  <c r="JT20" i="4" s="1"/>
  <c r="CJ148" i="1"/>
  <c r="CJ182" i="1" s="1"/>
  <c r="JR8" i="4"/>
  <c r="JS21" i="4"/>
  <c r="JY15" i="4"/>
  <c r="KG8" i="4"/>
  <c r="JY8" i="4"/>
  <c r="KD21" i="4"/>
  <c r="KG7" i="4"/>
  <c r="KE15" i="4"/>
  <c r="CJ156" i="1"/>
  <c r="CJ185" i="1" s="1"/>
  <c r="CJ184" i="1" s="1"/>
  <c r="CK184" i="1" s="1"/>
  <c r="KA21" i="4"/>
  <c r="JY7" i="4"/>
  <c r="KH15" i="4"/>
  <c r="KF21" i="4"/>
  <c r="JW15" i="4"/>
  <c r="KB14" i="4"/>
  <c r="CJ128" i="1"/>
  <c r="CJ249" i="1" s="1"/>
  <c r="CH148" i="1"/>
  <c r="CK140" i="1"/>
  <c r="X157" i="1"/>
  <c r="Y182" i="1"/>
  <c r="Y181" i="1" s="1"/>
  <c r="Z196" i="1"/>
  <c r="X182" i="1"/>
  <c r="X181" i="1" s="1"/>
  <c r="Y196" i="1"/>
  <c r="CK17" i="1"/>
  <c r="CK28" i="1"/>
  <c r="CL31" i="1" s="1"/>
  <c r="Y27" i="1"/>
  <c r="Z27" i="1"/>
  <c r="CK102" i="1"/>
  <c r="Y33" i="1"/>
  <c r="Y138" i="1"/>
  <c r="Y246" i="1" s="1"/>
  <c r="Y98" i="1"/>
  <c r="Y16" i="1"/>
  <c r="Y188" i="1"/>
  <c r="Y11" i="1"/>
  <c r="Z248" i="1"/>
  <c r="Z134" i="1"/>
  <c r="CH131" i="1"/>
  <c r="AB133" i="1"/>
  <c r="CQ133" i="1"/>
  <c r="CR133" i="1" s="1"/>
  <c r="CS133" i="1" s="1"/>
  <c r="CT133" i="1" s="1"/>
  <c r="KD19" i="4"/>
  <c r="CG27" i="1"/>
  <c r="CG16" i="1"/>
  <c r="CK18" i="1" s="1"/>
  <c r="X129" i="1"/>
  <c r="JQ20" i="4"/>
  <c r="CK79" i="1" s="1"/>
  <c r="CI27" i="1"/>
  <c r="Y185" i="1"/>
  <c r="Y157" i="1"/>
  <c r="X138" i="1"/>
  <c r="X33" i="1"/>
  <c r="X248" i="1"/>
  <c r="Y209" i="1"/>
  <c r="JX20" i="4"/>
  <c r="Z188" i="1"/>
  <c r="Z11" i="1"/>
  <c r="Z16" i="1"/>
  <c r="AA18" i="1" s="1"/>
  <c r="Z98" i="1"/>
  <c r="Y175" i="1"/>
  <c r="Y248" i="1"/>
  <c r="X37" i="1"/>
  <c r="X168" i="1"/>
  <c r="X109" i="1" s="1"/>
  <c r="CH92" i="1"/>
  <c r="CH94" i="1" s="1"/>
  <c r="CI206" i="1"/>
  <c r="X185" i="1"/>
  <c r="Y197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H248" i="1"/>
  <c r="CH129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CI17" i="1"/>
  <c r="CI28" i="1"/>
  <c r="JN20" i="4"/>
  <c r="CH79" i="1" s="1"/>
  <c r="JN19" i="4"/>
  <c r="CH78" i="1" s="1"/>
  <c r="AA198" i="1" l="1"/>
  <c r="AA199" i="1" s="1"/>
  <c r="JW19" i="4"/>
  <c r="JS20" i="4"/>
  <c r="X17" i="1"/>
  <c r="CL94" i="1"/>
  <c r="Z181" i="1"/>
  <c r="X28" i="1"/>
  <c r="AA205" i="1"/>
  <c r="JU19" i="4"/>
  <c r="JR20" i="4"/>
  <c r="CL79" i="1" s="1"/>
  <c r="Y18" i="1"/>
  <c r="KD20" i="4"/>
  <c r="CH184" i="1"/>
  <c r="CI184" i="1" s="1"/>
  <c r="KC19" i="4"/>
  <c r="KA19" i="4"/>
  <c r="Z185" i="1"/>
  <c r="Z157" i="1"/>
  <c r="Z197" i="1"/>
  <c r="KG19" i="4"/>
  <c r="KE19" i="4"/>
  <c r="KE20" i="4"/>
  <c r="JY19" i="4"/>
  <c r="KH20" i="4"/>
  <c r="JW20" i="4"/>
  <c r="KB19" i="4"/>
  <c r="CL184" i="1"/>
  <c r="CL186" i="1"/>
  <c r="CL250" i="1"/>
  <c r="CL29" i="1"/>
  <c r="CL34" i="1"/>
  <c r="CL38" i="1" s="1"/>
  <c r="CL232" i="1"/>
  <c r="CL233" i="1" s="1"/>
  <c r="JX19" i="4"/>
  <c r="JZ19" i="4"/>
  <c r="JY20" i="4"/>
  <c r="KG20" i="4"/>
  <c r="Y198" i="1"/>
  <c r="CL103" i="1"/>
  <c r="CL95" i="1"/>
  <c r="CL107" i="1"/>
  <c r="CL110" i="1" s="1"/>
  <c r="CH182" i="1"/>
  <c r="CH157" i="1"/>
  <c r="CK202" i="1"/>
  <c r="CL202" i="1"/>
  <c r="CL249" i="1"/>
  <c r="CL206" i="1"/>
  <c r="CJ244" i="1"/>
  <c r="CJ157" i="1"/>
  <c r="CJ165" i="1" s="1"/>
  <c r="CJ248" i="1"/>
  <c r="CJ129" i="1"/>
  <c r="CJ246" i="1"/>
  <c r="CK209" i="1"/>
  <c r="CJ206" i="1"/>
  <c r="Y244" i="1"/>
  <c r="CK29" i="1"/>
  <c r="CK34" i="1"/>
  <c r="CK38" i="1" s="1"/>
  <c r="Y165" i="1"/>
  <c r="Y166" i="1" s="1"/>
  <c r="Y28" i="1"/>
  <c r="Y17" i="1"/>
  <c r="CK108" i="1"/>
  <c r="CK104" i="1"/>
  <c r="CK103" i="1"/>
  <c r="CK107" i="1"/>
  <c r="Z138" i="1"/>
  <c r="AA203" i="1" s="1"/>
  <c r="AA201" i="1" s="1"/>
  <c r="Z33" i="1"/>
  <c r="CI131" i="1"/>
  <c r="CI134" i="1" s="1"/>
  <c r="CH134" i="1"/>
  <c r="CU133" i="1"/>
  <c r="CV133" i="1" s="1"/>
  <c r="CW133" i="1" s="1"/>
  <c r="CX133" i="1" s="1"/>
  <c r="AC133" i="1"/>
  <c r="Z18" i="1"/>
  <c r="Z17" i="1"/>
  <c r="Z28" i="1"/>
  <c r="X244" i="1"/>
  <c r="X246" i="1"/>
  <c r="X165" i="1"/>
  <c r="X166" i="1" s="1"/>
  <c r="Y203" i="1"/>
  <c r="Y201" i="1" s="1"/>
  <c r="CJ96" i="1"/>
  <c r="CJ95" i="1"/>
  <c r="CH96" i="1"/>
  <c r="CG28" i="1"/>
  <c r="CK30" i="1" s="1"/>
  <c r="CG17" i="1"/>
  <c r="CK185" i="1"/>
  <c r="Y184" i="1"/>
  <c r="Y186" i="1"/>
  <c r="CM140" i="1"/>
  <c r="CJ181" i="1"/>
  <c r="CK181" i="1" s="1"/>
  <c r="CJ186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I34" i="1"/>
  <c r="CI232" i="1"/>
  <c r="CI233" i="1" s="1"/>
  <c r="CI29" i="1"/>
  <c r="CL104" i="1" l="1"/>
  <c r="CL108" i="1"/>
  <c r="CL111" i="1" s="1"/>
  <c r="CL96" i="1"/>
  <c r="Z198" i="1"/>
  <c r="CI185" i="1"/>
  <c r="CI152" i="1"/>
  <c r="Z186" i="1"/>
  <c r="AA189" i="1" s="1"/>
  <c r="AA190" i="1" s="1"/>
  <c r="Z184" i="1"/>
  <c r="X232" i="1"/>
  <c r="X233" i="1" s="1"/>
  <c r="X34" i="1"/>
  <c r="X112" i="1"/>
  <c r="X29" i="1"/>
  <c r="AA210" i="1"/>
  <c r="AA211" i="1" s="1"/>
  <c r="AA213" i="1"/>
  <c r="Z34" i="1"/>
  <c r="AA250" i="1"/>
  <c r="AA251" i="1" s="1"/>
  <c r="AA30" i="1"/>
  <c r="CL251" i="1"/>
  <c r="Y250" i="1"/>
  <c r="Y251" i="1" s="1"/>
  <c r="Y112" i="1"/>
  <c r="Y34" i="1"/>
  <c r="Y29" i="1"/>
  <c r="Y232" i="1"/>
  <c r="Y233" i="1" s="1"/>
  <c r="Z203" i="1"/>
  <c r="Z201" i="1" s="1"/>
  <c r="Z165" i="1"/>
  <c r="Z166" i="1" s="1"/>
  <c r="CL40" i="1"/>
  <c r="CL41" i="1"/>
  <c r="CH186" i="1"/>
  <c r="CL189" i="1" s="1"/>
  <c r="CH181" i="1"/>
  <c r="CI181" i="1" s="1"/>
  <c r="CJ166" i="1"/>
  <c r="CK31" i="1"/>
  <c r="CL226" i="1"/>
  <c r="CL112" i="1"/>
  <c r="CI38" i="1"/>
  <c r="CL55" i="1"/>
  <c r="Z250" i="1"/>
  <c r="Z251" i="1" s="1"/>
  <c r="Y30" i="1"/>
  <c r="Z30" i="1"/>
  <c r="Z246" i="1"/>
  <c r="Z244" i="1"/>
  <c r="Z112" i="1"/>
  <c r="Z29" i="1"/>
  <c r="Z232" i="1"/>
  <c r="Z233" i="1" s="1"/>
  <c r="CK40" i="1"/>
  <c r="CK41" i="1"/>
  <c r="CL44" i="1" s="1"/>
  <c r="CJ33" i="1"/>
  <c r="CI138" i="1"/>
  <c r="CJ203" i="1" s="1"/>
  <c r="CJ201" i="1" s="1"/>
  <c r="CI250" i="1"/>
  <c r="CI251" i="1" s="1"/>
  <c r="CK112" i="1"/>
  <c r="CM17" i="1"/>
  <c r="CI33" i="1"/>
  <c r="CH138" i="1"/>
  <c r="CY133" i="1"/>
  <c r="CZ133" i="1" s="1"/>
  <c r="DA133" i="1" s="1"/>
  <c r="DB133" i="1" s="1"/>
  <c r="AE133" i="1" s="1"/>
  <c r="AD133" i="1"/>
  <c r="Y189" i="1"/>
  <c r="Y190" i="1" s="1"/>
  <c r="CG34" i="1"/>
  <c r="CG38" i="1" s="1"/>
  <c r="CG232" i="1"/>
  <c r="CG233" i="1" s="1"/>
  <c r="CG29" i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K194" i="1"/>
  <c r="CK132" i="1"/>
  <c r="Y55" i="1"/>
  <c r="Y38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I41" i="1"/>
  <c r="CI40" i="1"/>
  <c r="CM46" i="1"/>
  <c r="Z38" i="1" l="1"/>
  <c r="X38" i="1"/>
  <c r="X55" i="1"/>
  <c r="Z189" i="1"/>
  <c r="Z190" i="1" s="1"/>
  <c r="Z55" i="1"/>
  <c r="CL234" i="1"/>
  <c r="CL48" i="1"/>
  <c r="CL42" i="1"/>
  <c r="CL245" i="1" s="1"/>
  <c r="CI182" i="1"/>
  <c r="CI146" i="1"/>
  <c r="CL113" i="1"/>
  <c r="CL114" i="1"/>
  <c r="CK134" i="1"/>
  <c r="CL132" i="1"/>
  <c r="CL131" i="1" s="1"/>
  <c r="CN202" i="1"/>
  <c r="CO140" i="1"/>
  <c r="CK48" i="1"/>
  <c r="CK42" i="1"/>
  <c r="CI203" i="1"/>
  <c r="CI201" i="1" s="1"/>
  <c r="CH246" i="1"/>
  <c r="CH165" i="1"/>
  <c r="CH166" i="1" s="1"/>
  <c r="CG41" i="1"/>
  <c r="CK43" i="1" s="1"/>
  <c r="CG40" i="1"/>
  <c r="CH41" i="1"/>
  <c r="CL43" i="1" s="1"/>
  <c r="CH40" i="1"/>
  <c r="CJ41" i="1"/>
  <c r="CJ40" i="1"/>
  <c r="CN184" i="1"/>
  <c r="CM185" i="1"/>
  <c r="CM181" i="1"/>
  <c r="CO125" i="1"/>
  <c r="CN128" i="1"/>
  <c r="CN249" i="1" s="1"/>
  <c r="CM206" i="1"/>
  <c r="Y40" i="1"/>
  <c r="Y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CI42" i="1"/>
  <c r="CI245" i="1" s="1"/>
  <c r="CI234" i="1"/>
  <c r="CI48" i="1"/>
  <c r="AC45" i="1"/>
  <c r="CV45" i="1"/>
  <c r="CW45" i="1" s="1"/>
  <c r="CX45" i="1" s="1"/>
  <c r="CY45" i="1" s="1"/>
  <c r="AB35" i="1"/>
  <c r="CN46" i="1"/>
  <c r="CO46" i="1" s="1"/>
  <c r="CP46" i="1" s="1"/>
  <c r="CQ46" i="1" s="1"/>
  <c r="X40" i="1" l="1"/>
  <c r="X41" i="1"/>
  <c r="Z41" i="1"/>
  <c r="AA43" i="1" s="1"/>
  <c r="Z40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L193" i="1"/>
  <c r="CL195" i="1" s="1"/>
  <c r="CL66" i="1"/>
  <c r="CL52" i="1"/>
  <c r="CM131" i="1"/>
  <c r="CN131" i="1" s="1"/>
  <c r="CO131" i="1" s="1"/>
  <c r="CP131" i="1" s="1"/>
  <c r="CJ44" i="1"/>
  <c r="CL227" i="1"/>
  <c r="CK203" i="1"/>
  <c r="CK201" i="1" s="1"/>
  <c r="CL203" i="1"/>
  <c r="CL201" i="1" s="1"/>
  <c r="CI119" i="1"/>
  <c r="CJ42" i="1"/>
  <c r="CJ245" i="1" s="1"/>
  <c r="CP140" i="1"/>
  <c r="CP202" i="1" s="1"/>
  <c r="CO202" i="1"/>
  <c r="CK52" i="1"/>
  <c r="CK66" i="1"/>
  <c r="CJ234" i="1"/>
  <c r="CJ48" i="1"/>
  <c r="CL54" i="1" s="1"/>
  <c r="CK44" i="1"/>
  <c r="CM40" i="1"/>
  <c r="CN40" i="1" s="1"/>
  <c r="CJ227" i="1"/>
  <c r="CG42" i="1"/>
  <c r="CG245" i="1" s="1"/>
  <c r="CG234" i="1"/>
  <c r="CG48" i="1"/>
  <c r="CH44" i="1"/>
  <c r="CI44" i="1"/>
  <c r="CH48" i="1"/>
  <c r="CH42" i="1"/>
  <c r="CH245" i="1" s="1"/>
  <c r="CH234" i="1"/>
  <c r="CO184" i="1"/>
  <c r="CN185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U34" i="3"/>
  <c r="AW39" i="3"/>
  <c r="AY7" i="3"/>
  <c r="AX5" i="3"/>
  <c r="AY17" i="3"/>
  <c r="AW10" i="3"/>
  <c r="AU40" i="3"/>
  <c r="AT6" i="6" a="1"/>
  <c r="AV27" i="3"/>
  <c r="EP15" i="4" a="1"/>
  <c r="EN12" i="4" a="1"/>
  <c r="AI6" i="6" a="1"/>
  <c r="AT10" i="3"/>
  <c r="AF10" i="3"/>
  <c r="AQ6" i="6" a="1"/>
  <c r="AX42" i="3"/>
  <c r="ET12" i="4" a="1"/>
  <c r="EV13" i="4" a="1"/>
  <c r="EO6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S27" i="3"/>
  <c r="EU9" i="4" a="1"/>
  <c r="EL11" i="4" a="1"/>
  <c r="ES6" i="4" a="1"/>
  <c r="EV6" i="4" a="1"/>
  <c r="ET5" i="4" a="1"/>
  <c r="EP7" i="4" a="1"/>
  <c r="EP14" i="4" a="1"/>
  <c r="AU31" i="3"/>
  <c r="EL15" i="4" a="1"/>
  <c r="AT12" i="3"/>
  <c r="AX37" i="3"/>
  <c r="AR5" i="6" a="1"/>
  <c r="EN13" i="4" a="1"/>
  <c r="EU13" i="4" a="1"/>
  <c r="EW7" i="4" a="1"/>
  <c r="EW11" i="4" a="1"/>
  <c r="AW37" i="3"/>
  <c r="AF30" i="3"/>
  <c r="AX35" i="3"/>
  <c r="AZ7" i="3"/>
  <c r="K5" i="6" a="1"/>
  <c r="AF34" i="3"/>
  <c r="EM8" i="4" a="1"/>
  <c r="AU25" i="3"/>
  <c r="AV42" i="3"/>
  <c r="AW21" i="3"/>
  <c r="AV34" i="3"/>
  <c r="AF38" i="3"/>
  <c r="AX18" i="3"/>
  <c r="D5" i="6" a="1"/>
  <c r="ET6" i="4" a="1"/>
  <c r="EW6" i="4" a="1"/>
  <c r="ER7" i="4" a="1"/>
  <c r="EV11" i="4" a="1"/>
  <c r="L6" i="6" a="1"/>
  <c r="AU42" i="3"/>
  <c r="AU10" i="3"/>
  <c r="AV26" i="3"/>
  <c r="AS8" i="3"/>
  <c r="C5" i="3"/>
  <c r="AT35" i="3"/>
  <c r="AZ46" i="3"/>
  <c r="AX46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V36" i="3"/>
  <c r="AV16" i="3"/>
  <c r="AT11" i="3"/>
  <c r="AW8" i="3"/>
  <c r="AX8" i="3"/>
  <c r="AH6" i="6" a="1"/>
  <c r="AU8" i="3"/>
  <c r="AZ29" i="3"/>
  <c r="AF13" i="3"/>
  <c r="AW9" i="3"/>
  <c r="AW25" i="3"/>
  <c r="EM15" i="4" a="1"/>
  <c r="ET16" i="4" a="1"/>
  <c r="EP9" i="4" a="1"/>
  <c r="ES14" i="4" a="1"/>
  <c r="AQ5" i="6" a="1"/>
  <c r="AW26" i="3"/>
  <c r="AZ40" i="3"/>
  <c r="EQ13" i="4" a="1"/>
  <c r="EU8" i="4" a="1"/>
  <c r="EL16" i="4" a="1"/>
  <c r="EO5" i="4" a="1"/>
  <c r="EN15" i="4" a="1"/>
  <c r="AW18" i="3"/>
  <c r="AV19" i="3"/>
  <c r="AW24" i="3"/>
  <c r="AZ13" i="3"/>
  <c r="EW16" i="4" a="1"/>
  <c r="EL8" i="4" a="1"/>
  <c r="AS13" i="3"/>
  <c r="AV13" i="3"/>
  <c r="AF5" i="6" a="1"/>
  <c r="EO7" i="4" a="1"/>
  <c r="EN9" i="4" a="1"/>
  <c r="O6" i="6" a="1"/>
  <c r="AT7" i="3"/>
  <c r="AU17" i="3"/>
  <c r="C5" i="6" a="1"/>
  <c r="AL5" i="6" a="1"/>
  <c r="AX23" i="3"/>
  <c r="AN5" i="6" a="1"/>
  <c r="AS23" i="3"/>
  <c r="AC6" i="6" a="1"/>
  <c r="EO8" i="4" a="1"/>
  <c r="EP11" i="4" a="1"/>
  <c r="ER6" i="4" a="1"/>
  <c r="EM6" i="4" a="1"/>
  <c r="R6" i="6" a="1"/>
  <c r="AU27" i="3"/>
  <c r="AT24" i="3"/>
  <c r="AJ5" i="6" a="1"/>
  <c r="AW28" i="3"/>
  <c r="J6" i="6" a="1"/>
  <c r="ET15" i="4" a="1"/>
  <c r="ES13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EM16" i="4" a="1"/>
  <c r="EQ11" i="4" a="1"/>
  <c r="EP8" i="4" a="1"/>
  <c r="EN8" i="4" a="1"/>
  <c r="EW13" i="4" a="1"/>
  <c r="ET7" i="4" a="1"/>
  <c r="AS33" i="3"/>
  <c r="AL6" i="6" a="1"/>
  <c r="M5" i="6" a="1"/>
  <c r="EU11" i="4" a="1"/>
  <c r="EP6" i="4" a="1"/>
  <c r="AT39" i="3"/>
  <c r="AF11" i="3"/>
  <c r="AZ16" i="3"/>
  <c r="AU22" i="3"/>
  <c r="AX21" i="3"/>
  <c r="AT29" i="3"/>
  <c r="AY23" i="3"/>
  <c r="AS6" i="3"/>
  <c r="AS22" i="3"/>
  <c r="AD6" i="6" a="1"/>
  <c r="AP7" i="3"/>
  <c r="EU14" i="4" a="1"/>
  <c r="EV7" i="4" a="1"/>
  <c r="EU5" i="4" a="1"/>
  <c r="AY24" i="3"/>
  <c r="AR6" i="6" a="1"/>
  <c r="AW20" i="3"/>
  <c r="AS9" i="3"/>
  <c r="AW31" i="3"/>
  <c r="AZ5" i="3"/>
  <c r="AF15" i="3"/>
  <c r="ER14" i="4" a="1"/>
  <c r="ES9" i="4" a="1"/>
  <c r="EO12" i="4" a="1"/>
  <c r="ES12" i="4" a="1"/>
  <c r="AW23" i="3"/>
  <c r="AX9" i="3"/>
  <c r="AY37" i="3"/>
  <c r="EM5" i="4" a="1"/>
  <c r="EQ8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S40" i="3"/>
  <c r="AS38" i="3"/>
  <c r="AE5" i="6" a="1"/>
  <c r="AY9" i="3"/>
  <c r="AU14" i="3"/>
  <c r="EV14" i="4" a="1"/>
  <c r="AY30" i="3"/>
  <c r="AW30" i="3"/>
  <c r="AT5" i="6" a="1"/>
  <c r="AZ37" i="3"/>
  <c r="AB5" i="6" a="1"/>
  <c r="AZ34" i="3"/>
  <c r="EO9" i="4" a="1"/>
  <c r="EN16" i="4" a="1"/>
  <c r="EU6" i="4" a="1"/>
  <c r="AY40" i="3"/>
  <c r="I5" i="6" a="1"/>
  <c r="Z6" i="6" a="1"/>
  <c r="AZ42" i="3"/>
  <c r="AV7" i="3"/>
  <c r="J5" i="6" a="1"/>
  <c r="AV35" i="3"/>
  <c r="EN5" i="4" a="1"/>
  <c r="EQ6" i="4" a="1"/>
  <c r="EQ7" i="4" a="1"/>
  <c r="AW5" i="6" a="1"/>
  <c r="AZ41" i="3"/>
  <c r="AU15" i="3"/>
  <c r="AV40" i="3"/>
  <c r="AU16" i="3"/>
  <c r="AU19" i="3"/>
  <c r="AU5" i="3"/>
  <c r="AZ11" i="3"/>
  <c r="AZ24" i="3"/>
  <c r="AY15" i="3"/>
  <c r="AU7" i="3"/>
  <c r="ER11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W42" i="3"/>
  <c r="F6" i="6" a="1"/>
  <c r="AV9" i="3"/>
  <c r="AD5" i="6" a="1"/>
  <c r="T6" i="6" a="1"/>
  <c r="AX14" i="3"/>
  <c r="AS21" i="3"/>
  <c r="C6" i="4" a="1"/>
  <c r="ER15" i="4" a="1"/>
  <c r="AF40" i="3"/>
  <c r="AS41" i="3"/>
  <c r="AU26" i="3"/>
  <c r="AV12" i="3"/>
  <c r="AS16" i="3"/>
  <c r="AS31" i="3"/>
  <c r="EW8" i="4" a="1"/>
  <c r="AS45" i="3"/>
  <c r="AV46" i="3"/>
  <c r="G5" i="6" a="1"/>
  <c r="AT19" i="3"/>
  <c r="EL6" i="4" a="1"/>
  <c r="EU7" i="4" a="1"/>
  <c r="T5" i="6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Z8" i="3"/>
  <c r="AY39" i="3"/>
  <c r="EN6" i="4" a="1"/>
  <c r="EO15" i="4" a="1"/>
  <c r="EL12" i="4" a="1"/>
  <c r="AW12" i="3"/>
  <c r="AX6" i="3"/>
  <c r="AY25" i="3"/>
  <c r="AU12" i="3"/>
  <c r="AY42" i="3"/>
  <c r="EN7" i="4" a="1"/>
  <c r="EL13" i="4" a="1"/>
  <c r="EW9" i="4" a="1"/>
  <c r="AB131" i="1" l="1"/>
  <c r="CQ131" i="1"/>
  <c r="CR131" i="1" s="1"/>
  <c r="CS131" i="1" s="1"/>
  <c r="CT131" i="1" s="1"/>
  <c r="CJ66" i="1"/>
  <c r="CL69" i="1" s="1"/>
  <c r="CJ193" i="1"/>
  <c r="CJ195" i="1" s="1"/>
  <c r="CJ52" i="1"/>
  <c r="CJ54" i="1"/>
  <c r="CG193" i="1"/>
  <c r="CG195" i="1" s="1"/>
  <c r="CG52" i="1"/>
  <c r="CG66" i="1"/>
  <c r="CH193" i="1"/>
  <c r="CH195" i="1" s="1"/>
  <c r="CH66" i="1"/>
  <c r="CK69" i="1" s="1"/>
  <c r="CH52" i="1"/>
  <c r="CO185" i="1"/>
  <c r="CP184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T97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V54" i="3"/>
  <c r="AY70" i="3"/>
  <c r="C82" i="3"/>
  <c r="AY83" i="3"/>
  <c r="AU97" i="3"/>
  <c r="AS72" i="3"/>
  <c r="AW85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S75" i="3"/>
  <c r="C61" i="3"/>
  <c r="AZ90" i="3"/>
  <c r="AW55" i="3"/>
  <c r="AX82" i="3"/>
  <c r="AW65" i="3"/>
  <c r="AX70" i="3"/>
  <c r="AZ55" i="3"/>
  <c r="AT90" i="3"/>
  <c r="AU78" i="3"/>
  <c r="C73" i="3"/>
  <c r="C80" i="3"/>
  <c r="AU75" i="3"/>
  <c r="AV60" i="3"/>
  <c r="AF87" i="3"/>
  <c r="AY79" i="3"/>
  <c r="AV78" i="3"/>
  <c r="AW57" i="3"/>
  <c r="AY6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V91" i="3"/>
  <c r="AZ62" i="3"/>
  <c r="AU84" i="3"/>
  <c r="AT78" i="3"/>
  <c r="AU48" i="3"/>
  <c r="C74" i="3"/>
  <c r="AS89" i="3"/>
  <c r="AU57" i="3"/>
  <c r="AF55" i="3"/>
  <c r="AT83" i="3"/>
  <c r="AF67" i="3"/>
  <c r="AY95" i="3"/>
  <c r="AV90" i="3"/>
  <c r="AZ77" i="3"/>
  <c r="AZ60" i="3"/>
  <c r="AT61" i="3"/>
  <c r="AY54" i="3"/>
  <c r="AF62" i="3"/>
  <c r="AW95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58" i="3"/>
  <c r="AF76" i="3"/>
  <c r="AT79" i="3"/>
  <c r="AV48" i="3"/>
  <c r="AW68" i="3"/>
  <c r="C83" i="3"/>
  <c r="AV68" i="3"/>
  <c r="AU55" i="3"/>
  <c r="AV49" i="3"/>
  <c r="AF63" i="3"/>
  <c r="AV96" i="3"/>
  <c r="AF89" i="3"/>
  <c r="AT54" i="3"/>
  <c r="AX65" i="3"/>
  <c r="AY64" i="3"/>
  <c r="AZ80" i="3"/>
  <c r="AS91" i="3"/>
  <c r="AZ86" i="3"/>
  <c r="AT74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S82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S94" i="3"/>
  <c r="C71" i="3"/>
  <c r="AW73" i="3"/>
  <c r="AX97" i="3"/>
  <c r="AU93" i="3"/>
  <c r="C95" i="3"/>
  <c r="AV94" i="3"/>
  <c r="AU90" i="3"/>
  <c r="AT50" i="3"/>
  <c r="AY92" i="3"/>
  <c r="AF71" i="3"/>
  <c r="AF96" i="3"/>
  <c r="AS62" i="3"/>
  <c r="AW83" i="3"/>
  <c r="AV63" i="3"/>
  <c r="AZ81" i="3"/>
  <c r="AF82" i="3"/>
  <c r="AT93" i="3"/>
  <c r="AV95" i="3"/>
  <c r="C69" i="3"/>
  <c r="AX95" i="3"/>
  <c r="AW81" i="3"/>
  <c r="AY96" i="3"/>
  <c r="AT94" i="3"/>
  <c r="AS96" i="3"/>
  <c r="AW50" i="3"/>
  <c r="AU94" i="3"/>
  <c r="AF84" i="3"/>
  <c r="AZ57" i="3"/>
  <c r="AF65" i="3"/>
  <c r="AX72" i="3"/>
  <c r="AZ91" i="3"/>
  <c r="AF75" i="3"/>
  <c r="AY59" i="3"/>
  <c r="AX94" i="3"/>
  <c r="C59" i="3"/>
  <c r="AU61" i="3"/>
  <c r="AF79" i="3"/>
  <c r="AU76" i="3"/>
  <c r="AW91" i="3"/>
  <c r="AY97" i="3"/>
  <c r="AS87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U62" i="3"/>
  <c r="AX83" i="3"/>
  <c r="AT88" i="3"/>
  <c r="C92" i="3"/>
  <c r="AS59" i="3"/>
  <c r="AS64" i="3"/>
  <c r="AV50" i="3"/>
  <c r="AU65" i="3"/>
  <c r="AT55" i="3"/>
  <c r="C65" i="3"/>
  <c r="AU87" i="3"/>
  <c r="AX77" i="3"/>
  <c r="AX91" i="3"/>
  <c r="AT58" i="3"/>
  <c r="AS79" i="3"/>
  <c r="AU59" i="3"/>
  <c r="AU96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F47" i="3"/>
  <c r="AT56" i="3"/>
  <c r="AV86" i="3"/>
  <c r="AX61" i="3"/>
  <c r="AV80" i="3"/>
  <c r="AY67" i="3"/>
  <c r="AY74" i="3"/>
  <c r="C78" i="3"/>
  <c r="AS57" i="3"/>
  <c r="AW56" i="3"/>
  <c r="AX90" i="3"/>
  <c r="AZ83" i="3"/>
  <c r="AU86" i="3"/>
  <c r="AT48" i="3"/>
  <c r="AV73" i="3"/>
  <c r="AX80" i="3"/>
  <c r="AS68" i="3"/>
  <c r="CJ69" i="1" l="1"/>
  <c r="AC131" i="1"/>
  <c r="CU131" i="1"/>
  <c r="CV131" i="1" s="1"/>
  <c r="CW131" i="1" s="1"/>
  <c r="CX131" i="1" s="1"/>
  <c r="CL85" i="1"/>
  <c r="CL86" i="1"/>
  <c r="CL87" i="1"/>
  <c r="CK85" i="1"/>
  <c r="CK87" i="1"/>
  <c r="CK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AD131" i="1" l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S184" i="1"/>
  <c r="CR185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S185" i="1" l="1"/>
  <c r="CT184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V185" i="1" l="1"/>
  <c r="CW184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A128" i="1"/>
  <c r="DB125" i="1"/>
  <c r="DB128" i="1" s="1"/>
  <c r="CZ206" i="1"/>
  <c r="CZ249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W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E63" i="3" s="1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M14" i="2"/>
  <c r="Q69" i="2"/>
  <c r="T26" i="2"/>
  <c r="K26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X28" i="2"/>
  <c r="L17" i="2"/>
  <c r="R29" i="2"/>
  <c r="I20" i="2"/>
  <c r="G32" i="2"/>
  <c r="V36" i="2"/>
  <c r="M32" i="2"/>
  <c r="J20" i="2"/>
  <c r="AR69" i="3"/>
  <c r="C23" i="2"/>
  <c r="P21" i="2"/>
  <c r="U9" i="2"/>
  <c r="AA46" i="3"/>
  <c r="D24" i="3"/>
  <c r="AR33" i="3"/>
  <c r="V45" i="3"/>
  <c r="K46" i="3"/>
  <c r="Z45" i="3"/>
  <c r="AD7" i="3"/>
  <c r="D6" i="3"/>
  <c r="AR18" i="3"/>
  <c r="Y46" i="3"/>
  <c r="F40" i="3"/>
  <c r="F28" i="3"/>
  <c r="AF7" i="4" a="1"/>
  <c r="BU6" i="4" a="1"/>
  <c r="AK9" i="4" a="1"/>
  <c r="DG12" i="4" a="1"/>
  <c r="DL15" i="4" a="1"/>
  <c r="CZ12" i="4" a="1"/>
  <c r="CG16" i="4" a="1"/>
  <c r="DV7" i="4" a="1"/>
  <c r="DP9" i="4" a="1"/>
  <c r="BK13" i="4" a="1"/>
  <c r="EK5" i="4" a="1"/>
  <c r="CQ13" i="4" a="1"/>
  <c r="CY16" i="4" a="1"/>
  <c r="CX6" i="4" a="1"/>
  <c r="BS7" i="4" a="1"/>
  <c r="DL6" i="4" a="1"/>
  <c r="P16" i="4" a="1"/>
  <c r="AV16" i="4" a="1"/>
  <c r="BY5" i="4" a="1"/>
  <c r="CW7" i="4" a="1"/>
  <c r="DX13" i="4" a="1"/>
  <c r="DL11" i="4" a="1"/>
  <c r="AF8" i="4" a="1"/>
  <c r="BO5" i="4" a="1"/>
  <c r="DG5" i="4" a="1"/>
  <c r="CE5" i="4" a="1"/>
  <c r="AU13" i="4" a="1"/>
  <c r="CF6" i="4" a="1"/>
  <c r="CE6" i="4" a="1"/>
  <c r="CT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C8" i="2"/>
  <c r="M18" i="2"/>
  <c r="I8" i="2"/>
  <c r="F35" i="2"/>
  <c r="H6" i="2"/>
  <c r="T24" i="2"/>
  <c r="V22" i="2"/>
  <c r="H10" i="2"/>
  <c r="AR49" i="3"/>
  <c r="D5" i="2"/>
  <c r="X35" i="2"/>
  <c r="U32" i="2"/>
  <c r="G17" i="3"/>
  <c r="D36" i="3"/>
  <c r="AD18" i="3"/>
  <c r="AR40" i="3"/>
  <c r="C46" i="3"/>
  <c r="AQ45" i="3"/>
  <c r="F34" i="3"/>
  <c r="AD9" i="3"/>
  <c r="E12" i="3"/>
  <c r="AD16" i="3"/>
  <c r="K45" i="3"/>
  <c r="F35" i="3"/>
  <c r="CX7" i="4" a="1"/>
  <c r="Y16" i="4" a="1"/>
  <c r="BC9" i="4" a="1"/>
  <c r="Z15" i="4" a="1"/>
  <c r="EG12" i="4" a="1"/>
  <c r="BE11" i="4" a="1"/>
  <c r="BQ7" i="4" a="1"/>
  <c r="DY11" i="4" a="1"/>
  <c r="CO6" i="4" a="1"/>
  <c r="AZ7" i="4" a="1"/>
  <c r="AP9" i="4" a="1"/>
  <c r="R13" i="4" a="1"/>
  <c r="ED14" i="4" a="1"/>
  <c r="W5" i="4" a="1"/>
  <c r="DO12" i="4" a="1"/>
  <c r="DI8" i="4" a="1"/>
  <c r="BH6" i="4" a="1"/>
  <c r="DE12" i="4" a="1"/>
  <c r="Y8" i="4" a="1"/>
  <c r="DX6" i="4" a="1"/>
  <c r="F16" i="4" a="1"/>
  <c r="AY9" i="4" a="1"/>
  <c r="CM13" i="4" a="1"/>
  <c r="V34" i="2"/>
  <c r="P7" i="2"/>
  <c r="V28" i="2"/>
  <c r="D24" i="2"/>
  <c r="J19" i="2"/>
  <c r="V18" i="2"/>
  <c r="K59" i="2"/>
  <c r="I25" i="2"/>
  <c r="T8" i="2"/>
  <c r="M30" i="2"/>
  <c r="F14" i="2"/>
  <c r="C12" i="2"/>
  <c r="D33" i="3"/>
  <c r="D16" i="3"/>
  <c r="AI45" i="3"/>
  <c r="E21" i="3"/>
  <c r="AD8" i="3"/>
  <c r="G18" i="3"/>
  <c r="P46" i="3"/>
  <c r="M45" i="3"/>
  <c r="E29" i="3"/>
  <c r="AR29" i="3"/>
  <c r="D46" i="3"/>
  <c r="EH5" i="4" a="1"/>
  <c r="DO14" i="4" a="1"/>
  <c r="Y5" i="4" a="1"/>
  <c r="AI9" i="4" a="1"/>
  <c r="DK7" i="4" a="1"/>
  <c r="AS6" i="4" a="1"/>
  <c r="DG8" i="4" a="1"/>
  <c r="C15" i="4" a="1"/>
  <c r="AB13" i="4" a="1"/>
  <c r="BW15" i="4" a="1"/>
  <c r="CB13" i="4" a="1"/>
  <c r="EK15" i="4" a="1"/>
  <c r="DN9" i="4" a="1"/>
  <c r="AK13" i="4" a="1"/>
  <c r="BK6" i="4" a="1"/>
  <c r="AA12" i="4" a="1"/>
  <c r="DC7" i="4" a="1"/>
  <c r="AO5" i="4" a="1"/>
  <c r="DG11" i="4" a="1"/>
  <c r="AM5" i="4" a="1"/>
  <c r="AF9" i="4" a="1"/>
  <c r="AK6" i="4" a="1"/>
  <c r="BL8" i="4" a="1"/>
  <c r="EK8" i="4" a="1"/>
  <c r="DN12" i="4" a="1"/>
  <c r="AP15" i="4" a="1"/>
  <c r="AZ8" i="4" a="1"/>
  <c r="DJ14" i="4" a="1"/>
  <c r="DR12" i="4" a="1"/>
  <c r="BK11" i="4" a="1"/>
  <c r="DZ6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O8" i="2"/>
  <c r="S25" i="2"/>
  <c r="X8" i="2"/>
  <c r="J15" i="2"/>
  <c r="S20" i="2"/>
  <c r="X20" i="2"/>
  <c r="T14" i="2"/>
  <c r="U26" i="2"/>
  <c r="J5" i="2"/>
  <c r="R7" i="2"/>
  <c r="I34" i="2"/>
  <c r="L27" i="2"/>
  <c r="J46" i="3"/>
  <c r="F19" i="3"/>
  <c r="AE45" i="3"/>
  <c r="AB45" i="3"/>
  <c r="F31" i="3"/>
  <c r="AD46" i="3"/>
  <c r="E13" i="3"/>
  <c r="AO6" i="3"/>
  <c r="G12" i="3"/>
  <c r="G20" i="3"/>
  <c r="I45" i="3"/>
  <c r="R16" i="4" a="1"/>
  <c r="AL12" i="4" a="1"/>
  <c r="Z8" i="4" a="1"/>
  <c r="BV14" i="4" a="1"/>
  <c r="CB7" i="4" a="1"/>
  <c r="DV5" i="4" a="1"/>
  <c r="AK8" i="4" a="1"/>
  <c r="L9" i="4" a="1"/>
  <c r="C9" i="4" a="1"/>
  <c r="CF9" i="4" a="1"/>
  <c r="T7" i="4" a="1"/>
  <c r="DG15" i="4" a="1"/>
  <c r="EG16" i="4" a="1"/>
  <c r="J5" i="4" a="1"/>
  <c r="CN8" i="4" a="1"/>
  <c r="CS8" i="4" a="1"/>
  <c r="D13" i="4" a="1"/>
  <c r="BT9" i="4" a="1"/>
  <c r="AI13" i="4" a="1"/>
  <c r="AY7" i="4" a="1"/>
  <c r="CU8" i="4" a="1"/>
  <c r="DD13" i="4" a="1"/>
  <c r="BH14" i="4" a="1"/>
  <c r="EA13" i="4" a="1"/>
  <c r="DR11" i="4" a="1"/>
  <c r="BY15" i="4" a="1"/>
  <c r="CL9" i="4" a="1"/>
  <c r="AY6" i="4" a="1"/>
  <c r="DP5" i="4" a="1"/>
  <c r="CA12" i="4" a="1"/>
  <c r="DP1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G23" i="2"/>
  <c r="O17" i="2"/>
  <c r="D20" i="2"/>
  <c r="D7" i="2"/>
  <c r="C59" i="2"/>
  <c r="G27" i="2"/>
  <c r="P35" i="2"/>
  <c r="U5" i="2"/>
  <c r="F26" i="2"/>
  <c r="AR87" i="3"/>
  <c r="N20" i="2"/>
  <c r="J34" i="2"/>
  <c r="W45" i="3"/>
  <c r="G5" i="3"/>
  <c r="D12" i="3"/>
  <c r="D39" i="3"/>
  <c r="AG46" i="3"/>
  <c r="G6" i="3"/>
  <c r="G10" i="3"/>
  <c r="AJ45" i="3"/>
  <c r="E7" i="3"/>
  <c r="F7" i="3"/>
  <c r="J45" i="3"/>
  <c r="BO14" i="4" a="1"/>
  <c r="DA11" i="4" a="1"/>
  <c r="BK8" i="4" a="1"/>
  <c r="AV9" i="4" a="1"/>
  <c r="AN7" i="4" a="1"/>
  <c r="S11" i="4" a="1"/>
  <c r="BH5" i="4" a="1"/>
  <c r="BZ8" i="4" a="1"/>
  <c r="BV13" i="4" a="1"/>
  <c r="CQ14" i="4" a="1"/>
  <c r="V15" i="4" a="1"/>
  <c r="CT8" i="4" a="1"/>
  <c r="AB11" i="4" a="1"/>
  <c r="U16" i="4" a="1"/>
  <c r="BX16" i="4" a="1"/>
  <c r="DY16" i="4" a="1"/>
  <c r="K14" i="4" a="1"/>
  <c r="CJ9" i="4" a="1"/>
  <c r="CC8" i="4" a="1"/>
  <c r="DI16" i="4" a="1"/>
  <c r="W13" i="4" a="1"/>
  <c r="CP14" i="4" a="1"/>
  <c r="CF14" i="4" a="1"/>
  <c r="CM6" i="4" a="1"/>
  <c r="X6" i="4" a="1"/>
  <c r="AH15" i="4" a="1"/>
  <c r="DU5" i="4" a="1"/>
  <c r="DI13" i="4" a="1"/>
  <c r="BK15" i="4" a="1"/>
  <c r="CS12" i="4" a="1"/>
  <c r="L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D16" i="2"/>
  <c r="W21" i="2"/>
  <c r="I9" i="2"/>
  <c r="T30" i="2"/>
  <c r="Q8" i="2"/>
  <c r="O11" i="2"/>
  <c r="I22" i="2"/>
  <c r="T6" i="2"/>
  <c r="U28" i="2"/>
  <c r="AR54" i="3"/>
  <c r="N32" i="2"/>
  <c r="AR82" i="3"/>
  <c r="AR22" i="3"/>
  <c r="C45" i="3"/>
  <c r="AD13" i="3"/>
  <c r="G45" i="3"/>
  <c r="O45" i="3"/>
  <c r="AL45" i="3"/>
  <c r="D22" i="3"/>
  <c r="D38" i="3"/>
  <c r="E46" i="3"/>
  <c r="Q46" i="3"/>
  <c r="G22" i="3"/>
  <c r="CI14" i="4" a="1"/>
  <c r="DL9" i="4" a="1"/>
  <c r="AK11" i="4" a="1"/>
  <c r="CF16" i="4" a="1"/>
  <c r="AI14" i="4" a="1"/>
  <c r="BX8" i="4" a="1"/>
  <c r="AD8" i="4" a="1"/>
  <c r="I14" i="4" a="1"/>
  <c r="CX14" i="4" a="1"/>
  <c r="EI14" i="4" a="1"/>
  <c r="S15" i="4" a="1"/>
  <c r="EG5" i="4" a="1"/>
  <c r="AR11" i="4" a="1"/>
  <c r="R14" i="4" a="1"/>
  <c r="AC14" i="4" a="1"/>
  <c r="BH12" i="4" a="1"/>
  <c r="R11" i="4" a="1"/>
  <c r="CD8" i="4" a="1"/>
  <c r="CA8" i="4" a="1"/>
  <c r="AC12" i="4" a="1"/>
  <c r="BZ9" i="4" a="1"/>
  <c r="BQ9" i="4" a="1"/>
  <c r="O6" i="4" a="1"/>
  <c r="BK12" i="4" a="1"/>
  <c r="AK5" i="4" a="1"/>
  <c r="DG16" i="4" a="1"/>
  <c r="EA8" i="4" a="1"/>
  <c r="CA9" i="4" a="1"/>
  <c r="CN15" i="4" a="1"/>
  <c r="Q6" i="2"/>
  <c r="K32" i="2"/>
  <c r="V24" i="2"/>
  <c r="W31" i="2"/>
  <c r="N19" i="2"/>
  <c r="E10" i="2"/>
  <c r="X21" i="2"/>
  <c r="J32" i="2"/>
  <c r="W70" i="2"/>
  <c r="AR91" i="3"/>
  <c r="N22" i="2"/>
  <c r="G18" i="2"/>
  <c r="G27" i="3"/>
  <c r="E39" i="3"/>
  <c r="D29" i="3"/>
  <c r="E23" i="3"/>
  <c r="E35" i="3"/>
  <c r="M46" i="3"/>
  <c r="E36" i="3"/>
  <c r="AR14" i="3"/>
  <c r="D20" i="3"/>
  <c r="AB46" i="3"/>
  <c r="F26" i="3"/>
  <c r="ED16" i="4" a="1"/>
  <c r="CY15" i="4" a="1"/>
  <c r="BF13" i="4" a="1"/>
  <c r="BJ12" i="4" a="1"/>
  <c r="CM16" i="4" a="1"/>
  <c r="DU7" i="4" a="1"/>
  <c r="BO8" i="4" a="1"/>
  <c r="DS12" i="4" a="1"/>
  <c r="CD5" i="4" a="1"/>
  <c r="CN16" i="4" a="1"/>
  <c r="DM12" i="4" a="1"/>
  <c r="AH8" i="4" a="1"/>
  <c r="EA5" i="4" a="1"/>
  <c r="R6" i="4" a="1"/>
  <c r="DQ13" i="4" a="1"/>
  <c r="DZ16" i="4" a="1"/>
  <c r="BP11" i="4" a="1"/>
  <c r="CH7" i="4" a="1"/>
  <c r="O7" i="4" a="1"/>
  <c r="J7" i="4" a="1"/>
  <c r="AX6" i="4" a="1"/>
  <c r="BR13" i="4" a="1"/>
  <c r="BE7" i="4" a="1"/>
  <c r="BC5" i="4" a="1"/>
  <c r="EI6" i="4" a="1"/>
  <c r="U9" i="4" a="1"/>
  <c r="CQ8" i="4" a="1"/>
  <c r="BS16" i="4" a="1"/>
  <c r="AY12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Q58" i="2"/>
  <c r="L12" i="2"/>
  <c r="G33" i="2"/>
  <c r="J25" i="2"/>
  <c r="P28" i="2"/>
  <c r="X27" i="2"/>
  <c r="N6" i="2"/>
  <c r="J17" i="2"/>
  <c r="D11" i="2"/>
  <c r="E27" i="2"/>
  <c r="H35" i="2"/>
  <c r="O14" i="2"/>
  <c r="F22" i="3"/>
  <c r="AA45" i="3"/>
  <c r="AN45" i="3"/>
  <c r="AH46" i="3"/>
  <c r="F6" i="3"/>
  <c r="G15" i="3"/>
  <c r="E24" i="3"/>
  <c r="AO46" i="3"/>
  <c r="E34" i="3"/>
  <c r="G8" i="3"/>
  <c r="D28" i="3"/>
  <c r="DO5" i="4" a="1"/>
  <c r="BF9" i="4" a="1"/>
  <c r="CC11" i="4" a="1"/>
  <c r="AO12" i="4" a="1"/>
  <c r="BW11" i="4" a="1"/>
  <c r="AC11" i="4" a="1"/>
  <c r="AN8" i="4" a="1"/>
  <c r="BP7" i="4" a="1"/>
  <c r="AF16" i="4" a="1"/>
  <c r="EG14" i="4" a="1"/>
  <c r="AC16" i="4" a="1"/>
  <c r="BN16" i="4" a="1"/>
  <c r="DM15" i="4" a="1"/>
  <c r="AD11" i="4" a="1"/>
  <c r="BT13" i="4" a="1"/>
  <c r="V12" i="4" a="1"/>
  <c r="P14" i="4" a="1"/>
  <c r="AQ15" i="4" a="1"/>
  <c r="CK14" i="4" a="1"/>
  <c r="CX15" i="4" a="1"/>
  <c r="CI13" i="4" a="1"/>
  <c r="DD9" i="4" a="1"/>
  <c r="BD5" i="4" a="1"/>
  <c r="DF13" i="4" a="1"/>
  <c r="BS12" i="4" a="1"/>
  <c r="CS15" i="4" a="1"/>
  <c r="EA15" i="4" a="1"/>
  <c r="D15" i="4" a="1"/>
  <c r="CR9" i="4" a="1"/>
  <c r="EJ16" i="4" a="1"/>
  <c r="I14" i="2"/>
  <c r="D8" i="2"/>
  <c r="K10" i="2"/>
  <c r="R21" i="2"/>
  <c r="N31" i="2"/>
  <c r="L18" i="2"/>
  <c r="S8" i="2"/>
  <c r="R17" i="2"/>
  <c r="E5" i="2"/>
  <c r="V19" i="2"/>
  <c r="H5" i="2"/>
  <c r="E45" i="2"/>
  <c r="G11" i="3"/>
  <c r="D26" i="3"/>
  <c r="F42" i="3"/>
  <c r="D10" i="3"/>
  <c r="AR38" i="3"/>
  <c r="D8" i="3"/>
  <c r="F37" i="3"/>
  <c r="E16" i="3"/>
  <c r="F15" i="3"/>
  <c r="U46" i="3"/>
  <c r="F41" i="3"/>
  <c r="AZ15" i="4" a="1"/>
  <c r="CI7" i="4" a="1"/>
  <c r="BL13" i="4" a="1"/>
  <c r="BX9" i="4" a="1"/>
  <c r="D14" i="4" a="1"/>
  <c r="CR8" i="4" a="1"/>
  <c r="BZ15" i="4" a="1"/>
  <c r="AJ14" i="4" a="1"/>
  <c r="Q12" i="4" a="1"/>
  <c r="DQ16" i="4" a="1"/>
  <c r="AK14" i="4" a="1"/>
  <c r="BZ5" i="4" a="1"/>
  <c r="Q14" i="4" a="1"/>
  <c r="AE6" i="4" a="1"/>
  <c r="AG15" i="4" a="1"/>
  <c r="AQ13" i="4" a="1"/>
  <c r="AE7" i="4" a="1"/>
  <c r="DY8" i="4" a="1"/>
  <c r="AG9" i="4" a="1"/>
  <c r="X15" i="4" a="1"/>
  <c r="AD5" i="4" a="1"/>
  <c r="CU9" i="4" a="1"/>
  <c r="DZ12" i="4" a="1"/>
  <c r="CP13" i="4" a="1"/>
  <c r="T8" i="4" a="1"/>
  <c r="EE12" i="4" a="1"/>
  <c r="Y6" i="4" a="1"/>
  <c r="EF5" i="4" a="1"/>
  <c r="U12" i="2"/>
  <c r="I16" i="2"/>
  <c r="G31" i="2"/>
  <c r="L32" i="2"/>
  <c r="P8" i="2"/>
  <c r="K9" i="2"/>
  <c r="W15" i="2"/>
  <c r="N21" i="2"/>
  <c r="J23" i="2"/>
  <c r="N8" i="2"/>
  <c r="I13" i="2"/>
  <c r="G13" i="2"/>
  <c r="F36" i="3"/>
  <c r="F75" i="2"/>
  <c r="H15" i="2"/>
  <c r="AR41" i="3"/>
  <c r="Q45" i="3"/>
  <c r="F21" i="3"/>
  <c r="DZ14" i="4" a="1"/>
  <c r="DK5" i="4" a="1"/>
  <c r="DH15" i="4" a="1"/>
  <c r="X7" i="4" a="1"/>
  <c r="CU6" i="4" a="1"/>
  <c r="EF13" i="4" a="1"/>
  <c r="EE11" i="4" a="1"/>
  <c r="BB16" i="4" a="1"/>
  <c r="BJ9" i="4" a="1"/>
  <c r="EJ12" i="4" a="1"/>
  <c r="DA14" i="4" a="1"/>
  <c r="DY14" i="4" a="1"/>
  <c r="U12" i="4" a="1"/>
  <c r="K9" i="4" a="1"/>
  <c r="CG7" i="4" a="1"/>
  <c r="AB15" i="4" a="1"/>
  <c r="BP16" i="4" a="1"/>
  <c r="AH12" i="4" a="1"/>
  <c r="CM15" i="4" a="1"/>
  <c r="D12" i="4" a="1"/>
  <c r="CY8" i="4" a="1"/>
  <c r="AR16" i="4" a="1"/>
  <c r="M16" i="4" a="1"/>
  <c r="EI5" i="4" a="1"/>
  <c r="J12" i="4" a="1"/>
  <c r="U8" i="4" a="1"/>
  <c r="AC9" i="4" a="1"/>
  <c r="N11" i="4" a="1"/>
  <c r="CI11" i="4" a="1"/>
  <c r="S12" i="4" a="1"/>
  <c r="CP7" i="4" a="1"/>
  <c r="DW13" i="4" a="1"/>
  <c r="DJ8" i="4" a="1"/>
  <c r="AK16" i="4" a="1"/>
  <c r="EE13" i="4" a="1"/>
  <c r="EK14" i="4" a="1"/>
  <c r="CV15" i="4" a="1"/>
  <c r="BH9" i="4" a="1"/>
  <c r="BE13" i="4" a="1"/>
  <c r="AA14" i="4" a="1"/>
  <c r="DH5" i="4" a="1"/>
  <c r="CA16" i="4" a="1"/>
  <c r="L14" i="4" a="1"/>
  <c r="AD15" i="4" a="1"/>
  <c r="M8" i="4" a="1"/>
  <c r="CN6" i="4" a="1"/>
  <c r="BR8" i="4" a="1"/>
  <c r="AG8" i="4" a="1"/>
  <c r="AX7" i="4" a="1"/>
  <c r="BM11" i="4" a="1"/>
  <c r="AP6" i="4" a="1"/>
  <c r="DJ13" i="4" a="1"/>
  <c r="O16" i="4" a="1"/>
  <c r="CJ16" i="4" a="1"/>
  <c r="EA12" i="4" a="1"/>
  <c r="AO16" i="4" a="1"/>
  <c r="BQ12" i="4" a="1"/>
  <c r="CU13" i="4" a="1"/>
  <c r="BY6" i="4" a="1"/>
  <c r="CW15" i="4" a="1"/>
  <c r="I6" i="4" a="1"/>
  <c r="DK12" i="4" a="1"/>
  <c r="CP11" i="4" a="1"/>
  <c r="EE7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T11" i="4" a="1"/>
  <c r="EI7" i="4" a="1"/>
  <c r="CZ14" i="4" a="1"/>
  <c r="CS9" i="4" a="1"/>
  <c r="EJ9" i="4" a="1"/>
  <c r="H13" i="4" a="1"/>
  <c r="DF8" i="4" a="1"/>
  <c r="CQ9" i="4" a="1"/>
  <c r="BB6" i="4" a="1"/>
  <c r="AX16" i="4" a="1"/>
  <c r="AK12" i="4" a="1"/>
  <c r="DP7" i="4" a="1"/>
  <c r="CH15" i="4" a="1"/>
  <c r="BS13" i="4" a="1"/>
  <c r="EC9" i="4" a="1"/>
  <c r="F9" i="4" a="1"/>
  <c r="BZ13" i="4" a="1"/>
  <c r="BN9" i="4" a="1"/>
  <c r="EH8" i="4" a="1"/>
  <c r="DH13" i="4" a="1"/>
  <c r="EB15" i="4" a="1"/>
  <c r="AY14" i="4" a="1"/>
  <c r="S7" i="4" a="1"/>
  <c r="AH6" i="4" a="1"/>
  <c r="AG13" i="4" a="1"/>
  <c r="EH6" i="4" a="1"/>
  <c r="P13" i="4" a="1"/>
  <c r="BS5" i="4" a="1"/>
  <c r="AE5" i="4" a="1"/>
  <c r="AH11" i="4" a="1"/>
  <c r="EE5" i="4" a="1"/>
  <c r="CE15" i="4" a="1"/>
  <c r="AL14" i="4" a="1"/>
  <c r="DN11" i="4" a="1"/>
  <c r="DD16" i="4" a="1"/>
  <c r="BC12" i="4" a="1"/>
  <c r="BJ15" i="4" a="1"/>
  <c r="I15" i="4" a="1"/>
  <c r="M11" i="4" a="1"/>
  <c r="AG5" i="4" a="1"/>
  <c r="DA15" i="4" a="1"/>
  <c r="DE5" i="4" a="1"/>
  <c r="Q9" i="4" a="1"/>
  <c r="DV14" i="4" a="1"/>
  <c r="E33" i="3"/>
  <c r="BW6" i="4" a="1"/>
  <c r="DO11" i="4" a="1"/>
  <c r="CS13" i="4" a="1"/>
  <c r="G16" i="2"/>
  <c r="C18" i="2"/>
  <c r="AR12" i="3"/>
  <c r="D9" i="3"/>
  <c r="E15" i="3"/>
  <c r="BN7" i="4" a="1"/>
  <c r="AG12" i="4" a="1"/>
  <c r="CT14" i="4" a="1"/>
  <c r="DF7" i="4" a="1"/>
  <c r="DE15" i="4" a="1"/>
  <c r="X8" i="4" a="1"/>
  <c r="Q5" i="4" a="1"/>
  <c r="CC16" i="4" a="1"/>
  <c r="BX5" i="4" a="1"/>
  <c r="BA7" i="4" a="1"/>
  <c r="U5" i="4" a="1"/>
  <c r="BL16" i="4" a="1"/>
  <c r="CK6" i="4" a="1"/>
  <c r="CW9" i="4" a="1"/>
  <c r="BC15" i="4" a="1"/>
  <c r="AA13" i="4" a="1"/>
  <c r="E9" i="4" a="1"/>
  <c r="AU5" i="4" a="1"/>
  <c r="DT11" i="4" a="1"/>
  <c r="AS5" i="4" a="1"/>
  <c r="DB12" i="4" a="1"/>
  <c r="BR6" i="4" a="1"/>
  <c r="CQ15" i="4" a="1"/>
  <c r="AZ5" i="4" a="1"/>
  <c r="CQ5" i="4" a="1"/>
  <c r="AW12" i="4" a="1"/>
  <c r="DZ13" i="4" a="1"/>
  <c r="CM14" i="4" a="1"/>
  <c r="EE15" i="4" a="1"/>
  <c r="BX6" i="4" a="1"/>
  <c r="DO15" i="4" a="1"/>
  <c r="DN8" i="4" a="1"/>
  <c r="DA13" i="4" a="1"/>
  <c r="CG5" i="4" a="1"/>
  <c r="BN8" i="4" a="1"/>
  <c r="BD14" i="4" a="1"/>
  <c r="W7" i="4" a="1"/>
  <c r="O12" i="4" a="1"/>
  <c r="BD9" i="4" a="1"/>
  <c r="EC5" i="4" a="1"/>
  <c r="AR7" i="4" a="1"/>
  <c r="CX8" i="4" a="1"/>
  <c r="AI6" i="4" a="1"/>
  <c r="BC7" i="4" a="1"/>
  <c r="EG8" i="4" a="1"/>
  <c r="BJ13" i="4" a="1"/>
  <c r="AD13" i="4" a="1"/>
  <c r="ED15" i="4" a="1"/>
  <c r="Z13" i="4" a="1"/>
  <c r="Q15" i="4" a="1"/>
  <c r="CR15" i="4" a="1"/>
  <c r="CB6" i="4" a="1"/>
  <c r="AU14" i="4" a="1"/>
  <c r="AM14" i="4" a="1"/>
  <c r="H9" i="4" a="1"/>
  <c r="BA13" i="4" a="1"/>
  <c r="BX15" i="4" a="1"/>
  <c r="BD8" i="4" a="1"/>
  <c r="R15" i="4" a="1"/>
  <c r="CG13" i="4" a="1"/>
  <c r="BC6" i="4" a="1"/>
  <c r="AQ11" i="4" a="1"/>
  <c r="CZ6" i="4" a="1"/>
  <c r="AD14" i="4" a="1"/>
  <c r="EG13" i="4" a="1"/>
  <c r="DR13" i="4" a="1"/>
  <c r="DI6" i="4" a="1"/>
  <c r="CM5" i="4" a="1"/>
  <c r="G5" i="4" a="1"/>
  <c r="BM7" i="4" a="1"/>
  <c r="DY13" i="4" a="1"/>
  <c r="CO12" i="4" a="1"/>
  <c r="AQ6" i="4" a="1"/>
  <c r="BQ6" i="4" a="1"/>
  <c r="BW14" i="4" a="1"/>
  <c r="AT12" i="4" a="1"/>
  <c r="BS9" i="4" a="1"/>
  <c r="ED12" i="4" a="1"/>
  <c r="CI6" i="4" a="1"/>
  <c r="DA6" i="4" a="1"/>
  <c r="CO11" i="4" a="1"/>
  <c r="BA16" i="4" a="1"/>
  <c r="CN7" i="4" a="1"/>
  <c r="BC8" i="4" a="1"/>
  <c r="DZ11" i="4" a="1"/>
  <c r="AJ9" i="4" a="1"/>
  <c r="AA6" i="4" a="1"/>
  <c r="CV14" i="4" a="1"/>
  <c r="DM16" i="4" a="1"/>
  <c r="EK16" i="4" a="1"/>
  <c r="AP13" i="4" a="1"/>
  <c r="W15" i="4" a="1"/>
  <c r="DS8" i="4" a="1"/>
  <c r="CM11" i="4" a="1"/>
  <c r="CY9" i="4" a="1"/>
  <c r="DK9" i="4" a="1"/>
  <c r="EG9" i="4" a="1"/>
  <c r="O14" i="4" a="1"/>
  <c r="CY5" i="4" a="1"/>
  <c r="CJ15" i="4" a="1"/>
  <c r="AS12" i="4" a="1"/>
  <c r="DP16" i="4" a="1"/>
  <c r="CB12" i="4" a="1"/>
  <c r="BL11" i="4" a="1"/>
  <c r="EA11" i="4" a="1"/>
  <c r="BN13" i="4" a="1"/>
  <c r="CS11" i="4" a="1"/>
  <c r="DJ15" i="4" a="1"/>
  <c r="BB13" i="4" a="1"/>
  <c r="DK13" i="4" a="1"/>
  <c r="CP12" i="4" a="1"/>
  <c r="AV8" i="4" a="1"/>
  <c r="CZ8" i="4" a="1"/>
  <c r="CA11" i="4" a="1"/>
  <c r="BJ7" i="4" a="1"/>
  <c r="AC5" i="4" a="1"/>
  <c r="D16" i="4" a="1"/>
  <c r="CJ6" i="4" a="1"/>
  <c r="CR7" i="4" a="1"/>
  <c r="AA15" i="4" a="1"/>
  <c r="J11" i="4" a="1"/>
  <c r="CU15" i="4" a="1"/>
  <c r="O15" i="2"/>
  <c r="Q59" i="2"/>
  <c r="T46" i="3"/>
  <c r="F11" i="3"/>
  <c r="D31" i="3"/>
  <c r="F12" i="4" a="1"/>
  <c r="DF15" i="4" a="1"/>
  <c r="BG8" i="4" a="1"/>
  <c r="M5" i="4" a="1"/>
  <c r="P9" i="4" a="1"/>
  <c r="DP11" i="4" a="1"/>
  <c r="AI8" i="4" a="1"/>
  <c r="DV15" i="4" a="1"/>
  <c r="AE12" i="4" a="1"/>
  <c r="CJ11" i="4" a="1"/>
  <c r="CS7" i="4" a="1"/>
  <c r="AC6" i="4" a="1"/>
  <c r="AT6" i="4" a="1"/>
  <c r="BY14" i="4" a="1"/>
  <c r="CD6" i="4" a="1"/>
  <c r="CK5" i="4" a="1"/>
  <c r="AS9" i="4" a="1"/>
  <c r="DB7" i="4" a="1"/>
  <c r="AX13" i="4" a="1"/>
  <c r="AR9" i="4" a="1"/>
  <c r="DG7" i="4" a="1"/>
  <c r="CI12" i="4" a="1"/>
  <c r="Y11" i="4" a="1"/>
  <c r="N7" i="4" a="1"/>
  <c r="CV13" i="4" a="1"/>
  <c r="Y7" i="4" a="1"/>
  <c r="I8" i="4" a="1"/>
  <c r="BP14" i="4" a="1"/>
  <c r="BW13" i="4" a="1"/>
  <c r="CO5" i="4" a="1"/>
  <c r="BQ16" i="4" a="1"/>
  <c r="AJ8" i="4" a="1"/>
  <c r="CD14" i="4" a="1"/>
  <c r="AT13" i="4" a="1"/>
  <c r="DU6" i="4" a="1"/>
  <c r="DS16" i="4" a="1"/>
  <c r="EB11" i="4" a="1"/>
  <c r="DQ6" i="4" a="1"/>
  <c r="CX5" i="4" a="1"/>
  <c r="M13" i="4" a="1"/>
  <c r="AW9" i="4" a="1"/>
  <c r="H16" i="4" a="1"/>
  <c r="CC7" i="4" a="1"/>
  <c r="CZ11" i="4" a="1"/>
  <c r="AS16" i="4" a="1"/>
  <c r="EB12" i="4" a="1"/>
  <c r="AU8" i="4" a="1"/>
  <c r="CW16" i="4" a="1"/>
  <c r="F5" i="4" a="1"/>
  <c r="EE9" i="4" a="1"/>
  <c r="AR14" i="4" a="1"/>
  <c r="CE9" i="4" a="1"/>
  <c r="DV11" i="4" a="1"/>
  <c r="BR16" i="4" a="1"/>
  <c r="DU15" i="4" a="1"/>
  <c r="BL5" i="4" a="1"/>
  <c r="EK6" i="4" a="1"/>
  <c r="CE16" i="4" a="1"/>
  <c r="AO15" i="4" a="1"/>
  <c r="CQ16" i="4" a="1"/>
  <c r="AM15" i="4" a="1"/>
  <c r="BK14" i="4" a="1"/>
  <c r="CM9" i="4" a="1"/>
  <c r="M9" i="4" a="1"/>
  <c r="T13" i="4" a="1"/>
  <c r="AZ16" i="4" a="1"/>
  <c r="CP16" i="4" a="1"/>
  <c r="BQ14" i="4" a="1"/>
  <c r="T14" i="4" a="1"/>
  <c r="AJ15" i="4" a="1"/>
  <c r="DO7" i="4" a="1"/>
  <c r="DT8" i="4" a="1"/>
  <c r="BM15" i="4" a="1"/>
  <c r="DX9" i="4" a="1"/>
  <c r="DR8" i="4" a="1"/>
  <c r="Q30" i="2"/>
  <c r="Q36" i="2"/>
  <c r="E14" i="3"/>
  <c r="P45" i="3"/>
  <c r="AR23" i="3"/>
  <c r="EJ5" i="4" a="1"/>
  <c r="DB14" i="4" a="1"/>
  <c r="DI14" i="4" a="1"/>
  <c r="CV9" i="4" a="1"/>
  <c r="M14" i="4" a="1"/>
  <c r="AB9" i="4" a="1"/>
  <c r="DP12" i="4" a="1"/>
  <c r="BG11" i="4" a="1"/>
  <c r="DO6" i="4" a="1"/>
  <c r="DC15" i="4" a="1"/>
  <c r="DJ6" i="4" a="1"/>
  <c r="BI9" i="4" a="1"/>
  <c r="BG7" i="4" a="1"/>
  <c r="DM13" i="4" a="1"/>
  <c r="BQ11" i="4" a="1"/>
  <c r="AJ5" i="4" a="1"/>
  <c r="AL13" i="4" a="1"/>
  <c r="Y12" i="4" a="1"/>
  <c r="CD15" i="4" a="1"/>
  <c r="AP7" i="4" a="1"/>
  <c r="DF14" i="4" a="1"/>
  <c r="CF11" i="4" a="1"/>
  <c r="BR11" i="4" a="1"/>
  <c r="CP15" i="4" a="1"/>
  <c r="AX9" i="4" a="1"/>
  <c r="BP9" i="4" a="1"/>
  <c r="AZ13" i="4" a="1"/>
  <c r="V9" i="4" a="1"/>
  <c r="BK9" i="4" a="1"/>
  <c r="DT13" i="4" a="1"/>
  <c r="H5" i="4" a="1"/>
  <c r="AA8" i="4" a="1"/>
  <c r="DF9" i="4" a="1"/>
  <c r="EH9" i="4" a="1"/>
  <c r="P5" i="4" a="1"/>
  <c r="EE8" i="4" a="1"/>
  <c r="EJ6" i="4" a="1"/>
  <c r="CD7" i="4" a="1"/>
  <c r="BL14" i="4" a="1"/>
  <c r="Y9" i="4" a="1"/>
  <c r="BZ12" i="4" a="1"/>
  <c r="Y14" i="4" a="1"/>
  <c r="DZ8" i="4" a="1"/>
  <c r="Z6" i="4" a="1"/>
  <c r="EK7" i="4" a="1"/>
  <c r="BM12" i="4" a="1"/>
  <c r="BG13" i="4" a="1"/>
  <c r="CR11" i="4" a="1"/>
  <c r="R12" i="4" a="1"/>
  <c r="AM13" i="4" a="1"/>
  <c r="CK7" i="4" a="1"/>
  <c r="AY15" i="4" a="1"/>
  <c r="DD7" i="4" a="1"/>
  <c r="DI11" i="4" a="1"/>
  <c r="ED13" i="4" a="1"/>
  <c r="L15" i="4" a="1"/>
  <c r="BP6" i="4" a="1"/>
  <c r="S16" i="4" a="1"/>
  <c r="DI12" i="4" a="1"/>
  <c r="BI12" i="4" a="1"/>
  <c r="Q6" i="4" a="1"/>
  <c r="BW9" i="4" a="1"/>
  <c r="BD7" i="4" a="1"/>
  <c r="BO11" i="4" a="1"/>
  <c r="DL8" i="4" a="1"/>
  <c r="E11" i="4" a="1"/>
  <c r="Z11" i="4" a="1"/>
  <c r="AT7" i="4" a="1"/>
  <c r="W14" i="4" a="1"/>
  <c r="DP13" i="4" a="1"/>
  <c r="DQ14" i="4" a="1"/>
  <c r="H12" i="4" a="1"/>
  <c r="S5" i="4" a="1"/>
  <c r="CK8" i="4" a="1"/>
  <c r="BX7" i="4" a="1"/>
  <c r="EH15" i="4" a="1"/>
  <c r="CY11" i="4" a="1"/>
  <c r="EJ15" i="4" a="1"/>
  <c r="BI11" i="4" a="1"/>
  <c r="S6" i="4" a="1"/>
  <c r="DM7" i="4" a="1"/>
  <c r="BI13" i="4" a="1"/>
  <c r="BH7" i="4" a="1"/>
  <c r="DX5" i="4" a="1"/>
  <c r="DZ9" i="4" a="1"/>
  <c r="CG6" i="4" a="1"/>
  <c r="DA9" i="4" a="1"/>
  <c r="AV6" i="4" a="1"/>
  <c r="O15" i="4" a="1"/>
  <c r="CW8" i="4" a="1"/>
  <c r="DM5" i="4" a="1"/>
  <c r="C7" i="4" a="1"/>
  <c r="BG12" i="4" a="1"/>
  <c r="CE13" i="4" a="1"/>
  <c r="BA14" i="4" a="1"/>
  <c r="CH16" i="4" a="1"/>
  <c r="CH11" i="4" a="1"/>
  <c r="BB7" i="4" a="1"/>
  <c r="AT11" i="4" a="1"/>
  <c r="DB11" i="4" a="1"/>
  <c r="O12" i="2"/>
  <c r="F8" i="2"/>
  <c r="I46" i="3"/>
  <c r="AR45" i="3"/>
  <c r="D35" i="3"/>
  <c r="AG7" i="4" a="1"/>
  <c r="DR16" i="4" a="1"/>
  <c r="CG12" i="4" a="1"/>
  <c r="AE16" i="4" a="1"/>
  <c r="BI6" i="4" a="1"/>
  <c r="AC8" i="4" a="1"/>
  <c r="CZ15" i="4" a="1"/>
  <c r="EH7" i="4" a="1"/>
  <c r="DG9" i="4" a="1"/>
  <c r="AX14" i="4" a="1"/>
  <c r="CQ7" i="4" a="1"/>
  <c r="AP5" i="4" a="1"/>
  <c r="S9" i="4" a="1"/>
  <c r="R9" i="4" a="1"/>
  <c r="AQ14" i="4" a="1"/>
  <c r="Q7" i="4" a="1"/>
  <c r="AB8" i="4" a="1"/>
  <c r="BG9" i="4" a="1"/>
  <c r="AG6" i="4" a="1"/>
  <c r="Q11" i="4" a="1"/>
  <c r="DV13" i="4" a="1"/>
  <c r="G7" i="3"/>
  <c r="AN13" i="4" a="1"/>
  <c r="DC16" i="4" a="1"/>
  <c r="AB14" i="4" a="1"/>
  <c r="AD6" i="4" a="1"/>
  <c r="DX16" i="4" a="1"/>
  <c r="L8" i="4" a="1"/>
  <c r="K23" i="2"/>
  <c r="R11" i="2"/>
  <c r="D21" i="3"/>
  <c r="E31" i="3"/>
  <c r="R45" i="3"/>
  <c r="CF7" i="4" a="1"/>
  <c r="AI11" i="4" a="1"/>
  <c r="BA5" i="4" a="1"/>
  <c r="DC12" i="4" a="1"/>
  <c r="BI5" i="4" a="1"/>
  <c r="EB8" i="4" a="1"/>
  <c r="CM7" i="4" a="1"/>
  <c r="EG6" i="4" a="1"/>
  <c r="AI5" i="4" a="1"/>
  <c r="I13" i="4" a="1"/>
  <c r="DG14" i="4" a="1"/>
  <c r="L6" i="4" a="1"/>
  <c r="AD16" i="4" a="1"/>
  <c r="U14" i="4" a="1"/>
  <c r="DW5" i="4" a="1"/>
  <c r="I7" i="4" a="1"/>
  <c r="AG14" i="4" a="1"/>
  <c r="BU14" i="4" a="1"/>
  <c r="AX15" i="4" a="1"/>
  <c r="CI8" i="4" a="1"/>
  <c r="AS8" i="4" a="1"/>
  <c r="CR6" i="4" a="1"/>
  <c r="T9" i="4" a="1"/>
  <c r="G6" i="4" a="1"/>
  <c r="CN12" i="4" a="1"/>
  <c r="AE11" i="4" a="1"/>
  <c r="CS6" i="4" a="1"/>
  <c r="AF13" i="4" a="1"/>
  <c r="DY5" i="4" a="1"/>
  <c r="X14" i="4" a="1"/>
  <c r="DU16" i="4" a="1"/>
  <c r="CC6" i="4" a="1"/>
  <c r="AA7" i="4" a="1"/>
  <c r="CO16" i="4" a="1"/>
  <c r="DK6" i="4" a="1"/>
  <c r="P12" i="4" a="1"/>
  <c r="CX16" i="4" a="1"/>
  <c r="EC13" i="4" a="1"/>
  <c r="DV8" i="4" a="1"/>
  <c r="BF5" i="4" a="1"/>
  <c r="DI15" i="4" a="1"/>
  <c r="BX14" i="4" a="1"/>
  <c r="DN7" i="4" a="1"/>
  <c r="EK9" i="4" a="1"/>
  <c r="BN12" i="4" a="1"/>
  <c r="DH7" i="4" a="1"/>
  <c r="CS16" i="4" a="1"/>
  <c r="ED8" i="4" a="1"/>
  <c r="AU9" i="4" a="1"/>
  <c r="BO7" i="4" a="1"/>
  <c r="S8" i="4" a="1"/>
  <c r="DM9" i="4" a="1"/>
  <c r="AF5" i="4" a="1"/>
  <c r="AU6" i="4" a="1"/>
  <c r="DS15" i="4" a="1"/>
  <c r="EF12" i="4" a="1"/>
  <c r="AM16" i="4" a="1"/>
  <c r="CL14" i="4" a="1"/>
  <c r="DE7" i="4" a="1"/>
  <c r="Z14" i="4" a="1"/>
  <c r="AN14" i="4" a="1"/>
  <c r="EB14" i="4" a="1"/>
  <c r="K11" i="4" a="1"/>
  <c r="W16" i="4" a="1"/>
  <c r="EK11" i="4" a="1"/>
  <c r="BO6" i="4" a="1"/>
  <c r="AC7" i="4" a="1"/>
  <c r="AI12" i="4" a="1"/>
  <c r="AV13" i="4" a="1"/>
  <c r="AJ6" i="4" a="1"/>
  <c r="CH9" i="4" a="1"/>
  <c r="D5" i="4" a="1"/>
  <c r="AH14" i="4" a="1"/>
  <c r="DR9" i="4" a="1"/>
  <c r="CW6" i="4" a="1"/>
  <c r="CP5" i="4" a="1"/>
  <c r="BN5" i="4" a="1"/>
  <c r="AH16" i="4" a="1"/>
  <c r="AP8" i="4" a="1"/>
  <c r="S13" i="4" a="1"/>
  <c r="CK12" i="4" a="1"/>
  <c r="BU5" i="4" a="1"/>
  <c r="BN14" i="4" a="1"/>
  <c r="G13" i="4" a="1"/>
  <c r="M15" i="4" a="1"/>
  <c r="AM12" i="4" a="1"/>
  <c r="DE6" i="4" a="1"/>
  <c r="DH16" i="4" a="1"/>
  <c r="P15" i="4" a="1"/>
  <c r="BG14" i="4" a="1"/>
  <c r="DE13" i="4" a="1"/>
  <c r="AJ11" i="4" a="1"/>
  <c r="EJ11" i="4" a="1"/>
  <c r="AL11" i="4" a="1"/>
  <c r="AW6" i="4" a="1"/>
  <c r="BV12" i="4" a="1"/>
  <c r="F5" i="3"/>
  <c r="O11" i="4" a="1"/>
  <c r="BP15" i="4" a="1"/>
  <c r="AL16" i="4" a="1"/>
  <c r="N7" i="2"/>
  <c r="BU8" i="4" a="1"/>
  <c r="CV12" i="4" a="1"/>
  <c r="AK15" i="4" a="1"/>
  <c r="BM5" i="4" a="1"/>
  <c r="DB13" i="4" a="1"/>
  <c r="EF6" i="4" a="1"/>
  <c r="DT5" i="4" a="1"/>
  <c r="EF8" i="4" a="1"/>
  <c r="DY6" i="4" a="1"/>
  <c r="R23" i="2"/>
  <c r="S10" i="2"/>
  <c r="AR11" i="3"/>
  <c r="AD12" i="3"/>
  <c r="AR16" i="3"/>
  <c r="J9" i="4" a="1"/>
  <c r="BL9" i="4" a="1"/>
  <c r="EE14" i="4" a="1"/>
  <c r="AO11" i="4" a="1"/>
  <c r="C8" i="4" a="1"/>
  <c r="AH5" i="4" a="1"/>
  <c r="ED6" i="4" a="1"/>
  <c r="AM6" i="4" a="1"/>
  <c r="T12" i="4" a="1"/>
  <c r="AN11" i="4" a="1"/>
  <c r="BM13" i="4" a="1"/>
  <c r="DO9" i="4" a="1"/>
  <c r="CL12" i="4" a="1"/>
  <c r="AT15" i="4" a="1"/>
  <c r="AA16" i="4" a="1"/>
  <c r="BW12" i="4" a="1"/>
  <c r="D11" i="4" a="1"/>
  <c r="J14" i="4" a="1"/>
  <c r="CD9" i="4" a="1"/>
  <c r="CP9" i="4" a="1"/>
  <c r="DV6" i="4" a="1"/>
  <c r="L11" i="4" a="1"/>
  <c r="DX12" i="4" a="1"/>
  <c r="BC14" i="4" a="1"/>
  <c r="CF8" i="4" a="1"/>
  <c r="AH9" i="4" a="1"/>
  <c r="EC14" i="4" a="1"/>
  <c r="DA12" i="4" a="1"/>
  <c r="BR14" i="4" a="1"/>
  <c r="CQ12" i="4" a="1"/>
  <c r="AE9" i="4" a="1"/>
  <c r="ED7" i="4" a="1"/>
  <c r="DM8" i="4" a="1"/>
  <c r="E13" i="4" a="1"/>
  <c r="Q8" i="4" a="1"/>
  <c r="X11" i="4" a="1"/>
  <c r="AW13" i="4" a="1"/>
  <c r="DL7" i="4" a="1"/>
  <c r="CX12" i="4" a="1"/>
  <c r="C14" i="4" a="1"/>
  <c r="AR15" i="4" a="1"/>
  <c r="AQ8" i="4" a="1"/>
  <c r="N15" i="4" a="1"/>
  <c r="DJ5" i="4" a="1"/>
  <c r="DV12" i="4" a="1"/>
  <c r="AM8" i="4" a="1"/>
  <c r="DY7" i="4" a="1"/>
  <c r="DS9" i="4" a="1"/>
  <c r="BF16" i="4" a="1"/>
  <c r="AF14" i="4" a="1"/>
  <c r="EF16" i="4" a="1"/>
  <c r="BW8" i="4" a="1"/>
  <c r="CB16" i="4" a="1"/>
  <c r="DW9" i="4" a="1"/>
  <c r="AO8" i="4" a="1"/>
  <c r="BD13" i="4" a="1"/>
  <c r="CO8" i="4" a="1"/>
  <c r="EB7" i="4" a="1"/>
  <c r="DB15" i="4" a="1"/>
  <c r="AN16" i="4" a="1"/>
  <c r="AM9" i="4" a="1"/>
  <c r="BX11" i="4" a="1"/>
  <c r="EC6" i="4" a="1"/>
  <c r="K13" i="4" a="1"/>
  <c r="BI8" i="4" a="1"/>
  <c r="DH11" i="4" a="1"/>
  <c r="EB9" i="4" a="1"/>
  <c r="BK16" i="4" a="1"/>
  <c r="CG15" i="4" a="1"/>
  <c r="U13" i="4" a="1"/>
  <c r="DS11" i="4" a="1"/>
  <c r="DW16" i="4" a="1"/>
  <c r="DS14" i="4" a="1"/>
  <c r="BI15" i="4" a="1"/>
  <c r="AO7" i="4" a="1"/>
  <c r="G7" i="4" a="1"/>
  <c r="CO15" i="4" a="1"/>
  <c r="CJ14" i="4" a="1"/>
  <c r="DB6" i="4" a="1"/>
  <c r="CU14" i="4" a="1"/>
  <c r="M12" i="4" a="1"/>
  <c r="G8" i="4" a="1"/>
  <c r="BT12" i="4" a="1"/>
  <c r="BU11" i="4" a="1"/>
  <c r="EB13" i="4" a="1"/>
  <c r="CC9" i="4" a="1"/>
  <c r="G16" i="4" a="1"/>
  <c r="CY7" i="4" a="1"/>
  <c r="DZ5" i="4" a="1"/>
  <c r="AF6" i="4" a="1"/>
  <c r="BT11" i="4" a="1"/>
  <c r="DW12" i="4" a="1"/>
  <c r="AX5" i="4" a="1"/>
  <c r="DK8" i="4" a="1"/>
  <c r="CC12" i="4" a="1"/>
  <c r="E5" i="4" a="1"/>
  <c r="DG6" i="4" a="1"/>
  <c r="N8" i="4" a="1"/>
  <c r="AM46" i="3"/>
  <c r="BQ8" i="4" a="1"/>
  <c r="CJ13" i="4" a="1"/>
  <c r="DF12" i="4" a="1"/>
  <c r="DP8" i="4" a="1"/>
  <c r="DJ16" i="4" a="1"/>
  <c r="EF7" i="4" a="1"/>
  <c r="S9" i="2"/>
  <c r="I11" i="2"/>
  <c r="R46" i="3"/>
  <c r="N46" i="3"/>
  <c r="AD11" i="3"/>
  <c r="CT11" i="4" a="1"/>
  <c r="DP14" i="4" a="1"/>
  <c r="CA15" i="4" a="1"/>
  <c r="CO9" i="4" a="1"/>
  <c r="BO12" i="4" a="1"/>
  <c r="BI7" i="4" a="1"/>
  <c r="BU13" i="4" a="1"/>
  <c r="DE16" i="4" a="1"/>
  <c r="BZ11" i="4" a="1"/>
  <c r="CC13" i="4" a="1"/>
  <c r="X9" i="4" a="1"/>
  <c r="V6" i="4" a="1"/>
  <c r="BE5" i="4" a="1"/>
  <c r="AR13" i="4" a="1"/>
  <c r="BV9" i="4" a="1"/>
  <c r="U11" i="4" a="1"/>
  <c r="CI16" i="4" a="1"/>
  <c r="EB5" i="4" a="1"/>
  <c r="BB11" i="4" a="1"/>
  <c r="AZ9" i="4" a="1"/>
  <c r="DO8" i="4" a="1"/>
  <c r="AB16" i="4" a="1"/>
  <c r="AQ7" i="4" a="1"/>
  <c r="BB5" i="4" a="1"/>
  <c r="BE9" i="4" a="1"/>
  <c r="BZ7" i="4" a="1"/>
  <c r="J13" i="4" a="1"/>
  <c r="BL7" i="4" a="1"/>
  <c r="BB12" i="4" a="1"/>
  <c r="CR12" i="4" a="1"/>
  <c r="BH8" i="4" a="1"/>
  <c r="F14" i="4" a="1"/>
  <c r="CE14" i="4" a="1"/>
  <c r="DO13" i="4" a="1"/>
  <c r="CA7" i="4" a="1"/>
  <c r="CT16" i="4" a="1"/>
  <c r="BH13" i="4" a="1"/>
  <c r="DU14" i="4" a="1"/>
  <c r="H11" i="4" a="1"/>
  <c r="BA12" i="4" a="1"/>
  <c r="BS8" i="4" a="1"/>
  <c r="DA5" i="4" a="1"/>
  <c r="DE9" i="4" a="1"/>
  <c r="EJ14" i="4" a="1"/>
  <c r="DF11" i="4" a="1"/>
  <c r="CT7" i="4" a="1"/>
  <c r="M6" i="4" a="1"/>
  <c r="AW5" i="4" a="1"/>
  <c r="CU16" i="4" a="1"/>
  <c r="DB9" i="4" a="1"/>
  <c r="Z12" i="4" a="1"/>
  <c r="BW7" i="4" a="1"/>
  <c r="E12" i="4" a="1"/>
  <c r="BZ6" i="4" a="1"/>
  <c r="BT6" i="4" a="1"/>
  <c r="DM14" i="4" a="1"/>
  <c r="DK15" i="4" a="1"/>
  <c r="AE14" i="4" a="1"/>
  <c r="K16" i="2"/>
  <c r="M6" i="2"/>
  <c r="AR25" i="3"/>
  <c r="AR8" i="3"/>
  <c r="DT7" i="4" a="1"/>
  <c r="BU12" i="4" a="1"/>
  <c r="DF5" i="4" a="1"/>
  <c r="BE12" i="4" a="1"/>
  <c r="CV6" i="4" a="1"/>
  <c r="DL13" i="4" a="1"/>
  <c r="DQ11" i="4" a="1"/>
  <c r="DS6" i="4" a="1"/>
  <c r="W12" i="4" a="1"/>
  <c r="DQ5" i="4" a="1"/>
  <c r="AY11" i="4" a="1"/>
  <c r="H6" i="4" a="1"/>
  <c r="AA11" i="4" a="1"/>
  <c r="AR8" i="4" a="1"/>
  <c r="BJ6" i="4" a="1"/>
  <c r="CG14" i="4" a="1"/>
  <c r="BX12" i="4" a="1"/>
  <c r="EB6" i="4" a="1"/>
  <c r="DO16" i="4" a="1"/>
  <c r="AQ5" i="4" a="1"/>
  <c r="F7" i="4" a="1"/>
  <c r="BG15" i="4" a="1"/>
  <c r="CK13" i="4" a="1"/>
  <c r="CR16" i="4" a="1"/>
  <c r="BT5" i="4" a="1"/>
  <c r="DC11" i="4" a="1"/>
  <c r="BJ14" i="4" a="1"/>
  <c r="H14" i="4" a="1"/>
  <c r="AE13" i="4" a="1"/>
  <c r="BX13" i="4" a="1"/>
  <c r="AY16" i="4" a="1"/>
  <c r="DR7" i="4" a="1"/>
  <c r="DI5" i="4" a="1"/>
  <c r="I9" i="4" a="1"/>
  <c r="Z9" i="4" a="1"/>
  <c r="BG6" i="4" a="1"/>
  <c r="U15" i="4" a="1"/>
  <c r="DT14" i="4" a="1"/>
  <c r="CC5" i="4" a="1"/>
  <c r="U7" i="4" a="1"/>
  <c r="BV6" i="4" a="1"/>
  <c r="EF9" i="4" a="1"/>
  <c r="AW8" i="4" a="1"/>
  <c r="E15" i="4" a="1"/>
  <c r="CJ7" i="4" a="1"/>
  <c r="BH15" i="4" a="1"/>
  <c r="AB7" i="4" a="1"/>
  <c r="DY9" i="4" a="1"/>
  <c r="CL8" i="4" a="1"/>
  <c r="CA14" i="4" a="1"/>
  <c r="CI9" i="4" a="1"/>
  <c r="CE12" i="4" a="1"/>
  <c r="CU11" i="4" a="1"/>
  <c r="BU15" i="4" a="1"/>
  <c r="DN13" i="4" a="1"/>
  <c r="BK7" i="4" a="1"/>
  <c r="AR27" i="3"/>
  <c r="BP8" i="4" a="1"/>
  <c r="DN15" i="4" a="1"/>
  <c r="CD11" i="4" a="1"/>
  <c r="O9" i="4" a="1"/>
  <c r="CB8" i="4" a="1"/>
  <c r="DU13" i="4" a="1"/>
  <c r="H8" i="4" a="1"/>
  <c r="CC15" i="4" a="1"/>
  <c r="DT15" i="4" a="1"/>
  <c r="AR28" i="3"/>
  <c r="DA8" i="4" a="1"/>
  <c r="CK11" i="4" a="1"/>
  <c r="AU16" i="4" a="1"/>
  <c r="CW12" i="4" a="1"/>
  <c r="P6" i="2"/>
  <c r="E22" i="2"/>
  <c r="V46" i="3"/>
  <c r="F16" i="3"/>
  <c r="X13" i="4" a="1"/>
  <c r="E14" i="4" a="1"/>
  <c r="BG5" i="4" a="1"/>
  <c r="M7" i="4" a="1"/>
  <c r="AC15" i="4" a="1"/>
  <c r="AL5" i="4" a="1"/>
  <c r="V5" i="4" a="1"/>
  <c r="CH8" i="4" a="1"/>
  <c r="AD12" i="4" a="1"/>
  <c r="CH14" i="4" a="1"/>
  <c r="EJ13" i="4" a="1"/>
  <c r="EE16" i="4" a="1"/>
  <c r="EF15" i="4" a="1"/>
  <c r="AB5" i="4" a="1"/>
  <c r="DH6" i="4" a="1"/>
  <c r="T6" i="4" a="1"/>
  <c r="BO16" i="4" a="1"/>
  <c r="DW14" i="4" a="1"/>
  <c r="AN15" i="4" a="1"/>
  <c r="BB15" i="4" a="1"/>
  <c r="EA9" i="4" a="1"/>
  <c r="CL6" i="4" a="1"/>
  <c r="BO15" i="4" a="1"/>
  <c r="CV5" i="4" a="1"/>
  <c r="EA6" i="4" a="1"/>
  <c r="C13" i="4" a="1"/>
  <c r="DD6" i="4" a="1"/>
  <c r="ED11" i="4" a="1"/>
  <c r="AV12" i="4" a="1"/>
  <c r="DJ9" i="4" a="1"/>
  <c r="CU5" i="4" a="1"/>
  <c r="DJ7" i="4" a="1"/>
  <c r="H15" i="4" a="1"/>
  <c r="EA14" i="4" a="1"/>
  <c r="DX14" i="4" a="1"/>
  <c r="CW11" i="4" a="1"/>
  <c r="N6" i="4" a="1"/>
  <c r="DX15" i="4" a="1"/>
  <c r="DD11" i="4" a="1"/>
  <c r="J15" i="4" a="1"/>
  <c r="CV11" i="4" a="1"/>
  <c r="AT16" i="4" a="1"/>
  <c r="BG16" i="4" a="1"/>
  <c r="AW11" i="4" a="1"/>
  <c r="AX12" i="4" a="1"/>
  <c r="CK9" i="4" a="1"/>
  <c r="EI8" i="4" a="1"/>
  <c r="DQ12" i="4" a="1"/>
  <c r="S14" i="4" a="1"/>
  <c r="CX9" i="4" a="1"/>
  <c r="AN5" i="4" a="1"/>
  <c r="CU12" i="4" a="1"/>
  <c r="DW11" i="4" a="1"/>
  <c r="CV16" i="4" a="1"/>
  <c r="DZ15" i="4" a="1"/>
  <c r="EH11" i="4" a="1"/>
  <c r="DD14" i="4" a="1"/>
  <c r="AN6" i="4" a="1"/>
  <c r="AO6" i="4" a="1"/>
  <c r="CX11" i="4" a="1"/>
  <c r="CK16" i="4" a="1"/>
  <c r="L12" i="4" a="1"/>
  <c r="Y13" i="4" a="1"/>
  <c r="EK13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T19" i="2"/>
  <c r="G9" i="4" a="1"/>
  <c r="CD13" i="4" a="1"/>
  <c r="DI9" i="4" a="1"/>
  <c r="CL7" i="4" a="1"/>
  <c r="BF6" i="4" a="1"/>
  <c r="EJ8" i="4" a="1"/>
  <c r="BL6" i="4" a="1"/>
  <c r="DT12" i="4" a="1"/>
  <c r="BW16" i="4" a="1"/>
  <c r="BQ13" i="4" a="1"/>
  <c r="G15" i="4" a="1"/>
  <c r="EH12" i="4" a="1"/>
  <c r="BH11" i="4" a="1"/>
  <c r="J6" i="4" a="1"/>
  <c r="BF8" i="4" a="1"/>
  <c r="N5" i="4" a="1"/>
  <c r="BW5" i="4" a="1"/>
  <c r="CA13" i="4" a="1"/>
  <c r="AF15" i="4" a="1"/>
  <c r="DJ12" i="4" a="1"/>
  <c r="K5" i="4" a="1"/>
  <c r="DK11" i="4" a="1"/>
  <c r="EH14" i="4" a="1"/>
  <c r="AE8" i="4" a="1"/>
  <c r="DW8" i="4" a="1"/>
  <c r="BY12" i="4" a="1"/>
  <c r="E80" i="3"/>
  <c r="AD60" i="3"/>
  <c r="AD67" i="3"/>
  <c r="F83" i="3"/>
  <c r="G71" i="3"/>
  <c r="E83" i="3"/>
  <c r="D72" i="3"/>
  <c r="D95" i="3"/>
  <c r="F88" i="3"/>
  <c r="G58" i="3"/>
  <c r="E81" i="3"/>
  <c r="D83" i="3"/>
  <c r="AD54" i="3"/>
  <c r="F86" i="3"/>
  <c r="G82" i="3"/>
  <c r="D75" i="3"/>
  <c r="G72" i="3"/>
  <c r="F74" i="3"/>
  <c r="D89" i="3"/>
  <c r="F64" i="3"/>
  <c r="G66" i="3"/>
  <c r="E73" i="3"/>
  <c r="AD81" i="3"/>
  <c r="G89" i="3"/>
  <c r="D68" i="3"/>
  <c r="F69" i="3"/>
  <c r="G77" i="3"/>
  <c r="F59" i="3"/>
  <c r="D82" i="3"/>
  <c r="F55" i="3"/>
  <c r="F60" i="3"/>
  <c r="E97" i="3"/>
  <c r="D59" i="3"/>
  <c r="E66" i="3"/>
  <c r="AD91" i="3"/>
  <c r="G73" i="3"/>
  <c r="AD82" i="3"/>
  <c r="D71" i="3"/>
  <c r="AD73" i="3"/>
  <c r="AD95" i="3"/>
  <c r="G69" i="3"/>
  <c r="D64" i="3"/>
  <c r="F95" i="3"/>
  <c r="G96" i="3"/>
  <c r="G70" i="3"/>
  <c r="AD56" i="3"/>
  <c r="AD66" i="3"/>
  <c r="F62" i="3"/>
  <c r="G56" i="3"/>
  <c r="E86" i="3"/>
  <c r="D74" i="3"/>
  <c r="F81" i="3"/>
  <c r="G91" i="3"/>
  <c r="E92" i="3"/>
  <c r="D85" i="3"/>
  <c r="F77" i="3"/>
  <c r="AD70" i="3"/>
  <c r="E89" i="3"/>
  <c r="G79" i="3"/>
  <c r="D56" i="3"/>
  <c r="D81" i="3"/>
  <c r="F80" i="3"/>
  <c r="G57" i="3"/>
  <c r="E59" i="3"/>
  <c r="AD68" i="3"/>
  <c r="AD62" i="3"/>
  <c r="AD59" i="3"/>
  <c r="AD64" i="3"/>
  <c r="F54" i="3"/>
  <c r="G97" i="3"/>
  <c r="E88" i="3"/>
  <c r="E57" i="3"/>
  <c r="D73" i="3"/>
  <c r="AD65" i="3"/>
  <c r="E58" i="3"/>
  <c r="G64" i="3"/>
  <c r="D54" i="3"/>
  <c r="D70" i="3"/>
  <c r="F87" i="3"/>
  <c r="G85" i="3"/>
  <c r="E72" i="3"/>
  <c r="F96" i="3"/>
  <c r="E79" i="3"/>
  <c r="AD92" i="3"/>
  <c r="E64" i="3"/>
  <c r="D77" i="3"/>
  <c r="AD86" i="3"/>
  <c r="AD97" i="3"/>
  <c r="G93" i="3"/>
  <c r="AD84" i="3"/>
  <c r="AD69" i="3"/>
  <c r="F84" i="3"/>
  <c r="G75" i="3"/>
  <c r="E68" i="3"/>
  <c r="F47" i="3"/>
  <c r="E94" i="3"/>
  <c r="F72" i="3"/>
  <c r="AD85" i="3"/>
  <c r="F68" i="3"/>
  <c r="G62" i="3"/>
  <c r="E71" i="3"/>
  <c r="D94" i="3"/>
  <c r="AD57" i="3"/>
  <c r="F57" i="3"/>
  <c r="E85" i="3"/>
  <c r="F91" i="3"/>
  <c r="AD63" i="3"/>
  <c r="F61" i="3"/>
  <c r="G76" i="3"/>
  <c r="AD58" i="3"/>
  <c r="F76" i="3"/>
  <c r="E93" i="3"/>
  <c r="D86" i="3"/>
  <c r="AD74" i="3"/>
  <c r="F65" i="3"/>
  <c r="G68" i="3"/>
  <c r="D76" i="3"/>
  <c r="F67" i="3"/>
  <c r="E61" i="3"/>
  <c r="E77" i="3"/>
  <c r="AD71" i="3"/>
  <c r="F94" i="3"/>
  <c r="E95" i="3"/>
  <c r="D92" i="3"/>
  <c r="F85" i="3"/>
  <c r="G65" i="3"/>
  <c r="E67" i="3"/>
  <c r="D93" i="3"/>
  <c r="AD72" i="3"/>
  <c r="F89" i="3"/>
  <c r="G54" i="3"/>
  <c r="F66" i="3"/>
  <c r="E84" i="3"/>
  <c r="E74" i="3"/>
  <c r="D66" i="3"/>
  <c r="AD79" i="3"/>
  <c r="E82" i="3"/>
  <c r="G63" i="3"/>
  <c r="D88" i="3"/>
  <c r="E62" i="3"/>
  <c r="F93" i="3"/>
  <c r="G80" i="3"/>
  <c r="D63" i="3"/>
  <c r="AD61" i="3"/>
  <c r="E56" i="3"/>
  <c r="G81" i="3"/>
  <c r="D91" i="3"/>
  <c r="AD93" i="3"/>
  <c r="E65" i="3"/>
  <c r="D79" i="3"/>
  <c r="AD55" i="3"/>
  <c r="E78" i="3"/>
  <c r="G95" i="3"/>
  <c r="D96" i="3"/>
  <c r="D84" i="3"/>
  <c r="G87" i="3"/>
  <c r="G74" i="3"/>
  <c r="AD80" i="3"/>
  <c r="E70" i="3"/>
  <c r="D69" i="3"/>
  <c r="E55" i="3"/>
  <c r="E75" i="3"/>
  <c r="AD87" i="3"/>
  <c r="E96" i="3"/>
  <c r="D78" i="3"/>
  <c r="D55" i="3"/>
  <c r="G88" i="3"/>
  <c r="D62" i="3"/>
  <c r="E90" i="3"/>
  <c r="D90" i="3"/>
  <c r="F49" i="3"/>
  <c r="G55" i="3"/>
  <c r="F73" i="3"/>
  <c r="D61" i="3"/>
  <c r="F63" i="3"/>
  <c r="AD76" i="3"/>
  <c r="G86" i="3"/>
  <c r="F48" i="3"/>
  <c r="AD75" i="3"/>
  <c r="F56" i="3"/>
  <c r="E54" i="3"/>
  <c r="E91" i="3"/>
  <c r="D87" i="3"/>
  <c r="G78" i="3"/>
  <c r="F50" i="3"/>
  <c r="G60" i="3"/>
  <c r="AD77" i="3"/>
  <c r="D65" i="3"/>
  <c r="AD90" i="3"/>
  <c r="AD88" i="3"/>
  <c r="D80" i="3"/>
  <c r="F90" i="3"/>
  <c r="F70" i="3"/>
  <c r="F78" i="3"/>
  <c r="AD96" i="3"/>
  <c r="E60" i="3"/>
  <c r="D97" i="3"/>
  <c r="F71" i="3"/>
  <c r="D67" i="3"/>
  <c r="E69" i="3"/>
  <c r="F82" i="3"/>
  <c r="F92" i="3"/>
  <c r="D57" i="3"/>
  <c r="F79" i="3"/>
  <c r="G94" i="3"/>
  <c r="F58" i="3"/>
  <c r="D58" i="3"/>
  <c r="E76" i="3"/>
  <c r="G84" i="3"/>
  <c r="F97" i="3"/>
  <c r="G83" i="3"/>
  <c r="G61" i="3"/>
  <c r="AD94" i="3"/>
  <c r="AD89" i="3"/>
  <c r="AD83" i="3"/>
  <c r="G67" i="3"/>
  <c r="E87" i="3"/>
  <c r="AD78" i="3"/>
  <c r="F75" i="3"/>
  <c r="G92" i="3"/>
  <c r="G59" i="3"/>
  <c r="D60" i="3"/>
  <c r="G90" i="3"/>
  <c r="AJ22" i="1"/>
  <c r="Q13" i="1"/>
  <c r="J35" i="1"/>
  <c r="HT9" i="4" s="1"/>
  <c r="IY9" i="4" s="1"/>
  <c r="AJ46" i="1"/>
  <c r="N15" i="1"/>
  <c r="AM22" i="1"/>
  <c r="BX24" i="1"/>
  <c r="AM23" i="1"/>
  <c r="AL14" i="1"/>
  <c r="AL36" i="1"/>
  <c r="BJ13" i="1"/>
  <c r="BX45" i="1"/>
  <c r="W15" i="1"/>
  <c r="C36" i="1"/>
  <c r="P153" i="1"/>
  <c r="BX159" i="1"/>
  <c r="P155" i="1"/>
  <c r="J25" i="1"/>
  <c r="BY73" i="1"/>
  <c r="D21" i="1"/>
  <c r="L13" i="1"/>
  <c r="O24" i="1"/>
  <c r="F20" i="1"/>
  <c r="G35" i="1"/>
  <c r="V39" i="1"/>
  <c r="Q24" i="1"/>
  <c r="N36" i="1"/>
  <c r="M32" i="1"/>
  <c r="M194" i="1" s="1"/>
  <c r="V21" i="1"/>
  <c r="U51" i="1"/>
  <c r="N8" i="1"/>
  <c r="N231" i="1" s="1"/>
  <c r="J13" i="1"/>
  <c r="P25" i="1"/>
  <c r="E24" i="1"/>
  <c r="L20" i="1"/>
  <c r="BJ24" i="1"/>
  <c r="C20" i="1"/>
  <c r="J32" i="1"/>
  <c r="J194" i="1" s="1"/>
  <c r="J20" i="1"/>
  <c r="E45" i="1"/>
  <c r="Q22" i="1"/>
  <c r="I13" i="1"/>
  <c r="BX122" i="1"/>
  <c r="BY122" i="1" s="1"/>
  <c r="U13" i="1"/>
  <c r="Q32" i="1"/>
  <c r="Q194" i="1" s="1"/>
  <c r="N35" i="1"/>
  <c r="D15" i="1"/>
  <c r="W39" i="1"/>
  <c r="L24" i="1"/>
  <c r="Q20" i="1"/>
  <c r="F51" i="1"/>
  <c r="H21" i="1"/>
  <c r="H51" i="1"/>
  <c r="P32" i="1"/>
  <c r="P194" i="1" s="1"/>
  <c r="U35" i="1"/>
  <c r="V51" i="1"/>
  <c r="R21" i="1"/>
  <c r="P20" i="1"/>
  <c r="J24" i="1"/>
  <c r="BJ154" i="1"/>
  <c r="BK154" i="1" s="1"/>
  <c r="BJ144" i="1"/>
  <c r="AL164" i="1"/>
  <c r="AM164" i="1" s="1"/>
  <c r="AL149" i="1"/>
  <c r="AM149" i="1" s="1"/>
  <c r="BJ149" i="1"/>
  <c r="AJ153" i="1"/>
  <c r="BJ155" i="1"/>
  <c r="BK155" i="1" s="1"/>
  <c r="AJ149" i="1"/>
  <c r="AK149" i="1" s="1"/>
  <c r="BJ124" i="1"/>
  <c r="BK124" i="1" s="1"/>
  <c r="AL163" i="1"/>
  <c r="AM163" i="1" s="1"/>
  <c r="BJ131" i="1"/>
  <c r="BJ145" i="1"/>
  <c r="BJ164" i="1"/>
  <c r="AL122" i="1"/>
  <c r="AM122" i="1" s="1"/>
  <c r="AL146" i="1"/>
  <c r="AM146" i="1" s="1"/>
  <c r="AL152" i="1"/>
  <c r="AM152" i="1" s="1"/>
  <c r="AL159" i="1"/>
  <c r="AL144" i="1"/>
  <c r="BJ132" i="1"/>
  <c r="AJ133" i="1"/>
  <c r="AJ144" i="1"/>
  <c r="AJ145" i="1"/>
  <c r="AJ160" i="1"/>
  <c r="AL154" i="1"/>
  <c r="AM154" i="1" s="1"/>
  <c r="BJ146" i="1"/>
  <c r="BK146" i="1" s="1"/>
  <c r="AJ117" i="1"/>
  <c r="AK117" i="1" s="1"/>
  <c r="AL118" i="1"/>
  <c r="AM118" i="1" s="1"/>
  <c r="AL124" i="1"/>
  <c r="AM124" i="1" s="1"/>
  <c r="AL132" i="1"/>
  <c r="BJ118" i="1"/>
  <c r="BK118" i="1" s="1"/>
  <c r="BJ150" i="1"/>
  <c r="BK150" i="1" s="1"/>
  <c r="BJ133" i="1"/>
  <c r="BJ151" i="1"/>
  <c r="BK151" i="1" s="1"/>
  <c r="AJ155" i="1"/>
  <c r="AK155" i="1" s="1"/>
  <c r="AJ140" i="1"/>
  <c r="AK140" i="1" s="1"/>
  <c r="AL140" i="1"/>
  <c r="AM140" i="1" s="1"/>
  <c r="AM202" i="1" s="1"/>
  <c r="BJ117" i="1"/>
  <c r="AJ131" i="1"/>
  <c r="AJ147" i="1"/>
  <c r="AK147" i="1" s="1"/>
  <c r="AJ137" i="1"/>
  <c r="AK137" i="1" s="1"/>
  <c r="IW9" i="4" l="1"/>
  <c r="IM9" i="4" s="1"/>
  <c r="JH9" i="4" s="1"/>
  <c r="II9" i="4" s="1"/>
  <c r="BX35" i="1"/>
  <c r="AK23" i="1"/>
  <c r="P39" i="1"/>
  <c r="JG9" i="4" s="1"/>
  <c r="IC16" i="4" s="1"/>
  <c r="AJ32" i="1"/>
  <c r="AJ194" i="1" s="1"/>
  <c r="AK45" i="1"/>
  <c r="AM24" i="1"/>
  <c r="N20" i="1"/>
  <c r="G51" i="1"/>
  <c r="D32" i="1"/>
  <c r="D194" i="1" s="1"/>
  <c r="C13" i="1"/>
  <c r="I21" i="1"/>
  <c r="M8" i="1"/>
  <c r="M231" i="1" s="1"/>
  <c r="W32" i="1"/>
  <c r="I36" i="1"/>
  <c r="F46" i="1"/>
  <c r="K15" i="1"/>
  <c r="IN16" i="4" s="1"/>
  <c r="IH14" i="4" s="1"/>
  <c r="HW9" i="4" s="1"/>
  <c r="IR16" i="4" s="1"/>
  <c r="HU9" i="4" s="1"/>
  <c r="BX23" i="1"/>
  <c r="AK46" i="1"/>
  <c r="AK35" i="1"/>
  <c r="AJ39" i="1"/>
  <c r="F25" i="1"/>
  <c r="BX154" i="1"/>
  <c r="BY154" i="1" s="1"/>
  <c r="I45" i="1"/>
  <c r="J45" i="1"/>
  <c r="P8" i="1"/>
  <c r="IY16" i="4" s="1"/>
  <c r="IY21" i="4" s="1"/>
  <c r="BS77" i="1" s="1"/>
  <c r="IK9" i="4" s="1"/>
  <c r="IN9" i="4" s="1"/>
  <c r="IP16" i="4" s="1"/>
  <c r="BX145" i="1"/>
  <c r="M45" i="1"/>
  <c r="S8" i="1"/>
  <c r="S231" i="1" s="1"/>
  <c r="N13" i="1"/>
  <c r="S39" i="1"/>
  <c r="AM13" i="1"/>
  <c r="AM8" i="1"/>
  <c r="AM231" i="1" s="1"/>
  <c r="AJ14" i="1"/>
  <c r="AL32" i="1"/>
  <c r="AL194" i="1" s="1"/>
  <c r="BX25" i="1"/>
  <c r="AJ8" i="1"/>
  <c r="AJ231" i="1" s="1"/>
  <c r="B35" i="1"/>
  <c r="BX132" i="1"/>
  <c r="L45" i="1"/>
  <c r="F45" i="1"/>
  <c r="Q47" i="1"/>
  <c r="K21" i="1"/>
  <c r="AK51" i="1"/>
  <c r="AJ24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S51" i="1"/>
  <c r="JD16" i="4" s="1"/>
  <c r="BX46" i="1"/>
  <c r="BX13" i="1"/>
  <c r="AM35" i="1"/>
  <c r="M23" i="1"/>
  <c r="G46" i="1"/>
  <c r="L9" i="1"/>
  <c r="S47" i="1"/>
  <c r="M46" i="1"/>
  <c r="S23" i="1"/>
  <c r="N22" i="1"/>
  <c r="U23" i="1"/>
  <c r="T46" i="1"/>
  <c r="J9" i="1"/>
  <c r="K46" i="1"/>
  <c r="BX125" i="1"/>
  <c r="BY125" i="1" s="1"/>
  <c r="R20" i="1"/>
  <c r="U39" i="1"/>
  <c r="M15" i="1"/>
  <c r="BX124" i="1"/>
  <c r="BY124" i="1" s="1"/>
  <c r="S35" i="1"/>
  <c r="M35" i="1"/>
  <c r="W21" i="1"/>
  <c r="J39" i="1"/>
  <c r="O21" i="1"/>
  <c r="J36" i="1"/>
  <c r="D51" i="1"/>
  <c r="R35" i="1"/>
  <c r="U20" i="1"/>
  <c r="H15" i="1"/>
  <c r="S46" i="1"/>
  <c r="P13" i="1"/>
  <c r="M36" i="1"/>
  <c r="N32" i="1"/>
  <c r="N194" i="1" s="1"/>
  <c r="K24" i="1"/>
  <c r="I32" i="1"/>
  <c r="I194" i="1" s="1"/>
  <c r="G15" i="1"/>
  <c r="C8" i="1"/>
  <c r="C231" i="1" s="1"/>
  <c r="V36" i="1"/>
  <c r="V252" i="1" s="1"/>
  <c r="AL160" i="1"/>
  <c r="AL127" i="1"/>
  <c r="AM127" i="1" s="1"/>
  <c r="AJ164" i="1"/>
  <c r="AK164" i="1" s="1"/>
  <c r="BJ122" i="1"/>
  <c r="BK122" i="1" s="1"/>
  <c r="AJ135" i="1"/>
  <c r="AK135" i="1" s="1"/>
  <c r="HS14" i="4"/>
  <c r="HQ14" i="4"/>
  <c r="JE8" i="4"/>
  <c r="IW15" i="4"/>
  <c r="JE7" i="4"/>
  <c r="JC15" i="4"/>
  <c r="HU15" i="4"/>
  <c r="JD8" i="4"/>
  <c r="JH14" i="4"/>
  <c r="CP77" i="1"/>
  <c r="CN63" i="1"/>
  <c r="CM65" i="1"/>
  <c r="IM16" i="4"/>
  <c r="S22" i="1"/>
  <c r="IW16" i="4" s="1"/>
  <c r="IV9" i="4" s="1"/>
  <c r="IZ9" i="4" s="1"/>
  <c r="JG16" i="4" s="1"/>
  <c r="JG21" i="4" s="1"/>
  <c r="CA77" i="1" s="1"/>
  <c r="AL20" i="1"/>
  <c r="O8" i="1"/>
  <c r="BX32" i="1"/>
  <c r="BX194" i="1" s="1"/>
  <c r="HS9" i="4" s="1"/>
  <c r="IQ9" i="4" s="1"/>
  <c r="JE9" i="4" s="1"/>
  <c r="HQ9" i="4" s="1"/>
  <c r="IE16" i="4" s="1"/>
  <c r="IT16" i="4" s="1"/>
  <c r="BX8" i="1"/>
  <c r="BX36" i="1"/>
  <c r="BX252" i="1" s="1"/>
  <c r="L8" i="1"/>
  <c r="L231" i="1" s="1"/>
  <c r="IU16" i="4" s="1"/>
  <c r="IG9" i="4" s="1"/>
  <c r="IQ16" i="4" s="1"/>
  <c r="BJ15" i="1"/>
  <c r="H13" i="1"/>
  <c r="IZ16" i="4" s="1"/>
  <c r="IZ21" i="4" s="1"/>
  <c r="BT77" i="1" s="1"/>
  <c r="IO9" i="4" s="1"/>
  <c r="II16" i="4" s="1"/>
  <c r="JF9" i="4" s="1"/>
  <c r="II8" i="4" s="1"/>
  <c r="IA9" i="4" s="1"/>
  <c r="JC9" i="4" s="1"/>
  <c r="JG7" i="4" s="1"/>
  <c r="HW16" i="4" s="1"/>
  <c r="HW21" i="4" s="1"/>
  <c r="AQ77" i="1" s="1"/>
  <c r="BX20" i="1"/>
  <c r="BJ14" i="1"/>
  <c r="BX15" i="1"/>
  <c r="Q35" i="1"/>
  <c r="M9" i="1"/>
  <c r="IA16" i="4" s="1"/>
  <c r="IO7" i="4"/>
  <c r="JC16" i="4" s="1"/>
  <c r="AL15" i="1"/>
  <c r="N23" i="1"/>
  <c r="JB16" i="4" s="1"/>
  <c r="AK24" i="1"/>
  <c r="BX14" i="1"/>
  <c r="B25" i="1"/>
  <c r="IX16" i="4" s="1"/>
  <c r="AL22" i="1"/>
  <c r="G23" i="1"/>
  <c r="E159" i="1"/>
  <c r="F24" i="1"/>
  <c r="H24" i="1"/>
  <c r="I35" i="1"/>
  <c r="V23" i="1"/>
  <c r="K45" i="1"/>
  <c r="T15" i="1"/>
  <c r="HU8" i="4" s="1"/>
  <c r="IU9" i="4" s="1"/>
  <c r="HY9" i="4" s="1"/>
  <c r="IF15" i="4" s="1"/>
  <c r="AL24" i="1"/>
  <c r="AK20" i="1"/>
  <c r="AJ13" i="1"/>
  <c r="AL51" i="1"/>
  <c r="AJ47" i="1"/>
  <c r="AM15" i="1"/>
  <c r="D122" i="1"/>
  <c r="U22" i="1"/>
  <c r="Q21" i="1"/>
  <c r="K25" i="1"/>
  <c r="H20" i="1"/>
  <c r="AL8" i="1"/>
  <c r="AL47" i="1"/>
  <c r="AJ9" i="1"/>
  <c r="M22" i="1"/>
  <c r="IQ14" i="4"/>
  <c r="IS14" i="4"/>
  <c r="HZ16" i="4" s="1"/>
  <c r="HZ21" i="4" s="1"/>
  <c r="AT77" i="1" s="1"/>
  <c r="IE7" i="4" s="1"/>
  <c r="HQ16" i="4" s="1"/>
  <c r="IO8" i="4" s="1"/>
  <c r="JE16" i="4" s="1"/>
  <c r="HU16" i="4" s="1"/>
  <c r="BX152" i="1"/>
  <c r="BY152" i="1" s="1"/>
  <c r="O51" i="1"/>
  <c r="F32" i="1"/>
  <c r="F194" i="1" s="1"/>
  <c r="C9" i="1"/>
  <c r="N21" i="1"/>
  <c r="F35" i="1"/>
  <c r="JD9" i="4" s="1"/>
  <c r="IG16" i="4" s="1"/>
  <c r="AM9" i="1"/>
  <c r="AM14" i="1"/>
  <c r="K32" i="1"/>
  <c r="K194" i="1" s="1"/>
  <c r="Q9" i="1"/>
  <c r="S20" i="1"/>
  <c r="I23" i="1"/>
  <c r="R36" i="1"/>
  <c r="HR16" i="4" s="1"/>
  <c r="BX39" i="1"/>
  <c r="AK39" i="1"/>
  <c r="AM25" i="1"/>
  <c r="AK22" i="1"/>
  <c r="AJ20" i="1"/>
  <c r="B15" i="1"/>
  <c r="E20" i="1"/>
  <c r="L39" i="1"/>
  <c r="H36" i="1"/>
  <c r="U25" i="1"/>
  <c r="I22" i="1"/>
  <c r="O9" i="1"/>
  <c r="IE9" i="4" s="1"/>
  <c r="HP16" i="4" s="1"/>
  <c r="AL46" i="1"/>
  <c r="BJ20" i="1"/>
  <c r="AK14" i="1"/>
  <c r="AL45" i="1"/>
  <c r="BJ25" i="1"/>
  <c r="AM21" i="1"/>
  <c r="T45" i="1"/>
  <c r="W51" i="1"/>
  <c r="BX73" i="1"/>
  <c r="G8" i="1"/>
  <c r="E51" i="1"/>
  <c r="L25" i="1"/>
  <c r="IW7" i="4" s="1"/>
  <c r="HV16" i="4" s="1"/>
  <c r="HV21" i="4" s="1"/>
  <c r="AP77" i="1" s="1"/>
  <c r="IO14" i="4" s="1"/>
  <c r="HY15" i="4" s="1"/>
  <c r="JF16" i="4" s="1"/>
  <c r="IL14" i="4" s="1"/>
  <c r="IH16" i="4" s="1"/>
  <c r="AK9" i="1"/>
  <c r="AK47" i="1"/>
  <c r="C22" i="1"/>
  <c r="W22" i="1"/>
  <c r="V22" i="1"/>
  <c r="D9" i="1"/>
  <c r="N9" i="1"/>
  <c r="T22" i="1"/>
  <c r="AL9" i="1"/>
  <c r="J23" i="1"/>
  <c r="E47" i="1"/>
  <c r="R22" i="1"/>
  <c r="K22" i="1"/>
  <c r="C47" i="1"/>
  <c r="D22" i="1"/>
  <c r="T39" i="1"/>
  <c r="R15" i="1"/>
  <c r="B8" i="1"/>
  <c r="W13" i="1"/>
  <c r="K35" i="1"/>
  <c r="P160" i="1"/>
  <c r="N45" i="1"/>
  <c r="T47" i="1"/>
  <c r="T32" i="1"/>
  <c r="E35" i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D46" i="1"/>
  <c r="W9" i="1"/>
  <c r="W10" i="1" s="1"/>
  <c r="AJ36" i="1"/>
  <c r="BJ23" i="1"/>
  <c r="AJ15" i="1"/>
  <c r="AK25" i="1"/>
  <c r="BJ21" i="1"/>
  <c r="BX144" i="1"/>
  <c r="G36" i="1"/>
  <c r="B13" i="1"/>
  <c r="O15" i="1"/>
  <c r="BX160" i="1"/>
  <c r="BX161" i="1" s="1"/>
  <c r="BY209" i="1" s="1"/>
  <c r="J22" i="1"/>
  <c r="J26" i="1" s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P26" i="1" s="1"/>
  <c r="H35" i="1"/>
  <c r="U47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HP8" i="4" s="1"/>
  <c r="IZ14" i="4" s="1"/>
  <c r="HR8" i="4" s="1"/>
  <c r="IN7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S194" i="1" s="1"/>
  <c r="E36" i="1"/>
  <c r="W23" i="1"/>
  <c r="I8" i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R194" i="1" s="1"/>
  <c r="I25" i="1"/>
  <c r="H32" i="1"/>
  <c r="W46" i="1"/>
  <c r="IG8" i="4" s="1"/>
  <c r="IV14" i="4" s="1"/>
  <c r="JH16" i="4" s="1"/>
  <c r="JH21" i="4" s="1"/>
  <c r="CB77" i="1" s="1"/>
  <c r="IS8" i="4" s="1"/>
  <c r="IL7" i="4" s="1"/>
  <c r="IN8" i="4" s="1"/>
  <c r="HX9" i="4" s="1"/>
  <c r="BJ8" i="1"/>
  <c r="BJ231" i="1" s="1"/>
  <c r="AL35" i="1"/>
  <c r="BX9" i="1"/>
  <c r="BX10" i="1" s="1"/>
  <c r="AJ35" i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D231" i="1" s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C194" i="1" s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IB16" i="4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R47" i="1"/>
  <c r="I47" i="1"/>
  <c r="B47" i="1"/>
  <c r="H46" i="1"/>
  <c r="O47" i="1"/>
  <c r="P23" i="1"/>
  <c r="N47" i="1"/>
  <c r="M47" i="1"/>
  <c r="AL155" i="1"/>
  <c r="AM155" i="1" s="1"/>
  <c r="AL74" i="1"/>
  <c r="BJ163" i="1"/>
  <c r="BK163" i="1" s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19" i="1"/>
  <c r="BJ159" i="1"/>
  <c r="BJ160" i="1"/>
  <c r="BJ147" i="1"/>
  <c r="BK147" i="1" s="1"/>
  <c r="AJ150" i="1"/>
  <c r="AK150" i="1" s="1"/>
  <c r="AJ151" i="1"/>
  <c r="AK151" i="1" s="1"/>
  <c r="AL135" i="1"/>
  <c r="AM135" i="1" s="1"/>
  <c r="AL133" i="1"/>
  <c r="AJ152" i="1"/>
  <c r="AK152" i="1" s="1"/>
  <c r="AJ142" i="1"/>
  <c r="AK142" i="1" s="1"/>
  <c r="AJ154" i="1"/>
  <c r="AK154" i="1" s="1"/>
  <c r="AL151" i="1"/>
  <c r="AM151" i="1" s="1"/>
  <c r="BJ119" i="1"/>
  <c r="BJ126" i="1"/>
  <c r="BK126" i="1" s="1"/>
  <c r="AL153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AJ119" i="1"/>
  <c r="AJ146" i="1"/>
  <c r="AK146" i="1" s="1"/>
  <c r="AJ125" i="1"/>
  <c r="AK125" i="1" s="1"/>
  <c r="AL117" i="1"/>
  <c r="AM117" i="1" s="1"/>
  <c r="AL126" i="1"/>
  <c r="AM126" i="1" s="1"/>
  <c r="AL73" i="1"/>
  <c r="AL147" i="1"/>
  <c r="AM147" i="1" s="1"/>
  <c r="BJ153" i="1"/>
  <c r="AJ126" i="1"/>
  <c r="AK126" i="1" s="1"/>
  <c r="AJ132" i="1"/>
  <c r="AJ118" i="1"/>
  <c r="AK118" i="1" s="1"/>
  <c r="AJ143" i="1"/>
  <c r="AK143" i="1" s="1"/>
  <c r="AL137" i="1"/>
  <c r="AM137" i="1" s="1"/>
  <c r="BJ137" i="1"/>
  <c r="BK137" i="1" s="1"/>
  <c r="BJ143" i="1"/>
  <c r="AL143" i="1"/>
  <c r="AL252" i="1"/>
  <c r="IL15" i="4"/>
  <c r="IF7" i="4"/>
  <c r="IL8" i="4"/>
  <c r="HV7" i="4"/>
  <c r="ID15" i="4"/>
  <c r="IW14" i="4"/>
  <c r="II7" i="4"/>
  <c r="IU15" i="4"/>
  <c r="IO15" i="4"/>
  <c r="HS7" i="4"/>
  <c r="IA14" i="4"/>
  <c r="JG14" i="4"/>
  <c r="HX14" i="4"/>
  <c r="IK15" i="4"/>
  <c r="JD14" i="4"/>
  <c r="JB15" i="4"/>
  <c r="HU14" i="4"/>
  <c r="IN15" i="4"/>
  <c r="IN14" i="4"/>
  <c r="IA8" i="4"/>
  <c r="IA15" i="4"/>
  <c r="IG14" i="4"/>
  <c r="IV8" i="4"/>
  <c r="HU7" i="4"/>
  <c r="HX15" i="4"/>
  <c r="IJ15" i="4"/>
  <c r="IC8" i="4"/>
  <c r="HW7" i="4"/>
  <c r="HQ15" i="4"/>
  <c r="IC7" i="4"/>
  <c r="IR15" i="4"/>
  <c r="HQ7" i="4"/>
  <c r="JA8" i="4"/>
  <c r="IM8" i="4"/>
  <c r="IM14" i="4"/>
  <c r="IT7" i="4"/>
  <c r="IF8" i="4"/>
  <c r="HV8" i="4"/>
  <c r="JB14" i="4"/>
  <c r="IR8" i="4"/>
  <c r="JF14" i="4"/>
  <c r="IH8" i="4"/>
  <c r="JH15" i="4"/>
  <c r="JH20" i="4" s="1"/>
  <c r="CB79" i="1" s="1"/>
  <c r="IX14" i="4"/>
  <c r="IX19" i="4" s="1"/>
  <c r="BR78" i="1" s="1"/>
  <c r="BR107" i="1" s="1"/>
  <c r="IQ8" i="4"/>
  <c r="IK8" i="4"/>
  <c r="IK20" i="4" s="1"/>
  <c r="BE79" i="1" s="1"/>
  <c r="BE108" i="1" s="1"/>
  <c r="IM15" i="4"/>
  <c r="IM20" i="4" s="1"/>
  <c r="BG79" i="1" s="1"/>
  <c r="BG108" i="1" s="1"/>
  <c r="HP15" i="4"/>
  <c r="HP20" i="4" s="1"/>
  <c r="AJ79" i="1" s="1"/>
  <c r="HP7" i="4"/>
  <c r="HY14" i="4"/>
  <c r="HY19" i="4" s="1"/>
  <c r="AS78" i="1" s="1"/>
  <c r="AS107" i="1" s="1"/>
  <c r="JA14" i="4"/>
  <c r="IU7" i="4"/>
  <c r="IP14" i="4"/>
  <c r="HP14" i="4"/>
  <c r="HP19" i="4" s="1"/>
  <c r="AJ78" i="1" s="1"/>
  <c r="IR14" i="4"/>
  <c r="IR19" i="4" s="1"/>
  <c r="BL78" i="1" s="1"/>
  <c r="IS15" i="4"/>
  <c r="IS20" i="4" s="1"/>
  <c r="BM79" i="1" s="1"/>
  <c r="BM108" i="1" s="1"/>
  <c r="HS15" i="4"/>
  <c r="HS20" i="4" s="1"/>
  <c r="AM79" i="1" s="1"/>
  <c r="HZ14" i="4"/>
  <c r="HW14" i="4"/>
  <c r="HW19" i="4" s="1"/>
  <c r="AQ78" i="1" s="1"/>
  <c r="AQ107" i="1" s="1"/>
  <c r="IY7" i="4"/>
  <c r="JG8" i="4"/>
  <c r="IZ7" i="4"/>
  <c r="IY14" i="4"/>
  <c r="IY19" i="4" s="1"/>
  <c r="BS78" i="1" s="1"/>
  <c r="BS107" i="1" s="1"/>
  <c r="HX8" i="4"/>
  <c r="HX20" i="4" s="1"/>
  <c r="AR79" i="1" s="1"/>
  <c r="AR108" i="1" s="1"/>
  <c r="JC14" i="4"/>
  <c r="IJ14" i="4"/>
  <c r="IJ19" i="4" s="1"/>
  <c r="BD78" i="1" s="1"/>
  <c r="BD107" i="1" s="1"/>
  <c r="IX15" i="4"/>
  <c r="JD15" i="4"/>
  <c r="JD20" i="4" s="1"/>
  <c r="BX79" i="1" s="1"/>
  <c r="BX108" i="1" s="1"/>
  <c r="HZ8" i="4"/>
  <c r="IS7" i="4"/>
  <c r="HT15" i="4"/>
  <c r="II15" i="4"/>
  <c r="II20" i="4" s="1"/>
  <c r="BC79" i="1" s="1"/>
  <c r="BC108" i="1" s="1"/>
  <c r="IE14" i="4"/>
  <c r="IE19" i="4" s="1"/>
  <c r="AY78" i="1" s="1"/>
  <c r="AY107" i="1" s="1"/>
  <c r="IT14" i="4"/>
  <c r="IT19" i="4" s="1"/>
  <c r="BN78" i="1" s="1"/>
  <c r="BN107" i="1" s="1"/>
  <c r="HY8" i="4"/>
  <c r="IV15" i="4"/>
  <c r="IV20" i="4" s="1"/>
  <c r="BP79" i="1" s="1"/>
  <c r="BP108" i="1" s="1"/>
  <c r="IQ7" i="4"/>
  <c r="IZ15" i="4"/>
  <c r="HT14" i="4"/>
  <c r="Q26" i="1"/>
  <c r="IC15" i="4"/>
  <c r="IC20" i="4" s="1"/>
  <c r="AW79" i="1" s="1"/>
  <c r="AW108" i="1" s="1"/>
  <c r="IB8" i="4"/>
  <c r="IX8" i="4"/>
  <c r="HR14" i="4"/>
  <c r="IB7" i="4"/>
  <c r="IC14" i="4"/>
  <c r="IC19" i="4" s="1"/>
  <c r="AW78" i="1" s="1"/>
  <c r="AW107" i="1" s="1"/>
  <c r="HZ15" i="4"/>
  <c r="HZ20" i="4" s="1"/>
  <c r="AT79" i="1" s="1"/>
  <c r="AT108" i="1" s="1"/>
  <c r="ID7" i="4"/>
  <c r="JF7" i="4"/>
  <c r="JF19" i="4" s="1"/>
  <c r="BZ78" i="1" s="1"/>
  <c r="HW15" i="4"/>
  <c r="HW20" i="4" s="1"/>
  <c r="AQ79" i="1" s="1"/>
  <c r="AQ108" i="1" s="1"/>
  <c r="IP8" i="4"/>
  <c r="HR15" i="4"/>
  <c r="HR20" i="4" s="1"/>
  <c r="AL79" i="1" s="1"/>
  <c r="N252" i="1"/>
  <c r="L26" i="1"/>
  <c r="JI7" i="4"/>
  <c r="HV14" i="4"/>
  <c r="HV19" i="4" s="1"/>
  <c r="AP78" i="1" s="1"/>
  <c r="AP107" i="1" s="1"/>
  <c r="IZ8" i="4"/>
  <c r="IT15" i="4"/>
  <c r="IT20" i="4" s="1"/>
  <c r="BN79" i="1" s="1"/>
  <c r="BN108" i="1" s="1"/>
  <c r="IH7" i="4"/>
  <c r="JH7" i="4"/>
  <c r="IR7" i="4"/>
  <c r="JI8" i="4"/>
  <c r="IE8" i="4"/>
  <c r="JC7" i="4"/>
  <c r="BX148" i="1"/>
  <c r="IP7" i="4"/>
  <c r="JF15" i="4"/>
  <c r="JF20" i="4" s="1"/>
  <c r="BZ79" i="1" s="1"/>
  <c r="IW8" i="4"/>
  <c r="HT7" i="4"/>
  <c r="IG15" i="4"/>
  <c r="IG20" i="4" s="1"/>
  <c r="BA79" i="1" s="1"/>
  <c r="BA108" i="1" s="1"/>
  <c r="IG7" i="4"/>
  <c r="IG19" i="4" s="1"/>
  <c r="BA78" i="1" s="1"/>
  <c r="BA107" i="1" s="1"/>
  <c r="IB14" i="4"/>
  <c r="IB19" i="4" s="1"/>
  <c r="AV78" i="1" s="1"/>
  <c r="AV107" i="1" s="1"/>
  <c r="IQ15" i="4"/>
  <c r="IQ20" i="4" s="1"/>
  <c r="BK79" i="1" s="1"/>
  <c r="BK108" i="1" s="1"/>
  <c r="IU14" i="4"/>
  <c r="IU19" i="4" s="1"/>
  <c r="BO78" i="1" s="1"/>
  <c r="BO107" i="1" s="1"/>
  <c r="HT8" i="4"/>
  <c r="HT20" i="4" s="1"/>
  <c r="AN79" i="1" s="1"/>
  <c r="AN108" i="1" s="1"/>
  <c r="HZ7" i="4"/>
  <c r="T26" i="1"/>
  <c r="V26" i="1"/>
  <c r="F26" i="1"/>
  <c r="IA7" i="4"/>
  <c r="I26" i="1"/>
  <c r="IB15" i="4"/>
  <c r="IB20" i="4" s="1"/>
  <c r="AV79" i="1" s="1"/>
  <c r="AV108" i="1" s="1"/>
  <c r="ID8" i="4"/>
  <c r="HR7" i="4"/>
  <c r="IK14" i="4"/>
  <c r="IK19" i="4" s="1"/>
  <c r="BE78" i="1" s="1"/>
  <c r="BE107" i="1" s="1"/>
  <c r="IF14" i="4"/>
  <c r="IF19" i="4" s="1"/>
  <c r="AZ78" i="1" s="1"/>
  <c r="AZ107" i="1" s="1"/>
  <c r="II14" i="4"/>
  <c r="II19" i="4" s="1"/>
  <c r="BC78" i="1" s="1"/>
  <c r="BC107" i="1" s="1"/>
  <c r="JI14" i="4"/>
  <c r="HS8" i="4"/>
  <c r="JE15" i="4"/>
  <c r="JE20" i="4" s="1"/>
  <c r="BY79" i="1" s="1"/>
  <c r="BY108" i="1" s="1"/>
  <c r="IY8" i="4"/>
  <c r="JH8" i="4"/>
  <c r="IY15" i="4"/>
  <c r="IY20" i="4" s="1"/>
  <c r="BS79" i="1" s="1"/>
  <c r="BS108" i="1" s="1"/>
  <c r="JG15" i="4"/>
  <c r="ID14" i="4"/>
  <c r="IP15" i="4"/>
  <c r="JF8" i="4"/>
  <c r="HY7" i="4"/>
  <c r="IE15" i="4"/>
  <c r="JB7" i="4"/>
  <c r="HX7" i="4"/>
  <c r="JA7" i="4"/>
  <c r="IJ7" i="4"/>
  <c r="HQ8" i="4"/>
  <c r="HQ20" i="4" s="1"/>
  <c r="AK79" i="1" s="1"/>
  <c r="C26" i="1"/>
  <c r="IM7" i="4"/>
  <c r="IM19" i="4" s="1"/>
  <c r="BG78" i="1" s="1"/>
  <c r="BG107" i="1" s="1"/>
  <c r="J253" i="1"/>
  <c r="W98" i="1"/>
  <c r="T10" i="1"/>
  <c r="X11" i="1"/>
  <c r="X188" i="1"/>
  <c r="Q231" i="1"/>
  <c r="L194" i="1"/>
  <c r="BJ134" i="1"/>
  <c r="BK128" i="1"/>
  <c r="BK117" i="1"/>
  <c r="AM128" i="1"/>
  <c r="BJ156" i="1"/>
  <c r="BJ185" i="1" s="1"/>
  <c r="BK149" i="1"/>
  <c r="BJ128" i="1"/>
  <c r="AL156" i="1"/>
  <c r="AJ202" i="1"/>
  <c r="AL128" i="1"/>
  <c r="AJ156" i="1"/>
  <c r="CB94" i="1"/>
  <c r="CB102" i="1"/>
  <c r="CB85" i="1"/>
  <c r="JD19" i="4"/>
  <c r="BX78" i="1" s="1"/>
  <c r="U11" i="1"/>
  <c r="IN19" i="4"/>
  <c r="BH78" i="1" s="1"/>
  <c r="BH107" i="1" s="1"/>
  <c r="JI19" i="4"/>
  <c r="CC78" i="1" s="1"/>
  <c r="JB20" i="4"/>
  <c r="BV79" i="1" s="1"/>
  <c r="BV108" i="1" s="1"/>
  <c r="IV19" i="4"/>
  <c r="BP78" i="1" s="1"/>
  <c r="BP107" i="1" s="1"/>
  <c r="IJ20" i="4"/>
  <c r="BD79" i="1" s="1"/>
  <c r="BD108" i="1" s="1"/>
  <c r="IN20" i="4"/>
  <c r="BH79" i="1" s="1"/>
  <c r="BH108" i="1" s="1"/>
  <c r="IF20" i="4"/>
  <c r="AZ79" i="1" s="1"/>
  <c r="AZ108" i="1" s="1"/>
  <c r="JB19" i="4"/>
  <c r="BV78" i="1" s="1"/>
  <c r="BV107" i="1" s="1"/>
  <c r="HU19" i="4"/>
  <c r="AO78" i="1" s="1"/>
  <c r="AO107" i="1" s="1"/>
  <c r="IR20" i="4"/>
  <c r="BL79" i="1" s="1"/>
  <c r="BL96" i="1" s="1"/>
  <c r="IA20" i="4"/>
  <c r="AU79" i="1" s="1"/>
  <c r="AU108" i="1" s="1"/>
  <c r="BY12" i="1"/>
  <c r="CB11" i="1"/>
  <c r="CC188" i="1"/>
  <c r="AL202" i="1"/>
  <c r="AK202" i="1"/>
  <c r="BK202" i="1"/>
  <c r="BY202" i="1"/>
  <c r="CM32" i="1"/>
  <c r="AC140" i="1"/>
  <c r="AM10" i="1" l="1"/>
  <c r="B253" i="1"/>
  <c r="K252" i="1"/>
  <c r="P252" i="1"/>
  <c r="AM252" i="1"/>
  <c r="AJ33" i="1"/>
  <c r="IR21" i="4"/>
  <c r="BL77" i="1" s="1"/>
  <c r="BL94" i="1" s="1"/>
  <c r="IC21" i="4"/>
  <c r="AW77" i="1" s="1"/>
  <c r="IP21" i="4"/>
  <c r="BJ77" i="1" s="1"/>
  <c r="C252" i="1"/>
  <c r="IN21" i="4"/>
  <c r="BH77" i="1" s="1"/>
  <c r="W253" i="1"/>
  <c r="W194" i="1"/>
  <c r="P231" i="1"/>
  <c r="AM98" i="1"/>
  <c r="AM99" i="1" s="1"/>
  <c r="N26" i="1"/>
  <c r="M26" i="1"/>
  <c r="P183" i="1"/>
  <c r="M252" i="1"/>
  <c r="AJ183" i="1"/>
  <c r="AJ179" i="1"/>
  <c r="IH19" i="4"/>
  <c r="BB78" i="1" s="1"/>
  <c r="BB107" i="1" s="1"/>
  <c r="BY128" i="1"/>
  <c r="IW20" i="4"/>
  <c r="BQ79" i="1" s="1"/>
  <c r="BQ108" i="1" s="1"/>
  <c r="E10" i="1"/>
  <c r="I253" i="1"/>
  <c r="U26" i="1"/>
  <c r="R26" i="1"/>
  <c r="B26" i="1"/>
  <c r="JD21" i="4"/>
  <c r="BX77" i="1" s="1"/>
  <c r="I10" i="1"/>
  <c r="C253" i="1"/>
  <c r="M253" i="1"/>
  <c r="P253" i="1"/>
  <c r="J252" i="1"/>
  <c r="S253" i="1"/>
  <c r="S10" i="1"/>
  <c r="S98" i="1" s="1"/>
  <c r="BX128" i="1"/>
  <c r="N253" i="1"/>
  <c r="AL161" i="1"/>
  <c r="AM209" i="1" s="1"/>
  <c r="AI196" i="1"/>
  <c r="AI198" i="1" s="1"/>
  <c r="AJ180" i="1"/>
  <c r="AK180" i="1" s="1"/>
  <c r="HS19" i="4"/>
  <c r="AM78" i="1" s="1"/>
  <c r="JC20" i="4"/>
  <c r="BW79" i="1" s="1"/>
  <c r="BW108" i="1" s="1"/>
  <c r="JH19" i="4"/>
  <c r="CB78" i="1" s="1"/>
  <c r="CA94" i="1"/>
  <c r="HU20" i="4"/>
  <c r="AO79" i="1" s="1"/>
  <c r="AO108" i="1" s="1"/>
  <c r="HQ19" i="4"/>
  <c r="AK78" i="1" s="1"/>
  <c r="BX16" i="1"/>
  <c r="AB77" i="1"/>
  <c r="CQ77" i="1"/>
  <c r="CN65" i="1"/>
  <c r="CO63" i="1"/>
  <c r="O10" i="1"/>
  <c r="O252" i="1"/>
  <c r="O231" i="1"/>
  <c r="IT21" i="4"/>
  <c r="BN77" i="1" s="1"/>
  <c r="IH15" i="4"/>
  <c r="IH20" i="4" s="1"/>
  <c r="BB79" i="1" s="1"/>
  <c r="BB108" i="1" s="1"/>
  <c r="IQ21" i="4"/>
  <c r="BK77" i="1" s="1"/>
  <c r="HV9" i="4"/>
  <c r="IS9" i="4" s="1"/>
  <c r="IA21" i="4"/>
  <c r="AU77" i="1" s="1"/>
  <c r="JA9" i="4"/>
  <c r="JI9" i="4" s="1"/>
  <c r="IV16" i="4" s="1"/>
  <c r="IV21" i="4" s="1"/>
  <c r="BP77" i="1" s="1"/>
  <c r="IS16" i="4" s="1"/>
  <c r="JC21" i="4"/>
  <c r="BW77" i="1" s="1"/>
  <c r="IK16" i="4"/>
  <c r="JB21" i="4"/>
  <c r="BV77" i="1" s="1"/>
  <c r="JC8" i="4"/>
  <c r="HV15" i="4" s="1"/>
  <c r="IX21" i="4"/>
  <c r="BR77" i="1" s="1"/>
  <c r="IJ9" i="4"/>
  <c r="HP9" i="4" s="1"/>
  <c r="HS16" i="4" s="1"/>
  <c r="H26" i="1"/>
  <c r="IT9" i="4"/>
  <c r="IX9" i="4" s="1"/>
  <c r="IJ16" i="4" s="1"/>
  <c r="IJ21" i="4" s="1"/>
  <c r="BD77" i="1" s="1"/>
  <c r="HU21" i="4"/>
  <c r="AO77" i="1" s="1"/>
  <c r="ID9" i="4"/>
  <c r="IG21" i="4"/>
  <c r="BA77" i="1" s="1"/>
  <c r="IF9" i="4"/>
  <c r="HR21" i="4"/>
  <c r="AL77" i="1" s="1"/>
  <c r="IL16" i="4"/>
  <c r="HP21" i="4"/>
  <c r="AJ77" i="1" s="1"/>
  <c r="HW8" i="4"/>
  <c r="IB9" i="4" s="1"/>
  <c r="IK7" i="4" s="1"/>
  <c r="G10" i="1"/>
  <c r="G231" i="1"/>
  <c r="IH21" i="4"/>
  <c r="BB77" i="1" s="1"/>
  <c r="IT8" i="4"/>
  <c r="IV7" i="4" s="1"/>
  <c r="ID16" i="4" s="1"/>
  <c r="T253" i="1"/>
  <c r="T194" i="1"/>
  <c r="F252" i="1"/>
  <c r="F231" i="1"/>
  <c r="AK231" i="1"/>
  <c r="AK10" i="1"/>
  <c r="AK16" i="1" s="1"/>
  <c r="U194" i="1"/>
  <c r="U253" i="1"/>
  <c r="AJ37" i="1"/>
  <c r="BX179" i="1"/>
  <c r="BY179" i="1" s="1"/>
  <c r="G252" i="1"/>
  <c r="R10" i="1"/>
  <c r="G183" i="1"/>
  <c r="BX183" i="1"/>
  <c r="BY183" i="1" s="1"/>
  <c r="Q183" i="1"/>
  <c r="L253" i="1"/>
  <c r="G253" i="1"/>
  <c r="P10" i="1"/>
  <c r="II21" i="4"/>
  <c r="BC77" i="1" s="1"/>
  <c r="M10" i="1"/>
  <c r="F10" i="1"/>
  <c r="BX180" i="1"/>
  <c r="BY180" i="1" s="1"/>
  <c r="CA98" i="1"/>
  <c r="CA99" i="1" s="1"/>
  <c r="CA102" i="1" s="1"/>
  <c r="BX231" i="1"/>
  <c r="U16" i="1"/>
  <c r="U17" i="1" s="1"/>
  <c r="U98" i="1"/>
  <c r="IM21" i="4"/>
  <c r="BG77" i="1" s="1"/>
  <c r="IW21" i="4"/>
  <c r="BQ77" i="1" s="1"/>
  <c r="HQ21" i="4"/>
  <c r="AK77" i="1" s="1"/>
  <c r="IE21" i="4"/>
  <c r="AY77" i="1" s="1"/>
  <c r="JF21" i="4"/>
  <c r="BZ77" i="1" s="1"/>
  <c r="BZ94" i="1" s="1"/>
  <c r="G26" i="1"/>
  <c r="IZ19" i="4"/>
  <c r="BT78" i="1" s="1"/>
  <c r="BT107" i="1" s="1"/>
  <c r="IS19" i="4"/>
  <c r="BM78" i="1" s="1"/>
  <c r="BM107" i="1" s="1"/>
  <c r="AJ10" i="1"/>
  <c r="HY20" i="4"/>
  <c r="AS79" i="1" s="1"/>
  <c r="AS108" i="1" s="1"/>
  <c r="IQ19" i="4"/>
  <c r="BK78" i="1" s="1"/>
  <c r="BK107" i="1" s="1"/>
  <c r="AL26" i="1"/>
  <c r="JE21" i="4"/>
  <c r="BY77" i="1" s="1"/>
  <c r="E26" i="1"/>
  <c r="T252" i="1"/>
  <c r="D26" i="1"/>
  <c r="J10" i="1"/>
  <c r="K26" i="1"/>
  <c r="O26" i="1"/>
  <c r="K10" i="1"/>
  <c r="IB21" i="4"/>
  <c r="AV77" i="1" s="1"/>
  <c r="AM26" i="1"/>
  <c r="AK26" i="1"/>
  <c r="AK27" i="1" s="1"/>
  <c r="BJ180" i="1"/>
  <c r="BK180" i="1" s="1"/>
  <c r="I231" i="1"/>
  <c r="I252" i="1"/>
  <c r="H194" i="1"/>
  <c r="H253" i="1"/>
  <c r="V194" i="1"/>
  <c r="V253" i="1"/>
  <c r="AJ26" i="1"/>
  <c r="AJ27" i="1" s="1"/>
  <c r="BX253" i="1"/>
  <c r="L252" i="1"/>
  <c r="O253" i="1"/>
  <c r="BX182" i="1"/>
  <c r="BX181" i="1" s="1"/>
  <c r="IU21" i="4"/>
  <c r="BO77" i="1" s="1"/>
  <c r="L10" i="1"/>
  <c r="AL231" i="1"/>
  <c r="BX120" i="1"/>
  <c r="W26" i="1"/>
  <c r="W27" i="1" s="1"/>
  <c r="D252" i="1"/>
  <c r="D253" i="1"/>
  <c r="BX26" i="1"/>
  <c r="BX27" i="1" s="1"/>
  <c r="BX134" i="1"/>
  <c r="V11" i="1"/>
  <c r="V16" i="1"/>
  <c r="Q10" i="1"/>
  <c r="Q98" i="1" s="1"/>
  <c r="BY120" i="1"/>
  <c r="V27" i="1"/>
  <c r="IA19" i="4"/>
  <c r="AU78" i="1" s="1"/>
  <c r="AU107" i="1" s="1"/>
  <c r="B10" i="1"/>
  <c r="W188" i="1"/>
  <c r="K253" i="1"/>
  <c r="V188" i="1"/>
  <c r="AL183" i="1"/>
  <c r="AM183" i="1" s="1"/>
  <c r="IL19" i="4"/>
  <c r="BF78" i="1" s="1"/>
  <c r="BF107" i="1" s="1"/>
  <c r="IL20" i="4"/>
  <c r="BF79" i="1" s="1"/>
  <c r="BF108" i="1" s="1"/>
  <c r="HX19" i="4"/>
  <c r="AR78" i="1" s="1"/>
  <c r="AR107" i="1" s="1"/>
  <c r="IO20" i="4"/>
  <c r="BI79" i="1" s="1"/>
  <c r="BI108" i="1" s="1"/>
  <c r="JG19" i="4"/>
  <c r="CA78" i="1" s="1"/>
  <c r="IW19" i="4"/>
  <c r="BQ78" i="1" s="1"/>
  <c r="BQ107" i="1" s="1"/>
  <c r="IO19" i="4"/>
  <c r="BI78" i="1" s="1"/>
  <c r="BI107" i="1" s="1"/>
  <c r="D10" i="1"/>
  <c r="B231" i="1"/>
  <c r="S26" i="1"/>
  <c r="ID20" i="4"/>
  <c r="AX79" i="1" s="1"/>
  <c r="AX108" i="1" s="1"/>
  <c r="R252" i="1"/>
  <c r="Q253" i="1"/>
  <c r="Q252" i="1"/>
  <c r="F253" i="1"/>
  <c r="BJ179" i="1"/>
  <c r="BK179" i="1" s="1"/>
  <c r="W16" i="1"/>
  <c r="W11" i="1"/>
  <c r="H252" i="1"/>
  <c r="R253" i="1"/>
  <c r="BX156" i="1"/>
  <c r="BX185" i="1" s="1"/>
  <c r="N10" i="1"/>
  <c r="B252" i="1"/>
  <c r="BJ183" i="1"/>
  <c r="BK183" i="1" s="1"/>
  <c r="S252" i="1"/>
  <c r="AL253" i="1"/>
  <c r="AL180" i="1"/>
  <c r="AM180" i="1" s="1"/>
  <c r="AL10" i="1"/>
  <c r="AM253" i="1"/>
  <c r="AL179" i="1"/>
  <c r="AM179" i="1" s="1"/>
  <c r="C10" i="1"/>
  <c r="H10" i="1"/>
  <c r="BJ161" i="1"/>
  <c r="BK209" i="1" s="1"/>
  <c r="BJ120" i="1"/>
  <c r="AJ161" i="1"/>
  <c r="AK209" i="1" s="1"/>
  <c r="AL134" i="1"/>
  <c r="AM134" i="1" s="1"/>
  <c r="AM138" i="1" s="1"/>
  <c r="AJ128" i="1"/>
  <c r="AL185" i="1"/>
  <c r="AL184" i="1" s="1"/>
  <c r="AL120" i="1"/>
  <c r="AJ134" i="1"/>
  <c r="AK33" i="1" s="1"/>
  <c r="AJ148" i="1"/>
  <c r="AK128" i="1"/>
  <c r="AJ120" i="1"/>
  <c r="BK143" i="1"/>
  <c r="BJ148" i="1"/>
  <c r="AM143" i="1"/>
  <c r="AL148" i="1"/>
  <c r="IU20" i="4"/>
  <c r="BO79" i="1" s="1"/>
  <c r="BO108" i="1" s="1"/>
  <c r="IP19" i="4"/>
  <c r="BJ78" i="1" s="1"/>
  <c r="BJ107" i="1" s="1"/>
  <c r="HZ19" i="4"/>
  <c r="AT78" i="1" s="1"/>
  <c r="AT107" i="1" s="1"/>
  <c r="IX20" i="4"/>
  <c r="BR79" i="1" s="1"/>
  <c r="BR108" i="1" s="1"/>
  <c r="IZ20" i="4"/>
  <c r="BT79" i="1" s="1"/>
  <c r="BT108" i="1" s="1"/>
  <c r="L188" i="1"/>
  <c r="HR19" i="4"/>
  <c r="AL78" i="1" s="1"/>
  <c r="JG20" i="4"/>
  <c r="CA79" i="1" s="1"/>
  <c r="ID19" i="4"/>
  <c r="AX78" i="1" s="1"/>
  <c r="AX107" i="1" s="1"/>
  <c r="IP20" i="4"/>
  <c r="BJ79" i="1" s="1"/>
  <c r="BJ108" i="1" s="1"/>
  <c r="IE20" i="4"/>
  <c r="AY79" i="1" s="1"/>
  <c r="AY108" i="1" s="1"/>
  <c r="JC19" i="4"/>
  <c r="BW78" i="1" s="1"/>
  <c r="BW107" i="1" s="1"/>
  <c r="HT19" i="4"/>
  <c r="AN78" i="1" s="1"/>
  <c r="AN107" i="1" s="1"/>
  <c r="L11" i="1"/>
  <c r="JA19" i="4"/>
  <c r="BU78" i="1" s="1"/>
  <c r="BU107" i="1" s="1"/>
  <c r="C27" i="1"/>
  <c r="BX186" i="1"/>
  <c r="CB189" i="1" s="1"/>
  <c r="AJ16" i="1"/>
  <c r="AK19" i="1" s="1"/>
  <c r="AM225" i="1"/>
  <c r="AK12" i="1"/>
  <c r="J98" i="1"/>
  <c r="J16" i="1"/>
  <c r="K188" i="1"/>
  <c r="K16" i="1"/>
  <c r="K98" i="1"/>
  <c r="K11" i="1"/>
  <c r="BX92" i="1"/>
  <c r="BX248" i="1"/>
  <c r="D188" i="1"/>
  <c r="D11" i="1"/>
  <c r="D16" i="1"/>
  <c r="BY134" i="1"/>
  <c r="BX138" i="1"/>
  <c r="BY33" i="1"/>
  <c r="V17" i="1"/>
  <c r="V28" i="1"/>
  <c r="W18" i="1"/>
  <c r="V18" i="1"/>
  <c r="BY92" i="1"/>
  <c r="BY207" i="1"/>
  <c r="BZ207" i="1"/>
  <c r="X18" i="1"/>
  <c r="W17" i="1"/>
  <c r="W28" i="1"/>
  <c r="AL16" i="1"/>
  <c r="AL19" i="1" s="1"/>
  <c r="AL12" i="1"/>
  <c r="AM12" i="1"/>
  <c r="C188" i="1"/>
  <c r="C16" i="1"/>
  <c r="H16" i="1"/>
  <c r="H188" i="1"/>
  <c r="H11" i="1"/>
  <c r="H98" i="1"/>
  <c r="M11" i="1"/>
  <c r="M188" i="1"/>
  <c r="L98" i="1"/>
  <c r="L16" i="1"/>
  <c r="L17" i="1" s="1"/>
  <c r="Q11" i="1"/>
  <c r="C11" i="1"/>
  <c r="Q16" i="1"/>
  <c r="Q188" i="1"/>
  <c r="BX157" i="1"/>
  <c r="BX184" i="1"/>
  <c r="R11" i="1"/>
  <c r="BK249" i="1"/>
  <c r="R188" i="1"/>
  <c r="U188" i="1"/>
  <c r="N188" i="1"/>
  <c r="T98" i="1"/>
  <c r="T16" i="1"/>
  <c r="U18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BJ184" i="1"/>
  <c r="AM249" i="1"/>
  <c r="BK134" i="1"/>
  <c r="BJ138" i="1"/>
  <c r="BL206" i="1"/>
  <c r="BL249" i="1"/>
  <c r="BJ92" i="1"/>
  <c r="BJ248" i="1"/>
  <c r="AJ206" i="1"/>
  <c r="AM33" i="1"/>
  <c r="AL138" i="1"/>
  <c r="AL92" i="1"/>
  <c r="AL96" i="1" s="1"/>
  <c r="AM206" i="1"/>
  <c r="AJ197" i="1"/>
  <c r="AJ185" i="1"/>
  <c r="AK134" i="1"/>
  <c r="AJ157" i="1"/>
  <c r="BJ129" i="1"/>
  <c r="BJ168" i="1"/>
  <c r="BJ109" i="1" s="1"/>
  <c r="BK206" i="1"/>
  <c r="AL108" i="1"/>
  <c r="BZ95" i="1"/>
  <c r="BZ89" i="1"/>
  <c r="BZ107" i="1"/>
  <c r="BZ110" i="1" s="1"/>
  <c r="AM108" i="1"/>
  <c r="BX89" i="1"/>
  <c r="BX107" i="1"/>
  <c r="BL107" i="1"/>
  <c r="BL110" i="1" s="1"/>
  <c r="BL95" i="1"/>
  <c r="CC95" i="1"/>
  <c r="CC107" i="1"/>
  <c r="CC103" i="1"/>
  <c r="CC86" i="1"/>
  <c r="CF90" i="1" s="1"/>
  <c r="BZ108" i="1"/>
  <c r="BZ111" i="1" s="1"/>
  <c r="BZ96" i="1"/>
  <c r="CB96" i="1"/>
  <c r="CB108" i="1"/>
  <c r="CB111" i="1" s="1"/>
  <c r="CB114" i="1" s="1"/>
  <c r="CB104" i="1"/>
  <c r="BL108" i="1"/>
  <c r="BL111" i="1" s="1"/>
  <c r="CB87" i="1"/>
  <c r="CA95" i="1"/>
  <c r="AK28" i="1"/>
  <c r="AK17" i="1"/>
  <c r="CM194" i="1"/>
  <c r="CM132" i="1"/>
  <c r="CM134" i="1" s="1"/>
  <c r="CM138" i="1" s="1"/>
  <c r="CM203" i="1" s="1"/>
  <c r="CM201" i="1" s="1"/>
  <c r="AC202" i="1"/>
  <c r="AB149" i="1"/>
  <c r="AB117" i="1"/>
  <c r="CA225" i="1"/>
  <c r="I98" i="1" l="1"/>
  <c r="I16" i="1"/>
  <c r="I17" i="1" s="1"/>
  <c r="AM16" i="1"/>
  <c r="AM27" i="1"/>
  <c r="J188" i="1"/>
  <c r="J11" i="1"/>
  <c r="BY129" i="1"/>
  <c r="T188" i="1"/>
  <c r="BZ249" i="1"/>
  <c r="BZ251" i="1" s="1"/>
  <c r="BZ206" i="1"/>
  <c r="E11" i="1"/>
  <c r="E98" i="1"/>
  <c r="BY249" i="1"/>
  <c r="BX168" i="1"/>
  <c r="E188" i="1"/>
  <c r="E27" i="1"/>
  <c r="BY206" i="1"/>
  <c r="F11" i="1"/>
  <c r="E16" i="1"/>
  <c r="E17" i="1" s="1"/>
  <c r="F188" i="1"/>
  <c r="BX129" i="1"/>
  <c r="O188" i="1"/>
  <c r="I11" i="1"/>
  <c r="T11" i="1"/>
  <c r="O11" i="1"/>
  <c r="S16" i="1"/>
  <c r="S17" i="1" s="1"/>
  <c r="AJ129" i="1"/>
  <c r="S188" i="1"/>
  <c r="S11" i="1"/>
  <c r="I188" i="1"/>
  <c r="AK206" i="1"/>
  <c r="BJ246" i="1"/>
  <c r="AJ168" i="1"/>
  <c r="AK37" i="1" s="1"/>
  <c r="AL248" i="1"/>
  <c r="AL206" i="1"/>
  <c r="AL168" i="1"/>
  <c r="AM103" i="1"/>
  <c r="AM107" i="1"/>
  <c r="AM104" i="1"/>
  <c r="CB86" i="1"/>
  <c r="CB103" i="1"/>
  <c r="CB95" i="1"/>
  <c r="CB107" i="1"/>
  <c r="CB110" i="1" s="1"/>
  <c r="CB113" i="1" s="1"/>
  <c r="BX17" i="1"/>
  <c r="CB18" i="1"/>
  <c r="BY19" i="1"/>
  <c r="BX28" i="1"/>
  <c r="CR77" i="1"/>
  <c r="CO65" i="1"/>
  <c r="CP63" i="1"/>
  <c r="O98" i="1"/>
  <c r="O16" i="1"/>
  <c r="IS21" i="4"/>
  <c r="BM77" i="1" s="1"/>
  <c r="HX16" i="4"/>
  <c r="HX21" i="4" s="1"/>
  <c r="AR77" i="1" s="1"/>
  <c r="IK21" i="4"/>
  <c r="BE77" i="1" s="1"/>
  <c r="IC9" i="4"/>
  <c r="HV20" i="4"/>
  <c r="AP79" i="1" s="1"/>
  <c r="AP108" i="1" s="1"/>
  <c r="JI16" i="4"/>
  <c r="HS21" i="4"/>
  <c r="AM77" i="1" s="1"/>
  <c r="AM102" i="1" s="1"/>
  <c r="IH9" i="4"/>
  <c r="JE14" i="4" s="1"/>
  <c r="IL21" i="4"/>
  <c r="BF77" i="1" s="1"/>
  <c r="IX7" i="4"/>
  <c r="JI15" i="4" s="1"/>
  <c r="JI20" i="4" s="1"/>
  <c r="CC79" i="1" s="1"/>
  <c r="G11" i="1"/>
  <c r="G188" i="1"/>
  <c r="G16" i="1"/>
  <c r="G17" i="1" s="1"/>
  <c r="G98" i="1"/>
  <c r="ID21" i="4"/>
  <c r="AX77" i="1" s="1"/>
  <c r="JB9" i="4"/>
  <c r="JD7" i="4" s="1"/>
  <c r="JA15" i="4" s="1"/>
  <c r="JA20" i="4" s="1"/>
  <c r="BU79" i="1" s="1"/>
  <c r="BU108" i="1" s="1"/>
  <c r="R16" i="1"/>
  <c r="R98" i="1"/>
  <c r="P98" i="1"/>
  <c r="P11" i="1"/>
  <c r="P16" i="1"/>
  <c r="P17" i="1" s="1"/>
  <c r="P188" i="1"/>
  <c r="M98" i="1"/>
  <c r="M16" i="1"/>
  <c r="F98" i="1"/>
  <c r="F16" i="1"/>
  <c r="B27" i="1"/>
  <c r="B16" i="1"/>
  <c r="N16" i="1"/>
  <c r="N11" i="1"/>
  <c r="N98" i="1"/>
  <c r="AL27" i="1"/>
  <c r="D27" i="1"/>
  <c r="AJ138" i="1"/>
  <c r="AL249" i="1"/>
  <c r="AL129" i="1"/>
  <c r="AJ196" i="1"/>
  <c r="AJ182" i="1"/>
  <c r="BJ182" i="1"/>
  <c r="BJ157" i="1"/>
  <c r="AL182" i="1"/>
  <c r="AL157" i="1"/>
  <c r="I18" i="1"/>
  <c r="CA96" i="1"/>
  <c r="CA108" i="1"/>
  <c r="CA104" i="1"/>
  <c r="AL107" i="1"/>
  <c r="CA103" i="1"/>
  <c r="CA107" i="1"/>
  <c r="C18" i="1"/>
  <c r="C28" i="1"/>
  <c r="C17" i="1"/>
  <c r="H17" i="1"/>
  <c r="Q17" i="1"/>
  <c r="R18" i="1"/>
  <c r="Q18" i="1"/>
  <c r="BZ205" i="1"/>
  <c r="BY205" i="1"/>
  <c r="BX96" i="1"/>
  <c r="BX94" i="1"/>
  <c r="BX95" i="1"/>
  <c r="AJ28" i="1"/>
  <c r="AK31" i="1" s="1"/>
  <c r="AJ17" i="1"/>
  <c r="BY138" i="1"/>
  <c r="BZ33" i="1"/>
  <c r="AM19" i="1"/>
  <c r="AL28" i="1"/>
  <c r="AL17" i="1"/>
  <c r="AJ165" i="1"/>
  <c r="AJ166" i="1" s="1"/>
  <c r="J17" i="1"/>
  <c r="K18" i="1"/>
  <c r="J18" i="1"/>
  <c r="L18" i="1"/>
  <c r="K17" i="1"/>
  <c r="D18" i="1"/>
  <c r="D17" i="1"/>
  <c r="E18" i="1"/>
  <c r="D28" i="1"/>
  <c r="BX165" i="1"/>
  <c r="BX166" i="1" s="1"/>
  <c r="BX246" i="1"/>
  <c r="V29" i="1"/>
  <c r="V232" i="1"/>
  <c r="V233" i="1" s="1"/>
  <c r="V112" i="1"/>
  <c r="W30" i="1"/>
  <c r="V34" i="1"/>
  <c r="V38" i="1" s="1"/>
  <c r="BY94" i="1"/>
  <c r="BY96" i="1"/>
  <c r="W232" i="1"/>
  <c r="W233" i="1" s="1"/>
  <c r="X30" i="1"/>
  <c r="X250" i="1"/>
  <c r="W34" i="1"/>
  <c r="W38" i="1" s="1"/>
  <c r="W29" i="1"/>
  <c r="W112" i="1"/>
  <c r="W250" i="1"/>
  <c r="BX109" i="1"/>
  <c r="BY37" i="1"/>
  <c r="M18" i="1"/>
  <c r="F18" i="1"/>
  <c r="E28" i="1"/>
  <c r="E29" i="1" s="1"/>
  <c r="T17" i="1"/>
  <c r="T18" i="1"/>
  <c r="AJ198" i="1"/>
  <c r="AL165" i="1"/>
  <c r="AL166" i="1" s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4" i="1"/>
  <c r="AL95" i="1"/>
  <c r="AK232" i="1"/>
  <c r="AK233" i="1" s="1"/>
  <c r="AK29" i="1"/>
  <c r="AK34" i="1"/>
  <c r="AK38" i="1" s="1"/>
  <c r="CN32" i="1"/>
  <c r="AB163" i="1"/>
  <c r="AC117" i="1"/>
  <c r="AC149" i="1"/>
  <c r="CB225" i="1"/>
  <c r="BQ1" i="1"/>
  <c r="BR1" i="1" s="1"/>
  <c r="BS1" i="1" s="1"/>
  <c r="BT1" i="1" s="1"/>
  <c r="AM28" i="1" l="1"/>
  <c r="AM17" i="1"/>
  <c r="AL109" i="1"/>
  <c r="AM37" i="1"/>
  <c r="AJ203" i="1"/>
  <c r="AJ201" i="1" s="1"/>
  <c r="BJ186" i="1"/>
  <c r="BJ181" i="1"/>
  <c r="AL181" i="1"/>
  <c r="AL186" i="1"/>
  <c r="CE90" i="1"/>
  <c r="BX29" i="1"/>
  <c r="BX34" i="1"/>
  <c r="CB30" i="1"/>
  <c r="CA112" i="1"/>
  <c r="BX232" i="1"/>
  <c r="BX233" i="1" s="1"/>
  <c r="BY31" i="1"/>
  <c r="BY250" i="1"/>
  <c r="BY251" i="1" s="1"/>
  <c r="CS77" i="1"/>
  <c r="CP65" i="1"/>
  <c r="CQ63" i="1"/>
  <c r="P18" i="1"/>
  <c r="O17" i="1"/>
  <c r="JI21" i="4"/>
  <c r="CC77" i="1" s="1"/>
  <c r="JA16" i="4"/>
  <c r="JE19" i="4"/>
  <c r="BY78" i="1" s="1"/>
  <c r="IF16" i="4"/>
  <c r="IF21" i="4" s="1"/>
  <c r="AZ77" i="1" s="1"/>
  <c r="HY16" i="4" s="1"/>
  <c r="CC87" i="1"/>
  <c r="CC108" i="1"/>
  <c r="CC104" i="1"/>
  <c r="CC96" i="1"/>
  <c r="R17" i="1"/>
  <c r="S18" i="1"/>
  <c r="N18" i="1"/>
  <c r="M17" i="1"/>
  <c r="G18" i="1"/>
  <c r="F17" i="1"/>
  <c r="B28" i="1"/>
  <c r="B17" i="1"/>
  <c r="O18" i="1"/>
  <c r="N17" i="1"/>
  <c r="H18" i="1"/>
  <c r="AM226" i="1"/>
  <c r="C250" i="1"/>
  <c r="C29" i="1"/>
  <c r="C30" i="1"/>
  <c r="BZ203" i="1"/>
  <c r="BZ201" i="1" s="1"/>
  <c r="BY203" i="1"/>
  <c r="BY201" i="1" s="1"/>
  <c r="AJ34" i="1"/>
  <c r="AJ38" i="1" s="1"/>
  <c r="AJ232" i="1"/>
  <c r="AJ233" i="1" s="1"/>
  <c r="AJ29" i="1"/>
  <c r="AL29" i="1"/>
  <c r="AL34" i="1"/>
  <c r="AL38" i="1" s="1"/>
  <c r="AM31" i="1"/>
  <c r="AL232" i="1"/>
  <c r="AL233" i="1" s="1"/>
  <c r="AL250" i="1"/>
  <c r="AL251" i="1" s="1"/>
  <c r="AL31" i="1"/>
  <c r="AM112" i="1"/>
  <c r="D29" i="1"/>
  <c r="D34" i="1"/>
  <c r="D38" i="1" s="1"/>
  <c r="D232" i="1"/>
  <c r="D233" i="1" s="1"/>
  <c r="D250" i="1"/>
  <c r="E30" i="1"/>
  <c r="D112" i="1"/>
  <c r="D30" i="1"/>
  <c r="V41" i="1"/>
  <c r="V42" i="1" s="1"/>
  <c r="V245" i="1" s="1"/>
  <c r="V40" i="1"/>
  <c r="W41" i="1"/>
  <c r="W40" i="1"/>
  <c r="BX110" i="1"/>
  <c r="BX111" i="1"/>
  <c r="AL111" i="1"/>
  <c r="AL110" i="1"/>
  <c r="AL203" i="1"/>
  <c r="AL201" i="1" s="1"/>
  <c r="AK203" i="1"/>
  <c r="AK201" i="1" s="1"/>
  <c r="BX38" i="1"/>
  <c r="CA55" i="1"/>
  <c r="AK41" i="1"/>
  <c r="AK40" i="1"/>
  <c r="CN132" i="1"/>
  <c r="CN134" i="1" s="1"/>
  <c r="CO32" i="1" s="1"/>
  <c r="CT77" i="1"/>
  <c r="AB137" i="1"/>
  <c r="AD149" i="1"/>
  <c r="AE149" i="1"/>
  <c r="AD117" i="1"/>
  <c r="AE117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M29" i="1" l="1"/>
  <c r="AM232" i="1"/>
  <c r="AM233" i="1" s="1"/>
  <c r="AM34" i="1"/>
  <c r="AM38" i="1" s="1"/>
  <c r="AM250" i="1"/>
  <c r="AM251" i="1" s="1"/>
  <c r="CQ65" i="1"/>
  <c r="CR63" i="1"/>
  <c r="CC94" i="1"/>
  <c r="CC102" i="1"/>
  <c r="CC85" i="1"/>
  <c r="JA21" i="4"/>
  <c r="BU77" i="1" s="1"/>
  <c r="HZ9" i="4"/>
  <c r="IJ8" i="4" s="1"/>
  <c r="JB8" i="4" s="1"/>
  <c r="IO16" i="4" s="1"/>
  <c r="IO21" i="4" s="1"/>
  <c r="BI77" i="1" s="1"/>
  <c r="BY95" i="1"/>
  <c r="BY89" i="1"/>
  <c r="BY107" i="1"/>
  <c r="IR9" i="4"/>
  <c r="IL9" i="4" s="1"/>
  <c r="IU8" i="4" s="1"/>
  <c r="IP9" i="4" s="1"/>
  <c r="HR9" i="4" s="1"/>
  <c r="HT16" i="4" s="1"/>
  <c r="HT21" i="4" s="1"/>
  <c r="AN77" i="1" s="1"/>
  <c r="HY21" i="4"/>
  <c r="AS77" i="1" s="1"/>
  <c r="B112" i="1"/>
  <c r="B29" i="1"/>
  <c r="AJ40" i="1"/>
  <c r="AJ41" i="1"/>
  <c r="AL40" i="1"/>
  <c r="AL41" i="1"/>
  <c r="D41" i="1"/>
  <c r="D40" i="1"/>
  <c r="V48" i="1"/>
  <c r="W43" i="1"/>
  <c r="W48" i="1"/>
  <c r="W52" i="1" s="1"/>
  <c r="W234" i="1"/>
  <c r="W42" i="1"/>
  <c r="W245" i="1" s="1"/>
  <c r="X43" i="1"/>
  <c r="AK234" i="1"/>
  <c r="AK48" i="1"/>
  <c r="AK119" i="1" s="1"/>
  <c r="AK120" i="1" s="1"/>
  <c r="AK129" i="1" s="1"/>
  <c r="AK42" i="1"/>
  <c r="AL44" i="1"/>
  <c r="D234" i="1"/>
  <c r="D42" i="1"/>
  <c r="D48" i="1"/>
  <c r="BX40" i="1"/>
  <c r="BX41" i="1"/>
  <c r="CO194" i="1"/>
  <c r="CO132" i="1"/>
  <c r="CN138" i="1"/>
  <c r="CN194" i="1"/>
  <c r="AC77" i="1"/>
  <c r="CU77" i="1"/>
  <c r="AD163" i="1"/>
  <c r="AE163" i="1"/>
  <c r="AD140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M40" i="1" l="1"/>
  <c r="AM41" i="1"/>
  <c r="CR65" i="1"/>
  <c r="CS63" i="1"/>
  <c r="AM227" i="1"/>
  <c r="AK44" i="1"/>
  <c r="AJ234" i="1"/>
  <c r="AJ48" i="1"/>
  <c r="AJ42" i="1"/>
  <c r="AL42" i="1"/>
  <c r="AL245" i="1" s="1"/>
  <c r="AL48" i="1"/>
  <c r="AM44" i="1"/>
  <c r="AL234" i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M234" i="1" l="1"/>
  <c r="AM42" i="1"/>
  <c r="AM245" i="1" s="1"/>
  <c r="AJ193" i="1"/>
  <c r="AJ195" i="1" s="1"/>
  <c r="AJ199" i="1" s="1"/>
  <c r="AJ213" i="1" s="1"/>
  <c r="AJ66" i="1"/>
  <c r="AJ52" i="1"/>
  <c r="AJ207" i="1"/>
  <c r="AJ205" i="1" s="1"/>
  <c r="AJ210" i="1" s="1"/>
  <c r="AJ211" i="1" s="1"/>
  <c r="AL66" i="1"/>
  <c r="AL52" i="1"/>
  <c r="AL193" i="1"/>
  <c r="AL195" i="1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Q62" i="2"/>
  <c r="E95" i="2"/>
  <c r="E90" i="2"/>
  <c r="E106" i="2"/>
  <c r="D99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I95" i="2"/>
  <c r="M62" i="2"/>
  <c r="P64" i="2"/>
  <c r="D85" i="2"/>
  <c r="U75" i="2"/>
  <c r="W73" i="2"/>
  <c r="J80" i="2"/>
  <c r="K45" i="2"/>
  <c r="J75" i="2"/>
  <c r="O83" i="2"/>
  <c r="P111" i="2"/>
  <c r="E58" i="2"/>
  <c r="E67" i="2"/>
  <c r="H46" i="2"/>
  <c r="D79" i="2"/>
  <c r="V90" i="2"/>
  <c r="F68" i="2"/>
  <c r="Q82" i="2"/>
  <c r="W66" i="2"/>
  <c r="W111" i="2"/>
  <c r="U83" i="2"/>
  <c r="S97" i="2"/>
  <c r="Q94" i="2"/>
  <c r="H56" i="2"/>
  <c r="X89" i="2"/>
  <c r="N108" i="2"/>
  <c r="K84" i="2"/>
  <c r="K48" i="2"/>
  <c r="U77" i="2"/>
  <c r="W41" i="2"/>
  <c r="I43" i="2"/>
  <c r="R76" i="2"/>
  <c r="H62" i="2"/>
  <c r="O93" i="2"/>
  <c r="N69" i="2"/>
  <c r="Q107" i="2"/>
  <c r="M70" i="2"/>
  <c r="X48" i="2"/>
  <c r="I55" i="2"/>
  <c r="E40" i="2"/>
  <c r="F58" i="2"/>
  <c r="S59" i="2"/>
  <c r="F98" i="2"/>
  <c r="Q98" i="2"/>
  <c r="D40" i="2"/>
  <c r="R107" i="2"/>
  <c r="H57" i="2"/>
  <c r="X86" i="2"/>
  <c r="G94" i="2"/>
  <c r="S111" i="2"/>
  <c r="P48" i="2"/>
  <c r="N46" i="2"/>
  <c r="W79" i="2"/>
  <c r="P77" i="2"/>
  <c r="V45" i="2"/>
  <c r="P92" i="2"/>
  <c r="S95" i="2"/>
  <c r="M108" i="2"/>
  <c r="K111" i="2"/>
  <c r="F69" i="2"/>
  <c r="N47" i="2"/>
  <c r="AP84" i="3"/>
  <c r="AB80" i="3"/>
  <c r="AB90" i="3"/>
  <c r="AP79" i="3"/>
  <c r="AP82" i="3"/>
  <c r="AB49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H60" i="2"/>
  <c r="U91" i="2"/>
  <c r="S94" i="2"/>
  <c r="X70" i="2"/>
  <c r="T43" i="2"/>
  <c r="D63" i="2"/>
  <c r="C96" i="2"/>
  <c r="C53" i="2"/>
  <c r="U96" i="2"/>
  <c r="U81" i="2"/>
  <c r="I66" i="2"/>
  <c r="N72" i="2"/>
  <c r="R85" i="2"/>
  <c r="L77" i="2"/>
  <c r="U55" i="2"/>
  <c r="K42" i="2"/>
  <c r="W85" i="2"/>
  <c r="U111" i="2"/>
  <c r="V54" i="2"/>
  <c r="U63" i="2"/>
  <c r="F90" i="2"/>
  <c r="W61" i="2"/>
  <c r="E57" i="2"/>
  <c r="R111" i="2"/>
  <c r="S76" i="2"/>
  <c r="R83" i="2"/>
  <c r="L49" i="2"/>
  <c r="J40" i="2"/>
  <c r="F91" i="2"/>
  <c r="G88" i="2"/>
  <c r="O80" i="2"/>
  <c r="E93" i="2"/>
  <c r="J97" i="2"/>
  <c r="D64" i="2"/>
  <c r="M84" i="2"/>
  <c r="W53" i="2"/>
  <c r="V82" i="2"/>
  <c r="T56" i="2"/>
  <c r="G56" i="2"/>
  <c r="K55" i="2"/>
  <c r="E80" i="2"/>
  <c r="G49" i="2"/>
  <c r="D43" i="2"/>
  <c r="Q86" i="2"/>
  <c r="I51" i="2"/>
  <c r="U86" i="2"/>
  <c r="D56" i="2"/>
  <c r="S90" i="2"/>
  <c r="H88" i="2"/>
  <c r="I88" i="2"/>
  <c r="J45" i="2"/>
  <c r="R59" i="2"/>
  <c r="G76" i="2"/>
  <c r="I40" i="2"/>
  <c r="W52" i="2"/>
  <c r="H76" i="2"/>
  <c r="W96" i="2"/>
  <c r="I73" i="2"/>
  <c r="O47" i="2"/>
  <c r="M47" i="2"/>
  <c r="L83" i="2"/>
  <c r="AP70" i="3"/>
  <c r="AP86" i="3"/>
  <c r="AB92" i="3"/>
  <c r="AP63" i="3"/>
  <c r="AP87" i="3"/>
  <c r="AB97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G66" i="2"/>
  <c r="F70" i="2"/>
  <c r="E52" i="2"/>
  <c r="M53" i="2"/>
  <c r="V65" i="2"/>
  <c r="F41" i="2"/>
  <c r="H84" i="2"/>
  <c r="R62" i="2"/>
  <c r="Q74" i="2"/>
  <c r="D72" i="2"/>
  <c r="W83" i="2"/>
  <c r="C89" i="2"/>
  <c r="W95" i="2"/>
  <c r="L69" i="2"/>
  <c r="M69" i="2"/>
  <c r="R74" i="2"/>
  <c r="S68" i="2"/>
  <c r="R64" i="2"/>
  <c r="Q81" i="2"/>
  <c r="U87" i="2"/>
  <c r="L58" i="2"/>
  <c r="E51" i="2"/>
  <c r="T81" i="2"/>
  <c r="G52" i="2"/>
  <c r="E108" i="2"/>
  <c r="P82" i="2"/>
  <c r="O59" i="2"/>
  <c r="P43" i="2"/>
  <c r="U60" i="2"/>
  <c r="O44" i="2"/>
  <c r="E105" i="2"/>
  <c r="U89" i="2"/>
  <c r="O65" i="2"/>
  <c r="S41" i="2"/>
  <c r="M72" i="2"/>
  <c r="E56" i="2"/>
  <c r="O64" i="2"/>
  <c r="U106" i="2"/>
  <c r="C90" i="2"/>
  <c r="H61" i="2"/>
  <c r="C104" i="2"/>
  <c r="X111" i="2"/>
  <c r="H80" i="2"/>
  <c r="D67" i="2"/>
  <c r="J61" i="2"/>
  <c r="U72" i="2"/>
  <c r="K94" i="2"/>
  <c r="W98" i="2"/>
  <c r="G96" i="2"/>
  <c r="S86" i="2"/>
  <c r="F71" i="2"/>
  <c r="K82" i="2"/>
  <c r="J57" i="2"/>
  <c r="Q68" i="2"/>
  <c r="O105" i="2"/>
  <c r="H41" i="2"/>
  <c r="X99" i="2"/>
  <c r="X113" i="2"/>
  <c r="U47" i="2"/>
  <c r="H85" i="2"/>
  <c r="X110" i="2"/>
  <c r="M89" i="2"/>
  <c r="C55" i="2"/>
  <c r="K72" i="2"/>
  <c r="U94" i="2"/>
  <c r="S93" i="2"/>
  <c r="J76" i="2"/>
  <c r="R84" i="2"/>
  <c r="D87" i="2"/>
  <c r="R80" i="2"/>
  <c r="C106" i="2"/>
  <c r="N43" i="2"/>
  <c r="D112" i="2"/>
  <c r="F61" i="2"/>
  <c r="E50" i="2"/>
  <c r="J58" i="2"/>
  <c r="E72" i="2"/>
  <c r="N106" i="2"/>
  <c r="V93" i="2"/>
  <c r="U46" i="2"/>
  <c r="I45" i="2"/>
  <c r="N91" i="2"/>
  <c r="U93" i="2"/>
  <c r="H67" i="2"/>
  <c r="R43" i="2"/>
  <c r="H108" i="2"/>
  <c r="K78" i="2"/>
  <c r="Q60" i="2"/>
  <c r="F85" i="2"/>
  <c r="Q50" i="2"/>
  <c r="S65" i="2"/>
  <c r="G67" i="2"/>
  <c r="H90" i="2"/>
  <c r="L42" i="2"/>
  <c r="C61" i="2"/>
  <c r="M67" i="2"/>
  <c r="G55" i="2"/>
  <c r="R40" i="2"/>
  <c r="R97" i="2"/>
  <c r="F81" i="2"/>
  <c r="U65" i="2"/>
  <c r="O109" i="2"/>
  <c r="F97" i="2"/>
  <c r="H55" i="2"/>
  <c r="C87" i="2"/>
  <c r="AB58" i="3"/>
  <c r="AB48" i="3"/>
  <c r="AP59" i="3"/>
  <c r="AB71" i="3"/>
  <c r="AB87" i="3"/>
  <c r="AB86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P50" i="2"/>
  <c r="O95" i="2"/>
  <c r="X65" i="2"/>
  <c r="O68" i="2"/>
  <c r="K52" i="2"/>
  <c r="C58" i="2"/>
  <c r="T50" i="2"/>
  <c r="G81" i="2"/>
  <c r="J55" i="2"/>
  <c r="F87" i="2"/>
  <c r="G84" i="2"/>
  <c r="G82" i="2"/>
  <c r="R91" i="2"/>
  <c r="L44" i="2"/>
  <c r="L110" i="2"/>
  <c r="N90" i="2"/>
  <c r="T48" i="2"/>
  <c r="R98" i="2"/>
  <c r="I47" i="2"/>
  <c r="D86" i="2"/>
  <c r="M94" i="2"/>
  <c r="I86" i="2"/>
  <c r="H79" i="2"/>
  <c r="S88" i="2"/>
  <c r="J89" i="2"/>
  <c r="J68" i="2"/>
  <c r="W67" i="2"/>
  <c r="O110" i="2"/>
  <c r="T41" i="2"/>
  <c r="J42" i="2"/>
  <c r="F43" i="2"/>
  <c r="J111" i="2"/>
  <c r="V47" i="2"/>
  <c r="C68" i="2"/>
  <c r="M95" i="2"/>
  <c r="E88" i="2"/>
  <c r="N75" i="2"/>
  <c r="L99" i="2"/>
  <c r="M109" i="2"/>
  <c r="K65" i="2"/>
  <c r="G87" i="2"/>
  <c r="R73" i="2"/>
  <c r="D73" i="2"/>
  <c r="P60" i="2"/>
  <c r="T86" i="2"/>
  <c r="W64" i="2"/>
  <c r="G74" i="2"/>
  <c r="I69" i="2"/>
  <c r="V97" i="2"/>
  <c r="V67" i="2"/>
  <c r="S106" i="2"/>
  <c r="W108" i="2"/>
  <c r="T78" i="2"/>
  <c r="D62" i="2"/>
  <c r="M82" i="2"/>
  <c r="O98" i="2"/>
  <c r="I113" i="2"/>
  <c r="N81" i="2"/>
  <c r="J82" i="2"/>
  <c r="F111" i="2"/>
  <c r="S63" i="2"/>
  <c r="C69" i="2"/>
  <c r="F109" i="2"/>
  <c r="E81" i="2"/>
  <c r="P99" i="2"/>
  <c r="L62" i="2"/>
  <c r="J63" i="2"/>
  <c r="I63" i="2"/>
  <c r="J79" i="2"/>
  <c r="U50" i="2"/>
  <c r="F51" i="2"/>
  <c r="O45" i="2"/>
  <c r="C60" i="2"/>
  <c r="Q105" i="2"/>
  <c r="R113" i="2"/>
  <c r="Q64" i="2"/>
  <c r="S72" i="2"/>
  <c r="Q112" i="2"/>
  <c r="L98" i="2"/>
  <c r="P61" i="2"/>
  <c r="X76" i="2"/>
  <c r="G105" i="2"/>
  <c r="U112" i="2"/>
  <c r="O55" i="2"/>
  <c r="J69" i="2"/>
  <c r="D82" i="2"/>
  <c r="L64" i="2"/>
  <c r="D104" i="2"/>
  <c r="H47" i="2"/>
  <c r="P93" i="2"/>
  <c r="X87" i="2"/>
  <c r="V53" i="2"/>
  <c r="W45" i="2"/>
  <c r="E113" i="2"/>
  <c r="W86" i="2"/>
  <c r="J51" i="2"/>
  <c r="F77" i="2"/>
  <c r="D75" i="2"/>
  <c r="O70" i="2"/>
  <c r="J60" i="2"/>
  <c r="T105" i="2"/>
  <c r="N67" i="2"/>
  <c r="U85" i="2"/>
  <c r="I44" i="2"/>
  <c r="H109" i="2"/>
  <c r="J67" i="2"/>
  <c r="E77" i="2"/>
  <c r="T110" i="2"/>
  <c r="F67" i="2"/>
  <c r="S98" i="2"/>
  <c r="AB65" i="3"/>
  <c r="AP96" i="3"/>
  <c r="AP97" i="3"/>
  <c r="AP78" i="3"/>
  <c r="AP58" i="3"/>
  <c r="AB82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M71" i="2"/>
  <c r="I49" i="2"/>
  <c r="F40" i="2"/>
  <c r="F113" i="2"/>
  <c r="F99" i="2"/>
  <c r="J65" i="2"/>
  <c r="Q66" i="2"/>
  <c r="W60" i="2"/>
  <c r="C49" i="2"/>
  <c r="W75" i="2"/>
  <c r="T40" i="2"/>
  <c r="W40" i="2"/>
  <c r="K95" i="2"/>
  <c r="W56" i="2"/>
  <c r="H44" i="2"/>
  <c r="E99" i="2"/>
  <c r="Q48" i="2"/>
  <c r="V71" i="2"/>
  <c r="I53" i="2"/>
  <c r="V62" i="2"/>
  <c r="E55" i="2"/>
  <c r="D54" i="2"/>
  <c r="K53" i="2"/>
  <c r="K51" i="2"/>
  <c r="V50" i="2"/>
  <c r="W106" i="2"/>
  <c r="J74" i="2"/>
  <c r="E54" i="2"/>
  <c r="T87" i="2"/>
  <c r="G50" i="2"/>
  <c r="F54" i="2"/>
  <c r="O53" i="2"/>
  <c r="C54" i="2"/>
  <c r="E91" i="2"/>
  <c r="N99" i="2"/>
  <c r="N42" i="2"/>
  <c r="N113" i="2"/>
  <c r="K71" i="2"/>
  <c r="E74" i="2"/>
  <c r="F56" i="2"/>
  <c r="S47" i="2"/>
  <c r="T91" i="2"/>
  <c r="M51" i="2"/>
  <c r="H106" i="2"/>
  <c r="V59" i="2"/>
  <c r="R94" i="2"/>
  <c r="O67" i="2"/>
  <c r="N110" i="2"/>
  <c r="F45" i="2"/>
  <c r="I93" i="2"/>
  <c r="T49" i="2"/>
  <c r="T58" i="2"/>
  <c r="C51" i="2"/>
  <c r="N63" i="2"/>
  <c r="K58" i="2"/>
  <c r="N98" i="2"/>
  <c r="X81" i="2"/>
  <c r="C56" i="2"/>
  <c r="U64" i="2"/>
  <c r="L109" i="2"/>
  <c r="L78" i="2"/>
  <c r="AB83" i="3"/>
  <c r="AP75" i="3"/>
  <c r="AB72" i="3"/>
  <c r="C47" i="3"/>
  <c r="AB75" i="3"/>
  <c r="AP7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T108" i="2"/>
  <c r="K54" i="2"/>
  <c r="W93" i="2"/>
  <c r="E86" i="2"/>
  <c r="M57" i="2"/>
  <c r="T95" i="2"/>
  <c r="F46" i="2"/>
  <c r="C72" i="2"/>
  <c r="R55" i="2"/>
  <c r="P87" i="2"/>
  <c r="H95" i="2"/>
  <c r="I107" i="2"/>
  <c r="F72" i="2"/>
  <c r="P98" i="2"/>
  <c r="T75" i="2"/>
  <c r="G112" i="2"/>
  <c r="L74" i="2"/>
  <c r="G53" i="2"/>
  <c r="U67" i="2"/>
  <c r="X69" i="2"/>
  <c r="H111" i="2"/>
  <c r="R89" i="2"/>
  <c r="S107" i="2"/>
  <c r="N52" i="2"/>
  <c r="P108" i="2"/>
  <c r="O63" i="2"/>
  <c r="V99" i="2"/>
  <c r="L60" i="2"/>
  <c r="T82" i="2"/>
  <c r="F112" i="2"/>
  <c r="T83" i="2"/>
  <c r="M81" i="2"/>
  <c r="W58" i="2"/>
  <c r="X105" i="2"/>
  <c r="L80" i="2"/>
  <c r="R96" i="2"/>
  <c r="I87" i="2"/>
  <c r="V81" i="2"/>
  <c r="N109" i="2"/>
  <c r="O104" i="2"/>
  <c r="O79" i="2"/>
  <c r="C97" i="2"/>
  <c r="V46" i="2"/>
  <c r="Q72" i="2"/>
  <c r="C110" i="2"/>
  <c r="T109" i="2"/>
  <c r="U43" i="2"/>
  <c r="M56" i="2"/>
  <c r="P110" i="2"/>
  <c r="F59" i="2"/>
  <c r="E112" i="2"/>
  <c r="D41" i="2"/>
  <c r="K77" i="2"/>
  <c r="U107" i="2"/>
  <c r="Q51" i="2"/>
  <c r="O50" i="2"/>
  <c r="K63" i="2"/>
  <c r="O61" i="2"/>
  <c r="O62" i="2"/>
  <c r="M42" i="2"/>
  <c r="X45" i="2"/>
  <c r="AP68" i="3"/>
  <c r="AB57" i="3"/>
  <c r="AB47" i="3"/>
  <c r="AB79" i="3"/>
  <c r="AP47" i="3"/>
  <c r="AP54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P55" i="2"/>
  <c r="J43" i="2"/>
  <c r="S109" i="2"/>
  <c r="O74" i="2"/>
  <c r="D53" i="2"/>
  <c r="I83" i="2"/>
  <c r="I76" i="2"/>
  <c r="T65" i="2"/>
  <c r="L51" i="2"/>
  <c r="Q76" i="2"/>
  <c r="W87" i="2"/>
  <c r="W68" i="2"/>
  <c r="E41" i="2"/>
  <c r="O87" i="2"/>
  <c r="H87" i="2"/>
  <c r="E85" i="2"/>
  <c r="W107" i="2"/>
  <c r="M49" i="2"/>
  <c r="Q88" i="2"/>
  <c r="H73" i="2"/>
  <c r="E71" i="2"/>
  <c r="L76" i="2"/>
  <c r="O86" i="2"/>
  <c r="X88" i="2"/>
  <c r="W80" i="2"/>
  <c r="R47" i="2"/>
  <c r="J73" i="2"/>
  <c r="L73" i="2"/>
  <c r="H71" i="2"/>
  <c r="G104" i="2"/>
  <c r="O60" i="2"/>
  <c r="V112" i="2"/>
  <c r="J44" i="2"/>
  <c r="K40" i="2"/>
  <c r="O112" i="2"/>
  <c r="M79" i="2"/>
  <c r="K89" i="2"/>
  <c r="E59" i="2"/>
  <c r="R71" i="2"/>
  <c r="S113" i="2"/>
  <c r="S52" i="2"/>
  <c r="H68" i="2"/>
  <c r="T96" i="2"/>
  <c r="C44" i="2"/>
  <c r="V77" i="2"/>
  <c r="H63" i="2"/>
  <c r="O91" i="2"/>
  <c r="N71" i="2"/>
  <c r="G42" i="2"/>
  <c r="R104" i="2"/>
  <c r="X78" i="2"/>
  <c r="T57" i="2"/>
  <c r="G79" i="2"/>
  <c r="Q73" i="2"/>
  <c r="G62" i="2"/>
  <c r="S66" i="2"/>
  <c r="Q47" i="2"/>
  <c r="M111" i="2"/>
  <c r="F82" i="2"/>
  <c r="L40" i="2"/>
  <c r="V79" i="2"/>
  <c r="AB81" i="3"/>
  <c r="AP93" i="3"/>
  <c r="AP90" i="3"/>
  <c r="AB50" i="3"/>
  <c r="AP81" i="3"/>
  <c r="AP80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I98" i="2"/>
  <c r="X83" i="2"/>
  <c r="E62" i="2"/>
  <c r="P63" i="2"/>
  <c r="I104" i="2"/>
  <c r="D45" i="2"/>
  <c r="X108" i="2"/>
  <c r="C71" i="2"/>
  <c r="J47" i="2"/>
  <c r="H70" i="2"/>
  <c r="M99" i="2"/>
  <c r="S108" i="2"/>
  <c r="S92" i="2"/>
  <c r="V110" i="2"/>
  <c r="W105" i="2"/>
  <c r="S84" i="2"/>
  <c r="T68" i="2"/>
  <c r="V89" i="2"/>
  <c r="N66" i="2"/>
  <c r="S49" i="2"/>
  <c r="G110" i="2"/>
  <c r="O96" i="2"/>
  <c r="W89" i="2"/>
  <c r="W69" i="2"/>
  <c r="U109" i="2"/>
  <c r="S71" i="2"/>
  <c r="L56" i="2"/>
  <c r="E98" i="2"/>
  <c r="D71" i="2"/>
  <c r="J105" i="2"/>
  <c r="J87" i="2"/>
  <c r="L104" i="2"/>
  <c r="R72" i="2"/>
  <c r="X56" i="2"/>
  <c r="T89" i="2"/>
  <c r="C52" i="2"/>
  <c r="Q61" i="2"/>
  <c r="X61" i="2"/>
  <c r="Q42" i="2"/>
  <c r="N79" i="2"/>
  <c r="K57" i="2"/>
  <c r="K112" i="2"/>
  <c r="X53" i="2"/>
  <c r="T93" i="2"/>
  <c r="C78" i="2"/>
  <c r="V68" i="2"/>
  <c r="L106" i="2"/>
  <c r="P57" i="2"/>
  <c r="D68" i="2"/>
  <c r="T74" i="2"/>
  <c r="T62" i="2"/>
  <c r="H45" i="2"/>
  <c r="P56" i="2"/>
  <c r="O66" i="2"/>
  <c r="H97" i="2"/>
  <c r="X109" i="2"/>
  <c r="R50" i="2"/>
  <c r="W112" i="2"/>
  <c r="T63" i="2"/>
  <c r="G83" i="2"/>
  <c r="U113" i="2"/>
  <c r="AB60" i="3"/>
  <c r="AB78" i="3"/>
  <c r="AB93" i="3"/>
  <c r="AP57" i="3"/>
  <c r="AB62" i="3"/>
  <c r="AP76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L81" i="2"/>
  <c r="X90" i="2"/>
  <c r="D76" i="2"/>
  <c r="R112" i="2"/>
  <c r="L79" i="2"/>
  <c r="K96" i="2"/>
  <c r="K69" i="2"/>
  <c r="V108" i="2"/>
  <c r="M64" i="2"/>
  <c r="C66" i="2"/>
  <c r="U108" i="2"/>
  <c r="J81" i="2"/>
  <c r="F93" i="2"/>
  <c r="AP48" i="3"/>
  <c r="AP85" i="3"/>
  <c r="Z30" i="3"/>
  <c r="N26" i="3"/>
  <c r="R24" i="3"/>
  <c r="Z8" i="3"/>
  <c r="O37" i="3"/>
  <c r="S32" i="3"/>
  <c r="AE14" i="3"/>
  <c r="AM8" i="3"/>
  <c r="AB23" i="3"/>
  <c r="AC42" i="3"/>
  <c r="AM26" i="3"/>
  <c r="AN27" i="3"/>
  <c r="AH11" i="3"/>
  <c r="S17" i="3"/>
  <c r="AM13" i="3"/>
  <c r="AK9" i="3"/>
  <c r="K42" i="3"/>
  <c r="U28" i="3"/>
  <c r="R14" i="3"/>
  <c r="AK34" i="3"/>
  <c r="AQ21" i="3"/>
  <c r="H18" i="3"/>
  <c r="AQ37" i="3"/>
  <c r="Y37" i="3"/>
  <c r="AI42" i="3"/>
  <c r="K6" i="3"/>
  <c r="N42" i="3"/>
  <c r="C39" i="3"/>
  <c r="AE30" i="3"/>
  <c r="AA33" i="3"/>
  <c r="H15" i="3"/>
  <c r="Y20" i="3"/>
  <c r="S39" i="3"/>
  <c r="AO28" i="3"/>
  <c r="Q14" i="3"/>
  <c r="U35" i="3"/>
  <c r="Z22" i="3"/>
  <c r="AH26" i="3"/>
  <c r="AE37" i="3"/>
  <c r="AB14" i="3"/>
  <c r="AL18" i="3"/>
  <c r="AI39" i="3"/>
  <c r="R34" i="3"/>
  <c r="K30" i="3"/>
  <c r="AG33" i="3"/>
  <c r="X37" i="3"/>
  <c r="Y10" i="3"/>
  <c r="V21" i="3"/>
  <c r="AK38" i="3"/>
  <c r="AN39" i="3"/>
  <c r="D49" i="3"/>
  <c r="AK26" i="3"/>
  <c r="T38" i="3"/>
  <c r="O12" i="3"/>
  <c r="AJ37" i="3"/>
  <c r="AM18" i="3"/>
  <c r="AA15" i="3"/>
  <c r="C18" i="3"/>
  <c r="AJ27" i="3"/>
  <c r="AN41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M42" i="3"/>
  <c r="K12" i="3"/>
  <c r="AI7" i="3"/>
  <c r="AL24" i="3"/>
  <c r="AJ19" i="3"/>
  <c r="AC38" i="3"/>
  <c r="O31" i="3"/>
  <c r="V42" i="3"/>
  <c r="T40" i="3"/>
  <c r="G47" i="3"/>
  <c r="AK25" i="3"/>
  <c r="P14" i="3"/>
  <c r="P38" i="3"/>
  <c r="Q11" i="3"/>
  <c r="M41" i="3"/>
  <c r="AG35" i="3"/>
  <c r="AD39" i="3"/>
  <c r="N25" i="3"/>
  <c r="AH39" i="3"/>
  <c r="Q9" i="3"/>
  <c r="G39" i="3"/>
  <c r="Y7" i="3"/>
  <c r="AJ13" i="3"/>
  <c r="R37" i="3"/>
  <c r="S19" i="3"/>
  <c r="H23" i="3"/>
  <c r="AM7" i="3"/>
  <c r="AA16" i="3"/>
  <c r="X33" i="3"/>
  <c r="AJ39" i="3"/>
  <c r="AC12" i="3"/>
  <c r="AK40" i="3"/>
  <c r="Q37" i="3"/>
  <c r="AH38" i="3"/>
  <c r="J33" i="3"/>
  <c r="W20" i="3"/>
  <c r="AM19" i="3"/>
  <c r="AB40" i="3"/>
  <c r="AM36" i="3"/>
  <c r="AJ40" i="3"/>
  <c r="C16" i="3"/>
  <c r="V36" i="3"/>
  <c r="AJ21" i="3"/>
  <c r="AG22" i="3"/>
  <c r="Z27" i="3"/>
  <c r="AM42" i="3"/>
  <c r="P33" i="3"/>
  <c r="AA19" i="3"/>
  <c r="AD31" i="3"/>
  <c r="X39" i="3"/>
  <c r="O40" i="3"/>
  <c r="Q8" i="3"/>
  <c r="T27" i="3"/>
  <c r="C13" i="3"/>
  <c r="AC11" i="3"/>
  <c r="R11" i="3"/>
  <c r="W54" i="2"/>
  <c r="I81" i="2"/>
  <c r="G60" i="2"/>
  <c r="L11" i="3"/>
  <c r="I29" i="3"/>
  <c r="U25" i="3"/>
  <c r="R27" i="3"/>
  <c r="AI40" i="3"/>
  <c r="AG14" i="3"/>
  <c r="AM24" i="3"/>
  <c r="R10" i="3"/>
  <c r="AO12" i="3"/>
  <c r="AL28" i="3"/>
  <c r="AA20" i="3"/>
  <c r="V26" i="3"/>
  <c r="Q42" i="3"/>
  <c r="AE40" i="3"/>
  <c r="K8" i="3"/>
  <c r="AO5" i="3"/>
  <c r="V20" i="3"/>
  <c r="T31" i="3"/>
  <c r="K67" i="2"/>
  <c r="M68" i="2"/>
  <c r="H77" i="2"/>
  <c r="L97" i="2"/>
  <c r="AE31" i="3"/>
  <c r="AG7" i="3"/>
  <c r="Q29" i="3"/>
  <c r="U84" i="2"/>
  <c r="R81" i="2"/>
  <c r="X72" i="2"/>
  <c r="D91" i="2"/>
  <c r="C62" i="2"/>
  <c r="M43" i="2"/>
  <c r="T71" i="2"/>
  <c r="K46" i="2"/>
  <c r="K41" i="2"/>
  <c r="E87" i="2"/>
  <c r="X112" i="2"/>
  <c r="N57" i="2"/>
  <c r="N77" i="2"/>
  <c r="AP83" i="3"/>
  <c r="AB56" i="3"/>
  <c r="P32" i="3"/>
  <c r="G36" i="3"/>
  <c r="E49" i="3"/>
  <c r="AD35" i="3"/>
  <c r="K40" i="3"/>
  <c r="J37" i="3"/>
  <c r="U11" i="3"/>
  <c r="AO21" i="3"/>
  <c r="AB22" i="3"/>
  <c r="AD38" i="3"/>
  <c r="H19" i="3"/>
  <c r="AB18" i="3"/>
  <c r="L20" i="3"/>
  <c r="AP26" i="3"/>
  <c r="AN6" i="3"/>
  <c r="AO32" i="3"/>
  <c r="M7" i="3"/>
  <c r="AQ19" i="3"/>
  <c r="AG23" i="3"/>
  <c r="H25" i="3"/>
  <c r="K15" i="3"/>
  <c r="AN24" i="3"/>
  <c r="AC16" i="3"/>
  <c r="M30" i="3"/>
  <c r="Z36" i="3"/>
  <c r="AL21" i="3"/>
  <c r="X21" i="3"/>
  <c r="V13" i="3"/>
  <c r="I6" i="3"/>
  <c r="U26" i="3"/>
  <c r="AL12" i="3"/>
  <c r="N9" i="3"/>
  <c r="I24" i="3"/>
  <c r="V30" i="3"/>
  <c r="Z38" i="3"/>
  <c r="AI22" i="3"/>
  <c r="J5" i="3"/>
  <c r="AK33" i="3"/>
  <c r="AQ26" i="3"/>
  <c r="Q12" i="3"/>
  <c r="C31" i="3"/>
  <c r="V22" i="3"/>
  <c r="AG5" i="3"/>
  <c r="AH27" i="3"/>
  <c r="C4" i="3"/>
  <c r="T29" i="3"/>
  <c r="AP35" i="3"/>
  <c r="V10" i="3"/>
  <c r="H29" i="3"/>
  <c r="R16" i="3"/>
  <c r="K22" i="3"/>
  <c r="P9" i="3"/>
  <c r="AK19" i="3"/>
  <c r="AH12" i="3"/>
  <c r="S18" i="3"/>
  <c r="V40" i="3"/>
  <c r="J14" i="3"/>
  <c r="AC15" i="3"/>
  <c r="W8" i="3"/>
  <c r="AE15" i="3"/>
  <c r="U13" i="3"/>
  <c r="AN30" i="3"/>
  <c r="T42" i="3"/>
  <c r="M16" i="3"/>
  <c r="L10" i="3"/>
  <c r="U40" i="3"/>
  <c r="Q7" i="3"/>
  <c r="AG20" i="3"/>
  <c r="Y9" i="3"/>
  <c r="AL14" i="3"/>
  <c r="AE16" i="3"/>
  <c r="V56" i="2"/>
  <c r="AP13" i="3"/>
  <c r="AN35" i="3"/>
  <c r="AN34" i="3"/>
  <c r="I34" i="3"/>
  <c r="X22" i="3"/>
  <c r="J29" i="3"/>
  <c r="G38" i="3"/>
  <c r="I20" i="3"/>
  <c r="AM10" i="3"/>
  <c r="AA28" i="3"/>
  <c r="AJ9" i="3"/>
  <c r="AI26" i="3"/>
  <c r="D109" i="2"/>
  <c r="E78" i="2"/>
  <c r="AB95" i="3"/>
  <c r="I26" i="3"/>
  <c r="H42" i="3"/>
  <c r="AQ22" i="3"/>
  <c r="AJ32" i="3"/>
  <c r="AE28" i="3"/>
  <c r="AI20" i="3"/>
  <c r="C14" i="3"/>
  <c r="H30" i="3"/>
  <c r="K34" i="3"/>
  <c r="R5" i="3"/>
  <c r="I31" i="3"/>
  <c r="AM6" i="3"/>
  <c r="R19" i="3"/>
  <c r="M14" i="3"/>
  <c r="Y41" i="3"/>
  <c r="U62" i="2"/>
  <c r="AB55" i="3"/>
  <c r="I37" i="3"/>
  <c r="P25" i="3"/>
  <c r="O15" i="3"/>
  <c r="AE19" i="3"/>
  <c r="W6" i="3"/>
  <c r="Y16" i="3"/>
  <c r="Z40" i="3"/>
  <c r="K28" i="3"/>
  <c r="AC24" i="3"/>
  <c r="I17" i="3"/>
  <c r="U16" i="3"/>
  <c r="C26" i="3"/>
  <c r="L93" i="2"/>
  <c r="G48" i="2"/>
  <c r="E92" i="2"/>
  <c r="V94" i="2"/>
  <c r="U90" i="2"/>
  <c r="H69" i="2"/>
  <c r="J48" i="2"/>
  <c r="S56" i="2"/>
  <c r="J90" i="2"/>
  <c r="G78" i="2"/>
  <c r="N55" i="2"/>
  <c r="S64" i="2"/>
  <c r="V95" i="2"/>
  <c r="AP55" i="3"/>
  <c r="C49" i="3"/>
  <c r="AG39" i="3"/>
  <c r="T17" i="3"/>
  <c r="AH21" i="3"/>
  <c r="S36" i="3"/>
  <c r="AA9" i="3"/>
  <c r="M11" i="3"/>
  <c r="O5" i="3"/>
  <c r="I39" i="3"/>
  <c r="AM14" i="3"/>
  <c r="AP34" i="3"/>
  <c r="C32" i="3"/>
  <c r="M9" i="3"/>
  <c r="V34" i="3"/>
  <c r="AJ14" i="3"/>
  <c r="T22" i="3"/>
  <c r="I25" i="3"/>
  <c r="C42" i="3"/>
  <c r="AN17" i="3"/>
  <c r="V38" i="3"/>
  <c r="AH10" i="3"/>
  <c r="AO10" i="3"/>
  <c r="Q22" i="3"/>
  <c r="AG34" i="3"/>
  <c r="AB27" i="3"/>
  <c r="AO9" i="3"/>
  <c r="O10" i="3"/>
  <c r="U14" i="3"/>
  <c r="I33" i="3"/>
  <c r="AC28" i="3"/>
  <c r="X9" i="3"/>
  <c r="AM35" i="3"/>
  <c r="AG12" i="3"/>
  <c r="AG16" i="3"/>
  <c r="V28" i="3"/>
  <c r="AG24" i="3"/>
  <c r="L34" i="3"/>
  <c r="AB17" i="3"/>
  <c r="S14" i="3"/>
  <c r="K25" i="3"/>
  <c r="Q25" i="3"/>
  <c r="W32" i="3"/>
  <c r="D48" i="3"/>
  <c r="AC41" i="3"/>
  <c r="W25" i="3"/>
  <c r="W30" i="3"/>
  <c r="R7" i="3"/>
  <c r="Y21" i="3"/>
  <c r="G86" i="2"/>
  <c r="Y39" i="3"/>
  <c r="V32" i="3"/>
  <c r="S5" i="3"/>
  <c r="I11" i="3"/>
  <c r="AQ34" i="3"/>
  <c r="V37" i="3"/>
  <c r="X23" i="3"/>
  <c r="N41" i="3"/>
  <c r="T80" i="2"/>
  <c r="L29" i="3"/>
  <c r="N27" i="3"/>
  <c r="M85" i="2"/>
  <c r="U59" i="2"/>
  <c r="S58" i="2"/>
  <c r="N61" i="2"/>
  <c r="Z28" i="3"/>
  <c r="AG8" i="3"/>
  <c r="L38" i="3"/>
  <c r="AO16" i="3"/>
  <c r="AD47" i="3"/>
  <c r="I27" i="3"/>
  <c r="AP29" i="3"/>
  <c r="Z16" i="3"/>
  <c r="AG40" i="3"/>
  <c r="S28" i="3"/>
  <c r="L41" i="3"/>
  <c r="AO26" i="3"/>
  <c r="V23" i="3"/>
  <c r="X18" i="3"/>
  <c r="I5" i="3"/>
  <c r="AP21" i="3"/>
  <c r="K49" i="2"/>
  <c r="E104" i="2"/>
  <c r="I56" i="2"/>
  <c r="X95" i="2"/>
  <c r="T106" i="2"/>
  <c r="I42" i="2"/>
  <c r="H42" i="2"/>
  <c r="I110" i="2"/>
  <c r="I75" i="2"/>
  <c r="G64" i="2"/>
  <c r="G69" i="2"/>
  <c r="N92" i="2"/>
  <c r="C63" i="2"/>
  <c r="AP71" i="3"/>
  <c r="AP50" i="3"/>
  <c r="H17" i="3"/>
  <c r="AO33" i="3"/>
  <c r="AG42" i="3"/>
  <c r="AE24" i="3"/>
  <c r="H14" i="3"/>
  <c r="N39" i="3"/>
  <c r="X28" i="3"/>
  <c r="U41" i="3"/>
  <c r="AM40" i="3"/>
  <c r="AG27" i="3"/>
  <c r="N10" i="3"/>
  <c r="R40" i="3"/>
  <c r="V33" i="3"/>
  <c r="R6" i="3"/>
  <c r="Q38" i="3"/>
  <c r="AI34" i="3"/>
  <c r="C33" i="3"/>
  <c r="N32" i="3"/>
  <c r="C8" i="3"/>
  <c r="AC17" i="3"/>
  <c r="AA32" i="3"/>
  <c r="AN19" i="3"/>
  <c r="T11" i="3"/>
  <c r="I18" i="3"/>
  <c r="O27" i="3"/>
  <c r="P19" i="3"/>
  <c r="N28" i="3"/>
  <c r="Y32" i="3"/>
  <c r="AC31" i="3"/>
  <c r="C6" i="3"/>
  <c r="I10" i="3"/>
  <c r="M27" i="3"/>
  <c r="L9" i="3"/>
  <c r="R21" i="3"/>
  <c r="X40" i="3"/>
  <c r="AD36" i="3"/>
  <c r="AK14" i="3"/>
  <c r="Z21" i="3"/>
  <c r="I12" i="3"/>
  <c r="Y26" i="3"/>
  <c r="AN21" i="3"/>
  <c r="G33" i="3"/>
  <c r="AN42" i="3"/>
  <c r="Y12" i="3"/>
  <c r="AA22" i="3"/>
  <c r="AK32" i="3"/>
  <c r="Z5" i="3"/>
  <c r="AN18" i="3"/>
  <c r="N16" i="3"/>
  <c r="Y15" i="3"/>
  <c r="V35" i="3"/>
  <c r="R8" i="3"/>
  <c r="AC10" i="3"/>
  <c r="U32" i="3"/>
  <c r="AH9" i="3"/>
  <c r="AO19" i="3"/>
  <c r="U42" i="3"/>
  <c r="K32" i="3"/>
  <c r="AN26" i="3"/>
  <c r="Z17" i="3"/>
  <c r="R12" i="3"/>
  <c r="Q32" i="3"/>
  <c r="AK18" i="3"/>
  <c r="AG25" i="3"/>
  <c r="AD29" i="3"/>
  <c r="AA24" i="3"/>
  <c r="U20" i="3"/>
  <c r="AB15" i="3"/>
  <c r="H33" i="3"/>
  <c r="X42" i="3"/>
  <c r="AQ35" i="3"/>
  <c r="K37" i="3"/>
  <c r="AO36" i="3"/>
  <c r="N18" i="3"/>
  <c r="S6" i="3"/>
  <c r="J30" i="3"/>
  <c r="AG9" i="3"/>
  <c r="AM38" i="3"/>
  <c r="Q39" i="3"/>
  <c r="AH6" i="3"/>
  <c r="D60" i="2"/>
  <c r="D113" i="2"/>
  <c r="X84" i="2"/>
  <c r="O39" i="3"/>
  <c r="H21" i="3"/>
  <c r="P21" i="3"/>
  <c r="E48" i="3"/>
  <c r="AI29" i="3"/>
  <c r="AK16" i="3"/>
  <c r="H22" i="3"/>
  <c r="E107" i="2"/>
  <c r="J49" i="2"/>
  <c r="X97" i="2"/>
  <c r="AP62" i="3"/>
  <c r="AI38" i="3"/>
  <c r="AJ36" i="3"/>
  <c r="AE17" i="3"/>
  <c r="W38" i="3"/>
  <c r="R31" i="3"/>
  <c r="C10" i="3"/>
  <c r="AN15" i="3"/>
  <c r="S37" i="3"/>
  <c r="L35" i="3"/>
  <c r="R110" i="2"/>
  <c r="AI15" i="3"/>
  <c r="C40" i="3"/>
  <c r="AK20" i="3"/>
  <c r="Q41" i="3"/>
  <c r="AH28" i="3"/>
  <c r="AI25" i="3"/>
  <c r="Z41" i="3"/>
  <c r="Q24" i="3"/>
  <c r="K14" i="3"/>
  <c r="AL32" i="3"/>
  <c r="AL5" i="3"/>
  <c r="H8" i="3"/>
  <c r="W39" i="3"/>
  <c r="AO8" i="3"/>
  <c r="AI17" i="3"/>
  <c r="AN13" i="3"/>
  <c r="AE12" i="3"/>
  <c r="AI14" i="3"/>
  <c r="G47" i="2"/>
  <c r="W62" i="2"/>
  <c r="V105" i="2"/>
  <c r="D96" i="2"/>
  <c r="E83" i="2"/>
  <c r="X107" i="2"/>
  <c r="S83" i="2"/>
  <c r="R45" i="2"/>
  <c r="R68" i="2"/>
  <c r="G70" i="2"/>
  <c r="L67" i="2"/>
  <c r="V83" i="2"/>
  <c r="AB61" i="3"/>
  <c r="AB94" i="3"/>
  <c r="AP89" i="3"/>
  <c r="AL33" i="3"/>
  <c r="J16" i="3"/>
  <c r="O21" i="3"/>
  <c r="O28" i="3"/>
  <c r="P41" i="3"/>
  <c r="W18" i="3"/>
  <c r="I8" i="3"/>
  <c r="AE39" i="3"/>
  <c r="AC29" i="3"/>
  <c r="V9" i="3"/>
  <c r="AP8" i="3"/>
  <c r="R30" i="3"/>
  <c r="N20" i="3"/>
  <c r="AK22" i="3"/>
  <c r="AE42" i="3"/>
  <c r="AC7" i="3"/>
  <c r="S27" i="3"/>
  <c r="AL39" i="3"/>
  <c r="AP11" i="3"/>
  <c r="AB42" i="3"/>
  <c r="I21" i="3"/>
  <c r="E50" i="3"/>
  <c r="L36" i="3"/>
  <c r="S24" i="3"/>
  <c r="AN29" i="3"/>
  <c r="AE41" i="3"/>
  <c r="AE29" i="3"/>
  <c r="R33" i="3"/>
  <c r="AA13" i="3"/>
  <c r="P24" i="3"/>
  <c r="Z7" i="3"/>
  <c r="AI18" i="3"/>
  <c r="S26" i="3"/>
  <c r="AQ15" i="3"/>
  <c r="P42" i="3"/>
  <c r="W42" i="3"/>
  <c r="AI35" i="3"/>
  <c r="AQ27" i="3"/>
  <c r="U27" i="3"/>
  <c r="AG19" i="3"/>
  <c r="N7" i="3"/>
  <c r="AN16" i="3"/>
  <c r="Z42" i="3"/>
  <c r="AN11" i="3"/>
  <c r="AM28" i="3"/>
  <c r="K17" i="3"/>
  <c r="L7" i="3"/>
  <c r="J28" i="3"/>
  <c r="V5" i="3"/>
  <c r="S22" i="3"/>
  <c r="AK8" i="3"/>
  <c r="N11" i="3"/>
  <c r="N17" i="3"/>
  <c r="V17" i="3"/>
  <c r="S15" i="3"/>
  <c r="S25" i="3"/>
  <c r="X11" i="3"/>
  <c r="I32" i="3"/>
  <c r="O34" i="3"/>
  <c r="AB16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AC30" i="3"/>
  <c r="N33" i="3"/>
  <c r="AE27" i="3"/>
  <c r="Q18" i="3"/>
  <c r="J31" i="3"/>
  <c r="V39" i="3"/>
  <c r="Y29" i="3"/>
  <c r="S10" i="3"/>
  <c r="AG13" i="3"/>
  <c r="P36" i="3"/>
  <c r="J26" i="3"/>
  <c r="T6" i="3"/>
  <c r="N22" i="3"/>
  <c r="X6" i="3"/>
  <c r="G98" i="2"/>
  <c r="AB85" i="3"/>
  <c r="AI41" i="3"/>
  <c r="AO24" i="3"/>
  <c r="M31" i="3"/>
  <c r="O19" i="3"/>
  <c r="Z14" i="3"/>
  <c r="H89" i="2"/>
  <c r="I28" i="3"/>
  <c r="C22" i="3"/>
  <c r="AL16" i="3"/>
  <c r="C24" i="3"/>
  <c r="I40" i="3"/>
  <c r="N30" i="3"/>
  <c r="AL36" i="3"/>
  <c r="AI37" i="3"/>
  <c r="M40" i="3"/>
  <c r="Q79" i="2"/>
  <c r="D108" i="2"/>
  <c r="M86" i="2"/>
  <c r="L45" i="2"/>
  <c r="L108" i="2"/>
  <c r="U61" i="2"/>
  <c r="J85" i="2"/>
  <c r="V109" i="2"/>
  <c r="V91" i="2"/>
  <c r="W104" i="2"/>
  <c r="N44" i="2"/>
  <c r="S54" i="2"/>
  <c r="X85" i="2"/>
  <c r="AB68" i="3"/>
  <c r="AP65" i="3"/>
  <c r="AB64" i="3"/>
  <c r="C37" i="3"/>
  <c r="AP10" i="3"/>
  <c r="R36" i="3"/>
  <c r="AH16" i="3"/>
  <c r="I36" i="3"/>
  <c r="AL30" i="3"/>
  <c r="Z11" i="3"/>
  <c r="H24" i="3"/>
  <c r="Z35" i="3"/>
  <c r="AM39" i="3"/>
  <c r="AA31" i="3"/>
  <c r="AI10" i="3"/>
  <c r="AA6" i="3"/>
  <c r="AB21" i="3"/>
  <c r="P18" i="3"/>
  <c r="AQ9" i="3"/>
  <c r="L28" i="3"/>
  <c r="AJ5" i="3"/>
  <c r="H35" i="3"/>
  <c r="AB6" i="3"/>
  <c r="AM20" i="3"/>
  <c r="AQ33" i="3"/>
  <c r="W31" i="3"/>
  <c r="AC14" i="3"/>
  <c r="Q40" i="3"/>
  <c r="Y36" i="3"/>
  <c r="AL7" i="3"/>
  <c r="AH34" i="3"/>
  <c r="Z23" i="3"/>
  <c r="K10" i="3"/>
  <c r="AA14" i="3"/>
  <c r="J20" i="3"/>
  <c r="U9" i="3"/>
  <c r="U39" i="3"/>
  <c r="L42" i="3"/>
  <c r="AL6" i="3"/>
  <c r="L17" i="3"/>
  <c r="R13" i="3"/>
  <c r="AJ26" i="3"/>
  <c r="T37" i="3"/>
  <c r="U10" i="3"/>
  <c r="Z18" i="3"/>
  <c r="AM31" i="3"/>
  <c r="M28" i="3"/>
  <c r="Y5" i="3"/>
  <c r="S8" i="3"/>
  <c r="AA18" i="3"/>
  <c r="AD34" i="3"/>
  <c r="V14" i="3"/>
  <c r="AL19" i="3"/>
  <c r="J10" i="3"/>
  <c r="M18" i="3"/>
  <c r="AI8" i="3"/>
  <c r="J24" i="3"/>
  <c r="O13" i="3"/>
  <c r="AK28" i="3"/>
  <c r="K99" i="2"/>
  <c r="O88" i="2"/>
  <c r="AB59" i="3"/>
  <c r="T25" i="3"/>
  <c r="AO15" i="3"/>
  <c r="AL37" i="3"/>
  <c r="M39" i="3"/>
  <c r="AA42" i="3"/>
  <c r="K18" i="3"/>
  <c r="O26" i="3"/>
  <c r="AD30" i="3"/>
  <c r="AN28" i="3"/>
  <c r="N13" i="3"/>
  <c r="AE35" i="3"/>
  <c r="D47" i="3"/>
  <c r="P12" i="3"/>
  <c r="AJ6" i="3"/>
  <c r="Q93" i="2"/>
  <c r="V44" i="2"/>
  <c r="AP94" i="3"/>
  <c r="AN22" i="3"/>
  <c r="Y6" i="3"/>
  <c r="AH32" i="3"/>
  <c r="AL40" i="3"/>
  <c r="AB7" i="3"/>
  <c r="J6" i="3"/>
  <c r="T42" i="2"/>
  <c r="X79" i="2"/>
  <c r="E89" i="2"/>
  <c r="X51" i="2"/>
  <c r="J70" i="2"/>
  <c r="W78" i="2"/>
  <c r="S110" i="2"/>
  <c r="T52" i="2"/>
  <c r="K73" i="2"/>
  <c r="E48" i="2"/>
  <c r="I79" i="2"/>
  <c r="O108" i="2"/>
  <c r="AP56" i="3"/>
  <c r="AB96" i="3"/>
  <c r="AP49" i="3"/>
  <c r="AJ38" i="3"/>
  <c r="M10" i="3"/>
  <c r="Q36" i="3"/>
  <c r="W37" i="3"/>
  <c r="L37" i="3"/>
  <c r="X34" i="3"/>
  <c r="M15" i="3"/>
  <c r="AM41" i="3"/>
  <c r="Z12" i="3"/>
  <c r="S34" i="3"/>
  <c r="H40" i="3"/>
  <c r="AC13" i="3"/>
  <c r="Q23" i="3"/>
  <c r="J27" i="3"/>
  <c r="M26" i="3"/>
  <c r="V25" i="3"/>
  <c r="AG21" i="3"/>
  <c r="AE8" i="3"/>
  <c r="X5" i="3"/>
  <c r="AC9" i="3"/>
  <c r="AB26" i="3"/>
  <c r="Y24" i="3"/>
  <c r="AM30" i="3"/>
  <c r="H7" i="3"/>
  <c r="AC5" i="3"/>
  <c r="AO38" i="3"/>
  <c r="W13" i="3"/>
  <c r="P23" i="3"/>
  <c r="AJ12" i="3"/>
  <c r="AA11" i="3"/>
  <c r="AD33" i="3"/>
  <c r="AM23" i="3"/>
  <c r="R23" i="3"/>
  <c r="T19" i="3"/>
  <c r="AK35" i="3"/>
  <c r="AO18" i="3"/>
  <c r="R41" i="3"/>
  <c r="AN10" i="3"/>
  <c r="AB28" i="3"/>
  <c r="W23" i="3"/>
  <c r="AC21" i="3"/>
  <c r="O36" i="3"/>
  <c r="AK6" i="3"/>
  <c r="U5" i="3"/>
  <c r="K11" i="3"/>
  <c r="L40" i="3"/>
  <c r="X8" i="3"/>
  <c r="AG41" i="3"/>
  <c r="R22" i="3"/>
  <c r="Z39" i="3"/>
  <c r="AJ42" i="3"/>
  <c r="AP27" i="3"/>
  <c r="N23" i="3"/>
  <c r="M24" i="3"/>
  <c r="AC40" i="3"/>
  <c r="AB32" i="3"/>
  <c r="AM15" i="3"/>
  <c r="AL35" i="3"/>
  <c r="AH18" i="3"/>
  <c r="AC34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AP91" i="3"/>
  <c r="K38" i="3"/>
  <c r="AI11" i="3"/>
  <c r="W19" i="3"/>
  <c r="K35" i="3"/>
  <c r="AK29" i="3"/>
  <c r="AN23" i="3"/>
  <c r="O20" i="3"/>
  <c r="R26" i="3"/>
  <c r="AB24" i="3"/>
  <c r="AB29" i="3"/>
  <c r="AB13" i="3"/>
  <c r="AM29" i="3"/>
  <c r="AO30" i="3"/>
  <c r="AB25" i="3"/>
  <c r="AL13" i="3"/>
  <c r="AH25" i="3"/>
  <c r="O25" i="3"/>
  <c r="AD26" i="3"/>
  <c r="AO42" i="3"/>
  <c r="H39" i="3"/>
  <c r="AD41" i="3"/>
  <c r="F95" i="2"/>
  <c r="AP92" i="3"/>
  <c r="Y31" i="3"/>
  <c r="AL25" i="3"/>
  <c r="P28" i="3"/>
  <c r="Q20" i="3"/>
  <c r="U17" i="3"/>
  <c r="V19" i="3"/>
  <c r="AO27" i="3"/>
  <c r="O78" i="2"/>
  <c r="K83" i="2"/>
  <c r="M59" i="2"/>
  <c r="AH23" i="3"/>
  <c r="R32" i="3"/>
  <c r="C25" i="3"/>
  <c r="AM9" i="3"/>
  <c r="AI31" i="3"/>
  <c r="AP17" i="3"/>
  <c r="AJ18" i="3"/>
  <c r="Y35" i="3"/>
  <c r="H26" i="3"/>
  <c r="T18" i="3"/>
  <c r="H31" i="3"/>
  <c r="K7" i="3"/>
  <c r="AM27" i="3"/>
  <c r="L21" i="3"/>
  <c r="AQ7" i="3"/>
  <c r="J19" i="3"/>
  <c r="L96" i="2"/>
  <c r="C28" i="3"/>
  <c r="AL31" i="3"/>
  <c r="AB30" i="3"/>
  <c r="C15" i="3"/>
  <c r="S38" i="3"/>
  <c r="X25" i="3"/>
  <c r="X26" i="3"/>
  <c r="W41" i="3"/>
  <c r="AJ28" i="3"/>
  <c r="AP20" i="3"/>
  <c r="T20" i="3"/>
  <c r="AQ31" i="3"/>
  <c r="AC32" i="3"/>
  <c r="AH5" i="3"/>
  <c r="AO13" i="3"/>
  <c r="M21" i="3"/>
  <c r="AA35" i="3"/>
  <c r="N112" i="2"/>
  <c r="W59" i="2"/>
  <c r="J91" i="2"/>
  <c r="L57" i="2"/>
  <c r="N95" i="2"/>
  <c r="F79" i="2"/>
  <c r="J77" i="2"/>
  <c r="E97" i="2"/>
  <c r="R65" i="2"/>
  <c r="J95" i="2"/>
  <c r="G51" i="2"/>
  <c r="U40" i="2"/>
  <c r="AB73" i="3"/>
  <c r="AB76" i="3"/>
  <c r="Z19" i="3"/>
  <c r="I38" i="3"/>
  <c r="P10" i="3"/>
  <c r="S35" i="3"/>
  <c r="W15" i="3"/>
  <c r="M22" i="3"/>
  <c r="AK24" i="3"/>
  <c r="AK11" i="3"/>
  <c r="AO34" i="3"/>
  <c r="G50" i="3"/>
  <c r="T10" i="3"/>
  <c r="AP22" i="3"/>
  <c r="AD48" i="3"/>
  <c r="S23" i="3"/>
  <c r="AK10" i="3"/>
  <c r="H10" i="3"/>
  <c r="M12" i="3"/>
  <c r="Q30" i="3"/>
  <c r="L15" i="3"/>
  <c r="AA7" i="3"/>
  <c r="O32" i="3"/>
  <c r="W17" i="3"/>
  <c r="AQ5" i="3"/>
  <c r="X42" i="2"/>
  <c r="U12" i="3"/>
  <c r="AG18" i="3"/>
  <c r="AE20" i="3"/>
  <c r="AD40" i="3"/>
  <c r="AL29" i="3"/>
  <c r="U34" i="3"/>
  <c r="U29" i="3"/>
  <c r="AA29" i="3"/>
  <c r="K39" i="3"/>
  <c r="Y42" i="3"/>
  <c r="T15" i="3"/>
  <c r="S20" i="3"/>
  <c r="J22" i="3"/>
  <c r="AO40" i="3"/>
  <c r="C93" i="2"/>
  <c r="I58" i="2"/>
  <c r="AP66" i="3"/>
  <c r="AL41" i="3"/>
  <c r="I19" i="3"/>
  <c r="N14" i="3"/>
  <c r="AH36" i="3"/>
  <c r="K23" i="3"/>
  <c r="AQ40" i="3"/>
  <c r="AQ30" i="3"/>
  <c r="G49" i="3"/>
  <c r="Q15" i="3"/>
  <c r="C20" i="3"/>
  <c r="AQ13" i="3"/>
  <c r="Z29" i="3"/>
  <c r="N38" i="3"/>
  <c r="J39" i="3"/>
  <c r="AJ10" i="3"/>
  <c r="AI13" i="3"/>
  <c r="AN36" i="3"/>
  <c r="G34" i="3"/>
  <c r="AB31" i="3"/>
  <c r="X20" i="3"/>
  <c r="AD49" i="3"/>
  <c r="AL11" i="3"/>
  <c r="AK15" i="3"/>
  <c r="K16" i="3"/>
  <c r="X41" i="3"/>
  <c r="AA38" i="3"/>
  <c r="K26" i="3"/>
  <c r="AJ7" i="3"/>
  <c r="AA27" i="3"/>
  <c r="O84" i="2"/>
  <c r="T90" i="2"/>
  <c r="U78" i="2"/>
  <c r="C45" i="2"/>
  <c r="S45" i="2"/>
  <c r="V104" i="2"/>
  <c r="M90" i="2"/>
  <c r="P49" i="2"/>
  <c r="X104" i="2"/>
  <c r="D94" i="2"/>
  <c r="N70" i="2"/>
  <c r="P45" i="2"/>
  <c r="U51" i="2"/>
  <c r="AB77" i="3"/>
  <c r="AB54" i="3"/>
  <c r="AM33" i="3"/>
  <c r="P39" i="3"/>
  <c r="S16" i="3"/>
  <c r="I23" i="3"/>
  <c r="AB41" i="3"/>
  <c r="AA12" i="3"/>
  <c r="K36" i="3"/>
  <c r="N5" i="3"/>
  <c r="AH24" i="3"/>
  <c r="AA36" i="3"/>
  <c r="M20" i="3"/>
  <c r="Q26" i="3"/>
  <c r="G32" i="3"/>
  <c r="S40" i="3"/>
  <c r="J7" i="3"/>
  <c r="I41" i="3"/>
  <c r="S30" i="3"/>
  <c r="AQ23" i="3"/>
  <c r="L26" i="3"/>
  <c r="AI19" i="3"/>
  <c r="W36" i="3"/>
  <c r="I35" i="3"/>
  <c r="J21" i="3"/>
  <c r="AO29" i="3"/>
  <c r="AG36" i="3"/>
  <c r="AE38" i="3"/>
  <c r="M5" i="3"/>
  <c r="L27" i="3"/>
  <c r="AD21" i="3"/>
  <c r="Q28" i="3"/>
  <c r="Y33" i="3"/>
  <c r="M8" i="3"/>
  <c r="AN40" i="3"/>
  <c r="AN38" i="3"/>
  <c r="P15" i="3"/>
  <c r="P31" i="3"/>
  <c r="AM17" i="3"/>
  <c r="AL26" i="3"/>
  <c r="AH19" i="3"/>
  <c r="P37" i="3"/>
  <c r="X17" i="3"/>
  <c r="S29" i="3"/>
  <c r="T9" i="3"/>
  <c r="L12" i="3"/>
  <c r="Q21" i="3"/>
  <c r="P7" i="3"/>
  <c r="N31" i="3"/>
  <c r="AP24" i="3"/>
  <c r="K27" i="3"/>
  <c r="T39" i="3"/>
  <c r="AB8" i="3"/>
  <c r="AL23" i="3"/>
  <c r="U38" i="3"/>
  <c r="N37" i="3"/>
  <c r="AE26" i="3"/>
  <c r="C36" i="3"/>
  <c r="AK23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AC92" i="3"/>
  <c r="AK76" i="3"/>
  <c r="Q77" i="3"/>
  <c r="Y71" i="3"/>
  <c r="V73" i="3"/>
  <c r="M79" i="3"/>
  <c r="I73" i="3"/>
  <c r="AO91" i="3"/>
  <c r="R77" i="3"/>
  <c r="AA77" i="3"/>
  <c r="AK84" i="3"/>
  <c r="H83" i="3"/>
  <c r="L87" i="3"/>
  <c r="H57" i="3"/>
  <c r="Q83" i="3"/>
  <c r="N55" i="3"/>
  <c r="U70" i="3"/>
  <c r="Y77" i="3"/>
  <c r="I60" i="3"/>
  <c r="M75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T91" i="3"/>
  <c r="H59" i="3"/>
  <c r="L71" i="3"/>
  <c r="AN93" i="3"/>
  <c r="O89" i="3"/>
  <c r="T81" i="3"/>
  <c r="AK47" i="3"/>
  <c r="AH75" i="3"/>
  <c r="T82" i="3"/>
  <c r="U55" i="3"/>
  <c r="AJ68" i="3"/>
  <c r="AJ62" i="3"/>
  <c r="AN56" i="3"/>
  <c r="K95" i="3"/>
  <c r="J63" i="3"/>
  <c r="R81" i="3"/>
  <c r="AO60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S61" i="3"/>
  <c r="Y95" i="3"/>
  <c r="H95" i="3"/>
  <c r="AC96" i="3"/>
  <c r="S89" i="3"/>
  <c r="AO70" i="3"/>
  <c r="I71" i="3"/>
  <c r="AE62" i="3"/>
  <c r="AH81" i="3"/>
  <c r="I94" i="3"/>
  <c r="I85" i="3"/>
  <c r="V82" i="3"/>
  <c r="P83" i="3"/>
  <c r="AM94" i="3"/>
  <c r="AK75" i="3"/>
  <c r="P49" i="3"/>
  <c r="AK70" i="3"/>
  <c r="X95" i="3"/>
  <c r="AQ90" i="3"/>
  <c r="N74" i="3"/>
  <c r="AM95" i="3"/>
  <c r="X48" i="3"/>
  <c r="N60" i="3"/>
  <c r="W54" i="3"/>
  <c r="AH92" i="3"/>
  <c r="P81" i="3"/>
  <c r="I91" i="3"/>
  <c r="AJ78" i="3"/>
  <c r="W72" i="3"/>
  <c r="AM70" i="3"/>
  <c r="X74" i="3"/>
  <c r="T56" i="3"/>
  <c r="AL80" i="3"/>
  <c r="S62" i="3"/>
  <c r="AM57" i="3"/>
  <c r="S74" i="3"/>
  <c r="I63" i="3"/>
  <c r="V89" i="3"/>
  <c r="L74" i="3"/>
  <c r="L85" i="3"/>
  <c r="AI62" i="3"/>
  <c r="K71" i="3"/>
  <c r="I61" i="3"/>
  <c r="AN55" i="3"/>
  <c r="AE71" i="3"/>
  <c r="N63" i="3"/>
  <c r="AH47" i="3"/>
  <c r="K76" i="3"/>
  <c r="H56" i="3"/>
  <c r="R57" i="3"/>
  <c r="AJ92" i="3"/>
  <c r="K65" i="3"/>
  <c r="S67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Z79" i="3"/>
  <c r="K74" i="3"/>
  <c r="AH86" i="3"/>
  <c r="R75" i="3"/>
  <c r="P91" i="3"/>
  <c r="J61" i="3"/>
  <c r="AK50" i="3"/>
  <c r="K81" i="3"/>
  <c r="AO75" i="3"/>
  <c r="P95" i="3"/>
  <c r="O73" i="3"/>
  <c r="AJ86" i="3"/>
  <c r="J62" i="3"/>
  <c r="AG72" i="3"/>
  <c r="K88" i="3"/>
  <c r="AQ69" i="3"/>
  <c r="Z59" i="3"/>
  <c r="I82" i="3"/>
  <c r="Q65" i="3"/>
  <c r="U72" i="3"/>
  <c r="Z95" i="3"/>
  <c r="AN87" i="3"/>
  <c r="J67" i="3"/>
  <c r="X87" i="3"/>
  <c r="V59" i="3"/>
  <c r="S64" i="3"/>
  <c r="AE77" i="3"/>
  <c r="AA68" i="3"/>
  <c r="AQ50" i="3"/>
  <c r="AG89" i="3"/>
  <c r="AO87" i="3"/>
  <c r="X96" i="3"/>
  <c r="U75" i="3"/>
  <c r="AA62" i="3"/>
  <c r="AQ89" i="3"/>
  <c r="R85" i="3"/>
  <c r="AJ90" i="3"/>
  <c r="Z71" i="3"/>
  <c r="AA67" i="3"/>
  <c r="AC62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64" i="3"/>
  <c r="AQ68" i="3"/>
  <c r="AH93" i="3"/>
  <c r="AE57" i="3"/>
  <c r="AA69" i="3"/>
  <c r="AH80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I95" i="3"/>
  <c r="T60" i="3"/>
  <c r="T90" i="3"/>
  <c r="K96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C48" i="3"/>
  <c r="H50" i="3"/>
  <c r="P67" i="3"/>
  <c r="J77" i="3"/>
  <c r="O55" i="3"/>
  <c r="AC67" i="3"/>
  <c r="X50" i="3"/>
  <c r="AO95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G95" i="3"/>
  <c r="AK78" i="3"/>
  <c r="AI81" i="3"/>
  <c r="S92" i="3"/>
  <c r="V90" i="3"/>
  <c r="AL79" i="3"/>
  <c r="AH87" i="3"/>
  <c r="AQ60" i="3"/>
  <c r="AG91" i="3"/>
  <c r="S83" i="3"/>
  <c r="AC85" i="3"/>
  <c r="N89" i="3"/>
  <c r="I74" i="3"/>
  <c r="AH90" i="3"/>
  <c r="R83" i="3"/>
  <c r="W79" i="3"/>
  <c r="T73" i="3"/>
  <c r="AG55" i="3"/>
  <c r="AE56" i="3"/>
  <c r="N54" i="3"/>
  <c r="L58" i="3"/>
  <c r="AH94" i="3"/>
  <c r="O70" i="3"/>
  <c r="Z56" i="3"/>
  <c r="Y93" i="3"/>
  <c r="N66" i="3"/>
  <c r="U92" i="3"/>
  <c r="Y92" i="3"/>
  <c r="AL90" i="3"/>
  <c r="U94" i="3"/>
  <c r="N70" i="3"/>
  <c r="AO92" i="3"/>
  <c r="S60" i="3"/>
  <c r="P64" i="3"/>
  <c r="L76" i="3"/>
  <c r="K78" i="3"/>
  <c r="X56" i="3"/>
  <c r="T83" i="3"/>
  <c r="AL47" i="3"/>
  <c r="H93" i="3"/>
  <c r="O68" i="3"/>
  <c r="AJ48" i="3"/>
  <c r="AK91" i="3"/>
  <c r="AE78" i="3"/>
  <c r="I70" i="3"/>
  <c r="Z69" i="3"/>
  <c r="AC80" i="3"/>
  <c r="K70" i="3"/>
  <c r="AQ71" i="3"/>
  <c r="AL48" i="3"/>
  <c r="R97" i="3"/>
  <c r="V67" i="3"/>
  <c r="R49" i="3"/>
  <c r="L95" i="3"/>
  <c r="J84" i="3"/>
  <c r="AI59" i="3"/>
  <c r="X61" i="3"/>
  <c r="AM56" i="3"/>
  <c r="M90" i="3"/>
  <c r="Q89" i="3"/>
  <c r="O85" i="3"/>
  <c r="AA63" i="3"/>
  <c r="AE83" i="3"/>
  <c r="K66" i="3"/>
  <c r="AL55" i="3"/>
  <c r="AE87" i="3"/>
  <c r="AN88" i="3"/>
  <c r="Y60" i="3"/>
  <c r="AG57" i="3"/>
  <c r="I78" i="3"/>
  <c r="W63" i="3"/>
  <c r="AI55" i="3"/>
  <c r="M56" i="3"/>
  <c r="AC88" i="3"/>
  <c r="M70" i="3"/>
  <c r="S91" i="3"/>
  <c r="AG94" i="3"/>
  <c r="Q90" i="3"/>
  <c r="P72" i="3"/>
  <c r="AH58" i="3"/>
  <c r="N86" i="3"/>
  <c r="AI49" i="3"/>
  <c r="L79" i="3"/>
  <c r="K94" i="3"/>
  <c r="AM64" i="3"/>
  <c r="X76" i="3"/>
  <c r="AN84" i="3"/>
  <c r="AQ48" i="3"/>
  <c r="M66" i="3"/>
  <c r="AN66" i="3"/>
  <c r="AM63" i="3"/>
  <c r="H54" i="3"/>
  <c r="AM79" i="3"/>
  <c r="AI67" i="3"/>
  <c r="Y68" i="3"/>
  <c r="N80" i="3"/>
  <c r="AA75" i="3"/>
  <c r="X72" i="3"/>
  <c r="U93" i="3"/>
  <c r="AL69" i="3"/>
  <c r="T68" i="3"/>
  <c r="AO80" i="3"/>
  <c r="O61" i="3"/>
  <c r="W47" i="3"/>
  <c r="M77" i="3"/>
  <c r="AQ66" i="3"/>
  <c r="I84" i="3"/>
  <c r="Q97" i="3"/>
  <c r="Z65" i="3"/>
  <c r="J97" i="3"/>
  <c r="J59" i="3"/>
  <c r="J75" i="3"/>
  <c r="T85" i="3"/>
  <c r="AL97" i="3"/>
  <c r="U49" i="3"/>
  <c r="V76" i="3"/>
  <c r="AC66" i="3"/>
  <c r="Y48" i="3"/>
  <c r="M88" i="3"/>
  <c r="Y91" i="3"/>
  <c r="AM55" i="3"/>
  <c r="AA86" i="3"/>
  <c r="AQ93" i="3"/>
  <c r="W61" i="3"/>
  <c r="D120" i="1" l="1"/>
  <c r="O120" i="1"/>
  <c r="B65" i="1"/>
  <c r="E120" i="1"/>
  <c r="B161" i="1"/>
  <c r="C209" i="1" s="1"/>
  <c r="F134" i="1"/>
  <c r="D128" i="1"/>
  <c r="I161" i="1"/>
  <c r="J209" i="1" s="1"/>
  <c r="Q202" i="1"/>
  <c r="T202" i="1"/>
  <c r="L120" i="1"/>
  <c r="C120" i="1"/>
  <c r="C175" i="1" s="1"/>
  <c r="U161" i="1"/>
  <c r="V209" i="1" s="1"/>
  <c r="M120" i="1"/>
  <c r="C202" i="1"/>
  <c r="R134" i="1"/>
  <c r="R138" i="1" s="1"/>
  <c r="C128" i="1"/>
  <c r="I148" i="1"/>
  <c r="S161" i="1"/>
  <c r="T209" i="1" s="1"/>
  <c r="U179" i="1"/>
  <c r="U148" i="1"/>
  <c r="U182" i="1" s="1"/>
  <c r="O161" i="1"/>
  <c r="P209" i="1" s="1"/>
  <c r="F128" i="1"/>
  <c r="F37" i="1" s="1"/>
  <c r="S202" i="1"/>
  <c r="N134" i="1"/>
  <c r="N138" i="1" s="1"/>
  <c r="L134" i="1"/>
  <c r="V161" i="1"/>
  <c r="W209" i="1" s="1"/>
  <c r="V202" i="1"/>
  <c r="M161" i="1"/>
  <c r="N209" i="1" s="1"/>
  <c r="S173" i="1"/>
  <c r="T161" i="1"/>
  <c r="U209" i="1" s="1"/>
  <c r="B173" i="1"/>
  <c r="C134" i="1"/>
  <c r="Q173" i="1"/>
  <c r="H120" i="1"/>
  <c r="R128" i="1"/>
  <c r="V128" i="1"/>
  <c r="S148" i="1"/>
  <c r="S182" i="1" s="1"/>
  <c r="S181" i="1" s="1"/>
  <c r="T120" i="1"/>
  <c r="H173" i="1"/>
  <c r="C173" i="1"/>
  <c r="I120" i="1"/>
  <c r="J134" i="1"/>
  <c r="J138" i="1" s="1"/>
  <c r="M148" i="1"/>
  <c r="M182" i="1" s="1"/>
  <c r="M181" i="1" s="1"/>
  <c r="U134" i="1"/>
  <c r="U33" i="1" s="1"/>
  <c r="B156" i="1"/>
  <c r="B185" i="1" s="1"/>
  <c r="B184" i="1" s="1"/>
  <c r="S134" i="1"/>
  <c r="B134" i="1"/>
  <c r="K202" i="1"/>
  <c r="H161" i="1"/>
  <c r="C65" i="1"/>
  <c r="S128" i="1"/>
  <c r="S156" i="1"/>
  <c r="C148" i="1"/>
  <c r="K161" i="1"/>
  <c r="D161" i="1"/>
  <c r="D248" i="1" s="1"/>
  <c r="F161" i="1"/>
  <c r="M202" i="1"/>
  <c r="F120" i="1"/>
  <c r="T134" i="1"/>
  <c r="T33" i="1" s="1"/>
  <c r="B120" i="1"/>
  <c r="G134" i="1"/>
  <c r="T128" i="1"/>
  <c r="T206" i="1" s="1"/>
  <c r="M173" i="1"/>
  <c r="O128" i="1"/>
  <c r="O129" i="1" s="1"/>
  <c r="O55" i="1" s="1"/>
  <c r="L202" i="1"/>
  <c r="B128" i="1"/>
  <c r="C249" i="1" s="1"/>
  <c r="C251" i="1" s="1"/>
  <c r="N173" i="1"/>
  <c r="D65" i="1"/>
  <c r="D107" i="1" s="1"/>
  <c r="K148" i="1"/>
  <c r="K128" i="1"/>
  <c r="F148" i="1"/>
  <c r="F182" i="1" s="1"/>
  <c r="F181" i="1" s="1"/>
  <c r="J161" i="1"/>
  <c r="G120" i="1"/>
  <c r="H207" i="1" s="1"/>
  <c r="D173" i="1"/>
  <c r="J128" i="1"/>
  <c r="N202" i="1"/>
  <c r="E173" i="1"/>
  <c r="R202" i="1"/>
  <c r="L148" i="1"/>
  <c r="D202" i="1"/>
  <c r="G148" i="1"/>
  <c r="U181" i="1"/>
  <c r="K120" i="1"/>
  <c r="C161" i="1"/>
  <c r="T138" i="1"/>
  <c r="P148" i="1"/>
  <c r="W128" i="1"/>
  <c r="D148" i="1"/>
  <c r="U120" i="1"/>
  <c r="F156" i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O202" i="1"/>
  <c r="D134" i="1"/>
  <c r="G161" i="1"/>
  <c r="Q134" i="1"/>
  <c r="T148" i="1"/>
  <c r="U196" i="1" s="1"/>
  <c r="E128" i="1"/>
  <c r="E206" i="1" s="1"/>
  <c r="M134" i="1"/>
  <c r="Q120" i="1"/>
  <c r="P173" i="1"/>
  <c r="E148" i="1"/>
  <c r="L173" i="1"/>
  <c r="K173" i="1"/>
  <c r="K134" i="1"/>
  <c r="N128" i="1"/>
  <c r="O206" i="1" s="1"/>
  <c r="O173" i="1"/>
  <c r="L128" i="1"/>
  <c r="P120" i="1"/>
  <c r="B148" i="1"/>
  <c r="T173" i="1"/>
  <c r="J173" i="1"/>
  <c r="P134" i="1"/>
  <c r="G128" i="1"/>
  <c r="U128" i="1"/>
  <c r="D156" i="1"/>
  <c r="H202" i="1"/>
  <c r="S120" i="1"/>
  <c r="T207" i="1" s="1"/>
  <c r="W134" i="1"/>
  <c r="F173" i="1"/>
  <c r="O134" i="1"/>
  <c r="L161" i="1"/>
  <c r="R161" i="1"/>
  <c r="I173" i="1"/>
  <c r="R120" i="1"/>
  <c r="Q148" i="1"/>
  <c r="V120" i="1"/>
  <c r="Q128" i="1"/>
  <c r="K156" i="1"/>
  <c r="N179" i="1"/>
  <c r="N148" i="1"/>
  <c r="P156" i="1"/>
  <c r="P185" i="1" s="1"/>
  <c r="P184" i="1" s="1"/>
  <c r="T156" i="1"/>
  <c r="J156" i="1"/>
  <c r="E156" i="1"/>
  <c r="G156" i="1"/>
  <c r="O156" i="1"/>
  <c r="U156" i="1"/>
  <c r="L156" i="1"/>
  <c r="L175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H138" i="1" s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L33" i="1"/>
  <c r="L138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R37" i="1"/>
  <c r="B107" i="1"/>
  <c r="B108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C37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O248" i="1"/>
  <c r="BU252" i="1"/>
  <c r="BU10" i="1"/>
  <c r="D206" i="1"/>
  <c r="D37" i="1"/>
  <c r="D129" i="1"/>
  <c r="D55" i="1" s="1"/>
  <c r="M175" i="1"/>
  <c r="M54" i="1"/>
  <c r="M248" i="1"/>
  <c r="M207" i="1"/>
  <c r="F138" i="1"/>
  <c r="F33" i="1"/>
  <c r="N175" i="1"/>
  <c r="N54" i="1"/>
  <c r="N248" i="1"/>
  <c r="N207" i="1"/>
  <c r="U138" i="1"/>
  <c r="E175" i="1"/>
  <c r="E207" i="1"/>
  <c r="O54" i="1"/>
  <c r="O207" i="1"/>
  <c r="O175" i="1"/>
  <c r="D54" i="1"/>
  <c r="D175" i="1"/>
  <c r="I182" i="1"/>
  <c r="I181" i="1" s="1"/>
  <c r="BD10" i="1"/>
  <c r="BD253" i="1"/>
  <c r="BD231" i="1"/>
  <c r="BG98" i="1"/>
  <c r="BG99" i="1" s="1"/>
  <c r="AI203" i="1"/>
  <c r="AI201" i="1" s="1"/>
  <c r="AI26" i="1"/>
  <c r="E54" i="1"/>
  <c r="BV253" i="1"/>
  <c r="H54" i="1"/>
  <c r="T175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D249" i="1"/>
  <c r="D251" i="1" s="1"/>
  <c r="BI202" i="1"/>
  <c r="BW202" i="1"/>
  <c r="BJ28" i="1"/>
  <c r="BJ17" i="1"/>
  <c r="I248" i="1"/>
  <c r="I54" i="1"/>
  <c r="I175" i="1"/>
  <c r="CQ134" i="1"/>
  <c r="DB77" i="1"/>
  <c r="CY65" i="1"/>
  <c r="CZ63" i="1"/>
  <c r="R175" i="1" l="1"/>
  <c r="C207" i="1"/>
  <c r="J33" i="1"/>
  <c r="R54" i="1"/>
  <c r="F168" i="1"/>
  <c r="F109" i="1" s="1"/>
  <c r="C129" i="1"/>
  <c r="C55" i="1" s="1"/>
  <c r="C54" i="1"/>
  <c r="D207" i="1"/>
  <c r="D205" i="1" s="1"/>
  <c r="R33" i="1"/>
  <c r="N33" i="1"/>
  <c r="U249" i="1"/>
  <c r="U251" i="1" s="1"/>
  <c r="P196" i="1"/>
  <c r="AR134" i="1"/>
  <c r="P197" i="1"/>
  <c r="H33" i="1"/>
  <c r="T168" i="1"/>
  <c r="T109" i="1" s="1"/>
  <c r="I207" i="1"/>
  <c r="C138" i="1"/>
  <c r="C33" i="1"/>
  <c r="V168" i="1"/>
  <c r="V109" i="1" s="1"/>
  <c r="V37" i="1"/>
  <c r="B138" i="1"/>
  <c r="C203" i="1" s="1"/>
  <c r="C201" i="1" s="1"/>
  <c r="B33" i="1"/>
  <c r="I209" i="1"/>
  <c r="H248" i="1"/>
  <c r="C107" i="1"/>
  <c r="C66" i="1"/>
  <c r="C108" i="1"/>
  <c r="G182" i="1"/>
  <c r="G181" i="1" s="1"/>
  <c r="G196" i="1"/>
  <c r="P138" i="1"/>
  <c r="P244" i="1" s="1"/>
  <c r="P33" i="1"/>
  <c r="T54" i="1"/>
  <c r="T248" i="1"/>
  <c r="S33" i="1"/>
  <c r="S138" i="1"/>
  <c r="S249" i="1"/>
  <c r="S251" i="1" s="1"/>
  <c r="S206" i="1"/>
  <c r="S168" i="1"/>
  <c r="S109" i="1" s="1"/>
  <c r="S37" i="1"/>
  <c r="S185" i="1"/>
  <c r="T197" i="1"/>
  <c r="S157" i="1"/>
  <c r="S165" i="1" s="1"/>
  <c r="F207" i="1"/>
  <c r="F129" i="1"/>
  <c r="F55" i="1" s="1"/>
  <c r="T185" i="1"/>
  <c r="T184" i="1" s="1"/>
  <c r="U197" i="1"/>
  <c r="U198" i="1" s="1"/>
  <c r="U199" i="1" s="1"/>
  <c r="R207" i="1"/>
  <c r="V249" i="1"/>
  <c r="V251" i="1" s="1"/>
  <c r="R168" i="1"/>
  <c r="R109" i="1" s="1"/>
  <c r="R129" i="1"/>
  <c r="R55" i="1" s="1"/>
  <c r="H175" i="1"/>
  <c r="R209" i="1"/>
  <c r="Q248" i="1"/>
  <c r="S197" i="1"/>
  <c r="E209" i="1"/>
  <c r="D168" i="1"/>
  <c r="D109" i="1" s="1"/>
  <c r="D110" i="1" s="1"/>
  <c r="D113" i="1" s="1"/>
  <c r="K209" i="1"/>
  <c r="J248" i="1"/>
  <c r="G175" i="1"/>
  <c r="G207" i="1"/>
  <c r="G54" i="1"/>
  <c r="J37" i="1"/>
  <c r="J168" i="1"/>
  <c r="J109" i="1" s="1"/>
  <c r="J129" i="1"/>
  <c r="J55" i="1" s="1"/>
  <c r="U54" i="1"/>
  <c r="U207" i="1"/>
  <c r="F185" i="1"/>
  <c r="F157" i="1"/>
  <c r="F165" i="1" s="1"/>
  <c r="D197" i="1"/>
  <c r="C157" i="1"/>
  <c r="K196" i="1"/>
  <c r="J182" i="1"/>
  <c r="J181" i="1" s="1"/>
  <c r="J196" i="1"/>
  <c r="H206" i="1"/>
  <c r="H205" i="1" s="1"/>
  <c r="H168" i="1"/>
  <c r="H109" i="1" s="1"/>
  <c r="H129" i="1"/>
  <c r="H55" i="1" s="1"/>
  <c r="H37" i="1"/>
  <c r="J249" i="1"/>
  <c r="J251" i="1" s="1"/>
  <c r="I168" i="1"/>
  <c r="I109" i="1" s="1"/>
  <c r="E182" i="1"/>
  <c r="E181" i="1" s="1"/>
  <c r="F196" i="1"/>
  <c r="E196" i="1"/>
  <c r="G209" i="1"/>
  <c r="F248" i="1"/>
  <c r="F175" i="1"/>
  <c r="F54" i="1"/>
  <c r="Q168" i="1"/>
  <c r="Q109" i="1" s="1"/>
  <c r="H197" i="1"/>
  <c r="K207" i="1"/>
  <c r="G138" i="1"/>
  <c r="G33" i="1"/>
  <c r="I33" i="1"/>
  <c r="I138" i="1"/>
  <c r="V196" i="1"/>
  <c r="V182" i="1"/>
  <c r="V181" i="1" s="1"/>
  <c r="T244" i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D203" i="1" s="1"/>
  <c r="D201" i="1" s="1"/>
  <c r="L185" i="1"/>
  <c r="L184" i="1" s="1"/>
  <c r="L157" i="1"/>
  <c r="L165" i="1" s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J165" i="1" s="1"/>
  <c r="D66" i="1"/>
  <c r="D108" i="1"/>
  <c r="K182" i="1"/>
  <c r="K181" i="1" s="1"/>
  <c r="K157" i="1"/>
  <c r="D182" i="1"/>
  <c r="D181" i="1" s="1"/>
  <c r="D157" i="1"/>
  <c r="I37" i="1"/>
  <c r="I206" i="1"/>
  <c r="J206" i="1"/>
  <c r="Q54" i="1"/>
  <c r="Q175" i="1"/>
  <c r="K33" i="1"/>
  <c r="K138" i="1"/>
  <c r="M206" i="1"/>
  <c r="M205" i="1" s="1"/>
  <c r="L129" i="1"/>
  <c r="L55" i="1" s="1"/>
  <c r="D185" i="1"/>
  <c r="E197" i="1"/>
  <c r="W138" i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H165" i="1" s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205" i="1" s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N165" i="1" s="1"/>
  <c r="E185" i="1"/>
  <c r="F197" i="1"/>
  <c r="E157" i="1"/>
  <c r="G185" i="1"/>
  <c r="G157" i="1"/>
  <c r="G197" i="1"/>
  <c r="O185" i="1"/>
  <c r="O197" i="1"/>
  <c r="U185" i="1"/>
  <c r="U157" i="1"/>
  <c r="U165" i="1" s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38" i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L244" i="1"/>
  <c r="L246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68" i="1"/>
  <c r="B69" i="1"/>
  <c r="B87" i="1" s="1"/>
  <c r="BH94" i="1"/>
  <c r="BH95" i="1"/>
  <c r="BK27" i="1"/>
  <c r="AW27" i="1"/>
  <c r="O205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E205" i="1"/>
  <c r="BA19" i="1"/>
  <c r="BH27" i="1"/>
  <c r="AS134" i="1"/>
  <c r="AS33" i="1"/>
  <c r="AS16" i="1"/>
  <c r="AW11" i="1"/>
  <c r="BJ11" i="1"/>
  <c r="BF16" i="1"/>
  <c r="BF28" i="1" s="1"/>
  <c r="BJ30" i="1" s="1"/>
  <c r="N246" i="1"/>
  <c r="N244" i="1"/>
  <c r="BV27" i="1"/>
  <c r="BC27" i="1"/>
  <c r="AY188" i="1"/>
  <c r="BT225" i="1"/>
  <c r="AY179" i="1"/>
  <c r="AS183" i="1"/>
  <c r="BY11" i="1"/>
  <c r="BU188" i="1"/>
  <c r="F246" i="1"/>
  <c r="F244" i="1"/>
  <c r="U244" i="1"/>
  <c r="U246" i="1"/>
  <c r="U203" i="1"/>
  <c r="U201" i="1" s="1"/>
  <c r="J246" i="1"/>
  <c r="J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T205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T203" i="1"/>
  <c r="T201" i="1" s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H246" i="1"/>
  <c r="H244" i="1"/>
  <c r="BJ29" i="1"/>
  <c r="BJ34" i="1"/>
  <c r="BJ38" i="1" s="1"/>
  <c r="BJ232" i="1"/>
  <c r="BJ233" i="1" s="1"/>
  <c r="CQ138" i="1"/>
  <c r="CR32" i="1"/>
  <c r="AE77" i="1"/>
  <c r="AB125" i="1"/>
  <c r="AB128" i="1" s="1"/>
  <c r="AB249" i="1" s="1"/>
  <c r="AD142" i="1"/>
  <c r="CZ65" i="1"/>
  <c r="DA63" i="1"/>
  <c r="P198" i="1" l="1"/>
  <c r="P199" i="1" s="1"/>
  <c r="C205" i="1"/>
  <c r="S205" i="1"/>
  <c r="G198" i="1"/>
  <c r="G199" i="1" s="1"/>
  <c r="C68" i="1"/>
  <c r="C69" i="1"/>
  <c r="S246" i="1"/>
  <c r="S203" i="1"/>
  <c r="S201" i="1" s="1"/>
  <c r="S244" i="1"/>
  <c r="B165" i="1"/>
  <c r="C165" i="1"/>
  <c r="D111" i="1"/>
  <c r="D114" i="1" s="1"/>
  <c r="F166" i="1"/>
  <c r="V165" i="1"/>
  <c r="V166" i="1" s="1"/>
  <c r="BU202" i="1"/>
  <c r="P246" i="1"/>
  <c r="P165" i="1"/>
  <c r="P166" i="1" s="1"/>
  <c r="AW202" i="1"/>
  <c r="I205" i="1"/>
  <c r="G205" i="1"/>
  <c r="V205" i="1"/>
  <c r="AR181" i="1"/>
  <c r="J166" i="1"/>
  <c r="F205" i="1"/>
  <c r="T198" i="1"/>
  <c r="T199" i="1" s="1"/>
  <c r="S186" i="1"/>
  <c r="S184" i="1"/>
  <c r="E198" i="1"/>
  <c r="E199" i="1" s="1"/>
  <c r="K198" i="1"/>
  <c r="K199" i="1" s="1"/>
  <c r="S198" i="1"/>
  <c r="S199" i="1" s="1"/>
  <c r="U205" i="1"/>
  <c r="U210" i="1" s="1"/>
  <c r="U211" i="1" s="1"/>
  <c r="H166" i="1"/>
  <c r="J198" i="1"/>
  <c r="J199" i="1" s="1"/>
  <c r="R205" i="1"/>
  <c r="F198" i="1"/>
  <c r="F199" i="1" s="1"/>
  <c r="R166" i="1"/>
  <c r="BR249" i="1"/>
  <c r="F186" i="1"/>
  <c r="F184" i="1"/>
  <c r="D198" i="1"/>
  <c r="D199" i="1" s="1"/>
  <c r="K205" i="1"/>
  <c r="L203" i="1"/>
  <c r="L201" i="1" s="1"/>
  <c r="K203" i="1"/>
  <c r="K201" i="1" s="1"/>
  <c r="X203" i="1"/>
  <c r="X201" i="1" s="1"/>
  <c r="W203" i="1"/>
  <c r="W201" i="1" s="1"/>
  <c r="D165" i="1"/>
  <c r="J205" i="1"/>
  <c r="H198" i="1"/>
  <c r="H199" i="1" s="1"/>
  <c r="I165" i="1"/>
  <c r="I166" i="1" s="1"/>
  <c r="Q198" i="1"/>
  <c r="Q199" i="1" s="1"/>
  <c r="T166" i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N166" i="1"/>
  <c r="E203" i="1"/>
  <c r="E201" i="1" s="1"/>
  <c r="L181" i="1"/>
  <c r="L186" i="1"/>
  <c r="C198" i="1"/>
  <c r="C199" i="1" s="1"/>
  <c r="S166" i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L166" i="1"/>
  <c r="D69" i="1"/>
  <c r="D70" i="1" s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U166" i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B85" i="1"/>
  <c r="B8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38" i="1"/>
  <c r="AT33" i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U213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H210" i="1" l="1"/>
  <c r="H211" i="1" s="1"/>
  <c r="C87" i="1"/>
  <c r="C85" i="1"/>
  <c r="C70" i="1"/>
  <c r="C86" i="1"/>
  <c r="B89" i="1"/>
  <c r="B244" i="1"/>
  <c r="B166" i="1"/>
  <c r="C244" i="1"/>
  <c r="C166" i="1"/>
  <c r="M213" i="1"/>
  <c r="V189" i="1"/>
  <c r="V190" i="1" s="1"/>
  <c r="N213" i="1"/>
  <c r="K210" i="1"/>
  <c r="K211" i="1" s="1"/>
  <c r="K213" i="1"/>
  <c r="T210" i="1"/>
  <c r="T211" i="1" s="1"/>
  <c r="T213" i="1"/>
  <c r="S210" i="1"/>
  <c r="S211" i="1" s="1"/>
  <c r="S213" i="1"/>
  <c r="J213" i="1"/>
  <c r="D210" i="1"/>
  <c r="D211" i="1" s="1"/>
  <c r="D213" i="1"/>
  <c r="Q213" i="1"/>
  <c r="I213" i="1"/>
  <c r="J210" i="1"/>
  <c r="J211" i="1" s="1"/>
  <c r="H213" i="1"/>
  <c r="Q210" i="1"/>
  <c r="Q211" i="1" s="1"/>
  <c r="I210" i="1"/>
  <c r="I211" i="1" s="1"/>
  <c r="P210" i="1"/>
  <c r="P211" i="1" s="1"/>
  <c r="D244" i="1"/>
  <c r="D166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V110" i="1" l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2" i="2"/>
  <c r="C113" i="2"/>
  <c r="C111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48" i="1"/>
  <c r="CU157" i="1" s="1"/>
  <c r="CY253" i="1"/>
  <c r="CY10" i="1"/>
  <c r="CY231" i="1"/>
  <c r="CU15" i="1"/>
  <c r="CU18" i="1"/>
  <c r="CU28" i="1"/>
  <c r="CU30" i="1" s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6" i="1"/>
  <c r="CY26" i="1"/>
  <c r="CY23" i="1" s="1"/>
  <c r="CY145" i="1"/>
  <c r="CY16" i="1"/>
  <c r="CY153" i="1"/>
  <c r="CY152" i="1"/>
  <c r="CY156" i="1" s="1"/>
  <c r="CY144" i="1"/>
  <c r="CY148" i="1" s="1"/>
  <c r="CU34" i="1"/>
  <c r="CU29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5" i="1" l="1"/>
  <c r="CK96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K111" i="1" s="1"/>
  <c r="CK114" i="1" s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AE186" i="1"/>
  <c r="AE189" i="1" s="1"/>
  <c r="AE190" i="1" s="1"/>
  <c r="AE181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87" i="1"/>
  <c r="AA86" i="1"/>
  <c r="AA85" i="1"/>
  <c r="AA108" i="1"/>
  <c r="AA111" i="1"/>
  <c r="AA114" i="1"/>
  <c r="AA107" i="1"/>
  <c r="AA110" i="1"/>
  <c r="AA113" i="1"/>
  <c r="AA92" i="1"/>
  <c r="AA99" i="1"/>
  <c r="AA94" i="1"/>
  <c r="AA95" i="1"/>
  <c r="AA96" i="1"/>
  <c r="AA102" i="1"/>
  <c r="AA103" i="1"/>
  <c r="AA10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Z108" i="1"/>
  <c r="Z111" i="1"/>
  <c r="Z114" i="1"/>
  <c r="Z99" i="1"/>
  <c r="Z107" i="1"/>
  <c r="Z110" i="1"/>
  <c r="Z113" i="1"/>
  <c r="Z92" i="1"/>
  <c r="Z66" i="1"/>
  <c r="X63" i="1"/>
  <c r="Y65" i="1"/>
  <c r="AC65" i="1"/>
  <c r="AD63" i="1"/>
  <c r="AD65" i="1"/>
  <c r="AE63" i="1"/>
  <c r="AE65" i="1"/>
  <c r="Y92" i="1"/>
  <c r="X65" i="1"/>
  <c r="Z69" i="1"/>
  <c r="Z94" i="1"/>
  <c r="Z102" i="1"/>
  <c r="Z103" i="1"/>
  <c r="X99" i="1"/>
  <c r="X107" i="1"/>
  <c r="X110" i="1"/>
  <c r="X113" i="1"/>
  <c r="X92" i="1"/>
  <c r="X108" i="1"/>
  <c r="X111" i="1"/>
  <c r="X114" i="1"/>
  <c r="X66" i="1"/>
  <c r="Y95" i="1"/>
  <c r="Y94" i="1"/>
  <c r="Y96" i="1"/>
  <c r="Z86" i="1"/>
  <c r="Z85" i="1"/>
  <c r="Z87" i="1"/>
  <c r="Y66" i="1"/>
  <c r="Y69" i="1"/>
  <c r="Y85" i="1"/>
  <c r="Y86" i="1"/>
  <c r="Y87" i="1"/>
  <c r="X69" i="1"/>
  <c r="Y70" i="1"/>
  <c r="X68" i="1"/>
  <c r="X95" i="1"/>
  <c r="X94" i="1"/>
  <c r="X96" i="1"/>
  <c r="Z70" i="1"/>
  <c r="X104" i="1"/>
  <c r="X103" i="1"/>
  <c r="X102" i="1"/>
  <c r="X87" i="1"/>
  <c r="X86" i="1"/>
  <c r="X85" i="1"/>
  <c r="W63" i="1"/>
  <c r="AE107" i="1"/>
  <c r="Y99" i="1"/>
  <c r="X70" i="1"/>
  <c r="AB99" i="1"/>
  <c r="AC99" i="1"/>
  <c r="AE99" i="1"/>
  <c r="AB66" i="1"/>
  <c r="AB68" i="1"/>
  <c r="AB104" i="1"/>
  <c r="AB108" i="1"/>
  <c r="AC66" i="1"/>
  <c r="AC92" i="1"/>
  <c r="AC108" i="1"/>
  <c r="AC95" i="1"/>
  <c r="Y68" i="1"/>
  <c r="Y104" i="1"/>
  <c r="AE103" i="1"/>
  <c r="V63" i="1"/>
  <c r="U63" i="1"/>
  <c r="T63" i="1"/>
  <c r="S63" i="1"/>
  <c r="R63" i="1"/>
  <c r="Q63" i="1"/>
  <c r="Q65" i="1"/>
  <c r="Q99" i="1"/>
  <c r="P63" i="1"/>
  <c r="O63" i="1"/>
  <c r="N63" i="1"/>
  <c r="M63" i="1"/>
  <c r="L63" i="1"/>
  <c r="K63" i="1"/>
  <c r="J63" i="1"/>
  <c r="I63" i="1"/>
  <c r="H63" i="1"/>
  <c r="H65" i="1"/>
  <c r="H99" i="1"/>
  <c r="U65" i="1"/>
  <c r="U99" i="1"/>
  <c r="V65" i="1"/>
  <c r="V99" i="1"/>
  <c r="I65" i="1"/>
  <c r="I99" i="1"/>
  <c r="G63" i="1"/>
  <c r="F63" i="1"/>
  <c r="F65" i="1"/>
  <c r="F99" i="1"/>
  <c r="R65" i="1"/>
  <c r="R99" i="1"/>
  <c r="N65" i="1"/>
  <c r="N66" i="1"/>
  <c r="N69" i="1"/>
  <c r="E63" i="1"/>
  <c r="E65" i="1"/>
  <c r="E99" i="1"/>
  <c r="G65" i="1"/>
  <c r="G66" i="1"/>
  <c r="G69" i="1"/>
  <c r="R66" i="1"/>
  <c r="R69" i="1"/>
  <c r="K65" i="1"/>
  <c r="K99" i="1"/>
  <c r="L65" i="1"/>
  <c r="L99" i="1"/>
  <c r="T65" i="1"/>
  <c r="T99" i="1"/>
  <c r="P65" i="1"/>
  <c r="P99" i="1"/>
  <c r="G99" i="1"/>
  <c r="S65" i="1"/>
  <c r="S99" i="1"/>
  <c r="J65" i="1"/>
  <c r="J99" i="1"/>
  <c r="N99" i="1"/>
  <c r="H66" i="1"/>
  <c r="U66" i="1"/>
  <c r="U69" i="1"/>
  <c r="V66" i="1"/>
  <c r="E66" i="1"/>
  <c r="Q66" i="1"/>
  <c r="T66" i="1"/>
  <c r="T69" i="1"/>
  <c r="M65" i="1"/>
  <c r="M66" i="1"/>
  <c r="M69" i="1"/>
  <c r="O65" i="1"/>
  <c r="O99" i="1"/>
  <c r="W65" i="1"/>
  <c r="W99" i="1"/>
  <c r="K66" i="1"/>
  <c r="P66" i="1"/>
  <c r="P69" i="1"/>
  <c r="J66" i="1"/>
  <c r="J69" i="1"/>
  <c r="F66" i="1"/>
  <c r="F69" i="1"/>
  <c r="I66" i="1"/>
  <c r="L66" i="1"/>
  <c r="S66" i="1"/>
  <c r="S68" i="1"/>
  <c r="T87" i="1"/>
  <c r="M68" i="1"/>
  <c r="T68" i="1"/>
  <c r="K102" i="1"/>
  <c r="Q89" i="1"/>
  <c r="H68" i="1"/>
  <c r="U87" i="1"/>
  <c r="V68" i="1"/>
  <c r="R68" i="1"/>
  <c r="M85" i="1"/>
  <c r="S102" i="1"/>
  <c r="N68" i="1"/>
  <c r="L92" i="1"/>
  <c r="N104" i="1"/>
  <c r="N87" i="1"/>
  <c r="T103" i="1"/>
  <c r="G102" i="1"/>
  <c r="G87" i="1"/>
  <c r="H107" i="1"/>
  <c r="H103" i="1"/>
  <c r="J102" i="1"/>
  <c r="J85" i="1"/>
  <c r="S107" i="1"/>
  <c r="S89" i="1"/>
  <c r="P85" i="1"/>
  <c r="P102" i="1"/>
  <c r="L108" i="1"/>
  <c r="L104" i="1"/>
  <c r="Q103" i="1"/>
  <c r="Q107" i="1"/>
  <c r="Z96" i="1"/>
  <c r="P107" i="1"/>
  <c r="P103" i="1"/>
  <c r="W107" i="1"/>
  <c r="AE66" i="1"/>
  <c r="H92" i="1"/>
  <c r="F92" i="1"/>
  <c r="S92" i="1"/>
  <c r="F96" i="1"/>
  <c r="W89" i="1"/>
  <c r="X89" i="1"/>
  <c r="W92" i="1"/>
  <c r="W96" i="1"/>
  <c r="W110" i="1"/>
  <c r="W113" i="1"/>
  <c r="AC102" i="1"/>
  <c r="AB92" i="1"/>
  <c r="AB111" i="1"/>
  <c r="AB107" i="1"/>
  <c r="AB110" i="1"/>
  <c r="AB113" i="1"/>
  <c r="AC96" i="1"/>
  <c r="AD66" i="1"/>
  <c r="AE69" i="1"/>
  <c r="Y107" i="1"/>
  <c r="Z68" i="1"/>
  <c r="H94" i="1"/>
  <c r="H108" i="1"/>
  <c r="H111" i="1"/>
  <c r="H114" i="1"/>
  <c r="I108" i="1"/>
  <c r="I111" i="1"/>
  <c r="I114" i="1"/>
  <c r="V102" i="1"/>
  <c r="J68" i="1"/>
  <c r="F68" i="1"/>
  <c r="I102" i="1"/>
  <c r="S103" i="1"/>
  <c r="K68" i="1"/>
  <c r="I68" i="1"/>
  <c r="U68" i="1"/>
  <c r="E102" i="1"/>
  <c r="O102" i="1"/>
  <c r="N85" i="1"/>
  <c r="Q68" i="1"/>
  <c r="W108" i="1"/>
  <c r="O103" i="1"/>
  <c r="Q102" i="1"/>
  <c r="J104" i="1"/>
  <c r="H102" i="1"/>
  <c r="G68" i="1"/>
  <c r="L68" i="1"/>
  <c r="E68" i="1"/>
  <c r="P68" i="1"/>
  <c r="W102" i="1"/>
  <c r="L102" i="1"/>
  <c r="K69" i="1"/>
  <c r="Q69" i="1"/>
  <c r="U70" i="1"/>
  <c r="M99" i="1"/>
  <c r="H69" i="1"/>
  <c r="E69" i="1"/>
  <c r="V69" i="1"/>
  <c r="O66" i="1"/>
  <c r="W66" i="1"/>
  <c r="N70" i="1"/>
  <c r="G70" i="1"/>
  <c r="S69" i="1"/>
  <c r="I69" i="1"/>
  <c r="J70" i="1"/>
  <c r="L69" i="1"/>
  <c r="L70" i="1"/>
  <c r="M92" i="1"/>
  <c r="N92" i="1"/>
  <c r="N95" i="1"/>
  <c r="E92" i="1"/>
  <c r="O92" i="1"/>
  <c r="K86" i="1"/>
  <c r="R70" i="1"/>
  <c r="K70" i="1"/>
  <c r="K87" i="1"/>
  <c r="E85" i="1"/>
  <c r="P89" i="1"/>
  <c r="I92" i="1"/>
  <c r="Q87" i="1"/>
  <c r="Q85" i="1"/>
  <c r="Q70" i="1"/>
  <c r="H70" i="1"/>
  <c r="H87" i="1"/>
  <c r="F70" i="1"/>
  <c r="H85" i="1"/>
  <c r="H86" i="1"/>
  <c r="D89" i="1"/>
  <c r="M104" i="1"/>
  <c r="M103" i="1"/>
  <c r="M102" i="1"/>
  <c r="E86" i="1"/>
  <c r="U89" i="1"/>
  <c r="V86" i="1"/>
  <c r="V85" i="1"/>
  <c r="V87" i="1"/>
  <c r="V70" i="1"/>
  <c r="O69" i="1"/>
  <c r="S70" i="1"/>
  <c r="T70" i="1"/>
  <c r="M70" i="1"/>
  <c r="I70" i="1"/>
  <c r="I85" i="1"/>
  <c r="H89" i="1"/>
  <c r="S87" i="1"/>
  <c r="L86" i="1"/>
  <c r="L87" i="1"/>
  <c r="N102" i="1"/>
  <c r="W104" i="1"/>
  <c r="N108" i="1"/>
  <c r="T86" i="1"/>
  <c r="G85" i="1"/>
  <c r="G104" i="1"/>
  <c r="G108" i="1"/>
  <c r="I104" i="1"/>
  <c r="Q104" i="1"/>
  <c r="Q108" i="1"/>
  <c r="R108" i="1"/>
  <c r="R104" i="1"/>
  <c r="R87" i="1"/>
  <c r="U102" i="1"/>
  <c r="U85" i="1"/>
  <c r="J89" i="1"/>
  <c r="Q86" i="1"/>
  <c r="G89" i="1"/>
  <c r="E87" i="1"/>
  <c r="T108" i="1"/>
  <c r="T104" i="1"/>
  <c r="T107" i="1"/>
  <c r="T89" i="1"/>
  <c r="U108" i="1"/>
  <c r="U104" i="1"/>
  <c r="T85" i="1"/>
  <c r="T102" i="1"/>
  <c r="P86" i="1"/>
  <c r="W103" i="1"/>
  <c r="AE92" i="1"/>
  <c r="R92" i="1"/>
  <c r="U92" i="1"/>
  <c r="J92" i="1"/>
  <c r="R95" i="1"/>
  <c r="R111" i="1"/>
  <c r="U94" i="1"/>
  <c r="N111" i="1"/>
  <c r="AE110" i="1"/>
  <c r="Z95" i="1"/>
  <c r="M107" i="1"/>
  <c r="M110" i="1"/>
  <c r="M113" i="1"/>
  <c r="W69" i="1"/>
  <c r="V89" i="1"/>
  <c r="W95" i="1"/>
  <c r="W111" i="1"/>
  <c r="W114" i="1"/>
  <c r="AB102" i="1"/>
  <c r="AD99" i="1"/>
  <c r="AE102" i="1"/>
  <c r="AB94" i="1"/>
  <c r="AB103" i="1"/>
  <c r="AB95" i="1"/>
  <c r="AC69" i="1"/>
  <c r="AC68" i="1"/>
  <c r="AC103" i="1"/>
  <c r="AC107" i="1"/>
  <c r="AC86" i="1"/>
  <c r="AC110" i="1"/>
  <c r="AD108" i="1"/>
  <c r="AD111" i="1"/>
  <c r="AE104" i="1"/>
  <c r="AE108" i="1"/>
  <c r="AE111" i="1"/>
  <c r="AE114" i="1"/>
  <c r="Y108" i="1"/>
  <c r="Y102" i="1"/>
  <c r="I86" i="1"/>
  <c r="L85" i="1"/>
  <c r="S108" i="1"/>
  <c r="S111" i="1"/>
  <c r="S114" i="1"/>
  <c r="J96" i="1"/>
  <c r="S96" i="1"/>
  <c r="E108" i="1"/>
  <c r="E111" i="1"/>
  <c r="E114" i="1"/>
  <c r="AD89" i="1"/>
  <c r="AE86" i="1"/>
  <c r="Y111" i="1"/>
  <c r="Y114" i="1"/>
  <c r="L107" i="1"/>
  <c r="L103" i="1"/>
  <c r="L89" i="1"/>
  <c r="E103" i="1"/>
  <c r="E89" i="1"/>
  <c r="E107" i="1"/>
  <c r="M108" i="1"/>
  <c r="M87" i="1"/>
  <c r="O104" i="1"/>
  <c r="O108" i="1"/>
  <c r="K108" i="1"/>
  <c r="K104" i="1"/>
  <c r="R107" i="1"/>
  <c r="R103" i="1"/>
  <c r="R86" i="1"/>
  <c r="V103" i="1"/>
  <c r="V107" i="1"/>
  <c r="O107" i="1"/>
  <c r="O89" i="1"/>
  <c r="M89" i="1"/>
  <c r="M86" i="1"/>
  <c r="J108" i="1"/>
  <c r="J87" i="1"/>
  <c r="N107" i="1"/>
  <c r="N86" i="1"/>
  <c r="N103" i="1"/>
  <c r="F107" i="1"/>
  <c r="F89" i="1"/>
  <c r="F103" i="1"/>
  <c r="F86" i="1"/>
  <c r="F102" i="1"/>
  <c r="F85" i="1"/>
  <c r="E104" i="1"/>
  <c r="P108" i="1"/>
  <c r="P87" i="1"/>
  <c r="P104" i="1"/>
  <c r="U86" i="1"/>
  <c r="U107" i="1"/>
  <c r="U103" i="1"/>
  <c r="K107" i="1"/>
  <c r="K103" i="1"/>
  <c r="V104" i="1"/>
  <c r="V108" i="1"/>
  <c r="I107" i="1"/>
  <c r="I89" i="1"/>
  <c r="I103" i="1"/>
  <c r="R102" i="1"/>
  <c r="R85" i="1"/>
  <c r="F108" i="1"/>
  <c r="F87" i="1"/>
  <c r="F104" i="1"/>
  <c r="J107" i="1"/>
  <c r="J103" i="1"/>
  <c r="J86" i="1"/>
  <c r="H104" i="1"/>
  <c r="S104" i="1"/>
  <c r="G107" i="1"/>
  <c r="G103" i="1"/>
  <c r="G86" i="1"/>
  <c r="L95" i="1"/>
  <c r="L94" i="1"/>
  <c r="L96" i="1"/>
  <c r="N96" i="1"/>
  <c r="N94" i="1"/>
  <c r="M95" i="1"/>
  <c r="M96" i="1"/>
  <c r="M94" i="1"/>
  <c r="E94" i="1"/>
  <c r="E95" i="1"/>
  <c r="E96" i="1"/>
  <c r="O94" i="1"/>
  <c r="O96" i="1"/>
  <c r="O95" i="1"/>
  <c r="F110" i="1"/>
  <c r="F113" i="1"/>
  <c r="F111" i="1"/>
  <c r="F114" i="1"/>
  <c r="I94" i="1"/>
  <c r="I96" i="1"/>
  <c r="I95" i="1"/>
  <c r="P70" i="1"/>
  <c r="N89" i="1"/>
  <c r="O86" i="1"/>
  <c r="O87" i="1"/>
  <c r="K92" i="1"/>
  <c r="Q92" i="1"/>
  <c r="V92" i="1"/>
  <c r="S110" i="1"/>
  <c r="S113" i="1"/>
  <c r="J110" i="1"/>
  <c r="J111" i="1"/>
  <c r="G110" i="1"/>
  <c r="G111" i="1"/>
  <c r="Q111" i="1"/>
  <c r="Q110" i="1"/>
  <c r="O111" i="1"/>
  <c r="O110" i="1"/>
  <c r="K94" i="1"/>
  <c r="Q96" i="1"/>
  <c r="P111" i="1"/>
  <c r="P110" i="1"/>
  <c r="L111" i="1"/>
  <c r="L110" i="1"/>
  <c r="M111" i="1"/>
  <c r="E110" i="1"/>
  <c r="Z104" i="1"/>
  <c r="O70" i="1"/>
  <c r="T110" i="1"/>
  <c r="T113" i="1"/>
  <c r="T92" i="1"/>
  <c r="G92" i="1"/>
  <c r="P92" i="1"/>
  <c r="T95" i="1"/>
  <c r="R110" i="1"/>
  <c r="H96" i="1"/>
  <c r="G96" i="1"/>
  <c r="J114" i="1"/>
  <c r="H110" i="1"/>
  <c r="F94" i="1"/>
  <c r="G114" i="1"/>
  <c r="O114" i="1"/>
  <c r="K110" i="1"/>
  <c r="S94" i="1"/>
  <c r="P95" i="1"/>
  <c r="U111" i="1"/>
  <c r="L114" i="1"/>
  <c r="N110" i="1"/>
  <c r="AE96" i="1"/>
  <c r="K96" i="1"/>
  <c r="E70" i="1"/>
  <c r="W68" i="1"/>
  <c r="W86" i="1"/>
  <c r="W85" i="1"/>
  <c r="W94" i="1"/>
  <c r="Y89" i="1"/>
  <c r="AD102" i="1"/>
  <c r="Z89" i="1"/>
  <c r="AB69" i="1"/>
  <c r="AB85" i="1"/>
  <c r="AB87" i="1"/>
  <c r="AB114" i="1"/>
  <c r="AC94" i="1"/>
  <c r="AC104" i="1"/>
  <c r="AC87" i="1"/>
  <c r="AC111" i="1"/>
  <c r="AD69" i="1"/>
  <c r="AD92" i="1"/>
  <c r="AD104" i="1"/>
  <c r="AD107" i="1"/>
  <c r="AD95" i="1"/>
  <c r="AD110" i="1"/>
  <c r="AD113" i="1"/>
  <c r="Y110" i="1"/>
  <c r="Y113" i="1"/>
  <c r="Y103" i="1"/>
  <c r="O68" i="1"/>
  <c r="R89" i="1"/>
  <c r="R96" i="1"/>
  <c r="T111" i="1"/>
  <c r="T114" i="1"/>
  <c r="R114" i="1"/>
  <c r="U96" i="1"/>
  <c r="I110" i="1"/>
  <c r="I113" i="1"/>
  <c r="J94" i="1"/>
  <c r="S95" i="1"/>
  <c r="P96" i="1"/>
  <c r="N114" i="1"/>
  <c r="AE87" i="1"/>
  <c r="AE70" i="1"/>
  <c r="Q94" i="1"/>
  <c r="P114" i="1"/>
  <c r="M114" i="1"/>
  <c r="V95" i="1"/>
  <c r="W87" i="1"/>
  <c r="AB96" i="1"/>
  <c r="AC85" i="1"/>
  <c r="AC113" i="1"/>
  <c r="AD68" i="1"/>
  <c r="AD85" i="1"/>
  <c r="AD94" i="1"/>
  <c r="AD103" i="1"/>
  <c r="AD96" i="1"/>
  <c r="AE68" i="1"/>
  <c r="AE95" i="1"/>
  <c r="I87" i="1"/>
  <c r="K85" i="1"/>
  <c r="V110" i="1"/>
  <c r="V113" i="1"/>
  <c r="H95" i="1"/>
  <c r="H113" i="1"/>
  <c r="F95" i="1"/>
  <c r="K111" i="1"/>
  <c r="K114" i="1"/>
  <c r="P94" i="1"/>
  <c r="U110" i="1"/>
  <c r="U113" i="1"/>
  <c r="N113" i="1"/>
  <c r="AE85" i="1"/>
  <c r="O85" i="1"/>
  <c r="V111" i="1"/>
  <c r="V114" i="1"/>
  <c r="R94" i="1"/>
  <c r="U95" i="1"/>
  <c r="G94" i="1"/>
  <c r="Q113" i="1"/>
  <c r="J95" i="1"/>
  <c r="K95" i="1"/>
  <c r="L113" i="1"/>
  <c r="E113" i="1"/>
  <c r="V94" i="1"/>
  <c r="AE113" i="1"/>
  <c r="V96" i="1"/>
  <c r="W70" i="1"/>
  <c r="AA89" i="1"/>
  <c r="AB86" i="1"/>
  <c r="AC70" i="1"/>
  <c r="AB89" i="1"/>
  <c r="AD86" i="1"/>
  <c r="AD87" i="1"/>
  <c r="AD114" i="1"/>
  <c r="AE94" i="1"/>
  <c r="S86" i="1"/>
  <c r="S85" i="1"/>
  <c r="K89" i="1"/>
  <c r="T96" i="1"/>
  <c r="R113" i="1"/>
  <c r="K113" i="1"/>
  <c r="T94" i="1"/>
  <c r="J113" i="1"/>
  <c r="G113" i="1"/>
  <c r="Q114" i="1"/>
  <c r="O113" i="1"/>
  <c r="Q95" i="1"/>
  <c r="U114" i="1"/>
  <c r="P113" i="1"/>
  <c r="AB70" i="1"/>
  <c r="AC114" i="1"/>
  <c r="AD70" i="1"/>
  <c r="AC89" i="1"/>
  <c r="G9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<sst xmlns="http://schemas.openxmlformats.org/spreadsheetml/2006/main" count="663" uniqueCount="524">
  <si>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</si>
  <si>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</si>
  <si>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</si>
  <si>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</si>
  <si>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</si>
  <si>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</si>
  <si>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</si>
  <si>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</si>
  <si>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</si>
  <si>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</si>
  <si>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</si>
  <si>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</si>
  <si>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</si>
  <si>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</si>
  <si>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</si>
  <si>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</si>
  <si>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</si>
  <si>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</si>
  <si>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</si>
  <si>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</si>
  <si>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</si>
  <si>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</si>
  <si>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</si>
  <si>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</si>
  <si>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</si>
  <si>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</si>
  <si>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</si>
  <si>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</si>
  <si>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</si>
  <si>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</si>
  <si>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</si>
  <si>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</si>
  <si>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</si>
  <si>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</si>
  <si>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</si>
  <si>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</si>
  <si>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</si>
  <si>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</si>
  <si>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</si>
  <si>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</si>
  <si>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</si>
  <si>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</si>
  <si>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</si>
  <si>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</si>
  <si>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</si>
  <si>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</si>
  <si>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</si>
  <si>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</si>
  <si>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</si>
  <si>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</si>
  <si>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</si>
  <si>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</si>
  <si>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</si>
  <si>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</si>
  <si>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</si>
  <si>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</si>
  <si>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</si>
  <si>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</si>
  <si>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</si>
  <si>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</si>
  <si>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</si>
  <si>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</si>
  <si>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</si>
  <si>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</si>
  <si>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</si>
  <si>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</si>
  <si>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</si>
  <si>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</si>
  <si>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</si>
  <si>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</si>
  <si>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</si>
  <si>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</si>
  <si>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</si>
  <si>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</si>
  <si>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</si>
  <si>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</si>
  <si>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</si>
  <si>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</si>
  <si>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</si>
  <si>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</si>
  <si>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</si>
  <si>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</si>
  <si>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</si>
  <si>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</si>
  <si>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</si>
  <si>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</si>
  <si>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</si>
  <si>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</si>
  <si>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</si>
  <si>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</si>
  <si>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</si>
  <si>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</si>
  <si>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</si>
  <si>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</si>
  <si>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</si>
  <si>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</si>
  <si>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</si>
  <si>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</si>
  <si>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</si>
  <si>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</si>
  <si>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</si>
  <si>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</si>
  <si>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</si>
  <si>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</si>
  <si>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</si>
  <si>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</si>
  <si>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</si>
  <si>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</si>
  <si>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</si>
  <si>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</si>
  <si>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</si>
  <si>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</si>
  <si>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</si>
  <si>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</si>
  <si>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</si>
  <si>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</si>
  <si>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</si>
  <si>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</si>
  <si>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</si>
  <si>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</si>
  <si>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</si>
  <si>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</si>
  <si>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</si>
  <si>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</si>
  <si>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</si>
  <si>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</si>
  <si>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</si>
  <si>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</si>
  <si>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</si>
  <si>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</si>
  <si>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</si>
  <si>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</si>
  <si>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</si>
  <si>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</si>
  <si>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</si>
  <si>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</si>
  <si>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</si>
  <si>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</si>
  <si>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</si>
  <si>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</si>
  <si>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</si>
  <si>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</si>
  <si>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</si>
  <si>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</si>
  <si>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</si>
  <si>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</si>
  <si>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</si>
  <si>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</si>
  <si>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</si>
  <si>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</si>
  <si>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</si>
  <si>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</si>
  <si>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</si>
  <si>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</si>
  <si>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</si>
  <si>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</si>
  <si>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</si>
  <si>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</si>
  <si>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</si>
  <si>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</si>
  <si>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</si>
  <si>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</si>
  <si>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</si>
  <si>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</si>
  <si>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</si>
  <si>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</si>
  <si>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</si>
  <si>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</si>
  <si>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</si>
  <si>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</si>
  <si>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</si>
  <si>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</si>
  <si>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</si>
  <si>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</si>
  <si>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</si>
  <si>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</si>
  <si>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</si>
  <si>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</si>
  <si>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</si>
  <si>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</si>
  <si>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</si>
  <si>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</si>
  <si>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</si>
  <si>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</si>
  <si>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</si>
  <si>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</si>
  <si>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</si>
  <si>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</si>
  <si>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</si>
  <si>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</si>
  <si>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</si>
  <si>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</si>
  <si>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</si>
  <si>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</si>
  <si>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</si>
  <si>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</si>
  <si>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</si>
  <si>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</si>
  <si>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</si>
  <si>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</si>
  <si>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</si>
  <si>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</si>
  <si>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</si>
  <si>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</si>
  <si>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</si>
  <si>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</si>
  <si>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</si>
  <si>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</si>
  <si>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</si>
  <si>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</si>
  <si>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</si>
  <si>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</si>
  <si>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</si>
  <si>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</si>
  <si>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</si>
  <si>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</si>
  <si>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</si>
  <si>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</si>
  <si>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</si>
  <si>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</si>
  <si>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</si>
  <si>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</si>
  <si>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</si>
  <si>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</si>
  <si>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</si>
  <si>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</si>
  <si>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</si>
  <si>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</si>
  <si>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</si>
  <si>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</si>
  <si>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</si>
  <si>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</si>
  <si>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</si>
  <si>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</si>
  <si>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</si>
  <si>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</si>
  <si>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</si>
  <si>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</si>
  <si>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</si>
  <si>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</si>
  <si>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</si>
  <si>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</si>
  <si>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</si>
  <si>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</si>
  <si>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</si>
  <si>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</si>
  <si>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</si>
  <si>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</si>
  <si>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</si>
  <si>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</si>
  <si>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</si>
  <si>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</si>
  <si>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</si>
  <si>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</si>
  <si>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</si>
  <si>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</si>
  <si>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</si>
  <si>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</si>
  <si>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</si>
  <si>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</si>
  <si>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</si>
  <si>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</si>
  <si>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</si>
  <si>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</si>
  <si>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</si>
  <si>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</si>
  <si>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</si>
  <si>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</si>
  <si>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</si>
  <si>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</si>
  <si>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</si>
  <si>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</si>
  <si>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</si>
  <si>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</si>
  <si>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</si>
  <si>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</si>
  <si>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</si>
  <si>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</si>
  <si>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</si>
  <si>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</si>
  <si>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</si>
  <si>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</si>
  <si>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</si>
  <si>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</si>
  <si>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</si>
  <si>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</si>
  <si>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</si>
  <si>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</si>
  <si>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</si>
  <si>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</si>
  <si>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</si>
  <si>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</si>
  <si>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</si>
  <si>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</si>
  <si>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</si>
  <si>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</si>
  <si>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</si>
  <si>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</si>
  <si>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</si>
  <si>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</si>
  <si>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</si>
  <si>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</si>
  <si>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</si>
  <si>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</si>
  <si>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</si>
  <si>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</si>
  <si>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</si>
  <si>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</si>
  <si>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</si>
  <si>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</si>
  <si>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</si>
  <si>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</si>
  <si>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</si>
  <si>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</si>
  <si>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</si>
  <si>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</si>
  <si>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</si>
  <si>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</si>
  <si>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</si>
  <si>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</si>
  <si>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</si>
  <si>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</si>
  <si>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</si>
  <si>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</si>
  <si>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</si>
  <si>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</si>
  <si>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</si>
  <si>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</si>
  <si>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</si>
  <si>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</si>
  <si>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</si>
  <si>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</si>
  <si>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</si>
  <si>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</si>
  <si>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</si>
  <si>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</si>
  <si>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</si>
  <si>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</si>
  <si>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</si>
  <si>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</si>
  <si>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</si>
  <si>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</si>
  <si>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</si>
  <si>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</si>
  <si>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</si>
  <si>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</si>
  <si>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</si>
  <si>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</si>
  <si>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</si>
  <si>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</si>
  <si>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</si>
  <si>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</si>
  <si>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</si>
  <si>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</si>
  <si>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</si>
  <si>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</si>
  <si>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</si>
  <si>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</si>
  <si>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</si>
  <si>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</si>
  <si>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</si>
  <si>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</si>
  <si>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</si>
  <si>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</si>
  <si>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</si>
  <si>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</si>
  <si>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</si>
  <si>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</si>
  <si>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</si>
  <si>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</si>
  <si>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</si>
  <si>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</si>
  <si>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</si>
  <si>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</si>
  <si>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</si>
  <si>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</si>
  <si>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</si>
  <si>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</si>
  <si>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</si>
  <si>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</si>
  <si>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</si>
  <si>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</si>
  <si>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</si>
  <si>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</si>
  <si>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</si>
  <si>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</si>
  <si>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</si>
  <si>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</si>
  <si>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</si>
  <si>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</si>
  <si>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</si>
  <si>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</si>
  <si>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</si>
  <si>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</si>
  <si>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</si>
  <si>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</si>
  <si>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</si>
  <si>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</si>
  <si>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</si>
  <si>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</si>
  <si>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</si>
  <si>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</si>
  <si>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</si>
  <si>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</si>
  <si>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</si>
  <si>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</si>
  <si>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</si>
  <si>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</si>
  <si>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</si>
  <si>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</si>
  <si>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</si>
  <si>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</si>
  <si>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</si>
  <si>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</si>
  <si>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</si>
  <si>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</si>
  <si>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</si>
  <si>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</si>
  <si>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</si>
  <si>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</si>
  <si>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</si>
  <si>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</si>
  <si>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</si>
  <si>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</si>
  <si>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</si>
  <si>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</si>
  <si>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</si>
  <si>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</si>
  <si>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</si>
  <si>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</si>
  <si>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</si>
  <si>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</si>
  <si>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</si>
  <si>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</si>
  <si>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</si>
  <si>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</si>
  <si>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</si>
  <si>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</si>
  <si>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</si>
  <si>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</si>
  <si>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</si>
  <si>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</si>
  <si>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</si>
  <si>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</si>
  <si>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</si>
  <si>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</si>
  <si>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</si>
  <si>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</si>
  <si>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</si>
  <si>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</si>
  <si>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</si>
  <si>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</si>
  <si>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</si>
  <si>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</si>
  <si>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</si>
  <si>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</si>
  <si>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</si>
  <si>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</si>
  <si>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</si>
  <si>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</si>
  <si>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</si>
  <si>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</si>
  <si>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</si>
  <si>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</si>
  <si>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</si>
  <si>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</si>
  <si>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</si>
  <si>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</si>
  <si>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</si>
  <si>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</si>
  <si>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</si>
  <si>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</si>
  <si>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</si>
  <si>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</si>
  <si>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</si>
  <si>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</si>
  <si>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</si>
  <si>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</si>
  <si>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</si>
  <si>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</si>
  <si>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</si>
  <si>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</si>
  <si>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</si>
  <si>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</si>
  <si>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</si>
  <si>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</si>
  <si>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</si>
  <si>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</si>
  <si>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</si>
  <si>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</si>
  <si>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</si>
  <si>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</si>
  <si>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</si>
  <si>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</si>
  <si>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</si>
  <si>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</si>
  <si>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</si>
  <si>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</si>
  <si>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</si>
  <si>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</si>
  <si>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</si>
  <si>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</si>
  <si>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</si>
  <si>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</si>
  <si>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</si>
  <si>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</si>
  <si>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</si>
  <si>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</si>
  <si>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</si>
  <si>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</si>
  <si>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</si>
  <si>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</si>
  <si>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</si>
  <si>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</si>
  <si>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</si>
  <si>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Cyient DLM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</si>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</sst>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1261.4850000000001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2.6280000000000001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1258.8570000000002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t="shared" ref="CM11" ca="1" si="57">+AVERAGE(CI11:CL11)</f>
        <v>#NAME?</v>
      </c>
      <c r="CN11" s="40" t="e">
        <f t="shared" ref="CN11" ca="1" si="58">+AVERAGE(CJ11:CM11)</f>
        <v>#NAME?</v>
      </c>
      <c r="CO11" s="40" t="e">
        <f t="shared" ref="CO11" ca="1" si="59">+AVERAGE(CK11:CN11)</f>
        <v>#NAME?</v>
      </c>
      <c r="CP11" s="40" t="e">
        <f t="shared" ref="CP11" ca="1" si="60">+AVERAGE(CL11:CO11)</f>
        <v>#NAME?</v>
      </c>
      <c r="CQ11" s="40" t="e">
        <f t="shared" ref="CQ11" ca="1" si="61">+AVERAGE(CM11:CP11)</f>
        <v>#NAME?</v>
      </c>
      <c r="CR11" s="40" t="e">
        <f t="shared" ref="CR11" ca="1" si="62">+AVERAGE(CN11:CQ11)</f>
        <v>#NAME?</v>
      </c>
      <c r="CS11" s="40" t="e">
        <f t="shared" ref="CS11" ca="1" si="63">+AVERAGE(CO11:CR11)</f>
        <v>#NAME?</v>
      </c>
      <c r="CT11" s="40" t="e">
        <f t="shared" ref="CT11" ca="1" si="64">+AVERAGE(CP11:CS11)</f>
        <v>#NAME?</v>
      </c>
      <c r="CU11" s="40" t="e">
        <f t="shared" ref="CU11" ca="1" si="65">+AVERAGE(CQ11:CT11)</f>
        <v>#NAME?</v>
      </c>
      <c r="CV11" s="40" t="e">
        <f t="shared" ref="CV11" ca="1" si="66">+AVERAGE(CR11:CU11)</f>
        <v>#NAME?</v>
      </c>
      <c r="CW11" s="40" t="e">
        <f t="shared" ref="CW11" ca="1" si="67">+AVERAGE(CS11:CV11)</f>
        <v>#NAME?</v>
      </c>
      <c r="CX11" s="40" t="e">
        <f t="shared" ref="CX11" ca="1" si="68">+AVERAGE(CT11:CW11)</f>
        <v>#NAME?</v>
      </c>
      <c r="CY11" s="40" t="e">
        <f t="shared" ref="CY11" ca="1" si="69">+AVERAGE(CU11:CX11)</f>
        <v>#NAME?</v>
      </c>
      <c r="CZ11" s="40" t="e">
        <f t="shared" ref="CZ11" ca="1" si="70">+AVERAGE(CV11:CY11)</f>
        <v>#NAME?</v>
      </c>
      <c r="DA11" s="40" t="e">
        <f t="shared" ref="DA11" ca="1" si="71">+AVERAGE(CW11:CZ11)</f>
        <v>#NAME?</v>
      </c>
      <c r="DB11" s="40" t="e">
        <f t="shared" ref="DB11" ca="1" si="72">+AVERAGE(CX11:DA11)</f>
        <v>#NAME?</v>
      </c>
      <c r="DE11" s="122"/>
      <c r="DF11" s="39">
        <v>-0.17160077545396024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3">+IF(AI10&lt;0,1-AJ10/AI10,AJ10/AI10-1)</f>
        <v>#NAME?</v>
      </c>
      <c r="AK12" s="39" t="e">
        <f t="shared" ca="1" si="73"/>
        <v>#NAME?</v>
      </c>
      <c r="AL12" s="39" t="e">
        <f t="shared" ca="1" si="73"/>
        <v>#NAME?</v>
      </c>
      <c r="AM12" s="39" t="e">
        <f t="shared" ref="AM12:CI12" ca="1" si="74">+IF(AL10&lt;0,1-AM10/AL10,AM10/AL10-1)</f>
        <v>#NAME?</v>
      </c>
      <c r="AN12" s="39" t="e">
        <f t="shared" ca="1" si="74"/>
        <v>#NAME?</v>
      </c>
      <c r="AO12" s="39" t="e">
        <f t="shared" ca="1" si="74"/>
        <v>#NAME?</v>
      </c>
      <c r="AP12" s="39" t="e">
        <f t="shared" ca="1" si="74"/>
        <v>#NAME?</v>
      </c>
      <c r="AQ12" s="39" t="e">
        <f t="shared" ca="1" si="74"/>
        <v>#NAME?</v>
      </c>
      <c r="AR12" s="39" t="e">
        <f t="shared" ca="1" si="74"/>
        <v>#NAME?</v>
      </c>
      <c r="AS12" s="39" t="e">
        <f t="shared" ca="1" si="74"/>
        <v>#NAME?</v>
      </c>
      <c r="AT12" s="39" t="e">
        <f t="shared" ca="1" si="74"/>
        <v>#NAME?</v>
      </c>
      <c r="AU12" s="39" t="e">
        <f t="shared" ca="1" si="74"/>
        <v>#NAME?</v>
      </c>
      <c r="AV12" s="39" t="e">
        <f t="shared" ca="1" si="74"/>
        <v>#NAME?</v>
      </c>
      <c r="AW12" s="39" t="e">
        <f t="shared" ca="1" si="74"/>
        <v>#NAME?</v>
      </c>
      <c r="AX12" s="39" t="e">
        <f t="shared" ca="1" si="74"/>
        <v>#NAME?</v>
      </c>
      <c r="AY12" s="39" t="e">
        <f t="shared" ca="1" si="74"/>
        <v>#NAME?</v>
      </c>
      <c r="AZ12" s="39" t="e">
        <f t="shared" ca="1" si="74"/>
        <v>#NAME?</v>
      </c>
      <c r="BA12" s="39" t="e">
        <f t="shared" ca="1" si="74"/>
        <v>#NAME?</v>
      </c>
      <c r="BB12" s="39" t="e">
        <f t="shared" ca="1" si="74"/>
        <v>#NAME?</v>
      </c>
      <c r="BC12" s="39" t="e">
        <f t="shared" ca="1" si="74"/>
        <v>#NAME?</v>
      </c>
      <c r="BD12" s="39" t="e">
        <f t="shared" ca="1" si="74"/>
        <v>#NAME?</v>
      </c>
      <c r="BE12" s="39" t="e">
        <f t="shared" ca="1" si="74"/>
        <v>#NAME?</v>
      </c>
      <c r="BF12" s="39" t="e">
        <f t="shared" ca="1" si="74"/>
        <v>#NAME?</v>
      </c>
      <c r="BG12" s="39" t="e">
        <f t="shared" ca="1" si="74"/>
        <v>#NAME?</v>
      </c>
      <c r="BH12" s="39" t="e">
        <f t="shared" ca="1" si="74"/>
        <v>#NAME?</v>
      </c>
      <c r="BI12" s="39" t="e">
        <f t="shared" ca="1" si="74"/>
        <v>#NAME?</v>
      </c>
      <c r="BJ12" s="39" t="e">
        <f t="shared" ca="1" si="74"/>
        <v>#NAME?</v>
      </c>
      <c r="BK12" s="39" t="e">
        <f t="shared" ca="1" si="74"/>
        <v>#NAME?</v>
      </c>
      <c r="BL12" s="39" t="e">
        <f t="shared" ca="1" si="74"/>
        <v>#NAME?</v>
      </c>
      <c r="BM12" s="39" t="e">
        <f t="shared" ca="1" si="74"/>
        <v>#NAME?</v>
      </c>
      <c r="BN12" s="39" t="e">
        <f t="shared" ca="1" si="74"/>
        <v>#NAME?</v>
      </c>
      <c r="BO12" s="39" t="e">
        <f t="shared" ca="1" si="74"/>
        <v>#NAME?</v>
      </c>
      <c r="BP12" s="39" t="e">
        <f t="shared" ca="1" si="74"/>
        <v>#NAME?</v>
      </c>
      <c r="BQ12" s="39" t="e">
        <f t="shared" ca="1" si="74"/>
        <v>#NAME?</v>
      </c>
      <c r="BR12" s="39" t="e">
        <f t="shared" ca="1" si="74"/>
        <v>#NAME?</v>
      </c>
      <c r="BS12" s="39" t="e">
        <f t="shared" ca="1" si="74"/>
        <v>#NAME?</v>
      </c>
      <c r="BT12" s="39" t="e">
        <f t="shared" ca="1" si="74"/>
        <v>#NAME?</v>
      </c>
      <c r="BU12" s="39" t="e">
        <f t="shared" ca="1" si="74"/>
        <v>#NAME?</v>
      </c>
      <c r="BV12" s="39" t="e">
        <f t="shared" ca="1" si="74"/>
        <v>#NAME?</v>
      </c>
      <c r="BW12" s="39" t="e">
        <f t="shared" ca="1" si="74"/>
        <v>#NAME?</v>
      </c>
      <c r="BX12" s="39" t="e">
        <f t="shared" ca="1" si="74"/>
        <v>#NAME?</v>
      </c>
      <c r="BY12" s="39" t="e">
        <f t="shared" ca="1" si="74"/>
        <v>#NAME?</v>
      </c>
      <c r="BZ12" s="39" t="e">
        <f t="shared" ca="1" si="74"/>
        <v>#NAME?</v>
      </c>
      <c r="CA12" s="39" t="e">
        <f t="shared" ca="1" si="74"/>
        <v>#NAME?</v>
      </c>
      <c r="CB12" s="39" t="e">
        <f t="shared" ca="1" si="74"/>
        <v>#NAME?</v>
      </c>
      <c r="CC12" s="39" t="e">
        <f t="shared" ca="1" si="74"/>
        <v>#NAME?</v>
      </c>
      <c r="CD12" s="39" t="e">
        <f t="shared" ca="1" si="74"/>
        <v>#NAME?</v>
      </c>
      <c r="CE12" s="39" t="e">
        <f t="shared" ca="1" si="74"/>
        <v>#NAME?</v>
      </c>
      <c r="CF12" s="39" t="e">
        <f t="shared" ca="1" si="74"/>
        <v>#NAME?</v>
      </c>
      <c r="CG12" s="39" t="e">
        <f t="shared" ca="1" si="74"/>
        <v>#NAME?</v>
      </c>
      <c r="CH12" s="39" t="e">
        <f t="shared" ca="1" si="74"/>
        <v>#NAME?</v>
      </c>
      <c r="CI12" s="39" t="e">
        <f t="shared" ca="1" si="74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75">+CM10/CL10-1</f>
        <v>#NAME?</v>
      </c>
      <c r="CN12" s="40" t="e">
        <f t="shared" ref="CN12" ca="1" si="76">+CN10/CM10-1</f>
        <v>#NAME?</v>
      </c>
      <c r="CO12" s="40" t="e">
        <f t="shared" ref="CO12" ca="1" si="77">+CO10/CN10-1</f>
        <v>#NAME?</v>
      </c>
      <c r="CP12" s="40" t="e">
        <f t="shared" ref="CP12" ca="1" si="78">+CP10/CO10-1</f>
        <v>#NAME?</v>
      </c>
      <c r="CQ12" s="40" t="e">
        <f t="shared" ref="CQ12" ca="1" si="79">+CQ10/CP10-1</f>
        <v>#NAME?</v>
      </c>
      <c r="CR12" s="40" t="e">
        <f t="shared" ref="CR12" ca="1" si="80">+CR10/CQ10-1</f>
        <v>#NAME?</v>
      </c>
      <c r="CS12" s="40" t="e">
        <f t="shared" ref="CS12" ca="1" si="81">+CS10/CR10-1</f>
        <v>#NAME?</v>
      </c>
      <c r="CT12" s="40" t="e">
        <f t="shared" ref="CT12" ca="1" si="82">+CT10/CS10-1</f>
        <v>#NAME?</v>
      </c>
      <c r="CU12" s="40" t="e">
        <f t="shared" ref="CU12" ca="1" si="83">+CU10/CT10-1</f>
        <v>#NAME?</v>
      </c>
      <c r="CV12" s="40" t="e">
        <f t="shared" ref="CV12" ca="1" si="84">+CV10/CU10-1</f>
        <v>#NAME?</v>
      </c>
      <c r="CW12" s="40" t="e">
        <f t="shared" ref="CW12" ca="1" si="85">+CW10/CV10-1</f>
        <v>#NAME?</v>
      </c>
      <c r="CX12" s="40" t="e">
        <f t="shared" ref="CX12" ca="1" si="86">+CX10/CW10-1</f>
        <v>#NAME?</v>
      </c>
      <c r="CY12" s="40" t="e">
        <f t="shared" ref="CY12" ca="1" si="87">+CY10/CX10-1</f>
        <v>#NAME?</v>
      </c>
      <c r="CZ12" s="40" t="e">
        <f t="shared" ref="CZ12" ca="1" si="88">+CZ10/CY10-1</f>
        <v>#NAME?</v>
      </c>
      <c r="DA12" s="40" t="e">
        <f t="shared" ref="DA12" ca="1" si="89">+DA10/CZ10-1</f>
        <v>#NAME?</v>
      </c>
      <c r="DB12" s="40" t="e">
        <f t="shared" ref="DB12" ca="1" si="90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-32.579000000000001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91">+CM10-CM16</f>
        <v>#NAME?</v>
      </c>
      <c r="CN15" s="24" t="e">
        <f t="shared" ca="1" si="91"/>
        <v>#NAME?</v>
      </c>
      <c r="CO15" s="24" t="e">
        <f t="shared" ca="1" si="91"/>
        <v>#NAME?</v>
      </c>
      <c r="CP15" s="24" t="e">
        <f t="shared" ca="1" si="91"/>
        <v>#NAME?</v>
      </c>
      <c r="CQ15" s="24" t="e">
        <f t="shared" ca="1" si="91"/>
        <v>#NAME?</v>
      </c>
      <c r="CR15" s="24" t="e">
        <f t="shared" ca="1" si="91"/>
        <v>#NAME?</v>
      </c>
      <c r="CS15" s="24" t="e">
        <f t="shared" ca="1" si="91"/>
        <v>#NAME?</v>
      </c>
      <c r="CT15" s="24" t="e">
        <f t="shared" ca="1" si="91"/>
        <v>#NAME?</v>
      </c>
      <c r="CU15" s="24" t="e">
        <f t="shared" ca="1" si="91"/>
        <v>#NAME?</v>
      </c>
      <c r="CV15" s="24" t="e">
        <f t="shared" ca="1" si="91"/>
        <v>#NAME?</v>
      </c>
      <c r="CW15" s="24" t="e">
        <f t="shared" ca="1" si="91"/>
        <v>#NAME?</v>
      </c>
      <c r="CX15" s="24" t="e">
        <f t="shared" ca="1" si="91"/>
        <v>#NAME?</v>
      </c>
      <c r="CY15" s="24" t="e">
        <f t="shared" ca="1" si="91"/>
        <v>#NAME?</v>
      </c>
      <c r="CZ15" s="24" t="e">
        <f t="shared" ca="1" si="91"/>
        <v>#NAME?</v>
      </c>
      <c r="DA15" s="24" t="e">
        <f t="shared" ca="1" si="91"/>
        <v>#NAME?</v>
      </c>
      <c r="DB15" s="24" t="e">
        <f t="shared" ca="1" si="91"/>
        <v>#NAME?</v>
      </c>
      <c r="DE15" s="123"/>
      <c r="DF15" s="23">
        <v>784.79000000000008</v>
      </c>
    </row>
    <row r="16" spans="1:110" s="31" customFormat="1" x14ac:dyDescent="0.2">
      <c r="A16" s="31" t="s">
        <v>5</v>
      </c>
      <c r="B16" s="31" t="e">
        <f t="shared" ref="B16:T16" ca="1" si="92">B10-B13-B15-B14</f>
        <v>#NAME?</v>
      </c>
      <c r="C16" s="31" t="e">
        <f t="shared" ca="1" si="92"/>
        <v>#NAME?</v>
      </c>
      <c r="D16" s="31" t="e">
        <f t="shared" ca="1" si="92"/>
        <v>#NAME?</v>
      </c>
      <c r="E16" s="31" t="e">
        <f t="shared" ca="1" si="92"/>
        <v>#NAME?</v>
      </c>
      <c r="F16" s="31" t="e">
        <f t="shared" ca="1" si="92"/>
        <v>#NAME?</v>
      </c>
      <c r="G16" s="31" t="e">
        <f t="shared" ca="1" si="92"/>
        <v>#NAME?</v>
      </c>
      <c r="H16" s="31" t="e">
        <f t="shared" ca="1" si="92"/>
        <v>#NAME?</v>
      </c>
      <c r="I16" s="31" t="e">
        <f t="shared" ca="1" si="92"/>
        <v>#NAME?</v>
      </c>
      <c r="J16" s="31" t="e">
        <f t="shared" ca="1" si="92"/>
        <v>#NAME?</v>
      </c>
      <c r="K16" s="31" t="e">
        <f t="shared" ca="1" si="92"/>
        <v>#NAME?</v>
      </c>
      <c r="L16" s="31" t="e">
        <f t="shared" ca="1" si="92"/>
        <v>#NAME?</v>
      </c>
      <c r="M16" s="31" t="e">
        <f t="shared" ca="1" si="92"/>
        <v>#NAME?</v>
      </c>
      <c r="N16" s="31" t="e">
        <f t="shared" ca="1" si="92"/>
        <v>#NAME?</v>
      </c>
      <c r="O16" s="31" t="e">
        <f t="shared" ca="1" si="92"/>
        <v>#NAME?</v>
      </c>
      <c r="P16" s="31" t="e">
        <f t="shared" ca="1" si="92"/>
        <v>#NAME?</v>
      </c>
      <c r="Q16" s="31" t="e">
        <f t="shared" ca="1" si="92"/>
        <v>#NAME?</v>
      </c>
      <c r="R16" s="31" t="e">
        <f t="shared" ca="1" si="92"/>
        <v>#NAME?</v>
      </c>
      <c r="S16" s="31" t="e">
        <f t="shared" ca="1" si="92"/>
        <v>#NAME?</v>
      </c>
      <c r="T16" s="31" t="e">
        <f t="shared" ca="1" si="92"/>
        <v>#NAME?</v>
      </c>
      <c r="U16" s="31" t="e">
        <f t="shared" ref="U16:Z16" ca="1" si="93">U10-U13-U15-U14</f>
        <v>#NAME?</v>
      </c>
      <c r="V16" s="31" t="e">
        <f t="shared" ca="1" si="93"/>
        <v>#NAME?</v>
      </c>
      <c r="W16" s="31" t="e">
        <f t="shared" ca="1" si="93"/>
        <v>#NAME?</v>
      </c>
      <c r="X16" s="31" t="e">
        <f t="shared" ca="1" si="93"/>
        <v>#NAME?</v>
      </c>
      <c r="Y16" s="31" t="e">
        <f t="shared" ca="1" si="93"/>
        <v>#NAME?</v>
      </c>
      <c r="Z16" s="31" t="e">
        <f t="shared" ca="1" si="93"/>
        <v>#NAME?</v>
      </c>
      <c r="AA16" s="31" t="e">
        <f t="shared" ref="AA16" ca="1" si="94">AA10-AA13-AA15-AA14</f>
        <v>#NAME?</v>
      </c>
      <c r="AB16" s="32" t="e">
        <f t="shared" ref="AA16:AD16" ca="1" si="95">AB10-AB13-AB15-AB14</f>
        <v>#NAME?</v>
      </c>
      <c r="AC16" s="32" t="e">
        <f t="shared" ca="1" si="95"/>
        <v>#NAME?</v>
      </c>
      <c r="AD16" s="32" t="e">
        <f t="shared" ca="1" si="95"/>
        <v>#NAME?</v>
      </c>
      <c r="AE16" s="32" t="e">
        <f t="shared" ref="AE16" ca="1" si="96">AE10-AE13-AE15-AE14</f>
        <v>#NAME?</v>
      </c>
      <c r="AI16" s="31" t="e">
        <f t="shared" ref="AI16" ca="1" si="97">AI10-AI13-AI15-AI14</f>
        <v>#NAME?</v>
      </c>
      <c r="AJ16" s="31" t="e">
        <f t="shared" ref="AJ16" ca="1" si="98">AJ10-AJ13-AJ15-AJ14</f>
        <v>#NAME?</v>
      </c>
      <c r="AK16" s="31" t="e">
        <f t="shared" ref="AK16:AM16" ca="1" si="99">AK10-AK13-AK15-AK14</f>
        <v>#NAME?</v>
      </c>
      <c r="AL16" s="31" t="e">
        <f t="shared" ca="1" si="99"/>
        <v>#NAME?</v>
      </c>
      <c r="AM16" s="31" t="e">
        <f t="shared" ca="1" si="99"/>
        <v>#NAME?</v>
      </c>
      <c r="AN16" s="31" t="e">
        <f t="shared" ref="AN16:AO16" ca="1" si="100">AN10-AN13-AN15-AN14</f>
        <v>#NAME?</v>
      </c>
      <c r="AO16" s="31" t="e">
        <f t="shared" ca="1" si="100"/>
        <v>#NAME?</v>
      </c>
      <c r="AP16" s="31" t="e">
        <f t="shared" ref="AP16:CD16" ca="1" si="101">AP10-AP13-AP15-AP14</f>
        <v>#NAME?</v>
      </c>
      <c r="AQ16" s="31" t="e">
        <f t="shared" ca="1" si="101"/>
        <v>#NAME?</v>
      </c>
      <c r="AR16" s="31" t="e">
        <f t="shared" ca="1" si="101"/>
        <v>#NAME?</v>
      </c>
      <c r="AS16" s="31" t="e">
        <f t="shared" ca="1" si="101"/>
        <v>#NAME?</v>
      </c>
      <c r="AT16" s="31" t="e">
        <f t="shared" ca="1" si="101"/>
        <v>#NAME?</v>
      </c>
      <c r="AU16" s="31" t="e">
        <f t="shared" ca="1" si="101"/>
        <v>#NAME?</v>
      </c>
      <c r="AV16" s="31" t="e">
        <f t="shared" ca="1" si="101"/>
        <v>#NAME?</v>
      </c>
      <c r="AW16" s="31" t="e">
        <f t="shared" ca="1" si="101"/>
        <v>#NAME?</v>
      </c>
      <c r="AX16" s="31" t="e">
        <f t="shared" ca="1" si="101"/>
        <v>#NAME?</v>
      </c>
      <c r="AY16" s="31" t="e">
        <f t="shared" ca="1" si="101"/>
        <v>#NAME?</v>
      </c>
      <c r="AZ16" s="31" t="e">
        <f t="shared" ca="1" si="101"/>
        <v>#NAME?</v>
      </c>
      <c r="BA16" s="31" t="e">
        <f t="shared" ca="1" si="101"/>
        <v>#NAME?</v>
      </c>
      <c r="BB16" s="31" t="e">
        <f t="shared" ca="1" si="101"/>
        <v>#NAME?</v>
      </c>
      <c r="BC16" s="31" t="e">
        <f t="shared" ca="1" si="101"/>
        <v>#NAME?</v>
      </c>
      <c r="BD16" s="31" t="e">
        <f t="shared" ca="1" si="101"/>
        <v>#NAME?</v>
      </c>
      <c r="BE16" s="31" t="e">
        <f t="shared" ca="1" si="101"/>
        <v>#NAME?</v>
      </c>
      <c r="BF16" s="31" t="e">
        <f t="shared" ca="1" si="101"/>
        <v>#NAME?</v>
      </c>
      <c r="BG16" s="31" t="e">
        <f t="shared" ca="1" si="101"/>
        <v>#NAME?</v>
      </c>
      <c r="BH16" s="31" t="e">
        <f t="shared" ca="1" si="101"/>
        <v>#NAME?</v>
      </c>
      <c r="BI16" s="31" t="e">
        <f t="shared" ca="1" si="101"/>
        <v>#NAME?</v>
      </c>
      <c r="BJ16" s="31" t="e">
        <f t="shared" ca="1" si="101"/>
        <v>#NAME?</v>
      </c>
      <c r="BK16" s="31" t="e">
        <f t="shared" ca="1" si="101"/>
        <v>#NAME?</v>
      </c>
      <c r="BL16" s="31" t="e">
        <f t="shared" ca="1" si="101"/>
        <v>#NAME?</v>
      </c>
      <c r="BM16" s="31" t="e">
        <f t="shared" ca="1" si="101"/>
        <v>#NAME?</v>
      </c>
      <c r="BN16" s="31" t="e">
        <f t="shared" ca="1" si="101"/>
        <v>#NAME?</v>
      </c>
      <c r="BO16" s="31" t="e">
        <f t="shared" ca="1" si="101"/>
        <v>#NAME?</v>
      </c>
      <c r="BP16" s="31" t="e">
        <f t="shared" ca="1" si="101"/>
        <v>#NAME?</v>
      </c>
      <c r="BQ16" s="31" t="e">
        <f t="shared" ca="1" si="101"/>
        <v>#NAME?</v>
      </c>
      <c r="BR16" s="31" t="e">
        <f t="shared" ca="1" si="101"/>
        <v>#NAME?</v>
      </c>
      <c r="BS16" s="31" t="e">
        <f t="shared" ca="1" si="101"/>
        <v>#NAME?</v>
      </c>
      <c r="BT16" s="31" t="e">
        <f t="shared" ca="1" si="101"/>
        <v>#NAME?</v>
      </c>
      <c r="BU16" s="31" t="e">
        <f t="shared" ca="1" si="101"/>
        <v>#NAME?</v>
      </c>
      <c r="BV16" s="31" t="e">
        <f t="shared" ca="1" si="101"/>
        <v>#NAME?</v>
      </c>
      <c r="BW16" s="31" t="e">
        <f t="shared" ca="1" si="101"/>
        <v>#NAME?</v>
      </c>
      <c r="BX16" s="31" t="e">
        <f t="shared" ca="1" si="101"/>
        <v>#NAME?</v>
      </c>
      <c r="BY16" s="31" t="e">
        <f t="shared" ca="1" si="101"/>
        <v>#NAME?</v>
      </c>
      <c r="BZ16" s="31" t="e">
        <f t="shared" ca="1" si="101"/>
        <v>#NAME?</v>
      </c>
      <c r="CA16" s="31" t="e">
        <f t="shared" ca="1" si="101"/>
        <v>#NAME?</v>
      </c>
      <c r="CB16" s="31" t="e">
        <f t="shared" ca="1" si="101"/>
        <v>#NAME?</v>
      </c>
      <c r="CC16" s="31" t="e">
        <f t="shared" ca="1" si="101"/>
        <v>#NAME?</v>
      </c>
      <c r="CD16" s="31" t="e">
        <f t="shared" ca="1" si="101"/>
        <v>#NAME?</v>
      </c>
      <c r="CE16" s="31" t="e">
        <f t="shared" ref="CE16:CF16" ca="1" si="102">CE10-CE13-CE15-CE14</f>
        <v>#NAME?</v>
      </c>
      <c r="CF16" s="31" t="e">
        <f t="shared" ca="1" si="102"/>
        <v>#NAME?</v>
      </c>
      <c r="CG16" s="31" t="e">
        <f t="shared" ref="CG16:CH16" ca="1" si="103">CG10-CG13-CG15-CG14</f>
        <v>#NAME?</v>
      </c>
      <c r="CH16" s="31" t="e">
        <f t="shared" ca="1" si="103"/>
        <v>#NAME?</v>
      </c>
      <c r="CI16" s="31" t="e">
        <f t="shared" ref="CI16:CJ16" ca="1" si="104">CI10-CI13-CI15-CI14</f>
        <v>#NAME?</v>
      </c>
      <c r="CJ16" s="31" t="e">
        <f t="shared" ca="1" si="104"/>
        <v>#NAME?</v>
      </c>
      <c r="CK16" s="31" t="e">
        <f t="shared" ref="CK16:CL16" ca="1" si="105">CK10-CK13-CK15-CK14</f>
        <v>#NAME?</v>
      </c>
      <c r="CL16" s="31" t="e">
        <f t="shared" ca="1" si="105"/>
        <v>#NAME?</v>
      </c>
      <c r="CM16" s="32" t="e">
        <f t="shared" ref="CM16:DB16" ca="1" si="106">+CM17*CM10</f>
        <v>#NAME?</v>
      </c>
      <c r="CN16" s="32" t="e">
        <f t="shared" ca="1" si="106"/>
        <v>#NAME?</v>
      </c>
      <c r="CO16" s="32" t="e">
        <f t="shared" ca="1" si="106"/>
        <v>#NAME?</v>
      </c>
      <c r="CP16" s="32" t="e">
        <f t="shared" ca="1" si="106"/>
        <v>#NAME?</v>
      </c>
      <c r="CQ16" s="32" t="e">
        <f t="shared" ca="1" si="106"/>
        <v>#NAME?</v>
      </c>
      <c r="CR16" s="32" t="e">
        <f t="shared" ca="1" si="106"/>
        <v>#NAME?</v>
      </c>
      <c r="CS16" s="32" t="e">
        <f t="shared" ca="1" si="106"/>
        <v>#NAME?</v>
      </c>
      <c r="CT16" s="32" t="e">
        <f t="shared" ca="1" si="106"/>
        <v>#NAME?</v>
      </c>
      <c r="CU16" s="32" t="e">
        <f t="shared" ca="1" si="106"/>
        <v>#NAME?</v>
      </c>
      <c r="CV16" s="32" t="e">
        <f t="shared" ca="1" si="106"/>
        <v>#NAME?</v>
      </c>
      <c r="CW16" s="32" t="e">
        <f t="shared" ca="1" si="106"/>
        <v>#NAME?</v>
      </c>
      <c r="CX16" s="32" t="e">
        <f t="shared" ca="1" si="106"/>
        <v>#NAME?</v>
      </c>
      <c r="CY16" s="32" t="e">
        <f t="shared" ca="1" si="106"/>
        <v>#NAME?</v>
      </c>
      <c r="CZ16" s="32" t="e">
        <f t="shared" ca="1" si="106"/>
        <v>#NAME?</v>
      </c>
      <c r="DA16" s="32" t="e">
        <f t="shared" ca="1" si="106"/>
        <v>#NAME?</v>
      </c>
      <c r="DB16" s="32" t="e">
        <f t="shared" ca="1" si="106"/>
        <v>#NAME?</v>
      </c>
      <c r="DE16" s="124"/>
      <c r="DF16" s="31">
        <v>506.64600000000007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7">C16/C10</f>
        <v>#NAME?</v>
      </c>
      <c r="D17" s="41" t="e">
        <f t="shared" ca="1" si="107"/>
        <v>#NAME?</v>
      </c>
      <c r="E17" s="41" t="e">
        <f t="shared" ca="1" si="107"/>
        <v>#NAME?</v>
      </c>
      <c r="F17" s="41" t="e">
        <f t="shared" ca="1" si="107"/>
        <v>#NAME?</v>
      </c>
      <c r="G17" s="41" t="e">
        <f t="shared" ca="1" si="107"/>
        <v>#NAME?</v>
      </c>
      <c r="H17" s="41" t="e">
        <f t="shared" ca="1" si="107"/>
        <v>#NAME?</v>
      </c>
      <c r="I17" s="41" t="e">
        <f t="shared" ca="1" si="107"/>
        <v>#NAME?</v>
      </c>
      <c r="J17" s="41" t="e">
        <f t="shared" ca="1" si="107"/>
        <v>#NAME?</v>
      </c>
      <c r="K17" s="41" t="e">
        <f t="shared" ca="1" si="107"/>
        <v>#NAME?</v>
      </c>
      <c r="L17" s="41" t="e">
        <f t="shared" ca="1" si="107"/>
        <v>#NAME?</v>
      </c>
      <c r="M17" s="41" t="e">
        <f t="shared" ca="1" si="107"/>
        <v>#NAME?</v>
      </c>
      <c r="N17" s="41" t="e">
        <f t="shared" ca="1" si="107"/>
        <v>#NAME?</v>
      </c>
      <c r="O17" s="41" t="e">
        <f t="shared" ca="1" si="107"/>
        <v>#NAME?</v>
      </c>
      <c r="P17" s="41" t="e">
        <f t="shared" ca="1" si="107"/>
        <v>#NAME?</v>
      </c>
      <c r="Q17" s="41" t="e">
        <f t="shared" ca="1" si="107"/>
        <v>#NAME?</v>
      </c>
      <c r="R17" s="41" t="e">
        <f t="shared" ca="1" si="107"/>
        <v>#NAME?</v>
      </c>
      <c r="S17" s="41" t="e">
        <f t="shared" ca="1" si="107"/>
        <v>#NAME?</v>
      </c>
      <c r="T17" s="41" t="e">
        <f t="shared" ca="1" si="107"/>
        <v>#NAME?</v>
      </c>
      <c r="U17" s="41" t="e">
        <f t="shared" ca="1" si="107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8">AB16/AB10</f>
        <v>#NAME?</v>
      </c>
      <c r="AC17" s="42" t="e">
        <f t="shared" ca="1" si="108"/>
        <v>#NAME?</v>
      </c>
      <c r="AD17" s="42" t="e">
        <f t="shared" ca="1" si="108"/>
        <v>#NAME?</v>
      </c>
      <c r="AE17" s="42" t="e">
        <f t="shared" ref="AE17" ca="1" si="109">AE16/AE10</f>
        <v>#NAME?</v>
      </c>
      <c r="AI17" s="41" t="e">
        <f t="shared" ref="AI17" ca="1" si="110">AI16/AI10</f>
        <v>#NAME?</v>
      </c>
      <c r="AJ17" s="41" t="e">
        <f t="shared" ref="AJ17" ca="1" si="111">AJ16/AJ10</f>
        <v>#NAME?</v>
      </c>
      <c r="AK17" s="41" t="e">
        <f t="shared" ref="AK17:AM17" ca="1" si="112">AK16/AK10</f>
        <v>#NAME?</v>
      </c>
      <c r="AL17" s="41" t="e">
        <f t="shared" ca="1" si="112"/>
        <v>#NAME?</v>
      </c>
      <c r="AM17" s="41" t="e">
        <f t="shared" ca="1" si="112"/>
        <v>#NAME?</v>
      </c>
      <c r="AN17" s="41" t="e">
        <f t="shared" ref="AN17:AO17" ca="1" si="113">AN16/AN10</f>
        <v>#NAME?</v>
      </c>
      <c r="AO17" s="41" t="e">
        <f t="shared" ca="1" si="113"/>
        <v>#NAME?</v>
      </c>
      <c r="AP17" s="41" t="e">
        <f t="shared" ref="AP17:CD17" ca="1" si="114">AP16/AP10</f>
        <v>#NAME?</v>
      </c>
      <c r="AQ17" s="41" t="e">
        <f t="shared" ca="1" si="114"/>
        <v>#NAME?</v>
      </c>
      <c r="AR17" s="41" t="e">
        <f t="shared" ca="1" si="114"/>
        <v>#NAME?</v>
      </c>
      <c r="AS17" s="41" t="e">
        <f t="shared" ca="1" si="114"/>
        <v>#NAME?</v>
      </c>
      <c r="AT17" s="41" t="e">
        <f t="shared" ca="1" si="114"/>
        <v>#NAME?</v>
      </c>
      <c r="AU17" s="41" t="e">
        <f t="shared" ca="1" si="114"/>
        <v>#NAME?</v>
      </c>
      <c r="AV17" s="41" t="e">
        <f t="shared" ca="1" si="114"/>
        <v>#NAME?</v>
      </c>
      <c r="AW17" s="41" t="e">
        <f t="shared" ca="1" si="114"/>
        <v>#NAME?</v>
      </c>
      <c r="AX17" s="41" t="e">
        <f t="shared" ca="1" si="114"/>
        <v>#NAME?</v>
      </c>
      <c r="AY17" s="41" t="e">
        <f t="shared" ca="1" si="114"/>
        <v>#NAME?</v>
      </c>
      <c r="AZ17" s="41" t="e">
        <f t="shared" ca="1" si="114"/>
        <v>#NAME?</v>
      </c>
      <c r="BA17" s="41" t="e">
        <f t="shared" ca="1" si="114"/>
        <v>#NAME?</v>
      </c>
      <c r="BB17" s="41" t="e">
        <f t="shared" ca="1" si="114"/>
        <v>#NAME?</v>
      </c>
      <c r="BC17" s="41" t="e">
        <f t="shared" ca="1" si="114"/>
        <v>#NAME?</v>
      </c>
      <c r="BD17" s="41" t="e">
        <f t="shared" ca="1" si="114"/>
        <v>#NAME?</v>
      </c>
      <c r="BE17" s="41" t="e">
        <f t="shared" ca="1" si="114"/>
        <v>#NAME?</v>
      </c>
      <c r="BF17" s="41" t="e">
        <f t="shared" ca="1" si="114"/>
        <v>#NAME?</v>
      </c>
      <c r="BG17" s="41" t="e">
        <f t="shared" ca="1" si="114"/>
        <v>#NAME?</v>
      </c>
      <c r="BH17" s="41" t="e">
        <f t="shared" ca="1" si="114"/>
        <v>#NAME?</v>
      </c>
      <c r="BI17" s="41" t="e">
        <f t="shared" ca="1" si="114"/>
        <v>#NAME?</v>
      </c>
      <c r="BJ17" s="41" t="e">
        <f t="shared" ca="1" si="114"/>
        <v>#NAME?</v>
      </c>
      <c r="BK17" s="41" t="e">
        <f t="shared" ca="1" si="114"/>
        <v>#NAME?</v>
      </c>
      <c r="BL17" s="41" t="e">
        <f t="shared" ca="1" si="114"/>
        <v>#NAME?</v>
      </c>
      <c r="BM17" s="41" t="e">
        <f t="shared" ca="1" si="114"/>
        <v>#NAME?</v>
      </c>
      <c r="BN17" s="41" t="e">
        <f t="shared" ca="1" si="114"/>
        <v>#NAME?</v>
      </c>
      <c r="BO17" s="41" t="e">
        <f t="shared" ca="1" si="114"/>
        <v>#NAME?</v>
      </c>
      <c r="BP17" s="41" t="e">
        <f t="shared" ca="1" si="114"/>
        <v>#NAME?</v>
      </c>
      <c r="BQ17" s="41" t="e">
        <f t="shared" ca="1" si="114"/>
        <v>#NAME?</v>
      </c>
      <c r="BR17" s="41" t="e">
        <f t="shared" ca="1" si="114"/>
        <v>#NAME?</v>
      </c>
      <c r="BS17" s="41" t="e">
        <f t="shared" ca="1" si="114"/>
        <v>#NAME?</v>
      </c>
      <c r="BT17" s="41" t="e">
        <f t="shared" ca="1" si="114"/>
        <v>#NAME?</v>
      </c>
      <c r="BU17" s="41" t="e">
        <f t="shared" ca="1" si="114"/>
        <v>#NAME?</v>
      </c>
      <c r="BV17" s="41" t="e">
        <f t="shared" ca="1" si="114"/>
        <v>#NAME?</v>
      </c>
      <c r="BW17" s="41" t="e">
        <f t="shared" ca="1" si="114"/>
        <v>#NAME?</v>
      </c>
      <c r="BX17" s="41" t="e">
        <f t="shared" ca="1" si="114"/>
        <v>#NAME?</v>
      </c>
      <c r="BY17" s="41" t="e">
        <f t="shared" ca="1" si="114"/>
        <v>#NAME?</v>
      </c>
      <c r="BZ17" s="41" t="e">
        <f t="shared" ca="1" si="114"/>
        <v>#NAME?</v>
      </c>
      <c r="CA17" s="41" t="e">
        <f t="shared" ca="1" si="114"/>
        <v>#NAME?</v>
      </c>
      <c r="CB17" s="41" t="e">
        <f t="shared" ca="1" si="114"/>
        <v>#NAME?</v>
      </c>
      <c r="CC17" s="41" t="e">
        <f t="shared" ca="1" si="114"/>
        <v>#NAME?</v>
      </c>
      <c r="CD17" s="41" t="e">
        <f t="shared" ca="1" si="114"/>
        <v>#NAME?</v>
      </c>
      <c r="CE17" s="41" t="e">
        <f t="shared" ref="CE17:CF17" ca="1" si="115">CE16/CE10</f>
        <v>#NAME?</v>
      </c>
      <c r="CF17" s="41" t="e">
        <f t="shared" ca="1" si="115"/>
        <v>#NAME?</v>
      </c>
      <c r="CG17" s="41" t="e">
        <f t="shared" ref="CG17:CH17" ca="1" si="116">CG16/CG10</f>
        <v>#NAME?</v>
      </c>
      <c r="CH17" s="41" t="e">
        <f t="shared" ca="1" si="116"/>
        <v>#NAME?</v>
      </c>
      <c r="CI17" s="41" t="e">
        <f t="shared" ref="CI17:CJ17" ca="1" si="117">CI16/CI10</f>
        <v>#NAME?</v>
      </c>
      <c r="CJ17" s="41" t="e">
        <f t="shared" ca="1" si="117"/>
        <v>#NAME?</v>
      </c>
      <c r="CK17" s="41" t="e">
        <f t="shared" ref="CK17:CL17" ca="1" si="118">CK16/CK10</f>
        <v>#NAME?</v>
      </c>
      <c r="CL17" s="41" t="e">
        <f t="shared" ca="1" si="118"/>
        <v>#NAME?</v>
      </c>
      <c r="CM17" s="42" t="e">
        <f t="shared" ref="CM17:DB17" ca="1" si="119">AVERAGE(CI17:CL17)</f>
        <v>#NAME?</v>
      </c>
      <c r="CN17" s="42" t="e">
        <f t="shared" ca="1" si="119"/>
        <v>#NAME?</v>
      </c>
      <c r="CO17" s="42" t="e">
        <f t="shared" ca="1" si="119"/>
        <v>#NAME?</v>
      </c>
      <c r="CP17" s="42" t="e">
        <f t="shared" ca="1" si="119"/>
        <v>#NAME?</v>
      </c>
      <c r="CQ17" s="42" t="e">
        <f t="shared" ca="1" si="119"/>
        <v>#NAME?</v>
      </c>
      <c r="CR17" s="42" t="e">
        <f t="shared" ca="1" si="119"/>
        <v>#NAME?</v>
      </c>
      <c r="CS17" s="42" t="e">
        <f t="shared" ca="1" si="119"/>
        <v>#NAME?</v>
      </c>
      <c r="CT17" s="42" t="e">
        <f t="shared" ca="1" si="119"/>
        <v>#NAME?</v>
      </c>
      <c r="CU17" s="42" t="e">
        <f t="shared" ca="1" si="119"/>
        <v>#NAME?</v>
      </c>
      <c r="CV17" s="42" t="e">
        <f t="shared" ca="1" si="119"/>
        <v>#NAME?</v>
      </c>
      <c r="CW17" s="42" t="e">
        <f t="shared" ca="1" si="119"/>
        <v>#NAME?</v>
      </c>
      <c r="CX17" s="42" t="e">
        <f t="shared" ca="1" si="119"/>
        <v>#NAME?</v>
      </c>
      <c r="CY17" s="42" t="e">
        <f t="shared" ca="1" si="119"/>
        <v>#NAME?</v>
      </c>
      <c r="CZ17" s="42" t="e">
        <f t="shared" ca="1" si="119"/>
        <v>#NAME?</v>
      </c>
      <c r="DA17" s="42" t="e">
        <f t="shared" ca="1" si="119"/>
        <v>#NAME?</v>
      </c>
      <c r="DB17" s="42" t="e">
        <f t="shared" ca="1" si="119"/>
        <v>#NAME?</v>
      </c>
      <c r="DE17" s="125"/>
      <c r="DF17" s="41">
        <v>0.40246509333466784</v>
      </c>
    </row>
    <row r="18" spans="1:110" s="39" customFormat="1" x14ac:dyDescent="0.2">
      <c r="A18" s="39" t="s">
        <v>447</v>
      </c>
      <c r="C18" s="39" t="e">
        <f t="shared" ref="C18:AE18" ca="1" si="120">+IF(B16&lt;0,1-C16/B16,C16/B16-1)</f>
        <v>#NAME?</v>
      </c>
      <c r="D18" s="39" t="e">
        <f t="shared" ca="1" si="120"/>
        <v>#NAME?</v>
      </c>
      <c r="E18" s="39" t="e">
        <f t="shared" ca="1" si="120"/>
        <v>#NAME?</v>
      </c>
      <c r="F18" s="39" t="e">
        <f t="shared" ca="1" si="120"/>
        <v>#NAME?</v>
      </c>
      <c r="G18" s="39" t="e">
        <f t="shared" ca="1" si="120"/>
        <v>#NAME?</v>
      </c>
      <c r="H18" s="39" t="e">
        <f t="shared" ca="1" si="120"/>
        <v>#NAME?</v>
      </c>
      <c r="I18" s="39" t="e">
        <f t="shared" ca="1" si="120"/>
        <v>#NAME?</v>
      </c>
      <c r="J18" s="39" t="e">
        <f t="shared" ca="1" si="120"/>
        <v>#NAME?</v>
      </c>
      <c r="K18" s="39" t="e">
        <f t="shared" ca="1" si="120"/>
        <v>#NAME?</v>
      </c>
      <c r="L18" s="39" t="e">
        <f t="shared" ca="1" si="120"/>
        <v>#NAME?</v>
      </c>
      <c r="M18" s="39" t="e">
        <f t="shared" ca="1" si="120"/>
        <v>#NAME?</v>
      </c>
      <c r="N18" s="39" t="e">
        <f t="shared" ca="1" si="120"/>
        <v>#NAME?</v>
      </c>
      <c r="O18" s="39" t="e">
        <f t="shared" ca="1" si="120"/>
        <v>#NAME?</v>
      </c>
      <c r="P18" s="39" t="e">
        <f t="shared" ca="1" si="120"/>
        <v>#NAME?</v>
      </c>
      <c r="Q18" s="39" t="e">
        <f t="shared" ca="1" si="120"/>
        <v>#NAME?</v>
      </c>
      <c r="R18" s="39" t="e">
        <f t="shared" ca="1" si="120"/>
        <v>#NAME?</v>
      </c>
      <c r="S18" s="39" t="e">
        <f t="shared" ca="1" si="120"/>
        <v>#NAME?</v>
      </c>
      <c r="T18" s="39" t="e">
        <f t="shared" ca="1" si="120"/>
        <v>#NAME?</v>
      </c>
      <c r="U18" s="39" t="e">
        <f t="shared" ca="1" si="120"/>
        <v>#NAME?</v>
      </c>
      <c r="V18" s="39" t="e">
        <f t="shared" ca="1" si="120"/>
        <v>#NAME?</v>
      </c>
      <c r="W18" s="39" t="e">
        <f t="shared" ca="1" si="120"/>
        <v>#NAME?</v>
      </c>
      <c r="X18" s="39" t="e">
        <f t="shared" ca="1" si="120"/>
        <v>#NAME?</v>
      </c>
      <c r="Y18" s="39" t="e">
        <f t="shared" ca="1" si="120"/>
        <v>#NAME?</v>
      </c>
      <c r="Z18" s="39" t="e">
        <f t="shared" ca="1" si="120"/>
        <v>#NAME?</v>
      </c>
      <c r="AA18" s="39" t="e">
        <f t="shared" ca="1" si="120"/>
        <v>#NAME?</v>
      </c>
      <c r="AB18" s="40" t="e">
        <f t="shared" ca="1" si="120"/>
        <v>#NAME?</v>
      </c>
      <c r="AC18" s="40" t="e">
        <f t="shared" ca="1" si="120"/>
        <v>#NAME?</v>
      </c>
      <c r="AD18" s="40" t="e">
        <f t="shared" ca="1" si="120"/>
        <v>#NAME?</v>
      </c>
      <c r="AE18" s="40" t="e">
        <f t="shared" ca="1" si="120"/>
        <v>#NAME?</v>
      </c>
      <c r="AM18" s="39" t="e">
        <f ca="1">+IF(AI16&lt;0,1-AM16/AI16,AM16/AI16-1)</f>
        <v>#NAME?</v>
      </c>
      <c r="AN18" s="39" t="e">
        <f t="shared" ref="AN18" ca="1" si="121">+IF(AJ16&lt;0,1-AN16/AJ16,AN16/AJ16-1)</f>
        <v>#NAME?</v>
      </c>
      <c r="AO18" s="39" t="e">
        <f t="shared" ref="AO18" ca="1" si="122">+IF(AK16&lt;0,1-AO16/AK16,AO16/AK16-1)</f>
        <v>#NAME?</v>
      </c>
      <c r="AP18" s="39" t="e">
        <f t="shared" ref="AP18" ca="1" si="123">+IF(AL16&lt;0,1-AP16/AL16,AP16/AL16-1)</f>
        <v>#NAME?</v>
      </c>
      <c r="AQ18" s="39" t="e">
        <f t="shared" ref="AQ18" ca="1" si="124">+IF(AM16&lt;0,1-AQ16/AM16,AQ16/AM16-1)</f>
        <v>#NAME?</v>
      </c>
      <c r="AR18" s="39" t="e">
        <f t="shared" ref="AR18" ca="1" si="125">+IF(AN16&lt;0,1-AR16/AN16,AR16/AN16-1)</f>
        <v>#NAME?</v>
      </c>
      <c r="AS18" s="39" t="e">
        <f t="shared" ref="AS18" ca="1" si="126">+IF(AO16&lt;0,1-AS16/AO16,AS16/AO16-1)</f>
        <v>#NAME?</v>
      </c>
      <c r="AT18" s="39" t="e">
        <f t="shared" ref="AT18" ca="1" si="127">+IF(AP16&lt;0,1-AT16/AP16,AT16/AP16-1)</f>
        <v>#NAME?</v>
      </c>
      <c r="AU18" s="39" t="e">
        <f t="shared" ref="AU18" ca="1" si="128">+IF(AQ16&lt;0,1-AU16/AQ16,AU16/AQ16-1)</f>
        <v>#NAME?</v>
      </c>
      <c r="AV18" s="39" t="e">
        <f t="shared" ref="AV18" ca="1" si="129">+IF(AR16&lt;0,1-AV16/AR16,AV16/AR16-1)</f>
        <v>#NAME?</v>
      </c>
      <c r="AW18" s="39" t="e">
        <f t="shared" ref="AW18" ca="1" si="130">+IF(AS16&lt;0,1-AW16/AS16,AW16/AS16-1)</f>
        <v>#NAME?</v>
      </c>
      <c r="AX18" s="39" t="e">
        <f t="shared" ref="AX18" ca="1" si="131">+IF(AT16&lt;0,1-AX16/AT16,AX16/AT16-1)</f>
        <v>#NAME?</v>
      </c>
      <c r="AY18" s="39" t="e">
        <f t="shared" ref="AY18" ca="1" si="132">+IF(AU16&lt;0,1-AY16/AU16,AY16/AU16-1)</f>
        <v>#NAME?</v>
      </c>
      <c r="AZ18" s="39" t="e">
        <f t="shared" ref="AZ18" ca="1" si="133">+IF(AV16&lt;0,1-AZ16/AV16,AZ16/AV16-1)</f>
        <v>#NAME?</v>
      </c>
      <c r="BA18" s="39" t="e">
        <f t="shared" ref="BA18" ca="1" si="134">+IF(AW16&lt;0,1-BA16/AW16,BA16/AW16-1)</f>
        <v>#NAME?</v>
      </c>
      <c r="BB18" s="39" t="e">
        <f t="shared" ref="BB18" ca="1" si="135">+IF(AX16&lt;0,1-BB16/AX16,BB16/AX16-1)</f>
        <v>#NAME?</v>
      </c>
      <c r="BC18" s="39" t="e">
        <f t="shared" ref="BC18" ca="1" si="136">+IF(AY16&lt;0,1-BC16/AY16,BC16/AY16-1)</f>
        <v>#NAME?</v>
      </c>
      <c r="BD18" s="39" t="e">
        <f t="shared" ref="BD18" ca="1" si="137">+IF(AZ16&lt;0,1-BD16/AZ16,BD16/AZ16-1)</f>
        <v>#NAME?</v>
      </c>
      <c r="BE18" s="39" t="e">
        <f t="shared" ref="BE18" ca="1" si="138">+IF(BA16&lt;0,1-BE16/BA16,BE16/BA16-1)</f>
        <v>#NAME?</v>
      </c>
      <c r="BF18" s="39" t="e">
        <f t="shared" ref="BF18" ca="1" si="139">+IF(BB16&lt;0,1-BF16/BB16,BF16/BB16-1)</f>
        <v>#NAME?</v>
      </c>
      <c r="BG18" s="39" t="e">
        <f t="shared" ref="BG18" ca="1" si="140">+IF(BC16&lt;0,1-BG16/BC16,BG16/BC16-1)</f>
        <v>#NAME?</v>
      </c>
      <c r="BH18" s="39" t="e">
        <f t="shared" ref="BH18" ca="1" si="141">+IF(BD16&lt;0,1-BH16/BD16,BH16/BD16-1)</f>
        <v>#NAME?</v>
      </c>
      <c r="BI18" s="39" t="e">
        <f t="shared" ref="BI18" ca="1" si="142">+IF(BE16&lt;0,1-BI16/BE16,BI16/BE16-1)</f>
        <v>#NAME?</v>
      </c>
      <c r="BJ18" s="39" t="e">
        <f t="shared" ref="BJ18" ca="1" si="143">+IF(BF16&lt;0,1-BJ16/BF16,BJ16/BF16-1)</f>
        <v>#NAME?</v>
      </c>
      <c r="BK18" s="39" t="e">
        <f t="shared" ref="BK18" ca="1" si="144">+IF(BG16&lt;0,1-BK16/BG16,BK16/BG16-1)</f>
        <v>#NAME?</v>
      </c>
      <c r="BL18" s="39" t="e">
        <f t="shared" ref="BL18" ca="1" si="145">+IF(BH16&lt;0,1-BL16/BH16,BL16/BH16-1)</f>
        <v>#NAME?</v>
      </c>
      <c r="BM18" s="39" t="e">
        <f t="shared" ref="BM18" ca="1" si="146">+IF(BI16&lt;0,1-BM16/BI16,BM16/BI16-1)</f>
        <v>#NAME?</v>
      </c>
      <c r="BN18" s="39" t="e">
        <f t="shared" ref="BN18" ca="1" si="147">+IF(BJ16&lt;0,1-BN16/BJ16,BN16/BJ16-1)</f>
        <v>#NAME?</v>
      </c>
      <c r="BO18" s="39" t="e">
        <f t="shared" ref="BO18" ca="1" si="148">+IF(BK16&lt;0,1-BO16/BK16,BO16/BK16-1)</f>
        <v>#NAME?</v>
      </c>
      <c r="BP18" s="39" t="e">
        <f t="shared" ref="BP18" ca="1" si="149">+IF(BL16&lt;0,1-BP16/BL16,BP16/BL16-1)</f>
        <v>#NAME?</v>
      </c>
      <c r="BQ18" s="39" t="e">
        <f t="shared" ref="BQ18" ca="1" si="150">+IF(BM16&lt;0,1-BQ16/BM16,BQ16/BM16-1)</f>
        <v>#NAME?</v>
      </c>
      <c r="BR18" s="39" t="e">
        <f t="shared" ref="BR18" ca="1" si="151">+IF(BN16&lt;0,1-BR16/BN16,BR16/BN16-1)</f>
        <v>#NAME?</v>
      </c>
      <c r="BS18" s="39" t="e">
        <f t="shared" ref="BS18" ca="1" si="152">+IF(BO16&lt;0,1-BS16/BO16,BS16/BO16-1)</f>
        <v>#NAME?</v>
      </c>
      <c r="BT18" s="39" t="e">
        <f t="shared" ref="BT18" ca="1" si="153">+IF(BP16&lt;0,1-BT16/BP16,BT16/BP16-1)</f>
        <v>#NAME?</v>
      </c>
      <c r="BU18" s="39" t="e">
        <f t="shared" ref="BU18" ca="1" si="154">+IF(BQ16&lt;0,1-BU16/BQ16,BU16/BQ16-1)</f>
        <v>#NAME?</v>
      </c>
      <c r="BV18" s="39" t="e">
        <f t="shared" ref="BV18" ca="1" si="155">+IF(BR16&lt;0,1-BV16/BR16,BV16/BR16-1)</f>
        <v>#NAME?</v>
      </c>
      <c r="BW18" s="39" t="e">
        <f t="shared" ref="BW18" ca="1" si="156">+IF(BS16&lt;0,1-BW16/BS16,BW16/BS16-1)</f>
        <v>#NAME?</v>
      </c>
      <c r="BX18" s="39" t="e">
        <f t="shared" ref="BX18" ca="1" si="157">+IF(BT16&lt;0,1-BX16/BT16,BX16/BT16-1)</f>
        <v>#NAME?</v>
      </c>
      <c r="BY18" s="39" t="e">
        <f t="shared" ref="BY18" ca="1" si="158">+IF(BU16&lt;0,1-BY16/BU16,BY16/BU16-1)</f>
        <v>#NAME?</v>
      </c>
      <c r="BZ18" s="39" t="e">
        <f t="shared" ref="BZ18" ca="1" si="159">+IF(BV16&lt;0,1-BZ16/BV16,BZ16/BV16-1)</f>
        <v>#NAME?</v>
      </c>
      <c r="CA18" s="39" t="e">
        <f t="shared" ref="CA18" ca="1" si="160">+IF(BW16&lt;0,1-CA16/BW16,CA16/BW16-1)</f>
        <v>#NAME?</v>
      </c>
      <c r="CB18" s="39" t="e">
        <f t="shared" ref="CB18" ca="1" si="161">+IF(BX16&lt;0,1-CB16/BX16,CB16/BX16-1)</f>
        <v>#NAME?</v>
      </c>
      <c r="CC18" s="39" t="e">
        <f t="shared" ref="CC18" ca="1" si="162">+IF(BY16&lt;0,1-CC16/BY16,CC16/BY16-1)</f>
        <v>#NAME?</v>
      </c>
      <c r="CD18" s="39" t="e">
        <f t="shared" ref="CD18" ca="1" si="163">+IF(BZ16&lt;0,1-CD16/BZ16,CD16/BZ16-1)</f>
        <v>#NAME?</v>
      </c>
      <c r="CE18" s="39" t="e">
        <f t="shared" ref="CE18" ca="1" si="164">+IF(CA16&lt;0,1-CE16/CA16,CE16/CA16-1)</f>
        <v>#NAME?</v>
      </c>
      <c r="CF18" s="39" t="e">
        <f t="shared" ref="CF18" ca="1" si="165">+IF(CB16&lt;0,1-CF16/CB16,CF16/CB16-1)</f>
        <v>#NAME?</v>
      </c>
      <c r="CG18" s="39" t="e">
        <f t="shared" ref="CG18" ca="1" si="166">+IF(CC16&lt;0,1-CG16/CC16,CG16/CC16-1)</f>
        <v>#NAME?</v>
      </c>
      <c r="CH18" s="39" t="e">
        <f t="shared" ref="CH18:CL18" ca="1" si="167">+IF(CD16&lt;0,1-CH16/CD16,CH16/CD16-1)</f>
        <v>#NAME?</v>
      </c>
      <c r="CI18" s="39" t="e">
        <f t="shared" ca="1" si="167"/>
        <v>#NAME?</v>
      </c>
      <c r="CJ18" s="39" t="e">
        <f t="shared" ca="1" si="167"/>
        <v>#NAME?</v>
      </c>
      <c r="CK18" s="39" t="e">
        <f t="shared" ca="1" si="167"/>
        <v>#NAME?</v>
      </c>
      <c r="CL18" s="39" t="e">
        <f t="shared" ca="1" si="167"/>
        <v>#NAME?</v>
      </c>
      <c r="CM18" s="40" t="e">
        <f t="shared" ref="CM18" ca="1" si="168">+CM16/CI16-1</f>
        <v>#NAME?</v>
      </c>
      <c r="CN18" s="40" t="e">
        <f t="shared" ref="CN18" ca="1" si="169">+CN16/CJ16-1</f>
        <v>#NAME?</v>
      </c>
      <c r="CO18" s="40" t="e">
        <f t="shared" ref="CO18" ca="1" si="170">+CO16/CK16-1</f>
        <v>#NAME?</v>
      </c>
      <c r="CP18" s="40" t="e">
        <f t="shared" ref="CP18" ca="1" si="171">+CP16/CL16-1</f>
        <v>#NAME?</v>
      </c>
      <c r="CQ18" s="40" t="e">
        <f t="shared" ref="CQ18" ca="1" si="172">+CQ16/CM16-1</f>
        <v>#NAME?</v>
      </c>
      <c r="CR18" s="40" t="e">
        <f t="shared" ref="CR18" ca="1" si="173">+CR16/CN16-1</f>
        <v>#NAME?</v>
      </c>
      <c r="CS18" s="40" t="e">
        <f t="shared" ref="CS18" ca="1" si="174">+CS16/CO16-1</f>
        <v>#NAME?</v>
      </c>
      <c r="CT18" s="40" t="e">
        <f t="shared" ref="CT18" ca="1" si="175">+CT16/CP16-1</f>
        <v>#NAME?</v>
      </c>
      <c r="CU18" s="40" t="e">
        <f t="shared" ref="CU18" ca="1" si="176">+CU16/CQ16-1</f>
        <v>#NAME?</v>
      </c>
      <c r="CV18" s="40" t="e">
        <f t="shared" ref="CV18" ca="1" si="177">+CV16/CR16-1</f>
        <v>#NAME?</v>
      </c>
      <c r="CW18" s="40" t="e">
        <f t="shared" ref="CW18" ca="1" si="178">+CW16/CS16-1</f>
        <v>#NAME?</v>
      </c>
      <c r="CX18" s="40" t="e">
        <f t="shared" ref="CX18" ca="1" si="179">+CX16/CT16-1</f>
        <v>#NAME?</v>
      </c>
      <c r="CY18" s="40" t="e">
        <f t="shared" ref="CY18" ca="1" si="180">+CY16/CU16-1</f>
        <v>#NAME?</v>
      </c>
      <c r="CZ18" s="40" t="e">
        <f t="shared" ref="CZ18" ca="1" si="181">+CZ16/CV16-1</f>
        <v>#NAME?</v>
      </c>
      <c r="DA18" s="40" t="e">
        <f t="shared" ref="DA18" ca="1" si="182">+DA16/CW16-1</f>
        <v>#NAME?</v>
      </c>
      <c r="DB18" s="40" t="e">
        <f t="shared" ref="DB18" ca="1" si="183">+DB16/CX16-1</f>
        <v>#NAME?</v>
      </c>
      <c r="DE18" s="122"/>
      <c r="DF18" s="39">
        <v>0.23142098815843215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84">+IF(AJ16&lt;0,1-AK16/AJ16,AK16/AJ16-1)</f>
        <v>#NAME?</v>
      </c>
      <c r="AL19" s="39" t="e">
        <f t="shared" ref="AL19" ca="1" si="185">+IF(AK16&lt;0,1-AL16/AK16,AL16/AK16-1)</f>
        <v>#NAME?</v>
      </c>
      <c r="AM19" s="39" t="e">
        <f t="shared" ref="AM19" ca="1" si="186">+IF(AL16&lt;0,1-AM16/AL16,AM16/AL16-1)</f>
        <v>#NAME?</v>
      </c>
      <c r="AN19" s="39" t="e">
        <f t="shared" ref="AN19" ca="1" si="187">+IF(AM16&lt;0,1-AN16/AM16,AN16/AM16-1)</f>
        <v>#NAME?</v>
      </c>
      <c r="AO19" s="39" t="e">
        <f t="shared" ref="AO19" ca="1" si="188">+IF(AN16&lt;0,1-AO16/AN16,AO16/AN16-1)</f>
        <v>#NAME?</v>
      </c>
      <c r="AP19" s="39" t="e">
        <f t="shared" ref="AP19" ca="1" si="189">+IF(AO16&lt;0,1-AP16/AO16,AP16/AO16-1)</f>
        <v>#NAME?</v>
      </c>
      <c r="AQ19" s="39" t="e">
        <f t="shared" ref="AQ19" ca="1" si="190">+IF(AP16&lt;0,1-AQ16/AP16,AQ16/AP16-1)</f>
        <v>#NAME?</v>
      </c>
      <c r="AR19" s="39" t="e">
        <f t="shared" ref="AR19" ca="1" si="191">+IF(AQ16&lt;0,1-AR16/AQ16,AR16/AQ16-1)</f>
        <v>#NAME?</v>
      </c>
      <c r="AS19" s="39" t="e">
        <f t="shared" ref="AS19" ca="1" si="192">+IF(AR16&lt;0,1-AS16/AR16,AS16/AR16-1)</f>
        <v>#NAME?</v>
      </c>
      <c r="AT19" s="39" t="e">
        <f t="shared" ref="AT19" ca="1" si="193">+IF(AS16&lt;0,1-AT16/AS16,AT16/AS16-1)</f>
        <v>#NAME?</v>
      </c>
      <c r="AU19" s="39" t="e">
        <f t="shared" ref="AU19" ca="1" si="194">+IF(AT16&lt;0,1-AU16/AT16,AU16/AT16-1)</f>
        <v>#NAME?</v>
      </c>
      <c r="AV19" s="39" t="e">
        <f t="shared" ref="AV19" ca="1" si="195">+IF(AU16&lt;0,1-AV16/AU16,AV16/AU16-1)</f>
        <v>#NAME?</v>
      </c>
      <c r="AW19" s="39" t="e">
        <f t="shared" ref="AW19" ca="1" si="196">+IF(AV16&lt;0,1-AW16/AV16,AW16/AV16-1)</f>
        <v>#NAME?</v>
      </c>
      <c r="AX19" s="39" t="e">
        <f t="shared" ref="AX19" ca="1" si="197">+IF(AW16&lt;0,1-AX16/AW16,AX16/AW16-1)</f>
        <v>#NAME?</v>
      </c>
      <c r="AY19" s="39" t="e">
        <f t="shared" ref="AY19" ca="1" si="198">+IF(AX16&lt;0,1-AY16/AX16,AY16/AX16-1)</f>
        <v>#NAME?</v>
      </c>
      <c r="AZ19" s="39" t="e">
        <f t="shared" ref="AZ19" ca="1" si="199">+IF(AY16&lt;0,1-AZ16/AY16,AZ16/AY16-1)</f>
        <v>#NAME?</v>
      </c>
      <c r="BA19" s="39" t="e">
        <f t="shared" ref="BA19" ca="1" si="200">+IF(AZ16&lt;0,1-BA16/AZ16,BA16/AZ16-1)</f>
        <v>#NAME?</v>
      </c>
      <c r="BB19" s="39" t="e">
        <f t="shared" ref="BB19" ca="1" si="201">+IF(BA16&lt;0,1-BB16/BA16,BB16/BA16-1)</f>
        <v>#NAME?</v>
      </c>
      <c r="BC19" s="39" t="e">
        <f t="shared" ref="BC19" ca="1" si="202">+IF(BB16&lt;0,1-BC16/BB16,BC16/BB16-1)</f>
        <v>#NAME?</v>
      </c>
      <c r="BD19" s="39" t="e">
        <f t="shared" ref="BD19" ca="1" si="203">+IF(BC16&lt;0,1-BD16/BC16,BD16/BC16-1)</f>
        <v>#NAME?</v>
      </c>
      <c r="BE19" s="39" t="e">
        <f t="shared" ref="BE19" ca="1" si="204">+IF(BD16&lt;0,1-BE16/BD16,BE16/BD16-1)</f>
        <v>#NAME?</v>
      </c>
      <c r="BF19" s="39" t="e">
        <f t="shared" ref="BF19" ca="1" si="205">+IF(BE16&lt;0,1-BF16/BE16,BF16/BE16-1)</f>
        <v>#NAME?</v>
      </c>
      <c r="BG19" s="39" t="e">
        <f t="shared" ref="BG19" ca="1" si="206">+IF(BF16&lt;0,1-BG16/BF16,BG16/BF16-1)</f>
        <v>#NAME?</v>
      </c>
      <c r="BH19" s="39" t="e">
        <f t="shared" ref="BH19" ca="1" si="207">+IF(BG16&lt;0,1-BH16/BG16,BH16/BG16-1)</f>
        <v>#NAME?</v>
      </c>
      <c r="BI19" s="39" t="e">
        <f t="shared" ref="BI19" ca="1" si="208">+IF(BH16&lt;0,1-BI16/BH16,BI16/BH16-1)</f>
        <v>#NAME?</v>
      </c>
      <c r="BJ19" s="39" t="e">
        <f t="shared" ref="BJ19" ca="1" si="209">+IF(BI16&lt;0,1-BJ16/BI16,BJ16/BI16-1)</f>
        <v>#NAME?</v>
      </c>
      <c r="BK19" s="39" t="e">
        <f t="shared" ref="BK19" ca="1" si="210">+IF(BJ16&lt;0,1-BK16/BJ16,BK16/BJ16-1)</f>
        <v>#NAME?</v>
      </c>
      <c r="BL19" s="39" t="e">
        <f t="shared" ref="BL19" ca="1" si="211">+IF(BK16&lt;0,1-BL16/BK16,BL16/BK16-1)</f>
        <v>#NAME?</v>
      </c>
      <c r="BM19" s="39" t="e">
        <f t="shared" ref="BM19" ca="1" si="212">+IF(BL16&lt;0,1-BM16/BL16,BM16/BL16-1)</f>
        <v>#NAME?</v>
      </c>
      <c r="BN19" s="39" t="e">
        <f t="shared" ref="BN19" ca="1" si="213">+IF(BM16&lt;0,1-BN16/BM16,BN16/BM16-1)</f>
        <v>#NAME?</v>
      </c>
      <c r="BO19" s="39" t="e">
        <f t="shared" ref="BO19" ca="1" si="214">+IF(BN16&lt;0,1-BO16/BN16,BO16/BN16-1)</f>
        <v>#NAME?</v>
      </c>
      <c r="BP19" s="39" t="e">
        <f t="shared" ref="BP19" ca="1" si="215">+IF(BO16&lt;0,1-BP16/BO16,BP16/BO16-1)</f>
        <v>#NAME?</v>
      </c>
      <c r="BQ19" s="39" t="e">
        <f t="shared" ref="BQ19" ca="1" si="216">+IF(BP16&lt;0,1-BQ16/BP16,BQ16/BP16-1)</f>
        <v>#NAME?</v>
      </c>
      <c r="BR19" s="39" t="e">
        <f t="shared" ref="BR19" ca="1" si="217">+IF(BQ16&lt;0,1-BR16/BQ16,BR16/BQ16-1)</f>
        <v>#NAME?</v>
      </c>
      <c r="BS19" s="39" t="e">
        <f t="shared" ref="BS19" ca="1" si="218">+IF(BR16&lt;0,1-BS16/BR16,BS16/BR16-1)</f>
        <v>#NAME?</v>
      </c>
      <c r="BT19" s="39" t="e">
        <f t="shared" ref="BT19" ca="1" si="219">+IF(BS16&lt;0,1-BT16/BS16,BT16/BS16-1)</f>
        <v>#NAME?</v>
      </c>
      <c r="BU19" s="39" t="e">
        <f t="shared" ref="BU19" ca="1" si="220">+IF(BT16&lt;0,1-BU16/BT16,BU16/BT16-1)</f>
        <v>#NAME?</v>
      </c>
      <c r="BV19" s="39" t="e">
        <f t="shared" ref="BV19" ca="1" si="221">+IF(BU16&lt;0,1-BV16/BU16,BV16/BU16-1)</f>
        <v>#NAME?</v>
      </c>
      <c r="BW19" s="39" t="e">
        <f t="shared" ref="BW19" ca="1" si="222">+IF(BV16&lt;0,1-BW16/BV16,BW16/BV16-1)</f>
        <v>#NAME?</v>
      </c>
      <c r="BX19" s="39" t="e">
        <f t="shared" ref="BX19" ca="1" si="223">+IF(BW16&lt;0,1-BX16/BW16,BX16/BW16-1)</f>
        <v>#NAME?</v>
      </c>
      <c r="BY19" s="39" t="e">
        <f t="shared" ref="BY19" ca="1" si="224">+IF(BX16&lt;0,1-BY16/BX16,BY16/BX16-1)</f>
        <v>#NAME?</v>
      </c>
      <c r="BZ19" s="39" t="e">
        <f t="shared" ref="BZ19" ca="1" si="225">+IF(BY16&lt;0,1-BZ16/BY16,BZ16/BY16-1)</f>
        <v>#NAME?</v>
      </c>
      <c r="CA19" s="39" t="e">
        <f t="shared" ref="CA19" ca="1" si="226">+IF(BZ16&lt;0,1-CA16/BZ16,CA16/BZ16-1)</f>
        <v>#NAME?</v>
      </c>
      <c r="CB19" s="39" t="e">
        <f t="shared" ref="CB19" ca="1" si="227">+IF(CA16&lt;0,1-CB16/CA16,CB16/CA16-1)</f>
        <v>#NAME?</v>
      </c>
      <c r="CC19" s="39" t="e">
        <f t="shared" ref="CC19" ca="1" si="228">+IF(CB16&lt;0,1-CC16/CB16,CC16/CB16-1)</f>
        <v>#NAME?</v>
      </c>
      <c r="CD19" s="39" t="e">
        <f t="shared" ref="CD19" ca="1" si="229">+IF(CC16&lt;0,1-CD16/CC16,CD16/CC16-1)</f>
        <v>#NAME?</v>
      </c>
      <c r="CE19" s="39" t="e">
        <f t="shared" ref="CE19" ca="1" si="230">+IF(CD16&lt;0,1-CE16/CD16,CE16/CD16-1)</f>
        <v>#NAME?</v>
      </c>
      <c r="CF19" s="39" t="e">
        <f t="shared" ref="CF19" ca="1" si="231">+IF(CE16&lt;0,1-CF16/CE16,CF16/CE16-1)</f>
        <v>#NAME?</v>
      </c>
      <c r="CG19" s="39" t="e">
        <f t="shared" ref="CG19" ca="1" si="232">+IF(CF16&lt;0,1-CG16/CF16,CG16/CF16-1)</f>
        <v>#NAME?</v>
      </c>
      <c r="CH19" s="39" t="e">
        <f t="shared" ref="CH19:CL19" ca="1" si="233">+IF(CG16&lt;0,1-CH16/CG16,CH16/CG16-1)</f>
        <v>#NAME?</v>
      </c>
      <c r="CI19" s="39" t="e">
        <f t="shared" ca="1" si="233"/>
        <v>#NAME?</v>
      </c>
      <c r="CJ19" s="39" t="e">
        <f t="shared" ca="1" si="233"/>
        <v>#NAME?</v>
      </c>
      <c r="CK19" s="39" t="e">
        <f t="shared" ca="1" si="233"/>
        <v>#NAME?</v>
      </c>
      <c r="CL19" s="39" t="e">
        <f t="shared" ca="1" si="233"/>
        <v>#NAME?</v>
      </c>
      <c r="CM19" s="40" t="e">
        <f t="shared" ref="CM19" ca="1" si="234">+CM16/CL16-1</f>
        <v>#NAME?</v>
      </c>
      <c r="CN19" s="40" t="e">
        <f t="shared" ref="CN19" ca="1" si="235">+CN16/CM16-1</f>
        <v>#NAME?</v>
      </c>
      <c r="CO19" s="40" t="e">
        <f t="shared" ref="CO19" ca="1" si="236">+CO16/CN16-1</f>
        <v>#NAME?</v>
      </c>
      <c r="CP19" s="40" t="e">
        <f t="shared" ref="CP19" ca="1" si="237">+CP16/CO16-1</f>
        <v>#NAME?</v>
      </c>
      <c r="CQ19" s="40" t="e">
        <f t="shared" ref="CQ19" ca="1" si="238">+CQ16/CP16-1</f>
        <v>#NAME?</v>
      </c>
      <c r="CR19" s="40" t="e">
        <f t="shared" ref="CR19" ca="1" si="239">+CR16/CQ16-1</f>
        <v>#NAME?</v>
      </c>
      <c r="CS19" s="40" t="e">
        <f t="shared" ref="CS19" ca="1" si="240">+CS16/CR16-1</f>
        <v>#NAME?</v>
      </c>
      <c r="CT19" s="40" t="e">
        <f t="shared" ref="CT19" ca="1" si="241">+CT16/CS16-1</f>
        <v>#NAME?</v>
      </c>
      <c r="CU19" s="40" t="e">
        <f t="shared" ref="CU19" ca="1" si="242">+CU16/CT16-1</f>
        <v>#NAME?</v>
      </c>
      <c r="CV19" s="40" t="e">
        <f t="shared" ref="CV19" ca="1" si="243">+CV16/CU16-1</f>
        <v>#NAME?</v>
      </c>
      <c r="CW19" s="40" t="e">
        <f t="shared" ref="CW19" ca="1" si="244">+CW16/CV16-1</f>
        <v>#NAME?</v>
      </c>
      <c r="CX19" s="40" t="e">
        <f t="shared" ref="CX19" ca="1" si="245">+CX16/CW16-1</f>
        <v>#NAME?</v>
      </c>
      <c r="CY19" s="40" t="e">
        <f t="shared" ref="CY19" ca="1" si="246">+CY16/CX16-1</f>
        <v>#NAME?</v>
      </c>
      <c r="CZ19" s="40" t="e">
        <f t="shared" ref="CZ19" ca="1" si="247">+CZ16/CY16-1</f>
        <v>#NAME?</v>
      </c>
      <c r="DA19" s="40" t="e">
        <f t="shared" ref="DA19" ca="1" si="248">+DA16/CZ16-1</f>
        <v>#NAME?</v>
      </c>
      <c r="DB19" s="40" t="e">
        <f t="shared" ref="DB19" ca="1" si="249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0">+SUM(CM20:CP20)</f>
        <v>#NAME?</v>
      </c>
      <c r="AC20" s="76" t="e">
        <f t="shared" ref="AC20:AC25" ca="1" si="251">+SUM(CQ20:CT20)</f>
        <v>#NAME?</v>
      </c>
      <c r="AD20" s="76" t="e">
        <f t="shared" ref="AD20:AD25" ca="1" si="252">+SUM(CU20:CX20)</f>
        <v>#NAME?</v>
      </c>
      <c r="AE20" s="76" t="e">
        <f t="shared" ref="AE20:AE25" ca="1" si="253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54">CI20*107%</f>
        <v>#NAME?</v>
      </c>
      <c r="CN20" s="24" t="e">
        <f t="shared" ca="1" si="254"/>
        <v>#NAME?</v>
      </c>
      <c r="CO20" s="24" t="e">
        <f t="shared" ca="1" si="254"/>
        <v>#NAME?</v>
      </c>
      <c r="CP20" s="24" t="e">
        <f t="shared" ca="1" si="254"/>
        <v>#NAME?</v>
      </c>
      <c r="CQ20" s="24" t="e">
        <f t="shared" ca="1" si="254"/>
        <v>#NAME?</v>
      </c>
      <c r="CR20" s="24" t="e">
        <f t="shared" ca="1" si="254"/>
        <v>#NAME?</v>
      </c>
      <c r="CS20" s="24" t="e">
        <f t="shared" ca="1" si="254"/>
        <v>#NAME?</v>
      </c>
      <c r="CT20" s="24" t="e">
        <f t="shared" ca="1" si="254"/>
        <v>#NAME?</v>
      </c>
      <c r="CU20" s="24" t="e">
        <f t="shared" ca="1" si="254"/>
        <v>#NAME?</v>
      </c>
      <c r="CV20" s="24" t="e">
        <f t="shared" ca="1" si="254"/>
        <v>#NAME?</v>
      </c>
      <c r="CW20" s="24" t="e">
        <f t="shared" ca="1" si="254"/>
        <v>#NAME?</v>
      </c>
      <c r="CX20" s="24" t="e">
        <f t="shared" ca="1" si="254"/>
        <v>#NAME?</v>
      </c>
      <c r="CY20" s="24" t="e">
        <f t="shared" ca="1" si="254"/>
        <v>#NAME?</v>
      </c>
      <c r="CZ20" s="24" t="e">
        <f t="shared" ca="1" si="254"/>
        <v>#NAME?</v>
      </c>
      <c r="DA20" s="24" t="e">
        <f t="shared" ca="1" si="254"/>
        <v>#NAME?</v>
      </c>
      <c r="DB20" s="24" t="e">
        <f t="shared" ca="1" si="254"/>
        <v>#NAME?</v>
      </c>
      <c r="DE20" s="123"/>
      <c r="DF20" s="23">
        <v>226.77799999999996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0"/>
        <v>#NAME?</v>
      </c>
      <c r="AC23" s="76" t="e">
        <f t="shared" ca="1" si="251"/>
        <v>#NAME?</v>
      </c>
      <c r="AD23" s="76" t="e">
        <f t="shared" ca="1" si="252"/>
        <v>#NAME?</v>
      </c>
      <c r="AE23" s="76" t="e">
        <f t="shared" ca="1" si="253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5">CM26-CM20-CM21-CM22-CM24-CM25</f>
        <v>#NAME?</v>
      </c>
      <c r="CN23" s="24" t="e">
        <f t="shared" ca="1" si="255"/>
        <v>#NAME?</v>
      </c>
      <c r="CO23" s="24" t="e">
        <f t="shared" ca="1" si="255"/>
        <v>#NAME?</v>
      </c>
      <c r="CP23" s="24" t="e">
        <f t="shared" ca="1" si="255"/>
        <v>#NAME?</v>
      </c>
      <c r="CQ23" s="24" t="e">
        <f t="shared" ca="1" si="255"/>
        <v>#NAME?</v>
      </c>
      <c r="CR23" s="24" t="e">
        <f t="shared" ca="1" si="255"/>
        <v>#NAME?</v>
      </c>
      <c r="CS23" s="24" t="e">
        <f t="shared" ca="1" si="255"/>
        <v>#NAME?</v>
      </c>
      <c r="CT23" s="24" t="e">
        <f t="shared" ca="1" si="255"/>
        <v>#NAME?</v>
      </c>
      <c r="CU23" s="24" t="e">
        <f t="shared" ca="1" si="255"/>
        <v>#NAME?</v>
      </c>
      <c r="CV23" s="24" t="e">
        <f t="shared" ca="1" si="255"/>
        <v>#NAME?</v>
      </c>
      <c r="CW23" s="24" t="e">
        <f t="shared" ca="1" si="255"/>
        <v>#NAME?</v>
      </c>
      <c r="CX23" s="24" t="e">
        <f t="shared" ca="1" si="255"/>
        <v>#NAME?</v>
      </c>
      <c r="CY23" s="24" t="e">
        <f t="shared" ca="1" si="255"/>
        <v>#NAME?</v>
      </c>
      <c r="CZ23" s="24" t="e">
        <f t="shared" ca="1" si="255"/>
        <v>#NAME?</v>
      </c>
      <c r="DA23" s="24" t="e">
        <f t="shared" ca="1" si="255"/>
        <v>#NAME?</v>
      </c>
      <c r="DB23" s="24" t="e">
        <f t="shared" ca="1" si="255"/>
        <v>#NAME?</v>
      </c>
      <c r="DE23" s="123"/>
      <c r="DF23" s="23">
        <v>155.67699999999999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56">+SUM(B20:B25)</f>
        <v>#NAME?</v>
      </c>
      <c r="C26" s="22" t="e">
        <f t="shared" ca="1" si="256"/>
        <v>#NAME?</v>
      </c>
      <c r="D26" s="22" t="e">
        <f t="shared" ca="1" si="256"/>
        <v>#NAME?</v>
      </c>
      <c r="E26" s="22" t="e">
        <f t="shared" ca="1" si="256"/>
        <v>#NAME?</v>
      </c>
      <c r="F26" s="22" t="e">
        <f t="shared" ref="F26:AE26" ca="1" si="257">+SUM(F20:F25)</f>
        <v>#NAME?</v>
      </c>
      <c r="G26" s="22" t="e">
        <f t="shared" ca="1" si="257"/>
        <v>#NAME?</v>
      </c>
      <c r="H26" s="22" t="e">
        <f t="shared" ca="1" si="257"/>
        <v>#NAME?</v>
      </c>
      <c r="I26" s="22" t="e">
        <f t="shared" ca="1" si="257"/>
        <v>#NAME?</v>
      </c>
      <c r="J26" s="22" t="e">
        <f t="shared" ca="1" si="257"/>
        <v>#NAME?</v>
      </c>
      <c r="K26" s="22" t="e">
        <f t="shared" ca="1" si="257"/>
        <v>#NAME?</v>
      </c>
      <c r="L26" s="22" t="e">
        <f t="shared" ca="1" si="257"/>
        <v>#NAME?</v>
      </c>
      <c r="M26" s="22" t="e">
        <f t="shared" ca="1" si="257"/>
        <v>#NAME?</v>
      </c>
      <c r="N26" s="22" t="e">
        <f t="shared" ca="1" si="257"/>
        <v>#NAME?</v>
      </c>
      <c r="O26" s="22" t="e">
        <f t="shared" ca="1" si="257"/>
        <v>#NAME?</v>
      </c>
      <c r="P26" s="22" t="e">
        <f t="shared" ca="1" si="257"/>
        <v>#NAME?</v>
      </c>
      <c r="Q26" s="22" t="e">
        <f t="shared" ca="1" si="257"/>
        <v>#NAME?</v>
      </c>
      <c r="R26" s="22" t="e">
        <f t="shared" ca="1" si="257"/>
        <v>#NAME?</v>
      </c>
      <c r="S26" s="22" t="e">
        <f t="shared" ca="1" si="257"/>
        <v>#NAME?</v>
      </c>
      <c r="T26" s="22" t="e">
        <f t="shared" ca="1" si="257"/>
        <v>#NAME?</v>
      </c>
      <c r="U26" s="22" t="e">
        <f t="shared" ca="1" si="257"/>
        <v>#NAME?</v>
      </c>
      <c r="V26" s="22" t="e">
        <f t="shared" ca="1" si="257"/>
        <v>#NAME?</v>
      </c>
      <c r="W26" s="22" t="e">
        <f t="shared" ca="1" si="257"/>
        <v>#NAME?</v>
      </c>
      <c r="X26" s="22" t="e">
        <f t="shared" ca="1" si="257"/>
        <v>#NAME?</v>
      </c>
      <c r="Y26" s="22" t="e">
        <f t="shared" ca="1" si="257"/>
        <v>#NAME?</v>
      </c>
      <c r="Z26" s="22" t="e">
        <f t="shared" ref="Z26:AA26" ca="1" si="258">+SUM(Z20:Z25)</f>
        <v>#NAME?</v>
      </c>
      <c r="AA26" s="22" t="e">
        <f t="shared" ca="1" si="258"/>
        <v>#NAME?</v>
      </c>
      <c r="AB26" s="21" t="e">
        <f t="shared" ca="1" si="257"/>
        <v>#NAME?</v>
      </c>
      <c r="AC26" s="21" t="e">
        <f t="shared" ca="1" si="257"/>
        <v>#NAME?</v>
      </c>
      <c r="AD26" s="21" t="e">
        <f t="shared" ca="1" si="257"/>
        <v>#NAME?</v>
      </c>
      <c r="AE26" s="21" t="e">
        <f t="shared" ca="1" si="257"/>
        <v>#NAME?</v>
      </c>
      <c r="AI26" s="22" t="e">
        <f t="shared" ref="AI26:BN26" ca="1" si="259">+SUM(AI20:AI25)</f>
        <v>#NAME?</v>
      </c>
      <c r="AJ26" s="22" t="e">
        <f t="shared" ca="1" si="259"/>
        <v>#NAME?</v>
      </c>
      <c r="AK26" s="22" t="e">
        <f t="shared" ca="1" si="259"/>
        <v>#NAME?</v>
      </c>
      <c r="AL26" s="22" t="e">
        <f t="shared" ca="1" si="259"/>
        <v>#NAME?</v>
      </c>
      <c r="AM26" s="22" t="e">
        <f t="shared" ca="1" si="259"/>
        <v>#NAME?</v>
      </c>
      <c r="AN26" s="22" t="e">
        <f t="shared" ca="1" si="259"/>
        <v>#NAME?</v>
      </c>
      <c r="AO26" s="22" t="e">
        <f t="shared" ca="1" si="259"/>
        <v>#NAME?</v>
      </c>
      <c r="AP26" s="22" t="e">
        <f t="shared" ca="1" si="259"/>
        <v>#NAME?</v>
      </c>
      <c r="AQ26" s="22" t="e">
        <f t="shared" ca="1" si="259"/>
        <v>#NAME?</v>
      </c>
      <c r="AR26" s="22" t="e">
        <f t="shared" ca="1" si="259"/>
        <v>#NAME?</v>
      </c>
      <c r="AS26" s="22" t="e">
        <f t="shared" ca="1" si="259"/>
        <v>#NAME?</v>
      </c>
      <c r="AT26" s="22" t="e">
        <f t="shared" ca="1" si="259"/>
        <v>#NAME?</v>
      </c>
      <c r="AU26" s="22" t="e">
        <f t="shared" ca="1" si="259"/>
        <v>#NAME?</v>
      </c>
      <c r="AV26" s="22" t="e">
        <f t="shared" ca="1" si="259"/>
        <v>#NAME?</v>
      </c>
      <c r="AW26" s="22" t="e">
        <f t="shared" ca="1" si="259"/>
        <v>#NAME?</v>
      </c>
      <c r="AX26" s="22" t="e">
        <f t="shared" ca="1" si="259"/>
        <v>#NAME?</v>
      </c>
      <c r="AY26" s="22" t="e">
        <f t="shared" ca="1" si="259"/>
        <v>#NAME?</v>
      </c>
      <c r="AZ26" s="22" t="e">
        <f t="shared" ca="1" si="259"/>
        <v>#NAME?</v>
      </c>
      <c r="BA26" s="22" t="e">
        <f t="shared" ca="1" si="259"/>
        <v>#NAME?</v>
      </c>
      <c r="BB26" s="22" t="e">
        <f t="shared" ca="1" si="259"/>
        <v>#NAME?</v>
      </c>
      <c r="BC26" s="22" t="e">
        <f t="shared" ca="1" si="259"/>
        <v>#NAME?</v>
      </c>
      <c r="BD26" s="22" t="e">
        <f t="shared" ca="1" si="259"/>
        <v>#NAME?</v>
      </c>
      <c r="BE26" s="22" t="e">
        <f t="shared" ca="1" si="259"/>
        <v>#NAME?</v>
      </c>
      <c r="BF26" s="22" t="e">
        <f t="shared" ca="1" si="259"/>
        <v>#NAME?</v>
      </c>
      <c r="BG26" s="22" t="e">
        <f t="shared" ca="1" si="259"/>
        <v>#NAME?</v>
      </c>
      <c r="BH26" s="22" t="e">
        <f t="shared" ca="1" si="259"/>
        <v>#NAME?</v>
      </c>
      <c r="BI26" s="22" t="e">
        <f t="shared" ca="1" si="259"/>
        <v>#NAME?</v>
      </c>
      <c r="BJ26" s="22" t="e">
        <f t="shared" ca="1" si="259"/>
        <v>#NAME?</v>
      </c>
      <c r="BK26" s="22" t="e">
        <f t="shared" ca="1" si="259"/>
        <v>#NAME?</v>
      </c>
      <c r="BL26" s="22" t="e">
        <f t="shared" ca="1" si="259"/>
        <v>#NAME?</v>
      </c>
      <c r="BM26" s="22" t="e">
        <f t="shared" ca="1" si="259"/>
        <v>#NAME?</v>
      </c>
      <c r="BN26" s="22" t="e">
        <f t="shared" ca="1" si="259"/>
        <v>#NAME?</v>
      </c>
      <c r="BO26" s="22" t="e">
        <f t="shared" ref="BO26:CH26" ca="1" si="260">+SUM(BO20:BO25)</f>
        <v>#NAME?</v>
      </c>
      <c r="BP26" s="22" t="e">
        <f t="shared" ca="1" si="260"/>
        <v>#NAME?</v>
      </c>
      <c r="BQ26" s="22" t="e">
        <f t="shared" ca="1" si="260"/>
        <v>#NAME?</v>
      </c>
      <c r="BR26" s="22" t="e">
        <f t="shared" ca="1" si="260"/>
        <v>#NAME?</v>
      </c>
      <c r="BS26" s="22" t="e">
        <f t="shared" ca="1" si="260"/>
        <v>#NAME?</v>
      </c>
      <c r="BT26" s="22" t="e">
        <f t="shared" ca="1" si="260"/>
        <v>#NAME?</v>
      </c>
      <c r="BU26" s="22" t="e">
        <f t="shared" ca="1" si="260"/>
        <v>#NAME?</v>
      </c>
      <c r="BV26" s="22" t="e">
        <f t="shared" ca="1" si="260"/>
        <v>#NAME?</v>
      </c>
      <c r="BW26" s="22" t="e">
        <f t="shared" ca="1" si="260"/>
        <v>#NAME?</v>
      </c>
      <c r="BX26" s="22" t="e">
        <f t="shared" ca="1" si="260"/>
        <v>#NAME?</v>
      </c>
      <c r="BY26" s="22" t="e">
        <f t="shared" ca="1" si="260"/>
        <v>#NAME?</v>
      </c>
      <c r="BZ26" s="22" t="e">
        <f t="shared" ca="1" si="260"/>
        <v>#NAME?</v>
      </c>
      <c r="CA26" s="22" t="e">
        <f t="shared" ca="1" si="260"/>
        <v>#NAME?</v>
      </c>
      <c r="CB26" s="22" t="e">
        <f t="shared" ca="1" si="260"/>
        <v>#NAME?</v>
      </c>
      <c r="CC26" s="22" t="e">
        <f t="shared" ca="1" si="260"/>
        <v>#NAME?</v>
      </c>
      <c r="CD26" s="22" t="e">
        <f t="shared" ca="1" si="260"/>
        <v>#NAME?</v>
      </c>
      <c r="CE26" s="22" t="e">
        <f t="shared" ca="1" si="260"/>
        <v>#NAME?</v>
      </c>
      <c r="CF26" s="22" t="e">
        <f t="shared" ca="1" si="260"/>
        <v>#NAME?</v>
      </c>
      <c r="CG26" s="22" t="e">
        <f t="shared" ca="1" si="260"/>
        <v>#NAME?</v>
      </c>
      <c r="CH26" s="22" t="e">
        <f t="shared" ca="1" si="260"/>
        <v>#NAME?</v>
      </c>
      <c r="CI26" s="22" t="e">
        <f t="shared" ref="CI26:CJ26" ca="1" si="261">+SUM(CI20:CI25)</f>
        <v>#NAME?</v>
      </c>
      <c r="CJ26" s="22" t="e">
        <f t="shared" ca="1" si="261"/>
        <v>#NAME?</v>
      </c>
      <c r="CK26" s="22" t="e">
        <f t="shared" ref="CK26:CL26" ca="1" si="262">+SUM(CK20:CK25)</f>
        <v>#NAME?</v>
      </c>
      <c r="CL26" s="22" t="e">
        <f t="shared" ca="1" si="262"/>
        <v>#NAME?</v>
      </c>
      <c r="CM26" s="21" t="e">
        <f t="shared" ref="CM26:DB26" ca="1" si="263">CM27*CM10</f>
        <v>#NAME?</v>
      </c>
      <c r="CN26" s="21" t="e">
        <f t="shared" ca="1" si="263"/>
        <v>#NAME?</v>
      </c>
      <c r="CO26" s="21" t="e">
        <f t="shared" ca="1" si="263"/>
        <v>#NAME?</v>
      </c>
      <c r="CP26" s="21" t="e">
        <f t="shared" ca="1" si="263"/>
        <v>#NAME?</v>
      </c>
      <c r="CQ26" s="21" t="e">
        <f t="shared" ca="1" si="263"/>
        <v>#NAME?</v>
      </c>
      <c r="CR26" s="21" t="e">
        <f t="shared" ca="1" si="263"/>
        <v>#NAME?</v>
      </c>
      <c r="CS26" s="21" t="e">
        <f t="shared" ca="1" si="263"/>
        <v>#NAME?</v>
      </c>
      <c r="CT26" s="21" t="e">
        <f t="shared" ca="1" si="263"/>
        <v>#NAME?</v>
      </c>
      <c r="CU26" s="21" t="e">
        <f t="shared" ca="1" si="263"/>
        <v>#NAME?</v>
      </c>
      <c r="CV26" s="21" t="e">
        <f t="shared" ca="1" si="263"/>
        <v>#NAME?</v>
      </c>
      <c r="CW26" s="21" t="e">
        <f t="shared" ca="1" si="263"/>
        <v>#NAME?</v>
      </c>
      <c r="CX26" s="21" t="e">
        <f t="shared" ca="1" si="263"/>
        <v>#NAME?</v>
      </c>
      <c r="CY26" s="21" t="e">
        <f t="shared" ca="1" si="263"/>
        <v>#NAME?</v>
      </c>
      <c r="CZ26" s="21" t="e">
        <f t="shared" ca="1" si="263"/>
        <v>#NAME?</v>
      </c>
      <c r="DA26" s="21" t="e">
        <f t="shared" ca="1" si="263"/>
        <v>#NAME?</v>
      </c>
      <c r="DB26" s="21" t="e">
        <f t="shared" ca="1" si="263"/>
        <v>#NAME?</v>
      </c>
      <c r="DE26" s="126"/>
      <c r="DF26" s="22">
        <v>382.45499999999993</v>
      </c>
    </row>
    <row r="27" spans="1:110" s="44" customFormat="1" x14ac:dyDescent="0.2">
      <c r="A27" s="43" t="s">
        <v>349</v>
      </c>
      <c r="B27" s="44" t="e">
        <f t="shared" ref="B27:E27" ca="1" si="264">B26/B10</f>
        <v>#NAME?</v>
      </c>
      <c r="C27" s="44" t="e">
        <f t="shared" ca="1" si="264"/>
        <v>#NAME?</v>
      </c>
      <c r="D27" s="44" t="e">
        <f t="shared" ca="1" si="264"/>
        <v>#NAME?</v>
      </c>
      <c r="E27" s="44" t="e">
        <f t="shared" ca="1" si="264"/>
        <v>#NAME?</v>
      </c>
      <c r="F27" s="44" t="e">
        <f t="shared" ref="F27:AE27" ca="1" si="265">F26/F10</f>
        <v>#NAME?</v>
      </c>
      <c r="G27" s="44" t="e">
        <f t="shared" ca="1" si="265"/>
        <v>#NAME?</v>
      </c>
      <c r="H27" s="44" t="e">
        <f t="shared" ca="1" si="265"/>
        <v>#NAME?</v>
      </c>
      <c r="I27" s="44" t="e">
        <f t="shared" ca="1" si="265"/>
        <v>#NAME?</v>
      </c>
      <c r="J27" s="44" t="e">
        <f t="shared" ca="1" si="265"/>
        <v>#NAME?</v>
      </c>
      <c r="K27" s="44" t="e">
        <f t="shared" ca="1" si="265"/>
        <v>#NAME?</v>
      </c>
      <c r="L27" s="44" t="e">
        <f t="shared" ca="1" si="265"/>
        <v>#NAME?</v>
      </c>
      <c r="M27" s="44" t="e">
        <f t="shared" ca="1" si="265"/>
        <v>#NAME?</v>
      </c>
      <c r="N27" s="44" t="e">
        <f t="shared" ca="1" si="265"/>
        <v>#NAME?</v>
      </c>
      <c r="O27" s="44" t="e">
        <f t="shared" ca="1" si="265"/>
        <v>#NAME?</v>
      </c>
      <c r="P27" s="44" t="e">
        <f t="shared" ca="1" si="265"/>
        <v>#NAME?</v>
      </c>
      <c r="Q27" s="44" t="e">
        <f t="shared" ca="1" si="265"/>
        <v>#NAME?</v>
      </c>
      <c r="R27" s="44" t="e">
        <f t="shared" ca="1" si="265"/>
        <v>#NAME?</v>
      </c>
      <c r="S27" s="44" t="e">
        <f t="shared" ca="1" si="265"/>
        <v>#NAME?</v>
      </c>
      <c r="T27" s="44" t="e">
        <f t="shared" ca="1" si="265"/>
        <v>#NAME?</v>
      </c>
      <c r="U27" s="44" t="e">
        <f t="shared" ca="1" si="265"/>
        <v>#NAME?</v>
      </c>
      <c r="V27" s="44" t="e">
        <f t="shared" ca="1" si="265"/>
        <v>#NAME?</v>
      </c>
      <c r="W27" s="44" t="e">
        <f t="shared" ca="1" si="265"/>
        <v>#NAME?</v>
      </c>
      <c r="X27" s="44" t="e">
        <f t="shared" ca="1" si="265"/>
        <v>#NAME?</v>
      </c>
      <c r="Y27" s="44" t="e">
        <f t="shared" ca="1" si="265"/>
        <v>#NAME?</v>
      </c>
      <c r="Z27" s="44" t="e">
        <f t="shared" ref="Z27:AA27" ca="1" si="266">Z26/Z10</f>
        <v>#NAME?</v>
      </c>
      <c r="AA27" s="44" t="e">
        <f t="shared" ca="1" si="266"/>
        <v>#NAME?</v>
      </c>
      <c r="AB27" s="52" t="e">
        <f t="shared" ca="1" si="265"/>
        <v>#NAME?</v>
      </c>
      <c r="AC27" s="52" t="e">
        <f t="shared" ca="1" si="265"/>
        <v>#NAME?</v>
      </c>
      <c r="AD27" s="52" t="e">
        <f t="shared" ca="1" si="265"/>
        <v>#NAME?</v>
      </c>
      <c r="AE27" s="52" t="e">
        <f t="shared" ca="1" si="265"/>
        <v>#NAME?</v>
      </c>
      <c r="AI27" s="44" t="e">
        <f t="shared" ref="AI27:BN27" ca="1" si="267">AI26/AI10</f>
        <v>#NAME?</v>
      </c>
      <c r="AJ27" s="44" t="e">
        <f t="shared" ca="1" si="267"/>
        <v>#NAME?</v>
      </c>
      <c r="AK27" s="44" t="e">
        <f t="shared" ca="1" si="267"/>
        <v>#NAME?</v>
      </c>
      <c r="AL27" s="44" t="e">
        <f t="shared" ca="1" si="267"/>
        <v>#NAME?</v>
      </c>
      <c r="AM27" s="44" t="e">
        <f t="shared" ca="1" si="267"/>
        <v>#NAME?</v>
      </c>
      <c r="AN27" s="44" t="e">
        <f t="shared" ca="1" si="267"/>
        <v>#NAME?</v>
      </c>
      <c r="AO27" s="44" t="e">
        <f t="shared" ca="1" si="267"/>
        <v>#NAME?</v>
      </c>
      <c r="AP27" s="44" t="e">
        <f t="shared" ca="1" si="267"/>
        <v>#NAME?</v>
      </c>
      <c r="AQ27" s="44" t="e">
        <f t="shared" ca="1" si="267"/>
        <v>#NAME?</v>
      </c>
      <c r="AR27" s="44" t="e">
        <f t="shared" ca="1" si="267"/>
        <v>#NAME?</v>
      </c>
      <c r="AS27" s="44" t="e">
        <f t="shared" ca="1" si="267"/>
        <v>#NAME?</v>
      </c>
      <c r="AT27" s="44" t="e">
        <f t="shared" ca="1" si="267"/>
        <v>#NAME?</v>
      </c>
      <c r="AU27" s="44" t="e">
        <f t="shared" ca="1" si="267"/>
        <v>#NAME?</v>
      </c>
      <c r="AV27" s="44" t="e">
        <f t="shared" ca="1" si="267"/>
        <v>#NAME?</v>
      </c>
      <c r="AW27" s="44" t="e">
        <f t="shared" ca="1" si="267"/>
        <v>#NAME?</v>
      </c>
      <c r="AX27" s="44" t="e">
        <f t="shared" ca="1" si="267"/>
        <v>#NAME?</v>
      </c>
      <c r="AY27" s="44" t="e">
        <f t="shared" ca="1" si="267"/>
        <v>#NAME?</v>
      </c>
      <c r="AZ27" s="44" t="e">
        <f t="shared" ca="1" si="267"/>
        <v>#NAME?</v>
      </c>
      <c r="BA27" s="44" t="e">
        <f t="shared" ca="1" si="267"/>
        <v>#NAME?</v>
      </c>
      <c r="BB27" s="44" t="e">
        <f t="shared" ca="1" si="267"/>
        <v>#NAME?</v>
      </c>
      <c r="BC27" s="44" t="e">
        <f t="shared" ca="1" si="267"/>
        <v>#NAME?</v>
      </c>
      <c r="BD27" s="44" t="e">
        <f t="shared" ca="1" si="267"/>
        <v>#NAME?</v>
      </c>
      <c r="BE27" s="44" t="e">
        <f t="shared" ca="1" si="267"/>
        <v>#NAME?</v>
      </c>
      <c r="BF27" s="44" t="e">
        <f t="shared" ca="1" si="267"/>
        <v>#NAME?</v>
      </c>
      <c r="BG27" s="44" t="e">
        <f t="shared" ca="1" si="267"/>
        <v>#NAME?</v>
      </c>
      <c r="BH27" s="44" t="e">
        <f t="shared" ca="1" si="267"/>
        <v>#NAME?</v>
      </c>
      <c r="BI27" s="44" t="e">
        <f t="shared" ca="1" si="267"/>
        <v>#NAME?</v>
      </c>
      <c r="BJ27" s="44" t="e">
        <f t="shared" ca="1" si="267"/>
        <v>#NAME?</v>
      </c>
      <c r="BK27" s="44" t="e">
        <f t="shared" ca="1" si="267"/>
        <v>#NAME?</v>
      </c>
      <c r="BL27" s="44" t="e">
        <f t="shared" ca="1" si="267"/>
        <v>#NAME?</v>
      </c>
      <c r="BM27" s="44" t="e">
        <f t="shared" ca="1" si="267"/>
        <v>#NAME?</v>
      </c>
      <c r="BN27" s="44" t="e">
        <f t="shared" ca="1" si="267"/>
        <v>#NAME?</v>
      </c>
      <c r="BO27" s="44" t="e">
        <f t="shared" ref="BO27:CH27" ca="1" si="268">BO26/BO10</f>
        <v>#NAME?</v>
      </c>
      <c r="BP27" s="44" t="e">
        <f t="shared" ca="1" si="268"/>
        <v>#NAME?</v>
      </c>
      <c r="BQ27" s="44" t="e">
        <f t="shared" ca="1" si="268"/>
        <v>#NAME?</v>
      </c>
      <c r="BR27" s="44" t="e">
        <f t="shared" ca="1" si="268"/>
        <v>#NAME?</v>
      </c>
      <c r="BS27" s="44" t="e">
        <f t="shared" ca="1" si="268"/>
        <v>#NAME?</v>
      </c>
      <c r="BT27" s="44" t="e">
        <f t="shared" ca="1" si="268"/>
        <v>#NAME?</v>
      </c>
      <c r="BU27" s="44" t="e">
        <f t="shared" ca="1" si="268"/>
        <v>#NAME?</v>
      </c>
      <c r="BV27" s="44" t="e">
        <f t="shared" ca="1" si="268"/>
        <v>#NAME?</v>
      </c>
      <c r="BW27" s="44" t="e">
        <f t="shared" ca="1" si="268"/>
        <v>#NAME?</v>
      </c>
      <c r="BX27" s="44" t="e">
        <f t="shared" ca="1" si="268"/>
        <v>#NAME?</v>
      </c>
      <c r="BY27" s="44" t="e">
        <f t="shared" ca="1" si="268"/>
        <v>#NAME?</v>
      </c>
      <c r="BZ27" s="44" t="e">
        <f t="shared" ca="1" si="268"/>
        <v>#NAME?</v>
      </c>
      <c r="CA27" s="44" t="e">
        <f t="shared" ca="1" si="268"/>
        <v>#NAME?</v>
      </c>
      <c r="CB27" s="44" t="e">
        <f t="shared" ca="1" si="268"/>
        <v>#NAME?</v>
      </c>
      <c r="CC27" s="44" t="e">
        <f t="shared" ca="1" si="268"/>
        <v>#NAME?</v>
      </c>
      <c r="CD27" s="44" t="e">
        <f t="shared" ca="1" si="268"/>
        <v>#NAME?</v>
      </c>
      <c r="CE27" s="44" t="e">
        <f t="shared" ca="1" si="268"/>
        <v>#NAME?</v>
      </c>
      <c r="CF27" s="44" t="e">
        <f t="shared" ca="1" si="268"/>
        <v>#NAME?</v>
      </c>
      <c r="CG27" s="44" t="e">
        <f t="shared" ca="1" si="268"/>
        <v>#NAME?</v>
      </c>
      <c r="CH27" s="44" t="e">
        <f t="shared" ca="1" si="268"/>
        <v>#NAME?</v>
      </c>
      <c r="CI27" s="44" t="e">
        <f t="shared" ref="CI27:CJ27" ca="1" si="269">CI26/CI10</f>
        <v>#NAME?</v>
      </c>
      <c r="CJ27" s="44" t="e">
        <f t="shared" ca="1" si="269"/>
        <v>#NAME?</v>
      </c>
      <c r="CK27" s="44" t="e">
        <f t="shared" ref="CK27:CL27" ca="1" si="270">CK26/CK10</f>
        <v>#NAME?</v>
      </c>
      <c r="CL27" s="44" t="e">
        <f t="shared" ca="1" si="270"/>
        <v>#NAME?</v>
      </c>
      <c r="CM27" s="52" t="e">
        <f t="shared" ref="CM27:DB27" ca="1" si="271">AVERAGE(CI27:CL27)</f>
        <v>#NAME?</v>
      </c>
      <c r="CN27" s="52" t="e">
        <f t="shared" ca="1" si="271"/>
        <v>#NAME?</v>
      </c>
      <c r="CO27" s="52" t="e">
        <f t="shared" ca="1" si="271"/>
        <v>#NAME?</v>
      </c>
      <c r="CP27" s="52" t="e">
        <f t="shared" ca="1" si="271"/>
        <v>#NAME?</v>
      </c>
      <c r="CQ27" s="52" t="e">
        <f t="shared" ca="1" si="271"/>
        <v>#NAME?</v>
      </c>
      <c r="CR27" s="52" t="e">
        <f t="shared" ca="1" si="271"/>
        <v>#NAME?</v>
      </c>
      <c r="CS27" s="52" t="e">
        <f t="shared" ca="1" si="271"/>
        <v>#NAME?</v>
      </c>
      <c r="CT27" s="52" t="e">
        <f t="shared" ca="1" si="271"/>
        <v>#NAME?</v>
      </c>
      <c r="CU27" s="52" t="e">
        <f t="shared" ca="1" si="271"/>
        <v>#NAME?</v>
      </c>
      <c r="CV27" s="52" t="e">
        <f t="shared" ca="1" si="271"/>
        <v>#NAME?</v>
      </c>
      <c r="CW27" s="52" t="e">
        <f t="shared" ca="1" si="271"/>
        <v>#NAME?</v>
      </c>
      <c r="CX27" s="52" t="e">
        <f t="shared" ca="1" si="271"/>
        <v>#NAME?</v>
      </c>
      <c r="CY27" s="52" t="e">
        <f t="shared" ca="1" si="271"/>
        <v>#NAME?</v>
      </c>
      <c r="CZ27" s="52" t="e">
        <f t="shared" ca="1" si="271"/>
        <v>#NAME?</v>
      </c>
      <c r="DA27" s="52" t="e">
        <f t="shared" ca="1" si="271"/>
        <v>#NAME?</v>
      </c>
      <c r="DB27" s="52" t="e">
        <f t="shared" ca="1" si="271"/>
        <v>#NAME?</v>
      </c>
      <c r="DE27" s="128"/>
      <c r="DF27" s="44">
        <v>0.30381131454962707</v>
      </c>
    </row>
    <row r="28" spans="1:110" s="26" customFormat="1" x14ac:dyDescent="0.2">
      <c r="A28" s="34" t="s">
        <v>13</v>
      </c>
      <c r="B28" s="26" t="e">
        <f t="shared" ref="B28:E28" ca="1" si="272">B16-B26</f>
        <v>#NAME?</v>
      </c>
      <c r="C28" s="26" t="e">
        <f t="shared" ca="1" si="272"/>
        <v>#NAME?</v>
      </c>
      <c r="D28" s="26" t="e">
        <f t="shared" ca="1" si="272"/>
        <v>#NAME?</v>
      </c>
      <c r="E28" s="26" t="e">
        <f t="shared" ca="1" si="272"/>
        <v>#NAME?</v>
      </c>
      <c r="F28" s="26" t="e">
        <f t="shared" ref="F28:AE28" ca="1" si="273">F16-F26</f>
        <v>#NAME?</v>
      </c>
      <c r="G28" s="26" t="e">
        <f t="shared" ca="1" si="273"/>
        <v>#NAME?</v>
      </c>
      <c r="H28" s="26" t="e">
        <f t="shared" ca="1" si="273"/>
        <v>#NAME?</v>
      </c>
      <c r="I28" s="26" t="e">
        <f t="shared" ca="1" si="273"/>
        <v>#NAME?</v>
      </c>
      <c r="J28" s="26" t="e">
        <f t="shared" ca="1" si="273"/>
        <v>#NAME?</v>
      </c>
      <c r="K28" s="26" t="e">
        <f t="shared" ca="1" si="273"/>
        <v>#NAME?</v>
      </c>
      <c r="L28" s="26" t="e">
        <f t="shared" ca="1" si="273"/>
        <v>#NAME?</v>
      </c>
      <c r="M28" s="26" t="e">
        <f t="shared" ca="1" si="273"/>
        <v>#NAME?</v>
      </c>
      <c r="N28" s="26" t="e">
        <f t="shared" ca="1" si="273"/>
        <v>#NAME?</v>
      </c>
      <c r="O28" s="26" t="e">
        <f t="shared" ca="1" si="273"/>
        <v>#NAME?</v>
      </c>
      <c r="P28" s="26" t="e">
        <f t="shared" ca="1" si="273"/>
        <v>#NAME?</v>
      </c>
      <c r="Q28" s="26" t="e">
        <f t="shared" ca="1" si="273"/>
        <v>#NAME?</v>
      </c>
      <c r="R28" s="26" t="e">
        <f t="shared" ca="1" si="273"/>
        <v>#NAME?</v>
      </c>
      <c r="S28" s="26" t="e">
        <f t="shared" ca="1" si="273"/>
        <v>#NAME?</v>
      </c>
      <c r="T28" s="26" t="e">
        <f t="shared" ca="1" si="273"/>
        <v>#NAME?</v>
      </c>
      <c r="U28" s="26" t="e">
        <f t="shared" ca="1" si="273"/>
        <v>#NAME?</v>
      </c>
      <c r="V28" s="26" t="e">
        <f t="shared" ca="1" si="273"/>
        <v>#NAME?</v>
      </c>
      <c r="W28" s="26" t="e">
        <f t="shared" ca="1" si="273"/>
        <v>#NAME?</v>
      </c>
      <c r="X28" s="26" t="e">
        <f t="shared" ca="1" si="273"/>
        <v>#NAME?</v>
      </c>
      <c r="Y28" s="26" t="e">
        <f t="shared" ca="1" si="273"/>
        <v>#NAME?</v>
      </c>
      <c r="Z28" s="26" t="e">
        <f t="shared" ref="Z28:AA28" ca="1" si="274">Z16-Z26</f>
        <v>#NAME?</v>
      </c>
      <c r="AA28" s="26" t="e">
        <f t="shared" ca="1" si="274"/>
        <v>#NAME?</v>
      </c>
      <c r="AB28" s="27" t="e">
        <f t="shared" ca="1" si="273"/>
        <v>#NAME?</v>
      </c>
      <c r="AC28" s="27" t="e">
        <f t="shared" ca="1" si="273"/>
        <v>#NAME?</v>
      </c>
      <c r="AD28" s="27" t="e">
        <f t="shared" ca="1" si="273"/>
        <v>#NAME?</v>
      </c>
      <c r="AE28" s="27" t="e">
        <f t="shared" ca="1" si="273"/>
        <v>#NAME?</v>
      </c>
      <c r="AI28" s="26" t="e">
        <f t="shared" ref="AI28:BN28" ca="1" si="275">AI16-AI26</f>
        <v>#NAME?</v>
      </c>
      <c r="AJ28" s="26" t="e">
        <f t="shared" ca="1" si="275"/>
        <v>#NAME?</v>
      </c>
      <c r="AK28" s="26" t="e">
        <f t="shared" ca="1" si="275"/>
        <v>#NAME?</v>
      </c>
      <c r="AL28" s="26" t="e">
        <f t="shared" ca="1" si="275"/>
        <v>#NAME?</v>
      </c>
      <c r="AM28" s="26" t="e">
        <f t="shared" ca="1" si="275"/>
        <v>#NAME?</v>
      </c>
      <c r="AN28" s="26" t="e">
        <f t="shared" ca="1" si="275"/>
        <v>#NAME?</v>
      </c>
      <c r="AO28" s="26" t="e">
        <f t="shared" ca="1" si="275"/>
        <v>#NAME?</v>
      </c>
      <c r="AP28" s="26" t="e">
        <f t="shared" ca="1" si="275"/>
        <v>#NAME?</v>
      </c>
      <c r="AQ28" s="26" t="e">
        <f t="shared" ca="1" si="275"/>
        <v>#NAME?</v>
      </c>
      <c r="AR28" s="26" t="e">
        <f t="shared" ca="1" si="275"/>
        <v>#NAME?</v>
      </c>
      <c r="AS28" s="26" t="e">
        <f t="shared" ca="1" si="275"/>
        <v>#NAME?</v>
      </c>
      <c r="AT28" s="26" t="e">
        <f t="shared" ca="1" si="275"/>
        <v>#NAME?</v>
      </c>
      <c r="AU28" s="26" t="e">
        <f t="shared" ca="1" si="275"/>
        <v>#NAME?</v>
      </c>
      <c r="AV28" s="26" t="e">
        <f t="shared" ca="1" si="275"/>
        <v>#NAME?</v>
      </c>
      <c r="AW28" s="26" t="e">
        <f t="shared" ca="1" si="275"/>
        <v>#NAME?</v>
      </c>
      <c r="AX28" s="26" t="e">
        <f t="shared" ca="1" si="275"/>
        <v>#NAME?</v>
      </c>
      <c r="AY28" s="26" t="e">
        <f t="shared" ca="1" si="275"/>
        <v>#NAME?</v>
      </c>
      <c r="AZ28" s="26" t="e">
        <f t="shared" ca="1" si="275"/>
        <v>#NAME?</v>
      </c>
      <c r="BA28" s="26" t="e">
        <f t="shared" ca="1" si="275"/>
        <v>#NAME?</v>
      </c>
      <c r="BB28" s="26" t="e">
        <f t="shared" ca="1" si="275"/>
        <v>#NAME?</v>
      </c>
      <c r="BC28" s="26" t="e">
        <f t="shared" ca="1" si="275"/>
        <v>#NAME?</v>
      </c>
      <c r="BD28" s="26" t="e">
        <f t="shared" ca="1" si="275"/>
        <v>#NAME?</v>
      </c>
      <c r="BE28" s="26" t="e">
        <f t="shared" ca="1" si="275"/>
        <v>#NAME?</v>
      </c>
      <c r="BF28" s="26" t="e">
        <f t="shared" ca="1" si="275"/>
        <v>#NAME?</v>
      </c>
      <c r="BG28" s="26" t="e">
        <f t="shared" ca="1" si="275"/>
        <v>#NAME?</v>
      </c>
      <c r="BH28" s="26" t="e">
        <f t="shared" ca="1" si="275"/>
        <v>#NAME?</v>
      </c>
      <c r="BI28" s="26" t="e">
        <f t="shared" ca="1" si="275"/>
        <v>#NAME?</v>
      </c>
      <c r="BJ28" s="26" t="e">
        <f t="shared" ca="1" si="275"/>
        <v>#NAME?</v>
      </c>
      <c r="BK28" s="26" t="e">
        <f t="shared" ca="1" si="275"/>
        <v>#NAME?</v>
      </c>
      <c r="BL28" s="26" t="e">
        <f t="shared" ca="1" si="275"/>
        <v>#NAME?</v>
      </c>
      <c r="BM28" s="26" t="e">
        <f t="shared" ca="1" si="275"/>
        <v>#NAME?</v>
      </c>
      <c r="BN28" s="26" t="e">
        <f t="shared" ca="1" si="275"/>
        <v>#NAME?</v>
      </c>
      <c r="BO28" s="26" t="e">
        <f t="shared" ref="BO28:CT28" ca="1" si="276">BO16-BO26</f>
        <v>#NAME?</v>
      </c>
      <c r="BP28" s="26" t="e">
        <f t="shared" ca="1" si="276"/>
        <v>#NAME?</v>
      </c>
      <c r="BQ28" s="26" t="e">
        <f t="shared" ca="1" si="276"/>
        <v>#NAME?</v>
      </c>
      <c r="BR28" s="26" t="e">
        <f t="shared" ca="1" si="276"/>
        <v>#NAME?</v>
      </c>
      <c r="BS28" s="26" t="e">
        <f t="shared" ca="1" si="276"/>
        <v>#NAME?</v>
      </c>
      <c r="BT28" s="26" t="e">
        <f t="shared" ca="1" si="276"/>
        <v>#NAME?</v>
      </c>
      <c r="BU28" s="26" t="e">
        <f t="shared" ca="1" si="276"/>
        <v>#NAME?</v>
      </c>
      <c r="BV28" s="26" t="e">
        <f t="shared" ca="1" si="276"/>
        <v>#NAME?</v>
      </c>
      <c r="BW28" s="26" t="e">
        <f t="shared" ca="1" si="276"/>
        <v>#NAME?</v>
      </c>
      <c r="BX28" s="26" t="e">
        <f t="shared" ca="1" si="276"/>
        <v>#NAME?</v>
      </c>
      <c r="BY28" s="26" t="e">
        <f t="shared" ca="1" si="276"/>
        <v>#NAME?</v>
      </c>
      <c r="BZ28" s="26" t="e">
        <f t="shared" ca="1" si="276"/>
        <v>#NAME?</v>
      </c>
      <c r="CA28" s="26" t="e">
        <f t="shared" ca="1" si="276"/>
        <v>#NAME?</v>
      </c>
      <c r="CB28" s="26" t="e">
        <f t="shared" ca="1" si="276"/>
        <v>#NAME?</v>
      </c>
      <c r="CC28" s="26" t="e">
        <f t="shared" ca="1" si="276"/>
        <v>#NAME?</v>
      </c>
      <c r="CD28" s="26" t="e">
        <f t="shared" ca="1" si="276"/>
        <v>#NAME?</v>
      </c>
      <c r="CE28" s="26" t="e">
        <f t="shared" ca="1" si="276"/>
        <v>#NAME?</v>
      </c>
      <c r="CF28" s="26" t="e">
        <f t="shared" ca="1" si="276"/>
        <v>#NAME?</v>
      </c>
      <c r="CG28" s="26" t="e">
        <f t="shared" ca="1" si="276"/>
        <v>#NAME?</v>
      </c>
      <c r="CH28" s="26" t="e">
        <f t="shared" ca="1" si="276"/>
        <v>#NAME?</v>
      </c>
      <c r="CI28" s="26" t="e">
        <f t="shared" ref="CI28:CJ28" ca="1" si="277">CI16-CI26</f>
        <v>#NAME?</v>
      </c>
      <c r="CJ28" s="26" t="e">
        <f t="shared" ca="1" si="277"/>
        <v>#NAME?</v>
      </c>
      <c r="CK28" s="26" t="e">
        <f t="shared" ref="CK28:CL28" ca="1" si="278">CK16-CK26</f>
        <v>#NAME?</v>
      </c>
      <c r="CL28" s="26" t="e">
        <f t="shared" ca="1" si="278"/>
        <v>#NAME?</v>
      </c>
      <c r="CM28" s="27" t="e">
        <f t="shared" ca="1" si="276"/>
        <v>#NAME?</v>
      </c>
      <c r="CN28" s="27" t="e">
        <f t="shared" ca="1" si="276"/>
        <v>#NAME?</v>
      </c>
      <c r="CO28" s="27" t="e">
        <f t="shared" ca="1" si="276"/>
        <v>#NAME?</v>
      </c>
      <c r="CP28" s="27" t="e">
        <f t="shared" ca="1" si="276"/>
        <v>#NAME?</v>
      </c>
      <c r="CQ28" s="27" t="e">
        <f t="shared" ca="1" si="276"/>
        <v>#NAME?</v>
      </c>
      <c r="CR28" s="27" t="e">
        <f t="shared" ca="1" si="276"/>
        <v>#NAME?</v>
      </c>
      <c r="CS28" s="27" t="e">
        <f t="shared" ca="1" si="276"/>
        <v>#NAME?</v>
      </c>
      <c r="CT28" s="27" t="e">
        <f t="shared" ca="1" si="276"/>
        <v>#NAME?</v>
      </c>
      <c r="CU28" s="27" t="e">
        <f t="shared" ref="CU28:DB28" ca="1" si="279">CU16-CU26</f>
        <v>#NAME?</v>
      </c>
      <c r="CV28" s="27" t="e">
        <f t="shared" ca="1" si="279"/>
        <v>#NAME?</v>
      </c>
      <c r="CW28" s="27" t="e">
        <f t="shared" ca="1" si="279"/>
        <v>#NAME?</v>
      </c>
      <c r="CX28" s="27" t="e">
        <f t="shared" ca="1" si="279"/>
        <v>#NAME?</v>
      </c>
      <c r="CY28" s="27" t="e">
        <f t="shared" ca="1" si="279"/>
        <v>#NAME?</v>
      </c>
      <c r="CZ28" s="27" t="e">
        <f t="shared" ca="1" si="279"/>
        <v>#NAME?</v>
      </c>
      <c r="DA28" s="27" t="e">
        <f t="shared" ca="1" si="279"/>
        <v>#NAME?</v>
      </c>
      <c r="DB28" s="27" t="e">
        <f t="shared" ca="1" si="279"/>
        <v>#NAME?</v>
      </c>
      <c r="DE28" s="121"/>
      <c r="DF28" s="26">
        <v>124.19100000000014</v>
      </c>
    </row>
    <row r="29" spans="1:110" s="168" customFormat="1" x14ac:dyDescent="0.2">
      <c r="A29" s="165" t="s">
        <v>14</v>
      </c>
      <c r="B29" s="166" t="e">
        <f t="shared" ref="B29:E29" ca="1" si="280">B28/B10</f>
        <v>#NAME?</v>
      </c>
      <c r="C29" s="166" t="e">
        <f t="shared" ca="1" si="280"/>
        <v>#NAME?</v>
      </c>
      <c r="D29" s="166" t="e">
        <f t="shared" ca="1" si="280"/>
        <v>#NAME?</v>
      </c>
      <c r="E29" s="166" t="e">
        <f t="shared" ca="1" si="280"/>
        <v>#NAME?</v>
      </c>
      <c r="F29" s="166" t="e">
        <f t="shared" ref="F29:AE29" ca="1" si="281">F28/F10</f>
        <v>#NAME?</v>
      </c>
      <c r="G29" s="166" t="e">
        <f t="shared" ca="1" si="281"/>
        <v>#NAME?</v>
      </c>
      <c r="H29" s="166" t="e">
        <f t="shared" ca="1" si="281"/>
        <v>#NAME?</v>
      </c>
      <c r="I29" s="166" t="e">
        <f t="shared" ca="1" si="281"/>
        <v>#NAME?</v>
      </c>
      <c r="J29" s="166" t="e">
        <f t="shared" ca="1" si="281"/>
        <v>#NAME?</v>
      </c>
      <c r="K29" s="166" t="e">
        <f t="shared" ca="1" si="281"/>
        <v>#NAME?</v>
      </c>
      <c r="L29" s="166" t="e">
        <f t="shared" ca="1" si="281"/>
        <v>#NAME?</v>
      </c>
      <c r="M29" s="166" t="e">
        <f t="shared" ca="1" si="281"/>
        <v>#NAME?</v>
      </c>
      <c r="N29" s="166" t="e">
        <f t="shared" ca="1" si="281"/>
        <v>#NAME?</v>
      </c>
      <c r="O29" s="166" t="e">
        <f t="shared" ca="1" si="281"/>
        <v>#NAME?</v>
      </c>
      <c r="P29" s="166" t="e">
        <f t="shared" ca="1" si="281"/>
        <v>#NAME?</v>
      </c>
      <c r="Q29" s="166" t="e">
        <f t="shared" ca="1" si="281"/>
        <v>#NAME?</v>
      </c>
      <c r="R29" s="166" t="e">
        <f t="shared" ca="1" si="281"/>
        <v>#NAME?</v>
      </c>
      <c r="S29" s="166" t="e">
        <f t="shared" ca="1" si="281"/>
        <v>#NAME?</v>
      </c>
      <c r="T29" s="166" t="e">
        <f t="shared" ca="1" si="281"/>
        <v>#NAME?</v>
      </c>
      <c r="U29" s="166" t="e">
        <f t="shared" ca="1" si="281"/>
        <v>#NAME?</v>
      </c>
      <c r="V29" s="166" t="e">
        <f t="shared" ca="1" si="281"/>
        <v>#NAME?</v>
      </c>
      <c r="W29" s="166" t="e">
        <f t="shared" ca="1" si="281"/>
        <v>#NAME?</v>
      </c>
      <c r="X29" s="166" t="e">
        <f t="shared" ca="1" si="281"/>
        <v>#NAME?</v>
      </c>
      <c r="Y29" s="166" t="e">
        <f t="shared" ca="1" si="281"/>
        <v>#NAME?</v>
      </c>
      <c r="Z29" s="166" t="e">
        <f t="shared" ref="Z29:AA29" ca="1" si="282">Z28/Z10</f>
        <v>#NAME?</v>
      </c>
      <c r="AA29" s="166" t="e">
        <f t="shared" ca="1" si="282"/>
        <v>#NAME?</v>
      </c>
      <c r="AB29" s="167" t="e">
        <f t="shared" ca="1" si="281"/>
        <v>#NAME?</v>
      </c>
      <c r="AC29" s="167" t="e">
        <f t="shared" ca="1" si="281"/>
        <v>#NAME?</v>
      </c>
      <c r="AD29" s="167" t="e">
        <f t="shared" ca="1" si="281"/>
        <v>#NAME?</v>
      </c>
      <c r="AE29" s="167" t="e">
        <f t="shared" ca="1" si="281"/>
        <v>#NAME?</v>
      </c>
      <c r="AI29" s="166" t="e">
        <f t="shared" ref="AI29:BN29" ca="1" si="283">AI28/AI10</f>
        <v>#NAME?</v>
      </c>
      <c r="AJ29" s="166" t="e">
        <f t="shared" ca="1" si="283"/>
        <v>#NAME?</v>
      </c>
      <c r="AK29" s="166" t="e">
        <f t="shared" ca="1" si="283"/>
        <v>#NAME?</v>
      </c>
      <c r="AL29" s="166" t="e">
        <f t="shared" ca="1" si="283"/>
        <v>#NAME?</v>
      </c>
      <c r="AM29" s="166" t="e">
        <f t="shared" ca="1" si="283"/>
        <v>#NAME?</v>
      </c>
      <c r="AN29" s="166" t="e">
        <f t="shared" ca="1" si="283"/>
        <v>#NAME?</v>
      </c>
      <c r="AO29" s="166" t="e">
        <f t="shared" ca="1" si="283"/>
        <v>#NAME?</v>
      </c>
      <c r="AP29" s="166" t="e">
        <f t="shared" ca="1" si="283"/>
        <v>#NAME?</v>
      </c>
      <c r="AQ29" s="166" t="e">
        <f t="shared" ca="1" si="283"/>
        <v>#NAME?</v>
      </c>
      <c r="AR29" s="166" t="e">
        <f t="shared" ca="1" si="283"/>
        <v>#NAME?</v>
      </c>
      <c r="AS29" s="166" t="e">
        <f t="shared" ca="1" si="283"/>
        <v>#NAME?</v>
      </c>
      <c r="AT29" s="166" t="e">
        <f t="shared" ca="1" si="283"/>
        <v>#NAME?</v>
      </c>
      <c r="AU29" s="166" t="e">
        <f t="shared" ca="1" si="283"/>
        <v>#NAME?</v>
      </c>
      <c r="AV29" s="166" t="e">
        <f t="shared" ca="1" si="283"/>
        <v>#NAME?</v>
      </c>
      <c r="AW29" s="166" t="e">
        <f t="shared" ca="1" si="283"/>
        <v>#NAME?</v>
      </c>
      <c r="AX29" s="166" t="e">
        <f t="shared" ca="1" si="283"/>
        <v>#NAME?</v>
      </c>
      <c r="AY29" s="166" t="e">
        <f t="shared" ca="1" si="283"/>
        <v>#NAME?</v>
      </c>
      <c r="AZ29" s="166" t="e">
        <f t="shared" ca="1" si="283"/>
        <v>#NAME?</v>
      </c>
      <c r="BA29" s="166" t="e">
        <f t="shared" ca="1" si="283"/>
        <v>#NAME?</v>
      </c>
      <c r="BB29" s="166" t="e">
        <f t="shared" ca="1" si="283"/>
        <v>#NAME?</v>
      </c>
      <c r="BC29" s="166" t="e">
        <f t="shared" ca="1" si="283"/>
        <v>#NAME?</v>
      </c>
      <c r="BD29" s="166" t="e">
        <f t="shared" ca="1" si="283"/>
        <v>#NAME?</v>
      </c>
      <c r="BE29" s="166" t="e">
        <f t="shared" ca="1" si="283"/>
        <v>#NAME?</v>
      </c>
      <c r="BF29" s="166" t="e">
        <f t="shared" ca="1" si="283"/>
        <v>#NAME?</v>
      </c>
      <c r="BG29" s="166" t="e">
        <f t="shared" ca="1" si="283"/>
        <v>#NAME?</v>
      </c>
      <c r="BH29" s="166" t="e">
        <f t="shared" ca="1" si="283"/>
        <v>#NAME?</v>
      </c>
      <c r="BI29" s="166" t="e">
        <f t="shared" ca="1" si="283"/>
        <v>#NAME?</v>
      </c>
      <c r="BJ29" s="166" t="e">
        <f t="shared" ca="1" si="283"/>
        <v>#NAME?</v>
      </c>
      <c r="BK29" s="166" t="e">
        <f t="shared" ca="1" si="283"/>
        <v>#NAME?</v>
      </c>
      <c r="BL29" s="166" t="e">
        <f t="shared" ca="1" si="283"/>
        <v>#NAME?</v>
      </c>
      <c r="BM29" s="166" t="e">
        <f t="shared" ca="1" si="283"/>
        <v>#NAME?</v>
      </c>
      <c r="BN29" s="166" t="e">
        <f t="shared" ca="1" si="283"/>
        <v>#NAME?</v>
      </c>
      <c r="BO29" s="166" t="e">
        <f t="shared" ref="BO29:CT29" ca="1" si="284">BO28/BO10</f>
        <v>#NAME?</v>
      </c>
      <c r="BP29" s="166" t="e">
        <f t="shared" ca="1" si="284"/>
        <v>#NAME?</v>
      </c>
      <c r="BQ29" s="166" t="e">
        <f t="shared" ca="1" si="284"/>
        <v>#NAME?</v>
      </c>
      <c r="BR29" s="166" t="e">
        <f t="shared" ca="1" si="284"/>
        <v>#NAME?</v>
      </c>
      <c r="BS29" s="166" t="e">
        <f t="shared" ca="1" si="284"/>
        <v>#NAME?</v>
      </c>
      <c r="BT29" s="166" t="e">
        <f t="shared" ca="1" si="284"/>
        <v>#NAME?</v>
      </c>
      <c r="BU29" s="166" t="e">
        <f t="shared" ca="1" si="284"/>
        <v>#NAME?</v>
      </c>
      <c r="BV29" s="166" t="e">
        <f t="shared" ca="1" si="284"/>
        <v>#NAME?</v>
      </c>
      <c r="BW29" s="166" t="e">
        <f t="shared" ca="1" si="284"/>
        <v>#NAME?</v>
      </c>
      <c r="BX29" s="166" t="e">
        <f t="shared" ca="1" si="284"/>
        <v>#NAME?</v>
      </c>
      <c r="BY29" s="166" t="e">
        <f t="shared" ca="1" si="284"/>
        <v>#NAME?</v>
      </c>
      <c r="BZ29" s="166" t="e">
        <f t="shared" ca="1" si="284"/>
        <v>#NAME?</v>
      </c>
      <c r="CA29" s="166" t="e">
        <f t="shared" ca="1" si="284"/>
        <v>#NAME?</v>
      </c>
      <c r="CB29" s="166" t="e">
        <f t="shared" ca="1" si="284"/>
        <v>#NAME?</v>
      </c>
      <c r="CC29" s="166" t="e">
        <f t="shared" ca="1" si="284"/>
        <v>#NAME?</v>
      </c>
      <c r="CD29" s="166" t="e">
        <f t="shared" ca="1" si="284"/>
        <v>#NAME?</v>
      </c>
      <c r="CE29" s="166" t="e">
        <f t="shared" ca="1" si="284"/>
        <v>#NAME?</v>
      </c>
      <c r="CF29" s="166" t="e">
        <f t="shared" ca="1" si="284"/>
        <v>#NAME?</v>
      </c>
      <c r="CG29" s="166" t="e">
        <f t="shared" ca="1" si="284"/>
        <v>#NAME?</v>
      </c>
      <c r="CH29" s="166" t="e">
        <f t="shared" ca="1" si="284"/>
        <v>#NAME?</v>
      </c>
      <c r="CI29" s="166" t="e">
        <f t="shared" ref="CI29:CJ29" ca="1" si="285">CI28/CI10</f>
        <v>#NAME?</v>
      </c>
      <c r="CJ29" s="166" t="e">
        <f t="shared" ca="1" si="285"/>
        <v>#NAME?</v>
      </c>
      <c r="CK29" s="166" t="e">
        <f t="shared" ref="CK29:CL29" ca="1" si="286">CK28/CK10</f>
        <v>#NAME?</v>
      </c>
      <c r="CL29" s="166" t="e">
        <f t="shared" ca="1" si="286"/>
        <v>#NAME?</v>
      </c>
      <c r="CM29" s="167" t="e">
        <f t="shared" ca="1" si="284"/>
        <v>#NAME?</v>
      </c>
      <c r="CN29" s="167" t="e">
        <f t="shared" ca="1" si="284"/>
        <v>#NAME?</v>
      </c>
      <c r="CO29" s="167" t="e">
        <f t="shared" ca="1" si="284"/>
        <v>#NAME?</v>
      </c>
      <c r="CP29" s="167" t="e">
        <f t="shared" ca="1" si="284"/>
        <v>#NAME?</v>
      </c>
      <c r="CQ29" s="167" t="e">
        <f t="shared" ca="1" si="284"/>
        <v>#NAME?</v>
      </c>
      <c r="CR29" s="167" t="e">
        <f t="shared" ca="1" si="284"/>
        <v>#NAME?</v>
      </c>
      <c r="CS29" s="167" t="e">
        <f t="shared" ca="1" si="284"/>
        <v>#NAME?</v>
      </c>
      <c r="CT29" s="167" t="e">
        <f t="shared" ca="1" si="284"/>
        <v>#NAME?</v>
      </c>
      <c r="CU29" s="167" t="e">
        <f t="shared" ref="CU29:DB29" ca="1" si="287">CU28/CU10</f>
        <v>#NAME?</v>
      </c>
      <c r="CV29" s="167" t="e">
        <f t="shared" ca="1" si="287"/>
        <v>#NAME?</v>
      </c>
      <c r="CW29" s="167" t="e">
        <f t="shared" ca="1" si="287"/>
        <v>#NAME?</v>
      </c>
      <c r="CX29" s="167" t="e">
        <f t="shared" ca="1" si="287"/>
        <v>#NAME?</v>
      </c>
      <c r="CY29" s="167" t="e">
        <f t="shared" ca="1" si="287"/>
        <v>#NAME?</v>
      </c>
      <c r="CZ29" s="167" t="e">
        <f t="shared" ca="1" si="287"/>
        <v>#NAME?</v>
      </c>
      <c r="DA29" s="167" t="e">
        <f t="shared" ca="1" si="287"/>
        <v>#NAME?</v>
      </c>
      <c r="DB29" s="167" t="e">
        <f t="shared" ca="1" si="287"/>
        <v>#NAME?</v>
      </c>
      <c r="DE29" s="169"/>
      <c r="DF29" s="168">
        <v>9.8653778785040822E-2</v>
      </c>
    </row>
    <row r="30" spans="1:110" s="38" customFormat="1" x14ac:dyDescent="0.2">
      <c r="A30" s="39" t="s">
        <v>449</v>
      </c>
      <c r="B30" s="39"/>
      <c r="C30" s="39" t="e">
        <f t="shared" ref="C30:E30" ca="1" si="288">+IF(B28&lt;0,1-C28/B28,C28/B28-1)</f>
        <v>#NAME?</v>
      </c>
      <c r="D30" s="39" t="e">
        <f t="shared" ca="1" si="288"/>
        <v>#NAME?</v>
      </c>
      <c r="E30" s="39" t="e">
        <f t="shared" ca="1" si="288"/>
        <v>#NAME?</v>
      </c>
      <c r="F30" s="39" t="e">
        <f t="shared" ref="F30:Y30" ca="1" si="289">+IF(E28&lt;0,1-F28/E28,F28/E28-1)</f>
        <v>#NAME?</v>
      </c>
      <c r="G30" s="39" t="e">
        <f t="shared" ca="1" si="289"/>
        <v>#NAME?</v>
      </c>
      <c r="H30" s="39" t="e">
        <f t="shared" ca="1" si="289"/>
        <v>#NAME?</v>
      </c>
      <c r="I30" s="39" t="e">
        <f t="shared" ca="1" si="289"/>
        <v>#NAME?</v>
      </c>
      <c r="J30" s="39" t="e">
        <f t="shared" ca="1" si="289"/>
        <v>#NAME?</v>
      </c>
      <c r="K30" s="39" t="e">
        <f t="shared" ca="1" si="289"/>
        <v>#NAME?</v>
      </c>
      <c r="L30" s="39" t="e">
        <f t="shared" ca="1" si="289"/>
        <v>#NAME?</v>
      </c>
      <c r="M30" s="39" t="e">
        <f t="shared" ca="1" si="289"/>
        <v>#NAME?</v>
      </c>
      <c r="N30" s="39" t="e">
        <f t="shared" ca="1" si="289"/>
        <v>#NAME?</v>
      </c>
      <c r="O30" s="39" t="e">
        <f t="shared" ca="1" si="289"/>
        <v>#NAME?</v>
      </c>
      <c r="P30" s="39" t="e">
        <f t="shared" ca="1" si="289"/>
        <v>#NAME?</v>
      </c>
      <c r="Q30" s="39" t="e">
        <f t="shared" ca="1" si="289"/>
        <v>#NAME?</v>
      </c>
      <c r="R30" s="39" t="e">
        <f t="shared" ca="1" si="289"/>
        <v>#NAME?</v>
      </c>
      <c r="S30" s="39" t="e">
        <f t="shared" ca="1" si="289"/>
        <v>#NAME?</v>
      </c>
      <c r="T30" s="39" t="e">
        <f t="shared" ca="1" si="289"/>
        <v>#NAME?</v>
      </c>
      <c r="U30" s="39" t="e">
        <f t="shared" ca="1" si="289"/>
        <v>#NAME?</v>
      </c>
      <c r="V30" s="39" t="e">
        <f t="shared" ca="1" si="289"/>
        <v>#NAME?</v>
      </c>
      <c r="W30" s="39" t="e">
        <f t="shared" ca="1" si="289"/>
        <v>#NAME?</v>
      </c>
      <c r="X30" s="39" t="e">
        <f t="shared" ca="1" si="289"/>
        <v>#NAME?</v>
      </c>
      <c r="Y30" s="39" t="e">
        <f t="shared" ca="1" si="289"/>
        <v>#NAME?</v>
      </c>
      <c r="Z30" s="39" t="e">
        <f t="shared" ref="Z30:AE30" ca="1" si="290">+IF(Y28&lt;0,1-Z28/Y28,Z28/Y28-1)</f>
        <v>#NAME?</v>
      </c>
      <c r="AA30" s="39" t="e">
        <f t="shared" ca="1" si="290"/>
        <v>#NAME?</v>
      </c>
      <c r="AB30" s="40" t="e">
        <f t="shared" ca="1" si="290"/>
        <v>#NAME?</v>
      </c>
      <c r="AC30" s="40" t="e">
        <f t="shared" ca="1" si="290"/>
        <v>#NAME?</v>
      </c>
      <c r="AD30" s="40" t="e">
        <f t="shared" ca="1" si="290"/>
        <v>#NAME?</v>
      </c>
      <c r="AE30" s="40" t="e">
        <f t="shared" ca="1" si="290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1">+IF(AJ28&lt;0,1-AN28/AJ28,AN28/AJ28-1)</f>
        <v>#NAME?</v>
      </c>
      <c r="AO30" s="39" t="e">
        <f t="shared" ref="AO30" ca="1" si="292">+IF(AK28&lt;0,1-AO28/AK28,AO28/AK28-1)</f>
        <v>#NAME?</v>
      </c>
      <c r="AP30" s="39" t="e">
        <f t="shared" ref="AP30" ca="1" si="293">+IF(AL28&lt;0,1-AP28/AL28,AP28/AL28-1)</f>
        <v>#NAME?</v>
      </c>
      <c r="AQ30" s="39" t="e">
        <f t="shared" ref="AQ30" ca="1" si="294">+IF(AM28&lt;0,1-AQ28/AM28,AQ28/AM28-1)</f>
        <v>#NAME?</v>
      </c>
      <c r="AR30" s="39" t="e">
        <f t="shared" ref="AR30" ca="1" si="295">+IF(AN28&lt;0,1-AR28/AN28,AR28/AN28-1)</f>
        <v>#NAME?</v>
      </c>
      <c r="AS30" s="39" t="e">
        <f t="shared" ref="AS30" ca="1" si="296">+IF(AO28&lt;0,1-AS28/AO28,AS28/AO28-1)</f>
        <v>#NAME?</v>
      </c>
      <c r="AT30" s="39" t="e">
        <f t="shared" ref="AT30" ca="1" si="297">+IF(AP28&lt;0,1-AT28/AP28,AT28/AP28-1)</f>
        <v>#NAME?</v>
      </c>
      <c r="AU30" s="39" t="e">
        <f t="shared" ref="AU30" ca="1" si="298">+IF(AQ28&lt;0,1-AU28/AQ28,AU28/AQ28-1)</f>
        <v>#NAME?</v>
      </c>
      <c r="AV30" s="39" t="e">
        <f t="shared" ref="AV30" ca="1" si="299">+IF(AR28&lt;0,1-AV28/AR28,AV28/AR28-1)</f>
        <v>#NAME?</v>
      </c>
      <c r="AW30" s="39" t="e">
        <f t="shared" ref="AW30" ca="1" si="300">+IF(AS28&lt;0,1-AW28/AS28,AW28/AS28-1)</f>
        <v>#NAME?</v>
      </c>
      <c r="AX30" s="39" t="e">
        <f t="shared" ref="AX30" ca="1" si="301">+IF(AT28&lt;0,1-AX28/AT28,AX28/AT28-1)</f>
        <v>#NAME?</v>
      </c>
      <c r="AY30" s="39" t="e">
        <f t="shared" ref="AY30" ca="1" si="302">+IF(AU28&lt;0,1-AY28/AU28,AY28/AU28-1)</f>
        <v>#NAME?</v>
      </c>
      <c r="AZ30" s="39" t="e">
        <f t="shared" ref="AZ30" ca="1" si="303">+IF(AV28&lt;0,1-AZ28/AV28,AZ28/AV28-1)</f>
        <v>#NAME?</v>
      </c>
      <c r="BA30" s="39" t="e">
        <f t="shared" ref="BA30" ca="1" si="304">+IF(AW28&lt;0,1-BA28/AW28,BA28/AW28-1)</f>
        <v>#NAME?</v>
      </c>
      <c r="BB30" s="39" t="e">
        <f t="shared" ref="BB30" ca="1" si="305">+IF(AX28&lt;0,1-BB28/AX28,BB28/AX28-1)</f>
        <v>#NAME?</v>
      </c>
      <c r="BC30" s="39" t="e">
        <f t="shared" ref="BC30" ca="1" si="306">+IF(AY28&lt;0,1-BC28/AY28,BC28/AY28-1)</f>
        <v>#NAME?</v>
      </c>
      <c r="BD30" s="39" t="e">
        <f t="shared" ref="BD30" ca="1" si="307">+IF(AZ28&lt;0,1-BD28/AZ28,BD28/AZ28-1)</f>
        <v>#NAME?</v>
      </c>
      <c r="BE30" s="39" t="e">
        <f t="shared" ref="BE30" ca="1" si="308">+IF(BA28&lt;0,1-BE28/BA28,BE28/BA28-1)</f>
        <v>#NAME?</v>
      </c>
      <c r="BF30" s="39" t="e">
        <f t="shared" ref="BF30" ca="1" si="309">+IF(BB28&lt;0,1-BF28/BB28,BF28/BB28-1)</f>
        <v>#NAME?</v>
      </c>
      <c r="BG30" s="39" t="e">
        <f t="shared" ref="BG30" ca="1" si="310">+IF(BC28&lt;0,1-BG28/BC28,BG28/BC28-1)</f>
        <v>#NAME?</v>
      </c>
      <c r="BH30" s="39" t="e">
        <f t="shared" ref="BH30" ca="1" si="311">+IF(BD28&lt;0,1-BH28/BD28,BH28/BD28-1)</f>
        <v>#NAME?</v>
      </c>
      <c r="BI30" s="39" t="e">
        <f t="shared" ref="BI30" ca="1" si="312">+IF(BE28&lt;0,1-BI28/BE28,BI28/BE28-1)</f>
        <v>#NAME?</v>
      </c>
      <c r="BJ30" s="39" t="e">
        <f t="shared" ref="BJ30" ca="1" si="313">+IF(BF28&lt;0,1-BJ28/BF28,BJ28/BF28-1)</f>
        <v>#NAME?</v>
      </c>
      <c r="BK30" s="39" t="e">
        <f t="shared" ref="BK30" ca="1" si="314">+IF(BG28&lt;0,1-BK28/BG28,BK28/BG28-1)</f>
        <v>#NAME?</v>
      </c>
      <c r="BL30" s="39" t="e">
        <f t="shared" ref="BL30" ca="1" si="315">+IF(BH28&lt;0,1-BL28/BH28,BL28/BH28-1)</f>
        <v>#NAME?</v>
      </c>
      <c r="BM30" s="39" t="e">
        <f t="shared" ref="BM30" ca="1" si="316">+IF(BI28&lt;0,1-BM28/BI28,BM28/BI28-1)</f>
        <v>#NAME?</v>
      </c>
      <c r="BN30" s="39" t="e">
        <f t="shared" ref="BN30" ca="1" si="317">+IF(BJ28&lt;0,1-BN28/BJ28,BN28/BJ28-1)</f>
        <v>#NAME?</v>
      </c>
      <c r="BO30" s="39" t="e">
        <f t="shared" ref="BO30" ca="1" si="318">+IF(BK28&lt;0,1-BO28/BK28,BO28/BK28-1)</f>
        <v>#NAME?</v>
      </c>
      <c r="BP30" s="39" t="e">
        <f t="shared" ref="BP30" ca="1" si="319">+IF(BL28&lt;0,1-BP28/BL28,BP28/BL28-1)</f>
        <v>#NAME?</v>
      </c>
      <c r="BQ30" s="39" t="e">
        <f t="shared" ref="BQ30" ca="1" si="320">+IF(BM28&lt;0,1-BQ28/BM28,BQ28/BM28-1)</f>
        <v>#NAME?</v>
      </c>
      <c r="BR30" s="39" t="e">
        <f t="shared" ref="BR30" ca="1" si="321">+IF(BN28&lt;0,1-BR28/BN28,BR28/BN28-1)</f>
        <v>#NAME?</v>
      </c>
      <c r="BS30" s="39" t="e">
        <f t="shared" ref="BS30" ca="1" si="322">+IF(BO28&lt;0,1-BS28/BO28,BS28/BO28-1)</f>
        <v>#NAME?</v>
      </c>
      <c r="BT30" s="39" t="e">
        <f t="shared" ref="BT30" ca="1" si="323">+IF(BP28&lt;0,1-BT28/BP28,BT28/BP28-1)</f>
        <v>#NAME?</v>
      </c>
      <c r="BU30" s="39" t="e">
        <f t="shared" ref="BU30" ca="1" si="324">+IF(BQ28&lt;0,1-BU28/BQ28,BU28/BQ28-1)</f>
        <v>#NAME?</v>
      </c>
      <c r="BV30" s="39" t="e">
        <f t="shared" ref="BV30" ca="1" si="325">+IF(BR28&lt;0,1-BV28/BR28,BV28/BR28-1)</f>
        <v>#NAME?</v>
      </c>
      <c r="BW30" s="39" t="e">
        <f t="shared" ref="BW30" ca="1" si="326">+IF(BS28&lt;0,1-BW28/BS28,BW28/BS28-1)</f>
        <v>#NAME?</v>
      </c>
      <c r="BX30" s="39" t="e">
        <f t="shared" ref="BX30" ca="1" si="327">+IF(BT28&lt;0,1-BX28/BT28,BX28/BT28-1)</f>
        <v>#NAME?</v>
      </c>
      <c r="BY30" s="39" t="e">
        <f t="shared" ref="BY30" ca="1" si="328">+IF(BU28&lt;0,1-BY28/BU28,BY28/BU28-1)</f>
        <v>#NAME?</v>
      </c>
      <c r="BZ30" s="39" t="e">
        <f t="shared" ref="BZ30" ca="1" si="329">+IF(BV28&lt;0,1-BZ28/BV28,BZ28/BV28-1)</f>
        <v>#NAME?</v>
      </c>
      <c r="CA30" s="39" t="e">
        <f t="shared" ref="CA30" ca="1" si="330">+IF(BW28&lt;0,1-CA28/BW28,CA28/BW28-1)</f>
        <v>#NAME?</v>
      </c>
      <c r="CB30" s="39" t="e">
        <f t="shared" ref="CB30" ca="1" si="331">+IF(BX28&lt;0,1-CB28/BX28,CB28/BX28-1)</f>
        <v>#NAME?</v>
      </c>
      <c r="CC30" s="39" t="e">
        <f t="shared" ref="CC30" ca="1" si="332">+IF(BY28&lt;0,1-CC28/BY28,CC28/BY28-1)</f>
        <v>#NAME?</v>
      </c>
      <c r="CD30" s="39" t="e">
        <f t="shared" ref="CD30" ca="1" si="333">+IF(BZ28&lt;0,1-CD28/BZ28,CD28/BZ28-1)</f>
        <v>#NAME?</v>
      </c>
      <c r="CE30" s="39" t="e">
        <f t="shared" ref="CE30" ca="1" si="334">+IF(CA28&lt;0,1-CE28/CA28,CE28/CA28-1)</f>
        <v>#NAME?</v>
      </c>
      <c r="CF30" s="39" t="e">
        <f t="shared" ref="CF30" ca="1" si="335">+IF(CB28&lt;0,1-CF28/CB28,CF28/CB28-1)</f>
        <v>#NAME?</v>
      </c>
      <c r="CG30" s="39" t="e">
        <f t="shared" ref="CG30" ca="1" si="336">+IF(CC28&lt;0,1-CG28/CC28,CG28/CC28-1)</f>
        <v>#NAME?</v>
      </c>
      <c r="CH30" s="39" t="e">
        <f t="shared" ref="CH30:CL30" ca="1" si="337">+IF(CD28&lt;0,1-CH28/CD28,CH28/CD28-1)</f>
        <v>#NAME?</v>
      </c>
      <c r="CI30" s="39" t="e">
        <f t="shared" ca="1" si="337"/>
        <v>#NAME?</v>
      </c>
      <c r="CJ30" s="39" t="e">
        <f t="shared" ca="1" si="337"/>
        <v>#NAME?</v>
      </c>
      <c r="CK30" s="39" t="e">
        <f t="shared" ca="1" si="337"/>
        <v>#NAME?</v>
      </c>
      <c r="CL30" s="39" t="e">
        <f t="shared" ca="1" si="337"/>
        <v>#NAME?</v>
      </c>
      <c r="CM30" s="40" t="e">
        <f t="shared" ref="CM30" ca="1" si="338">+CM28/CI28-1</f>
        <v>#NAME?</v>
      </c>
      <c r="CN30" s="40" t="e">
        <f t="shared" ref="CN30" ca="1" si="339">+CN28/CJ28-1</f>
        <v>#NAME?</v>
      </c>
      <c r="CO30" s="40" t="e">
        <f t="shared" ref="CO30" ca="1" si="340">+CO28/CK28-1</f>
        <v>#NAME?</v>
      </c>
      <c r="CP30" s="40" t="e">
        <f t="shared" ref="CP30" ca="1" si="341">+CP28/CL28-1</f>
        <v>#NAME?</v>
      </c>
      <c r="CQ30" s="40" t="e">
        <f t="shared" ref="CQ30" ca="1" si="342">+CQ28/CM28-1</f>
        <v>#NAME?</v>
      </c>
      <c r="CR30" s="40" t="e">
        <f t="shared" ref="CR30" ca="1" si="343">+CR28/CN28-1</f>
        <v>#NAME?</v>
      </c>
      <c r="CS30" s="40" t="e">
        <f t="shared" ref="CS30" ca="1" si="344">+CS28/CO28-1</f>
        <v>#NAME?</v>
      </c>
      <c r="CT30" s="40" t="e">
        <f t="shared" ref="CT30" ca="1" si="345">+CT28/CP28-1</f>
        <v>#NAME?</v>
      </c>
      <c r="CU30" s="40" t="e">
        <f t="shared" ref="CU30" ca="1" si="346">+CU28/CQ28-1</f>
        <v>#NAME?</v>
      </c>
      <c r="CV30" s="40" t="e">
        <f t="shared" ref="CV30" ca="1" si="347">+CV28/CR28-1</f>
        <v>#NAME?</v>
      </c>
      <c r="CW30" s="40" t="e">
        <f t="shared" ref="CW30" ca="1" si="348">+CW28/CS28-1</f>
        <v>#NAME?</v>
      </c>
      <c r="CX30" s="40" t="e">
        <f t="shared" ref="CX30" ca="1" si="349">+CX28/CT28-1</f>
        <v>#NAME?</v>
      </c>
      <c r="CY30" s="40" t="e">
        <f t="shared" ref="CY30" ca="1" si="350">+CY28/CU28-1</f>
        <v>#NAME?</v>
      </c>
      <c r="CZ30" s="40" t="e">
        <f t="shared" ref="CZ30" ca="1" si="351">+CZ28/CV28-1</f>
        <v>#NAME?</v>
      </c>
      <c r="DA30" s="40" t="e">
        <f t="shared" ref="DA30" ca="1" si="352">+DA28/CW28-1</f>
        <v>#NAME?</v>
      </c>
      <c r="DB30" s="40" t="e">
        <f t="shared" ref="DB30" ca="1" si="353">+DB28/CX28-1</f>
        <v>#NAME?</v>
      </c>
      <c r="DE30" s="122"/>
      <c r="DF30" s="38">
        <v>-7.7120287733429826E-2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4">+IF(AJ28&lt;0,1-AK28/AJ28,AK28/AJ28-1)</f>
        <v>#NAME?</v>
      </c>
      <c r="AL31" s="39" t="e">
        <f t="shared" ca="1" si="354"/>
        <v>#NAME?</v>
      </c>
      <c r="AM31" s="39" t="e">
        <f t="shared" ca="1" si="354"/>
        <v>#NAME?</v>
      </c>
      <c r="AN31" s="39" t="e">
        <f t="shared" ref="AN31" ca="1" si="355">+IF(AM28&lt;0,1-AN28/AM28,AN28/AM28-1)</f>
        <v>#NAME?</v>
      </c>
      <c r="AO31" s="39" t="e">
        <f t="shared" ref="AO31" ca="1" si="356">+IF(AN28&lt;0,1-AO28/AN28,AO28/AN28-1)</f>
        <v>#NAME?</v>
      </c>
      <c r="AP31" s="39" t="e">
        <f t="shared" ref="AP31" ca="1" si="357">+IF(AO28&lt;0,1-AP28/AO28,AP28/AO28-1)</f>
        <v>#NAME?</v>
      </c>
      <c r="AQ31" s="39" t="e">
        <f t="shared" ref="AQ31" ca="1" si="358">+IF(AP28&lt;0,1-AQ28/AP28,AQ28/AP28-1)</f>
        <v>#NAME?</v>
      </c>
      <c r="AR31" s="39" t="e">
        <f t="shared" ref="AR31" ca="1" si="359">+IF(AQ28&lt;0,1-AR28/AQ28,AR28/AQ28-1)</f>
        <v>#NAME?</v>
      </c>
      <c r="AS31" s="39" t="e">
        <f t="shared" ref="AS31" ca="1" si="360">+IF(AR28&lt;0,1-AS28/AR28,AS28/AR28-1)</f>
        <v>#NAME?</v>
      </c>
      <c r="AT31" s="39" t="e">
        <f t="shared" ref="AT31" ca="1" si="361">+IF(AS28&lt;0,1-AT28/AS28,AT28/AS28-1)</f>
        <v>#NAME?</v>
      </c>
      <c r="AU31" s="39" t="e">
        <f t="shared" ref="AU31" ca="1" si="362">+IF(AT28&lt;0,1-AU28/AT28,AU28/AT28-1)</f>
        <v>#NAME?</v>
      </c>
      <c r="AV31" s="39" t="e">
        <f t="shared" ref="AV31" ca="1" si="363">+IF(AU28&lt;0,1-AV28/AU28,AV28/AU28-1)</f>
        <v>#NAME?</v>
      </c>
      <c r="AW31" s="39" t="e">
        <f t="shared" ref="AW31" ca="1" si="364">+IF(AV28&lt;0,1-AW28/AV28,AW28/AV28-1)</f>
        <v>#NAME?</v>
      </c>
      <c r="AX31" s="39" t="e">
        <f t="shared" ref="AX31" ca="1" si="365">+IF(AW28&lt;0,1-AX28/AW28,AX28/AW28-1)</f>
        <v>#NAME?</v>
      </c>
      <c r="AY31" s="39" t="e">
        <f t="shared" ref="AY31" ca="1" si="366">+IF(AX28&lt;0,1-AY28/AX28,AY28/AX28-1)</f>
        <v>#NAME?</v>
      </c>
      <c r="AZ31" s="39" t="e">
        <f t="shared" ref="AZ31" ca="1" si="367">+IF(AY28&lt;0,1-AZ28/AY28,AZ28/AY28-1)</f>
        <v>#NAME?</v>
      </c>
      <c r="BA31" s="39" t="e">
        <f t="shared" ref="BA31" ca="1" si="368">+IF(AZ28&lt;0,1-BA28/AZ28,BA28/AZ28-1)</f>
        <v>#NAME?</v>
      </c>
      <c r="BB31" s="39" t="e">
        <f t="shared" ref="BB31" ca="1" si="369">+IF(BA28&lt;0,1-BB28/BA28,BB28/BA28-1)</f>
        <v>#NAME?</v>
      </c>
      <c r="BC31" s="39" t="e">
        <f t="shared" ref="BC31" ca="1" si="370">+IF(BB28&lt;0,1-BC28/BB28,BC28/BB28-1)</f>
        <v>#NAME?</v>
      </c>
      <c r="BD31" s="39" t="e">
        <f t="shared" ref="BD31" ca="1" si="371">+IF(BC28&lt;0,1-BD28/BC28,BD28/BC28-1)</f>
        <v>#NAME?</v>
      </c>
      <c r="BE31" s="39" t="e">
        <f t="shared" ref="BE31" ca="1" si="372">+IF(BD28&lt;0,1-BE28/BD28,BE28/BD28-1)</f>
        <v>#NAME?</v>
      </c>
      <c r="BF31" s="39" t="e">
        <f t="shared" ref="BF31" ca="1" si="373">+IF(BE28&lt;0,1-BF28/BE28,BF28/BE28-1)</f>
        <v>#NAME?</v>
      </c>
      <c r="BG31" s="39" t="e">
        <f t="shared" ref="BG31" ca="1" si="374">+IF(BF28&lt;0,1-BG28/BF28,BG28/BF28-1)</f>
        <v>#NAME?</v>
      </c>
      <c r="BH31" s="39" t="e">
        <f t="shared" ref="BH31" ca="1" si="375">+IF(BG28&lt;0,1-BH28/BG28,BH28/BG28-1)</f>
        <v>#NAME?</v>
      </c>
      <c r="BI31" s="39" t="e">
        <f t="shared" ref="BI31" ca="1" si="376">+IF(BH28&lt;0,1-BI28/BH28,BI28/BH28-1)</f>
        <v>#NAME?</v>
      </c>
      <c r="BJ31" s="39" t="e">
        <f t="shared" ref="BJ31" ca="1" si="377">+IF(BI28&lt;0,1-BJ28/BI28,BJ28/BI28-1)</f>
        <v>#NAME?</v>
      </c>
      <c r="BK31" s="39" t="e">
        <f t="shared" ref="BK31" ca="1" si="378">+IF(BJ28&lt;0,1-BK28/BJ28,BK28/BJ28-1)</f>
        <v>#NAME?</v>
      </c>
      <c r="BL31" s="39" t="e">
        <f t="shared" ref="BL31" ca="1" si="379">+IF(BK28&lt;0,1-BL28/BK28,BL28/BK28-1)</f>
        <v>#NAME?</v>
      </c>
      <c r="BM31" s="39" t="e">
        <f t="shared" ref="BM31" ca="1" si="380">+IF(BL28&lt;0,1-BM28/BL28,BM28/BL28-1)</f>
        <v>#NAME?</v>
      </c>
      <c r="BN31" s="39" t="e">
        <f t="shared" ref="BN31" ca="1" si="381">+IF(BM28&lt;0,1-BN28/BM28,BN28/BM28-1)</f>
        <v>#NAME?</v>
      </c>
      <c r="BO31" s="39" t="e">
        <f t="shared" ref="BO31" ca="1" si="382">+IF(BN28&lt;0,1-BO28/BN28,BO28/BN28-1)</f>
        <v>#NAME?</v>
      </c>
      <c r="BP31" s="39" t="e">
        <f t="shared" ref="BP31" ca="1" si="383">+IF(BO28&lt;0,1-BP28/BO28,BP28/BO28-1)</f>
        <v>#NAME?</v>
      </c>
      <c r="BQ31" s="39" t="e">
        <f t="shared" ref="BQ31" ca="1" si="384">+IF(BP28&lt;0,1-BQ28/BP28,BQ28/BP28-1)</f>
        <v>#NAME?</v>
      </c>
      <c r="BR31" s="39" t="e">
        <f t="shared" ref="BR31" ca="1" si="385">+IF(BQ28&lt;0,1-BR28/BQ28,BR28/BQ28-1)</f>
        <v>#NAME?</v>
      </c>
      <c r="BS31" s="39" t="e">
        <f t="shared" ref="BS31" ca="1" si="386">+IF(BR28&lt;0,1-BS28/BR28,BS28/BR28-1)</f>
        <v>#NAME?</v>
      </c>
      <c r="BT31" s="39" t="e">
        <f t="shared" ref="BT31" ca="1" si="387">+IF(BS28&lt;0,1-BT28/BS28,BT28/BS28-1)</f>
        <v>#NAME?</v>
      </c>
      <c r="BU31" s="39" t="e">
        <f t="shared" ref="BU31" ca="1" si="388">+IF(BT28&lt;0,1-BU28/BT28,BU28/BT28-1)</f>
        <v>#NAME?</v>
      </c>
      <c r="BV31" s="39" t="e">
        <f t="shared" ref="BV31" ca="1" si="389">+IF(BU28&lt;0,1-BV28/BU28,BV28/BU28-1)</f>
        <v>#NAME?</v>
      </c>
      <c r="BW31" s="39" t="e">
        <f t="shared" ref="BW31" ca="1" si="390">+IF(BV28&lt;0,1-BW28/BV28,BW28/BV28-1)</f>
        <v>#NAME?</v>
      </c>
      <c r="BX31" s="39" t="e">
        <f t="shared" ref="BX31" ca="1" si="391">+IF(BW28&lt;0,1-BX28/BW28,BX28/BW28-1)</f>
        <v>#NAME?</v>
      </c>
      <c r="BY31" s="39" t="e">
        <f t="shared" ref="BY31" ca="1" si="392">+IF(BX28&lt;0,1-BY28/BX28,BY28/BX28-1)</f>
        <v>#NAME?</v>
      </c>
      <c r="BZ31" s="39" t="e">
        <f t="shared" ref="BZ31" ca="1" si="393">+IF(BY28&lt;0,1-BZ28/BY28,BZ28/BY28-1)</f>
        <v>#NAME?</v>
      </c>
      <c r="CA31" s="39" t="e">
        <f t="shared" ref="CA31" ca="1" si="394">+IF(BZ28&lt;0,1-CA28/BZ28,CA28/BZ28-1)</f>
        <v>#NAME?</v>
      </c>
      <c r="CB31" s="39" t="e">
        <f t="shared" ref="CB31" ca="1" si="395">+IF(CA28&lt;0,1-CB28/CA28,CB28/CA28-1)</f>
        <v>#NAME?</v>
      </c>
      <c r="CC31" s="39" t="e">
        <f t="shared" ref="CC31" ca="1" si="396">+IF(CB28&lt;0,1-CC28/CB28,CC28/CB28-1)</f>
        <v>#NAME?</v>
      </c>
      <c r="CD31" s="39" t="e">
        <f t="shared" ref="CD31" ca="1" si="397">+IF(CC28&lt;0,1-CD28/CC28,CD28/CC28-1)</f>
        <v>#NAME?</v>
      </c>
      <c r="CE31" s="39" t="e">
        <f t="shared" ref="CE31" ca="1" si="398">+IF(CD28&lt;0,1-CE28/CD28,CE28/CD28-1)</f>
        <v>#NAME?</v>
      </c>
      <c r="CF31" s="39" t="e">
        <f t="shared" ref="CF31" ca="1" si="399">+IF(CE28&lt;0,1-CF28/CE28,CF28/CE28-1)</f>
        <v>#NAME?</v>
      </c>
      <c r="CG31" s="39" t="e">
        <f t="shared" ref="CG31" ca="1" si="400">+IF(CF28&lt;0,1-CG28/CF28,CG28/CF28-1)</f>
        <v>#NAME?</v>
      </c>
      <c r="CH31" s="39" t="e">
        <f t="shared" ref="CH31:CI31" ca="1" si="401">+IF(CG28&lt;0,1-CH28/CG28,CH28/CG28-1)</f>
        <v>#NAME?</v>
      </c>
      <c r="CI31" s="39" t="e">
        <f t="shared" ca="1" si="401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402">+CM28/CL28-1</f>
        <v>#NAME?</v>
      </c>
      <c r="CN31" s="40" t="e">
        <f t="shared" ref="CN31" ca="1" si="403">+CN28/CM28-1</f>
        <v>#NAME?</v>
      </c>
      <c r="CO31" s="40" t="e">
        <f t="shared" ref="CO31" ca="1" si="404">+CO28/CN28-1</f>
        <v>#NAME?</v>
      </c>
      <c r="CP31" s="40" t="e">
        <f t="shared" ref="CP31" ca="1" si="405">+CP28/CO28-1</f>
        <v>#NAME?</v>
      </c>
      <c r="CQ31" s="40" t="e">
        <f t="shared" ref="CQ31" ca="1" si="406">+CQ28/CP28-1</f>
        <v>#NAME?</v>
      </c>
      <c r="CR31" s="40" t="e">
        <f t="shared" ref="CR31" ca="1" si="407">+CR28/CQ28-1</f>
        <v>#NAME?</v>
      </c>
      <c r="CS31" s="40" t="e">
        <f t="shared" ref="CS31" ca="1" si="408">+CS28/CR28-1</f>
        <v>#NAME?</v>
      </c>
      <c r="CT31" s="40" t="e">
        <f t="shared" ref="CT31" ca="1" si="409">+CT28/CS28-1</f>
        <v>#NAME?</v>
      </c>
      <c r="CU31" s="40" t="e">
        <f t="shared" ref="CU31" ca="1" si="410">+CU28/CT28-1</f>
        <v>#NAME?</v>
      </c>
      <c r="CV31" s="40" t="e">
        <f t="shared" ref="CV31" ca="1" si="411">+CV28/CU28-1</f>
        <v>#NAME?</v>
      </c>
      <c r="CW31" s="40" t="e">
        <f t="shared" ref="CW31" ca="1" si="412">+CW28/CV28-1</f>
        <v>#NAME?</v>
      </c>
      <c r="CX31" s="40" t="e">
        <f t="shared" ref="CX31" ca="1" si="413">+CX28/CW28-1</f>
        <v>#NAME?</v>
      </c>
      <c r="CY31" s="40" t="e">
        <f t="shared" ref="CY31" ca="1" si="414">+CY28/CX28-1</f>
        <v>#NAME?</v>
      </c>
      <c r="CZ31" s="40" t="e">
        <f t="shared" ref="CZ31" ca="1" si="415">+CZ28/CY28-1</f>
        <v>#NAME?</v>
      </c>
      <c r="DA31" s="40" t="e">
        <f t="shared" ref="DA31" ca="1" si="416">+DA28/CZ28-1</f>
        <v>#NAME?</v>
      </c>
      <c r="DB31" s="40" t="e">
        <f t="shared" ref="DB31" ca="1" si="417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8">CM33*CL134</f>
        <v>#NAME?</v>
      </c>
      <c r="CN32" s="24" t="e">
        <f t="shared" ca="1" si="418"/>
        <v>#NAME?</v>
      </c>
      <c r="CO32" s="24" t="e">
        <f t="shared" ca="1" si="418"/>
        <v>#NAME?</v>
      </c>
      <c r="CP32" s="24" t="e">
        <f t="shared" ca="1" si="418"/>
        <v>#NAME?</v>
      </c>
      <c r="CQ32" s="24" t="e">
        <f t="shared" ca="1" si="418"/>
        <v>#NAME?</v>
      </c>
      <c r="CR32" s="24" t="e">
        <f t="shared" ca="1" si="418"/>
        <v>#NAME?</v>
      </c>
      <c r="CS32" s="24" t="e">
        <f t="shared" ca="1" si="418"/>
        <v>#NAME?</v>
      </c>
      <c r="CT32" s="24" t="e">
        <f t="shared" ca="1" si="418"/>
        <v>#NAME?</v>
      </c>
      <c r="CU32" s="24" t="e">
        <f t="shared" ca="1" si="418"/>
        <v>#NAME?</v>
      </c>
      <c r="CV32" s="24" t="e">
        <f t="shared" ca="1" si="418"/>
        <v>#NAME?</v>
      </c>
      <c r="CW32" s="24" t="e">
        <f t="shared" ca="1" si="418"/>
        <v>#NAME?</v>
      </c>
      <c r="CX32" s="24" t="e">
        <f t="shared" ca="1" si="418"/>
        <v>#NAME?</v>
      </c>
      <c r="CY32" s="24" t="e">
        <f t="shared" ca="1" si="418"/>
        <v>#NAME?</v>
      </c>
      <c r="CZ32" s="24" t="e">
        <f t="shared" ca="1" si="418"/>
        <v>#NAME?</v>
      </c>
      <c r="DA32" s="24" t="e">
        <f t="shared" ca="1" si="418"/>
        <v>#NAME?</v>
      </c>
      <c r="DB32" s="24" t="e">
        <f t="shared" ca="1" si="418"/>
        <v>#NAME?</v>
      </c>
      <c r="DE32" s="123"/>
      <c r="DF32" s="23">
        <v>42.751999999999995</v>
      </c>
    </row>
    <row r="33" spans="1:110" s="46" customFormat="1" x14ac:dyDescent="0.2">
      <c r="A33" s="46" t="s">
        <v>483</v>
      </c>
      <c r="B33" s="46" t="e">
        <f t="shared" ref="B33:D33" ca="1" si="419">+B32/B134</f>
        <v>#NAME?</v>
      </c>
      <c r="C33" s="46" t="e">
        <f t="shared" ca="1" si="419"/>
        <v>#NAME?</v>
      </c>
      <c r="D33" s="46" t="e">
        <f t="shared" ca="1" si="419"/>
        <v>#NAME?</v>
      </c>
      <c r="E33" s="46" t="e">
        <f t="shared" ref="E33:AE33" ca="1" si="420">+E32/E134</f>
        <v>#NAME?</v>
      </c>
      <c r="F33" s="46" t="e">
        <f t="shared" ca="1" si="420"/>
        <v>#NAME?</v>
      </c>
      <c r="G33" s="46" t="e">
        <f t="shared" ca="1" si="420"/>
        <v>#NAME?</v>
      </c>
      <c r="H33" s="46" t="e">
        <f t="shared" ca="1" si="420"/>
        <v>#NAME?</v>
      </c>
      <c r="I33" s="46" t="e">
        <f t="shared" ca="1" si="420"/>
        <v>#NAME?</v>
      </c>
      <c r="J33" s="46" t="e">
        <f t="shared" ca="1" si="420"/>
        <v>#NAME?</v>
      </c>
      <c r="K33" s="46" t="e">
        <f t="shared" ca="1" si="420"/>
        <v>#NAME?</v>
      </c>
      <c r="L33" s="46" t="e">
        <f t="shared" ca="1" si="420"/>
        <v>#NAME?</v>
      </c>
      <c r="M33" s="46" t="e">
        <f t="shared" ca="1" si="420"/>
        <v>#NAME?</v>
      </c>
      <c r="N33" s="46" t="e">
        <f t="shared" ca="1" si="420"/>
        <v>#NAME?</v>
      </c>
      <c r="O33" s="46" t="e">
        <f t="shared" ca="1" si="420"/>
        <v>#NAME?</v>
      </c>
      <c r="P33" s="46" t="e">
        <f t="shared" ca="1" si="420"/>
        <v>#NAME?</v>
      </c>
      <c r="Q33" s="46" t="e">
        <f t="shared" ca="1" si="420"/>
        <v>#NAME?</v>
      </c>
      <c r="R33" s="46" t="e">
        <f t="shared" ca="1" si="420"/>
        <v>#NAME?</v>
      </c>
      <c r="S33" s="46" t="e">
        <f t="shared" ca="1" si="420"/>
        <v>#NAME?</v>
      </c>
      <c r="T33" s="46" t="e">
        <f t="shared" ca="1" si="420"/>
        <v>#NAME?</v>
      </c>
      <c r="U33" s="46" t="e">
        <f t="shared" ca="1" si="420"/>
        <v>#NAME?</v>
      </c>
      <c r="V33" s="46" t="e">
        <f t="shared" ca="1" si="420"/>
        <v>#NAME?</v>
      </c>
      <c r="W33" s="46" t="e">
        <f t="shared" ca="1" si="420"/>
        <v>#NAME?</v>
      </c>
      <c r="X33" s="46" t="e">
        <f t="shared" ca="1" si="420"/>
        <v>#NAME?</v>
      </c>
      <c r="Y33" s="46" t="e">
        <f t="shared" ca="1" si="420"/>
        <v>#NAME?</v>
      </c>
      <c r="Z33" s="46" t="e">
        <f t="shared" ca="1" si="420"/>
        <v>#NAME?</v>
      </c>
      <c r="AA33" s="46" t="e">
        <f t="shared" ref="AA33" ca="1" si="421">+AA32/AA134</f>
        <v>#NAME?</v>
      </c>
      <c r="AB33" s="110" t="e">
        <f t="shared" ca="1" si="420"/>
        <v>#NAME?</v>
      </c>
      <c r="AC33" s="110" t="e">
        <f t="shared" ca="1" si="420"/>
        <v>#NAME?</v>
      </c>
      <c r="AD33" s="110" t="e">
        <f t="shared" ca="1" si="420"/>
        <v>#NAME?</v>
      </c>
      <c r="AE33" s="110" t="e">
        <f t="shared" ca="1" si="420"/>
        <v>#NAME?</v>
      </c>
      <c r="AI33" s="46" t="e">
        <f t="shared" ref="AI33:BN33" ca="1" si="422">+AI32/AH134</f>
        <v>#NAME?</v>
      </c>
      <c r="AJ33" s="46" t="e">
        <f t="shared" ca="1" si="422"/>
        <v>#NAME?</v>
      </c>
      <c r="AK33" s="46" t="e">
        <f t="shared" ca="1" si="422"/>
        <v>#NAME?</v>
      </c>
      <c r="AL33" s="46" t="e">
        <f t="shared" ca="1" si="422"/>
        <v>#NAME?</v>
      </c>
      <c r="AM33" s="46" t="e">
        <f t="shared" ca="1" si="422"/>
        <v>#NAME?</v>
      </c>
      <c r="AN33" s="46" t="e">
        <f t="shared" ca="1" si="422"/>
        <v>#NAME?</v>
      </c>
      <c r="AO33" s="46" t="e">
        <f t="shared" ca="1" si="422"/>
        <v>#NAME?</v>
      </c>
      <c r="AP33" s="46" t="e">
        <f t="shared" ca="1" si="422"/>
        <v>#NAME?</v>
      </c>
      <c r="AQ33" s="46" t="e">
        <f t="shared" ca="1" si="422"/>
        <v>#NAME?</v>
      </c>
      <c r="AR33" s="46" t="e">
        <f t="shared" ca="1" si="422"/>
        <v>#NAME?</v>
      </c>
      <c r="AS33" s="46" t="e">
        <f t="shared" ca="1" si="422"/>
        <v>#NAME?</v>
      </c>
      <c r="AT33" s="46" t="e">
        <f t="shared" ca="1" si="422"/>
        <v>#NAME?</v>
      </c>
      <c r="AU33" s="46" t="e">
        <f t="shared" ca="1" si="422"/>
        <v>#NAME?</v>
      </c>
      <c r="AV33" s="46" t="e">
        <f t="shared" ca="1" si="422"/>
        <v>#NAME?</v>
      </c>
      <c r="AW33" s="46" t="e">
        <f t="shared" ca="1" si="422"/>
        <v>#NAME?</v>
      </c>
      <c r="AX33" s="46" t="e">
        <f t="shared" ca="1" si="422"/>
        <v>#NAME?</v>
      </c>
      <c r="AY33" s="46" t="e">
        <f t="shared" ca="1" si="422"/>
        <v>#NAME?</v>
      </c>
      <c r="AZ33" s="46" t="e">
        <f t="shared" ca="1" si="422"/>
        <v>#NAME?</v>
      </c>
      <c r="BA33" s="46" t="e">
        <f t="shared" ca="1" si="422"/>
        <v>#NAME?</v>
      </c>
      <c r="BB33" s="46" t="e">
        <f t="shared" ca="1" si="422"/>
        <v>#NAME?</v>
      </c>
      <c r="BC33" s="46" t="e">
        <f t="shared" ca="1" si="422"/>
        <v>#NAME?</v>
      </c>
      <c r="BD33" s="46" t="e">
        <f t="shared" ca="1" si="422"/>
        <v>#NAME?</v>
      </c>
      <c r="BE33" s="46" t="e">
        <f t="shared" ca="1" si="422"/>
        <v>#NAME?</v>
      </c>
      <c r="BF33" s="46" t="e">
        <f t="shared" ca="1" si="422"/>
        <v>#NAME?</v>
      </c>
      <c r="BG33" s="46" t="e">
        <f t="shared" ca="1" si="422"/>
        <v>#NAME?</v>
      </c>
      <c r="BH33" s="46" t="e">
        <f t="shared" ca="1" si="422"/>
        <v>#NAME?</v>
      </c>
      <c r="BI33" s="46" t="e">
        <f t="shared" ca="1" si="422"/>
        <v>#NAME?</v>
      </c>
      <c r="BJ33" s="46" t="e">
        <f t="shared" ca="1" si="422"/>
        <v>#NAME?</v>
      </c>
      <c r="BK33" s="46" t="e">
        <f t="shared" ca="1" si="422"/>
        <v>#NAME?</v>
      </c>
      <c r="BL33" s="46" t="e">
        <f t="shared" ca="1" si="422"/>
        <v>#NAME?</v>
      </c>
      <c r="BM33" s="46" t="e">
        <f t="shared" ca="1" si="422"/>
        <v>#NAME?</v>
      </c>
      <c r="BN33" s="46" t="e">
        <f t="shared" ca="1" si="422"/>
        <v>#NAME?</v>
      </c>
      <c r="BO33" s="46" t="e">
        <f t="shared" ref="BO33:CL33" ca="1" si="423">+BO32/BN134</f>
        <v>#NAME?</v>
      </c>
      <c r="BP33" s="46" t="e">
        <f t="shared" ca="1" si="423"/>
        <v>#NAME?</v>
      </c>
      <c r="BQ33" s="46" t="e">
        <f t="shared" ca="1" si="423"/>
        <v>#NAME?</v>
      </c>
      <c r="BR33" s="46" t="e">
        <f t="shared" ca="1" si="423"/>
        <v>#NAME?</v>
      </c>
      <c r="BS33" s="46" t="e">
        <f t="shared" ca="1" si="423"/>
        <v>#NAME?</v>
      </c>
      <c r="BT33" s="46" t="e">
        <f t="shared" ca="1" si="423"/>
        <v>#NAME?</v>
      </c>
      <c r="BU33" s="46" t="e">
        <f t="shared" ca="1" si="423"/>
        <v>#NAME?</v>
      </c>
      <c r="BV33" s="46" t="e">
        <f t="shared" ca="1" si="423"/>
        <v>#NAME?</v>
      </c>
      <c r="BW33" s="46" t="e">
        <f t="shared" ca="1" si="423"/>
        <v>#NAME?</v>
      </c>
      <c r="BX33" s="46" t="e">
        <f t="shared" ca="1" si="423"/>
        <v>#NAME?</v>
      </c>
      <c r="BY33" s="46" t="e">
        <f t="shared" ca="1" si="423"/>
        <v>#NAME?</v>
      </c>
      <c r="BZ33" s="46" t="e">
        <f t="shared" ca="1" si="423"/>
        <v>#NAME?</v>
      </c>
      <c r="CA33" s="46" t="e">
        <f t="shared" ca="1" si="423"/>
        <v>#NAME?</v>
      </c>
      <c r="CB33" s="46" t="e">
        <f t="shared" ca="1" si="423"/>
        <v>#NAME?</v>
      </c>
      <c r="CC33" s="46" t="e">
        <f t="shared" ca="1" si="423"/>
        <v>#NAME?</v>
      </c>
      <c r="CD33" s="46" t="e">
        <f t="shared" ca="1" si="423"/>
        <v>#NAME?</v>
      </c>
      <c r="CE33" s="46" t="e">
        <f t="shared" ca="1" si="423"/>
        <v>#NAME?</v>
      </c>
      <c r="CF33" s="46" t="e">
        <f t="shared" ca="1" si="423"/>
        <v>#NAME?</v>
      </c>
      <c r="CG33" s="46" t="e">
        <f t="shared" ca="1" si="423"/>
        <v>#NAME?</v>
      </c>
      <c r="CH33" s="46" t="e">
        <f t="shared" ca="1" si="423"/>
        <v>#NAME?</v>
      </c>
      <c r="CI33" s="46" t="e">
        <f t="shared" ca="1" si="423"/>
        <v>#NAME?</v>
      </c>
      <c r="CJ33" s="46" t="e">
        <f t="shared" ca="1" si="423"/>
        <v>#NAME?</v>
      </c>
      <c r="CK33" s="46" t="e">
        <f t="shared" ca="1" si="423"/>
        <v>#NAME?</v>
      </c>
      <c r="CL33" s="46" t="e">
        <f t="shared" ca="1" si="423"/>
        <v>#NAME?</v>
      </c>
      <c r="CM33" s="47" t="e">
        <f t="shared" ref="CM33" ca="1" si="424">CL33</f>
        <v>#NAME?</v>
      </c>
      <c r="CN33" s="47" t="e">
        <f t="shared" ref="CN33" ca="1" si="425">CM33</f>
        <v>#NAME?</v>
      </c>
      <c r="CO33" s="47" t="e">
        <f t="shared" ref="CO33" ca="1" si="426">CN33</f>
        <v>#NAME?</v>
      </c>
      <c r="CP33" s="47" t="e">
        <f t="shared" ref="CP33" ca="1" si="427">CO33</f>
        <v>#NAME?</v>
      </c>
      <c r="CQ33" s="47" t="e">
        <f t="shared" ref="CQ33" ca="1" si="428">CP33</f>
        <v>#NAME?</v>
      </c>
      <c r="CR33" s="47" t="e">
        <f t="shared" ref="CR33" ca="1" si="429">CQ33</f>
        <v>#NAME?</v>
      </c>
      <c r="CS33" s="47" t="e">
        <f t="shared" ref="CS33" ca="1" si="430">CR33</f>
        <v>#NAME?</v>
      </c>
      <c r="CT33" s="47" t="e">
        <f t="shared" ref="CT33" ca="1" si="431">CS33</f>
        <v>#NAME?</v>
      </c>
      <c r="CU33" s="47" t="e">
        <f t="shared" ref="CU33" ca="1" si="432">CT33</f>
        <v>#NAME?</v>
      </c>
      <c r="CV33" s="47" t="e">
        <f t="shared" ref="CV33" ca="1" si="433">CU33</f>
        <v>#NAME?</v>
      </c>
      <c r="CW33" s="47" t="e">
        <f t="shared" ref="CW33" ca="1" si="434">CV33</f>
        <v>#NAME?</v>
      </c>
      <c r="CX33" s="47" t="e">
        <f t="shared" ref="CX33" ca="1" si="435">CW33</f>
        <v>#NAME?</v>
      </c>
      <c r="CY33" s="47" t="e">
        <f t="shared" ref="CY33" ca="1" si="436">CX33</f>
        <v>#NAME?</v>
      </c>
      <c r="CZ33" s="47" t="e">
        <f t="shared" ref="CZ33" ca="1" si="437">CY33</f>
        <v>#NAME?</v>
      </c>
      <c r="DA33" s="47" t="e">
        <f t="shared" ref="DA33" ca="1" si="438">CZ33</f>
        <v>#NAME?</v>
      </c>
      <c r="DB33" s="47" t="e">
        <f t="shared" ref="DB33" ca="1" si="439">DA33</f>
        <v>#NAME?</v>
      </c>
      <c r="DE33" s="130"/>
      <c r="DF33" s="46">
        <v>0.18798863766280591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0">C28-C32</f>
        <v>#NAME?</v>
      </c>
      <c r="D34" s="26" t="e">
        <f ca="1">D28-D32</f>
        <v>#NAME?</v>
      </c>
      <c r="E34" s="26" t="e">
        <f t="shared" ca="1" si="440"/>
        <v>#NAME?</v>
      </c>
      <c r="F34" s="26" t="e">
        <f t="shared" ca="1" si="440"/>
        <v>#NAME?</v>
      </c>
      <c r="G34" s="26" t="e">
        <f t="shared" ca="1" si="440"/>
        <v>#NAME?</v>
      </c>
      <c r="H34" s="26" t="e">
        <f t="shared" ca="1" si="440"/>
        <v>#NAME?</v>
      </c>
      <c r="I34" s="26" t="e">
        <f t="shared" ca="1" si="440"/>
        <v>#NAME?</v>
      </c>
      <c r="J34" s="26" t="e">
        <f t="shared" ca="1" si="440"/>
        <v>#NAME?</v>
      </c>
      <c r="K34" s="26" t="e">
        <f t="shared" ca="1" si="440"/>
        <v>#NAME?</v>
      </c>
      <c r="L34" s="26" t="e">
        <f t="shared" ca="1" si="440"/>
        <v>#NAME?</v>
      </c>
      <c r="M34" s="26" t="e">
        <f t="shared" ca="1" si="440"/>
        <v>#NAME?</v>
      </c>
      <c r="N34" s="26" t="e">
        <f t="shared" ca="1" si="440"/>
        <v>#NAME?</v>
      </c>
      <c r="O34" s="26" t="e">
        <f t="shared" ca="1" si="440"/>
        <v>#NAME?</v>
      </c>
      <c r="P34" s="26" t="e">
        <f t="shared" ca="1" si="440"/>
        <v>#NAME?</v>
      </c>
      <c r="Q34" s="26" t="e">
        <f t="shared" ca="1" si="440"/>
        <v>#NAME?</v>
      </c>
      <c r="R34" s="26" t="e">
        <f t="shared" ca="1" si="440"/>
        <v>#NAME?</v>
      </c>
      <c r="S34" s="26" t="e">
        <f t="shared" ca="1" si="440"/>
        <v>#NAME?</v>
      </c>
      <c r="T34" s="26" t="e">
        <f t="shared" ca="1" si="440"/>
        <v>#NAME?</v>
      </c>
      <c r="U34" s="26" t="e">
        <f t="shared" ref="U34:Z34" ca="1" si="441">U28-U32</f>
        <v>#NAME?</v>
      </c>
      <c r="V34" s="26" t="e">
        <f t="shared" ca="1" si="441"/>
        <v>#NAME?</v>
      </c>
      <c r="W34" s="26" t="e">
        <f t="shared" ca="1" si="441"/>
        <v>#NAME?</v>
      </c>
      <c r="X34" s="26" t="e">
        <f t="shared" ca="1" si="441"/>
        <v>#NAME?</v>
      </c>
      <c r="Y34" s="26" t="e">
        <f t="shared" ca="1" si="441"/>
        <v>#NAME?</v>
      </c>
      <c r="Z34" s="26" t="e">
        <f t="shared" ca="1" si="441"/>
        <v>#NAME?</v>
      </c>
      <c r="AA34" s="26" t="e">
        <f t="shared" ref="AA34" ca="1" si="442">AA28-AA32</f>
        <v>#NAME?</v>
      </c>
      <c r="AB34" s="27" t="e">
        <f t="shared" ref="AA34:AD34" ca="1" si="443">AB28-AB32</f>
        <v>#NAME?</v>
      </c>
      <c r="AC34" s="27" t="e">
        <f t="shared" ca="1" si="443"/>
        <v>#NAME?</v>
      </c>
      <c r="AD34" s="27" t="e">
        <f t="shared" ca="1" si="443"/>
        <v>#NAME?</v>
      </c>
      <c r="AE34" s="27" t="e">
        <f t="shared" ref="AE34" ca="1" si="444">AE28-AE32</f>
        <v>#NAME?</v>
      </c>
      <c r="AI34" s="26" t="e">
        <f t="shared" ref="AI34" ca="1" si="445">AI28-AI32</f>
        <v>#NAME?</v>
      </c>
      <c r="AJ34" s="26" t="e">
        <f t="shared" ref="AJ34" ca="1" si="446">AJ28-AJ32</f>
        <v>#NAME?</v>
      </c>
      <c r="AK34" s="26" t="e">
        <f t="shared" ref="AK34:AM34" ca="1" si="447">AK28-AK32</f>
        <v>#NAME?</v>
      </c>
      <c r="AL34" s="26" t="e">
        <f t="shared" ca="1" si="447"/>
        <v>#NAME?</v>
      </c>
      <c r="AM34" s="26" t="e">
        <f t="shared" ca="1" si="447"/>
        <v>#NAME?</v>
      </c>
      <c r="AN34" s="26" t="e">
        <f t="shared" ref="AN34:AO34" ca="1" si="448">AN28-AN32</f>
        <v>#NAME?</v>
      </c>
      <c r="AO34" s="26" t="e">
        <f t="shared" ca="1" si="448"/>
        <v>#NAME?</v>
      </c>
      <c r="AP34" s="26" t="e">
        <f t="shared" ref="AP34:CD34" ca="1" si="449">AP28-AP32</f>
        <v>#NAME?</v>
      </c>
      <c r="AQ34" s="26" t="e">
        <f t="shared" ca="1" si="449"/>
        <v>#NAME?</v>
      </c>
      <c r="AR34" s="26" t="e">
        <f t="shared" ca="1" si="449"/>
        <v>#NAME?</v>
      </c>
      <c r="AS34" s="26" t="e">
        <f t="shared" ca="1" si="449"/>
        <v>#NAME?</v>
      </c>
      <c r="AT34" s="26" t="e">
        <f t="shared" ca="1" si="449"/>
        <v>#NAME?</v>
      </c>
      <c r="AU34" s="26" t="e">
        <f t="shared" ca="1" si="449"/>
        <v>#NAME?</v>
      </c>
      <c r="AV34" s="26" t="e">
        <f t="shared" ca="1" si="449"/>
        <v>#NAME?</v>
      </c>
      <c r="AW34" s="26" t="e">
        <f t="shared" ca="1" si="449"/>
        <v>#NAME?</v>
      </c>
      <c r="AX34" s="26" t="e">
        <f t="shared" ca="1" si="449"/>
        <v>#NAME?</v>
      </c>
      <c r="AY34" s="26" t="e">
        <f t="shared" ca="1" si="449"/>
        <v>#NAME?</v>
      </c>
      <c r="AZ34" s="26" t="e">
        <f t="shared" ca="1" si="449"/>
        <v>#NAME?</v>
      </c>
      <c r="BA34" s="26" t="e">
        <f t="shared" ca="1" si="449"/>
        <v>#NAME?</v>
      </c>
      <c r="BB34" s="26" t="e">
        <f t="shared" ca="1" si="449"/>
        <v>#NAME?</v>
      </c>
      <c r="BC34" s="26" t="e">
        <f t="shared" ca="1" si="449"/>
        <v>#NAME?</v>
      </c>
      <c r="BD34" s="26" t="e">
        <f t="shared" ca="1" si="449"/>
        <v>#NAME?</v>
      </c>
      <c r="BE34" s="26" t="e">
        <f t="shared" ca="1" si="449"/>
        <v>#NAME?</v>
      </c>
      <c r="BF34" s="26" t="e">
        <f t="shared" ca="1" si="449"/>
        <v>#NAME?</v>
      </c>
      <c r="BG34" s="26" t="e">
        <f t="shared" ca="1" si="449"/>
        <v>#NAME?</v>
      </c>
      <c r="BH34" s="26" t="e">
        <f t="shared" ca="1" si="449"/>
        <v>#NAME?</v>
      </c>
      <c r="BI34" s="26" t="e">
        <f t="shared" ca="1" si="449"/>
        <v>#NAME?</v>
      </c>
      <c r="BJ34" s="26" t="e">
        <f t="shared" ca="1" si="449"/>
        <v>#NAME?</v>
      </c>
      <c r="BK34" s="26" t="e">
        <f t="shared" ca="1" si="449"/>
        <v>#NAME?</v>
      </c>
      <c r="BL34" s="26" t="e">
        <f t="shared" ca="1" si="449"/>
        <v>#NAME?</v>
      </c>
      <c r="BM34" s="26" t="e">
        <f t="shared" ca="1" si="449"/>
        <v>#NAME?</v>
      </c>
      <c r="BN34" s="26" t="e">
        <f t="shared" ca="1" si="449"/>
        <v>#NAME?</v>
      </c>
      <c r="BO34" s="26" t="e">
        <f t="shared" ca="1" si="449"/>
        <v>#NAME?</v>
      </c>
      <c r="BP34" s="26" t="e">
        <f t="shared" ca="1" si="449"/>
        <v>#NAME?</v>
      </c>
      <c r="BQ34" s="26" t="e">
        <f t="shared" ca="1" si="449"/>
        <v>#NAME?</v>
      </c>
      <c r="BR34" s="26" t="e">
        <f t="shared" ca="1" si="449"/>
        <v>#NAME?</v>
      </c>
      <c r="BS34" s="26" t="e">
        <f t="shared" ca="1" si="449"/>
        <v>#NAME?</v>
      </c>
      <c r="BT34" s="26" t="e">
        <f t="shared" ca="1" si="449"/>
        <v>#NAME?</v>
      </c>
      <c r="BU34" s="26" t="e">
        <f t="shared" ca="1" si="449"/>
        <v>#NAME?</v>
      </c>
      <c r="BV34" s="26" t="e">
        <f t="shared" ca="1" si="449"/>
        <v>#NAME?</v>
      </c>
      <c r="BW34" s="26" t="e">
        <f t="shared" ca="1" si="449"/>
        <v>#NAME?</v>
      </c>
      <c r="BX34" s="26" t="e">
        <f t="shared" ca="1" si="449"/>
        <v>#NAME?</v>
      </c>
      <c r="BY34" s="26" t="e">
        <f t="shared" ca="1" si="449"/>
        <v>#NAME?</v>
      </c>
      <c r="BZ34" s="26" t="e">
        <f t="shared" ca="1" si="449"/>
        <v>#NAME?</v>
      </c>
      <c r="CA34" s="26" t="e">
        <f t="shared" ca="1" si="449"/>
        <v>#NAME?</v>
      </c>
      <c r="CB34" s="26" t="e">
        <f t="shared" ca="1" si="449"/>
        <v>#NAME?</v>
      </c>
      <c r="CC34" s="26" t="e">
        <f t="shared" ca="1" si="449"/>
        <v>#NAME?</v>
      </c>
      <c r="CD34" s="26" t="e">
        <f t="shared" ca="1" si="449"/>
        <v>#NAME?</v>
      </c>
      <c r="CE34" s="26" t="e">
        <f t="shared" ref="CE34:CF34" ca="1" si="450">CE28-CE32</f>
        <v>#NAME?</v>
      </c>
      <c r="CF34" s="26" t="e">
        <f t="shared" ca="1" si="450"/>
        <v>#NAME?</v>
      </c>
      <c r="CG34" s="26" t="e">
        <f t="shared" ref="CG34:CH34" ca="1" si="451">CG28-CG32</f>
        <v>#NAME?</v>
      </c>
      <c r="CH34" s="26" t="e">
        <f t="shared" ca="1" si="451"/>
        <v>#NAME?</v>
      </c>
      <c r="CI34" s="26" t="e">
        <f t="shared" ref="CI34:CJ34" ca="1" si="452">CI28-CI32</f>
        <v>#NAME?</v>
      </c>
      <c r="CJ34" s="26" t="e">
        <f t="shared" ca="1" si="452"/>
        <v>#NAME?</v>
      </c>
      <c r="CK34" s="26" t="e">
        <f t="shared" ref="CK34:CL34" ca="1" si="453">CK28-CK32</f>
        <v>#NAME?</v>
      </c>
      <c r="CL34" s="26" t="e">
        <f t="shared" ca="1" si="453"/>
        <v>#NAME?</v>
      </c>
      <c r="CM34" s="27" t="e">
        <f t="shared" ref="CM34:DB34" ca="1" si="454">CM28-CM32</f>
        <v>#NAME?</v>
      </c>
      <c r="CN34" s="27" t="e">
        <f t="shared" ca="1" si="454"/>
        <v>#NAME?</v>
      </c>
      <c r="CO34" s="27" t="e">
        <f t="shared" ca="1" si="454"/>
        <v>#NAME?</v>
      </c>
      <c r="CP34" s="27" t="e">
        <f t="shared" ca="1" si="454"/>
        <v>#NAME?</v>
      </c>
      <c r="CQ34" s="27" t="e">
        <f t="shared" ca="1" si="454"/>
        <v>#NAME?</v>
      </c>
      <c r="CR34" s="27" t="e">
        <f t="shared" ca="1" si="454"/>
        <v>#NAME?</v>
      </c>
      <c r="CS34" s="27" t="e">
        <f t="shared" ca="1" si="454"/>
        <v>#NAME?</v>
      </c>
      <c r="CT34" s="27" t="e">
        <f t="shared" ca="1" si="454"/>
        <v>#NAME?</v>
      </c>
      <c r="CU34" s="27" t="e">
        <f t="shared" ca="1" si="454"/>
        <v>#NAME?</v>
      </c>
      <c r="CV34" s="27" t="e">
        <f t="shared" ca="1" si="454"/>
        <v>#NAME?</v>
      </c>
      <c r="CW34" s="27" t="e">
        <f t="shared" ca="1" si="454"/>
        <v>#NAME?</v>
      </c>
      <c r="CX34" s="27" t="e">
        <f t="shared" ca="1" si="454"/>
        <v>#NAME?</v>
      </c>
      <c r="CY34" s="27" t="e">
        <f t="shared" ca="1" si="454"/>
        <v>#NAME?</v>
      </c>
      <c r="CZ34" s="27" t="e">
        <f t="shared" ca="1" si="454"/>
        <v>#NAME?</v>
      </c>
      <c r="DA34" s="27" t="e">
        <f t="shared" ca="1" si="454"/>
        <v>#NAME?</v>
      </c>
      <c r="DB34" s="27" t="e">
        <f t="shared" ca="1" si="454"/>
        <v>#NAME?</v>
      </c>
      <c r="DE34" s="121"/>
      <c r="DF34" s="26">
        <v>81.439000000000149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38.890999999999998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5"/>
        <v>#NAME?</v>
      </c>
      <c r="AC36" s="76" t="e">
        <f t="shared" ca="1" si="456"/>
        <v>#NAME?</v>
      </c>
      <c r="AD36" s="76" t="e">
        <f t="shared" ca="1" si="457"/>
        <v>#NAME?</v>
      </c>
      <c r="AE36" s="76" t="e">
        <f t="shared" ca="1" si="458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9">CM37*CL168</f>
        <v>#NAME?</v>
      </c>
      <c r="CN36" s="24" t="e">
        <f t="shared" ca="1" si="459"/>
        <v>#NAME?</v>
      </c>
      <c r="CO36" s="24" t="e">
        <f t="shared" ca="1" si="459"/>
        <v>#NAME?</v>
      </c>
      <c r="CP36" s="24" t="e">
        <f t="shared" ca="1" si="459"/>
        <v>#NAME?</v>
      </c>
      <c r="CQ36" s="24" t="e">
        <f t="shared" ca="1" si="459"/>
        <v>#NAME?</v>
      </c>
      <c r="CR36" s="24" t="e">
        <f t="shared" ca="1" si="459"/>
        <v>#NAME?</v>
      </c>
      <c r="CS36" s="24" t="e">
        <f t="shared" ca="1" si="459"/>
        <v>#NAME?</v>
      </c>
      <c r="CT36" s="24" t="e">
        <f t="shared" ca="1" si="459"/>
        <v>#NAME?</v>
      </c>
      <c r="CU36" s="24" t="e">
        <f t="shared" ca="1" si="459"/>
        <v>#NAME?</v>
      </c>
      <c r="CV36" s="24" t="e">
        <f t="shared" ca="1" si="459"/>
        <v>#NAME?</v>
      </c>
      <c r="CW36" s="24" t="e">
        <f t="shared" ca="1" si="459"/>
        <v>#NAME?</v>
      </c>
      <c r="CX36" s="24" t="e">
        <f t="shared" ca="1" si="459"/>
        <v>#NAME?</v>
      </c>
      <c r="CY36" s="24" t="e">
        <f t="shared" ca="1" si="459"/>
        <v>#NAME?</v>
      </c>
      <c r="CZ36" s="24" t="e">
        <f t="shared" ca="1" si="459"/>
        <v>#NAME?</v>
      </c>
      <c r="DA36" s="24" t="e">
        <f t="shared" ca="1" si="459"/>
        <v>#NAME?</v>
      </c>
      <c r="DB36" s="24" t="e">
        <f t="shared" ca="1" si="459"/>
        <v>#NAME?</v>
      </c>
      <c r="DE36" s="123"/>
      <c r="DF36" s="23">
        <v>27.169</v>
      </c>
    </row>
    <row r="37" spans="1:110" s="46" customFormat="1" x14ac:dyDescent="0.2">
      <c r="A37" s="46" t="s">
        <v>482</v>
      </c>
      <c r="B37" s="46" t="e">
        <f t="shared" ref="B37:D37" ca="1" si="460">+B36/B128</f>
        <v>#NAME?</v>
      </c>
      <c r="C37" s="46" t="e">
        <f t="shared" ca="1" si="460"/>
        <v>#NAME?</v>
      </c>
      <c r="D37" s="46" t="e">
        <f t="shared" ca="1" si="460"/>
        <v>#NAME?</v>
      </c>
      <c r="E37" s="46" t="e">
        <f t="shared" ref="E37:AE37" ca="1" si="461">+E36/E128</f>
        <v>#NAME?</v>
      </c>
      <c r="F37" s="46" t="e">
        <f t="shared" ca="1" si="461"/>
        <v>#NAME?</v>
      </c>
      <c r="G37" s="46" t="e">
        <f t="shared" ca="1" si="461"/>
        <v>#NAME?</v>
      </c>
      <c r="H37" s="46" t="e">
        <f t="shared" ca="1" si="461"/>
        <v>#NAME?</v>
      </c>
      <c r="I37" s="46" t="e">
        <f t="shared" ca="1" si="461"/>
        <v>#NAME?</v>
      </c>
      <c r="J37" s="46" t="e">
        <f t="shared" ca="1" si="461"/>
        <v>#NAME?</v>
      </c>
      <c r="K37" s="46" t="e">
        <f t="shared" ca="1" si="461"/>
        <v>#NAME?</v>
      </c>
      <c r="L37" s="46" t="e">
        <f t="shared" ca="1" si="461"/>
        <v>#NAME?</v>
      </c>
      <c r="M37" s="46" t="e">
        <f t="shared" ca="1" si="461"/>
        <v>#NAME?</v>
      </c>
      <c r="N37" s="46" t="e">
        <f t="shared" ca="1" si="461"/>
        <v>#NAME?</v>
      </c>
      <c r="O37" s="46" t="e">
        <f t="shared" ca="1" si="461"/>
        <v>#NAME?</v>
      </c>
      <c r="P37" s="46" t="e">
        <f t="shared" ca="1" si="461"/>
        <v>#NAME?</v>
      </c>
      <c r="Q37" s="46" t="e">
        <f t="shared" ca="1" si="461"/>
        <v>#NAME?</v>
      </c>
      <c r="R37" s="46" t="e">
        <f t="shared" ca="1" si="461"/>
        <v>#NAME?</v>
      </c>
      <c r="S37" s="46" t="e">
        <f t="shared" ca="1" si="461"/>
        <v>#NAME?</v>
      </c>
      <c r="T37" s="46" t="e">
        <f t="shared" ca="1" si="461"/>
        <v>#NAME?</v>
      </c>
      <c r="U37" s="46" t="e">
        <f t="shared" ca="1" si="461"/>
        <v>#NAME?</v>
      </c>
      <c r="V37" s="46" t="e">
        <f t="shared" ca="1" si="461"/>
        <v>#NAME?</v>
      </c>
      <c r="W37" s="46" t="e">
        <f t="shared" ca="1" si="461"/>
        <v>#NAME?</v>
      </c>
      <c r="X37" s="46" t="e">
        <f t="shared" ca="1" si="461"/>
        <v>#NAME?</v>
      </c>
      <c r="Y37" s="46" t="e">
        <f t="shared" ca="1" si="461"/>
        <v>#NAME?</v>
      </c>
      <c r="Z37" s="46" t="e">
        <f t="shared" ca="1" si="461"/>
        <v>#NAME?</v>
      </c>
      <c r="AA37" s="46" t="e">
        <f t="shared" ref="AA37" ca="1" si="462">+AA36/AA128</f>
        <v>#NAME?</v>
      </c>
      <c r="AB37" s="110" t="e">
        <f t="shared" ca="1" si="461"/>
        <v>#NAME?</v>
      </c>
      <c r="AC37" s="110" t="e">
        <f t="shared" ca="1" si="461"/>
        <v>#NAME?</v>
      </c>
      <c r="AD37" s="110" t="e">
        <f t="shared" ca="1" si="461"/>
        <v>#NAME?</v>
      </c>
      <c r="AE37" s="110" t="e">
        <f t="shared" ca="1" si="461"/>
        <v>#NAME?</v>
      </c>
      <c r="AI37" s="46" t="e">
        <f t="shared" ref="AI37:BN37" ca="1" si="463">(AI36-AI35)/AH168</f>
        <v>#NAME?</v>
      </c>
      <c r="AJ37" s="46" t="e">
        <f t="shared" ca="1" si="463"/>
        <v>#NAME?</v>
      </c>
      <c r="AK37" s="46" t="e">
        <f t="shared" ca="1" si="463"/>
        <v>#NAME?</v>
      </c>
      <c r="AL37" s="46" t="e">
        <f t="shared" ca="1" si="463"/>
        <v>#NAME?</v>
      </c>
      <c r="AM37" s="46" t="e">
        <f t="shared" ca="1" si="463"/>
        <v>#NAME?</v>
      </c>
      <c r="AN37" s="46" t="e">
        <f t="shared" ca="1" si="463"/>
        <v>#NAME?</v>
      </c>
      <c r="AO37" s="46" t="e">
        <f t="shared" ca="1" si="463"/>
        <v>#NAME?</v>
      </c>
      <c r="AP37" s="46" t="e">
        <f t="shared" ca="1" si="463"/>
        <v>#NAME?</v>
      </c>
      <c r="AQ37" s="46" t="e">
        <f t="shared" ca="1" si="463"/>
        <v>#NAME?</v>
      </c>
      <c r="AR37" s="46" t="e">
        <f t="shared" ca="1" si="463"/>
        <v>#NAME?</v>
      </c>
      <c r="AS37" s="46" t="e">
        <f t="shared" ca="1" si="463"/>
        <v>#NAME?</v>
      </c>
      <c r="AT37" s="46" t="e">
        <f t="shared" ca="1" si="463"/>
        <v>#NAME?</v>
      </c>
      <c r="AU37" s="46" t="e">
        <f t="shared" ca="1" si="463"/>
        <v>#NAME?</v>
      </c>
      <c r="AV37" s="46" t="e">
        <f t="shared" ca="1" si="463"/>
        <v>#NAME?</v>
      </c>
      <c r="AW37" s="46" t="e">
        <f t="shared" ca="1" si="463"/>
        <v>#NAME?</v>
      </c>
      <c r="AX37" s="46" t="e">
        <f t="shared" ca="1" si="463"/>
        <v>#NAME?</v>
      </c>
      <c r="AY37" s="46" t="e">
        <f t="shared" ca="1" si="463"/>
        <v>#NAME?</v>
      </c>
      <c r="AZ37" s="46" t="e">
        <f t="shared" ca="1" si="463"/>
        <v>#NAME?</v>
      </c>
      <c r="BA37" s="46" t="e">
        <f t="shared" ca="1" si="463"/>
        <v>#NAME?</v>
      </c>
      <c r="BB37" s="46" t="e">
        <f t="shared" ca="1" si="463"/>
        <v>#NAME?</v>
      </c>
      <c r="BC37" s="46" t="e">
        <f t="shared" ca="1" si="463"/>
        <v>#NAME?</v>
      </c>
      <c r="BD37" s="46" t="e">
        <f t="shared" ca="1" si="463"/>
        <v>#NAME?</v>
      </c>
      <c r="BE37" s="46" t="e">
        <f t="shared" ca="1" si="463"/>
        <v>#NAME?</v>
      </c>
      <c r="BF37" s="46" t="e">
        <f t="shared" ca="1" si="463"/>
        <v>#NAME?</v>
      </c>
      <c r="BG37" s="46" t="e">
        <f t="shared" ca="1" si="463"/>
        <v>#NAME?</v>
      </c>
      <c r="BH37" s="46" t="e">
        <f t="shared" ca="1" si="463"/>
        <v>#NAME?</v>
      </c>
      <c r="BI37" s="46" t="e">
        <f t="shared" ca="1" si="463"/>
        <v>#NAME?</v>
      </c>
      <c r="BJ37" s="46" t="e">
        <f t="shared" ca="1" si="463"/>
        <v>#NAME?</v>
      </c>
      <c r="BK37" s="46" t="e">
        <f t="shared" ca="1" si="463"/>
        <v>#NAME?</v>
      </c>
      <c r="BL37" s="46" t="e">
        <f t="shared" ca="1" si="463"/>
        <v>#NAME?</v>
      </c>
      <c r="BM37" s="46" t="e">
        <f t="shared" ca="1" si="463"/>
        <v>#NAME?</v>
      </c>
      <c r="BN37" s="46" t="e">
        <f t="shared" ca="1" si="463"/>
        <v>#NAME?</v>
      </c>
      <c r="BO37" s="46" t="e">
        <f t="shared" ref="BO37:CL37" ca="1" si="464">(BO36-BO35)/BN168</f>
        <v>#NAME?</v>
      </c>
      <c r="BP37" s="46" t="e">
        <f t="shared" ca="1" si="464"/>
        <v>#NAME?</v>
      </c>
      <c r="BQ37" s="46" t="e">
        <f t="shared" ca="1" si="464"/>
        <v>#NAME?</v>
      </c>
      <c r="BR37" s="46" t="e">
        <f t="shared" ca="1" si="464"/>
        <v>#NAME?</v>
      </c>
      <c r="BS37" s="46" t="e">
        <f t="shared" ca="1" si="464"/>
        <v>#NAME?</v>
      </c>
      <c r="BT37" s="46" t="e">
        <f t="shared" ca="1" si="464"/>
        <v>#NAME?</v>
      </c>
      <c r="BU37" s="46" t="e">
        <f t="shared" ca="1" si="464"/>
        <v>#NAME?</v>
      </c>
      <c r="BV37" s="46" t="e">
        <f t="shared" ca="1" si="464"/>
        <v>#NAME?</v>
      </c>
      <c r="BW37" s="46" t="e">
        <f t="shared" ca="1" si="464"/>
        <v>#NAME?</v>
      </c>
      <c r="BX37" s="46" t="e">
        <f t="shared" ca="1" si="464"/>
        <v>#NAME?</v>
      </c>
      <c r="BY37" s="46" t="e">
        <f t="shared" ca="1" si="464"/>
        <v>#NAME?</v>
      </c>
      <c r="BZ37" s="46" t="e">
        <f t="shared" ca="1" si="464"/>
        <v>#NAME?</v>
      </c>
      <c r="CA37" s="46" t="e">
        <f t="shared" ca="1" si="464"/>
        <v>#NAME?</v>
      </c>
      <c r="CB37" s="46" t="e">
        <f t="shared" ca="1" si="464"/>
        <v>#NAME?</v>
      </c>
      <c r="CC37" s="46" t="e">
        <f t="shared" ca="1" si="464"/>
        <v>#NAME?</v>
      </c>
      <c r="CD37" s="46" t="e">
        <f t="shared" ca="1" si="464"/>
        <v>#NAME?</v>
      </c>
      <c r="CE37" s="46" t="e">
        <f t="shared" ca="1" si="464"/>
        <v>#NAME?</v>
      </c>
      <c r="CF37" s="46" t="e">
        <f t="shared" ca="1" si="464"/>
        <v>#NAME?</v>
      </c>
      <c r="CG37" s="46" t="e">
        <f t="shared" ca="1" si="464"/>
        <v>#NAME?</v>
      </c>
      <c r="CH37" s="46" t="e">
        <f t="shared" ca="1" si="464"/>
        <v>#NAME?</v>
      </c>
      <c r="CI37" s="46" t="e">
        <f t="shared" ca="1" si="464"/>
        <v>#NAME?</v>
      </c>
      <c r="CJ37" s="46" t="e">
        <f t="shared" ca="1" si="464"/>
        <v>#NAME?</v>
      </c>
      <c r="CK37" s="46" t="e">
        <f t="shared" ca="1" si="464"/>
        <v>#NAME?</v>
      </c>
      <c r="CL37" s="46" t="e">
        <f t="shared" ca="1" si="464"/>
        <v>#NAME?</v>
      </c>
      <c r="CM37" s="47" t="e">
        <f t="shared" ref="CM37" ca="1" si="465">+CL37</f>
        <v>#NAME?</v>
      </c>
      <c r="CN37" s="47" t="e">
        <f t="shared" ref="CN37" ca="1" si="466">+CM37</f>
        <v>#NAME?</v>
      </c>
      <c r="CO37" s="47" t="e">
        <f t="shared" ref="CO37" ca="1" si="467">+CN37</f>
        <v>#NAME?</v>
      </c>
      <c r="CP37" s="47" t="e">
        <f t="shared" ref="CP37" ca="1" si="468">+CO37</f>
        <v>#NAME?</v>
      </c>
      <c r="CQ37" s="47" t="e">
        <f t="shared" ref="CQ37" ca="1" si="469">+CP37</f>
        <v>#NAME?</v>
      </c>
      <c r="CR37" s="47" t="e">
        <f t="shared" ref="CR37" ca="1" si="470">+CQ37</f>
        <v>#NAME?</v>
      </c>
      <c r="CS37" s="47" t="e">
        <f t="shared" ref="CS37" ca="1" si="471">+CR37</f>
        <v>#NAME?</v>
      </c>
      <c r="CT37" s="47" t="e">
        <f t="shared" ref="CT37" ca="1" si="472">+CS37</f>
        <v>#NAME?</v>
      </c>
      <c r="CU37" s="47" t="e">
        <f t="shared" ref="CU37" ca="1" si="473">+CT37</f>
        <v>#NAME?</v>
      </c>
      <c r="CV37" s="47" t="e">
        <f t="shared" ref="CV37" ca="1" si="474">+CU37</f>
        <v>#NAME?</v>
      </c>
      <c r="CW37" s="47" t="e">
        <f t="shared" ref="CW37" ca="1" si="475">+CV37</f>
        <v>#NAME?</v>
      </c>
      <c r="CX37" s="47" t="e">
        <f t="shared" ref="CX37" ca="1" si="476">+CW37</f>
        <v>#NAME?</v>
      </c>
      <c r="CY37" s="47" t="e">
        <f t="shared" ref="CY37" ca="1" si="477">+CX37</f>
        <v>#NAME?</v>
      </c>
      <c r="CZ37" s="47" t="e">
        <f t="shared" ref="CZ37" ca="1" si="478">+CY37</f>
        <v>#NAME?</v>
      </c>
      <c r="DA37" s="47" t="e">
        <f t="shared" ref="DA37" ca="1" si="479">+CZ37</f>
        <v>#NAME?</v>
      </c>
      <c r="DB37" s="47" t="e">
        <f t="shared" ref="DB37" ca="1" si="480">+DA37</f>
        <v>#NAME?</v>
      </c>
      <c r="DE37" s="130"/>
      <c r="DF37" s="46">
        <v>0.25600942285041223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1">C34+C35-C36</f>
        <v>#NAME?</v>
      </c>
      <c r="D38" s="26" t="e">
        <f ca="1">D34+D35-D36</f>
        <v>#NAME?</v>
      </c>
      <c r="E38" s="26" t="e">
        <f t="shared" ca="1" si="481"/>
        <v>#NAME?</v>
      </c>
      <c r="F38" s="26" t="e">
        <f t="shared" ca="1" si="481"/>
        <v>#NAME?</v>
      </c>
      <c r="G38" s="26" t="e">
        <f t="shared" ca="1" si="481"/>
        <v>#NAME?</v>
      </c>
      <c r="H38" s="26" t="e">
        <f t="shared" ca="1" si="481"/>
        <v>#NAME?</v>
      </c>
      <c r="I38" s="26" t="e">
        <f t="shared" ca="1" si="481"/>
        <v>#NAME?</v>
      </c>
      <c r="J38" s="26" t="e">
        <f t="shared" ca="1" si="481"/>
        <v>#NAME?</v>
      </c>
      <c r="K38" s="26" t="e">
        <f t="shared" ca="1" si="481"/>
        <v>#NAME?</v>
      </c>
      <c r="L38" s="26" t="e">
        <f t="shared" ca="1" si="481"/>
        <v>#NAME?</v>
      </c>
      <c r="M38" s="26" t="e">
        <f t="shared" ca="1" si="481"/>
        <v>#NAME?</v>
      </c>
      <c r="N38" s="26" t="e">
        <f t="shared" ca="1" si="481"/>
        <v>#NAME?</v>
      </c>
      <c r="O38" s="26" t="e">
        <f t="shared" ca="1" si="481"/>
        <v>#NAME?</v>
      </c>
      <c r="P38" s="26" t="e">
        <f t="shared" ca="1" si="481"/>
        <v>#NAME?</v>
      </c>
      <c r="Q38" s="26" t="e">
        <f t="shared" ca="1" si="481"/>
        <v>#NAME?</v>
      </c>
      <c r="R38" s="26" t="e">
        <f t="shared" ca="1" si="481"/>
        <v>#NAME?</v>
      </c>
      <c r="S38" s="26" t="e">
        <f t="shared" ca="1" si="481"/>
        <v>#NAME?</v>
      </c>
      <c r="T38" s="26" t="e">
        <f t="shared" ca="1" si="481"/>
        <v>#NAME?</v>
      </c>
      <c r="U38" s="26" t="e">
        <f t="shared" ref="U38:Z38" ca="1" si="482">U34+U35-U36</f>
        <v>#NAME?</v>
      </c>
      <c r="V38" s="26" t="e">
        <f t="shared" ca="1" si="482"/>
        <v>#NAME?</v>
      </c>
      <c r="W38" s="26" t="e">
        <f t="shared" ca="1" si="482"/>
        <v>#NAME?</v>
      </c>
      <c r="X38" s="26" t="e">
        <f t="shared" ca="1" si="482"/>
        <v>#NAME?</v>
      </c>
      <c r="Y38" s="26" t="e">
        <f t="shared" ca="1" si="482"/>
        <v>#NAME?</v>
      </c>
      <c r="Z38" s="26" t="e">
        <f t="shared" ca="1" si="482"/>
        <v>#NAME?</v>
      </c>
      <c r="AA38" s="26" t="e">
        <f t="shared" ref="AA38" ca="1" si="483">AA34+AA35-AA36</f>
        <v>#NAME?</v>
      </c>
      <c r="AB38" s="27" t="e">
        <f t="shared" ref="AB38:AD38" ca="1" si="484">AB34+AB35-AB36</f>
        <v>#NAME?</v>
      </c>
      <c r="AC38" s="27" t="e">
        <f t="shared" ca="1" si="484"/>
        <v>#NAME?</v>
      </c>
      <c r="AD38" s="27" t="e">
        <f t="shared" ca="1" si="484"/>
        <v>#NAME?</v>
      </c>
      <c r="AE38" s="27" t="e">
        <f t="shared" ref="AE38" ca="1" si="485">AE34+AE35-AE36</f>
        <v>#NAME?</v>
      </c>
      <c r="AI38" s="26" t="e">
        <f ca="1">AI34+AI35-AI36</f>
        <v>#NAME?</v>
      </c>
      <c r="AJ38" s="26" t="e">
        <f t="shared" ref="AJ38" ca="1" si="486">AJ34+AJ35-AJ36</f>
        <v>#NAME?</v>
      </c>
      <c r="AK38" s="26" t="e">
        <f t="shared" ref="AK38:AM38" ca="1" si="487">AK34+AK35-AK36</f>
        <v>#NAME?</v>
      </c>
      <c r="AL38" s="26" t="e">
        <f t="shared" ca="1" si="487"/>
        <v>#NAME?</v>
      </c>
      <c r="AM38" s="26" t="e">
        <f t="shared" ca="1" si="487"/>
        <v>#NAME?</v>
      </c>
      <c r="AN38" s="26" t="e">
        <f t="shared" ref="AN38:AO38" ca="1" si="488">AN34+AN35-AN36</f>
        <v>#NAME?</v>
      </c>
      <c r="AO38" s="26" t="e">
        <f t="shared" ca="1" si="488"/>
        <v>#NAME?</v>
      </c>
      <c r="AP38" s="26" t="e">
        <f t="shared" ref="AP38:CD38" ca="1" si="489">AP34+AP35-AP36</f>
        <v>#NAME?</v>
      </c>
      <c r="AQ38" s="26" t="e">
        <f t="shared" ca="1" si="489"/>
        <v>#NAME?</v>
      </c>
      <c r="AR38" s="26" t="e">
        <f t="shared" ca="1" si="489"/>
        <v>#NAME?</v>
      </c>
      <c r="AS38" s="26" t="e">
        <f t="shared" ca="1" si="489"/>
        <v>#NAME?</v>
      </c>
      <c r="AT38" s="26" t="e">
        <f t="shared" ca="1" si="489"/>
        <v>#NAME?</v>
      </c>
      <c r="AU38" s="26" t="e">
        <f t="shared" ca="1" si="489"/>
        <v>#NAME?</v>
      </c>
      <c r="AV38" s="26" t="e">
        <f t="shared" ca="1" si="489"/>
        <v>#NAME?</v>
      </c>
      <c r="AW38" s="26" t="e">
        <f t="shared" ca="1" si="489"/>
        <v>#NAME?</v>
      </c>
      <c r="AX38" s="26" t="e">
        <f t="shared" ca="1" si="489"/>
        <v>#NAME?</v>
      </c>
      <c r="AY38" s="26" t="e">
        <f t="shared" ca="1" si="489"/>
        <v>#NAME?</v>
      </c>
      <c r="AZ38" s="26" t="e">
        <f t="shared" ca="1" si="489"/>
        <v>#NAME?</v>
      </c>
      <c r="BA38" s="26" t="e">
        <f t="shared" ca="1" si="489"/>
        <v>#NAME?</v>
      </c>
      <c r="BB38" s="26" t="e">
        <f t="shared" ca="1" si="489"/>
        <v>#NAME?</v>
      </c>
      <c r="BC38" s="26" t="e">
        <f t="shared" ca="1" si="489"/>
        <v>#NAME?</v>
      </c>
      <c r="BD38" s="26" t="e">
        <f t="shared" ca="1" si="489"/>
        <v>#NAME?</v>
      </c>
      <c r="BE38" s="26" t="e">
        <f t="shared" ca="1" si="489"/>
        <v>#NAME?</v>
      </c>
      <c r="BF38" s="26" t="e">
        <f t="shared" ca="1" si="489"/>
        <v>#NAME?</v>
      </c>
      <c r="BG38" s="26" t="e">
        <f t="shared" ca="1" si="489"/>
        <v>#NAME?</v>
      </c>
      <c r="BH38" s="26" t="e">
        <f t="shared" ca="1" si="489"/>
        <v>#NAME?</v>
      </c>
      <c r="BI38" s="26" t="e">
        <f t="shared" ca="1" si="489"/>
        <v>#NAME?</v>
      </c>
      <c r="BJ38" s="26" t="e">
        <f t="shared" ca="1" si="489"/>
        <v>#NAME?</v>
      </c>
      <c r="BK38" s="26" t="e">
        <f t="shared" ca="1" si="489"/>
        <v>#NAME?</v>
      </c>
      <c r="BL38" s="26" t="e">
        <f t="shared" ca="1" si="489"/>
        <v>#NAME?</v>
      </c>
      <c r="BM38" s="26" t="e">
        <f t="shared" ca="1" si="489"/>
        <v>#NAME?</v>
      </c>
      <c r="BN38" s="26" t="e">
        <f t="shared" ca="1" si="489"/>
        <v>#NAME?</v>
      </c>
      <c r="BO38" s="26" t="e">
        <f t="shared" ca="1" si="489"/>
        <v>#NAME?</v>
      </c>
      <c r="BP38" s="26" t="e">
        <f t="shared" ca="1" si="489"/>
        <v>#NAME?</v>
      </c>
      <c r="BQ38" s="26" t="e">
        <f t="shared" ca="1" si="489"/>
        <v>#NAME?</v>
      </c>
      <c r="BR38" s="26" t="e">
        <f t="shared" ca="1" si="489"/>
        <v>#NAME?</v>
      </c>
      <c r="BS38" s="26" t="e">
        <f t="shared" ca="1" si="489"/>
        <v>#NAME?</v>
      </c>
      <c r="BT38" s="26" t="e">
        <f t="shared" ca="1" si="489"/>
        <v>#NAME?</v>
      </c>
      <c r="BU38" s="26" t="e">
        <f t="shared" ca="1" si="489"/>
        <v>#NAME?</v>
      </c>
      <c r="BV38" s="26" t="e">
        <f t="shared" ca="1" si="489"/>
        <v>#NAME?</v>
      </c>
      <c r="BW38" s="26" t="e">
        <f t="shared" ca="1" si="489"/>
        <v>#NAME?</v>
      </c>
      <c r="BX38" s="26" t="e">
        <f t="shared" ca="1" si="489"/>
        <v>#NAME?</v>
      </c>
      <c r="BY38" s="26" t="e">
        <f t="shared" ca="1" si="489"/>
        <v>#NAME?</v>
      </c>
      <c r="BZ38" s="26" t="e">
        <f t="shared" ca="1" si="489"/>
        <v>#NAME?</v>
      </c>
      <c r="CA38" s="26" t="e">
        <f t="shared" ca="1" si="489"/>
        <v>#NAME?</v>
      </c>
      <c r="CB38" s="26" t="e">
        <f t="shared" ca="1" si="489"/>
        <v>#NAME?</v>
      </c>
      <c r="CC38" s="26" t="e">
        <f t="shared" ca="1" si="489"/>
        <v>#NAME?</v>
      </c>
      <c r="CD38" s="26" t="e">
        <f t="shared" ca="1" si="489"/>
        <v>#NAME?</v>
      </c>
      <c r="CE38" s="26" t="e">
        <f t="shared" ref="CE38:CF38" ca="1" si="490">CE34+CE35-CE36</f>
        <v>#NAME?</v>
      </c>
      <c r="CF38" s="26" t="e">
        <f t="shared" ca="1" si="490"/>
        <v>#NAME?</v>
      </c>
      <c r="CG38" s="26" t="e">
        <f t="shared" ref="CG38:CH38" ca="1" si="491">CG34+CG35-CG36</f>
        <v>#NAME?</v>
      </c>
      <c r="CH38" s="26" t="e">
        <f t="shared" ca="1" si="491"/>
        <v>#NAME?</v>
      </c>
      <c r="CI38" s="26" t="e">
        <f t="shared" ref="CI38:CJ38" ca="1" si="492">CI34+CI35-CI36</f>
        <v>#NAME?</v>
      </c>
      <c r="CJ38" s="26" t="e">
        <f t="shared" ca="1" si="492"/>
        <v>#NAME?</v>
      </c>
      <c r="CK38" s="26" t="e">
        <f t="shared" ref="CK38:CL38" ca="1" si="493">CK34+CK35-CK36</f>
        <v>#NAME?</v>
      </c>
      <c r="CL38" s="26" t="e">
        <f t="shared" ca="1" si="493"/>
        <v>#NAME?</v>
      </c>
      <c r="CM38" s="27" t="e">
        <f t="shared" ref="CM38:DB38" ca="1" si="494">CM34+CM35-CM36</f>
        <v>#NAME?</v>
      </c>
      <c r="CN38" s="27" t="e">
        <f t="shared" ca="1" si="494"/>
        <v>#NAME?</v>
      </c>
      <c r="CO38" s="27" t="e">
        <f t="shared" ca="1" si="494"/>
        <v>#NAME?</v>
      </c>
      <c r="CP38" s="27" t="e">
        <f t="shared" ca="1" si="494"/>
        <v>#NAME?</v>
      </c>
      <c r="CQ38" s="27" t="e">
        <f t="shared" ca="1" si="494"/>
        <v>#NAME?</v>
      </c>
      <c r="CR38" s="27" t="e">
        <f t="shared" ca="1" si="494"/>
        <v>#NAME?</v>
      </c>
      <c r="CS38" s="27" t="e">
        <f t="shared" ca="1" si="494"/>
        <v>#NAME?</v>
      </c>
      <c r="CT38" s="27" t="e">
        <f t="shared" ca="1" si="494"/>
        <v>#NAME?</v>
      </c>
      <c r="CU38" s="27" t="e">
        <f t="shared" ca="1" si="494"/>
        <v>#NAME?</v>
      </c>
      <c r="CV38" s="27" t="e">
        <f t="shared" ca="1" si="494"/>
        <v>#NAME?</v>
      </c>
      <c r="CW38" s="27" t="e">
        <f t="shared" ca="1" si="494"/>
        <v>#NAME?</v>
      </c>
      <c r="CX38" s="27" t="e">
        <f t="shared" ca="1" si="494"/>
        <v>#NAME?</v>
      </c>
      <c r="CY38" s="27" t="e">
        <f t="shared" ca="1" si="494"/>
        <v>#NAME?</v>
      </c>
      <c r="CZ38" s="27" t="e">
        <f t="shared" ca="1" si="494"/>
        <v>#NAME?</v>
      </c>
      <c r="DA38" s="27" t="e">
        <f t="shared" ca="1" si="494"/>
        <v>#NAME?</v>
      </c>
      <c r="DB38" s="27" t="e">
        <f t="shared" ca="1" si="494"/>
        <v>#NAME?</v>
      </c>
      <c r="DE38" s="121"/>
      <c r="DF38" s="26">
        <v>93.161000000000158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95">+CM38*CM40</f>
        <v>#NAME?</v>
      </c>
      <c r="CN39" s="24" t="e">
        <f t="shared" ca="1" si="495"/>
        <v>#NAME?</v>
      </c>
      <c r="CO39" s="24" t="e">
        <f t="shared" ca="1" si="495"/>
        <v>#NAME?</v>
      </c>
      <c r="CP39" s="24" t="e">
        <f t="shared" ca="1" si="495"/>
        <v>#NAME?</v>
      </c>
      <c r="CQ39" s="24" t="e">
        <f t="shared" ca="1" si="495"/>
        <v>#NAME?</v>
      </c>
      <c r="CR39" s="24" t="e">
        <f t="shared" ca="1" si="495"/>
        <v>#NAME?</v>
      </c>
      <c r="CS39" s="24" t="e">
        <f t="shared" ca="1" si="495"/>
        <v>#NAME?</v>
      </c>
      <c r="CT39" s="24" t="e">
        <f t="shared" ca="1" si="495"/>
        <v>#NAME?</v>
      </c>
      <c r="CU39" s="24" t="e">
        <f t="shared" ca="1" si="495"/>
        <v>#NAME?</v>
      </c>
      <c r="CV39" s="24" t="e">
        <f t="shared" ca="1" si="495"/>
        <v>#NAME?</v>
      </c>
      <c r="CW39" s="24" t="e">
        <f t="shared" ca="1" si="495"/>
        <v>#NAME?</v>
      </c>
      <c r="CX39" s="24" t="e">
        <f t="shared" ca="1" si="495"/>
        <v>#NAME?</v>
      </c>
      <c r="CY39" s="24" t="e">
        <f t="shared" ca="1" si="495"/>
        <v>#NAME?</v>
      </c>
      <c r="CZ39" s="24" t="e">
        <f t="shared" ca="1" si="495"/>
        <v>#NAME?</v>
      </c>
      <c r="DA39" s="24" t="e">
        <f t="shared" ca="1" si="495"/>
        <v>#NAME?</v>
      </c>
      <c r="DB39" s="24" t="e">
        <f t="shared" ca="1" si="495"/>
        <v>#NAME?</v>
      </c>
      <c r="DE39" s="123"/>
      <c r="DF39" s="23">
        <v>19.878999999999998</v>
      </c>
    </row>
    <row r="40" spans="1:110" s="90" customFormat="1" x14ac:dyDescent="0.2">
      <c r="A40" s="90" t="s">
        <v>106</v>
      </c>
      <c r="B40" s="90" t="e">
        <f t="shared" ref="B40:E40" ca="1" si="496">B39/B38</f>
        <v>#NAME?</v>
      </c>
      <c r="C40" s="90" t="e">
        <f t="shared" ca="1" si="496"/>
        <v>#NAME?</v>
      </c>
      <c r="D40" s="90" t="e">
        <f t="shared" ca="1" si="496"/>
        <v>#NAME?</v>
      </c>
      <c r="E40" s="90" t="e">
        <f t="shared" ca="1" si="496"/>
        <v>#NAME?</v>
      </c>
      <c r="F40" s="90" t="e">
        <f t="shared" ref="F40:T40" ca="1" si="497">F39/F38</f>
        <v>#NAME?</v>
      </c>
      <c r="G40" s="90" t="e">
        <f t="shared" ca="1" si="497"/>
        <v>#NAME?</v>
      </c>
      <c r="H40" s="90" t="e">
        <f t="shared" ca="1" si="497"/>
        <v>#NAME?</v>
      </c>
      <c r="I40" s="90" t="e">
        <f t="shared" ca="1" si="497"/>
        <v>#NAME?</v>
      </c>
      <c r="J40" s="90" t="e">
        <f t="shared" ca="1" si="497"/>
        <v>#NAME?</v>
      </c>
      <c r="K40" s="90" t="e">
        <f t="shared" ca="1" si="497"/>
        <v>#NAME?</v>
      </c>
      <c r="L40" s="90" t="e">
        <f t="shared" ca="1" si="497"/>
        <v>#NAME?</v>
      </c>
      <c r="M40" s="90" t="e">
        <f t="shared" ca="1" si="497"/>
        <v>#NAME?</v>
      </c>
      <c r="N40" s="90" t="e">
        <f t="shared" ca="1" si="497"/>
        <v>#NAME?</v>
      </c>
      <c r="O40" s="90" t="e">
        <f t="shared" ca="1" si="497"/>
        <v>#NAME?</v>
      </c>
      <c r="P40" s="90" t="e">
        <f t="shared" ca="1" si="497"/>
        <v>#NAME?</v>
      </c>
      <c r="Q40" s="90" t="e">
        <f t="shared" ca="1" si="497"/>
        <v>#NAME?</v>
      </c>
      <c r="R40" s="90" t="e">
        <f t="shared" ca="1" si="497"/>
        <v>#NAME?</v>
      </c>
      <c r="S40" s="90" t="e">
        <f t="shared" ca="1" si="497"/>
        <v>#NAME?</v>
      </c>
      <c r="T40" s="90" t="e">
        <f t="shared" ca="1" si="497"/>
        <v>#NAME?</v>
      </c>
      <c r="U40" s="90" t="e">
        <f t="shared" ref="U40:Z40" ca="1" si="498">U39/U38</f>
        <v>#NAME?</v>
      </c>
      <c r="V40" s="90" t="e">
        <f t="shared" ca="1" si="498"/>
        <v>#NAME?</v>
      </c>
      <c r="W40" s="90" t="e">
        <f t="shared" ca="1" si="498"/>
        <v>#NAME?</v>
      </c>
      <c r="X40" s="90" t="e">
        <f t="shared" ca="1" si="498"/>
        <v>#NAME?</v>
      </c>
      <c r="Y40" s="90" t="e">
        <f t="shared" ca="1" si="498"/>
        <v>#NAME?</v>
      </c>
      <c r="Z40" s="90" t="e">
        <f t="shared" ca="1" si="498"/>
        <v>#NAME?</v>
      </c>
      <c r="AA40" s="90" t="e">
        <f t="shared" ref="AA40" ca="1" si="499">AA39/AA38</f>
        <v>#NAME?</v>
      </c>
      <c r="AB40" s="91" t="e">
        <f t="shared" ref="AA40:AD40" ca="1" si="500">AB39/AB38</f>
        <v>#NAME?</v>
      </c>
      <c r="AC40" s="91" t="e">
        <f t="shared" ca="1" si="500"/>
        <v>#NAME?</v>
      </c>
      <c r="AD40" s="91" t="e">
        <f t="shared" ca="1" si="500"/>
        <v>#NAME?</v>
      </c>
      <c r="AE40" s="91" t="e">
        <f t="shared" ref="AE40" ca="1" si="501">AE39/AE38</f>
        <v>#NAME?</v>
      </c>
      <c r="AI40" s="90" t="e">
        <f t="shared" ref="AI40" ca="1" si="502">AI39/AI38</f>
        <v>#NAME?</v>
      </c>
      <c r="AJ40" s="90" t="e">
        <f t="shared" ref="AJ40" ca="1" si="503">AJ39/AJ38</f>
        <v>#NAME?</v>
      </c>
      <c r="AK40" s="90" t="e">
        <f t="shared" ref="AK40:AM40" ca="1" si="504">AK39/AK38</f>
        <v>#NAME?</v>
      </c>
      <c r="AL40" s="90" t="e">
        <f t="shared" ca="1" si="504"/>
        <v>#NAME?</v>
      </c>
      <c r="AM40" s="90" t="e">
        <f t="shared" ca="1" si="504"/>
        <v>#NAME?</v>
      </c>
      <c r="AN40" s="90" t="e">
        <f t="shared" ref="AN40:AO40" ca="1" si="505">AN39/AN38</f>
        <v>#NAME?</v>
      </c>
      <c r="AO40" s="90" t="e">
        <f t="shared" ca="1" si="505"/>
        <v>#NAME?</v>
      </c>
      <c r="AP40" s="90" t="e">
        <f t="shared" ref="AP40:CD40" ca="1" si="506">AP39/AP38</f>
        <v>#NAME?</v>
      </c>
      <c r="AQ40" s="90" t="e">
        <f t="shared" ca="1" si="506"/>
        <v>#NAME?</v>
      </c>
      <c r="AR40" s="90" t="e">
        <f t="shared" ca="1" si="506"/>
        <v>#NAME?</v>
      </c>
      <c r="AS40" s="90" t="e">
        <f t="shared" ca="1" si="506"/>
        <v>#NAME?</v>
      </c>
      <c r="AT40" s="90" t="e">
        <f t="shared" ca="1" si="506"/>
        <v>#NAME?</v>
      </c>
      <c r="AU40" s="90" t="e">
        <f t="shared" ca="1" si="506"/>
        <v>#NAME?</v>
      </c>
      <c r="AV40" s="90" t="e">
        <f t="shared" ca="1" si="506"/>
        <v>#NAME?</v>
      </c>
      <c r="AW40" s="90" t="e">
        <f t="shared" ca="1" si="506"/>
        <v>#NAME?</v>
      </c>
      <c r="AX40" s="90" t="e">
        <f t="shared" ca="1" si="506"/>
        <v>#NAME?</v>
      </c>
      <c r="AY40" s="90" t="e">
        <f t="shared" ca="1" si="506"/>
        <v>#NAME?</v>
      </c>
      <c r="AZ40" s="90" t="e">
        <f t="shared" ca="1" si="506"/>
        <v>#NAME?</v>
      </c>
      <c r="BA40" s="90" t="e">
        <f t="shared" ca="1" si="506"/>
        <v>#NAME?</v>
      </c>
      <c r="BB40" s="90" t="e">
        <f t="shared" ca="1" si="506"/>
        <v>#NAME?</v>
      </c>
      <c r="BC40" s="90" t="e">
        <f t="shared" ca="1" si="506"/>
        <v>#NAME?</v>
      </c>
      <c r="BD40" s="90" t="e">
        <f t="shared" ca="1" si="506"/>
        <v>#NAME?</v>
      </c>
      <c r="BE40" s="90" t="e">
        <f t="shared" ca="1" si="506"/>
        <v>#NAME?</v>
      </c>
      <c r="BF40" s="90" t="e">
        <f t="shared" ca="1" si="506"/>
        <v>#NAME?</v>
      </c>
      <c r="BG40" s="90" t="e">
        <f t="shared" ca="1" si="506"/>
        <v>#NAME?</v>
      </c>
      <c r="BH40" s="90" t="e">
        <f t="shared" ca="1" si="506"/>
        <v>#NAME?</v>
      </c>
      <c r="BI40" s="90" t="e">
        <f t="shared" ca="1" si="506"/>
        <v>#NAME?</v>
      </c>
      <c r="BJ40" s="90" t="e">
        <f t="shared" ca="1" si="506"/>
        <v>#NAME?</v>
      </c>
      <c r="BK40" s="90" t="e">
        <f t="shared" ca="1" si="506"/>
        <v>#NAME?</v>
      </c>
      <c r="BL40" s="90" t="e">
        <f t="shared" ca="1" si="506"/>
        <v>#NAME?</v>
      </c>
      <c r="BM40" s="90" t="e">
        <f t="shared" ca="1" si="506"/>
        <v>#NAME?</v>
      </c>
      <c r="BN40" s="90" t="e">
        <f t="shared" ca="1" si="506"/>
        <v>#NAME?</v>
      </c>
      <c r="BO40" s="90" t="e">
        <f t="shared" ca="1" si="506"/>
        <v>#NAME?</v>
      </c>
      <c r="BP40" s="90" t="e">
        <f t="shared" ca="1" si="506"/>
        <v>#NAME?</v>
      </c>
      <c r="BQ40" s="90" t="e">
        <f t="shared" ca="1" si="506"/>
        <v>#NAME?</v>
      </c>
      <c r="BR40" s="90" t="e">
        <f t="shared" ca="1" si="506"/>
        <v>#NAME?</v>
      </c>
      <c r="BS40" s="90" t="e">
        <f t="shared" ca="1" si="506"/>
        <v>#NAME?</v>
      </c>
      <c r="BT40" s="90" t="e">
        <f t="shared" ca="1" si="506"/>
        <v>#NAME?</v>
      </c>
      <c r="BU40" s="90" t="e">
        <f t="shared" ca="1" si="506"/>
        <v>#NAME?</v>
      </c>
      <c r="BV40" s="90" t="e">
        <f t="shared" ca="1" si="506"/>
        <v>#NAME?</v>
      </c>
      <c r="BW40" s="90" t="e">
        <f t="shared" ca="1" si="506"/>
        <v>#NAME?</v>
      </c>
      <c r="BX40" s="90" t="e">
        <f t="shared" ca="1" si="506"/>
        <v>#NAME?</v>
      </c>
      <c r="BY40" s="90" t="e">
        <f t="shared" ca="1" si="506"/>
        <v>#NAME?</v>
      </c>
      <c r="BZ40" s="90" t="e">
        <f t="shared" ca="1" si="506"/>
        <v>#NAME?</v>
      </c>
      <c r="CA40" s="90" t="e">
        <f t="shared" ca="1" si="506"/>
        <v>#NAME?</v>
      </c>
      <c r="CB40" s="90" t="e">
        <f t="shared" ca="1" si="506"/>
        <v>#NAME?</v>
      </c>
      <c r="CC40" s="90" t="e">
        <f t="shared" ca="1" si="506"/>
        <v>#NAME?</v>
      </c>
      <c r="CD40" s="90" t="e">
        <f t="shared" ca="1" si="506"/>
        <v>#NAME?</v>
      </c>
      <c r="CE40" s="90" t="e">
        <f t="shared" ref="CE40:CF40" ca="1" si="507">CE39/CE38</f>
        <v>#NAME?</v>
      </c>
      <c r="CF40" s="90" t="e">
        <f t="shared" ca="1" si="507"/>
        <v>#NAME?</v>
      </c>
      <c r="CG40" s="90" t="e">
        <f t="shared" ref="CG40:CH40" ca="1" si="508">CG39/CG38</f>
        <v>#NAME?</v>
      </c>
      <c r="CH40" s="90" t="e">
        <f t="shared" ca="1" si="508"/>
        <v>#NAME?</v>
      </c>
      <c r="CI40" s="90" t="e">
        <f t="shared" ref="CI40:CJ40" ca="1" si="509">CI39/CI38</f>
        <v>#NAME?</v>
      </c>
      <c r="CJ40" s="90" t="e">
        <f t="shared" ca="1" si="509"/>
        <v>#NAME?</v>
      </c>
      <c r="CK40" s="90" t="e">
        <f t="shared" ref="CK40:CL40" ca="1" si="510">CK39/CK38</f>
        <v>#NAME?</v>
      </c>
      <c r="CL40" s="90" t="e">
        <f t="shared" ca="1" si="510"/>
        <v>#NAME?</v>
      </c>
      <c r="CM40" s="91" t="e">
        <f t="shared" ref="CM40:DB40" ca="1" si="511">AVERAGE(CI40:CL40)</f>
        <v>#NAME?</v>
      </c>
      <c r="CN40" s="91" t="e">
        <f t="shared" ca="1" si="511"/>
        <v>#NAME?</v>
      </c>
      <c r="CO40" s="91" t="e">
        <f t="shared" ca="1" si="511"/>
        <v>#NAME?</v>
      </c>
      <c r="CP40" s="91" t="e">
        <f t="shared" ca="1" si="511"/>
        <v>#NAME?</v>
      </c>
      <c r="CQ40" s="91" t="e">
        <f t="shared" ca="1" si="511"/>
        <v>#NAME?</v>
      </c>
      <c r="CR40" s="91" t="e">
        <f t="shared" ca="1" si="511"/>
        <v>#NAME?</v>
      </c>
      <c r="CS40" s="91" t="e">
        <f t="shared" ca="1" si="511"/>
        <v>#NAME?</v>
      </c>
      <c r="CT40" s="91" t="e">
        <f t="shared" ca="1" si="511"/>
        <v>#NAME?</v>
      </c>
      <c r="CU40" s="91" t="e">
        <f t="shared" ca="1" si="511"/>
        <v>#NAME?</v>
      </c>
      <c r="CV40" s="91" t="e">
        <f t="shared" ca="1" si="511"/>
        <v>#NAME?</v>
      </c>
      <c r="CW40" s="91" t="e">
        <f t="shared" ca="1" si="511"/>
        <v>#NAME?</v>
      </c>
      <c r="CX40" s="91" t="e">
        <f t="shared" ca="1" si="511"/>
        <v>#NAME?</v>
      </c>
      <c r="CY40" s="91" t="e">
        <f t="shared" ca="1" si="511"/>
        <v>#NAME?</v>
      </c>
      <c r="CZ40" s="91" t="e">
        <f t="shared" ca="1" si="511"/>
        <v>#NAME?</v>
      </c>
      <c r="DA40" s="91" t="e">
        <f t="shared" ca="1" si="511"/>
        <v>#NAME?</v>
      </c>
      <c r="DB40" s="91" t="e">
        <f t="shared" ca="1" si="511"/>
        <v>#NAME?</v>
      </c>
      <c r="DE40" s="127"/>
      <c r="DF40" s="90">
        <v>0.21338328270413548</v>
      </c>
    </row>
    <row r="41" spans="1:110" s="26" customFormat="1" x14ac:dyDescent="0.2">
      <c r="A41" s="26" t="s">
        <v>22</v>
      </c>
      <c r="B41" s="26" t="e">
        <f t="shared" ref="B41:E41" ca="1" si="512">B38-B39</f>
        <v>#NAME?</v>
      </c>
      <c r="C41" s="26" t="e">
        <f t="shared" ca="1" si="512"/>
        <v>#NAME?</v>
      </c>
      <c r="D41" s="26" t="e">
        <f t="shared" ca="1" si="512"/>
        <v>#NAME?</v>
      </c>
      <c r="E41" s="26" t="e">
        <f t="shared" ca="1" si="512"/>
        <v>#NAME?</v>
      </c>
      <c r="F41" s="26" t="e">
        <f t="shared" ref="F41:T41" ca="1" si="513">F38-F39</f>
        <v>#NAME?</v>
      </c>
      <c r="G41" s="26" t="e">
        <f t="shared" ca="1" si="513"/>
        <v>#NAME?</v>
      </c>
      <c r="H41" s="26" t="e">
        <f t="shared" ca="1" si="513"/>
        <v>#NAME?</v>
      </c>
      <c r="I41" s="26" t="e">
        <f t="shared" ca="1" si="513"/>
        <v>#NAME?</v>
      </c>
      <c r="J41" s="26" t="e">
        <f t="shared" ca="1" si="513"/>
        <v>#NAME?</v>
      </c>
      <c r="K41" s="26" t="e">
        <f t="shared" ca="1" si="513"/>
        <v>#NAME?</v>
      </c>
      <c r="L41" s="26" t="e">
        <f t="shared" ca="1" si="513"/>
        <v>#NAME?</v>
      </c>
      <c r="M41" s="26" t="e">
        <f t="shared" ca="1" si="513"/>
        <v>#NAME?</v>
      </c>
      <c r="N41" s="26" t="e">
        <f t="shared" ca="1" si="513"/>
        <v>#NAME?</v>
      </c>
      <c r="O41" s="26" t="e">
        <f t="shared" ca="1" si="513"/>
        <v>#NAME?</v>
      </c>
      <c r="P41" s="26" t="e">
        <f t="shared" ca="1" si="513"/>
        <v>#NAME?</v>
      </c>
      <c r="Q41" s="26" t="e">
        <f t="shared" ca="1" si="513"/>
        <v>#NAME?</v>
      </c>
      <c r="R41" s="26" t="e">
        <f t="shared" ca="1" si="513"/>
        <v>#NAME?</v>
      </c>
      <c r="S41" s="26" t="e">
        <f t="shared" ca="1" si="513"/>
        <v>#NAME?</v>
      </c>
      <c r="T41" s="26" t="e">
        <f t="shared" ca="1" si="513"/>
        <v>#NAME?</v>
      </c>
      <c r="U41" s="26" t="e">
        <f t="shared" ref="U41:Z41" ca="1" si="514">U38-U39</f>
        <v>#NAME?</v>
      </c>
      <c r="V41" s="26" t="e">
        <f t="shared" ca="1" si="514"/>
        <v>#NAME?</v>
      </c>
      <c r="W41" s="26" t="e">
        <f t="shared" ca="1" si="514"/>
        <v>#NAME?</v>
      </c>
      <c r="X41" s="26" t="e">
        <f t="shared" ca="1" si="514"/>
        <v>#NAME?</v>
      </c>
      <c r="Y41" s="26" t="e">
        <f t="shared" ca="1" si="514"/>
        <v>#NAME?</v>
      </c>
      <c r="Z41" s="26" t="e">
        <f t="shared" ca="1" si="514"/>
        <v>#NAME?</v>
      </c>
      <c r="AA41" s="26" t="e">
        <f t="shared" ref="AA41" ca="1" si="515">AA38-AA39</f>
        <v>#NAME?</v>
      </c>
      <c r="AB41" s="27" t="e">
        <f t="shared" ref="AA41:AD41" ca="1" si="516">AB38-AB39</f>
        <v>#NAME?</v>
      </c>
      <c r="AC41" s="27" t="e">
        <f t="shared" ca="1" si="516"/>
        <v>#NAME?</v>
      </c>
      <c r="AD41" s="27" t="e">
        <f t="shared" ca="1" si="516"/>
        <v>#NAME?</v>
      </c>
      <c r="AE41" s="27" t="e">
        <f t="shared" ref="AE41" ca="1" si="517">AE38-AE39</f>
        <v>#NAME?</v>
      </c>
      <c r="AI41" s="26" t="e">
        <f ca="1">AI38-AI39</f>
        <v>#NAME?</v>
      </c>
      <c r="AJ41" s="26" t="e">
        <f t="shared" ref="AJ41" ca="1" si="518">AJ38-AJ39</f>
        <v>#NAME?</v>
      </c>
      <c r="AK41" s="26" t="e">
        <f t="shared" ref="AK41:AM41" ca="1" si="519">AK38-AK39</f>
        <v>#NAME?</v>
      </c>
      <c r="AL41" s="26" t="e">
        <f t="shared" ca="1" si="519"/>
        <v>#NAME?</v>
      </c>
      <c r="AM41" s="26" t="e">
        <f t="shared" ca="1" si="519"/>
        <v>#NAME?</v>
      </c>
      <c r="AN41" s="26" t="e">
        <f t="shared" ref="AN41:AO41" ca="1" si="520">AN38-AN39</f>
        <v>#NAME?</v>
      </c>
      <c r="AO41" s="26" t="e">
        <f t="shared" ca="1" si="520"/>
        <v>#NAME?</v>
      </c>
      <c r="AP41" s="26" t="e">
        <f t="shared" ref="AP41:CD41" ca="1" si="521">AP38-AP39</f>
        <v>#NAME?</v>
      </c>
      <c r="AQ41" s="26" t="e">
        <f t="shared" ca="1" si="521"/>
        <v>#NAME?</v>
      </c>
      <c r="AR41" s="26" t="e">
        <f t="shared" ca="1" si="521"/>
        <v>#NAME?</v>
      </c>
      <c r="AS41" s="26" t="e">
        <f t="shared" ca="1" si="521"/>
        <v>#NAME?</v>
      </c>
      <c r="AT41" s="26" t="e">
        <f t="shared" ca="1" si="521"/>
        <v>#NAME?</v>
      </c>
      <c r="AU41" s="26" t="e">
        <f t="shared" ca="1" si="521"/>
        <v>#NAME?</v>
      </c>
      <c r="AV41" s="26" t="e">
        <f t="shared" ca="1" si="521"/>
        <v>#NAME?</v>
      </c>
      <c r="AW41" s="26" t="e">
        <f t="shared" ca="1" si="521"/>
        <v>#NAME?</v>
      </c>
      <c r="AX41" s="26" t="e">
        <f t="shared" ca="1" si="521"/>
        <v>#NAME?</v>
      </c>
      <c r="AY41" s="26" t="e">
        <f t="shared" ca="1" si="521"/>
        <v>#NAME?</v>
      </c>
      <c r="AZ41" s="26" t="e">
        <f t="shared" ca="1" si="521"/>
        <v>#NAME?</v>
      </c>
      <c r="BA41" s="26" t="e">
        <f t="shared" ca="1" si="521"/>
        <v>#NAME?</v>
      </c>
      <c r="BB41" s="26" t="e">
        <f t="shared" ca="1" si="521"/>
        <v>#NAME?</v>
      </c>
      <c r="BC41" s="26" t="e">
        <f t="shared" ca="1" si="521"/>
        <v>#NAME?</v>
      </c>
      <c r="BD41" s="26" t="e">
        <f t="shared" ca="1" si="521"/>
        <v>#NAME?</v>
      </c>
      <c r="BE41" s="26" t="e">
        <f t="shared" ca="1" si="521"/>
        <v>#NAME?</v>
      </c>
      <c r="BF41" s="26" t="e">
        <f t="shared" ca="1" si="521"/>
        <v>#NAME?</v>
      </c>
      <c r="BG41" s="26" t="e">
        <f t="shared" ca="1" si="521"/>
        <v>#NAME?</v>
      </c>
      <c r="BH41" s="26" t="e">
        <f t="shared" ca="1" si="521"/>
        <v>#NAME?</v>
      </c>
      <c r="BI41" s="26" t="e">
        <f t="shared" ca="1" si="521"/>
        <v>#NAME?</v>
      </c>
      <c r="BJ41" s="26" t="e">
        <f t="shared" ca="1" si="521"/>
        <v>#NAME?</v>
      </c>
      <c r="BK41" s="26" t="e">
        <f t="shared" ca="1" si="521"/>
        <v>#NAME?</v>
      </c>
      <c r="BL41" s="26" t="e">
        <f t="shared" ca="1" si="521"/>
        <v>#NAME?</v>
      </c>
      <c r="BM41" s="26" t="e">
        <f t="shared" ca="1" si="521"/>
        <v>#NAME?</v>
      </c>
      <c r="BN41" s="26" t="e">
        <f t="shared" ca="1" si="521"/>
        <v>#NAME?</v>
      </c>
      <c r="BO41" s="26" t="e">
        <f t="shared" ca="1" si="521"/>
        <v>#NAME?</v>
      </c>
      <c r="BP41" s="26" t="e">
        <f t="shared" ca="1" si="521"/>
        <v>#NAME?</v>
      </c>
      <c r="BQ41" s="26" t="e">
        <f t="shared" ca="1" si="521"/>
        <v>#NAME?</v>
      </c>
      <c r="BR41" s="26" t="e">
        <f t="shared" ca="1" si="521"/>
        <v>#NAME?</v>
      </c>
      <c r="BS41" s="26" t="e">
        <f t="shared" ca="1" si="521"/>
        <v>#NAME?</v>
      </c>
      <c r="BT41" s="26" t="e">
        <f t="shared" ca="1" si="521"/>
        <v>#NAME?</v>
      </c>
      <c r="BU41" s="26" t="e">
        <f t="shared" ca="1" si="521"/>
        <v>#NAME?</v>
      </c>
      <c r="BV41" s="26" t="e">
        <f t="shared" ca="1" si="521"/>
        <v>#NAME?</v>
      </c>
      <c r="BW41" s="26" t="e">
        <f t="shared" ca="1" si="521"/>
        <v>#NAME?</v>
      </c>
      <c r="BX41" s="26" t="e">
        <f t="shared" ca="1" si="521"/>
        <v>#NAME?</v>
      </c>
      <c r="BY41" s="26" t="e">
        <f t="shared" ca="1" si="521"/>
        <v>#NAME?</v>
      </c>
      <c r="BZ41" s="26" t="e">
        <f t="shared" ca="1" si="521"/>
        <v>#NAME?</v>
      </c>
      <c r="CA41" s="26" t="e">
        <f t="shared" ca="1" si="521"/>
        <v>#NAME?</v>
      </c>
      <c r="CB41" s="26" t="e">
        <f t="shared" ca="1" si="521"/>
        <v>#NAME?</v>
      </c>
      <c r="CC41" s="26" t="e">
        <f t="shared" ca="1" si="521"/>
        <v>#NAME?</v>
      </c>
      <c r="CD41" s="26" t="e">
        <f t="shared" ca="1" si="521"/>
        <v>#NAME?</v>
      </c>
      <c r="CE41" s="26" t="e">
        <f t="shared" ref="CE41:CF41" ca="1" si="522">CE38-CE39</f>
        <v>#NAME?</v>
      </c>
      <c r="CF41" s="26" t="e">
        <f t="shared" ca="1" si="522"/>
        <v>#NAME?</v>
      </c>
      <c r="CG41" s="26" t="e">
        <f t="shared" ref="CG41:CH41" ca="1" si="523">CG38-CG39</f>
        <v>#NAME?</v>
      </c>
      <c r="CH41" s="26" t="e">
        <f t="shared" ca="1" si="523"/>
        <v>#NAME?</v>
      </c>
      <c r="CI41" s="26" t="e">
        <f t="shared" ref="CI41:CJ41" ca="1" si="524">CI38-CI39</f>
        <v>#NAME?</v>
      </c>
      <c r="CJ41" s="26" t="e">
        <f t="shared" ca="1" si="524"/>
        <v>#NAME?</v>
      </c>
      <c r="CK41" s="26" t="e">
        <f t="shared" ref="CK41:CL41" ca="1" si="525">CK38-CK39</f>
        <v>#NAME?</v>
      </c>
      <c r="CL41" s="26" t="e">
        <f t="shared" ca="1" si="525"/>
        <v>#NAME?</v>
      </c>
      <c r="CM41" s="27" t="e">
        <f t="shared" ref="CM41:DB41" ca="1" si="526">CM38-CM39</f>
        <v>#NAME?</v>
      </c>
      <c r="CN41" s="27" t="e">
        <f t="shared" ca="1" si="526"/>
        <v>#NAME?</v>
      </c>
      <c r="CO41" s="27" t="e">
        <f t="shared" ca="1" si="526"/>
        <v>#NAME?</v>
      </c>
      <c r="CP41" s="27" t="e">
        <f t="shared" ca="1" si="526"/>
        <v>#NAME?</v>
      </c>
      <c r="CQ41" s="27" t="e">
        <f t="shared" ca="1" si="526"/>
        <v>#NAME?</v>
      </c>
      <c r="CR41" s="27" t="e">
        <f t="shared" ca="1" si="526"/>
        <v>#NAME?</v>
      </c>
      <c r="CS41" s="27" t="e">
        <f t="shared" ca="1" si="526"/>
        <v>#NAME?</v>
      </c>
      <c r="CT41" s="27" t="e">
        <f t="shared" ca="1" si="526"/>
        <v>#NAME?</v>
      </c>
      <c r="CU41" s="27" t="e">
        <f t="shared" ca="1" si="526"/>
        <v>#NAME?</v>
      </c>
      <c r="CV41" s="27" t="e">
        <f t="shared" ca="1" si="526"/>
        <v>#NAME?</v>
      </c>
      <c r="CW41" s="27" t="e">
        <f t="shared" ca="1" si="526"/>
        <v>#NAME?</v>
      </c>
      <c r="CX41" s="27" t="e">
        <f t="shared" ca="1" si="526"/>
        <v>#NAME?</v>
      </c>
      <c r="CY41" s="27" t="e">
        <f t="shared" ca="1" si="526"/>
        <v>#NAME?</v>
      </c>
      <c r="CZ41" s="27" t="e">
        <f t="shared" ca="1" si="526"/>
        <v>#NAME?</v>
      </c>
      <c r="DA41" s="27" t="e">
        <f t="shared" ca="1" si="526"/>
        <v>#NAME?</v>
      </c>
      <c r="DB41" s="27" t="e">
        <f t="shared" ca="1" si="526"/>
        <v>#NAME?</v>
      </c>
      <c r="DE41" s="121"/>
      <c r="DF41" s="26">
        <v>73.282000000000153</v>
      </c>
    </row>
    <row r="42" spans="1:110" s="45" customFormat="1" x14ac:dyDescent="0.2">
      <c r="A42" s="45" t="s">
        <v>107</v>
      </c>
      <c r="B42" s="45" t="e">
        <f t="shared" ref="B42:E42" ca="1" si="527">+B41/B10</f>
        <v>#NAME?</v>
      </c>
      <c r="C42" s="45" t="e">
        <f t="shared" ca="1" si="527"/>
        <v>#NAME?</v>
      </c>
      <c r="D42" s="45" t="e">
        <f t="shared" ca="1" si="527"/>
        <v>#NAME?</v>
      </c>
      <c r="E42" s="45" t="e">
        <f t="shared" ca="1" si="527"/>
        <v>#NAME?</v>
      </c>
      <c r="F42" s="45" t="e">
        <f t="shared" ref="F42:AE42" ca="1" si="528">+F41/F10</f>
        <v>#NAME?</v>
      </c>
      <c r="G42" s="45" t="e">
        <f t="shared" ca="1" si="528"/>
        <v>#NAME?</v>
      </c>
      <c r="H42" s="45" t="e">
        <f t="shared" ca="1" si="528"/>
        <v>#NAME?</v>
      </c>
      <c r="I42" s="45" t="e">
        <f t="shared" ca="1" si="528"/>
        <v>#NAME?</v>
      </c>
      <c r="J42" s="45" t="e">
        <f t="shared" ca="1" si="528"/>
        <v>#NAME?</v>
      </c>
      <c r="K42" s="45" t="e">
        <f t="shared" ca="1" si="528"/>
        <v>#NAME?</v>
      </c>
      <c r="L42" s="45" t="e">
        <f t="shared" ca="1" si="528"/>
        <v>#NAME?</v>
      </c>
      <c r="M42" s="45" t="e">
        <f t="shared" ca="1" si="528"/>
        <v>#NAME?</v>
      </c>
      <c r="N42" s="45" t="e">
        <f t="shared" ca="1" si="528"/>
        <v>#NAME?</v>
      </c>
      <c r="O42" s="45" t="e">
        <f t="shared" ca="1" si="528"/>
        <v>#NAME?</v>
      </c>
      <c r="P42" s="45" t="e">
        <f t="shared" ca="1" si="528"/>
        <v>#NAME?</v>
      </c>
      <c r="Q42" s="45" t="e">
        <f t="shared" ca="1" si="528"/>
        <v>#NAME?</v>
      </c>
      <c r="R42" s="45" t="e">
        <f t="shared" ca="1" si="528"/>
        <v>#NAME?</v>
      </c>
      <c r="S42" s="45" t="e">
        <f t="shared" ca="1" si="528"/>
        <v>#NAME?</v>
      </c>
      <c r="T42" s="45" t="e">
        <f t="shared" ca="1" si="528"/>
        <v>#NAME?</v>
      </c>
      <c r="U42" s="45" t="e">
        <f t="shared" ca="1" si="528"/>
        <v>#NAME?</v>
      </c>
      <c r="V42" s="45" t="e">
        <f t="shared" ca="1" si="528"/>
        <v>#NAME?</v>
      </c>
      <c r="W42" s="45" t="e">
        <f t="shared" ca="1" si="528"/>
        <v>#NAME?</v>
      </c>
      <c r="X42" s="45" t="e">
        <f t="shared" ca="1" si="528"/>
        <v>#NAME?</v>
      </c>
      <c r="Y42" s="45" t="e">
        <f t="shared" ca="1" si="528"/>
        <v>#NAME?</v>
      </c>
      <c r="Z42" s="45" t="e">
        <f t="shared" ref="Z42:AA42" ca="1" si="529">+Z41/Z10</f>
        <v>#NAME?</v>
      </c>
      <c r="AA42" s="45" t="e">
        <f t="shared" ca="1" si="529"/>
        <v>#NAME?</v>
      </c>
      <c r="AB42" s="48" t="e">
        <f t="shared" ca="1" si="528"/>
        <v>#NAME?</v>
      </c>
      <c r="AC42" s="48" t="e">
        <f t="shared" ca="1" si="528"/>
        <v>#NAME?</v>
      </c>
      <c r="AD42" s="48" t="e">
        <f t="shared" ca="1" si="528"/>
        <v>#NAME?</v>
      </c>
      <c r="AE42" s="48" t="e">
        <f t="shared" ca="1" si="528"/>
        <v>#NAME?</v>
      </c>
      <c r="AI42" s="45" t="e">
        <f t="shared" ref="AI42:BN42" ca="1" si="530">+AI41/AI10</f>
        <v>#NAME?</v>
      </c>
      <c r="AJ42" s="45" t="e">
        <f t="shared" ca="1" si="530"/>
        <v>#NAME?</v>
      </c>
      <c r="AK42" s="45" t="e">
        <f t="shared" ca="1" si="530"/>
        <v>#NAME?</v>
      </c>
      <c r="AL42" s="45" t="e">
        <f t="shared" ca="1" si="530"/>
        <v>#NAME?</v>
      </c>
      <c r="AM42" s="45" t="e">
        <f t="shared" ca="1" si="530"/>
        <v>#NAME?</v>
      </c>
      <c r="AN42" s="45" t="e">
        <f t="shared" ca="1" si="530"/>
        <v>#NAME?</v>
      </c>
      <c r="AO42" s="45" t="e">
        <f t="shared" ca="1" si="530"/>
        <v>#NAME?</v>
      </c>
      <c r="AP42" s="45" t="e">
        <f t="shared" ca="1" si="530"/>
        <v>#NAME?</v>
      </c>
      <c r="AQ42" s="45" t="e">
        <f t="shared" ca="1" si="530"/>
        <v>#NAME?</v>
      </c>
      <c r="AR42" s="45" t="e">
        <f t="shared" ca="1" si="530"/>
        <v>#NAME?</v>
      </c>
      <c r="AS42" s="45" t="e">
        <f t="shared" ca="1" si="530"/>
        <v>#NAME?</v>
      </c>
      <c r="AT42" s="45" t="e">
        <f t="shared" ca="1" si="530"/>
        <v>#NAME?</v>
      </c>
      <c r="AU42" s="45" t="e">
        <f t="shared" ca="1" si="530"/>
        <v>#NAME?</v>
      </c>
      <c r="AV42" s="45" t="e">
        <f t="shared" ca="1" si="530"/>
        <v>#NAME?</v>
      </c>
      <c r="AW42" s="45" t="e">
        <f t="shared" ca="1" si="530"/>
        <v>#NAME?</v>
      </c>
      <c r="AX42" s="45" t="e">
        <f t="shared" ca="1" si="530"/>
        <v>#NAME?</v>
      </c>
      <c r="AY42" s="45" t="e">
        <f t="shared" ca="1" si="530"/>
        <v>#NAME?</v>
      </c>
      <c r="AZ42" s="45" t="e">
        <f t="shared" ca="1" si="530"/>
        <v>#NAME?</v>
      </c>
      <c r="BA42" s="45" t="e">
        <f t="shared" ca="1" si="530"/>
        <v>#NAME?</v>
      </c>
      <c r="BB42" s="45" t="e">
        <f t="shared" ca="1" si="530"/>
        <v>#NAME?</v>
      </c>
      <c r="BC42" s="45" t="e">
        <f t="shared" ca="1" si="530"/>
        <v>#NAME?</v>
      </c>
      <c r="BD42" s="45" t="e">
        <f t="shared" ca="1" si="530"/>
        <v>#NAME?</v>
      </c>
      <c r="BE42" s="45" t="e">
        <f t="shared" ca="1" si="530"/>
        <v>#NAME?</v>
      </c>
      <c r="BF42" s="45" t="e">
        <f t="shared" ca="1" si="530"/>
        <v>#NAME?</v>
      </c>
      <c r="BG42" s="45" t="e">
        <f t="shared" ca="1" si="530"/>
        <v>#NAME?</v>
      </c>
      <c r="BH42" s="45" t="e">
        <f t="shared" ca="1" si="530"/>
        <v>#NAME?</v>
      </c>
      <c r="BI42" s="45" t="e">
        <f t="shared" ca="1" si="530"/>
        <v>#NAME?</v>
      </c>
      <c r="BJ42" s="45" t="e">
        <f t="shared" ca="1" si="530"/>
        <v>#NAME?</v>
      </c>
      <c r="BK42" s="45" t="e">
        <f t="shared" ca="1" si="530"/>
        <v>#NAME?</v>
      </c>
      <c r="BL42" s="45" t="e">
        <f t="shared" ca="1" si="530"/>
        <v>#NAME?</v>
      </c>
      <c r="BM42" s="45" t="e">
        <f t="shared" ca="1" si="530"/>
        <v>#NAME?</v>
      </c>
      <c r="BN42" s="45" t="e">
        <f t="shared" ca="1" si="530"/>
        <v>#NAME?</v>
      </c>
      <c r="BO42" s="45" t="e">
        <f t="shared" ref="BO42:CT42" ca="1" si="531">+BO41/BO10</f>
        <v>#NAME?</v>
      </c>
      <c r="BP42" s="45" t="e">
        <f t="shared" ca="1" si="531"/>
        <v>#NAME?</v>
      </c>
      <c r="BQ42" s="45" t="e">
        <f t="shared" ca="1" si="531"/>
        <v>#NAME?</v>
      </c>
      <c r="BR42" s="45" t="e">
        <f t="shared" ca="1" si="531"/>
        <v>#NAME?</v>
      </c>
      <c r="BS42" s="45" t="e">
        <f t="shared" ca="1" si="531"/>
        <v>#NAME?</v>
      </c>
      <c r="BT42" s="45" t="e">
        <f t="shared" ca="1" si="531"/>
        <v>#NAME?</v>
      </c>
      <c r="BU42" s="45" t="e">
        <f t="shared" ca="1" si="531"/>
        <v>#NAME?</v>
      </c>
      <c r="BV42" s="45" t="e">
        <f t="shared" ca="1" si="531"/>
        <v>#NAME?</v>
      </c>
      <c r="BW42" s="45" t="e">
        <f t="shared" ca="1" si="531"/>
        <v>#NAME?</v>
      </c>
      <c r="BX42" s="45" t="e">
        <f t="shared" ca="1" si="531"/>
        <v>#NAME?</v>
      </c>
      <c r="BY42" s="45" t="e">
        <f t="shared" ca="1" si="531"/>
        <v>#NAME?</v>
      </c>
      <c r="BZ42" s="45" t="e">
        <f t="shared" ca="1" si="531"/>
        <v>#NAME?</v>
      </c>
      <c r="CA42" s="45" t="e">
        <f t="shared" ca="1" si="531"/>
        <v>#NAME?</v>
      </c>
      <c r="CB42" s="45" t="e">
        <f t="shared" ca="1" si="531"/>
        <v>#NAME?</v>
      </c>
      <c r="CC42" s="45" t="e">
        <f t="shared" ca="1" si="531"/>
        <v>#NAME?</v>
      </c>
      <c r="CD42" s="45" t="e">
        <f t="shared" ca="1" si="531"/>
        <v>#NAME?</v>
      </c>
      <c r="CE42" s="45" t="e">
        <f t="shared" ca="1" si="531"/>
        <v>#NAME?</v>
      </c>
      <c r="CF42" s="45" t="e">
        <f t="shared" ca="1" si="531"/>
        <v>#NAME?</v>
      </c>
      <c r="CG42" s="45" t="e">
        <f t="shared" ca="1" si="531"/>
        <v>#NAME?</v>
      </c>
      <c r="CH42" s="45" t="e">
        <f t="shared" ca="1" si="531"/>
        <v>#NAME?</v>
      </c>
      <c r="CI42" s="45" t="e">
        <f t="shared" ref="CI42:CJ42" ca="1" si="532">+CI41/CI10</f>
        <v>#NAME?</v>
      </c>
      <c r="CJ42" s="45" t="e">
        <f t="shared" ca="1" si="532"/>
        <v>#NAME?</v>
      </c>
      <c r="CK42" s="45" t="e">
        <f t="shared" ref="CK42:CL42" ca="1" si="533">+CK41/CK10</f>
        <v>#NAME?</v>
      </c>
      <c r="CL42" s="45" t="e">
        <f t="shared" ca="1" si="533"/>
        <v>#NAME?</v>
      </c>
      <c r="CM42" s="48" t="e">
        <f t="shared" ca="1" si="531"/>
        <v>#NAME?</v>
      </c>
      <c r="CN42" s="48" t="e">
        <f t="shared" ca="1" si="531"/>
        <v>#NAME?</v>
      </c>
      <c r="CO42" s="48" t="e">
        <f t="shared" ca="1" si="531"/>
        <v>#NAME?</v>
      </c>
      <c r="CP42" s="48" t="e">
        <f t="shared" ca="1" si="531"/>
        <v>#NAME?</v>
      </c>
      <c r="CQ42" s="48" t="e">
        <f t="shared" ca="1" si="531"/>
        <v>#NAME?</v>
      </c>
      <c r="CR42" s="48" t="e">
        <f t="shared" ca="1" si="531"/>
        <v>#NAME?</v>
      </c>
      <c r="CS42" s="48" t="e">
        <f t="shared" ca="1" si="531"/>
        <v>#NAME?</v>
      </c>
      <c r="CT42" s="48" t="e">
        <f t="shared" ca="1" si="531"/>
        <v>#NAME?</v>
      </c>
      <c r="CU42" s="48" t="e">
        <f t="shared" ref="CU42:DB42" ca="1" si="534">+CU41/CU10</f>
        <v>#NAME?</v>
      </c>
      <c r="CV42" s="48" t="e">
        <f t="shared" ca="1" si="534"/>
        <v>#NAME?</v>
      </c>
      <c r="CW42" s="48" t="e">
        <f t="shared" ca="1" si="534"/>
        <v>#NAME?</v>
      </c>
      <c r="CX42" s="48" t="e">
        <f t="shared" ca="1" si="534"/>
        <v>#NAME?</v>
      </c>
      <c r="CY42" s="48" t="e">
        <f t="shared" ca="1" si="534"/>
        <v>#NAME?</v>
      </c>
      <c r="CZ42" s="48" t="e">
        <f t="shared" ca="1" si="534"/>
        <v>#NAME?</v>
      </c>
      <c r="DA42" s="48" t="e">
        <f t="shared" ca="1" si="534"/>
        <v>#NAME?</v>
      </c>
      <c r="DB42" s="48" t="e">
        <f t="shared" ca="1" si="534"/>
        <v>#NAME?</v>
      </c>
      <c r="DE42" s="129"/>
      <c r="DF42" s="45">
        <v>5.82131250809267E-2</v>
      </c>
    </row>
    <row r="43" spans="1:110" s="39" customFormat="1" x14ac:dyDescent="0.2">
      <c r="A43" s="39" t="s">
        <v>451</v>
      </c>
      <c r="C43" s="39" t="e">
        <f t="shared" ref="C43:E43" ca="1" si="535">+IF(B41&lt;0,1-C41/B41,C41/B41-1)</f>
        <v>#NAME?</v>
      </c>
      <c r="D43" s="39" t="e">
        <f t="shared" ca="1" si="535"/>
        <v>#NAME?</v>
      </c>
      <c r="E43" s="39" t="e">
        <f t="shared" ca="1" si="535"/>
        <v>#NAME?</v>
      </c>
      <c r="F43" s="39" t="e">
        <f t="shared" ref="F43:AE43" ca="1" si="536">+IF(E41&lt;0,1-F41/E41,F41/E41-1)</f>
        <v>#NAME?</v>
      </c>
      <c r="G43" s="39" t="e">
        <f t="shared" ca="1" si="536"/>
        <v>#NAME?</v>
      </c>
      <c r="H43" s="39" t="e">
        <f t="shared" ca="1" si="536"/>
        <v>#NAME?</v>
      </c>
      <c r="I43" s="39" t="e">
        <f t="shared" ca="1" si="536"/>
        <v>#NAME?</v>
      </c>
      <c r="J43" s="39" t="e">
        <f t="shared" ca="1" si="536"/>
        <v>#NAME?</v>
      </c>
      <c r="K43" s="39" t="e">
        <f t="shared" ca="1" si="536"/>
        <v>#NAME?</v>
      </c>
      <c r="L43" s="39" t="e">
        <f t="shared" ca="1" si="536"/>
        <v>#NAME?</v>
      </c>
      <c r="M43" s="39" t="e">
        <f t="shared" ca="1" si="536"/>
        <v>#NAME?</v>
      </c>
      <c r="N43" s="39" t="e">
        <f t="shared" ca="1" si="536"/>
        <v>#NAME?</v>
      </c>
      <c r="O43" s="39" t="e">
        <f t="shared" ca="1" si="536"/>
        <v>#NAME?</v>
      </c>
      <c r="P43" s="39" t="e">
        <f t="shared" ca="1" si="536"/>
        <v>#NAME?</v>
      </c>
      <c r="Q43" s="39" t="e">
        <f t="shared" ca="1" si="536"/>
        <v>#NAME?</v>
      </c>
      <c r="R43" s="39" t="e">
        <f t="shared" ca="1" si="536"/>
        <v>#NAME?</v>
      </c>
      <c r="S43" s="39" t="e">
        <f t="shared" ca="1" si="536"/>
        <v>#NAME?</v>
      </c>
      <c r="T43" s="39" t="e">
        <f t="shared" ca="1" si="536"/>
        <v>#NAME?</v>
      </c>
      <c r="U43" s="39" t="e">
        <f t="shared" ca="1" si="536"/>
        <v>#NAME?</v>
      </c>
      <c r="V43" s="39" t="e">
        <f t="shared" ca="1" si="536"/>
        <v>#NAME?</v>
      </c>
      <c r="W43" s="39" t="e">
        <f t="shared" ca="1" si="536"/>
        <v>#NAME?</v>
      </c>
      <c r="X43" s="39" t="e">
        <f t="shared" ca="1" si="536"/>
        <v>#NAME?</v>
      </c>
      <c r="Y43" s="39" t="e">
        <f t="shared" ca="1" si="536"/>
        <v>#NAME?</v>
      </c>
      <c r="Z43" s="39" t="e">
        <f t="shared" ref="Z43:AA43" ca="1" si="537">+IF(Y41&lt;0,1-Z41/Y41,Z41/Y41-1)</f>
        <v>#NAME?</v>
      </c>
      <c r="AA43" s="39" t="e">
        <f t="shared" ca="1" si="537"/>
        <v>#NAME?</v>
      </c>
      <c r="AB43" s="40" t="e">
        <f t="shared" ca="1" si="536"/>
        <v>#NAME?</v>
      </c>
      <c r="AC43" s="40" t="e">
        <f t="shared" ca="1" si="536"/>
        <v>#NAME?</v>
      </c>
      <c r="AD43" s="40" t="e">
        <f t="shared" ca="1" si="536"/>
        <v>#NAME?</v>
      </c>
      <c r="AE43" s="40" t="e">
        <f t="shared" ca="1" si="536"/>
        <v>#NAME?</v>
      </c>
      <c r="AM43" s="39" t="e">
        <f ca="1">+IF(AI41&lt;0,1-AM41/AI41,AM41/AI41-1)</f>
        <v>#NAME?</v>
      </c>
      <c r="AN43" s="39" t="e">
        <f t="shared" ref="AN43" ca="1" si="538">+IF(AJ41&lt;0,1-AN41/AJ41,AN41/AJ41-1)</f>
        <v>#NAME?</v>
      </c>
      <c r="AO43" s="39" t="e">
        <f t="shared" ref="AO43" ca="1" si="539">+IF(AK41&lt;0,1-AO41/AK41,AO41/AK41-1)</f>
        <v>#NAME?</v>
      </c>
      <c r="AP43" s="39" t="e">
        <f t="shared" ref="AP43" ca="1" si="540">+IF(AL41&lt;0,1-AP41/AL41,AP41/AL41-1)</f>
        <v>#NAME?</v>
      </c>
      <c r="AQ43" s="39" t="e">
        <f t="shared" ref="AQ43" ca="1" si="541">+IF(AM41&lt;0,1-AQ41/AM41,AQ41/AM41-1)</f>
        <v>#NAME?</v>
      </c>
      <c r="AR43" s="39" t="e">
        <f t="shared" ref="AR43" ca="1" si="542">+IF(AN41&lt;0,1-AR41/AN41,AR41/AN41-1)</f>
        <v>#NAME?</v>
      </c>
      <c r="AS43" s="39" t="e">
        <f t="shared" ref="AS43" ca="1" si="543">+IF(AO41&lt;0,1-AS41/AO41,AS41/AO41-1)</f>
        <v>#NAME?</v>
      </c>
      <c r="AT43" s="39" t="e">
        <f t="shared" ref="AT43" ca="1" si="544">+IF(AP41&lt;0,1-AT41/AP41,AT41/AP41-1)</f>
        <v>#NAME?</v>
      </c>
      <c r="AU43" s="39" t="e">
        <f t="shared" ref="AU43" ca="1" si="545">+IF(AQ41&lt;0,1-AU41/AQ41,AU41/AQ41-1)</f>
        <v>#NAME?</v>
      </c>
      <c r="AV43" s="39" t="e">
        <f t="shared" ref="AV43" ca="1" si="546">+IF(AR41&lt;0,1-AV41/AR41,AV41/AR41-1)</f>
        <v>#NAME?</v>
      </c>
      <c r="AW43" s="39" t="e">
        <f t="shared" ref="AW43" ca="1" si="547">+IF(AS41&lt;0,1-AW41/AS41,AW41/AS41-1)</f>
        <v>#NAME?</v>
      </c>
      <c r="AX43" s="39" t="e">
        <f t="shared" ref="AX43" ca="1" si="548">+IF(AT41&lt;0,1-AX41/AT41,AX41/AT41-1)</f>
        <v>#NAME?</v>
      </c>
      <c r="AY43" s="39" t="e">
        <f t="shared" ref="AY43" ca="1" si="549">+IF(AU41&lt;0,1-AY41/AU41,AY41/AU41-1)</f>
        <v>#NAME?</v>
      </c>
      <c r="AZ43" s="39" t="e">
        <f t="shared" ref="AZ43" ca="1" si="550">+IF(AV41&lt;0,1-AZ41/AV41,AZ41/AV41-1)</f>
        <v>#NAME?</v>
      </c>
      <c r="BA43" s="39" t="e">
        <f t="shared" ref="BA43" ca="1" si="551">+IF(AW41&lt;0,1-BA41/AW41,BA41/AW41-1)</f>
        <v>#NAME?</v>
      </c>
      <c r="BB43" s="39" t="e">
        <f t="shared" ref="BB43" ca="1" si="552">+IF(AX41&lt;0,1-BB41/AX41,BB41/AX41-1)</f>
        <v>#NAME?</v>
      </c>
      <c r="BC43" s="39" t="e">
        <f t="shared" ref="BC43" ca="1" si="553">+IF(AY41&lt;0,1-BC41/AY41,BC41/AY41-1)</f>
        <v>#NAME?</v>
      </c>
      <c r="BD43" s="39" t="e">
        <f t="shared" ref="BD43" ca="1" si="554">+IF(AZ41&lt;0,1-BD41/AZ41,BD41/AZ41-1)</f>
        <v>#NAME?</v>
      </c>
      <c r="BE43" s="39" t="e">
        <f t="shared" ref="BE43" ca="1" si="555">+IF(BA41&lt;0,1-BE41/BA41,BE41/BA41-1)</f>
        <v>#NAME?</v>
      </c>
      <c r="BF43" s="39" t="e">
        <f t="shared" ref="BF43" ca="1" si="556">+IF(BB41&lt;0,1-BF41/BB41,BF41/BB41-1)</f>
        <v>#NAME?</v>
      </c>
      <c r="BG43" s="39" t="e">
        <f t="shared" ref="BG43" ca="1" si="557">+IF(BC41&lt;0,1-BG41/BC41,BG41/BC41-1)</f>
        <v>#NAME?</v>
      </c>
      <c r="BH43" s="39" t="e">
        <f t="shared" ref="BH43" ca="1" si="558">+IF(BD41&lt;0,1-BH41/BD41,BH41/BD41-1)</f>
        <v>#NAME?</v>
      </c>
      <c r="BI43" s="39" t="e">
        <f t="shared" ref="BI43" ca="1" si="559">+IF(BE41&lt;0,1-BI41/BE41,BI41/BE41-1)</f>
        <v>#NAME?</v>
      </c>
      <c r="BJ43" s="39" t="e">
        <f t="shared" ref="BJ43" ca="1" si="560">+IF(BF41&lt;0,1-BJ41/BF41,BJ41/BF41-1)</f>
        <v>#NAME?</v>
      </c>
      <c r="BK43" s="39" t="e">
        <f t="shared" ref="BK43" ca="1" si="561">+IF(BG41&lt;0,1-BK41/BG41,BK41/BG41-1)</f>
        <v>#NAME?</v>
      </c>
      <c r="BL43" s="39" t="e">
        <f t="shared" ref="BL43" ca="1" si="562">+IF(BH41&lt;0,1-BL41/BH41,BL41/BH41-1)</f>
        <v>#NAME?</v>
      </c>
      <c r="BM43" s="39" t="e">
        <f t="shared" ref="BM43" ca="1" si="563">+IF(BI41&lt;0,1-BM41/BI41,BM41/BI41-1)</f>
        <v>#NAME?</v>
      </c>
      <c r="BN43" s="39" t="e">
        <f t="shared" ref="BN43" ca="1" si="564">+IF(BJ41&lt;0,1-BN41/BJ41,BN41/BJ41-1)</f>
        <v>#NAME?</v>
      </c>
      <c r="BO43" s="39" t="e">
        <f t="shared" ref="BO43" ca="1" si="565">+IF(BK41&lt;0,1-BO41/BK41,BO41/BK41-1)</f>
        <v>#NAME?</v>
      </c>
      <c r="BP43" s="39" t="e">
        <f t="shared" ref="BP43" ca="1" si="566">+IF(BL41&lt;0,1-BP41/BL41,BP41/BL41-1)</f>
        <v>#NAME?</v>
      </c>
      <c r="BQ43" s="39" t="e">
        <f t="shared" ref="BQ43" ca="1" si="567">+IF(BM41&lt;0,1-BQ41/BM41,BQ41/BM41-1)</f>
        <v>#NAME?</v>
      </c>
      <c r="BR43" s="39" t="e">
        <f t="shared" ref="BR43" ca="1" si="568">+IF(BN41&lt;0,1-BR41/BN41,BR41/BN41-1)</f>
        <v>#NAME?</v>
      </c>
      <c r="BS43" s="39" t="e">
        <f t="shared" ref="BS43" ca="1" si="569">+IF(BO41&lt;0,1-BS41/BO41,BS41/BO41-1)</f>
        <v>#NAME?</v>
      </c>
      <c r="BT43" s="39" t="e">
        <f t="shared" ref="BT43" ca="1" si="570">+IF(BP41&lt;0,1-BT41/BP41,BT41/BP41-1)</f>
        <v>#NAME?</v>
      </c>
      <c r="BU43" s="39" t="e">
        <f t="shared" ref="BU43" ca="1" si="571">+IF(BQ41&lt;0,1-BU41/BQ41,BU41/BQ41-1)</f>
        <v>#NAME?</v>
      </c>
      <c r="BV43" s="39" t="e">
        <f t="shared" ref="BV43" ca="1" si="572">+IF(BR41&lt;0,1-BV41/BR41,BV41/BR41-1)</f>
        <v>#NAME?</v>
      </c>
      <c r="BW43" s="39" t="e">
        <f t="shared" ref="BW43" ca="1" si="573">+IF(BS41&lt;0,1-BW41/BS41,BW41/BS41-1)</f>
        <v>#NAME?</v>
      </c>
      <c r="BX43" s="39" t="e">
        <f t="shared" ref="BX43" ca="1" si="574">+IF(BT41&lt;0,1-BX41/BT41,BX41/BT41-1)</f>
        <v>#NAME?</v>
      </c>
      <c r="BY43" s="39" t="e">
        <f t="shared" ref="BY43" ca="1" si="575">+IF(BU41&lt;0,1-BY41/BU41,BY41/BU41-1)</f>
        <v>#NAME?</v>
      </c>
      <c r="BZ43" s="39" t="e">
        <f t="shared" ref="BZ43" ca="1" si="576">+IF(BV41&lt;0,1-BZ41/BV41,BZ41/BV41-1)</f>
        <v>#NAME?</v>
      </c>
      <c r="CA43" s="39" t="e">
        <f t="shared" ref="CA43" ca="1" si="577">+IF(BW41&lt;0,1-CA41/BW41,CA41/BW41-1)</f>
        <v>#NAME?</v>
      </c>
      <c r="CB43" s="39" t="e">
        <f t="shared" ref="CB43" ca="1" si="578">+IF(BX41&lt;0,1-CB41/BX41,CB41/BX41-1)</f>
        <v>#NAME?</v>
      </c>
      <c r="CC43" s="39" t="e">
        <f t="shared" ref="CC43" ca="1" si="579">+IF(BY41&lt;0,1-CC41/BY41,CC41/BY41-1)</f>
        <v>#NAME?</v>
      </c>
      <c r="CD43" s="39" t="e">
        <f t="shared" ref="CD43" ca="1" si="580">+IF(BZ41&lt;0,1-CD41/BZ41,CD41/BZ41-1)</f>
        <v>#NAME?</v>
      </c>
      <c r="CE43" s="39" t="e">
        <f t="shared" ref="CE43" ca="1" si="581">+IF(CA41&lt;0,1-CE41/CA41,CE41/CA41-1)</f>
        <v>#NAME?</v>
      </c>
      <c r="CF43" s="39" t="e">
        <f t="shared" ref="CF43" ca="1" si="582">+IF(CB41&lt;0,1-CF41/CB41,CF41/CB41-1)</f>
        <v>#NAME?</v>
      </c>
      <c r="CG43" s="39" t="e">
        <f t="shared" ref="CG43" ca="1" si="583">+IF(CC41&lt;0,1-CG41/CC41,CG41/CC41-1)</f>
        <v>#NAME?</v>
      </c>
      <c r="CH43" s="39" t="e">
        <f t="shared" ref="CH43:CL43" ca="1" si="584">+IF(CD41&lt;0,1-CH41/CD41,CH41/CD41-1)</f>
        <v>#NAME?</v>
      </c>
      <c r="CI43" s="39" t="e">
        <f t="shared" ca="1" si="584"/>
        <v>#NAME?</v>
      </c>
      <c r="CJ43" s="39" t="e">
        <f t="shared" ca="1" si="584"/>
        <v>#NAME?</v>
      </c>
      <c r="CK43" s="39" t="e">
        <f t="shared" ca="1" si="584"/>
        <v>#NAME?</v>
      </c>
      <c r="CL43" s="39" t="e">
        <f t="shared" ca="1" si="584"/>
        <v>#NAME?</v>
      </c>
      <c r="CM43" s="40" t="e">
        <f t="shared" ref="CM43" ca="1" si="585">+CM41/CI41-1</f>
        <v>#NAME?</v>
      </c>
      <c r="CN43" s="40" t="e">
        <f t="shared" ref="CN43" ca="1" si="586">+CN41/CJ41-1</f>
        <v>#NAME?</v>
      </c>
      <c r="CO43" s="40" t="e">
        <f t="shared" ref="CO43" ca="1" si="587">+CO41/CK41-1</f>
        <v>#NAME?</v>
      </c>
      <c r="CP43" s="40" t="e">
        <f t="shared" ref="CP43" ca="1" si="588">+CP41/CL41-1</f>
        <v>#NAME?</v>
      </c>
      <c r="CQ43" s="40" t="e">
        <f t="shared" ref="CQ43" ca="1" si="589">+CQ41/CM41-1</f>
        <v>#NAME?</v>
      </c>
      <c r="CR43" s="40" t="e">
        <f t="shared" ref="CR43" ca="1" si="590">+CR41/CN41-1</f>
        <v>#NAME?</v>
      </c>
      <c r="CS43" s="40" t="e">
        <f t="shared" ref="CS43" ca="1" si="591">+CS41/CO41-1</f>
        <v>#NAME?</v>
      </c>
      <c r="CT43" s="40" t="e">
        <f t="shared" ref="CT43" ca="1" si="592">+CT41/CP41-1</f>
        <v>#NAME?</v>
      </c>
      <c r="CU43" s="40" t="e">
        <f t="shared" ref="CU43" ca="1" si="593">+CU41/CQ41-1</f>
        <v>#NAME?</v>
      </c>
      <c r="CV43" s="40" t="e">
        <f t="shared" ref="CV43" ca="1" si="594">+CV41/CR41-1</f>
        <v>#NAME?</v>
      </c>
      <c r="CW43" s="40" t="e">
        <f t="shared" ref="CW43" ca="1" si="595">+CW41/CS41-1</f>
        <v>#NAME?</v>
      </c>
      <c r="CX43" s="40" t="e">
        <f t="shared" ref="CX43" ca="1" si="596">+CX41/CT41-1</f>
        <v>#NAME?</v>
      </c>
      <c r="CY43" s="40" t="e">
        <f t="shared" ref="CY43" ca="1" si="597">+CY41/CU41-1</f>
        <v>#NAME?</v>
      </c>
      <c r="CZ43" s="40" t="e">
        <f t="shared" ref="CZ43" ca="1" si="598">+CZ41/CV41-1</f>
        <v>#NAME?</v>
      </c>
      <c r="DA43" s="40" t="e">
        <f t="shared" ref="DA43" ca="1" si="599">+DA41/CW41-1</f>
        <v>#NAME?</v>
      </c>
      <c r="DB43" s="40" t="e">
        <f t="shared" ref="DB43" ca="1" si="600">+DB41/CX41-1</f>
        <v>#NAME?</v>
      </c>
      <c r="DE43" s="122"/>
      <c r="DF43" s="39">
        <v>7.6473353311006464E-2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01">+IF(AJ41&lt;0,1-AK41/AJ41,AK41/AJ41-1)</f>
        <v>#NAME?</v>
      </c>
      <c r="AL44" s="39" t="e">
        <f t="shared" ca="1" si="601"/>
        <v>#NAME?</v>
      </c>
      <c r="AM44" s="39" t="e">
        <f t="shared" ca="1" si="601"/>
        <v>#NAME?</v>
      </c>
      <c r="AN44" s="39" t="e">
        <f t="shared" ref="AN44" ca="1" si="602">+IF(AM41&lt;0,1-AN41/AM41,AN41/AM41-1)</f>
        <v>#NAME?</v>
      </c>
      <c r="AO44" s="39" t="e">
        <f t="shared" ref="AO44" ca="1" si="603">+IF(AN41&lt;0,1-AO41/AN41,AO41/AN41-1)</f>
        <v>#NAME?</v>
      </c>
      <c r="AP44" s="39" t="e">
        <f t="shared" ref="AP44" ca="1" si="604">+IF(AO41&lt;0,1-AP41/AO41,AP41/AO41-1)</f>
        <v>#NAME?</v>
      </c>
      <c r="AQ44" s="39" t="e">
        <f t="shared" ref="AQ44" ca="1" si="605">+IF(AP41&lt;0,1-AQ41/AP41,AQ41/AP41-1)</f>
        <v>#NAME?</v>
      </c>
      <c r="AR44" s="39" t="e">
        <f t="shared" ref="AR44" ca="1" si="606">+IF(AQ41&lt;0,1-AR41/AQ41,AR41/AQ41-1)</f>
        <v>#NAME?</v>
      </c>
      <c r="AS44" s="39" t="e">
        <f t="shared" ref="AS44" ca="1" si="607">+IF(AR41&lt;0,1-AS41/AR41,AS41/AR41-1)</f>
        <v>#NAME?</v>
      </c>
      <c r="AT44" s="39" t="e">
        <f t="shared" ref="AT44" ca="1" si="608">+IF(AS41&lt;0,1-AT41/AS41,AT41/AS41-1)</f>
        <v>#NAME?</v>
      </c>
      <c r="AU44" s="39" t="e">
        <f t="shared" ref="AU44" ca="1" si="609">+IF(AT41&lt;0,1-AU41/AT41,AU41/AT41-1)</f>
        <v>#NAME?</v>
      </c>
      <c r="AV44" s="39" t="e">
        <f t="shared" ref="AV44" ca="1" si="610">+IF(AU41&lt;0,1-AV41/AU41,AV41/AU41-1)</f>
        <v>#NAME?</v>
      </c>
      <c r="AW44" s="39" t="e">
        <f t="shared" ref="AW44" ca="1" si="611">+IF(AV41&lt;0,1-AW41/AV41,AW41/AV41-1)</f>
        <v>#NAME?</v>
      </c>
      <c r="AX44" s="39" t="e">
        <f t="shared" ref="AX44" ca="1" si="612">+IF(AW41&lt;0,1-AX41/AW41,AX41/AW41-1)</f>
        <v>#NAME?</v>
      </c>
      <c r="AY44" s="39" t="e">
        <f t="shared" ref="AY44" ca="1" si="613">+IF(AX41&lt;0,1-AY41/AX41,AY41/AX41-1)</f>
        <v>#NAME?</v>
      </c>
      <c r="AZ44" s="39" t="e">
        <f t="shared" ref="AZ44" ca="1" si="614">+IF(AY41&lt;0,1-AZ41/AY41,AZ41/AY41-1)</f>
        <v>#NAME?</v>
      </c>
      <c r="BA44" s="39" t="e">
        <f t="shared" ref="BA44" ca="1" si="615">+IF(AZ41&lt;0,1-BA41/AZ41,BA41/AZ41-1)</f>
        <v>#NAME?</v>
      </c>
      <c r="BB44" s="39" t="e">
        <f t="shared" ref="BB44" ca="1" si="616">+IF(BA41&lt;0,1-BB41/BA41,BB41/BA41-1)</f>
        <v>#NAME?</v>
      </c>
      <c r="BC44" s="39" t="e">
        <f t="shared" ref="BC44" ca="1" si="617">+IF(BB41&lt;0,1-BC41/BB41,BC41/BB41-1)</f>
        <v>#NAME?</v>
      </c>
      <c r="BD44" s="39" t="e">
        <f t="shared" ref="BD44" ca="1" si="618">+IF(BC41&lt;0,1-BD41/BC41,BD41/BC41-1)</f>
        <v>#NAME?</v>
      </c>
      <c r="BE44" s="39" t="e">
        <f t="shared" ref="BE44" ca="1" si="619">+IF(BD41&lt;0,1-BE41/BD41,BE41/BD41-1)</f>
        <v>#NAME?</v>
      </c>
      <c r="BF44" s="39" t="e">
        <f t="shared" ref="BF44" ca="1" si="620">+IF(BE41&lt;0,1-BF41/BE41,BF41/BE41-1)</f>
        <v>#NAME?</v>
      </c>
      <c r="BG44" s="39" t="e">
        <f t="shared" ref="BG44" ca="1" si="621">+IF(BF41&lt;0,1-BG41/BF41,BG41/BF41-1)</f>
        <v>#NAME?</v>
      </c>
      <c r="BH44" s="39" t="e">
        <f t="shared" ref="BH44" ca="1" si="622">+IF(BG41&lt;0,1-BH41/BG41,BH41/BG41-1)</f>
        <v>#NAME?</v>
      </c>
      <c r="BI44" s="39" t="e">
        <f t="shared" ref="BI44" ca="1" si="623">+IF(BH41&lt;0,1-BI41/BH41,BI41/BH41-1)</f>
        <v>#NAME?</v>
      </c>
      <c r="BJ44" s="39" t="e">
        <f t="shared" ref="BJ44" ca="1" si="624">+IF(BI41&lt;0,1-BJ41/BI41,BJ41/BI41-1)</f>
        <v>#NAME?</v>
      </c>
      <c r="BK44" s="39" t="e">
        <f t="shared" ref="BK44" ca="1" si="625">+IF(BJ41&lt;0,1-BK41/BJ41,BK41/BJ41-1)</f>
        <v>#NAME?</v>
      </c>
      <c r="BL44" s="39" t="e">
        <f t="shared" ref="BL44" ca="1" si="626">+IF(BK41&lt;0,1-BL41/BK41,BL41/BK41-1)</f>
        <v>#NAME?</v>
      </c>
      <c r="BM44" s="39" t="e">
        <f t="shared" ref="BM44" ca="1" si="627">+IF(BL41&lt;0,1-BM41/BL41,BM41/BL41-1)</f>
        <v>#NAME?</v>
      </c>
      <c r="BN44" s="39" t="e">
        <f t="shared" ref="BN44" ca="1" si="628">+IF(BM41&lt;0,1-BN41/BM41,BN41/BM41-1)</f>
        <v>#NAME?</v>
      </c>
      <c r="BO44" s="39" t="e">
        <f t="shared" ref="BO44" ca="1" si="629">+IF(BN41&lt;0,1-BO41/BN41,BO41/BN41-1)</f>
        <v>#NAME?</v>
      </c>
      <c r="BP44" s="39" t="e">
        <f t="shared" ref="BP44" ca="1" si="630">+IF(BO41&lt;0,1-BP41/BO41,BP41/BO41-1)</f>
        <v>#NAME?</v>
      </c>
      <c r="BQ44" s="39" t="e">
        <f t="shared" ref="BQ44" ca="1" si="631">+IF(BP41&lt;0,1-BQ41/BP41,BQ41/BP41-1)</f>
        <v>#NAME?</v>
      </c>
      <c r="BR44" s="39" t="e">
        <f t="shared" ref="BR44" ca="1" si="632">+IF(BQ41&lt;0,1-BR41/BQ41,BR41/BQ41-1)</f>
        <v>#NAME?</v>
      </c>
      <c r="BS44" s="39" t="e">
        <f t="shared" ref="BS44" ca="1" si="633">+IF(BR41&lt;0,1-BS41/BR41,BS41/BR41-1)</f>
        <v>#NAME?</v>
      </c>
      <c r="BT44" s="39" t="e">
        <f t="shared" ref="BT44" ca="1" si="634">+IF(BS41&lt;0,1-BT41/BS41,BT41/BS41-1)</f>
        <v>#NAME?</v>
      </c>
      <c r="BU44" s="39" t="e">
        <f t="shared" ref="BU44" ca="1" si="635">+IF(BT41&lt;0,1-BU41/BT41,BU41/BT41-1)</f>
        <v>#NAME?</v>
      </c>
      <c r="BV44" s="39" t="e">
        <f t="shared" ref="BV44" ca="1" si="636">+IF(BU41&lt;0,1-BV41/BU41,BV41/BU41-1)</f>
        <v>#NAME?</v>
      </c>
      <c r="BW44" s="39" t="e">
        <f t="shared" ref="BW44" ca="1" si="637">+IF(BV41&lt;0,1-BW41/BV41,BW41/BV41-1)</f>
        <v>#NAME?</v>
      </c>
      <c r="BX44" s="39" t="e">
        <f t="shared" ref="BX44" ca="1" si="638">+IF(BW41&lt;0,1-BX41/BW41,BX41/BW41-1)</f>
        <v>#NAME?</v>
      </c>
      <c r="BY44" s="39" t="e">
        <f t="shared" ref="BY44" ca="1" si="639">+IF(BX41&lt;0,1-BY41/BX41,BY41/BX41-1)</f>
        <v>#NAME?</v>
      </c>
      <c r="BZ44" s="39" t="e">
        <f t="shared" ref="BZ44" ca="1" si="640">+IF(BY41&lt;0,1-BZ41/BY41,BZ41/BY41-1)</f>
        <v>#NAME?</v>
      </c>
      <c r="CA44" s="39" t="e">
        <f t="shared" ref="CA44" ca="1" si="641">+IF(BZ41&lt;0,1-CA41/BZ41,CA41/BZ41-1)</f>
        <v>#NAME?</v>
      </c>
      <c r="CB44" s="39" t="e">
        <f t="shared" ref="CB44" ca="1" si="642">+IF(CA41&lt;0,1-CB41/CA41,CB41/CA41-1)</f>
        <v>#NAME?</v>
      </c>
      <c r="CC44" s="39" t="e">
        <f t="shared" ref="CC44" ca="1" si="643">+IF(CB41&lt;0,1-CC41/CB41,CC41/CB41-1)</f>
        <v>#NAME?</v>
      </c>
      <c r="CD44" s="39" t="e">
        <f t="shared" ref="CD44" ca="1" si="644">+IF(CC41&lt;0,1-CD41/CC41,CD41/CC41-1)</f>
        <v>#NAME?</v>
      </c>
      <c r="CE44" s="39" t="e">
        <f t="shared" ref="CE44" ca="1" si="645">+IF(CD41&lt;0,1-CE41/CD41,CE41/CD41-1)</f>
        <v>#NAME?</v>
      </c>
      <c r="CF44" s="39" t="e">
        <f t="shared" ref="CF44" ca="1" si="646">+IF(CE41&lt;0,1-CF41/CE41,CF41/CE41-1)</f>
        <v>#NAME?</v>
      </c>
      <c r="CG44" s="39" t="e">
        <f t="shared" ref="CG44" ca="1" si="647">+IF(CF41&lt;0,1-CG41/CF41,CG41/CF41-1)</f>
        <v>#NAME?</v>
      </c>
      <c r="CH44" s="39" t="e">
        <f t="shared" ref="CH44:CL44" ca="1" si="648">+IF(CG41&lt;0,1-CH41/CG41,CH41/CG41-1)</f>
        <v>#NAME?</v>
      </c>
      <c r="CI44" s="39" t="e">
        <f t="shared" ca="1" si="648"/>
        <v>#NAME?</v>
      </c>
      <c r="CJ44" s="39" t="e">
        <f t="shared" ca="1" si="648"/>
        <v>#NAME?</v>
      </c>
      <c r="CK44" s="39" t="e">
        <f t="shared" ca="1" si="648"/>
        <v>#NAME?</v>
      </c>
      <c r="CL44" s="39" t="e">
        <f t="shared" ca="1" si="648"/>
        <v>#NAME?</v>
      </c>
      <c r="CM44" s="40" t="e">
        <f t="shared" ref="CM44" ca="1" si="649">+CM41/CL41-1</f>
        <v>#NAME?</v>
      </c>
      <c r="CN44" s="40" t="e">
        <f t="shared" ref="CN44" ca="1" si="650">+CN41/CM41-1</f>
        <v>#NAME?</v>
      </c>
      <c r="CO44" s="40" t="e">
        <f t="shared" ref="CO44" ca="1" si="651">+CO41/CN41-1</f>
        <v>#NAME?</v>
      </c>
      <c r="CP44" s="40" t="e">
        <f t="shared" ref="CP44" ca="1" si="652">+CP41/CO41-1</f>
        <v>#NAME?</v>
      </c>
      <c r="CQ44" s="40" t="e">
        <f t="shared" ref="CQ44" ca="1" si="653">+CQ41/CP41-1</f>
        <v>#NAME?</v>
      </c>
      <c r="CR44" s="40" t="e">
        <f t="shared" ref="CR44" ca="1" si="654">+CR41/CQ41-1</f>
        <v>#NAME?</v>
      </c>
      <c r="CS44" s="40" t="e">
        <f t="shared" ref="CS44" ca="1" si="655">+CS41/CR41-1</f>
        <v>#NAME?</v>
      </c>
      <c r="CT44" s="40" t="e">
        <f t="shared" ref="CT44" ca="1" si="656">+CT41/CS41-1</f>
        <v>#NAME?</v>
      </c>
      <c r="CU44" s="40" t="e">
        <f t="shared" ref="CU44" ca="1" si="657">+CU41/CT41-1</f>
        <v>#NAME?</v>
      </c>
      <c r="CV44" s="40" t="e">
        <f t="shared" ref="CV44" ca="1" si="658">+CV41/CU41-1</f>
        <v>#NAME?</v>
      </c>
      <c r="CW44" s="40" t="e">
        <f t="shared" ref="CW44" ca="1" si="659">+CW41/CV41-1</f>
        <v>#NAME?</v>
      </c>
      <c r="CX44" s="40" t="e">
        <f t="shared" ref="CX44" ca="1" si="660">+CX41/CW41-1</f>
        <v>#NAME?</v>
      </c>
      <c r="CY44" s="40" t="e">
        <f t="shared" ref="CY44" ca="1" si="661">+CY41/CX41-1</f>
        <v>#NAME?</v>
      </c>
      <c r="CZ44" s="40" t="e">
        <f t="shared" ref="CZ44" ca="1" si="662">+CZ41/CY41-1</f>
        <v>#NAME?</v>
      </c>
      <c r="DA44" s="40" t="e">
        <f t="shared" ref="DA44" ca="1" si="663">+DA41/CZ41-1</f>
        <v>#NAME?</v>
      </c>
      <c r="DB44" s="40" t="e">
        <f t="shared" ref="DB44" ca="1" si="664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5">+SUM(CM45:CP45)</f>
        <v>#NAME?</v>
      </c>
      <c r="AC45" s="76" t="e">
        <f t="shared" ref="AC45:AC46" ca="1" si="666">+SUM(CQ45:CT45)</f>
        <v>#NAME?</v>
      </c>
      <c r="AD45" s="76" t="e">
        <f t="shared" ref="AD45:AD46" ca="1" si="667">+SUM(CU45:CX45)</f>
        <v>#NAME?</v>
      </c>
      <c r="AE45" s="76" t="e">
        <f t="shared" ref="AE45:AE46" ca="1" si="668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9">+CL45</f>
        <v>#NAME?</v>
      </c>
      <c r="CN45" s="76" t="e">
        <f t="shared" ref="CN45:CN46" ca="1" si="670">+CM45</f>
        <v>#NAME?</v>
      </c>
      <c r="CO45" s="76" t="e">
        <f t="shared" ref="CO45:CO46" ca="1" si="671">+CN45</f>
        <v>#NAME?</v>
      </c>
      <c r="CP45" s="76" t="e">
        <f t="shared" ref="CP45:CP46" ca="1" si="672">+CO45</f>
        <v>#NAME?</v>
      </c>
      <c r="CQ45" s="76" t="e">
        <f t="shared" ref="CQ45:CQ46" ca="1" si="673">+CP45</f>
        <v>#NAME?</v>
      </c>
      <c r="CR45" s="76" t="e">
        <f t="shared" ref="CR45:CR46" ca="1" si="674">+CQ45</f>
        <v>#NAME?</v>
      </c>
      <c r="CS45" s="76" t="e">
        <f t="shared" ref="CS45:CS46" ca="1" si="675">+CR45</f>
        <v>#NAME?</v>
      </c>
      <c r="CT45" s="76" t="e">
        <f t="shared" ref="CT45:CT46" ca="1" si="676">+CS45</f>
        <v>#NAME?</v>
      </c>
      <c r="CU45" s="76" t="e">
        <f t="shared" ref="CU45:CU46" ca="1" si="677">+CT45</f>
        <v>#NAME?</v>
      </c>
      <c r="CV45" s="76" t="e">
        <f t="shared" ref="CV45:CV46" ca="1" si="678">+CU45</f>
        <v>#NAME?</v>
      </c>
      <c r="CW45" s="76" t="e">
        <f t="shared" ref="CW45:CW46" ca="1" si="679">+CV45</f>
        <v>#NAME?</v>
      </c>
      <c r="CX45" s="76" t="e">
        <f t="shared" ref="CX45:CX46" ca="1" si="680">+CW45</f>
        <v>#NAME?</v>
      </c>
      <c r="CY45" s="76" t="e">
        <f t="shared" ref="CY45:CY46" ca="1" si="681">+CX45</f>
        <v>#NAME?</v>
      </c>
      <c r="CZ45" s="76" t="e">
        <f t="shared" ref="CZ45:CZ46" ca="1" si="682">+CY45</f>
        <v>#NAME?</v>
      </c>
      <c r="DA45" s="76" t="e">
        <f t="shared" ref="DA45:DA46" ca="1" si="683">+CZ45</f>
        <v>#NAME?</v>
      </c>
      <c r="DB45" s="76" t="e">
        <f t="shared" ref="DB45:DB46" ca="1" si="684">+DA45</f>
        <v>#NAME?</v>
      </c>
      <c r="DE45" s="131"/>
      <c r="DF45" s="75">
        <v>0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5"/>
        <v>#NAME?</v>
      </c>
      <c r="AC46" s="76" t="e">
        <f t="shared" ca="1" si="666"/>
        <v>#NAME?</v>
      </c>
      <c r="AD46" s="76" t="e">
        <f t="shared" ca="1" si="667"/>
        <v>#NAME?</v>
      </c>
      <c r="AE46" s="76" t="e">
        <f t="shared" ca="1" si="668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9"/>
        <v>#NAME?</v>
      </c>
      <c r="CN46" s="76" t="e">
        <f t="shared" ca="1" si="670"/>
        <v>#NAME?</v>
      </c>
      <c r="CO46" s="76" t="e">
        <f t="shared" ca="1" si="671"/>
        <v>#NAME?</v>
      </c>
      <c r="CP46" s="76" t="e">
        <f t="shared" ca="1" si="672"/>
        <v>#NAME?</v>
      </c>
      <c r="CQ46" s="76" t="e">
        <f t="shared" ca="1" si="673"/>
        <v>#NAME?</v>
      </c>
      <c r="CR46" s="76" t="e">
        <f t="shared" ca="1" si="674"/>
        <v>#NAME?</v>
      </c>
      <c r="CS46" s="76" t="e">
        <f t="shared" ca="1" si="675"/>
        <v>#NAME?</v>
      </c>
      <c r="CT46" s="76" t="e">
        <f t="shared" ca="1" si="676"/>
        <v>#NAME?</v>
      </c>
      <c r="CU46" s="76" t="e">
        <f t="shared" ca="1" si="677"/>
        <v>#NAME?</v>
      </c>
      <c r="CV46" s="76" t="e">
        <f t="shared" ca="1" si="678"/>
        <v>#NAME?</v>
      </c>
      <c r="CW46" s="76" t="e">
        <f t="shared" ca="1" si="679"/>
        <v>#NAME?</v>
      </c>
      <c r="CX46" s="76" t="e">
        <f t="shared" ca="1" si="680"/>
        <v>#NAME?</v>
      </c>
      <c r="CY46" s="76" t="e">
        <f t="shared" ca="1" si="681"/>
        <v>#NAME?</v>
      </c>
      <c r="CZ46" s="76" t="e">
        <f t="shared" ca="1" si="682"/>
        <v>#NAME?</v>
      </c>
      <c r="DA46" s="76" t="e">
        <f t="shared" ca="1" si="683"/>
        <v>#NAME?</v>
      </c>
      <c r="DB46" s="76" t="e">
        <f t="shared" ca="1" si="684"/>
        <v>#NAME?</v>
      </c>
      <c r="DE46" s="131"/>
      <c r="DF46" s="75">
        <v>0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5">E41+E45+E46+E47</f>
        <v>#NAME?</v>
      </c>
      <c r="F48" s="26" t="e">
        <f t="shared" ca="1" si="685"/>
        <v>#NAME?</v>
      </c>
      <c r="G48" s="26" t="e">
        <f t="shared" ca="1" si="685"/>
        <v>#NAME?</v>
      </c>
      <c r="H48" s="26" t="e">
        <f t="shared" ca="1" si="685"/>
        <v>#NAME?</v>
      </c>
      <c r="I48" s="26" t="e">
        <f t="shared" ca="1" si="685"/>
        <v>#NAME?</v>
      </c>
      <c r="J48" s="26" t="e">
        <f t="shared" ca="1" si="685"/>
        <v>#NAME?</v>
      </c>
      <c r="K48" s="26" t="e">
        <f t="shared" ca="1" si="685"/>
        <v>#NAME?</v>
      </c>
      <c r="L48" s="26" t="e">
        <f t="shared" ca="1" si="685"/>
        <v>#NAME?</v>
      </c>
      <c r="M48" s="26" t="e">
        <f t="shared" ca="1" si="685"/>
        <v>#NAME?</v>
      </c>
      <c r="N48" s="26" t="e">
        <f t="shared" ca="1" si="685"/>
        <v>#NAME?</v>
      </c>
      <c r="O48" s="26" t="e">
        <f t="shared" ca="1" si="685"/>
        <v>#NAME?</v>
      </c>
      <c r="P48" s="26" t="e">
        <f t="shared" ca="1" si="685"/>
        <v>#NAME?</v>
      </c>
      <c r="Q48" s="26" t="e">
        <f t="shared" ca="1" si="685"/>
        <v>#NAME?</v>
      </c>
      <c r="R48" s="26" t="e">
        <f t="shared" ca="1" si="685"/>
        <v>#NAME?</v>
      </c>
      <c r="S48" s="26" t="e">
        <f t="shared" ca="1" si="685"/>
        <v>#NAME?</v>
      </c>
      <c r="T48" s="26" t="e">
        <f t="shared" ca="1" si="685"/>
        <v>#NAME?</v>
      </c>
      <c r="U48" s="26" t="e">
        <f t="shared" ca="1" si="685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6">AB41+AB45+AB46+AB47</f>
        <v>#NAME?</v>
      </c>
      <c r="AC48" s="27" t="e">
        <f t="shared" ca="1" si="686"/>
        <v>#NAME?</v>
      </c>
      <c r="AD48" s="27" t="e">
        <f t="shared" ca="1" si="686"/>
        <v>#NAME?</v>
      </c>
      <c r="AE48" s="27" t="e">
        <f t="shared" ref="AE48" ca="1" si="687">AE41+AE45+AE46+AE47</f>
        <v>#NAME?</v>
      </c>
      <c r="AI48" s="26" t="e">
        <f t="shared" ref="AI48" ca="1" si="688">AI41+AI45+AI46+AI47</f>
        <v>#NAME?</v>
      </c>
      <c r="AJ48" s="26" t="e">
        <f t="shared" ref="AJ48" ca="1" si="689">AJ41+AJ45+AJ46+AJ47</f>
        <v>#NAME?</v>
      </c>
      <c r="AK48" s="26" t="e">
        <f t="shared" ref="AK48:AM48" ca="1" si="690">AK41+AK45+AK46+AK47</f>
        <v>#NAME?</v>
      </c>
      <c r="AL48" s="26" t="e">
        <f t="shared" ca="1" si="690"/>
        <v>#NAME?</v>
      </c>
      <c r="AM48" s="26" t="e">
        <f t="shared" ca="1" si="690"/>
        <v>#NAME?</v>
      </c>
      <c r="AN48" s="26" t="e">
        <f t="shared" ref="AN48:AO48" ca="1" si="691">AN41+AN45+AN46+AN47</f>
        <v>#NAME?</v>
      </c>
      <c r="AO48" s="26" t="e">
        <f t="shared" ca="1" si="691"/>
        <v>#NAME?</v>
      </c>
      <c r="AP48" s="26" t="e">
        <f t="shared" ref="AP48:CD48" ca="1" si="692">AP41+AP45+AP46+AP47</f>
        <v>#NAME?</v>
      </c>
      <c r="AQ48" s="26" t="e">
        <f t="shared" ca="1" si="692"/>
        <v>#NAME?</v>
      </c>
      <c r="AR48" s="26" t="e">
        <f t="shared" ca="1" si="692"/>
        <v>#NAME?</v>
      </c>
      <c r="AS48" s="26" t="e">
        <f t="shared" ca="1" si="692"/>
        <v>#NAME?</v>
      </c>
      <c r="AT48" s="26" t="e">
        <f t="shared" ca="1" si="692"/>
        <v>#NAME?</v>
      </c>
      <c r="AU48" s="26" t="e">
        <f t="shared" ca="1" si="692"/>
        <v>#NAME?</v>
      </c>
      <c r="AV48" s="26" t="e">
        <f t="shared" ca="1" si="692"/>
        <v>#NAME?</v>
      </c>
      <c r="AW48" s="26" t="e">
        <f t="shared" ca="1" si="692"/>
        <v>#NAME?</v>
      </c>
      <c r="AX48" s="26" t="e">
        <f t="shared" ca="1" si="692"/>
        <v>#NAME?</v>
      </c>
      <c r="AY48" s="26" t="e">
        <f t="shared" ca="1" si="692"/>
        <v>#NAME?</v>
      </c>
      <c r="AZ48" s="26" t="e">
        <f t="shared" ca="1" si="692"/>
        <v>#NAME?</v>
      </c>
      <c r="BA48" s="26" t="e">
        <f t="shared" ca="1" si="692"/>
        <v>#NAME?</v>
      </c>
      <c r="BB48" s="26" t="e">
        <f t="shared" ca="1" si="692"/>
        <v>#NAME?</v>
      </c>
      <c r="BC48" s="26" t="e">
        <f t="shared" ca="1" si="692"/>
        <v>#NAME?</v>
      </c>
      <c r="BD48" s="26" t="e">
        <f t="shared" ca="1" si="692"/>
        <v>#NAME?</v>
      </c>
      <c r="BE48" s="26" t="e">
        <f t="shared" ca="1" si="692"/>
        <v>#NAME?</v>
      </c>
      <c r="BF48" s="26" t="e">
        <f t="shared" ca="1" si="692"/>
        <v>#NAME?</v>
      </c>
      <c r="BG48" s="26" t="e">
        <f t="shared" ca="1" si="692"/>
        <v>#NAME?</v>
      </c>
      <c r="BH48" s="26" t="e">
        <f t="shared" ca="1" si="692"/>
        <v>#NAME?</v>
      </c>
      <c r="BI48" s="26" t="e">
        <f t="shared" ca="1" si="692"/>
        <v>#NAME?</v>
      </c>
      <c r="BJ48" s="26" t="e">
        <f t="shared" ca="1" si="692"/>
        <v>#NAME?</v>
      </c>
      <c r="BK48" s="26" t="e">
        <f t="shared" ca="1" si="692"/>
        <v>#NAME?</v>
      </c>
      <c r="BL48" s="26" t="e">
        <f t="shared" ca="1" si="692"/>
        <v>#NAME?</v>
      </c>
      <c r="BM48" s="26" t="e">
        <f t="shared" ca="1" si="692"/>
        <v>#NAME?</v>
      </c>
      <c r="BN48" s="26" t="e">
        <f t="shared" ca="1" si="692"/>
        <v>#NAME?</v>
      </c>
      <c r="BO48" s="26" t="e">
        <f t="shared" ca="1" si="692"/>
        <v>#NAME?</v>
      </c>
      <c r="BP48" s="26" t="e">
        <f t="shared" ca="1" si="692"/>
        <v>#NAME?</v>
      </c>
      <c r="BQ48" s="26" t="e">
        <f t="shared" ca="1" si="692"/>
        <v>#NAME?</v>
      </c>
      <c r="BR48" s="26" t="e">
        <f t="shared" ca="1" si="692"/>
        <v>#NAME?</v>
      </c>
      <c r="BS48" s="26" t="e">
        <f t="shared" ca="1" si="692"/>
        <v>#NAME?</v>
      </c>
      <c r="BT48" s="26" t="e">
        <f t="shared" ca="1" si="692"/>
        <v>#NAME?</v>
      </c>
      <c r="BU48" s="26" t="e">
        <f t="shared" ca="1" si="692"/>
        <v>#NAME?</v>
      </c>
      <c r="BV48" s="26" t="e">
        <f t="shared" ca="1" si="692"/>
        <v>#NAME?</v>
      </c>
      <c r="BW48" s="26" t="e">
        <f t="shared" ca="1" si="692"/>
        <v>#NAME?</v>
      </c>
      <c r="BX48" s="26" t="e">
        <f t="shared" ca="1" si="692"/>
        <v>#NAME?</v>
      </c>
      <c r="BY48" s="26" t="e">
        <f t="shared" ca="1" si="692"/>
        <v>#NAME?</v>
      </c>
      <c r="BZ48" s="26" t="e">
        <f t="shared" ca="1" si="692"/>
        <v>#NAME?</v>
      </c>
      <c r="CA48" s="26" t="e">
        <f t="shared" ca="1" si="692"/>
        <v>#NAME?</v>
      </c>
      <c r="CB48" s="26" t="e">
        <f t="shared" ca="1" si="692"/>
        <v>#NAME?</v>
      </c>
      <c r="CC48" s="26" t="e">
        <f t="shared" ca="1" si="692"/>
        <v>#NAME?</v>
      </c>
      <c r="CD48" s="26" t="e">
        <f t="shared" ca="1" si="692"/>
        <v>#NAME?</v>
      </c>
      <c r="CE48" s="26" t="e">
        <f t="shared" ref="CE48:CF48" ca="1" si="693">CE41+CE45+CE46+CE47</f>
        <v>#NAME?</v>
      </c>
      <c r="CF48" s="26" t="e">
        <f t="shared" ca="1" si="693"/>
        <v>#NAME?</v>
      </c>
      <c r="CG48" s="26" t="e">
        <f t="shared" ref="CG48:CH48" ca="1" si="694">CG41+CG45+CG46+CG47</f>
        <v>#NAME?</v>
      </c>
      <c r="CH48" s="26" t="e">
        <f t="shared" ca="1" si="694"/>
        <v>#NAME?</v>
      </c>
      <c r="CI48" s="26" t="e">
        <f t="shared" ref="CI48:CJ48" ca="1" si="695">CI41+CI45+CI46+CI47</f>
        <v>#NAME?</v>
      </c>
      <c r="CJ48" s="26" t="e">
        <f t="shared" ca="1" si="695"/>
        <v>#NAME?</v>
      </c>
      <c r="CK48" s="26" t="e">
        <f t="shared" ref="CK48:CL48" ca="1" si="696">CK41+CK45+CK46+CK47</f>
        <v>#NAME?</v>
      </c>
      <c r="CL48" s="26" t="e">
        <f t="shared" ca="1" si="696"/>
        <v>#NAME?</v>
      </c>
      <c r="CM48" s="27" t="e">
        <f t="shared" ref="CM48:DB48" ca="1" si="697">CM41+CM45+CM46+CM47</f>
        <v>#NAME?</v>
      </c>
      <c r="CN48" s="27" t="e">
        <f t="shared" ca="1" si="697"/>
        <v>#NAME?</v>
      </c>
      <c r="CO48" s="27" t="e">
        <f t="shared" ca="1" si="697"/>
        <v>#NAME?</v>
      </c>
      <c r="CP48" s="27" t="e">
        <f t="shared" ca="1" si="697"/>
        <v>#NAME?</v>
      </c>
      <c r="CQ48" s="27" t="e">
        <f t="shared" ca="1" si="697"/>
        <v>#NAME?</v>
      </c>
      <c r="CR48" s="27" t="e">
        <f t="shared" ca="1" si="697"/>
        <v>#NAME?</v>
      </c>
      <c r="CS48" s="27" t="e">
        <f t="shared" ca="1" si="697"/>
        <v>#NAME?</v>
      </c>
      <c r="CT48" s="27" t="e">
        <f t="shared" ca="1" si="697"/>
        <v>#NAME?</v>
      </c>
      <c r="CU48" s="27" t="e">
        <f t="shared" ca="1" si="697"/>
        <v>#NAME?</v>
      </c>
      <c r="CV48" s="27" t="e">
        <f t="shared" ca="1" si="697"/>
        <v>#NAME?</v>
      </c>
      <c r="CW48" s="27" t="e">
        <f t="shared" ca="1" si="697"/>
        <v>#NAME?</v>
      </c>
      <c r="CX48" s="27" t="e">
        <f t="shared" ca="1" si="697"/>
        <v>#NAME?</v>
      </c>
      <c r="CY48" s="27" t="e">
        <f t="shared" ca="1" si="697"/>
        <v>#NAME?</v>
      </c>
      <c r="CZ48" s="27" t="e">
        <f t="shared" ca="1" si="697"/>
        <v>#NAME?</v>
      </c>
      <c r="DA48" s="27" t="e">
        <f t="shared" ca="1" si="697"/>
        <v>#NAME?</v>
      </c>
      <c r="DB48" s="27" t="e">
        <f t="shared" ca="1" si="697"/>
        <v>#NAME?</v>
      </c>
      <c r="DE48" s="121"/>
      <c r="DF48" s="26">
        <v>73.282000000000153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8">+AB48</f>
        <v>#NAME?</v>
      </c>
      <c r="AC51" s="21" t="e">
        <f t="shared" ca="1" si="698"/>
        <v>#NAME?</v>
      </c>
      <c r="AD51" s="21" t="e">
        <f t="shared" ca="1" si="698"/>
        <v>#NAME?</v>
      </c>
      <c r="AE51" s="21" t="e">
        <f t="shared" ref="AE51" ca="1" si="699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73.282000000000153</v>
      </c>
    </row>
    <row r="52" spans="1:110" s="25" customFormat="1" x14ac:dyDescent="0.2">
      <c r="A52" s="36" t="s">
        <v>435</v>
      </c>
      <c r="B52" s="25" t="e">
        <f t="shared" ref="B52:V52" ca="1" si="700">B51-B48</f>
        <v>#NAME?</v>
      </c>
      <c r="C52" s="25" t="e">
        <f ca="1">C51-C48</f>
        <v>#NAME?</v>
      </c>
      <c r="D52" s="25" t="e">
        <f t="shared" ca="1" si="700"/>
        <v>#NAME?</v>
      </c>
      <c r="E52" s="25" t="e">
        <f t="shared" ca="1" si="700"/>
        <v>#NAME?</v>
      </c>
      <c r="F52" s="25" t="e">
        <f t="shared" ca="1" si="700"/>
        <v>#NAME?</v>
      </c>
      <c r="G52" s="25" t="e">
        <f t="shared" ca="1" si="700"/>
        <v>#NAME?</v>
      </c>
      <c r="H52" s="25" t="e">
        <f t="shared" ca="1" si="700"/>
        <v>#NAME?</v>
      </c>
      <c r="I52" s="25" t="e">
        <f t="shared" ca="1" si="700"/>
        <v>#NAME?</v>
      </c>
      <c r="J52" s="25" t="e">
        <f t="shared" ca="1" si="700"/>
        <v>#NAME?</v>
      </c>
      <c r="K52" s="25" t="e">
        <f t="shared" ca="1" si="700"/>
        <v>#NAME?</v>
      </c>
      <c r="L52" s="25" t="e">
        <f t="shared" ca="1" si="700"/>
        <v>#NAME?</v>
      </c>
      <c r="M52" s="25" t="e">
        <f t="shared" ca="1" si="700"/>
        <v>#NAME?</v>
      </c>
      <c r="N52" s="25" t="e">
        <f t="shared" ca="1" si="700"/>
        <v>#NAME?</v>
      </c>
      <c r="O52" s="25" t="e">
        <f t="shared" ca="1" si="700"/>
        <v>#NAME?</v>
      </c>
      <c r="P52" s="25" t="e">
        <f t="shared" ca="1" si="700"/>
        <v>#NAME?</v>
      </c>
      <c r="Q52" s="25" t="e">
        <f t="shared" ca="1" si="700"/>
        <v>#NAME?</v>
      </c>
      <c r="R52" s="25" t="e">
        <f t="shared" ca="1" si="700"/>
        <v>#NAME?</v>
      </c>
      <c r="S52" s="25" t="e">
        <f t="shared" ca="1" si="700"/>
        <v>#NAME?</v>
      </c>
      <c r="T52" s="25" t="e">
        <f t="shared" ca="1" si="700"/>
        <v>#NAME?</v>
      </c>
      <c r="U52" s="25" t="e">
        <f t="shared" ca="1" si="700"/>
        <v>#NAME?</v>
      </c>
      <c r="V52" s="25" t="e">
        <f t="shared" ca="1" si="700"/>
        <v>#NAME?</v>
      </c>
      <c r="W52" s="25" t="e">
        <f t="shared" ref="W52" ca="1" si="701">W51-W48</f>
        <v>#NAME?</v>
      </c>
      <c r="X52" s="25" t="e">
        <f t="shared" ref="X52:Y52" ca="1" si="702">X51-X48</f>
        <v>#NAME?</v>
      </c>
      <c r="Y52" s="25" t="e">
        <f t="shared" ca="1" si="702"/>
        <v>#NAME?</v>
      </c>
      <c r="Z52" s="25" t="e">
        <f t="shared" ref="Z52:AA52" ca="1" si="703">Z51-Z48</f>
        <v>#NAME?</v>
      </c>
      <c r="AA52" s="25" t="e">
        <f t="shared" ca="1" si="703"/>
        <v>#NAME?</v>
      </c>
      <c r="AB52" s="17" t="e">
        <f t="shared" ref="AA52:AD52" ca="1" si="704">AB51-AB48</f>
        <v>#NAME?</v>
      </c>
      <c r="AC52" s="17" t="e">
        <f t="shared" ca="1" si="704"/>
        <v>#NAME?</v>
      </c>
      <c r="AD52" s="17" t="e">
        <f t="shared" ca="1" si="704"/>
        <v>#NAME?</v>
      </c>
      <c r="AE52" s="17" t="e">
        <f t="shared" ref="AE52" ca="1" si="705">AE51-AE48</f>
        <v>#NAME?</v>
      </c>
      <c r="AI52" s="25" t="e">
        <f t="shared" ref="AI52" ca="1" si="706">AI51-AI48</f>
        <v>#NAME?</v>
      </c>
      <c r="AJ52" s="25" t="e">
        <f t="shared" ref="AJ52" ca="1" si="707">AJ51-AJ48</f>
        <v>#NAME?</v>
      </c>
      <c r="AK52" s="25" t="e">
        <f t="shared" ref="AK52:AM52" ca="1" si="708">AK51-AK48</f>
        <v>#NAME?</v>
      </c>
      <c r="AL52" s="25" t="e">
        <f t="shared" ca="1" si="708"/>
        <v>#NAME?</v>
      </c>
      <c r="AM52" s="25" t="e">
        <f t="shared" ca="1" si="708"/>
        <v>#NAME?</v>
      </c>
      <c r="AN52" s="25" t="e">
        <f t="shared" ref="AN52:AO52" ca="1" si="709">AN51-AN48</f>
        <v>#NAME?</v>
      </c>
      <c r="AO52" s="25" t="e">
        <f t="shared" ca="1" si="709"/>
        <v>#NAME?</v>
      </c>
      <c r="AP52" s="25" t="e">
        <f t="shared" ref="AP52:CD52" ca="1" si="710">AP51-AP48</f>
        <v>#NAME?</v>
      </c>
      <c r="AQ52" s="25" t="e">
        <f t="shared" ca="1" si="710"/>
        <v>#NAME?</v>
      </c>
      <c r="AR52" s="25" t="e">
        <f t="shared" ca="1" si="710"/>
        <v>#NAME?</v>
      </c>
      <c r="AS52" s="25" t="e">
        <f t="shared" ca="1" si="710"/>
        <v>#NAME?</v>
      </c>
      <c r="AT52" s="25" t="e">
        <f t="shared" ca="1" si="710"/>
        <v>#NAME?</v>
      </c>
      <c r="AU52" s="25" t="e">
        <f t="shared" ca="1" si="710"/>
        <v>#NAME?</v>
      </c>
      <c r="AV52" s="25" t="e">
        <f t="shared" ca="1" si="710"/>
        <v>#NAME?</v>
      </c>
      <c r="AW52" s="25" t="e">
        <f t="shared" ca="1" si="710"/>
        <v>#NAME?</v>
      </c>
      <c r="AX52" s="25" t="e">
        <f t="shared" ca="1" si="710"/>
        <v>#NAME?</v>
      </c>
      <c r="AY52" s="25" t="e">
        <f t="shared" ca="1" si="710"/>
        <v>#NAME?</v>
      </c>
      <c r="AZ52" s="25" t="e">
        <f t="shared" ca="1" si="710"/>
        <v>#NAME?</v>
      </c>
      <c r="BA52" s="25" t="e">
        <f t="shared" ca="1" si="710"/>
        <v>#NAME?</v>
      </c>
      <c r="BB52" s="25" t="e">
        <f t="shared" ca="1" si="710"/>
        <v>#NAME?</v>
      </c>
      <c r="BC52" s="25" t="e">
        <f t="shared" ca="1" si="710"/>
        <v>#NAME?</v>
      </c>
      <c r="BD52" s="25" t="e">
        <f t="shared" ca="1" si="710"/>
        <v>#NAME?</v>
      </c>
      <c r="BE52" s="25" t="e">
        <f t="shared" ca="1" si="710"/>
        <v>#NAME?</v>
      </c>
      <c r="BF52" s="25" t="e">
        <f t="shared" ca="1" si="710"/>
        <v>#NAME?</v>
      </c>
      <c r="BG52" s="25" t="e">
        <f t="shared" ca="1" si="710"/>
        <v>#NAME?</v>
      </c>
      <c r="BH52" s="25" t="e">
        <f t="shared" ca="1" si="710"/>
        <v>#NAME?</v>
      </c>
      <c r="BI52" s="25" t="e">
        <f t="shared" ca="1" si="710"/>
        <v>#NAME?</v>
      </c>
      <c r="BJ52" s="25" t="e">
        <f t="shared" ca="1" si="710"/>
        <v>#NAME?</v>
      </c>
      <c r="BK52" s="25" t="e">
        <f t="shared" ca="1" si="710"/>
        <v>#NAME?</v>
      </c>
      <c r="BL52" s="25" t="e">
        <f t="shared" ca="1" si="710"/>
        <v>#NAME?</v>
      </c>
      <c r="BM52" s="25" t="e">
        <f t="shared" ca="1" si="710"/>
        <v>#NAME?</v>
      </c>
      <c r="BN52" s="25" t="e">
        <f t="shared" ca="1" si="710"/>
        <v>#NAME?</v>
      </c>
      <c r="BO52" s="25" t="e">
        <f t="shared" ca="1" si="710"/>
        <v>#NAME?</v>
      </c>
      <c r="BP52" s="25" t="e">
        <f t="shared" ca="1" si="710"/>
        <v>#NAME?</v>
      </c>
      <c r="BQ52" s="25" t="e">
        <f t="shared" ca="1" si="710"/>
        <v>#NAME?</v>
      </c>
      <c r="BR52" s="25" t="e">
        <f t="shared" ca="1" si="710"/>
        <v>#NAME?</v>
      </c>
      <c r="BS52" s="25" t="e">
        <f t="shared" ca="1" si="710"/>
        <v>#NAME?</v>
      </c>
      <c r="BT52" s="25" t="e">
        <f t="shared" ca="1" si="710"/>
        <v>#NAME?</v>
      </c>
      <c r="BU52" s="25" t="e">
        <f t="shared" ca="1" si="710"/>
        <v>#NAME?</v>
      </c>
      <c r="BV52" s="25" t="e">
        <f t="shared" ca="1" si="710"/>
        <v>#NAME?</v>
      </c>
      <c r="BW52" s="25" t="e">
        <f t="shared" ca="1" si="710"/>
        <v>#NAME?</v>
      </c>
      <c r="BX52" s="25" t="e">
        <f t="shared" ca="1" si="710"/>
        <v>#NAME?</v>
      </c>
      <c r="BY52" s="25" t="e">
        <f t="shared" ca="1" si="710"/>
        <v>#NAME?</v>
      </c>
      <c r="BZ52" s="25" t="e">
        <f t="shared" ca="1" si="710"/>
        <v>#NAME?</v>
      </c>
      <c r="CA52" s="25" t="e">
        <f t="shared" ca="1" si="710"/>
        <v>#NAME?</v>
      </c>
      <c r="CB52" s="25" t="e">
        <f t="shared" ca="1" si="710"/>
        <v>#NAME?</v>
      </c>
      <c r="CC52" s="25" t="e">
        <f t="shared" ca="1" si="710"/>
        <v>#NAME?</v>
      </c>
      <c r="CD52" s="25" t="e">
        <f t="shared" ca="1" si="710"/>
        <v>#NAME?</v>
      </c>
      <c r="CE52" s="25" t="e">
        <f t="shared" ref="CE52:CF52" ca="1" si="711">CE51-CE48</f>
        <v>#NAME?</v>
      </c>
      <c r="CF52" s="25" t="e">
        <f t="shared" ca="1" si="711"/>
        <v>#NAME?</v>
      </c>
      <c r="CG52" s="25" t="e">
        <f t="shared" ref="CG52:CH52" ca="1" si="712">CG51-CG48</f>
        <v>#NAME?</v>
      </c>
      <c r="CH52" s="25" t="e">
        <f t="shared" ca="1" si="712"/>
        <v>#NAME?</v>
      </c>
      <c r="CI52" s="25" t="e">
        <f t="shared" ref="CI52:CJ52" ca="1" si="713">CI51-CI48</f>
        <v>#NAME?</v>
      </c>
      <c r="CJ52" s="25" t="e">
        <f t="shared" ca="1" si="713"/>
        <v>#NAME?</v>
      </c>
      <c r="CK52" s="25" t="e">
        <f t="shared" ref="CK52:CL52" ca="1" si="714">CK51-CK48</f>
        <v>#NAME?</v>
      </c>
      <c r="CL52" s="25" t="e">
        <f t="shared" ca="1" si="714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5">(B48-B47)/B120</f>
        <v>#NAME?</v>
      </c>
      <c r="C54" s="39" t="e">
        <f t="shared" ca="1" si="715"/>
        <v>#NAME?</v>
      </c>
      <c r="D54" s="39" t="e">
        <f t="shared" ca="1" si="715"/>
        <v>#NAME?</v>
      </c>
      <c r="E54" s="39" t="e">
        <f t="shared" ca="1" si="715"/>
        <v>#NAME?</v>
      </c>
      <c r="F54" s="39" t="e">
        <f t="shared" ca="1" si="715"/>
        <v>#NAME?</v>
      </c>
      <c r="G54" s="39" t="e">
        <f t="shared" ca="1" si="715"/>
        <v>#NAME?</v>
      </c>
      <c r="H54" s="39" t="e">
        <f t="shared" ca="1" si="715"/>
        <v>#NAME?</v>
      </c>
      <c r="I54" s="39" t="e">
        <f t="shared" ca="1" si="715"/>
        <v>#NAME?</v>
      </c>
      <c r="J54" s="39" t="e">
        <f t="shared" ca="1" si="715"/>
        <v>#NAME?</v>
      </c>
      <c r="K54" s="39" t="e">
        <f t="shared" ca="1" si="715"/>
        <v>#NAME?</v>
      </c>
      <c r="L54" s="39" t="e">
        <f t="shared" ca="1" si="715"/>
        <v>#NAME?</v>
      </c>
      <c r="M54" s="39" t="e">
        <f t="shared" ca="1" si="715"/>
        <v>#NAME?</v>
      </c>
      <c r="N54" s="39" t="e">
        <f t="shared" ca="1" si="715"/>
        <v>#NAME?</v>
      </c>
      <c r="O54" s="39" t="e">
        <f t="shared" ca="1" si="715"/>
        <v>#NAME?</v>
      </c>
      <c r="P54" s="39" t="e">
        <f t="shared" ca="1" si="715"/>
        <v>#NAME?</v>
      </c>
      <c r="Q54" s="39" t="e">
        <f t="shared" ca="1" si="715"/>
        <v>#NAME?</v>
      </c>
      <c r="R54" s="39" t="e">
        <f t="shared" ca="1" si="715"/>
        <v>#NAME?</v>
      </c>
      <c r="S54" s="39" t="e">
        <f t="shared" ca="1" si="715"/>
        <v>#NAME?</v>
      </c>
      <c r="T54" s="39" t="e">
        <f t="shared" ca="1" si="715"/>
        <v>#NAME?</v>
      </c>
      <c r="U54" s="39" t="e">
        <f t="shared" ca="1" si="715"/>
        <v>#NAME?</v>
      </c>
      <c r="V54" s="39" t="e">
        <f t="shared" ca="1" si="715"/>
        <v>#NAME?</v>
      </c>
      <c r="W54" s="39" t="e">
        <f t="shared" ca="1" si="715"/>
        <v>#NAME?</v>
      </c>
      <c r="X54" s="39" t="e">
        <f t="shared" ca="1" si="715"/>
        <v>#NAME?</v>
      </c>
      <c r="Y54" s="39" t="e">
        <f t="shared" ca="1" si="715"/>
        <v>#NAME?</v>
      </c>
      <c r="Z54" s="39" t="e">
        <f t="shared" ca="1" si="715"/>
        <v>#NAME?</v>
      </c>
      <c r="AA54" s="39" t="e">
        <f t="shared" ref="AA54" ca="1" si="716">(AA48-AA47)/AA120</f>
        <v>#NAME?</v>
      </c>
      <c r="AB54" s="40" t="e">
        <f t="shared" ca="1" si="715"/>
        <v>#NAME?</v>
      </c>
      <c r="AC54" s="40" t="e">
        <f t="shared" ca="1" si="715"/>
        <v>#NAME?</v>
      </c>
      <c r="AD54" s="40" t="e">
        <f t="shared" ca="1" si="715"/>
        <v>#NAME?</v>
      </c>
      <c r="AE54" s="40" t="e">
        <f t="shared" ca="1" si="715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7">(SUM(AI48:AL48)-SUM(AI47:AL47))/AL120</f>
        <v>#NAME?</v>
      </c>
      <c r="AM54" s="39" t="e">
        <f t="shared" ca="1" si="717"/>
        <v>#NAME?</v>
      </c>
      <c r="AN54" s="39" t="e">
        <f t="shared" ca="1" si="717"/>
        <v>#NAME?</v>
      </c>
      <c r="AO54" s="39" t="e">
        <f t="shared" ca="1" si="717"/>
        <v>#NAME?</v>
      </c>
      <c r="AP54" s="39" t="e">
        <f t="shared" ca="1" si="717"/>
        <v>#NAME?</v>
      </c>
      <c r="AQ54" s="39" t="e">
        <f t="shared" ca="1" si="717"/>
        <v>#NAME?</v>
      </c>
      <c r="AR54" s="39" t="e">
        <f t="shared" ca="1" si="717"/>
        <v>#NAME?</v>
      </c>
      <c r="AS54" s="39" t="e">
        <f t="shared" ca="1" si="717"/>
        <v>#NAME?</v>
      </c>
      <c r="AT54" s="39" t="e">
        <f t="shared" ca="1" si="717"/>
        <v>#NAME?</v>
      </c>
      <c r="AU54" s="39" t="e">
        <f t="shared" ca="1" si="717"/>
        <v>#NAME?</v>
      </c>
      <c r="AV54" s="39" t="e">
        <f t="shared" ca="1" si="717"/>
        <v>#NAME?</v>
      </c>
      <c r="AW54" s="39" t="e">
        <f t="shared" ca="1" si="717"/>
        <v>#NAME?</v>
      </c>
      <c r="AX54" s="39" t="e">
        <f t="shared" ca="1" si="717"/>
        <v>#NAME?</v>
      </c>
      <c r="AY54" s="39" t="e">
        <f t="shared" ca="1" si="717"/>
        <v>#NAME?</v>
      </c>
      <c r="AZ54" s="39" t="e">
        <f t="shared" ca="1" si="717"/>
        <v>#NAME?</v>
      </c>
      <c r="BA54" s="39" t="e">
        <f t="shared" ca="1" si="717"/>
        <v>#NAME?</v>
      </c>
      <c r="BB54" s="39" t="e">
        <f t="shared" ca="1" si="717"/>
        <v>#NAME?</v>
      </c>
      <c r="BC54" s="39" t="e">
        <f t="shared" ca="1" si="717"/>
        <v>#NAME?</v>
      </c>
      <c r="BD54" s="39" t="e">
        <f t="shared" ca="1" si="717"/>
        <v>#NAME?</v>
      </c>
      <c r="BE54" s="39" t="e">
        <f t="shared" ca="1" si="717"/>
        <v>#NAME?</v>
      </c>
      <c r="BF54" s="39" t="e">
        <f t="shared" ca="1" si="717"/>
        <v>#NAME?</v>
      </c>
      <c r="BG54" s="39" t="e">
        <f t="shared" ca="1" si="717"/>
        <v>#NAME?</v>
      </c>
      <c r="BH54" s="39" t="e">
        <f t="shared" ca="1" si="717"/>
        <v>#NAME?</v>
      </c>
      <c r="BI54" s="39" t="e">
        <f t="shared" ca="1" si="717"/>
        <v>#NAME?</v>
      </c>
      <c r="BJ54" s="39" t="e">
        <f t="shared" ca="1" si="717"/>
        <v>#NAME?</v>
      </c>
      <c r="BK54" s="39" t="e">
        <f t="shared" ca="1" si="717"/>
        <v>#NAME?</v>
      </c>
      <c r="BL54" s="39" t="e">
        <f t="shared" ca="1" si="717"/>
        <v>#NAME?</v>
      </c>
      <c r="BM54" s="39" t="e">
        <f t="shared" ca="1" si="717"/>
        <v>#NAME?</v>
      </c>
      <c r="BN54" s="39" t="e">
        <f t="shared" ca="1" si="717"/>
        <v>#NAME?</v>
      </c>
      <c r="BO54" s="39" t="e">
        <f t="shared" ca="1" si="717"/>
        <v>#NAME?</v>
      </c>
      <c r="BP54" s="39" t="e">
        <f t="shared" ca="1" si="717"/>
        <v>#NAME?</v>
      </c>
      <c r="BQ54" s="39" t="e">
        <f t="shared" ca="1" si="717"/>
        <v>#NAME?</v>
      </c>
      <c r="BR54" s="39" t="e">
        <f t="shared" ref="BR54:CW54" ca="1" si="718">(SUM(BO48:BR48)-SUM(BO47:BR47))/BR120</f>
        <v>#NAME?</v>
      </c>
      <c r="BS54" s="39" t="e">
        <f t="shared" ca="1" si="718"/>
        <v>#NAME?</v>
      </c>
      <c r="BT54" s="39" t="e">
        <f t="shared" ca="1" si="718"/>
        <v>#NAME?</v>
      </c>
      <c r="BU54" s="39" t="e">
        <f t="shared" ca="1" si="718"/>
        <v>#NAME?</v>
      </c>
      <c r="BV54" s="39" t="e">
        <f t="shared" ca="1" si="718"/>
        <v>#NAME?</v>
      </c>
      <c r="BW54" s="39" t="e">
        <f t="shared" ca="1" si="718"/>
        <v>#NAME?</v>
      </c>
      <c r="BX54" s="39" t="e">
        <f t="shared" ca="1" si="718"/>
        <v>#NAME?</v>
      </c>
      <c r="BY54" s="39" t="e">
        <f t="shared" ca="1" si="718"/>
        <v>#NAME?</v>
      </c>
      <c r="BZ54" s="39" t="e">
        <f t="shared" ca="1" si="718"/>
        <v>#NAME?</v>
      </c>
      <c r="CA54" s="39" t="e">
        <f t="shared" ca="1" si="718"/>
        <v>#NAME?</v>
      </c>
      <c r="CB54" s="39" t="e">
        <f t="shared" ca="1" si="718"/>
        <v>#NAME?</v>
      </c>
      <c r="CC54" s="39" t="e">
        <f t="shared" ca="1" si="718"/>
        <v>#NAME?</v>
      </c>
      <c r="CD54" s="39" t="e">
        <f t="shared" ca="1" si="718"/>
        <v>#NAME?</v>
      </c>
      <c r="CE54" s="39" t="e">
        <f t="shared" ca="1" si="718"/>
        <v>#NAME?</v>
      </c>
      <c r="CF54" s="39" t="e">
        <f t="shared" ca="1" si="718"/>
        <v>#NAME?</v>
      </c>
      <c r="CG54" s="39" t="e">
        <f t="shared" ca="1" si="718"/>
        <v>#NAME?</v>
      </c>
      <c r="CH54" s="39" t="e">
        <f t="shared" ca="1" si="718"/>
        <v>#NAME?</v>
      </c>
      <c r="CI54" s="39" t="e">
        <f t="shared" ca="1" si="718"/>
        <v>#NAME?</v>
      </c>
      <c r="CJ54" s="39" t="e">
        <f t="shared" ca="1" si="718"/>
        <v>#NAME?</v>
      </c>
      <c r="CK54" s="39" t="e">
        <f t="shared" ca="1" si="718"/>
        <v>#NAME?</v>
      </c>
      <c r="CL54" s="39" t="e">
        <f t="shared" ca="1" si="718"/>
        <v>#NAME?</v>
      </c>
      <c r="CM54" s="40" t="e">
        <f t="shared" ca="1" si="718"/>
        <v>#NAME?</v>
      </c>
      <c r="CN54" s="40" t="e">
        <f t="shared" ca="1" si="718"/>
        <v>#NAME?</v>
      </c>
      <c r="CO54" s="40" t="e">
        <f t="shared" ca="1" si="718"/>
        <v>#NAME?</v>
      </c>
      <c r="CP54" s="40" t="e">
        <f t="shared" ca="1" si="718"/>
        <v>#NAME?</v>
      </c>
      <c r="CQ54" s="40" t="e">
        <f t="shared" ca="1" si="718"/>
        <v>#NAME?</v>
      </c>
      <c r="CR54" s="40" t="e">
        <f t="shared" ca="1" si="718"/>
        <v>#NAME?</v>
      </c>
      <c r="CS54" s="40" t="e">
        <f t="shared" ca="1" si="718"/>
        <v>#NAME?</v>
      </c>
      <c r="CT54" s="40" t="e">
        <f t="shared" ca="1" si="718"/>
        <v>#NAME?</v>
      </c>
      <c r="CU54" s="40" t="e">
        <f t="shared" ca="1" si="718"/>
        <v>#NAME?</v>
      </c>
      <c r="CV54" s="40" t="e">
        <f t="shared" ca="1" si="718"/>
        <v>#NAME?</v>
      </c>
      <c r="CW54" s="40" t="e">
        <f t="shared" ca="1" si="718"/>
        <v>#NAME?</v>
      </c>
      <c r="CX54" s="40" t="e">
        <f t="shared" ref="CX54:DB54" ca="1" si="719">(SUM(CU48:CX48)-SUM(CU47:CX47))/CX120</f>
        <v>#NAME?</v>
      </c>
      <c r="CY54" s="40" t="e">
        <f t="shared" ca="1" si="719"/>
        <v>#NAME?</v>
      </c>
      <c r="CZ54" s="40" t="e">
        <f t="shared" ca="1" si="719"/>
        <v>#NAME?</v>
      </c>
      <c r="DA54" s="40" t="e">
        <f t="shared" ca="1" si="719"/>
        <v>#NAME?</v>
      </c>
      <c r="DB54" s="40" t="e">
        <f t="shared" ca="1" si="719"/>
        <v>#NAME?</v>
      </c>
      <c r="DE54" s="122"/>
      <c r="DF54" s="38">
        <v>7.2405316428681671E-2</v>
      </c>
    </row>
    <row r="55" spans="1:110" s="38" customFormat="1" x14ac:dyDescent="0.2">
      <c r="A55" s="38" t="s">
        <v>351</v>
      </c>
      <c r="B55" s="39" t="e">
        <f t="shared" ref="B55:AE55" ca="1" si="720">+B34/B129</f>
        <v>#NAME?</v>
      </c>
      <c r="C55" s="39" t="e">
        <f t="shared" ca="1" si="720"/>
        <v>#NAME?</v>
      </c>
      <c r="D55" s="39" t="e">
        <f t="shared" ca="1" si="720"/>
        <v>#NAME?</v>
      </c>
      <c r="E55" s="39" t="e">
        <f t="shared" ca="1" si="720"/>
        <v>#NAME?</v>
      </c>
      <c r="F55" s="39" t="e">
        <f t="shared" ca="1" si="720"/>
        <v>#NAME?</v>
      </c>
      <c r="G55" s="39" t="e">
        <f t="shared" ca="1" si="720"/>
        <v>#NAME?</v>
      </c>
      <c r="H55" s="39" t="e">
        <f t="shared" ca="1" si="720"/>
        <v>#NAME?</v>
      </c>
      <c r="I55" s="39" t="e">
        <f t="shared" ca="1" si="720"/>
        <v>#NAME?</v>
      </c>
      <c r="J55" s="39" t="e">
        <f t="shared" ca="1" si="720"/>
        <v>#NAME?</v>
      </c>
      <c r="K55" s="39" t="e">
        <f t="shared" ca="1" si="720"/>
        <v>#NAME?</v>
      </c>
      <c r="L55" s="39" t="e">
        <f t="shared" ca="1" si="720"/>
        <v>#NAME?</v>
      </c>
      <c r="M55" s="39" t="e">
        <f t="shared" ca="1" si="720"/>
        <v>#NAME?</v>
      </c>
      <c r="N55" s="39" t="e">
        <f t="shared" ca="1" si="720"/>
        <v>#NAME?</v>
      </c>
      <c r="O55" s="39" t="e">
        <f t="shared" ca="1" si="720"/>
        <v>#NAME?</v>
      </c>
      <c r="P55" s="39" t="e">
        <f t="shared" ca="1" si="720"/>
        <v>#NAME?</v>
      </c>
      <c r="Q55" s="39" t="e">
        <f t="shared" ca="1" si="720"/>
        <v>#NAME?</v>
      </c>
      <c r="R55" s="39" t="e">
        <f t="shared" ca="1" si="720"/>
        <v>#NAME?</v>
      </c>
      <c r="S55" s="39" t="e">
        <f t="shared" ca="1" si="720"/>
        <v>#NAME?</v>
      </c>
      <c r="T55" s="39" t="e">
        <f t="shared" ca="1" si="720"/>
        <v>#NAME?</v>
      </c>
      <c r="U55" s="39" t="e">
        <f t="shared" ca="1" si="720"/>
        <v>#NAME?</v>
      </c>
      <c r="V55" s="39" t="e">
        <f t="shared" ca="1" si="720"/>
        <v>#NAME?</v>
      </c>
      <c r="W55" s="39" t="e">
        <f t="shared" ca="1" si="720"/>
        <v>#NAME?</v>
      </c>
      <c r="X55" s="39" t="e">
        <f t="shared" ca="1" si="720"/>
        <v>#NAME?</v>
      </c>
      <c r="Y55" s="39" t="e">
        <f t="shared" ca="1" si="720"/>
        <v>#NAME?</v>
      </c>
      <c r="Z55" s="39" t="e">
        <f t="shared" ca="1" si="720"/>
        <v>#NAME?</v>
      </c>
      <c r="AA55" s="39" t="e">
        <f t="shared" ref="AA55" ca="1" si="721">+AA34/AA129</f>
        <v>#NAME?</v>
      </c>
      <c r="AB55" s="40" t="e">
        <f t="shared" ca="1" si="720"/>
        <v>#NAME?</v>
      </c>
      <c r="AC55" s="40" t="e">
        <f t="shared" ca="1" si="720"/>
        <v>#NAME?</v>
      </c>
      <c r="AD55" s="40" t="e">
        <f t="shared" ca="1" si="720"/>
        <v>#NAME?</v>
      </c>
      <c r="AE55" s="40" t="e">
        <f t="shared" ca="1" si="720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22">+SUM(AI34:AL34)/AL129</f>
        <v>#NAME?</v>
      </c>
      <c r="AM55" s="39" t="e">
        <f t="shared" ca="1" si="722"/>
        <v>#NAME?</v>
      </c>
      <c r="AN55" s="39" t="e">
        <f t="shared" ca="1" si="722"/>
        <v>#NAME?</v>
      </c>
      <c r="AO55" s="39" t="e">
        <f t="shared" ca="1" si="722"/>
        <v>#NAME?</v>
      </c>
      <c r="AP55" s="39" t="e">
        <f t="shared" ca="1" si="722"/>
        <v>#NAME?</v>
      </c>
      <c r="AQ55" s="39" t="e">
        <f t="shared" ca="1" si="722"/>
        <v>#NAME?</v>
      </c>
      <c r="AR55" s="39" t="e">
        <f t="shared" ca="1" si="722"/>
        <v>#NAME?</v>
      </c>
      <c r="AS55" s="39" t="e">
        <f t="shared" ca="1" si="722"/>
        <v>#NAME?</v>
      </c>
      <c r="AT55" s="39" t="e">
        <f t="shared" ca="1" si="722"/>
        <v>#NAME?</v>
      </c>
      <c r="AU55" s="39" t="e">
        <f t="shared" ca="1" si="722"/>
        <v>#NAME?</v>
      </c>
      <c r="AV55" s="39" t="e">
        <f t="shared" ca="1" si="722"/>
        <v>#NAME?</v>
      </c>
      <c r="AW55" s="39" t="e">
        <f t="shared" ca="1" si="722"/>
        <v>#NAME?</v>
      </c>
      <c r="AX55" s="39" t="e">
        <f t="shared" ca="1" si="722"/>
        <v>#NAME?</v>
      </c>
      <c r="AY55" s="39" t="e">
        <f t="shared" ca="1" si="722"/>
        <v>#NAME?</v>
      </c>
      <c r="AZ55" s="39" t="e">
        <f t="shared" ca="1" si="722"/>
        <v>#NAME?</v>
      </c>
      <c r="BA55" s="39" t="e">
        <f t="shared" ca="1" si="722"/>
        <v>#NAME?</v>
      </c>
      <c r="BB55" s="39" t="e">
        <f t="shared" ca="1" si="722"/>
        <v>#NAME?</v>
      </c>
      <c r="BC55" s="39" t="e">
        <f t="shared" ca="1" si="722"/>
        <v>#NAME?</v>
      </c>
      <c r="BD55" s="39" t="e">
        <f t="shared" ca="1" si="722"/>
        <v>#NAME?</v>
      </c>
      <c r="BE55" s="39" t="e">
        <f t="shared" ca="1" si="722"/>
        <v>#NAME?</v>
      </c>
      <c r="BF55" s="39" t="e">
        <f t="shared" ca="1" si="722"/>
        <v>#NAME?</v>
      </c>
      <c r="BG55" s="39" t="e">
        <f t="shared" ca="1" si="722"/>
        <v>#NAME?</v>
      </c>
      <c r="BH55" s="39" t="e">
        <f t="shared" ca="1" si="722"/>
        <v>#NAME?</v>
      </c>
      <c r="BI55" s="39" t="e">
        <f t="shared" ca="1" si="722"/>
        <v>#NAME?</v>
      </c>
      <c r="BJ55" s="39" t="e">
        <f t="shared" ca="1" si="722"/>
        <v>#NAME?</v>
      </c>
      <c r="BK55" s="39" t="e">
        <f t="shared" ca="1" si="722"/>
        <v>#NAME?</v>
      </c>
      <c r="BL55" s="39" t="e">
        <f t="shared" ca="1" si="722"/>
        <v>#NAME?</v>
      </c>
      <c r="BM55" s="39" t="e">
        <f t="shared" ca="1" si="722"/>
        <v>#NAME?</v>
      </c>
      <c r="BN55" s="39" t="e">
        <f t="shared" ca="1" si="722"/>
        <v>#NAME?</v>
      </c>
      <c r="BO55" s="39" t="e">
        <f t="shared" ca="1" si="722"/>
        <v>#NAME?</v>
      </c>
      <c r="BP55" s="39" t="e">
        <f t="shared" ca="1" si="722"/>
        <v>#NAME?</v>
      </c>
      <c r="BQ55" s="39" t="e">
        <f t="shared" ca="1" si="722"/>
        <v>#NAME?</v>
      </c>
      <c r="BR55" s="39" t="e">
        <f t="shared" ref="BR55:CW55" ca="1" si="723">+SUM(BO34:BR34)/BR129</f>
        <v>#NAME?</v>
      </c>
      <c r="BS55" s="39" t="e">
        <f t="shared" ca="1" si="723"/>
        <v>#NAME?</v>
      </c>
      <c r="BT55" s="39" t="e">
        <f t="shared" ca="1" si="723"/>
        <v>#NAME?</v>
      </c>
      <c r="BU55" s="39" t="e">
        <f t="shared" ca="1" si="723"/>
        <v>#NAME?</v>
      </c>
      <c r="BV55" s="39" t="e">
        <f t="shared" ca="1" si="723"/>
        <v>#NAME?</v>
      </c>
      <c r="BW55" s="39" t="e">
        <f t="shared" ca="1" si="723"/>
        <v>#NAME?</v>
      </c>
      <c r="BX55" s="39" t="e">
        <f t="shared" ca="1" si="723"/>
        <v>#NAME?</v>
      </c>
      <c r="BY55" s="39" t="e">
        <f t="shared" ca="1" si="723"/>
        <v>#NAME?</v>
      </c>
      <c r="BZ55" s="39" t="e">
        <f t="shared" ca="1" si="723"/>
        <v>#NAME?</v>
      </c>
      <c r="CA55" s="39" t="e">
        <f t="shared" ca="1" si="723"/>
        <v>#NAME?</v>
      </c>
      <c r="CB55" s="39" t="e">
        <f t="shared" ca="1" si="723"/>
        <v>#NAME?</v>
      </c>
      <c r="CC55" s="39" t="e">
        <f t="shared" ca="1" si="723"/>
        <v>#NAME?</v>
      </c>
      <c r="CD55" s="39" t="e">
        <f t="shared" ca="1" si="723"/>
        <v>#NAME?</v>
      </c>
      <c r="CE55" s="39" t="e">
        <f t="shared" ca="1" si="723"/>
        <v>#NAME?</v>
      </c>
      <c r="CF55" s="39" t="e">
        <f t="shared" ca="1" si="723"/>
        <v>#NAME?</v>
      </c>
      <c r="CG55" s="39" t="e">
        <f t="shared" ca="1" si="723"/>
        <v>#NAME?</v>
      </c>
      <c r="CH55" s="39" t="e">
        <f t="shared" ca="1" si="723"/>
        <v>#NAME?</v>
      </c>
      <c r="CI55" s="39" t="e">
        <f t="shared" ca="1" si="723"/>
        <v>#NAME?</v>
      </c>
      <c r="CJ55" s="39" t="e">
        <f t="shared" ca="1" si="723"/>
        <v>#NAME?</v>
      </c>
      <c r="CK55" s="39" t="e">
        <f t="shared" ca="1" si="723"/>
        <v>#NAME?</v>
      </c>
      <c r="CL55" s="39" t="e">
        <f t="shared" ca="1" si="723"/>
        <v>#NAME?</v>
      </c>
      <c r="CM55" s="40" t="e">
        <f t="shared" ca="1" si="723"/>
        <v>#NAME?</v>
      </c>
      <c r="CN55" s="40" t="e">
        <f t="shared" ca="1" si="723"/>
        <v>#NAME?</v>
      </c>
      <c r="CO55" s="40" t="e">
        <f t="shared" ca="1" si="723"/>
        <v>#NAME?</v>
      </c>
      <c r="CP55" s="40" t="e">
        <f t="shared" ca="1" si="723"/>
        <v>#NAME?</v>
      </c>
      <c r="CQ55" s="40" t="e">
        <f t="shared" ca="1" si="723"/>
        <v>#NAME?</v>
      </c>
      <c r="CR55" s="40" t="e">
        <f t="shared" ca="1" si="723"/>
        <v>#NAME?</v>
      </c>
      <c r="CS55" s="40" t="e">
        <f t="shared" ca="1" si="723"/>
        <v>#NAME?</v>
      </c>
      <c r="CT55" s="40" t="e">
        <f t="shared" ca="1" si="723"/>
        <v>#NAME?</v>
      </c>
      <c r="CU55" s="40" t="e">
        <f t="shared" ca="1" si="723"/>
        <v>#NAME?</v>
      </c>
      <c r="CV55" s="40" t="e">
        <f t="shared" ca="1" si="723"/>
        <v>#NAME?</v>
      </c>
      <c r="CW55" s="40" t="e">
        <f t="shared" ca="1" si="723"/>
        <v>#NAME?</v>
      </c>
      <c r="CX55" s="40" t="e">
        <f t="shared" ref="CX55:DB55" ca="1" si="724">+SUM(CU34:CX34)/CX129</f>
        <v>#NAME?</v>
      </c>
      <c r="CY55" s="40" t="e">
        <f t="shared" ca="1" si="724"/>
        <v>#NAME?</v>
      </c>
      <c r="CZ55" s="40" t="e">
        <f t="shared" ca="1" si="724"/>
        <v>#NAME?</v>
      </c>
      <c r="DA55" s="40" t="e">
        <f t="shared" ca="1" si="724"/>
        <v>#NAME?</v>
      </c>
      <c r="DB55" s="40" t="e">
        <f t="shared" ca="1" si="724"/>
        <v>#NAME?</v>
      </c>
      <c r="DE55" s="122"/>
      <c r="DF55" s="38">
        <v>7.2828292493603869E-2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1.4210854715202004E-13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1.4210854715202004E-13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5">+F63</f>
        <v>79.364000000000004</v>
      </c>
      <c r="F63" s="3">
        <f t="shared" ca="1" si="725"/>
        <v>79.364000000000004</v>
      </c>
      <c r="G63" s="3">
        <f t="shared" ca="1" si="725"/>
        <v>79.364000000000004</v>
      </c>
      <c r="H63" s="3">
        <f t="shared" ca="1" si="725"/>
        <v>79.364000000000004</v>
      </c>
      <c r="I63" s="3">
        <f t="shared" ca="1" si="725"/>
        <v>79.364000000000004</v>
      </c>
      <c r="J63" s="3">
        <f t="shared" ca="1" si="725"/>
        <v>79.364000000000004</v>
      </c>
      <c r="K63" s="3">
        <f t="shared" ca="1" si="725"/>
        <v>79.364000000000004</v>
      </c>
      <c r="L63" s="3">
        <f t="shared" ca="1" si="725"/>
        <v>79.364000000000004</v>
      </c>
      <c r="M63" s="3">
        <f t="shared" ca="1" si="725"/>
        <v>79.364000000000004</v>
      </c>
      <c r="N63" s="3">
        <f t="shared" ca="1" si="725"/>
        <v>79.364000000000004</v>
      </c>
      <c r="O63" s="3">
        <f t="shared" ca="1" si="725"/>
        <v>79.364000000000004</v>
      </c>
      <c r="P63" s="3">
        <f t="shared" ca="1" si="725"/>
        <v>79.364000000000004</v>
      </c>
      <c r="Q63" s="3">
        <f t="shared" ca="1" si="725"/>
        <v>79.364000000000004</v>
      </c>
      <c r="R63" s="3">
        <f t="shared" ca="1" si="725"/>
        <v>79.364000000000004</v>
      </c>
      <c r="S63" s="3">
        <f t="shared" ca="1" si="725"/>
        <v>79.364000000000004</v>
      </c>
      <c r="T63" s="3">
        <f t="shared" ca="1" si="725"/>
        <v>79.364000000000004</v>
      </c>
      <c r="U63" s="3">
        <f t="shared" ca="1" si="725"/>
        <v>79.364000000000004</v>
      </c>
      <c r="V63" s="3">
        <f t="shared" ca="1" si="725"/>
        <v>79.364000000000004</v>
      </c>
      <c r="W63" s="3">
        <f t="shared" ca="1" si="725"/>
        <v>79.364000000000004</v>
      </c>
      <c r="X63" s="3">
        <f t="shared" ca="1" si="725"/>
        <v>79.364000000000004</v>
      </c>
      <c r="Y63" s="3">
        <f t="shared" ca="1" si="725"/>
        <v>79.364000000000004</v>
      </c>
      <c r="Z63" s="3">
        <f ca="1">+AA63</f>
        <v>79.364000000000004</v>
      </c>
      <c r="AA63" s="3">
        <f ca="1">+AB63</f>
        <v>79.364000000000004</v>
      </c>
      <c r="AB63" s="37">
        <f t="shared" ref="AB63:AB64" ca="1" si="726">AA63</f>
        <v>79.364000000000004</v>
      </c>
      <c r="AC63" s="37">
        <f t="shared" ref="AC63:AC64" ca="1" si="727">AB63</f>
        <v>79.364000000000004</v>
      </c>
      <c r="AD63" s="37">
        <f t="shared" ref="AD63:AD64" ca="1" si="728">AC63</f>
        <v>79.364000000000004</v>
      </c>
      <c r="AE63" s="37">
        <f t="shared" ref="AE63:AE64" ca="1" si="729">AD63</f>
        <v>79.364000000000004</v>
      </c>
      <c r="AI63" s="3" t="e">
        <f t="shared" ref="AI63:CH63" ca="1" si="730">+AJ63</f>
        <v>#NAME?</v>
      </c>
      <c r="AJ63" s="3" t="e">
        <f t="shared" ca="1" si="730"/>
        <v>#NAME?</v>
      </c>
      <c r="AK63" s="3" t="e">
        <f t="shared" ca="1" si="730"/>
        <v>#NAME?</v>
      </c>
      <c r="AL63" s="3" t="e">
        <f t="shared" ca="1" si="730"/>
        <v>#NAME?</v>
      </c>
      <c r="AM63" s="3" t="e">
        <f t="shared" ca="1" si="730"/>
        <v>#NAME?</v>
      </c>
      <c r="AN63" s="3" t="e">
        <f t="shared" ca="1" si="730"/>
        <v>#NAME?</v>
      </c>
      <c r="AO63" s="3" t="e">
        <f t="shared" ca="1" si="730"/>
        <v>#NAME?</v>
      </c>
      <c r="AP63" s="3" t="e">
        <f t="shared" ca="1" si="730"/>
        <v>#NAME?</v>
      </c>
      <c r="AQ63" s="3" t="e">
        <f t="shared" ca="1" si="730"/>
        <v>#NAME?</v>
      </c>
      <c r="AR63" s="3" t="e">
        <f t="shared" ca="1" si="730"/>
        <v>#NAME?</v>
      </c>
      <c r="AS63" s="3" t="e">
        <f t="shared" ca="1" si="730"/>
        <v>#NAME?</v>
      </c>
      <c r="AT63" s="3" t="e">
        <f t="shared" ca="1" si="730"/>
        <v>#NAME?</v>
      </c>
      <c r="AU63" s="3" t="e">
        <f t="shared" ca="1" si="730"/>
        <v>#NAME?</v>
      </c>
      <c r="AV63" s="3" t="e">
        <f t="shared" ca="1" si="730"/>
        <v>#NAME?</v>
      </c>
      <c r="AW63" s="3" t="e">
        <f t="shared" ca="1" si="730"/>
        <v>#NAME?</v>
      </c>
      <c r="AX63" s="3" t="e">
        <f t="shared" ca="1" si="730"/>
        <v>#NAME?</v>
      </c>
      <c r="AY63" s="3" t="e">
        <f t="shared" ca="1" si="730"/>
        <v>#NAME?</v>
      </c>
      <c r="AZ63" s="3" t="e">
        <f t="shared" ca="1" si="730"/>
        <v>#NAME?</v>
      </c>
      <c r="BA63" s="3" t="e">
        <f t="shared" ca="1" si="730"/>
        <v>#NAME?</v>
      </c>
      <c r="BB63" s="3" t="e">
        <f t="shared" ca="1" si="730"/>
        <v>#NAME?</v>
      </c>
      <c r="BC63" s="3" t="e">
        <f t="shared" ca="1" si="730"/>
        <v>#NAME?</v>
      </c>
      <c r="BD63" s="3" t="e">
        <f t="shared" ca="1" si="730"/>
        <v>#NAME?</v>
      </c>
      <c r="BE63" s="3" t="e">
        <f t="shared" ca="1" si="730"/>
        <v>#NAME?</v>
      </c>
      <c r="BF63" s="3" t="e">
        <f t="shared" ca="1" si="730"/>
        <v>#NAME?</v>
      </c>
      <c r="BG63" s="3" t="e">
        <f t="shared" ca="1" si="730"/>
        <v>#NAME?</v>
      </c>
      <c r="BH63" s="3" t="e">
        <f t="shared" ca="1" si="730"/>
        <v>#NAME?</v>
      </c>
      <c r="BI63" s="3" t="e">
        <f t="shared" ca="1" si="730"/>
        <v>#NAME?</v>
      </c>
      <c r="BJ63" s="3" t="e">
        <f t="shared" ca="1" si="730"/>
        <v>#NAME?</v>
      </c>
      <c r="BK63" s="3" t="e">
        <f t="shared" ca="1" si="730"/>
        <v>#NAME?</v>
      </c>
      <c r="BL63" s="3" t="e">
        <f t="shared" ca="1" si="730"/>
        <v>#NAME?</v>
      </c>
      <c r="BM63" s="3" t="e">
        <f t="shared" ca="1" si="730"/>
        <v>#NAME?</v>
      </c>
      <c r="BN63" s="3" t="e">
        <f t="shared" ca="1" si="730"/>
        <v>#NAME?</v>
      </c>
      <c r="BO63" s="3" t="e">
        <f t="shared" ca="1" si="730"/>
        <v>#NAME?</v>
      </c>
      <c r="BP63" s="3" t="e">
        <f t="shared" ca="1" si="730"/>
        <v>#NAME?</v>
      </c>
      <c r="BQ63" s="3" t="e">
        <f t="shared" ca="1" si="730"/>
        <v>#NAME?</v>
      </c>
      <c r="BR63" s="3" t="e">
        <f t="shared" ca="1" si="730"/>
        <v>#NAME?</v>
      </c>
      <c r="BS63" s="3" t="e">
        <f t="shared" ca="1" si="730"/>
        <v>#NAME?</v>
      </c>
      <c r="BT63" s="3" t="e">
        <f t="shared" ca="1" si="730"/>
        <v>#NAME?</v>
      </c>
      <c r="BU63" s="3" t="e">
        <f t="shared" ca="1" si="730"/>
        <v>#NAME?</v>
      </c>
      <c r="BV63" s="3" t="e">
        <f t="shared" ca="1" si="730"/>
        <v>#NAME?</v>
      </c>
      <c r="BW63" s="3" t="e">
        <f t="shared" ca="1" si="730"/>
        <v>#NAME?</v>
      </c>
      <c r="BX63" s="3" t="e">
        <f t="shared" ca="1" si="730"/>
        <v>#NAME?</v>
      </c>
      <c r="BY63" s="3" t="e">
        <f t="shared" ca="1" si="730"/>
        <v>#NAME?</v>
      </c>
      <c r="BZ63" s="3" t="e">
        <f t="shared" ca="1" si="730"/>
        <v>#NAME?</v>
      </c>
      <c r="CA63" s="3" t="e">
        <f t="shared" ca="1" si="730"/>
        <v>#NAME?</v>
      </c>
      <c r="CB63" s="3" t="e">
        <f t="shared" ca="1" si="730"/>
        <v>#NAME?</v>
      </c>
      <c r="CC63" s="3" t="e">
        <f t="shared" ca="1" si="730"/>
        <v>#NAME?</v>
      </c>
      <c r="CD63" s="3" t="e">
        <f t="shared" ca="1" si="730"/>
        <v>#NAME?</v>
      </c>
      <c r="CE63" s="3" t="e">
        <f t="shared" ca="1" si="730"/>
        <v>#NAME?</v>
      </c>
      <c r="CF63" s="3" t="e">
        <f t="shared" ca="1" si="730"/>
        <v>#NAME?</v>
      </c>
      <c r="CG63" s="3" t="e">
        <f t="shared" ca="1" si="730"/>
        <v>#NAME?</v>
      </c>
      <c r="CH63" s="3" t="e">
        <f t="shared" ca="1" si="730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31">+CL63</f>
        <v>#NAME?</v>
      </c>
      <c r="CN63" s="37" t="e">
        <f t="shared" ref="CN63:CN64" ca="1" si="732">+CM63</f>
        <v>#NAME?</v>
      </c>
      <c r="CO63" s="37" t="e">
        <f t="shared" ref="CO63:CO64" ca="1" si="733">+CN63</f>
        <v>#NAME?</v>
      </c>
      <c r="CP63" s="37" t="e">
        <f t="shared" ref="CP63:CP64" ca="1" si="734">+CO63</f>
        <v>#NAME?</v>
      </c>
      <c r="CQ63" s="37" t="e">
        <f t="shared" ref="CQ63:CQ64" ca="1" si="735">+CP63</f>
        <v>#NAME?</v>
      </c>
      <c r="CR63" s="37" t="e">
        <f t="shared" ref="CR63:CR64" ca="1" si="736">+CQ63</f>
        <v>#NAME?</v>
      </c>
      <c r="CS63" s="37" t="e">
        <f t="shared" ref="CS63:CS64" ca="1" si="737">+CR63</f>
        <v>#NAME?</v>
      </c>
      <c r="CT63" s="37" t="e">
        <f t="shared" ref="CT63:CT64" ca="1" si="738">+CS63</f>
        <v>#NAME?</v>
      </c>
      <c r="CU63" s="37" t="e">
        <f t="shared" ref="CU63:CU64" ca="1" si="739">+CT63</f>
        <v>#NAME?</v>
      </c>
      <c r="CV63" s="37" t="e">
        <f t="shared" ref="CV63:CV64" ca="1" si="740">+CU63</f>
        <v>#NAME?</v>
      </c>
      <c r="CW63" s="37" t="e">
        <f t="shared" ref="CW63:CW64" ca="1" si="741">+CV63</f>
        <v>#NAME?</v>
      </c>
      <c r="CX63" s="37" t="e">
        <f t="shared" ref="CX63:CX64" ca="1" si="742">+CW63</f>
        <v>#NAME?</v>
      </c>
      <c r="CY63" s="37" t="e">
        <f t="shared" ref="CY63:CY64" ca="1" si="743">+CX63</f>
        <v>#NAME?</v>
      </c>
      <c r="CZ63" s="37" t="e">
        <f t="shared" ref="CZ63:CZ64" ca="1" si="744">+CY63</f>
        <v>#NAME?</v>
      </c>
      <c r="DA63" s="37" t="e">
        <f t="shared" ref="DA63:DA64" ca="1" si="745">+CZ63</f>
        <v>#NAME?</v>
      </c>
      <c r="DB63" s="37" t="e">
        <f t="shared" ref="DB63:DB64" ca="1" si="746">+DA63</f>
        <v>#NAME?</v>
      </c>
      <c r="DE63" s="134"/>
      <c r="DF63" s="3">
        <v>79.364000000000004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7">+F64</f>
        <v>10</v>
      </c>
      <c r="F64" s="3">
        <f t="shared" ca="1" si="747"/>
        <v>10</v>
      </c>
      <c r="G64" s="3">
        <f t="shared" ca="1" si="747"/>
        <v>10</v>
      </c>
      <c r="H64" s="3">
        <f t="shared" ca="1" si="747"/>
        <v>10</v>
      </c>
      <c r="I64" s="3">
        <f t="shared" ca="1" si="747"/>
        <v>10</v>
      </c>
      <c r="J64" s="3">
        <f t="shared" ca="1" si="747"/>
        <v>10</v>
      </c>
      <c r="K64" s="3">
        <f t="shared" ca="1" si="747"/>
        <v>10</v>
      </c>
      <c r="L64" s="3">
        <f t="shared" ca="1" si="747"/>
        <v>10</v>
      </c>
      <c r="M64" s="3">
        <f t="shared" ca="1" si="747"/>
        <v>10</v>
      </c>
      <c r="N64" s="3">
        <f t="shared" ca="1" si="747"/>
        <v>10</v>
      </c>
      <c r="O64" s="3">
        <f t="shared" ca="1" si="747"/>
        <v>10</v>
      </c>
      <c r="P64" s="3">
        <f t="shared" ca="1" si="747"/>
        <v>10</v>
      </c>
      <c r="Q64" s="3">
        <f t="shared" ca="1" si="747"/>
        <v>10</v>
      </c>
      <c r="R64" s="3">
        <f t="shared" ca="1" si="747"/>
        <v>10</v>
      </c>
      <c r="S64" s="3">
        <f t="shared" ca="1" si="747"/>
        <v>10</v>
      </c>
      <c r="T64" s="3">
        <f t="shared" ca="1" si="747"/>
        <v>10</v>
      </c>
      <c r="U64" s="3">
        <f t="shared" ca="1" si="747"/>
        <v>10</v>
      </c>
      <c r="V64" s="3">
        <f t="shared" ca="1" si="747"/>
        <v>10</v>
      </c>
      <c r="W64" s="3">
        <f t="shared" ca="1" si="747"/>
        <v>10</v>
      </c>
      <c r="X64" s="3">
        <f t="shared" ca="1" si="747"/>
        <v>10</v>
      </c>
      <c r="Y64" s="3">
        <f t="shared" ca="1" si="747"/>
        <v>10</v>
      </c>
      <c r="Z64" s="3">
        <f ca="1">+AA64</f>
        <v>10</v>
      </c>
      <c r="AA64" s="3">
        <f ca="1">+AB64</f>
        <v>10</v>
      </c>
      <c r="AB64" s="37">
        <f t="shared" ca="1" si="726"/>
        <v>10</v>
      </c>
      <c r="AC64" s="37">
        <f t="shared" ca="1" si="727"/>
        <v>10</v>
      </c>
      <c r="AD64" s="37">
        <f t="shared" ca="1" si="728"/>
        <v>10</v>
      </c>
      <c r="AE64" s="37">
        <f t="shared" ca="1" si="729"/>
        <v>10</v>
      </c>
      <c r="AI64" s="3" t="e">
        <f t="shared" ref="AI64:CH64" ca="1" si="748">AJ64</f>
        <v>#NAME?</v>
      </c>
      <c r="AJ64" s="3" t="e">
        <f t="shared" ca="1" si="748"/>
        <v>#NAME?</v>
      </c>
      <c r="AK64" s="3" t="e">
        <f t="shared" ca="1" si="748"/>
        <v>#NAME?</v>
      </c>
      <c r="AL64" s="3" t="e">
        <f t="shared" ca="1" si="748"/>
        <v>#NAME?</v>
      </c>
      <c r="AM64" s="3" t="e">
        <f t="shared" ca="1" si="748"/>
        <v>#NAME?</v>
      </c>
      <c r="AN64" s="3" t="e">
        <f t="shared" ca="1" si="748"/>
        <v>#NAME?</v>
      </c>
      <c r="AO64" s="3" t="e">
        <f t="shared" ca="1" si="748"/>
        <v>#NAME?</v>
      </c>
      <c r="AP64" s="3" t="e">
        <f t="shared" ca="1" si="748"/>
        <v>#NAME?</v>
      </c>
      <c r="AQ64" s="3" t="e">
        <f t="shared" ca="1" si="748"/>
        <v>#NAME?</v>
      </c>
      <c r="AR64" s="3" t="e">
        <f t="shared" ca="1" si="748"/>
        <v>#NAME?</v>
      </c>
      <c r="AS64" s="3" t="e">
        <f t="shared" ca="1" si="748"/>
        <v>#NAME?</v>
      </c>
      <c r="AT64" s="3" t="e">
        <f t="shared" ca="1" si="748"/>
        <v>#NAME?</v>
      </c>
      <c r="AU64" s="3" t="e">
        <f t="shared" ca="1" si="748"/>
        <v>#NAME?</v>
      </c>
      <c r="AV64" s="3" t="e">
        <f t="shared" ca="1" si="748"/>
        <v>#NAME?</v>
      </c>
      <c r="AW64" s="3" t="e">
        <f t="shared" ca="1" si="748"/>
        <v>#NAME?</v>
      </c>
      <c r="AX64" s="3" t="e">
        <f t="shared" ca="1" si="748"/>
        <v>#NAME?</v>
      </c>
      <c r="AY64" s="3" t="e">
        <f t="shared" ca="1" si="748"/>
        <v>#NAME?</v>
      </c>
      <c r="AZ64" s="3" t="e">
        <f t="shared" ca="1" si="748"/>
        <v>#NAME?</v>
      </c>
      <c r="BA64" s="3" t="e">
        <f t="shared" ca="1" si="748"/>
        <v>#NAME?</v>
      </c>
      <c r="BB64" s="3" t="e">
        <f t="shared" ca="1" si="748"/>
        <v>#NAME?</v>
      </c>
      <c r="BC64" s="3" t="e">
        <f t="shared" ca="1" si="748"/>
        <v>#NAME?</v>
      </c>
      <c r="BD64" s="3" t="e">
        <f t="shared" ca="1" si="748"/>
        <v>#NAME?</v>
      </c>
      <c r="BE64" s="3" t="e">
        <f t="shared" ca="1" si="748"/>
        <v>#NAME?</v>
      </c>
      <c r="BF64" s="3" t="e">
        <f t="shared" ca="1" si="748"/>
        <v>#NAME?</v>
      </c>
      <c r="BG64" s="3" t="e">
        <f t="shared" ca="1" si="748"/>
        <v>#NAME?</v>
      </c>
      <c r="BH64" s="3" t="e">
        <f t="shared" ca="1" si="748"/>
        <v>#NAME?</v>
      </c>
      <c r="BI64" s="3" t="e">
        <f t="shared" ca="1" si="748"/>
        <v>#NAME?</v>
      </c>
      <c r="BJ64" s="3" t="e">
        <f t="shared" ca="1" si="748"/>
        <v>#NAME?</v>
      </c>
      <c r="BK64" s="3" t="e">
        <f t="shared" ca="1" si="748"/>
        <v>#NAME?</v>
      </c>
      <c r="BL64" s="3" t="e">
        <f t="shared" ca="1" si="748"/>
        <v>#NAME?</v>
      </c>
      <c r="BM64" s="3" t="e">
        <f t="shared" ca="1" si="748"/>
        <v>#NAME?</v>
      </c>
      <c r="BN64" s="3" t="e">
        <f t="shared" ca="1" si="748"/>
        <v>#NAME?</v>
      </c>
      <c r="BO64" s="3" t="e">
        <f t="shared" ca="1" si="748"/>
        <v>#NAME?</v>
      </c>
      <c r="BP64" s="3" t="e">
        <f t="shared" ca="1" si="748"/>
        <v>#NAME?</v>
      </c>
      <c r="BQ64" s="3" t="e">
        <f t="shared" ca="1" si="748"/>
        <v>#NAME?</v>
      </c>
      <c r="BR64" s="3" t="e">
        <f t="shared" ca="1" si="748"/>
        <v>#NAME?</v>
      </c>
      <c r="BS64" s="3" t="e">
        <f t="shared" ca="1" si="748"/>
        <v>#NAME?</v>
      </c>
      <c r="BT64" s="3" t="e">
        <f t="shared" ca="1" si="748"/>
        <v>#NAME?</v>
      </c>
      <c r="BU64" s="3" t="e">
        <f t="shared" ca="1" si="748"/>
        <v>#NAME?</v>
      </c>
      <c r="BV64" s="3" t="e">
        <f t="shared" ca="1" si="748"/>
        <v>#NAME?</v>
      </c>
      <c r="BW64" s="3" t="e">
        <f t="shared" ca="1" si="748"/>
        <v>#NAME?</v>
      </c>
      <c r="BX64" s="3" t="e">
        <f t="shared" ca="1" si="748"/>
        <v>#NAME?</v>
      </c>
      <c r="BY64" s="3" t="e">
        <f t="shared" ca="1" si="748"/>
        <v>#NAME?</v>
      </c>
      <c r="BZ64" s="3" t="e">
        <f t="shared" ca="1" si="748"/>
        <v>#NAME?</v>
      </c>
      <c r="CA64" s="3" t="e">
        <f t="shared" ca="1" si="748"/>
        <v>#NAME?</v>
      </c>
      <c r="CB64" s="3" t="e">
        <f t="shared" ca="1" si="748"/>
        <v>#NAME?</v>
      </c>
      <c r="CC64" s="3" t="e">
        <f t="shared" ca="1" si="748"/>
        <v>#NAME?</v>
      </c>
      <c r="CD64" s="3" t="e">
        <f t="shared" ca="1" si="748"/>
        <v>#NAME?</v>
      </c>
      <c r="CE64" s="3" t="e">
        <f t="shared" ca="1" si="748"/>
        <v>#NAME?</v>
      </c>
      <c r="CF64" s="3" t="e">
        <f t="shared" ca="1" si="748"/>
        <v>#NAME?</v>
      </c>
      <c r="CG64" s="3" t="e">
        <f t="shared" ca="1" si="748"/>
        <v>#NAME?</v>
      </c>
      <c r="CH64" s="3" t="e">
        <f t="shared" ca="1" si="748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31"/>
        <v>#NAME?</v>
      </c>
      <c r="CN64" s="37" t="e">
        <f t="shared" ca="1" si="732"/>
        <v>#NAME?</v>
      </c>
      <c r="CO64" s="37" t="e">
        <f t="shared" ca="1" si="733"/>
        <v>#NAME?</v>
      </c>
      <c r="CP64" s="37" t="e">
        <f t="shared" ca="1" si="734"/>
        <v>#NAME?</v>
      </c>
      <c r="CQ64" s="37" t="e">
        <f t="shared" ca="1" si="735"/>
        <v>#NAME?</v>
      </c>
      <c r="CR64" s="37" t="e">
        <f t="shared" ca="1" si="736"/>
        <v>#NAME?</v>
      </c>
      <c r="CS64" s="37" t="e">
        <f t="shared" ca="1" si="737"/>
        <v>#NAME?</v>
      </c>
      <c r="CT64" s="37" t="e">
        <f t="shared" ca="1" si="738"/>
        <v>#NAME?</v>
      </c>
      <c r="CU64" s="37" t="e">
        <f t="shared" ca="1" si="739"/>
        <v>#NAME?</v>
      </c>
      <c r="CV64" s="37" t="e">
        <f t="shared" ca="1" si="740"/>
        <v>#NAME?</v>
      </c>
      <c r="CW64" s="37" t="e">
        <f t="shared" ca="1" si="741"/>
        <v>#NAME?</v>
      </c>
      <c r="CX64" s="37" t="e">
        <f t="shared" ca="1" si="742"/>
        <v>#NAME?</v>
      </c>
      <c r="CY64" s="37" t="e">
        <f t="shared" ca="1" si="743"/>
        <v>#NAME?</v>
      </c>
      <c r="CZ64" s="37" t="e">
        <f t="shared" ca="1" si="744"/>
        <v>#NAME?</v>
      </c>
      <c r="DA64" s="37" t="e">
        <f t="shared" ca="1" si="745"/>
        <v>#NAME?</v>
      </c>
      <c r="DB64" s="37" t="e">
        <f t="shared" ca="1" si="746"/>
        <v>#NAME?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9">C63/C64</f>
        <v>#NAME?</v>
      </c>
      <c r="D65" s="3" t="e">
        <f t="shared" ca="1" si="749"/>
        <v>#NAME?</v>
      </c>
      <c r="E65" s="3">
        <f t="shared" ca="1" si="749"/>
        <v>7.9364000000000008</v>
      </c>
      <c r="F65" s="3">
        <f t="shared" ca="1" si="749"/>
        <v>7.9364000000000008</v>
      </c>
      <c r="G65" s="3">
        <f t="shared" ca="1" si="749"/>
        <v>7.9364000000000008</v>
      </c>
      <c r="H65" s="3">
        <f t="shared" ca="1" si="749"/>
        <v>7.9364000000000008</v>
      </c>
      <c r="I65" s="3">
        <f t="shared" ca="1" si="749"/>
        <v>7.9364000000000008</v>
      </c>
      <c r="J65" s="3">
        <f t="shared" ca="1" si="749"/>
        <v>7.9364000000000008</v>
      </c>
      <c r="K65" s="3">
        <f t="shared" ca="1" si="749"/>
        <v>7.9364000000000008</v>
      </c>
      <c r="L65" s="3">
        <f t="shared" ca="1" si="749"/>
        <v>7.9364000000000008</v>
      </c>
      <c r="M65" s="3">
        <f t="shared" ca="1" si="749"/>
        <v>7.9364000000000008</v>
      </c>
      <c r="N65" s="3">
        <f t="shared" ca="1" si="749"/>
        <v>7.9364000000000008</v>
      </c>
      <c r="O65" s="3">
        <f t="shared" ca="1" si="749"/>
        <v>7.9364000000000008</v>
      </c>
      <c r="P65" s="3">
        <f t="shared" ca="1" si="749"/>
        <v>7.9364000000000008</v>
      </c>
      <c r="Q65" s="3">
        <f t="shared" ca="1" si="749"/>
        <v>7.9364000000000008</v>
      </c>
      <c r="R65" s="3">
        <f t="shared" ca="1" si="749"/>
        <v>7.9364000000000008</v>
      </c>
      <c r="S65" s="3">
        <f t="shared" ca="1" si="749"/>
        <v>7.9364000000000008</v>
      </c>
      <c r="T65" s="3">
        <f t="shared" ca="1" si="749"/>
        <v>7.9364000000000008</v>
      </c>
      <c r="U65" s="3">
        <f t="shared" ca="1" si="749"/>
        <v>7.9364000000000008</v>
      </c>
      <c r="V65" s="3">
        <f ca="1">V63/V64</f>
        <v>7.9364000000000008</v>
      </c>
      <c r="W65" s="3">
        <f t="shared" ca="1" si="749"/>
        <v>7.9364000000000008</v>
      </c>
      <c r="X65" s="3">
        <f t="shared" ref="X65:Y65" ca="1" si="750">X63/X64</f>
        <v>7.9364000000000008</v>
      </c>
      <c r="Y65" s="3">
        <f t="shared" ca="1" si="750"/>
        <v>7.9364000000000008</v>
      </c>
      <c r="Z65" s="3">
        <f t="shared" ref="Z65:AA65" ca="1" si="751">Z63/Z64</f>
        <v>7.9364000000000008</v>
      </c>
      <c r="AA65" s="3">
        <f t="shared" ca="1" si="751"/>
        <v>7.9364000000000008</v>
      </c>
      <c r="AB65" s="37">
        <f t="shared" ref="AA65:AD65" ca="1" si="752">AB63/AB64</f>
        <v>7.9364000000000008</v>
      </c>
      <c r="AC65" s="37">
        <f t="shared" ca="1" si="752"/>
        <v>7.9364000000000008</v>
      </c>
      <c r="AD65" s="37">
        <f t="shared" ca="1" si="752"/>
        <v>7.9364000000000008</v>
      </c>
      <c r="AE65" s="37">
        <f t="shared" ref="AE65" ca="1" si="753">AE63/AE64</f>
        <v>7.9364000000000008</v>
      </c>
      <c r="AI65" s="3" t="e">
        <f t="shared" ref="AI65" ca="1" si="754">AI63/AI64</f>
        <v>#NAME?</v>
      </c>
      <c r="AJ65" s="3" t="e">
        <f t="shared" ref="AJ65" ca="1" si="755">AJ63/AJ64</f>
        <v>#NAME?</v>
      </c>
      <c r="AK65" s="3" t="e">
        <f t="shared" ref="AK65:AM65" ca="1" si="756">AK63/AK64</f>
        <v>#NAME?</v>
      </c>
      <c r="AL65" s="3" t="e">
        <f t="shared" ca="1" si="756"/>
        <v>#NAME?</v>
      </c>
      <c r="AM65" s="3" t="e">
        <f t="shared" ca="1" si="756"/>
        <v>#NAME?</v>
      </c>
      <c r="AN65" s="3" t="e">
        <f t="shared" ref="AN65:AO65" ca="1" si="757">AN63/AN64</f>
        <v>#NAME?</v>
      </c>
      <c r="AO65" s="3" t="e">
        <f t="shared" ca="1" si="757"/>
        <v>#NAME?</v>
      </c>
      <c r="AP65" s="3" t="e">
        <f t="shared" ref="AP65:CD65" ca="1" si="758">AP63/AP64</f>
        <v>#NAME?</v>
      </c>
      <c r="AQ65" s="3" t="e">
        <f t="shared" ca="1" si="758"/>
        <v>#NAME?</v>
      </c>
      <c r="AR65" s="3" t="e">
        <f t="shared" ca="1" si="758"/>
        <v>#NAME?</v>
      </c>
      <c r="AS65" s="3" t="e">
        <f t="shared" ca="1" si="758"/>
        <v>#NAME?</v>
      </c>
      <c r="AT65" s="3" t="e">
        <f t="shared" ca="1" si="758"/>
        <v>#NAME?</v>
      </c>
      <c r="AU65" s="3" t="e">
        <f t="shared" ca="1" si="758"/>
        <v>#NAME?</v>
      </c>
      <c r="AV65" s="3" t="e">
        <f t="shared" ca="1" si="758"/>
        <v>#NAME?</v>
      </c>
      <c r="AW65" s="3" t="e">
        <f t="shared" ca="1" si="758"/>
        <v>#NAME?</v>
      </c>
      <c r="AX65" s="3" t="e">
        <f t="shared" ca="1" si="758"/>
        <v>#NAME?</v>
      </c>
      <c r="AY65" s="3" t="e">
        <f t="shared" ca="1" si="758"/>
        <v>#NAME?</v>
      </c>
      <c r="AZ65" s="3" t="e">
        <f t="shared" ca="1" si="758"/>
        <v>#NAME?</v>
      </c>
      <c r="BA65" s="3" t="e">
        <f t="shared" ca="1" si="758"/>
        <v>#NAME?</v>
      </c>
      <c r="BB65" s="3" t="e">
        <f t="shared" ca="1" si="758"/>
        <v>#NAME?</v>
      </c>
      <c r="BC65" s="3" t="e">
        <f t="shared" ca="1" si="758"/>
        <v>#NAME?</v>
      </c>
      <c r="BD65" s="3" t="e">
        <f t="shared" ca="1" si="758"/>
        <v>#NAME?</v>
      </c>
      <c r="BE65" s="3" t="e">
        <f t="shared" ca="1" si="758"/>
        <v>#NAME?</v>
      </c>
      <c r="BF65" s="3" t="e">
        <f t="shared" ca="1" si="758"/>
        <v>#NAME?</v>
      </c>
      <c r="BG65" s="3" t="e">
        <f t="shared" ca="1" si="758"/>
        <v>#NAME?</v>
      </c>
      <c r="BH65" s="3" t="e">
        <f t="shared" ca="1" si="758"/>
        <v>#NAME?</v>
      </c>
      <c r="BI65" s="3" t="e">
        <f t="shared" ca="1" si="758"/>
        <v>#NAME?</v>
      </c>
      <c r="BJ65" s="3" t="e">
        <f t="shared" ca="1" si="758"/>
        <v>#NAME?</v>
      </c>
      <c r="BK65" s="3" t="e">
        <f t="shared" ca="1" si="758"/>
        <v>#NAME?</v>
      </c>
      <c r="BL65" s="3" t="e">
        <f t="shared" ca="1" si="758"/>
        <v>#NAME?</v>
      </c>
      <c r="BM65" s="3" t="e">
        <f t="shared" ca="1" si="758"/>
        <v>#NAME?</v>
      </c>
      <c r="BN65" s="3" t="e">
        <f t="shared" ca="1" si="758"/>
        <v>#NAME?</v>
      </c>
      <c r="BO65" s="3" t="e">
        <f t="shared" ca="1" si="758"/>
        <v>#NAME?</v>
      </c>
      <c r="BP65" s="3" t="e">
        <f t="shared" ca="1" si="758"/>
        <v>#NAME?</v>
      </c>
      <c r="BQ65" s="3" t="e">
        <f t="shared" ca="1" si="758"/>
        <v>#NAME?</v>
      </c>
      <c r="BR65" s="3" t="e">
        <f t="shared" ca="1" si="758"/>
        <v>#NAME?</v>
      </c>
      <c r="BS65" s="3" t="e">
        <f t="shared" ca="1" si="758"/>
        <v>#NAME?</v>
      </c>
      <c r="BT65" s="3" t="e">
        <f t="shared" ca="1" si="758"/>
        <v>#NAME?</v>
      </c>
      <c r="BU65" s="3" t="e">
        <f t="shared" ca="1" si="758"/>
        <v>#NAME?</v>
      </c>
      <c r="BV65" s="3" t="e">
        <f t="shared" ca="1" si="758"/>
        <v>#NAME?</v>
      </c>
      <c r="BW65" s="3" t="e">
        <f t="shared" ca="1" si="758"/>
        <v>#NAME?</v>
      </c>
      <c r="BX65" s="3" t="e">
        <f t="shared" ca="1" si="758"/>
        <v>#NAME?</v>
      </c>
      <c r="BY65" s="3" t="e">
        <f t="shared" ca="1" si="758"/>
        <v>#NAME?</v>
      </c>
      <c r="BZ65" s="3" t="e">
        <f t="shared" ca="1" si="758"/>
        <v>#NAME?</v>
      </c>
      <c r="CA65" s="3" t="e">
        <f t="shared" ca="1" si="758"/>
        <v>#NAME?</v>
      </c>
      <c r="CB65" s="3" t="e">
        <f t="shared" ca="1" si="758"/>
        <v>#NAME?</v>
      </c>
      <c r="CC65" s="3" t="e">
        <f t="shared" ca="1" si="758"/>
        <v>#NAME?</v>
      </c>
      <c r="CD65" s="3" t="e">
        <f t="shared" ca="1" si="758"/>
        <v>#NAME?</v>
      </c>
      <c r="CE65" s="3" t="e">
        <f t="shared" ref="CE65:CF65" ca="1" si="759">CE63/CE64</f>
        <v>#NAME?</v>
      </c>
      <c r="CF65" s="3" t="e">
        <f t="shared" ca="1" si="759"/>
        <v>#NAME?</v>
      </c>
      <c r="CG65" s="3" t="e">
        <f t="shared" ref="CG65:CH65" ca="1" si="760">CG63/CG64</f>
        <v>#NAME?</v>
      </c>
      <c r="CH65" s="3" t="e">
        <f t="shared" ca="1" si="760"/>
        <v>#NAME?</v>
      </c>
      <c r="CI65" s="3" t="e">
        <f t="shared" ref="CI65:CJ65" ca="1" si="761">CI63/CI64</f>
        <v>#NAME?</v>
      </c>
      <c r="CJ65" s="3" t="e">
        <f t="shared" ca="1" si="761"/>
        <v>#NAME?</v>
      </c>
      <c r="CK65" s="3" t="e">
        <f t="shared" ref="CK65:CL65" ca="1" si="762">CK63/CK64</f>
        <v>#NAME?</v>
      </c>
      <c r="CL65" s="3" t="e">
        <f t="shared" ca="1" si="762"/>
        <v>#NAME?</v>
      </c>
      <c r="CM65" s="37" t="e">
        <f t="shared" ref="CM65:DB65" ca="1" si="763">CM63/CM64</f>
        <v>#NAME?</v>
      </c>
      <c r="CN65" s="37" t="e">
        <f t="shared" ca="1" si="763"/>
        <v>#NAME?</v>
      </c>
      <c r="CO65" s="37" t="e">
        <f t="shared" ca="1" si="763"/>
        <v>#NAME?</v>
      </c>
      <c r="CP65" s="37" t="e">
        <f t="shared" ca="1" si="763"/>
        <v>#NAME?</v>
      </c>
      <c r="CQ65" s="37" t="e">
        <f t="shared" ca="1" si="763"/>
        <v>#NAME?</v>
      </c>
      <c r="CR65" s="37" t="e">
        <f t="shared" ca="1" si="763"/>
        <v>#NAME?</v>
      </c>
      <c r="CS65" s="37" t="e">
        <f t="shared" ca="1" si="763"/>
        <v>#NAME?</v>
      </c>
      <c r="CT65" s="37" t="e">
        <f t="shared" ca="1" si="763"/>
        <v>#NAME?</v>
      </c>
      <c r="CU65" s="37" t="e">
        <f t="shared" ca="1" si="763"/>
        <v>#NAME?</v>
      </c>
      <c r="CV65" s="37" t="e">
        <f t="shared" ca="1" si="763"/>
        <v>#NAME?</v>
      </c>
      <c r="CW65" s="37" t="e">
        <f t="shared" ca="1" si="763"/>
        <v>#NAME?</v>
      </c>
      <c r="CX65" s="37" t="e">
        <f t="shared" ca="1" si="763"/>
        <v>#NAME?</v>
      </c>
      <c r="CY65" s="37" t="e">
        <f t="shared" ca="1" si="763"/>
        <v>#NAME?</v>
      </c>
      <c r="CZ65" s="37" t="e">
        <f t="shared" ca="1" si="763"/>
        <v>#NAME?</v>
      </c>
      <c r="DA65" s="37" t="e">
        <f t="shared" ca="1" si="763"/>
        <v>#NAME?</v>
      </c>
      <c r="DB65" s="37" t="e">
        <f t="shared" ca="1" si="763"/>
        <v>#NAME?</v>
      </c>
      <c r="DE65" s="134"/>
      <c r="DF65" s="3">
        <v>7.9364000000000008</v>
      </c>
    </row>
    <row r="66" spans="1:110" s="53" customFormat="1" x14ac:dyDescent="0.2">
      <c r="A66" s="53" t="s">
        <v>30</v>
      </c>
      <c r="B66" s="53" t="e">
        <f t="shared" ref="B66:AE66" ca="1" si="764">(B48-B47)/B65</f>
        <v>#NAME?</v>
      </c>
      <c r="C66" s="53" t="e">
        <f t="shared" ca="1" si="764"/>
        <v>#NAME?</v>
      </c>
      <c r="D66" s="53" t="e">
        <f t="shared" ca="1" si="764"/>
        <v>#NAME?</v>
      </c>
      <c r="E66" s="53">
        <f t="shared" ca="1" si="764"/>
        <v>0</v>
      </c>
      <c r="F66" s="53">
        <f t="shared" ca="1" si="764"/>
        <v>0</v>
      </c>
      <c r="G66" s="53">
        <f t="shared" ca="1" si="764"/>
        <v>0</v>
      </c>
      <c r="H66" s="53">
        <f t="shared" ca="1" si="764"/>
        <v>0</v>
      </c>
      <c r="I66" s="53">
        <f t="shared" ca="1" si="764"/>
        <v>0</v>
      </c>
      <c r="J66" s="53">
        <f t="shared" ca="1" si="764"/>
        <v>0</v>
      </c>
      <c r="K66" s="53">
        <f t="shared" ca="1" si="764"/>
        <v>0</v>
      </c>
      <c r="L66" s="53">
        <f t="shared" ca="1" si="764"/>
        <v>0.43167802782117842</v>
      </c>
      <c r="M66" s="53">
        <f t="shared" ca="1" si="764"/>
        <v>0.52230255531475223</v>
      </c>
      <c r="N66" s="53">
        <f t="shared" ca="1" si="764"/>
        <v>0.63338459503049227</v>
      </c>
      <c r="O66" s="53">
        <f t="shared" ca="1" si="764"/>
        <v>2.6971956428607431</v>
      </c>
      <c r="P66" s="53">
        <f t="shared" ca="1" si="764"/>
        <v>2.6082302429313073</v>
      </c>
      <c r="Q66" s="53">
        <f t="shared" ca="1" si="764"/>
        <v>0.47325931152663492</v>
      </c>
      <c r="R66" s="53">
        <f t="shared" ca="1" si="764"/>
        <v>7.4406393326949732E-2</v>
      </c>
      <c r="S66" s="53">
        <f t="shared" ca="1" si="764"/>
        <v>-0.48435644624767066</v>
      </c>
      <c r="T66" s="53">
        <f t="shared" ca="1" si="764"/>
        <v>-0.11755959881054331</v>
      </c>
      <c r="U66" s="53">
        <f t="shared" ca="1" si="764"/>
        <v>-0.84471548813063502</v>
      </c>
      <c r="V66" s="53">
        <f t="shared" ca="1" si="764"/>
        <v>1.4885842447457323</v>
      </c>
      <c r="W66" s="53">
        <f t="shared" ca="1" si="764"/>
        <v>5.014238193639434</v>
      </c>
      <c r="X66" s="53">
        <f t="shared" ca="1" si="764"/>
        <v>3.9976563681266031</v>
      </c>
      <c r="Y66" s="53">
        <f t="shared" ca="1" si="764"/>
        <v>7.7108008668917973</v>
      </c>
      <c r="Z66" s="53">
        <f t="shared" ca="1" si="764"/>
        <v>8.5776926566201368</v>
      </c>
      <c r="AA66" s="53">
        <f t="shared" ref="AA66" ca="1" si="765">(AA48-AA47)/AA65</f>
        <v>8.5776926566201368</v>
      </c>
      <c r="AB66" s="54">
        <f t="shared" ca="1" si="764"/>
        <v>5.7510297375753261</v>
      </c>
      <c r="AC66" s="54">
        <f t="shared" ca="1" si="764"/>
        <v>4.5165501421823118</v>
      </c>
      <c r="AD66" s="54">
        <f t="shared" ca="1" si="764"/>
        <v>3.4735848171705439</v>
      </c>
      <c r="AE66" s="54">
        <f t="shared" ca="1" si="764"/>
        <v>2.6184601338716691</v>
      </c>
      <c r="AI66" s="53" t="e">
        <f t="shared" ref="AI66:BN66" ca="1" si="766">(AI48-AI47)/AI65</f>
        <v>#NAME?</v>
      </c>
      <c r="AJ66" s="53" t="e">
        <f t="shared" ca="1" si="766"/>
        <v>#NAME?</v>
      </c>
      <c r="AK66" s="53" t="e">
        <f t="shared" ca="1" si="766"/>
        <v>#NAME?</v>
      </c>
      <c r="AL66" s="53" t="e">
        <f t="shared" ca="1" si="766"/>
        <v>#NAME?</v>
      </c>
      <c r="AM66" s="53" t="e">
        <f t="shared" ca="1" si="766"/>
        <v>#NAME?</v>
      </c>
      <c r="AN66" s="53" t="e">
        <f t="shared" ca="1" si="766"/>
        <v>#NAME?</v>
      </c>
      <c r="AO66" s="53" t="e">
        <f t="shared" ca="1" si="766"/>
        <v>#NAME?</v>
      </c>
      <c r="AP66" s="53" t="e">
        <f t="shared" ca="1" si="766"/>
        <v>#NAME?</v>
      </c>
      <c r="AQ66" s="53" t="e">
        <f t="shared" ca="1" si="766"/>
        <v>#NAME?</v>
      </c>
      <c r="AR66" s="53" t="e">
        <f t="shared" ca="1" si="766"/>
        <v>#NAME?</v>
      </c>
      <c r="AS66" s="53" t="e">
        <f t="shared" ca="1" si="766"/>
        <v>#NAME?</v>
      </c>
      <c r="AT66" s="53" t="e">
        <f t="shared" ca="1" si="766"/>
        <v>#NAME?</v>
      </c>
      <c r="AU66" s="53" t="e">
        <f t="shared" ca="1" si="766"/>
        <v>#NAME?</v>
      </c>
      <c r="AV66" s="53" t="e">
        <f t="shared" ca="1" si="766"/>
        <v>#NAME?</v>
      </c>
      <c r="AW66" s="53" t="e">
        <f t="shared" ca="1" si="766"/>
        <v>#NAME?</v>
      </c>
      <c r="AX66" s="53" t="e">
        <f t="shared" ca="1" si="766"/>
        <v>#NAME?</v>
      </c>
      <c r="AY66" s="53" t="e">
        <f t="shared" ca="1" si="766"/>
        <v>#NAME?</v>
      </c>
      <c r="AZ66" s="53" t="e">
        <f t="shared" ca="1" si="766"/>
        <v>#NAME?</v>
      </c>
      <c r="BA66" s="53" t="e">
        <f t="shared" ca="1" si="766"/>
        <v>#NAME?</v>
      </c>
      <c r="BB66" s="53" t="e">
        <f t="shared" ca="1" si="766"/>
        <v>#NAME?</v>
      </c>
      <c r="BC66" s="53" t="e">
        <f t="shared" ca="1" si="766"/>
        <v>#NAME?</v>
      </c>
      <c r="BD66" s="53" t="e">
        <f t="shared" ca="1" si="766"/>
        <v>#NAME?</v>
      </c>
      <c r="BE66" s="53" t="e">
        <f t="shared" ca="1" si="766"/>
        <v>#NAME?</v>
      </c>
      <c r="BF66" s="53" t="e">
        <f t="shared" ca="1" si="766"/>
        <v>#NAME?</v>
      </c>
      <c r="BG66" s="53" t="e">
        <f t="shared" ca="1" si="766"/>
        <v>#NAME?</v>
      </c>
      <c r="BH66" s="53" t="e">
        <f t="shared" ca="1" si="766"/>
        <v>#NAME?</v>
      </c>
      <c r="BI66" s="53" t="e">
        <f t="shared" ca="1" si="766"/>
        <v>#NAME?</v>
      </c>
      <c r="BJ66" s="53" t="e">
        <f t="shared" ca="1" si="766"/>
        <v>#NAME?</v>
      </c>
      <c r="BK66" s="53" t="e">
        <f t="shared" ca="1" si="766"/>
        <v>#NAME?</v>
      </c>
      <c r="BL66" s="53" t="e">
        <f t="shared" ca="1" si="766"/>
        <v>#NAME?</v>
      </c>
      <c r="BM66" s="53" t="e">
        <f t="shared" ca="1" si="766"/>
        <v>#NAME?</v>
      </c>
      <c r="BN66" s="53" t="e">
        <f t="shared" ca="1" si="766"/>
        <v>#NAME?</v>
      </c>
      <c r="BO66" s="53" t="e">
        <f t="shared" ref="BO66:CT66" ca="1" si="767">(BO48-BO47)/BO65</f>
        <v>#NAME?</v>
      </c>
      <c r="BP66" s="53" t="e">
        <f t="shared" ca="1" si="767"/>
        <v>#NAME?</v>
      </c>
      <c r="BQ66" s="53" t="e">
        <f t="shared" ca="1" si="767"/>
        <v>#NAME?</v>
      </c>
      <c r="BR66" s="53" t="e">
        <f t="shared" ca="1" si="767"/>
        <v>#NAME?</v>
      </c>
      <c r="BS66" s="53" t="e">
        <f t="shared" ca="1" si="767"/>
        <v>#NAME?</v>
      </c>
      <c r="BT66" s="53" t="e">
        <f t="shared" ca="1" si="767"/>
        <v>#NAME?</v>
      </c>
      <c r="BU66" s="53" t="e">
        <f t="shared" ca="1" si="767"/>
        <v>#NAME?</v>
      </c>
      <c r="BV66" s="53" t="e">
        <f t="shared" ca="1" si="767"/>
        <v>#NAME?</v>
      </c>
      <c r="BW66" s="53" t="e">
        <f t="shared" ca="1" si="767"/>
        <v>#NAME?</v>
      </c>
      <c r="BX66" s="53" t="e">
        <f t="shared" ca="1" si="767"/>
        <v>#NAME?</v>
      </c>
      <c r="BY66" s="53" t="e">
        <f t="shared" ca="1" si="767"/>
        <v>#NAME?</v>
      </c>
      <c r="BZ66" s="53" t="e">
        <f t="shared" ca="1" si="767"/>
        <v>#NAME?</v>
      </c>
      <c r="CA66" s="53" t="e">
        <f t="shared" ca="1" si="767"/>
        <v>#NAME?</v>
      </c>
      <c r="CB66" s="53" t="e">
        <f t="shared" ca="1" si="767"/>
        <v>#NAME?</v>
      </c>
      <c r="CC66" s="53" t="e">
        <f t="shared" ca="1" si="767"/>
        <v>#NAME?</v>
      </c>
      <c r="CD66" s="53" t="e">
        <f t="shared" ca="1" si="767"/>
        <v>#NAME?</v>
      </c>
      <c r="CE66" s="53" t="e">
        <f t="shared" ca="1" si="767"/>
        <v>#NAME?</v>
      </c>
      <c r="CF66" s="53" t="e">
        <f t="shared" ca="1" si="767"/>
        <v>#NAME?</v>
      </c>
      <c r="CG66" s="53" t="e">
        <f t="shared" ca="1" si="767"/>
        <v>#NAME?</v>
      </c>
      <c r="CH66" s="53" t="e">
        <f t="shared" ca="1" si="767"/>
        <v>#NAME?</v>
      </c>
      <c r="CI66" s="53" t="e">
        <f t="shared" ca="1" si="767"/>
        <v>#NAME?</v>
      </c>
      <c r="CJ66" s="53" t="e">
        <f t="shared" ca="1" si="767"/>
        <v>#NAME?</v>
      </c>
      <c r="CK66" s="53" t="e">
        <f t="shared" ref="CK66:CL66" ca="1" si="768">(CK48-CK47)/CK65</f>
        <v>#NAME?</v>
      </c>
      <c r="CL66" s="53" t="e">
        <f t="shared" ca="1" si="768"/>
        <v>#NAME?</v>
      </c>
      <c r="CM66" s="54" t="e">
        <f t="shared" ca="1" si="767"/>
        <v>#NAME?</v>
      </c>
      <c r="CN66" s="54" t="e">
        <f t="shared" ca="1" si="767"/>
        <v>#NAME?</v>
      </c>
      <c r="CO66" s="54" t="e">
        <f t="shared" ca="1" si="767"/>
        <v>#NAME?</v>
      </c>
      <c r="CP66" s="54" t="e">
        <f t="shared" ca="1" si="767"/>
        <v>#NAME?</v>
      </c>
      <c r="CQ66" s="54" t="e">
        <f t="shared" ca="1" si="767"/>
        <v>#NAME?</v>
      </c>
      <c r="CR66" s="54" t="e">
        <f t="shared" ca="1" si="767"/>
        <v>#NAME?</v>
      </c>
      <c r="CS66" s="54" t="e">
        <f t="shared" ca="1" si="767"/>
        <v>#NAME?</v>
      </c>
      <c r="CT66" s="54" t="e">
        <f t="shared" ca="1" si="767"/>
        <v>#NAME?</v>
      </c>
      <c r="CU66" s="54" t="e">
        <f t="shared" ref="CU66:DB66" ca="1" si="769">(CU48-CU47)/CU65</f>
        <v>#NAME?</v>
      </c>
      <c r="CV66" s="54" t="e">
        <f t="shared" ca="1" si="769"/>
        <v>#NAME?</v>
      </c>
      <c r="CW66" s="54" t="e">
        <f t="shared" ca="1" si="769"/>
        <v>#NAME?</v>
      </c>
      <c r="CX66" s="54" t="e">
        <f t="shared" ca="1" si="769"/>
        <v>#NAME?</v>
      </c>
      <c r="CY66" s="54" t="e">
        <f t="shared" ca="1" si="769"/>
        <v>#NAME?</v>
      </c>
      <c r="CZ66" s="54" t="e">
        <f t="shared" ca="1" si="769"/>
        <v>#NAME?</v>
      </c>
      <c r="DA66" s="54" t="e">
        <f t="shared" ca="1" si="769"/>
        <v>#NAME?</v>
      </c>
      <c r="DB66" s="54" t="e">
        <f t="shared" ca="1" si="769"/>
        <v>#NAME?</v>
      </c>
      <c r="DE66" s="132"/>
      <c r="DF66" s="53">
        <v>9.2336575777430756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70">C67/C66</f>
        <v>#NAME?</v>
      </c>
      <c r="D68" s="3" t="e">
        <f t="shared" ca="1" si="770"/>
        <v>#NAME?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>
        <f t="shared" ca="1" si="770"/>
        <v>0</v>
      </c>
      <c r="M68" s="3">
        <f t="shared" ca="1" si="770"/>
        <v>0</v>
      </c>
      <c r="N68" s="3">
        <f t="shared" ca="1" si="770"/>
        <v>0</v>
      </c>
      <c r="O68" s="3">
        <f t="shared" ca="1" si="770"/>
        <v>0</v>
      </c>
      <c r="P68" s="3">
        <f t="shared" ca="1" si="770"/>
        <v>2.0767593970458105</v>
      </c>
      <c r="Q68" s="3">
        <f t="shared" ca="1" si="770"/>
        <v>0</v>
      </c>
      <c r="R68" s="3">
        <f t="shared" ca="1" si="770"/>
        <v>0</v>
      </c>
      <c r="S68" s="3">
        <f t="shared" ca="1" si="770"/>
        <v>0</v>
      </c>
      <c r="T68" s="3">
        <f t="shared" ca="1" si="770"/>
        <v>0</v>
      </c>
      <c r="U68" s="3">
        <f t="shared" ca="1" si="770"/>
        <v>0</v>
      </c>
      <c r="V68" s="3">
        <f ca="1">V67/V66</f>
        <v>0</v>
      </c>
      <c r="W68" s="3">
        <f t="shared" ref="W68" ca="1" si="771">W67/W66</f>
        <v>0</v>
      </c>
      <c r="X68" s="3">
        <f t="shared" ref="X68:Y68" ca="1" si="772">X67/X66</f>
        <v>0</v>
      </c>
      <c r="Y68" s="3">
        <f t="shared" ca="1" si="772"/>
        <v>0</v>
      </c>
      <c r="Z68" s="3">
        <f t="shared" ref="Z68:AA68" ca="1" si="773">Z67/Z66</f>
        <v>0</v>
      </c>
      <c r="AA68" s="3">
        <f t="shared" ca="1" si="773"/>
        <v>0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6">+C66</f>
        <v>#NAME?</v>
      </c>
      <c r="D69" s="3" t="e">
        <f t="shared" ca="1" si="776"/>
        <v>#NAME?</v>
      </c>
      <c r="E69" s="3">
        <f t="shared" ca="1" si="776"/>
        <v>0</v>
      </c>
      <c r="F69" s="3">
        <f t="shared" ca="1" si="776"/>
        <v>0</v>
      </c>
      <c r="G69" s="3">
        <f t="shared" ca="1" si="776"/>
        <v>0</v>
      </c>
      <c r="H69" s="3">
        <f t="shared" ca="1" si="776"/>
        <v>0</v>
      </c>
      <c r="I69" s="3">
        <f t="shared" ca="1" si="776"/>
        <v>0</v>
      </c>
      <c r="J69" s="3">
        <f t="shared" ca="1" si="776"/>
        <v>0</v>
      </c>
      <c r="K69" s="3">
        <f t="shared" ca="1" si="776"/>
        <v>0</v>
      </c>
      <c r="L69" s="3">
        <f t="shared" ca="1" si="776"/>
        <v>0.43167802782117842</v>
      </c>
      <c r="M69" s="3">
        <f t="shared" ca="1" si="776"/>
        <v>0.52230255531475223</v>
      </c>
      <c r="N69" s="3">
        <f t="shared" ca="1" si="776"/>
        <v>0.63338459503049227</v>
      </c>
      <c r="O69" s="3">
        <f t="shared" ca="1" si="776"/>
        <v>2.6971956428607431</v>
      </c>
      <c r="P69" s="3">
        <f t="shared" ca="1" si="776"/>
        <v>2.6082302429313073</v>
      </c>
      <c r="Q69" s="3">
        <f t="shared" ca="1" si="776"/>
        <v>0.47325931152663492</v>
      </c>
      <c r="R69" s="3">
        <f t="shared" ca="1" si="776"/>
        <v>7.4406393326949732E-2</v>
      </c>
      <c r="S69" s="3">
        <f t="shared" ca="1" si="776"/>
        <v>-0.48435644624767066</v>
      </c>
      <c r="T69" s="3">
        <f ca="1">+T66</f>
        <v>-0.11755959881054331</v>
      </c>
      <c r="U69" s="3">
        <f t="shared" ca="1" si="776"/>
        <v>-0.84471548813063502</v>
      </c>
      <c r="V69" s="3">
        <f ca="1">+V66</f>
        <v>1.4885842447457323</v>
      </c>
      <c r="W69" s="3">
        <f t="shared" ref="W69" ca="1" si="777">+W66</f>
        <v>5.014238193639434</v>
      </c>
      <c r="X69" s="3">
        <f t="shared" ref="X69:Y69" ca="1" si="778">+X66</f>
        <v>3.9976563681266031</v>
      </c>
      <c r="Y69" s="3">
        <f t="shared" ca="1" si="778"/>
        <v>7.7108008668917973</v>
      </c>
      <c r="Z69" s="3">
        <f t="shared" ref="Z69:AA69" ca="1" si="779">+Z66</f>
        <v>8.5776926566201368</v>
      </c>
      <c r="AA69" s="3">
        <f t="shared" ca="1" si="779"/>
        <v>8.5776926566201368</v>
      </c>
      <c r="AB69" s="37">
        <f t="shared" ref="AA69:AD69" ca="1" si="780">+AB66</f>
        <v>5.7510297375753261</v>
      </c>
      <c r="AC69" s="37">
        <f t="shared" ca="1" si="780"/>
        <v>4.5165501421823118</v>
      </c>
      <c r="AD69" s="37">
        <f t="shared" ca="1" si="780"/>
        <v>3.4735848171705439</v>
      </c>
      <c r="AE69" s="37">
        <f t="shared" ref="AE69" ca="1" si="781">+AE66</f>
        <v>2.6184601338716691</v>
      </c>
      <c r="AL69" s="3" t="e">
        <f ca="1">SUM(AI66:AL66)</f>
        <v>#NAME?</v>
      </c>
      <c r="AM69" s="3" t="e">
        <f t="shared" ref="AM69" ca="1" si="782">SUM(AJ66:AM66)</f>
        <v>#NAME?</v>
      </c>
      <c r="AN69" s="3" t="e">
        <f t="shared" ref="AN69" ca="1" si="783">SUM(AK66:AN66)</f>
        <v>#NAME?</v>
      </c>
      <c r="AO69" s="3" t="e">
        <f t="shared" ref="AO69" ca="1" si="784">SUM(AL66:AO66)</f>
        <v>#NAME?</v>
      </c>
      <c r="AP69" s="3" t="e">
        <f t="shared" ref="AP69" ca="1" si="785">SUM(AM66:AP66)</f>
        <v>#NAME?</v>
      </c>
      <c r="AQ69" s="3" t="e">
        <f t="shared" ref="AQ69" ca="1" si="786">SUM(AN66:AQ66)</f>
        <v>#NAME?</v>
      </c>
      <c r="AR69" s="3" t="e">
        <f t="shared" ref="AR69" ca="1" si="787">SUM(AO66:AR66)</f>
        <v>#NAME?</v>
      </c>
      <c r="AS69" s="3" t="e">
        <f t="shared" ref="AS69" ca="1" si="788">SUM(AP66:AS66)</f>
        <v>#NAME?</v>
      </c>
      <c r="AT69" s="3" t="e">
        <f t="shared" ref="AT69" ca="1" si="789">SUM(AQ66:AT66)</f>
        <v>#NAME?</v>
      </c>
      <c r="AU69" s="3" t="e">
        <f t="shared" ref="AU69" ca="1" si="790">SUM(AR66:AU66)</f>
        <v>#NAME?</v>
      </c>
      <c r="AV69" s="3" t="e">
        <f t="shared" ref="AV69" ca="1" si="791">SUM(AS66:AV66)</f>
        <v>#NAME?</v>
      </c>
      <c r="AW69" s="3" t="e">
        <f t="shared" ref="AW69" ca="1" si="792">SUM(AT66:AW66)</f>
        <v>#NAME?</v>
      </c>
      <c r="AX69" s="3" t="e">
        <f t="shared" ref="AX69" ca="1" si="793">SUM(AU66:AX66)</f>
        <v>#NAME?</v>
      </c>
      <c r="AY69" s="3" t="e">
        <f t="shared" ref="AY69" ca="1" si="794">SUM(AV66:AY66)</f>
        <v>#NAME?</v>
      </c>
      <c r="AZ69" s="3" t="e">
        <f t="shared" ref="AZ69" ca="1" si="795">SUM(AW66:AZ66)</f>
        <v>#NAME?</v>
      </c>
      <c r="BA69" s="3" t="e">
        <f t="shared" ref="BA69" ca="1" si="796">SUM(AX66:BA66)</f>
        <v>#NAME?</v>
      </c>
      <c r="BB69" s="3" t="e">
        <f t="shared" ref="BB69" ca="1" si="797">SUM(AY66:BB66)</f>
        <v>#NAME?</v>
      </c>
      <c r="BC69" s="3" t="e">
        <f t="shared" ref="BC69" ca="1" si="798">SUM(AZ66:BC66)</f>
        <v>#NAME?</v>
      </c>
      <c r="BD69" s="3" t="e">
        <f t="shared" ref="BD69" ca="1" si="799">SUM(BA66:BD66)</f>
        <v>#NAME?</v>
      </c>
      <c r="BE69" s="3" t="e">
        <f t="shared" ref="BE69" ca="1" si="800">SUM(BB66:BE66)</f>
        <v>#NAME?</v>
      </c>
      <c r="BF69" s="3" t="e">
        <f t="shared" ref="BF69" ca="1" si="801">SUM(BC66:BF66)</f>
        <v>#NAME?</v>
      </c>
      <c r="BG69" s="3" t="e">
        <f t="shared" ref="BG69" ca="1" si="802">SUM(BD66:BG66)</f>
        <v>#NAME?</v>
      </c>
      <c r="BH69" s="3" t="e">
        <f t="shared" ref="BH69" ca="1" si="803">SUM(BE66:BH66)</f>
        <v>#NAME?</v>
      </c>
      <c r="BI69" s="3" t="e">
        <f t="shared" ref="BI69" ca="1" si="804">SUM(BF66:BI66)</f>
        <v>#NAME?</v>
      </c>
      <c r="BJ69" s="3" t="e">
        <f t="shared" ref="BJ69" ca="1" si="805">SUM(BG66:BJ66)</f>
        <v>#NAME?</v>
      </c>
      <c r="BK69" s="3" t="e">
        <f t="shared" ref="BK69" ca="1" si="806">SUM(BH66:BK66)</f>
        <v>#NAME?</v>
      </c>
      <c r="BL69" s="3" t="e">
        <f t="shared" ref="BL69" ca="1" si="807">SUM(BI66:BL66)</f>
        <v>#NAME?</v>
      </c>
      <c r="BM69" s="3" t="e">
        <f t="shared" ref="BM69" ca="1" si="808">SUM(BJ66:BM66)</f>
        <v>#NAME?</v>
      </c>
      <c r="BN69" s="3" t="e">
        <f t="shared" ref="BN69" ca="1" si="809">SUM(BK66:BN66)</f>
        <v>#NAME?</v>
      </c>
      <c r="BO69" s="3" t="e">
        <f t="shared" ref="BO69" ca="1" si="810">SUM(BL66:BO66)</f>
        <v>#NAME?</v>
      </c>
      <c r="BP69" s="3" t="e">
        <f t="shared" ref="BP69" ca="1" si="811">SUM(BM66:BP66)</f>
        <v>#NAME?</v>
      </c>
      <c r="BQ69" s="3" t="e">
        <f t="shared" ref="BQ69" ca="1" si="812">SUM(BN66:BQ66)</f>
        <v>#NAME?</v>
      </c>
      <c r="BR69" s="3" t="e">
        <f t="shared" ref="BR69" ca="1" si="813">SUM(BO66:BR66)</f>
        <v>#NAME?</v>
      </c>
      <c r="BS69" s="3" t="e">
        <f t="shared" ref="BS69" ca="1" si="814">SUM(BP66:BS66)</f>
        <v>#NAME?</v>
      </c>
      <c r="BT69" s="3" t="e">
        <f t="shared" ref="BT69" ca="1" si="815">SUM(BQ66:BT66)</f>
        <v>#NAME?</v>
      </c>
      <c r="BU69" s="3" t="e">
        <f t="shared" ref="BU69" ca="1" si="816">SUM(BR66:BU66)</f>
        <v>#NAME?</v>
      </c>
      <c r="BV69" s="3" t="e">
        <f t="shared" ref="BV69" ca="1" si="817">SUM(BS66:BV66)</f>
        <v>#NAME?</v>
      </c>
      <c r="BW69" s="3" t="e">
        <f t="shared" ref="BW69" ca="1" si="818">SUM(BT66:BW66)</f>
        <v>#NAME?</v>
      </c>
      <c r="BX69" s="3" t="e">
        <f t="shared" ref="BX69" ca="1" si="819">SUM(BU66:BX66)</f>
        <v>#NAME?</v>
      </c>
      <c r="BY69" s="3" t="e">
        <f t="shared" ref="BY69" ca="1" si="820">SUM(BV66:BY66)</f>
        <v>#NAME?</v>
      </c>
      <c r="BZ69" s="3" t="e">
        <f t="shared" ref="BZ69" ca="1" si="821">SUM(BW66:BZ66)</f>
        <v>#NAME?</v>
      </c>
      <c r="CA69" s="3" t="e">
        <f t="shared" ref="CA69" ca="1" si="822">SUM(BX66:CA66)</f>
        <v>#NAME?</v>
      </c>
      <c r="CB69" s="3" t="e">
        <f t="shared" ref="CB69" ca="1" si="823">SUM(BY66:CB66)</f>
        <v>#NAME?</v>
      </c>
      <c r="CC69" s="3" t="e">
        <f t="shared" ref="CC69" ca="1" si="824">SUM(BZ66:CC66)</f>
        <v>#NAME?</v>
      </c>
      <c r="CD69" s="3" t="e">
        <f t="shared" ref="CD69" ca="1" si="825">SUM(CA66:CD66)</f>
        <v>#NAME?</v>
      </c>
      <c r="CE69" s="3" t="e">
        <f t="shared" ref="CE69" ca="1" si="826">SUM(CB66:CE66)</f>
        <v>#NAME?</v>
      </c>
      <c r="CF69" s="3" t="e">
        <f t="shared" ref="CF69" ca="1" si="827">SUM(CC66:CF66)</f>
        <v>#NAME?</v>
      </c>
      <c r="CG69" s="3" t="e">
        <f t="shared" ref="CG69" ca="1" si="828">SUM(CD66:CG66)</f>
        <v>#NAME?</v>
      </c>
      <c r="CH69" s="3" t="e">
        <f t="shared" ref="CH69:CL69" ca="1" si="829">SUM(CE66:CH66)</f>
        <v>#NAME?</v>
      </c>
      <c r="CI69" s="3" t="e">
        <f t="shared" ca="1" si="829"/>
        <v>#NAME?</v>
      </c>
      <c r="CJ69" s="3" t="e">
        <f t="shared" ca="1" si="829"/>
        <v>#NAME?</v>
      </c>
      <c r="CK69" s="3" t="e">
        <f t="shared" ca="1" si="829"/>
        <v>#NAME?</v>
      </c>
      <c r="CL69" s="3" t="e">
        <f t="shared" ca="1" si="829"/>
        <v>#NAME?</v>
      </c>
      <c r="CM69" s="37" t="e">
        <f t="shared" ref="CM69" ca="1" si="830">SUM(CJ66:CM66)</f>
        <v>#NAME?</v>
      </c>
      <c r="CN69" s="37" t="e">
        <f t="shared" ref="CN69" ca="1" si="831">SUM(CK66:CN66)</f>
        <v>#NAME?</v>
      </c>
      <c r="CO69" s="37" t="e">
        <f t="shared" ref="CO69" ca="1" si="832">SUM(CL66:CO66)</f>
        <v>#NAME?</v>
      </c>
      <c r="CP69" s="37" t="e">
        <f t="shared" ref="CP69" ca="1" si="833">SUM(CM66:CP66)</f>
        <v>#NAME?</v>
      </c>
      <c r="CQ69" s="37" t="e">
        <f t="shared" ref="CQ69" ca="1" si="834">SUM(CN66:CQ66)</f>
        <v>#NAME?</v>
      </c>
      <c r="CR69" s="37" t="e">
        <f t="shared" ref="CR69" ca="1" si="835">SUM(CO66:CR66)</f>
        <v>#NAME?</v>
      </c>
      <c r="CS69" s="37" t="e">
        <f t="shared" ref="CS69" ca="1" si="836">SUM(CP66:CS66)</f>
        <v>#NAME?</v>
      </c>
      <c r="CT69" s="37" t="e">
        <f t="shared" ref="CT69" ca="1" si="837">SUM(CQ66:CT66)</f>
        <v>#NAME?</v>
      </c>
      <c r="CU69" s="37" t="e">
        <f t="shared" ref="CU69" ca="1" si="838">SUM(CR66:CU66)</f>
        <v>#NAME?</v>
      </c>
      <c r="CV69" s="37" t="e">
        <f t="shared" ref="CV69" ca="1" si="839">SUM(CS66:CV66)</f>
        <v>#NAME?</v>
      </c>
      <c r="CW69" s="37" t="e">
        <f t="shared" ref="CW69" ca="1" si="840">SUM(CT66:CW66)</f>
        <v>#NAME?</v>
      </c>
      <c r="CX69" s="37" t="e">
        <f t="shared" ref="CX69" ca="1" si="841">SUM(CU66:CX66)</f>
        <v>#NAME?</v>
      </c>
      <c r="CY69" s="37" t="e">
        <f t="shared" ref="CY69" ca="1" si="842">SUM(CV66:CY66)</f>
        <v>#NAME?</v>
      </c>
      <c r="CZ69" s="37" t="e">
        <f t="shared" ref="CZ69" ca="1" si="843">SUM(CW66:CZ66)</f>
        <v>#NAME?</v>
      </c>
      <c r="DA69" s="37" t="e">
        <f t="shared" ref="DA69" ca="1" si="844">SUM(CX66:DA66)</f>
        <v>#NAME?</v>
      </c>
      <c r="DB69" s="37" t="e">
        <f t="shared" ref="DB69" ca="1" si="845">SUM(CY66:DB66)</f>
        <v>#NAME?</v>
      </c>
      <c r="DE69" s="134"/>
      <c r="DF69" s="3">
        <v>9.2336575777430756</v>
      </c>
    </row>
    <row r="70" spans="1:110" s="97" customFormat="1" x14ac:dyDescent="0.2">
      <c r="A70" s="97" t="s">
        <v>425</v>
      </c>
      <c r="C70" s="101" t="e">
        <f t="shared" ref="C70:AA70" ca="1" si="846">+C69/B69-1</f>
        <v>#NAME?</v>
      </c>
      <c r="D70" s="101" t="e">
        <f t="shared" ca="1" si="846"/>
        <v>#NAME?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>
        <f t="shared" ca="1" si="846"/>
        <v>0.20993546498297744</v>
      </c>
      <c r="N70" s="101">
        <f t="shared" ca="1" si="846"/>
        <v>0.21267757276967436</v>
      </c>
      <c r="O70" s="101">
        <f t="shared" ca="1" si="846"/>
        <v>3.2583852907424991</v>
      </c>
      <c r="P70" s="101">
        <f t="shared" ca="1" si="846"/>
        <v>-3.2984407402896432E-2</v>
      </c>
      <c r="Q70" s="101">
        <f t="shared" ca="1" si="846"/>
        <v>-0.81855155893187037</v>
      </c>
      <c r="R70" s="101">
        <f t="shared" ca="1" si="846"/>
        <v>-0.84277880748520217</v>
      </c>
      <c r="S70" s="101">
        <f t="shared" ca="1" si="846"/>
        <v>-7.5096079058604026</v>
      </c>
      <c r="T70" s="101">
        <f t="shared" ca="1" si="846"/>
        <v>-0.75728701512846097</v>
      </c>
      <c r="U70" s="101">
        <f t="shared" ca="1" si="846"/>
        <v>6.1854233654876749</v>
      </c>
      <c r="V70" s="101">
        <f t="shared" ca="1" si="846"/>
        <v>-2.7622315035799643</v>
      </c>
      <c r="W70" s="101">
        <f t="shared" ca="1" si="846"/>
        <v>2.3684611477907485</v>
      </c>
      <c r="X70" s="101">
        <f t="shared" ca="1" si="846"/>
        <v>-0.20273903756753442</v>
      </c>
      <c r="Y70" s="101">
        <f t="shared" ca="1" si="846"/>
        <v>0.92883033378510782</v>
      </c>
      <c r="Z70" s="101">
        <f t="shared" ca="1" si="846"/>
        <v>0.11242564873521133</v>
      </c>
      <c r="AA70" s="101">
        <f t="shared" ca="1" si="846"/>
        <v>0.11242564873521133</v>
      </c>
      <c r="AB70" s="174">
        <f t="shared" ref="AB70" ca="1" si="847">+AB69/AA69-1</f>
        <v>-0.37716666563013113</v>
      </c>
      <c r="AC70" s="174">
        <f t="shared" ref="AC70" ca="1" si="848">+AC69/AB69-1</f>
        <v>-0.21465366233934302</v>
      </c>
      <c r="AD70" s="174">
        <f t="shared" ref="AD70" ca="1" si="849">+AD69/AC69-1</f>
        <v>-0.23092078958030271</v>
      </c>
      <c r="AE70" s="174">
        <f t="shared" ref="AE70" ca="1" si="850">+AE69/AD69-1</f>
        <v>-0.24617930130044396</v>
      </c>
      <c r="AL70" s="176"/>
      <c r="AM70" s="176"/>
      <c r="AN70" s="176"/>
      <c r="AO70" s="176"/>
      <c r="AP70" s="176" t="e">
        <f t="shared" ref="AP70:CL70" ca="1" si="851">+IF(AL69&lt;0,1-AP69/AL69,AP69/AL69-1)</f>
        <v>#NAME?</v>
      </c>
      <c r="AQ70" s="176" t="e">
        <f t="shared" ca="1" si="851"/>
        <v>#NAME?</v>
      </c>
      <c r="AR70" s="176" t="e">
        <f t="shared" ca="1" si="851"/>
        <v>#NAME?</v>
      </c>
      <c r="AS70" s="176" t="e">
        <f t="shared" ca="1" si="851"/>
        <v>#NAME?</v>
      </c>
      <c r="AT70" s="176" t="e">
        <f t="shared" ca="1" si="851"/>
        <v>#NAME?</v>
      </c>
      <c r="AU70" s="176" t="e">
        <f t="shared" ca="1" si="851"/>
        <v>#NAME?</v>
      </c>
      <c r="AV70" s="176" t="e">
        <f t="shared" ca="1" si="851"/>
        <v>#NAME?</v>
      </c>
      <c r="AW70" s="176" t="e">
        <f t="shared" ca="1" si="851"/>
        <v>#NAME?</v>
      </c>
      <c r="AX70" s="176" t="e">
        <f t="shared" ca="1" si="851"/>
        <v>#NAME?</v>
      </c>
      <c r="AY70" s="176" t="e">
        <f t="shared" ca="1" si="851"/>
        <v>#NAME?</v>
      </c>
      <c r="AZ70" s="176" t="e">
        <f t="shared" ca="1" si="851"/>
        <v>#NAME?</v>
      </c>
      <c r="BA70" s="176" t="e">
        <f t="shared" ca="1" si="851"/>
        <v>#NAME?</v>
      </c>
      <c r="BB70" s="176" t="e">
        <f t="shared" ca="1" si="851"/>
        <v>#NAME?</v>
      </c>
      <c r="BC70" s="176" t="e">
        <f t="shared" ca="1" si="851"/>
        <v>#NAME?</v>
      </c>
      <c r="BD70" s="176" t="e">
        <f t="shared" ca="1" si="851"/>
        <v>#NAME?</v>
      </c>
      <c r="BE70" s="176" t="e">
        <f t="shared" ca="1" si="851"/>
        <v>#NAME?</v>
      </c>
      <c r="BF70" s="176" t="e">
        <f t="shared" ca="1" si="851"/>
        <v>#NAME?</v>
      </c>
      <c r="BG70" s="176" t="e">
        <f t="shared" ca="1" si="851"/>
        <v>#NAME?</v>
      </c>
      <c r="BH70" s="176" t="e">
        <f t="shared" ca="1" si="851"/>
        <v>#NAME?</v>
      </c>
      <c r="BI70" s="176" t="e">
        <f t="shared" ca="1" si="851"/>
        <v>#NAME?</v>
      </c>
      <c r="BJ70" s="176" t="e">
        <f t="shared" ca="1" si="851"/>
        <v>#NAME?</v>
      </c>
      <c r="BK70" s="176" t="e">
        <f t="shared" ca="1" si="851"/>
        <v>#NAME?</v>
      </c>
      <c r="BL70" s="176" t="e">
        <f t="shared" ca="1" si="851"/>
        <v>#NAME?</v>
      </c>
      <c r="BM70" s="176" t="e">
        <f t="shared" ca="1" si="851"/>
        <v>#NAME?</v>
      </c>
      <c r="BN70" s="176" t="e">
        <f t="shared" ca="1" si="851"/>
        <v>#NAME?</v>
      </c>
      <c r="BO70" s="176" t="e">
        <f t="shared" ca="1" si="851"/>
        <v>#NAME?</v>
      </c>
      <c r="BP70" s="176" t="e">
        <f t="shared" ca="1" si="851"/>
        <v>#NAME?</v>
      </c>
      <c r="BQ70" s="176" t="e">
        <f t="shared" ca="1" si="851"/>
        <v>#NAME?</v>
      </c>
      <c r="BR70" s="176" t="e">
        <f t="shared" ca="1" si="851"/>
        <v>#NAME?</v>
      </c>
      <c r="BS70" s="176" t="e">
        <f t="shared" ca="1" si="851"/>
        <v>#NAME?</v>
      </c>
      <c r="BT70" s="176" t="e">
        <f t="shared" ca="1" si="851"/>
        <v>#NAME?</v>
      </c>
      <c r="BU70" s="176" t="e">
        <f t="shared" ca="1" si="851"/>
        <v>#NAME?</v>
      </c>
      <c r="BV70" s="176" t="e">
        <f t="shared" ca="1" si="851"/>
        <v>#NAME?</v>
      </c>
      <c r="BW70" s="176" t="e">
        <f t="shared" ca="1" si="851"/>
        <v>#NAME?</v>
      </c>
      <c r="BX70" s="176" t="e">
        <f t="shared" ca="1" si="851"/>
        <v>#NAME?</v>
      </c>
      <c r="BY70" s="176" t="e">
        <f t="shared" ca="1" si="851"/>
        <v>#NAME?</v>
      </c>
      <c r="BZ70" s="176" t="e">
        <f t="shared" ca="1" si="851"/>
        <v>#NAME?</v>
      </c>
      <c r="CA70" s="176" t="e">
        <f t="shared" ca="1" si="851"/>
        <v>#NAME?</v>
      </c>
      <c r="CB70" s="176" t="e">
        <f t="shared" ca="1" si="851"/>
        <v>#NAME?</v>
      </c>
      <c r="CC70" s="176" t="e">
        <f t="shared" ca="1" si="851"/>
        <v>#NAME?</v>
      </c>
      <c r="CD70" s="176" t="e">
        <f t="shared" ca="1" si="851"/>
        <v>#NAME?</v>
      </c>
      <c r="CE70" s="176" t="e">
        <f t="shared" ca="1" si="851"/>
        <v>#NAME?</v>
      </c>
      <c r="CF70" s="176" t="e">
        <f t="shared" ca="1" si="851"/>
        <v>#NAME?</v>
      </c>
      <c r="CG70" s="176" t="e">
        <f t="shared" ca="1" si="851"/>
        <v>#NAME?</v>
      </c>
      <c r="CH70" s="176" t="e">
        <f t="shared" ca="1" si="851"/>
        <v>#NAME?</v>
      </c>
      <c r="CI70" s="176" t="e">
        <f t="shared" ca="1" si="851"/>
        <v>#NAME?</v>
      </c>
      <c r="CJ70" s="176" t="e">
        <f t="shared" ca="1" si="851"/>
        <v>#NAME?</v>
      </c>
      <c r="CK70" s="176" t="e">
        <f t="shared" ca="1" si="851"/>
        <v>#NAME?</v>
      </c>
      <c r="CL70" s="176" t="e">
        <f t="shared" ca="1" si="851"/>
        <v>#NAME?</v>
      </c>
      <c r="CM70" s="102" t="e">
        <f t="shared" ref="CM70:DB70" ca="1" si="852">+IF(CI69&lt;0,1-CM69/CI69,CM69/CI69-1)</f>
        <v>#NAME?</v>
      </c>
      <c r="CN70" s="102" t="e">
        <f t="shared" ca="1" si="852"/>
        <v>#NAME?</v>
      </c>
      <c r="CO70" s="102" t="e">
        <f t="shared" ca="1" si="852"/>
        <v>#NAME?</v>
      </c>
      <c r="CP70" s="102" t="e">
        <f t="shared" ca="1" si="852"/>
        <v>#NAME?</v>
      </c>
      <c r="CQ70" s="102" t="e">
        <f t="shared" ca="1" si="852"/>
        <v>#NAME?</v>
      </c>
      <c r="CR70" s="102" t="e">
        <f t="shared" ca="1" si="852"/>
        <v>#NAME?</v>
      </c>
      <c r="CS70" s="102" t="e">
        <f t="shared" ca="1" si="852"/>
        <v>#NAME?</v>
      </c>
      <c r="CT70" s="102" t="e">
        <f t="shared" ca="1" si="852"/>
        <v>#NAME?</v>
      </c>
      <c r="CU70" s="102" t="e">
        <f t="shared" ca="1" si="852"/>
        <v>#NAME?</v>
      </c>
      <c r="CV70" s="102" t="e">
        <f t="shared" ca="1" si="852"/>
        <v>#NAME?</v>
      </c>
      <c r="CW70" s="102" t="e">
        <f t="shared" ca="1" si="852"/>
        <v>#NAME?</v>
      </c>
      <c r="CX70" s="102" t="e">
        <f t="shared" ca="1" si="852"/>
        <v>#NAME?</v>
      </c>
      <c r="CY70" s="102" t="e">
        <f t="shared" ca="1" si="852"/>
        <v>#NAME?</v>
      </c>
      <c r="CZ70" s="102" t="e">
        <f t="shared" ca="1" si="852"/>
        <v>#NAME?</v>
      </c>
      <c r="DA70" s="102" t="e">
        <f t="shared" ca="1" si="852"/>
        <v>#NAME?</v>
      </c>
      <c r="DB70" s="102" t="e">
        <f t="shared" ca="1" si="852"/>
        <v>#NAME?</v>
      </c>
      <c r="DE70" s="135"/>
      <c r="DF70" s="97">
        <v>7.6473353311006687E-2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 t="e">
        <f t="shared" ref="CM77" ca="1" si="853">+CL77</f>
        <v>#NAME?</v>
      </c>
      <c r="CN77" s="37" t="e">
        <f t="shared" ref="CN77" ca="1" si="854">+CM77</f>
        <v>#NAME?</v>
      </c>
      <c r="CO77" s="37" t="e">
        <f t="shared" ref="CO77" ca="1" si="855">+CN77</f>
        <v>#NAME?</v>
      </c>
      <c r="CP77" s="37" t="e">
        <f t="shared" ref="CP77" ca="1" si="856">+CO77</f>
        <v>#NAME?</v>
      </c>
      <c r="CQ77" s="37" t="e">
        <f t="shared" ref="CQ77" ca="1" si="857">+CP77</f>
        <v>#NAME?</v>
      </c>
      <c r="CR77" s="37" t="e">
        <f t="shared" ref="CR77" ca="1" si="858">+CQ77</f>
        <v>#NAME?</v>
      </c>
      <c r="CS77" s="37" t="e">
        <f t="shared" ref="CS77" ca="1" si="859">+CR77</f>
        <v>#NAME?</v>
      </c>
      <c r="CT77" s="37" t="e">
        <f t="shared" ref="CT77" ca="1" si="860">+CS77</f>
        <v>#NAME?</v>
      </c>
      <c r="CU77" s="37" t="e">
        <f t="shared" ref="CU77" ca="1" si="861">+CT77</f>
        <v>#NAME?</v>
      </c>
      <c r="CV77" s="37" t="e">
        <f t="shared" ref="CV77" ca="1" si="862">+CU77</f>
        <v>#NAME?</v>
      </c>
      <c r="CW77" s="37" t="e">
        <f t="shared" ref="CW77" ca="1" si="863">+CV77</f>
        <v>#NAME?</v>
      </c>
      <c r="CX77" s="37" t="e">
        <f t="shared" ref="CX77" ca="1" si="864">+CW77</f>
        <v>#NAME?</v>
      </c>
      <c r="CY77" s="37" t="e">
        <f t="shared" ref="CY77" ca="1" si="865">+CX77</f>
        <v>#NAME?</v>
      </c>
      <c r="CZ77" s="37" t="e">
        <f t="shared" ref="CZ77" ca="1" si="866">+CY77</f>
        <v>#NAME?</v>
      </c>
      <c r="DA77" s="37" t="e">
        <f t="shared" ref="DA77" ca="1" si="867">+CZ77</f>
        <v>#NAME?</v>
      </c>
      <c r="DB77" s="37" t="e">
        <f t="shared" ref="DB77" ca="1" si="868">+DA77</f>
        <v>#NAME?</v>
      </c>
      <c r="DE77" s="134"/>
      <c r="DF77" s="13">
        <v>272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9">+CM69*CM86</f>
        <v>#NAME?</v>
      </c>
      <c r="CN78" s="37" t="e">
        <f t="shared" ca="1" si="869"/>
        <v>#NAME?</v>
      </c>
      <c r="CO78" s="37" t="e">
        <f t="shared" ca="1" si="869"/>
        <v>#NAME?</v>
      </c>
      <c r="CP78" s="37" t="e">
        <f t="shared" ca="1" si="869"/>
        <v>#NAME?</v>
      </c>
      <c r="CQ78" s="37" t="e">
        <f t="shared" ca="1" si="869"/>
        <v>#NAME?</v>
      </c>
      <c r="CR78" s="37" t="e">
        <f t="shared" ca="1" si="869"/>
        <v>#NAME?</v>
      </c>
      <c r="CS78" s="37" t="e">
        <f t="shared" ca="1" si="869"/>
        <v>#NAME?</v>
      </c>
      <c r="CT78" s="37" t="e">
        <f t="shared" ca="1" si="869"/>
        <v>#NAME?</v>
      </c>
      <c r="CU78" s="37" t="e">
        <f t="shared" ca="1" si="869"/>
        <v>#NAME?</v>
      </c>
      <c r="CV78" s="37" t="e">
        <f t="shared" ca="1" si="869"/>
        <v>#NAME?</v>
      </c>
      <c r="CW78" s="37" t="e">
        <f t="shared" ca="1" si="869"/>
        <v>#NAME?</v>
      </c>
      <c r="CX78" s="37" t="e">
        <f t="shared" ca="1" si="869"/>
        <v>#NAME?</v>
      </c>
      <c r="CY78" s="37" t="e">
        <f t="shared" ca="1" si="869"/>
        <v>#NAME?</v>
      </c>
      <c r="CZ78" s="37" t="e">
        <f t="shared" ca="1" si="869"/>
        <v>#NAME?</v>
      </c>
      <c r="DA78" s="37" t="e">
        <f t="shared" ca="1" si="869"/>
        <v>#NAME?</v>
      </c>
      <c r="DB78" s="37" t="e">
        <f t="shared" ca="1" si="869"/>
        <v>#NAME?</v>
      </c>
      <c r="DE78" s="134"/>
      <c r="DF78" s="13">
        <v>541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70">+CM87*CM69</f>
        <v>#NAME?</v>
      </c>
      <c r="CN79" s="37" t="e">
        <f t="shared" ca="1" si="870"/>
        <v>#NAME?</v>
      </c>
      <c r="CO79" s="37" t="e">
        <f t="shared" ca="1" si="870"/>
        <v>#NAME?</v>
      </c>
      <c r="CP79" s="37" t="e">
        <f t="shared" ca="1" si="870"/>
        <v>#NAME?</v>
      </c>
      <c r="CQ79" s="37" t="e">
        <f t="shared" ca="1" si="870"/>
        <v>#NAME?</v>
      </c>
      <c r="CR79" s="37" t="e">
        <f t="shared" ca="1" si="870"/>
        <v>#NAME?</v>
      </c>
      <c r="CS79" s="37" t="e">
        <f t="shared" ca="1" si="870"/>
        <v>#NAME?</v>
      </c>
      <c r="CT79" s="37" t="e">
        <f t="shared" ca="1" si="870"/>
        <v>#NAME?</v>
      </c>
      <c r="CU79" s="37" t="e">
        <f t="shared" ca="1" si="870"/>
        <v>#NAME?</v>
      </c>
      <c r="CV79" s="37" t="e">
        <f t="shared" ca="1" si="870"/>
        <v>#NAME?</v>
      </c>
      <c r="CW79" s="37" t="e">
        <f t="shared" ca="1" si="870"/>
        <v>#NAME?</v>
      </c>
      <c r="CX79" s="37" t="e">
        <f t="shared" ca="1" si="870"/>
        <v>#NAME?</v>
      </c>
      <c r="CY79" s="37" t="e">
        <f t="shared" ca="1" si="870"/>
        <v>#NAME?</v>
      </c>
      <c r="CZ79" s="37" t="e">
        <f t="shared" ca="1" si="870"/>
        <v>#NAME?</v>
      </c>
      <c r="DA79" s="37" t="e">
        <f t="shared" ca="1" si="870"/>
        <v>#NAME?</v>
      </c>
      <c r="DB79" s="37" t="e">
        <f t="shared" ca="1" si="870"/>
        <v>#NAME?</v>
      </c>
      <c r="DE79" s="134"/>
      <c r="DF79" s="13">
        <v>264.95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71">+AB78/AB77-1</f>
        <v>#NAME?</v>
      </c>
      <c r="AC81" s="48" t="e">
        <f t="shared" ca="1" si="871"/>
        <v>#NAME?</v>
      </c>
      <c r="AD81" s="48" t="e">
        <f t="shared" ca="1" si="871"/>
        <v>#NAME?</v>
      </c>
      <c r="AE81" s="48" t="e">
        <f t="shared" ref="AE81" ca="1" si="872">+AE78/AE77-1</f>
        <v>#NAME?</v>
      </c>
      <c r="CM81" s="48" t="e">
        <f t="shared" ref="CM81:DB81" ca="1" si="873">+CM78/CM77-1</f>
        <v>#NAME?</v>
      </c>
      <c r="CN81" s="48" t="e">
        <f t="shared" ca="1" si="873"/>
        <v>#NAME?</v>
      </c>
      <c r="CO81" s="48" t="e">
        <f t="shared" ca="1" si="873"/>
        <v>#NAME?</v>
      </c>
      <c r="CP81" s="48" t="e">
        <f t="shared" ca="1" si="873"/>
        <v>#NAME?</v>
      </c>
      <c r="CQ81" s="48" t="e">
        <f t="shared" ca="1" si="873"/>
        <v>#NAME?</v>
      </c>
      <c r="CR81" s="48" t="e">
        <f t="shared" ca="1" si="873"/>
        <v>#NAME?</v>
      </c>
      <c r="CS81" s="48" t="e">
        <f t="shared" ca="1" si="873"/>
        <v>#NAME?</v>
      </c>
      <c r="CT81" s="48" t="e">
        <f t="shared" ca="1" si="873"/>
        <v>#NAME?</v>
      </c>
      <c r="CU81" s="48" t="e">
        <f t="shared" ca="1" si="873"/>
        <v>#NAME?</v>
      </c>
      <c r="CV81" s="48" t="e">
        <f t="shared" ca="1" si="873"/>
        <v>#NAME?</v>
      </c>
      <c r="CW81" s="48" t="e">
        <f t="shared" ca="1" si="873"/>
        <v>#NAME?</v>
      </c>
      <c r="CX81" s="48" t="e">
        <f t="shared" ca="1" si="873"/>
        <v>#NAME?</v>
      </c>
      <c r="CY81" s="48" t="e">
        <f t="shared" ca="1" si="873"/>
        <v>#NAME?</v>
      </c>
      <c r="CZ81" s="48" t="e">
        <f t="shared" ca="1" si="873"/>
        <v>#NAME?</v>
      </c>
      <c r="DA81" s="48" t="e">
        <f t="shared" ca="1" si="873"/>
        <v>#NAME?</v>
      </c>
      <c r="DB81" s="48" t="e">
        <f t="shared" ca="1" si="873"/>
        <v>#NAME?</v>
      </c>
      <c r="DE81" s="129"/>
      <c r="DF81" s="51">
        <v>0.98897058823529416</v>
      </c>
    </row>
    <row r="82" spans="1:110" s="51" customFormat="1" x14ac:dyDescent="0.2">
      <c r="A82" s="51" t="s">
        <v>347</v>
      </c>
      <c r="AB82" s="48" t="e">
        <f t="shared" ref="AB82:AD82" ca="1" si="874">+AB79/AB77-1</f>
        <v>#NAME?</v>
      </c>
      <c r="AC82" s="48" t="e">
        <f t="shared" ca="1" si="874"/>
        <v>#NAME?</v>
      </c>
      <c r="AD82" s="48" t="e">
        <f t="shared" ca="1" si="874"/>
        <v>#NAME?</v>
      </c>
      <c r="AE82" s="48" t="e">
        <f t="shared" ref="AE82" ca="1" si="875">+AE79/AE77-1</f>
        <v>#NAME?</v>
      </c>
      <c r="CM82" s="48" t="e">
        <f t="shared" ref="CM82:DB82" ca="1" si="876">+CM79/CM77-1</f>
        <v>#NAME?</v>
      </c>
      <c r="CN82" s="48" t="e">
        <f t="shared" ca="1" si="876"/>
        <v>#NAME?</v>
      </c>
      <c r="CO82" s="48" t="e">
        <f t="shared" ca="1" si="876"/>
        <v>#NAME?</v>
      </c>
      <c r="CP82" s="48" t="e">
        <f t="shared" ca="1" si="876"/>
        <v>#NAME?</v>
      </c>
      <c r="CQ82" s="48" t="e">
        <f t="shared" ca="1" si="876"/>
        <v>#NAME?</v>
      </c>
      <c r="CR82" s="48" t="e">
        <f t="shared" ca="1" si="876"/>
        <v>#NAME?</v>
      </c>
      <c r="CS82" s="48" t="e">
        <f t="shared" ca="1" si="876"/>
        <v>#NAME?</v>
      </c>
      <c r="CT82" s="48" t="e">
        <f t="shared" ca="1" si="876"/>
        <v>#NAME?</v>
      </c>
      <c r="CU82" s="48" t="e">
        <f t="shared" ca="1" si="876"/>
        <v>#NAME?</v>
      </c>
      <c r="CV82" s="48" t="e">
        <f t="shared" ca="1" si="876"/>
        <v>#NAME?</v>
      </c>
      <c r="CW82" s="48" t="e">
        <f t="shared" ca="1" si="876"/>
        <v>#NAME?</v>
      </c>
      <c r="CX82" s="48" t="e">
        <f t="shared" ca="1" si="876"/>
        <v>#NAME?</v>
      </c>
      <c r="CY82" s="48" t="e">
        <f t="shared" ca="1" si="876"/>
        <v>#NAME?</v>
      </c>
      <c r="CZ82" s="48" t="e">
        <f t="shared" ca="1" si="876"/>
        <v>#NAME?</v>
      </c>
      <c r="DA82" s="48" t="e">
        <f t="shared" ca="1" si="876"/>
        <v>#NAME?</v>
      </c>
      <c r="DB82" s="48" t="e">
        <f t="shared" ca="1" si="876"/>
        <v>#NAME?</v>
      </c>
      <c r="DE82" s="129"/>
      <c r="DF82" s="51">
        <v>-2.5919117647058898E-2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7">+B77/B69</f>
        <v>#NAME?</v>
      </c>
      <c r="C85" s="13" t="e">
        <f t="shared" ca="1" si="877"/>
        <v>#NAME?</v>
      </c>
      <c r="D85" s="13" t="e">
        <f t="shared" ca="1" si="877"/>
        <v>#NAME?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>
        <f t="shared" ca="1" si="878"/>
        <v>0</v>
      </c>
      <c r="M85" s="13">
        <f t="shared" ca="1" si="878"/>
        <v>0</v>
      </c>
      <c r="N85" s="13">
        <f t="shared" ca="1" si="878"/>
        <v>0</v>
      </c>
      <c r="O85" s="13">
        <f t="shared" ca="1" si="878"/>
        <v>0</v>
      </c>
      <c r="P85" s="13">
        <f t="shared" ca="1" si="878"/>
        <v>0</v>
      </c>
      <c r="Q85" s="13">
        <f t="shared" ca="1" si="878"/>
        <v>0</v>
      </c>
      <c r="R85" s="13">
        <f t="shared" ca="1" si="878"/>
        <v>0</v>
      </c>
      <c r="S85" s="13">
        <f t="shared" ca="1" si="878"/>
        <v>0</v>
      </c>
      <c r="T85" s="13">
        <f t="shared" ca="1" si="878"/>
        <v>0</v>
      </c>
      <c r="U85" s="13">
        <f t="shared" ca="1" si="878"/>
        <v>0</v>
      </c>
      <c r="V85" s="13">
        <f t="shared" ca="1" si="878"/>
        <v>0</v>
      </c>
      <c r="W85" s="13">
        <f t="shared" ca="1" si="878"/>
        <v>0</v>
      </c>
      <c r="X85" s="13">
        <f t="shared" ca="1" si="878"/>
        <v>0</v>
      </c>
      <c r="Y85" s="13">
        <f t="shared" ca="1" si="878"/>
        <v>93.40145238250858</v>
      </c>
      <c r="Z85" s="13">
        <f t="shared" ref="Z85:AA85" ca="1" si="879">+Z77/Z69</f>
        <v>53.295217991656337</v>
      </c>
      <c r="AA85" s="13">
        <f t="shared" ca="1" si="879"/>
        <v>53.295217991656337</v>
      </c>
      <c r="AB85" s="37">
        <f t="shared" ca="1" si="878"/>
        <v>47.295877853463693</v>
      </c>
      <c r="AC85" s="37">
        <f t="shared" ca="1" si="878"/>
        <v>60.222955892741339</v>
      </c>
      <c r="AD85" s="37">
        <f t="shared" ca="1" si="878"/>
        <v>78.305270870443678</v>
      </c>
      <c r="AE85" s="37">
        <f t="shared" ca="1" si="878"/>
        <v>103.87784655625799</v>
      </c>
      <c r="AL85" s="13" t="e">
        <f t="shared" ref="AL85:BQ85" ca="1" si="880">+AL77/AL69</f>
        <v>#NAME?</v>
      </c>
      <c r="AM85" s="13" t="e">
        <f t="shared" ca="1" si="880"/>
        <v>#NAME?</v>
      </c>
      <c r="AN85" s="13" t="e">
        <f t="shared" ca="1" si="880"/>
        <v>#NAME?</v>
      </c>
      <c r="AO85" s="13" t="e">
        <f t="shared" ca="1" si="880"/>
        <v>#NAME?</v>
      </c>
      <c r="AP85" s="13" t="e">
        <f t="shared" ca="1" si="880"/>
        <v>#NAME?</v>
      </c>
      <c r="AQ85" s="13" t="e">
        <f t="shared" ca="1" si="880"/>
        <v>#NAME?</v>
      </c>
      <c r="AR85" s="13" t="e">
        <f t="shared" ca="1" si="880"/>
        <v>#NAME?</v>
      </c>
      <c r="AS85" s="13" t="e">
        <f t="shared" ca="1" si="880"/>
        <v>#NAME?</v>
      </c>
      <c r="AT85" s="13" t="e">
        <f t="shared" ca="1" si="880"/>
        <v>#NAME?</v>
      </c>
      <c r="AU85" s="13" t="e">
        <f t="shared" ca="1" si="880"/>
        <v>#NAME?</v>
      </c>
      <c r="AV85" s="13" t="e">
        <f t="shared" ca="1" si="880"/>
        <v>#NAME?</v>
      </c>
      <c r="AW85" s="13" t="e">
        <f t="shared" ca="1" si="880"/>
        <v>#NAME?</v>
      </c>
      <c r="AX85" s="13" t="e">
        <f t="shared" ca="1" si="880"/>
        <v>#NAME?</v>
      </c>
      <c r="AY85" s="13" t="e">
        <f t="shared" ca="1" si="880"/>
        <v>#NAME?</v>
      </c>
      <c r="AZ85" s="13" t="e">
        <f t="shared" ca="1" si="880"/>
        <v>#NAME?</v>
      </c>
      <c r="BA85" s="13" t="e">
        <f t="shared" ca="1" si="880"/>
        <v>#NAME?</v>
      </c>
      <c r="BB85" s="13" t="e">
        <f t="shared" ca="1" si="880"/>
        <v>#NAME?</v>
      </c>
      <c r="BC85" s="13" t="e">
        <f t="shared" ca="1" si="880"/>
        <v>#NAME?</v>
      </c>
      <c r="BD85" s="13" t="e">
        <f t="shared" ca="1" si="880"/>
        <v>#NAME?</v>
      </c>
      <c r="BE85" s="13" t="e">
        <f t="shared" ca="1" si="880"/>
        <v>#NAME?</v>
      </c>
      <c r="BF85" s="13" t="e">
        <f t="shared" ca="1" si="880"/>
        <v>#NAME?</v>
      </c>
      <c r="BG85" s="13" t="e">
        <f t="shared" ca="1" si="880"/>
        <v>#NAME?</v>
      </c>
      <c r="BH85" s="13" t="e">
        <f t="shared" ca="1" si="880"/>
        <v>#NAME?</v>
      </c>
      <c r="BI85" s="13" t="e">
        <f t="shared" ca="1" si="880"/>
        <v>#NAME?</v>
      </c>
      <c r="BJ85" s="13" t="e">
        <f t="shared" ca="1" si="880"/>
        <v>#NAME?</v>
      </c>
      <c r="BK85" s="13" t="e">
        <f t="shared" ca="1" si="880"/>
        <v>#NAME?</v>
      </c>
      <c r="BL85" s="13" t="e">
        <f t="shared" ca="1" si="880"/>
        <v>#NAME?</v>
      </c>
      <c r="BM85" s="13" t="e">
        <f t="shared" ca="1" si="880"/>
        <v>#NAME?</v>
      </c>
      <c r="BN85" s="13" t="e">
        <f t="shared" ca="1" si="880"/>
        <v>#NAME?</v>
      </c>
      <c r="BO85" s="13" t="e">
        <f t="shared" ca="1" si="880"/>
        <v>#NAME?</v>
      </c>
      <c r="BP85" s="13" t="e">
        <f t="shared" ca="1" si="880"/>
        <v>#NAME?</v>
      </c>
      <c r="BQ85" s="13" t="e">
        <f t="shared" ca="1" si="880"/>
        <v>#NAME?</v>
      </c>
      <c r="BR85" s="13" t="e">
        <f t="shared" ref="BR85:DB85" ca="1" si="881">+BR77/BR69</f>
        <v>#NAME?</v>
      </c>
      <c r="BS85" s="13" t="e">
        <f t="shared" ca="1" si="881"/>
        <v>#NAME?</v>
      </c>
      <c r="BT85" s="13" t="e">
        <f t="shared" ca="1" si="881"/>
        <v>#NAME?</v>
      </c>
      <c r="BU85" s="13" t="e">
        <f t="shared" ca="1" si="881"/>
        <v>#NAME?</v>
      </c>
      <c r="BV85" s="13" t="e">
        <f t="shared" ca="1" si="881"/>
        <v>#NAME?</v>
      </c>
      <c r="BW85" s="13" t="e">
        <f t="shared" ca="1" si="881"/>
        <v>#NAME?</v>
      </c>
      <c r="BX85" s="13" t="e">
        <f t="shared" ca="1" si="881"/>
        <v>#NAME?</v>
      </c>
      <c r="BY85" s="13" t="e">
        <f t="shared" ca="1" si="881"/>
        <v>#NAME?</v>
      </c>
      <c r="BZ85" s="13" t="e">
        <f t="shared" ca="1" si="881"/>
        <v>#NAME?</v>
      </c>
      <c r="CA85" s="13" t="e">
        <f t="shared" ca="1" si="881"/>
        <v>#NAME?</v>
      </c>
      <c r="CB85" s="13" t="e">
        <f t="shared" ca="1" si="881"/>
        <v>#NAME?</v>
      </c>
      <c r="CC85" s="13" t="e">
        <f t="shared" ca="1" si="881"/>
        <v>#NAME?</v>
      </c>
      <c r="CD85" s="13" t="e">
        <f t="shared" ca="1" si="881"/>
        <v>#NAME?</v>
      </c>
      <c r="CE85" s="13" t="e">
        <f t="shared" ca="1" si="881"/>
        <v>#NAME?</v>
      </c>
      <c r="CF85" s="13" t="e">
        <f t="shared" ca="1" si="881"/>
        <v>#NAME?</v>
      </c>
      <c r="CG85" s="13" t="e">
        <f t="shared" ca="1" si="881"/>
        <v>#NAME?</v>
      </c>
      <c r="CH85" s="13" t="e">
        <f t="shared" ca="1" si="881"/>
        <v>#NAME?</v>
      </c>
      <c r="CI85" s="13" t="e">
        <f t="shared" ref="CI85:CJ85" ca="1" si="882">+CI77/CI69</f>
        <v>#NAME?</v>
      </c>
      <c r="CJ85" s="13" t="e">
        <f t="shared" ca="1" si="882"/>
        <v>#NAME?</v>
      </c>
      <c r="CK85" s="13" t="e">
        <f t="shared" ref="CK85:CL85" ca="1" si="883">+CK77/CK69</f>
        <v>#NAME?</v>
      </c>
      <c r="CL85" s="13" t="e">
        <f t="shared" ca="1" si="883"/>
        <v>#NAME?</v>
      </c>
      <c r="CM85" s="37" t="e">
        <f t="shared" ca="1" si="881"/>
        <v>#NAME?</v>
      </c>
      <c r="CN85" s="37" t="e">
        <f t="shared" ca="1" si="881"/>
        <v>#NAME?</v>
      </c>
      <c r="CO85" s="37" t="e">
        <f t="shared" ca="1" si="881"/>
        <v>#NAME?</v>
      </c>
      <c r="CP85" s="37" t="e">
        <f t="shared" ca="1" si="881"/>
        <v>#NAME?</v>
      </c>
      <c r="CQ85" s="37" t="e">
        <f t="shared" ca="1" si="881"/>
        <v>#NAME?</v>
      </c>
      <c r="CR85" s="37" t="e">
        <f t="shared" ca="1" si="881"/>
        <v>#NAME?</v>
      </c>
      <c r="CS85" s="37" t="e">
        <f t="shared" ca="1" si="881"/>
        <v>#NAME?</v>
      </c>
      <c r="CT85" s="37" t="e">
        <f t="shared" ca="1" si="881"/>
        <v>#NAME?</v>
      </c>
      <c r="CU85" s="37" t="e">
        <f t="shared" ca="1" si="881"/>
        <v>#NAME?</v>
      </c>
      <c r="CV85" s="37" t="e">
        <f t="shared" ca="1" si="881"/>
        <v>#NAME?</v>
      </c>
      <c r="CW85" s="37" t="e">
        <f t="shared" ca="1" si="881"/>
        <v>#NAME?</v>
      </c>
      <c r="CX85" s="37" t="e">
        <f t="shared" ca="1" si="881"/>
        <v>#NAME?</v>
      </c>
      <c r="CY85" s="37" t="e">
        <f t="shared" ca="1" si="881"/>
        <v>#NAME?</v>
      </c>
      <c r="CZ85" s="37" t="e">
        <f t="shared" ca="1" si="881"/>
        <v>#NAME?</v>
      </c>
      <c r="DA85" s="37" t="e">
        <f t="shared" ca="1" si="881"/>
        <v>#NAME?</v>
      </c>
      <c r="DB85" s="37" t="e">
        <f t="shared" ca="1" si="881"/>
        <v>#NAME?</v>
      </c>
      <c r="DE85" s="134"/>
      <c r="DF85" s="13">
        <v>29.457449305422827</v>
      </c>
    </row>
    <row r="86" spans="1:110" s="13" customFormat="1" x14ac:dyDescent="0.2">
      <c r="A86" s="13" t="s">
        <v>461</v>
      </c>
      <c r="B86" s="13" t="e">
        <f t="shared" ref="B86:D86" ca="1" si="884">+B78/B69</f>
        <v>#NAME?</v>
      </c>
      <c r="C86" s="13" t="e">
        <f t="shared" ca="1" si="884"/>
        <v>#NAME?</v>
      </c>
      <c r="D86" s="13" t="e">
        <f t="shared" ca="1" si="884"/>
        <v>#NAME?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>
        <f t="shared" ca="1" si="885"/>
        <v>0</v>
      </c>
      <c r="M86" s="13">
        <f t="shared" ca="1" si="885"/>
        <v>0</v>
      </c>
      <c r="N86" s="13">
        <f t="shared" ca="1" si="885"/>
        <v>0</v>
      </c>
      <c r="O86" s="13">
        <f t="shared" ca="1" si="885"/>
        <v>0</v>
      </c>
      <c r="P86" s="13">
        <f t="shared" ca="1" si="885"/>
        <v>0</v>
      </c>
      <c r="Q86" s="13">
        <f t="shared" ca="1" si="885"/>
        <v>0</v>
      </c>
      <c r="R86" s="13">
        <f t="shared" ca="1" si="885"/>
        <v>0</v>
      </c>
      <c r="S86" s="13">
        <f t="shared" ca="1" si="885"/>
        <v>0</v>
      </c>
      <c r="T86" s="13">
        <f t="shared" ca="1" si="885"/>
        <v>0</v>
      </c>
      <c r="U86" s="13">
        <f t="shared" ca="1" si="885"/>
        <v>0</v>
      </c>
      <c r="V86" s="13">
        <f t="shared" ca="1" si="885"/>
        <v>0</v>
      </c>
      <c r="W86" s="13">
        <f t="shared" ca="1" si="885"/>
        <v>0</v>
      </c>
      <c r="X86" s="13">
        <f t="shared" ca="1" si="885"/>
        <v>0</v>
      </c>
      <c r="Y86" s="13">
        <f t="shared" ca="1" si="885"/>
        <v>114.50172494934297</v>
      </c>
      <c r="Z86" s="13">
        <f t="shared" ref="Z86:AA86" ca="1" si="886">+Z78/Z69</f>
        <v>101.7231597038603</v>
      </c>
      <c r="AA86" s="13">
        <f t="shared" ca="1" si="886"/>
        <v>101.7231597038603</v>
      </c>
      <c r="AB86" s="60">
        <f t="shared" ca="1" si="885"/>
        <v>74.469105165375737</v>
      </c>
      <c r="AC86" s="60">
        <f t="shared" ca="1" si="885"/>
        <v>55.925378213197547</v>
      </c>
      <c r="AD86" s="60">
        <f t="shared" ca="1" si="885"/>
        <v>56.27947318137447</v>
      </c>
      <c r="AE86" s="60">
        <f t="shared" ca="1" si="885"/>
        <v>57.106046095849415</v>
      </c>
      <c r="AL86" s="13" t="e">
        <f t="shared" ref="AL86:BQ86" ca="1" si="887">+AL78/AL69</f>
        <v>#NAME?</v>
      </c>
      <c r="AM86" s="13" t="e">
        <f t="shared" ca="1" si="887"/>
        <v>#NAME?</v>
      </c>
      <c r="AN86" s="13" t="e">
        <f t="shared" ca="1" si="887"/>
        <v>#NAME?</v>
      </c>
      <c r="AO86" s="13" t="e">
        <f t="shared" ca="1" si="887"/>
        <v>#NAME?</v>
      </c>
      <c r="AP86" s="13" t="e">
        <f t="shared" ca="1" si="887"/>
        <v>#NAME?</v>
      </c>
      <c r="AQ86" s="13" t="e">
        <f t="shared" ca="1" si="887"/>
        <v>#NAME?</v>
      </c>
      <c r="AR86" s="13" t="e">
        <f t="shared" ca="1" si="887"/>
        <v>#NAME?</v>
      </c>
      <c r="AS86" s="13" t="e">
        <f t="shared" ca="1" si="887"/>
        <v>#NAME?</v>
      </c>
      <c r="AT86" s="13" t="e">
        <f t="shared" ca="1" si="887"/>
        <v>#NAME?</v>
      </c>
      <c r="AU86" s="13" t="e">
        <f t="shared" ca="1" si="887"/>
        <v>#NAME?</v>
      </c>
      <c r="AV86" s="13" t="e">
        <f t="shared" ca="1" si="887"/>
        <v>#NAME?</v>
      </c>
      <c r="AW86" s="13" t="e">
        <f t="shared" ca="1" si="887"/>
        <v>#NAME?</v>
      </c>
      <c r="AX86" s="13" t="e">
        <f t="shared" ca="1" si="887"/>
        <v>#NAME?</v>
      </c>
      <c r="AY86" s="13" t="e">
        <f t="shared" ca="1" si="887"/>
        <v>#NAME?</v>
      </c>
      <c r="AZ86" s="13" t="e">
        <f t="shared" ca="1" si="887"/>
        <v>#NAME?</v>
      </c>
      <c r="BA86" s="13" t="e">
        <f t="shared" ca="1" si="887"/>
        <v>#NAME?</v>
      </c>
      <c r="BB86" s="13" t="e">
        <f t="shared" ca="1" si="887"/>
        <v>#NAME?</v>
      </c>
      <c r="BC86" s="13" t="e">
        <f t="shared" ca="1" si="887"/>
        <v>#NAME?</v>
      </c>
      <c r="BD86" s="13" t="e">
        <f t="shared" ca="1" si="887"/>
        <v>#NAME?</v>
      </c>
      <c r="BE86" s="13" t="e">
        <f t="shared" ca="1" si="887"/>
        <v>#NAME?</v>
      </c>
      <c r="BF86" s="13" t="e">
        <f t="shared" ca="1" si="887"/>
        <v>#NAME?</v>
      </c>
      <c r="BG86" s="13" t="e">
        <f t="shared" ca="1" si="887"/>
        <v>#NAME?</v>
      </c>
      <c r="BH86" s="13" t="e">
        <f t="shared" ca="1" si="887"/>
        <v>#NAME?</v>
      </c>
      <c r="BI86" s="13" t="e">
        <f t="shared" ca="1" si="887"/>
        <v>#NAME?</v>
      </c>
      <c r="BJ86" s="13" t="e">
        <f t="shared" ca="1" si="887"/>
        <v>#NAME?</v>
      </c>
      <c r="BK86" s="13" t="e">
        <f t="shared" ca="1" si="887"/>
        <v>#NAME?</v>
      </c>
      <c r="BL86" s="13" t="e">
        <f t="shared" ca="1" si="887"/>
        <v>#NAME?</v>
      </c>
      <c r="BM86" s="13" t="e">
        <f t="shared" ca="1" si="887"/>
        <v>#NAME?</v>
      </c>
      <c r="BN86" s="13" t="e">
        <f t="shared" ca="1" si="887"/>
        <v>#NAME?</v>
      </c>
      <c r="BO86" s="13" t="e">
        <f t="shared" ca="1" si="887"/>
        <v>#NAME?</v>
      </c>
      <c r="BP86" s="13" t="e">
        <f t="shared" ca="1" si="887"/>
        <v>#NAME?</v>
      </c>
      <c r="BQ86" s="13" t="e">
        <f t="shared" ca="1" si="887"/>
        <v>#NAME?</v>
      </c>
      <c r="BR86" s="13" t="e">
        <f t="shared" ref="BR86:CH86" ca="1" si="888">+BR78/BR69</f>
        <v>#NAME?</v>
      </c>
      <c r="BS86" s="13" t="e">
        <f t="shared" ca="1" si="888"/>
        <v>#NAME?</v>
      </c>
      <c r="BT86" s="13" t="e">
        <f t="shared" ca="1" si="888"/>
        <v>#NAME?</v>
      </c>
      <c r="BU86" s="13" t="e">
        <f t="shared" ca="1" si="888"/>
        <v>#NAME?</v>
      </c>
      <c r="BV86" s="13" t="e">
        <f t="shared" ca="1" si="888"/>
        <v>#NAME?</v>
      </c>
      <c r="BW86" s="13" t="e">
        <f t="shared" ca="1" si="888"/>
        <v>#NAME?</v>
      </c>
      <c r="BX86" s="13" t="e">
        <f t="shared" ca="1" si="888"/>
        <v>#NAME?</v>
      </c>
      <c r="BY86" s="13" t="e">
        <f t="shared" ca="1" si="888"/>
        <v>#NAME?</v>
      </c>
      <c r="BZ86" s="13" t="e">
        <f t="shared" ca="1" si="888"/>
        <v>#NAME?</v>
      </c>
      <c r="CA86" s="13" t="e">
        <f t="shared" ca="1" si="888"/>
        <v>#NAME?</v>
      </c>
      <c r="CB86" s="13" t="e">
        <f t="shared" ca="1" si="888"/>
        <v>#NAME?</v>
      </c>
      <c r="CC86" s="13" t="e">
        <f t="shared" ca="1" si="888"/>
        <v>#NAME?</v>
      </c>
      <c r="CD86" s="13" t="e">
        <f t="shared" ca="1" si="888"/>
        <v>#NAME?</v>
      </c>
      <c r="CE86" s="13" t="e">
        <f t="shared" ca="1" si="888"/>
        <v>#NAME?</v>
      </c>
      <c r="CF86" s="13" t="e">
        <f t="shared" ca="1" si="888"/>
        <v>#NAME?</v>
      </c>
      <c r="CG86" s="13" t="e">
        <f t="shared" ca="1" si="888"/>
        <v>#NAME?</v>
      </c>
      <c r="CH86" s="13" t="e">
        <f t="shared" ca="1" si="888"/>
        <v>#NAME?</v>
      </c>
      <c r="CI86" s="13" t="e">
        <f t="shared" ref="CI86:CJ86" ca="1" si="889">+CI78/CI69</f>
        <v>#NAME?</v>
      </c>
      <c r="CJ86" s="13" t="e">
        <f t="shared" ca="1" si="889"/>
        <v>#NAME?</v>
      </c>
      <c r="CK86" s="13" t="e">
        <f t="shared" ref="CK86:CL86" ca="1" si="890">+CK78/CK69</f>
        <v>#NAME?</v>
      </c>
      <c r="CL86" s="13" t="e">
        <f t="shared" ca="1" si="890"/>
        <v>#NAME?</v>
      </c>
      <c r="CM86" s="60" t="e">
        <f t="shared" ref="CM86:CM87" ca="1" si="891">+CL86</f>
        <v>#NAME?</v>
      </c>
      <c r="CN86" s="60" t="e">
        <f t="shared" ref="CN86:CN87" ca="1" si="892">+CM86</f>
        <v>#NAME?</v>
      </c>
      <c r="CO86" s="60" t="e">
        <f t="shared" ref="CO86:CO87" ca="1" si="893">+CN86</f>
        <v>#NAME?</v>
      </c>
      <c r="CP86" s="60" t="e">
        <f t="shared" ref="CP86:CP87" ca="1" si="894">+CO86</f>
        <v>#NAME?</v>
      </c>
      <c r="CQ86" s="60" t="e">
        <f t="shared" ref="CQ86:CQ87" ca="1" si="895">+CP86</f>
        <v>#NAME?</v>
      </c>
      <c r="CR86" s="60" t="e">
        <f t="shared" ref="CR86:CR87" ca="1" si="896">+CQ86</f>
        <v>#NAME?</v>
      </c>
      <c r="CS86" s="60" t="e">
        <f t="shared" ref="CS86:CS87" ca="1" si="897">+CR86</f>
        <v>#NAME?</v>
      </c>
      <c r="CT86" s="60" t="e">
        <f t="shared" ref="CT86:CT87" ca="1" si="898">+CS86</f>
        <v>#NAME?</v>
      </c>
      <c r="CU86" s="60" t="e">
        <f t="shared" ref="CU86:CU87" ca="1" si="899">+CT86</f>
        <v>#NAME?</v>
      </c>
      <c r="CV86" s="60" t="e">
        <f t="shared" ref="CV86:CV87" ca="1" si="900">+CU86</f>
        <v>#NAME?</v>
      </c>
      <c r="CW86" s="60" t="e">
        <f t="shared" ref="CW86:CW87" ca="1" si="901">+CV86</f>
        <v>#NAME?</v>
      </c>
      <c r="CX86" s="60" t="e">
        <f t="shared" ref="CX86:CX87" ca="1" si="902">+CW86</f>
        <v>#NAME?</v>
      </c>
      <c r="CY86" s="60" t="e">
        <f t="shared" ref="CY86:CY87" ca="1" si="903">+CX86</f>
        <v>#NAME?</v>
      </c>
      <c r="CZ86" s="60" t="e">
        <f t="shared" ref="CZ86:CZ87" ca="1" si="904">+CY86</f>
        <v>#NAME?</v>
      </c>
      <c r="DA86" s="60" t="e">
        <f t="shared" ref="DA86:DA87" ca="1" si="905">+CZ86</f>
        <v>#NAME?</v>
      </c>
      <c r="DB86" s="60" t="e">
        <f t="shared" ref="DB86:DB87" ca="1" si="906">+DA86</f>
        <v>#NAME?</v>
      </c>
      <c r="DE86" s="136"/>
      <c r="DF86" s="13">
        <v>58.590000272918196</v>
      </c>
    </row>
    <row r="87" spans="1:110" s="13" customFormat="1" x14ac:dyDescent="0.2">
      <c r="A87" s="13" t="s">
        <v>462</v>
      </c>
      <c r="B87" s="13" t="e">
        <f t="shared" ref="B87:D87" ca="1" si="907">+B79/B69</f>
        <v>#NAME?</v>
      </c>
      <c r="C87" s="13" t="e">
        <f t="shared" ca="1" si="907"/>
        <v>#NAME?</v>
      </c>
      <c r="D87" s="13" t="e">
        <f t="shared" ca="1" si="907"/>
        <v>#NAME?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>
        <f t="shared" ca="1" si="908"/>
        <v>0</v>
      </c>
      <c r="M87" s="13">
        <f t="shared" ca="1" si="908"/>
        <v>0</v>
      </c>
      <c r="N87" s="13">
        <f t="shared" ca="1" si="908"/>
        <v>0</v>
      </c>
      <c r="O87" s="13">
        <f t="shared" ca="1" si="908"/>
        <v>0</v>
      </c>
      <c r="P87" s="13">
        <f t="shared" ca="1" si="908"/>
        <v>0</v>
      </c>
      <c r="Q87" s="13">
        <f t="shared" ca="1" si="908"/>
        <v>0</v>
      </c>
      <c r="R87" s="13">
        <f t="shared" ca="1" si="908"/>
        <v>0</v>
      </c>
      <c r="S87" s="13">
        <f t="shared" ca="1" si="908"/>
        <v>0</v>
      </c>
      <c r="T87" s="13">
        <f t="shared" ca="1" si="908"/>
        <v>0</v>
      </c>
      <c r="U87" s="13">
        <f t="shared" ca="1" si="908"/>
        <v>0</v>
      </c>
      <c r="V87" s="13">
        <f t="shared" ca="1" si="908"/>
        <v>0</v>
      </c>
      <c r="W87" s="13">
        <f t="shared" ca="1" si="908"/>
        <v>0</v>
      </c>
      <c r="X87" s="13">
        <f t="shared" ca="1" si="908"/>
        <v>0</v>
      </c>
      <c r="Y87" s="13">
        <f t="shared" ca="1" si="908"/>
        <v>52.004974181318993</v>
      </c>
      <c r="Z87" s="13">
        <f t="shared" ref="Z87:AA87" ca="1" si="909">+Z79/Z69</f>
        <v>44.359248486985102</v>
      </c>
      <c r="AA87" s="13">
        <f t="shared" ca="1" si="909"/>
        <v>44.359248486985102</v>
      </c>
      <c r="AB87" s="60">
        <f t="shared" ca="1" si="908"/>
        <v>28.693938211293261</v>
      </c>
      <c r="AC87" s="60">
        <f t="shared" ca="1" si="908"/>
        <v>28.693938211293325</v>
      </c>
      <c r="AD87" s="60">
        <f t="shared" ca="1" si="908"/>
        <v>28.693938211293204</v>
      </c>
      <c r="AE87" s="60">
        <f t="shared" ca="1" si="908"/>
        <v>28.693938211293421</v>
      </c>
      <c r="AL87" s="13" t="e">
        <f t="shared" ref="AL87:BQ87" ca="1" si="910">+AL79/AL69</f>
        <v>#NAME?</v>
      </c>
      <c r="AM87" s="13" t="e">
        <f t="shared" ca="1" si="910"/>
        <v>#NAME?</v>
      </c>
      <c r="AN87" s="13" t="e">
        <f t="shared" ca="1" si="910"/>
        <v>#NAME?</v>
      </c>
      <c r="AO87" s="13" t="e">
        <f t="shared" ca="1" si="910"/>
        <v>#NAME?</v>
      </c>
      <c r="AP87" s="13" t="e">
        <f t="shared" ca="1" si="910"/>
        <v>#NAME?</v>
      </c>
      <c r="AQ87" s="13" t="e">
        <f t="shared" ca="1" si="910"/>
        <v>#NAME?</v>
      </c>
      <c r="AR87" s="13" t="e">
        <f t="shared" ca="1" si="910"/>
        <v>#NAME?</v>
      </c>
      <c r="AS87" s="13" t="e">
        <f t="shared" ca="1" si="910"/>
        <v>#NAME?</v>
      </c>
      <c r="AT87" s="13" t="e">
        <f t="shared" ca="1" si="910"/>
        <v>#NAME?</v>
      </c>
      <c r="AU87" s="13" t="e">
        <f t="shared" ca="1" si="910"/>
        <v>#NAME?</v>
      </c>
      <c r="AV87" s="13" t="e">
        <f t="shared" ca="1" si="910"/>
        <v>#NAME?</v>
      </c>
      <c r="AW87" s="13" t="e">
        <f t="shared" ca="1" si="910"/>
        <v>#NAME?</v>
      </c>
      <c r="AX87" s="13" t="e">
        <f t="shared" ca="1" si="910"/>
        <v>#NAME?</v>
      </c>
      <c r="AY87" s="13" t="e">
        <f t="shared" ca="1" si="910"/>
        <v>#NAME?</v>
      </c>
      <c r="AZ87" s="13" t="e">
        <f t="shared" ca="1" si="910"/>
        <v>#NAME?</v>
      </c>
      <c r="BA87" s="13" t="e">
        <f t="shared" ca="1" si="910"/>
        <v>#NAME?</v>
      </c>
      <c r="BB87" s="13" t="e">
        <f t="shared" ca="1" si="910"/>
        <v>#NAME?</v>
      </c>
      <c r="BC87" s="13" t="e">
        <f t="shared" ca="1" si="910"/>
        <v>#NAME?</v>
      </c>
      <c r="BD87" s="13" t="e">
        <f t="shared" ca="1" si="910"/>
        <v>#NAME?</v>
      </c>
      <c r="BE87" s="13" t="e">
        <f t="shared" ca="1" si="910"/>
        <v>#NAME?</v>
      </c>
      <c r="BF87" s="13" t="e">
        <f t="shared" ca="1" si="910"/>
        <v>#NAME?</v>
      </c>
      <c r="BG87" s="13" t="e">
        <f t="shared" ca="1" si="910"/>
        <v>#NAME?</v>
      </c>
      <c r="BH87" s="13" t="e">
        <f t="shared" ca="1" si="910"/>
        <v>#NAME?</v>
      </c>
      <c r="BI87" s="13" t="e">
        <f t="shared" ca="1" si="910"/>
        <v>#NAME?</v>
      </c>
      <c r="BJ87" s="13" t="e">
        <f t="shared" ca="1" si="910"/>
        <v>#NAME?</v>
      </c>
      <c r="BK87" s="13" t="e">
        <f t="shared" ca="1" si="910"/>
        <v>#NAME?</v>
      </c>
      <c r="BL87" s="13" t="e">
        <f t="shared" ca="1" si="910"/>
        <v>#NAME?</v>
      </c>
      <c r="BM87" s="13" t="e">
        <f t="shared" ca="1" si="910"/>
        <v>#NAME?</v>
      </c>
      <c r="BN87" s="13" t="e">
        <f t="shared" ca="1" si="910"/>
        <v>#NAME?</v>
      </c>
      <c r="BO87" s="13" t="e">
        <f t="shared" ca="1" si="910"/>
        <v>#NAME?</v>
      </c>
      <c r="BP87" s="13" t="e">
        <f t="shared" ca="1" si="910"/>
        <v>#NAME?</v>
      </c>
      <c r="BQ87" s="13" t="e">
        <f t="shared" ca="1" si="910"/>
        <v>#NAME?</v>
      </c>
      <c r="BR87" s="13" t="e">
        <f t="shared" ref="BR87:CH87" ca="1" si="911">+BR79/BR69</f>
        <v>#NAME?</v>
      </c>
      <c r="BS87" s="13" t="e">
        <f t="shared" ca="1" si="911"/>
        <v>#NAME?</v>
      </c>
      <c r="BT87" s="13" t="e">
        <f t="shared" ca="1" si="911"/>
        <v>#NAME?</v>
      </c>
      <c r="BU87" s="13" t="e">
        <f t="shared" ca="1" si="911"/>
        <v>#NAME?</v>
      </c>
      <c r="BV87" s="13" t="e">
        <f t="shared" ca="1" si="911"/>
        <v>#NAME?</v>
      </c>
      <c r="BW87" s="13" t="e">
        <f t="shared" ca="1" si="911"/>
        <v>#NAME?</v>
      </c>
      <c r="BX87" s="13" t="e">
        <f t="shared" ca="1" si="911"/>
        <v>#NAME?</v>
      </c>
      <c r="BY87" s="13" t="e">
        <f t="shared" ca="1" si="911"/>
        <v>#NAME?</v>
      </c>
      <c r="BZ87" s="13" t="e">
        <f t="shared" ca="1" si="911"/>
        <v>#NAME?</v>
      </c>
      <c r="CA87" s="13" t="e">
        <f t="shared" ca="1" si="911"/>
        <v>#NAME?</v>
      </c>
      <c r="CB87" s="13" t="e">
        <f t="shared" ca="1" si="911"/>
        <v>#NAME?</v>
      </c>
      <c r="CC87" s="13" t="e">
        <f t="shared" ca="1" si="911"/>
        <v>#NAME?</v>
      </c>
      <c r="CD87" s="13" t="e">
        <f t="shared" ca="1" si="911"/>
        <v>#NAME?</v>
      </c>
      <c r="CE87" s="13" t="e">
        <f t="shared" ca="1" si="911"/>
        <v>#NAME?</v>
      </c>
      <c r="CF87" s="13" t="e">
        <f t="shared" ca="1" si="911"/>
        <v>#NAME?</v>
      </c>
      <c r="CG87" s="13" t="e">
        <f t="shared" ca="1" si="911"/>
        <v>#NAME?</v>
      </c>
      <c r="CH87" s="13" t="e">
        <f t="shared" ca="1" si="911"/>
        <v>#NAME?</v>
      </c>
      <c r="CI87" s="13" t="e">
        <f t="shared" ref="CI87:CJ87" ca="1" si="912">+CI79/CI69</f>
        <v>#NAME?</v>
      </c>
      <c r="CJ87" s="13" t="e">
        <f t="shared" ca="1" si="912"/>
        <v>#NAME?</v>
      </c>
      <c r="CK87" s="13" t="e">
        <f t="shared" ref="CK87:CL87" ca="1" si="913">+CK79/CK69</f>
        <v>#NAME?</v>
      </c>
      <c r="CL87" s="13" t="e">
        <f t="shared" ca="1" si="913"/>
        <v>#NAME?</v>
      </c>
      <c r="CM87" s="60" t="e">
        <f t="shared" ca="1" si="891"/>
        <v>#NAME?</v>
      </c>
      <c r="CN87" s="60" t="e">
        <f t="shared" ca="1" si="892"/>
        <v>#NAME?</v>
      </c>
      <c r="CO87" s="60" t="e">
        <f t="shared" ca="1" si="893"/>
        <v>#NAME?</v>
      </c>
      <c r="CP87" s="60" t="e">
        <f t="shared" ca="1" si="894"/>
        <v>#NAME?</v>
      </c>
      <c r="CQ87" s="60" t="e">
        <f t="shared" ca="1" si="895"/>
        <v>#NAME?</v>
      </c>
      <c r="CR87" s="60" t="e">
        <f t="shared" ca="1" si="896"/>
        <v>#NAME?</v>
      </c>
      <c r="CS87" s="60" t="e">
        <f t="shared" ca="1" si="897"/>
        <v>#NAME?</v>
      </c>
      <c r="CT87" s="60" t="e">
        <f t="shared" ca="1" si="898"/>
        <v>#NAME?</v>
      </c>
      <c r="CU87" s="60" t="e">
        <f t="shared" ca="1" si="899"/>
        <v>#NAME?</v>
      </c>
      <c r="CV87" s="60" t="e">
        <f t="shared" ca="1" si="900"/>
        <v>#NAME?</v>
      </c>
      <c r="CW87" s="60" t="e">
        <f t="shared" ca="1" si="901"/>
        <v>#NAME?</v>
      </c>
      <c r="CX87" s="60" t="e">
        <f t="shared" ca="1" si="902"/>
        <v>#NAME?</v>
      </c>
      <c r="CY87" s="60" t="e">
        <f t="shared" ca="1" si="903"/>
        <v>#NAME?</v>
      </c>
      <c r="CZ87" s="60" t="e">
        <f t="shared" ca="1" si="904"/>
        <v>#NAME?</v>
      </c>
      <c r="DA87" s="60" t="e">
        <f t="shared" ca="1" si="905"/>
        <v>#NAME?</v>
      </c>
      <c r="DB87" s="60" t="e">
        <f t="shared" ca="1" si="906"/>
        <v>#NAME?</v>
      </c>
      <c r="DE87" s="136"/>
      <c r="DF87" s="13">
        <v>28.6939382112933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14">+B78/C69</f>
        <v>#NAME?</v>
      </c>
      <c r="C89" s="13" t="e">
        <f t="shared" ca="1" si="914"/>
        <v>#NAME?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>
        <f t="shared" ca="1" si="914"/>
        <v>0</v>
      </c>
      <c r="L89" s="13">
        <f t="shared" ca="1" si="914"/>
        <v>0</v>
      </c>
      <c r="M89" s="13">
        <f t="shared" ca="1" si="914"/>
        <v>0</v>
      </c>
      <c r="N89" s="13">
        <f t="shared" ca="1" si="914"/>
        <v>0</v>
      </c>
      <c r="O89" s="13">
        <f t="shared" ca="1" si="914"/>
        <v>0</v>
      </c>
      <c r="P89" s="13">
        <f t="shared" ca="1" si="914"/>
        <v>0</v>
      </c>
      <c r="Q89" s="13">
        <f t="shared" ca="1" si="914"/>
        <v>0</v>
      </c>
      <c r="R89" s="13">
        <f t="shared" ca="1" si="914"/>
        <v>0</v>
      </c>
      <c r="S89" s="13">
        <f t="shared" ca="1" si="914"/>
        <v>0</v>
      </c>
      <c r="T89" s="13">
        <f t="shared" ca="1" si="914"/>
        <v>0</v>
      </c>
      <c r="U89" s="13">
        <f t="shared" ca="1" si="914"/>
        <v>0</v>
      </c>
      <c r="V89" s="13">
        <f t="shared" ca="1" si="914"/>
        <v>0</v>
      </c>
      <c r="W89" s="13">
        <f t="shared" ca="1" si="914"/>
        <v>0</v>
      </c>
      <c r="X89" s="13">
        <f t="shared" ca="1" si="914"/>
        <v>0</v>
      </c>
      <c r="Y89" s="13">
        <f t="shared" ca="1" si="914"/>
        <v>102.92977789529341</v>
      </c>
      <c r="Z89" s="13">
        <f t="shared" ref="Z89:AA89" ca="1" si="915">+Z78/AA69</f>
        <v>94.496681586201063</v>
      </c>
      <c r="AA89" s="13">
        <f t="shared" ca="1" si="915"/>
        <v>94.496681586201063</v>
      </c>
      <c r="AB89" s="37">
        <f t="shared" ca="1" si="914"/>
        <v>94.823266620431284</v>
      </c>
      <c r="AC89" s="37">
        <f t="shared" ca="1" si="914"/>
        <v>72.717318912675182</v>
      </c>
      <c r="AD89" s="37">
        <f t="shared" ca="1" si="914"/>
        <v>74.658965027710536</v>
      </c>
      <c r="AE89" s="37"/>
      <c r="AL89" s="13" t="e">
        <f t="shared" ref="AL89:BQ89" ca="1" si="916">+AL78/AP69</f>
        <v>#NAME?</v>
      </c>
      <c r="AM89" s="13" t="e">
        <f t="shared" ca="1" si="916"/>
        <v>#NAME?</v>
      </c>
      <c r="AN89" s="13" t="e">
        <f t="shared" ca="1" si="916"/>
        <v>#NAME?</v>
      </c>
      <c r="AO89" s="13" t="e">
        <f t="shared" ca="1" si="916"/>
        <v>#NAME?</v>
      </c>
      <c r="AP89" s="13" t="e">
        <f t="shared" ca="1" si="916"/>
        <v>#NAME?</v>
      </c>
      <c r="AQ89" s="13" t="e">
        <f t="shared" ca="1" si="916"/>
        <v>#NAME?</v>
      </c>
      <c r="AR89" s="13" t="e">
        <f t="shared" ca="1" si="916"/>
        <v>#NAME?</v>
      </c>
      <c r="AS89" s="13" t="e">
        <f t="shared" ca="1" si="916"/>
        <v>#NAME?</v>
      </c>
      <c r="AT89" s="13" t="e">
        <f t="shared" ca="1" si="916"/>
        <v>#NAME?</v>
      </c>
      <c r="AU89" s="13" t="e">
        <f t="shared" ca="1" si="916"/>
        <v>#NAME?</v>
      </c>
      <c r="AV89" s="13" t="e">
        <f t="shared" ca="1" si="916"/>
        <v>#NAME?</v>
      </c>
      <c r="AW89" s="13" t="e">
        <f t="shared" ca="1" si="916"/>
        <v>#NAME?</v>
      </c>
      <c r="AX89" s="13" t="e">
        <f t="shared" ca="1" si="916"/>
        <v>#NAME?</v>
      </c>
      <c r="AY89" s="13" t="e">
        <f t="shared" ca="1" si="916"/>
        <v>#NAME?</v>
      </c>
      <c r="AZ89" s="13" t="e">
        <f t="shared" ca="1" si="916"/>
        <v>#NAME?</v>
      </c>
      <c r="BA89" s="13" t="e">
        <f t="shared" ca="1" si="916"/>
        <v>#NAME?</v>
      </c>
      <c r="BB89" s="13" t="e">
        <f t="shared" ca="1" si="916"/>
        <v>#NAME?</v>
      </c>
      <c r="BC89" s="13" t="e">
        <f t="shared" ca="1" si="916"/>
        <v>#NAME?</v>
      </c>
      <c r="BD89" s="13" t="e">
        <f t="shared" ca="1" si="916"/>
        <v>#NAME?</v>
      </c>
      <c r="BE89" s="13" t="e">
        <f t="shared" ca="1" si="916"/>
        <v>#NAME?</v>
      </c>
      <c r="BF89" s="13" t="e">
        <f t="shared" ca="1" si="916"/>
        <v>#NAME?</v>
      </c>
      <c r="BG89" s="13" t="e">
        <f t="shared" ca="1" si="916"/>
        <v>#NAME?</v>
      </c>
      <c r="BH89" s="13" t="e">
        <f t="shared" ca="1" si="916"/>
        <v>#NAME?</v>
      </c>
      <c r="BI89" s="13" t="e">
        <f t="shared" ca="1" si="916"/>
        <v>#NAME?</v>
      </c>
      <c r="BJ89" s="13" t="e">
        <f t="shared" ca="1" si="916"/>
        <v>#NAME?</v>
      </c>
      <c r="BK89" s="13" t="e">
        <f t="shared" ca="1" si="916"/>
        <v>#NAME?</v>
      </c>
      <c r="BL89" s="13" t="e">
        <f t="shared" ca="1" si="916"/>
        <v>#NAME?</v>
      </c>
      <c r="BM89" s="13" t="e">
        <f t="shared" ca="1" si="916"/>
        <v>#NAME?</v>
      </c>
      <c r="BN89" s="13" t="e">
        <f t="shared" ca="1" si="916"/>
        <v>#NAME?</v>
      </c>
      <c r="BO89" s="13" t="e">
        <f t="shared" ca="1" si="916"/>
        <v>#NAME?</v>
      </c>
      <c r="BP89" s="13" t="e">
        <f t="shared" ca="1" si="916"/>
        <v>#NAME?</v>
      </c>
      <c r="BQ89" s="13" t="e">
        <f t="shared" ca="1" si="916"/>
        <v>#NAME?</v>
      </c>
      <c r="BR89" s="13" t="e">
        <f t="shared" ref="BR89:CL89" ca="1" si="917">+BR78/BV69</f>
        <v>#NAME?</v>
      </c>
      <c r="BS89" s="13" t="e">
        <f t="shared" ca="1" si="917"/>
        <v>#NAME?</v>
      </c>
      <c r="BT89" s="13" t="e">
        <f t="shared" ca="1" si="917"/>
        <v>#NAME?</v>
      </c>
      <c r="BU89" s="13" t="e">
        <f t="shared" ca="1" si="917"/>
        <v>#NAME?</v>
      </c>
      <c r="BV89" s="13" t="e">
        <f t="shared" ca="1" si="917"/>
        <v>#NAME?</v>
      </c>
      <c r="BW89" s="13" t="e">
        <f t="shared" ca="1" si="917"/>
        <v>#NAME?</v>
      </c>
      <c r="BX89" s="13" t="e">
        <f t="shared" ca="1" si="917"/>
        <v>#NAME?</v>
      </c>
      <c r="BY89" s="13" t="e">
        <f t="shared" ca="1" si="917"/>
        <v>#NAME?</v>
      </c>
      <c r="BZ89" s="13" t="e">
        <f t="shared" ca="1" si="917"/>
        <v>#NAME?</v>
      </c>
      <c r="CA89" s="13" t="e">
        <f t="shared" ca="1" si="917"/>
        <v>#NAME?</v>
      </c>
      <c r="CB89" s="13" t="e">
        <f t="shared" ca="1" si="917"/>
        <v>#NAME?</v>
      </c>
      <c r="CC89" s="13" t="e">
        <f t="shared" ca="1" si="917"/>
        <v>#NAME?</v>
      </c>
      <c r="CD89" s="13" t="e">
        <f t="shared" ca="1" si="917"/>
        <v>#NAME?</v>
      </c>
      <c r="CE89" s="13" t="e">
        <f t="shared" ca="1" si="917"/>
        <v>#NAME?</v>
      </c>
      <c r="CF89" s="13" t="e">
        <f t="shared" ca="1" si="917"/>
        <v>#NAME?</v>
      </c>
      <c r="CG89" s="13" t="e">
        <f t="shared" ca="1" si="917"/>
        <v>#NAME?</v>
      </c>
      <c r="CH89" s="13" t="e">
        <f t="shared" ca="1" si="917"/>
        <v>#NAME?</v>
      </c>
      <c r="CI89" s="13" t="e">
        <f t="shared" ca="1" si="917"/>
        <v>#NAME?</v>
      </c>
      <c r="CJ89" s="13" t="e">
        <f t="shared" ca="1" si="917"/>
        <v>#NAME?</v>
      </c>
      <c r="CK89" s="13" t="e">
        <f t="shared" ca="1" si="917"/>
        <v>#NAME?</v>
      </c>
      <c r="CL89" s="13" t="e">
        <f t="shared" ca="1" si="917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94.070109995308314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8">+CORREL(AL69:AO69,AL86:AO86)</f>
        <v>#NAME?</v>
      </c>
      <c r="AP90" s="175" t="e">
        <f t="shared" ca="1" si="918"/>
        <v>#NAME?</v>
      </c>
      <c r="AQ90" s="175" t="e">
        <f t="shared" ca="1" si="918"/>
        <v>#NAME?</v>
      </c>
      <c r="AR90" s="175" t="e">
        <f t="shared" ca="1" si="918"/>
        <v>#NAME?</v>
      </c>
      <c r="AS90" s="175" t="e">
        <f t="shared" ca="1" si="918"/>
        <v>#NAME?</v>
      </c>
      <c r="AT90" s="175" t="e">
        <f t="shared" ca="1" si="918"/>
        <v>#NAME?</v>
      </c>
      <c r="AU90" s="175" t="e">
        <f t="shared" ca="1" si="918"/>
        <v>#NAME?</v>
      </c>
      <c r="AV90" s="175" t="e">
        <f t="shared" ca="1" si="918"/>
        <v>#NAME?</v>
      </c>
      <c r="AW90" s="175" t="e">
        <f t="shared" ca="1" si="918"/>
        <v>#NAME?</v>
      </c>
      <c r="AX90" s="175" t="e">
        <f t="shared" ca="1" si="918"/>
        <v>#NAME?</v>
      </c>
      <c r="AY90" s="175" t="e">
        <f t="shared" ca="1" si="918"/>
        <v>#NAME?</v>
      </c>
      <c r="AZ90" s="175" t="e">
        <f t="shared" ca="1" si="918"/>
        <v>#NAME?</v>
      </c>
      <c r="BA90" s="175" t="e">
        <f t="shared" ca="1" si="918"/>
        <v>#NAME?</v>
      </c>
      <c r="BB90" s="175" t="e">
        <f t="shared" ca="1" si="918"/>
        <v>#NAME?</v>
      </c>
      <c r="BC90" s="175" t="e">
        <f t="shared" ca="1" si="918"/>
        <v>#NAME?</v>
      </c>
      <c r="BD90" s="175" t="e">
        <f t="shared" ca="1" si="918"/>
        <v>#NAME?</v>
      </c>
      <c r="BE90" s="175" t="e">
        <f t="shared" ca="1" si="918"/>
        <v>#NAME?</v>
      </c>
      <c r="BF90" s="175" t="e">
        <f t="shared" ca="1" si="918"/>
        <v>#NAME?</v>
      </c>
      <c r="BG90" s="175" t="e">
        <f t="shared" ca="1" si="918"/>
        <v>#NAME?</v>
      </c>
      <c r="BH90" s="175" t="e">
        <f t="shared" ca="1" si="918"/>
        <v>#NAME?</v>
      </c>
      <c r="BI90" s="175" t="e">
        <f t="shared" ca="1" si="918"/>
        <v>#NAME?</v>
      </c>
      <c r="BJ90" s="175" t="e">
        <f t="shared" ca="1" si="918"/>
        <v>#NAME?</v>
      </c>
      <c r="BK90" s="175" t="e">
        <f t="shared" ca="1" si="918"/>
        <v>#NAME?</v>
      </c>
      <c r="BL90" s="175" t="e">
        <f t="shared" ca="1" si="918"/>
        <v>#NAME?</v>
      </c>
      <c r="BM90" s="175" t="e">
        <f t="shared" ca="1" si="918"/>
        <v>#NAME?</v>
      </c>
      <c r="BN90" s="175" t="e">
        <f t="shared" ca="1" si="918"/>
        <v>#NAME?</v>
      </c>
      <c r="BO90" s="175" t="e">
        <f t="shared" ca="1" si="918"/>
        <v>#NAME?</v>
      </c>
      <c r="BP90" s="175" t="e">
        <f t="shared" ca="1" si="918"/>
        <v>#NAME?</v>
      </c>
      <c r="BQ90" s="175" t="e">
        <f t="shared" ca="1" si="918"/>
        <v>#NAME?</v>
      </c>
      <c r="BR90" s="175" t="e">
        <f t="shared" ca="1" si="918"/>
        <v>#NAME?</v>
      </c>
      <c r="BS90" s="175" t="e">
        <f t="shared" ca="1" si="918"/>
        <v>#NAME?</v>
      </c>
      <c r="BT90" s="175" t="e">
        <f t="shared" ca="1" si="918"/>
        <v>#NAME?</v>
      </c>
      <c r="BU90" s="175" t="e">
        <f t="shared" ca="1" si="918"/>
        <v>#NAME?</v>
      </c>
      <c r="BV90" s="175" t="e">
        <f t="shared" ca="1" si="918"/>
        <v>#NAME?</v>
      </c>
      <c r="BW90" s="175" t="e">
        <f t="shared" ca="1" si="918"/>
        <v>#NAME?</v>
      </c>
      <c r="BX90" s="175" t="e">
        <f t="shared" ca="1" si="918"/>
        <v>#NAME?</v>
      </c>
      <c r="BY90" s="175" t="e">
        <f t="shared" ca="1" si="918"/>
        <v>#NAME?</v>
      </c>
      <c r="BZ90" s="175" t="e">
        <f t="shared" ca="1" si="918"/>
        <v>#NAME?</v>
      </c>
      <c r="CA90" s="175" t="e">
        <f t="shared" ca="1" si="918"/>
        <v>#NAME?</v>
      </c>
      <c r="CB90" s="175" t="e">
        <f t="shared" ca="1" si="918"/>
        <v>#NAME?</v>
      </c>
      <c r="CC90" s="175" t="e">
        <f t="shared" ca="1" si="918"/>
        <v>#NAME?</v>
      </c>
      <c r="CD90" s="175" t="e">
        <f t="shared" ca="1" si="918"/>
        <v>#NAME?</v>
      </c>
      <c r="CE90" s="175" t="e">
        <f t="shared" ca="1" si="918"/>
        <v>#NAME?</v>
      </c>
      <c r="CF90" s="175" t="e">
        <f t="shared" ca="1" si="918"/>
        <v>#NAME?</v>
      </c>
      <c r="CG90" s="175" t="e">
        <f t="shared" ca="1" si="918"/>
        <v>#NAME?</v>
      </c>
      <c r="CH90" s="175" t="e">
        <f t="shared" ca="1" si="918"/>
        <v>#NAME?</v>
      </c>
      <c r="CI90" s="175" t="e">
        <f t="shared" ca="1" si="918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0</v>
      </c>
      <c r="F92" s="162">
        <f t="shared" ca="1" si="919"/>
        <v>0</v>
      </c>
      <c r="G92" s="162">
        <f t="shared" ca="1" si="919"/>
        <v>0</v>
      </c>
      <c r="H92" s="162">
        <f t="shared" ca="1" si="919"/>
        <v>0</v>
      </c>
      <c r="I92" s="162">
        <f t="shared" ca="1" si="919"/>
        <v>0</v>
      </c>
      <c r="J92" s="162">
        <f t="shared" ca="1" si="919"/>
        <v>0</v>
      </c>
      <c r="K92" s="162">
        <f t="shared" ca="1" si="919"/>
        <v>0</v>
      </c>
      <c r="L92" s="162">
        <f t="shared" ca="1" si="919"/>
        <v>2.4319938889168893</v>
      </c>
      <c r="M92" s="162">
        <f t="shared" ca="1" si="919"/>
        <v>2.7720727659896172</v>
      </c>
      <c r="N92" s="162">
        <f t="shared" ca="1" si="919"/>
        <v>3.1890958873040671</v>
      </c>
      <c r="O92" s="162">
        <f t="shared" ca="1" si="919"/>
        <v>5.3652851544780997</v>
      </c>
      <c r="P92" s="162">
        <f t="shared" ca="1" si="919"/>
        <v>5.9281537094904486</v>
      </c>
      <c r="Q92" s="162">
        <f t="shared" ca="1" si="919"/>
        <v>5.0549314046671023</v>
      </c>
      <c r="R92" s="162">
        <f t="shared" ca="1" si="919"/>
        <v>5.100351658182551</v>
      </c>
      <c r="S92" s="162">
        <f t="shared" ca="1" si="919"/>
        <v>4.5580406481528142</v>
      </c>
      <c r="T92" s="162">
        <f t="shared" ca="1" si="919"/>
        <v>4.4006098482939358</v>
      </c>
      <c r="U92" s="162">
        <f t="shared" ca="1" si="919"/>
        <v>3.2390000504006853</v>
      </c>
      <c r="V92" s="162">
        <f t="shared" ca="1" si="919"/>
        <v>4.744216521344689</v>
      </c>
      <c r="W92" s="162">
        <f t="shared" ca="1" si="919"/>
        <v>9.7162441409203169</v>
      </c>
      <c r="X92" s="162">
        <f t="shared" ca="1" si="919"/>
        <v>24.932211078070662</v>
      </c>
      <c r="Y92" s="162">
        <f t="shared" ca="1" si="919"/>
        <v>114.53278564588477</v>
      </c>
      <c r="Z92" s="162">
        <f t="shared" ca="1" si="919"/>
        <v>119.63043697394284</v>
      </c>
      <c r="AA92" s="162">
        <f t="shared" ca="1" si="919"/>
        <v>119.63043697394284</v>
      </c>
      <c r="AB92" s="21">
        <f t="shared" ca="1" si="919"/>
        <v>133.27837210943156</v>
      </c>
      <c r="AC92" s="21">
        <f t="shared" ca="1" si="919"/>
        <v>137.79492225161388</v>
      </c>
      <c r="AD92" s="21">
        <f t="shared" ca="1" si="919"/>
        <v>141.2685070687844</v>
      </c>
      <c r="AE92" s="21">
        <f t="shared" ca="1" si="919"/>
        <v>143.88696720265608</v>
      </c>
      <c r="AL92" s="162" t="e">
        <f t="shared" ref="AL92:BQ92" ca="1" si="920">+AL$120/AL$65</f>
        <v>#NAME?</v>
      </c>
      <c r="AM92" s="162" t="e">
        <f t="shared" ca="1" si="920"/>
        <v>#NAME?</v>
      </c>
      <c r="AN92" s="162" t="e">
        <f t="shared" ca="1" si="920"/>
        <v>#NAME?</v>
      </c>
      <c r="AO92" s="162" t="e">
        <f t="shared" ca="1" si="920"/>
        <v>#NAME?</v>
      </c>
      <c r="AP92" s="162" t="e">
        <f t="shared" ca="1" si="920"/>
        <v>#NAME?</v>
      </c>
      <c r="AQ92" s="162" t="e">
        <f t="shared" ca="1" si="920"/>
        <v>#NAME?</v>
      </c>
      <c r="AR92" s="162" t="e">
        <f t="shared" ca="1" si="920"/>
        <v>#NAME?</v>
      </c>
      <c r="AS92" s="162" t="e">
        <f t="shared" ca="1" si="920"/>
        <v>#NAME?</v>
      </c>
      <c r="AT92" s="162" t="e">
        <f t="shared" ca="1" si="920"/>
        <v>#NAME?</v>
      </c>
      <c r="AU92" s="162" t="e">
        <f t="shared" ca="1" si="920"/>
        <v>#NAME?</v>
      </c>
      <c r="AV92" s="162" t="e">
        <f t="shared" ca="1" si="920"/>
        <v>#NAME?</v>
      </c>
      <c r="AW92" s="162" t="e">
        <f t="shared" ca="1" si="920"/>
        <v>#NAME?</v>
      </c>
      <c r="AX92" s="162" t="e">
        <f t="shared" ca="1" si="920"/>
        <v>#NAME?</v>
      </c>
      <c r="AY92" s="162" t="e">
        <f t="shared" ca="1" si="920"/>
        <v>#NAME?</v>
      </c>
      <c r="AZ92" s="162" t="e">
        <f t="shared" ca="1" si="920"/>
        <v>#NAME?</v>
      </c>
      <c r="BA92" s="162" t="e">
        <f t="shared" ca="1" si="920"/>
        <v>#NAME?</v>
      </c>
      <c r="BB92" s="162" t="e">
        <f t="shared" ca="1" si="920"/>
        <v>#NAME?</v>
      </c>
      <c r="BC92" s="162" t="e">
        <f t="shared" ca="1" si="920"/>
        <v>#NAME?</v>
      </c>
      <c r="BD92" s="162" t="e">
        <f t="shared" ca="1" si="920"/>
        <v>#NAME?</v>
      </c>
      <c r="BE92" s="162" t="e">
        <f t="shared" ca="1" si="920"/>
        <v>#NAME?</v>
      </c>
      <c r="BF92" s="162" t="e">
        <f t="shared" ca="1" si="920"/>
        <v>#NAME?</v>
      </c>
      <c r="BG92" s="162" t="e">
        <f t="shared" ca="1" si="920"/>
        <v>#NAME?</v>
      </c>
      <c r="BH92" s="162" t="e">
        <f t="shared" ca="1" si="920"/>
        <v>#NAME?</v>
      </c>
      <c r="BI92" s="162" t="e">
        <f t="shared" ca="1" si="920"/>
        <v>#NAME?</v>
      </c>
      <c r="BJ92" s="162" t="e">
        <f t="shared" ca="1" si="920"/>
        <v>#NAME?</v>
      </c>
      <c r="BK92" s="162" t="e">
        <f t="shared" ca="1" si="920"/>
        <v>#NAME?</v>
      </c>
      <c r="BL92" s="162" t="e">
        <f t="shared" ca="1" si="920"/>
        <v>#NAME?</v>
      </c>
      <c r="BM92" s="162" t="e">
        <f t="shared" ca="1" si="920"/>
        <v>#NAME?</v>
      </c>
      <c r="BN92" s="162" t="e">
        <f t="shared" ca="1" si="920"/>
        <v>#NAME?</v>
      </c>
      <c r="BO92" s="162" t="e">
        <f t="shared" ca="1" si="920"/>
        <v>#NAME?</v>
      </c>
      <c r="BP92" s="162" t="e">
        <f t="shared" ca="1" si="920"/>
        <v>#NAME?</v>
      </c>
      <c r="BQ92" s="162" t="e">
        <f t="shared" ca="1" si="920"/>
        <v>#NAME?</v>
      </c>
      <c r="BR92" s="162" t="e">
        <f t="shared" ref="BR92:DB92" ca="1" si="921">+BR$120/BR$65</f>
        <v>#NAME?</v>
      </c>
      <c r="BS92" s="162" t="e">
        <f t="shared" ca="1" si="921"/>
        <v>#NAME?</v>
      </c>
      <c r="BT92" s="162" t="e">
        <f t="shared" ca="1" si="921"/>
        <v>#NAME?</v>
      </c>
      <c r="BU92" s="162" t="e">
        <f t="shared" ca="1" si="921"/>
        <v>#NAME?</v>
      </c>
      <c r="BV92" s="162" t="e">
        <f t="shared" ca="1" si="921"/>
        <v>#NAME?</v>
      </c>
      <c r="BW92" s="162" t="e">
        <f t="shared" ca="1" si="921"/>
        <v>#NAME?</v>
      </c>
      <c r="BX92" s="162" t="e">
        <f t="shared" ca="1" si="921"/>
        <v>#NAME?</v>
      </c>
      <c r="BY92" s="162" t="e">
        <f t="shared" ca="1" si="921"/>
        <v>#NAME?</v>
      </c>
      <c r="BZ92" s="162" t="e">
        <f t="shared" ca="1" si="921"/>
        <v>#NAME?</v>
      </c>
      <c r="CA92" s="162" t="e">
        <f t="shared" ca="1" si="921"/>
        <v>#NAME?</v>
      </c>
      <c r="CB92" s="162" t="e">
        <f t="shared" ca="1" si="921"/>
        <v>#NAME?</v>
      </c>
      <c r="CC92" s="162" t="e">
        <f t="shared" ca="1" si="921"/>
        <v>#NAME?</v>
      </c>
      <c r="CD92" s="162" t="e">
        <f t="shared" ca="1" si="921"/>
        <v>#NAME?</v>
      </c>
      <c r="CE92" s="162" t="e">
        <f t="shared" ca="1" si="921"/>
        <v>#NAME?</v>
      </c>
      <c r="CF92" s="162" t="e">
        <f t="shared" ca="1" si="921"/>
        <v>#NAME?</v>
      </c>
      <c r="CG92" s="162" t="e">
        <f t="shared" ca="1" si="921"/>
        <v>#NAME?</v>
      </c>
      <c r="CH92" s="162" t="e">
        <f t="shared" ca="1" si="921"/>
        <v>#NAME?</v>
      </c>
      <c r="CI92" s="162" t="e">
        <f t="shared" ca="1" si="921"/>
        <v>#NAME?</v>
      </c>
      <c r="CJ92" s="162" t="e">
        <f t="shared" ca="1" si="921"/>
        <v>#NAME?</v>
      </c>
      <c r="CK92" s="162" t="e">
        <f t="shared" ca="1" si="921"/>
        <v>#NAME?</v>
      </c>
      <c r="CL92" s="162" t="e">
        <f t="shared" ca="1" si="921"/>
        <v>#NAME?</v>
      </c>
      <c r="CM92" s="21" t="e">
        <f t="shared" ca="1" si="921"/>
        <v>#NAME?</v>
      </c>
      <c r="CN92" s="21" t="e">
        <f t="shared" ca="1" si="921"/>
        <v>#NAME?</v>
      </c>
      <c r="CO92" s="21" t="e">
        <f t="shared" ca="1" si="921"/>
        <v>#NAME?</v>
      </c>
      <c r="CP92" s="21" t="e">
        <f t="shared" ca="1" si="921"/>
        <v>#NAME?</v>
      </c>
      <c r="CQ92" s="21" t="e">
        <f t="shared" ca="1" si="921"/>
        <v>#NAME?</v>
      </c>
      <c r="CR92" s="21" t="e">
        <f t="shared" ca="1" si="921"/>
        <v>#NAME?</v>
      </c>
      <c r="CS92" s="21" t="e">
        <f t="shared" ca="1" si="921"/>
        <v>#NAME?</v>
      </c>
      <c r="CT92" s="21" t="e">
        <f t="shared" ca="1" si="921"/>
        <v>#NAME?</v>
      </c>
      <c r="CU92" s="21" t="e">
        <f t="shared" ca="1" si="921"/>
        <v>#NAME?</v>
      </c>
      <c r="CV92" s="21" t="e">
        <f t="shared" ca="1" si="921"/>
        <v>#NAME?</v>
      </c>
      <c r="CW92" s="21" t="e">
        <f t="shared" ca="1" si="921"/>
        <v>#NAME?</v>
      </c>
      <c r="CX92" s="21" t="e">
        <f t="shared" ca="1" si="921"/>
        <v>#NAME?</v>
      </c>
      <c r="CY92" s="21" t="e">
        <f t="shared" ca="1" si="921"/>
        <v>#NAME?</v>
      </c>
      <c r="CZ92" s="21" t="e">
        <f t="shared" ca="1" si="921"/>
        <v>#NAME?</v>
      </c>
      <c r="DA92" s="21" t="e">
        <f t="shared" ca="1" si="921"/>
        <v>#NAME?</v>
      </c>
      <c r="DB92" s="21" t="e">
        <f t="shared" ca="1" si="921"/>
        <v>#NAME?</v>
      </c>
      <c r="DE92" s="22"/>
      <c r="DF92" s="162">
        <v>127.52734237185625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>
        <f t="shared" ca="1" si="922"/>
        <v>0</v>
      </c>
      <c r="M94" s="162">
        <f t="shared" ca="1" si="922"/>
        <v>0</v>
      </c>
      <c r="N94" s="162">
        <f t="shared" ca="1" si="922"/>
        <v>0</v>
      </c>
      <c r="O94" s="162">
        <f t="shared" ca="1" si="922"/>
        <v>0</v>
      </c>
      <c r="P94" s="162">
        <f t="shared" ca="1" si="922"/>
        <v>0</v>
      </c>
      <c r="Q94" s="162">
        <f t="shared" ca="1" si="922"/>
        <v>0</v>
      </c>
      <c r="R94" s="162">
        <f t="shared" ca="1" si="922"/>
        <v>0</v>
      </c>
      <c r="S94" s="162">
        <f t="shared" ca="1" si="922"/>
        <v>0</v>
      </c>
      <c r="T94" s="162">
        <f t="shared" ca="1" si="922"/>
        <v>0</v>
      </c>
      <c r="U94" s="162">
        <f t="shared" ca="1" si="922"/>
        <v>0</v>
      </c>
      <c r="V94" s="162">
        <f t="shared" ca="1" si="922"/>
        <v>0</v>
      </c>
      <c r="W94" s="162">
        <f t="shared" ca="1" si="922"/>
        <v>0</v>
      </c>
      <c r="X94" s="162">
        <f t="shared" ca="1" si="922"/>
        <v>0</v>
      </c>
      <c r="Y94" s="162">
        <f t="shared" ca="1" si="922"/>
        <v>6.2881557969499822</v>
      </c>
      <c r="Z94" s="162">
        <f t="shared" ca="1" si="922"/>
        <v>3.821351919826002</v>
      </c>
      <c r="AA94" s="162">
        <f t="shared" ref="AA94" ca="1" si="923">+AA77/AA$92</f>
        <v>3.821351919826002</v>
      </c>
      <c r="AB94" s="21">
        <f t="shared" ca="1" si="922"/>
        <v>2.0408412534981113</v>
      </c>
      <c r="AC94" s="21">
        <f t="shared" ca="1" si="922"/>
        <v>1.9739479188015892</v>
      </c>
      <c r="AD94" s="21">
        <f t="shared" ca="1" si="922"/>
        <v>1.9254114426760505</v>
      </c>
      <c r="AE94" s="21">
        <f t="shared" ca="1" si="922"/>
        <v>1.8903727369338772</v>
      </c>
      <c r="AL94" s="162" t="e">
        <f t="shared" ref="AL94:CI96" ca="1" si="924">+AL77/AL$92</f>
        <v>#NAME?</v>
      </c>
      <c r="AM94" s="162" t="e">
        <f t="shared" ca="1" si="924"/>
        <v>#NAME?</v>
      </c>
      <c r="AN94" s="162" t="e">
        <f t="shared" ca="1" si="924"/>
        <v>#NAME?</v>
      </c>
      <c r="AO94" s="162" t="e">
        <f t="shared" ca="1" si="924"/>
        <v>#NAME?</v>
      </c>
      <c r="AP94" s="162" t="e">
        <f t="shared" ca="1" si="924"/>
        <v>#NAME?</v>
      </c>
      <c r="AQ94" s="162" t="e">
        <f t="shared" ca="1" si="924"/>
        <v>#NAME?</v>
      </c>
      <c r="AR94" s="162" t="e">
        <f t="shared" ca="1" si="924"/>
        <v>#NAME?</v>
      </c>
      <c r="AS94" s="162" t="e">
        <f t="shared" ca="1" si="924"/>
        <v>#NAME?</v>
      </c>
      <c r="AT94" s="162" t="e">
        <f t="shared" ca="1" si="924"/>
        <v>#NAME?</v>
      </c>
      <c r="AU94" s="162" t="e">
        <f t="shared" ca="1" si="924"/>
        <v>#NAME?</v>
      </c>
      <c r="AV94" s="162" t="e">
        <f t="shared" ca="1" si="924"/>
        <v>#NAME?</v>
      </c>
      <c r="AW94" s="162" t="e">
        <f t="shared" ca="1" si="924"/>
        <v>#NAME?</v>
      </c>
      <c r="AX94" s="162" t="e">
        <f t="shared" ca="1" si="924"/>
        <v>#NAME?</v>
      </c>
      <c r="AY94" s="162" t="e">
        <f t="shared" ca="1" si="924"/>
        <v>#NAME?</v>
      </c>
      <c r="AZ94" s="162" t="e">
        <f t="shared" ca="1" si="924"/>
        <v>#NAME?</v>
      </c>
      <c r="BA94" s="162" t="e">
        <f t="shared" ca="1" si="924"/>
        <v>#NAME?</v>
      </c>
      <c r="BB94" s="162" t="e">
        <f t="shared" ca="1" si="924"/>
        <v>#NAME?</v>
      </c>
      <c r="BC94" s="162" t="e">
        <f t="shared" ca="1" si="924"/>
        <v>#NAME?</v>
      </c>
      <c r="BD94" s="162" t="e">
        <f t="shared" ca="1" si="924"/>
        <v>#NAME?</v>
      </c>
      <c r="BE94" s="162" t="e">
        <f t="shared" ca="1" si="924"/>
        <v>#NAME?</v>
      </c>
      <c r="BF94" s="162" t="e">
        <f t="shared" ca="1" si="924"/>
        <v>#NAME?</v>
      </c>
      <c r="BG94" s="162" t="e">
        <f t="shared" ca="1" si="924"/>
        <v>#NAME?</v>
      </c>
      <c r="BH94" s="162" t="e">
        <f t="shared" ca="1" si="924"/>
        <v>#NAME?</v>
      </c>
      <c r="BI94" s="162" t="e">
        <f t="shared" ca="1" si="924"/>
        <v>#NAME?</v>
      </c>
      <c r="BJ94" s="162" t="e">
        <f t="shared" ca="1" si="924"/>
        <v>#NAME?</v>
      </c>
      <c r="BK94" s="162" t="e">
        <f t="shared" ca="1" si="924"/>
        <v>#NAME?</v>
      </c>
      <c r="BL94" s="162" t="e">
        <f t="shared" ca="1" si="924"/>
        <v>#NAME?</v>
      </c>
      <c r="BM94" s="162" t="e">
        <f t="shared" ca="1" si="924"/>
        <v>#NAME?</v>
      </c>
      <c r="BN94" s="162" t="e">
        <f t="shared" ca="1" si="924"/>
        <v>#NAME?</v>
      </c>
      <c r="BO94" s="162" t="e">
        <f t="shared" ca="1" si="924"/>
        <v>#NAME?</v>
      </c>
      <c r="BP94" s="162" t="e">
        <f t="shared" ca="1" si="924"/>
        <v>#NAME?</v>
      </c>
      <c r="BQ94" s="162" t="e">
        <f t="shared" ca="1" si="924"/>
        <v>#NAME?</v>
      </c>
      <c r="BR94" s="162" t="e">
        <f t="shared" ca="1" si="924"/>
        <v>#NAME?</v>
      </c>
      <c r="BS94" s="162" t="e">
        <f t="shared" ca="1" si="924"/>
        <v>#NAME?</v>
      </c>
      <c r="BT94" s="162" t="e">
        <f t="shared" ca="1" si="924"/>
        <v>#NAME?</v>
      </c>
      <c r="BU94" s="162" t="e">
        <f t="shared" ca="1" si="924"/>
        <v>#NAME?</v>
      </c>
      <c r="BV94" s="162" t="e">
        <f t="shared" ca="1" si="924"/>
        <v>#NAME?</v>
      </c>
      <c r="BW94" s="162" t="e">
        <f t="shared" ca="1" si="924"/>
        <v>#NAME?</v>
      </c>
      <c r="BX94" s="162" t="e">
        <f t="shared" ca="1" si="924"/>
        <v>#NAME?</v>
      </c>
      <c r="BY94" s="162" t="e">
        <f t="shared" ca="1" si="924"/>
        <v>#NAME?</v>
      </c>
      <c r="BZ94" s="162" t="e">
        <f t="shared" ca="1" si="924"/>
        <v>#NAME?</v>
      </c>
      <c r="CA94" s="162" t="e">
        <f t="shared" ca="1" si="924"/>
        <v>#NAME?</v>
      </c>
      <c r="CB94" s="162" t="e">
        <f t="shared" ca="1" si="924"/>
        <v>#NAME?</v>
      </c>
      <c r="CC94" s="162" t="e">
        <f t="shared" ca="1" si="924"/>
        <v>#NAME?</v>
      </c>
      <c r="CD94" s="162" t="e">
        <f t="shared" ca="1" si="924"/>
        <v>#NAME?</v>
      </c>
      <c r="CE94" s="162" t="e">
        <f t="shared" ca="1" si="924"/>
        <v>#NAME?</v>
      </c>
      <c r="CF94" s="162" t="e">
        <f t="shared" ca="1" si="924"/>
        <v>#NAME?</v>
      </c>
      <c r="CG94" s="162" t="e">
        <f t="shared" ca="1" si="924"/>
        <v>#NAME?</v>
      </c>
      <c r="CH94" s="162" t="e">
        <f t="shared" ca="1" si="924"/>
        <v>#NAME?</v>
      </c>
      <c r="CI94" s="162" t="e">
        <f t="shared" ca="1" si="924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5">+CM77/CM$92</f>
        <v>#NAME?</v>
      </c>
      <c r="CN94" s="21" t="e">
        <f t="shared" ca="1" si="925"/>
        <v>#NAME?</v>
      </c>
      <c r="CO94" s="21" t="e">
        <f t="shared" ca="1" si="925"/>
        <v>#NAME?</v>
      </c>
      <c r="CP94" s="21" t="e">
        <f t="shared" ca="1" si="925"/>
        <v>#NAME?</v>
      </c>
      <c r="CQ94" s="21" t="e">
        <f t="shared" ca="1" si="925"/>
        <v>#NAME?</v>
      </c>
      <c r="CR94" s="21" t="e">
        <f t="shared" ca="1" si="925"/>
        <v>#NAME?</v>
      </c>
      <c r="CS94" s="21" t="e">
        <f t="shared" ca="1" si="925"/>
        <v>#NAME?</v>
      </c>
      <c r="CT94" s="21" t="e">
        <f t="shared" ca="1" si="925"/>
        <v>#NAME?</v>
      </c>
      <c r="CU94" s="21" t="e">
        <f t="shared" ca="1" si="925"/>
        <v>#NAME?</v>
      </c>
      <c r="CV94" s="21" t="e">
        <f t="shared" ca="1" si="925"/>
        <v>#NAME?</v>
      </c>
      <c r="CW94" s="21" t="e">
        <f t="shared" ca="1" si="925"/>
        <v>#NAME?</v>
      </c>
      <c r="CX94" s="21" t="e">
        <f t="shared" ca="1" si="925"/>
        <v>#NAME?</v>
      </c>
      <c r="CY94" s="21" t="e">
        <f t="shared" ca="1" si="925"/>
        <v>#NAME?</v>
      </c>
      <c r="CZ94" s="21" t="e">
        <f t="shared" ca="1" si="925"/>
        <v>#NAME?</v>
      </c>
      <c r="DA94" s="21" t="e">
        <f t="shared" ca="1" si="925"/>
        <v>#NAME?</v>
      </c>
      <c r="DB94" s="21" t="e">
        <f t="shared" ca="1" si="925"/>
        <v>#NAME?</v>
      </c>
      <c r="DE94" s="22"/>
      <c r="DF94" s="162">
        <v>2.1328759381409892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>
        <f t="shared" ca="1" si="922"/>
        <v>0</v>
      </c>
      <c r="M95" s="162">
        <f t="shared" ca="1" si="922"/>
        <v>0</v>
      </c>
      <c r="N95" s="162">
        <f t="shared" ca="1" si="922"/>
        <v>0</v>
      </c>
      <c r="O95" s="162">
        <f t="shared" ca="1" si="922"/>
        <v>0</v>
      </c>
      <c r="P95" s="162">
        <f t="shared" ca="1" si="922"/>
        <v>0</v>
      </c>
      <c r="Q95" s="162">
        <f t="shared" ca="1" si="922"/>
        <v>0</v>
      </c>
      <c r="R95" s="162">
        <f t="shared" ca="1" si="922"/>
        <v>0</v>
      </c>
      <c r="S95" s="162">
        <f t="shared" ca="1" si="922"/>
        <v>0</v>
      </c>
      <c r="T95" s="162">
        <f t="shared" ca="1" si="922"/>
        <v>0</v>
      </c>
      <c r="U95" s="162">
        <f t="shared" ca="1" si="922"/>
        <v>0</v>
      </c>
      <c r="V95" s="162">
        <f t="shared" ca="1" si="922"/>
        <v>0</v>
      </c>
      <c r="W95" s="162">
        <f t="shared" ca="1" si="922"/>
        <v>0</v>
      </c>
      <c r="X95" s="162">
        <f t="shared" ca="1" si="922"/>
        <v>0</v>
      </c>
      <c r="Y95" s="162">
        <f t="shared" ca="1" si="922"/>
        <v>7.7087097377494294</v>
      </c>
      <c r="Z95" s="162">
        <f t="shared" ca="1" si="922"/>
        <v>7.2937123868405953</v>
      </c>
      <c r="AA95" s="162">
        <f t="shared" ref="AA95" ca="1" si="926">+AA78/AA$92</f>
        <v>7.2937123868405953</v>
      </c>
      <c r="AB95" s="21">
        <f t="shared" ca="1" si="922"/>
        <v>3.2133798722050342</v>
      </c>
      <c r="AC95" s="21">
        <f t="shared" ca="1" si="922"/>
        <v>1.8330847813041133</v>
      </c>
      <c r="AD95" s="21">
        <f t="shared" ca="1" si="922"/>
        <v>1.3838294720987834</v>
      </c>
      <c r="AE95" s="21">
        <f t="shared" ca="1" si="922"/>
        <v>1.0392178528192602</v>
      </c>
      <c r="AL95" s="162" t="e">
        <f t="shared" ca="1" si="924"/>
        <v>#NAME?</v>
      </c>
      <c r="AM95" s="162" t="e">
        <f t="shared" ca="1" si="924"/>
        <v>#NAME?</v>
      </c>
      <c r="AN95" s="162" t="e">
        <f t="shared" ca="1" si="924"/>
        <v>#NAME?</v>
      </c>
      <c r="AO95" s="162" t="e">
        <f t="shared" ca="1" si="924"/>
        <v>#NAME?</v>
      </c>
      <c r="AP95" s="162" t="e">
        <f t="shared" ca="1" si="924"/>
        <v>#NAME?</v>
      </c>
      <c r="AQ95" s="162" t="e">
        <f t="shared" ca="1" si="924"/>
        <v>#NAME?</v>
      </c>
      <c r="AR95" s="162" t="e">
        <f t="shared" ca="1" si="924"/>
        <v>#NAME?</v>
      </c>
      <c r="AS95" s="162" t="e">
        <f t="shared" ca="1" si="924"/>
        <v>#NAME?</v>
      </c>
      <c r="AT95" s="162" t="e">
        <f t="shared" ca="1" si="924"/>
        <v>#NAME?</v>
      </c>
      <c r="AU95" s="162" t="e">
        <f t="shared" ca="1" si="924"/>
        <v>#NAME?</v>
      </c>
      <c r="AV95" s="162" t="e">
        <f t="shared" ca="1" si="924"/>
        <v>#NAME?</v>
      </c>
      <c r="AW95" s="162" t="e">
        <f t="shared" ca="1" si="924"/>
        <v>#NAME?</v>
      </c>
      <c r="AX95" s="162" t="e">
        <f t="shared" ca="1" si="924"/>
        <v>#NAME?</v>
      </c>
      <c r="AY95" s="162" t="e">
        <f t="shared" ca="1" si="924"/>
        <v>#NAME?</v>
      </c>
      <c r="AZ95" s="162" t="e">
        <f t="shared" ca="1" si="924"/>
        <v>#NAME?</v>
      </c>
      <c r="BA95" s="162" t="e">
        <f t="shared" ca="1" si="924"/>
        <v>#NAME?</v>
      </c>
      <c r="BB95" s="162" t="e">
        <f t="shared" ca="1" si="924"/>
        <v>#NAME?</v>
      </c>
      <c r="BC95" s="162" t="e">
        <f t="shared" ca="1" si="924"/>
        <v>#NAME?</v>
      </c>
      <c r="BD95" s="162" t="e">
        <f t="shared" ca="1" si="924"/>
        <v>#NAME?</v>
      </c>
      <c r="BE95" s="162" t="e">
        <f t="shared" ca="1" si="924"/>
        <v>#NAME?</v>
      </c>
      <c r="BF95" s="162" t="e">
        <f t="shared" ca="1" si="924"/>
        <v>#NAME?</v>
      </c>
      <c r="BG95" s="162" t="e">
        <f t="shared" ca="1" si="924"/>
        <v>#NAME?</v>
      </c>
      <c r="BH95" s="162" t="e">
        <f t="shared" ca="1" si="924"/>
        <v>#NAME?</v>
      </c>
      <c r="BI95" s="162" t="e">
        <f t="shared" ca="1" si="924"/>
        <v>#NAME?</v>
      </c>
      <c r="BJ95" s="162" t="e">
        <f t="shared" ca="1" si="924"/>
        <v>#NAME?</v>
      </c>
      <c r="BK95" s="162" t="e">
        <f t="shared" ca="1" si="924"/>
        <v>#NAME?</v>
      </c>
      <c r="BL95" s="162" t="e">
        <f t="shared" ca="1" si="924"/>
        <v>#NAME?</v>
      </c>
      <c r="BM95" s="162" t="e">
        <f t="shared" ca="1" si="924"/>
        <v>#NAME?</v>
      </c>
      <c r="BN95" s="162" t="e">
        <f t="shared" ca="1" si="924"/>
        <v>#NAME?</v>
      </c>
      <c r="BO95" s="162" t="e">
        <f t="shared" ca="1" si="924"/>
        <v>#NAME?</v>
      </c>
      <c r="BP95" s="162" t="e">
        <f t="shared" ca="1" si="924"/>
        <v>#NAME?</v>
      </c>
      <c r="BQ95" s="162" t="e">
        <f t="shared" ca="1" si="924"/>
        <v>#NAME?</v>
      </c>
      <c r="BR95" s="162" t="e">
        <f t="shared" ca="1" si="924"/>
        <v>#NAME?</v>
      </c>
      <c r="BS95" s="162" t="e">
        <f t="shared" ca="1" si="924"/>
        <v>#NAME?</v>
      </c>
      <c r="BT95" s="162" t="e">
        <f t="shared" ca="1" si="924"/>
        <v>#NAME?</v>
      </c>
      <c r="BU95" s="162" t="e">
        <f t="shared" ca="1" si="924"/>
        <v>#NAME?</v>
      </c>
      <c r="BV95" s="162" t="e">
        <f t="shared" ca="1" si="924"/>
        <v>#NAME?</v>
      </c>
      <c r="BW95" s="162" t="e">
        <f t="shared" ca="1" si="924"/>
        <v>#NAME?</v>
      </c>
      <c r="BX95" s="162" t="e">
        <f t="shared" ca="1" si="924"/>
        <v>#NAME?</v>
      </c>
      <c r="BY95" s="162" t="e">
        <f t="shared" ca="1" si="924"/>
        <v>#NAME?</v>
      </c>
      <c r="BZ95" s="162" t="e">
        <f t="shared" ca="1" si="924"/>
        <v>#NAME?</v>
      </c>
      <c r="CA95" s="162" t="e">
        <f t="shared" ca="1" si="924"/>
        <v>#NAME?</v>
      </c>
      <c r="CB95" s="162" t="e">
        <f t="shared" ca="1" si="924"/>
        <v>#NAME?</v>
      </c>
      <c r="CC95" s="162" t="e">
        <f t="shared" ca="1" si="924"/>
        <v>#NAME?</v>
      </c>
      <c r="CD95" s="162" t="e">
        <f t="shared" ca="1" si="924"/>
        <v>#NAME?</v>
      </c>
      <c r="CE95" s="162" t="e">
        <f t="shared" ca="1" si="924"/>
        <v>#NAME?</v>
      </c>
      <c r="CF95" s="162" t="e">
        <f t="shared" ca="1" si="924"/>
        <v>#NAME?</v>
      </c>
      <c r="CG95" s="162" t="e">
        <f t="shared" ca="1" si="924"/>
        <v>#NAME?</v>
      </c>
      <c r="CH95" s="162" t="e">
        <f t="shared" ca="1" si="924"/>
        <v>#NAME?</v>
      </c>
      <c r="CI95" s="162" t="e">
        <f t="shared" ca="1" si="924"/>
        <v>#NAME?</v>
      </c>
      <c r="CJ95" s="162" t="e">
        <f t="shared" ref="CJ95:CK96" ca="1" si="927">+CJ78/CJ$92</f>
        <v>#NAME?</v>
      </c>
      <c r="CK95" s="162" t="e">
        <f t="shared" ca="1" si="927"/>
        <v>#NAME?</v>
      </c>
      <c r="CL95" s="162" t="e">
        <f t="shared" ref="CL95" ca="1" si="928">+CL78/CL$92</f>
        <v>#NAME?</v>
      </c>
      <c r="CM95" s="94" t="e">
        <f t="shared" ref="CM95:DB95" ca="1" si="929">+CL95</f>
        <v>#NAME?</v>
      </c>
      <c r="CN95" s="94" t="e">
        <f t="shared" ca="1" si="929"/>
        <v>#NAME?</v>
      </c>
      <c r="CO95" s="94" t="e">
        <f t="shared" ca="1" si="929"/>
        <v>#NAME?</v>
      </c>
      <c r="CP95" s="94" t="e">
        <f t="shared" ca="1" si="929"/>
        <v>#NAME?</v>
      </c>
      <c r="CQ95" s="94" t="e">
        <f t="shared" ca="1" si="929"/>
        <v>#NAME?</v>
      </c>
      <c r="CR95" s="94" t="e">
        <f t="shared" ca="1" si="929"/>
        <v>#NAME?</v>
      </c>
      <c r="CS95" s="94" t="e">
        <f t="shared" ca="1" si="929"/>
        <v>#NAME?</v>
      </c>
      <c r="CT95" s="94" t="e">
        <f t="shared" ca="1" si="929"/>
        <v>#NAME?</v>
      </c>
      <c r="CU95" s="94" t="e">
        <f t="shared" ca="1" si="929"/>
        <v>#NAME?</v>
      </c>
      <c r="CV95" s="94" t="e">
        <f t="shared" ca="1" si="929"/>
        <v>#NAME?</v>
      </c>
      <c r="CW95" s="94" t="e">
        <f t="shared" ca="1" si="929"/>
        <v>#NAME?</v>
      </c>
      <c r="CX95" s="94" t="e">
        <f t="shared" ca="1" si="929"/>
        <v>#NAME?</v>
      </c>
      <c r="CY95" s="94" t="e">
        <f t="shared" ca="1" si="929"/>
        <v>#NAME?</v>
      </c>
      <c r="CZ95" s="94" t="e">
        <f t="shared" ca="1" si="929"/>
        <v>#NAME?</v>
      </c>
      <c r="DA95" s="94" t="e">
        <f t="shared" ca="1" si="929"/>
        <v>#NAME?</v>
      </c>
      <c r="DB95" s="94" t="e">
        <f t="shared" ca="1" si="929"/>
        <v>#NAME?</v>
      </c>
      <c r="DC95" s="94"/>
      <c r="DE95" s="22"/>
      <c r="DF95" s="162">
        <v>4.2422275093171882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>
        <f t="shared" ca="1" si="922"/>
        <v>0</v>
      </c>
      <c r="M96" s="162">
        <f t="shared" ca="1" si="922"/>
        <v>0</v>
      </c>
      <c r="N96" s="162">
        <f t="shared" ca="1" si="922"/>
        <v>0</v>
      </c>
      <c r="O96" s="162">
        <f t="shared" ca="1" si="922"/>
        <v>0</v>
      </c>
      <c r="P96" s="162">
        <f t="shared" ca="1" si="922"/>
        <v>0</v>
      </c>
      <c r="Q96" s="162">
        <f t="shared" ca="1" si="922"/>
        <v>0</v>
      </c>
      <c r="R96" s="162">
        <f t="shared" ca="1" si="922"/>
        <v>0</v>
      </c>
      <c r="S96" s="162">
        <f t="shared" ca="1" si="922"/>
        <v>0</v>
      </c>
      <c r="T96" s="162">
        <f t="shared" ca="1" si="922"/>
        <v>0</v>
      </c>
      <c r="U96" s="162">
        <f t="shared" ca="1" si="922"/>
        <v>0</v>
      </c>
      <c r="V96" s="162">
        <f t="shared" ca="1" si="922"/>
        <v>0</v>
      </c>
      <c r="W96" s="162">
        <f t="shared" ca="1" si="922"/>
        <v>0</v>
      </c>
      <c r="X96" s="162">
        <f t="shared" ca="1" si="922"/>
        <v>0</v>
      </c>
      <c r="Y96" s="162">
        <f t="shared" ca="1" si="922"/>
        <v>3.5011808866661243</v>
      </c>
      <c r="Z96" s="162">
        <f t="shared" ca="1" si="922"/>
        <v>3.1806286896943976</v>
      </c>
      <c r="AA96" s="162">
        <f t="shared" ref="AA96" ca="1" si="930">+AA79/AA$92</f>
        <v>3.1806286896943976</v>
      </c>
      <c r="AB96" s="21">
        <f t="shared" ca="1" si="922"/>
        <v>1.2381580696814254</v>
      </c>
      <c r="AC96" s="21">
        <f t="shared" ca="1" si="922"/>
        <v>0.94051078653930198</v>
      </c>
      <c r="AD96" s="21">
        <f t="shared" ca="1" si="922"/>
        <v>0.70554173880415916</v>
      </c>
      <c r="AE96" s="21">
        <f t="shared" ca="1" si="922"/>
        <v>0.52217330555190022</v>
      </c>
      <c r="AL96" s="162" t="e">
        <f t="shared" ca="1" si="924"/>
        <v>#NAME?</v>
      </c>
      <c r="AM96" s="162" t="e">
        <f t="shared" ca="1" si="924"/>
        <v>#NAME?</v>
      </c>
      <c r="AN96" s="162" t="e">
        <f t="shared" ca="1" si="924"/>
        <v>#NAME?</v>
      </c>
      <c r="AO96" s="162" t="e">
        <f t="shared" ca="1" si="924"/>
        <v>#NAME?</v>
      </c>
      <c r="AP96" s="162" t="e">
        <f t="shared" ca="1" si="924"/>
        <v>#NAME?</v>
      </c>
      <c r="AQ96" s="162" t="e">
        <f t="shared" ca="1" si="924"/>
        <v>#NAME?</v>
      </c>
      <c r="AR96" s="162" t="e">
        <f t="shared" ca="1" si="924"/>
        <v>#NAME?</v>
      </c>
      <c r="AS96" s="162" t="e">
        <f t="shared" ca="1" si="924"/>
        <v>#NAME?</v>
      </c>
      <c r="AT96" s="162" t="e">
        <f t="shared" ca="1" si="924"/>
        <v>#NAME?</v>
      </c>
      <c r="AU96" s="162" t="e">
        <f t="shared" ca="1" si="924"/>
        <v>#NAME?</v>
      </c>
      <c r="AV96" s="162" t="e">
        <f t="shared" ca="1" si="924"/>
        <v>#NAME?</v>
      </c>
      <c r="AW96" s="162" t="e">
        <f t="shared" ca="1" si="924"/>
        <v>#NAME?</v>
      </c>
      <c r="AX96" s="162" t="e">
        <f t="shared" ca="1" si="924"/>
        <v>#NAME?</v>
      </c>
      <c r="AY96" s="162" t="e">
        <f t="shared" ca="1" si="924"/>
        <v>#NAME?</v>
      </c>
      <c r="AZ96" s="162" t="e">
        <f t="shared" ca="1" si="924"/>
        <v>#NAME?</v>
      </c>
      <c r="BA96" s="162" t="e">
        <f t="shared" ca="1" si="924"/>
        <v>#NAME?</v>
      </c>
      <c r="BB96" s="162" t="e">
        <f t="shared" ca="1" si="924"/>
        <v>#NAME?</v>
      </c>
      <c r="BC96" s="162" t="e">
        <f t="shared" ca="1" si="924"/>
        <v>#NAME?</v>
      </c>
      <c r="BD96" s="162" t="e">
        <f t="shared" ca="1" si="924"/>
        <v>#NAME?</v>
      </c>
      <c r="BE96" s="162" t="e">
        <f t="shared" ca="1" si="924"/>
        <v>#NAME?</v>
      </c>
      <c r="BF96" s="162" t="e">
        <f t="shared" ca="1" si="924"/>
        <v>#NAME?</v>
      </c>
      <c r="BG96" s="162" t="e">
        <f t="shared" ca="1" si="924"/>
        <v>#NAME?</v>
      </c>
      <c r="BH96" s="162" t="e">
        <f t="shared" ca="1" si="924"/>
        <v>#NAME?</v>
      </c>
      <c r="BI96" s="162" t="e">
        <f t="shared" ca="1" si="924"/>
        <v>#NAME?</v>
      </c>
      <c r="BJ96" s="162" t="e">
        <f t="shared" ca="1" si="924"/>
        <v>#NAME?</v>
      </c>
      <c r="BK96" s="162" t="e">
        <f t="shared" ca="1" si="924"/>
        <v>#NAME?</v>
      </c>
      <c r="BL96" s="162" t="e">
        <f t="shared" ca="1" si="924"/>
        <v>#NAME?</v>
      </c>
      <c r="BM96" s="162" t="e">
        <f t="shared" ca="1" si="924"/>
        <v>#NAME?</v>
      </c>
      <c r="BN96" s="162" t="e">
        <f t="shared" ca="1" si="924"/>
        <v>#NAME?</v>
      </c>
      <c r="BO96" s="162" t="e">
        <f t="shared" ca="1" si="924"/>
        <v>#NAME?</v>
      </c>
      <c r="BP96" s="162" t="e">
        <f t="shared" ca="1" si="924"/>
        <v>#NAME?</v>
      </c>
      <c r="BQ96" s="162" t="e">
        <f t="shared" ca="1" si="924"/>
        <v>#NAME?</v>
      </c>
      <c r="BR96" s="162" t="e">
        <f t="shared" ca="1" si="924"/>
        <v>#NAME?</v>
      </c>
      <c r="BS96" s="162" t="e">
        <f t="shared" ca="1" si="924"/>
        <v>#NAME?</v>
      </c>
      <c r="BT96" s="162" t="e">
        <f t="shared" ca="1" si="924"/>
        <v>#NAME?</v>
      </c>
      <c r="BU96" s="162" t="e">
        <f t="shared" ca="1" si="924"/>
        <v>#NAME?</v>
      </c>
      <c r="BV96" s="162" t="e">
        <f t="shared" ca="1" si="924"/>
        <v>#NAME?</v>
      </c>
      <c r="BW96" s="162" t="e">
        <f t="shared" ca="1" si="924"/>
        <v>#NAME?</v>
      </c>
      <c r="BX96" s="162" t="e">
        <f t="shared" ca="1" si="924"/>
        <v>#NAME?</v>
      </c>
      <c r="BY96" s="162" t="e">
        <f t="shared" ca="1" si="924"/>
        <v>#NAME?</v>
      </c>
      <c r="BZ96" s="162" t="e">
        <f t="shared" ca="1" si="924"/>
        <v>#NAME?</v>
      </c>
      <c r="CA96" s="162" t="e">
        <f t="shared" ca="1" si="924"/>
        <v>#NAME?</v>
      </c>
      <c r="CB96" s="162" t="e">
        <f t="shared" ca="1" si="924"/>
        <v>#NAME?</v>
      </c>
      <c r="CC96" s="162" t="e">
        <f t="shared" ca="1" si="924"/>
        <v>#NAME?</v>
      </c>
      <c r="CD96" s="162" t="e">
        <f t="shared" ca="1" si="924"/>
        <v>#NAME?</v>
      </c>
      <c r="CE96" s="162" t="e">
        <f t="shared" ca="1" si="924"/>
        <v>#NAME?</v>
      </c>
      <c r="CF96" s="162" t="e">
        <f t="shared" ca="1" si="924"/>
        <v>#NAME?</v>
      </c>
      <c r="CG96" s="162" t="e">
        <f t="shared" ca="1" si="924"/>
        <v>#NAME?</v>
      </c>
      <c r="CH96" s="162" t="e">
        <f t="shared" ca="1" si="924"/>
        <v>#NAME?</v>
      </c>
      <c r="CI96" s="162" t="e">
        <f t="shared" ca="1" si="924"/>
        <v>#NAME?</v>
      </c>
      <c r="CJ96" s="162" t="e">
        <f t="shared" ca="1" si="927"/>
        <v>#NAME?</v>
      </c>
      <c r="CK96" s="162" t="e">
        <f t="shared" ca="1" si="927"/>
        <v>#NAME?</v>
      </c>
      <c r="CL96" s="162" t="e">
        <f t="shared" ref="CL96" ca="1" si="931">+CL79/CL$92</f>
        <v>#NAME?</v>
      </c>
      <c r="CM96" s="94" t="e">
        <f t="shared" ref="CM96:DB96" ca="1" si="932">+CL96</f>
        <v>#NAME?</v>
      </c>
      <c r="CN96" s="94" t="e">
        <f t="shared" ca="1" si="932"/>
        <v>#NAME?</v>
      </c>
      <c r="CO96" s="94" t="e">
        <f t="shared" ca="1" si="932"/>
        <v>#NAME?</v>
      </c>
      <c r="CP96" s="94" t="e">
        <f t="shared" ca="1" si="932"/>
        <v>#NAME?</v>
      </c>
      <c r="CQ96" s="94" t="e">
        <f t="shared" ca="1" si="932"/>
        <v>#NAME?</v>
      </c>
      <c r="CR96" s="94" t="e">
        <f t="shared" ca="1" si="932"/>
        <v>#NAME?</v>
      </c>
      <c r="CS96" s="94" t="e">
        <f t="shared" ca="1" si="932"/>
        <v>#NAME?</v>
      </c>
      <c r="CT96" s="94" t="e">
        <f t="shared" ca="1" si="932"/>
        <v>#NAME?</v>
      </c>
      <c r="CU96" s="94" t="e">
        <f t="shared" ca="1" si="932"/>
        <v>#NAME?</v>
      </c>
      <c r="CV96" s="94" t="e">
        <f t="shared" ca="1" si="932"/>
        <v>#NAME?</v>
      </c>
      <c r="CW96" s="94" t="e">
        <f t="shared" ca="1" si="932"/>
        <v>#NAME?</v>
      </c>
      <c r="CX96" s="94" t="e">
        <f t="shared" ca="1" si="932"/>
        <v>#NAME?</v>
      </c>
      <c r="CY96" s="94" t="e">
        <f t="shared" ca="1" si="932"/>
        <v>#NAME?</v>
      </c>
      <c r="CZ96" s="94" t="e">
        <f t="shared" ca="1" si="932"/>
        <v>#NAME?</v>
      </c>
      <c r="DA96" s="94" t="e">
        <f t="shared" ca="1" si="932"/>
        <v>#NAME?</v>
      </c>
      <c r="DB96" s="94" t="e">
        <f t="shared" ca="1" si="932"/>
        <v>#NAME?</v>
      </c>
      <c r="DC96" s="94"/>
      <c r="DE96" s="22"/>
      <c r="DF96" s="162">
        <v>2.0775936757737319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33">+E10</f>
        <v>#NAME?</v>
      </c>
      <c r="F98" s="177" t="e">
        <f t="shared" ca="1" si="933"/>
        <v>#NAME?</v>
      </c>
      <c r="G98" s="177" t="e">
        <f t="shared" ca="1" si="933"/>
        <v>#NAME?</v>
      </c>
      <c r="H98" s="177" t="e">
        <f t="shared" ca="1" si="933"/>
        <v>#NAME?</v>
      </c>
      <c r="I98" s="177" t="e">
        <f t="shared" ca="1" si="933"/>
        <v>#NAME?</v>
      </c>
      <c r="J98" s="177" t="e">
        <f t="shared" ca="1" si="933"/>
        <v>#NAME?</v>
      </c>
      <c r="K98" s="177" t="e">
        <f t="shared" ca="1" si="933"/>
        <v>#NAME?</v>
      </c>
      <c r="L98" s="177" t="e">
        <f t="shared" ca="1" si="933"/>
        <v>#NAME?</v>
      </c>
      <c r="M98" s="177" t="e">
        <f t="shared" ca="1" si="933"/>
        <v>#NAME?</v>
      </c>
      <c r="N98" s="177" t="e">
        <f t="shared" ca="1" si="933"/>
        <v>#NAME?</v>
      </c>
      <c r="O98" s="177" t="e">
        <f t="shared" ca="1" si="933"/>
        <v>#NAME?</v>
      </c>
      <c r="P98" s="177" t="e">
        <f t="shared" ca="1" si="933"/>
        <v>#NAME?</v>
      </c>
      <c r="Q98" s="177" t="e">
        <f t="shared" ca="1" si="933"/>
        <v>#NAME?</v>
      </c>
      <c r="R98" s="177" t="e">
        <f t="shared" ca="1" si="933"/>
        <v>#NAME?</v>
      </c>
      <c r="S98" s="177" t="e">
        <f t="shared" ca="1" si="933"/>
        <v>#NAME?</v>
      </c>
      <c r="T98" s="177" t="e">
        <f t="shared" ca="1" si="933"/>
        <v>#NAME?</v>
      </c>
      <c r="U98" s="177" t="e">
        <f t="shared" ca="1" si="933"/>
        <v>#NAME?</v>
      </c>
      <c r="V98" s="177" t="e">
        <f t="shared" ca="1" si="933"/>
        <v>#NAME?</v>
      </c>
      <c r="W98" s="177" t="e">
        <f t="shared" ca="1" si="933"/>
        <v>#NAME?</v>
      </c>
      <c r="X98" s="177" t="e">
        <f t="shared" ca="1" si="933"/>
        <v>#NAME?</v>
      </c>
      <c r="Y98" s="177" t="e">
        <f t="shared" ca="1" si="933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34">+AB10</f>
        <v>#NAME?</v>
      </c>
      <c r="AC98" s="178" t="e">
        <f t="shared" ca="1" si="934"/>
        <v>#NAME?</v>
      </c>
      <c r="AD98" s="178" t="e">
        <f t="shared" ca="1" si="934"/>
        <v>#NAME?</v>
      </c>
      <c r="AE98" s="178" t="e">
        <f t="shared" ca="1" si="934"/>
        <v>#NAME?</v>
      </c>
      <c r="AL98" s="177" t="e">
        <f t="shared" ref="AL98:BQ98" ca="1" si="935">+SUM(AI8:AL8)</f>
        <v>#NAME?</v>
      </c>
      <c r="AM98" s="177" t="e">
        <f t="shared" ca="1" si="935"/>
        <v>#NAME?</v>
      </c>
      <c r="AN98" s="177" t="e">
        <f t="shared" ca="1" si="935"/>
        <v>#NAME?</v>
      </c>
      <c r="AO98" s="177" t="e">
        <f t="shared" ca="1" si="935"/>
        <v>#NAME?</v>
      </c>
      <c r="AP98" s="177" t="e">
        <f t="shared" ca="1" si="935"/>
        <v>#NAME?</v>
      </c>
      <c r="AQ98" s="177" t="e">
        <f t="shared" ca="1" si="935"/>
        <v>#NAME?</v>
      </c>
      <c r="AR98" s="177" t="e">
        <f t="shared" ca="1" si="935"/>
        <v>#NAME?</v>
      </c>
      <c r="AS98" s="177" t="e">
        <f t="shared" ca="1" si="935"/>
        <v>#NAME?</v>
      </c>
      <c r="AT98" s="177" t="e">
        <f t="shared" ca="1" si="935"/>
        <v>#NAME?</v>
      </c>
      <c r="AU98" s="177" t="e">
        <f t="shared" ca="1" si="935"/>
        <v>#NAME?</v>
      </c>
      <c r="AV98" s="177" t="e">
        <f t="shared" ca="1" si="935"/>
        <v>#NAME?</v>
      </c>
      <c r="AW98" s="177" t="e">
        <f t="shared" ca="1" si="935"/>
        <v>#NAME?</v>
      </c>
      <c r="AX98" s="177" t="e">
        <f t="shared" ca="1" si="935"/>
        <v>#NAME?</v>
      </c>
      <c r="AY98" s="177" t="e">
        <f t="shared" ca="1" si="935"/>
        <v>#NAME?</v>
      </c>
      <c r="AZ98" s="177" t="e">
        <f t="shared" ca="1" si="935"/>
        <v>#NAME?</v>
      </c>
      <c r="BA98" s="177" t="e">
        <f t="shared" ca="1" si="935"/>
        <v>#NAME?</v>
      </c>
      <c r="BB98" s="177" t="e">
        <f t="shared" ca="1" si="935"/>
        <v>#NAME?</v>
      </c>
      <c r="BC98" s="177" t="e">
        <f t="shared" ca="1" si="935"/>
        <v>#NAME?</v>
      </c>
      <c r="BD98" s="177" t="e">
        <f t="shared" ca="1" si="935"/>
        <v>#NAME?</v>
      </c>
      <c r="BE98" s="177" t="e">
        <f t="shared" ca="1" si="935"/>
        <v>#NAME?</v>
      </c>
      <c r="BF98" s="177" t="e">
        <f t="shared" ca="1" si="935"/>
        <v>#NAME?</v>
      </c>
      <c r="BG98" s="177" t="e">
        <f t="shared" ca="1" si="935"/>
        <v>#NAME?</v>
      </c>
      <c r="BH98" s="177" t="e">
        <f t="shared" ca="1" si="935"/>
        <v>#NAME?</v>
      </c>
      <c r="BI98" s="177" t="e">
        <f t="shared" ca="1" si="935"/>
        <v>#NAME?</v>
      </c>
      <c r="BJ98" s="177" t="e">
        <f t="shared" ca="1" si="935"/>
        <v>#NAME?</v>
      </c>
      <c r="BK98" s="177" t="e">
        <f t="shared" ca="1" si="935"/>
        <v>#NAME?</v>
      </c>
      <c r="BL98" s="177" t="e">
        <f t="shared" ca="1" si="935"/>
        <v>#NAME?</v>
      </c>
      <c r="BM98" s="177" t="e">
        <f t="shared" ca="1" si="935"/>
        <v>#NAME?</v>
      </c>
      <c r="BN98" s="177" t="e">
        <f t="shared" ca="1" si="935"/>
        <v>#NAME?</v>
      </c>
      <c r="BO98" s="177" t="e">
        <f t="shared" ca="1" si="935"/>
        <v>#NAME?</v>
      </c>
      <c r="BP98" s="177" t="e">
        <f t="shared" ca="1" si="935"/>
        <v>#NAME?</v>
      </c>
      <c r="BQ98" s="177" t="e">
        <f t="shared" ca="1" si="935"/>
        <v>#NAME?</v>
      </c>
      <c r="BR98" s="177" t="e">
        <f t="shared" ref="BR98:CW98" ca="1" si="936">+SUM(BO8:BR8)</f>
        <v>#NAME?</v>
      </c>
      <c r="BS98" s="177" t="e">
        <f t="shared" ca="1" si="936"/>
        <v>#NAME?</v>
      </c>
      <c r="BT98" s="177" t="e">
        <f t="shared" ca="1" si="936"/>
        <v>#NAME?</v>
      </c>
      <c r="BU98" s="177" t="e">
        <f t="shared" ca="1" si="936"/>
        <v>#NAME?</v>
      </c>
      <c r="BV98" s="177" t="e">
        <f t="shared" ca="1" si="936"/>
        <v>#NAME?</v>
      </c>
      <c r="BW98" s="177" t="e">
        <f t="shared" ca="1" si="936"/>
        <v>#NAME?</v>
      </c>
      <c r="BX98" s="177" t="e">
        <f t="shared" ca="1" si="936"/>
        <v>#NAME?</v>
      </c>
      <c r="BY98" s="177" t="e">
        <f t="shared" ca="1" si="936"/>
        <v>#NAME?</v>
      </c>
      <c r="BZ98" s="177" t="e">
        <f t="shared" ca="1" si="936"/>
        <v>#NAME?</v>
      </c>
      <c r="CA98" s="177" t="e">
        <f t="shared" ca="1" si="936"/>
        <v>#NAME?</v>
      </c>
      <c r="CB98" s="177" t="e">
        <f t="shared" ca="1" si="936"/>
        <v>#NAME?</v>
      </c>
      <c r="CC98" s="177" t="e">
        <f t="shared" ca="1" si="936"/>
        <v>#NAME?</v>
      </c>
      <c r="CD98" s="177" t="e">
        <f t="shared" ca="1" si="936"/>
        <v>#NAME?</v>
      </c>
      <c r="CE98" s="177" t="e">
        <f t="shared" ca="1" si="936"/>
        <v>#NAME?</v>
      </c>
      <c r="CF98" s="177" t="e">
        <f t="shared" ca="1" si="936"/>
        <v>#NAME?</v>
      </c>
      <c r="CG98" s="177" t="e">
        <f t="shared" ca="1" si="936"/>
        <v>#NAME?</v>
      </c>
      <c r="CH98" s="177" t="e">
        <f t="shared" ca="1" si="936"/>
        <v>#NAME?</v>
      </c>
      <c r="CI98" s="177" t="e">
        <f t="shared" ca="1" si="936"/>
        <v>#NAME?</v>
      </c>
      <c r="CJ98" s="177" t="e">
        <f t="shared" ca="1" si="936"/>
        <v>#NAME?</v>
      </c>
      <c r="CK98" s="177" t="e">
        <f t="shared" ca="1" si="936"/>
        <v>#NAME?</v>
      </c>
      <c r="CL98" s="177" t="e">
        <f t="shared" ca="1" si="936"/>
        <v>#NAME?</v>
      </c>
      <c r="CM98" s="178" t="e">
        <f t="shared" ca="1" si="936"/>
        <v>#NAME?</v>
      </c>
      <c r="CN98" s="178" t="e">
        <f t="shared" ca="1" si="936"/>
        <v>#NAME?</v>
      </c>
      <c r="CO98" s="178" t="e">
        <f t="shared" ca="1" si="936"/>
        <v>#NAME?</v>
      </c>
      <c r="CP98" s="178" t="e">
        <f t="shared" ca="1" si="936"/>
        <v>#NAME?</v>
      </c>
      <c r="CQ98" s="178" t="e">
        <f t="shared" ca="1" si="936"/>
        <v>#NAME?</v>
      </c>
      <c r="CR98" s="178" t="e">
        <f t="shared" ca="1" si="936"/>
        <v>#NAME?</v>
      </c>
      <c r="CS98" s="178" t="e">
        <f t="shared" ca="1" si="936"/>
        <v>#NAME?</v>
      </c>
      <c r="CT98" s="178" t="e">
        <f t="shared" ca="1" si="936"/>
        <v>#NAME?</v>
      </c>
      <c r="CU98" s="178" t="e">
        <f t="shared" ca="1" si="936"/>
        <v>#NAME?</v>
      </c>
      <c r="CV98" s="178" t="e">
        <f t="shared" ca="1" si="936"/>
        <v>#NAME?</v>
      </c>
      <c r="CW98" s="178" t="e">
        <f t="shared" ca="1" si="936"/>
        <v>#NAME?</v>
      </c>
      <c r="CX98" s="178" t="e">
        <f t="shared" ref="CX98:DB98" ca="1" si="937">+SUM(CU8:CX8)</f>
        <v>#NAME?</v>
      </c>
      <c r="CY98" s="178" t="e">
        <f t="shared" ca="1" si="937"/>
        <v>#NAME?</v>
      </c>
      <c r="CZ98" s="178" t="e">
        <f t="shared" ca="1" si="937"/>
        <v>#NAME?</v>
      </c>
      <c r="DA98" s="178" t="e">
        <f t="shared" ca="1" si="937"/>
        <v>#NAME?</v>
      </c>
      <c r="DB98" s="178" t="e">
        <f t="shared" ca="1" si="937"/>
        <v>#NAME?</v>
      </c>
      <c r="DE98" s="179"/>
      <c r="DF98" s="177">
        <v>1258.8570000000002</v>
      </c>
    </row>
    <row r="99" spans="1:110" s="163" customFormat="1" x14ac:dyDescent="0.2">
      <c r="A99" s="163" t="s">
        <v>511</v>
      </c>
      <c r="E99" s="163">
        <f t="shared" ref="E99:AE99" ca="1" si="938">+E98/E65</f>
        <v>0</v>
      </c>
      <c r="F99" s="163">
        <f t="shared" ca="1" si="938"/>
        <v>0</v>
      </c>
      <c r="G99" s="163">
        <f t="shared" ca="1" si="938"/>
        <v>0</v>
      </c>
      <c r="H99" s="163">
        <f t="shared" ca="1" si="938"/>
        <v>0</v>
      </c>
      <c r="I99" s="163">
        <f t="shared" ca="1" si="938"/>
        <v>0</v>
      </c>
      <c r="J99" s="163">
        <f t="shared" ca="1" si="938"/>
        <v>0</v>
      </c>
      <c r="K99" s="163">
        <f t="shared" ca="1" si="938"/>
        <v>0</v>
      </c>
      <c r="L99" s="163">
        <f t="shared" ca="1" si="938"/>
        <v>0</v>
      </c>
      <c r="M99" s="163">
        <f t="shared" ca="1" si="938"/>
        <v>0</v>
      </c>
      <c r="N99" s="163">
        <f t="shared" ca="1" si="938"/>
        <v>0</v>
      </c>
      <c r="O99" s="163">
        <f t="shared" ca="1" si="938"/>
        <v>51.276498160374977</v>
      </c>
      <c r="P99" s="163">
        <f t="shared" ca="1" si="938"/>
        <v>55.941128887152864</v>
      </c>
      <c r="Q99" s="163">
        <f t="shared" ca="1" si="938"/>
        <v>32.312415919056491</v>
      </c>
      <c r="R99" s="163">
        <f t="shared" ca="1" si="938"/>
        <v>43.50890486870621</v>
      </c>
      <c r="S99" s="163">
        <f t="shared" ca="1" si="938"/>
        <v>48.863737979436507</v>
      </c>
      <c r="T99" s="163">
        <f t="shared" ca="1" si="938"/>
        <v>60.540043344589485</v>
      </c>
      <c r="U99" s="163">
        <f t="shared" ca="1" si="938"/>
        <v>57.593745274935735</v>
      </c>
      <c r="V99" s="163">
        <f t="shared" ca="1" si="938"/>
        <v>79.132604203417159</v>
      </c>
      <c r="W99" s="163">
        <f t="shared" ca="1" si="938"/>
        <v>90.788392722141012</v>
      </c>
      <c r="X99" s="163">
        <f t="shared" ca="1" si="938"/>
        <v>104.83758379113955</v>
      </c>
      <c r="Y99" s="163">
        <f t="shared" ca="1" si="938"/>
        <v>150.17778841792247</v>
      </c>
      <c r="Z99" s="163">
        <f t="shared" ref="Z99:AA99" ca="1" si="939">+Z98/Z65</f>
        <v>191.47548006652889</v>
      </c>
      <c r="AA99" s="163">
        <f t="shared" ca="1" si="939"/>
        <v>191.47548006652889</v>
      </c>
      <c r="AB99" s="94">
        <f t="shared" ca="1" si="938"/>
        <v>130.05067024192596</v>
      </c>
      <c r="AC99" s="94">
        <f t="shared" ca="1" si="938"/>
        <v>106.20304307499673</v>
      </c>
      <c r="AD99" s="94">
        <f t="shared" ca="1" si="938"/>
        <v>86.705427542208895</v>
      </c>
      <c r="AE99" s="94">
        <f t="shared" ca="1" si="938"/>
        <v>70.791414418607289</v>
      </c>
      <c r="AL99" s="163" t="e">
        <f t="shared" ref="AL99:BQ99" ca="1" si="940">+AL98/AL65</f>
        <v>#NAME?</v>
      </c>
      <c r="AM99" s="163" t="e">
        <f t="shared" ca="1" si="940"/>
        <v>#NAME?</v>
      </c>
      <c r="AN99" s="163" t="e">
        <f t="shared" ca="1" si="940"/>
        <v>#NAME?</v>
      </c>
      <c r="AO99" s="163" t="e">
        <f t="shared" ca="1" si="940"/>
        <v>#NAME?</v>
      </c>
      <c r="AP99" s="163" t="e">
        <f t="shared" ca="1" si="940"/>
        <v>#NAME?</v>
      </c>
      <c r="AQ99" s="163" t="e">
        <f t="shared" ca="1" si="940"/>
        <v>#NAME?</v>
      </c>
      <c r="AR99" s="163" t="e">
        <f t="shared" ca="1" si="940"/>
        <v>#NAME?</v>
      </c>
      <c r="AS99" s="163" t="e">
        <f t="shared" ca="1" si="940"/>
        <v>#NAME?</v>
      </c>
      <c r="AT99" s="163" t="e">
        <f t="shared" ca="1" si="940"/>
        <v>#NAME?</v>
      </c>
      <c r="AU99" s="163" t="e">
        <f t="shared" ca="1" si="940"/>
        <v>#NAME?</v>
      </c>
      <c r="AV99" s="163" t="e">
        <f t="shared" ca="1" si="940"/>
        <v>#NAME?</v>
      </c>
      <c r="AW99" s="163" t="e">
        <f t="shared" ca="1" si="940"/>
        <v>#NAME?</v>
      </c>
      <c r="AX99" s="163" t="e">
        <f t="shared" ca="1" si="940"/>
        <v>#NAME?</v>
      </c>
      <c r="AY99" s="163" t="e">
        <f t="shared" ca="1" si="940"/>
        <v>#NAME?</v>
      </c>
      <c r="AZ99" s="163" t="e">
        <f t="shared" ca="1" si="940"/>
        <v>#NAME?</v>
      </c>
      <c r="BA99" s="163" t="e">
        <f t="shared" ca="1" si="940"/>
        <v>#NAME?</v>
      </c>
      <c r="BB99" s="163" t="e">
        <f t="shared" ca="1" si="940"/>
        <v>#NAME?</v>
      </c>
      <c r="BC99" s="163" t="e">
        <f t="shared" ca="1" si="940"/>
        <v>#NAME?</v>
      </c>
      <c r="BD99" s="163" t="e">
        <f t="shared" ca="1" si="940"/>
        <v>#NAME?</v>
      </c>
      <c r="BE99" s="163" t="e">
        <f t="shared" ca="1" si="940"/>
        <v>#NAME?</v>
      </c>
      <c r="BF99" s="163" t="e">
        <f t="shared" ca="1" si="940"/>
        <v>#NAME?</v>
      </c>
      <c r="BG99" s="163" t="e">
        <f t="shared" ca="1" si="940"/>
        <v>#NAME?</v>
      </c>
      <c r="BH99" s="163" t="e">
        <f t="shared" ca="1" si="940"/>
        <v>#NAME?</v>
      </c>
      <c r="BI99" s="163" t="e">
        <f t="shared" ca="1" si="940"/>
        <v>#NAME?</v>
      </c>
      <c r="BJ99" s="163" t="e">
        <f t="shared" ca="1" si="940"/>
        <v>#NAME?</v>
      </c>
      <c r="BK99" s="163" t="e">
        <f t="shared" ca="1" si="940"/>
        <v>#NAME?</v>
      </c>
      <c r="BL99" s="163" t="e">
        <f t="shared" ca="1" si="940"/>
        <v>#NAME?</v>
      </c>
      <c r="BM99" s="163" t="e">
        <f t="shared" ca="1" si="940"/>
        <v>#NAME?</v>
      </c>
      <c r="BN99" s="163" t="e">
        <f t="shared" ca="1" si="940"/>
        <v>#NAME?</v>
      </c>
      <c r="BO99" s="163" t="e">
        <f t="shared" ca="1" si="940"/>
        <v>#NAME?</v>
      </c>
      <c r="BP99" s="163" t="e">
        <f t="shared" ca="1" si="940"/>
        <v>#NAME?</v>
      </c>
      <c r="BQ99" s="163" t="e">
        <f t="shared" ca="1" si="940"/>
        <v>#NAME?</v>
      </c>
      <c r="BR99" s="163" t="e">
        <f t="shared" ref="BR99:CW99" ca="1" si="941">+BR98/BR65</f>
        <v>#NAME?</v>
      </c>
      <c r="BS99" s="163" t="e">
        <f t="shared" ca="1" si="941"/>
        <v>#NAME?</v>
      </c>
      <c r="BT99" s="163" t="e">
        <f t="shared" ca="1" si="941"/>
        <v>#NAME?</v>
      </c>
      <c r="BU99" s="163" t="e">
        <f t="shared" ca="1" si="941"/>
        <v>#NAME?</v>
      </c>
      <c r="BV99" s="163" t="e">
        <f t="shared" ca="1" si="941"/>
        <v>#NAME?</v>
      </c>
      <c r="BW99" s="163" t="e">
        <f t="shared" ca="1" si="941"/>
        <v>#NAME?</v>
      </c>
      <c r="BX99" s="163" t="e">
        <f t="shared" ca="1" si="941"/>
        <v>#NAME?</v>
      </c>
      <c r="BY99" s="163" t="e">
        <f t="shared" ca="1" si="941"/>
        <v>#NAME?</v>
      </c>
      <c r="BZ99" s="163" t="e">
        <f t="shared" ca="1" si="941"/>
        <v>#NAME?</v>
      </c>
      <c r="CA99" s="163" t="e">
        <f t="shared" ca="1" si="941"/>
        <v>#NAME?</v>
      </c>
      <c r="CB99" s="163" t="e">
        <f t="shared" ca="1" si="941"/>
        <v>#NAME?</v>
      </c>
      <c r="CC99" s="163" t="e">
        <f t="shared" ca="1" si="941"/>
        <v>#NAME?</v>
      </c>
      <c r="CD99" s="163" t="e">
        <f t="shared" ca="1" si="941"/>
        <v>#NAME?</v>
      </c>
      <c r="CE99" s="163" t="e">
        <f t="shared" ca="1" si="941"/>
        <v>#NAME?</v>
      </c>
      <c r="CF99" s="163" t="e">
        <f t="shared" ca="1" si="941"/>
        <v>#NAME?</v>
      </c>
      <c r="CG99" s="163" t="e">
        <f t="shared" ca="1" si="941"/>
        <v>#NAME?</v>
      </c>
      <c r="CH99" s="163" t="e">
        <f t="shared" ca="1" si="941"/>
        <v>#NAME?</v>
      </c>
      <c r="CI99" s="163" t="e">
        <f t="shared" ca="1" si="941"/>
        <v>#NAME?</v>
      </c>
      <c r="CJ99" s="163" t="e">
        <f t="shared" ca="1" si="941"/>
        <v>#NAME?</v>
      </c>
      <c r="CK99" s="163" t="e">
        <f t="shared" ref="CK99:CL99" ca="1" si="942">+CK98/CK65</f>
        <v>#NAME?</v>
      </c>
      <c r="CL99" s="163" t="e">
        <f t="shared" ca="1" si="942"/>
        <v>#NAME?</v>
      </c>
      <c r="CM99" s="50" t="e">
        <f t="shared" ca="1" si="941"/>
        <v>#NAME?</v>
      </c>
      <c r="CN99" s="50" t="e">
        <f t="shared" ca="1" si="941"/>
        <v>#NAME?</v>
      </c>
      <c r="CO99" s="50" t="e">
        <f t="shared" ca="1" si="941"/>
        <v>#NAME?</v>
      </c>
      <c r="CP99" s="50" t="e">
        <f t="shared" ca="1" si="941"/>
        <v>#NAME?</v>
      </c>
      <c r="CQ99" s="50" t="e">
        <f t="shared" ca="1" si="941"/>
        <v>#NAME?</v>
      </c>
      <c r="CR99" s="50" t="e">
        <f t="shared" ca="1" si="941"/>
        <v>#NAME?</v>
      </c>
      <c r="CS99" s="50" t="e">
        <f t="shared" ca="1" si="941"/>
        <v>#NAME?</v>
      </c>
      <c r="CT99" s="50" t="e">
        <f t="shared" ca="1" si="941"/>
        <v>#NAME?</v>
      </c>
      <c r="CU99" s="50" t="e">
        <f t="shared" ca="1" si="941"/>
        <v>#NAME?</v>
      </c>
      <c r="CV99" s="50" t="e">
        <f t="shared" ca="1" si="941"/>
        <v>#NAME?</v>
      </c>
      <c r="CW99" s="50" t="e">
        <f t="shared" ca="1" si="941"/>
        <v>#NAME?</v>
      </c>
      <c r="CX99" s="50" t="e">
        <f t="shared" ref="CX99:DB99" ca="1" si="943">+CX98/CX65</f>
        <v>#NAME?</v>
      </c>
      <c r="CY99" s="50" t="e">
        <f t="shared" ca="1" si="943"/>
        <v>#NAME?</v>
      </c>
      <c r="CZ99" s="50" t="e">
        <f t="shared" ca="1" si="943"/>
        <v>#NAME?</v>
      </c>
      <c r="DA99" s="50" t="e">
        <f t="shared" ca="1" si="943"/>
        <v>#NAME?</v>
      </c>
      <c r="DB99" s="50" t="e">
        <f t="shared" ca="1" si="943"/>
        <v>#NAME?</v>
      </c>
      <c r="DE99" s="164"/>
      <c r="DF99" s="163">
        <v>158.61813920669323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>
        <f t="shared" ca="1" si="944"/>
        <v>0</v>
      </c>
      <c r="P102" s="163">
        <f t="shared" ca="1" si="944"/>
        <v>0</v>
      </c>
      <c r="Q102" s="163">
        <f t="shared" ca="1" si="944"/>
        <v>0</v>
      </c>
      <c r="R102" s="163">
        <f t="shared" ca="1" si="944"/>
        <v>0</v>
      </c>
      <c r="S102" s="163">
        <f t="shared" ca="1" si="944"/>
        <v>0</v>
      </c>
      <c r="T102" s="163">
        <f t="shared" ca="1" si="944"/>
        <v>0</v>
      </c>
      <c r="U102" s="163">
        <f t="shared" ca="1" si="944"/>
        <v>0</v>
      </c>
      <c r="V102" s="163">
        <f t="shared" ca="1" si="944"/>
        <v>0</v>
      </c>
      <c r="W102" s="163">
        <f t="shared" ca="1" si="944"/>
        <v>0</v>
      </c>
      <c r="X102" s="163">
        <f t="shared" ca="1" si="944"/>
        <v>0</v>
      </c>
      <c r="Y102" s="163">
        <f t="shared" ca="1" si="944"/>
        <v>4.7956492607001939</v>
      </c>
      <c r="Z102" s="163">
        <f ca="1">+Z77/Z$99</f>
        <v>2.3875119667602425</v>
      </c>
      <c r="AA102" s="163">
        <f ca="1">+AA77/AA$99</f>
        <v>2.3875119667602425</v>
      </c>
      <c r="AB102" s="50">
        <f t="shared" ref="AA102:AE102" ca="1" si="945">+AB77/AB$99</f>
        <v>2.0914924889968938</v>
      </c>
      <c r="AC102" s="50">
        <f t="shared" ca="1" si="945"/>
        <v>2.5611318859095542</v>
      </c>
      <c r="AD102" s="50">
        <f t="shared" ca="1" si="945"/>
        <v>3.1370585176757042</v>
      </c>
      <c r="AE102" s="50">
        <f t="shared" ca="1" si="945"/>
        <v>3.8422738439946427</v>
      </c>
      <c r="AL102" s="163" t="e">
        <f t="shared" ref="AL102:BQ102" ca="1" si="946">+AL77/AL99</f>
        <v>#NAME?</v>
      </c>
      <c r="AM102" s="163" t="e">
        <f t="shared" ca="1" si="946"/>
        <v>#NAME?</v>
      </c>
      <c r="AN102" s="163" t="e">
        <f t="shared" ca="1" si="946"/>
        <v>#NAME?</v>
      </c>
      <c r="AO102" s="163" t="e">
        <f t="shared" ca="1" si="946"/>
        <v>#NAME?</v>
      </c>
      <c r="AP102" s="163" t="e">
        <f t="shared" ca="1" si="946"/>
        <v>#NAME?</v>
      </c>
      <c r="AQ102" s="163" t="e">
        <f t="shared" ca="1" si="946"/>
        <v>#NAME?</v>
      </c>
      <c r="AR102" s="163" t="e">
        <f t="shared" ca="1" si="946"/>
        <v>#NAME?</v>
      </c>
      <c r="AS102" s="163" t="e">
        <f t="shared" ca="1" si="946"/>
        <v>#NAME?</v>
      </c>
      <c r="AT102" s="163" t="e">
        <f t="shared" ca="1" si="946"/>
        <v>#NAME?</v>
      </c>
      <c r="AU102" s="163" t="e">
        <f t="shared" ca="1" si="946"/>
        <v>#NAME?</v>
      </c>
      <c r="AV102" s="163" t="e">
        <f t="shared" ca="1" si="946"/>
        <v>#NAME?</v>
      </c>
      <c r="AW102" s="163" t="e">
        <f t="shared" ca="1" si="946"/>
        <v>#NAME?</v>
      </c>
      <c r="AX102" s="163" t="e">
        <f t="shared" ca="1" si="946"/>
        <v>#NAME?</v>
      </c>
      <c r="AY102" s="163" t="e">
        <f t="shared" ca="1" si="946"/>
        <v>#NAME?</v>
      </c>
      <c r="AZ102" s="163" t="e">
        <f t="shared" ca="1" si="946"/>
        <v>#NAME?</v>
      </c>
      <c r="BA102" s="163" t="e">
        <f t="shared" ca="1" si="946"/>
        <v>#NAME?</v>
      </c>
      <c r="BB102" s="163" t="e">
        <f t="shared" ca="1" si="946"/>
        <v>#NAME?</v>
      </c>
      <c r="BC102" s="163" t="e">
        <f t="shared" ca="1" si="946"/>
        <v>#NAME?</v>
      </c>
      <c r="BD102" s="163" t="e">
        <f t="shared" ca="1" si="946"/>
        <v>#NAME?</v>
      </c>
      <c r="BE102" s="163" t="e">
        <f t="shared" ca="1" si="946"/>
        <v>#NAME?</v>
      </c>
      <c r="BF102" s="163" t="e">
        <f t="shared" ca="1" si="946"/>
        <v>#NAME?</v>
      </c>
      <c r="BG102" s="163" t="e">
        <f t="shared" ca="1" si="946"/>
        <v>#NAME?</v>
      </c>
      <c r="BH102" s="163" t="e">
        <f t="shared" ca="1" si="946"/>
        <v>#NAME?</v>
      </c>
      <c r="BI102" s="163" t="e">
        <f t="shared" ca="1" si="946"/>
        <v>#NAME?</v>
      </c>
      <c r="BJ102" s="163" t="e">
        <f t="shared" ca="1" si="946"/>
        <v>#NAME?</v>
      </c>
      <c r="BK102" s="163" t="e">
        <f t="shared" ca="1" si="946"/>
        <v>#NAME?</v>
      </c>
      <c r="BL102" s="163" t="e">
        <f t="shared" ca="1" si="946"/>
        <v>#NAME?</v>
      </c>
      <c r="BM102" s="163" t="e">
        <f t="shared" ca="1" si="946"/>
        <v>#NAME?</v>
      </c>
      <c r="BN102" s="163" t="e">
        <f t="shared" ca="1" si="946"/>
        <v>#NAME?</v>
      </c>
      <c r="BO102" s="163" t="e">
        <f t="shared" ca="1" si="946"/>
        <v>#NAME?</v>
      </c>
      <c r="BP102" s="163" t="e">
        <f t="shared" ca="1" si="946"/>
        <v>#NAME?</v>
      </c>
      <c r="BQ102" s="163" t="e">
        <f t="shared" ca="1" si="946"/>
        <v>#NAME?</v>
      </c>
      <c r="BR102" s="163" t="e">
        <f t="shared" ref="BR102:DB102" ca="1" si="947">+BR77/BR99</f>
        <v>#NAME?</v>
      </c>
      <c r="BS102" s="163" t="e">
        <f t="shared" ca="1" si="947"/>
        <v>#NAME?</v>
      </c>
      <c r="BT102" s="163" t="e">
        <f t="shared" ca="1" si="947"/>
        <v>#NAME?</v>
      </c>
      <c r="BU102" s="163" t="e">
        <f t="shared" ca="1" si="947"/>
        <v>#NAME?</v>
      </c>
      <c r="BV102" s="163" t="e">
        <f t="shared" ca="1" si="947"/>
        <v>#NAME?</v>
      </c>
      <c r="BW102" s="163" t="e">
        <f t="shared" ca="1" si="947"/>
        <v>#NAME?</v>
      </c>
      <c r="BX102" s="163" t="e">
        <f t="shared" ca="1" si="947"/>
        <v>#NAME?</v>
      </c>
      <c r="BY102" s="163" t="e">
        <f t="shared" ca="1" si="947"/>
        <v>#NAME?</v>
      </c>
      <c r="BZ102" s="163" t="e">
        <f t="shared" ca="1" si="947"/>
        <v>#NAME?</v>
      </c>
      <c r="CA102" s="163" t="e">
        <f t="shared" ca="1" si="947"/>
        <v>#NAME?</v>
      </c>
      <c r="CB102" s="163" t="e">
        <f t="shared" ca="1" si="947"/>
        <v>#NAME?</v>
      </c>
      <c r="CC102" s="163" t="e">
        <f t="shared" ca="1" si="947"/>
        <v>#NAME?</v>
      </c>
      <c r="CD102" s="163" t="e">
        <f t="shared" ca="1" si="947"/>
        <v>#NAME?</v>
      </c>
      <c r="CE102" s="163" t="e">
        <f t="shared" ca="1" si="947"/>
        <v>#NAME?</v>
      </c>
      <c r="CF102" s="163" t="e">
        <f t="shared" ca="1" si="947"/>
        <v>#NAME?</v>
      </c>
      <c r="CG102" s="163" t="e">
        <f t="shared" ca="1" si="947"/>
        <v>#NAME?</v>
      </c>
      <c r="CH102" s="163" t="e">
        <f t="shared" ca="1" si="947"/>
        <v>#NAME?</v>
      </c>
      <c r="CI102" s="163" t="e">
        <f t="shared" ca="1" si="947"/>
        <v>#NAME?</v>
      </c>
      <c r="CJ102" s="163" t="e">
        <f t="shared" ca="1" si="947"/>
        <v>#NAME?</v>
      </c>
      <c r="CK102" s="163" t="e">
        <f t="shared" ref="CK102:CL102" ca="1" si="948">+CK77/CK99</f>
        <v>#NAME?</v>
      </c>
      <c r="CL102" s="163" t="e">
        <f t="shared" ca="1" si="948"/>
        <v>#NAME?</v>
      </c>
      <c r="CM102" s="50" t="e">
        <f t="shared" ca="1" si="947"/>
        <v>#NAME?</v>
      </c>
      <c r="CN102" s="50" t="e">
        <f t="shared" ca="1" si="947"/>
        <v>#NAME?</v>
      </c>
      <c r="CO102" s="50" t="e">
        <f t="shared" ca="1" si="947"/>
        <v>#NAME?</v>
      </c>
      <c r="CP102" s="50" t="e">
        <f t="shared" ca="1" si="947"/>
        <v>#NAME?</v>
      </c>
      <c r="CQ102" s="50" t="e">
        <f t="shared" ca="1" si="947"/>
        <v>#NAME?</v>
      </c>
      <c r="CR102" s="50" t="e">
        <f t="shared" ca="1" si="947"/>
        <v>#NAME?</v>
      </c>
      <c r="CS102" s="50" t="e">
        <f t="shared" ca="1" si="947"/>
        <v>#NAME?</v>
      </c>
      <c r="CT102" s="50" t="e">
        <f t="shared" ca="1" si="947"/>
        <v>#NAME?</v>
      </c>
      <c r="CU102" s="50" t="e">
        <f t="shared" ca="1" si="947"/>
        <v>#NAME?</v>
      </c>
      <c r="CV102" s="50" t="e">
        <f t="shared" ca="1" si="947"/>
        <v>#NAME?</v>
      </c>
      <c r="CW102" s="50" t="e">
        <f t="shared" ca="1" si="947"/>
        <v>#NAME?</v>
      </c>
      <c r="CX102" s="50" t="e">
        <f t="shared" ca="1" si="947"/>
        <v>#NAME?</v>
      </c>
      <c r="CY102" s="50" t="e">
        <f t="shared" ca="1" si="947"/>
        <v>#NAME?</v>
      </c>
      <c r="CZ102" s="50" t="e">
        <f t="shared" ca="1" si="947"/>
        <v>#NAME?</v>
      </c>
      <c r="DA102" s="50" t="e">
        <f t="shared" ca="1" si="947"/>
        <v>#NAME?</v>
      </c>
      <c r="DB102" s="50" t="e">
        <f t="shared" ca="1" si="947"/>
        <v>#NAME?</v>
      </c>
      <c r="DE102" s="106"/>
      <c r="DF102" s="163">
        <v>1.7148101809816363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>
        <f t="shared" ca="1" si="944"/>
        <v>0</v>
      </c>
      <c r="P103" s="163">
        <f t="shared" ca="1" si="944"/>
        <v>0</v>
      </c>
      <c r="Q103" s="163">
        <f t="shared" ca="1" si="944"/>
        <v>0</v>
      </c>
      <c r="R103" s="163">
        <f t="shared" ca="1" si="944"/>
        <v>0</v>
      </c>
      <c r="S103" s="163">
        <f t="shared" ca="1" si="944"/>
        <v>0</v>
      </c>
      <c r="T103" s="163">
        <f t="shared" ca="1" si="944"/>
        <v>0</v>
      </c>
      <c r="U103" s="163">
        <f t="shared" ca="1" si="944"/>
        <v>0</v>
      </c>
      <c r="V103" s="163">
        <f t="shared" ca="1" si="944"/>
        <v>0</v>
      </c>
      <c r="W103" s="163">
        <f t="shared" ca="1" si="944"/>
        <v>0</v>
      </c>
      <c r="X103" s="163">
        <f t="shared" ca="1" si="944"/>
        <v>0</v>
      </c>
      <c r="Y103" s="163">
        <f t="shared" ca="1" si="944"/>
        <v>5.8790318415331866</v>
      </c>
      <c r="Z103" s="163">
        <f t="shared" ref="Z103:AA104" ca="1" si="949">+Z78/Z$99</f>
        <v>4.5569803491122158</v>
      </c>
      <c r="AA103" s="163">
        <f t="shared" ca="1" si="949"/>
        <v>4.5569803491122158</v>
      </c>
      <c r="AB103" s="94">
        <f t="shared" ca="1" si="944"/>
        <v>3.2931321118146184</v>
      </c>
      <c r="AC103" s="94">
        <f t="shared" ca="1" si="944"/>
        <v>2.3783666419242548</v>
      </c>
      <c r="AD103" s="94">
        <f t="shared" ca="1" si="944"/>
        <v>2.254663048238962</v>
      </c>
      <c r="AE103" s="94">
        <f t="shared" ca="1" si="944"/>
        <v>2.112260453235359</v>
      </c>
      <c r="AL103" s="163" t="e">
        <f t="shared" ref="AL103:BQ103" ca="1" si="950">+AL78/AL99</f>
        <v>#NAME?</v>
      </c>
      <c r="AM103" s="163" t="e">
        <f t="shared" ca="1" si="950"/>
        <v>#NAME?</v>
      </c>
      <c r="AN103" s="163" t="e">
        <f t="shared" ca="1" si="950"/>
        <v>#NAME?</v>
      </c>
      <c r="AO103" s="163" t="e">
        <f t="shared" ca="1" si="950"/>
        <v>#NAME?</v>
      </c>
      <c r="AP103" s="163" t="e">
        <f t="shared" ca="1" si="950"/>
        <v>#NAME?</v>
      </c>
      <c r="AQ103" s="163" t="e">
        <f t="shared" ca="1" si="950"/>
        <v>#NAME?</v>
      </c>
      <c r="AR103" s="163" t="e">
        <f t="shared" ca="1" si="950"/>
        <v>#NAME?</v>
      </c>
      <c r="AS103" s="163" t="e">
        <f t="shared" ca="1" si="950"/>
        <v>#NAME?</v>
      </c>
      <c r="AT103" s="163" t="e">
        <f t="shared" ca="1" si="950"/>
        <v>#NAME?</v>
      </c>
      <c r="AU103" s="163" t="e">
        <f t="shared" ca="1" si="950"/>
        <v>#NAME?</v>
      </c>
      <c r="AV103" s="163" t="e">
        <f t="shared" ca="1" si="950"/>
        <v>#NAME?</v>
      </c>
      <c r="AW103" s="163" t="e">
        <f t="shared" ca="1" si="950"/>
        <v>#NAME?</v>
      </c>
      <c r="AX103" s="163" t="e">
        <f t="shared" ca="1" si="950"/>
        <v>#NAME?</v>
      </c>
      <c r="AY103" s="163" t="e">
        <f t="shared" ca="1" si="950"/>
        <v>#NAME?</v>
      </c>
      <c r="AZ103" s="163" t="e">
        <f t="shared" ca="1" si="950"/>
        <v>#NAME?</v>
      </c>
      <c r="BA103" s="163" t="e">
        <f t="shared" ca="1" si="950"/>
        <v>#NAME?</v>
      </c>
      <c r="BB103" s="163" t="e">
        <f t="shared" ca="1" si="950"/>
        <v>#NAME?</v>
      </c>
      <c r="BC103" s="163" t="e">
        <f t="shared" ca="1" si="950"/>
        <v>#NAME?</v>
      </c>
      <c r="BD103" s="163" t="e">
        <f t="shared" ca="1" si="950"/>
        <v>#NAME?</v>
      </c>
      <c r="BE103" s="163" t="e">
        <f t="shared" ca="1" si="950"/>
        <v>#NAME?</v>
      </c>
      <c r="BF103" s="163" t="e">
        <f t="shared" ca="1" si="950"/>
        <v>#NAME?</v>
      </c>
      <c r="BG103" s="163" t="e">
        <f t="shared" ca="1" si="950"/>
        <v>#NAME?</v>
      </c>
      <c r="BH103" s="163" t="e">
        <f t="shared" ca="1" si="950"/>
        <v>#NAME?</v>
      </c>
      <c r="BI103" s="163" t="e">
        <f t="shared" ca="1" si="950"/>
        <v>#NAME?</v>
      </c>
      <c r="BJ103" s="163" t="e">
        <f t="shared" ca="1" si="950"/>
        <v>#NAME?</v>
      </c>
      <c r="BK103" s="163" t="e">
        <f t="shared" ca="1" si="950"/>
        <v>#NAME?</v>
      </c>
      <c r="BL103" s="163" t="e">
        <f t="shared" ca="1" si="950"/>
        <v>#NAME?</v>
      </c>
      <c r="BM103" s="163" t="e">
        <f t="shared" ca="1" si="950"/>
        <v>#NAME?</v>
      </c>
      <c r="BN103" s="163" t="e">
        <f t="shared" ca="1" si="950"/>
        <v>#NAME?</v>
      </c>
      <c r="BO103" s="163" t="e">
        <f t="shared" ca="1" si="950"/>
        <v>#NAME?</v>
      </c>
      <c r="BP103" s="163" t="e">
        <f t="shared" ca="1" si="950"/>
        <v>#NAME?</v>
      </c>
      <c r="BQ103" s="163" t="e">
        <f t="shared" ca="1" si="950"/>
        <v>#NAME?</v>
      </c>
      <c r="BR103" s="163" t="e">
        <f t="shared" ref="BR103:CJ103" ca="1" si="951">+BR78/BR99</f>
        <v>#NAME?</v>
      </c>
      <c r="BS103" s="163" t="e">
        <f t="shared" ca="1" si="951"/>
        <v>#NAME?</v>
      </c>
      <c r="BT103" s="163" t="e">
        <f t="shared" ca="1" si="951"/>
        <v>#NAME?</v>
      </c>
      <c r="BU103" s="163" t="e">
        <f t="shared" ca="1" si="951"/>
        <v>#NAME?</v>
      </c>
      <c r="BV103" s="163" t="e">
        <f t="shared" ca="1" si="951"/>
        <v>#NAME?</v>
      </c>
      <c r="BW103" s="163" t="e">
        <f t="shared" ca="1" si="951"/>
        <v>#NAME?</v>
      </c>
      <c r="BX103" s="163" t="e">
        <f t="shared" ca="1" si="951"/>
        <v>#NAME?</v>
      </c>
      <c r="BY103" s="163" t="e">
        <f t="shared" ca="1" si="951"/>
        <v>#NAME?</v>
      </c>
      <c r="BZ103" s="163" t="e">
        <f t="shared" ca="1" si="951"/>
        <v>#NAME?</v>
      </c>
      <c r="CA103" s="163" t="e">
        <f t="shared" ca="1" si="951"/>
        <v>#NAME?</v>
      </c>
      <c r="CB103" s="163" t="e">
        <f t="shared" ca="1" si="951"/>
        <v>#NAME?</v>
      </c>
      <c r="CC103" s="163" t="e">
        <f t="shared" ca="1" si="951"/>
        <v>#NAME?</v>
      </c>
      <c r="CD103" s="163" t="e">
        <f t="shared" ca="1" si="951"/>
        <v>#NAME?</v>
      </c>
      <c r="CE103" s="163" t="e">
        <f t="shared" ca="1" si="951"/>
        <v>#NAME?</v>
      </c>
      <c r="CF103" s="163" t="e">
        <f t="shared" ca="1" si="951"/>
        <v>#NAME?</v>
      </c>
      <c r="CG103" s="163" t="e">
        <f t="shared" ca="1" si="951"/>
        <v>#NAME?</v>
      </c>
      <c r="CH103" s="163" t="e">
        <f t="shared" ca="1" si="951"/>
        <v>#NAME?</v>
      </c>
      <c r="CI103" s="163" t="e">
        <f t="shared" ca="1" si="951"/>
        <v>#NAME?</v>
      </c>
      <c r="CJ103" s="163" t="e">
        <f t="shared" ca="1" si="951"/>
        <v>#NAME?</v>
      </c>
      <c r="CK103" s="163" t="e">
        <f t="shared" ref="CK103:CL103" ca="1" si="952">+CK78/CK99</f>
        <v>#NAME?</v>
      </c>
      <c r="CL103" s="163" t="e">
        <f t="shared" ca="1" si="952"/>
        <v>#NAME?</v>
      </c>
      <c r="CM103" s="94" t="e">
        <f t="shared" ref="CM103:DB103" ca="1" si="953">+CL103</f>
        <v>#NAME?</v>
      </c>
      <c r="CN103" s="94" t="e">
        <f t="shared" ca="1" si="953"/>
        <v>#NAME?</v>
      </c>
      <c r="CO103" s="94" t="e">
        <f t="shared" ca="1" si="953"/>
        <v>#NAME?</v>
      </c>
      <c r="CP103" s="94" t="e">
        <f t="shared" ca="1" si="953"/>
        <v>#NAME?</v>
      </c>
      <c r="CQ103" s="94" t="e">
        <f t="shared" ca="1" si="953"/>
        <v>#NAME?</v>
      </c>
      <c r="CR103" s="94" t="e">
        <f t="shared" ca="1" si="953"/>
        <v>#NAME?</v>
      </c>
      <c r="CS103" s="94" t="e">
        <f t="shared" ca="1" si="953"/>
        <v>#NAME?</v>
      </c>
      <c r="CT103" s="94" t="e">
        <f t="shared" ca="1" si="953"/>
        <v>#NAME?</v>
      </c>
      <c r="CU103" s="94" t="e">
        <f t="shared" ca="1" si="953"/>
        <v>#NAME?</v>
      </c>
      <c r="CV103" s="94" t="e">
        <f t="shared" ca="1" si="953"/>
        <v>#NAME?</v>
      </c>
      <c r="CW103" s="94" t="e">
        <f t="shared" ca="1" si="953"/>
        <v>#NAME?</v>
      </c>
      <c r="CX103" s="94" t="e">
        <f t="shared" ca="1" si="953"/>
        <v>#NAME?</v>
      </c>
      <c r="CY103" s="94" t="e">
        <f t="shared" ca="1" si="953"/>
        <v>#NAME?</v>
      </c>
      <c r="CZ103" s="94" t="e">
        <f t="shared" ca="1" si="953"/>
        <v>#NAME?</v>
      </c>
      <c r="DA103" s="94" t="e">
        <f t="shared" ca="1" si="953"/>
        <v>#NAME?</v>
      </c>
      <c r="DB103" s="94" t="e">
        <f t="shared" ca="1" si="953"/>
        <v>#NAME?</v>
      </c>
      <c r="DE103" s="164"/>
      <c r="DF103" s="163">
        <v>3.4107070143789162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>
        <f t="shared" ca="1" si="944"/>
        <v>0</v>
      </c>
      <c r="P104" s="163">
        <f t="shared" ca="1" si="944"/>
        <v>0</v>
      </c>
      <c r="Q104" s="163">
        <f t="shared" ca="1" si="944"/>
        <v>0</v>
      </c>
      <c r="R104" s="163">
        <f t="shared" ca="1" si="944"/>
        <v>0</v>
      </c>
      <c r="S104" s="163">
        <f t="shared" ca="1" si="944"/>
        <v>0</v>
      </c>
      <c r="T104" s="163">
        <f t="shared" ca="1" si="944"/>
        <v>0</v>
      </c>
      <c r="U104" s="163">
        <f t="shared" ca="1" si="944"/>
        <v>0</v>
      </c>
      <c r="V104" s="163">
        <f t="shared" ca="1" si="944"/>
        <v>0</v>
      </c>
      <c r="W104" s="163">
        <f t="shared" ca="1" si="944"/>
        <v>0</v>
      </c>
      <c r="X104" s="163">
        <f t="shared" ca="1" si="944"/>
        <v>0</v>
      </c>
      <c r="Y104" s="163">
        <f t="shared" ca="1" si="944"/>
        <v>2.6701684997789195</v>
      </c>
      <c r="Z104" s="163">
        <f t="shared" ca="1" si="949"/>
        <v>1.9871996135891332</v>
      </c>
      <c r="AA104" s="163">
        <f t="shared" ca="1" si="949"/>
        <v>1.9871996135891332</v>
      </c>
      <c r="AB104" s="94">
        <f t="shared" ca="1" si="944"/>
        <v>1.2688876699698637</v>
      </c>
      <c r="AC104" s="94">
        <f t="shared" ca="1" si="944"/>
        <v>1.2202815188305878</v>
      </c>
      <c r="AD104" s="94">
        <f t="shared" ca="1" si="944"/>
        <v>1.1495338981756043</v>
      </c>
      <c r="AE104" s="94">
        <f t="shared" ca="1" si="944"/>
        <v>1.0613424510176204</v>
      </c>
      <c r="AL104" s="163" t="e">
        <f t="shared" ref="AL104:BQ104" ca="1" si="954">+AL79/AL99</f>
        <v>#NAME?</v>
      </c>
      <c r="AM104" s="163" t="e">
        <f t="shared" ca="1" si="954"/>
        <v>#NAME?</v>
      </c>
      <c r="AN104" s="163" t="e">
        <f t="shared" ca="1" si="954"/>
        <v>#NAME?</v>
      </c>
      <c r="AO104" s="163" t="e">
        <f t="shared" ca="1" si="954"/>
        <v>#NAME?</v>
      </c>
      <c r="AP104" s="163" t="e">
        <f t="shared" ca="1" si="954"/>
        <v>#NAME?</v>
      </c>
      <c r="AQ104" s="163" t="e">
        <f t="shared" ca="1" si="954"/>
        <v>#NAME?</v>
      </c>
      <c r="AR104" s="163" t="e">
        <f t="shared" ca="1" si="954"/>
        <v>#NAME?</v>
      </c>
      <c r="AS104" s="163" t="e">
        <f t="shared" ca="1" si="954"/>
        <v>#NAME?</v>
      </c>
      <c r="AT104" s="163" t="e">
        <f t="shared" ca="1" si="954"/>
        <v>#NAME?</v>
      </c>
      <c r="AU104" s="163" t="e">
        <f t="shared" ca="1" si="954"/>
        <v>#NAME?</v>
      </c>
      <c r="AV104" s="163" t="e">
        <f t="shared" ca="1" si="954"/>
        <v>#NAME?</v>
      </c>
      <c r="AW104" s="163" t="e">
        <f t="shared" ca="1" si="954"/>
        <v>#NAME?</v>
      </c>
      <c r="AX104" s="163" t="e">
        <f t="shared" ca="1" si="954"/>
        <v>#NAME?</v>
      </c>
      <c r="AY104" s="163" t="e">
        <f t="shared" ca="1" si="954"/>
        <v>#NAME?</v>
      </c>
      <c r="AZ104" s="163" t="e">
        <f t="shared" ca="1" si="954"/>
        <v>#NAME?</v>
      </c>
      <c r="BA104" s="163" t="e">
        <f t="shared" ca="1" si="954"/>
        <v>#NAME?</v>
      </c>
      <c r="BB104" s="163" t="e">
        <f t="shared" ca="1" si="954"/>
        <v>#NAME?</v>
      </c>
      <c r="BC104" s="163" t="e">
        <f t="shared" ca="1" si="954"/>
        <v>#NAME?</v>
      </c>
      <c r="BD104" s="163" t="e">
        <f t="shared" ca="1" si="954"/>
        <v>#NAME?</v>
      </c>
      <c r="BE104" s="163" t="e">
        <f t="shared" ca="1" si="954"/>
        <v>#NAME?</v>
      </c>
      <c r="BF104" s="163" t="e">
        <f t="shared" ca="1" si="954"/>
        <v>#NAME?</v>
      </c>
      <c r="BG104" s="163" t="e">
        <f t="shared" ca="1" si="954"/>
        <v>#NAME?</v>
      </c>
      <c r="BH104" s="163" t="e">
        <f t="shared" ca="1" si="954"/>
        <v>#NAME?</v>
      </c>
      <c r="BI104" s="163" t="e">
        <f t="shared" ca="1" si="954"/>
        <v>#NAME?</v>
      </c>
      <c r="BJ104" s="163" t="e">
        <f t="shared" ca="1" si="954"/>
        <v>#NAME?</v>
      </c>
      <c r="BK104" s="163" t="e">
        <f t="shared" ca="1" si="954"/>
        <v>#NAME?</v>
      </c>
      <c r="BL104" s="163" t="e">
        <f t="shared" ca="1" si="954"/>
        <v>#NAME?</v>
      </c>
      <c r="BM104" s="163" t="e">
        <f t="shared" ca="1" si="954"/>
        <v>#NAME?</v>
      </c>
      <c r="BN104" s="163" t="e">
        <f t="shared" ca="1" si="954"/>
        <v>#NAME?</v>
      </c>
      <c r="BO104" s="163" t="e">
        <f t="shared" ca="1" si="954"/>
        <v>#NAME?</v>
      </c>
      <c r="BP104" s="163" t="e">
        <f t="shared" ca="1" si="954"/>
        <v>#NAME?</v>
      </c>
      <c r="BQ104" s="163" t="e">
        <f t="shared" ca="1" si="954"/>
        <v>#NAME?</v>
      </c>
      <c r="BR104" s="163" t="e">
        <f t="shared" ref="BR104:CJ104" ca="1" si="955">+BR79/BR99</f>
        <v>#NAME?</v>
      </c>
      <c r="BS104" s="163" t="e">
        <f t="shared" ca="1" si="955"/>
        <v>#NAME?</v>
      </c>
      <c r="BT104" s="163" t="e">
        <f t="shared" ca="1" si="955"/>
        <v>#NAME?</v>
      </c>
      <c r="BU104" s="163" t="e">
        <f t="shared" ca="1" si="955"/>
        <v>#NAME?</v>
      </c>
      <c r="BV104" s="163" t="e">
        <f t="shared" ca="1" si="955"/>
        <v>#NAME?</v>
      </c>
      <c r="BW104" s="163" t="e">
        <f t="shared" ca="1" si="955"/>
        <v>#NAME?</v>
      </c>
      <c r="BX104" s="163" t="e">
        <f t="shared" ca="1" si="955"/>
        <v>#NAME?</v>
      </c>
      <c r="BY104" s="163" t="e">
        <f t="shared" ca="1" si="955"/>
        <v>#NAME?</v>
      </c>
      <c r="BZ104" s="163" t="e">
        <f t="shared" ca="1" si="955"/>
        <v>#NAME?</v>
      </c>
      <c r="CA104" s="163" t="e">
        <f t="shared" ca="1" si="955"/>
        <v>#NAME?</v>
      </c>
      <c r="CB104" s="163" t="e">
        <f t="shared" ca="1" si="955"/>
        <v>#NAME?</v>
      </c>
      <c r="CC104" s="163" t="e">
        <f t="shared" ca="1" si="955"/>
        <v>#NAME?</v>
      </c>
      <c r="CD104" s="163" t="e">
        <f t="shared" ca="1" si="955"/>
        <v>#NAME?</v>
      </c>
      <c r="CE104" s="163" t="e">
        <f t="shared" ca="1" si="955"/>
        <v>#NAME?</v>
      </c>
      <c r="CF104" s="163" t="e">
        <f t="shared" ca="1" si="955"/>
        <v>#NAME?</v>
      </c>
      <c r="CG104" s="163" t="e">
        <f t="shared" ca="1" si="955"/>
        <v>#NAME?</v>
      </c>
      <c r="CH104" s="163" t="e">
        <f t="shared" ca="1" si="955"/>
        <v>#NAME?</v>
      </c>
      <c r="CI104" s="163" t="e">
        <f t="shared" ca="1" si="955"/>
        <v>#NAME?</v>
      </c>
      <c r="CJ104" s="163" t="e">
        <f t="shared" ca="1" si="955"/>
        <v>#NAME?</v>
      </c>
      <c r="CK104" s="163" t="e">
        <f t="shared" ref="CK104:CL104" ca="1" si="956">+CK79/CK99</f>
        <v>#NAME?</v>
      </c>
      <c r="CL104" s="163" t="e">
        <f t="shared" ca="1" si="956"/>
        <v>#NAME?</v>
      </c>
      <c r="CM104" s="94" t="e">
        <f t="shared" ref="CM104:DB104" ca="1" si="957">+CL104</f>
        <v>#NAME?</v>
      </c>
      <c r="CN104" s="94" t="e">
        <f t="shared" ca="1" si="957"/>
        <v>#NAME?</v>
      </c>
      <c r="CO104" s="94" t="e">
        <f t="shared" ca="1" si="957"/>
        <v>#NAME?</v>
      </c>
      <c r="CP104" s="94" t="e">
        <f t="shared" ca="1" si="957"/>
        <v>#NAME?</v>
      </c>
      <c r="CQ104" s="94" t="e">
        <f t="shared" ca="1" si="957"/>
        <v>#NAME?</v>
      </c>
      <c r="CR104" s="94" t="e">
        <f t="shared" ca="1" si="957"/>
        <v>#NAME?</v>
      </c>
      <c r="CS104" s="94" t="e">
        <f t="shared" ca="1" si="957"/>
        <v>#NAME?</v>
      </c>
      <c r="CT104" s="94" t="e">
        <f t="shared" ca="1" si="957"/>
        <v>#NAME?</v>
      </c>
      <c r="CU104" s="94" t="e">
        <f t="shared" ca="1" si="957"/>
        <v>#NAME?</v>
      </c>
      <c r="CV104" s="94" t="e">
        <f t="shared" ca="1" si="957"/>
        <v>#NAME?</v>
      </c>
      <c r="CW104" s="94" t="e">
        <f t="shared" ca="1" si="957"/>
        <v>#NAME?</v>
      </c>
      <c r="CX104" s="94" t="e">
        <f t="shared" ca="1" si="957"/>
        <v>#NAME?</v>
      </c>
      <c r="CY104" s="94" t="e">
        <f t="shared" ca="1" si="957"/>
        <v>#NAME?</v>
      </c>
      <c r="CZ104" s="94" t="e">
        <f t="shared" ca="1" si="957"/>
        <v>#NAME?</v>
      </c>
      <c r="DA104" s="94" t="e">
        <f t="shared" ca="1" si="957"/>
        <v>#NAME?</v>
      </c>
      <c r="DB104" s="94" t="e">
        <f t="shared" ca="1" si="957"/>
        <v>#NAME?</v>
      </c>
      <c r="DE104" s="164"/>
      <c r="DF104" s="163">
        <v>1.670363814158399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8">+B78*B65</f>
        <v>#NAME?</v>
      </c>
      <c r="C107" s="162" t="e">
        <f t="shared" ca="1" si="958"/>
        <v>#NAME?</v>
      </c>
      <c r="D107" s="162" t="e">
        <f t="shared" ca="1" si="958"/>
        <v>#NAME?</v>
      </c>
      <c r="E107" s="162">
        <f t="shared" ca="1" si="958"/>
        <v>0</v>
      </c>
      <c r="F107" s="162">
        <f t="shared" ca="1" si="958"/>
        <v>0</v>
      </c>
      <c r="G107" s="162">
        <f t="shared" ca="1" si="958"/>
        <v>0</v>
      </c>
      <c r="H107" s="162">
        <f t="shared" ca="1" si="958"/>
        <v>0</v>
      </c>
      <c r="I107" s="162">
        <f t="shared" ca="1" si="958"/>
        <v>0</v>
      </c>
      <c r="J107" s="162">
        <f t="shared" ca="1" si="958"/>
        <v>0</v>
      </c>
      <c r="K107" s="162">
        <f t="shared" ca="1" si="958"/>
        <v>0</v>
      </c>
      <c r="L107" s="162">
        <f t="shared" ca="1" si="958"/>
        <v>0</v>
      </c>
      <c r="M107" s="162">
        <f t="shared" ca="1" si="958"/>
        <v>0</v>
      </c>
      <c r="N107" s="162">
        <f t="shared" ca="1" si="958"/>
        <v>0</v>
      </c>
      <c r="O107" s="162">
        <f t="shared" ca="1" si="958"/>
        <v>0</v>
      </c>
      <c r="P107" s="162">
        <f t="shared" ca="1" si="958"/>
        <v>0</v>
      </c>
      <c r="Q107" s="162">
        <f t="shared" ca="1" si="958"/>
        <v>0</v>
      </c>
      <c r="R107" s="162">
        <f t="shared" ca="1" si="958"/>
        <v>0</v>
      </c>
      <c r="S107" s="162">
        <f t="shared" ca="1" si="958"/>
        <v>0</v>
      </c>
      <c r="T107" s="162">
        <f t="shared" ca="1" si="958"/>
        <v>0</v>
      </c>
      <c r="U107" s="162">
        <f t="shared" ca="1" si="958"/>
        <v>0</v>
      </c>
      <c r="V107" s="162">
        <f t="shared" ca="1" si="958"/>
        <v>0</v>
      </c>
      <c r="W107" s="162">
        <f t="shared" ca="1" si="958"/>
        <v>0</v>
      </c>
      <c r="X107" s="162">
        <f t="shared" ca="1" si="958"/>
        <v>0</v>
      </c>
      <c r="Y107" s="162">
        <f t="shared" ca="1" si="958"/>
        <v>7007.0475600000009</v>
      </c>
      <c r="Z107" s="162">
        <f t="shared" ca="1" si="958"/>
        <v>6924.9058199999999</v>
      </c>
      <c r="AA107" s="162">
        <f t="shared" ref="AA107" ca="1" si="959">+AA78*AA65</f>
        <v>6924.9058199999999</v>
      </c>
      <c r="AB107" s="21">
        <f t="shared" ca="1" si="958"/>
        <v>3398.9540778553878</v>
      </c>
      <c r="AC107" s="21">
        <f t="shared" ca="1" si="958"/>
        <v>2004.6534896783971</v>
      </c>
      <c r="AD107" s="21">
        <f t="shared" ca="1" si="958"/>
        <v>1551.4989275909427</v>
      </c>
      <c r="AE107" s="21">
        <f t="shared" ca="1" si="958"/>
        <v>1186.7291388754775</v>
      </c>
      <c r="AL107" s="162" t="e">
        <f t="shared" ref="AL107:BQ107" ca="1" si="960">+AL78*AL65</f>
        <v>#NAME?</v>
      </c>
      <c r="AM107" s="162" t="e">
        <f t="shared" ca="1" si="960"/>
        <v>#NAME?</v>
      </c>
      <c r="AN107" s="162" t="e">
        <f t="shared" ca="1" si="960"/>
        <v>#NAME?</v>
      </c>
      <c r="AO107" s="162" t="e">
        <f t="shared" ca="1" si="960"/>
        <v>#NAME?</v>
      </c>
      <c r="AP107" s="162" t="e">
        <f t="shared" ca="1" si="960"/>
        <v>#NAME?</v>
      </c>
      <c r="AQ107" s="162" t="e">
        <f t="shared" ca="1" si="960"/>
        <v>#NAME?</v>
      </c>
      <c r="AR107" s="162" t="e">
        <f t="shared" ca="1" si="960"/>
        <v>#NAME?</v>
      </c>
      <c r="AS107" s="162" t="e">
        <f t="shared" ca="1" si="960"/>
        <v>#NAME?</v>
      </c>
      <c r="AT107" s="162" t="e">
        <f t="shared" ca="1" si="960"/>
        <v>#NAME?</v>
      </c>
      <c r="AU107" s="162" t="e">
        <f t="shared" ca="1" si="960"/>
        <v>#NAME?</v>
      </c>
      <c r="AV107" s="162" t="e">
        <f t="shared" ca="1" si="960"/>
        <v>#NAME?</v>
      </c>
      <c r="AW107" s="162" t="e">
        <f t="shared" ca="1" si="960"/>
        <v>#NAME?</v>
      </c>
      <c r="AX107" s="162" t="e">
        <f t="shared" ca="1" si="960"/>
        <v>#NAME?</v>
      </c>
      <c r="AY107" s="162" t="e">
        <f t="shared" ca="1" si="960"/>
        <v>#NAME?</v>
      </c>
      <c r="AZ107" s="162" t="e">
        <f t="shared" ca="1" si="960"/>
        <v>#NAME?</v>
      </c>
      <c r="BA107" s="162" t="e">
        <f t="shared" ca="1" si="960"/>
        <v>#NAME?</v>
      </c>
      <c r="BB107" s="162" t="e">
        <f t="shared" ca="1" si="960"/>
        <v>#NAME?</v>
      </c>
      <c r="BC107" s="162" t="e">
        <f t="shared" ca="1" si="960"/>
        <v>#NAME?</v>
      </c>
      <c r="BD107" s="162" t="e">
        <f t="shared" ca="1" si="960"/>
        <v>#NAME?</v>
      </c>
      <c r="BE107" s="162" t="e">
        <f t="shared" ca="1" si="960"/>
        <v>#NAME?</v>
      </c>
      <c r="BF107" s="162" t="e">
        <f t="shared" ca="1" si="960"/>
        <v>#NAME?</v>
      </c>
      <c r="BG107" s="162" t="e">
        <f t="shared" ca="1" si="960"/>
        <v>#NAME?</v>
      </c>
      <c r="BH107" s="162" t="e">
        <f t="shared" ca="1" si="960"/>
        <v>#NAME?</v>
      </c>
      <c r="BI107" s="162" t="e">
        <f t="shared" ca="1" si="960"/>
        <v>#NAME?</v>
      </c>
      <c r="BJ107" s="162" t="e">
        <f t="shared" ca="1" si="960"/>
        <v>#NAME?</v>
      </c>
      <c r="BK107" s="162" t="e">
        <f t="shared" ca="1" si="960"/>
        <v>#NAME?</v>
      </c>
      <c r="BL107" s="162" t="e">
        <f t="shared" ca="1" si="960"/>
        <v>#NAME?</v>
      </c>
      <c r="BM107" s="162" t="e">
        <f t="shared" ca="1" si="960"/>
        <v>#NAME?</v>
      </c>
      <c r="BN107" s="162" t="e">
        <f t="shared" ca="1" si="960"/>
        <v>#NAME?</v>
      </c>
      <c r="BO107" s="162" t="e">
        <f t="shared" ca="1" si="960"/>
        <v>#NAME?</v>
      </c>
      <c r="BP107" s="162" t="e">
        <f t="shared" ca="1" si="960"/>
        <v>#NAME?</v>
      </c>
      <c r="BQ107" s="162" t="e">
        <f t="shared" ca="1" si="960"/>
        <v>#NAME?</v>
      </c>
      <c r="BR107" s="162" t="e">
        <f t="shared" ref="BR107:CJ107" ca="1" si="961">+BR78*BR65</f>
        <v>#NAME?</v>
      </c>
      <c r="BS107" s="162" t="e">
        <f t="shared" ca="1" si="961"/>
        <v>#NAME?</v>
      </c>
      <c r="BT107" s="162" t="e">
        <f t="shared" ca="1" si="961"/>
        <v>#NAME?</v>
      </c>
      <c r="BU107" s="162" t="e">
        <f t="shared" ca="1" si="961"/>
        <v>#NAME?</v>
      </c>
      <c r="BV107" s="162" t="e">
        <f t="shared" ca="1" si="961"/>
        <v>#NAME?</v>
      </c>
      <c r="BW107" s="162" t="e">
        <f t="shared" ca="1" si="961"/>
        <v>#NAME?</v>
      </c>
      <c r="BX107" s="162" t="e">
        <f t="shared" ca="1" si="961"/>
        <v>#NAME?</v>
      </c>
      <c r="BY107" s="162" t="e">
        <f t="shared" ca="1" si="961"/>
        <v>#NAME?</v>
      </c>
      <c r="BZ107" s="162" t="e">
        <f t="shared" ca="1" si="961"/>
        <v>#NAME?</v>
      </c>
      <c r="CA107" s="162" t="e">
        <f t="shared" ca="1" si="961"/>
        <v>#NAME?</v>
      </c>
      <c r="CB107" s="162" t="e">
        <f t="shared" ca="1" si="961"/>
        <v>#NAME?</v>
      </c>
      <c r="CC107" s="162" t="e">
        <f t="shared" ca="1" si="961"/>
        <v>#NAME?</v>
      </c>
      <c r="CD107" s="162" t="e">
        <f t="shared" ca="1" si="961"/>
        <v>#NAME?</v>
      </c>
      <c r="CE107" s="162" t="e">
        <f t="shared" ca="1" si="961"/>
        <v>#NAME?</v>
      </c>
      <c r="CF107" s="162" t="e">
        <f t="shared" ca="1" si="961"/>
        <v>#NAME?</v>
      </c>
      <c r="CG107" s="162" t="e">
        <f t="shared" ca="1" si="961"/>
        <v>#NAME?</v>
      </c>
      <c r="CH107" s="162" t="e">
        <f t="shared" ca="1" si="961"/>
        <v>#NAME?</v>
      </c>
      <c r="CI107" s="162" t="e">
        <f t="shared" ca="1" si="961"/>
        <v>#NAME?</v>
      </c>
      <c r="CJ107" s="162" t="e">
        <f t="shared" ca="1" si="961"/>
        <v>#NAME?</v>
      </c>
      <c r="CK107" s="162" t="e">
        <f t="shared" ref="CK107:CL107" ca="1" si="962">+CK78*CK65</f>
        <v>#NAME?</v>
      </c>
      <c r="CL107" s="162" t="e">
        <f t="shared" ca="1" si="962"/>
        <v>#NAME?</v>
      </c>
      <c r="CM107" s="21" t="e">
        <f t="shared" ref="CM107:DB107" ca="1" si="963">+CM78*CM65</f>
        <v>#NAME?</v>
      </c>
      <c r="CN107" s="21" t="e">
        <f t="shared" ca="1" si="963"/>
        <v>#NAME?</v>
      </c>
      <c r="CO107" s="21" t="e">
        <f t="shared" ca="1" si="963"/>
        <v>#NAME?</v>
      </c>
      <c r="CP107" s="21" t="e">
        <f t="shared" ca="1" si="963"/>
        <v>#NAME?</v>
      </c>
      <c r="CQ107" s="21" t="e">
        <f t="shared" ca="1" si="963"/>
        <v>#NAME?</v>
      </c>
      <c r="CR107" s="21" t="e">
        <f t="shared" ca="1" si="963"/>
        <v>#NAME?</v>
      </c>
      <c r="CS107" s="21" t="e">
        <f t="shared" ca="1" si="963"/>
        <v>#NAME?</v>
      </c>
      <c r="CT107" s="21" t="e">
        <f t="shared" ca="1" si="963"/>
        <v>#NAME?</v>
      </c>
      <c r="CU107" s="21" t="e">
        <f t="shared" ca="1" si="963"/>
        <v>#NAME?</v>
      </c>
      <c r="CV107" s="21" t="e">
        <f t="shared" ca="1" si="963"/>
        <v>#NAME?</v>
      </c>
      <c r="CW107" s="21" t="e">
        <f t="shared" ca="1" si="963"/>
        <v>#NAME?</v>
      </c>
      <c r="CX107" s="21" t="e">
        <f t="shared" ca="1" si="963"/>
        <v>#NAME?</v>
      </c>
      <c r="CY107" s="21" t="e">
        <f t="shared" ca="1" si="963"/>
        <v>#NAME?</v>
      </c>
      <c r="CZ107" s="21" t="e">
        <f t="shared" ca="1" si="963"/>
        <v>#NAME?</v>
      </c>
      <c r="DA107" s="21" t="e">
        <f t="shared" ca="1" si="963"/>
        <v>#NAME?</v>
      </c>
      <c r="DB107" s="21" t="e">
        <f t="shared" ca="1" si="963"/>
        <v>#NAME?</v>
      </c>
      <c r="DE107" s="22"/>
      <c r="DF107" s="162">
        <v>4293.5924000000005</v>
      </c>
    </row>
    <row r="108" spans="1:110" s="162" customFormat="1" x14ac:dyDescent="0.2">
      <c r="A108" s="49" t="s">
        <v>341</v>
      </c>
      <c r="B108" s="162" t="e">
        <f t="shared" ref="B108:AE108" ca="1" si="964">+B79*B65</f>
        <v>#NAME?</v>
      </c>
      <c r="C108" s="162" t="e">
        <f t="shared" ca="1" si="964"/>
        <v>#NAME?</v>
      </c>
      <c r="D108" s="162" t="e">
        <f t="shared" ca="1" si="964"/>
        <v>#NAME?</v>
      </c>
      <c r="E108" s="162">
        <f t="shared" ca="1" si="964"/>
        <v>0</v>
      </c>
      <c r="F108" s="162">
        <f t="shared" ca="1" si="964"/>
        <v>0</v>
      </c>
      <c r="G108" s="162">
        <f t="shared" ca="1" si="964"/>
        <v>0</v>
      </c>
      <c r="H108" s="162">
        <f t="shared" ca="1" si="964"/>
        <v>0</v>
      </c>
      <c r="I108" s="162">
        <f t="shared" ca="1" si="964"/>
        <v>0</v>
      </c>
      <c r="J108" s="162">
        <f t="shared" ca="1" si="964"/>
        <v>0</v>
      </c>
      <c r="K108" s="162">
        <f t="shared" ca="1" si="964"/>
        <v>0</v>
      </c>
      <c r="L108" s="162">
        <f t="shared" ca="1" si="964"/>
        <v>0</v>
      </c>
      <c r="M108" s="162">
        <f t="shared" ca="1" si="964"/>
        <v>0</v>
      </c>
      <c r="N108" s="162">
        <f t="shared" ca="1" si="964"/>
        <v>0</v>
      </c>
      <c r="O108" s="162">
        <f t="shared" ca="1" si="964"/>
        <v>0</v>
      </c>
      <c r="P108" s="162">
        <f t="shared" ca="1" si="964"/>
        <v>0</v>
      </c>
      <c r="Q108" s="162">
        <f t="shared" ca="1" si="964"/>
        <v>0</v>
      </c>
      <c r="R108" s="162">
        <f t="shared" ca="1" si="964"/>
        <v>0</v>
      </c>
      <c r="S108" s="162">
        <f t="shared" ca="1" si="964"/>
        <v>0</v>
      </c>
      <c r="T108" s="162">
        <f t="shared" ca="1" si="964"/>
        <v>0</v>
      </c>
      <c r="U108" s="162">
        <f t="shared" ca="1" si="964"/>
        <v>0</v>
      </c>
      <c r="V108" s="162">
        <f t="shared" ca="1" si="964"/>
        <v>0</v>
      </c>
      <c r="W108" s="162">
        <f t="shared" ca="1" si="964"/>
        <v>0</v>
      </c>
      <c r="X108" s="162">
        <f t="shared" ca="1" si="964"/>
        <v>0</v>
      </c>
      <c r="Y108" s="162">
        <f t="shared" ca="1" si="964"/>
        <v>3182.4964000000004</v>
      </c>
      <c r="Z108" s="162">
        <f t="shared" ca="1" si="964"/>
        <v>3019.8002000000001</v>
      </c>
      <c r="AA108" s="162">
        <f t="shared" ref="AA108" ca="1" si="965">+AA79*AA65</f>
        <v>3019.8002000000001</v>
      </c>
      <c r="AB108" s="21">
        <f t="shared" ca="1" si="964"/>
        <v>1309.6622831229058</v>
      </c>
      <c r="AC108" s="21">
        <f t="shared" ca="1" si="964"/>
        <v>1028.5384776228709</v>
      </c>
      <c r="AD108" s="21">
        <f t="shared" ca="1" si="964"/>
        <v>791.0275602564717</v>
      </c>
      <c r="AE108" s="21">
        <f t="shared" ca="1" si="964"/>
        <v>596.29294816314314</v>
      </c>
      <c r="AL108" s="162" t="e">
        <f t="shared" ref="AL108:BQ108" ca="1" si="966">+AL79*AL65</f>
        <v>#NAME?</v>
      </c>
      <c r="AM108" s="162" t="e">
        <f t="shared" ca="1" si="966"/>
        <v>#NAME?</v>
      </c>
      <c r="AN108" s="162" t="e">
        <f t="shared" ca="1" si="966"/>
        <v>#NAME?</v>
      </c>
      <c r="AO108" s="162" t="e">
        <f t="shared" ca="1" si="966"/>
        <v>#NAME?</v>
      </c>
      <c r="AP108" s="162" t="e">
        <f t="shared" ca="1" si="966"/>
        <v>#NAME?</v>
      </c>
      <c r="AQ108" s="162" t="e">
        <f t="shared" ca="1" si="966"/>
        <v>#NAME?</v>
      </c>
      <c r="AR108" s="162" t="e">
        <f t="shared" ca="1" si="966"/>
        <v>#NAME?</v>
      </c>
      <c r="AS108" s="162" t="e">
        <f t="shared" ca="1" si="966"/>
        <v>#NAME?</v>
      </c>
      <c r="AT108" s="162" t="e">
        <f t="shared" ca="1" si="966"/>
        <v>#NAME?</v>
      </c>
      <c r="AU108" s="162" t="e">
        <f t="shared" ca="1" si="966"/>
        <v>#NAME?</v>
      </c>
      <c r="AV108" s="162" t="e">
        <f t="shared" ca="1" si="966"/>
        <v>#NAME?</v>
      </c>
      <c r="AW108" s="162" t="e">
        <f t="shared" ca="1" si="966"/>
        <v>#NAME?</v>
      </c>
      <c r="AX108" s="162" t="e">
        <f t="shared" ca="1" si="966"/>
        <v>#NAME?</v>
      </c>
      <c r="AY108" s="162" t="e">
        <f t="shared" ca="1" si="966"/>
        <v>#NAME?</v>
      </c>
      <c r="AZ108" s="162" t="e">
        <f t="shared" ca="1" si="966"/>
        <v>#NAME?</v>
      </c>
      <c r="BA108" s="162" t="e">
        <f t="shared" ca="1" si="966"/>
        <v>#NAME?</v>
      </c>
      <c r="BB108" s="162" t="e">
        <f t="shared" ca="1" si="966"/>
        <v>#NAME?</v>
      </c>
      <c r="BC108" s="162" t="e">
        <f t="shared" ca="1" si="966"/>
        <v>#NAME?</v>
      </c>
      <c r="BD108" s="162" t="e">
        <f t="shared" ca="1" si="966"/>
        <v>#NAME?</v>
      </c>
      <c r="BE108" s="162" t="e">
        <f t="shared" ca="1" si="966"/>
        <v>#NAME?</v>
      </c>
      <c r="BF108" s="162" t="e">
        <f t="shared" ca="1" si="966"/>
        <v>#NAME?</v>
      </c>
      <c r="BG108" s="162" t="e">
        <f t="shared" ca="1" si="966"/>
        <v>#NAME?</v>
      </c>
      <c r="BH108" s="162" t="e">
        <f t="shared" ca="1" si="966"/>
        <v>#NAME?</v>
      </c>
      <c r="BI108" s="162" t="e">
        <f t="shared" ca="1" si="966"/>
        <v>#NAME?</v>
      </c>
      <c r="BJ108" s="162" t="e">
        <f t="shared" ca="1" si="966"/>
        <v>#NAME?</v>
      </c>
      <c r="BK108" s="162" t="e">
        <f t="shared" ca="1" si="966"/>
        <v>#NAME?</v>
      </c>
      <c r="BL108" s="162" t="e">
        <f t="shared" ca="1" si="966"/>
        <v>#NAME?</v>
      </c>
      <c r="BM108" s="162" t="e">
        <f t="shared" ca="1" si="966"/>
        <v>#NAME?</v>
      </c>
      <c r="BN108" s="162" t="e">
        <f t="shared" ca="1" si="966"/>
        <v>#NAME?</v>
      </c>
      <c r="BO108" s="162" t="e">
        <f t="shared" ca="1" si="966"/>
        <v>#NAME?</v>
      </c>
      <c r="BP108" s="162" t="e">
        <f t="shared" ca="1" si="966"/>
        <v>#NAME?</v>
      </c>
      <c r="BQ108" s="162" t="e">
        <f t="shared" ca="1" si="966"/>
        <v>#NAME?</v>
      </c>
      <c r="BR108" s="162" t="e">
        <f t="shared" ref="BR108:CJ108" ca="1" si="967">+BR79*BR65</f>
        <v>#NAME?</v>
      </c>
      <c r="BS108" s="162" t="e">
        <f t="shared" ca="1" si="967"/>
        <v>#NAME?</v>
      </c>
      <c r="BT108" s="162" t="e">
        <f t="shared" ca="1" si="967"/>
        <v>#NAME?</v>
      </c>
      <c r="BU108" s="162" t="e">
        <f t="shared" ca="1" si="967"/>
        <v>#NAME?</v>
      </c>
      <c r="BV108" s="162" t="e">
        <f t="shared" ca="1" si="967"/>
        <v>#NAME?</v>
      </c>
      <c r="BW108" s="162" t="e">
        <f t="shared" ca="1" si="967"/>
        <v>#NAME?</v>
      </c>
      <c r="BX108" s="162" t="e">
        <f t="shared" ca="1" si="967"/>
        <v>#NAME?</v>
      </c>
      <c r="BY108" s="162" t="e">
        <f t="shared" ca="1" si="967"/>
        <v>#NAME?</v>
      </c>
      <c r="BZ108" s="162" t="e">
        <f t="shared" ca="1" si="967"/>
        <v>#NAME?</v>
      </c>
      <c r="CA108" s="162" t="e">
        <f t="shared" ca="1" si="967"/>
        <v>#NAME?</v>
      </c>
      <c r="CB108" s="162" t="e">
        <f t="shared" ca="1" si="967"/>
        <v>#NAME?</v>
      </c>
      <c r="CC108" s="162" t="e">
        <f t="shared" ca="1" si="967"/>
        <v>#NAME?</v>
      </c>
      <c r="CD108" s="162" t="e">
        <f t="shared" ca="1" si="967"/>
        <v>#NAME?</v>
      </c>
      <c r="CE108" s="162" t="e">
        <f t="shared" ca="1" si="967"/>
        <v>#NAME?</v>
      </c>
      <c r="CF108" s="162" t="e">
        <f t="shared" ca="1" si="967"/>
        <v>#NAME?</v>
      </c>
      <c r="CG108" s="162" t="e">
        <f t="shared" ca="1" si="967"/>
        <v>#NAME?</v>
      </c>
      <c r="CH108" s="162" t="e">
        <f t="shared" ca="1" si="967"/>
        <v>#NAME?</v>
      </c>
      <c r="CI108" s="162" t="e">
        <f t="shared" ca="1" si="967"/>
        <v>#NAME?</v>
      </c>
      <c r="CJ108" s="162" t="e">
        <f t="shared" ca="1" si="967"/>
        <v>#NAME?</v>
      </c>
      <c r="CK108" s="162" t="e">
        <f t="shared" ref="CK108:CL108" ca="1" si="968">+CK79*CK65</f>
        <v>#NAME?</v>
      </c>
      <c r="CL108" s="162" t="e">
        <f t="shared" ca="1" si="968"/>
        <v>#NAME?</v>
      </c>
      <c r="CM108" s="21" t="e">
        <f t="shared" ref="CM108:DB108" ca="1" si="969">+CM79*CM65</f>
        <v>#NAME?</v>
      </c>
      <c r="CN108" s="21" t="e">
        <f t="shared" ca="1" si="969"/>
        <v>#NAME?</v>
      </c>
      <c r="CO108" s="21" t="e">
        <f t="shared" ca="1" si="969"/>
        <v>#NAME?</v>
      </c>
      <c r="CP108" s="21" t="e">
        <f t="shared" ca="1" si="969"/>
        <v>#NAME?</v>
      </c>
      <c r="CQ108" s="21" t="e">
        <f t="shared" ca="1" si="969"/>
        <v>#NAME?</v>
      </c>
      <c r="CR108" s="21" t="e">
        <f t="shared" ca="1" si="969"/>
        <v>#NAME?</v>
      </c>
      <c r="CS108" s="21" t="e">
        <f t="shared" ca="1" si="969"/>
        <v>#NAME?</v>
      </c>
      <c r="CT108" s="21" t="e">
        <f t="shared" ca="1" si="969"/>
        <v>#NAME?</v>
      </c>
      <c r="CU108" s="21" t="e">
        <f t="shared" ca="1" si="969"/>
        <v>#NAME?</v>
      </c>
      <c r="CV108" s="21" t="e">
        <f t="shared" ca="1" si="969"/>
        <v>#NAME?</v>
      </c>
      <c r="CW108" s="21" t="e">
        <f t="shared" ca="1" si="969"/>
        <v>#NAME?</v>
      </c>
      <c r="CX108" s="21" t="e">
        <f t="shared" ca="1" si="969"/>
        <v>#NAME?</v>
      </c>
      <c r="CY108" s="21" t="e">
        <f t="shared" ca="1" si="969"/>
        <v>#NAME?</v>
      </c>
      <c r="CZ108" s="21" t="e">
        <f t="shared" ca="1" si="969"/>
        <v>#NAME?</v>
      </c>
      <c r="DA108" s="21" t="e">
        <f t="shared" ca="1" si="969"/>
        <v>#NAME?</v>
      </c>
      <c r="DB108" s="21" t="e">
        <f t="shared" ca="1" si="969"/>
        <v>#NAME?</v>
      </c>
      <c r="DE108" s="22"/>
      <c r="DF108" s="162">
        <v>2102.7491800000003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70">+C168</f>
        <v>#NAME?</v>
      </c>
      <c r="D109" s="162" t="e">
        <f t="shared" ca="1" si="970"/>
        <v>#NAME?</v>
      </c>
      <c r="E109" s="162" t="e">
        <f t="shared" ca="1" si="970"/>
        <v>#NAME?</v>
      </c>
      <c r="F109" s="162" t="e">
        <f t="shared" ca="1" si="970"/>
        <v>#NAME?</v>
      </c>
      <c r="G109" s="162" t="e">
        <f t="shared" ca="1" si="970"/>
        <v>#NAME?</v>
      </c>
      <c r="H109" s="162" t="e">
        <f t="shared" ca="1" si="970"/>
        <v>#NAME?</v>
      </c>
      <c r="I109" s="162" t="e">
        <f t="shared" ca="1" si="970"/>
        <v>#NAME?</v>
      </c>
      <c r="J109" s="162" t="e">
        <f t="shared" ca="1" si="970"/>
        <v>#NAME?</v>
      </c>
      <c r="K109" s="162" t="e">
        <f t="shared" ca="1" si="970"/>
        <v>#NAME?</v>
      </c>
      <c r="L109" s="162" t="e">
        <f t="shared" ca="1" si="970"/>
        <v>#NAME?</v>
      </c>
      <c r="M109" s="162" t="e">
        <f t="shared" ca="1" si="970"/>
        <v>#NAME?</v>
      </c>
      <c r="N109" s="162" t="e">
        <f t="shared" ca="1" si="970"/>
        <v>#NAME?</v>
      </c>
      <c r="O109" s="162" t="e">
        <f t="shared" ca="1" si="970"/>
        <v>#NAME?</v>
      </c>
      <c r="P109" s="162" t="e">
        <f t="shared" ca="1" si="970"/>
        <v>#NAME?</v>
      </c>
      <c r="Q109" s="162" t="e">
        <f t="shared" ca="1" si="970"/>
        <v>#NAME?</v>
      </c>
      <c r="R109" s="162" t="e">
        <f t="shared" ca="1" si="970"/>
        <v>#NAME?</v>
      </c>
      <c r="S109" s="162" t="e">
        <f t="shared" ca="1" si="970"/>
        <v>#NAME?</v>
      </c>
      <c r="T109" s="162" t="e">
        <f t="shared" ca="1" si="970"/>
        <v>#NAME?</v>
      </c>
      <c r="U109" s="162" t="e">
        <f t="shared" ca="1" si="970"/>
        <v>#NAME?</v>
      </c>
      <c r="V109" s="162" t="e">
        <f t="shared" ca="1" si="970"/>
        <v>#NAME?</v>
      </c>
      <c r="W109" s="162" t="e">
        <f t="shared" ca="1" si="970"/>
        <v>#NAME?</v>
      </c>
      <c r="X109" s="162" t="e">
        <f t="shared" ref="X109:Y109" ca="1" si="971">+X168</f>
        <v>#NAME?</v>
      </c>
      <c r="Y109" s="162" t="e">
        <f t="shared" ca="1" si="971"/>
        <v>#NAME?</v>
      </c>
      <c r="Z109" s="162" t="e">
        <f t="shared" ref="Z109:AA109" ca="1" si="972">+Z168</f>
        <v>#NAME?</v>
      </c>
      <c r="AA109" s="162" t="e">
        <f t="shared" ca="1" si="972"/>
        <v>#NAME?</v>
      </c>
      <c r="AB109" s="21" t="e">
        <f t="shared" ref="AA109:AD109" ca="1" si="973">+AB168</f>
        <v>#NAME?</v>
      </c>
      <c r="AC109" s="21" t="e">
        <f t="shared" ca="1" si="973"/>
        <v>#NAME?</v>
      </c>
      <c r="AD109" s="21" t="e">
        <f t="shared" ca="1" si="973"/>
        <v>#NAME?</v>
      </c>
      <c r="AE109" s="21" t="e">
        <f t="shared" ref="AE109" ca="1" si="974">+AE168</f>
        <v>#NAME?</v>
      </c>
      <c r="AL109" s="162" t="e">
        <f t="shared" ref="AL109:AM109" ca="1" si="975">+AL168</f>
        <v>#NAME?</v>
      </c>
      <c r="AM109" s="162" t="e">
        <f t="shared" ca="1" si="975"/>
        <v>#NAME?</v>
      </c>
      <c r="AN109" s="162" t="e">
        <f t="shared" ref="AN109:AO109" ca="1" si="976">+AN168</f>
        <v>#NAME?</v>
      </c>
      <c r="AO109" s="162" t="e">
        <f t="shared" ca="1" si="976"/>
        <v>#NAME?</v>
      </c>
      <c r="AP109" s="162" t="e">
        <f t="shared" ref="AP109:CD109" ca="1" si="977">+AP168</f>
        <v>#NAME?</v>
      </c>
      <c r="AQ109" s="162" t="e">
        <f t="shared" ca="1" si="977"/>
        <v>#NAME?</v>
      </c>
      <c r="AR109" s="162" t="e">
        <f t="shared" ca="1" si="977"/>
        <v>#NAME?</v>
      </c>
      <c r="AS109" s="162" t="e">
        <f t="shared" ca="1" si="977"/>
        <v>#NAME?</v>
      </c>
      <c r="AT109" s="162" t="e">
        <f t="shared" ca="1" si="977"/>
        <v>#NAME?</v>
      </c>
      <c r="AU109" s="162" t="e">
        <f t="shared" ca="1" si="977"/>
        <v>#NAME?</v>
      </c>
      <c r="AV109" s="162" t="e">
        <f t="shared" ca="1" si="977"/>
        <v>#NAME?</v>
      </c>
      <c r="AW109" s="162" t="e">
        <f t="shared" ca="1" si="977"/>
        <v>#NAME?</v>
      </c>
      <c r="AX109" s="162" t="e">
        <f t="shared" ca="1" si="977"/>
        <v>#NAME?</v>
      </c>
      <c r="AY109" s="162" t="e">
        <f t="shared" ca="1" si="977"/>
        <v>#NAME?</v>
      </c>
      <c r="AZ109" s="162" t="e">
        <f t="shared" ca="1" si="977"/>
        <v>#NAME?</v>
      </c>
      <c r="BA109" s="162" t="e">
        <f t="shared" ca="1" si="977"/>
        <v>#NAME?</v>
      </c>
      <c r="BB109" s="162" t="e">
        <f t="shared" ca="1" si="977"/>
        <v>#NAME?</v>
      </c>
      <c r="BC109" s="162" t="e">
        <f t="shared" ca="1" si="977"/>
        <v>#NAME?</v>
      </c>
      <c r="BD109" s="162" t="e">
        <f t="shared" ca="1" si="977"/>
        <v>#NAME?</v>
      </c>
      <c r="BE109" s="162" t="e">
        <f t="shared" ca="1" si="977"/>
        <v>#NAME?</v>
      </c>
      <c r="BF109" s="162" t="e">
        <f t="shared" ca="1" si="977"/>
        <v>#NAME?</v>
      </c>
      <c r="BG109" s="162" t="e">
        <f t="shared" ca="1" si="977"/>
        <v>#NAME?</v>
      </c>
      <c r="BH109" s="162" t="e">
        <f t="shared" ca="1" si="977"/>
        <v>#NAME?</v>
      </c>
      <c r="BI109" s="162" t="e">
        <f t="shared" ca="1" si="977"/>
        <v>#NAME?</v>
      </c>
      <c r="BJ109" s="162" t="e">
        <f t="shared" ca="1" si="977"/>
        <v>#NAME?</v>
      </c>
      <c r="BK109" s="162" t="e">
        <f t="shared" ca="1" si="977"/>
        <v>#NAME?</v>
      </c>
      <c r="BL109" s="162" t="e">
        <f t="shared" ca="1" si="977"/>
        <v>#NAME?</v>
      </c>
      <c r="BM109" s="162" t="e">
        <f t="shared" ca="1" si="977"/>
        <v>#NAME?</v>
      </c>
      <c r="BN109" s="162" t="e">
        <f t="shared" ca="1" si="977"/>
        <v>#NAME?</v>
      </c>
      <c r="BO109" s="162" t="e">
        <f t="shared" ca="1" si="977"/>
        <v>#NAME?</v>
      </c>
      <c r="BP109" s="162" t="e">
        <f t="shared" ca="1" si="977"/>
        <v>#NAME?</v>
      </c>
      <c r="BQ109" s="162" t="e">
        <f t="shared" ca="1" si="977"/>
        <v>#NAME?</v>
      </c>
      <c r="BR109" s="162" t="e">
        <f t="shared" ca="1" si="977"/>
        <v>#NAME?</v>
      </c>
      <c r="BS109" s="162" t="e">
        <f t="shared" ca="1" si="977"/>
        <v>#NAME?</v>
      </c>
      <c r="BT109" s="162" t="e">
        <f t="shared" ca="1" si="977"/>
        <v>#NAME?</v>
      </c>
      <c r="BU109" s="162" t="e">
        <f t="shared" ca="1" si="977"/>
        <v>#NAME?</v>
      </c>
      <c r="BV109" s="162" t="e">
        <f t="shared" ca="1" si="977"/>
        <v>#NAME?</v>
      </c>
      <c r="BW109" s="162" t="e">
        <f t="shared" ca="1" si="977"/>
        <v>#NAME?</v>
      </c>
      <c r="BX109" s="162" t="e">
        <f t="shared" ca="1" si="977"/>
        <v>#NAME?</v>
      </c>
      <c r="BY109" s="162" t="e">
        <f t="shared" ca="1" si="977"/>
        <v>#NAME?</v>
      </c>
      <c r="BZ109" s="162" t="e">
        <f t="shared" ca="1" si="977"/>
        <v>#NAME?</v>
      </c>
      <c r="CA109" s="162" t="e">
        <f t="shared" ca="1" si="977"/>
        <v>#NAME?</v>
      </c>
      <c r="CB109" s="162" t="e">
        <f t="shared" ca="1" si="977"/>
        <v>#NAME?</v>
      </c>
      <c r="CC109" s="162" t="e">
        <f t="shared" ca="1" si="977"/>
        <v>#NAME?</v>
      </c>
      <c r="CD109" s="162" t="e">
        <f t="shared" ca="1" si="977"/>
        <v>#NAME?</v>
      </c>
      <c r="CE109" s="162" t="e">
        <f t="shared" ref="CE109:CF109" ca="1" si="978">+CE168</f>
        <v>#NAME?</v>
      </c>
      <c r="CF109" s="162" t="e">
        <f t="shared" ca="1" si="978"/>
        <v>#NAME?</v>
      </c>
      <c r="CG109" s="162" t="e">
        <f t="shared" ref="CG109:CH109" ca="1" si="979">+CG168</f>
        <v>#NAME?</v>
      </c>
      <c r="CH109" s="162" t="e">
        <f t="shared" ca="1" si="979"/>
        <v>#NAME?</v>
      </c>
      <c r="CI109" s="162" t="e">
        <f t="shared" ref="CI109:CJ109" ca="1" si="980">+CI168</f>
        <v>#NAME?</v>
      </c>
      <c r="CJ109" s="162" t="e">
        <f t="shared" ca="1" si="980"/>
        <v>#NAME?</v>
      </c>
      <c r="CK109" s="162" t="e">
        <f t="shared" ref="CK109:CL109" ca="1" si="981">+CK168</f>
        <v>#NAME?</v>
      </c>
      <c r="CL109" s="162" t="e">
        <f t="shared" ca="1" si="981"/>
        <v>#NAME?</v>
      </c>
      <c r="CM109" s="21" t="e">
        <f t="shared" ref="CM109:DB109" ca="1" si="982">+CM168</f>
        <v>#NAME?</v>
      </c>
      <c r="CN109" s="21" t="e">
        <f t="shared" ca="1" si="982"/>
        <v>#NAME?</v>
      </c>
      <c r="CO109" s="21" t="e">
        <f t="shared" ca="1" si="982"/>
        <v>#NAME?</v>
      </c>
      <c r="CP109" s="21" t="e">
        <f t="shared" ca="1" si="982"/>
        <v>#NAME?</v>
      </c>
      <c r="CQ109" s="21" t="e">
        <f t="shared" ca="1" si="982"/>
        <v>#NAME?</v>
      </c>
      <c r="CR109" s="21" t="e">
        <f t="shared" ca="1" si="982"/>
        <v>#NAME?</v>
      </c>
      <c r="CS109" s="21" t="e">
        <f t="shared" ca="1" si="982"/>
        <v>#NAME?</v>
      </c>
      <c r="CT109" s="21" t="e">
        <f t="shared" ca="1" si="982"/>
        <v>#NAME?</v>
      </c>
      <c r="CU109" s="21" t="e">
        <f t="shared" ca="1" si="982"/>
        <v>#NAME?</v>
      </c>
      <c r="CV109" s="21" t="e">
        <f t="shared" ca="1" si="982"/>
        <v>#NAME?</v>
      </c>
      <c r="CW109" s="21" t="e">
        <f t="shared" ca="1" si="982"/>
        <v>#NAME?</v>
      </c>
      <c r="CX109" s="21" t="e">
        <f t="shared" ca="1" si="982"/>
        <v>#NAME?</v>
      </c>
      <c r="CY109" s="21" t="e">
        <f t="shared" ca="1" si="982"/>
        <v>#NAME?</v>
      </c>
      <c r="CZ109" s="21" t="e">
        <f t="shared" ca="1" si="982"/>
        <v>#NAME?</v>
      </c>
      <c r="DA109" s="21" t="e">
        <f t="shared" ca="1" si="982"/>
        <v>#NAME?</v>
      </c>
      <c r="DB109" s="21" t="e">
        <f t="shared" ca="1" si="982"/>
        <v>#NAME?</v>
      </c>
      <c r="DE109" s="22"/>
      <c r="DF109" s="162">
        <v>-39.675000000000011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83">+C107+C109</f>
        <v>#NAME?</v>
      </c>
      <c r="D110" s="162" t="e">
        <f t="shared" ca="1" si="983"/>
        <v>#NAME?</v>
      </c>
      <c r="E110" s="162">
        <f t="shared" ca="1" si="983"/>
        <v>0</v>
      </c>
      <c r="F110" s="162">
        <f t="shared" ca="1" si="983"/>
        <v>0</v>
      </c>
      <c r="G110" s="162">
        <f t="shared" ca="1" si="983"/>
        <v>0</v>
      </c>
      <c r="H110" s="162">
        <f t="shared" ca="1" si="983"/>
        <v>0</v>
      </c>
      <c r="I110" s="162">
        <f t="shared" ca="1" si="983"/>
        <v>0</v>
      </c>
      <c r="J110" s="162">
        <f t="shared" ca="1" si="983"/>
        <v>0</v>
      </c>
      <c r="K110" s="162">
        <f t="shared" ca="1" si="983"/>
        <v>0</v>
      </c>
      <c r="L110" s="162">
        <f t="shared" ca="1" si="983"/>
        <v>35.945686500000008</v>
      </c>
      <c r="M110" s="162">
        <f t="shared" ca="1" si="983"/>
        <v>37.423695100000003</v>
      </c>
      <c r="N110" s="162">
        <f t="shared" ca="1" si="983"/>
        <v>43.347301800000004</v>
      </c>
      <c r="O110" s="162">
        <f t="shared" ca="1" si="983"/>
        <v>2.2640976999999936</v>
      </c>
      <c r="P110" s="162">
        <f t="shared" ca="1" si="983"/>
        <v>39.710218700000006</v>
      </c>
      <c r="Q110" s="162">
        <f t="shared" ca="1" si="983"/>
        <v>90.554671899999988</v>
      </c>
      <c r="R110" s="162">
        <f t="shared" ca="1" si="983"/>
        <v>97.163364700000002</v>
      </c>
      <c r="S110" s="162">
        <f t="shared" ca="1" si="983"/>
        <v>137.30160549999999</v>
      </c>
      <c r="T110" s="162">
        <f t="shared" ca="1" si="983"/>
        <v>100.71199999999999</v>
      </c>
      <c r="U110" s="162">
        <f t="shared" ca="1" si="983"/>
        <v>195.226</v>
      </c>
      <c r="V110" s="162">
        <f t="shared" ca="1" si="983"/>
        <v>199.589</v>
      </c>
      <c r="W110" s="162">
        <f t="shared" ca="1" si="983"/>
        <v>171.38499999999999</v>
      </c>
      <c r="X110" s="162">
        <f t="shared" ref="X110:Y110" ca="1" si="984">+X107+X109</f>
        <v>146.87299999999999</v>
      </c>
      <c r="Y110" s="162">
        <f t="shared" ca="1" si="984"/>
        <v>6604.0235600000005</v>
      </c>
      <c r="Z110" s="162">
        <f t="shared" ref="Z110:AA110" ca="1" si="985">+Z107+Z109</f>
        <v>6880.8798200000001</v>
      </c>
      <c r="AA110" s="162">
        <f t="shared" ca="1" si="985"/>
        <v>6880.8798200000001</v>
      </c>
      <c r="AB110" s="21">
        <f t="shared" ref="AA110:AD110" ca="1" si="986">+AB107+AB109</f>
        <v>3161.3957819590082</v>
      </c>
      <c r="AC110" s="21">
        <f t="shared" ca="1" si="986"/>
        <v>1600.4094939508332</v>
      </c>
      <c r="AD110" s="21">
        <f t="shared" ca="1" si="986"/>
        <v>1011.7231132150021</v>
      </c>
      <c r="AE110" s="21">
        <f t="shared" ref="AE110" ca="1" si="987">+AE107+AE109</f>
        <v>537.86582253519941</v>
      </c>
      <c r="AL110" s="162" t="e">
        <f t="shared" ref="AL110" ca="1" si="988">+AL107+AL109</f>
        <v>#NAME?</v>
      </c>
      <c r="AM110" s="162" t="e">
        <f t="shared" ref="AM110:AO110" ca="1" si="989">+AM107+AM109</f>
        <v>#NAME?</v>
      </c>
      <c r="AN110" s="162" t="e">
        <f t="shared" ca="1" si="989"/>
        <v>#NAME?</v>
      </c>
      <c r="AO110" s="162" t="e">
        <f t="shared" ca="1" si="989"/>
        <v>#NAME?</v>
      </c>
      <c r="AP110" s="162" t="e">
        <f t="shared" ref="AP110:CD110" ca="1" si="990">+AP107+AP109</f>
        <v>#NAME?</v>
      </c>
      <c r="AQ110" s="162" t="e">
        <f t="shared" ca="1" si="990"/>
        <v>#NAME?</v>
      </c>
      <c r="AR110" s="162" t="e">
        <f t="shared" ca="1" si="990"/>
        <v>#NAME?</v>
      </c>
      <c r="AS110" s="162" t="e">
        <f t="shared" ca="1" si="990"/>
        <v>#NAME?</v>
      </c>
      <c r="AT110" s="162" t="e">
        <f t="shared" ca="1" si="990"/>
        <v>#NAME?</v>
      </c>
      <c r="AU110" s="162" t="e">
        <f t="shared" ca="1" si="990"/>
        <v>#NAME?</v>
      </c>
      <c r="AV110" s="162" t="e">
        <f t="shared" ca="1" si="990"/>
        <v>#NAME?</v>
      </c>
      <c r="AW110" s="162" t="e">
        <f t="shared" ca="1" si="990"/>
        <v>#NAME?</v>
      </c>
      <c r="AX110" s="162" t="e">
        <f t="shared" ca="1" si="990"/>
        <v>#NAME?</v>
      </c>
      <c r="AY110" s="162" t="e">
        <f t="shared" ca="1" si="990"/>
        <v>#NAME?</v>
      </c>
      <c r="AZ110" s="162" t="e">
        <f t="shared" ca="1" si="990"/>
        <v>#NAME?</v>
      </c>
      <c r="BA110" s="162" t="e">
        <f t="shared" ca="1" si="990"/>
        <v>#NAME?</v>
      </c>
      <c r="BB110" s="162" t="e">
        <f t="shared" ca="1" si="990"/>
        <v>#NAME?</v>
      </c>
      <c r="BC110" s="162" t="e">
        <f t="shared" ca="1" si="990"/>
        <v>#NAME?</v>
      </c>
      <c r="BD110" s="162" t="e">
        <f t="shared" ca="1" si="990"/>
        <v>#NAME?</v>
      </c>
      <c r="BE110" s="162" t="e">
        <f t="shared" ca="1" si="990"/>
        <v>#NAME?</v>
      </c>
      <c r="BF110" s="162" t="e">
        <f t="shared" ca="1" si="990"/>
        <v>#NAME?</v>
      </c>
      <c r="BG110" s="162" t="e">
        <f t="shared" ca="1" si="990"/>
        <v>#NAME?</v>
      </c>
      <c r="BH110" s="162" t="e">
        <f t="shared" ca="1" si="990"/>
        <v>#NAME?</v>
      </c>
      <c r="BI110" s="162" t="e">
        <f t="shared" ca="1" si="990"/>
        <v>#NAME?</v>
      </c>
      <c r="BJ110" s="162" t="e">
        <f t="shared" ca="1" si="990"/>
        <v>#NAME?</v>
      </c>
      <c r="BK110" s="162" t="e">
        <f t="shared" ca="1" si="990"/>
        <v>#NAME?</v>
      </c>
      <c r="BL110" s="162" t="e">
        <f t="shared" ca="1" si="990"/>
        <v>#NAME?</v>
      </c>
      <c r="BM110" s="162" t="e">
        <f t="shared" ca="1" si="990"/>
        <v>#NAME?</v>
      </c>
      <c r="BN110" s="162" t="e">
        <f t="shared" ca="1" si="990"/>
        <v>#NAME?</v>
      </c>
      <c r="BO110" s="162" t="e">
        <f t="shared" ca="1" si="990"/>
        <v>#NAME?</v>
      </c>
      <c r="BP110" s="162" t="e">
        <f t="shared" ca="1" si="990"/>
        <v>#NAME?</v>
      </c>
      <c r="BQ110" s="162" t="e">
        <f t="shared" ca="1" si="990"/>
        <v>#NAME?</v>
      </c>
      <c r="BR110" s="162" t="e">
        <f t="shared" ca="1" si="990"/>
        <v>#NAME?</v>
      </c>
      <c r="BS110" s="162" t="e">
        <f t="shared" ca="1" si="990"/>
        <v>#NAME?</v>
      </c>
      <c r="BT110" s="162" t="e">
        <f t="shared" ca="1" si="990"/>
        <v>#NAME?</v>
      </c>
      <c r="BU110" s="162" t="e">
        <f t="shared" ca="1" si="990"/>
        <v>#NAME?</v>
      </c>
      <c r="BV110" s="162" t="e">
        <f t="shared" ca="1" si="990"/>
        <v>#NAME?</v>
      </c>
      <c r="BW110" s="162" t="e">
        <f t="shared" ca="1" si="990"/>
        <v>#NAME?</v>
      </c>
      <c r="BX110" s="162" t="e">
        <f t="shared" ca="1" si="990"/>
        <v>#NAME?</v>
      </c>
      <c r="BY110" s="162" t="e">
        <f t="shared" ca="1" si="990"/>
        <v>#NAME?</v>
      </c>
      <c r="BZ110" s="162" t="e">
        <f t="shared" ca="1" si="990"/>
        <v>#NAME?</v>
      </c>
      <c r="CA110" s="162" t="e">
        <f t="shared" ca="1" si="990"/>
        <v>#NAME?</v>
      </c>
      <c r="CB110" s="162" t="e">
        <f t="shared" ca="1" si="990"/>
        <v>#NAME?</v>
      </c>
      <c r="CC110" s="162" t="e">
        <f t="shared" ca="1" si="990"/>
        <v>#NAME?</v>
      </c>
      <c r="CD110" s="162" t="e">
        <f t="shared" ca="1" si="990"/>
        <v>#NAME?</v>
      </c>
      <c r="CE110" s="162" t="e">
        <f t="shared" ref="CE110:CF110" ca="1" si="991">+CE107+CE109</f>
        <v>#NAME?</v>
      </c>
      <c r="CF110" s="162" t="e">
        <f t="shared" ca="1" si="991"/>
        <v>#NAME?</v>
      </c>
      <c r="CG110" s="162" t="e">
        <f t="shared" ref="CG110:CH110" ca="1" si="992">+CG107+CG109</f>
        <v>#NAME?</v>
      </c>
      <c r="CH110" s="162" t="e">
        <f t="shared" ca="1" si="992"/>
        <v>#NAME?</v>
      </c>
      <c r="CI110" s="162" t="e">
        <f t="shared" ref="CI110:CJ110" ca="1" si="993">+CI107+CI109</f>
        <v>#NAME?</v>
      </c>
      <c r="CJ110" s="162" t="e">
        <f t="shared" ca="1" si="993"/>
        <v>#NAME?</v>
      </c>
      <c r="CK110" s="162" t="e">
        <f t="shared" ref="CK110:CL110" ca="1" si="994">+CK107+CK109</f>
        <v>#NAME?</v>
      </c>
      <c r="CL110" s="162" t="e">
        <f t="shared" ca="1" si="994"/>
        <v>#NAME?</v>
      </c>
      <c r="CM110" s="21" t="e">
        <f t="shared" ref="CM110:DB110" ca="1" si="995">+CM107+CM109</f>
        <v>#NAME?</v>
      </c>
      <c r="CN110" s="21" t="e">
        <f t="shared" ca="1" si="995"/>
        <v>#NAME?</v>
      </c>
      <c r="CO110" s="21" t="e">
        <f t="shared" ca="1" si="995"/>
        <v>#NAME?</v>
      </c>
      <c r="CP110" s="21" t="e">
        <f t="shared" ca="1" si="995"/>
        <v>#NAME?</v>
      </c>
      <c r="CQ110" s="21" t="e">
        <f t="shared" ca="1" si="995"/>
        <v>#NAME?</v>
      </c>
      <c r="CR110" s="21" t="e">
        <f t="shared" ca="1" si="995"/>
        <v>#NAME?</v>
      </c>
      <c r="CS110" s="21" t="e">
        <f t="shared" ca="1" si="995"/>
        <v>#NAME?</v>
      </c>
      <c r="CT110" s="21" t="e">
        <f t="shared" ca="1" si="995"/>
        <v>#NAME?</v>
      </c>
      <c r="CU110" s="21" t="e">
        <f t="shared" ca="1" si="995"/>
        <v>#NAME?</v>
      </c>
      <c r="CV110" s="21" t="e">
        <f t="shared" ca="1" si="995"/>
        <v>#NAME?</v>
      </c>
      <c r="CW110" s="21" t="e">
        <f t="shared" ca="1" si="995"/>
        <v>#NAME?</v>
      </c>
      <c r="CX110" s="21" t="e">
        <f t="shared" ca="1" si="995"/>
        <v>#NAME?</v>
      </c>
      <c r="CY110" s="21" t="e">
        <f t="shared" ca="1" si="995"/>
        <v>#NAME?</v>
      </c>
      <c r="CZ110" s="21" t="e">
        <f t="shared" ca="1" si="995"/>
        <v>#NAME?</v>
      </c>
      <c r="DA110" s="21" t="e">
        <f t="shared" ca="1" si="995"/>
        <v>#NAME?</v>
      </c>
      <c r="DB110" s="21" t="e">
        <f t="shared" ca="1" si="995"/>
        <v>#NAME?</v>
      </c>
      <c r="DE110" s="22"/>
      <c r="DF110" s="162">
        <v>4253.9174000000003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6">+C108+C109</f>
        <v>#NAME?</v>
      </c>
      <c r="D111" s="162" t="e">
        <f t="shared" ca="1" si="996"/>
        <v>#NAME?</v>
      </c>
      <c r="E111" s="162">
        <f t="shared" ca="1" si="996"/>
        <v>0</v>
      </c>
      <c r="F111" s="162">
        <f t="shared" ca="1" si="996"/>
        <v>0</v>
      </c>
      <c r="G111" s="162">
        <f t="shared" ca="1" si="996"/>
        <v>0</v>
      </c>
      <c r="H111" s="162">
        <f t="shared" ca="1" si="996"/>
        <v>0</v>
      </c>
      <c r="I111" s="162">
        <f t="shared" ca="1" si="996"/>
        <v>0</v>
      </c>
      <c r="J111" s="162">
        <f t="shared" ca="1" si="996"/>
        <v>0</v>
      </c>
      <c r="K111" s="162">
        <f t="shared" ca="1" si="996"/>
        <v>0</v>
      </c>
      <c r="L111" s="162">
        <f t="shared" ca="1" si="996"/>
        <v>35.945686500000008</v>
      </c>
      <c r="M111" s="162">
        <f t="shared" ca="1" si="996"/>
        <v>37.423695100000003</v>
      </c>
      <c r="N111" s="162">
        <f t="shared" ca="1" si="996"/>
        <v>43.347301800000004</v>
      </c>
      <c r="O111" s="162">
        <f t="shared" ca="1" si="996"/>
        <v>2.2640976999999936</v>
      </c>
      <c r="P111" s="162">
        <f t="shared" ca="1" si="996"/>
        <v>39.710218700000006</v>
      </c>
      <c r="Q111" s="162">
        <f t="shared" ca="1" si="996"/>
        <v>90.554671899999988</v>
      </c>
      <c r="R111" s="162">
        <f t="shared" ca="1" si="996"/>
        <v>97.163364700000002</v>
      </c>
      <c r="S111" s="162">
        <f t="shared" ca="1" si="996"/>
        <v>137.30160549999999</v>
      </c>
      <c r="T111" s="162">
        <f t="shared" ca="1" si="996"/>
        <v>100.71199999999999</v>
      </c>
      <c r="U111" s="162">
        <f t="shared" ca="1" si="996"/>
        <v>195.226</v>
      </c>
      <c r="V111" s="162">
        <f t="shared" ca="1" si="996"/>
        <v>199.589</v>
      </c>
      <c r="W111" s="162">
        <f t="shared" ca="1" si="996"/>
        <v>171.38499999999999</v>
      </c>
      <c r="X111" s="162">
        <f t="shared" ref="X111:Y111" ca="1" si="997">+X108+X109</f>
        <v>146.87299999999999</v>
      </c>
      <c r="Y111" s="162">
        <f t="shared" ca="1" si="997"/>
        <v>2779.4724000000006</v>
      </c>
      <c r="Z111" s="162">
        <f t="shared" ref="Z111:AA111" ca="1" si="998">+Z108+Z109</f>
        <v>2975.7742000000003</v>
      </c>
      <c r="AA111" s="162">
        <f t="shared" ca="1" si="998"/>
        <v>2975.7742000000003</v>
      </c>
      <c r="AB111" s="21">
        <f t="shared" ref="AA111:AD111" ca="1" si="999">+AB108+AB109</f>
        <v>1072.1039872265264</v>
      </c>
      <c r="AC111" s="21">
        <f t="shared" ca="1" si="999"/>
        <v>624.29448189530694</v>
      </c>
      <c r="AD111" s="21">
        <f t="shared" ca="1" si="999"/>
        <v>251.25174588053108</v>
      </c>
      <c r="AE111" s="21">
        <f t="shared" ref="AE111" ca="1" si="1000">+AE108+AE109</f>
        <v>-52.570368177134924</v>
      </c>
      <c r="AL111" s="162" t="e">
        <f t="shared" ref="AL111:AM111" ca="1" si="1001">+AL108+AL109</f>
        <v>#NAME?</v>
      </c>
      <c r="AM111" s="162" t="e">
        <f t="shared" ca="1" si="1001"/>
        <v>#NAME?</v>
      </c>
      <c r="AN111" s="162" t="e">
        <f t="shared" ref="AN111:AO111" ca="1" si="1002">+AN108+AN109</f>
        <v>#NAME?</v>
      </c>
      <c r="AO111" s="162" t="e">
        <f t="shared" ca="1" si="1002"/>
        <v>#NAME?</v>
      </c>
      <c r="AP111" s="162" t="e">
        <f t="shared" ref="AP111:CD111" ca="1" si="1003">+AP108+AP109</f>
        <v>#NAME?</v>
      </c>
      <c r="AQ111" s="162" t="e">
        <f t="shared" ca="1" si="1003"/>
        <v>#NAME?</v>
      </c>
      <c r="AR111" s="162" t="e">
        <f t="shared" ca="1" si="1003"/>
        <v>#NAME?</v>
      </c>
      <c r="AS111" s="162" t="e">
        <f t="shared" ca="1" si="1003"/>
        <v>#NAME?</v>
      </c>
      <c r="AT111" s="162" t="e">
        <f t="shared" ca="1" si="1003"/>
        <v>#NAME?</v>
      </c>
      <c r="AU111" s="162" t="e">
        <f t="shared" ca="1" si="1003"/>
        <v>#NAME?</v>
      </c>
      <c r="AV111" s="162" t="e">
        <f t="shared" ca="1" si="1003"/>
        <v>#NAME?</v>
      </c>
      <c r="AW111" s="162" t="e">
        <f t="shared" ca="1" si="1003"/>
        <v>#NAME?</v>
      </c>
      <c r="AX111" s="162" t="e">
        <f t="shared" ca="1" si="1003"/>
        <v>#NAME?</v>
      </c>
      <c r="AY111" s="162" t="e">
        <f t="shared" ca="1" si="1003"/>
        <v>#NAME?</v>
      </c>
      <c r="AZ111" s="162" t="e">
        <f t="shared" ca="1" si="1003"/>
        <v>#NAME?</v>
      </c>
      <c r="BA111" s="162" t="e">
        <f t="shared" ca="1" si="1003"/>
        <v>#NAME?</v>
      </c>
      <c r="BB111" s="162" t="e">
        <f t="shared" ca="1" si="1003"/>
        <v>#NAME?</v>
      </c>
      <c r="BC111" s="162" t="e">
        <f t="shared" ca="1" si="1003"/>
        <v>#NAME?</v>
      </c>
      <c r="BD111" s="162" t="e">
        <f t="shared" ca="1" si="1003"/>
        <v>#NAME?</v>
      </c>
      <c r="BE111" s="162" t="e">
        <f t="shared" ca="1" si="1003"/>
        <v>#NAME?</v>
      </c>
      <c r="BF111" s="162" t="e">
        <f t="shared" ca="1" si="1003"/>
        <v>#NAME?</v>
      </c>
      <c r="BG111" s="162" t="e">
        <f t="shared" ca="1" si="1003"/>
        <v>#NAME?</v>
      </c>
      <c r="BH111" s="162" t="e">
        <f t="shared" ca="1" si="1003"/>
        <v>#NAME?</v>
      </c>
      <c r="BI111" s="162" t="e">
        <f t="shared" ca="1" si="1003"/>
        <v>#NAME?</v>
      </c>
      <c r="BJ111" s="162" t="e">
        <f t="shared" ca="1" si="1003"/>
        <v>#NAME?</v>
      </c>
      <c r="BK111" s="162" t="e">
        <f t="shared" ca="1" si="1003"/>
        <v>#NAME?</v>
      </c>
      <c r="BL111" s="162" t="e">
        <f t="shared" ca="1" si="1003"/>
        <v>#NAME?</v>
      </c>
      <c r="BM111" s="162" t="e">
        <f t="shared" ca="1" si="1003"/>
        <v>#NAME?</v>
      </c>
      <c r="BN111" s="162" t="e">
        <f t="shared" ca="1" si="1003"/>
        <v>#NAME?</v>
      </c>
      <c r="BO111" s="162" t="e">
        <f t="shared" ca="1" si="1003"/>
        <v>#NAME?</v>
      </c>
      <c r="BP111" s="162" t="e">
        <f t="shared" ca="1" si="1003"/>
        <v>#NAME?</v>
      </c>
      <c r="BQ111" s="162" t="e">
        <f t="shared" ca="1" si="1003"/>
        <v>#NAME?</v>
      </c>
      <c r="BR111" s="162" t="e">
        <f t="shared" ca="1" si="1003"/>
        <v>#NAME?</v>
      </c>
      <c r="BS111" s="162" t="e">
        <f t="shared" ca="1" si="1003"/>
        <v>#NAME?</v>
      </c>
      <c r="BT111" s="162" t="e">
        <f t="shared" ca="1" si="1003"/>
        <v>#NAME?</v>
      </c>
      <c r="BU111" s="162" t="e">
        <f t="shared" ca="1" si="1003"/>
        <v>#NAME?</v>
      </c>
      <c r="BV111" s="162" t="e">
        <f t="shared" ca="1" si="1003"/>
        <v>#NAME?</v>
      </c>
      <c r="BW111" s="162" t="e">
        <f t="shared" ca="1" si="1003"/>
        <v>#NAME?</v>
      </c>
      <c r="BX111" s="162" t="e">
        <f t="shared" ca="1" si="1003"/>
        <v>#NAME?</v>
      </c>
      <c r="BY111" s="162" t="e">
        <f t="shared" ca="1" si="1003"/>
        <v>#NAME?</v>
      </c>
      <c r="BZ111" s="162" t="e">
        <f t="shared" ca="1" si="1003"/>
        <v>#NAME?</v>
      </c>
      <c r="CA111" s="162" t="e">
        <f t="shared" ca="1" si="1003"/>
        <v>#NAME?</v>
      </c>
      <c r="CB111" s="162" t="e">
        <f t="shared" ca="1" si="1003"/>
        <v>#NAME?</v>
      </c>
      <c r="CC111" s="162" t="e">
        <f t="shared" ca="1" si="1003"/>
        <v>#NAME?</v>
      </c>
      <c r="CD111" s="162" t="e">
        <f t="shared" ca="1" si="1003"/>
        <v>#NAME?</v>
      </c>
      <c r="CE111" s="162" t="e">
        <f t="shared" ref="CE111:CF111" ca="1" si="1004">+CE108+CE109</f>
        <v>#NAME?</v>
      </c>
      <c r="CF111" s="162" t="e">
        <f t="shared" ca="1" si="1004"/>
        <v>#NAME?</v>
      </c>
      <c r="CG111" s="162" t="e">
        <f t="shared" ref="CG111:CH111" ca="1" si="1005">+CG108+CG109</f>
        <v>#NAME?</v>
      </c>
      <c r="CH111" s="162" t="e">
        <f t="shared" ca="1" si="1005"/>
        <v>#NAME?</v>
      </c>
      <c r="CI111" s="162" t="e">
        <f t="shared" ref="CI111:CJ111" ca="1" si="1006">+CI108+CI109</f>
        <v>#NAME?</v>
      </c>
      <c r="CJ111" s="162" t="e">
        <f t="shared" ca="1" si="1006"/>
        <v>#NAME?</v>
      </c>
      <c r="CK111" s="162" t="e">
        <f t="shared" ref="CK111:CL111" ca="1" si="1007">+CK108+CK109</f>
        <v>#NAME?</v>
      </c>
      <c r="CL111" s="162" t="e">
        <f t="shared" ca="1" si="1007"/>
        <v>#NAME?</v>
      </c>
      <c r="CM111" s="21" t="e">
        <f t="shared" ref="CM111:DB111" ca="1" si="1008">+CM108+CM109</f>
        <v>#NAME?</v>
      </c>
      <c r="CN111" s="21" t="e">
        <f t="shared" ca="1" si="1008"/>
        <v>#NAME?</v>
      </c>
      <c r="CO111" s="21" t="e">
        <f t="shared" ca="1" si="1008"/>
        <v>#NAME?</v>
      </c>
      <c r="CP111" s="21" t="e">
        <f t="shared" ca="1" si="1008"/>
        <v>#NAME?</v>
      </c>
      <c r="CQ111" s="21" t="e">
        <f t="shared" ca="1" si="1008"/>
        <v>#NAME?</v>
      </c>
      <c r="CR111" s="21" t="e">
        <f t="shared" ca="1" si="1008"/>
        <v>#NAME?</v>
      </c>
      <c r="CS111" s="21" t="e">
        <f t="shared" ca="1" si="1008"/>
        <v>#NAME?</v>
      </c>
      <c r="CT111" s="21" t="e">
        <f t="shared" ca="1" si="1008"/>
        <v>#NAME?</v>
      </c>
      <c r="CU111" s="21" t="e">
        <f t="shared" ca="1" si="1008"/>
        <v>#NAME?</v>
      </c>
      <c r="CV111" s="21" t="e">
        <f t="shared" ca="1" si="1008"/>
        <v>#NAME?</v>
      </c>
      <c r="CW111" s="21" t="e">
        <f t="shared" ca="1" si="1008"/>
        <v>#NAME?</v>
      </c>
      <c r="CX111" s="21" t="e">
        <f t="shared" ca="1" si="1008"/>
        <v>#NAME?</v>
      </c>
      <c r="CY111" s="21" t="e">
        <f t="shared" ca="1" si="1008"/>
        <v>#NAME?</v>
      </c>
      <c r="CZ111" s="21" t="e">
        <f t="shared" ca="1" si="1008"/>
        <v>#NAME?</v>
      </c>
      <c r="DA111" s="21" t="e">
        <f t="shared" ca="1" si="1008"/>
        <v>#NAME?</v>
      </c>
      <c r="DB111" s="21" t="e">
        <f t="shared" ca="1" si="1008"/>
        <v>#NAME?</v>
      </c>
      <c r="DE111" s="22"/>
      <c r="DF111" s="162">
        <v>2063.0741800000001</v>
      </c>
    </row>
    <row r="112" spans="1:110" s="162" customFormat="1" x14ac:dyDescent="0.2">
      <c r="A112" s="49" t="s">
        <v>13</v>
      </c>
      <c r="B112" s="162" t="e">
        <f t="shared" ref="B112:AE112" ca="1" si="1009">+B28</f>
        <v>#NAME?</v>
      </c>
      <c r="C112" s="162" t="e">
        <f t="shared" ca="1" si="1009"/>
        <v>#NAME?</v>
      </c>
      <c r="D112" s="162" t="e">
        <f t="shared" ca="1" si="1009"/>
        <v>#NAME?</v>
      </c>
      <c r="E112" s="162" t="e">
        <f t="shared" ca="1" si="1009"/>
        <v>#NAME?</v>
      </c>
      <c r="F112" s="162" t="e">
        <f t="shared" ca="1" si="1009"/>
        <v>#NAME?</v>
      </c>
      <c r="G112" s="162" t="e">
        <f t="shared" ca="1" si="1009"/>
        <v>#NAME?</v>
      </c>
      <c r="H112" s="162" t="e">
        <f t="shared" ca="1" si="1009"/>
        <v>#NAME?</v>
      </c>
      <c r="I112" s="162" t="e">
        <f t="shared" ca="1" si="1009"/>
        <v>#NAME?</v>
      </c>
      <c r="J112" s="162" t="e">
        <f t="shared" ca="1" si="1009"/>
        <v>#NAME?</v>
      </c>
      <c r="K112" s="162" t="e">
        <f t="shared" ca="1" si="1009"/>
        <v>#NAME?</v>
      </c>
      <c r="L112" s="162" t="e">
        <f t="shared" ca="1" si="1009"/>
        <v>#NAME?</v>
      </c>
      <c r="M112" s="162" t="e">
        <f t="shared" ca="1" si="1009"/>
        <v>#NAME?</v>
      </c>
      <c r="N112" s="162" t="e">
        <f t="shared" ca="1" si="1009"/>
        <v>#NAME?</v>
      </c>
      <c r="O112" s="162" t="e">
        <f t="shared" ca="1" si="1009"/>
        <v>#NAME?</v>
      </c>
      <c r="P112" s="162" t="e">
        <f t="shared" ca="1" si="1009"/>
        <v>#NAME?</v>
      </c>
      <c r="Q112" s="162" t="e">
        <f t="shared" ca="1" si="1009"/>
        <v>#NAME?</v>
      </c>
      <c r="R112" s="162" t="e">
        <f t="shared" ca="1" si="1009"/>
        <v>#NAME?</v>
      </c>
      <c r="S112" s="162" t="e">
        <f t="shared" ca="1" si="1009"/>
        <v>#NAME?</v>
      </c>
      <c r="T112" s="162" t="e">
        <f t="shared" ca="1" si="1009"/>
        <v>#NAME?</v>
      </c>
      <c r="U112" s="162" t="e">
        <f t="shared" ca="1" si="1009"/>
        <v>#NAME?</v>
      </c>
      <c r="V112" s="162" t="e">
        <f t="shared" ca="1" si="1009"/>
        <v>#NAME?</v>
      </c>
      <c r="W112" s="162" t="e">
        <f t="shared" ca="1" si="1009"/>
        <v>#NAME?</v>
      </c>
      <c r="X112" s="162" t="e">
        <f t="shared" ca="1" si="1009"/>
        <v>#NAME?</v>
      </c>
      <c r="Y112" s="162" t="e">
        <f t="shared" ca="1" si="1009"/>
        <v>#NAME?</v>
      </c>
      <c r="Z112" s="162" t="e">
        <f t="shared" ca="1" si="1009"/>
        <v>#NAME?</v>
      </c>
      <c r="AA112" s="162" t="e">
        <f t="shared" ref="AA112" ca="1" si="1010">+AA28</f>
        <v>#NAME?</v>
      </c>
      <c r="AB112" s="21" t="e">
        <f t="shared" ca="1" si="1009"/>
        <v>#NAME?</v>
      </c>
      <c r="AC112" s="21" t="e">
        <f t="shared" ca="1" si="1009"/>
        <v>#NAME?</v>
      </c>
      <c r="AD112" s="21" t="e">
        <f t="shared" ca="1" si="1009"/>
        <v>#NAME?</v>
      </c>
      <c r="AE112" s="21" t="e">
        <f t="shared" ca="1" si="1009"/>
        <v>#NAME?</v>
      </c>
      <c r="AL112" s="162" t="e">
        <f t="shared" ref="AL112:BQ112" ca="1" si="1011">+SUM(AI28:AL28)</f>
        <v>#NAME?</v>
      </c>
      <c r="AM112" s="162" t="e">
        <f t="shared" ca="1" si="1011"/>
        <v>#NAME?</v>
      </c>
      <c r="AN112" s="162" t="e">
        <f t="shared" ca="1" si="1011"/>
        <v>#NAME?</v>
      </c>
      <c r="AO112" s="162" t="e">
        <f t="shared" ca="1" si="1011"/>
        <v>#NAME?</v>
      </c>
      <c r="AP112" s="162" t="e">
        <f t="shared" ca="1" si="1011"/>
        <v>#NAME?</v>
      </c>
      <c r="AQ112" s="162" t="e">
        <f t="shared" ca="1" si="1011"/>
        <v>#NAME?</v>
      </c>
      <c r="AR112" s="162" t="e">
        <f t="shared" ca="1" si="1011"/>
        <v>#NAME?</v>
      </c>
      <c r="AS112" s="162" t="e">
        <f t="shared" ca="1" si="1011"/>
        <v>#NAME?</v>
      </c>
      <c r="AT112" s="162" t="e">
        <f t="shared" ca="1" si="1011"/>
        <v>#NAME?</v>
      </c>
      <c r="AU112" s="162" t="e">
        <f t="shared" ca="1" si="1011"/>
        <v>#NAME?</v>
      </c>
      <c r="AV112" s="162" t="e">
        <f t="shared" ca="1" si="1011"/>
        <v>#NAME?</v>
      </c>
      <c r="AW112" s="162" t="e">
        <f t="shared" ca="1" si="1011"/>
        <v>#NAME?</v>
      </c>
      <c r="AX112" s="162" t="e">
        <f t="shared" ca="1" si="1011"/>
        <v>#NAME?</v>
      </c>
      <c r="AY112" s="162" t="e">
        <f t="shared" ca="1" si="1011"/>
        <v>#NAME?</v>
      </c>
      <c r="AZ112" s="162" t="e">
        <f t="shared" ca="1" si="1011"/>
        <v>#NAME?</v>
      </c>
      <c r="BA112" s="162" t="e">
        <f t="shared" ca="1" si="1011"/>
        <v>#NAME?</v>
      </c>
      <c r="BB112" s="162" t="e">
        <f t="shared" ca="1" si="1011"/>
        <v>#NAME?</v>
      </c>
      <c r="BC112" s="162" t="e">
        <f t="shared" ca="1" si="1011"/>
        <v>#NAME?</v>
      </c>
      <c r="BD112" s="162" t="e">
        <f t="shared" ca="1" si="1011"/>
        <v>#NAME?</v>
      </c>
      <c r="BE112" s="162" t="e">
        <f t="shared" ca="1" si="1011"/>
        <v>#NAME?</v>
      </c>
      <c r="BF112" s="162" t="e">
        <f t="shared" ca="1" si="1011"/>
        <v>#NAME?</v>
      </c>
      <c r="BG112" s="162" t="e">
        <f t="shared" ca="1" si="1011"/>
        <v>#NAME?</v>
      </c>
      <c r="BH112" s="162" t="e">
        <f t="shared" ca="1" si="1011"/>
        <v>#NAME?</v>
      </c>
      <c r="BI112" s="162" t="e">
        <f t="shared" ca="1" si="1011"/>
        <v>#NAME?</v>
      </c>
      <c r="BJ112" s="162" t="e">
        <f t="shared" ca="1" si="1011"/>
        <v>#NAME?</v>
      </c>
      <c r="BK112" s="162" t="e">
        <f t="shared" ca="1" si="1011"/>
        <v>#NAME?</v>
      </c>
      <c r="BL112" s="162" t="e">
        <f t="shared" ca="1" si="1011"/>
        <v>#NAME?</v>
      </c>
      <c r="BM112" s="162" t="e">
        <f t="shared" ca="1" si="1011"/>
        <v>#NAME?</v>
      </c>
      <c r="BN112" s="162" t="e">
        <f t="shared" ca="1" si="1011"/>
        <v>#NAME?</v>
      </c>
      <c r="BO112" s="162" t="e">
        <f t="shared" ca="1" si="1011"/>
        <v>#NAME?</v>
      </c>
      <c r="BP112" s="162" t="e">
        <f t="shared" ca="1" si="1011"/>
        <v>#NAME?</v>
      </c>
      <c r="BQ112" s="162" t="e">
        <f t="shared" ca="1" si="1011"/>
        <v>#NAME?</v>
      </c>
      <c r="BR112" s="162" t="e">
        <f t="shared" ref="BR112:CW112" ca="1" si="1012">+SUM(BO28:BR28)</f>
        <v>#NAME?</v>
      </c>
      <c r="BS112" s="162" t="e">
        <f t="shared" ca="1" si="1012"/>
        <v>#NAME?</v>
      </c>
      <c r="BT112" s="162" t="e">
        <f t="shared" ca="1" si="1012"/>
        <v>#NAME?</v>
      </c>
      <c r="BU112" s="162" t="e">
        <f t="shared" ca="1" si="1012"/>
        <v>#NAME?</v>
      </c>
      <c r="BV112" s="162" t="e">
        <f t="shared" ca="1" si="1012"/>
        <v>#NAME?</v>
      </c>
      <c r="BW112" s="162" t="e">
        <f t="shared" ca="1" si="1012"/>
        <v>#NAME?</v>
      </c>
      <c r="BX112" s="162" t="e">
        <f t="shared" ca="1" si="1012"/>
        <v>#NAME?</v>
      </c>
      <c r="BY112" s="162" t="e">
        <f t="shared" ca="1" si="1012"/>
        <v>#NAME?</v>
      </c>
      <c r="BZ112" s="162" t="e">
        <f t="shared" ca="1" si="1012"/>
        <v>#NAME?</v>
      </c>
      <c r="CA112" s="162" t="e">
        <f t="shared" ca="1" si="1012"/>
        <v>#NAME?</v>
      </c>
      <c r="CB112" s="162" t="e">
        <f t="shared" ca="1" si="1012"/>
        <v>#NAME?</v>
      </c>
      <c r="CC112" s="162" t="e">
        <f t="shared" ca="1" si="1012"/>
        <v>#NAME?</v>
      </c>
      <c r="CD112" s="162" t="e">
        <f t="shared" ca="1" si="1012"/>
        <v>#NAME?</v>
      </c>
      <c r="CE112" s="162" t="e">
        <f t="shared" ca="1" si="1012"/>
        <v>#NAME?</v>
      </c>
      <c r="CF112" s="162" t="e">
        <f t="shared" ca="1" si="1012"/>
        <v>#NAME?</v>
      </c>
      <c r="CG112" s="162" t="e">
        <f t="shared" ca="1" si="1012"/>
        <v>#NAME?</v>
      </c>
      <c r="CH112" s="162" t="e">
        <f t="shared" ca="1" si="1012"/>
        <v>#NAME?</v>
      </c>
      <c r="CI112" s="162" t="e">
        <f t="shared" ca="1" si="1012"/>
        <v>#NAME?</v>
      </c>
      <c r="CJ112" s="162" t="e">
        <f t="shared" ca="1" si="1012"/>
        <v>#NAME?</v>
      </c>
      <c r="CK112" s="162" t="e">
        <f t="shared" ca="1" si="1012"/>
        <v>#NAME?</v>
      </c>
      <c r="CL112" s="162" t="e">
        <f t="shared" ca="1" si="1012"/>
        <v>#NAME?</v>
      </c>
      <c r="CM112" s="21" t="e">
        <f t="shared" ca="1" si="1012"/>
        <v>#NAME?</v>
      </c>
      <c r="CN112" s="21" t="e">
        <f t="shared" ca="1" si="1012"/>
        <v>#NAME?</v>
      </c>
      <c r="CO112" s="21" t="e">
        <f t="shared" ca="1" si="1012"/>
        <v>#NAME?</v>
      </c>
      <c r="CP112" s="21" t="e">
        <f t="shared" ca="1" si="1012"/>
        <v>#NAME?</v>
      </c>
      <c r="CQ112" s="21" t="e">
        <f t="shared" ca="1" si="1012"/>
        <v>#NAME?</v>
      </c>
      <c r="CR112" s="21" t="e">
        <f t="shared" ca="1" si="1012"/>
        <v>#NAME?</v>
      </c>
      <c r="CS112" s="21" t="e">
        <f t="shared" ca="1" si="1012"/>
        <v>#NAME?</v>
      </c>
      <c r="CT112" s="21" t="e">
        <f t="shared" ca="1" si="1012"/>
        <v>#NAME?</v>
      </c>
      <c r="CU112" s="21" t="e">
        <f t="shared" ca="1" si="1012"/>
        <v>#NAME?</v>
      </c>
      <c r="CV112" s="21" t="e">
        <f t="shared" ca="1" si="1012"/>
        <v>#NAME?</v>
      </c>
      <c r="CW112" s="21" t="e">
        <f t="shared" ca="1" si="1012"/>
        <v>#NAME?</v>
      </c>
      <c r="CX112" s="21" t="e">
        <f t="shared" ref="CX112:DB112" ca="1" si="1013">+SUM(CU28:CX28)</f>
        <v>#NAME?</v>
      </c>
      <c r="CY112" s="21" t="e">
        <f t="shared" ca="1" si="1013"/>
        <v>#NAME?</v>
      </c>
      <c r="CZ112" s="21" t="e">
        <f t="shared" ca="1" si="1013"/>
        <v>#NAME?</v>
      </c>
      <c r="DA112" s="21" t="e">
        <f t="shared" ca="1" si="1013"/>
        <v>#NAME?</v>
      </c>
      <c r="DB112" s="21" t="e">
        <f t="shared" ca="1" si="1013"/>
        <v>#NAME?</v>
      </c>
      <c r="DE112" s="22"/>
      <c r="DF112" s="162">
        <v>124.19100000000014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14">+C110/C112</f>
        <v>#NAME?</v>
      </c>
      <c r="D113" s="162" t="e">
        <f t="shared" ca="1" si="1014"/>
        <v>#NAME?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>
        <f t="shared" ca="1" si="1014"/>
        <v>5.286887579850142E-2</v>
      </c>
      <c r="P113" s="162">
        <f t="shared" ca="1" si="1014"/>
        <v>1.052821341242884</v>
      </c>
      <c r="Q113" s="162">
        <f t="shared" ca="1" si="1014"/>
        <v>5.4789875844620601</v>
      </c>
      <c r="R113" s="162">
        <f t="shared" ca="1" si="1014"/>
        <v>12.121873545091814</v>
      </c>
      <c r="S113" s="162">
        <f t="shared" ca="1" si="1014"/>
        <v>35.918434218393799</v>
      </c>
      <c r="T113" s="162">
        <f t="shared" ca="1" si="1014"/>
        <v>5.7245495367475687</v>
      </c>
      <c r="U113" s="162">
        <f t="shared" ca="1" si="1014"/>
        <v>14.216865715117944</v>
      </c>
      <c r="V113" s="162">
        <f t="shared" ca="1" si="1014"/>
        <v>4.3441798711474808</v>
      </c>
      <c r="W113" s="162">
        <f t="shared" ca="1" si="1014"/>
        <v>2.0393265111851493</v>
      </c>
      <c r="X113" s="162">
        <f t="shared" ref="X113:Y113" ca="1" si="1015">+X110/X112</f>
        <v>1.6838599468036326</v>
      </c>
      <c r="Y113" s="162">
        <f t="shared" ca="1" si="1015"/>
        <v>61.492267495996089</v>
      </c>
      <c r="Z113" s="162">
        <f t="shared" ref="Z113:AA113" ca="1" si="1016">+Z110/Z112</f>
        <v>51.132726110768424</v>
      </c>
      <c r="AA113" s="162">
        <f t="shared" ca="1" si="1016"/>
        <v>51.132726110768424</v>
      </c>
      <c r="AB113" s="21">
        <f t="shared" ref="AA113:AD113" ca="1" si="1017">+AB110/AB112</f>
        <v>30.318251926159004</v>
      </c>
      <c r="AC113" s="21">
        <f t="shared" ca="1" si="1017"/>
        <v>18.679477323131984</v>
      </c>
      <c r="AD113" s="21">
        <f t="shared" ca="1" si="1017"/>
        <v>14.44445144035695</v>
      </c>
      <c r="AE113" s="21">
        <f t="shared" ref="AE113" ca="1" si="1018">+AE110/AE112</f>
        <v>9.4030312627359791</v>
      </c>
      <c r="AL113" s="162" t="e">
        <f t="shared" ref="AL113" ca="1" si="1019">+AL110/AL112</f>
        <v>#NAME?</v>
      </c>
      <c r="AM113" s="162" t="e">
        <f t="shared" ref="AM113:AO113" ca="1" si="1020">+AM110/AM112</f>
        <v>#NAME?</v>
      </c>
      <c r="AN113" s="162" t="e">
        <f t="shared" ca="1" si="1020"/>
        <v>#NAME?</v>
      </c>
      <c r="AO113" s="162" t="e">
        <f t="shared" ca="1" si="1020"/>
        <v>#NAME?</v>
      </c>
      <c r="AP113" s="162" t="e">
        <f t="shared" ref="AP113:CD113" ca="1" si="1021">+AP110/AP112</f>
        <v>#NAME?</v>
      </c>
      <c r="AQ113" s="162" t="e">
        <f t="shared" ca="1" si="1021"/>
        <v>#NAME?</v>
      </c>
      <c r="AR113" s="162" t="e">
        <f t="shared" ca="1" si="1021"/>
        <v>#NAME?</v>
      </c>
      <c r="AS113" s="162" t="e">
        <f t="shared" ca="1" si="1021"/>
        <v>#NAME?</v>
      </c>
      <c r="AT113" s="162" t="e">
        <f t="shared" ca="1" si="1021"/>
        <v>#NAME?</v>
      </c>
      <c r="AU113" s="162" t="e">
        <f t="shared" ca="1" si="1021"/>
        <v>#NAME?</v>
      </c>
      <c r="AV113" s="162" t="e">
        <f t="shared" ca="1" si="1021"/>
        <v>#NAME?</v>
      </c>
      <c r="AW113" s="162" t="e">
        <f t="shared" ca="1" si="1021"/>
        <v>#NAME?</v>
      </c>
      <c r="AX113" s="162" t="e">
        <f t="shared" ca="1" si="1021"/>
        <v>#NAME?</v>
      </c>
      <c r="AY113" s="162" t="e">
        <f t="shared" ca="1" si="1021"/>
        <v>#NAME?</v>
      </c>
      <c r="AZ113" s="162" t="e">
        <f t="shared" ca="1" si="1021"/>
        <v>#NAME?</v>
      </c>
      <c r="BA113" s="162" t="e">
        <f t="shared" ca="1" si="1021"/>
        <v>#NAME?</v>
      </c>
      <c r="BB113" s="162" t="e">
        <f t="shared" ca="1" si="1021"/>
        <v>#NAME?</v>
      </c>
      <c r="BC113" s="162" t="e">
        <f t="shared" ca="1" si="1021"/>
        <v>#NAME?</v>
      </c>
      <c r="BD113" s="162" t="e">
        <f t="shared" ca="1" si="1021"/>
        <v>#NAME?</v>
      </c>
      <c r="BE113" s="162" t="e">
        <f t="shared" ca="1" si="1021"/>
        <v>#NAME?</v>
      </c>
      <c r="BF113" s="162" t="e">
        <f t="shared" ca="1" si="1021"/>
        <v>#NAME?</v>
      </c>
      <c r="BG113" s="162" t="e">
        <f t="shared" ca="1" si="1021"/>
        <v>#NAME?</v>
      </c>
      <c r="BH113" s="162" t="e">
        <f t="shared" ca="1" si="1021"/>
        <v>#NAME?</v>
      </c>
      <c r="BI113" s="162" t="e">
        <f t="shared" ca="1" si="1021"/>
        <v>#NAME?</v>
      </c>
      <c r="BJ113" s="162" t="e">
        <f t="shared" ca="1" si="1021"/>
        <v>#NAME?</v>
      </c>
      <c r="BK113" s="162" t="e">
        <f t="shared" ca="1" si="1021"/>
        <v>#NAME?</v>
      </c>
      <c r="BL113" s="162" t="e">
        <f t="shared" ca="1" si="1021"/>
        <v>#NAME?</v>
      </c>
      <c r="BM113" s="162" t="e">
        <f t="shared" ca="1" si="1021"/>
        <v>#NAME?</v>
      </c>
      <c r="BN113" s="162" t="e">
        <f t="shared" ca="1" si="1021"/>
        <v>#NAME?</v>
      </c>
      <c r="BO113" s="162" t="e">
        <f t="shared" ca="1" si="1021"/>
        <v>#NAME?</v>
      </c>
      <c r="BP113" s="162" t="e">
        <f t="shared" ca="1" si="1021"/>
        <v>#NAME?</v>
      </c>
      <c r="BQ113" s="162" t="e">
        <f t="shared" ca="1" si="1021"/>
        <v>#NAME?</v>
      </c>
      <c r="BR113" s="162" t="e">
        <f t="shared" ca="1" si="1021"/>
        <v>#NAME?</v>
      </c>
      <c r="BS113" s="162" t="e">
        <f t="shared" ca="1" si="1021"/>
        <v>#NAME?</v>
      </c>
      <c r="BT113" s="162" t="e">
        <f t="shared" ca="1" si="1021"/>
        <v>#NAME?</v>
      </c>
      <c r="BU113" s="162" t="e">
        <f t="shared" ca="1" si="1021"/>
        <v>#NAME?</v>
      </c>
      <c r="BV113" s="162" t="e">
        <f t="shared" ca="1" si="1021"/>
        <v>#NAME?</v>
      </c>
      <c r="BW113" s="162" t="e">
        <f t="shared" ca="1" si="1021"/>
        <v>#NAME?</v>
      </c>
      <c r="BX113" s="162" t="e">
        <f t="shared" ca="1" si="1021"/>
        <v>#NAME?</v>
      </c>
      <c r="BY113" s="162" t="e">
        <f t="shared" ca="1" si="1021"/>
        <v>#NAME?</v>
      </c>
      <c r="BZ113" s="162" t="e">
        <f t="shared" ca="1" si="1021"/>
        <v>#NAME?</v>
      </c>
      <c r="CA113" s="162" t="e">
        <f t="shared" ca="1" si="1021"/>
        <v>#NAME?</v>
      </c>
      <c r="CB113" s="162" t="e">
        <f t="shared" ca="1" si="1021"/>
        <v>#NAME?</v>
      </c>
      <c r="CC113" s="162" t="e">
        <f t="shared" ca="1" si="1021"/>
        <v>#NAME?</v>
      </c>
      <c r="CD113" s="162" t="e">
        <f t="shared" ca="1" si="1021"/>
        <v>#NAME?</v>
      </c>
      <c r="CE113" s="162" t="e">
        <f t="shared" ref="CE113:CF113" ca="1" si="1022">+CE110/CE112</f>
        <v>#NAME?</v>
      </c>
      <c r="CF113" s="162" t="e">
        <f t="shared" ca="1" si="1022"/>
        <v>#NAME?</v>
      </c>
      <c r="CG113" s="162" t="e">
        <f t="shared" ref="CG113:CH113" ca="1" si="1023">+CG110/CG112</f>
        <v>#NAME?</v>
      </c>
      <c r="CH113" s="162" t="e">
        <f t="shared" ca="1" si="1023"/>
        <v>#NAME?</v>
      </c>
      <c r="CI113" s="162" t="e">
        <f t="shared" ref="CI113:CJ113" ca="1" si="1024">+CI110/CI112</f>
        <v>#NAME?</v>
      </c>
      <c r="CJ113" s="162" t="e">
        <f t="shared" ca="1" si="1024"/>
        <v>#NAME?</v>
      </c>
      <c r="CK113" s="162" t="e">
        <f t="shared" ref="CK113:CL113" ca="1" si="1025">+CK110/CK112</f>
        <v>#NAME?</v>
      </c>
      <c r="CL113" s="162" t="e">
        <f t="shared" ca="1" si="1025"/>
        <v>#NAME?</v>
      </c>
      <c r="CM113" s="21" t="e">
        <f t="shared" ref="CM113:DB113" ca="1" si="1026">+CM110/CM112</f>
        <v>#NAME?</v>
      </c>
      <c r="CN113" s="21" t="e">
        <f t="shared" ca="1" si="1026"/>
        <v>#NAME?</v>
      </c>
      <c r="CO113" s="21" t="e">
        <f t="shared" ca="1" si="1026"/>
        <v>#NAME?</v>
      </c>
      <c r="CP113" s="21" t="e">
        <f t="shared" ca="1" si="1026"/>
        <v>#NAME?</v>
      </c>
      <c r="CQ113" s="21" t="e">
        <f t="shared" ca="1" si="1026"/>
        <v>#NAME?</v>
      </c>
      <c r="CR113" s="21" t="e">
        <f t="shared" ca="1" si="1026"/>
        <v>#NAME?</v>
      </c>
      <c r="CS113" s="21" t="e">
        <f t="shared" ca="1" si="1026"/>
        <v>#NAME?</v>
      </c>
      <c r="CT113" s="21" t="e">
        <f t="shared" ca="1" si="1026"/>
        <v>#NAME?</v>
      </c>
      <c r="CU113" s="21" t="e">
        <f t="shared" ca="1" si="1026"/>
        <v>#NAME?</v>
      </c>
      <c r="CV113" s="21" t="e">
        <f t="shared" ca="1" si="1026"/>
        <v>#NAME?</v>
      </c>
      <c r="CW113" s="21" t="e">
        <f t="shared" ca="1" si="1026"/>
        <v>#NAME?</v>
      </c>
      <c r="CX113" s="21" t="e">
        <f t="shared" ca="1" si="1026"/>
        <v>#NAME?</v>
      </c>
      <c r="CY113" s="21" t="e">
        <f t="shared" ca="1" si="1026"/>
        <v>#NAME?</v>
      </c>
      <c r="CZ113" s="21" t="e">
        <f t="shared" ca="1" si="1026"/>
        <v>#NAME?</v>
      </c>
      <c r="DA113" s="21" t="e">
        <f t="shared" ca="1" si="1026"/>
        <v>#NAME?</v>
      </c>
      <c r="DB113" s="21" t="e">
        <f t="shared" ca="1" si="1026"/>
        <v>#NAME?</v>
      </c>
      <c r="DE113" s="22"/>
      <c r="DF113" s="162">
        <v>34.253024776352518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7">+C111/C112</f>
        <v>#NAME?</v>
      </c>
      <c r="D114" s="162" t="e">
        <f t="shared" ca="1" si="1027"/>
        <v>#NAME?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>
        <f t="shared" ca="1" si="1027"/>
        <v>5.286887579850142E-2</v>
      </c>
      <c r="P114" s="162">
        <f t="shared" ca="1" si="1027"/>
        <v>1.052821341242884</v>
      </c>
      <c r="Q114" s="162">
        <f t="shared" ca="1" si="1027"/>
        <v>5.4789875844620601</v>
      </c>
      <c r="R114" s="162">
        <f t="shared" ca="1" si="1027"/>
        <v>12.121873545091814</v>
      </c>
      <c r="S114" s="162">
        <f t="shared" ca="1" si="1027"/>
        <v>35.918434218393799</v>
      </c>
      <c r="T114" s="162">
        <f t="shared" ca="1" si="1027"/>
        <v>5.7245495367475687</v>
      </c>
      <c r="U114" s="162">
        <f t="shared" ca="1" si="1027"/>
        <v>14.216865715117944</v>
      </c>
      <c r="V114" s="162">
        <f t="shared" ca="1" si="1027"/>
        <v>4.3441798711474808</v>
      </c>
      <c r="W114" s="162">
        <f t="shared" ca="1" si="1027"/>
        <v>2.0393265111851493</v>
      </c>
      <c r="X114" s="162">
        <f t="shared" ref="X114:Y114" ca="1" si="1028">+X111/X112</f>
        <v>1.6838599468036326</v>
      </c>
      <c r="Y114" s="162">
        <f t="shared" ca="1" si="1028"/>
        <v>25.880595180453636</v>
      </c>
      <c r="Z114" s="162">
        <f t="shared" ref="Z114:AA114" ca="1" si="1029">+Z111/Z112</f>
        <v>22.113370835779403</v>
      </c>
      <c r="AA114" s="162">
        <f t="shared" ca="1" si="1029"/>
        <v>22.113370835779403</v>
      </c>
      <c r="AB114" s="21">
        <f t="shared" ref="AA114:AD114" ca="1" si="1030">+AB111/AB112</f>
        <v>10.281635397018077</v>
      </c>
      <c r="AC114" s="21">
        <f t="shared" ca="1" si="1030"/>
        <v>7.2865692571791714</v>
      </c>
      <c r="AD114" s="21">
        <f t="shared" ca="1" si="1030"/>
        <v>3.587141180499049</v>
      </c>
      <c r="AE114" s="21">
        <f t="shared" ref="AE114" ca="1" si="1031">+AE111/AE112</f>
        <v>-0.91904113396383469</v>
      </c>
      <c r="AL114" s="162" t="e">
        <f t="shared" ref="AL114:AM114" ca="1" si="1032">+AL111/AL112</f>
        <v>#NAME?</v>
      </c>
      <c r="AM114" s="162" t="e">
        <f t="shared" ca="1" si="1032"/>
        <v>#NAME?</v>
      </c>
      <c r="AN114" s="162" t="e">
        <f t="shared" ref="AN114:AO114" ca="1" si="1033">+AN111/AN112</f>
        <v>#NAME?</v>
      </c>
      <c r="AO114" s="162" t="e">
        <f t="shared" ca="1" si="1033"/>
        <v>#NAME?</v>
      </c>
      <c r="AP114" s="162" t="e">
        <f t="shared" ref="AP114:CD114" ca="1" si="1034">+AP111/AP112</f>
        <v>#NAME?</v>
      </c>
      <c r="AQ114" s="162" t="e">
        <f t="shared" ca="1" si="1034"/>
        <v>#NAME?</v>
      </c>
      <c r="AR114" s="162" t="e">
        <f t="shared" ca="1" si="1034"/>
        <v>#NAME?</v>
      </c>
      <c r="AS114" s="162" t="e">
        <f t="shared" ca="1" si="1034"/>
        <v>#NAME?</v>
      </c>
      <c r="AT114" s="162" t="e">
        <f t="shared" ca="1" si="1034"/>
        <v>#NAME?</v>
      </c>
      <c r="AU114" s="162" t="e">
        <f t="shared" ca="1" si="1034"/>
        <v>#NAME?</v>
      </c>
      <c r="AV114" s="162" t="e">
        <f t="shared" ca="1" si="1034"/>
        <v>#NAME?</v>
      </c>
      <c r="AW114" s="162" t="e">
        <f t="shared" ca="1" si="1034"/>
        <v>#NAME?</v>
      </c>
      <c r="AX114" s="162" t="e">
        <f t="shared" ca="1" si="1034"/>
        <v>#NAME?</v>
      </c>
      <c r="AY114" s="162" t="e">
        <f t="shared" ca="1" si="1034"/>
        <v>#NAME?</v>
      </c>
      <c r="AZ114" s="162" t="e">
        <f t="shared" ca="1" si="1034"/>
        <v>#NAME?</v>
      </c>
      <c r="BA114" s="162" t="e">
        <f t="shared" ca="1" si="1034"/>
        <v>#NAME?</v>
      </c>
      <c r="BB114" s="162" t="e">
        <f t="shared" ca="1" si="1034"/>
        <v>#NAME?</v>
      </c>
      <c r="BC114" s="162" t="e">
        <f t="shared" ca="1" si="1034"/>
        <v>#NAME?</v>
      </c>
      <c r="BD114" s="162" t="e">
        <f t="shared" ca="1" si="1034"/>
        <v>#NAME?</v>
      </c>
      <c r="BE114" s="162" t="e">
        <f t="shared" ca="1" si="1034"/>
        <v>#NAME?</v>
      </c>
      <c r="BF114" s="162" t="e">
        <f t="shared" ca="1" si="1034"/>
        <v>#NAME?</v>
      </c>
      <c r="BG114" s="162" t="e">
        <f t="shared" ca="1" si="1034"/>
        <v>#NAME?</v>
      </c>
      <c r="BH114" s="162" t="e">
        <f t="shared" ca="1" si="1034"/>
        <v>#NAME?</v>
      </c>
      <c r="BI114" s="162" t="e">
        <f t="shared" ca="1" si="1034"/>
        <v>#NAME?</v>
      </c>
      <c r="BJ114" s="162" t="e">
        <f t="shared" ca="1" si="1034"/>
        <v>#NAME?</v>
      </c>
      <c r="BK114" s="162" t="e">
        <f t="shared" ca="1" si="1034"/>
        <v>#NAME?</v>
      </c>
      <c r="BL114" s="162" t="e">
        <f t="shared" ca="1" si="1034"/>
        <v>#NAME?</v>
      </c>
      <c r="BM114" s="162" t="e">
        <f t="shared" ca="1" si="1034"/>
        <v>#NAME?</v>
      </c>
      <c r="BN114" s="162" t="e">
        <f t="shared" ca="1" si="1034"/>
        <v>#NAME?</v>
      </c>
      <c r="BO114" s="162" t="e">
        <f t="shared" ca="1" si="1034"/>
        <v>#NAME?</v>
      </c>
      <c r="BP114" s="162" t="e">
        <f t="shared" ca="1" si="1034"/>
        <v>#NAME?</v>
      </c>
      <c r="BQ114" s="162" t="e">
        <f t="shared" ca="1" si="1034"/>
        <v>#NAME?</v>
      </c>
      <c r="BR114" s="162" t="e">
        <f t="shared" ca="1" si="1034"/>
        <v>#NAME?</v>
      </c>
      <c r="BS114" s="162" t="e">
        <f t="shared" ca="1" si="1034"/>
        <v>#NAME?</v>
      </c>
      <c r="BT114" s="162" t="e">
        <f t="shared" ca="1" si="1034"/>
        <v>#NAME?</v>
      </c>
      <c r="BU114" s="162" t="e">
        <f t="shared" ca="1" si="1034"/>
        <v>#NAME?</v>
      </c>
      <c r="BV114" s="162" t="e">
        <f t="shared" ca="1" si="1034"/>
        <v>#NAME?</v>
      </c>
      <c r="BW114" s="162" t="e">
        <f t="shared" ca="1" si="1034"/>
        <v>#NAME?</v>
      </c>
      <c r="BX114" s="162" t="e">
        <f t="shared" ca="1" si="1034"/>
        <v>#NAME?</v>
      </c>
      <c r="BY114" s="162" t="e">
        <f t="shared" ca="1" si="1034"/>
        <v>#NAME?</v>
      </c>
      <c r="BZ114" s="162" t="e">
        <f t="shared" ca="1" si="1034"/>
        <v>#NAME?</v>
      </c>
      <c r="CA114" s="162" t="e">
        <f t="shared" ca="1" si="1034"/>
        <v>#NAME?</v>
      </c>
      <c r="CB114" s="162" t="e">
        <f t="shared" ca="1" si="1034"/>
        <v>#NAME?</v>
      </c>
      <c r="CC114" s="162" t="e">
        <f t="shared" ca="1" si="1034"/>
        <v>#NAME?</v>
      </c>
      <c r="CD114" s="162" t="e">
        <f t="shared" ca="1" si="1034"/>
        <v>#NAME?</v>
      </c>
      <c r="CE114" s="162" t="e">
        <f t="shared" ref="CE114:CF114" ca="1" si="1035">+CE111/CE112</f>
        <v>#NAME?</v>
      </c>
      <c r="CF114" s="162" t="e">
        <f t="shared" ca="1" si="1035"/>
        <v>#NAME?</v>
      </c>
      <c r="CG114" s="162" t="e">
        <f t="shared" ref="CG114:CH114" ca="1" si="1036">+CG111/CG112</f>
        <v>#NAME?</v>
      </c>
      <c r="CH114" s="162" t="e">
        <f t="shared" ca="1" si="1036"/>
        <v>#NAME?</v>
      </c>
      <c r="CI114" s="162" t="e">
        <f t="shared" ref="CI114:CJ114" ca="1" si="1037">+CI111/CI112</f>
        <v>#NAME?</v>
      </c>
      <c r="CJ114" s="162" t="e">
        <f t="shared" ca="1" si="1037"/>
        <v>#NAME?</v>
      </c>
      <c r="CK114" s="162" t="e">
        <f t="shared" ref="CK114:CL114" ca="1" si="1038">+CK111/CK112</f>
        <v>#NAME?</v>
      </c>
      <c r="CL114" s="162" t="e">
        <f t="shared" ca="1" si="1038"/>
        <v>#NAME?</v>
      </c>
      <c r="CM114" s="21" t="e">
        <f t="shared" ref="CM114:DB114" ca="1" si="1039">+CM111/CM112</f>
        <v>#NAME?</v>
      </c>
      <c r="CN114" s="21" t="e">
        <f t="shared" ca="1" si="1039"/>
        <v>#NAME?</v>
      </c>
      <c r="CO114" s="21" t="e">
        <f t="shared" ca="1" si="1039"/>
        <v>#NAME?</v>
      </c>
      <c r="CP114" s="21" t="e">
        <f t="shared" ca="1" si="1039"/>
        <v>#NAME?</v>
      </c>
      <c r="CQ114" s="21" t="e">
        <f t="shared" ca="1" si="1039"/>
        <v>#NAME?</v>
      </c>
      <c r="CR114" s="21" t="e">
        <f t="shared" ca="1" si="1039"/>
        <v>#NAME?</v>
      </c>
      <c r="CS114" s="21" t="e">
        <f t="shared" ca="1" si="1039"/>
        <v>#NAME?</v>
      </c>
      <c r="CT114" s="21" t="e">
        <f t="shared" ca="1" si="1039"/>
        <v>#NAME?</v>
      </c>
      <c r="CU114" s="21" t="e">
        <f t="shared" ca="1" si="1039"/>
        <v>#NAME?</v>
      </c>
      <c r="CV114" s="21" t="e">
        <f t="shared" ca="1" si="1039"/>
        <v>#NAME?</v>
      </c>
      <c r="CW114" s="21" t="e">
        <f t="shared" ca="1" si="1039"/>
        <v>#NAME?</v>
      </c>
      <c r="CX114" s="21" t="e">
        <f t="shared" ca="1" si="1039"/>
        <v>#NAME?</v>
      </c>
      <c r="CY114" s="21" t="e">
        <f t="shared" ca="1" si="1039"/>
        <v>#NAME?</v>
      </c>
      <c r="CZ114" s="21" t="e">
        <f t="shared" ca="1" si="1039"/>
        <v>#NAME?</v>
      </c>
      <c r="DA114" s="21" t="e">
        <f t="shared" ca="1" si="1039"/>
        <v>#NAME?</v>
      </c>
      <c r="DB114" s="21" t="e">
        <f t="shared" ca="1" si="1039"/>
        <v>#NAME?</v>
      </c>
      <c r="DE114" s="22"/>
      <c r="DF114" s="162">
        <v>16.612106996481209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40">+AJ117</f>
        <v>#NAME?</v>
      </c>
      <c r="AL117" s="23" t="e">
        <f ca="1">+'QTR Raw'!F56</f>
        <v>#NAME?</v>
      </c>
      <c r="AM117" s="23" t="e">
        <f t="shared" ca="1" si="1040"/>
        <v>#NAME?</v>
      </c>
      <c r="AN117" s="23" t="e">
        <f ca="1">+'QTR Raw'!H56</f>
        <v>#NAME?</v>
      </c>
      <c r="AO117" s="23" t="e">
        <f t="shared" ca="1" si="1040"/>
        <v>#NAME?</v>
      </c>
      <c r="AP117" s="23" t="e">
        <f ca="1">+'QTR Raw'!J56</f>
        <v>#NAME?</v>
      </c>
      <c r="AQ117" s="23" t="e">
        <f t="shared" ca="1" si="1040"/>
        <v>#NAME?</v>
      </c>
      <c r="AR117" s="23" t="e">
        <f ca="1">+'QTR Raw'!L56</f>
        <v>#NAME?</v>
      </c>
      <c r="AS117" s="23" t="e">
        <f t="shared" ca="1" si="1040"/>
        <v>#NAME?</v>
      </c>
      <c r="AT117" s="23" t="e">
        <f ca="1">+'QTR Raw'!N56</f>
        <v>#NAME?</v>
      </c>
      <c r="AU117" s="23" t="e">
        <f t="shared" ca="1" si="1040"/>
        <v>#NAME?</v>
      </c>
      <c r="AV117" s="23" t="e">
        <f ca="1">+'QTR Raw'!P56</f>
        <v>#NAME?</v>
      </c>
      <c r="AW117" s="23" t="e">
        <f t="shared" ca="1" si="1040"/>
        <v>#NAME?</v>
      </c>
      <c r="AX117" s="23" t="e">
        <f ca="1">+'QTR Raw'!R56</f>
        <v>#NAME?</v>
      </c>
      <c r="AY117" s="23" t="e">
        <f t="shared" ca="1" si="1040"/>
        <v>#NAME?</v>
      </c>
      <c r="AZ117" s="23" t="e">
        <f ca="1">+'QTR Raw'!T56</f>
        <v>#NAME?</v>
      </c>
      <c r="BA117" s="23" t="e">
        <f t="shared" ca="1" si="1040"/>
        <v>#NAME?</v>
      </c>
      <c r="BB117" s="23" t="e">
        <f ca="1">+'QTR Raw'!V56</f>
        <v>#NAME?</v>
      </c>
      <c r="BC117" s="23" t="e">
        <f t="shared" ca="1" si="1040"/>
        <v>#NAME?</v>
      </c>
      <c r="BD117" s="23" t="e">
        <f ca="1">+'QTR Raw'!X56</f>
        <v>#NAME?</v>
      </c>
      <c r="BE117" s="23" t="e">
        <f t="shared" ca="1" si="1040"/>
        <v>#NAME?</v>
      </c>
      <c r="BF117" s="23" t="e">
        <f ca="1">+'QTR Raw'!Z56</f>
        <v>#NAME?</v>
      </c>
      <c r="BG117" s="23" t="e">
        <f t="shared" ca="1" si="1040"/>
        <v>#NAME?</v>
      </c>
      <c r="BH117" s="23" t="e">
        <f ca="1">+'QTR Raw'!AB56</f>
        <v>#NAME?</v>
      </c>
      <c r="BI117" s="23" t="e">
        <f t="shared" ca="1" si="1040"/>
        <v>#NAME?</v>
      </c>
      <c r="BJ117" s="23" t="e">
        <f ca="1">+'QTR Raw'!AD56</f>
        <v>#NAME?</v>
      </c>
      <c r="BK117" s="23" t="e">
        <f t="shared" ca="1" si="1040"/>
        <v>#NAME?</v>
      </c>
      <c r="BL117" s="23" t="e">
        <f ca="1">+'QTR Raw'!AF56</f>
        <v>#NAME?</v>
      </c>
      <c r="BM117" s="23" t="e">
        <f t="shared" ca="1" si="1040"/>
        <v>#NAME?</v>
      </c>
      <c r="BN117" s="23" t="e">
        <f ca="1">+'QTR Raw'!AH56</f>
        <v>#NAME?</v>
      </c>
      <c r="BO117" s="23" t="e">
        <f t="shared" ca="1" si="1040"/>
        <v>#NAME?</v>
      </c>
      <c r="BP117" s="23" t="e">
        <f ca="1">+'QTR Raw'!AJ56</f>
        <v>#NAME?</v>
      </c>
      <c r="BQ117" s="23" t="e">
        <f t="shared" ca="1" si="1040"/>
        <v>#NAME?</v>
      </c>
      <c r="BR117" s="23" t="e">
        <f ca="1">+'QTR Raw'!AL56</f>
        <v>#NAME?</v>
      </c>
      <c r="BS117" s="23" t="e">
        <f t="shared" ca="1" si="1040"/>
        <v>#NAME?</v>
      </c>
      <c r="BT117" s="23" t="e">
        <f ca="1">+'QTR Raw'!AN56</f>
        <v>#NAME?</v>
      </c>
      <c r="BU117" s="23" t="e">
        <f t="shared" ca="1" si="1040"/>
        <v>#NAME?</v>
      </c>
      <c r="BV117" s="23" t="e">
        <f ca="1">+'QTR Raw'!AP56</f>
        <v>#NAME?</v>
      </c>
      <c r="BW117" s="23" t="e">
        <f t="shared" ca="1" si="1040"/>
        <v>#NAME?</v>
      </c>
      <c r="BX117" s="23" t="e">
        <f ca="1">+'QTR Raw'!AR56</f>
        <v>#NAME?</v>
      </c>
      <c r="BY117" s="23" t="e">
        <f t="shared" ca="1" si="1040"/>
        <v>#NAME?</v>
      </c>
      <c r="BZ117" s="23" t="e">
        <f ca="1">+'QTR Raw'!AT56</f>
        <v>#NAME?</v>
      </c>
      <c r="CA117" s="23" t="e">
        <f t="shared" ca="1" si="1040"/>
        <v>#NAME?</v>
      </c>
      <c r="CB117" s="23" t="e">
        <f ca="1">+'QTR Raw'!AV56</f>
        <v>#NAME?</v>
      </c>
      <c r="CC117" s="23" t="e">
        <f t="shared" ca="1" si="1040"/>
        <v>#NAME?</v>
      </c>
      <c r="CD117" s="23" t="e">
        <f ca="1">+'QTR Raw'!AX56</f>
        <v>#NAME?</v>
      </c>
      <c r="CE117" s="23" t="e">
        <f t="shared" ca="1" si="1040"/>
        <v>#NAME?</v>
      </c>
      <c r="CF117" s="23" t="e">
        <f ca="1">+'QTR Raw'!AZ56</f>
        <v>#NAME?</v>
      </c>
      <c r="CG117" s="23" t="e">
        <f t="shared" ref="CG117:CG118" ca="1" si="1041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42">CJ117</f>
        <v>#NAME?</v>
      </c>
      <c r="CL117" s="23" t="e">
        <f ca="1">+'QTR Raw'!BF56</f>
        <v>#NAME?</v>
      </c>
      <c r="CM117" s="24" t="e">
        <f t="shared" ca="1" si="1042"/>
        <v>#NAME?</v>
      </c>
      <c r="CN117" s="24" t="e">
        <f t="shared" ca="1" si="1042"/>
        <v>#NAME?</v>
      </c>
      <c r="CO117" s="24" t="e">
        <f t="shared" ca="1" si="1042"/>
        <v>#NAME?</v>
      </c>
      <c r="CP117" s="24" t="e">
        <f t="shared" ca="1" si="1042"/>
        <v>#NAME?</v>
      </c>
      <c r="CQ117" s="24" t="e">
        <f t="shared" ca="1" si="1042"/>
        <v>#NAME?</v>
      </c>
      <c r="CR117" s="24" t="e">
        <f t="shared" ca="1" si="1042"/>
        <v>#NAME?</v>
      </c>
      <c r="CS117" s="24" t="e">
        <f t="shared" ca="1" si="1042"/>
        <v>#NAME?</v>
      </c>
      <c r="CT117" s="24" t="e">
        <f t="shared" ca="1" si="1042"/>
        <v>#NAME?</v>
      </c>
      <c r="CU117" s="24" t="e">
        <f t="shared" ca="1" si="1042"/>
        <v>#NAME?</v>
      </c>
      <c r="CV117" s="24" t="e">
        <f t="shared" ca="1" si="1042"/>
        <v>#NAME?</v>
      </c>
      <c r="CW117" s="24" t="e">
        <f t="shared" ca="1" si="1042"/>
        <v>#NAME?</v>
      </c>
      <c r="CX117" s="24" t="e">
        <f t="shared" ca="1" si="1042"/>
        <v>#NAME?</v>
      </c>
      <c r="CY117" s="24" t="e">
        <f t="shared" ca="1" si="1042"/>
        <v>#NAME?</v>
      </c>
      <c r="CZ117" s="24" t="e">
        <f t="shared" ca="1" si="1042"/>
        <v>#NAME?</v>
      </c>
      <c r="DA117" s="24" t="e">
        <f t="shared" ca="1" si="1042"/>
        <v>#NAME?</v>
      </c>
      <c r="DB117" s="24" t="e">
        <f t="shared" ca="1" si="1042"/>
        <v>#NAME?</v>
      </c>
      <c r="DE117" s="123"/>
      <c r="DF117" s="23">
        <v>79.364000000000004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43">+CP118</f>
        <v>#NAME?</v>
      </c>
      <c r="AC118" s="24" t="e">
        <f t="shared" ref="AC118:AC119" ca="1" si="1044">+CT118</f>
        <v>#NAME?</v>
      </c>
      <c r="AD118" s="24" t="e">
        <f t="shared" ref="AD118:AD119" ca="1" si="1045">+CX118</f>
        <v>#NAME?</v>
      </c>
      <c r="AE118" s="24" t="e">
        <f t="shared" ref="AE118:AE119" ca="1" si="1046">+DB118</f>
        <v>#NAME?</v>
      </c>
      <c r="AJ118" s="23" t="e">
        <f ca="1">+'QTR Raw'!D57</f>
        <v>#NAME?</v>
      </c>
      <c r="AK118" s="23" t="e">
        <f t="shared" ref="AK118:CE118" ca="1" si="1047">+AJ118</f>
        <v>#NAME?</v>
      </c>
      <c r="AL118" s="23" t="e">
        <f ca="1">+'QTR Raw'!F57</f>
        <v>#NAME?</v>
      </c>
      <c r="AM118" s="23" t="e">
        <f t="shared" ca="1" si="1047"/>
        <v>#NAME?</v>
      </c>
      <c r="AN118" s="23" t="e">
        <f ca="1">+'QTR Raw'!H57</f>
        <v>#NAME?</v>
      </c>
      <c r="AO118" s="23" t="e">
        <f t="shared" ca="1" si="1047"/>
        <v>#NAME?</v>
      </c>
      <c r="AP118" s="23" t="e">
        <f ca="1">+'QTR Raw'!J57</f>
        <v>#NAME?</v>
      </c>
      <c r="AQ118" s="23" t="e">
        <f t="shared" ca="1" si="1047"/>
        <v>#NAME?</v>
      </c>
      <c r="AR118" s="23" t="e">
        <f ca="1">+'QTR Raw'!L57</f>
        <v>#NAME?</v>
      </c>
      <c r="AS118" s="23" t="e">
        <f t="shared" ca="1" si="1047"/>
        <v>#NAME?</v>
      </c>
      <c r="AT118" s="23" t="e">
        <f ca="1">+'QTR Raw'!N57</f>
        <v>#NAME?</v>
      </c>
      <c r="AU118" s="23" t="e">
        <f t="shared" ca="1" si="1047"/>
        <v>#NAME?</v>
      </c>
      <c r="AV118" s="23" t="e">
        <f ca="1">+'QTR Raw'!P57</f>
        <v>#NAME?</v>
      </c>
      <c r="AW118" s="23" t="e">
        <f t="shared" ca="1" si="1047"/>
        <v>#NAME?</v>
      </c>
      <c r="AX118" s="23" t="e">
        <f ca="1">+'QTR Raw'!R57</f>
        <v>#NAME?</v>
      </c>
      <c r="AY118" s="23" t="e">
        <f t="shared" ca="1" si="1047"/>
        <v>#NAME?</v>
      </c>
      <c r="AZ118" s="23" t="e">
        <f ca="1">+'QTR Raw'!T57</f>
        <v>#NAME?</v>
      </c>
      <c r="BA118" s="23" t="e">
        <f t="shared" ca="1" si="1047"/>
        <v>#NAME?</v>
      </c>
      <c r="BB118" s="23" t="e">
        <f ca="1">+'QTR Raw'!V57</f>
        <v>#NAME?</v>
      </c>
      <c r="BC118" s="23" t="e">
        <f t="shared" ca="1" si="1047"/>
        <v>#NAME?</v>
      </c>
      <c r="BD118" s="23" t="e">
        <f ca="1">+'QTR Raw'!X57</f>
        <v>#NAME?</v>
      </c>
      <c r="BE118" s="23" t="e">
        <f t="shared" ca="1" si="1047"/>
        <v>#NAME?</v>
      </c>
      <c r="BF118" s="23" t="e">
        <f ca="1">+'QTR Raw'!Z57</f>
        <v>#NAME?</v>
      </c>
      <c r="BG118" s="23" t="e">
        <f t="shared" ca="1" si="1047"/>
        <v>#NAME?</v>
      </c>
      <c r="BH118" s="23" t="e">
        <f ca="1">+'QTR Raw'!AB57</f>
        <v>#NAME?</v>
      </c>
      <c r="BI118" s="23" t="e">
        <f t="shared" ca="1" si="1047"/>
        <v>#NAME?</v>
      </c>
      <c r="BJ118" s="23" t="e">
        <f ca="1">+'QTR Raw'!AD57</f>
        <v>#NAME?</v>
      </c>
      <c r="BK118" s="23" t="e">
        <f t="shared" ca="1" si="1047"/>
        <v>#NAME?</v>
      </c>
      <c r="BL118" s="23" t="e">
        <f ca="1">+'QTR Raw'!AF57</f>
        <v>#NAME?</v>
      </c>
      <c r="BM118" s="23" t="e">
        <f t="shared" ca="1" si="1047"/>
        <v>#NAME?</v>
      </c>
      <c r="BN118" s="23" t="e">
        <f ca="1">+'QTR Raw'!AH57</f>
        <v>#NAME?</v>
      </c>
      <c r="BO118" s="23" t="e">
        <f t="shared" ca="1" si="1047"/>
        <v>#NAME?</v>
      </c>
      <c r="BP118" s="23" t="e">
        <f ca="1">+'QTR Raw'!AJ57</f>
        <v>#NAME?</v>
      </c>
      <c r="BQ118" s="23" t="e">
        <f t="shared" ca="1" si="1047"/>
        <v>#NAME?</v>
      </c>
      <c r="BR118" s="23" t="e">
        <f ca="1">+'QTR Raw'!AL57</f>
        <v>#NAME?</v>
      </c>
      <c r="BS118" s="23" t="e">
        <f t="shared" ca="1" si="1047"/>
        <v>#NAME?</v>
      </c>
      <c r="BT118" s="23" t="e">
        <f ca="1">+'QTR Raw'!AN57</f>
        <v>#NAME?</v>
      </c>
      <c r="BU118" s="23" t="e">
        <f t="shared" ca="1" si="1047"/>
        <v>#NAME?</v>
      </c>
      <c r="BV118" s="23" t="e">
        <f ca="1">+'QTR Raw'!AP57</f>
        <v>#NAME?</v>
      </c>
      <c r="BW118" s="23" t="e">
        <f t="shared" ca="1" si="1047"/>
        <v>#NAME?</v>
      </c>
      <c r="BX118" s="23" t="e">
        <f ca="1">+'QTR Raw'!AR57</f>
        <v>#NAME?</v>
      </c>
      <c r="BY118" s="23" t="e">
        <f t="shared" ca="1" si="1047"/>
        <v>#NAME?</v>
      </c>
      <c r="BZ118" s="23" t="e">
        <f ca="1">+'QTR Raw'!AT57</f>
        <v>#NAME?</v>
      </c>
      <c r="CA118" s="23" t="e">
        <f t="shared" ca="1" si="1047"/>
        <v>#NAME?</v>
      </c>
      <c r="CB118" s="23" t="e">
        <f ca="1">+'QTR Raw'!AV57</f>
        <v>#NAME?</v>
      </c>
      <c r="CC118" s="23" t="e">
        <f t="shared" ca="1" si="1047"/>
        <v>#NAME?</v>
      </c>
      <c r="CD118" s="23" t="e">
        <f ca="1">+'QTR Raw'!AX57</f>
        <v>#NAME?</v>
      </c>
      <c r="CE118" s="23" t="e">
        <f t="shared" ca="1" si="1047"/>
        <v>#NAME?</v>
      </c>
      <c r="CF118" s="23" t="e">
        <f ca="1">+'QTR Raw'!AZ57</f>
        <v>#NAME?</v>
      </c>
      <c r="CG118" s="23" t="e">
        <f t="shared" ca="1" si="1041"/>
        <v>#NAME?</v>
      </c>
      <c r="CH118" s="23" t="e">
        <f t="shared" ref="CH118:CH119" ca="1" si="1048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49">CJ118</f>
        <v>#NAME?</v>
      </c>
      <c r="CL118" s="23" t="e">
        <f ca="1">+'QTR Raw'!BF57</f>
        <v>#NAME?</v>
      </c>
      <c r="CM118" s="24" t="e">
        <f t="shared" ca="1" si="1049"/>
        <v>#NAME?</v>
      </c>
      <c r="CN118" s="24" t="e">
        <f t="shared" ca="1" si="1049"/>
        <v>#NAME?</v>
      </c>
      <c r="CO118" s="24" t="e">
        <f t="shared" ca="1" si="1049"/>
        <v>#NAME?</v>
      </c>
      <c r="CP118" s="24" t="e">
        <f t="shared" ca="1" si="1049"/>
        <v>#NAME?</v>
      </c>
      <c r="CQ118" s="24" t="e">
        <f t="shared" ca="1" si="1049"/>
        <v>#NAME?</v>
      </c>
      <c r="CR118" s="24" t="e">
        <f t="shared" ca="1" si="1049"/>
        <v>#NAME?</v>
      </c>
      <c r="CS118" s="24" t="e">
        <f t="shared" ca="1" si="1049"/>
        <v>#NAME?</v>
      </c>
      <c r="CT118" s="24" t="e">
        <f t="shared" ca="1" si="1049"/>
        <v>#NAME?</v>
      </c>
      <c r="CU118" s="24" t="e">
        <f t="shared" ca="1" si="1049"/>
        <v>#NAME?</v>
      </c>
      <c r="CV118" s="24" t="e">
        <f t="shared" ca="1" si="1049"/>
        <v>#NAME?</v>
      </c>
      <c r="CW118" s="24" t="e">
        <f t="shared" ca="1" si="1049"/>
        <v>#NAME?</v>
      </c>
      <c r="CX118" s="24" t="e">
        <f t="shared" ca="1" si="1049"/>
        <v>#NAME?</v>
      </c>
      <c r="CY118" s="24" t="e">
        <f t="shared" ca="1" si="1049"/>
        <v>#NAME?</v>
      </c>
      <c r="CZ118" s="24" t="e">
        <f t="shared" ca="1" si="1049"/>
        <v>#NAME?</v>
      </c>
      <c r="DA118" s="24" t="e">
        <f t="shared" ca="1" si="1049"/>
        <v>#NAME?</v>
      </c>
      <c r="DB118" s="24" t="e">
        <f t="shared" ca="1" si="1049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43"/>
        <v>#NAME?</v>
      </c>
      <c r="AC119" s="24" t="e">
        <f t="shared" ca="1" si="1044"/>
        <v>#NAME?</v>
      </c>
      <c r="AD119" s="24" t="e">
        <f t="shared" ca="1" si="1045"/>
        <v>#NAME?</v>
      </c>
      <c r="AE119" s="24" t="e">
        <f t="shared" ca="1" si="1046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8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50">CJ119+CK48</f>
        <v>#NAME?</v>
      </c>
      <c r="CL119" s="23" t="e">
        <f ca="1">+'QTR Raw'!BF58</f>
        <v>#NAME?</v>
      </c>
      <c r="CM119" s="24" t="e">
        <f t="shared" ca="1" si="1050"/>
        <v>#NAME?</v>
      </c>
      <c r="CN119" s="24" t="e">
        <f t="shared" ca="1" si="1050"/>
        <v>#NAME?</v>
      </c>
      <c r="CO119" s="24" t="e">
        <f t="shared" ca="1" si="1050"/>
        <v>#NAME?</v>
      </c>
      <c r="CP119" s="24" t="e">
        <f t="shared" ca="1" si="1050"/>
        <v>#NAME?</v>
      </c>
      <c r="CQ119" s="24" t="e">
        <f t="shared" ca="1" si="1050"/>
        <v>#NAME?</v>
      </c>
      <c r="CR119" s="24" t="e">
        <f t="shared" ca="1" si="1050"/>
        <v>#NAME?</v>
      </c>
      <c r="CS119" s="24" t="e">
        <f t="shared" ca="1" si="1050"/>
        <v>#NAME?</v>
      </c>
      <c r="CT119" s="24" t="e">
        <f t="shared" ca="1" si="1050"/>
        <v>#NAME?</v>
      </c>
      <c r="CU119" s="24" t="e">
        <f t="shared" ca="1" si="1050"/>
        <v>#NAME?</v>
      </c>
      <c r="CV119" s="24" t="e">
        <f t="shared" ca="1" si="1050"/>
        <v>#NAME?</v>
      </c>
      <c r="CW119" s="24" t="e">
        <f t="shared" ca="1" si="1050"/>
        <v>#NAME?</v>
      </c>
      <c r="CX119" s="24" t="e">
        <f t="shared" ca="1" si="1050"/>
        <v>#NAME?</v>
      </c>
      <c r="CY119" s="24" t="e">
        <f t="shared" ca="1" si="1050"/>
        <v>#NAME?</v>
      </c>
      <c r="CZ119" s="24" t="e">
        <f t="shared" ca="1" si="1050"/>
        <v>#NAME?</v>
      </c>
      <c r="DA119" s="24" t="e">
        <f t="shared" ca="1" si="1050"/>
        <v>#NAME?</v>
      </c>
      <c r="DB119" s="24" t="e">
        <f t="shared" ca="1" si="1050"/>
        <v>#NAME?</v>
      </c>
      <c r="DE119" s="123"/>
      <c r="DF119" s="23">
        <v>932.74400000000003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51">C117+C118+C119</f>
        <v>#NAME?</v>
      </c>
      <c r="D120" s="22" t="e">
        <f t="shared" ca="1" si="1051"/>
        <v>#NAME?</v>
      </c>
      <c r="E120" s="22" t="e">
        <f t="shared" ca="1" si="1051"/>
        <v>#NAME?</v>
      </c>
      <c r="F120" s="22" t="e">
        <f t="shared" ca="1" si="1051"/>
        <v>#NAME?</v>
      </c>
      <c r="G120" s="22" t="e">
        <f t="shared" ca="1" si="1051"/>
        <v>#NAME?</v>
      </c>
      <c r="H120" s="22" t="e">
        <f t="shared" ca="1" si="1051"/>
        <v>#NAME?</v>
      </c>
      <c r="I120" s="22" t="e">
        <f t="shared" ca="1" si="1051"/>
        <v>#NAME?</v>
      </c>
      <c r="J120" s="22" t="e">
        <f t="shared" ca="1" si="1051"/>
        <v>#NAME?</v>
      </c>
      <c r="K120" s="22" t="e">
        <f t="shared" ca="1" si="1051"/>
        <v>#NAME?</v>
      </c>
      <c r="L120" s="22" t="e">
        <f t="shared" ca="1" si="1051"/>
        <v>#NAME?</v>
      </c>
      <c r="M120" s="22" t="e">
        <f ca="1">M117+M118+M119</f>
        <v>#NAME?</v>
      </c>
      <c r="N120" s="22" t="e">
        <f t="shared" ca="1" si="1051"/>
        <v>#NAME?</v>
      </c>
      <c r="O120" s="22" t="e">
        <f t="shared" ca="1" si="1051"/>
        <v>#NAME?</v>
      </c>
      <c r="P120" s="22" t="e">
        <f t="shared" ca="1" si="1051"/>
        <v>#NAME?</v>
      </c>
      <c r="Q120" s="22" t="e">
        <f t="shared" ca="1" si="1051"/>
        <v>#NAME?</v>
      </c>
      <c r="R120" s="22" t="e">
        <f t="shared" ca="1" si="1051"/>
        <v>#NAME?</v>
      </c>
      <c r="S120" s="22" t="e">
        <f t="shared" ca="1" si="1051"/>
        <v>#NAME?</v>
      </c>
      <c r="T120" s="22" t="e">
        <f t="shared" ca="1" si="1051"/>
        <v>#NAME?</v>
      </c>
      <c r="U120" s="22" t="e">
        <f t="shared" ca="1" si="1051"/>
        <v>#NAME?</v>
      </c>
      <c r="V120" s="22" t="e">
        <f t="shared" ca="1" si="1051"/>
        <v>#NAME?</v>
      </c>
      <c r="W120" s="22" t="e">
        <f t="shared" ref="W120" ca="1" si="1052">W117+W118+W119</f>
        <v>#NAME?</v>
      </c>
      <c r="X120" s="22" t="e">
        <f t="shared" ref="X120:Y120" ca="1" si="1053">X117+X118+X119</f>
        <v>#NAME?</v>
      </c>
      <c r="Y120" s="22" t="e">
        <f t="shared" ca="1" si="1053"/>
        <v>#NAME?</v>
      </c>
      <c r="Z120" s="22" t="e">
        <f t="shared" ref="Z120:AA120" ca="1" si="1054">Z117+Z118+Z119</f>
        <v>#NAME?</v>
      </c>
      <c r="AA120" s="22" t="e">
        <f t="shared" ca="1" si="1054"/>
        <v>#NAME?</v>
      </c>
      <c r="AB120" s="21" t="e">
        <f t="shared" ref="AA120:AD120" ca="1" si="1055">AB117+AB118+AB119</f>
        <v>#NAME?</v>
      </c>
      <c r="AC120" s="21" t="e">
        <f t="shared" ca="1" si="1055"/>
        <v>#NAME?</v>
      </c>
      <c r="AD120" s="21" t="e">
        <f t="shared" ca="1" si="1055"/>
        <v>#NAME?</v>
      </c>
      <c r="AE120" s="21" t="e">
        <f t="shared" ref="AE120" ca="1" si="1056">AE117+AE118+AE119</f>
        <v>#NAME?</v>
      </c>
      <c r="AJ120" s="22" t="e">
        <f t="shared" ref="AJ120" ca="1" si="1057">AJ117+AJ118+AJ119</f>
        <v>#NAME?</v>
      </c>
      <c r="AK120" s="22" t="e">
        <f t="shared" ref="AK120" ca="1" si="1058">AK117+AK118+AK119</f>
        <v>#NAME?</v>
      </c>
      <c r="AL120" s="22" t="e">
        <f t="shared" ref="AL120:AM120" ca="1" si="1059">AL117+AL118+AL119</f>
        <v>#NAME?</v>
      </c>
      <c r="AM120" s="22" t="e">
        <f t="shared" ca="1" si="1059"/>
        <v>#NAME?</v>
      </c>
      <c r="AN120" s="22" t="e">
        <f t="shared" ref="AN120:AO120" ca="1" si="1060">AN117+AN118+AN119</f>
        <v>#NAME?</v>
      </c>
      <c r="AO120" s="22" t="e">
        <f t="shared" ca="1" si="1060"/>
        <v>#NAME?</v>
      </c>
      <c r="AP120" s="22" t="e">
        <f t="shared" ref="AP120:CE120" ca="1" si="1061">AP117+AP118+AP119</f>
        <v>#NAME?</v>
      </c>
      <c r="AQ120" s="22" t="e">
        <f t="shared" ca="1" si="1061"/>
        <v>#NAME?</v>
      </c>
      <c r="AR120" s="22" t="e">
        <f t="shared" ca="1" si="1061"/>
        <v>#NAME?</v>
      </c>
      <c r="AS120" s="22" t="e">
        <f t="shared" ca="1" si="1061"/>
        <v>#NAME?</v>
      </c>
      <c r="AT120" s="22" t="e">
        <f t="shared" ca="1" si="1061"/>
        <v>#NAME?</v>
      </c>
      <c r="AU120" s="22" t="e">
        <f t="shared" ca="1" si="1061"/>
        <v>#NAME?</v>
      </c>
      <c r="AV120" s="22" t="e">
        <f t="shared" ca="1" si="1061"/>
        <v>#NAME?</v>
      </c>
      <c r="AW120" s="22" t="e">
        <f t="shared" ca="1" si="1061"/>
        <v>#NAME?</v>
      </c>
      <c r="AX120" s="22" t="e">
        <f t="shared" ca="1" si="1061"/>
        <v>#NAME?</v>
      </c>
      <c r="AY120" s="22" t="e">
        <f t="shared" ca="1" si="1061"/>
        <v>#NAME?</v>
      </c>
      <c r="AZ120" s="22" t="e">
        <f t="shared" ca="1" si="1061"/>
        <v>#NAME?</v>
      </c>
      <c r="BA120" s="22" t="e">
        <f t="shared" ca="1" si="1061"/>
        <v>#NAME?</v>
      </c>
      <c r="BB120" s="22" t="e">
        <f t="shared" ca="1" si="1061"/>
        <v>#NAME?</v>
      </c>
      <c r="BC120" s="22" t="e">
        <f t="shared" ca="1" si="1061"/>
        <v>#NAME?</v>
      </c>
      <c r="BD120" s="22" t="e">
        <f t="shared" ca="1" si="1061"/>
        <v>#NAME?</v>
      </c>
      <c r="BE120" s="22" t="e">
        <f t="shared" ca="1" si="1061"/>
        <v>#NAME?</v>
      </c>
      <c r="BF120" s="22" t="e">
        <f t="shared" ca="1" si="1061"/>
        <v>#NAME?</v>
      </c>
      <c r="BG120" s="22" t="e">
        <f t="shared" ca="1" si="1061"/>
        <v>#NAME?</v>
      </c>
      <c r="BH120" s="22" t="e">
        <f t="shared" ca="1" si="1061"/>
        <v>#NAME?</v>
      </c>
      <c r="BI120" s="22" t="e">
        <f t="shared" ca="1" si="1061"/>
        <v>#NAME?</v>
      </c>
      <c r="BJ120" s="22" t="e">
        <f t="shared" ca="1" si="1061"/>
        <v>#NAME?</v>
      </c>
      <c r="BK120" s="22" t="e">
        <f t="shared" ca="1" si="1061"/>
        <v>#NAME?</v>
      </c>
      <c r="BL120" s="22" t="e">
        <f t="shared" ca="1" si="1061"/>
        <v>#NAME?</v>
      </c>
      <c r="BM120" s="22" t="e">
        <f t="shared" ca="1" si="1061"/>
        <v>#NAME?</v>
      </c>
      <c r="BN120" s="22" t="e">
        <f t="shared" ca="1" si="1061"/>
        <v>#NAME?</v>
      </c>
      <c r="BO120" s="22" t="e">
        <f t="shared" ca="1" si="1061"/>
        <v>#NAME?</v>
      </c>
      <c r="BP120" s="22" t="e">
        <f t="shared" ca="1" si="1061"/>
        <v>#NAME?</v>
      </c>
      <c r="BQ120" s="22" t="e">
        <f t="shared" ca="1" si="1061"/>
        <v>#NAME?</v>
      </c>
      <c r="BR120" s="22" t="e">
        <f t="shared" ca="1" si="1061"/>
        <v>#NAME?</v>
      </c>
      <c r="BS120" s="22" t="e">
        <f t="shared" ca="1" si="1061"/>
        <v>#NAME?</v>
      </c>
      <c r="BT120" s="22" t="e">
        <f t="shared" ca="1" si="1061"/>
        <v>#NAME?</v>
      </c>
      <c r="BU120" s="22" t="e">
        <f t="shared" ca="1" si="1061"/>
        <v>#NAME?</v>
      </c>
      <c r="BV120" s="22" t="e">
        <f t="shared" ca="1" si="1061"/>
        <v>#NAME?</v>
      </c>
      <c r="BW120" s="22" t="e">
        <f t="shared" ca="1" si="1061"/>
        <v>#NAME?</v>
      </c>
      <c r="BX120" s="22" t="e">
        <f t="shared" ca="1" si="1061"/>
        <v>#NAME?</v>
      </c>
      <c r="BY120" s="22" t="e">
        <f t="shared" ca="1" si="1061"/>
        <v>#NAME?</v>
      </c>
      <c r="BZ120" s="22" t="e">
        <f t="shared" ca="1" si="1061"/>
        <v>#NAME?</v>
      </c>
      <c r="CA120" s="22" t="e">
        <f t="shared" ca="1" si="1061"/>
        <v>#NAME?</v>
      </c>
      <c r="CB120" s="22" t="e">
        <f t="shared" ca="1" si="1061"/>
        <v>#NAME?</v>
      </c>
      <c r="CC120" s="22" t="e">
        <f t="shared" ca="1" si="1061"/>
        <v>#NAME?</v>
      </c>
      <c r="CD120" s="22" t="e">
        <f t="shared" ca="1" si="1061"/>
        <v>#NAME?</v>
      </c>
      <c r="CE120" s="22" t="e">
        <f t="shared" ca="1" si="1061"/>
        <v>#NAME?</v>
      </c>
      <c r="CF120" s="22" t="e">
        <f t="shared" ref="CF120:CG120" ca="1" si="1062">CF117+CF118+CF119</f>
        <v>#NAME?</v>
      </c>
      <c r="CG120" s="22" t="e">
        <f t="shared" ca="1" si="1062"/>
        <v>#NAME?</v>
      </c>
      <c r="CH120" s="22" t="e">
        <f t="shared" ref="CH120:CI120" ca="1" si="1063">CH117+CH118+CH119</f>
        <v>#NAME?</v>
      </c>
      <c r="CI120" s="22" t="e">
        <f t="shared" ca="1" si="1063"/>
        <v>#NAME?</v>
      </c>
      <c r="CJ120" s="22" t="e">
        <f t="shared" ref="CJ120:DB120" ca="1" si="1064">CJ117+CJ118+CJ119</f>
        <v>#NAME?</v>
      </c>
      <c r="CK120" s="21" t="e">
        <f t="shared" ca="1" si="1064"/>
        <v>#NAME?</v>
      </c>
      <c r="CL120" s="22" t="e">
        <f t="shared" ref="CL120" ca="1" si="1065">CL117+CL118+CL119</f>
        <v>#NAME?</v>
      </c>
      <c r="CM120" s="21" t="e">
        <f t="shared" ca="1" si="1064"/>
        <v>#NAME?</v>
      </c>
      <c r="CN120" s="21" t="e">
        <f t="shared" ca="1" si="1064"/>
        <v>#NAME?</v>
      </c>
      <c r="CO120" s="21" t="e">
        <f t="shared" ca="1" si="1064"/>
        <v>#NAME?</v>
      </c>
      <c r="CP120" s="21" t="e">
        <f t="shared" ca="1" si="1064"/>
        <v>#NAME?</v>
      </c>
      <c r="CQ120" s="21" t="e">
        <f t="shared" ca="1" si="1064"/>
        <v>#NAME?</v>
      </c>
      <c r="CR120" s="21" t="e">
        <f t="shared" ca="1" si="1064"/>
        <v>#NAME?</v>
      </c>
      <c r="CS120" s="21" t="e">
        <f t="shared" ca="1" si="1064"/>
        <v>#NAME?</v>
      </c>
      <c r="CT120" s="21" t="e">
        <f t="shared" ca="1" si="1064"/>
        <v>#NAME?</v>
      </c>
      <c r="CU120" s="21" t="e">
        <f t="shared" ca="1" si="1064"/>
        <v>#NAME?</v>
      </c>
      <c r="CV120" s="21" t="e">
        <f t="shared" ca="1" si="1064"/>
        <v>#NAME?</v>
      </c>
      <c r="CW120" s="21" t="e">
        <f t="shared" ca="1" si="1064"/>
        <v>#NAME?</v>
      </c>
      <c r="CX120" s="21" t="e">
        <f t="shared" ca="1" si="1064"/>
        <v>#NAME?</v>
      </c>
      <c r="CY120" s="21" t="e">
        <f t="shared" ca="1" si="1064"/>
        <v>#NAME?</v>
      </c>
      <c r="CZ120" s="21" t="e">
        <f t="shared" ca="1" si="1064"/>
        <v>#NAME?</v>
      </c>
      <c r="DA120" s="21" t="e">
        <f t="shared" ca="1" si="1064"/>
        <v>#NAME?</v>
      </c>
      <c r="DB120" s="21" t="e">
        <f t="shared" ca="1" si="1064"/>
        <v>#NAME?</v>
      </c>
      <c r="DE120" s="126"/>
      <c r="DF120" s="22">
        <v>1012.1080000000001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6">+AJ122</f>
        <v>#NAME?</v>
      </c>
      <c r="AL122" s="23" t="e">
        <f ca="1">+'QTR Raw'!F60</f>
        <v>#NAME?</v>
      </c>
      <c r="AM122" s="23" t="e">
        <f t="shared" ca="1" si="1066"/>
        <v>#NAME?</v>
      </c>
      <c r="AN122" s="23" t="e">
        <f ca="1">+'QTR Raw'!H60</f>
        <v>#NAME?</v>
      </c>
      <c r="AO122" s="23" t="e">
        <f t="shared" ca="1" si="1066"/>
        <v>#NAME?</v>
      </c>
      <c r="AP122" s="23" t="e">
        <f ca="1">+'QTR Raw'!J60</f>
        <v>#NAME?</v>
      </c>
      <c r="AQ122" s="23" t="e">
        <f t="shared" ca="1" si="1066"/>
        <v>#NAME?</v>
      </c>
      <c r="AR122" s="23" t="e">
        <f ca="1">+'QTR Raw'!L60</f>
        <v>#NAME?</v>
      </c>
      <c r="AS122" s="23" t="e">
        <f t="shared" ca="1" si="1066"/>
        <v>#NAME?</v>
      </c>
      <c r="AT122" s="23" t="e">
        <f ca="1">+'QTR Raw'!N60</f>
        <v>#NAME?</v>
      </c>
      <c r="AU122" s="23" t="e">
        <f t="shared" ca="1" si="1066"/>
        <v>#NAME?</v>
      </c>
      <c r="AV122" s="23" t="e">
        <f ca="1">+'QTR Raw'!P60</f>
        <v>#NAME?</v>
      </c>
      <c r="AW122" s="23" t="e">
        <f t="shared" ca="1" si="1066"/>
        <v>#NAME?</v>
      </c>
      <c r="AX122" s="23" t="e">
        <f ca="1">+'QTR Raw'!R60</f>
        <v>#NAME?</v>
      </c>
      <c r="AY122" s="23" t="e">
        <f t="shared" ca="1" si="1066"/>
        <v>#NAME?</v>
      </c>
      <c r="AZ122" s="23" t="e">
        <f ca="1">+'QTR Raw'!T60</f>
        <v>#NAME?</v>
      </c>
      <c r="BA122" s="23" t="e">
        <f t="shared" ca="1" si="1066"/>
        <v>#NAME?</v>
      </c>
      <c r="BB122" s="23" t="e">
        <f ca="1">+'QTR Raw'!V60</f>
        <v>#NAME?</v>
      </c>
      <c r="BC122" s="23" t="e">
        <f t="shared" ca="1" si="1066"/>
        <v>#NAME?</v>
      </c>
      <c r="BD122" s="23" t="e">
        <f ca="1">+'QTR Raw'!X60</f>
        <v>#NAME?</v>
      </c>
      <c r="BE122" s="23" t="e">
        <f t="shared" ca="1" si="1066"/>
        <v>#NAME?</v>
      </c>
      <c r="BF122" s="23" t="e">
        <f ca="1">+'QTR Raw'!Z60</f>
        <v>#NAME?</v>
      </c>
      <c r="BG122" s="23" t="e">
        <f t="shared" ca="1" si="1066"/>
        <v>#NAME?</v>
      </c>
      <c r="BH122" s="22" t="e">
        <f ca="1">+'QTR Raw'!AB60</f>
        <v>#NAME?</v>
      </c>
      <c r="BI122" s="23" t="e">
        <f t="shared" ca="1" si="1066"/>
        <v>#NAME?</v>
      </c>
      <c r="BJ122" s="23" t="e">
        <f ca="1">+'QTR Raw'!AD60</f>
        <v>#NAME?</v>
      </c>
      <c r="BK122" s="23" t="e">
        <f t="shared" ca="1" si="1066"/>
        <v>#NAME?</v>
      </c>
      <c r="BL122" s="23" t="e">
        <f ca="1">+'QTR Raw'!AF60</f>
        <v>#NAME?</v>
      </c>
      <c r="BM122" s="23" t="e">
        <f t="shared" ca="1" si="1066"/>
        <v>#NAME?</v>
      </c>
      <c r="BN122" s="23" t="e">
        <f ca="1">+'QTR Raw'!AH60</f>
        <v>#NAME?</v>
      </c>
      <c r="BO122" s="23" t="e">
        <f t="shared" ca="1" si="1066"/>
        <v>#NAME?</v>
      </c>
      <c r="BP122" s="23" t="e">
        <f ca="1">+'QTR Raw'!AJ60</f>
        <v>#NAME?</v>
      </c>
      <c r="BQ122" s="23" t="e">
        <f t="shared" ca="1" si="1066"/>
        <v>#NAME?</v>
      </c>
      <c r="BR122" s="23" t="e">
        <f ca="1">+'QTR Raw'!AL60</f>
        <v>#NAME?</v>
      </c>
      <c r="BS122" s="23" t="e">
        <f t="shared" ca="1" si="1066"/>
        <v>#NAME?</v>
      </c>
      <c r="BT122" s="23" t="e">
        <f ca="1">+'QTR Raw'!AN60</f>
        <v>#NAME?</v>
      </c>
      <c r="BU122" s="23" t="e">
        <f t="shared" ca="1" si="1066"/>
        <v>#NAME?</v>
      </c>
      <c r="BV122" s="23" t="e">
        <f ca="1">+'QTR Raw'!AP60</f>
        <v>#NAME?</v>
      </c>
      <c r="BW122" s="23" t="e">
        <f t="shared" ca="1" si="1066"/>
        <v>#NAME?</v>
      </c>
      <c r="BX122" s="23" t="e">
        <f ca="1">+'QTR Raw'!AR60</f>
        <v>#NAME?</v>
      </c>
      <c r="BY122" s="23" t="e">
        <f t="shared" ca="1" si="1066"/>
        <v>#NAME?</v>
      </c>
      <c r="BZ122" s="23" t="e">
        <f ca="1">+'QTR Raw'!AT60</f>
        <v>#NAME?</v>
      </c>
      <c r="CA122" s="23" t="e">
        <f t="shared" ca="1" si="1066"/>
        <v>#NAME?</v>
      </c>
      <c r="CB122" s="23" t="e">
        <f ca="1">+'QTR Raw'!AV60</f>
        <v>#NAME?</v>
      </c>
      <c r="CC122" s="23" t="e">
        <f t="shared" ca="1" si="1066"/>
        <v>#NAME?</v>
      </c>
      <c r="CD122" s="23" t="e">
        <f ca="1">+'QTR Raw'!AX60</f>
        <v>#NAME?</v>
      </c>
      <c r="CE122" s="23" t="e">
        <f t="shared" ca="1" si="1066"/>
        <v>#NAME?</v>
      </c>
      <c r="CF122" s="23" t="e">
        <f ca="1">+'QTR Raw'!AZ60</f>
        <v>#NAME?</v>
      </c>
      <c r="CG122" s="23" t="e">
        <f t="shared" ref="CG122:CI122" ca="1" si="1067">+CF122</f>
        <v>#NAME?</v>
      </c>
      <c r="CH122" s="23" t="e">
        <f t="shared" ref="CH122:CH127" ca="1" si="1068">Z122</f>
        <v>#NAME?</v>
      </c>
      <c r="CI122" s="23" t="e">
        <f t="shared" ca="1" si="1067"/>
        <v>#NAME?</v>
      </c>
      <c r="CJ122" s="23" t="e">
        <f ca="1">+'QTR Raw'!BD60</f>
        <v>#NAME?</v>
      </c>
      <c r="CK122" s="24" t="e">
        <f t="shared" ref="CK122" ca="1" si="1069">+CJ122</f>
        <v>#NAME?</v>
      </c>
      <c r="CL122" s="23" t="e">
        <f ca="1">+'QTR Raw'!BF60</f>
        <v>#NAME?</v>
      </c>
      <c r="CM122" s="24" t="e">
        <f t="shared" ref="CM122" ca="1" si="1070">+CL122</f>
        <v>#NAME?</v>
      </c>
      <c r="CN122" s="24" t="e">
        <f t="shared" ref="CN122" ca="1" si="1071">+CM122</f>
        <v>#NAME?</v>
      </c>
      <c r="CO122" s="24" t="e">
        <f t="shared" ref="CO122" ca="1" si="1072">+CN122</f>
        <v>#NAME?</v>
      </c>
      <c r="CP122" s="24" t="e">
        <f t="shared" ref="CP122" ca="1" si="1073">+CO122</f>
        <v>#NAME?</v>
      </c>
      <c r="CQ122" s="24" t="e">
        <f t="shared" ref="CQ122" ca="1" si="1074">+CP122</f>
        <v>#NAME?</v>
      </c>
      <c r="CR122" s="24" t="e">
        <f t="shared" ref="CR122" ca="1" si="1075">+CQ122</f>
        <v>#NAME?</v>
      </c>
      <c r="CS122" s="24" t="e">
        <f t="shared" ref="CS122" ca="1" si="1076">+CR122</f>
        <v>#NAME?</v>
      </c>
      <c r="CT122" s="24" t="e">
        <f t="shared" ref="CT122" ca="1" si="1077">+CS122</f>
        <v>#NAME?</v>
      </c>
      <c r="CU122" s="24" t="e">
        <f t="shared" ref="CU122" ca="1" si="1078">+CT122</f>
        <v>#NAME?</v>
      </c>
      <c r="CV122" s="24" t="e">
        <f t="shared" ref="CV122" ca="1" si="1079">+CU122</f>
        <v>#NAME?</v>
      </c>
      <c r="CW122" s="24" t="e">
        <f t="shared" ref="CW122" ca="1" si="1080">+CV122</f>
        <v>#NAME?</v>
      </c>
      <c r="CX122" s="24" t="e">
        <f t="shared" ref="CX122" ca="1" si="1081">+CW122</f>
        <v>#NAME?</v>
      </c>
      <c r="CY122" s="24" t="e">
        <f t="shared" ref="CY122" ca="1" si="1082">+CX122</f>
        <v>#NAME?</v>
      </c>
      <c r="CZ122" s="24" t="e">
        <f t="shared" ref="CZ122" ca="1" si="1083">+CY122</f>
        <v>#NAME?</v>
      </c>
      <c r="DA122" s="24" t="e">
        <f t="shared" ref="DA122" ca="1" si="1084">+CZ122</f>
        <v>#NAME?</v>
      </c>
      <c r="DB122" s="24" t="e">
        <f t="shared" ref="DB122" ca="1" si="1085">+DA122</f>
        <v>#NAME?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6">+CP124</f>
        <v>#NAME?</v>
      </c>
      <c r="AC124" s="24" t="e">
        <f t="shared" ref="AC124:AC127" ca="1" si="1087">+CT124</f>
        <v>#NAME?</v>
      </c>
      <c r="AD124" s="24" t="e">
        <f t="shared" ref="AD124:AD127" ca="1" si="1088">+CX124</f>
        <v>#NAME?</v>
      </c>
      <c r="AE124" s="24" t="e">
        <f t="shared" ref="AE124:AE127" ca="1" si="1089">+DB124</f>
        <v>#NAME?</v>
      </c>
      <c r="AJ124" s="23" t="e">
        <f ca="1">+'QTR Raw'!D62</f>
        <v>#NAME?</v>
      </c>
      <c r="AK124" s="23" t="e">
        <f t="shared" ref="AK124:CC127" ca="1" si="1090">+AJ124</f>
        <v>#NAME?</v>
      </c>
      <c r="AL124" s="23" t="e">
        <f ca="1">+'QTR Raw'!F62</f>
        <v>#NAME?</v>
      </c>
      <c r="AM124" s="23" t="e">
        <f t="shared" ca="1" si="1090"/>
        <v>#NAME?</v>
      </c>
      <c r="AN124" s="23" t="e">
        <f ca="1">+'QTR Raw'!H62</f>
        <v>#NAME?</v>
      </c>
      <c r="AO124" s="23" t="e">
        <f t="shared" ca="1" si="1090"/>
        <v>#NAME?</v>
      </c>
      <c r="AP124" s="23" t="e">
        <f ca="1">+'QTR Raw'!J62</f>
        <v>#NAME?</v>
      </c>
      <c r="AQ124" s="23" t="e">
        <f t="shared" ca="1" si="1090"/>
        <v>#NAME?</v>
      </c>
      <c r="AR124" s="23" t="e">
        <f ca="1">+'QTR Raw'!L62</f>
        <v>#NAME?</v>
      </c>
      <c r="AS124" s="23" t="e">
        <f t="shared" ca="1" si="1090"/>
        <v>#NAME?</v>
      </c>
      <c r="AT124" s="23" t="e">
        <f ca="1">+'QTR Raw'!N62</f>
        <v>#NAME?</v>
      </c>
      <c r="AU124" s="23" t="e">
        <f t="shared" ca="1" si="1090"/>
        <v>#NAME?</v>
      </c>
      <c r="AV124" s="23" t="e">
        <f ca="1">+'QTR Raw'!P62</f>
        <v>#NAME?</v>
      </c>
      <c r="AW124" s="23" t="e">
        <f t="shared" ca="1" si="1090"/>
        <v>#NAME?</v>
      </c>
      <c r="AX124" s="23" t="e">
        <f ca="1">+'QTR Raw'!R62</f>
        <v>#NAME?</v>
      </c>
      <c r="AY124" s="23" t="e">
        <f t="shared" ca="1" si="1090"/>
        <v>#NAME?</v>
      </c>
      <c r="AZ124" s="23" t="e">
        <f ca="1">+'QTR Raw'!T62</f>
        <v>#NAME?</v>
      </c>
      <c r="BA124" s="23" t="e">
        <f t="shared" ca="1" si="1090"/>
        <v>#NAME?</v>
      </c>
      <c r="BB124" s="23" t="e">
        <f ca="1">+'QTR Raw'!V62</f>
        <v>#NAME?</v>
      </c>
      <c r="BC124" s="23" t="e">
        <f t="shared" ca="1" si="1090"/>
        <v>#NAME?</v>
      </c>
      <c r="BD124" s="23" t="e">
        <f ca="1">+'QTR Raw'!X62</f>
        <v>#NAME?</v>
      </c>
      <c r="BE124" s="23" t="e">
        <f t="shared" ca="1" si="1090"/>
        <v>#NAME?</v>
      </c>
      <c r="BF124" s="23" t="e">
        <f ca="1">+'QTR Raw'!Z62</f>
        <v>#NAME?</v>
      </c>
      <c r="BG124" s="23" t="e">
        <f t="shared" ca="1" si="1090"/>
        <v>#NAME?</v>
      </c>
      <c r="BH124" s="22" t="e">
        <f ca="1">+'QTR Raw'!AB62</f>
        <v>#NAME?</v>
      </c>
      <c r="BI124" s="23" t="e">
        <f t="shared" ca="1" si="1090"/>
        <v>#NAME?</v>
      </c>
      <c r="BJ124" s="23" t="e">
        <f ca="1">+'QTR Raw'!AD62</f>
        <v>#NAME?</v>
      </c>
      <c r="BK124" s="23" t="e">
        <f t="shared" ca="1" si="1090"/>
        <v>#NAME?</v>
      </c>
      <c r="BL124" s="23" t="e">
        <f ca="1">+'QTR Raw'!AF62</f>
        <v>#NAME?</v>
      </c>
      <c r="BM124" s="23" t="e">
        <f t="shared" ca="1" si="1090"/>
        <v>#NAME?</v>
      </c>
      <c r="BN124" s="23" t="e">
        <f ca="1">+'QTR Raw'!AH62</f>
        <v>#NAME?</v>
      </c>
      <c r="BO124" s="23" t="e">
        <f t="shared" ca="1" si="1090"/>
        <v>#NAME?</v>
      </c>
      <c r="BP124" s="23" t="e">
        <f ca="1">+'QTR Raw'!AJ62</f>
        <v>#NAME?</v>
      </c>
      <c r="BQ124" s="23" t="e">
        <f t="shared" ca="1" si="1090"/>
        <v>#NAME?</v>
      </c>
      <c r="BR124" s="23" t="e">
        <f ca="1">+'QTR Raw'!AL62</f>
        <v>#NAME?</v>
      </c>
      <c r="BS124" s="23" t="e">
        <f t="shared" ca="1" si="1090"/>
        <v>#NAME?</v>
      </c>
      <c r="BT124" s="23" t="e">
        <f ca="1">+'QTR Raw'!AN62</f>
        <v>#NAME?</v>
      </c>
      <c r="BU124" s="23" t="e">
        <f t="shared" ca="1" si="1090"/>
        <v>#NAME?</v>
      </c>
      <c r="BV124" s="23" t="e">
        <f ca="1">+'QTR Raw'!AP62</f>
        <v>#NAME?</v>
      </c>
      <c r="BW124" s="23" t="e">
        <f t="shared" ca="1" si="1090"/>
        <v>#NAME?</v>
      </c>
      <c r="BX124" s="23" t="e">
        <f ca="1">+'QTR Raw'!AR62</f>
        <v>#NAME?</v>
      </c>
      <c r="BY124" s="23" t="e">
        <f t="shared" ca="1" si="1090"/>
        <v>#NAME?</v>
      </c>
      <c r="BZ124" s="23" t="e">
        <f ca="1">+'QTR Raw'!AT62</f>
        <v>#NAME?</v>
      </c>
      <c r="CA124" s="23" t="e">
        <f t="shared" ca="1" si="1090"/>
        <v>#NAME?</v>
      </c>
      <c r="CB124" s="23" t="e">
        <f ca="1">+'QTR Raw'!AV62</f>
        <v>#NAME?</v>
      </c>
      <c r="CC124" s="23" t="e">
        <f t="shared" ca="1" si="1090"/>
        <v>#NAME?</v>
      </c>
      <c r="CD124" s="23" t="e">
        <f ca="1">+'QTR Raw'!AX62</f>
        <v>#NAME?</v>
      </c>
      <c r="CE124" s="23" t="e">
        <f t="shared" ref="CE124:CE127" ca="1" si="1091">+CD124</f>
        <v>#NAME?</v>
      </c>
      <c r="CF124" s="23" t="e">
        <f ca="1">+'QTR Raw'!AZ62</f>
        <v>#NAME?</v>
      </c>
      <c r="CG124" s="23" t="e">
        <f t="shared" ref="CG124:CI127" ca="1" si="1092">+CF124</f>
        <v>#NAME?</v>
      </c>
      <c r="CH124" s="23" t="e">
        <f t="shared" ca="1" si="1068"/>
        <v>#NAME?</v>
      </c>
      <c r="CI124" s="23" t="e">
        <f t="shared" ca="1" si="1092"/>
        <v>#NAME?</v>
      </c>
      <c r="CJ124" s="23" t="e">
        <f ca="1">+'QTR Raw'!BD62</f>
        <v>#NAME?</v>
      </c>
      <c r="CK124" s="24" t="e">
        <f t="shared" ref="CK124:CK127" ca="1" si="1093">+CJ124</f>
        <v>#NAME?</v>
      </c>
      <c r="CL124" s="23" t="e">
        <f ca="1">+'QTR Raw'!BF62</f>
        <v>#NAME?</v>
      </c>
      <c r="CM124" s="24" t="e">
        <f t="shared" ref="CM124:CM127" ca="1" si="1094">+CL124</f>
        <v>#NAME?</v>
      </c>
      <c r="CN124" s="24" t="e">
        <f t="shared" ref="CN124:CN127" ca="1" si="1095">+CM124</f>
        <v>#NAME?</v>
      </c>
      <c r="CO124" s="24" t="e">
        <f t="shared" ref="CO124:CO127" ca="1" si="1096">+CN124</f>
        <v>#NAME?</v>
      </c>
      <c r="CP124" s="24" t="e">
        <f t="shared" ref="CP124:CP127" ca="1" si="1097">+CO124</f>
        <v>#NAME?</v>
      </c>
      <c r="CQ124" s="24" t="e">
        <f t="shared" ref="CQ124:CQ127" ca="1" si="1098">+CP124</f>
        <v>#NAME?</v>
      </c>
      <c r="CR124" s="24" t="e">
        <f t="shared" ref="CR124:CR127" ca="1" si="1099">+CQ124</f>
        <v>#NAME?</v>
      </c>
      <c r="CS124" s="24" t="e">
        <f t="shared" ref="CS124:CS127" ca="1" si="1100">+CR124</f>
        <v>#NAME?</v>
      </c>
      <c r="CT124" s="24" t="e">
        <f t="shared" ref="CT124:CT127" ca="1" si="1101">+CS124</f>
        <v>#NAME?</v>
      </c>
      <c r="CU124" s="24" t="e">
        <f t="shared" ref="CU124:CU127" ca="1" si="1102">+CT124</f>
        <v>#NAME?</v>
      </c>
      <c r="CV124" s="24" t="e">
        <f t="shared" ref="CV124:CV127" ca="1" si="1103">+CU124</f>
        <v>#NAME?</v>
      </c>
      <c r="CW124" s="24" t="e">
        <f t="shared" ref="CW124:CW127" ca="1" si="1104">+CV124</f>
        <v>#NAME?</v>
      </c>
      <c r="CX124" s="24" t="e">
        <f t="shared" ref="CX124:CX127" ca="1" si="1105">+CW124</f>
        <v>#NAME?</v>
      </c>
      <c r="CY124" s="24" t="e">
        <f t="shared" ref="CY124:CY127" ca="1" si="1106">+CX124</f>
        <v>#NAME?</v>
      </c>
      <c r="CZ124" s="24" t="e">
        <f t="shared" ref="CZ124:CZ127" ca="1" si="1107">+CY124</f>
        <v>#NAME?</v>
      </c>
      <c r="DA124" s="24" t="e">
        <f t="shared" ref="DA124:DA127" ca="1" si="1108">+CZ124</f>
        <v>#NAME?</v>
      </c>
      <c r="DB124" s="24" t="e">
        <f t="shared" ref="DB124:DB127" ca="1" si="1109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6"/>
        <v>#NAME?</v>
      </c>
      <c r="AC125" s="24" t="e">
        <f t="shared" ca="1" si="1087"/>
        <v>#NAME?</v>
      </c>
      <c r="AD125" s="24" t="e">
        <f t="shared" ca="1" si="1088"/>
        <v>#NAME?</v>
      </c>
      <c r="AE125" s="24" t="e">
        <f t="shared" ca="1" si="1089"/>
        <v>#NAME?</v>
      </c>
      <c r="AJ125" s="23" t="e">
        <f ca="1">+'QTR Raw'!D63</f>
        <v>#NAME?</v>
      </c>
      <c r="AK125" s="23" t="e">
        <f t="shared" ca="1" si="1090"/>
        <v>#NAME?</v>
      </c>
      <c r="AL125" s="23" t="e">
        <f ca="1">+'QTR Raw'!F63</f>
        <v>#NAME?</v>
      </c>
      <c r="AM125" s="23" t="e">
        <f t="shared" ca="1" si="1090"/>
        <v>#NAME?</v>
      </c>
      <c r="AN125" s="23" t="e">
        <f ca="1">+'QTR Raw'!H63</f>
        <v>#NAME?</v>
      </c>
      <c r="AO125" s="23" t="e">
        <f t="shared" ca="1" si="1090"/>
        <v>#NAME?</v>
      </c>
      <c r="AP125" s="23" t="e">
        <f ca="1">+'QTR Raw'!J63</f>
        <v>#NAME?</v>
      </c>
      <c r="AQ125" s="23" t="e">
        <f t="shared" ca="1" si="1090"/>
        <v>#NAME?</v>
      </c>
      <c r="AR125" s="23" t="e">
        <f ca="1">+'QTR Raw'!L63</f>
        <v>#NAME?</v>
      </c>
      <c r="AS125" s="23" t="e">
        <f t="shared" ca="1" si="1090"/>
        <v>#NAME?</v>
      </c>
      <c r="AT125" s="23" t="e">
        <f ca="1">+'QTR Raw'!N63</f>
        <v>#NAME?</v>
      </c>
      <c r="AU125" s="23" t="e">
        <f t="shared" ca="1" si="1090"/>
        <v>#NAME?</v>
      </c>
      <c r="AV125" s="23" t="e">
        <f ca="1">+'QTR Raw'!P63</f>
        <v>#NAME?</v>
      </c>
      <c r="AW125" s="23" t="e">
        <f t="shared" ca="1" si="1090"/>
        <v>#NAME?</v>
      </c>
      <c r="AX125" s="23" t="e">
        <f ca="1">+'QTR Raw'!R63</f>
        <v>#NAME?</v>
      </c>
      <c r="AY125" s="23" t="e">
        <f t="shared" ca="1" si="1090"/>
        <v>#NAME?</v>
      </c>
      <c r="AZ125" s="23" t="e">
        <f ca="1">+'QTR Raw'!T63</f>
        <v>#NAME?</v>
      </c>
      <c r="BA125" s="23" t="e">
        <f t="shared" ca="1" si="1090"/>
        <v>#NAME?</v>
      </c>
      <c r="BB125" s="23" t="e">
        <f ca="1">+'QTR Raw'!V63</f>
        <v>#NAME?</v>
      </c>
      <c r="BC125" s="23" t="e">
        <f t="shared" ca="1" si="1090"/>
        <v>#NAME?</v>
      </c>
      <c r="BD125" s="23" t="e">
        <f ca="1">+'QTR Raw'!X63</f>
        <v>#NAME?</v>
      </c>
      <c r="BE125" s="23" t="e">
        <f t="shared" ca="1" si="1090"/>
        <v>#NAME?</v>
      </c>
      <c r="BF125" s="23" t="e">
        <f ca="1">+'QTR Raw'!Z63</f>
        <v>#NAME?</v>
      </c>
      <c r="BG125" s="23" t="e">
        <f t="shared" ca="1" si="1090"/>
        <v>#NAME?</v>
      </c>
      <c r="BH125" s="23" t="e">
        <f ca="1">+'QTR Raw'!AB63</f>
        <v>#NAME?</v>
      </c>
      <c r="BI125" s="23" t="e">
        <f t="shared" ca="1" si="1090"/>
        <v>#NAME?</v>
      </c>
      <c r="BJ125" s="23" t="e">
        <f ca="1">+'QTR Raw'!AD63</f>
        <v>#NAME?</v>
      </c>
      <c r="BK125" s="23" t="e">
        <f t="shared" ca="1" si="1090"/>
        <v>#NAME?</v>
      </c>
      <c r="BL125" s="23" t="e">
        <f ca="1">+'QTR Raw'!AF63</f>
        <v>#NAME?</v>
      </c>
      <c r="BM125" s="23" t="e">
        <f t="shared" ca="1" si="1090"/>
        <v>#NAME?</v>
      </c>
      <c r="BN125" s="23" t="e">
        <f ca="1">+'QTR Raw'!AH63</f>
        <v>#NAME?</v>
      </c>
      <c r="BO125" s="23" t="e">
        <f t="shared" ca="1" si="1090"/>
        <v>#NAME?</v>
      </c>
      <c r="BP125" s="23" t="e">
        <f ca="1">+'QTR Raw'!AJ63</f>
        <v>#NAME?</v>
      </c>
      <c r="BQ125" s="23" t="e">
        <f t="shared" ca="1" si="1090"/>
        <v>#NAME?</v>
      </c>
      <c r="BR125" s="23" t="e">
        <f ca="1">+'QTR Raw'!AL63</f>
        <v>#NAME?</v>
      </c>
      <c r="BS125" s="23" t="e">
        <f t="shared" ca="1" si="1090"/>
        <v>#NAME?</v>
      </c>
      <c r="BT125" s="23" t="e">
        <f ca="1">+'QTR Raw'!AN63</f>
        <v>#NAME?</v>
      </c>
      <c r="BU125" s="23" t="e">
        <f t="shared" ca="1" si="1090"/>
        <v>#NAME?</v>
      </c>
      <c r="BV125" s="23" t="e">
        <f ca="1">+'QTR Raw'!AP63</f>
        <v>#NAME?</v>
      </c>
      <c r="BW125" s="23" t="e">
        <f t="shared" ca="1" si="1090"/>
        <v>#NAME?</v>
      </c>
      <c r="BX125" s="23" t="e">
        <f ca="1">+'QTR Raw'!AR63</f>
        <v>#NAME?</v>
      </c>
      <c r="BY125" s="23" t="e">
        <f t="shared" ca="1" si="1090"/>
        <v>#NAME?</v>
      </c>
      <c r="BZ125" s="23" t="e">
        <f ca="1">+'QTR Raw'!AT63</f>
        <v>#NAME?</v>
      </c>
      <c r="CA125" s="23" t="e">
        <f t="shared" ca="1" si="1090"/>
        <v>#NAME?</v>
      </c>
      <c r="CB125" s="23" t="e">
        <f ca="1">+'QTR Raw'!AV63</f>
        <v>#NAME?</v>
      </c>
      <c r="CC125" s="23" t="e">
        <f t="shared" ca="1" si="1090"/>
        <v>#NAME?</v>
      </c>
      <c r="CD125" s="23" t="e">
        <f ca="1">+'QTR Raw'!AX63</f>
        <v>#NAME?</v>
      </c>
      <c r="CE125" s="23" t="e">
        <f t="shared" ca="1" si="1091"/>
        <v>#NAME?</v>
      </c>
      <c r="CF125" s="23" t="e">
        <f ca="1">+'QTR Raw'!AZ63</f>
        <v>#NAME?</v>
      </c>
      <c r="CG125" s="23" t="e">
        <f t="shared" ca="1" si="1092"/>
        <v>#NAME?</v>
      </c>
      <c r="CH125" s="23" t="e">
        <f t="shared" ca="1" si="1068"/>
        <v>#NAME?</v>
      </c>
      <c r="CI125" s="23" t="e">
        <f t="shared" ca="1" si="1092"/>
        <v>#NAME?</v>
      </c>
      <c r="CJ125" s="23" t="e">
        <f ca="1">+'QTR Raw'!BD63</f>
        <v>#NAME?</v>
      </c>
      <c r="CK125" s="24" t="e">
        <f t="shared" ca="1" si="1093"/>
        <v>#NAME?</v>
      </c>
      <c r="CL125" s="23" t="e">
        <f ca="1">+'QTR Raw'!BF63</f>
        <v>#NAME?</v>
      </c>
      <c r="CM125" s="24" t="e">
        <f t="shared" ca="1" si="1094"/>
        <v>#NAME?</v>
      </c>
      <c r="CN125" s="24" t="e">
        <f t="shared" ca="1" si="1095"/>
        <v>#NAME?</v>
      </c>
      <c r="CO125" s="24" t="e">
        <f t="shared" ca="1" si="1096"/>
        <v>#NAME?</v>
      </c>
      <c r="CP125" s="24" t="e">
        <f t="shared" ca="1" si="1097"/>
        <v>#NAME?</v>
      </c>
      <c r="CQ125" s="24" t="e">
        <f t="shared" ca="1" si="1098"/>
        <v>#NAME?</v>
      </c>
      <c r="CR125" s="24" t="e">
        <f t="shared" ca="1" si="1099"/>
        <v>#NAME?</v>
      </c>
      <c r="CS125" s="24" t="e">
        <f t="shared" ca="1" si="1100"/>
        <v>#NAME?</v>
      </c>
      <c r="CT125" s="24" t="e">
        <f t="shared" ca="1" si="1101"/>
        <v>#NAME?</v>
      </c>
      <c r="CU125" s="24" t="e">
        <f t="shared" ca="1" si="1102"/>
        <v>#NAME?</v>
      </c>
      <c r="CV125" s="24" t="e">
        <f t="shared" ca="1" si="1103"/>
        <v>#NAME?</v>
      </c>
      <c r="CW125" s="24" t="e">
        <f t="shared" ca="1" si="1104"/>
        <v>#NAME?</v>
      </c>
      <c r="CX125" s="24" t="e">
        <f t="shared" ca="1" si="1105"/>
        <v>#NAME?</v>
      </c>
      <c r="CY125" s="24" t="e">
        <f t="shared" ca="1" si="1106"/>
        <v>#NAME?</v>
      </c>
      <c r="CZ125" s="24" t="e">
        <f t="shared" ca="1" si="1107"/>
        <v>#NAME?</v>
      </c>
      <c r="DA125" s="24" t="e">
        <f t="shared" ca="1" si="1108"/>
        <v>#NAME?</v>
      </c>
      <c r="DB125" s="24" t="e">
        <f t="shared" ca="1" si="1109"/>
        <v>#NAME?</v>
      </c>
      <c r="DE125" s="123"/>
      <c r="DF125" s="23">
        <v>77.825000000000003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6"/>
        <v>#NAME?</v>
      </c>
      <c r="AC126" s="24" t="e">
        <f t="shared" ca="1" si="1087"/>
        <v>#NAME?</v>
      </c>
      <c r="AD126" s="24" t="e">
        <f t="shared" ca="1" si="1088"/>
        <v>#NAME?</v>
      </c>
      <c r="AE126" s="24" t="e">
        <f t="shared" ca="1" si="1089"/>
        <v>#NAME?</v>
      </c>
      <c r="AJ126" s="23" t="e">
        <f ca="1">+'QTR Raw'!D90</f>
        <v>#NAME?</v>
      </c>
      <c r="AK126" s="23" t="e">
        <f t="shared" ca="1" si="1090"/>
        <v>#NAME?</v>
      </c>
      <c r="AL126" s="23" t="e">
        <f ca="1">+'QTR Raw'!F90</f>
        <v>#NAME?</v>
      </c>
      <c r="AM126" s="23" t="e">
        <f t="shared" ca="1" si="1090"/>
        <v>#NAME?</v>
      </c>
      <c r="AN126" s="23" t="e">
        <f ca="1">+'QTR Raw'!H90</f>
        <v>#NAME?</v>
      </c>
      <c r="AO126" s="23" t="e">
        <f t="shared" ca="1" si="1090"/>
        <v>#NAME?</v>
      </c>
      <c r="AP126" s="23" t="e">
        <f ca="1">+'QTR Raw'!J90</f>
        <v>#NAME?</v>
      </c>
      <c r="AQ126" s="23" t="e">
        <f t="shared" ca="1" si="1090"/>
        <v>#NAME?</v>
      </c>
      <c r="AR126" s="23" t="e">
        <f ca="1">+'QTR Raw'!L90</f>
        <v>#NAME?</v>
      </c>
      <c r="AS126" s="23" t="e">
        <f t="shared" ca="1" si="1090"/>
        <v>#NAME?</v>
      </c>
      <c r="AT126" s="23" t="e">
        <f ca="1">+'QTR Raw'!N90</f>
        <v>#NAME?</v>
      </c>
      <c r="AU126" s="23" t="e">
        <f t="shared" ca="1" si="1090"/>
        <v>#NAME?</v>
      </c>
      <c r="AV126" s="23" t="e">
        <f ca="1">+'QTR Raw'!P90</f>
        <v>#NAME?</v>
      </c>
      <c r="AW126" s="23" t="e">
        <f t="shared" ca="1" si="1090"/>
        <v>#NAME?</v>
      </c>
      <c r="AX126" s="23" t="e">
        <f ca="1">+'QTR Raw'!R90</f>
        <v>#NAME?</v>
      </c>
      <c r="AY126" s="23" t="e">
        <f t="shared" ca="1" si="1090"/>
        <v>#NAME?</v>
      </c>
      <c r="AZ126" s="23" t="e">
        <f ca="1">+'QTR Raw'!T90</f>
        <v>#NAME?</v>
      </c>
      <c r="BA126" s="23" t="e">
        <f t="shared" ca="1" si="1090"/>
        <v>#NAME?</v>
      </c>
      <c r="BB126" s="23" t="e">
        <f ca="1">+'QTR Raw'!V90</f>
        <v>#NAME?</v>
      </c>
      <c r="BC126" s="23" t="e">
        <f t="shared" ca="1" si="1090"/>
        <v>#NAME?</v>
      </c>
      <c r="BD126" s="23" t="e">
        <f ca="1">+'QTR Raw'!X90</f>
        <v>#NAME?</v>
      </c>
      <c r="BE126" s="23" t="e">
        <f t="shared" ca="1" si="1090"/>
        <v>#NAME?</v>
      </c>
      <c r="BF126" s="23" t="e">
        <f ca="1">+'QTR Raw'!Z90</f>
        <v>#NAME?</v>
      </c>
      <c r="BG126" s="23" t="e">
        <f t="shared" ca="1" si="1090"/>
        <v>#NAME?</v>
      </c>
      <c r="BH126" s="22" t="e">
        <f ca="1">+'QTR Raw'!AB90</f>
        <v>#NAME?</v>
      </c>
      <c r="BI126" s="23" t="e">
        <f t="shared" ca="1" si="1090"/>
        <v>#NAME?</v>
      </c>
      <c r="BJ126" s="23" t="e">
        <f ca="1">+'QTR Raw'!AD90</f>
        <v>#NAME?</v>
      </c>
      <c r="BK126" s="23" t="e">
        <f t="shared" ca="1" si="1090"/>
        <v>#NAME?</v>
      </c>
      <c r="BL126" s="23" t="e">
        <f ca="1">+'QTR Raw'!AF90</f>
        <v>#NAME?</v>
      </c>
      <c r="BM126" s="23" t="e">
        <f t="shared" ca="1" si="1090"/>
        <v>#NAME?</v>
      </c>
      <c r="BN126" s="23" t="e">
        <f ca="1">+'QTR Raw'!AH90</f>
        <v>#NAME?</v>
      </c>
      <c r="BO126" s="23" t="e">
        <f t="shared" ca="1" si="1090"/>
        <v>#NAME?</v>
      </c>
      <c r="BP126" s="23" t="e">
        <f ca="1">+'QTR Raw'!AJ90</f>
        <v>#NAME?</v>
      </c>
      <c r="BQ126" s="23" t="e">
        <f t="shared" ca="1" si="1090"/>
        <v>#NAME?</v>
      </c>
      <c r="BR126" s="23" t="e">
        <f ca="1">+'QTR Raw'!AL90</f>
        <v>#NAME?</v>
      </c>
      <c r="BS126" s="23" t="e">
        <f t="shared" ca="1" si="1090"/>
        <v>#NAME?</v>
      </c>
      <c r="BT126" s="23" t="e">
        <f ca="1">+'QTR Raw'!AN90</f>
        <v>#NAME?</v>
      </c>
      <c r="BU126" s="23" t="e">
        <f t="shared" ca="1" si="1090"/>
        <v>#NAME?</v>
      </c>
      <c r="BV126" s="23" t="e">
        <f ca="1">+'QTR Raw'!AP90</f>
        <v>#NAME?</v>
      </c>
      <c r="BW126" s="23" t="e">
        <f t="shared" ca="1" si="1090"/>
        <v>#NAME?</v>
      </c>
      <c r="BX126" s="23" t="e">
        <f ca="1">+'QTR Raw'!AR90</f>
        <v>#NAME?</v>
      </c>
      <c r="BY126" s="23" t="e">
        <f t="shared" ca="1" si="1090"/>
        <v>#NAME?</v>
      </c>
      <c r="BZ126" s="23" t="e">
        <f ca="1">+'QTR Raw'!AT90</f>
        <v>#NAME?</v>
      </c>
      <c r="CA126" s="23" t="e">
        <f t="shared" ca="1" si="1090"/>
        <v>#NAME?</v>
      </c>
      <c r="CB126" s="23" t="e">
        <f ca="1">+'QTR Raw'!AV90</f>
        <v>#NAME?</v>
      </c>
      <c r="CC126" s="23" t="e">
        <f t="shared" ca="1" si="1090"/>
        <v>#NAME?</v>
      </c>
      <c r="CD126" s="23" t="e">
        <f ca="1">+'QTR Raw'!AX90</f>
        <v>#NAME?</v>
      </c>
      <c r="CE126" s="23" t="e">
        <f t="shared" ca="1" si="1091"/>
        <v>#NAME?</v>
      </c>
      <c r="CF126" s="23" t="e">
        <f ca="1">+'QTR Raw'!AZ90</f>
        <v>#NAME?</v>
      </c>
      <c r="CG126" s="23" t="e">
        <f t="shared" ca="1" si="1092"/>
        <v>#NAME?</v>
      </c>
      <c r="CH126" s="23" t="e">
        <f ca="1">+Z126</f>
        <v>#NAME?</v>
      </c>
      <c r="CI126" s="23" t="e">
        <f t="shared" ca="1" si="1092"/>
        <v>#NAME?</v>
      </c>
      <c r="CJ126" s="23" t="e">
        <f ca="1">+'QTR Raw'!BD90</f>
        <v>#NAME?</v>
      </c>
      <c r="CK126" s="24" t="e">
        <f t="shared" ca="1" si="1093"/>
        <v>#NAME?</v>
      </c>
      <c r="CL126" s="23" t="e">
        <f ca="1">+'QTR Raw'!BF90</f>
        <v>#NAME?</v>
      </c>
      <c r="CM126" s="24" t="e">
        <f t="shared" ca="1" si="1094"/>
        <v>#NAME?</v>
      </c>
      <c r="CN126" s="24" t="e">
        <f t="shared" ca="1" si="1095"/>
        <v>#NAME?</v>
      </c>
      <c r="CO126" s="24" t="e">
        <f t="shared" ca="1" si="1096"/>
        <v>#NAME?</v>
      </c>
      <c r="CP126" s="24" t="e">
        <f t="shared" ca="1" si="1097"/>
        <v>#NAME?</v>
      </c>
      <c r="CQ126" s="24" t="e">
        <f t="shared" ca="1" si="1098"/>
        <v>#NAME?</v>
      </c>
      <c r="CR126" s="24" t="e">
        <f t="shared" ca="1" si="1099"/>
        <v>#NAME?</v>
      </c>
      <c r="CS126" s="24" t="e">
        <f t="shared" ca="1" si="1100"/>
        <v>#NAME?</v>
      </c>
      <c r="CT126" s="24" t="e">
        <f t="shared" ca="1" si="1101"/>
        <v>#NAME?</v>
      </c>
      <c r="CU126" s="24" t="e">
        <f t="shared" ca="1" si="1102"/>
        <v>#NAME?</v>
      </c>
      <c r="CV126" s="24" t="e">
        <f t="shared" ca="1" si="1103"/>
        <v>#NAME?</v>
      </c>
      <c r="CW126" s="24" t="e">
        <f t="shared" ca="1" si="1104"/>
        <v>#NAME?</v>
      </c>
      <c r="CX126" s="24" t="e">
        <f t="shared" ca="1" si="1105"/>
        <v>#NAME?</v>
      </c>
      <c r="CY126" s="24" t="e">
        <f t="shared" ca="1" si="1106"/>
        <v>#NAME?</v>
      </c>
      <c r="CZ126" s="24" t="e">
        <f t="shared" ca="1" si="1107"/>
        <v>#NAME?</v>
      </c>
      <c r="DA126" s="24" t="e">
        <f t="shared" ca="1" si="1108"/>
        <v>#NAME?</v>
      </c>
      <c r="DB126" s="24" t="e">
        <f t="shared" ca="1" si="1109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6"/>
        <v>#NAME?</v>
      </c>
      <c r="AC127" s="24" t="e">
        <f t="shared" ca="1" si="1087"/>
        <v>#NAME?</v>
      </c>
      <c r="AD127" s="24" t="e">
        <f t="shared" ca="1" si="1088"/>
        <v>#NAME?</v>
      </c>
      <c r="AE127" s="24" t="e">
        <f t="shared" ca="1" si="1089"/>
        <v>#NAME?</v>
      </c>
      <c r="AJ127" s="23" t="e">
        <f ca="1">+'QTR Raw'!D88</f>
        <v>#NAME?</v>
      </c>
      <c r="AK127" s="23" t="e">
        <f t="shared" ca="1" si="1090"/>
        <v>#NAME?</v>
      </c>
      <c r="AL127" s="23" t="e">
        <f ca="1">+'QTR Raw'!F88</f>
        <v>#NAME?</v>
      </c>
      <c r="AM127" s="23" t="e">
        <f t="shared" ca="1" si="1090"/>
        <v>#NAME?</v>
      </c>
      <c r="AN127" s="23" t="e">
        <f ca="1">+'QTR Raw'!H88</f>
        <v>#NAME?</v>
      </c>
      <c r="AO127" s="23" t="e">
        <f t="shared" ca="1" si="1090"/>
        <v>#NAME?</v>
      </c>
      <c r="AP127" s="23" t="e">
        <f ca="1">+'QTR Raw'!J88</f>
        <v>#NAME?</v>
      </c>
      <c r="AQ127" s="23" t="e">
        <f t="shared" ca="1" si="1090"/>
        <v>#NAME?</v>
      </c>
      <c r="AR127" s="23" t="e">
        <f ca="1">+'QTR Raw'!L88</f>
        <v>#NAME?</v>
      </c>
      <c r="AS127" s="23" t="e">
        <f t="shared" ca="1" si="1090"/>
        <v>#NAME?</v>
      </c>
      <c r="AT127" s="23" t="e">
        <f ca="1">+'QTR Raw'!N88</f>
        <v>#NAME?</v>
      </c>
      <c r="AU127" s="23" t="e">
        <f t="shared" ca="1" si="1090"/>
        <v>#NAME?</v>
      </c>
      <c r="AV127" s="23" t="e">
        <f ca="1">+'QTR Raw'!P88</f>
        <v>#NAME?</v>
      </c>
      <c r="AW127" s="23" t="e">
        <f t="shared" ca="1" si="1090"/>
        <v>#NAME?</v>
      </c>
      <c r="AX127" s="23" t="e">
        <f ca="1">+'QTR Raw'!R88</f>
        <v>#NAME?</v>
      </c>
      <c r="AY127" s="23" t="e">
        <f t="shared" ca="1" si="1090"/>
        <v>#NAME?</v>
      </c>
      <c r="AZ127" s="23" t="e">
        <f ca="1">+'QTR Raw'!T88</f>
        <v>#NAME?</v>
      </c>
      <c r="BA127" s="23" t="e">
        <f t="shared" ca="1" si="1090"/>
        <v>#NAME?</v>
      </c>
      <c r="BB127" s="23" t="e">
        <f ca="1">+'QTR Raw'!V88</f>
        <v>#NAME?</v>
      </c>
      <c r="BC127" s="23" t="e">
        <f t="shared" ca="1" si="1090"/>
        <v>#NAME?</v>
      </c>
      <c r="BD127" s="23" t="e">
        <f ca="1">+'QTR Raw'!X88</f>
        <v>#NAME?</v>
      </c>
      <c r="BE127" s="23" t="e">
        <f t="shared" ca="1" si="1090"/>
        <v>#NAME?</v>
      </c>
      <c r="BF127" s="23" t="e">
        <f ca="1">+'QTR Raw'!Z88</f>
        <v>#NAME?</v>
      </c>
      <c r="BG127" s="23" t="e">
        <f t="shared" ca="1" si="1090"/>
        <v>#NAME?</v>
      </c>
      <c r="BH127" s="23" t="e">
        <f ca="1">+'QTR Raw'!AB88</f>
        <v>#NAME?</v>
      </c>
      <c r="BI127" s="23" t="e">
        <f t="shared" ca="1" si="1090"/>
        <v>#NAME?</v>
      </c>
      <c r="BJ127" s="23" t="e">
        <f ca="1">+'QTR Raw'!AD88</f>
        <v>#NAME?</v>
      </c>
      <c r="BK127" s="23" t="e">
        <f t="shared" ca="1" si="1090"/>
        <v>#NAME?</v>
      </c>
      <c r="BL127" s="23" t="e">
        <f ca="1">+'QTR Raw'!AF88</f>
        <v>#NAME?</v>
      </c>
      <c r="BM127" s="23" t="e">
        <f t="shared" ca="1" si="1090"/>
        <v>#NAME?</v>
      </c>
      <c r="BN127" s="23" t="e">
        <f ca="1">+'QTR Raw'!AH88</f>
        <v>#NAME?</v>
      </c>
      <c r="BO127" s="23" t="e">
        <f t="shared" ca="1" si="1090"/>
        <v>#NAME?</v>
      </c>
      <c r="BP127" s="23" t="e">
        <f ca="1">+'QTR Raw'!AJ88</f>
        <v>#NAME?</v>
      </c>
      <c r="BQ127" s="23" t="e">
        <f t="shared" ca="1" si="1090"/>
        <v>#NAME?</v>
      </c>
      <c r="BR127" s="23" t="e">
        <f ca="1">+'QTR Raw'!AL88</f>
        <v>#NAME?</v>
      </c>
      <c r="BS127" s="23" t="e">
        <f t="shared" ca="1" si="1090"/>
        <v>#NAME?</v>
      </c>
      <c r="BT127" s="23" t="e">
        <f ca="1">+'QTR Raw'!AN88</f>
        <v>#NAME?</v>
      </c>
      <c r="BU127" s="23" t="e">
        <f t="shared" ca="1" si="1090"/>
        <v>#NAME?</v>
      </c>
      <c r="BV127" s="23" t="e">
        <f ca="1">+'QTR Raw'!AP88</f>
        <v>#NAME?</v>
      </c>
      <c r="BW127" s="23" t="e">
        <f t="shared" ca="1" si="1090"/>
        <v>#NAME?</v>
      </c>
      <c r="BX127" s="23" t="e">
        <f ca="1">+'QTR Raw'!AR88</f>
        <v>#NAME?</v>
      </c>
      <c r="BY127" s="23" t="e">
        <f t="shared" ca="1" si="1090"/>
        <v>#NAME?</v>
      </c>
      <c r="BZ127" s="23" t="e">
        <f ca="1">+'QTR Raw'!AT88</f>
        <v>#NAME?</v>
      </c>
      <c r="CA127" s="23" t="e">
        <f t="shared" ca="1" si="1090"/>
        <v>#NAME?</v>
      </c>
      <c r="CB127" s="23" t="e">
        <f ca="1">+'QTR Raw'!AV88</f>
        <v>#NAME?</v>
      </c>
      <c r="CC127" s="23" t="e">
        <f t="shared" ca="1" si="1090"/>
        <v>#NAME?</v>
      </c>
      <c r="CD127" s="23" t="e">
        <f ca="1">+'QTR Raw'!AX88</f>
        <v>#NAME?</v>
      </c>
      <c r="CE127" s="23" t="e">
        <f t="shared" ca="1" si="1091"/>
        <v>#NAME?</v>
      </c>
      <c r="CF127" s="23" t="e">
        <f ca="1">+'QTR Raw'!AZ88</f>
        <v>#NAME?</v>
      </c>
      <c r="CG127" s="23" t="e">
        <f t="shared" ca="1" si="1092"/>
        <v>#NAME?</v>
      </c>
      <c r="CH127" s="23" t="e">
        <f t="shared" ca="1" si="1068"/>
        <v>#NAME?</v>
      </c>
      <c r="CI127" s="23" t="e">
        <f t="shared" ca="1" si="1092"/>
        <v>#NAME?</v>
      </c>
      <c r="CJ127" s="23" t="e">
        <f ca="1">+'QTR Raw'!BD88</f>
        <v>#NAME?</v>
      </c>
      <c r="CK127" s="24" t="e">
        <f t="shared" ca="1" si="1093"/>
        <v>#NAME?</v>
      </c>
      <c r="CL127" s="23" t="e">
        <f ca="1">+'QTR Raw'!BF88</f>
        <v>#NAME?</v>
      </c>
      <c r="CM127" s="24" t="e">
        <f t="shared" ca="1" si="1094"/>
        <v>#NAME?</v>
      </c>
      <c r="CN127" s="24" t="e">
        <f t="shared" ca="1" si="1095"/>
        <v>#NAME?</v>
      </c>
      <c r="CO127" s="24" t="e">
        <f t="shared" ca="1" si="1096"/>
        <v>#NAME?</v>
      </c>
      <c r="CP127" s="24" t="e">
        <f t="shared" ca="1" si="1097"/>
        <v>#NAME?</v>
      </c>
      <c r="CQ127" s="24" t="e">
        <f t="shared" ca="1" si="1098"/>
        <v>#NAME?</v>
      </c>
      <c r="CR127" s="24" t="e">
        <f t="shared" ca="1" si="1099"/>
        <v>#NAME?</v>
      </c>
      <c r="CS127" s="24" t="e">
        <f t="shared" ca="1" si="1100"/>
        <v>#NAME?</v>
      </c>
      <c r="CT127" s="24" t="e">
        <f t="shared" ca="1" si="1101"/>
        <v>#NAME?</v>
      </c>
      <c r="CU127" s="24" t="e">
        <f t="shared" ca="1" si="1102"/>
        <v>#NAME?</v>
      </c>
      <c r="CV127" s="24" t="e">
        <f t="shared" ca="1" si="1103"/>
        <v>#NAME?</v>
      </c>
      <c r="CW127" s="24" t="e">
        <f t="shared" ca="1" si="1104"/>
        <v>#NAME?</v>
      </c>
      <c r="CX127" s="24" t="e">
        <f t="shared" ca="1" si="1105"/>
        <v>#NAME?</v>
      </c>
      <c r="CY127" s="24" t="e">
        <f t="shared" ca="1" si="1106"/>
        <v>#NAME?</v>
      </c>
      <c r="CZ127" s="24" t="e">
        <f t="shared" ca="1" si="1107"/>
        <v>#NAME?</v>
      </c>
      <c r="DA127" s="24" t="e">
        <f t="shared" ca="1" si="1108"/>
        <v>#NAME?</v>
      </c>
      <c r="DB127" s="24" t="e">
        <f t="shared" ca="1" si="1109"/>
        <v>#NAME?</v>
      </c>
      <c r="DE127" s="123"/>
      <c r="DF127" s="23">
        <v>28.3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10">SUM(C124:C127)</f>
        <v>#NAME?</v>
      </c>
      <c r="D128" s="22" t="e">
        <f t="shared" ca="1" si="1110"/>
        <v>#NAME?</v>
      </c>
      <c r="E128" s="22" t="e">
        <f t="shared" ca="1" si="1110"/>
        <v>#NAME?</v>
      </c>
      <c r="F128" s="22" t="e">
        <f t="shared" ca="1" si="1110"/>
        <v>#NAME?</v>
      </c>
      <c r="G128" s="22" t="e">
        <f t="shared" ca="1" si="1110"/>
        <v>#NAME?</v>
      </c>
      <c r="H128" s="22" t="e">
        <f t="shared" ca="1" si="1110"/>
        <v>#NAME?</v>
      </c>
      <c r="I128" s="22" t="e">
        <f t="shared" ca="1" si="1110"/>
        <v>#NAME?</v>
      </c>
      <c r="J128" s="22" t="e">
        <f t="shared" ca="1" si="1110"/>
        <v>#NAME?</v>
      </c>
      <c r="K128" s="22" t="e">
        <f t="shared" ca="1" si="1110"/>
        <v>#NAME?</v>
      </c>
      <c r="L128" s="22" t="e">
        <f t="shared" ca="1" si="1110"/>
        <v>#NAME?</v>
      </c>
      <c r="M128" s="22" t="e">
        <f t="shared" ca="1" si="1110"/>
        <v>#NAME?</v>
      </c>
      <c r="N128" s="22" t="e">
        <f t="shared" ca="1" si="1110"/>
        <v>#NAME?</v>
      </c>
      <c r="O128" s="22" t="e">
        <f t="shared" ca="1" si="1110"/>
        <v>#NAME?</v>
      </c>
      <c r="P128" s="22" t="e">
        <f t="shared" ca="1" si="1110"/>
        <v>#NAME?</v>
      </c>
      <c r="Q128" s="22" t="e">
        <f t="shared" ca="1" si="1110"/>
        <v>#NAME?</v>
      </c>
      <c r="R128" s="22" t="e">
        <f t="shared" ca="1" si="1110"/>
        <v>#NAME?</v>
      </c>
      <c r="S128" s="22" t="e">
        <f t="shared" ca="1" si="1110"/>
        <v>#NAME?</v>
      </c>
      <c r="T128" s="22" t="e">
        <f t="shared" ca="1" si="1110"/>
        <v>#NAME?</v>
      </c>
      <c r="U128" s="22" t="e">
        <f t="shared" ca="1" si="1110"/>
        <v>#NAME?</v>
      </c>
      <c r="V128" s="22" t="e">
        <f t="shared" ca="1" si="1110"/>
        <v>#NAME?</v>
      </c>
      <c r="W128" s="22" t="e">
        <f t="shared" ref="W128" ca="1" si="1111">SUM(W124:W127)</f>
        <v>#NAME?</v>
      </c>
      <c r="X128" s="22" t="e">
        <f t="shared" ref="X128:Y128" ca="1" si="1112">SUM(X124:X127)</f>
        <v>#NAME?</v>
      </c>
      <c r="Y128" s="22" t="e">
        <f t="shared" ca="1" si="1112"/>
        <v>#NAME?</v>
      </c>
      <c r="Z128" s="22" t="e">
        <f t="shared" ref="Z128:AA128" ca="1" si="1113">SUM(Z124:Z127)</f>
        <v>#NAME?</v>
      </c>
      <c r="AA128" s="22" t="e">
        <f t="shared" ca="1" si="1113"/>
        <v>#NAME?</v>
      </c>
      <c r="AB128" s="21" t="e">
        <f t="shared" ref="AA128:AD128" ca="1" si="1114">SUM(AB124:AB127)</f>
        <v>#NAME?</v>
      </c>
      <c r="AC128" s="21" t="e">
        <f t="shared" ca="1" si="1114"/>
        <v>#NAME?</v>
      </c>
      <c r="AD128" s="21" t="e">
        <f t="shared" ca="1" si="1114"/>
        <v>#NAME?</v>
      </c>
      <c r="AE128" s="21" t="e">
        <f t="shared" ref="AE128" ca="1" si="1115">SUM(AE124:AE127)</f>
        <v>#NAME?</v>
      </c>
      <c r="AJ128" s="22" t="e">
        <f t="shared" ref="AJ128" ca="1" si="1116">SUM(AJ124:AJ127)</f>
        <v>#NAME?</v>
      </c>
      <c r="AK128" s="22" t="e">
        <f t="shared" ref="AK128" ca="1" si="1117">SUM(AK124:AK127)</f>
        <v>#NAME?</v>
      </c>
      <c r="AL128" s="22" t="e">
        <f t="shared" ref="AL128:AM128" ca="1" si="1118">SUM(AL124:AL127)</f>
        <v>#NAME?</v>
      </c>
      <c r="AM128" s="22" t="e">
        <f t="shared" ca="1" si="1118"/>
        <v>#NAME?</v>
      </c>
      <c r="AN128" s="22" t="e">
        <f t="shared" ref="AN128:AO128" ca="1" si="1119">SUM(AN124:AN127)</f>
        <v>#NAME?</v>
      </c>
      <c r="AO128" s="22" t="e">
        <f t="shared" ca="1" si="1119"/>
        <v>#NAME?</v>
      </c>
      <c r="AP128" s="22" t="e">
        <f t="shared" ref="AP128:CE128" ca="1" si="1120">SUM(AP124:AP127)</f>
        <v>#NAME?</v>
      </c>
      <c r="AQ128" s="22" t="e">
        <f t="shared" ca="1" si="1120"/>
        <v>#NAME?</v>
      </c>
      <c r="AR128" s="22" t="e">
        <f t="shared" ca="1" si="1120"/>
        <v>#NAME?</v>
      </c>
      <c r="AS128" s="22" t="e">
        <f t="shared" ca="1" si="1120"/>
        <v>#NAME?</v>
      </c>
      <c r="AT128" s="22" t="e">
        <f t="shared" ca="1" si="1120"/>
        <v>#NAME?</v>
      </c>
      <c r="AU128" s="22" t="e">
        <f t="shared" ca="1" si="1120"/>
        <v>#NAME?</v>
      </c>
      <c r="AV128" s="22" t="e">
        <f t="shared" ca="1" si="1120"/>
        <v>#NAME?</v>
      </c>
      <c r="AW128" s="22" t="e">
        <f t="shared" ca="1" si="1120"/>
        <v>#NAME?</v>
      </c>
      <c r="AX128" s="22" t="e">
        <f t="shared" ca="1" si="1120"/>
        <v>#NAME?</v>
      </c>
      <c r="AY128" s="22" t="e">
        <f t="shared" ca="1" si="1120"/>
        <v>#NAME?</v>
      </c>
      <c r="AZ128" s="22" t="e">
        <f t="shared" ca="1" si="1120"/>
        <v>#NAME?</v>
      </c>
      <c r="BA128" s="22" t="e">
        <f t="shared" ca="1" si="1120"/>
        <v>#NAME?</v>
      </c>
      <c r="BB128" s="22" t="e">
        <f t="shared" ca="1" si="1120"/>
        <v>#NAME?</v>
      </c>
      <c r="BC128" s="22" t="e">
        <f t="shared" ca="1" si="1120"/>
        <v>#NAME?</v>
      </c>
      <c r="BD128" s="22" t="e">
        <f t="shared" ca="1" si="1120"/>
        <v>#NAME?</v>
      </c>
      <c r="BE128" s="22" t="e">
        <f t="shared" ca="1" si="1120"/>
        <v>#NAME?</v>
      </c>
      <c r="BF128" s="22" t="e">
        <f t="shared" ca="1" si="1120"/>
        <v>#NAME?</v>
      </c>
      <c r="BG128" s="22" t="e">
        <f t="shared" ca="1" si="1120"/>
        <v>#NAME?</v>
      </c>
      <c r="BH128" s="22" t="e">
        <f t="shared" ref="BH128" ca="1" si="1121">SUM(BH124:BH127)</f>
        <v>#NAME?</v>
      </c>
      <c r="BI128" s="22" t="e">
        <f t="shared" ca="1" si="1120"/>
        <v>#NAME?</v>
      </c>
      <c r="BJ128" s="22" t="e">
        <f t="shared" ca="1" si="1120"/>
        <v>#NAME?</v>
      </c>
      <c r="BK128" s="22" t="e">
        <f t="shared" ca="1" si="1120"/>
        <v>#NAME?</v>
      </c>
      <c r="BL128" s="22" t="e">
        <f t="shared" ca="1" si="1120"/>
        <v>#NAME?</v>
      </c>
      <c r="BM128" s="22" t="e">
        <f t="shared" ca="1" si="1120"/>
        <v>#NAME?</v>
      </c>
      <c r="BN128" s="22" t="e">
        <f t="shared" ca="1" si="1120"/>
        <v>#NAME?</v>
      </c>
      <c r="BO128" s="22" t="e">
        <f t="shared" ca="1" si="1120"/>
        <v>#NAME?</v>
      </c>
      <c r="BP128" s="22" t="e">
        <f t="shared" ca="1" si="1120"/>
        <v>#NAME?</v>
      </c>
      <c r="BQ128" s="22" t="e">
        <f t="shared" ca="1" si="1120"/>
        <v>#NAME?</v>
      </c>
      <c r="BR128" s="22" t="e">
        <f t="shared" ca="1" si="1120"/>
        <v>#NAME?</v>
      </c>
      <c r="BS128" s="22" t="e">
        <f t="shared" ca="1" si="1120"/>
        <v>#NAME?</v>
      </c>
      <c r="BT128" s="22" t="e">
        <f t="shared" ca="1" si="1120"/>
        <v>#NAME?</v>
      </c>
      <c r="BU128" s="22" t="e">
        <f t="shared" ca="1" si="1120"/>
        <v>#NAME?</v>
      </c>
      <c r="BV128" s="22" t="e">
        <f t="shared" ca="1" si="1120"/>
        <v>#NAME?</v>
      </c>
      <c r="BW128" s="22" t="e">
        <f t="shared" ca="1" si="1120"/>
        <v>#NAME?</v>
      </c>
      <c r="BX128" s="22" t="e">
        <f t="shared" ca="1" si="1120"/>
        <v>#NAME?</v>
      </c>
      <c r="BY128" s="22" t="e">
        <f t="shared" ca="1" si="1120"/>
        <v>#NAME?</v>
      </c>
      <c r="BZ128" s="22" t="e">
        <f t="shared" ca="1" si="1120"/>
        <v>#NAME?</v>
      </c>
      <c r="CA128" s="22" t="e">
        <f t="shared" ca="1" si="1120"/>
        <v>#NAME?</v>
      </c>
      <c r="CB128" s="22" t="e">
        <f t="shared" ca="1" si="1120"/>
        <v>#NAME?</v>
      </c>
      <c r="CC128" s="22" t="e">
        <f t="shared" ca="1" si="1120"/>
        <v>#NAME?</v>
      </c>
      <c r="CD128" s="22" t="e">
        <f t="shared" ca="1" si="1120"/>
        <v>#NAME?</v>
      </c>
      <c r="CE128" s="22" t="e">
        <f t="shared" ca="1" si="1120"/>
        <v>#NAME?</v>
      </c>
      <c r="CF128" s="22" t="e">
        <f t="shared" ref="CF128:CG128" ca="1" si="1122">SUM(CF124:CF127)</f>
        <v>#NAME?</v>
      </c>
      <c r="CG128" s="22" t="e">
        <f t="shared" ca="1" si="1122"/>
        <v>#NAME?</v>
      </c>
      <c r="CH128" s="22" t="e">
        <f t="shared" ref="CH128:CI128" ca="1" si="1123">SUM(CH124:CH127)</f>
        <v>#NAME?</v>
      </c>
      <c r="CI128" s="22" t="e">
        <f t="shared" ca="1" si="1123"/>
        <v>#NAME?</v>
      </c>
      <c r="CJ128" s="22" t="e">
        <f t="shared" ref="CJ128:DB128" ca="1" si="1124">SUM(CJ124:CJ127)</f>
        <v>#NAME?</v>
      </c>
      <c r="CK128" s="21" t="e">
        <f t="shared" ca="1" si="1124"/>
        <v>#NAME?</v>
      </c>
      <c r="CL128" s="22" t="e">
        <f t="shared" ref="CL128" ca="1" si="1125">SUM(CL124:CL127)</f>
        <v>#NAME?</v>
      </c>
      <c r="CM128" s="21" t="e">
        <f t="shared" ca="1" si="1124"/>
        <v>#NAME?</v>
      </c>
      <c r="CN128" s="21" t="e">
        <f t="shared" ca="1" si="1124"/>
        <v>#NAME?</v>
      </c>
      <c r="CO128" s="21" t="e">
        <f t="shared" ca="1" si="1124"/>
        <v>#NAME?</v>
      </c>
      <c r="CP128" s="21" t="e">
        <f t="shared" ca="1" si="1124"/>
        <v>#NAME?</v>
      </c>
      <c r="CQ128" s="21" t="e">
        <f t="shared" ca="1" si="1124"/>
        <v>#NAME?</v>
      </c>
      <c r="CR128" s="21" t="e">
        <f t="shared" ca="1" si="1124"/>
        <v>#NAME?</v>
      </c>
      <c r="CS128" s="21" t="e">
        <f t="shared" ca="1" si="1124"/>
        <v>#NAME?</v>
      </c>
      <c r="CT128" s="21" t="e">
        <f t="shared" ca="1" si="1124"/>
        <v>#NAME?</v>
      </c>
      <c r="CU128" s="21" t="e">
        <f t="shared" ca="1" si="1124"/>
        <v>#NAME?</v>
      </c>
      <c r="CV128" s="21" t="e">
        <f t="shared" ca="1" si="1124"/>
        <v>#NAME?</v>
      </c>
      <c r="CW128" s="21" t="e">
        <f t="shared" ca="1" si="1124"/>
        <v>#NAME?</v>
      </c>
      <c r="CX128" s="21" t="e">
        <f t="shared" ca="1" si="1124"/>
        <v>#NAME?</v>
      </c>
      <c r="CY128" s="21" t="e">
        <f t="shared" ca="1" si="1124"/>
        <v>#NAME?</v>
      </c>
      <c r="CZ128" s="21" t="e">
        <f t="shared" ca="1" si="1124"/>
        <v>#NAME?</v>
      </c>
      <c r="DA128" s="21" t="e">
        <f t="shared" ca="1" si="1124"/>
        <v>#NAME?</v>
      </c>
      <c r="DB128" s="21" t="e">
        <f t="shared" ca="1" si="1124"/>
        <v>#NAME?</v>
      </c>
      <c r="DE128" s="126"/>
      <c r="DF128" s="22">
        <v>106.125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6">C128+C120+C122</f>
        <v>#NAME?</v>
      </c>
      <c r="D129" s="26" t="e">
        <f ca="1">D128+D120+D122</f>
        <v>#NAME?</v>
      </c>
      <c r="E129" s="26" t="e">
        <f t="shared" ca="1" si="1126"/>
        <v>#NAME?</v>
      </c>
      <c r="F129" s="26" t="e">
        <f t="shared" ca="1" si="1126"/>
        <v>#NAME?</v>
      </c>
      <c r="G129" s="26" t="e">
        <f t="shared" ca="1" si="1126"/>
        <v>#NAME?</v>
      </c>
      <c r="H129" s="26" t="e">
        <f t="shared" ca="1" si="1126"/>
        <v>#NAME?</v>
      </c>
      <c r="I129" s="26" t="e">
        <f t="shared" ca="1" si="1126"/>
        <v>#NAME?</v>
      </c>
      <c r="J129" s="26" t="e">
        <f t="shared" ca="1" si="1126"/>
        <v>#NAME?</v>
      </c>
      <c r="K129" s="26" t="e">
        <f t="shared" ca="1" si="1126"/>
        <v>#NAME?</v>
      </c>
      <c r="L129" s="26" t="e">
        <f t="shared" ca="1" si="1126"/>
        <v>#NAME?</v>
      </c>
      <c r="M129" s="26" t="e">
        <f t="shared" ca="1" si="1126"/>
        <v>#NAME?</v>
      </c>
      <c r="N129" s="26" t="e">
        <f t="shared" ca="1" si="1126"/>
        <v>#NAME?</v>
      </c>
      <c r="O129" s="26" t="e">
        <f t="shared" ca="1" si="1126"/>
        <v>#NAME?</v>
      </c>
      <c r="P129" s="26" t="e">
        <f t="shared" ca="1" si="1126"/>
        <v>#NAME?</v>
      </c>
      <c r="Q129" s="26" t="e">
        <f t="shared" ca="1" si="1126"/>
        <v>#NAME?</v>
      </c>
      <c r="R129" s="26" t="e">
        <f t="shared" ca="1" si="1126"/>
        <v>#NAME?</v>
      </c>
      <c r="S129" s="26" t="e">
        <f t="shared" ca="1" si="1126"/>
        <v>#NAME?</v>
      </c>
      <c r="T129" s="26" t="e">
        <f t="shared" ca="1" si="1126"/>
        <v>#NAME?</v>
      </c>
      <c r="U129" s="26" t="e">
        <f t="shared" ca="1" si="1126"/>
        <v>#NAME?</v>
      </c>
      <c r="V129" s="26" t="e">
        <f t="shared" ca="1" si="1126"/>
        <v>#NAME?</v>
      </c>
      <c r="W129" s="26" t="e">
        <f t="shared" ref="W129" ca="1" si="1127">W128+W120+W122</f>
        <v>#NAME?</v>
      </c>
      <c r="X129" s="26" t="e">
        <f t="shared" ref="X129:Y129" ca="1" si="1128">X128+X120+X122</f>
        <v>#NAME?</v>
      </c>
      <c r="Y129" s="26" t="e">
        <f t="shared" ca="1" si="1128"/>
        <v>#NAME?</v>
      </c>
      <c r="Z129" s="26" t="e">
        <f t="shared" ref="Z129:AA129" ca="1" si="1129">Z128+Z120+Z122</f>
        <v>#NAME?</v>
      </c>
      <c r="AA129" s="26" t="e">
        <f t="shared" ca="1" si="1129"/>
        <v>#NAME?</v>
      </c>
      <c r="AB129" s="27" t="e">
        <f t="shared" ref="AA129:AD129" ca="1" si="1130">AB128+AB120+AB122</f>
        <v>#NAME?</v>
      </c>
      <c r="AC129" s="27" t="e">
        <f t="shared" ca="1" si="1130"/>
        <v>#NAME?</v>
      </c>
      <c r="AD129" s="27" t="e">
        <f t="shared" ca="1" si="1130"/>
        <v>#NAME?</v>
      </c>
      <c r="AE129" s="27" t="e">
        <f t="shared" ref="AE129" ca="1" si="1131">AE128+AE120+AE122</f>
        <v>#NAME?</v>
      </c>
      <c r="AJ129" s="26" t="e">
        <f t="shared" ref="AJ129" ca="1" si="1132">AJ128+AJ120+AJ122</f>
        <v>#NAME?</v>
      </c>
      <c r="AK129" s="26" t="e">
        <f t="shared" ref="AK129" ca="1" si="1133">AK128+AK120+AK122</f>
        <v>#NAME?</v>
      </c>
      <c r="AL129" s="26" t="e">
        <f t="shared" ref="AL129" ca="1" si="1134">AL128+AL120+AL122</f>
        <v>#NAME?</v>
      </c>
      <c r="AM129" s="26" t="e">
        <f t="shared" ref="AM129:AO129" ca="1" si="1135">AM128+AM120+AM122</f>
        <v>#NAME?</v>
      </c>
      <c r="AN129" s="26" t="e">
        <f t="shared" ca="1" si="1135"/>
        <v>#NAME?</v>
      </c>
      <c r="AO129" s="26" t="e">
        <f t="shared" ca="1" si="1135"/>
        <v>#NAME?</v>
      </c>
      <c r="AP129" s="26" t="e">
        <f t="shared" ref="AP129:CE129" ca="1" si="1136">AP128+AP120+AP122</f>
        <v>#NAME?</v>
      </c>
      <c r="AQ129" s="26" t="e">
        <f t="shared" ca="1" si="1136"/>
        <v>#NAME?</v>
      </c>
      <c r="AR129" s="26" t="e">
        <f t="shared" ca="1" si="1136"/>
        <v>#NAME?</v>
      </c>
      <c r="AS129" s="26" t="e">
        <f t="shared" ca="1" si="1136"/>
        <v>#NAME?</v>
      </c>
      <c r="AT129" s="26" t="e">
        <f t="shared" ca="1" si="1136"/>
        <v>#NAME?</v>
      </c>
      <c r="AU129" s="26" t="e">
        <f t="shared" ca="1" si="1136"/>
        <v>#NAME?</v>
      </c>
      <c r="AV129" s="26" t="e">
        <f t="shared" ca="1" si="1136"/>
        <v>#NAME?</v>
      </c>
      <c r="AW129" s="26" t="e">
        <f t="shared" ca="1" si="1136"/>
        <v>#NAME?</v>
      </c>
      <c r="AX129" s="26" t="e">
        <f t="shared" ca="1" si="1136"/>
        <v>#NAME?</v>
      </c>
      <c r="AY129" s="26" t="e">
        <f t="shared" ca="1" si="1136"/>
        <v>#NAME?</v>
      </c>
      <c r="AZ129" s="26" t="e">
        <f t="shared" ca="1" si="1136"/>
        <v>#NAME?</v>
      </c>
      <c r="BA129" s="26" t="e">
        <f t="shared" ca="1" si="1136"/>
        <v>#NAME?</v>
      </c>
      <c r="BB129" s="26" t="e">
        <f t="shared" ca="1" si="1136"/>
        <v>#NAME?</v>
      </c>
      <c r="BC129" s="26" t="e">
        <f t="shared" ca="1" si="1136"/>
        <v>#NAME?</v>
      </c>
      <c r="BD129" s="26" t="e">
        <f t="shared" ca="1" si="1136"/>
        <v>#NAME?</v>
      </c>
      <c r="BE129" s="26" t="e">
        <f t="shared" ca="1" si="1136"/>
        <v>#NAME?</v>
      </c>
      <c r="BF129" s="26" t="e">
        <f t="shared" ca="1" si="1136"/>
        <v>#NAME?</v>
      </c>
      <c r="BG129" s="26" t="e">
        <f t="shared" ca="1" si="1136"/>
        <v>#NAME?</v>
      </c>
      <c r="BH129" s="26" t="e">
        <f t="shared" ref="BH129" ca="1" si="1137">BH128+BH120+BH122</f>
        <v>#NAME?</v>
      </c>
      <c r="BI129" s="26" t="e">
        <f t="shared" ca="1" si="1136"/>
        <v>#NAME?</v>
      </c>
      <c r="BJ129" s="26" t="e">
        <f t="shared" ca="1" si="1136"/>
        <v>#NAME?</v>
      </c>
      <c r="BK129" s="26" t="e">
        <f t="shared" ca="1" si="1136"/>
        <v>#NAME?</v>
      </c>
      <c r="BL129" s="26" t="e">
        <f t="shared" ca="1" si="1136"/>
        <v>#NAME?</v>
      </c>
      <c r="BM129" s="26" t="e">
        <f t="shared" ca="1" si="1136"/>
        <v>#NAME?</v>
      </c>
      <c r="BN129" s="26" t="e">
        <f t="shared" ca="1" si="1136"/>
        <v>#NAME?</v>
      </c>
      <c r="BO129" s="26" t="e">
        <f t="shared" ca="1" si="1136"/>
        <v>#NAME?</v>
      </c>
      <c r="BP129" s="26" t="e">
        <f t="shared" ca="1" si="1136"/>
        <v>#NAME?</v>
      </c>
      <c r="BQ129" s="26" t="e">
        <f t="shared" ca="1" si="1136"/>
        <v>#NAME?</v>
      </c>
      <c r="BR129" s="26" t="e">
        <f t="shared" ca="1" si="1136"/>
        <v>#NAME?</v>
      </c>
      <c r="BS129" s="26" t="e">
        <f t="shared" ca="1" si="1136"/>
        <v>#NAME?</v>
      </c>
      <c r="BT129" s="26" t="e">
        <f t="shared" ca="1" si="1136"/>
        <v>#NAME?</v>
      </c>
      <c r="BU129" s="26" t="e">
        <f t="shared" ca="1" si="1136"/>
        <v>#NAME?</v>
      </c>
      <c r="BV129" s="26" t="e">
        <f t="shared" ca="1" si="1136"/>
        <v>#NAME?</v>
      </c>
      <c r="BW129" s="26" t="e">
        <f t="shared" ca="1" si="1136"/>
        <v>#NAME?</v>
      </c>
      <c r="BX129" s="26" t="e">
        <f t="shared" ca="1" si="1136"/>
        <v>#NAME?</v>
      </c>
      <c r="BY129" s="26" t="e">
        <f t="shared" ca="1" si="1136"/>
        <v>#NAME?</v>
      </c>
      <c r="BZ129" s="26" t="e">
        <f t="shared" ca="1" si="1136"/>
        <v>#NAME?</v>
      </c>
      <c r="CA129" s="26" t="e">
        <f t="shared" ca="1" si="1136"/>
        <v>#NAME?</v>
      </c>
      <c r="CB129" s="26" t="e">
        <f t="shared" ca="1" si="1136"/>
        <v>#NAME?</v>
      </c>
      <c r="CC129" s="26" t="e">
        <f t="shared" ca="1" si="1136"/>
        <v>#NAME?</v>
      </c>
      <c r="CD129" s="26" t="e">
        <f t="shared" ca="1" si="1136"/>
        <v>#NAME?</v>
      </c>
      <c r="CE129" s="26" t="e">
        <f t="shared" ca="1" si="1136"/>
        <v>#NAME?</v>
      </c>
      <c r="CF129" s="26" t="e">
        <f t="shared" ref="CF129:CG129" ca="1" si="1138">CF128+CF120+CF122</f>
        <v>#NAME?</v>
      </c>
      <c r="CG129" s="26" t="e">
        <f t="shared" ca="1" si="1138"/>
        <v>#NAME?</v>
      </c>
      <c r="CH129" s="26" t="e">
        <f t="shared" ref="CH129:CI129" ca="1" si="1139">CH128+CH120+CH122</f>
        <v>#NAME?</v>
      </c>
      <c r="CI129" s="26" t="e">
        <f t="shared" ca="1" si="1139"/>
        <v>#NAME?</v>
      </c>
      <c r="CJ129" s="26" t="e">
        <f t="shared" ref="CJ129:DB129" ca="1" si="1140">CJ128+CJ120+CJ122</f>
        <v>#NAME?</v>
      </c>
      <c r="CK129" s="27" t="e">
        <f t="shared" ca="1" si="1140"/>
        <v>#NAME?</v>
      </c>
      <c r="CL129" s="26" t="e">
        <f t="shared" ref="CL129" ca="1" si="1141">CL128+CL120+CL122</f>
        <v>#NAME?</v>
      </c>
      <c r="CM129" s="27" t="e">
        <f t="shared" ca="1" si="1140"/>
        <v>#NAME?</v>
      </c>
      <c r="CN129" s="27" t="e">
        <f t="shared" ca="1" si="1140"/>
        <v>#NAME?</v>
      </c>
      <c r="CO129" s="27" t="e">
        <f t="shared" ca="1" si="1140"/>
        <v>#NAME?</v>
      </c>
      <c r="CP129" s="27" t="e">
        <f t="shared" ca="1" si="1140"/>
        <v>#NAME?</v>
      </c>
      <c r="CQ129" s="27" t="e">
        <f t="shared" ca="1" si="1140"/>
        <v>#NAME?</v>
      </c>
      <c r="CR129" s="27" t="e">
        <f t="shared" ca="1" si="1140"/>
        <v>#NAME?</v>
      </c>
      <c r="CS129" s="27" t="e">
        <f t="shared" ca="1" si="1140"/>
        <v>#NAME?</v>
      </c>
      <c r="CT129" s="27" t="e">
        <f t="shared" ca="1" si="1140"/>
        <v>#NAME?</v>
      </c>
      <c r="CU129" s="27" t="e">
        <f t="shared" ca="1" si="1140"/>
        <v>#NAME?</v>
      </c>
      <c r="CV129" s="27" t="e">
        <f t="shared" ca="1" si="1140"/>
        <v>#NAME?</v>
      </c>
      <c r="CW129" s="27" t="e">
        <f t="shared" ca="1" si="1140"/>
        <v>#NAME?</v>
      </c>
      <c r="CX129" s="27" t="e">
        <f t="shared" ca="1" si="1140"/>
        <v>#NAME?</v>
      </c>
      <c r="CY129" s="27" t="e">
        <f t="shared" ca="1" si="1140"/>
        <v>#NAME?</v>
      </c>
      <c r="CZ129" s="27" t="e">
        <f t="shared" ca="1" si="1140"/>
        <v>#NAME?</v>
      </c>
      <c r="DA129" s="27" t="e">
        <f t="shared" ca="1" si="1140"/>
        <v>#NAME?</v>
      </c>
      <c r="DB129" s="27" t="e">
        <f t="shared" ca="1" si="1140"/>
        <v>#NAME?</v>
      </c>
      <c r="DE129" s="121"/>
      <c r="DF129" s="26">
        <v>1118.2330000000002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42">+CP131</f>
        <v>#NAME?</v>
      </c>
      <c r="AC131" s="24" t="e">
        <f t="shared" ref="AC131:AC137" ca="1" si="1143">+CT131</f>
        <v>#NAME?</v>
      </c>
      <c r="AD131" s="24" t="e">
        <f t="shared" ref="AD131:AD137" ca="1" si="1144">+CX131</f>
        <v>#NAME?</v>
      </c>
      <c r="AE131" s="24" t="e">
        <f t="shared" ref="AE131:AE137" ca="1" si="1145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6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ca="1">+CJ131</f>
        <v>#NAME?</v>
      </c>
      <c r="CL131" s="23" t="e">
        <f ca="1">+CL132+CL134</f>
        <v>#NAME?</v>
      </c>
      <c r="CM131" s="24" t="e">
        <f t="shared" ref="CM131:DB131" ca="1" si="1147">+CL131</f>
        <v>#NAME?</v>
      </c>
      <c r="CN131" s="24" t="e">
        <f t="shared" ca="1" si="1147"/>
        <v>#NAME?</v>
      </c>
      <c r="CO131" s="24" t="e">
        <f t="shared" ca="1" si="1147"/>
        <v>#NAME?</v>
      </c>
      <c r="CP131" s="24" t="e">
        <f t="shared" ca="1" si="1147"/>
        <v>#NAME?</v>
      </c>
      <c r="CQ131" s="24" t="e">
        <f t="shared" ca="1" si="1147"/>
        <v>#NAME?</v>
      </c>
      <c r="CR131" s="24" t="e">
        <f t="shared" ca="1" si="1147"/>
        <v>#NAME?</v>
      </c>
      <c r="CS131" s="24" t="e">
        <f t="shared" ca="1" si="1147"/>
        <v>#NAME?</v>
      </c>
      <c r="CT131" s="24" t="e">
        <f t="shared" ca="1" si="1147"/>
        <v>#NAME?</v>
      </c>
      <c r="CU131" s="24" t="e">
        <f t="shared" ca="1" si="1147"/>
        <v>#NAME?</v>
      </c>
      <c r="CV131" s="24" t="e">
        <f t="shared" ca="1" si="1147"/>
        <v>#NAME?</v>
      </c>
      <c r="CW131" s="24" t="e">
        <f t="shared" ca="1" si="1147"/>
        <v>#NAME?</v>
      </c>
      <c r="CX131" s="24" t="e">
        <f t="shared" ca="1" si="1147"/>
        <v>#NAME?</v>
      </c>
      <c r="CY131" s="24" t="e">
        <f t="shared" ca="1" si="1147"/>
        <v>#NAME?</v>
      </c>
      <c r="CZ131" s="24" t="e">
        <f t="shared" ca="1" si="1147"/>
        <v>#NAME?</v>
      </c>
      <c r="DA131" s="24" t="e">
        <f t="shared" ca="1" si="1147"/>
        <v>#NAME?</v>
      </c>
      <c r="DB131" s="24" t="e">
        <f t="shared" ca="1" si="1147"/>
        <v>#NAME?</v>
      </c>
      <c r="DE131" s="123"/>
      <c r="DF131" s="23">
        <v>428.53199999999998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42"/>
        <v>#NAME?</v>
      </c>
      <c r="AC132" s="24" t="e">
        <f t="shared" ca="1" si="1143"/>
        <v>#NAME?</v>
      </c>
      <c r="AD132" s="24" t="e">
        <f t="shared" ca="1" si="1144"/>
        <v>#NAME?</v>
      </c>
      <c r="AE132" s="24" t="e">
        <f t="shared" ca="1" si="1145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6"/>
        <v>#NAME?</v>
      </c>
      <c r="CI132" s="23" t="e">
        <f t="shared" ref="CI132:DB132" ca="1" si="1148">CH132+CI32</f>
        <v>#NAME?</v>
      </c>
      <c r="CJ132" s="23" t="e">
        <f t="shared" ca="1" si="1148"/>
        <v>#NAME?</v>
      </c>
      <c r="CK132" s="24" t="e">
        <f t="shared" ca="1" si="1148"/>
        <v>#NAME?</v>
      </c>
      <c r="CL132" s="23" t="e">
        <f t="shared" ca="1" si="1148"/>
        <v>#NAME?</v>
      </c>
      <c r="CM132" s="24" t="e">
        <f t="shared" ca="1" si="1148"/>
        <v>#NAME?</v>
      </c>
      <c r="CN132" s="24" t="e">
        <f t="shared" ca="1" si="1148"/>
        <v>#NAME?</v>
      </c>
      <c r="CO132" s="24" t="e">
        <f t="shared" ca="1" si="1148"/>
        <v>#NAME?</v>
      </c>
      <c r="CP132" s="24" t="e">
        <f t="shared" ca="1" si="1148"/>
        <v>#NAME?</v>
      </c>
      <c r="CQ132" s="24" t="e">
        <f t="shared" ca="1" si="1148"/>
        <v>#NAME?</v>
      </c>
      <c r="CR132" s="24" t="e">
        <f t="shared" ca="1" si="1148"/>
        <v>#NAME?</v>
      </c>
      <c r="CS132" s="24" t="e">
        <f t="shared" ca="1" si="1148"/>
        <v>#NAME?</v>
      </c>
      <c r="CT132" s="24" t="e">
        <f t="shared" ca="1" si="1148"/>
        <v>#NAME?</v>
      </c>
      <c r="CU132" s="24" t="e">
        <f t="shared" ca="1" si="1148"/>
        <v>#NAME?</v>
      </c>
      <c r="CV132" s="24" t="e">
        <f t="shared" ca="1" si="1148"/>
        <v>#NAME?</v>
      </c>
      <c r="CW132" s="24" t="e">
        <f t="shared" ca="1" si="1148"/>
        <v>#NAME?</v>
      </c>
      <c r="CX132" s="24" t="e">
        <f t="shared" ca="1" si="1148"/>
        <v>#NAME?</v>
      </c>
      <c r="CY132" s="24" t="e">
        <f t="shared" ca="1" si="1148"/>
        <v>#NAME?</v>
      </c>
      <c r="CZ132" s="24" t="e">
        <f t="shared" ca="1" si="1148"/>
        <v>#NAME?</v>
      </c>
      <c r="DA132" s="24" t="e">
        <f t="shared" ca="1" si="1148"/>
        <v>#NAME?</v>
      </c>
      <c r="DB132" s="24" t="e">
        <f t="shared" ca="1" si="1148"/>
        <v>#NAME?</v>
      </c>
      <c r="DE132" s="123"/>
      <c r="DF132" s="23">
        <v>201.11399999999998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42"/>
        <v>#NAME?</v>
      </c>
      <c r="AC133" s="24" t="e">
        <f t="shared" ca="1" si="1143"/>
        <v>#NAME?</v>
      </c>
      <c r="AD133" s="24" t="e">
        <f t="shared" ca="1" si="1144"/>
        <v>#NAME?</v>
      </c>
      <c r="AE133" s="24" t="e">
        <f t="shared" ca="1" si="1145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6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49">CJ133</f>
        <v>#NAME?</v>
      </c>
      <c r="CL133" s="23" t="e">
        <f ca="1">+'QTR Raw'!BF70</f>
        <v>#NAME?</v>
      </c>
      <c r="CM133" s="24" t="e">
        <f t="shared" ca="1" si="1149"/>
        <v>#NAME?</v>
      </c>
      <c r="CN133" s="24" t="e">
        <f t="shared" ca="1" si="1149"/>
        <v>#NAME?</v>
      </c>
      <c r="CO133" s="24" t="e">
        <f t="shared" ca="1" si="1149"/>
        <v>#NAME?</v>
      </c>
      <c r="CP133" s="24" t="e">
        <f t="shared" ca="1" si="1149"/>
        <v>#NAME?</v>
      </c>
      <c r="CQ133" s="24" t="e">
        <f t="shared" ca="1" si="1149"/>
        <v>#NAME?</v>
      </c>
      <c r="CR133" s="24" t="e">
        <f t="shared" ca="1" si="1149"/>
        <v>#NAME?</v>
      </c>
      <c r="CS133" s="24" t="e">
        <f t="shared" ca="1" si="1149"/>
        <v>#NAME?</v>
      </c>
      <c r="CT133" s="24" t="e">
        <f t="shared" ca="1" si="1149"/>
        <v>#NAME?</v>
      </c>
      <c r="CU133" s="24" t="e">
        <f t="shared" ca="1" si="1149"/>
        <v>#NAME?</v>
      </c>
      <c r="CV133" s="24" t="e">
        <f t="shared" ca="1" si="1149"/>
        <v>#NAME?</v>
      </c>
      <c r="CW133" s="24" t="e">
        <f t="shared" ca="1" si="1149"/>
        <v>#NAME?</v>
      </c>
      <c r="CX133" s="24" t="e">
        <f t="shared" ca="1" si="1149"/>
        <v>#NAME?</v>
      </c>
      <c r="CY133" s="24" t="e">
        <f t="shared" ca="1" si="1149"/>
        <v>#NAME?</v>
      </c>
      <c r="CZ133" s="24" t="e">
        <f t="shared" ca="1" si="1149"/>
        <v>#NAME?</v>
      </c>
      <c r="DA133" s="24" t="e">
        <f t="shared" ca="1" si="1149"/>
        <v>#NAME?</v>
      </c>
      <c r="DB133" s="24" t="e">
        <f t="shared" ca="1" si="1149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50">+C131-C132-C133</f>
        <v>#NAME?</v>
      </c>
      <c r="D134" s="22" t="e">
        <f t="shared" ca="1" si="1150"/>
        <v>#NAME?</v>
      </c>
      <c r="E134" s="22" t="e">
        <f t="shared" ca="1" si="1150"/>
        <v>#NAME?</v>
      </c>
      <c r="F134" s="22" t="e">
        <f t="shared" ca="1" si="1150"/>
        <v>#NAME?</v>
      </c>
      <c r="G134" s="22" t="e">
        <f t="shared" ca="1" si="1150"/>
        <v>#NAME?</v>
      </c>
      <c r="H134" s="22" t="e">
        <f t="shared" ca="1" si="1150"/>
        <v>#NAME?</v>
      </c>
      <c r="I134" s="22" t="e">
        <f t="shared" ca="1" si="1150"/>
        <v>#NAME?</v>
      </c>
      <c r="J134" s="22" t="e">
        <f t="shared" ca="1" si="1150"/>
        <v>#NAME?</v>
      </c>
      <c r="K134" s="22" t="e">
        <f t="shared" ca="1" si="1150"/>
        <v>#NAME?</v>
      </c>
      <c r="L134" s="22" t="e">
        <f t="shared" ca="1" si="1150"/>
        <v>#NAME?</v>
      </c>
      <c r="M134" s="22" t="e">
        <f t="shared" ca="1" si="1150"/>
        <v>#NAME?</v>
      </c>
      <c r="N134" s="22" t="e">
        <f t="shared" ca="1" si="1150"/>
        <v>#NAME?</v>
      </c>
      <c r="O134" s="22" t="e">
        <f t="shared" ca="1" si="1150"/>
        <v>#NAME?</v>
      </c>
      <c r="P134" s="22" t="e">
        <f t="shared" ca="1" si="1150"/>
        <v>#NAME?</v>
      </c>
      <c r="Q134" s="22" t="e">
        <f t="shared" ca="1" si="1150"/>
        <v>#NAME?</v>
      </c>
      <c r="R134" s="22" t="e">
        <f t="shared" ca="1" si="1150"/>
        <v>#NAME?</v>
      </c>
      <c r="S134" s="22" t="e">
        <f t="shared" ca="1" si="1150"/>
        <v>#NAME?</v>
      </c>
      <c r="T134" s="22" t="e">
        <f t="shared" ca="1" si="1150"/>
        <v>#NAME?</v>
      </c>
      <c r="U134" s="22" t="e">
        <f t="shared" ca="1" si="1150"/>
        <v>#NAME?</v>
      </c>
      <c r="V134" s="22" t="e">
        <f t="shared" ca="1" si="1150"/>
        <v>#NAME?</v>
      </c>
      <c r="W134" s="22" t="e">
        <f t="shared" ca="1" si="1150"/>
        <v>#NAME?</v>
      </c>
      <c r="X134" s="22" t="e">
        <f t="shared" ref="X134:Y134" ca="1" si="1151">+X131-X132-X133</f>
        <v>#NAME?</v>
      </c>
      <c r="Y134" s="22" t="e">
        <f t="shared" ca="1" si="1151"/>
        <v>#NAME?</v>
      </c>
      <c r="Z134" s="22" t="e">
        <f t="shared" ref="Z134:AE134" ca="1" si="1152">+Z131-Z132-Z133</f>
        <v>#NAME?</v>
      </c>
      <c r="AA134" s="22" t="e">
        <f t="shared" ref="AA134" ca="1" si="1153">+AA131-AA132-AA133</f>
        <v>#NAME?</v>
      </c>
      <c r="AB134" s="21" t="e">
        <f t="shared" ca="1" si="1152"/>
        <v>#NAME?</v>
      </c>
      <c r="AC134" s="21" t="e">
        <f t="shared" ca="1" si="1152"/>
        <v>#NAME?</v>
      </c>
      <c r="AD134" s="21" t="e">
        <f t="shared" ca="1" si="1152"/>
        <v>#NAME?</v>
      </c>
      <c r="AE134" s="21" t="e">
        <f t="shared" ca="1" si="1152"/>
        <v>#NAME?</v>
      </c>
      <c r="AJ134" s="22" t="e">
        <f t="shared" ref="AJ134:AL134" ca="1" si="1154">+AJ131-AJ132-AJ133</f>
        <v>#NAME?</v>
      </c>
      <c r="AK134" s="22" t="e">
        <f t="shared" ref="AK134:CE134" ca="1" si="1155">+AJ134</f>
        <v>#NAME?</v>
      </c>
      <c r="AL134" s="22" t="e">
        <f t="shared" ca="1" si="1154"/>
        <v>#NAME?</v>
      </c>
      <c r="AM134" s="22" t="e">
        <f t="shared" ca="1" si="1155"/>
        <v>#NAME?</v>
      </c>
      <c r="AN134" s="22" t="e">
        <f t="shared" ref="AN134" ca="1" si="1156">+AN131-AN132-AN133</f>
        <v>#NAME?</v>
      </c>
      <c r="AO134" s="22" t="e">
        <f t="shared" ca="1" si="1155"/>
        <v>#NAME?</v>
      </c>
      <c r="AP134" s="22" t="e">
        <f t="shared" ref="AP134:CD134" ca="1" si="1157">+AP131-AP132-AP133</f>
        <v>#NAME?</v>
      </c>
      <c r="AQ134" s="22" t="e">
        <f t="shared" ca="1" si="1155"/>
        <v>#NAME?</v>
      </c>
      <c r="AR134" s="22" t="e">
        <f t="shared" ca="1" si="1157"/>
        <v>#NAME?</v>
      </c>
      <c r="AS134" s="22" t="e">
        <f t="shared" ca="1" si="1155"/>
        <v>#NAME?</v>
      </c>
      <c r="AT134" s="22" t="e">
        <f t="shared" ca="1" si="1157"/>
        <v>#NAME?</v>
      </c>
      <c r="AU134" s="22" t="e">
        <f t="shared" ca="1" si="1155"/>
        <v>#NAME?</v>
      </c>
      <c r="AV134" s="22" t="e">
        <f t="shared" ca="1" si="1157"/>
        <v>#NAME?</v>
      </c>
      <c r="AW134" s="22" t="e">
        <f t="shared" ca="1" si="1155"/>
        <v>#NAME?</v>
      </c>
      <c r="AX134" s="22" t="e">
        <f t="shared" ca="1" si="1157"/>
        <v>#NAME?</v>
      </c>
      <c r="AY134" s="22" t="e">
        <f t="shared" ca="1" si="1155"/>
        <v>#NAME?</v>
      </c>
      <c r="AZ134" s="22" t="e">
        <f t="shared" ca="1" si="1157"/>
        <v>#NAME?</v>
      </c>
      <c r="BA134" s="22" t="e">
        <f t="shared" ca="1" si="1155"/>
        <v>#NAME?</v>
      </c>
      <c r="BB134" s="22" t="e">
        <f t="shared" ca="1" si="1157"/>
        <v>#NAME?</v>
      </c>
      <c r="BC134" s="22" t="e">
        <f t="shared" ca="1" si="1155"/>
        <v>#NAME?</v>
      </c>
      <c r="BD134" s="22" t="e">
        <f t="shared" ca="1" si="1157"/>
        <v>#NAME?</v>
      </c>
      <c r="BE134" s="22" t="e">
        <f t="shared" ca="1" si="1155"/>
        <v>#NAME?</v>
      </c>
      <c r="BF134" s="22" t="e">
        <f t="shared" ca="1" si="1157"/>
        <v>#NAME?</v>
      </c>
      <c r="BG134" s="22" t="e">
        <f t="shared" ca="1" si="1155"/>
        <v>#NAME?</v>
      </c>
      <c r="BH134" s="22" t="e">
        <f t="shared" ca="1" si="1157"/>
        <v>#NAME?</v>
      </c>
      <c r="BI134" s="22" t="e">
        <f t="shared" ca="1" si="1155"/>
        <v>#NAME?</v>
      </c>
      <c r="BJ134" s="22" t="e">
        <f t="shared" ca="1" si="1157"/>
        <v>#NAME?</v>
      </c>
      <c r="BK134" s="22" t="e">
        <f t="shared" ca="1" si="1155"/>
        <v>#NAME?</v>
      </c>
      <c r="BL134" s="22" t="e">
        <f t="shared" ca="1" si="1157"/>
        <v>#NAME?</v>
      </c>
      <c r="BM134" s="22" t="e">
        <f t="shared" ca="1" si="1155"/>
        <v>#NAME?</v>
      </c>
      <c r="BN134" s="22" t="e">
        <f t="shared" ca="1" si="1157"/>
        <v>#NAME?</v>
      </c>
      <c r="BO134" s="22" t="e">
        <f t="shared" ca="1" si="1155"/>
        <v>#NAME?</v>
      </c>
      <c r="BP134" s="22" t="e">
        <f t="shared" ca="1" si="1157"/>
        <v>#NAME?</v>
      </c>
      <c r="BQ134" s="22" t="e">
        <f t="shared" ca="1" si="1155"/>
        <v>#NAME?</v>
      </c>
      <c r="BR134" s="22" t="e">
        <f t="shared" ca="1" si="1157"/>
        <v>#NAME?</v>
      </c>
      <c r="BS134" s="22" t="e">
        <f t="shared" ca="1" si="1155"/>
        <v>#NAME?</v>
      </c>
      <c r="BT134" s="22" t="e">
        <f t="shared" ca="1" si="1157"/>
        <v>#NAME?</v>
      </c>
      <c r="BU134" s="22" t="e">
        <f t="shared" ca="1" si="1155"/>
        <v>#NAME?</v>
      </c>
      <c r="BV134" s="22" t="e">
        <f t="shared" ca="1" si="1157"/>
        <v>#NAME?</v>
      </c>
      <c r="BW134" s="22" t="e">
        <f t="shared" ca="1" si="1155"/>
        <v>#NAME?</v>
      </c>
      <c r="BX134" s="22" t="e">
        <f t="shared" ca="1" si="1157"/>
        <v>#NAME?</v>
      </c>
      <c r="BY134" s="22" t="e">
        <f t="shared" ca="1" si="1155"/>
        <v>#NAME?</v>
      </c>
      <c r="BZ134" s="22" t="e">
        <f t="shared" ca="1" si="1157"/>
        <v>#NAME?</v>
      </c>
      <c r="CA134" s="22" t="e">
        <f t="shared" ca="1" si="1155"/>
        <v>#NAME?</v>
      </c>
      <c r="CB134" s="22" t="e">
        <f t="shared" ca="1" si="1157"/>
        <v>#NAME?</v>
      </c>
      <c r="CC134" s="22" t="e">
        <f t="shared" ca="1" si="1155"/>
        <v>#NAME?</v>
      </c>
      <c r="CD134" s="22" t="e">
        <f t="shared" ca="1" si="1157"/>
        <v>#NAME?</v>
      </c>
      <c r="CE134" s="22" t="e">
        <f t="shared" ca="1" si="1155"/>
        <v>#NAME?</v>
      </c>
      <c r="CF134" s="22" t="e">
        <f t="shared" ref="CF134:CI134" ca="1" si="1158">+CF131-CF132-CF133</f>
        <v>#NAME?</v>
      </c>
      <c r="CG134" s="22" t="e">
        <f t="shared" ref="CG134:CI137" ca="1" si="1159">+CF134</f>
        <v>#NAME?</v>
      </c>
      <c r="CH134" s="22" t="e">
        <f t="shared" ca="1" si="1158"/>
        <v>#NAME?</v>
      </c>
      <c r="CI134" s="22" t="e">
        <f t="shared" ca="1" si="1158"/>
        <v>#NAME?</v>
      </c>
      <c r="CJ134" s="23" t="e">
        <f ca="1">+'QTR Raw'!BD68</f>
        <v>#NAME?</v>
      </c>
      <c r="CK134" s="21" t="e">
        <f t="shared" ref="CK134:DB134" ca="1" si="1160">+CK131-CK132-CK133</f>
        <v>#NAME?</v>
      </c>
      <c r="CL134" s="23" t="e">
        <f ca="1">+'QTR Raw'!BF68</f>
        <v>#NAME?</v>
      </c>
      <c r="CM134" s="21" t="e">
        <f t="shared" ca="1" si="1160"/>
        <v>#NAME?</v>
      </c>
      <c r="CN134" s="21" t="e">
        <f t="shared" ca="1" si="1160"/>
        <v>#NAME?</v>
      </c>
      <c r="CO134" s="21" t="e">
        <f t="shared" ca="1" si="1160"/>
        <v>#NAME?</v>
      </c>
      <c r="CP134" s="21" t="e">
        <f t="shared" ca="1" si="1160"/>
        <v>#NAME?</v>
      </c>
      <c r="CQ134" s="21" t="e">
        <f t="shared" ca="1" si="1160"/>
        <v>#NAME?</v>
      </c>
      <c r="CR134" s="21" t="e">
        <f t="shared" ca="1" si="1160"/>
        <v>#NAME?</v>
      </c>
      <c r="CS134" s="21" t="e">
        <f t="shared" ca="1" si="1160"/>
        <v>#NAME?</v>
      </c>
      <c r="CT134" s="21" t="e">
        <f t="shared" ca="1" si="1160"/>
        <v>#NAME?</v>
      </c>
      <c r="CU134" s="21" t="e">
        <f t="shared" ca="1" si="1160"/>
        <v>#NAME?</v>
      </c>
      <c r="CV134" s="21" t="e">
        <f t="shared" ca="1" si="1160"/>
        <v>#NAME?</v>
      </c>
      <c r="CW134" s="21" t="e">
        <f t="shared" ca="1" si="1160"/>
        <v>#NAME?</v>
      </c>
      <c r="CX134" s="21" t="e">
        <f t="shared" ca="1" si="1160"/>
        <v>#NAME?</v>
      </c>
      <c r="CY134" s="21" t="e">
        <f t="shared" ca="1" si="1160"/>
        <v>#NAME?</v>
      </c>
      <c r="CZ134" s="21" t="e">
        <f t="shared" ca="1" si="1160"/>
        <v>#NAME?</v>
      </c>
      <c r="DA134" s="21" t="e">
        <f t="shared" ca="1" si="1160"/>
        <v>#NAME?</v>
      </c>
      <c r="DB134" s="21" t="e">
        <f t="shared" ca="1" si="1160"/>
        <v>#NAME?</v>
      </c>
      <c r="DE134" s="126"/>
      <c r="DF134" s="22">
        <v>227.41800000000001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42"/>
        <v>#NAME?</v>
      </c>
      <c r="AC135" s="24" t="e">
        <f t="shared" ca="1" si="1143"/>
        <v>#NAME?</v>
      </c>
      <c r="AD135" s="24" t="e">
        <f t="shared" ca="1" si="1144"/>
        <v>#NAME?</v>
      </c>
      <c r="AE135" s="24" t="e">
        <f t="shared" ca="1" si="1145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61">+AL135</f>
        <v>#NAME?</v>
      </c>
      <c r="AN135" s="23" t="e">
        <f ca="1">+'QTR Raw'!H72</f>
        <v>#NAME?</v>
      </c>
      <c r="AO135" s="23" t="e">
        <f t="shared" ca="1" si="1161"/>
        <v>#NAME?</v>
      </c>
      <c r="AP135" s="23" t="e">
        <f ca="1">+'QTR Raw'!J72</f>
        <v>#NAME?</v>
      </c>
      <c r="AQ135" s="23" t="e">
        <f t="shared" ca="1" si="1161"/>
        <v>#NAME?</v>
      </c>
      <c r="AR135" s="23" t="e">
        <f ca="1">+'QTR Raw'!L72</f>
        <v>#NAME?</v>
      </c>
      <c r="AS135" s="23" t="e">
        <f t="shared" ca="1" si="1161"/>
        <v>#NAME?</v>
      </c>
      <c r="AT135" s="23" t="e">
        <f ca="1">+'QTR Raw'!N72</f>
        <v>#NAME?</v>
      </c>
      <c r="AU135" s="23" t="e">
        <f t="shared" ca="1" si="1161"/>
        <v>#NAME?</v>
      </c>
      <c r="AV135" s="23" t="e">
        <f ca="1">+'QTR Raw'!P72</f>
        <v>#NAME?</v>
      </c>
      <c r="AW135" s="23" t="e">
        <f t="shared" ca="1" si="1161"/>
        <v>#NAME?</v>
      </c>
      <c r="AX135" s="23" t="e">
        <f ca="1">+'QTR Raw'!R72</f>
        <v>#NAME?</v>
      </c>
      <c r="AY135" s="23" t="e">
        <f t="shared" ca="1" si="1161"/>
        <v>#NAME?</v>
      </c>
      <c r="AZ135" s="23" t="e">
        <f ca="1">+'QTR Raw'!T72</f>
        <v>#NAME?</v>
      </c>
      <c r="BA135" s="23" t="e">
        <f t="shared" ca="1" si="1161"/>
        <v>#NAME?</v>
      </c>
      <c r="BB135" s="23" t="e">
        <f ca="1">+'QTR Raw'!V72</f>
        <v>#NAME?</v>
      </c>
      <c r="BC135" s="23" t="e">
        <f t="shared" ca="1" si="1161"/>
        <v>#NAME?</v>
      </c>
      <c r="BD135" s="23" t="e">
        <f ca="1">+'QTR Raw'!X72</f>
        <v>#NAME?</v>
      </c>
      <c r="BE135" s="23" t="e">
        <f t="shared" ca="1" si="1161"/>
        <v>#NAME?</v>
      </c>
      <c r="BF135" s="23" t="e">
        <f ca="1">+'QTR Raw'!Z72</f>
        <v>#NAME?</v>
      </c>
      <c r="BG135" s="23" t="e">
        <f t="shared" ca="1" si="1161"/>
        <v>#NAME?</v>
      </c>
      <c r="BH135" s="23" t="e">
        <f ca="1">+'QTR Raw'!AB72</f>
        <v>#NAME?</v>
      </c>
      <c r="BI135" s="23" t="e">
        <f t="shared" ca="1" si="1161"/>
        <v>#NAME?</v>
      </c>
      <c r="BJ135" s="23" t="e">
        <f ca="1">+'QTR Raw'!AD72</f>
        <v>#NAME?</v>
      </c>
      <c r="BK135" s="23" t="e">
        <f t="shared" ca="1" si="1161"/>
        <v>#NAME?</v>
      </c>
      <c r="BL135" s="23" t="e">
        <f ca="1">+'QTR Raw'!AF72</f>
        <v>#NAME?</v>
      </c>
      <c r="BM135" s="23" t="e">
        <f t="shared" ca="1" si="1161"/>
        <v>#NAME?</v>
      </c>
      <c r="BN135" s="23" t="e">
        <f ca="1">+'QTR Raw'!AH72</f>
        <v>#NAME?</v>
      </c>
      <c r="BO135" s="23" t="e">
        <f t="shared" ca="1" si="1161"/>
        <v>#NAME?</v>
      </c>
      <c r="BP135" s="23" t="e">
        <f ca="1">+'QTR Raw'!AJ72</f>
        <v>#NAME?</v>
      </c>
      <c r="BQ135" s="23" t="e">
        <f t="shared" ca="1" si="1161"/>
        <v>#NAME?</v>
      </c>
      <c r="BR135" s="23" t="e">
        <f ca="1">+'QTR Raw'!AL72</f>
        <v>#NAME?</v>
      </c>
      <c r="BS135" s="23" t="e">
        <f t="shared" ca="1" si="1161"/>
        <v>#NAME?</v>
      </c>
      <c r="BT135" s="23" t="e">
        <f ca="1">+'QTR Raw'!AN72</f>
        <v>#NAME?</v>
      </c>
      <c r="BU135" s="23" t="e">
        <f t="shared" ca="1" si="1161"/>
        <v>#NAME?</v>
      </c>
      <c r="BV135" s="23" t="e">
        <f ca="1">+'QTR Raw'!AP72</f>
        <v>#NAME?</v>
      </c>
      <c r="BW135" s="23" t="e">
        <f t="shared" ca="1" si="1161"/>
        <v>#NAME?</v>
      </c>
      <c r="BX135" s="23" t="e">
        <f ca="1">+'QTR Raw'!AR72</f>
        <v>#NAME?</v>
      </c>
      <c r="BY135" s="23" t="e">
        <f t="shared" ca="1" si="1161"/>
        <v>#NAME?</v>
      </c>
      <c r="BZ135" s="23" t="e">
        <f ca="1">+'QTR Raw'!AT72</f>
        <v>#NAME?</v>
      </c>
      <c r="CA135" s="23" t="e">
        <f t="shared" ca="1" si="1161"/>
        <v>#NAME?</v>
      </c>
      <c r="CB135" s="23" t="e">
        <f ca="1">+'QTR Raw'!AV72</f>
        <v>#NAME?</v>
      </c>
      <c r="CC135" s="23" t="e">
        <f t="shared" ca="1" si="1161"/>
        <v>#NAME?</v>
      </c>
      <c r="CD135" s="23" t="e">
        <f ca="1">+'QTR Raw'!AX72</f>
        <v>#NAME?</v>
      </c>
      <c r="CE135" s="23" t="e">
        <f t="shared" ca="1" si="1161"/>
        <v>#NAME?</v>
      </c>
      <c r="CF135" s="23" t="e">
        <f ca="1">+'QTR Raw'!AZ72</f>
        <v>#NAME?</v>
      </c>
      <c r="CG135" s="23" t="e">
        <f t="shared" ca="1" si="1159"/>
        <v>#NAME?</v>
      </c>
      <c r="CH135" s="23" t="e">
        <f t="shared" ca="1" si="1146"/>
        <v>#NAME?</v>
      </c>
      <c r="CI135" s="23" t="e">
        <f t="shared" ca="1" si="1159"/>
        <v>#NAME?</v>
      </c>
      <c r="CJ135" s="23" t="e">
        <f ca="1">+'QTR Raw'!BD72</f>
        <v>#NAME?</v>
      </c>
      <c r="CK135" s="24" t="e">
        <f t="shared" ref="CK135:CK137" ca="1" si="1162">+CJ135</f>
        <v>#NAME?</v>
      </c>
      <c r="CL135" s="23" t="e">
        <f ca="1">+'QTR Raw'!BF72</f>
        <v>#NAME?</v>
      </c>
      <c r="CM135" s="24" t="e">
        <f t="shared" ref="CM135:CM137" ca="1" si="1163">+CL135</f>
        <v>#NAME?</v>
      </c>
      <c r="CN135" s="24" t="e">
        <f t="shared" ref="CN135:CN137" ca="1" si="1164">+CM135</f>
        <v>#NAME?</v>
      </c>
      <c r="CO135" s="24" t="e">
        <f t="shared" ref="CO135:CO137" ca="1" si="1165">+CN135</f>
        <v>#NAME?</v>
      </c>
      <c r="CP135" s="24" t="e">
        <f t="shared" ref="CP135:CP137" ca="1" si="1166">+CO135</f>
        <v>#NAME?</v>
      </c>
      <c r="CQ135" s="24" t="e">
        <f t="shared" ref="CQ135:CQ137" ca="1" si="1167">+CP135</f>
        <v>#NAME?</v>
      </c>
      <c r="CR135" s="24" t="e">
        <f t="shared" ref="CR135:CR137" ca="1" si="1168">+CQ135</f>
        <v>#NAME?</v>
      </c>
      <c r="CS135" s="24" t="e">
        <f t="shared" ref="CS135:CS137" ca="1" si="1169">+CR135</f>
        <v>#NAME?</v>
      </c>
      <c r="CT135" s="24" t="e">
        <f t="shared" ref="CT135:CT137" ca="1" si="1170">+CS135</f>
        <v>#NAME?</v>
      </c>
      <c r="CU135" s="24" t="e">
        <f t="shared" ref="CU135:CU137" ca="1" si="1171">+CT135</f>
        <v>#NAME?</v>
      </c>
      <c r="CV135" s="24" t="e">
        <f t="shared" ref="CV135:CV137" ca="1" si="1172">+CU135</f>
        <v>#NAME?</v>
      </c>
      <c r="CW135" s="24" t="e">
        <f t="shared" ref="CW135:CW137" ca="1" si="1173">+CV135</f>
        <v>#NAME?</v>
      </c>
      <c r="CX135" s="24" t="e">
        <f t="shared" ref="CX135:CX137" ca="1" si="1174">+CW135</f>
        <v>#NAME?</v>
      </c>
      <c r="CY135" s="24" t="e">
        <f t="shared" ref="CY135:CY137" ca="1" si="1175">+CX135</f>
        <v>#NAME?</v>
      </c>
      <c r="CZ135" s="24" t="e">
        <f t="shared" ref="CZ135:CZ137" ca="1" si="1176">+CY135</f>
        <v>#NAME?</v>
      </c>
      <c r="DA135" s="24" t="e">
        <f t="shared" ref="DA135:DA137" ca="1" si="1177">+CZ135</f>
        <v>#NAME?</v>
      </c>
      <c r="DB135" s="24" t="e">
        <f t="shared" ref="DB135:DB137" ca="1" si="1178">+DA135</f>
        <v>#NAME?</v>
      </c>
      <c r="DE135" s="123"/>
      <c r="DF135" s="23">
        <v>74.876999999999995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 t="e">
        <f t="shared" ca="1" si="1146"/>
        <v>#NAME?</v>
      </c>
      <c r="CI136" s="23" t="e">
        <f t="shared" ca="1" si="1159"/>
        <v>#NAME?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42"/>
        <v>#NAME?</v>
      </c>
      <c r="AC137" s="24" t="e">
        <f t="shared" ca="1" si="1143"/>
        <v>#NAME?</v>
      </c>
      <c r="AD137" s="24" t="e">
        <f t="shared" ca="1" si="1144"/>
        <v>#NAME?</v>
      </c>
      <c r="AE137" s="24" t="e">
        <f t="shared" ca="1" si="1145"/>
        <v>#NAME?</v>
      </c>
      <c r="AJ137" s="23" t="e">
        <f ca="1">+'QTR Raw'!D74+'QTR Raw'!D75</f>
        <v>#NAME?</v>
      </c>
      <c r="AK137" s="23" t="e">
        <f t="shared" ca="1" si="1161"/>
        <v>#NAME?</v>
      </c>
      <c r="AL137" s="23" t="e">
        <f ca="1">+'QTR Raw'!F74+'QTR Raw'!F75</f>
        <v>#NAME?</v>
      </c>
      <c r="AM137" s="23" t="e">
        <f t="shared" ca="1" si="1161"/>
        <v>#NAME?</v>
      </c>
      <c r="AN137" s="23" t="e">
        <f ca="1">+'QTR Raw'!H74+'QTR Raw'!H75</f>
        <v>#NAME?</v>
      </c>
      <c r="AO137" s="23" t="e">
        <f t="shared" ca="1" si="1161"/>
        <v>#NAME?</v>
      </c>
      <c r="AP137" s="23" t="e">
        <f ca="1">+'QTR Raw'!J74+'QTR Raw'!J75</f>
        <v>#NAME?</v>
      </c>
      <c r="AQ137" s="23" t="e">
        <f t="shared" ca="1" si="1161"/>
        <v>#NAME?</v>
      </c>
      <c r="AR137" s="23" t="e">
        <f ca="1">+'QTR Raw'!L74+'QTR Raw'!L75</f>
        <v>#NAME?</v>
      </c>
      <c r="AS137" s="23" t="e">
        <f t="shared" ca="1" si="1161"/>
        <v>#NAME?</v>
      </c>
      <c r="AT137" s="23" t="e">
        <f ca="1">+'QTR Raw'!N74+'QTR Raw'!N75</f>
        <v>#NAME?</v>
      </c>
      <c r="AU137" s="23" t="e">
        <f t="shared" ca="1" si="1161"/>
        <v>#NAME?</v>
      </c>
      <c r="AV137" s="23" t="e">
        <f ca="1">+'QTR Raw'!P74+'QTR Raw'!P75</f>
        <v>#NAME?</v>
      </c>
      <c r="AW137" s="23" t="e">
        <f t="shared" ca="1" si="1161"/>
        <v>#NAME?</v>
      </c>
      <c r="AX137" s="23" t="e">
        <f ca="1">+'QTR Raw'!R74+'QTR Raw'!R75</f>
        <v>#NAME?</v>
      </c>
      <c r="AY137" s="23" t="e">
        <f t="shared" ca="1" si="1161"/>
        <v>#NAME?</v>
      </c>
      <c r="AZ137" s="23" t="e">
        <f ca="1">+'QTR Raw'!T74+'QTR Raw'!T75</f>
        <v>#NAME?</v>
      </c>
      <c r="BA137" s="23" t="e">
        <f t="shared" ca="1" si="1161"/>
        <v>#NAME?</v>
      </c>
      <c r="BB137" s="23" t="e">
        <f ca="1">+'QTR Raw'!V74+'QTR Raw'!V75</f>
        <v>#NAME?</v>
      </c>
      <c r="BC137" s="23" t="e">
        <f t="shared" ca="1" si="1161"/>
        <v>#NAME?</v>
      </c>
      <c r="BD137" s="23" t="e">
        <f ca="1">+'QTR Raw'!X74+'QTR Raw'!X75</f>
        <v>#NAME?</v>
      </c>
      <c r="BE137" s="23" t="e">
        <f t="shared" ca="1" si="1161"/>
        <v>#NAME?</v>
      </c>
      <c r="BF137" s="23" t="e">
        <f ca="1">+'QTR Raw'!Z74+'QTR Raw'!Z75</f>
        <v>#NAME?</v>
      </c>
      <c r="BG137" s="23" t="e">
        <f t="shared" ca="1" si="1161"/>
        <v>#NAME?</v>
      </c>
      <c r="BH137" s="23" t="e">
        <f ca="1">+'QTR Raw'!AB74+'QTR Raw'!AB75</f>
        <v>#NAME?</v>
      </c>
      <c r="BI137" s="23" t="e">
        <f t="shared" ca="1" si="1161"/>
        <v>#NAME?</v>
      </c>
      <c r="BJ137" s="23" t="e">
        <f ca="1">+'QTR Raw'!AD74+'QTR Raw'!AD75</f>
        <v>#NAME?</v>
      </c>
      <c r="BK137" s="23" t="e">
        <f t="shared" ca="1" si="1161"/>
        <v>#NAME?</v>
      </c>
      <c r="BL137" s="23" t="e">
        <f ca="1">+'QTR Raw'!AF74+'QTR Raw'!AF75</f>
        <v>#NAME?</v>
      </c>
      <c r="BM137" s="23" t="e">
        <f t="shared" ca="1" si="1161"/>
        <v>#NAME?</v>
      </c>
      <c r="BN137" s="23" t="e">
        <f ca="1">+'QTR Raw'!AH74+'QTR Raw'!AH75</f>
        <v>#NAME?</v>
      </c>
      <c r="BO137" s="23" t="e">
        <f t="shared" ca="1" si="1161"/>
        <v>#NAME?</v>
      </c>
      <c r="BP137" s="23" t="e">
        <f ca="1">+'QTR Raw'!AJ74+'QTR Raw'!AJ75</f>
        <v>#NAME?</v>
      </c>
      <c r="BQ137" s="23" t="e">
        <f t="shared" ca="1" si="1161"/>
        <v>#NAME?</v>
      </c>
      <c r="BR137" s="23" t="e">
        <f ca="1">+'QTR Raw'!AL74+'QTR Raw'!AL75</f>
        <v>#NAME?</v>
      </c>
      <c r="BS137" s="23" t="e">
        <f t="shared" ca="1" si="1161"/>
        <v>#NAME?</v>
      </c>
      <c r="BT137" s="23" t="e">
        <f ca="1">+'QTR Raw'!AN74+'QTR Raw'!AN75</f>
        <v>#NAME?</v>
      </c>
      <c r="BU137" s="23" t="e">
        <f t="shared" ca="1" si="1161"/>
        <v>#NAME?</v>
      </c>
      <c r="BV137" s="23" t="e">
        <f ca="1">+'QTR Raw'!AP74+'QTR Raw'!AP75</f>
        <v>#NAME?</v>
      </c>
      <c r="BW137" s="23" t="e">
        <f t="shared" ca="1" si="1161"/>
        <v>#NAME?</v>
      </c>
      <c r="BX137" s="23" t="e">
        <f ca="1">+'QTR Raw'!AR74+'QTR Raw'!AR75</f>
        <v>#NAME?</v>
      </c>
      <c r="BY137" s="23" t="e">
        <f t="shared" ca="1" si="1161"/>
        <v>#NAME?</v>
      </c>
      <c r="BZ137" s="23" t="e">
        <f ca="1">+'QTR Raw'!AT74+'QTR Raw'!AT75</f>
        <v>#NAME?</v>
      </c>
      <c r="CA137" s="23" t="e">
        <f t="shared" ca="1" si="1161"/>
        <v>#NAME?</v>
      </c>
      <c r="CB137" s="23" t="e">
        <f ca="1">+'QTR Raw'!AV74+'QTR Raw'!AV75</f>
        <v>#NAME?</v>
      </c>
      <c r="CC137" s="23" t="e">
        <f t="shared" ca="1" si="1161"/>
        <v>#NAME?</v>
      </c>
      <c r="CD137" s="23" t="e">
        <f ca="1">+'QTR Raw'!AX74+'QTR Raw'!AX75</f>
        <v>#NAME?</v>
      </c>
      <c r="CE137" s="23" t="e">
        <f t="shared" ca="1" si="1161"/>
        <v>#NAME?</v>
      </c>
      <c r="CF137" s="23" t="e">
        <f ca="1">+'QTR Raw'!AZ74+'QTR Raw'!AZ75</f>
        <v>#NAME?</v>
      </c>
      <c r="CG137" s="23" t="e">
        <f t="shared" ca="1" si="1159"/>
        <v>#NAME?</v>
      </c>
      <c r="CH137" s="23" t="e">
        <f t="shared" ca="1" si="1146"/>
        <v>#NAME?</v>
      </c>
      <c r="CI137" s="23" t="e">
        <f t="shared" ca="1" si="1159"/>
        <v>#NAME?</v>
      </c>
      <c r="CJ137" s="23" t="e">
        <f ca="1">+'QTR Raw'!BD74+'QTR Raw'!BD75</f>
        <v>#NAME?</v>
      </c>
      <c r="CK137" s="24" t="e">
        <f t="shared" ca="1" si="1162"/>
        <v>#NAME?</v>
      </c>
      <c r="CL137" s="23" t="e">
        <f ca="1">+'QTR Raw'!BF74+'QTR Raw'!BF75</f>
        <v>#NAME?</v>
      </c>
      <c r="CM137" s="24" t="e">
        <f t="shared" ca="1" si="1163"/>
        <v>#NAME?</v>
      </c>
      <c r="CN137" s="24" t="e">
        <f t="shared" ca="1" si="1164"/>
        <v>#NAME?</v>
      </c>
      <c r="CO137" s="24" t="e">
        <f t="shared" ca="1" si="1165"/>
        <v>#NAME?</v>
      </c>
      <c r="CP137" s="24" t="e">
        <f t="shared" ca="1" si="1166"/>
        <v>#NAME?</v>
      </c>
      <c r="CQ137" s="24" t="e">
        <f t="shared" ca="1" si="1167"/>
        <v>#NAME?</v>
      </c>
      <c r="CR137" s="24" t="e">
        <f t="shared" ca="1" si="1168"/>
        <v>#NAME?</v>
      </c>
      <c r="CS137" s="24" t="e">
        <f t="shared" ca="1" si="1169"/>
        <v>#NAME?</v>
      </c>
      <c r="CT137" s="24" t="e">
        <f t="shared" ca="1" si="1170"/>
        <v>#NAME?</v>
      </c>
      <c r="CU137" s="24" t="e">
        <f t="shared" ca="1" si="1171"/>
        <v>#NAME?</v>
      </c>
      <c r="CV137" s="24" t="e">
        <f t="shared" ca="1" si="1172"/>
        <v>#NAME?</v>
      </c>
      <c r="CW137" s="24" t="e">
        <f t="shared" ca="1" si="1173"/>
        <v>#NAME?</v>
      </c>
      <c r="CX137" s="24" t="e">
        <f t="shared" ca="1" si="1174"/>
        <v>#NAME?</v>
      </c>
      <c r="CY137" s="24" t="e">
        <f t="shared" ca="1" si="1175"/>
        <v>#NAME?</v>
      </c>
      <c r="CZ137" s="24" t="e">
        <f t="shared" ca="1" si="1176"/>
        <v>#NAME?</v>
      </c>
      <c r="DA137" s="24" t="e">
        <f t="shared" ca="1" si="1177"/>
        <v>#NAME?</v>
      </c>
      <c r="DB137" s="24" t="e">
        <f t="shared" ca="1" si="1178"/>
        <v>#NAME?</v>
      </c>
      <c r="DE137" s="123"/>
      <c r="DF137" s="23">
        <v>2.1160000000000001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9">C134+C137+C136</f>
        <v>#NAME?</v>
      </c>
      <c r="D138" s="22" t="e">
        <f t="shared" ca="1" si="1179"/>
        <v>#NAME?</v>
      </c>
      <c r="E138" s="22" t="e">
        <f t="shared" ref="E138:Y138" ca="1" si="1180">E134+E137+E136+E135</f>
        <v>#NAME?</v>
      </c>
      <c r="F138" s="22" t="e">
        <f t="shared" ca="1" si="1180"/>
        <v>#NAME?</v>
      </c>
      <c r="G138" s="22" t="e">
        <f t="shared" ca="1" si="1180"/>
        <v>#NAME?</v>
      </c>
      <c r="H138" s="22" t="e">
        <f t="shared" ca="1" si="1180"/>
        <v>#NAME?</v>
      </c>
      <c r="I138" s="22" t="e">
        <f t="shared" ca="1" si="1180"/>
        <v>#NAME?</v>
      </c>
      <c r="J138" s="22" t="e">
        <f t="shared" ca="1" si="1180"/>
        <v>#NAME?</v>
      </c>
      <c r="K138" s="22" t="e">
        <f t="shared" ca="1" si="1180"/>
        <v>#NAME?</v>
      </c>
      <c r="L138" s="22" t="e">
        <f t="shared" ca="1" si="1180"/>
        <v>#NAME?</v>
      </c>
      <c r="M138" s="22" t="e">
        <f t="shared" ca="1" si="1180"/>
        <v>#NAME?</v>
      </c>
      <c r="N138" s="22" t="e">
        <f t="shared" ca="1" si="1180"/>
        <v>#NAME?</v>
      </c>
      <c r="O138" s="22" t="e">
        <f t="shared" ca="1" si="1180"/>
        <v>#NAME?</v>
      </c>
      <c r="P138" s="22" t="e">
        <f t="shared" ca="1" si="1180"/>
        <v>#NAME?</v>
      </c>
      <c r="Q138" s="22" t="e">
        <f t="shared" ca="1" si="1180"/>
        <v>#NAME?</v>
      </c>
      <c r="R138" s="22" t="e">
        <f t="shared" ca="1" si="1180"/>
        <v>#NAME?</v>
      </c>
      <c r="S138" s="22" t="e">
        <f t="shared" ca="1" si="1180"/>
        <v>#NAME?</v>
      </c>
      <c r="T138" s="22" t="e">
        <f t="shared" ca="1" si="1180"/>
        <v>#NAME?</v>
      </c>
      <c r="U138" s="22" t="e">
        <f t="shared" ca="1" si="1180"/>
        <v>#NAME?</v>
      </c>
      <c r="V138" s="22" t="e">
        <f t="shared" ca="1" si="1180"/>
        <v>#NAME?</v>
      </c>
      <c r="W138" s="22" t="e">
        <f t="shared" ca="1" si="1180"/>
        <v>#NAME?</v>
      </c>
      <c r="X138" s="22" t="e">
        <f t="shared" ca="1" si="1180"/>
        <v>#NAME?</v>
      </c>
      <c r="Y138" s="22" t="e">
        <f t="shared" ca="1" si="1180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81">AB134+AB137+AB136+AB135</f>
        <v>#NAME?</v>
      </c>
      <c r="AC138" s="161" t="e">
        <f t="shared" ca="1" si="1181"/>
        <v>#NAME?</v>
      </c>
      <c r="AD138" s="161" t="e">
        <f t="shared" ca="1" si="1181"/>
        <v>#NAME?</v>
      </c>
      <c r="AE138" s="161" t="e">
        <f t="shared" ca="1" si="1181"/>
        <v>#NAME?</v>
      </c>
      <c r="AJ138" s="22" t="e">
        <f t="shared" ref="AJ138" ca="1" si="1182">AJ134+AJ137+AJ135+AJ136</f>
        <v>#NAME?</v>
      </c>
      <c r="AK138" s="22" t="e">
        <f t="shared" ref="AK138" ca="1" si="1183">AK134+AK137+AK135+AK136</f>
        <v>#NAME?</v>
      </c>
      <c r="AL138" s="22" t="e">
        <f t="shared" ref="AL138:AM138" ca="1" si="1184">AL134+AL137+AL135+AL136</f>
        <v>#NAME?</v>
      </c>
      <c r="AM138" s="22" t="e">
        <f t="shared" ca="1" si="1184"/>
        <v>#NAME?</v>
      </c>
      <c r="AN138" s="22" t="e">
        <f t="shared" ref="AN138:AO138" ca="1" si="1185">AN134+AN137+AN135+AN136</f>
        <v>#NAME?</v>
      </c>
      <c r="AO138" s="22" t="e">
        <f t="shared" ca="1" si="1185"/>
        <v>#NAME?</v>
      </c>
      <c r="AP138" s="22" t="e">
        <f t="shared" ref="AP138:CE138" ca="1" si="1186">AP134+AP137+AP135+AP136</f>
        <v>#NAME?</v>
      </c>
      <c r="AQ138" s="22" t="e">
        <f t="shared" ca="1" si="1186"/>
        <v>#NAME?</v>
      </c>
      <c r="AR138" s="22" t="e">
        <f t="shared" ca="1" si="1186"/>
        <v>#NAME?</v>
      </c>
      <c r="AS138" s="22" t="e">
        <f t="shared" ca="1" si="1186"/>
        <v>#NAME?</v>
      </c>
      <c r="AT138" s="22" t="e">
        <f t="shared" ca="1" si="1186"/>
        <v>#NAME?</v>
      </c>
      <c r="AU138" s="22" t="e">
        <f t="shared" ca="1" si="1186"/>
        <v>#NAME?</v>
      </c>
      <c r="AV138" s="22" t="e">
        <f t="shared" ca="1" si="1186"/>
        <v>#NAME?</v>
      </c>
      <c r="AW138" s="22" t="e">
        <f t="shared" ca="1" si="1186"/>
        <v>#NAME?</v>
      </c>
      <c r="AX138" s="22" t="e">
        <f t="shared" ca="1" si="1186"/>
        <v>#NAME?</v>
      </c>
      <c r="AY138" s="22" t="e">
        <f t="shared" ca="1" si="1186"/>
        <v>#NAME?</v>
      </c>
      <c r="AZ138" s="22" t="e">
        <f t="shared" ca="1" si="1186"/>
        <v>#NAME?</v>
      </c>
      <c r="BA138" s="22" t="e">
        <f t="shared" ca="1" si="1186"/>
        <v>#NAME?</v>
      </c>
      <c r="BB138" s="22" t="e">
        <f t="shared" ca="1" si="1186"/>
        <v>#NAME?</v>
      </c>
      <c r="BC138" s="22" t="e">
        <f t="shared" ca="1" si="1186"/>
        <v>#NAME?</v>
      </c>
      <c r="BD138" s="22" t="e">
        <f t="shared" ca="1" si="1186"/>
        <v>#NAME?</v>
      </c>
      <c r="BE138" s="22" t="e">
        <f t="shared" ca="1" si="1186"/>
        <v>#NAME?</v>
      </c>
      <c r="BF138" s="22" t="e">
        <f t="shared" ca="1" si="1186"/>
        <v>#NAME?</v>
      </c>
      <c r="BG138" s="22" t="e">
        <f t="shared" ca="1" si="1186"/>
        <v>#NAME?</v>
      </c>
      <c r="BH138" s="22" t="e">
        <f t="shared" ca="1" si="1186"/>
        <v>#NAME?</v>
      </c>
      <c r="BI138" s="22" t="e">
        <f t="shared" ca="1" si="1186"/>
        <v>#NAME?</v>
      </c>
      <c r="BJ138" s="22" t="e">
        <f t="shared" ca="1" si="1186"/>
        <v>#NAME?</v>
      </c>
      <c r="BK138" s="22" t="e">
        <f t="shared" ca="1" si="1186"/>
        <v>#NAME?</v>
      </c>
      <c r="BL138" s="22" t="e">
        <f t="shared" ca="1" si="1186"/>
        <v>#NAME?</v>
      </c>
      <c r="BM138" s="22" t="e">
        <f t="shared" ca="1" si="1186"/>
        <v>#NAME?</v>
      </c>
      <c r="BN138" s="22" t="e">
        <f t="shared" ca="1" si="1186"/>
        <v>#NAME?</v>
      </c>
      <c r="BO138" s="22" t="e">
        <f t="shared" ca="1" si="1186"/>
        <v>#NAME?</v>
      </c>
      <c r="BP138" s="22" t="e">
        <f t="shared" ca="1" si="1186"/>
        <v>#NAME?</v>
      </c>
      <c r="BQ138" s="22" t="e">
        <f t="shared" ca="1" si="1186"/>
        <v>#NAME?</v>
      </c>
      <c r="BR138" s="22" t="e">
        <f t="shared" ca="1" si="1186"/>
        <v>#NAME?</v>
      </c>
      <c r="BS138" s="22" t="e">
        <f t="shared" ca="1" si="1186"/>
        <v>#NAME?</v>
      </c>
      <c r="BT138" s="22" t="e">
        <f t="shared" ca="1" si="1186"/>
        <v>#NAME?</v>
      </c>
      <c r="BU138" s="22" t="e">
        <f t="shared" ca="1" si="1186"/>
        <v>#NAME?</v>
      </c>
      <c r="BV138" s="22" t="e">
        <f t="shared" ca="1" si="1186"/>
        <v>#NAME?</v>
      </c>
      <c r="BW138" s="22" t="e">
        <f t="shared" ca="1" si="1186"/>
        <v>#NAME?</v>
      </c>
      <c r="BX138" s="22" t="e">
        <f t="shared" ca="1" si="1186"/>
        <v>#NAME?</v>
      </c>
      <c r="BY138" s="22" t="e">
        <f t="shared" ca="1" si="1186"/>
        <v>#NAME?</v>
      </c>
      <c r="BZ138" s="22" t="e">
        <f t="shared" ca="1" si="1186"/>
        <v>#NAME?</v>
      </c>
      <c r="CA138" s="22" t="e">
        <f t="shared" ca="1" si="1186"/>
        <v>#NAME?</v>
      </c>
      <c r="CB138" s="22" t="e">
        <f t="shared" ca="1" si="1186"/>
        <v>#NAME?</v>
      </c>
      <c r="CC138" s="22" t="e">
        <f t="shared" ca="1" si="1186"/>
        <v>#NAME?</v>
      </c>
      <c r="CD138" s="22" t="e">
        <f t="shared" ca="1" si="1186"/>
        <v>#NAME?</v>
      </c>
      <c r="CE138" s="22" t="e">
        <f t="shared" ca="1" si="1186"/>
        <v>#NAME?</v>
      </c>
      <c r="CF138" s="22" t="e">
        <f t="shared" ref="CF138:CG138" ca="1" si="1187">CF134+CF137+CF135+CF136</f>
        <v>#NAME?</v>
      </c>
      <c r="CG138" s="22" t="e">
        <f t="shared" ca="1" si="1187"/>
        <v>#NAME?</v>
      </c>
      <c r="CH138" s="22" t="e">
        <f t="shared" ref="CH138:CJ138" ca="1" si="1188">CH134+CH137+CH135+CH136</f>
        <v>#NAME?</v>
      </c>
      <c r="CI138" s="22" t="e">
        <f t="shared" ca="1" si="1188"/>
        <v>#NAME?</v>
      </c>
      <c r="CJ138" s="22" t="e">
        <f t="shared" ca="1" si="1188"/>
        <v>#NAME?</v>
      </c>
      <c r="CK138" s="21" t="e">
        <f t="shared" ref="CK138:DB138" ca="1" si="1189">CK134+CK137+CK135+CK136</f>
        <v>#NAME?</v>
      </c>
      <c r="CL138" s="22" t="e">
        <f t="shared" ca="1" si="1189"/>
        <v>#NAME?</v>
      </c>
      <c r="CM138" s="21" t="e">
        <f t="shared" ca="1" si="1189"/>
        <v>#NAME?</v>
      </c>
      <c r="CN138" s="21" t="e">
        <f t="shared" ca="1" si="1189"/>
        <v>#NAME?</v>
      </c>
      <c r="CO138" s="21" t="e">
        <f t="shared" ca="1" si="1189"/>
        <v>#NAME?</v>
      </c>
      <c r="CP138" s="21" t="e">
        <f t="shared" ca="1" si="1189"/>
        <v>#NAME?</v>
      </c>
      <c r="CQ138" s="21" t="e">
        <f t="shared" ca="1" si="1189"/>
        <v>#NAME?</v>
      </c>
      <c r="CR138" s="21" t="e">
        <f t="shared" ca="1" si="1189"/>
        <v>#NAME?</v>
      </c>
      <c r="CS138" s="21" t="e">
        <f t="shared" ca="1" si="1189"/>
        <v>#NAME?</v>
      </c>
      <c r="CT138" s="21" t="e">
        <f t="shared" ca="1" si="1189"/>
        <v>#NAME?</v>
      </c>
      <c r="CU138" s="21" t="e">
        <f t="shared" ca="1" si="1189"/>
        <v>#NAME?</v>
      </c>
      <c r="CV138" s="21" t="e">
        <f t="shared" ca="1" si="1189"/>
        <v>#NAME?</v>
      </c>
      <c r="CW138" s="21" t="e">
        <f t="shared" ca="1" si="1189"/>
        <v>#NAME?</v>
      </c>
      <c r="CX138" s="21" t="e">
        <f t="shared" ca="1" si="1189"/>
        <v>#NAME?</v>
      </c>
      <c r="CY138" s="21" t="e">
        <f t="shared" ca="1" si="1189"/>
        <v>#NAME?</v>
      </c>
      <c r="CZ138" s="21" t="e">
        <f t="shared" ca="1" si="1189"/>
        <v>#NAME?</v>
      </c>
      <c r="DA138" s="21" t="e">
        <f t="shared" ca="1" si="1189"/>
        <v>#NAME?</v>
      </c>
      <c r="DB138" s="21" t="e">
        <f t="shared" ca="1" si="1189"/>
        <v>#NAME?</v>
      </c>
      <c r="DE138" s="126"/>
      <c r="DF138" s="22">
        <v>304.411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90">+AJ140</f>
        <v>#NAME?</v>
      </c>
      <c r="AL140" s="23" t="e">
        <f ca="1">+'QTR Raw'!F77</f>
        <v>#NAME?</v>
      </c>
      <c r="AM140" s="23" t="e">
        <f t="shared" ca="1" si="1190"/>
        <v>#NAME?</v>
      </c>
      <c r="AN140" s="23" t="e">
        <f ca="1">+'QTR Raw'!H77</f>
        <v>#NAME?</v>
      </c>
      <c r="AO140" s="23" t="e">
        <f t="shared" ca="1" si="1190"/>
        <v>#NAME?</v>
      </c>
      <c r="AP140" s="23" t="e">
        <f ca="1">+'QTR Raw'!J77</f>
        <v>#NAME?</v>
      </c>
      <c r="AQ140" s="23" t="e">
        <f t="shared" ca="1" si="1190"/>
        <v>#NAME?</v>
      </c>
      <c r="AR140" s="23" t="e">
        <f ca="1">+'QTR Raw'!L77</f>
        <v>#NAME?</v>
      </c>
      <c r="AS140" s="23" t="e">
        <f t="shared" ca="1" si="1190"/>
        <v>#NAME?</v>
      </c>
      <c r="AT140" s="23" t="e">
        <f ca="1">+'QTR Raw'!N77</f>
        <v>#NAME?</v>
      </c>
      <c r="AU140" s="23" t="e">
        <f t="shared" ca="1" si="1190"/>
        <v>#NAME?</v>
      </c>
      <c r="AV140" s="23" t="e">
        <f ca="1">+'QTR Raw'!P77</f>
        <v>#NAME?</v>
      </c>
      <c r="AW140" s="23" t="e">
        <f t="shared" ca="1" si="1190"/>
        <v>#NAME?</v>
      </c>
      <c r="AX140" s="23" t="e">
        <f ca="1">+'QTR Raw'!R77</f>
        <v>#NAME?</v>
      </c>
      <c r="AY140" s="23" t="e">
        <f t="shared" ca="1" si="1190"/>
        <v>#NAME?</v>
      </c>
      <c r="AZ140" s="23" t="e">
        <f ca="1">+'QTR Raw'!T77</f>
        <v>#NAME?</v>
      </c>
      <c r="BA140" s="23" t="e">
        <f t="shared" ca="1" si="1190"/>
        <v>#NAME?</v>
      </c>
      <c r="BB140" s="23" t="e">
        <f ca="1">+'QTR Raw'!V77</f>
        <v>#NAME?</v>
      </c>
      <c r="BC140" s="23" t="e">
        <f t="shared" ca="1" si="1190"/>
        <v>#NAME?</v>
      </c>
      <c r="BD140" s="23" t="e">
        <f ca="1">+'QTR Raw'!X77</f>
        <v>#NAME?</v>
      </c>
      <c r="BE140" s="23" t="e">
        <f t="shared" ca="1" si="1190"/>
        <v>#NAME?</v>
      </c>
      <c r="BF140" s="23" t="e">
        <f ca="1">+'QTR Raw'!Z77</f>
        <v>#NAME?</v>
      </c>
      <c r="BG140" s="23" t="e">
        <f t="shared" ca="1" si="1190"/>
        <v>#NAME?</v>
      </c>
      <c r="BH140" s="23" t="e">
        <f ca="1">+'QTR Raw'!AB77</f>
        <v>#NAME?</v>
      </c>
      <c r="BI140" s="23" t="e">
        <f t="shared" ca="1" si="1190"/>
        <v>#NAME?</v>
      </c>
      <c r="BJ140" s="23" t="e">
        <f ca="1">+'QTR Raw'!AD77</f>
        <v>#NAME?</v>
      </c>
      <c r="BK140" s="23" t="e">
        <f t="shared" ca="1" si="1190"/>
        <v>#NAME?</v>
      </c>
      <c r="BL140" s="23" t="e">
        <f ca="1">+'QTR Raw'!AF77</f>
        <v>#NAME?</v>
      </c>
      <c r="BM140" s="23" t="e">
        <f t="shared" ca="1" si="1190"/>
        <v>#NAME?</v>
      </c>
      <c r="BN140" s="23" t="e">
        <f ca="1">+'QTR Raw'!AH77</f>
        <v>#NAME?</v>
      </c>
      <c r="BO140" s="23" t="e">
        <f t="shared" ca="1" si="1190"/>
        <v>#NAME?</v>
      </c>
      <c r="BP140" s="23" t="e">
        <f ca="1">+'QTR Raw'!AJ77</f>
        <v>#NAME?</v>
      </c>
      <c r="BQ140" s="23" t="e">
        <f t="shared" ca="1" si="1190"/>
        <v>#NAME?</v>
      </c>
      <c r="BR140" s="23" t="e">
        <f ca="1">+'QTR Raw'!AL77</f>
        <v>#NAME?</v>
      </c>
      <c r="BS140" s="23" t="e">
        <f t="shared" ca="1" si="1190"/>
        <v>#NAME?</v>
      </c>
      <c r="BT140" s="23" t="e">
        <f ca="1">+'QTR Raw'!AN77</f>
        <v>#NAME?</v>
      </c>
      <c r="BU140" s="23" t="e">
        <f t="shared" ca="1" si="1190"/>
        <v>#NAME?</v>
      </c>
      <c r="BV140" s="23" t="e">
        <f ca="1">+'QTR Raw'!AP77</f>
        <v>#NAME?</v>
      </c>
      <c r="BW140" s="23" t="e">
        <f t="shared" ca="1" si="1190"/>
        <v>#NAME?</v>
      </c>
      <c r="BX140" s="23" t="e">
        <f ca="1">+'QTR Raw'!AR77</f>
        <v>#NAME?</v>
      </c>
      <c r="BY140" s="23" t="e">
        <f t="shared" ca="1" si="1190"/>
        <v>#NAME?</v>
      </c>
      <c r="BZ140" s="23" t="e">
        <f ca="1">+'QTR Raw'!AT77</f>
        <v>#NAME?</v>
      </c>
      <c r="CA140" s="23" t="e">
        <f t="shared" ca="1" si="1190"/>
        <v>#NAME?</v>
      </c>
      <c r="CB140" s="23" t="e">
        <f ca="1">+'QTR Raw'!AV77</f>
        <v>#NAME?</v>
      </c>
      <c r="CC140" s="23" t="e">
        <f t="shared" ca="1" si="1190"/>
        <v>#NAME?</v>
      </c>
      <c r="CD140" s="23" t="e">
        <f ca="1">+'QTR Raw'!AX77</f>
        <v>#NAME?</v>
      </c>
      <c r="CE140" s="23" t="e">
        <f t="shared" ca="1" si="1190"/>
        <v>#NAME?</v>
      </c>
      <c r="CF140" s="23" t="e">
        <f ca="1">+'QTR Raw'!AZ77</f>
        <v>#NAME?</v>
      </c>
      <c r="CG140" s="23" t="e">
        <f t="shared" ref="CG140:CI143" ca="1" si="1191">+CF140</f>
        <v>#NAME?</v>
      </c>
      <c r="CH140" s="23" t="e">
        <f t="shared" ref="CH140:CH155" ca="1" si="1192">Z140</f>
        <v>#NAME?</v>
      </c>
      <c r="CI140" s="23" t="e">
        <f t="shared" ca="1" si="1191"/>
        <v>#NAME?</v>
      </c>
      <c r="CJ140" s="23" t="e">
        <f ca="1">+'QTR Raw'!BD77</f>
        <v>#NAME?</v>
      </c>
      <c r="CK140" s="24" t="e">
        <f t="shared" ref="CK140" ca="1" si="1193">+CJ140</f>
        <v>#NAME?</v>
      </c>
      <c r="CL140" s="23" t="e">
        <f ca="1">+'QTR Raw'!BF77</f>
        <v>#NAME?</v>
      </c>
      <c r="CM140" s="24" t="e">
        <f t="shared" ref="CM140" ca="1" si="1194">+CL140</f>
        <v>#NAME?</v>
      </c>
      <c r="CN140" s="24" t="e">
        <f t="shared" ref="CN140" ca="1" si="1195">+CM140</f>
        <v>#NAME?</v>
      </c>
      <c r="CO140" s="24" t="e">
        <f t="shared" ref="CO140" ca="1" si="1196">+CN140</f>
        <v>#NAME?</v>
      </c>
      <c r="CP140" s="24" t="e">
        <f t="shared" ref="CP140" ca="1" si="1197">+CO140</f>
        <v>#NAME?</v>
      </c>
      <c r="CQ140" s="24" t="e">
        <f t="shared" ref="CQ140" ca="1" si="1198">+CP140</f>
        <v>#NAME?</v>
      </c>
      <c r="CR140" s="24" t="e">
        <f t="shared" ref="CR140" ca="1" si="1199">+CQ140</f>
        <v>#NAME?</v>
      </c>
      <c r="CS140" s="24" t="e">
        <f t="shared" ref="CS140" ca="1" si="1200">+CR140</f>
        <v>#NAME?</v>
      </c>
      <c r="CT140" s="24" t="e">
        <f t="shared" ref="CT140" ca="1" si="1201">+CS140</f>
        <v>#NAME?</v>
      </c>
      <c r="CU140" s="24" t="e">
        <f t="shared" ref="CU140" ca="1" si="1202">+CT140</f>
        <v>#NAME?</v>
      </c>
      <c r="CV140" s="24" t="e">
        <f t="shared" ref="CV140" ca="1" si="1203">+CU140</f>
        <v>#NAME?</v>
      </c>
      <c r="CW140" s="24" t="e">
        <f t="shared" ref="CW140" ca="1" si="1204">+CV140</f>
        <v>#NAME?</v>
      </c>
      <c r="CX140" s="24" t="e">
        <f t="shared" ref="CX140" ca="1" si="1205">+CW140</f>
        <v>#NAME?</v>
      </c>
      <c r="CY140" s="24" t="e">
        <f t="shared" ref="CY140" ca="1" si="1206">+CX140</f>
        <v>#NAME?</v>
      </c>
      <c r="CZ140" s="24" t="e">
        <f t="shared" ref="CZ140" ca="1" si="1207">+CY140</f>
        <v>#NAME?</v>
      </c>
      <c r="DA140" s="24" t="e">
        <f t="shared" ref="DA140" ca="1" si="1208">+CZ140</f>
        <v>#NAME?</v>
      </c>
      <c r="DB140" s="24" t="e">
        <f t="shared" ref="DB140" ca="1" si="1209">+DA140</f>
        <v>#NAME?</v>
      </c>
      <c r="DE140" s="123"/>
      <c r="DF140" s="23">
        <v>10.233000000000001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 t="e">
        <f ca="1">+'QTR Raw'!D78</f>
        <v>#NAME?</v>
      </c>
      <c r="AK142" s="23" t="e">
        <f t="shared" ref="AK142:CE147" ca="1" si="1214">+AJ142</f>
        <v>#NAME?</v>
      </c>
      <c r="AL142" s="23" t="e">
        <f ca="1">+'QTR Raw'!F78</f>
        <v>#NAME?</v>
      </c>
      <c r="AM142" s="23" t="e">
        <f t="shared" ca="1" si="1214"/>
        <v>#NAME?</v>
      </c>
      <c r="AN142" s="23" t="e">
        <f ca="1">+'QTR Raw'!H78</f>
        <v>#NAME?</v>
      </c>
      <c r="AO142" s="23" t="e">
        <f t="shared" ca="1" si="1214"/>
        <v>#NAME?</v>
      </c>
      <c r="AP142" s="23" t="e">
        <f ca="1">+'QTR Raw'!J78</f>
        <v>#NAME?</v>
      </c>
      <c r="AQ142" s="23" t="e">
        <f t="shared" ca="1" si="1214"/>
        <v>#NAME?</v>
      </c>
      <c r="AR142" s="23" t="e">
        <f ca="1">+'QTR Raw'!L78</f>
        <v>#NAME?</v>
      </c>
      <c r="AS142" s="23" t="e">
        <f t="shared" ca="1" si="1214"/>
        <v>#NAME?</v>
      </c>
      <c r="AT142" s="23" t="e">
        <f ca="1">+'QTR Raw'!N78</f>
        <v>#NAME?</v>
      </c>
      <c r="AU142" s="23" t="e">
        <f t="shared" ca="1" si="1214"/>
        <v>#NAME?</v>
      </c>
      <c r="AV142" s="23" t="e">
        <f ca="1">+'QTR Raw'!P78</f>
        <v>#NAME?</v>
      </c>
      <c r="AW142" s="23" t="e">
        <f t="shared" ca="1" si="1214"/>
        <v>#NAME?</v>
      </c>
      <c r="AX142" s="23" t="e">
        <f ca="1">+'QTR Raw'!R78</f>
        <v>#NAME?</v>
      </c>
      <c r="AY142" s="23" t="e">
        <f t="shared" ca="1" si="1214"/>
        <v>#NAME?</v>
      </c>
      <c r="AZ142" s="23" t="e">
        <f ca="1">+'QTR Raw'!T78</f>
        <v>#NAME?</v>
      </c>
      <c r="BA142" s="23" t="e">
        <f t="shared" ca="1" si="1214"/>
        <v>#NAME?</v>
      </c>
      <c r="BB142" s="23" t="e">
        <f ca="1">+'QTR Raw'!V78</f>
        <v>#NAME?</v>
      </c>
      <c r="BC142" s="23" t="e">
        <f t="shared" ca="1" si="1214"/>
        <v>#NAME?</v>
      </c>
      <c r="BD142" s="23" t="e">
        <f ca="1">+'QTR Raw'!X78</f>
        <v>#NAME?</v>
      </c>
      <c r="BE142" s="23" t="e">
        <f t="shared" ca="1" si="1214"/>
        <v>#NAME?</v>
      </c>
      <c r="BF142" s="23" t="e">
        <f ca="1">+'QTR Raw'!Z78</f>
        <v>#NAME?</v>
      </c>
      <c r="BG142" s="23" t="e">
        <f t="shared" ca="1" si="1214"/>
        <v>#NAME?</v>
      </c>
      <c r="BH142" s="23" t="e">
        <f ca="1">+'QTR Raw'!AB78</f>
        <v>#NAME?</v>
      </c>
      <c r="BI142" s="23" t="e">
        <f t="shared" ca="1" si="1214"/>
        <v>#NAME?</v>
      </c>
      <c r="BJ142" s="23" t="e">
        <f ca="1">+'QTR Raw'!AD78</f>
        <v>#NAME?</v>
      </c>
      <c r="BK142" s="23" t="e">
        <f t="shared" ca="1" si="1214"/>
        <v>#NAME?</v>
      </c>
      <c r="BL142" s="23" t="e">
        <f ca="1">+'QTR Raw'!AF78</f>
        <v>#NAME?</v>
      </c>
      <c r="BM142" s="23" t="e">
        <f t="shared" ca="1" si="1214"/>
        <v>#NAME?</v>
      </c>
      <c r="BN142" s="23" t="e">
        <f ca="1">+'QTR Raw'!AH78</f>
        <v>#NAME?</v>
      </c>
      <c r="BO142" s="23" t="e">
        <f t="shared" ca="1" si="1214"/>
        <v>#NAME?</v>
      </c>
      <c r="BP142" s="23" t="e">
        <f ca="1">+'QTR Raw'!AJ78</f>
        <v>#NAME?</v>
      </c>
      <c r="BQ142" s="23" t="e">
        <f t="shared" ca="1" si="1214"/>
        <v>#NAME?</v>
      </c>
      <c r="BR142" s="23" t="e">
        <f ca="1">+'QTR Raw'!AL78</f>
        <v>#NAME?</v>
      </c>
      <c r="BS142" s="23" t="e">
        <f t="shared" ca="1" si="1214"/>
        <v>#NAME?</v>
      </c>
      <c r="BT142" s="23" t="e">
        <f ca="1">+'QTR Raw'!AN78</f>
        <v>#NAME?</v>
      </c>
      <c r="BU142" s="23" t="e">
        <f t="shared" ca="1" si="1214"/>
        <v>#NAME?</v>
      </c>
      <c r="BV142" s="23" t="e">
        <f ca="1">+'QTR Raw'!AP78</f>
        <v>#NAME?</v>
      </c>
      <c r="BW142" s="23" t="e">
        <f t="shared" ca="1" si="1214"/>
        <v>#NAME?</v>
      </c>
      <c r="BX142" s="23" t="e">
        <f ca="1">+'QTR Raw'!AR78</f>
        <v>#NAME?</v>
      </c>
      <c r="BY142" s="23" t="e">
        <f t="shared" ca="1" si="1214"/>
        <v>#NAME?</v>
      </c>
      <c r="BZ142" s="23" t="e">
        <f ca="1">+'QTR Raw'!AT78</f>
        <v>#NAME?</v>
      </c>
      <c r="CA142" s="23" t="e">
        <f t="shared" ca="1" si="1214"/>
        <v>#NAME?</v>
      </c>
      <c r="CB142" s="23" t="e">
        <f ca="1">+'QTR Raw'!AV78</f>
        <v>#NAME?</v>
      </c>
      <c r="CC142" s="23" t="e">
        <f t="shared" ca="1" si="1214"/>
        <v>#NAME?</v>
      </c>
      <c r="CD142" s="23" t="e">
        <f ca="1">+'QTR Raw'!AX78</f>
        <v>#NAME?</v>
      </c>
      <c r="CE142" s="23" t="e">
        <f t="shared" ca="1" si="1214"/>
        <v>#NAME?</v>
      </c>
      <c r="CF142" s="23" t="e">
        <f ca="1">+'QTR Raw'!AZ78</f>
        <v>#NAME?</v>
      </c>
      <c r="CG142" s="23" t="e">
        <f t="shared" ca="1" si="1191"/>
        <v>#NAME?</v>
      </c>
      <c r="CH142" s="23" t="e">
        <f t="shared" ca="1" si="1192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 t="e">
        <f ca="1">+'QTR Raw'!D79+'QTR Raw'!D76</f>
        <v>#NAME?</v>
      </c>
      <c r="AK143" s="23" t="e">
        <f t="shared" ca="1" si="1214"/>
        <v>#NAME?</v>
      </c>
      <c r="AL143" s="23" t="e">
        <f ca="1">+'QTR Raw'!F79+'QTR Raw'!F76</f>
        <v>#NAME?</v>
      </c>
      <c r="AM143" s="23" t="e">
        <f t="shared" ca="1" si="1214"/>
        <v>#NAME?</v>
      </c>
      <c r="AN143" s="23" t="e">
        <f ca="1">+'QTR Raw'!H79+'QTR Raw'!H76</f>
        <v>#NAME?</v>
      </c>
      <c r="AO143" s="23" t="e">
        <f t="shared" ca="1" si="1214"/>
        <v>#NAME?</v>
      </c>
      <c r="AP143" s="23" t="e">
        <f ca="1">+'QTR Raw'!J79+'QTR Raw'!J76</f>
        <v>#NAME?</v>
      </c>
      <c r="AQ143" s="23" t="e">
        <f t="shared" ca="1" si="1214"/>
        <v>#NAME?</v>
      </c>
      <c r="AR143" s="23" t="e">
        <f ca="1">+'QTR Raw'!L79+'QTR Raw'!L76</f>
        <v>#NAME?</v>
      </c>
      <c r="AS143" s="23" t="e">
        <f t="shared" ca="1" si="1214"/>
        <v>#NAME?</v>
      </c>
      <c r="AT143" s="23" t="e">
        <f ca="1">+'QTR Raw'!N79+'QTR Raw'!N76</f>
        <v>#NAME?</v>
      </c>
      <c r="AU143" s="23" t="e">
        <f t="shared" ca="1" si="1214"/>
        <v>#NAME?</v>
      </c>
      <c r="AV143" s="23" t="e">
        <f ca="1">+'QTR Raw'!P79+'QTR Raw'!P76</f>
        <v>#NAME?</v>
      </c>
      <c r="AW143" s="23" t="e">
        <f t="shared" ca="1" si="1214"/>
        <v>#NAME?</v>
      </c>
      <c r="AX143" s="23" t="e">
        <f ca="1">+'QTR Raw'!R79+'QTR Raw'!R76</f>
        <v>#NAME?</v>
      </c>
      <c r="AY143" s="23" t="e">
        <f t="shared" ca="1" si="1214"/>
        <v>#NAME?</v>
      </c>
      <c r="AZ143" s="23" t="e">
        <f ca="1">+'QTR Raw'!T79+'QTR Raw'!T76</f>
        <v>#NAME?</v>
      </c>
      <c r="BA143" s="23" t="e">
        <f t="shared" ca="1" si="1214"/>
        <v>#NAME?</v>
      </c>
      <c r="BB143" s="23" t="e">
        <f ca="1">+'QTR Raw'!V79+'QTR Raw'!V76</f>
        <v>#NAME?</v>
      </c>
      <c r="BC143" s="23" t="e">
        <f t="shared" ca="1" si="1214"/>
        <v>#NAME?</v>
      </c>
      <c r="BD143" s="23" t="e">
        <f ca="1">+'QTR Raw'!X79+'QTR Raw'!X76</f>
        <v>#NAME?</v>
      </c>
      <c r="BE143" s="23" t="e">
        <f t="shared" ca="1" si="1214"/>
        <v>#NAME?</v>
      </c>
      <c r="BF143" s="23" t="e">
        <f ca="1">+'QTR Raw'!Z79+'QTR Raw'!Z76</f>
        <v>#NAME?</v>
      </c>
      <c r="BG143" s="23" t="e">
        <f t="shared" ca="1" si="1214"/>
        <v>#NAME?</v>
      </c>
      <c r="BH143" s="23" t="e">
        <f ca="1">+'QTR Raw'!AB79+'QTR Raw'!AB76</f>
        <v>#NAME?</v>
      </c>
      <c r="BI143" s="23" t="e">
        <f t="shared" ca="1" si="1214"/>
        <v>#NAME?</v>
      </c>
      <c r="BJ143" s="23" t="e">
        <f ca="1">+'QTR Raw'!AD79+'QTR Raw'!AD76</f>
        <v>#NAME?</v>
      </c>
      <c r="BK143" s="23" t="e">
        <f t="shared" ca="1" si="1214"/>
        <v>#NAME?</v>
      </c>
      <c r="BL143" s="23" t="e">
        <f ca="1">+'QTR Raw'!AF79+'QTR Raw'!AF76</f>
        <v>#NAME?</v>
      </c>
      <c r="BM143" s="23" t="e">
        <f t="shared" ca="1" si="1214"/>
        <v>#NAME?</v>
      </c>
      <c r="BN143" s="23" t="e">
        <f ca="1">+'QTR Raw'!AH79+'QTR Raw'!AH76</f>
        <v>#NAME?</v>
      </c>
      <c r="BO143" s="23" t="e">
        <f t="shared" ca="1" si="1214"/>
        <v>#NAME?</v>
      </c>
      <c r="BP143" s="23" t="e">
        <f ca="1">+'QTR Raw'!AJ79+'QTR Raw'!AJ76</f>
        <v>#NAME?</v>
      </c>
      <c r="BQ143" s="23" t="e">
        <f t="shared" ca="1" si="1214"/>
        <v>#NAME?</v>
      </c>
      <c r="BR143" s="23" t="e">
        <f ca="1">+'QTR Raw'!AL79+'QTR Raw'!AL76</f>
        <v>#NAME?</v>
      </c>
      <c r="BS143" s="23" t="e">
        <f t="shared" ca="1" si="1214"/>
        <v>#NAME?</v>
      </c>
      <c r="BT143" s="23" t="e">
        <f ca="1">+'QTR Raw'!AN79+'QTR Raw'!AN76</f>
        <v>#NAME?</v>
      </c>
      <c r="BU143" s="23" t="e">
        <f t="shared" ca="1" si="1214"/>
        <v>#NAME?</v>
      </c>
      <c r="BV143" s="23" t="e">
        <f ca="1">+'QTR Raw'!AP79+'QTR Raw'!AP76</f>
        <v>#NAME?</v>
      </c>
      <c r="BW143" s="23" t="e">
        <f t="shared" ca="1" si="1214"/>
        <v>#NAME?</v>
      </c>
      <c r="BX143" s="23" t="e">
        <f ca="1">+'QTR Raw'!AR79+'QTR Raw'!AR76</f>
        <v>#NAME?</v>
      </c>
      <c r="BY143" s="23" t="e">
        <f t="shared" ca="1" si="1214"/>
        <v>#NAME?</v>
      </c>
      <c r="BZ143" s="23" t="e">
        <f ca="1">+'QTR Raw'!AT79+'QTR Raw'!AT76</f>
        <v>#NAME?</v>
      </c>
      <c r="CA143" s="23" t="e">
        <f t="shared" ca="1" si="1214"/>
        <v>#NAME?</v>
      </c>
      <c r="CB143" s="23" t="e">
        <f ca="1">+'QTR Raw'!AV79+'QTR Raw'!AV76</f>
        <v>#NAME?</v>
      </c>
      <c r="CC143" s="23" t="e">
        <f t="shared" ca="1" si="1214"/>
        <v>#NAME?</v>
      </c>
      <c r="CD143" s="23" t="e">
        <f ca="1">+'QTR Raw'!AX79+'QTR Raw'!AX76</f>
        <v>#NAME?</v>
      </c>
      <c r="CE143" s="23" t="e">
        <f t="shared" ca="1" si="1214"/>
        <v>#NAME?</v>
      </c>
      <c r="CF143" s="23" t="e">
        <f ca="1">+'QTR Raw'!AZ79+'QTR Raw'!AZ76</f>
        <v>#NAME?</v>
      </c>
      <c r="CG143" s="23" t="e">
        <f t="shared" ca="1" si="1191"/>
        <v>#NAME?</v>
      </c>
      <c r="CH143" s="23" t="e">
        <f t="shared" ca="1" si="1192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92.256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10"/>
        <v>#NAME?</v>
      </c>
      <c r="AC144" s="24" t="e">
        <f t="shared" ca="1" si="1211"/>
        <v>#NAME?</v>
      </c>
      <c r="AD144" s="24" t="e">
        <f t="shared" ca="1" si="1212"/>
        <v>#NAME?</v>
      </c>
      <c r="AE144" s="24" t="e">
        <f t="shared" ca="1" si="1213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92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15">+CK179*CK10/90</f>
        <v>#NAME?</v>
      </c>
      <c r="CL144" s="23" t="e">
        <f ca="1">+'QTR Raw'!BF81</f>
        <v>#NAME?</v>
      </c>
      <c r="CM144" s="24" t="e">
        <f t="shared" ca="1" si="1215"/>
        <v>#NAME?</v>
      </c>
      <c r="CN144" s="24" t="e">
        <f t="shared" ca="1" si="1215"/>
        <v>#NAME?</v>
      </c>
      <c r="CO144" s="24" t="e">
        <f t="shared" ca="1" si="1215"/>
        <v>#NAME?</v>
      </c>
      <c r="CP144" s="24" t="e">
        <f t="shared" ca="1" si="1215"/>
        <v>#NAME?</v>
      </c>
      <c r="CQ144" s="24" t="e">
        <f t="shared" ca="1" si="1215"/>
        <v>#NAME?</v>
      </c>
      <c r="CR144" s="24" t="e">
        <f t="shared" ca="1" si="1215"/>
        <v>#NAME?</v>
      </c>
      <c r="CS144" s="24" t="e">
        <f t="shared" ca="1" si="1215"/>
        <v>#NAME?</v>
      </c>
      <c r="CT144" s="24" t="e">
        <f t="shared" ca="1" si="1215"/>
        <v>#NAME?</v>
      </c>
      <c r="CU144" s="24" t="e">
        <f t="shared" ca="1" si="1215"/>
        <v>#NAME?</v>
      </c>
      <c r="CV144" s="24" t="e">
        <f t="shared" ca="1" si="1215"/>
        <v>#NAME?</v>
      </c>
      <c r="CW144" s="24" t="e">
        <f t="shared" ca="1" si="1215"/>
        <v>#NAME?</v>
      </c>
      <c r="CX144" s="24" t="e">
        <f t="shared" ca="1" si="1215"/>
        <v>#NAME?</v>
      </c>
      <c r="CY144" s="24" t="e">
        <f t="shared" ca="1" si="1215"/>
        <v>#NAME?</v>
      </c>
      <c r="CZ144" s="24" t="e">
        <f t="shared" ca="1" si="1215"/>
        <v>#NAME?</v>
      </c>
      <c r="DA144" s="24" t="e">
        <f t="shared" ca="1" si="1215"/>
        <v>#NAME?</v>
      </c>
      <c r="DB144" s="24" t="e">
        <f t="shared" ca="1" si="1215"/>
        <v>#NAME?</v>
      </c>
      <c r="DE144" s="123"/>
      <c r="DF144" s="23">
        <v>647.33199999999999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10"/>
        <v>#NAME?</v>
      </c>
      <c r="AC145" s="24" t="e">
        <f t="shared" ca="1" si="1211"/>
        <v>#NAME?</v>
      </c>
      <c r="AD145" s="24" t="e">
        <f t="shared" ca="1" si="1212"/>
        <v>#NAME?</v>
      </c>
      <c r="AE145" s="24" t="e">
        <f t="shared" ca="1" si="1213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92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16">+CK180*CK10/90</f>
        <v>#NAME?</v>
      </c>
      <c r="CL145" s="23" t="e">
        <f ca="1">+'QTR Raw'!BF82</f>
        <v>#NAME?</v>
      </c>
      <c r="CM145" s="24" t="e">
        <f t="shared" ca="1" si="1216"/>
        <v>#NAME?</v>
      </c>
      <c r="CN145" s="24" t="e">
        <f t="shared" ca="1" si="1216"/>
        <v>#NAME?</v>
      </c>
      <c r="CO145" s="24" t="e">
        <f t="shared" ca="1" si="1216"/>
        <v>#NAME?</v>
      </c>
      <c r="CP145" s="24" t="e">
        <f t="shared" ca="1" si="1216"/>
        <v>#NAME?</v>
      </c>
      <c r="CQ145" s="24" t="e">
        <f t="shared" ca="1" si="1216"/>
        <v>#NAME?</v>
      </c>
      <c r="CR145" s="24" t="e">
        <f t="shared" ca="1" si="1216"/>
        <v>#NAME?</v>
      </c>
      <c r="CS145" s="24" t="e">
        <f t="shared" ca="1" si="1216"/>
        <v>#NAME?</v>
      </c>
      <c r="CT145" s="24" t="e">
        <f t="shared" ca="1" si="1216"/>
        <v>#NAME?</v>
      </c>
      <c r="CU145" s="24" t="e">
        <f t="shared" ca="1" si="1216"/>
        <v>#NAME?</v>
      </c>
      <c r="CV145" s="24" t="e">
        <f t="shared" ca="1" si="1216"/>
        <v>#NAME?</v>
      </c>
      <c r="CW145" s="24" t="e">
        <f t="shared" ca="1" si="1216"/>
        <v>#NAME?</v>
      </c>
      <c r="CX145" s="24" t="e">
        <f t="shared" ca="1" si="1216"/>
        <v>#NAME?</v>
      </c>
      <c r="CY145" s="24" t="e">
        <f t="shared" ca="1" si="1216"/>
        <v>#NAME?</v>
      </c>
      <c r="CZ145" s="24" t="e">
        <f t="shared" ca="1" si="1216"/>
        <v>#NAME?</v>
      </c>
      <c r="DA145" s="24" t="e">
        <f t="shared" ca="1" si="1216"/>
        <v>#NAME?</v>
      </c>
      <c r="DB145" s="24" t="e">
        <f t="shared" ca="1" si="1216"/>
        <v>#NAME?</v>
      </c>
      <c r="DE145" s="123"/>
      <c r="DF145" s="23">
        <v>307.31200000000001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10"/>
        <v>#NAME?</v>
      </c>
      <c r="AC146" s="24" t="e">
        <f t="shared" ca="1" si="1211"/>
        <v>#NAME?</v>
      </c>
      <c r="AD146" s="24" t="e">
        <f t="shared" ca="1" si="1212"/>
        <v>#NAME?</v>
      </c>
      <c r="AE146" s="24" t="e">
        <f t="shared" ca="1" si="1213"/>
        <v>#NAME?</v>
      </c>
      <c r="AJ146" s="23" t="e">
        <f ca="1">+'QTR Raw'!D84</f>
        <v>#NAME?</v>
      </c>
      <c r="AK146" s="23" t="e">
        <f t="shared" ca="1" si="1214"/>
        <v>#NAME?</v>
      </c>
      <c r="AL146" s="23" t="e">
        <f ca="1">+'QTR Raw'!F84</f>
        <v>#NAME?</v>
      </c>
      <c r="AM146" s="23" t="e">
        <f t="shared" ca="1" si="1214"/>
        <v>#NAME?</v>
      </c>
      <c r="AN146" s="23" t="e">
        <f ca="1">+'QTR Raw'!H84</f>
        <v>#NAME?</v>
      </c>
      <c r="AO146" s="23" t="e">
        <f t="shared" ca="1" si="1214"/>
        <v>#NAME?</v>
      </c>
      <c r="AP146" s="23" t="e">
        <f ca="1">+'QTR Raw'!J84</f>
        <v>#NAME?</v>
      </c>
      <c r="AQ146" s="23" t="e">
        <f t="shared" ca="1" si="1214"/>
        <v>#NAME?</v>
      </c>
      <c r="AR146" s="23" t="e">
        <f ca="1">+'QTR Raw'!L84</f>
        <v>#NAME?</v>
      </c>
      <c r="AS146" s="23" t="e">
        <f t="shared" ca="1" si="1214"/>
        <v>#NAME?</v>
      </c>
      <c r="AT146" s="23" t="e">
        <f ca="1">+'QTR Raw'!N84</f>
        <v>#NAME?</v>
      </c>
      <c r="AU146" s="23" t="e">
        <f t="shared" ca="1" si="1214"/>
        <v>#NAME?</v>
      </c>
      <c r="AV146" s="23" t="e">
        <f ca="1">+'QTR Raw'!P84</f>
        <v>#NAME?</v>
      </c>
      <c r="AW146" s="23" t="e">
        <f t="shared" ca="1" si="1214"/>
        <v>#NAME?</v>
      </c>
      <c r="AX146" s="23" t="e">
        <f ca="1">+'QTR Raw'!R84</f>
        <v>#NAME?</v>
      </c>
      <c r="AY146" s="23" t="e">
        <f t="shared" ca="1" si="1214"/>
        <v>#NAME?</v>
      </c>
      <c r="AZ146" s="23" t="e">
        <f ca="1">+'QTR Raw'!T84</f>
        <v>#NAME?</v>
      </c>
      <c r="BA146" s="23" t="e">
        <f t="shared" ca="1" si="1214"/>
        <v>#NAME?</v>
      </c>
      <c r="BB146" s="23" t="e">
        <f ca="1">+'QTR Raw'!V84</f>
        <v>#NAME?</v>
      </c>
      <c r="BC146" s="23" t="e">
        <f t="shared" ca="1" si="1214"/>
        <v>#NAME?</v>
      </c>
      <c r="BD146" s="23" t="e">
        <f ca="1">+'QTR Raw'!X84</f>
        <v>#NAME?</v>
      </c>
      <c r="BE146" s="23" t="e">
        <f t="shared" ca="1" si="1214"/>
        <v>#NAME?</v>
      </c>
      <c r="BF146" s="23" t="e">
        <f ca="1">+'QTR Raw'!Z84</f>
        <v>#NAME?</v>
      </c>
      <c r="BG146" s="23" t="e">
        <f t="shared" ca="1" si="1214"/>
        <v>#NAME?</v>
      </c>
      <c r="BH146" s="23" t="e">
        <f ca="1">+'QTR Raw'!AB84</f>
        <v>#NAME?</v>
      </c>
      <c r="BI146" s="23" t="e">
        <f t="shared" ca="1" si="1214"/>
        <v>#NAME?</v>
      </c>
      <c r="BJ146" s="23" t="e">
        <f ca="1">+'QTR Raw'!AD84</f>
        <v>#NAME?</v>
      </c>
      <c r="BK146" s="23" t="e">
        <f t="shared" ca="1" si="1214"/>
        <v>#NAME?</v>
      </c>
      <c r="BL146" s="23" t="e">
        <f ca="1">+'QTR Raw'!AF84</f>
        <v>#NAME?</v>
      </c>
      <c r="BM146" s="23" t="e">
        <f t="shared" ca="1" si="1214"/>
        <v>#NAME?</v>
      </c>
      <c r="BN146" s="23" t="e">
        <f ca="1">+'QTR Raw'!AH84</f>
        <v>#NAME?</v>
      </c>
      <c r="BO146" s="23" t="e">
        <f t="shared" ca="1" si="1214"/>
        <v>#NAME?</v>
      </c>
      <c r="BP146" s="23" t="e">
        <f ca="1">+'QTR Raw'!AJ84</f>
        <v>#NAME?</v>
      </c>
      <c r="BQ146" s="23" t="e">
        <f t="shared" ca="1" si="1214"/>
        <v>#NAME?</v>
      </c>
      <c r="BR146" s="23" t="e">
        <f ca="1">+'QTR Raw'!AL84</f>
        <v>#NAME?</v>
      </c>
      <c r="BS146" s="23" t="e">
        <f t="shared" ca="1" si="1214"/>
        <v>#NAME?</v>
      </c>
      <c r="BT146" s="23" t="e">
        <f ca="1">+'QTR Raw'!AN84</f>
        <v>#NAME?</v>
      </c>
      <c r="BU146" s="23" t="e">
        <f t="shared" ca="1" si="1214"/>
        <v>#NAME?</v>
      </c>
      <c r="BV146" s="23" t="e">
        <f ca="1">+'QTR Raw'!AP84</f>
        <v>#NAME?</v>
      </c>
      <c r="BW146" s="23" t="e">
        <f t="shared" ca="1" si="1214"/>
        <v>#NAME?</v>
      </c>
      <c r="BX146" s="23" t="e">
        <f ca="1">+'QTR Raw'!AR84</f>
        <v>#NAME?</v>
      </c>
      <c r="BY146" s="23" t="e">
        <f t="shared" ca="1" si="1214"/>
        <v>#NAME?</v>
      </c>
      <c r="BZ146" s="23" t="e">
        <f ca="1">+'QTR Raw'!AT84</f>
        <v>#NAME?</v>
      </c>
      <c r="CA146" s="23" t="e">
        <f t="shared" ca="1" si="1214"/>
        <v>#NAME?</v>
      </c>
      <c r="CB146" s="23" t="e">
        <f ca="1">+'QTR Raw'!AV84</f>
        <v>#NAME?</v>
      </c>
      <c r="CC146" s="23" t="e">
        <f t="shared" ca="1" si="1214"/>
        <v>#NAME?</v>
      </c>
      <c r="CD146" s="23" t="e">
        <f ca="1">+'QTR Raw'!AX84</f>
        <v>#NAME?</v>
      </c>
      <c r="CE146" s="23" t="e">
        <f t="shared" ca="1" si="1214"/>
        <v>#NAME?</v>
      </c>
      <c r="CF146" s="23" t="e">
        <f ca="1">+'QTR Raw'!AZ84</f>
        <v>#NAME?</v>
      </c>
      <c r="CG146" s="23" t="e">
        <f t="shared" ref="CG146:CG147" ca="1" si="1217">+CF146</f>
        <v>#NAME?</v>
      </c>
      <c r="CH146" s="23" t="e">
        <f t="shared" ca="1" si="1192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18">CK10/90*CK181</f>
        <v>#NAME?</v>
      </c>
      <c r="CL146" s="23" t="e">
        <f ca="1">+'QTR Raw'!BF84</f>
        <v>#NAME?</v>
      </c>
      <c r="CM146" s="24" t="e">
        <f t="shared" ca="1" si="1218"/>
        <v>#NAME?</v>
      </c>
      <c r="CN146" s="24" t="e">
        <f t="shared" ca="1" si="1218"/>
        <v>#NAME?</v>
      </c>
      <c r="CO146" s="24" t="e">
        <f t="shared" ca="1" si="1218"/>
        <v>#NAME?</v>
      </c>
      <c r="CP146" s="24" t="e">
        <f t="shared" ca="1" si="1218"/>
        <v>#NAME?</v>
      </c>
      <c r="CQ146" s="24" t="e">
        <f t="shared" ca="1" si="1218"/>
        <v>#NAME?</v>
      </c>
      <c r="CR146" s="24" t="e">
        <f t="shared" ca="1" si="1218"/>
        <v>#NAME?</v>
      </c>
      <c r="CS146" s="24" t="e">
        <f t="shared" ca="1" si="1218"/>
        <v>#NAME?</v>
      </c>
      <c r="CT146" s="24" t="e">
        <f t="shared" ca="1" si="1218"/>
        <v>#NAME?</v>
      </c>
      <c r="CU146" s="24" t="e">
        <f t="shared" ca="1" si="1218"/>
        <v>#NAME?</v>
      </c>
      <c r="CV146" s="24" t="e">
        <f t="shared" ca="1" si="1218"/>
        <v>#NAME?</v>
      </c>
      <c r="CW146" s="24" t="e">
        <f t="shared" ca="1" si="1218"/>
        <v>#NAME?</v>
      </c>
      <c r="CX146" s="24" t="e">
        <f t="shared" ca="1" si="1218"/>
        <v>#NAME?</v>
      </c>
      <c r="CY146" s="24" t="e">
        <f t="shared" ca="1" si="1218"/>
        <v>#NAME?</v>
      </c>
      <c r="CZ146" s="24" t="e">
        <f t="shared" ca="1" si="1218"/>
        <v>#NAME?</v>
      </c>
      <c r="DA146" s="24" t="e">
        <f t="shared" ca="1" si="1218"/>
        <v>#NAME?</v>
      </c>
      <c r="DB146" s="24" t="e">
        <f t="shared" ca="1" si="1218"/>
        <v>#NAME?</v>
      </c>
      <c r="DE146" s="123"/>
      <c r="DF146" s="23">
        <v>121.857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 t="e">
        <f ca="1">+'QTR Raw'!D85</f>
        <v>#NAME?</v>
      </c>
      <c r="AK147" s="23" t="e">
        <f t="shared" ca="1" si="1214"/>
        <v>#NAME?</v>
      </c>
      <c r="AL147" s="23" t="e">
        <f ca="1">+'QTR Raw'!F85</f>
        <v>#NAME?</v>
      </c>
      <c r="AM147" s="23" t="e">
        <f t="shared" ca="1" si="1214"/>
        <v>#NAME?</v>
      </c>
      <c r="AN147" s="23" t="e">
        <f ca="1">+'QTR Raw'!H85</f>
        <v>#NAME?</v>
      </c>
      <c r="AO147" s="23" t="e">
        <f t="shared" ca="1" si="1214"/>
        <v>#NAME?</v>
      </c>
      <c r="AP147" s="23" t="e">
        <f ca="1">+'QTR Raw'!J85</f>
        <v>#NAME?</v>
      </c>
      <c r="AQ147" s="23" t="e">
        <f t="shared" ca="1" si="1214"/>
        <v>#NAME?</v>
      </c>
      <c r="AR147" s="23" t="e">
        <f ca="1">+'QTR Raw'!L85</f>
        <v>#NAME?</v>
      </c>
      <c r="AS147" s="23" t="e">
        <f t="shared" ca="1" si="1214"/>
        <v>#NAME?</v>
      </c>
      <c r="AT147" s="23" t="e">
        <f ca="1">+'QTR Raw'!N85</f>
        <v>#NAME?</v>
      </c>
      <c r="AU147" s="23" t="e">
        <f t="shared" ca="1" si="1214"/>
        <v>#NAME?</v>
      </c>
      <c r="AV147" s="23" t="e">
        <f ca="1">+'QTR Raw'!P85</f>
        <v>#NAME?</v>
      </c>
      <c r="AW147" s="23" t="e">
        <f t="shared" ca="1" si="1214"/>
        <v>#NAME?</v>
      </c>
      <c r="AX147" s="23" t="e">
        <f ca="1">+'QTR Raw'!R85</f>
        <v>#NAME?</v>
      </c>
      <c r="AY147" s="23" t="e">
        <f t="shared" ca="1" si="1214"/>
        <v>#NAME?</v>
      </c>
      <c r="AZ147" s="23" t="e">
        <f ca="1">+'QTR Raw'!T85</f>
        <v>#NAME?</v>
      </c>
      <c r="BA147" s="23" t="e">
        <f t="shared" ca="1" si="1214"/>
        <v>#NAME?</v>
      </c>
      <c r="BB147" s="23" t="e">
        <f ca="1">+'QTR Raw'!V85</f>
        <v>#NAME?</v>
      </c>
      <c r="BC147" s="23" t="e">
        <f t="shared" ca="1" si="1214"/>
        <v>#NAME?</v>
      </c>
      <c r="BD147" s="23" t="e">
        <f ca="1">+'QTR Raw'!X85</f>
        <v>#NAME?</v>
      </c>
      <c r="BE147" s="23" t="e">
        <f t="shared" ca="1" si="1214"/>
        <v>#NAME?</v>
      </c>
      <c r="BF147" s="23" t="e">
        <f ca="1">+'QTR Raw'!Z85</f>
        <v>#NAME?</v>
      </c>
      <c r="BG147" s="23" t="e">
        <f t="shared" ca="1" si="1214"/>
        <v>#NAME?</v>
      </c>
      <c r="BH147" s="23" t="e">
        <f ca="1">+'QTR Raw'!AB85</f>
        <v>#NAME?</v>
      </c>
      <c r="BI147" s="23" t="e">
        <f t="shared" ca="1" si="1214"/>
        <v>#NAME?</v>
      </c>
      <c r="BJ147" s="23" t="e">
        <f ca="1">+'QTR Raw'!AD85</f>
        <v>#NAME?</v>
      </c>
      <c r="BK147" s="23" t="e">
        <f t="shared" ca="1" si="1214"/>
        <v>#NAME?</v>
      </c>
      <c r="BL147" s="23" t="e">
        <f ca="1">+'QTR Raw'!AF85</f>
        <v>#NAME?</v>
      </c>
      <c r="BM147" s="23" t="e">
        <f t="shared" ca="1" si="1214"/>
        <v>#NAME?</v>
      </c>
      <c r="BN147" s="23" t="e">
        <f ca="1">+'QTR Raw'!AH85</f>
        <v>#NAME?</v>
      </c>
      <c r="BO147" s="23" t="e">
        <f t="shared" ca="1" si="1214"/>
        <v>#NAME?</v>
      </c>
      <c r="BP147" s="23" t="e">
        <f ca="1">+'QTR Raw'!AJ85</f>
        <v>#NAME?</v>
      </c>
      <c r="BQ147" s="23" t="e">
        <f t="shared" ca="1" si="1214"/>
        <v>#NAME?</v>
      </c>
      <c r="BR147" s="23" t="e">
        <f ca="1">+'QTR Raw'!AL85</f>
        <v>#NAME?</v>
      </c>
      <c r="BS147" s="23" t="e">
        <f t="shared" ca="1" si="1214"/>
        <v>#NAME?</v>
      </c>
      <c r="BT147" s="23" t="e">
        <f ca="1">+'QTR Raw'!AN85</f>
        <v>#NAME?</v>
      </c>
      <c r="BU147" s="23" t="e">
        <f t="shared" ca="1" si="1214"/>
        <v>#NAME?</v>
      </c>
      <c r="BV147" s="23" t="e">
        <f ca="1">+'QTR Raw'!AP85</f>
        <v>#NAME?</v>
      </c>
      <c r="BW147" s="23" t="e">
        <f t="shared" ca="1" si="1214"/>
        <v>#NAME?</v>
      </c>
      <c r="BX147" s="23" t="e">
        <f ca="1">+'QTR Raw'!AR85</f>
        <v>#NAME?</v>
      </c>
      <c r="BY147" s="23" t="e">
        <f t="shared" ca="1" si="1214"/>
        <v>#NAME?</v>
      </c>
      <c r="BZ147" s="23" t="e">
        <f ca="1">+'QTR Raw'!AT85</f>
        <v>#NAME?</v>
      </c>
      <c r="CA147" s="23" t="e">
        <f t="shared" ca="1" si="1214"/>
        <v>#NAME?</v>
      </c>
      <c r="CB147" s="23" t="e">
        <f ca="1">+'QTR Raw'!AV85</f>
        <v>#NAME?</v>
      </c>
      <c r="CC147" s="23" t="e">
        <f t="shared" ca="1" si="1214"/>
        <v>#NAME?</v>
      </c>
      <c r="CD147" s="23" t="e">
        <f ca="1">+'QTR Raw'!AX85</f>
        <v>#NAME?</v>
      </c>
      <c r="CE147" s="23" t="e">
        <f t="shared" ca="1" si="1214"/>
        <v>#NAME?</v>
      </c>
      <c r="CF147" s="23" t="e">
        <f ca="1">+'QTR Raw'!AZ85</f>
        <v>#NAME?</v>
      </c>
      <c r="CG147" s="23" t="e">
        <f t="shared" ca="1" si="1217"/>
        <v>#NAME?</v>
      </c>
      <c r="CH147" s="23" t="e">
        <f t="shared" ca="1" si="1192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9">SUM(C142:C147)</f>
        <v>#NAME?</v>
      </c>
      <c r="D148" s="22" t="e">
        <f t="shared" ca="1" si="1219"/>
        <v>#NAME?</v>
      </c>
      <c r="E148" s="22" t="e">
        <f t="shared" ca="1" si="1219"/>
        <v>#NAME?</v>
      </c>
      <c r="F148" s="22" t="e">
        <f t="shared" ca="1" si="1219"/>
        <v>#NAME?</v>
      </c>
      <c r="G148" s="22" t="e">
        <f t="shared" ca="1" si="1219"/>
        <v>#NAME?</v>
      </c>
      <c r="H148" s="22" t="e">
        <f t="shared" ca="1" si="1219"/>
        <v>#NAME?</v>
      </c>
      <c r="I148" s="22" t="e">
        <f t="shared" ca="1" si="1219"/>
        <v>#NAME?</v>
      </c>
      <c r="J148" s="22" t="e">
        <f t="shared" ca="1" si="1219"/>
        <v>#NAME?</v>
      </c>
      <c r="K148" s="22" t="e">
        <f t="shared" ca="1" si="1219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9"/>
        <v>#NAME?</v>
      </c>
      <c r="O148" s="22" t="e">
        <f t="shared" ca="1" si="1219"/>
        <v>#NAME?</v>
      </c>
      <c r="P148" s="22" t="e">
        <f t="shared" ca="1" si="1219"/>
        <v>#NAME?</v>
      </c>
      <c r="Q148" s="22" t="e">
        <f t="shared" ca="1" si="1219"/>
        <v>#NAME?</v>
      </c>
      <c r="R148" s="22" t="e">
        <f t="shared" ca="1" si="1219"/>
        <v>#NAME?</v>
      </c>
      <c r="S148" s="22" t="e">
        <f t="shared" ca="1" si="1219"/>
        <v>#NAME?</v>
      </c>
      <c r="T148" s="22" t="e">
        <f t="shared" ca="1" si="1219"/>
        <v>#NAME?</v>
      </c>
      <c r="U148" s="22" t="e">
        <f t="shared" ca="1" si="1219"/>
        <v>#NAME?</v>
      </c>
      <c r="V148" s="22" t="e">
        <f t="shared" ca="1" si="1219"/>
        <v>#NAME?</v>
      </c>
      <c r="W148" s="22" t="e">
        <f t="shared" ref="W148" ca="1" si="1220">SUM(W142:W147)</f>
        <v>#NAME?</v>
      </c>
      <c r="X148" s="22" t="e">
        <f t="shared" ref="X148:Y148" ca="1" si="1221">SUM(X142:X147)</f>
        <v>#NAME?</v>
      </c>
      <c r="Y148" s="22" t="e">
        <f t="shared" ca="1" si="1221"/>
        <v>#NAME?</v>
      </c>
      <c r="Z148" s="22" t="e">
        <f t="shared" ref="Z148:AA148" ca="1" si="1222">SUM(Z142:Z147)</f>
        <v>#NAME?</v>
      </c>
      <c r="AA148" s="22" t="e">
        <f t="shared" ca="1" si="1222"/>
        <v>#NAME?</v>
      </c>
      <c r="AB148" s="21" t="e">
        <f t="shared" ref="AA148:AD148" ca="1" si="1223">SUM(AB142:AB147)</f>
        <v>#NAME?</v>
      </c>
      <c r="AC148" s="21" t="e">
        <f t="shared" ca="1" si="1223"/>
        <v>#NAME?</v>
      </c>
      <c r="AD148" s="21" t="e">
        <f t="shared" ca="1" si="1223"/>
        <v>#NAME?</v>
      </c>
      <c r="AE148" s="21" t="e">
        <f t="shared" ref="AE148" ca="1" si="1224">SUM(AE142:AE147)</f>
        <v>#NAME?</v>
      </c>
      <c r="AJ148" s="22" t="e">
        <f t="shared" ref="AJ148" ca="1" si="1225">SUM(AJ142:AJ147)</f>
        <v>#NAME?</v>
      </c>
      <c r="AK148" s="22" t="e">
        <f t="shared" ref="AK148" ca="1" si="1226">SUM(AK142:AK147)</f>
        <v>#NAME?</v>
      </c>
      <c r="AL148" s="22" t="e">
        <f t="shared" ref="AL148:AM148" ca="1" si="1227">SUM(AL142:AL147)</f>
        <v>#NAME?</v>
      </c>
      <c r="AM148" s="22" t="e">
        <f t="shared" ca="1" si="1227"/>
        <v>#NAME?</v>
      </c>
      <c r="AN148" s="22" t="e">
        <f t="shared" ref="AN148:AO148" ca="1" si="1228">SUM(AN142:AN147)</f>
        <v>#NAME?</v>
      </c>
      <c r="AO148" s="22" t="e">
        <f t="shared" ca="1" si="1228"/>
        <v>#NAME?</v>
      </c>
      <c r="AP148" s="22" t="e">
        <f t="shared" ref="AP148:CE148" ca="1" si="1229">SUM(AP142:AP147)</f>
        <v>#NAME?</v>
      </c>
      <c r="AQ148" s="22" t="e">
        <f t="shared" ca="1" si="1229"/>
        <v>#NAME?</v>
      </c>
      <c r="AR148" s="22" t="e">
        <f t="shared" ca="1" si="1229"/>
        <v>#NAME?</v>
      </c>
      <c r="AS148" s="22" t="e">
        <f t="shared" ca="1" si="1229"/>
        <v>#NAME?</v>
      </c>
      <c r="AT148" s="22" t="e">
        <f t="shared" ca="1" si="1229"/>
        <v>#NAME?</v>
      </c>
      <c r="AU148" s="22" t="e">
        <f t="shared" ca="1" si="1229"/>
        <v>#NAME?</v>
      </c>
      <c r="AV148" s="22" t="e">
        <f t="shared" ca="1" si="1229"/>
        <v>#NAME?</v>
      </c>
      <c r="AW148" s="22" t="e">
        <f t="shared" ca="1" si="1229"/>
        <v>#NAME?</v>
      </c>
      <c r="AX148" s="22" t="e">
        <f t="shared" ca="1" si="1229"/>
        <v>#NAME?</v>
      </c>
      <c r="AY148" s="22" t="e">
        <f t="shared" ca="1" si="1229"/>
        <v>#NAME?</v>
      </c>
      <c r="AZ148" s="22" t="e">
        <f t="shared" ca="1" si="1229"/>
        <v>#NAME?</v>
      </c>
      <c r="BA148" s="22" t="e">
        <f t="shared" ca="1" si="1229"/>
        <v>#NAME?</v>
      </c>
      <c r="BB148" s="22" t="e">
        <f t="shared" ca="1" si="1229"/>
        <v>#NAME?</v>
      </c>
      <c r="BC148" s="22" t="e">
        <f t="shared" ca="1" si="1229"/>
        <v>#NAME?</v>
      </c>
      <c r="BD148" s="22" t="e">
        <f t="shared" ca="1" si="1229"/>
        <v>#NAME?</v>
      </c>
      <c r="BE148" s="22" t="e">
        <f t="shared" ca="1" si="1229"/>
        <v>#NAME?</v>
      </c>
      <c r="BF148" s="22" t="e">
        <f t="shared" ca="1" si="1229"/>
        <v>#NAME?</v>
      </c>
      <c r="BG148" s="22" t="e">
        <f t="shared" ca="1" si="1229"/>
        <v>#NAME?</v>
      </c>
      <c r="BH148" s="22" t="e">
        <f t="shared" ca="1" si="1229"/>
        <v>#NAME?</v>
      </c>
      <c r="BI148" s="22" t="e">
        <f t="shared" ca="1" si="1229"/>
        <v>#NAME?</v>
      </c>
      <c r="BJ148" s="22" t="e">
        <f t="shared" ca="1" si="1229"/>
        <v>#NAME?</v>
      </c>
      <c r="BK148" s="22" t="e">
        <f t="shared" ca="1" si="1229"/>
        <v>#NAME?</v>
      </c>
      <c r="BL148" s="22" t="e">
        <f t="shared" ca="1" si="1229"/>
        <v>#NAME?</v>
      </c>
      <c r="BM148" s="22" t="e">
        <f t="shared" ca="1" si="1229"/>
        <v>#NAME?</v>
      </c>
      <c r="BN148" s="22" t="e">
        <f t="shared" ca="1" si="1229"/>
        <v>#NAME?</v>
      </c>
      <c r="BO148" s="22" t="e">
        <f t="shared" ca="1" si="1229"/>
        <v>#NAME?</v>
      </c>
      <c r="BP148" s="22" t="e">
        <f t="shared" ca="1" si="1229"/>
        <v>#NAME?</v>
      </c>
      <c r="BQ148" s="22" t="e">
        <f t="shared" ca="1" si="1229"/>
        <v>#NAME?</v>
      </c>
      <c r="BR148" s="22" t="e">
        <f t="shared" ca="1" si="1229"/>
        <v>#NAME?</v>
      </c>
      <c r="BS148" s="22" t="e">
        <f t="shared" ca="1" si="1229"/>
        <v>#NAME?</v>
      </c>
      <c r="BT148" s="22" t="e">
        <f t="shared" ca="1" si="1229"/>
        <v>#NAME?</v>
      </c>
      <c r="BU148" s="22" t="e">
        <f t="shared" ca="1" si="1229"/>
        <v>#NAME?</v>
      </c>
      <c r="BV148" s="22" t="e">
        <f t="shared" ca="1" si="1229"/>
        <v>#NAME?</v>
      </c>
      <c r="BW148" s="22" t="e">
        <f t="shared" ca="1" si="1229"/>
        <v>#NAME?</v>
      </c>
      <c r="BX148" s="22" t="e">
        <f t="shared" ca="1" si="1229"/>
        <v>#NAME?</v>
      </c>
      <c r="BY148" s="22" t="e">
        <f t="shared" ca="1" si="1229"/>
        <v>#NAME?</v>
      </c>
      <c r="BZ148" s="22" t="e">
        <f t="shared" ca="1" si="1229"/>
        <v>#NAME?</v>
      </c>
      <c r="CA148" s="22" t="e">
        <f t="shared" ca="1" si="1229"/>
        <v>#NAME?</v>
      </c>
      <c r="CB148" s="22" t="e">
        <f t="shared" ca="1" si="1229"/>
        <v>#NAME?</v>
      </c>
      <c r="CC148" s="22" t="e">
        <f t="shared" ca="1" si="1229"/>
        <v>#NAME?</v>
      </c>
      <c r="CD148" s="22" t="e">
        <f t="shared" ca="1" si="1229"/>
        <v>#NAME?</v>
      </c>
      <c r="CE148" s="22" t="e">
        <f t="shared" ca="1" si="1229"/>
        <v>#NAME?</v>
      </c>
      <c r="CF148" s="22" t="e">
        <f t="shared" ref="CF148:CG148" ca="1" si="1230">SUM(CF142:CF147)</f>
        <v>#NAME?</v>
      </c>
      <c r="CG148" s="22" t="e">
        <f t="shared" ca="1" si="1230"/>
        <v>#NAME?</v>
      </c>
      <c r="CH148" s="22" t="e">
        <f t="shared" ref="CH148:CI148" ca="1" si="1231">SUM(CH142:CH147)</f>
        <v>#NAME?</v>
      </c>
      <c r="CI148" s="22" t="e">
        <f t="shared" ca="1" si="1231"/>
        <v>#NAME?</v>
      </c>
      <c r="CJ148" s="22" t="e">
        <f t="shared" ref="CJ148:DB148" ca="1" si="1232">SUM(CJ142:CJ147)</f>
        <v>#NAME?</v>
      </c>
      <c r="CK148" s="21" t="e">
        <f t="shared" ca="1" si="1232"/>
        <v>#NAME?</v>
      </c>
      <c r="CL148" s="22" t="e">
        <f t="shared" ref="CL148" ca="1" si="1233">SUM(CL142:CL147)</f>
        <v>#NAME?</v>
      </c>
      <c r="CM148" s="21" t="e">
        <f t="shared" ca="1" si="1232"/>
        <v>#NAME?</v>
      </c>
      <c r="CN148" s="21" t="e">
        <f t="shared" ca="1" si="1232"/>
        <v>#NAME?</v>
      </c>
      <c r="CO148" s="21" t="e">
        <f t="shared" ca="1" si="1232"/>
        <v>#NAME?</v>
      </c>
      <c r="CP148" s="21" t="e">
        <f t="shared" ca="1" si="1232"/>
        <v>#NAME?</v>
      </c>
      <c r="CQ148" s="21" t="e">
        <f t="shared" ca="1" si="1232"/>
        <v>#NAME?</v>
      </c>
      <c r="CR148" s="21" t="e">
        <f t="shared" ca="1" si="1232"/>
        <v>#NAME?</v>
      </c>
      <c r="CS148" s="21" t="e">
        <f t="shared" ca="1" si="1232"/>
        <v>#NAME?</v>
      </c>
      <c r="CT148" s="21" t="e">
        <f t="shared" ca="1" si="1232"/>
        <v>#NAME?</v>
      </c>
      <c r="CU148" s="21" t="e">
        <f t="shared" ca="1" si="1232"/>
        <v>#NAME?</v>
      </c>
      <c r="CV148" s="21" t="e">
        <f t="shared" ca="1" si="1232"/>
        <v>#NAME?</v>
      </c>
      <c r="CW148" s="21" t="e">
        <f t="shared" ca="1" si="1232"/>
        <v>#NAME?</v>
      </c>
      <c r="CX148" s="21" t="e">
        <f t="shared" ca="1" si="1232"/>
        <v>#NAME?</v>
      </c>
      <c r="CY148" s="21" t="e">
        <f t="shared" ca="1" si="1232"/>
        <v>#NAME?</v>
      </c>
      <c r="CZ148" s="21" t="e">
        <f t="shared" ca="1" si="1232"/>
        <v>#NAME?</v>
      </c>
      <c r="DA148" s="21" t="e">
        <f t="shared" ca="1" si="1232"/>
        <v>#NAME?</v>
      </c>
      <c r="DB148" s="21" t="e">
        <f t="shared" ca="1" si="1232"/>
        <v>#NAME?</v>
      </c>
      <c r="DE148" s="126"/>
      <c r="DF148" s="22">
        <v>1168.7570000000001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 t="e">
        <f ca="1">+'QTR Raw'!D64</f>
        <v>#NAME?</v>
      </c>
      <c r="AK149" s="23" t="e">
        <f t="shared" ref="AK149:CE155" ca="1" si="1238">+AJ149</f>
        <v>#NAME?</v>
      </c>
      <c r="AL149" s="23" t="e">
        <f ca="1">+'QTR Raw'!F64</f>
        <v>#NAME?</v>
      </c>
      <c r="AM149" s="23" t="e">
        <f t="shared" ca="1" si="1238"/>
        <v>#NAME?</v>
      </c>
      <c r="AN149" s="23" t="e">
        <f ca="1">+'QTR Raw'!H64</f>
        <v>#NAME?</v>
      </c>
      <c r="AO149" s="23" t="e">
        <f t="shared" ca="1" si="1238"/>
        <v>#NAME?</v>
      </c>
      <c r="AP149" s="23" t="e">
        <f ca="1">+'QTR Raw'!J64</f>
        <v>#NAME?</v>
      </c>
      <c r="AQ149" s="23" t="e">
        <f t="shared" ca="1" si="1238"/>
        <v>#NAME?</v>
      </c>
      <c r="AR149" s="23" t="e">
        <f ca="1">+'QTR Raw'!L64</f>
        <v>#NAME?</v>
      </c>
      <c r="AS149" s="23" t="e">
        <f t="shared" ca="1" si="1238"/>
        <v>#NAME?</v>
      </c>
      <c r="AT149" s="23" t="e">
        <f ca="1">+'QTR Raw'!N64</f>
        <v>#NAME?</v>
      </c>
      <c r="AU149" s="23" t="e">
        <f t="shared" ca="1" si="1238"/>
        <v>#NAME?</v>
      </c>
      <c r="AV149" s="23" t="e">
        <f ca="1">+'QTR Raw'!P64</f>
        <v>#NAME?</v>
      </c>
      <c r="AW149" s="23" t="e">
        <f t="shared" ca="1" si="1238"/>
        <v>#NAME?</v>
      </c>
      <c r="AX149" s="23" t="e">
        <f ca="1">+'QTR Raw'!R64</f>
        <v>#NAME?</v>
      </c>
      <c r="AY149" s="23" t="e">
        <f t="shared" ca="1" si="1238"/>
        <v>#NAME?</v>
      </c>
      <c r="AZ149" s="23" t="e">
        <f ca="1">+'QTR Raw'!T64</f>
        <v>#NAME?</v>
      </c>
      <c r="BA149" s="23" t="e">
        <f t="shared" ca="1" si="1238"/>
        <v>#NAME?</v>
      </c>
      <c r="BB149" s="23" t="e">
        <f ca="1">+'QTR Raw'!V64</f>
        <v>#NAME?</v>
      </c>
      <c r="BC149" s="23" t="e">
        <f t="shared" ca="1" si="1238"/>
        <v>#NAME?</v>
      </c>
      <c r="BD149" s="23" t="e">
        <f ca="1">+'QTR Raw'!X64</f>
        <v>#NAME?</v>
      </c>
      <c r="BE149" s="23" t="e">
        <f t="shared" ca="1" si="1238"/>
        <v>#NAME?</v>
      </c>
      <c r="BF149" s="23" t="e">
        <f ca="1">+'QTR Raw'!Z64</f>
        <v>#NAME?</v>
      </c>
      <c r="BG149" s="23" t="e">
        <f t="shared" ca="1" si="1238"/>
        <v>#NAME?</v>
      </c>
      <c r="BH149" s="23" t="e">
        <f ca="1">+'QTR Raw'!AB64</f>
        <v>#NAME?</v>
      </c>
      <c r="BI149" s="23" t="e">
        <f t="shared" ca="1" si="1238"/>
        <v>#NAME?</v>
      </c>
      <c r="BJ149" s="23" t="e">
        <f ca="1">+'QTR Raw'!AD64</f>
        <v>#NAME?</v>
      </c>
      <c r="BK149" s="23" t="e">
        <f t="shared" ca="1" si="1238"/>
        <v>#NAME?</v>
      </c>
      <c r="BL149" s="23" t="e">
        <f ca="1">+'QTR Raw'!AF64</f>
        <v>#NAME?</v>
      </c>
      <c r="BM149" s="23" t="e">
        <f t="shared" ca="1" si="1238"/>
        <v>#NAME?</v>
      </c>
      <c r="BN149" s="23" t="e">
        <f ca="1">+'QTR Raw'!AH64</f>
        <v>#NAME?</v>
      </c>
      <c r="BO149" s="23" t="e">
        <f t="shared" ca="1" si="1238"/>
        <v>#NAME?</v>
      </c>
      <c r="BP149" s="23" t="e">
        <f ca="1">+'QTR Raw'!AJ64</f>
        <v>#NAME?</v>
      </c>
      <c r="BQ149" s="23" t="e">
        <f t="shared" ca="1" si="1238"/>
        <v>#NAME?</v>
      </c>
      <c r="BR149" s="23" t="e">
        <f ca="1">+'QTR Raw'!AL64</f>
        <v>#NAME?</v>
      </c>
      <c r="BS149" s="23" t="e">
        <f t="shared" ca="1" si="1238"/>
        <v>#NAME?</v>
      </c>
      <c r="BT149" s="23" t="e">
        <f ca="1">+'QTR Raw'!AN64</f>
        <v>#NAME?</v>
      </c>
      <c r="BU149" s="23" t="e">
        <f t="shared" ca="1" si="1238"/>
        <v>#NAME?</v>
      </c>
      <c r="BV149" s="23" t="e">
        <f ca="1">+'QTR Raw'!AP64</f>
        <v>#NAME?</v>
      </c>
      <c r="BW149" s="23" t="e">
        <f t="shared" ca="1" si="1238"/>
        <v>#NAME?</v>
      </c>
      <c r="BX149" s="23" t="e">
        <f ca="1">+'QTR Raw'!AR64</f>
        <v>#NAME?</v>
      </c>
      <c r="BY149" s="23" t="e">
        <f t="shared" ca="1" si="1238"/>
        <v>#NAME?</v>
      </c>
      <c r="BZ149" s="23" t="e">
        <f ca="1">+'QTR Raw'!AT64</f>
        <v>#NAME?</v>
      </c>
      <c r="CA149" s="23" t="e">
        <f t="shared" ca="1" si="1238"/>
        <v>#NAME?</v>
      </c>
      <c r="CB149" s="23" t="e">
        <f ca="1">+'QTR Raw'!AV64</f>
        <v>#NAME?</v>
      </c>
      <c r="CC149" s="23" t="e">
        <f t="shared" ca="1" si="1238"/>
        <v>#NAME?</v>
      </c>
      <c r="CD149" s="23" t="e">
        <f ca="1">+'QTR Raw'!AX64</f>
        <v>#NAME?</v>
      </c>
      <c r="CE149" s="23" t="e">
        <f t="shared" ca="1" si="1238"/>
        <v>#NAME?</v>
      </c>
      <c r="CF149" s="23" t="e">
        <f ca="1">+'QTR Raw'!AZ64</f>
        <v>#NAME?</v>
      </c>
      <c r="CG149" s="23" t="e">
        <f t="shared" ref="CG149:CG152" ca="1" si="1239">+CF149</f>
        <v>#NAME?</v>
      </c>
      <c r="CH149" s="23" t="e">
        <f t="shared" ca="1" si="1192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55.006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 t="e">
        <f ca="1">+'QTR Raw'!D65</f>
        <v>#NAME?</v>
      </c>
      <c r="AK150" s="23" t="e">
        <f t="shared" ca="1" si="1238"/>
        <v>#NAME?</v>
      </c>
      <c r="AL150" s="23" t="e">
        <f ca="1">+'QTR Raw'!F65</f>
        <v>#NAME?</v>
      </c>
      <c r="AM150" s="23" t="e">
        <f t="shared" ca="1" si="1238"/>
        <v>#NAME?</v>
      </c>
      <c r="AN150" s="23" t="e">
        <f ca="1">+'QTR Raw'!H65</f>
        <v>#NAME?</v>
      </c>
      <c r="AO150" s="23" t="e">
        <f t="shared" ca="1" si="1238"/>
        <v>#NAME?</v>
      </c>
      <c r="AP150" s="23" t="e">
        <f ca="1">+'QTR Raw'!J65</f>
        <v>#NAME?</v>
      </c>
      <c r="AQ150" s="23" t="e">
        <f t="shared" ca="1" si="1238"/>
        <v>#NAME?</v>
      </c>
      <c r="AR150" s="23" t="e">
        <f ca="1">+'QTR Raw'!L65</f>
        <v>#NAME?</v>
      </c>
      <c r="AS150" s="23" t="e">
        <f t="shared" ca="1" si="1238"/>
        <v>#NAME?</v>
      </c>
      <c r="AT150" s="23" t="e">
        <f ca="1">+'QTR Raw'!N65</f>
        <v>#NAME?</v>
      </c>
      <c r="AU150" s="23" t="e">
        <f t="shared" ca="1" si="1238"/>
        <v>#NAME?</v>
      </c>
      <c r="AV150" s="23" t="e">
        <f ca="1">+'QTR Raw'!P65</f>
        <v>#NAME?</v>
      </c>
      <c r="AW150" s="23" t="e">
        <f t="shared" ca="1" si="1238"/>
        <v>#NAME?</v>
      </c>
      <c r="AX150" s="23" t="e">
        <f ca="1">+'QTR Raw'!R65</f>
        <v>#NAME?</v>
      </c>
      <c r="AY150" s="23" t="e">
        <f t="shared" ca="1" si="1238"/>
        <v>#NAME?</v>
      </c>
      <c r="AZ150" s="23" t="e">
        <f ca="1">+'QTR Raw'!T65</f>
        <v>#NAME?</v>
      </c>
      <c r="BA150" s="23" t="e">
        <f t="shared" ca="1" si="1238"/>
        <v>#NAME?</v>
      </c>
      <c r="BB150" s="23" t="e">
        <f ca="1">+'QTR Raw'!V65</f>
        <v>#NAME?</v>
      </c>
      <c r="BC150" s="23" t="e">
        <f t="shared" ca="1" si="1238"/>
        <v>#NAME?</v>
      </c>
      <c r="BD150" s="23" t="e">
        <f ca="1">+'QTR Raw'!X65</f>
        <v>#NAME?</v>
      </c>
      <c r="BE150" s="23" t="e">
        <f t="shared" ca="1" si="1238"/>
        <v>#NAME?</v>
      </c>
      <c r="BF150" s="23" t="e">
        <f ca="1">+'QTR Raw'!Z65</f>
        <v>#NAME?</v>
      </c>
      <c r="BG150" s="23" t="e">
        <f t="shared" ca="1" si="1238"/>
        <v>#NAME?</v>
      </c>
      <c r="BH150" s="23" t="e">
        <f ca="1">+'QTR Raw'!AB65</f>
        <v>#NAME?</v>
      </c>
      <c r="BI150" s="23" t="e">
        <f t="shared" ca="1" si="1238"/>
        <v>#NAME?</v>
      </c>
      <c r="BJ150" s="23" t="e">
        <f ca="1">+'QTR Raw'!AD65</f>
        <v>#NAME?</v>
      </c>
      <c r="BK150" s="23" t="e">
        <f t="shared" ca="1" si="1238"/>
        <v>#NAME?</v>
      </c>
      <c r="BL150" s="23" t="e">
        <f ca="1">+'QTR Raw'!AF65</f>
        <v>#NAME?</v>
      </c>
      <c r="BM150" s="23" t="e">
        <f t="shared" ca="1" si="1238"/>
        <v>#NAME?</v>
      </c>
      <c r="BN150" s="23" t="e">
        <f ca="1">+'QTR Raw'!AH65</f>
        <v>#NAME?</v>
      </c>
      <c r="BO150" s="23" t="e">
        <f t="shared" ca="1" si="1238"/>
        <v>#NAME?</v>
      </c>
      <c r="BP150" s="23" t="e">
        <f ca="1">+'QTR Raw'!AJ65</f>
        <v>#NAME?</v>
      </c>
      <c r="BQ150" s="23" t="e">
        <f t="shared" ca="1" si="1238"/>
        <v>#NAME?</v>
      </c>
      <c r="BR150" s="23" t="e">
        <f ca="1">+'QTR Raw'!AL65</f>
        <v>#NAME?</v>
      </c>
      <c r="BS150" s="23" t="e">
        <f t="shared" ca="1" si="1238"/>
        <v>#NAME?</v>
      </c>
      <c r="BT150" s="23" t="e">
        <f ca="1">+'QTR Raw'!AN65</f>
        <v>#NAME?</v>
      </c>
      <c r="BU150" s="23" t="e">
        <f t="shared" ca="1" si="1238"/>
        <v>#NAME?</v>
      </c>
      <c r="BV150" s="23" t="e">
        <f ca="1">+'QTR Raw'!AP65</f>
        <v>#NAME?</v>
      </c>
      <c r="BW150" s="23" t="e">
        <f t="shared" ca="1" si="1238"/>
        <v>#NAME?</v>
      </c>
      <c r="BX150" s="23" t="e">
        <f ca="1">+'QTR Raw'!AR65</f>
        <v>#NAME?</v>
      </c>
      <c r="BY150" s="23" t="e">
        <f t="shared" ca="1" si="1238"/>
        <v>#NAME?</v>
      </c>
      <c r="BZ150" s="23" t="e">
        <f ca="1">+'QTR Raw'!AT65</f>
        <v>#NAME?</v>
      </c>
      <c r="CA150" s="23" t="e">
        <f t="shared" ca="1" si="1238"/>
        <v>#NAME?</v>
      </c>
      <c r="CB150" s="23" t="e">
        <f ca="1">+'QTR Raw'!AV65</f>
        <v>#NAME?</v>
      </c>
      <c r="CC150" s="23" t="e">
        <f t="shared" ca="1" si="1238"/>
        <v>#NAME?</v>
      </c>
      <c r="CD150" s="23" t="e">
        <f ca="1">+'QTR Raw'!AX65</f>
        <v>#NAME?</v>
      </c>
      <c r="CE150" s="23" t="e">
        <f t="shared" ca="1" si="1238"/>
        <v>#NAME?</v>
      </c>
      <c r="CF150" s="23" t="e">
        <f ca="1">+'QTR Raw'!AZ65</f>
        <v>#NAME?</v>
      </c>
      <c r="CG150" s="23" t="e">
        <f t="shared" ca="1" si="1239"/>
        <v>#NAME?</v>
      </c>
      <c r="CH150" s="23" t="e">
        <f t="shared" ca="1" si="1192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 t="e">
        <f ca="1">+'QTR Raw'!D66</f>
        <v>#NAME?</v>
      </c>
      <c r="AK151" s="23" t="e">
        <f t="shared" ca="1" si="1238"/>
        <v>#NAME?</v>
      </c>
      <c r="AL151" s="23" t="e">
        <f ca="1">+'QTR Raw'!F66</f>
        <v>#NAME?</v>
      </c>
      <c r="AM151" s="23" t="e">
        <f t="shared" ca="1" si="1238"/>
        <v>#NAME?</v>
      </c>
      <c r="AN151" s="23" t="e">
        <f ca="1">+'QTR Raw'!H66</f>
        <v>#NAME?</v>
      </c>
      <c r="AO151" s="23" t="e">
        <f t="shared" ca="1" si="1238"/>
        <v>#NAME?</v>
      </c>
      <c r="AP151" s="23" t="e">
        <f ca="1">+'QTR Raw'!J66</f>
        <v>#NAME?</v>
      </c>
      <c r="AQ151" s="23" t="e">
        <f t="shared" ca="1" si="1238"/>
        <v>#NAME?</v>
      </c>
      <c r="AR151" s="23" t="e">
        <f ca="1">+'QTR Raw'!L66</f>
        <v>#NAME?</v>
      </c>
      <c r="AS151" s="23" t="e">
        <f t="shared" ca="1" si="1238"/>
        <v>#NAME?</v>
      </c>
      <c r="AT151" s="23" t="e">
        <f ca="1">+'QTR Raw'!N66</f>
        <v>#NAME?</v>
      </c>
      <c r="AU151" s="23" t="e">
        <f t="shared" ca="1" si="1238"/>
        <v>#NAME?</v>
      </c>
      <c r="AV151" s="23" t="e">
        <f ca="1">+'QTR Raw'!P66</f>
        <v>#NAME?</v>
      </c>
      <c r="AW151" s="23" t="e">
        <f t="shared" ca="1" si="1238"/>
        <v>#NAME?</v>
      </c>
      <c r="AX151" s="23" t="e">
        <f ca="1">+'QTR Raw'!R66</f>
        <v>#NAME?</v>
      </c>
      <c r="AY151" s="23" t="e">
        <f t="shared" ca="1" si="1238"/>
        <v>#NAME?</v>
      </c>
      <c r="AZ151" s="23" t="e">
        <f ca="1">+'QTR Raw'!T66</f>
        <v>#NAME?</v>
      </c>
      <c r="BA151" s="23" t="e">
        <f t="shared" ca="1" si="1238"/>
        <v>#NAME?</v>
      </c>
      <c r="BB151" s="23" t="e">
        <f ca="1">+'QTR Raw'!V66</f>
        <v>#NAME?</v>
      </c>
      <c r="BC151" s="23" t="e">
        <f t="shared" ca="1" si="1238"/>
        <v>#NAME?</v>
      </c>
      <c r="BD151" s="23" t="e">
        <f ca="1">+'QTR Raw'!X66</f>
        <v>#NAME?</v>
      </c>
      <c r="BE151" s="23" t="e">
        <f t="shared" ca="1" si="1238"/>
        <v>#NAME?</v>
      </c>
      <c r="BF151" s="23" t="e">
        <f ca="1">+'QTR Raw'!Z66</f>
        <v>#NAME?</v>
      </c>
      <c r="BG151" s="23" t="e">
        <f t="shared" ca="1" si="1238"/>
        <v>#NAME?</v>
      </c>
      <c r="BH151" s="23" t="e">
        <f ca="1">+'QTR Raw'!AB66</f>
        <v>#NAME?</v>
      </c>
      <c r="BI151" s="23" t="e">
        <f t="shared" ca="1" si="1238"/>
        <v>#NAME?</v>
      </c>
      <c r="BJ151" s="23" t="e">
        <f ca="1">+'QTR Raw'!AD66</f>
        <v>#NAME?</v>
      </c>
      <c r="BK151" s="23" t="e">
        <f t="shared" ca="1" si="1238"/>
        <v>#NAME?</v>
      </c>
      <c r="BL151" s="23" t="e">
        <f ca="1">+'QTR Raw'!AF66</f>
        <v>#NAME?</v>
      </c>
      <c r="BM151" s="23" t="e">
        <f t="shared" ca="1" si="1238"/>
        <v>#NAME?</v>
      </c>
      <c r="BN151" s="23" t="e">
        <f ca="1">+'QTR Raw'!AH66</f>
        <v>#NAME?</v>
      </c>
      <c r="BO151" s="23" t="e">
        <f t="shared" ca="1" si="1238"/>
        <v>#NAME?</v>
      </c>
      <c r="BP151" s="23" t="e">
        <f ca="1">+'QTR Raw'!AJ66</f>
        <v>#NAME?</v>
      </c>
      <c r="BQ151" s="23" t="e">
        <f t="shared" ca="1" si="1238"/>
        <v>#NAME?</v>
      </c>
      <c r="BR151" s="23" t="e">
        <f ca="1">+'QTR Raw'!AL66</f>
        <v>#NAME?</v>
      </c>
      <c r="BS151" s="23" t="e">
        <f t="shared" ca="1" si="1238"/>
        <v>#NAME?</v>
      </c>
      <c r="BT151" s="23" t="e">
        <f ca="1">+'QTR Raw'!AN66</f>
        <v>#NAME?</v>
      </c>
      <c r="BU151" s="23" t="e">
        <f t="shared" ca="1" si="1238"/>
        <v>#NAME?</v>
      </c>
      <c r="BV151" s="23" t="e">
        <f ca="1">+'QTR Raw'!AP66</f>
        <v>#NAME?</v>
      </c>
      <c r="BW151" s="23" t="e">
        <f t="shared" ca="1" si="1238"/>
        <v>#NAME?</v>
      </c>
      <c r="BX151" s="23" t="e">
        <f ca="1">+'QTR Raw'!AR66</f>
        <v>#NAME?</v>
      </c>
      <c r="BY151" s="23" t="e">
        <f t="shared" ca="1" si="1238"/>
        <v>#NAME?</v>
      </c>
      <c r="BZ151" s="23" t="e">
        <f ca="1">+'QTR Raw'!AT66</f>
        <v>#NAME?</v>
      </c>
      <c r="CA151" s="23" t="e">
        <f t="shared" ca="1" si="1238"/>
        <v>#NAME?</v>
      </c>
      <c r="CB151" s="23" t="e">
        <f ca="1">+'QTR Raw'!AV66</f>
        <v>#NAME?</v>
      </c>
      <c r="CC151" s="23" t="e">
        <f t="shared" ca="1" si="1238"/>
        <v>#NAME?</v>
      </c>
      <c r="CD151" s="23" t="e">
        <f ca="1">+'QTR Raw'!AX66</f>
        <v>#NAME?</v>
      </c>
      <c r="CE151" s="23" t="e">
        <f t="shared" ca="1" si="1238"/>
        <v>#NAME?</v>
      </c>
      <c r="CF151" s="23" t="e">
        <f ca="1">+'QTR Raw'!AZ66</f>
        <v>#NAME?</v>
      </c>
      <c r="CG151" s="23" t="e">
        <f t="shared" ca="1" si="1239"/>
        <v>#NAME?</v>
      </c>
      <c r="CH151" s="23" t="e">
        <f t="shared" ca="1" si="1192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5.6740000000000004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34"/>
        <v>#NAME?</v>
      </c>
      <c r="AC152" s="24" t="e">
        <f t="shared" ca="1" si="1235"/>
        <v>#NAME?</v>
      </c>
      <c r="AD152" s="24" t="e">
        <f t="shared" ca="1" si="1236"/>
        <v>#NAME?</v>
      </c>
      <c r="AE152" s="24" t="e">
        <f t="shared" ca="1" si="1237"/>
        <v>#NAME?</v>
      </c>
      <c r="AJ152" s="23" t="e">
        <f ca="1">+'QTR Raw'!D87</f>
        <v>#NAME?</v>
      </c>
      <c r="AK152" s="23" t="e">
        <f t="shared" ca="1" si="1238"/>
        <v>#NAME?</v>
      </c>
      <c r="AL152" s="23" t="e">
        <f ca="1">+'QTR Raw'!F87</f>
        <v>#NAME?</v>
      </c>
      <c r="AM152" s="23" t="e">
        <f t="shared" ca="1" si="1238"/>
        <v>#NAME?</v>
      </c>
      <c r="AN152" s="23" t="e">
        <f ca="1">+'QTR Raw'!H87</f>
        <v>#NAME?</v>
      </c>
      <c r="AO152" s="23" t="e">
        <f t="shared" ca="1" si="1238"/>
        <v>#NAME?</v>
      </c>
      <c r="AP152" s="23" t="e">
        <f ca="1">+'QTR Raw'!J87</f>
        <v>#NAME?</v>
      </c>
      <c r="AQ152" s="23" t="e">
        <f t="shared" ca="1" si="1238"/>
        <v>#NAME?</v>
      </c>
      <c r="AR152" s="23" t="e">
        <f ca="1">+'QTR Raw'!L87</f>
        <v>#NAME?</v>
      </c>
      <c r="AS152" s="23" t="e">
        <f t="shared" ca="1" si="1238"/>
        <v>#NAME?</v>
      </c>
      <c r="AT152" s="23" t="e">
        <f ca="1">+'QTR Raw'!N87</f>
        <v>#NAME?</v>
      </c>
      <c r="AU152" s="23" t="e">
        <f t="shared" ca="1" si="1238"/>
        <v>#NAME?</v>
      </c>
      <c r="AV152" s="23" t="e">
        <f ca="1">+'QTR Raw'!P87</f>
        <v>#NAME?</v>
      </c>
      <c r="AW152" s="23" t="e">
        <f t="shared" ca="1" si="1238"/>
        <v>#NAME?</v>
      </c>
      <c r="AX152" s="23" t="e">
        <f ca="1">+'QTR Raw'!R87</f>
        <v>#NAME?</v>
      </c>
      <c r="AY152" s="23" t="e">
        <f t="shared" ca="1" si="1238"/>
        <v>#NAME?</v>
      </c>
      <c r="AZ152" s="23" t="e">
        <f ca="1">+'QTR Raw'!T87</f>
        <v>#NAME?</v>
      </c>
      <c r="BA152" s="23" t="e">
        <f t="shared" ca="1" si="1238"/>
        <v>#NAME?</v>
      </c>
      <c r="BB152" s="23" t="e">
        <f ca="1">+'QTR Raw'!V87</f>
        <v>#NAME?</v>
      </c>
      <c r="BC152" s="23" t="e">
        <f t="shared" ca="1" si="1238"/>
        <v>#NAME?</v>
      </c>
      <c r="BD152" s="23" t="e">
        <f ca="1">+'QTR Raw'!X87</f>
        <v>#NAME?</v>
      </c>
      <c r="BE152" s="23" t="e">
        <f t="shared" ca="1" si="1238"/>
        <v>#NAME?</v>
      </c>
      <c r="BF152" s="23" t="e">
        <f ca="1">+'QTR Raw'!Z87</f>
        <v>#NAME?</v>
      </c>
      <c r="BG152" s="23" t="e">
        <f t="shared" ca="1" si="1238"/>
        <v>#NAME?</v>
      </c>
      <c r="BH152" s="23" t="e">
        <f ca="1">+'QTR Raw'!AB87</f>
        <v>#NAME?</v>
      </c>
      <c r="BI152" s="23" t="e">
        <f t="shared" ca="1" si="1238"/>
        <v>#NAME?</v>
      </c>
      <c r="BJ152" s="23" t="e">
        <f ca="1">+'QTR Raw'!AD87</f>
        <v>#NAME?</v>
      </c>
      <c r="BK152" s="23" t="e">
        <f t="shared" ca="1" si="1238"/>
        <v>#NAME?</v>
      </c>
      <c r="BL152" s="23" t="e">
        <f ca="1">+'QTR Raw'!AF87</f>
        <v>#NAME?</v>
      </c>
      <c r="BM152" s="23" t="e">
        <f t="shared" ca="1" si="1238"/>
        <v>#NAME?</v>
      </c>
      <c r="BN152" s="23" t="e">
        <f ca="1">+'QTR Raw'!AH87</f>
        <v>#NAME?</v>
      </c>
      <c r="BO152" s="23" t="e">
        <f t="shared" ca="1" si="1238"/>
        <v>#NAME?</v>
      </c>
      <c r="BP152" s="23" t="e">
        <f ca="1">+'QTR Raw'!AJ87</f>
        <v>#NAME?</v>
      </c>
      <c r="BQ152" s="23" t="e">
        <f t="shared" ca="1" si="1238"/>
        <v>#NAME?</v>
      </c>
      <c r="BR152" s="23" t="e">
        <f ca="1">+'QTR Raw'!AL87</f>
        <v>#NAME?</v>
      </c>
      <c r="BS152" s="23" t="e">
        <f t="shared" ca="1" si="1238"/>
        <v>#NAME?</v>
      </c>
      <c r="BT152" s="23" t="e">
        <f ca="1">+'QTR Raw'!AN87</f>
        <v>#NAME?</v>
      </c>
      <c r="BU152" s="23" t="e">
        <f t="shared" ca="1" si="1238"/>
        <v>#NAME?</v>
      </c>
      <c r="BV152" s="23" t="e">
        <f ca="1">+'QTR Raw'!AP87</f>
        <v>#NAME?</v>
      </c>
      <c r="BW152" s="23" t="e">
        <f t="shared" ca="1" si="1238"/>
        <v>#NAME?</v>
      </c>
      <c r="BX152" s="23" t="e">
        <f ca="1">+'QTR Raw'!AR87</f>
        <v>#NAME?</v>
      </c>
      <c r="BY152" s="23" t="e">
        <f t="shared" ca="1" si="1238"/>
        <v>#NAME?</v>
      </c>
      <c r="BZ152" s="23" t="e">
        <f ca="1">+'QTR Raw'!AT87</f>
        <v>#NAME?</v>
      </c>
      <c r="CA152" s="23" t="e">
        <f t="shared" ca="1" si="1238"/>
        <v>#NAME?</v>
      </c>
      <c r="CB152" s="23" t="e">
        <f ca="1">+'QTR Raw'!AV87</f>
        <v>#NAME?</v>
      </c>
      <c r="CC152" s="23" t="e">
        <f t="shared" ca="1" si="1238"/>
        <v>#NAME?</v>
      </c>
      <c r="CD152" s="23" t="e">
        <f ca="1">+'QTR Raw'!AX87</f>
        <v>#NAME?</v>
      </c>
      <c r="CE152" s="23" t="e">
        <f t="shared" ca="1" si="1238"/>
        <v>#NAME?</v>
      </c>
      <c r="CF152" s="23" t="e">
        <f ca="1">+'QTR Raw'!AZ87</f>
        <v>#NAME?</v>
      </c>
      <c r="CG152" s="23" t="e">
        <f t="shared" ca="1" si="1239"/>
        <v>#NAME?</v>
      </c>
      <c r="CH152" s="23">
        <f t="shared" si="1192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40">CK10/90*CK184</f>
        <v>#NAME?</v>
      </c>
      <c r="CL152" s="23" t="e">
        <f ca="1">+'QTR Raw'!BF87</f>
        <v>#NAME?</v>
      </c>
      <c r="CM152" s="24" t="e">
        <f t="shared" ca="1" si="1240"/>
        <v>#NAME?</v>
      </c>
      <c r="CN152" s="24" t="e">
        <f t="shared" ca="1" si="1240"/>
        <v>#NAME?</v>
      </c>
      <c r="CO152" s="24" t="e">
        <f t="shared" ca="1" si="1240"/>
        <v>#NAME?</v>
      </c>
      <c r="CP152" s="24" t="e">
        <f t="shared" ca="1" si="1240"/>
        <v>#NAME?</v>
      </c>
      <c r="CQ152" s="24" t="e">
        <f t="shared" ca="1" si="1240"/>
        <v>#NAME?</v>
      </c>
      <c r="CR152" s="24" t="e">
        <f t="shared" ca="1" si="1240"/>
        <v>#NAME?</v>
      </c>
      <c r="CS152" s="24" t="e">
        <f t="shared" ca="1" si="1240"/>
        <v>#NAME?</v>
      </c>
      <c r="CT152" s="24" t="e">
        <f t="shared" ca="1" si="1240"/>
        <v>#NAME?</v>
      </c>
      <c r="CU152" s="24" t="e">
        <f t="shared" ca="1" si="1240"/>
        <v>#NAME?</v>
      </c>
      <c r="CV152" s="24" t="e">
        <f t="shared" ca="1" si="1240"/>
        <v>#NAME?</v>
      </c>
      <c r="CW152" s="24" t="e">
        <f t="shared" ca="1" si="1240"/>
        <v>#NAME?</v>
      </c>
      <c r="CX152" s="24" t="e">
        <f t="shared" ca="1" si="1240"/>
        <v>#NAME?</v>
      </c>
      <c r="CY152" s="24" t="e">
        <f t="shared" ca="1" si="1240"/>
        <v>#NAME?</v>
      </c>
      <c r="CZ152" s="24" t="e">
        <f t="shared" ca="1" si="1240"/>
        <v>#NAME?</v>
      </c>
      <c r="DA152" s="24" t="e">
        <f t="shared" ca="1" si="1240"/>
        <v>#NAME?</v>
      </c>
      <c r="DB152" s="24" t="e">
        <f t="shared" ca="1" si="1240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34"/>
        <v>#NAME?</v>
      </c>
      <c r="AC153" s="24" t="e">
        <f t="shared" ca="1" si="1235"/>
        <v>#NAME?</v>
      </c>
      <c r="AD153" s="24" t="e">
        <f t="shared" ca="1" si="1236"/>
        <v>#NAME?</v>
      </c>
      <c r="AE153" s="24" t="e">
        <f t="shared" ca="1" si="1237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92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41">+CK183*CK10/90</f>
        <v>#NAME?</v>
      </c>
      <c r="CL153" s="23" t="e">
        <f ca="1">+'QTR Raw'!BF89</f>
        <v>#NAME?</v>
      </c>
      <c r="CM153" s="24" t="e">
        <f t="shared" ca="1" si="1241"/>
        <v>#NAME?</v>
      </c>
      <c r="CN153" s="24" t="e">
        <f t="shared" ca="1" si="1241"/>
        <v>#NAME?</v>
      </c>
      <c r="CO153" s="24" t="e">
        <f t="shared" ca="1" si="1241"/>
        <v>#NAME?</v>
      </c>
      <c r="CP153" s="24" t="e">
        <f t="shared" ca="1" si="1241"/>
        <v>#NAME?</v>
      </c>
      <c r="CQ153" s="24" t="e">
        <f t="shared" ca="1" si="1241"/>
        <v>#NAME?</v>
      </c>
      <c r="CR153" s="24" t="e">
        <f t="shared" ca="1" si="1241"/>
        <v>#NAME?</v>
      </c>
      <c r="CS153" s="24" t="e">
        <f t="shared" ca="1" si="1241"/>
        <v>#NAME?</v>
      </c>
      <c r="CT153" s="24" t="e">
        <f t="shared" ca="1" si="1241"/>
        <v>#NAME?</v>
      </c>
      <c r="CU153" s="24" t="e">
        <f t="shared" ca="1" si="1241"/>
        <v>#NAME?</v>
      </c>
      <c r="CV153" s="24" t="e">
        <f t="shared" ca="1" si="1241"/>
        <v>#NAME?</v>
      </c>
      <c r="CW153" s="24" t="e">
        <f t="shared" ca="1" si="1241"/>
        <v>#NAME?</v>
      </c>
      <c r="CX153" s="24" t="e">
        <f t="shared" ca="1" si="1241"/>
        <v>#NAME?</v>
      </c>
      <c r="CY153" s="24" t="e">
        <f t="shared" ca="1" si="1241"/>
        <v>#NAME?</v>
      </c>
      <c r="CZ153" s="24" t="e">
        <f t="shared" ca="1" si="1241"/>
        <v>#NAME?</v>
      </c>
      <c r="DA153" s="24" t="e">
        <f t="shared" ca="1" si="1241"/>
        <v>#NAME?</v>
      </c>
      <c r="DB153" s="24" t="e">
        <f t="shared" ca="1" si="1241"/>
        <v>#NAME?</v>
      </c>
      <c r="DE153" s="123"/>
      <c r="DF153" s="23">
        <v>273.31400000000002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 t="e">
        <f ca="1">+'QTR Raw'!D91</f>
        <v>#NAME?</v>
      </c>
      <c r="AK154" s="23" t="e">
        <f t="shared" ca="1" si="1238"/>
        <v>#NAME?</v>
      </c>
      <c r="AL154" s="23" t="e">
        <f ca="1">+'QTR Raw'!F91</f>
        <v>#NAME?</v>
      </c>
      <c r="AM154" s="23" t="e">
        <f t="shared" ca="1" si="1238"/>
        <v>#NAME?</v>
      </c>
      <c r="AN154" s="23" t="e">
        <f ca="1">+'QTR Raw'!H91</f>
        <v>#NAME?</v>
      </c>
      <c r="AO154" s="23" t="e">
        <f t="shared" ca="1" si="1238"/>
        <v>#NAME?</v>
      </c>
      <c r="AP154" s="23" t="e">
        <f ca="1">+'QTR Raw'!J91</f>
        <v>#NAME?</v>
      </c>
      <c r="AQ154" s="23" t="e">
        <f t="shared" ca="1" si="1238"/>
        <v>#NAME?</v>
      </c>
      <c r="AR154" s="23" t="e">
        <f ca="1">+'QTR Raw'!L91</f>
        <v>#NAME?</v>
      </c>
      <c r="AS154" s="23" t="e">
        <f t="shared" ca="1" si="1238"/>
        <v>#NAME?</v>
      </c>
      <c r="AT154" s="23" t="e">
        <f ca="1">+'QTR Raw'!N91</f>
        <v>#NAME?</v>
      </c>
      <c r="AU154" s="23" t="e">
        <f t="shared" ca="1" si="1238"/>
        <v>#NAME?</v>
      </c>
      <c r="AV154" s="23" t="e">
        <f ca="1">+'QTR Raw'!P91</f>
        <v>#NAME?</v>
      </c>
      <c r="AW154" s="23" t="e">
        <f t="shared" ca="1" si="1238"/>
        <v>#NAME?</v>
      </c>
      <c r="AX154" s="23" t="e">
        <f ca="1">+'QTR Raw'!R91</f>
        <v>#NAME?</v>
      </c>
      <c r="AY154" s="23" t="e">
        <f t="shared" ca="1" si="1238"/>
        <v>#NAME?</v>
      </c>
      <c r="AZ154" s="23" t="e">
        <f ca="1">+'QTR Raw'!T91</f>
        <v>#NAME?</v>
      </c>
      <c r="BA154" s="23" t="e">
        <f t="shared" ca="1" si="1238"/>
        <v>#NAME?</v>
      </c>
      <c r="BB154" s="23" t="e">
        <f ca="1">+'QTR Raw'!V91</f>
        <v>#NAME?</v>
      </c>
      <c r="BC154" s="23" t="e">
        <f t="shared" ca="1" si="1238"/>
        <v>#NAME?</v>
      </c>
      <c r="BD154" s="23" t="e">
        <f ca="1">+'QTR Raw'!X91</f>
        <v>#NAME?</v>
      </c>
      <c r="BE154" s="23" t="e">
        <f t="shared" ca="1" si="1238"/>
        <v>#NAME?</v>
      </c>
      <c r="BF154" s="23" t="e">
        <f ca="1">+'QTR Raw'!Z91</f>
        <v>#NAME?</v>
      </c>
      <c r="BG154" s="23" t="e">
        <f t="shared" ca="1" si="1238"/>
        <v>#NAME?</v>
      </c>
      <c r="BH154" s="23" t="e">
        <f ca="1">+'QTR Raw'!AB91</f>
        <v>#NAME?</v>
      </c>
      <c r="BI154" s="23" t="e">
        <f t="shared" ca="1" si="1238"/>
        <v>#NAME?</v>
      </c>
      <c r="BJ154" s="23" t="e">
        <f ca="1">+'QTR Raw'!AD91</f>
        <v>#NAME?</v>
      </c>
      <c r="BK154" s="23" t="e">
        <f t="shared" ca="1" si="1238"/>
        <v>#NAME?</v>
      </c>
      <c r="BL154" s="23" t="e">
        <f ca="1">+'QTR Raw'!AF91</f>
        <v>#NAME?</v>
      </c>
      <c r="BM154" s="23" t="e">
        <f t="shared" ca="1" si="1238"/>
        <v>#NAME?</v>
      </c>
      <c r="BN154" s="23" t="e">
        <f ca="1">+'QTR Raw'!AH91</f>
        <v>#NAME?</v>
      </c>
      <c r="BO154" s="23" t="e">
        <f t="shared" ca="1" si="1238"/>
        <v>#NAME?</v>
      </c>
      <c r="BP154" s="23" t="e">
        <f ca="1">+'QTR Raw'!AJ91</f>
        <v>#NAME?</v>
      </c>
      <c r="BQ154" s="23" t="e">
        <f t="shared" ca="1" si="1238"/>
        <v>#NAME?</v>
      </c>
      <c r="BR154" s="23" t="e">
        <f ca="1">+'QTR Raw'!AL91</f>
        <v>#NAME?</v>
      </c>
      <c r="BS154" s="23" t="e">
        <f t="shared" ca="1" si="1238"/>
        <v>#NAME?</v>
      </c>
      <c r="BT154" s="23" t="e">
        <f ca="1">+'QTR Raw'!AN91</f>
        <v>#NAME?</v>
      </c>
      <c r="BU154" s="23" t="e">
        <f t="shared" ca="1" si="1238"/>
        <v>#NAME?</v>
      </c>
      <c r="BV154" s="23" t="e">
        <f ca="1">+'QTR Raw'!AP91</f>
        <v>#NAME?</v>
      </c>
      <c r="BW154" s="23" t="e">
        <f t="shared" ca="1" si="1238"/>
        <v>#NAME?</v>
      </c>
      <c r="BX154" s="23" t="e">
        <f ca="1">+'QTR Raw'!AR91</f>
        <v>#NAME?</v>
      </c>
      <c r="BY154" s="23" t="e">
        <f t="shared" ca="1" si="1238"/>
        <v>#NAME?</v>
      </c>
      <c r="BZ154" s="23" t="e">
        <f ca="1">+'QTR Raw'!AT91</f>
        <v>#NAME?</v>
      </c>
      <c r="CA154" s="23" t="e">
        <f t="shared" ca="1" si="1238"/>
        <v>#NAME?</v>
      </c>
      <c r="CB154" s="23" t="e">
        <f ca="1">+'QTR Raw'!AV91</f>
        <v>#NAME?</v>
      </c>
      <c r="CC154" s="23" t="e">
        <f t="shared" ca="1" si="1238"/>
        <v>#NAME?</v>
      </c>
      <c r="CD154" s="23" t="e">
        <f ca="1">+'QTR Raw'!AX91</f>
        <v>#NAME?</v>
      </c>
      <c r="CE154" s="23" t="e">
        <f t="shared" ca="1" si="1238"/>
        <v>#NAME?</v>
      </c>
      <c r="CF154" s="23" t="e">
        <f ca="1">+'QTR Raw'!AZ91</f>
        <v>#NAME?</v>
      </c>
      <c r="CG154" s="23" t="e">
        <f t="shared" ref="CG154:CG155" ca="1" si="1242">+CF154</f>
        <v>#NAME?</v>
      </c>
      <c r="CH154" s="23" t="e">
        <f t="shared" ca="1" si="1192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180.88399999999999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 t="e">
        <f ca="1">+'QTR Raw'!D92</f>
        <v>#NAME?</v>
      </c>
      <c r="AK155" s="23" t="e">
        <f t="shared" ca="1" si="1238"/>
        <v>#NAME?</v>
      </c>
      <c r="AL155" s="23" t="e">
        <f ca="1">+'QTR Raw'!F92</f>
        <v>#NAME?</v>
      </c>
      <c r="AM155" s="23" t="e">
        <f t="shared" ca="1" si="1238"/>
        <v>#NAME?</v>
      </c>
      <c r="AN155" s="23" t="e">
        <f ca="1">+'QTR Raw'!H92</f>
        <v>#NAME?</v>
      </c>
      <c r="AO155" s="23" t="e">
        <f t="shared" ca="1" si="1238"/>
        <v>#NAME?</v>
      </c>
      <c r="AP155" s="23" t="e">
        <f ca="1">+'QTR Raw'!J92</f>
        <v>#NAME?</v>
      </c>
      <c r="AQ155" s="23" t="e">
        <f t="shared" ca="1" si="1238"/>
        <v>#NAME?</v>
      </c>
      <c r="AR155" s="23" t="e">
        <f ca="1">+'QTR Raw'!L92</f>
        <v>#NAME?</v>
      </c>
      <c r="AS155" s="23" t="e">
        <f t="shared" ca="1" si="1238"/>
        <v>#NAME?</v>
      </c>
      <c r="AT155" s="23" t="e">
        <f ca="1">+'QTR Raw'!N92</f>
        <v>#NAME?</v>
      </c>
      <c r="AU155" s="23" t="e">
        <f t="shared" ca="1" si="1238"/>
        <v>#NAME?</v>
      </c>
      <c r="AV155" s="23" t="e">
        <f ca="1">+'QTR Raw'!P92</f>
        <v>#NAME?</v>
      </c>
      <c r="AW155" s="23" t="e">
        <f t="shared" ca="1" si="1238"/>
        <v>#NAME?</v>
      </c>
      <c r="AX155" s="23" t="e">
        <f ca="1">+'QTR Raw'!R92</f>
        <v>#NAME?</v>
      </c>
      <c r="AY155" s="23" t="e">
        <f t="shared" ca="1" si="1238"/>
        <v>#NAME?</v>
      </c>
      <c r="AZ155" s="23" t="e">
        <f ca="1">+'QTR Raw'!T92</f>
        <v>#NAME?</v>
      </c>
      <c r="BA155" s="23" t="e">
        <f t="shared" ca="1" si="1238"/>
        <v>#NAME?</v>
      </c>
      <c r="BB155" s="23" t="e">
        <f ca="1">+'QTR Raw'!V92</f>
        <v>#NAME?</v>
      </c>
      <c r="BC155" s="23" t="e">
        <f t="shared" ca="1" si="1238"/>
        <v>#NAME?</v>
      </c>
      <c r="BD155" s="23" t="e">
        <f ca="1">+'QTR Raw'!X92</f>
        <v>#NAME?</v>
      </c>
      <c r="BE155" s="23" t="e">
        <f t="shared" ca="1" si="1238"/>
        <v>#NAME?</v>
      </c>
      <c r="BF155" s="23" t="e">
        <f ca="1">+'QTR Raw'!Z92</f>
        <v>#NAME?</v>
      </c>
      <c r="BG155" s="23" t="e">
        <f t="shared" ca="1" si="1238"/>
        <v>#NAME?</v>
      </c>
      <c r="BH155" s="23" t="e">
        <f ca="1">+'QTR Raw'!AB92</f>
        <v>#NAME?</v>
      </c>
      <c r="BI155" s="23" t="e">
        <f t="shared" ca="1" si="1238"/>
        <v>#NAME?</v>
      </c>
      <c r="BJ155" s="23" t="e">
        <f ca="1">+'QTR Raw'!AD92</f>
        <v>#NAME?</v>
      </c>
      <c r="BK155" s="23" t="e">
        <f t="shared" ca="1" si="1238"/>
        <v>#NAME?</v>
      </c>
      <c r="BL155" s="23" t="e">
        <f ca="1">+'QTR Raw'!AF92</f>
        <v>#NAME?</v>
      </c>
      <c r="BM155" s="23" t="e">
        <f t="shared" ca="1" si="1238"/>
        <v>#NAME?</v>
      </c>
      <c r="BN155" s="23" t="e">
        <f ca="1">+'QTR Raw'!AH92</f>
        <v>#NAME?</v>
      </c>
      <c r="BO155" s="23" t="e">
        <f t="shared" ca="1" si="1238"/>
        <v>#NAME?</v>
      </c>
      <c r="BP155" s="23" t="e">
        <f ca="1">+'QTR Raw'!AJ92</f>
        <v>#NAME?</v>
      </c>
      <c r="BQ155" s="23" t="e">
        <f t="shared" ca="1" si="1238"/>
        <v>#NAME?</v>
      </c>
      <c r="BR155" s="23" t="e">
        <f ca="1">+'QTR Raw'!AL92</f>
        <v>#NAME?</v>
      </c>
      <c r="BS155" s="23" t="e">
        <f t="shared" ca="1" si="1238"/>
        <v>#NAME?</v>
      </c>
      <c r="BT155" s="23" t="e">
        <f ca="1">+'QTR Raw'!AN92</f>
        <v>#NAME?</v>
      </c>
      <c r="BU155" s="23" t="e">
        <f t="shared" ca="1" si="1238"/>
        <v>#NAME?</v>
      </c>
      <c r="BV155" s="23" t="e">
        <f ca="1">+'QTR Raw'!AP92</f>
        <v>#NAME?</v>
      </c>
      <c r="BW155" s="23" t="e">
        <f t="shared" ca="1" si="1238"/>
        <v>#NAME?</v>
      </c>
      <c r="BX155" s="23" t="e">
        <f ca="1">+'QTR Raw'!AR92</f>
        <v>#NAME?</v>
      </c>
      <c r="BY155" s="23" t="e">
        <f t="shared" ca="1" si="1238"/>
        <v>#NAME?</v>
      </c>
      <c r="BZ155" s="23" t="e">
        <f ca="1">+'QTR Raw'!AT92</f>
        <v>#NAME?</v>
      </c>
      <c r="CA155" s="23" t="e">
        <f t="shared" ca="1" si="1238"/>
        <v>#NAME?</v>
      </c>
      <c r="CB155" s="23" t="e">
        <f ca="1">+'QTR Raw'!AV92</f>
        <v>#NAME?</v>
      </c>
      <c r="CC155" s="23" t="e">
        <f t="shared" ca="1" si="1238"/>
        <v>#NAME?</v>
      </c>
      <c r="CD155" s="23" t="e">
        <f ca="1">+'QTR Raw'!AX92</f>
        <v>#NAME?</v>
      </c>
      <c r="CE155" s="23" t="e">
        <f t="shared" ca="1" si="1238"/>
        <v>#NAME?</v>
      </c>
      <c r="CF155" s="23" t="e">
        <f ca="1">+'QTR Raw'!AZ92</f>
        <v>#NAME?</v>
      </c>
      <c r="CG155" s="23" t="e">
        <f t="shared" ca="1" si="1242"/>
        <v>#NAME?</v>
      </c>
      <c r="CH155" s="23" t="e">
        <f t="shared" ca="1" si="1192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9.0749999999999993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43">SUM(C149:C155)</f>
        <v>#NAME?</v>
      </c>
      <c r="D156" s="22" t="e">
        <f t="shared" ca="1" si="1243"/>
        <v>#NAME?</v>
      </c>
      <c r="E156" s="22" t="e">
        <f t="shared" ca="1" si="1243"/>
        <v>#NAME?</v>
      </c>
      <c r="F156" s="22" t="e">
        <f t="shared" ca="1" si="1243"/>
        <v>#NAME?</v>
      </c>
      <c r="G156" s="22" t="e">
        <f t="shared" ca="1" si="1243"/>
        <v>#NAME?</v>
      </c>
      <c r="H156" s="22" t="e">
        <f t="shared" ca="1" si="1243"/>
        <v>#NAME?</v>
      </c>
      <c r="I156" s="22" t="e">
        <f t="shared" ca="1" si="1243"/>
        <v>#NAME?</v>
      </c>
      <c r="J156" s="22" t="e">
        <f t="shared" ca="1" si="1243"/>
        <v>#NAME?</v>
      </c>
      <c r="K156" s="22" t="e">
        <f t="shared" ca="1" si="1243"/>
        <v>#NAME?</v>
      </c>
      <c r="L156" s="22" t="e">
        <f t="shared" ca="1" si="1243"/>
        <v>#NAME?</v>
      </c>
      <c r="M156" s="22" t="e">
        <f t="shared" ca="1" si="1243"/>
        <v>#NAME?</v>
      </c>
      <c r="N156" s="22" t="e">
        <f t="shared" ca="1" si="1243"/>
        <v>#NAME?</v>
      </c>
      <c r="O156" s="22" t="e">
        <f t="shared" ca="1" si="1243"/>
        <v>#NAME?</v>
      </c>
      <c r="P156" s="22" t="e">
        <f t="shared" ca="1" si="1243"/>
        <v>#NAME?</v>
      </c>
      <c r="Q156" s="22" t="e">
        <f t="shared" ca="1" si="1243"/>
        <v>#NAME?</v>
      </c>
      <c r="R156" s="22" t="e">
        <f t="shared" ca="1" si="1243"/>
        <v>#NAME?</v>
      </c>
      <c r="S156" s="22" t="e">
        <f t="shared" ca="1" si="1243"/>
        <v>#NAME?</v>
      </c>
      <c r="T156" s="22" t="e">
        <f t="shared" ca="1" si="1243"/>
        <v>#NAME?</v>
      </c>
      <c r="U156" s="22" t="e">
        <f t="shared" ca="1" si="1243"/>
        <v>#NAME?</v>
      </c>
      <c r="V156" s="22" t="e">
        <f t="shared" ca="1" si="1243"/>
        <v>#NAME?</v>
      </c>
      <c r="W156" s="22" t="e">
        <f t="shared" ref="W156" ca="1" si="1244">SUM(W149:W155)</f>
        <v>#NAME?</v>
      </c>
      <c r="X156" s="22" t="e">
        <f t="shared" ref="X156:Y156" ca="1" si="1245">SUM(X149:X155)</f>
        <v>#NAME?</v>
      </c>
      <c r="Y156" s="22" t="e">
        <f t="shared" ca="1" si="1245"/>
        <v>#NAME?</v>
      </c>
      <c r="Z156" s="22" t="e">
        <f t="shared" ref="Z156:AA156" ca="1" si="1246">SUM(Z149:Z155)</f>
        <v>#NAME?</v>
      </c>
      <c r="AA156" s="22" t="e">
        <f t="shared" ca="1" si="1246"/>
        <v>#NAME?</v>
      </c>
      <c r="AB156" s="21" t="e">
        <f t="shared" ref="AA156:AD156" ca="1" si="1247">SUM(AB149:AB155)</f>
        <v>#NAME?</v>
      </c>
      <c r="AC156" s="21" t="e">
        <f t="shared" ca="1" si="1247"/>
        <v>#NAME?</v>
      </c>
      <c r="AD156" s="21" t="e">
        <f t="shared" ca="1" si="1247"/>
        <v>#NAME?</v>
      </c>
      <c r="AE156" s="21" t="e">
        <f t="shared" ref="AE156" ca="1" si="1248">SUM(AE149:AE155)</f>
        <v>#NAME?</v>
      </c>
      <c r="AJ156" s="22" t="e">
        <f t="shared" ref="AJ156" ca="1" si="1249">SUM(AJ149:AJ155)</f>
        <v>#NAME?</v>
      </c>
      <c r="AK156" s="22" t="e">
        <f t="shared" ref="AK156" ca="1" si="1250">SUM(AK149:AK155)</f>
        <v>#NAME?</v>
      </c>
      <c r="AL156" s="22" t="e">
        <f t="shared" ref="AL156:AM156" ca="1" si="1251">SUM(AL149:AL155)</f>
        <v>#NAME?</v>
      </c>
      <c r="AM156" s="22" t="e">
        <f t="shared" ca="1" si="1251"/>
        <v>#NAME?</v>
      </c>
      <c r="AN156" s="22" t="e">
        <f t="shared" ref="AN156:AO156" ca="1" si="1252">SUM(AN149:AN155)</f>
        <v>#NAME?</v>
      </c>
      <c r="AO156" s="22" t="e">
        <f t="shared" ca="1" si="1252"/>
        <v>#NAME?</v>
      </c>
      <c r="AP156" s="22" t="e">
        <f t="shared" ref="AP156:CE156" ca="1" si="1253">SUM(AP149:AP155)</f>
        <v>#NAME?</v>
      </c>
      <c r="AQ156" s="22" t="e">
        <f t="shared" ca="1" si="1253"/>
        <v>#NAME?</v>
      </c>
      <c r="AR156" s="22" t="e">
        <f t="shared" ca="1" si="1253"/>
        <v>#NAME?</v>
      </c>
      <c r="AS156" s="22" t="e">
        <f t="shared" ca="1" si="1253"/>
        <v>#NAME?</v>
      </c>
      <c r="AT156" s="22" t="e">
        <f t="shared" ca="1" si="1253"/>
        <v>#NAME?</v>
      </c>
      <c r="AU156" s="22" t="e">
        <f t="shared" ca="1" si="1253"/>
        <v>#NAME?</v>
      </c>
      <c r="AV156" s="22" t="e">
        <f t="shared" ca="1" si="1253"/>
        <v>#NAME?</v>
      </c>
      <c r="AW156" s="22" t="e">
        <f t="shared" ca="1" si="1253"/>
        <v>#NAME?</v>
      </c>
      <c r="AX156" s="22" t="e">
        <f t="shared" ca="1" si="1253"/>
        <v>#NAME?</v>
      </c>
      <c r="AY156" s="22" t="e">
        <f t="shared" ca="1" si="1253"/>
        <v>#NAME?</v>
      </c>
      <c r="AZ156" s="22" t="e">
        <f t="shared" ca="1" si="1253"/>
        <v>#NAME?</v>
      </c>
      <c r="BA156" s="22" t="e">
        <f t="shared" ca="1" si="1253"/>
        <v>#NAME?</v>
      </c>
      <c r="BB156" s="22" t="e">
        <f t="shared" ca="1" si="1253"/>
        <v>#NAME?</v>
      </c>
      <c r="BC156" s="22" t="e">
        <f t="shared" ca="1" si="1253"/>
        <v>#NAME?</v>
      </c>
      <c r="BD156" s="22" t="e">
        <f t="shared" ca="1" si="1253"/>
        <v>#NAME?</v>
      </c>
      <c r="BE156" s="22" t="e">
        <f t="shared" ca="1" si="1253"/>
        <v>#NAME?</v>
      </c>
      <c r="BF156" s="22" t="e">
        <f t="shared" ca="1" si="1253"/>
        <v>#NAME?</v>
      </c>
      <c r="BG156" s="22" t="e">
        <f t="shared" ca="1" si="1253"/>
        <v>#NAME?</v>
      </c>
      <c r="BH156" s="22" t="e">
        <f t="shared" ref="BH156" ca="1" si="1254">SUM(BH149:BH155)</f>
        <v>#NAME?</v>
      </c>
      <c r="BI156" s="22" t="e">
        <f t="shared" ca="1" si="1253"/>
        <v>#NAME?</v>
      </c>
      <c r="BJ156" s="22" t="e">
        <f t="shared" ca="1" si="1253"/>
        <v>#NAME?</v>
      </c>
      <c r="BK156" s="22" t="e">
        <f t="shared" ca="1" si="1253"/>
        <v>#NAME?</v>
      </c>
      <c r="BL156" s="22" t="e">
        <f t="shared" ca="1" si="1253"/>
        <v>#NAME?</v>
      </c>
      <c r="BM156" s="22" t="e">
        <f t="shared" ca="1" si="1253"/>
        <v>#NAME?</v>
      </c>
      <c r="BN156" s="22" t="e">
        <f t="shared" ca="1" si="1253"/>
        <v>#NAME?</v>
      </c>
      <c r="BO156" s="22" t="e">
        <f t="shared" ca="1" si="1253"/>
        <v>#NAME?</v>
      </c>
      <c r="BP156" s="22" t="e">
        <f t="shared" ca="1" si="1253"/>
        <v>#NAME?</v>
      </c>
      <c r="BQ156" s="22" t="e">
        <f t="shared" ca="1" si="1253"/>
        <v>#NAME?</v>
      </c>
      <c r="BR156" s="22" t="e">
        <f t="shared" ca="1" si="1253"/>
        <v>#NAME?</v>
      </c>
      <c r="BS156" s="22" t="e">
        <f t="shared" ca="1" si="1253"/>
        <v>#NAME?</v>
      </c>
      <c r="BT156" s="22" t="e">
        <f t="shared" ca="1" si="1253"/>
        <v>#NAME?</v>
      </c>
      <c r="BU156" s="22" t="e">
        <f t="shared" ca="1" si="1253"/>
        <v>#NAME?</v>
      </c>
      <c r="BV156" s="22" t="e">
        <f t="shared" ca="1" si="1253"/>
        <v>#NAME?</v>
      </c>
      <c r="BW156" s="22" t="e">
        <f t="shared" ca="1" si="1253"/>
        <v>#NAME?</v>
      </c>
      <c r="BX156" s="22" t="e">
        <f t="shared" ca="1" si="1253"/>
        <v>#NAME?</v>
      </c>
      <c r="BY156" s="22" t="e">
        <f t="shared" ca="1" si="1253"/>
        <v>#NAME?</v>
      </c>
      <c r="BZ156" s="22" t="e">
        <f t="shared" ca="1" si="1253"/>
        <v>#NAME?</v>
      </c>
      <c r="CA156" s="22" t="e">
        <f t="shared" ca="1" si="1253"/>
        <v>#NAME?</v>
      </c>
      <c r="CB156" s="22" t="e">
        <f t="shared" ca="1" si="1253"/>
        <v>#NAME?</v>
      </c>
      <c r="CC156" s="22" t="e">
        <f t="shared" ca="1" si="1253"/>
        <v>#NAME?</v>
      </c>
      <c r="CD156" s="22" t="e">
        <f t="shared" ca="1" si="1253"/>
        <v>#NAME?</v>
      </c>
      <c r="CE156" s="22" t="e">
        <f t="shared" ca="1" si="1253"/>
        <v>#NAME?</v>
      </c>
      <c r="CF156" s="22" t="e">
        <f t="shared" ref="CF156:CG156" ca="1" si="1255">SUM(CF149:CF155)</f>
        <v>#NAME?</v>
      </c>
      <c r="CG156" s="22" t="e">
        <f t="shared" ca="1" si="1255"/>
        <v>#NAME?</v>
      </c>
      <c r="CH156" s="22" t="e">
        <f t="shared" ref="CH156:CI156" ca="1" si="1256">SUM(CH149:CH155)</f>
        <v>#NAME?</v>
      </c>
      <c r="CI156" s="22" t="e">
        <f t="shared" ca="1" si="1256"/>
        <v>#NAME?</v>
      </c>
      <c r="CJ156" s="22" t="e">
        <f t="shared" ref="CJ156:DB156" ca="1" si="1257">SUM(CJ149:CJ155)</f>
        <v>#NAME?</v>
      </c>
      <c r="CK156" s="21" t="e">
        <f t="shared" ca="1" si="1257"/>
        <v>#NAME?</v>
      </c>
      <c r="CL156" s="22" t="e">
        <f t="shared" ref="CL156" ca="1" si="1258">SUM(CL149:CL155)</f>
        <v>#NAME?</v>
      </c>
      <c r="CM156" s="21" t="e">
        <f t="shared" ca="1" si="1257"/>
        <v>#NAME?</v>
      </c>
      <c r="CN156" s="21" t="e">
        <f t="shared" ca="1" si="1257"/>
        <v>#NAME?</v>
      </c>
      <c r="CO156" s="21" t="e">
        <f t="shared" ca="1" si="1257"/>
        <v>#NAME?</v>
      </c>
      <c r="CP156" s="21" t="e">
        <f t="shared" ca="1" si="1257"/>
        <v>#NAME?</v>
      </c>
      <c r="CQ156" s="21" t="e">
        <f t="shared" ca="1" si="1257"/>
        <v>#NAME?</v>
      </c>
      <c r="CR156" s="21" t="e">
        <f t="shared" ca="1" si="1257"/>
        <v>#NAME?</v>
      </c>
      <c r="CS156" s="21" t="e">
        <f t="shared" ca="1" si="1257"/>
        <v>#NAME?</v>
      </c>
      <c r="CT156" s="21" t="e">
        <f t="shared" ca="1" si="1257"/>
        <v>#NAME?</v>
      </c>
      <c r="CU156" s="21" t="e">
        <f t="shared" ca="1" si="1257"/>
        <v>#NAME?</v>
      </c>
      <c r="CV156" s="21" t="e">
        <f t="shared" ca="1" si="1257"/>
        <v>#NAME?</v>
      </c>
      <c r="CW156" s="21" t="e">
        <f t="shared" ca="1" si="1257"/>
        <v>#NAME?</v>
      </c>
      <c r="CX156" s="21" t="e">
        <f t="shared" ca="1" si="1257"/>
        <v>#NAME?</v>
      </c>
      <c r="CY156" s="21" t="e">
        <f t="shared" ca="1" si="1257"/>
        <v>#NAME?</v>
      </c>
      <c r="CZ156" s="21" t="e">
        <f t="shared" ca="1" si="1257"/>
        <v>#NAME?</v>
      </c>
      <c r="DA156" s="21" t="e">
        <f t="shared" ca="1" si="1257"/>
        <v>#NAME?</v>
      </c>
      <c r="DB156" s="21" t="e">
        <f t="shared" ca="1" si="1257"/>
        <v>#NAME?</v>
      </c>
      <c r="DE156" s="126"/>
      <c r="DF156" s="22">
        <v>523.95300000000009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9">C148-C156</f>
        <v>#NAME?</v>
      </c>
      <c r="D157" s="22" t="e">
        <f t="shared" ca="1" si="1259"/>
        <v>#NAME?</v>
      </c>
      <c r="E157" s="22" t="e">
        <f t="shared" ca="1" si="1259"/>
        <v>#NAME?</v>
      </c>
      <c r="F157" s="22" t="e">
        <f t="shared" ca="1" si="1259"/>
        <v>#NAME?</v>
      </c>
      <c r="G157" s="22" t="e">
        <f t="shared" ca="1" si="1259"/>
        <v>#NAME?</v>
      </c>
      <c r="H157" s="22" t="e">
        <f t="shared" ca="1" si="1259"/>
        <v>#NAME?</v>
      </c>
      <c r="I157" s="22" t="e">
        <f t="shared" ca="1" si="1259"/>
        <v>#NAME?</v>
      </c>
      <c r="J157" s="22" t="e">
        <f t="shared" ca="1" si="1259"/>
        <v>#NAME?</v>
      </c>
      <c r="K157" s="22" t="e">
        <f t="shared" ca="1" si="1259"/>
        <v>#NAME?</v>
      </c>
      <c r="L157" s="22" t="e">
        <f t="shared" ca="1" si="1259"/>
        <v>#NAME?</v>
      </c>
      <c r="M157" s="22" t="e">
        <f t="shared" ca="1" si="1259"/>
        <v>#NAME?</v>
      </c>
      <c r="N157" s="22" t="e">
        <f t="shared" ca="1" si="1259"/>
        <v>#NAME?</v>
      </c>
      <c r="O157" s="22" t="e">
        <f t="shared" ca="1" si="1259"/>
        <v>#NAME?</v>
      </c>
      <c r="P157" s="22" t="e">
        <f t="shared" ca="1" si="1259"/>
        <v>#NAME?</v>
      </c>
      <c r="Q157" s="22" t="e">
        <f t="shared" ca="1" si="1259"/>
        <v>#NAME?</v>
      </c>
      <c r="R157" s="22" t="e">
        <f t="shared" ca="1" si="1259"/>
        <v>#NAME?</v>
      </c>
      <c r="S157" s="22" t="e">
        <f t="shared" ca="1" si="1259"/>
        <v>#NAME?</v>
      </c>
      <c r="T157" s="22" t="e">
        <f t="shared" ca="1" si="1259"/>
        <v>#NAME?</v>
      </c>
      <c r="U157" s="22" t="e">
        <f t="shared" ca="1" si="1259"/>
        <v>#NAME?</v>
      </c>
      <c r="V157" s="22" t="e">
        <f t="shared" ca="1" si="1259"/>
        <v>#NAME?</v>
      </c>
      <c r="W157" s="22" t="e">
        <f t="shared" ref="W157" ca="1" si="1260">W148-W156</f>
        <v>#NAME?</v>
      </c>
      <c r="X157" s="22" t="e">
        <f t="shared" ref="X157:Y157" ca="1" si="1261">X148-X156</f>
        <v>#NAME?</v>
      </c>
      <c r="Y157" s="22" t="e">
        <f t="shared" ca="1" si="1261"/>
        <v>#NAME?</v>
      </c>
      <c r="Z157" s="22" t="e">
        <f t="shared" ref="Z157:AA157" ca="1" si="1262">Z148-Z156</f>
        <v>#NAME?</v>
      </c>
      <c r="AA157" s="22" t="e">
        <f t="shared" ca="1" si="1262"/>
        <v>#NAME?</v>
      </c>
      <c r="AB157" s="21" t="e">
        <f t="shared" ref="AA157:AD157" ca="1" si="1263">AB148-AB156</f>
        <v>#NAME?</v>
      </c>
      <c r="AC157" s="21" t="e">
        <f t="shared" ca="1" si="1263"/>
        <v>#NAME?</v>
      </c>
      <c r="AD157" s="21" t="e">
        <f t="shared" ca="1" si="1263"/>
        <v>#NAME?</v>
      </c>
      <c r="AE157" s="21" t="e">
        <f t="shared" ref="AE157" ca="1" si="1264">AE148-AE156</f>
        <v>#NAME?</v>
      </c>
      <c r="AJ157" s="22" t="e">
        <f t="shared" ref="AJ157" ca="1" si="1265">AJ148-AJ156</f>
        <v>#NAME?</v>
      </c>
      <c r="AK157" s="22" t="e">
        <f t="shared" ref="AK157" ca="1" si="1266">AK148-AK156</f>
        <v>#NAME?</v>
      </c>
      <c r="AL157" s="22" t="e">
        <f t="shared" ref="AL157:AM157" ca="1" si="1267">AL148-AL156</f>
        <v>#NAME?</v>
      </c>
      <c r="AM157" s="22" t="e">
        <f t="shared" ca="1" si="1267"/>
        <v>#NAME?</v>
      </c>
      <c r="AN157" s="22" t="e">
        <f t="shared" ref="AN157:AO157" ca="1" si="1268">AN148-AN156</f>
        <v>#NAME?</v>
      </c>
      <c r="AO157" s="22" t="e">
        <f t="shared" ca="1" si="1268"/>
        <v>#NAME?</v>
      </c>
      <c r="AP157" s="22" t="e">
        <f t="shared" ref="AP157:CE157" ca="1" si="1269">AP148-AP156</f>
        <v>#NAME?</v>
      </c>
      <c r="AQ157" s="22" t="e">
        <f t="shared" ca="1" si="1269"/>
        <v>#NAME?</v>
      </c>
      <c r="AR157" s="22" t="e">
        <f t="shared" ca="1" si="1269"/>
        <v>#NAME?</v>
      </c>
      <c r="AS157" s="22" t="e">
        <f t="shared" ca="1" si="1269"/>
        <v>#NAME?</v>
      </c>
      <c r="AT157" s="22" t="e">
        <f t="shared" ca="1" si="1269"/>
        <v>#NAME?</v>
      </c>
      <c r="AU157" s="22" t="e">
        <f t="shared" ca="1" si="1269"/>
        <v>#NAME?</v>
      </c>
      <c r="AV157" s="22" t="e">
        <f t="shared" ca="1" si="1269"/>
        <v>#NAME?</v>
      </c>
      <c r="AW157" s="22" t="e">
        <f t="shared" ca="1" si="1269"/>
        <v>#NAME?</v>
      </c>
      <c r="AX157" s="22" t="e">
        <f t="shared" ca="1" si="1269"/>
        <v>#NAME?</v>
      </c>
      <c r="AY157" s="22" t="e">
        <f t="shared" ca="1" si="1269"/>
        <v>#NAME?</v>
      </c>
      <c r="AZ157" s="22" t="e">
        <f t="shared" ca="1" si="1269"/>
        <v>#NAME?</v>
      </c>
      <c r="BA157" s="22" t="e">
        <f t="shared" ca="1" si="1269"/>
        <v>#NAME?</v>
      </c>
      <c r="BB157" s="22" t="e">
        <f t="shared" ca="1" si="1269"/>
        <v>#NAME?</v>
      </c>
      <c r="BC157" s="22" t="e">
        <f t="shared" ca="1" si="1269"/>
        <v>#NAME?</v>
      </c>
      <c r="BD157" s="22" t="e">
        <f t="shared" ca="1" si="1269"/>
        <v>#NAME?</v>
      </c>
      <c r="BE157" s="22" t="e">
        <f t="shared" ca="1" si="1269"/>
        <v>#NAME?</v>
      </c>
      <c r="BF157" s="22" t="e">
        <f t="shared" ca="1" si="1269"/>
        <v>#NAME?</v>
      </c>
      <c r="BG157" s="22" t="e">
        <f t="shared" ca="1" si="1269"/>
        <v>#NAME?</v>
      </c>
      <c r="BH157" s="22" t="e">
        <f t="shared" ref="BH157" ca="1" si="1270">BH148-BH156</f>
        <v>#NAME?</v>
      </c>
      <c r="BI157" s="22" t="e">
        <f t="shared" ca="1" si="1269"/>
        <v>#NAME?</v>
      </c>
      <c r="BJ157" s="22" t="e">
        <f t="shared" ca="1" si="1269"/>
        <v>#NAME?</v>
      </c>
      <c r="BK157" s="22" t="e">
        <f t="shared" ca="1" si="1269"/>
        <v>#NAME?</v>
      </c>
      <c r="BL157" s="22" t="e">
        <f t="shared" ca="1" si="1269"/>
        <v>#NAME?</v>
      </c>
      <c r="BM157" s="22" t="e">
        <f t="shared" ca="1" si="1269"/>
        <v>#NAME?</v>
      </c>
      <c r="BN157" s="22" t="e">
        <f t="shared" ca="1" si="1269"/>
        <v>#NAME?</v>
      </c>
      <c r="BO157" s="22" t="e">
        <f t="shared" ca="1" si="1269"/>
        <v>#NAME?</v>
      </c>
      <c r="BP157" s="22" t="e">
        <f t="shared" ca="1" si="1269"/>
        <v>#NAME?</v>
      </c>
      <c r="BQ157" s="22" t="e">
        <f t="shared" ca="1" si="1269"/>
        <v>#NAME?</v>
      </c>
      <c r="BR157" s="22" t="e">
        <f t="shared" ca="1" si="1269"/>
        <v>#NAME?</v>
      </c>
      <c r="BS157" s="22" t="e">
        <f t="shared" ca="1" si="1269"/>
        <v>#NAME?</v>
      </c>
      <c r="BT157" s="22" t="e">
        <f t="shared" ca="1" si="1269"/>
        <v>#NAME?</v>
      </c>
      <c r="BU157" s="22" t="e">
        <f t="shared" ca="1" si="1269"/>
        <v>#NAME?</v>
      </c>
      <c r="BV157" s="22" t="e">
        <f t="shared" ca="1" si="1269"/>
        <v>#NAME?</v>
      </c>
      <c r="BW157" s="22" t="e">
        <f t="shared" ca="1" si="1269"/>
        <v>#NAME?</v>
      </c>
      <c r="BX157" s="22" t="e">
        <f t="shared" ca="1" si="1269"/>
        <v>#NAME?</v>
      </c>
      <c r="BY157" s="22" t="e">
        <f t="shared" ca="1" si="1269"/>
        <v>#NAME?</v>
      </c>
      <c r="BZ157" s="22" t="e">
        <f t="shared" ca="1" si="1269"/>
        <v>#NAME?</v>
      </c>
      <c r="CA157" s="22" t="e">
        <f t="shared" ca="1" si="1269"/>
        <v>#NAME?</v>
      </c>
      <c r="CB157" s="22" t="e">
        <f t="shared" ca="1" si="1269"/>
        <v>#NAME?</v>
      </c>
      <c r="CC157" s="22" t="e">
        <f t="shared" ca="1" si="1269"/>
        <v>#NAME?</v>
      </c>
      <c r="CD157" s="22" t="e">
        <f t="shared" ca="1" si="1269"/>
        <v>#NAME?</v>
      </c>
      <c r="CE157" s="22" t="e">
        <f t="shared" ca="1" si="1269"/>
        <v>#NAME?</v>
      </c>
      <c r="CF157" s="22" t="e">
        <f t="shared" ref="CF157:CG157" ca="1" si="1271">CF148-CF156</f>
        <v>#NAME?</v>
      </c>
      <c r="CG157" s="22" t="e">
        <f t="shared" ca="1" si="1271"/>
        <v>#NAME?</v>
      </c>
      <c r="CH157" s="22" t="e">
        <f t="shared" ref="CH157:CI157" ca="1" si="1272">CH148-CH156</f>
        <v>#NAME?</v>
      </c>
      <c r="CI157" s="22" t="e">
        <f t="shared" ca="1" si="1272"/>
        <v>#NAME?</v>
      </c>
      <c r="CJ157" s="22" t="e">
        <f t="shared" ref="CJ157:DB157" ca="1" si="1273">CJ148-CJ156</f>
        <v>#NAME?</v>
      </c>
      <c r="CK157" s="21" t="e">
        <f t="shared" ca="1" si="1273"/>
        <v>#NAME?</v>
      </c>
      <c r="CL157" s="22" t="e">
        <f t="shared" ref="CL157" ca="1" si="1274">CL148-CL156</f>
        <v>#NAME?</v>
      </c>
      <c r="CM157" s="21" t="e">
        <f t="shared" ca="1" si="1273"/>
        <v>#NAME?</v>
      </c>
      <c r="CN157" s="21" t="e">
        <f t="shared" ca="1" si="1273"/>
        <v>#NAME?</v>
      </c>
      <c r="CO157" s="21" t="e">
        <f t="shared" ca="1" si="1273"/>
        <v>#NAME?</v>
      </c>
      <c r="CP157" s="21" t="e">
        <f t="shared" ca="1" si="1273"/>
        <v>#NAME?</v>
      </c>
      <c r="CQ157" s="21" t="e">
        <f t="shared" ca="1" si="1273"/>
        <v>#NAME?</v>
      </c>
      <c r="CR157" s="21" t="e">
        <f t="shared" ca="1" si="1273"/>
        <v>#NAME?</v>
      </c>
      <c r="CS157" s="21" t="e">
        <f t="shared" ca="1" si="1273"/>
        <v>#NAME?</v>
      </c>
      <c r="CT157" s="21" t="e">
        <f t="shared" ca="1" si="1273"/>
        <v>#NAME?</v>
      </c>
      <c r="CU157" s="21" t="e">
        <f t="shared" ca="1" si="1273"/>
        <v>#NAME?</v>
      </c>
      <c r="CV157" s="21" t="e">
        <f t="shared" ca="1" si="1273"/>
        <v>#NAME?</v>
      </c>
      <c r="CW157" s="21" t="e">
        <f t="shared" ca="1" si="1273"/>
        <v>#NAME?</v>
      </c>
      <c r="CX157" s="21" t="e">
        <f t="shared" ca="1" si="1273"/>
        <v>#NAME?</v>
      </c>
      <c r="CY157" s="21" t="e">
        <f t="shared" ca="1" si="1273"/>
        <v>#NAME?</v>
      </c>
      <c r="CZ157" s="21" t="e">
        <f t="shared" ca="1" si="1273"/>
        <v>#NAME?</v>
      </c>
      <c r="DA157" s="21" t="e">
        <f t="shared" ca="1" si="1273"/>
        <v>#NAME?</v>
      </c>
      <c r="DB157" s="21" t="e">
        <f t="shared" ca="1" si="1273"/>
        <v>#NAME?</v>
      </c>
      <c r="DE157" s="126"/>
      <c r="DF157" s="22">
        <v>644.80399999999997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9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20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5"/>
        <v>#NAME?</v>
      </c>
      <c r="AC160" s="24" t="e">
        <f t="shared" ca="1" si="1276"/>
        <v>#NAME?</v>
      </c>
      <c r="AD160" s="24" t="e">
        <f t="shared" ca="1" si="1277"/>
        <v>#NAME?</v>
      </c>
      <c r="AE160" s="24" t="e">
        <f t="shared" ca="1" si="1278"/>
        <v>#NAME?</v>
      </c>
      <c r="AJ160" s="23" t="e">
        <f ca="1">+'QTR Raw'!D83</f>
        <v>#NAME?</v>
      </c>
      <c r="AK160" s="23" t="e">
        <f t="shared" ref="AK160:AM160" ca="1" si="1280">+AK210</f>
        <v>#NAME?</v>
      </c>
      <c r="AL160" s="23" t="e">
        <f ca="1">+'QTR Raw'!F83</f>
        <v>#NAME?</v>
      </c>
      <c r="AM160" s="23" t="e">
        <f t="shared" ca="1" si="1280"/>
        <v>#NAME?</v>
      </c>
      <c r="AN160" s="23" t="e">
        <f ca="1">+'QTR Raw'!H83</f>
        <v>#NAME?</v>
      </c>
      <c r="AO160" s="23" t="e">
        <f t="shared" ref="AO160" ca="1" si="1281">+AO210</f>
        <v>#NAME?</v>
      </c>
      <c r="AP160" s="23" t="e">
        <f ca="1">+'QTR Raw'!J83</f>
        <v>#NAME?</v>
      </c>
      <c r="AQ160" s="23" t="e">
        <f t="shared" ref="AQ160" ca="1" si="1282">+AQ210</f>
        <v>#NAME?</v>
      </c>
      <c r="AR160" s="23" t="e">
        <f ca="1">+'QTR Raw'!L83</f>
        <v>#NAME?</v>
      </c>
      <c r="AS160" s="23" t="e">
        <f t="shared" ref="AS160" ca="1" si="1283">+AS210</f>
        <v>#NAME?</v>
      </c>
      <c r="AT160" s="23" t="e">
        <f ca="1">+'QTR Raw'!N83</f>
        <v>#NAME?</v>
      </c>
      <c r="AU160" s="23" t="e">
        <f t="shared" ref="AU160" ca="1" si="1284">+AU210</f>
        <v>#NAME?</v>
      </c>
      <c r="AV160" s="23" t="e">
        <f ca="1">+'QTR Raw'!P83</f>
        <v>#NAME?</v>
      </c>
      <c r="AW160" s="23" t="e">
        <f t="shared" ref="AW160" ca="1" si="1285">+AW210</f>
        <v>#NAME?</v>
      </c>
      <c r="AX160" s="23" t="e">
        <f ca="1">+'QTR Raw'!R83</f>
        <v>#NAME?</v>
      </c>
      <c r="AY160" s="23" t="e">
        <f t="shared" ref="AY160" ca="1" si="1286">+AY210</f>
        <v>#NAME?</v>
      </c>
      <c r="AZ160" s="23" t="e">
        <f ca="1">+'QTR Raw'!T83</f>
        <v>#NAME?</v>
      </c>
      <c r="BA160" s="23" t="e">
        <f t="shared" ref="BA160" ca="1" si="1287">+BA210</f>
        <v>#NAME?</v>
      </c>
      <c r="BB160" s="23" t="e">
        <f ca="1">+'QTR Raw'!V83</f>
        <v>#NAME?</v>
      </c>
      <c r="BC160" s="23" t="e">
        <f t="shared" ref="BC160" ca="1" si="1288">+BC210</f>
        <v>#NAME?</v>
      </c>
      <c r="BD160" s="23" t="e">
        <f ca="1">+'QTR Raw'!X83</f>
        <v>#NAME?</v>
      </c>
      <c r="BE160" s="23" t="e">
        <f t="shared" ref="BE160" ca="1" si="1289">+BE210</f>
        <v>#NAME?</v>
      </c>
      <c r="BF160" s="23" t="e">
        <f ca="1">+'QTR Raw'!Z83</f>
        <v>#NAME?</v>
      </c>
      <c r="BG160" s="23" t="e">
        <f t="shared" ref="BG160" ca="1" si="1290">+BG210</f>
        <v>#NAME?</v>
      </c>
      <c r="BH160" s="23" t="e">
        <f ca="1">+'QTR Raw'!AB83</f>
        <v>#NAME?</v>
      </c>
      <c r="BI160" s="23" t="e">
        <f t="shared" ref="BI160" ca="1" si="1291">+BI210</f>
        <v>#NAME?</v>
      </c>
      <c r="BJ160" s="23" t="e">
        <f ca="1">+'QTR Raw'!AD83</f>
        <v>#NAME?</v>
      </c>
      <c r="BK160" s="23" t="e">
        <f t="shared" ref="BK160" ca="1" si="1292">+BK210</f>
        <v>#NAME?</v>
      </c>
      <c r="BL160" s="23" t="e">
        <f ca="1">+'QTR Raw'!AF83</f>
        <v>#NAME?</v>
      </c>
      <c r="BM160" s="23" t="e">
        <f t="shared" ref="BM160" ca="1" si="1293">+BM210</f>
        <v>#NAME?</v>
      </c>
      <c r="BN160" s="23" t="e">
        <f ca="1">+'QTR Raw'!AH83</f>
        <v>#NAME?</v>
      </c>
      <c r="BO160" s="23" t="e">
        <f t="shared" ref="BO160" ca="1" si="1294">+BO210</f>
        <v>#NAME?</v>
      </c>
      <c r="BP160" s="23" t="e">
        <f ca="1">+'QTR Raw'!AJ83</f>
        <v>#NAME?</v>
      </c>
      <c r="BQ160" s="23" t="e">
        <f t="shared" ref="BQ160" ca="1" si="1295">+BQ210</f>
        <v>#NAME?</v>
      </c>
      <c r="BR160" s="23" t="e">
        <f ca="1">+'QTR Raw'!AL83</f>
        <v>#NAME?</v>
      </c>
      <c r="BS160" s="23" t="e">
        <f t="shared" ref="BS160" ca="1" si="1296">+BS210</f>
        <v>#NAME?</v>
      </c>
      <c r="BT160" s="23" t="e">
        <f ca="1">+'QTR Raw'!AN83</f>
        <v>#NAME?</v>
      </c>
      <c r="BU160" s="23" t="e">
        <f t="shared" ref="BU160" ca="1" si="1297">+BU210</f>
        <v>#NAME?</v>
      </c>
      <c r="BV160" s="23" t="e">
        <f ca="1">+'QTR Raw'!AP83</f>
        <v>#NAME?</v>
      </c>
      <c r="BW160" s="23" t="e">
        <f t="shared" ref="BW160" ca="1" si="1298">+BW210</f>
        <v>#NAME?</v>
      </c>
      <c r="BX160" s="23" t="e">
        <f ca="1">+'QTR Raw'!AR83</f>
        <v>#NAME?</v>
      </c>
      <c r="BY160" s="23" t="e">
        <f t="shared" ref="BY160" ca="1" si="1299">+BY210</f>
        <v>#NAME?</v>
      </c>
      <c r="BZ160" s="23" t="e">
        <f ca="1">+'QTR Raw'!AT83</f>
        <v>#NAME?</v>
      </c>
      <c r="CA160" s="23" t="e">
        <f t="shared" ref="CA160" ca="1" si="1300">+CA210</f>
        <v>#NAME?</v>
      </c>
      <c r="CB160" s="23" t="e">
        <f ca="1">+'QTR Raw'!AV83</f>
        <v>#NAME?</v>
      </c>
      <c r="CC160" s="23" t="e">
        <f t="shared" ref="CC160" ca="1" si="1301">+CC210</f>
        <v>#NAME?</v>
      </c>
      <c r="CD160" s="23" t="e">
        <f ca="1">+'QTR Raw'!AX83</f>
        <v>#NAME?</v>
      </c>
      <c r="CE160" s="23" t="e">
        <f t="shared" ref="CE160" ca="1" si="1302">+CE210</f>
        <v>#NAME?</v>
      </c>
      <c r="CF160" s="23" t="e">
        <f ca="1">+'QTR Raw'!AZ83</f>
        <v>#NAME?</v>
      </c>
      <c r="CG160" s="23" t="e">
        <f t="shared" ref="CG160:CI160" ca="1" si="1303">+CG210</f>
        <v>#NAME?</v>
      </c>
      <c r="CH160" s="23" t="e">
        <f t="shared" ca="1" si="1279"/>
        <v>#NAME?</v>
      </c>
      <c r="CI160" s="23" t="e">
        <f t="shared" ca="1" si="1303"/>
        <v>#NAME?</v>
      </c>
      <c r="CJ160" s="23" t="e">
        <f ca="1">+'QTR Raw'!BD83</f>
        <v>#NAME?</v>
      </c>
      <c r="CK160" s="24" t="e">
        <f t="shared" ref="CK160:DB160" ca="1" si="1304">+CK210</f>
        <v>#NAME?</v>
      </c>
      <c r="CL160" s="23" t="e">
        <f ca="1">+'QTR Raw'!BF83</f>
        <v>#NAME?</v>
      </c>
      <c r="CM160" s="24" t="e">
        <f t="shared" ca="1" si="1304"/>
        <v>#NAME?</v>
      </c>
      <c r="CN160" s="24" t="e">
        <f t="shared" ca="1" si="1304"/>
        <v>#NAME?</v>
      </c>
      <c r="CO160" s="24" t="e">
        <f t="shared" ca="1" si="1304"/>
        <v>#NAME?</v>
      </c>
      <c r="CP160" s="24" t="e">
        <f t="shared" ca="1" si="1304"/>
        <v>#NAME?</v>
      </c>
      <c r="CQ160" s="24" t="e">
        <f t="shared" ca="1" si="1304"/>
        <v>#NAME?</v>
      </c>
      <c r="CR160" s="24" t="e">
        <f t="shared" ca="1" si="1304"/>
        <v>#NAME?</v>
      </c>
      <c r="CS160" s="24" t="e">
        <f t="shared" ca="1" si="1304"/>
        <v>#NAME?</v>
      </c>
      <c r="CT160" s="24" t="e">
        <f t="shared" ca="1" si="1304"/>
        <v>#NAME?</v>
      </c>
      <c r="CU160" s="24" t="e">
        <f t="shared" ca="1" si="1304"/>
        <v>#NAME?</v>
      </c>
      <c r="CV160" s="24" t="e">
        <f t="shared" ca="1" si="1304"/>
        <v>#NAME?</v>
      </c>
      <c r="CW160" s="24" t="e">
        <f t="shared" ca="1" si="1304"/>
        <v>#NAME?</v>
      </c>
      <c r="CX160" s="24" t="e">
        <f t="shared" ca="1" si="1304"/>
        <v>#NAME?</v>
      </c>
      <c r="CY160" s="24" t="e">
        <f t="shared" ca="1" si="1304"/>
        <v>#NAME?</v>
      </c>
      <c r="CZ160" s="24" t="e">
        <f t="shared" ca="1" si="1304"/>
        <v>#NAME?</v>
      </c>
      <c r="DA160" s="24" t="e">
        <f t="shared" ca="1" si="1304"/>
        <v>#NAME?</v>
      </c>
      <c r="DB160" s="24" t="e">
        <f t="shared" ca="1" si="1304"/>
        <v>#NAME?</v>
      </c>
      <c r="DE160" s="123"/>
      <c r="DF160" s="23">
        <v>125.8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5">C159+C160</f>
        <v>#NAME?</v>
      </c>
      <c r="D161" s="22" t="e">
        <f t="shared" ca="1" si="1305"/>
        <v>#NAME?</v>
      </c>
      <c r="E161" s="22" t="e">
        <f t="shared" ca="1" si="1305"/>
        <v>#NAME?</v>
      </c>
      <c r="F161" s="22" t="e">
        <f t="shared" ca="1" si="1305"/>
        <v>#NAME?</v>
      </c>
      <c r="G161" s="22" t="e">
        <f t="shared" ca="1" si="1305"/>
        <v>#NAME?</v>
      </c>
      <c r="H161" s="22" t="e">
        <f t="shared" ca="1" si="1305"/>
        <v>#NAME?</v>
      </c>
      <c r="I161" s="22" t="e">
        <f t="shared" ca="1" si="1305"/>
        <v>#NAME?</v>
      </c>
      <c r="J161" s="22" t="e">
        <f t="shared" ca="1" si="1305"/>
        <v>#NAME?</v>
      </c>
      <c r="K161" s="22" t="e">
        <f t="shared" ca="1" si="1305"/>
        <v>#NAME?</v>
      </c>
      <c r="L161" s="22" t="e">
        <f t="shared" ca="1" si="1305"/>
        <v>#NAME?</v>
      </c>
      <c r="M161" s="22" t="e">
        <f t="shared" ca="1" si="1305"/>
        <v>#NAME?</v>
      </c>
      <c r="N161" s="22" t="e">
        <f t="shared" ca="1" si="1305"/>
        <v>#NAME?</v>
      </c>
      <c r="O161" s="22" t="e">
        <f t="shared" ca="1" si="1305"/>
        <v>#NAME?</v>
      </c>
      <c r="P161" s="22" t="e">
        <f t="shared" ca="1" si="1305"/>
        <v>#NAME?</v>
      </c>
      <c r="Q161" s="22" t="e">
        <f t="shared" ca="1" si="1305"/>
        <v>#NAME?</v>
      </c>
      <c r="R161" s="22" t="e">
        <f t="shared" ca="1" si="1305"/>
        <v>#NAME?</v>
      </c>
      <c r="S161" s="22" t="e">
        <f t="shared" ca="1" si="1305"/>
        <v>#NAME?</v>
      </c>
      <c r="T161" s="22" t="e">
        <f t="shared" ca="1" si="1305"/>
        <v>#NAME?</v>
      </c>
      <c r="U161" s="22" t="e">
        <f t="shared" ca="1" si="1305"/>
        <v>#NAME?</v>
      </c>
      <c r="V161" s="22" t="e">
        <f t="shared" ca="1" si="1305"/>
        <v>#NAME?</v>
      </c>
      <c r="W161" s="22" t="e">
        <f t="shared" ref="W161" ca="1" si="1306">W159+W160</f>
        <v>#NAME?</v>
      </c>
      <c r="X161" s="22" t="e">
        <f t="shared" ref="X161:Y161" ca="1" si="1307">X159+X160</f>
        <v>#NAME?</v>
      </c>
      <c r="Y161" s="22" t="e">
        <f t="shared" ca="1" si="1307"/>
        <v>#NAME?</v>
      </c>
      <c r="Z161" s="22" t="e">
        <f t="shared" ref="Z161:AA161" ca="1" si="1308">Z159+Z160</f>
        <v>#NAME?</v>
      </c>
      <c r="AA161" s="22" t="e">
        <f t="shared" ca="1" si="1308"/>
        <v>#NAME?</v>
      </c>
      <c r="AB161" s="21" t="e">
        <f t="shared" ref="AA161:AD161" ca="1" si="1309">AB159+AB160</f>
        <v>#NAME?</v>
      </c>
      <c r="AC161" s="21" t="e">
        <f t="shared" ca="1" si="1309"/>
        <v>#NAME?</v>
      </c>
      <c r="AD161" s="21" t="e">
        <f t="shared" ca="1" si="1309"/>
        <v>#NAME?</v>
      </c>
      <c r="AE161" s="21" t="e">
        <f t="shared" ref="AE161" ca="1" si="1310">AE159+AE160</f>
        <v>#NAME?</v>
      </c>
      <c r="AJ161" s="22" t="e">
        <f t="shared" ref="AJ161" ca="1" si="1311">AJ159+AJ160</f>
        <v>#NAME?</v>
      </c>
      <c r="AK161" s="22" t="e">
        <f t="shared" ref="AK161" ca="1" si="1312">AK159+AK160</f>
        <v>#NAME?</v>
      </c>
      <c r="AL161" s="22" t="e">
        <f t="shared" ref="AL161:AM161" ca="1" si="1313">AL159+AL160</f>
        <v>#NAME?</v>
      </c>
      <c r="AM161" s="22" t="e">
        <f t="shared" ca="1" si="1313"/>
        <v>#NAME?</v>
      </c>
      <c r="AN161" s="22" t="e">
        <f t="shared" ref="AN161:AO161" ca="1" si="1314">AN159+AN160</f>
        <v>#NAME?</v>
      </c>
      <c r="AO161" s="22" t="e">
        <f t="shared" ca="1" si="1314"/>
        <v>#NAME?</v>
      </c>
      <c r="AP161" s="22" t="e">
        <f t="shared" ref="AP161:CE161" ca="1" si="1315">AP159+AP160</f>
        <v>#NAME?</v>
      </c>
      <c r="AQ161" s="22" t="e">
        <f t="shared" ca="1" si="1315"/>
        <v>#NAME?</v>
      </c>
      <c r="AR161" s="22" t="e">
        <f t="shared" ca="1" si="1315"/>
        <v>#NAME?</v>
      </c>
      <c r="AS161" s="22" t="e">
        <f t="shared" ca="1" si="1315"/>
        <v>#NAME?</v>
      </c>
      <c r="AT161" s="22" t="e">
        <f t="shared" ca="1" si="1315"/>
        <v>#NAME?</v>
      </c>
      <c r="AU161" s="22" t="e">
        <f t="shared" ca="1" si="1315"/>
        <v>#NAME?</v>
      </c>
      <c r="AV161" s="22" t="e">
        <f t="shared" ca="1" si="1315"/>
        <v>#NAME?</v>
      </c>
      <c r="AW161" s="22" t="e">
        <f t="shared" ca="1" si="1315"/>
        <v>#NAME?</v>
      </c>
      <c r="AX161" s="22" t="e">
        <f t="shared" ca="1" si="1315"/>
        <v>#NAME?</v>
      </c>
      <c r="AY161" s="22" t="e">
        <f t="shared" ca="1" si="1315"/>
        <v>#NAME?</v>
      </c>
      <c r="AZ161" s="22" t="e">
        <f t="shared" ca="1" si="1315"/>
        <v>#NAME?</v>
      </c>
      <c r="BA161" s="22" t="e">
        <f t="shared" ca="1" si="1315"/>
        <v>#NAME?</v>
      </c>
      <c r="BB161" s="22" t="e">
        <f t="shared" ca="1" si="1315"/>
        <v>#NAME?</v>
      </c>
      <c r="BC161" s="22" t="e">
        <f t="shared" ca="1" si="1315"/>
        <v>#NAME?</v>
      </c>
      <c r="BD161" s="22" t="e">
        <f t="shared" ca="1" si="1315"/>
        <v>#NAME?</v>
      </c>
      <c r="BE161" s="22" t="e">
        <f t="shared" ca="1" si="1315"/>
        <v>#NAME?</v>
      </c>
      <c r="BF161" s="22" t="e">
        <f t="shared" ca="1" si="1315"/>
        <v>#NAME?</v>
      </c>
      <c r="BG161" s="22" t="e">
        <f t="shared" ca="1" si="1315"/>
        <v>#NAME?</v>
      </c>
      <c r="BH161" s="22" t="e">
        <f t="shared" ca="1" si="1315"/>
        <v>#NAME?</v>
      </c>
      <c r="BI161" s="22" t="e">
        <f t="shared" ca="1" si="1315"/>
        <v>#NAME?</v>
      </c>
      <c r="BJ161" s="22" t="e">
        <f t="shared" ca="1" si="1315"/>
        <v>#NAME?</v>
      </c>
      <c r="BK161" s="22" t="e">
        <f t="shared" ca="1" si="1315"/>
        <v>#NAME?</v>
      </c>
      <c r="BL161" s="22" t="e">
        <f t="shared" ca="1" si="1315"/>
        <v>#NAME?</v>
      </c>
      <c r="BM161" s="22" t="e">
        <f t="shared" ca="1" si="1315"/>
        <v>#NAME?</v>
      </c>
      <c r="BN161" s="22" t="e">
        <f t="shared" ca="1" si="1315"/>
        <v>#NAME?</v>
      </c>
      <c r="BO161" s="22" t="e">
        <f t="shared" ca="1" si="1315"/>
        <v>#NAME?</v>
      </c>
      <c r="BP161" s="22" t="e">
        <f t="shared" ca="1" si="1315"/>
        <v>#NAME?</v>
      </c>
      <c r="BQ161" s="22" t="e">
        <f t="shared" ca="1" si="1315"/>
        <v>#NAME?</v>
      </c>
      <c r="BR161" s="22" t="e">
        <f t="shared" ca="1" si="1315"/>
        <v>#NAME?</v>
      </c>
      <c r="BS161" s="22" t="e">
        <f t="shared" ca="1" si="1315"/>
        <v>#NAME?</v>
      </c>
      <c r="BT161" s="22" t="e">
        <f t="shared" ca="1" si="1315"/>
        <v>#NAME?</v>
      </c>
      <c r="BU161" s="22" t="e">
        <f t="shared" ca="1" si="1315"/>
        <v>#NAME?</v>
      </c>
      <c r="BV161" s="22" t="e">
        <f t="shared" ca="1" si="1315"/>
        <v>#NAME?</v>
      </c>
      <c r="BW161" s="22" t="e">
        <f t="shared" ca="1" si="1315"/>
        <v>#NAME?</v>
      </c>
      <c r="BX161" s="22" t="e">
        <f t="shared" ca="1" si="1315"/>
        <v>#NAME?</v>
      </c>
      <c r="BY161" s="22" t="e">
        <f t="shared" ca="1" si="1315"/>
        <v>#NAME?</v>
      </c>
      <c r="BZ161" s="22" t="e">
        <f t="shared" ca="1" si="1315"/>
        <v>#NAME?</v>
      </c>
      <c r="CA161" s="22" t="e">
        <f t="shared" ca="1" si="1315"/>
        <v>#NAME?</v>
      </c>
      <c r="CB161" s="22" t="e">
        <f t="shared" ca="1" si="1315"/>
        <v>#NAME?</v>
      </c>
      <c r="CC161" s="22" t="e">
        <f t="shared" ca="1" si="1315"/>
        <v>#NAME?</v>
      </c>
      <c r="CD161" s="22" t="e">
        <f t="shared" ca="1" si="1315"/>
        <v>#NAME?</v>
      </c>
      <c r="CE161" s="22" t="e">
        <f t="shared" ca="1" si="1315"/>
        <v>#NAME?</v>
      </c>
      <c r="CF161" s="22" t="e">
        <f t="shared" ref="CF161:CG161" ca="1" si="1316">CF159+CF160</f>
        <v>#NAME?</v>
      </c>
      <c r="CG161" s="22" t="e">
        <f t="shared" ca="1" si="1316"/>
        <v>#NAME?</v>
      </c>
      <c r="CH161" s="22" t="e">
        <f t="shared" ref="CH161:CI161" ca="1" si="1317">CH159+CH160</f>
        <v>#NAME?</v>
      </c>
      <c r="CI161" s="22" t="e">
        <f t="shared" ca="1" si="1317"/>
        <v>#NAME?</v>
      </c>
      <c r="CJ161" s="22" t="e">
        <f t="shared" ref="CJ161:DB161" ca="1" si="1318">CJ159+CJ160</f>
        <v>#NAME?</v>
      </c>
      <c r="CK161" s="21" t="e">
        <f t="shared" ca="1" si="1318"/>
        <v>#NAME?</v>
      </c>
      <c r="CL161" s="22" t="e">
        <f t="shared" ref="CL161" ca="1" si="1319">CL159+CL160</f>
        <v>#NAME?</v>
      </c>
      <c r="CM161" s="21" t="e">
        <f t="shared" ca="1" si="1318"/>
        <v>#NAME?</v>
      </c>
      <c r="CN161" s="21" t="e">
        <f t="shared" ca="1" si="1318"/>
        <v>#NAME?</v>
      </c>
      <c r="CO161" s="21" t="e">
        <f t="shared" ca="1" si="1318"/>
        <v>#NAME?</v>
      </c>
      <c r="CP161" s="21" t="e">
        <f t="shared" ca="1" si="1318"/>
        <v>#NAME?</v>
      </c>
      <c r="CQ161" s="21" t="e">
        <f t="shared" ca="1" si="1318"/>
        <v>#NAME?</v>
      </c>
      <c r="CR161" s="21" t="e">
        <f t="shared" ca="1" si="1318"/>
        <v>#NAME?</v>
      </c>
      <c r="CS161" s="21" t="e">
        <f t="shared" ca="1" si="1318"/>
        <v>#NAME?</v>
      </c>
      <c r="CT161" s="21" t="e">
        <f t="shared" ca="1" si="1318"/>
        <v>#NAME?</v>
      </c>
      <c r="CU161" s="21" t="e">
        <f t="shared" ca="1" si="1318"/>
        <v>#NAME?</v>
      </c>
      <c r="CV161" s="21" t="e">
        <f t="shared" ca="1" si="1318"/>
        <v>#NAME?</v>
      </c>
      <c r="CW161" s="21" t="e">
        <f t="shared" ca="1" si="1318"/>
        <v>#NAME?</v>
      </c>
      <c r="CX161" s="21" t="e">
        <f t="shared" ca="1" si="1318"/>
        <v>#NAME?</v>
      </c>
      <c r="CY161" s="21" t="e">
        <f t="shared" ca="1" si="1318"/>
        <v>#NAME?</v>
      </c>
      <c r="CZ161" s="21" t="e">
        <f t="shared" ca="1" si="1318"/>
        <v>#NAME?</v>
      </c>
      <c r="DA161" s="21" t="e">
        <f t="shared" ca="1" si="1318"/>
        <v>#NAME?</v>
      </c>
      <c r="DB161" s="21" t="e">
        <f t="shared" ca="1" si="1318"/>
        <v>#NAME?</v>
      </c>
      <c r="DE161" s="126"/>
      <c r="DF161" s="22">
        <v>145.80000000000001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20">+CP163</f>
        <v>#NAME?</v>
      </c>
      <c r="AC163" s="24" t="e">
        <f t="shared" ref="AC163:AC164" ca="1" si="1321">+CT163</f>
        <v>#NAME?</v>
      </c>
      <c r="AD163" s="24" t="e">
        <f t="shared" ref="AD163:AD164" ca="1" si="1322">+CX163</f>
        <v>#NAME?</v>
      </c>
      <c r="AE163" s="24" t="e">
        <f t="shared" ref="AE163:AE164" ca="1" si="1323">+DB163</f>
        <v>#NAME?</v>
      </c>
      <c r="AJ163" s="23" t="e">
        <f ca="1">+'QTR Raw'!D96</f>
        <v>#NAME?</v>
      </c>
      <c r="AK163" s="23" t="e">
        <f t="shared" ref="AK163:CE163" ca="1" si="1324">+AJ163</f>
        <v>#NAME?</v>
      </c>
      <c r="AL163" s="23" t="e">
        <f ca="1">+'QTR Raw'!F96</f>
        <v>#NAME?</v>
      </c>
      <c r="AM163" s="23" t="e">
        <f t="shared" ca="1" si="1324"/>
        <v>#NAME?</v>
      </c>
      <c r="AN163" s="23" t="e">
        <f ca="1">+'QTR Raw'!H96</f>
        <v>#NAME?</v>
      </c>
      <c r="AO163" s="23" t="e">
        <f t="shared" ca="1" si="1324"/>
        <v>#NAME?</v>
      </c>
      <c r="AP163" s="23" t="e">
        <f ca="1">+'QTR Raw'!J96</f>
        <v>#NAME?</v>
      </c>
      <c r="AQ163" s="23" t="e">
        <f t="shared" ca="1" si="1324"/>
        <v>#NAME?</v>
      </c>
      <c r="AR163" s="23" t="e">
        <f ca="1">+'QTR Raw'!L96</f>
        <v>#NAME?</v>
      </c>
      <c r="AS163" s="23" t="e">
        <f t="shared" ca="1" si="1324"/>
        <v>#NAME?</v>
      </c>
      <c r="AT163" s="23" t="e">
        <f ca="1">+'QTR Raw'!N96</f>
        <v>#NAME?</v>
      </c>
      <c r="AU163" s="23" t="e">
        <f t="shared" ca="1" si="1324"/>
        <v>#NAME?</v>
      </c>
      <c r="AV163" s="23" t="e">
        <f ca="1">+'QTR Raw'!P96</f>
        <v>#NAME?</v>
      </c>
      <c r="AW163" s="23" t="e">
        <f t="shared" ca="1" si="1324"/>
        <v>#NAME?</v>
      </c>
      <c r="AX163" s="23" t="e">
        <f ca="1">+'QTR Raw'!R96</f>
        <v>#NAME?</v>
      </c>
      <c r="AY163" s="23" t="e">
        <f t="shared" ca="1" si="1324"/>
        <v>#NAME?</v>
      </c>
      <c r="AZ163" s="23" t="e">
        <f ca="1">+'QTR Raw'!T96</f>
        <v>#NAME?</v>
      </c>
      <c r="BA163" s="23" t="e">
        <f t="shared" ca="1" si="1324"/>
        <v>#NAME?</v>
      </c>
      <c r="BB163" s="23" t="e">
        <f ca="1">+'QTR Raw'!V96</f>
        <v>#NAME?</v>
      </c>
      <c r="BC163" s="23" t="e">
        <f t="shared" ca="1" si="1324"/>
        <v>#NAME?</v>
      </c>
      <c r="BD163" s="23" t="e">
        <f ca="1">+'QTR Raw'!X96</f>
        <v>#NAME?</v>
      </c>
      <c r="BE163" s="23" t="e">
        <f t="shared" ca="1" si="1324"/>
        <v>#NAME?</v>
      </c>
      <c r="BF163" s="23" t="e">
        <f ca="1">+'QTR Raw'!Z96</f>
        <v>#NAME?</v>
      </c>
      <c r="BG163" s="23" t="e">
        <f t="shared" ca="1" si="1324"/>
        <v>#NAME?</v>
      </c>
      <c r="BH163" s="23" t="e">
        <f ca="1">+'QTR Raw'!AB96</f>
        <v>#NAME?</v>
      </c>
      <c r="BI163" s="23" t="e">
        <f t="shared" ca="1" si="1324"/>
        <v>#NAME?</v>
      </c>
      <c r="BJ163" s="23" t="e">
        <f ca="1">+'QTR Raw'!AD96</f>
        <v>#NAME?</v>
      </c>
      <c r="BK163" s="23" t="e">
        <f t="shared" ca="1" si="1324"/>
        <v>#NAME?</v>
      </c>
      <c r="BL163" s="23" t="e">
        <f ca="1">+'QTR Raw'!AF96</f>
        <v>#NAME?</v>
      </c>
      <c r="BM163" s="23" t="e">
        <f t="shared" ca="1" si="1324"/>
        <v>#NAME?</v>
      </c>
      <c r="BN163" s="23" t="e">
        <f ca="1">+'QTR Raw'!AH96</f>
        <v>#NAME?</v>
      </c>
      <c r="BO163" s="23" t="e">
        <f t="shared" ca="1" si="1324"/>
        <v>#NAME?</v>
      </c>
      <c r="BP163" s="23" t="e">
        <f ca="1">+'QTR Raw'!AJ96</f>
        <v>#NAME?</v>
      </c>
      <c r="BQ163" s="23" t="e">
        <f t="shared" ca="1" si="1324"/>
        <v>#NAME?</v>
      </c>
      <c r="BR163" s="23" t="e">
        <f ca="1">+'QTR Raw'!AL96</f>
        <v>#NAME?</v>
      </c>
      <c r="BS163" s="23" t="e">
        <f t="shared" ca="1" si="1324"/>
        <v>#NAME?</v>
      </c>
      <c r="BT163" s="23" t="e">
        <f ca="1">+'QTR Raw'!AN96</f>
        <v>#NAME?</v>
      </c>
      <c r="BU163" s="23" t="e">
        <f t="shared" ca="1" si="1324"/>
        <v>#NAME?</v>
      </c>
      <c r="BV163" s="23" t="e">
        <f ca="1">+'QTR Raw'!AP96</f>
        <v>#NAME?</v>
      </c>
      <c r="BW163" s="23" t="e">
        <f t="shared" ca="1" si="1324"/>
        <v>#NAME?</v>
      </c>
      <c r="BX163" s="23" t="e">
        <f ca="1">+'QTR Raw'!AR96</f>
        <v>#NAME?</v>
      </c>
      <c r="BY163" s="23" t="e">
        <f t="shared" ca="1" si="1324"/>
        <v>#NAME?</v>
      </c>
      <c r="BZ163" s="23" t="e">
        <f ca="1">+'QTR Raw'!AT96</f>
        <v>#NAME?</v>
      </c>
      <c r="CA163" s="23" t="e">
        <f t="shared" ca="1" si="1324"/>
        <v>#NAME?</v>
      </c>
      <c r="CB163" s="23" t="e">
        <f ca="1">+'QTR Raw'!AV96</f>
        <v>#NAME?</v>
      </c>
      <c r="CC163" s="23" t="e">
        <f t="shared" ca="1" si="1324"/>
        <v>#NAME?</v>
      </c>
      <c r="CD163" s="23" t="e">
        <f ca="1">+'QTR Raw'!AX96</f>
        <v>#NAME?</v>
      </c>
      <c r="CE163" s="23" t="e">
        <f t="shared" ca="1" si="1324"/>
        <v>#NAME?</v>
      </c>
      <c r="CF163" s="23" t="e">
        <f ca="1">+'QTR Raw'!AZ96</f>
        <v>#NAME?</v>
      </c>
      <c r="CG163" s="23" t="e">
        <f t="shared" ref="CG163:CI164" ca="1" si="1325">+CF163</f>
        <v>#NAME?</v>
      </c>
      <c r="CH163" s="23" t="e">
        <f t="shared" ref="CH163:CH164" ca="1" si="1326">Z163</f>
        <v>#NAME?</v>
      </c>
      <c r="CI163" s="23" t="e">
        <f t="shared" ca="1" si="1325"/>
        <v>#NAME?</v>
      </c>
      <c r="CJ163" s="23" t="e">
        <f ca="1">+'QTR Raw'!BD96</f>
        <v>#NAME?</v>
      </c>
      <c r="CK163" s="24" t="e">
        <f t="shared" ref="CK163:CK164" ca="1" si="1327">+CJ163</f>
        <v>#NAME?</v>
      </c>
      <c r="CL163" s="23" t="e">
        <f ca="1">+'QTR Raw'!BF96</f>
        <v>#NAME?</v>
      </c>
      <c r="CM163" s="24" t="e">
        <f t="shared" ref="CM163:CM164" ca="1" si="1328">+CL163</f>
        <v>#NAME?</v>
      </c>
      <c r="CN163" s="24" t="e">
        <f t="shared" ref="CN163:CN164" ca="1" si="1329">+CM163</f>
        <v>#NAME?</v>
      </c>
      <c r="CO163" s="24" t="e">
        <f t="shared" ref="CO163:CO164" ca="1" si="1330">+CN163</f>
        <v>#NAME?</v>
      </c>
      <c r="CP163" s="24" t="e">
        <f t="shared" ref="CP163:CP164" ca="1" si="1331">+CO163</f>
        <v>#NAME?</v>
      </c>
      <c r="CQ163" s="24" t="e">
        <f t="shared" ref="CQ163:CQ164" ca="1" si="1332">+CP163</f>
        <v>#NAME?</v>
      </c>
      <c r="CR163" s="24" t="e">
        <f t="shared" ref="CR163:CR164" ca="1" si="1333">+CQ163</f>
        <v>#NAME?</v>
      </c>
      <c r="CS163" s="24" t="e">
        <f t="shared" ref="CS163:CS164" ca="1" si="1334">+CR163</f>
        <v>#NAME?</v>
      </c>
      <c r="CT163" s="24" t="e">
        <f t="shared" ref="CT163:CT164" ca="1" si="1335">+CS163</f>
        <v>#NAME?</v>
      </c>
      <c r="CU163" s="24" t="e">
        <f t="shared" ref="CU163:CU164" ca="1" si="1336">+CT163</f>
        <v>#NAME?</v>
      </c>
      <c r="CV163" s="24" t="e">
        <f t="shared" ref="CV163:CV164" ca="1" si="1337">+CU163</f>
        <v>#NAME?</v>
      </c>
      <c r="CW163" s="24" t="e">
        <f t="shared" ref="CW163:CW164" ca="1" si="1338">+CV163</f>
        <v>#NAME?</v>
      </c>
      <c r="CX163" s="24" t="e">
        <f t="shared" ref="CX163:CX164" ca="1" si="1339">+CW163</f>
        <v>#NAME?</v>
      </c>
      <c r="CY163" s="24" t="e">
        <f t="shared" ref="CY163:CY164" ca="1" si="1340">+CX163</f>
        <v>#NAME?</v>
      </c>
      <c r="CZ163" s="24" t="e">
        <f t="shared" ref="CZ163:CZ164" ca="1" si="1341">+CY163</f>
        <v>#NAME?</v>
      </c>
      <c r="DA163" s="24" t="e">
        <f t="shared" ref="DA163:DA164" ca="1" si="1342">+CZ163</f>
        <v>#NAME?</v>
      </c>
      <c r="DB163" s="24" t="e">
        <f t="shared" ref="DB163:DB164" ca="1" si="1343">+DA163</f>
        <v>#NAME?</v>
      </c>
      <c r="DE163" s="123"/>
      <c r="DF163" s="23">
        <v>12.984999999999999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20"/>
        <v>#NAME?</v>
      </c>
      <c r="AC164" s="24" t="e">
        <f t="shared" ca="1" si="1321"/>
        <v>#NAME?</v>
      </c>
      <c r="AD164" s="24" t="e">
        <f t="shared" ca="1" si="1322"/>
        <v>#NAME?</v>
      </c>
      <c r="AE164" s="24" t="e">
        <f t="shared" ca="1" si="1323"/>
        <v>#NAME?</v>
      </c>
      <c r="AJ164" s="23" t="e">
        <f ca="1">+'QTR Raw'!D95</f>
        <v>#NAME?</v>
      </c>
      <c r="AK164" s="23" t="e">
        <f t="shared" ref="AK164:CE164" ca="1" si="1344">+AJ164</f>
        <v>#NAME?</v>
      </c>
      <c r="AL164" s="23" t="e">
        <f ca="1">+'QTR Raw'!F95</f>
        <v>#NAME?</v>
      </c>
      <c r="AM164" s="23" t="e">
        <f t="shared" ca="1" si="1344"/>
        <v>#NAME?</v>
      </c>
      <c r="AN164" s="23" t="e">
        <f ca="1">+'QTR Raw'!H95</f>
        <v>#NAME?</v>
      </c>
      <c r="AO164" s="23" t="e">
        <f t="shared" ca="1" si="1344"/>
        <v>#NAME?</v>
      </c>
      <c r="AP164" s="23" t="e">
        <f ca="1">+'QTR Raw'!J95</f>
        <v>#NAME?</v>
      </c>
      <c r="AQ164" s="23" t="e">
        <f t="shared" ca="1" si="1344"/>
        <v>#NAME?</v>
      </c>
      <c r="AR164" s="23" t="e">
        <f ca="1">+'QTR Raw'!L95</f>
        <v>#NAME?</v>
      </c>
      <c r="AS164" s="23" t="e">
        <f t="shared" ca="1" si="1344"/>
        <v>#NAME?</v>
      </c>
      <c r="AT164" s="23" t="e">
        <f ca="1">+'QTR Raw'!N95</f>
        <v>#NAME?</v>
      </c>
      <c r="AU164" s="23" t="e">
        <f t="shared" ca="1" si="1344"/>
        <v>#NAME?</v>
      </c>
      <c r="AV164" s="23" t="e">
        <f ca="1">+'QTR Raw'!P95</f>
        <v>#NAME?</v>
      </c>
      <c r="AW164" s="23" t="e">
        <f t="shared" ca="1" si="1344"/>
        <v>#NAME?</v>
      </c>
      <c r="AX164" s="23" t="e">
        <f ca="1">+'QTR Raw'!R95</f>
        <v>#NAME?</v>
      </c>
      <c r="AY164" s="23" t="e">
        <f t="shared" ca="1" si="1344"/>
        <v>#NAME?</v>
      </c>
      <c r="AZ164" s="23" t="e">
        <f ca="1">+'QTR Raw'!T95</f>
        <v>#NAME?</v>
      </c>
      <c r="BA164" s="23" t="e">
        <f t="shared" ca="1" si="1344"/>
        <v>#NAME?</v>
      </c>
      <c r="BB164" s="23" t="e">
        <f ca="1">+'QTR Raw'!V95</f>
        <v>#NAME?</v>
      </c>
      <c r="BC164" s="23" t="e">
        <f t="shared" ca="1" si="1344"/>
        <v>#NAME?</v>
      </c>
      <c r="BD164" s="23" t="e">
        <f ca="1">+'QTR Raw'!X95</f>
        <v>#NAME?</v>
      </c>
      <c r="BE164" s="23" t="e">
        <f t="shared" ca="1" si="1344"/>
        <v>#NAME?</v>
      </c>
      <c r="BF164" s="23" t="e">
        <f ca="1">+'QTR Raw'!Z95</f>
        <v>#NAME?</v>
      </c>
      <c r="BG164" s="23" t="e">
        <f t="shared" ca="1" si="1344"/>
        <v>#NAME?</v>
      </c>
      <c r="BH164" s="23" t="e">
        <f ca="1">+'QTR Raw'!AB95</f>
        <v>#NAME?</v>
      </c>
      <c r="BI164" s="23" t="e">
        <f t="shared" ca="1" si="1344"/>
        <v>#NAME?</v>
      </c>
      <c r="BJ164" s="23" t="e">
        <f ca="1">+'QTR Raw'!AD95</f>
        <v>#NAME?</v>
      </c>
      <c r="BK164" s="23" t="e">
        <f t="shared" ca="1" si="1344"/>
        <v>#NAME?</v>
      </c>
      <c r="BL164" s="23" t="e">
        <f ca="1">+'QTR Raw'!AF95</f>
        <v>#NAME?</v>
      </c>
      <c r="BM164" s="23" t="e">
        <f t="shared" ca="1" si="1344"/>
        <v>#NAME?</v>
      </c>
      <c r="BN164" s="23" t="e">
        <f ca="1">+'QTR Raw'!AH95</f>
        <v>#NAME?</v>
      </c>
      <c r="BO164" s="23" t="e">
        <f t="shared" ca="1" si="1344"/>
        <v>#NAME?</v>
      </c>
      <c r="BP164" s="23" t="e">
        <f ca="1">+'QTR Raw'!AJ95</f>
        <v>#NAME?</v>
      </c>
      <c r="BQ164" s="23" t="e">
        <f t="shared" ca="1" si="1344"/>
        <v>#NAME?</v>
      </c>
      <c r="BR164" s="23" t="e">
        <f ca="1">+'QTR Raw'!AL95</f>
        <v>#NAME?</v>
      </c>
      <c r="BS164" s="23" t="e">
        <f t="shared" ca="1" si="1344"/>
        <v>#NAME?</v>
      </c>
      <c r="BT164" s="23" t="e">
        <f ca="1">+'QTR Raw'!AN95</f>
        <v>#NAME?</v>
      </c>
      <c r="BU164" s="23" t="e">
        <f t="shared" ca="1" si="1344"/>
        <v>#NAME?</v>
      </c>
      <c r="BV164" s="23" t="e">
        <f ca="1">+'QTR Raw'!AP95</f>
        <v>#NAME?</v>
      </c>
      <c r="BW164" s="23" t="e">
        <f t="shared" ca="1" si="1344"/>
        <v>#NAME?</v>
      </c>
      <c r="BX164" s="23" t="e">
        <f ca="1">+'QTR Raw'!AR95</f>
        <v>#NAME?</v>
      </c>
      <c r="BY164" s="23" t="e">
        <f t="shared" ca="1" si="1344"/>
        <v>#NAME?</v>
      </c>
      <c r="BZ164" s="23" t="e">
        <f ca="1">+'QTR Raw'!AT95</f>
        <v>#NAME?</v>
      </c>
      <c r="CA164" s="23" t="e">
        <f t="shared" ca="1" si="1344"/>
        <v>#NAME?</v>
      </c>
      <c r="CB164" s="23" t="e">
        <f ca="1">+'QTR Raw'!AV95</f>
        <v>#NAME?</v>
      </c>
      <c r="CC164" s="23" t="e">
        <f t="shared" ca="1" si="1344"/>
        <v>#NAME?</v>
      </c>
      <c r="CD164" s="23" t="e">
        <f ca="1">+'QTR Raw'!AX95</f>
        <v>#NAME?</v>
      </c>
      <c r="CE164" s="23" t="e">
        <f t="shared" ca="1" si="1344"/>
        <v>#NAME?</v>
      </c>
      <c r="CF164" s="23" t="e">
        <f ca="1">+'QTR Raw'!AZ95</f>
        <v>#NAME?</v>
      </c>
      <c r="CG164" s="23" t="e">
        <f t="shared" ca="1" si="1325"/>
        <v>#NAME?</v>
      </c>
      <c r="CH164" s="23" t="e">
        <f t="shared" ca="1" si="1326"/>
        <v>#NAME?</v>
      </c>
      <c r="CI164" s="23" t="e">
        <f t="shared" ca="1" si="1325"/>
        <v>#NAME?</v>
      </c>
      <c r="CJ164" s="23" t="e">
        <f ca="1">+'QTR Raw'!BD95</f>
        <v>#NAME?</v>
      </c>
      <c r="CK164" s="24" t="e">
        <f t="shared" ca="1" si="1327"/>
        <v>#NAME?</v>
      </c>
      <c r="CL164" s="23" t="e">
        <f ca="1">+'QTR Raw'!BF95</f>
        <v>#NAME?</v>
      </c>
      <c r="CM164" s="24" t="e">
        <f t="shared" ca="1" si="1328"/>
        <v>#NAME?</v>
      </c>
      <c r="CN164" s="24" t="e">
        <f t="shared" ca="1" si="1329"/>
        <v>#NAME?</v>
      </c>
      <c r="CO164" s="24" t="e">
        <f t="shared" ca="1" si="1330"/>
        <v>#NAME?</v>
      </c>
      <c r="CP164" s="24" t="e">
        <f t="shared" ca="1" si="1331"/>
        <v>#NAME?</v>
      </c>
      <c r="CQ164" s="24" t="e">
        <f t="shared" ca="1" si="1332"/>
        <v>#NAME?</v>
      </c>
      <c r="CR164" s="24" t="e">
        <f t="shared" ca="1" si="1333"/>
        <v>#NAME?</v>
      </c>
      <c r="CS164" s="24" t="e">
        <f t="shared" ca="1" si="1334"/>
        <v>#NAME?</v>
      </c>
      <c r="CT164" s="24" t="e">
        <f t="shared" ca="1" si="1335"/>
        <v>#NAME?</v>
      </c>
      <c r="CU164" s="24" t="e">
        <f t="shared" ca="1" si="1336"/>
        <v>#NAME?</v>
      </c>
      <c r="CV164" s="24" t="e">
        <f t="shared" ca="1" si="1337"/>
        <v>#NAME?</v>
      </c>
      <c r="CW164" s="24" t="e">
        <f t="shared" ca="1" si="1338"/>
        <v>#NAME?</v>
      </c>
      <c r="CX164" s="24" t="e">
        <f t="shared" ca="1" si="1339"/>
        <v>#NAME?</v>
      </c>
      <c r="CY164" s="24" t="e">
        <f t="shared" ca="1" si="1340"/>
        <v>#NAME?</v>
      </c>
      <c r="CZ164" s="24" t="e">
        <f t="shared" ca="1" si="1341"/>
        <v>#NAME?</v>
      </c>
      <c r="DA164" s="24" t="e">
        <f t="shared" ca="1" si="1342"/>
        <v>#NAME?</v>
      </c>
      <c r="DB164" s="24" t="e">
        <f t="shared" ca="1" si="1343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5">B163+B161+B157+B140+B138+B164</f>
        <v>#NAME?</v>
      </c>
      <c r="C165" s="26" t="e">
        <f t="shared" ca="1" si="1345"/>
        <v>#NAME?</v>
      </c>
      <c r="D165" s="26" t="e">
        <f t="shared" ca="1" si="1345"/>
        <v>#NAME?</v>
      </c>
      <c r="E165" s="26" t="e">
        <f t="shared" ca="1" si="1345"/>
        <v>#NAME?</v>
      </c>
      <c r="F165" s="26" t="e">
        <f t="shared" ca="1" si="1345"/>
        <v>#NAME?</v>
      </c>
      <c r="G165" s="26" t="e">
        <f t="shared" ca="1" si="1345"/>
        <v>#NAME?</v>
      </c>
      <c r="H165" s="26" t="e">
        <f t="shared" ca="1" si="1345"/>
        <v>#NAME?</v>
      </c>
      <c r="I165" s="26" t="e">
        <f t="shared" ca="1" si="1345"/>
        <v>#NAME?</v>
      </c>
      <c r="J165" s="26" t="e">
        <f t="shared" ca="1" si="1345"/>
        <v>#NAME?</v>
      </c>
      <c r="K165" s="26" t="e">
        <f t="shared" ca="1" si="1345"/>
        <v>#NAME?</v>
      </c>
      <c r="L165" s="26" t="e">
        <f t="shared" ca="1" si="1345"/>
        <v>#NAME?</v>
      </c>
      <c r="M165" s="26" t="e">
        <f t="shared" ca="1" si="1345"/>
        <v>#NAME?</v>
      </c>
      <c r="N165" s="26" t="e">
        <f t="shared" ca="1" si="1345"/>
        <v>#NAME?</v>
      </c>
      <c r="O165" s="26" t="e">
        <f t="shared" ca="1" si="1345"/>
        <v>#NAME?</v>
      </c>
      <c r="P165" s="26" t="e">
        <f t="shared" ca="1" si="1345"/>
        <v>#NAME?</v>
      </c>
      <c r="Q165" s="26" t="e">
        <f t="shared" ca="1" si="1345"/>
        <v>#NAME?</v>
      </c>
      <c r="R165" s="26" t="e">
        <f t="shared" ca="1" si="1345"/>
        <v>#NAME?</v>
      </c>
      <c r="S165" s="26" t="e">
        <f t="shared" ca="1" si="1345"/>
        <v>#NAME?</v>
      </c>
      <c r="T165" s="26" t="e">
        <f t="shared" ca="1" si="1345"/>
        <v>#NAME?</v>
      </c>
      <c r="U165" s="26" t="e">
        <f t="shared" ca="1" si="1345"/>
        <v>#NAME?</v>
      </c>
      <c r="V165" s="26" t="e">
        <f t="shared" ca="1" si="1345"/>
        <v>#NAME?</v>
      </c>
      <c r="W165" s="26" t="e">
        <f t="shared" ca="1" si="1345"/>
        <v>#NAME?</v>
      </c>
      <c r="X165" s="26" t="e">
        <f t="shared" ref="X165:Y165" ca="1" si="1346">X163+X161+X157+X140+X138+X164</f>
        <v>#NAME?</v>
      </c>
      <c r="Y165" s="26" t="e">
        <f t="shared" ca="1" si="1346"/>
        <v>#NAME?</v>
      </c>
      <c r="Z165" s="26" t="e">
        <f t="shared" ref="Z165:AA165" ca="1" si="1347">Z163+Z161+Z157+Z140+Z138+Z164</f>
        <v>#NAME?</v>
      </c>
      <c r="AA165" s="26" t="e">
        <f t="shared" ca="1" si="1347"/>
        <v>#NAME?</v>
      </c>
      <c r="AB165" s="27" t="e">
        <f t="shared" ref="AA165:AD165" ca="1" si="1348">AB163+AB161+AB157+AB140+AB138+AB164</f>
        <v>#NAME?</v>
      </c>
      <c r="AC165" s="27" t="e">
        <f t="shared" ca="1" si="1348"/>
        <v>#NAME?</v>
      </c>
      <c r="AD165" s="27" t="e">
        <f t="shared" ca="1" si="1348"/>
        <v>#NAME?</v>
      </c>
      <c r="AE165" s="27" t="e">
        <f t="shared" ref="AE165" ca="1" si="1349">AE163+AE161+AE157+AE140+AE138+AE164</f>
        <v>#NAME?</v>
      </c>
      <c r="AJ165" s="26" t="e">
        <f t="shared" ref="AJ165" ca="1" si="1350">AJ163+AJ161+AJ157+AJ140+AJ138+AJ164</f>
        <v>#NAME?</v>
      </c>
      <c r="AK165" s="26" t="e">
        <f t="shared" ref="AK165:AL165" ca="1" si="1351">AK163+AK161+AK157+AK140+AK138+AK164</f>
        <v>#NAME?</v>
      </c>
      <c r="AL165" s="26" t="e">
        <f t="shared" ca="1" si="1351"/>
        <v>#NAME?</v>
      </c>
      <c r="AM165" s="26" t="e">
        <f t="shared" ref="AM165:AO165" ca="1" si="1352">AM163+AM161+AM157+AM140+AM138+AM164</f>
        <v>#NAME?</v>
      </c>
      <c r="AN165" s="26" t="e">
        <f t="shared" ca="1" si="1352"/>
        <v>#NAME?</v>
      </c>
      <c r="AO165" s="26" t="e">
        <f t="shared" ca="1" si="1352"/>
        <v>#NAME?</v>
      </c>
      <c r="AP165" s="26" t="e">
        <f t="shared" ref="AP165:CE165" ca="1" si="1353">AP163+AP161+AP157+AP140+AP138+AP164</f>
        <v>#NAME?</v>
      </c>
      <c r="AQ165" s="26" t="e">
        <f t="shared" ca="1" si="1353"/>
        <v>#NAME?</v>
      </c>
      <c r="AR165" s="26" t="e">
        <f t="shared" ca="1" si="1353"/>
        <v>#NAME?</v>
      </c>
      <c r="AS165" s="26" t="e">
        <f t="shared" ca="1" si="1353"/>
        <v>#NAME?</v>
      </c>
      <c r="AT165" s="26" t="e">
        <f t="shared" ca="1" si="1353"/>
        <v>#NAME?</v>
      </c>
      <c r="AU165" s="26" t="e">
        <f t="shared" ca="1" si="1353"/>
        <v>#NAME?</v>
      </c>
      <c r="AV165" s="26" t="e">
        <f t="shared" ca="1" si="1353"/>
        <v>#NAME?</v>
      </c>
      <c r="AW165" s="26" t="e">
        <f t="shared" ca="1" si="1353"/>
        <v>#NAME?</v>
      </c>
      <c r="AX165" s="26" t="e">
        <f t="shared" ca="1" si="1353"/>
        <v>#NAME?</v>
      </c>
      <c r="AY165" s="26" t="e">
        <f t="shared" ca="1" si="1353"/>
        <v>#NAME?</v>
      </c>
      <c r="AZ165" s="26" t="e">
        <f t="shared" ca="1" si="1353"/>
        <v>#NAME?</v>
      </c>
      <c r="BA165" s="26" t="e">
        <f t="shared" ca="1" si="1353"/>
        <v>#NAME?</v>
      </c>
      <c r="BB165" s="26" t="e">
        <f t="shared" ca="1" si="1353"/>
        <v>#NAME?</v>
      </c>
      <c r="BC165" s="26" t="e">
        <f t="shared" ca="1" si="1353"/>
        <v>#NAME?</v>
      </c>
      <c r="BD165" s="26" t="e">
        <f t="shared" ca="1" si="1353"/>
        <v>#NAME?</v>
      </c>
      <c r="BE165" s="26" t="e">
        <f t="shared" ca="1" si="1353"/>
        <v>#NAME?</v>
      </c>
      <c r="BF165" s="26" t="e">
        <f t="shared" ca="1" si="1353"/>
        <v>#NAME?</v>
      </c>
      <c r="BG165" s="26" t="e">
        <f t="shared" ca="1" si="1353"/>
        <v>#NAME?</v>
      </c>
      <c r="BH165" s="26" t="e">
        <f t="shared" ref="BH165" ca="1" si="1354">BH163+BH161+BH157+BH140+BH138+BH164</f>
        <v>#NAME?</v>
      </c>
      <c r="BI165" s="26" t="e">
        <f t="shared" ca="1" si="1353"/>
        <v>#NAME?</v>
      </c>
      <c r="BJ165" s="26" t="e">
        <f t="shared" ca="1" si="1353"/>
        <v>#NAME?</v>
      </c>
      <c r="BK165" s="26" t="e">
        <f t="shared" ca="1" si="1353"/>
        <v>#NAME?</v>
      </c>
      <c r="BL165" s="26" t="e">
        <f t="shared" ca="1" si="1353"/>
        <v>#NAME?</v>
      </c>
      <c r="BM165" s="26" t="e">
        <f t="shared" ca="1" si="1353"/>
        <v>#NAME?</v>
      </c>
      <c r="BN165" s="26" t="e">
        <f t="shared" ca="1" si="1353"/>
        <v>#NAME?</v>
      </c>
      <c r="BO165" s="26" t="e">
        <f t="shared" ca="1" si="1353"/>
        <v>#NAME?</v>
      </c>
      <c r="BP165" s="26" t="e">
        <f t="shared" ca="1" si="1353"/>
        <v>#NAME?</v>
      </c>
      <c r="BQ165" s="26" t="e">
        <f t="shared" ca="1" si="1353"/>
        <v>#NAME?</v>
      </c>
      <c r="BR165" s="26" t="e">
        <f t="shared" ca="1" si="1353"/>
        <v>#NAME?</v>
      </c>
      <c r="BS165" s="26" t="e">
        <f t="shared" ca="1" si="1353"/>
        <v>#NAME?</v>
      </c>
      <c r="BT165" s="26" t="e">
        <f t="shared" ca="1" si="1353"/>
        <v>#NAME?</v>
      </c>
      <c r="BU165" s="26" t="e">
        <f t="shared" ca="1" si="1353"/>
        <v>#NAME?</v>
      </c>
      <c r="BV165" s="26" t="e">
        <f t="shared" ca="1" si="1353"/>
        <v>#NAME?</v>
      </c>
      <c r="BW165" s="26" t="e">
        <f t="shared" ca="1" si="1353"/>
        <v>#NAME?</v>
      </c>
      <c r="BX165" s="26" t="e">
        <f t="shared" ca="1" si="1353"/>
        <v>#NAME?</v>
      </c>
      <c r="BY165" s="26" t="e">
        <f t="shared" ca="1" si="1353"/>
        <v>#NAME?</v>
      </c>
      <c r="BZ165" s="26" t="e">
        <f t="shared" ca="1" si="1353"/>
        <v>#NAME?</v>
      </c>
      <c r="CA165" s="26" t="e">
        <f t="shared" ca="1" si="1353"/>
        <v>#NAME?</v>
      </c>
      <c r="CB165" s="26" t="e">
        <f t="shared" ca="1" si="1353"/>
        <v>#NAME?</v>
      </c>
      <c r="CC165" s="26" t="e">
        <f t="shared" ca="1" si="1353"/>
        <v>#NAME?</v>
      </c>
      <c r="CD165" s="26" t="e">
        <f t="shared" ca="1" si="1353"/>
        <v>#NAME?</v>
      </c>
      <c r="CE165" s="26" t="e">
        <f t="shared" ca="1" si="1353"/>
        <v>#NAME?</v>
      </c>
      <c r="CF165" s="26" t="e">
        <f t="shared" ref="CF165:CG165" ca="1" si="1355">CF163+CF161+CF157+CF140+CF138+CF164</f>
        <v>#NAME?</v>
      </c>
      <c r="CG165" s="26" t="e">
        <f t="shared" ca="1" si="1355"/>
        <v>#NAME?</v>
      </c>
      <c r="CH165" s="26" t="e">
        <f t="shared" ref="CH165:CI165" ca="1" si="1356">CH163+CH161+CH157+CH140+CH138+CH164</f>
        <v>#NAME?</v>
      </c>
      <c r="CI165" s="26" t="e">
        <f t="shared" ca="1" si="1356"/>
        <v>#NAME?</v>
      </c>
      <c r="CJ165" s="26" t="e">
        <f t="shared" ref="CJ165:DB165" ca="1" si="1357">CJ163+CJ161+CJ157+CJ140+CJ138+CJ164</f>
        <v>#NAME?</v>
      </c>
      <c r="CK165" s="27" t="e">
        <f t="shared" ca="1" si="1357"/>
        <v>#NAME?</v>
      </c>
      <c r="CL165" s="26" t="e">
        <f t="shared" ref="CL165" ca="1" si="1358">CL163+CL161+CL157+CL140+CL138+CL164</f>
        <v>#NAME?</v>
      </c>
      <c r="CM165" s="27" t="e">
        <f t="shared" ca="1" si="1357"/>
        <v>#NAME?</v>
      </c>
      <c r="CN165" s="27" t="e">
        <f t="shared" ca="1" si="1357"/>
        <v>#NAME?</v>
      </c>
      <c r="CO165" s="27" t="e">
        <f t="shared" ca="1" si="1357"/>
        <v>#NAME?</v>
      </c>
      <c r="CP165" s="27" t="e">
        <f t="shared" ca="1" si="1357"/>
        <v>#NAME?</v>
      </c>
      <c r="CQ165" s="27" t="e">
        <f t="shared" ca="1" si="1357"/>
        <v>#NAME?</v>
      </c>
      <c r="CR165" s="27" t="e">
        <f t="shared" ca="1" si="1357"/>
        <v>#NAME?</v>
      </c>
      <c r="CS165" s="27" t="e">
        <f t="shared" ca="1" si="1357"/>
        <v>#NAME?</v>
      </c>
      <c r="CT165" s="27" t="e">
        <f t="shared" ca="1" si="1357"/>
        <v>#NAME?</v>
      </c>
      <c r="CU165" s="27" t="e">
        <f t="shared" ca="1" si="1357"/>
        <v>#NAME?</v>
      </c>
      <c r="CV165" s="27" t="e">
        <f t="shared" ca="1" si="1357"/>
        <v>#NAME?</v>
      </c>
      <c r="CW165" s="27" t="e">
        <f t="shared" ca="1" si="1357"/>
        <v>#NAME?</v>
      </c>
      <c r="CX165" s="27" t="e">
        <f t="shared" ca="1" si="1357"/>
        <v>#NAME?</v>
      </c>
      <c r="CY165" s="27" t="e">
        <f t="shared" ca="1" si="1357"/>
        <v>#NAME?</v>
      </c>
      <c r="CZ165" s="27" t="e">
        <f t="shared" ca="1" si="1357"/>
        <v>#NAME?</v>
      </c>
      <c r="DA165" s="27" t="e">
        <f t="shared" ca="1" si="1357"/>
        <v>#NAME?</v>
      </c>
      <c r="DB165" s="27" t="e">
        <f t="shared" ca="1" si="1357"/>
        <v>#NAME?</v>
      </c>
      <c r="DE165" s="121"/>
      <c r="DF165" s="26">
        <v>1118.2329999999999</v>
      </c>
    </row>
    <row r="166" spans="1:110" s="23" customFormat="1" x14ac:dyDescent="0.2">
      <c r="A166" s="28" t="s">
        <v>439</v>
      </c>
      <c r="B166" s="23" t="e">
        <f t="shared" ref="B166:W166" ca="1" si="1359">B165-B129</f>
        <v>#NAME?</v>
      </c>
      <c r="C166" s="23" t="e">
        <f t="shared" ca="1" si="1359"/>
        <v>#NAME?</v>
      </c>
      <c r="D166" s="23" t="e">
        <f t="shared" ca="1" si="1359"/>
        <v>#NAME?</v>
      </c>
      <c r="E166" s="23" t="e">
        <f t="shared" ca="1" si="1359"/>
        <v>#NAME?</v>
      </c>
      <c r="F166" s="23" t="e">
        <f t="shared" ca="1" si="1359"/>
        <v>#NAME?</v>
      </c>
      <c r="G166" s="23" t="e">
        <f t="shared" ca="1" si="1359"/>
        <v>#NAME?</v>
      </c>
      <c r="H166" s="23" t="e">
        <f t="shared" ca="1" si="1359"/>
        <v>#NAME?</v>
      </c>
      <c r="I166" s="23" t="e">
        <f t="shared" ca="1" si="1359"/>
        <v>#NAME?</v>
      </c>
      <c r="J166" s="23" t="e">
        <f t="shared" ca="1" si="1359"/>
        <v>#NAME?</v>
      </c>
      <c r="K166" s="23" t="e">
        <f t="shared" ca="1" si="1359"/>
        <v>#NAME?</v>
      </c>
      <c r="L166" s="23" t="e">
        <f t="shared" ca="1" si="1359"/>
        <v>#NAME?</v>
      </c>
      <c r="M166" s="23" t="e">
        <f t="shared" ca="1" si="1359"/>
        <v>#NAME?</v>
      </c>
      <c r="N166" s="23" t="e">
        <f t="shared" ca="1" si="1359"/>
        <v>#NAME?</v>
      </c>
      <c r="O166" s="23" t="e">
        <f t="shared" ca="1" si="1359"/>
        <v>#NAME?</v>
      </c>
      <c r="P166" s="23" t="e">
        <f t="shared" ca="1" si="1359"/>
        <v>#NAME?</v>
      </c>
      <c r="Q166" s="23" t="e">
        <f t="shared" ca="1" si="1359"/>
        <v>#NAME?</v>
      </c>
      <c r="R166" s="23" t="e">
        <f t="shared" ca="1" si="1359"/>
        <v>#NAME?</v>
      </c>
      <c r="S166" s="23" t="e">
        <f t="shared" ca="1" si="1359"/>
        <v>#NAME?</v>
      </c>
      <c r="T166" s="23" t="e">
        <f t="shared" ca="1" si="1359"/>
        <v>#NAME?</v>
      </c>
      <c r="U166" s="23" t="e">
        <f t="shared" ca="1" si="1359"/>
        <v>#NAME?</v>
      </c>
      <c r="V166" s="23" t="e">
        <f t="shared" ca="1" si="1359"/>
        <v>#NAME?</v>
      </c>
      <c r="W166" s="23" t="e">
        <f t="shared" ca="1" si="1359"/>
        <v>#NAME?</v>
      </c>
      <c r="X166" s="23" t="e">
        <f t="shared" ref="X166:Y166" ca="1" si="1360">X165-X129</f>
        <v>#NAME?</v>
      </c>
      <c r="Y166" s="23" t="e">
        <f t="shared" ca="1" si="1360"/>
        <v>#NAME?</v>
      </c>
      <c r="Z166" s="23" t="e">
        <f t="shared" ref="Z166:AA166" ca="1" si="1361">Z165-Z129</f>
        <v>#NAME?</v>
      </c>
      <c r="AA166" s="23" t="e">
        <f t="shared" ca="1" si="1361"/>
        <v>#NAME?</v>
      </c>
      <c r="AB166" s="24" t="e">
        <f t="shared" ref="AA166:AD166" ca="1" si="1362">AB165-AB129</f>
        <v>#NAME?</v>
      </c>
      <c r="AC166" s="24" t="e">
        <f t="shared" ca="1" si="1362"/>
        <v>#NAME?</v>
      </c>
      <c r="AD166" s="24" t="e">
        <f t="shared" ca="1" si="1362"/>
        <v>#NAME?</v>
      </c>
      <c r="AE166" s="24" t="e">
        <f t="shared" ref="AE166" ca="1" si="1363">AE165-AE129</f>
        <v>#NAME?</v>
      </c>
      <c r="AJ166" s="23" t="e">
        <f t="shared" ref="AJ166" ca="1" si="1364">AJ165-AJ129</f>
        <v>#NAME?</v>
      </c>
      <c r="AK166" s="23" t="e">
        <f t="shared" ref="AK166" ca="1" si="1365">AK165-AK129</f>
        <v>#NAME?</v>
      </c>
      <c r="AL166" s="23" t="e">
        <f t="shared" ref="AL166:AM166" ca="1" si="1366">AL165-AL129</f>
        <v>#NAME?</v>
      </c>
      <c r="AM166" s="23" t="e">
        <f t="shared" ca="1" si="1366"/>
        <v>#NAME?</v>
      </c>
      <c r="AN166" s="23" t="e">
        <f t="shared" ref="AN166:AO166" ca="1" si="1367">AN165-AN129</f>
        <v>#NAME?</v>
      </c>
      <c r="AO166" s="23" t="e">
        <f t="shared" ca="1" si="1367"/>
        <v>#NAME?</v>
      </c>
      <c r="AP166" s="23" t="e">
        <f t="shared" ref="AP166:CE166" ca="1" si="1368">AP165-AP129</f>
        <v>#NAME?</v>
      </c>
      <c r="AQ166" s="23" t="e">
        <f t="shared" ca="1" si="1368"/>
        <v>#NAME?</v>
      </c>
      <c r="AR166" s="23" t="e">
        <f t="shared" ca="1" si="1368"/>
        <v>#NAME?</v>
      </c>
      <c r="AS166" s="23" t="e">
        <f t="shared" ca="1" si="1368"/>
        <v>#NAME?</v>
      </c>
      <c r="AT166" s="23" t="e">
        <f t="shared" ca="1" si="1368"/>
        <v>#NAME?</v>
      </c>
      <c r="AU166" s="23" t="e">
        <f t="shared" ca="1" si="1368"/>
        <v>#NAME?</v>
      </c>
      <c r="AV166" s="23" t="e">
        <f t="shared" ca="1" si="1368"/>
        <v>#NAME?</v>
      </c>
      <c r="AW166" s="23" t="e">
        <f t="shared" ca="1" si="1368"/>
        <v>#NAME?</v>
      </c>
      <c r="AX166" s="23" t="e">
        <f t="shared" ca="1" si="1368"/>
        <v>#NAME?</v>
      </c>
      <c r="AY166" s="23" t="e">
        <f t="shared" ca="1" si="1368"/>
        <v>#NAME?</v>
      </c>
      <c r="AZ166" s="23" t="e">
        <f t="shared" ca="1" si="1368"/>
        <v>#NAME?</v>
      </c>
      <c r="BA166" s="23" t="e">
        <f t="shared" ca="1" si="1368"/>
        <v>#NAME?</v>
      </c>
      <c r="BB166" s="23" t="e">
        <f t="shared" ca="1" si="1368"/>
        <v>#NAME?</v>
      </c>
      <c r="BC166" s="23" t="e">
        <f t="shared" ca="1" si="1368"/>
        <v>#NAME?</v>
      </c>
      <c r="BD166" s="23" t="e">
        <f t="shared" ca="1" si="1368"/>
        <v>#NAME?</v>
      </c>
      <c r="BE166" s="23" t="e">
        <f t="shared" ca="1" si="1368"/>
        <v>#NAME?</v>
      </c>
      <c r="BF166" s="23" t="e">
        <f t="shared" ca="1" si="1368"/>
        <v>#NAME?</v>
      </c>
      <c r="BG166" s="23" t="e">
        <f t="shared" ca="1" si="1368"/>
        <v>#NAME?</v>
      </c>
      <c r="BH166" s="23" t="e">
        <f t="shared" ref="BH166" ca="1" si="1369">BH165-BH129</f>
        <v>#NAME?</v>
      </c>
      <c r="BI166" s="23" t="e">
        <f t="shared" ca="1" si="1368"/>
        <v>#NAME?</v>
      </c>
      <c r="BJ166" s="23" t="e">
        <f t="shared" ca="1" si="1368"/>
        <v>#NAME?</v>
      </c>
      <c r="BK166" s="23" t="e">
        <f t="shared" ca="1" si="1368"/>
        <v>#NAME?</v>
      </c>
      <c r="BL166" s="23" t="e">
        <f t="shared" ca="1" si="1368"/>
        <v>#NAME?</v>
      </c>
      <c r="BM166" s="23" t="e">
        <f t="shared" ca="1" si="1368"/>
        <v>#NAME?</v>
      </c>
      <c r="BN166" s="23" t="e">
        <f t="shared" ca="1" si="1368"/>
        <v>#NAME?</v>
      </c>
      <c r="BO166" s="23" t="e">
        <f t="shared" ca="1" si="1368"/>
        <v>#NAME?</v>
      </c>
      <c r="BP166" s="23" t="e">
        <f t="shared" ca="1" si="1368"/>
        <v>#NAME?</v>
      </c>
      <c r="BQ166" s="23" t="e">
        <f t="shared" ca="1" si="1368"/>
        <v>#NAME?</v>
      </c>
      <c r="BR166" s="23" t="e">
        <f t="shared" ca="1" si="1368"/>
        <v>#NAME?</v>
      </c>
      <c r="BS166" s="23" t="e">
        <f t="shared" ca="1" si="1368"/>
        <v>#NAME?</v>
      </c>
      <c r="BT166" s="23" t="e">
        <f t="shared" ca="1" si="1368"/>
        <v>#NAME?</v>
      </c>
      <c r="BU166" s="23" t="e">
        <f t="shared" ca="1" si="1368"/>
        <v>#NAME?</v>
      </c>
      <c r="BV166" s="23" t="e">
        <f t="shared" ca="1" si="1368"/>
        <v>#NAME?</v>
      </c>
      <c r="BW166" s="23" t="e">
        <f t="shared" ca="1" si="1368"/>
        <v>#NAME?</v>
      </c>
      <c r="BX166" s="23" t="e">
        <f t="shared" ca="1" si="1368"/>
        <v>#NAME?</v>
      </c>
      <c r="BY166" s="23" t="e">
        <f t="shared" ca="1" si="1368"/>
        <v>#NAME?</v>
      </c>
      <c r="BZ166" s="23" t="e">
        <f t="shared" ca="1" si="1368"/>
        <v>#NAME?</v>
      </c>
      <c r="CA166" s="23" t="e">
        <f t="shared" ca="1" si="1368"/>
        <v>#NAME?</v>
      </c>
      <c r="CB166" s="23" t="e">
        <f t="shared" ca="1" si="1368"/>
        <v>#NAME?</v>
      </c>
      <c r="CC166" s="23" t="e">
        <f t="shared" ca="1" si="1368"/>
        <v>#NAME?</v>
      </c>
      <c r="CD166" s="23" t="e">
        <f t="shared" ca="1" si="1368"/>
        <v>#NAME?</v>
      </c>
      <c r="CE166" s="23" t="e">
        <f t="shared" ca="1" si="1368"/>
        <v>#NAME?</v>
      </c>
      <c r="CF166" s="23" t="e">
        <f t="shared" ref="CF166:CG166" ca="1" si="1370">CF165-CF129</f>
        <v>#NAME?</v>
      </c>
      <c r="CG166" s="23" t="e">
        <f t="shared" ca="1" si="1370"/>
        <v>#NAME?</v>
      </c>
      <c r="CH166" s="23" t="e">
        <f t="shared" ref="CH166:CI166" ca="1" si="1371">CH165-CH129</f>
        <v>#NAME?</v>
      </c>
      <c r="CI166" s="23" t="e">
        <f t="shared" ca="1" si="1371"/>
        <v>#NAME?</v>
      </c>
      <c r="CJ166" s="23" t="e">
        <f t="shared" ref="CJ166:DB166" ca="1" si="1372">CJ165-CJ129</f>
        <v>#NAME?</v>
      </c>
      <c r="CK166" s="24" t="e">
        <f t="shared" ca="1" si="1372"/>
        <v>#NAME?</v>
      </c>
      <c r="CL166" s="23" t="e">
        <f t="shared" ref="CL166" ca="1" si="1373">CL165-CL129</f>
        <v>#NAME?</v>
      </c>
      <c r="CM166" s="24" t="e">
        <f t="shared" ca="1" si="1372"/>
        <v>#NAME?</v>
      </c>
      <c r="CN166" s="24" t="e">
        <f t="shared" ca="1" si="1372"/>
        <v>#NAME?</v>
      </c>
      <c r="CO166" s="24" t="e">
        <f t="shared" ca="1" si="1372"/>
        <v>#NAME?</v>
      </c>
      <c r="CP166" s="24" t="e">
        <f t="shared" ca="1" si="1372"/>
        <v>#NAME?</v>
      </c>
      <c r="CQ166" s="24" t="e">
        <f t="shared" ca="1" si="1372"/>
        <v>#NAME?</v>
      </c>
      <c r="CR166" s="24" t="e">
        <f t="shared" ca="1" si="1372"/>
        <v>#NAME?</v>
      </c>
      <c r="CS166" s="24" t="e">
        <f t="shared" ca="1" si="1372"/>
        <v>#NAME?</v>
      </c>
      <c r="CT166" s="24" t="e">
        <f t="shared" ca="1" si="1372"/>
        <v>#NAME?</v>
      </c>
      <c r="CU166" s="24" t="e">
        <f t="shared" ca="1" si="1372"/>
        <v>#NAME?</v>
      </c>
      <c r="CV166" s="24" t="e">
        <f t="shared" ca="1" si="1372"/>
        <v>#NAME?</v>
      </c>
      <c r="CW166" s="24" t="e">
        <f t="shared" ca="1" si="1372"/>
        <v>#NAME?</v>
      </c>
      <c r="CX166" s="24" t="e">
        <f t="shared" ca="1" si="1372"/>
        <v>#NAME?</v>
      </c>
      <c r="CY166" s="24" t="e">
        <f t="shared" ca="1" si="1372"/>
        <v>#NAME?</v>
      </c>
      <c r="CZ166" s="24" t="e">
        <f t="shared" ca="1" si="1372"/>
        <v>#NAME?</v>
      </c>
      <c r="DA166" s="24" t="e">
        <f t="shared" ca="1" si="1372"/>
        <v>#NAME?</v>
      </c>
      <c r="DB166" s="24" t="e">
        <f t="shared" ca="1" si="1372"/>
        <v>#NAME?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74">B128-B161</f>
        <v>#NAME?</v>
      </c>
      <c r="C168" s="22" t="e">
        <f t="shared" ca="1" si="1374"/>
        <v>#NAME?</v>
      </c>
      <c r="D168" s="22" t="e">
        <f t="shared" ca="1" si="1374"/>
        <v>#NAME?</v>
      </c>
      <c r="E168" s="22" t="e">
        <f t="shared" ca="1" si="1374"/>
        <v>#NAME?</v>
      </c>
      <c r="F168" s="22" t="e">
        <f t="shared" ca="1" si="1374"/>
        <v>#NAME?</v>
      </c>
      <c r="G168" s="22" t="e">
        <f t="shared" ca="1" si="1374"/>
        <v>#NAME?</v>
      </c>
      <c r="H168" s="22" t="e">
        <f t="shared" ca="1" si="1374"/>
        <v>#NAME?</v>
      </c>
      <c r="I168" s="22" t="e">
        <f t="shared" ca="1" si="1374"/>
        <v>#NAME?</v>
      </c>
      <c r="J168" s="22" t="e">
        <f t="shared" ca="1" si="1374"/>
        <v>#NAME?</v>
      </c>
      <c r="K168" s="22" t="e">
        <f t="shared" ca="1" si="1374"/>
        <v>#NAME?</v>
      </c>
      <c r="L168" s="22" t="e">
        <f t="shared" ca="1" si="1374"/>
        <v>#NAME?</v>
      </c>
      <c r="M168" s="22" t="e">
        <f t="shared" ca="1" si="1374"/>
        <v>#NAME?</v>
      </c>
      <c r="N168" s="22" t="e">
        <f t="shared" ca="1" si="1374"/>
        <v>#NAME?</v>
      </c>
      <c r="O168" s="22" t="e">
        <f t="shared" ca="1" si="1374"/>
        <v>#NAME?</v>
      </c>
      <c r="P168" s="22" t="e">
        <f t="shared" ca="1" si="1374"/>
        <v>#NAME?</v>
      </c>
      <c r="Q168" s="22" t="e">
        <f t="shared" ca="1" si="1374"/>
        <v>#NAME?</v>
      </c>
      <c r="R168" s="22" t="e">
        <f t="shared" ca="1" si="1374"/>
        <v>#NAME?</v>
      </c>
      <c r="S168" s="22" t="e">
        <f t="shared" ca="1" si="1374"/>
        <v>#NAME?</v>
      </c>
      <c r="T168" s="22" t="e">
        <f t="shared" ca="1" si="1374"/>
        <v>#NAME?</v>
      </c>
      <c r="U168" s="22" t="e">
        <f t="shared" ca="1" si="1374"/>
        <v>#NAME?</v>
      </c>
      <c r="V168" s="22" t="e">
        <f t="shared" ca="1" si="1374"/>
        <v>#NAME?</v>
      </c>
      <c r="W168" s="22" t="e">
        <f t="shared" ca="1" si="1374"/>
        <v>#NAME?</v>
      </c>
      <c r="X168" s="22" t="e">
        <f t="shared" ref="X168:Y168" ca="1" si="1375">X128-X161</f>
        <v>#NAME?</v>
      </c>
      <c r="Y168" s="22" t="e">
        <f t="shared" ca="1" si="1375"/>
        <v>#NAME?</v>
      </c>
      <c r="Z168" s="22" t="e">
        <f t="shared" ref="Z168:AA168" ca="1" si="1376">Z128-Z161</f>
        <v>#NAME?</v>
      </c>
      <c r="AA168" s="22" t="e">
        <f t="shared" ca="1" si="1376"/>
        <v>#NAME?</v>
      </c>
      <c r="AB168" s="21" t="e">
        <f t="shared" ref="AA168:AD168" ca="1" si="1377">AB128-AB161</f>
        <v>#NAME?</v>
      </c>
      <c r="AC168" s="21" t="e">
        <f t="shared" ca="1" si="1377"/>
        <v>#NAME?</v>
      </c>
      <c r="AD168" s="21" t="e">
        <f t="shared" ca="1" si="1377"/>
        <v>#NAME?</v>
      </c>
      <c r="AE168" s="21" t="e">
        <f t="shared" ref="AE168" ca="1" si="1378">AE128-AE161</f>
        <v>#NAME?</v>
      </c>
      <c r="AJ168" s="22" t="e">
        <f t="shared" ref="AJ168:AM168" ca="1" si="1379">AJ128-AJ161</f>
        <v>#NAME?</v>
      </c>
      <c r="AK168" s="22" t="e">
        <f t="shared" ca="1" si="1379"/>
        <v>#NAME?</v>
      </c>
      <c r="AL168" s="22" t="e">
        <f t="shared" ca="1" si="1379"/>
        <v>#NAME?</v>
      </c>
      <c r="AM168" s="22" t="e">
        <f t="shared" ca="1" si="1379"/>
        <v>#NAME?</v>
      </c>
      <c r="AN168" s="22" t="e">
        <f t="shared" ref="AN168:AO168" ca="1" si="1380">AN128-AN161</f>
        <v>#NAME?</v>
      </c>
      <c r="AO168" s="22" t="e">
        <f t="shared" ca="1" si="1380"/>
        <v>#NAME?</v>
      </c>
      <c r="AP168" s="22" t="e">
        <f t="shared" ref="AP168:CE168" ca="1" si="1381">AP128-AP161</f>
        <v>#NAME?</v>
      </c>
      <c r="AQ168" s="22" t="e">
        <f t="shared" ca="1" si="1381"/>
        <v>#NAME?</v>
      </c>
      <c r="AR168" s="22" t="e">
        <f t="shared" ca="1" si="1381"/>
        <v>#NAME?</v>
      </c>
      <c r="AS168" s="22" t="e">
        <f t="shared" ca="1" si="1381"/>
        <v>#NAME?</v>
      </c>
      <c r="AT168" s="22" t="e">
        <f t="shared" ca="1" si="1381"/>
        <v>#NAME?</v>
      </c>
      <c r="AU168" s="22" t="e">
        <f t="shared" ca="1" si="1381"/>
        <v>#NAME?</v>
      </c>
      <c r="AV168" s="22" t="e">
        <f t="shared" ca="1" si="1381"/>
        <v>#NAME?</v>
      </c>
      <c r="AW168" s="22" t="e">
        <f t="shared" ca="1" si="1381"/>
        <v>#NAME?</v>
      </c>
      <c r="AX168" s="22" t="e">
        <f t="shared" ca="1" si="1381"/>
        <v>#NAME?</v>
      </c>
      <c r="AY168" s="22" t="e">
        <f t="shared" ca="1" si="1381"/>
        <v>#NAME?</v>
      </c>
      <c r="AZ168" s="22" t="e">
        <f t="shared" ca="1" si="1381"/>
        <v>#NAME?</v>
      </c>
      <c r="BA168" s="22" t="e">
        <f t="shared" ca="1" si="1381"/>
        <v>#NAME?</v>
      </c>
      <c r="BB168" s="22" t="e">
        <f t="shared" ca="1" si="1381"/>
        <v>#NAME?</v>
      </c>
      <c r="BC168" s="22" t="e">
        <f t="shared" ca="1" si="1381"/>
        <v>#NAME?</v>
      </c>
      <c r="BD168" s="22" t="e">
        <f t="shared" ca="1" si="1381"/>
        <v>#NAME?</v>
      </c>
      <c r="BE168" s="22" t="e">
        <f t="shared" ca="1" si="1381"/>
        <v>#NAME?</v>
      </c>
      <c r="BF168" s="22" t="e">
        <f t="shared" ca="1" si="1381"/>
        <v>#NAME?</v>
      </c>
      <c r="BG168" s="22" t="e">
        <f t="shared" ca="1" si="1381"/>
        <v>#NAME?</v>
      </c>
      <c r="BH168" s="22" t="e">
        <f t="shared" ca="1" si="1381"/>
        <v>#NAME?</v>
      </c>
      <c r="BI168" s="22" t="e">
        <f t="shared" ca="1" si="1381"/>
        <v>#NAME?</v>
      </c>
      <c r="BJ168" s="22" t="e">
        <f t="shared" ca="1" si="1381"/>
        <v>#NAME?</v>
      </c>
      <c r="BK168" s="22" t="e">
        <f t="shared" ca="1" si="1381"/>
        <v>#NAME?</v>
      </c>
      <c r="BL168" s="22" t="e">
        <f t="shared" ca="1" si="1381"/>
        <v>#NAME?</v>
      </c>
      <c r="BM168" s="22" t="e">
        <f t="shared" ca="1" si="1381"/>
        <v>#NAME?</v>
      </c>
      <c r="BN168" s="22" t="e">
        <f t="shared" ca="1" si="1381"/>
        <v>#NAME?</v>
      </c>
      <c r="BO168" s="22" t="e">
        <f t="shared" ca="1" si="1381"/>
        <v>#NAME?</v>
      </c>
      <c r="BP168" s="22" t="e">
        <f t="shared" ca="1" si="1381"/>
        <v>#NAME?</v>
      </c>
      <c r="BQ168" s="22" t="e">
        <f t="shared" ca="1" si="1381"/>
        <v>#NAME?</v>
      </c>
      <c r="BR168" s="22" t="e">
        <f t="shared" ca="1" si="1381"/>
        <v>#NAME?</v>
      </c>
      <c r="BS168" s="22" t="e">
        <f t="shared" ca="1" si="1381"/>
        <v>#NAME?</v>
      </c>
      <c r="BT168" s="22" t="e">
        <f t="shared" ca="1" si="1381"/>
        <v>#NAME?</v>
      </c>
      <c r="BU168" s="22" t="e">
        <f t="shared" ca="1" si="1381"/>
        <v>#NAME?</v>
      </c>
      <c r="BV168" s="22" t="e">
        <f t="shared" ca="1" si="1381"/>
        <v>#NAME?</v>
      </c>
      <c r="BW168" s="22" t="e">
        <f t="shared" ca="1" si="1381"/>
        <v>#NAME?</v>
      </c>
      <c r="BX168" s="22" t="e">
        <f t="shared" ca="1" si="1381"/>
        <v>#NAME?</v>
      </c>
      <c r="BY168" s="22" t="e">
        <f t="shared" ca="1" si="1381"/>
        <v>#NAME?</v>
      </c>
      <c r="BZ168" s="22" t="e">
        <f t="shared" ca="1" si="1381"/>
        <v>#NAME?</v>
      </c>
      <c r="CA168" s="22" t="e">
        <f t="shared" ca="1" si="1381"/>
        <v>#NAME?</v>
      </c>
      <c r="CB168" s="22" t="e">
        <f t="shared" ca="1" si="1381"/>
        <v>#NAME?</v>
      </c>
      <c r="CC168" s="22" t="e">
        <f t="shared" ca="1" si="1381"/>
        <v>#NAME?</v>
      </c>
      <c r="CD168" s="22" t="e">
        <f t="shared" ca="1" si="1381"/>
        <v>#NAME?</v>
      </c>
      <c r="CE168" s="22" t="e">
        <f t="shared" ca="1" si="1381"/>
        <v>#NAME?</v>
      </c>
      <c r="CF168" s="22" t="e">
        <f t="shared" ref="CF168:CG168" ca="1" si="1382">CF128-CF161</f>
        <v>#NAME?</v>
      </c>
      <c r="CG168" s="22" t="e">
        <f t="shared" ca="1" si="1382"/>
        <v>#NAME?</v>
      </c>
      <c r="CH168" s="22" t="e">
        <f t="shared" ref="CH168:CI168" ca="1" si="1383">CH128-CH161</f>
        <v>#NAME?</v>
      </c>
      <c r="CI168" s="22" t="e">
        <f t="shared" ca="1" si="1383"/>
        <v>#NAME?</v>
      </c>
      <c r="CJ168" s="22" t="e">
        <f t="shared" ref="CJ168:DB168" ca="1" si="1384">CJ128-CJ161</f>
        <v>#NAME?</v>
      </c>
      <c r="CK168" s="21" t="e">
        <f t="shared" ca="1" si="1384"/>
        <v>#NAME?</v>
      </c>
      <c r="CL168" s="22" t="e">
        <f t="shared" ref="CL168" ca="1" si="1385">CL128-CL161</f>
        <v>#NAME?</v>
      </c>
      <c r="CM168" s="21" t="e">
        <f t="shared" ca="1" si="1384"/>
        <v>#NAME?</v>
      </c>
      <c r="CN168" s="21" t="e">
        <f t="shared" ca="1" si="1384"/>
        <v>#NAME?</v>
      </c>
      <c r="CO168" s="21" t="e">
        <f t="shared" ca="1" si="1384"/>
        <v>#NAME?</v>
      </c>
      <c r="CP168" s="21" t="e">
        <f t="shared" ca="1" si="1384"/>
        <v>#NAME?</v>
      </c>
      <c r="CQ168" s="21" t="e">
        <f t="shared" ca="1" si="1384"/>
        <v>#NAME?</v>
      </c>
      <c r="CR168" s="21" t="e">
        <f t="shared" ca="1" si="1384"/>
        <v>#NAME?</v>
      </c>
      <c r="CS168" s="21" t="e">
        <f t="shared" ca="1" si="1384"/>
        <v>#NAME?</v>
      </c>
      <c r="CT168" s="21" t="e">
        <f t="shared" ca="1" si="1384"/>
        <v>#NAME?</v>
      </c>
      <c r="CU168" s="21" t="e">
        <f t="shared" ca="1" si="1384"/>
        <v>#NAME?</v>
      </c>
      <c r="CV168" s="21" t="e">
        <f t="shared" ca="1" si="1384"/>
        <v>#NAME?</v>
      </c>
      <c r="CW168" s="21" t="e">
        <f t="shared" ca="1" si="1384"/>
        <v>#NAME?</v>
      </c>
      <c r="CX168" s="21" t="e">
        <f t="shared" ca="1" si="1384"/>
        <v>#NAME?</v>
      </c>
      <c r="CY168" s="21" t="e">
        <f t="shared" ca="1" si="1384"/>
        <v>#NAME?</v>
      </c>
      <c r="CZ168" s="21" t="e">
        <f t="shared" ca="1" si="1384"/>
        <v>#NAME?</v>
      </c>
      <c r="DA168" s="21" t="e">
        <f t="shared" ca="1" si="1384"/>
        <v>#NAME?</v>
      </c>
      <c r="DB168" s="21" t="e">
        <f t="shared" ca="1" si="1384"/>
        <v>#NAME?</v>
      </c>
      <c r="DE168" s="126"/>
      <c r="DF168" s="22">
        <v>-39.675000000000011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6">B170-B171-B172</f>
        <v>#NAME?</v>
      </c>
      <c r="C173" s="29" t="e">
        <f t="shared" ca="1" si="1386"/>
        <v>#NAME?</v>
      </c>
      <c r="D173" s="29" t="e">
        <f t="shared" ca="1" si="1386"/>
        <v>#NAME?</v>
      </c>
      <c r="E173" s="29" t="e">
        <f t="shared" ca="1" si="1386"/>
        <v>#NAME?</v>
      </c>
      <c r="F173" s="29" t="e">
        <f t="shared" ca="1" si="1386"/>
        <v>#NAME?</v>
      </c>
      <c r="G173" s="29" t="e">
        <f t="shared" ca="1" si="1386"/>
        <v>#NAME?</v>
      </c>
      <c r="H173" s="29" t="e">
        <f t="shared" ca="1" si="1386"/>
        <v>#NAME?</v>
      </c>
      <c r="I173" s="29" t="e">
        <f t="shared" ca="1" si="1386"/>
        <v>#NAME?</v>
      </c>
      <c r="J173" s="29" t="e">
        <f t="shared" ca="1" si="1386"/>
        <v>#NAME?</v>
      </c>
      <c r="K173" s="29" t="e">
        <f t="shared" ca="1" si="1386"/>
        <v>#NAME?</v>
      </c>
      <c r="L173" s="29" t="e">
        <f t="shared" ca="1" si="1386"/>
        <v>#NAME?</v>
      </c>
      <c r="M173" s="29" t="e">
        <f t="shared" ca="1" si="1386"/>
        <v>#NAME?</v>
      </c>
      <c r="N173" s="29" t="e">
        <f t="shared" ca="1" si="1386"/>
        <v>#NAME?</v>
      </c>
      <c r="O173" s="29" t="e">
        <f t="shared" ca="1" si="1386"/>
        <v>#NAME?</v>
      </c>
      <c r="P173" s="29" t="e">
        <f t="shared" ca="1" si="1386"/>
        <v>#NAME?</v>
      </c>
      <c r="Q173" s="29" t="e">
        <f t="shared" ca="1" si="1386"/>
        <v>#NAME?</v>
      </c>
      <c r="R173" s="29" t="e">
        <f t="shared" ca="1" si="1386"/>
        <v>#NAME?</v>
      </c>
      <c r="S173" s="29" t="e">
        <f t="shared" ca="1" si="1386"/>
        <v>#NAME?</v>
      </c>
      <c r="T173" s="29" t="e">
        <f t="shared" ca="1" si="1386"/>
        <v>#NAME?</v>
      </c>
      <c r="U173" s="29" t="e">
        <f t="shared" ca="1" si="1386"/>
        <v>#NAME?</v>
      </c>
      <c r="V173" s="29" t="e">
        <f t="shared" ca="1" si="1386"/>
        <v>#NAME?</v>
      </c>
      <c r="W173" s="29" t="e">
        <f t="shared" ref="W173" ca="1" si="1387">W170-W171-W172</f>
        <v>#NAME?</v>
      </c>
      <c r="X173" s="29" t="e">
        <f t="shared" ref="X173:Y173" ca="1" si="1388">X170-X171-X172</f>
        <v>#NAME?</v>
      </c>
      <c r="Y173" s="29" t="e">
        <f t="shared" ca="1" si="1388"/>
        <v>#NAME?</v>
      </c>
      <c r="Z173" s="29" t="e">
        <f t="shared" ref="Z173:AA173" ca="1" si="1389">Z170-Z171-Z172</f>
        <v>#NAME?</v>
      </c>
      <c r="AA173" s="29" t="e">
        <f t="shared" ca="1" si="1389"/>
        <v>#NAME?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92">B170/B120</f>
        <v>#NAME?</v>
      </c>
      <c r="C175" s="95" t="e">
        <f t="shared" ca="1" si="1392"/>
        <v>#NAME?</v>
      </c>
      <c r="D175" s="95" t="e">
        <f t="shared" ca="1" si="1392"/>
        <v>#NAME?</v>
      </c>
      <c r="E175" s="95" t="e">
        <f t="shared" ca="1" si="1392"/>
        <v>#NAME?</v>
      </c>
      <c r="F175" s="95" t="e">
        <f t="shared" ca="1" si="1392"/>
        <v>#NAME?</v>
      </c>
      <c r="G175" s="95" t="e">
        <f t="shared" ca="1" si="1392"/>
        <v>#NAME?</v>
      </c>
      <c r="H175" s="95" t="e">
        <f t="shared" ca="1" si="1392"/>
        <v>#NAME?</v>
      </c>
      <c r="I175" s="95" t="e">
        <f t="shared" ca="1" si="1392"/>
        <v>#NAME?</v>
      </c>
      <c r="J175" s="95" t="e">
        <f t="shared" ca="1" si="1392"/>
        <v>#NAME?</v>
      </c>
      <c r="K175" s="95" t="e">
        <f t="shared" ca="1" si="1392"/>
        <v>#NAME?</v>
      </c>
      <c r="L175" s="95" t="e">
        <f t="shared" ca="1" si="1392"/>
        <v>#NAME?</v>
      </c>
      <c r="M175" s="95" t="e">
        <f t="shared" ca="1" si="1392"/>
        <v>#NAME?</v>
      </c>
      <c r="N175" s="95" t="e">
        <f t="shared" ca="1" si="1392"/>
        <v>#NAME?</v>
      </c>
      <c r="O175" s="95" t="e">
        <f t="shared" ca="1" si="1392"/>
        <v>#NAME?</v>
      </c>
      <c r="P175" s="95" t="e">
        <f t="shared" ca="1" si="1392"/>
        <v>#NAME?</v>
      </c>
      <c r="Q175" s="95" t="e">
        <f t="shared" ca="1" si="1392"/>
        <v>#NAME?</v>
      </c>
      <c r="R175" s="95" t="e">
        <f t="shared" ca="1" si="1392"/>
        <v>#NAME?</v>
      </c>
      <c r="S175" s="95" t="e">
        <f t="shared" ca="1" si="1392"/>
        <v>#NAME?</v>
      </c>
      <c r="T175" s="95" t="e">
        <f t="shared" ca="1" si="1392"/>
        <v>#NAME?</v>
      </c>
      <c r="U175" s="95" t="e">
        <f t="shared" ca="1" si="1392"/>
        <v>#NAME?</v>
      </c>
      <c r="V175" s="95" t="e">
        <f t="shared" ca="1" si="1392"/>
        <v>#NAME?</v>
      </c>
      <c r="W175" s="95" t="e">
        <f t="shared" ca="1" si="1392"/>
        <v>#NAME?</v>
      </c>
      <c r="X175" s="95" t="e">
        <f t="shared" ref="X175:Y175" ca="1" si="1393">X170/X120</f>
        <v>#NAME?</v>
      </c>
      <c r="Y175" s="95" t="e">
        <f t="shared" ca="1" si="1393"/>
        <v>#NAME?</v>
      </c>
      <c r="Z175" s="95" t="e">
        <f t="shared" ref="Z175:AA175" ca="1" si="1394">Z170/Z120</f>
        <v>#NAME?</v>
      </c>
      <c r="AA175" s="95" t="e">
        <f t="shared" ca="1" si="1394"/>
        <v>#NAME?</v>
      </c>
      <c r="AB175" s="87" t="e">
        <f t="shared" ref="AA175:AD175" ca="1" si="1395">AB170/AB120</f>
        <v>#NAME?</v>
      </c>
      <c r="AC175" s="87" t="e">
        <f t="shared" ca="1" si="1395"/>
        <v>#NAME?</v>
      </c>
      <c r="AD175" s="87" t="e">
        <f t="shared" ca="1" si="1395"/>
        <v>#NAME?</v>
      </c>
      <c r="AE175" s="87" t="e">
        <f t="shared" ref="AE175" ca="1" si="1396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7">B144/B8*365</f>
        <v>#NAME?</v>
      </c>
      <c r="C179" s="67" t="e">
        <f t="shared" ca="1" si="1397"/>
        <v>#NAME?</v>
      </c>
      <c r="D179" s="67" t="e">
        <f t="shared" ca="1" si="1397"/>
        <v>#NAME?</v>
      </c>
      <c r="E179" s="67" t="e">
        <f t="shared" ca="1" si="1397"/>
        <v>#NAME?</v>
      </c>
      <c r="F179" s="67" t="e">
        <f t="shared" ca="1" si="1397"/>
        <v>#NAME?</v>
      </c>
      <c r="G179" s="67" t="e">
        <f t="shared" ca="1" si="1397"/>
        <v>#NAME?</v>
      </c>
      <c r="H179" s="67" t="e">
        <f t="shared" ca="1" si="1397"/>
        <v>#NAME?</v>
      </c>
      <c r="I179" s="67" t="e">
        <f t="shared" ca="1" si="1397"/>
        <v>#NAME?</v>
      </c>
      <c r="J179" s="67" t="e">
        <f t="shared" ca="1" si="1397"/>
        <v>#NAME?</v>
      </c>
      <c r="K179" s="67" t="e">
        <f t="shared" ca="1" si="1397"/>
        <v>#NAME?</v>
      </c>
      <c r="L179" s="67" t="e">
        <f t="shared" ca="1" si="1397"/>
        <v>#NAME?</v>
      </c>
      <c r="M179" s="67" t="e">
        <f t="shared" ca="1" si="1397"/>
        <v>#NAME?</v>
      </c>
      <c r="N179" s="67" t="e">
        <f t="shared" ca="1" si="1397"/>
        <v>#NAME?</v>
      </c>
      <c r="O179" s="67" t="e">
        <f t="shared" ca="1" si="1397"/>
        <v>#NAME?</v>
      </c>
      <c r="P179" s="67" t="e">
        <f t="shared" ca="1" si="1397"/>
        <v>#NAME?</v>
      </c>
      <c r="Q179" s="67" t="e">
        <f t="shared" ca="1" si="1397"/>
        <v>#NAME?</v>
      </c>
      <c r="R179" s="67" t="e">
        <f t="shared" ca="1" si="1397"/>
        <v>#NAME?</v>
      </c>
      <c r="S179" s="67" t="e">
        <f t="shared" ca="1" si="1397"/>
        <v>#NAME?</v>
      </c>
      <c r="T179" s="67" t="e">
        <f t="shared" ca="1" si="1397"/>
        <v>#NAME?</v>
      </c>
      <c r="U179" s="67" t="e">
        <f t="shared" ca="1" si="1397"/>
        <v>#NAME?</v>
      </c>
      <c r="V179" s="67" t="e">
        <f t="shared" ca="1" si="1397"/>
        <v>#NAME?</v>
      </c>
      <c r="W179" s="67" t="e">
        <f t="shared" ca="1" si="1397"/>
        <v>#NAME?</v>
      </c>
      <c r="X179" s="67" t="e">
        <f t="shared" ca="1" si="1397"/>
        <v>#NAME?</v>
      </c>
      <c r="Y179" s="67" t="e">
        <f t="shared" ca="1" si="1397"/>
        <v>#NAME?</v>
      </c>
      <c r="Z179" s="67" t="e">
        <f t="shared" ca="1" si="1397"/>
        <v>#NAME?</v>
      </c>
      <c r="AA179" s="67" t="e">
        <f t="shared" ref="AA179" ca="1" si="1398">AA144/AA8*365</f>
        <v>#NAME?</v>
      </c>
      <c r="AB179" s="18" t="e">
        <f t="shared" ca="1" si="1397"/>
        <v>#NAME?</v>
      </c>
      <c r="AC179" s="18" t="e">
        <f t="shared" ca="1" si="1397"/>
        <v>#NAME?</v>
      </c>
      <c r="AD179" s="18" t="e">
        <f t="shared" ca="1" si="1397"/>
        <v>#NAME?</v>
      </c>
      <c r="AE179" s="18" t="e">
        <f t="shared" ca="1" si="1397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9">+AJ179</f>
        <v>#NAME?</v>
      </c>
      <c r="AL179" s="67" t="e">
        <f ca="1">AL144/AL8*90</f>
        <v>#NAME?</v>
      </c>
      <c r="AM179" s="67" t="e">
        <f t="shared" ref="AM179:AM180" ca="1" si="1400">+AL179</f>
        <v>#NAME?</v>
      </c>
      <c r="AN179" s="67" t="e">
        <f ca="1">AN144/AN8*90</f>
        <v>#NAME?</v>
      </c>
      <c r="AO179" s="67" t="e">
        <f t="shared" ref="AO179:AO180" ca="1" si="1401">+AN179</f>
        <v>#NAME?</v>
      </c>
      <c r="AP179" s="67" t="e">
        <f ca="1">AP144/AP8*90</f>
        <v>#NAME?</v>
      </c>
      <c r="AQ179" s="67" t="e">
        <f t="shared" ref="AQ179:AQ180" ca="1" si="1402">+AP179</f>
        <v>#NAME?</v>
      </c>
      <c r="AR179" s="67" t="e">
        <f ca="1">AR144/AR8*90</f>
        <v>#NAME?</v>
      </c>
      <c r="AS179" s="67" t="e">
        <f t="shared" ref="AS179:AS180" ca="1" si="1403">+AR179</f>
        <v>#NAME?</v>
      </c>
      <c r="AT179" s="67" t="e">
        <f ca="1">AT144/AT8*90</f>
        <v>#NAME?</v>
      </c>
      <c r="AU179" s="67" t="e">
        <f t="shared" ref="AU179:AU180" ca="1" si="1404">+AT179</f>
        <v>#NAME?</v>
      </c>
      <c r="AV179" s="67" t="e">
        <f ca="1">AV144/AV8*90</f>
        <v>#NAME?</v>
      </c>
      <c r="AW179" s="67" t="e">
        <f t="shared" ref="AW179:AW180" ca="1" si="1405">+AV179</f>
        <v>#NAME?</v>
      </c>
      <c r="AX179" s="67" t="e">
        <f ca="1">AX144/AX8*90</f>
        <v>#NAME?</v>
      </c>
      <c r="AY179" s="67" t="e">
        <f t="shared" ref="AY179:AY180" ca="1" si="1406">+AX179</f>
        <v>#NAME?</v>
      </c>
      <c r="AZ179" s="67" t="e">
        <f ca="1">AZ144/AZ8*90</f>
        <v>#NAME?</v>
      </c>
      <c r="BA179" s="67" t="e">
        <f t="shared" ref="BA179:BA180" ca="1" si="1407">+AZ179</f>
        <v>#NAME?</v>
      </c>
      <c r="BB179" s="67" t="e">
        <f ca="1">BB144/BB8*90</f>
        <v>#NAME?</v>
      </c>
      <c r="BC179" s="67" t="e">
        <f t="shared" ref="BC179:BC180" ca="1" si="1408">+BB179</f>
        <v>#NAME?</v>
      </c>
      <c r="BD179" s="67" t="e">
        <f ca="1">BD144/BD8*90</f>
        <v>#NAME?</v>
      </c>
      <c r="BE179" s="67" t="e">
        <f t="shared" ref="BE179:BE180" ca="1" si="1409">+BD179</f>
        <v>#NAME?</v>
      </c>
      <c r="BF179" s="67" t="e">
        <f ca="1">BF144/BF8*90</f>
        <v>#NAME?</v>
      </c>
      <c r="BG179" s="67" t="e">
        <f t="shared" ref="BG179:BG180" ca="1" si="1410">+BF179</f>
        <v>#NAME?</v>
      </c>
      <c r="BH179" s="67" t="e">
        <f ca="1">BH144/BH8*90</f>
        <v>#NAME?</v>
      </c>
      <c r="BI179" s="67" t="e">
        <f t="shared" ref="BI179:BI180" ca="1" si="1411">+BH179</f>
        <v>#NAME?</v>
      </c>
      <c r="BJ179" s="67" t="e">
        <f ca="1">BJ144/BJ8*90</f>
        <v>#NAME?</v>
      </c>
      <c r="BK179" s="67" t="e">
        <f t="shared" ref="BK179:BK180" ca="1" si="1412">+BJ179</f>
        <v>#NAME?</v>
      </c>
      <c r="BL179" s="67" t="e">
        <f ca="1">BL144/BL8*90</f>
        <v>#NAME?</v>
      </c>
      <c r="BM179" s="67" t="e">
        <f t="shared" ref="BM179:BM180" ca="1" si="1413">+BL179</f>
        <v>#NAME?</v>
      </c>
      <c r="BN179" s="67" t="e">
        <f ca="1">BN144/BN8*90</f>
        <v>#NAME?</v>
      </c>
      <c r="BO179" s="67" t="e">
        <f t="shared" ref="BO179:BO180" ca="1" si="1414">+BN179</f>
        <v>#NAME?</v>
      </c>
      <c r="BP179" s="67" t="e">
        <f ca="1">BP144/BP8*90</f>
        <v>#NAME?</v>
      </c>
      <c r="BQ179" s="67" t="e">
        <f t="shared" ref="BQ179:BQ180" ca="1" si="1415">+BP179</f>
        <v>#NAME?</v>
      </c>
      <c r="BR179" s="67" t="e">
        <f ca="1">BR144/BR8*90</f>
        <v>#NAME?</v>
      </c>
      <c r="BS179" s="67" t="e">
        <f t="shared" ref="BS179:BS180" ca="1" si="1416">+BR179</f>
        <v>#NAME?</v>
      </c>
      <c r="BT179" s="67" t="e">
        <f ca="1">BT144/BT8*90</f>
        <v>#NAME?</v>
      </c>
      <c r="BU179" s="67" t="e">
        <f t="shared" ref="BU179:BU180" ca="1" si="1417">+BT179</f>
        <v>#NAME?</v>
      </c>
      <c r="BV179" s="67" t="e">
        <f ca="1">BV144/BV8*90</f>
        <v>#NAME?</v>
      </c>
      <c r="BW179" s="67" t="e">
        <f t="shared" ref="BW179:BW180" ca="1" si="1418">+BV179</f>
        <v>#NAME?</v>
      </c>
      <c r="BX179" s="67" t="e">
        <f ca="1">BX144/BX8*90</f>
        <v>#NAME?</v>
      </c>
      <c r="BY179" s="67" t="e">
        <f t="shared" ref="BY179:BY180" ca="1" si="1419">+BX179</f>
        <v>#NAME?</v>
      </c>
      <c r="BZ179" s="67" t="e">
        <f ca="1">BZ144/BZ8*90</f>
        <v>#NAME?</v>
      </c>
      <c r="CA179" s="67" t="e">
        <f t="shared" ref="CA179:CA180" ca="1" si="1420">+BZ179</f>
        <v>#NAME?</v>
      </c>
      <c r="CB179" s="67" t="e">
        <f ca="1">CB144/CB8*90</f>
        <v>#NAME?</v>
      </c>
      <c r="CC179" s="67" t="e">
        <f t="shared" ref="CC179:CC180" ca="1" si="1421">+CB179</f>
        <v>#NAME?</v>
      </c>
      <c r="CD179" s="67" t="e">
        <f ca="1">CD144/CD8*90</f>
        <v>#NAME?</v>
      </c>
      <c r="CE179" s="67" t="e">
        <f t="shared" ca="1" si="1399"/>
        <v>#NAME?</v>
      </c>
      <c r="CF179" s="67" t="e">
        <f ca="1">CF144/CF8*90</f>
        <v>#NAME?</v>
      </c>
      <c r="CG179" s="67" t="e">
        <f t="shared" ref="CG179:CI180" ca="1" si="1422">+CF179</f>
        <v>#NAME?</v>
      </c>
      <c r="CH179" s="67" t="e">
        <f ca="1">CH144/CH8*90</f>
        <v>#NAME?</v>
      </c>
      <c r="CI179" s="67" t="e">
        <f t="shared" ca="1" si="1422"/>
        <v>#NAME?</v>
      </c>
      <c r="CJ179" s="67" t="e">
        <f ca="1">CJ144/CJ8*90</f>
        <v>#NAME?</v>
      </c>
      <c r="CK179" s="30" t="e">
        <f t="shared" ref="CK179:CK180" ca="1" si="1423">+CJ179</f>
        <v>#NAME?</v>
      </c>
      <c r="CL179" s="67" t="e">
        <f ca="1">CL144/CL8*90</f>
        <v>#NAME?</v>
      </c>
      <c r="CM179" s="30" t="e">
        <f t="shared" ref="CM179:CM180" ca="1" si="1424">+CL179</f>
        <v>#NAME?</v>
      </c>
      <c r="CN179" s="30" t="e">
        <f t="shared" ref="CN179:CN180" ca="1" si="1425">+CM179</f>
        <v>#NAME?</v>
      </c>
      <c r="CO179" s="30" t="e">
        <f t="shared" ref="CO179:CO180" ca="1" si="1426">+CN179</f>
        <v>#NAME?</v>
      </c>
      <c r="CP179" s="30" t="e">
        <f t="shared" ref="CP179:CP180" ca="1" si="1427">+CO179</f>
        <v>#NAME?</v>
      </c>
      <c r="CQ179" s="30" t="e">
        <f t="shared" ref="CQ179:CQ180" ca="1" si="1428">+CP179</f>
        <v>#NAME?</v>
      </c>
      <c r="CR179" s="30" t="e">
        <f t="shared" ref="CR179:CR180" ca="1" si="1429">+CQ179</f>
        <v>#NAME?</v>
      </c>
      <c r="CS179" s="30" t="e">
        <f t="shared" ref="CS179:CS180" ca="1" si="1430">+CR179</f>
        <v>#NAME?</v>
      </c>
      <c r="CT179" s="30" t="e">
        <f t="shared" ref="CT179:CT180" ca="1" si="1431">+CS179</f>
        <v>#NAME?</v>
      </c>
      <c r="CU179" s="30" t="e">
        <f t="shared" ref="CU179:CU180" ca="1" si="1432">+CT179</f>
        <v>#NAME?</v>
      </c>
      <c r="CV179" s="30" t="e">
        <f t="shared" ref="CV179:CV180" ca="1" si="1433">+CU179</f>
        <v>#NAME?</v>
      </c>
      <c r="CW179" s="30" t="e">
        <f t="shared" ref="CW179:CW180" ca="1" si="1434">+CV179</f>
        <v>#NAME?</v>
      </c>
      <c r="CX179" s="30" t="e">
        <f t="shared" ref="CX179:CX180" ca="1" si="1435">+CW179</f>
        <v>#NAME?</v>
      </c>
      <c r="CY179" s="30" t="e">
        <f t="shared" ref="CY179:CY180" ca="1" si="1436">+CX179</f>
        <v>#NAME?</v>
      </c>
      <c r="CZ179" s="30" t="e">
        <f t="shared" ref="CZ179:CZ180" ca="1" si="1437">+CY179</f>
        <v>#NAME?</v>
      </c>
      <c r="DA179" s="30" t="e">
        <f t="shared" ref="DA179:DA180" ca="1" si="1438">+CZ179</f>
        <v>#NAME?</v>
      </c>
      <c r="DB179" s="30" t="e">
        <f t="shared" ref="DB179:DB180" ca="1" si="1439">+DA179</f>
        <v>#NAME?</v>
      </c>
      <c r="DE179" s="139"/>
      <c r="DF179" s="62">
        <v>187.30003131230256</v>
      </c>
    </row>
    <row r="180" spans="1:110" s="62" customFormat="1" outlineLevel="1" x14ac:dyDescent="0.2">
      <c r="A180" s="68" t="s">
        <v>465</v>
      </c>
      <c r="B180" s="67" t="e">
        <f t="shared" ref="B180:AE180" ca="1" si="1440">B145/B8*365</f>
        <v>#NAME?</v>
      </c>
      <c r="C180" s="67" t="e">
        <f t="shared" ca="1" si="1440"/>
        <v>#NAME?</v>
      </c>
      <c r="D180" s="67" t="e">
        <f t="shared" ca="1" si="1440"/>
        <v>#NAME?</v>
      </c>
      <c r="E180" s="67" t="e">
        <f t="shared" ca="1" si="1440"/>
        <v>#NAME?</v>
      </c>
      <c r="F180" s="67" t="e">
        <f t="shared" ca="1" si="1440"/>
        <v>#NAME?</v>
      </c>
      <c r="G180" s="67" t="e">
        <f t="shared" ca="1" si="1440"/>
        <v>#NAME?</v>
      </c>
      <c r="H180" s="67" t="e">
        <f t="shared" ca="1" si="1440"/>
        <v>#NAME?</v>
      </c>
      <c r="I180" s="67" t="e">
        <f t="shared" ca="1" si="1440"/>
        <v>#NAME?</v>
      </c>
      <c r="J180" s="67" t="e">
        <f t="shared" ca="1" si="1440"/>
        <v>#NAME?</v>
      </c>
      <c r="K180" s="67" t="e">
        <f t="shared" ca="1" si="1440"/>
        <v>#NAME?</v>
      </c>
      <c r="L180" s="67" t="e">
        <f t="shared" ca="1" si="1440"/>
        <v>#NAME?</v>
      </c>
      <c r="M180" s="67" t="e">
        <f t="shared" ca="1" si="1440"/>
        <v>#NAME?</v>
      </c>
      <c r="N180" s="67" t="e">
        <f t="shared" ca="1" si="1440"/>
        <v>#NAME?</v>
      </c>
      <c r="O180" s="67" t="e">
        <f t="shared" ca="1" si="1440"/>
        <v>#NAME?</v>
      </c>
      <c r="P180" s="67" t="e">
        <f t="shared" ca="1" si="1440"/>
        <v>#NAME?</v>
      </c>
      <c r="Q180" s="67" t="e">
        <f t="shared" ca="1" si="1440"/>
        <v>#NAME?</v>
      </c>
      <c r="R180" s="67" t="e">
        <f t="shared" ca="1" si="1440"/>
        <v>#NAME?</v>
      </c>
      <c r="S180" s="67" t="e">
        <f t="shared" ca="1" si="1440"/>
        <v>#NAME?</v>
      </c>
      <c r="T180" s="67" t="e">
        <f t="shared" ca="1" si="1440"/>
        <v>#NAME?</v>
      </c>
      <c r="U180" s="67" t="e">
        <f t="shared" ca="1" si="1440"/>
        <v>#NAME?</v>
      </c>
      <c r="V180" s="67" t="e">
        <f t="shared" ca="1" si="1440"/>
        <v>#NAME?</v>
      </c>
      <c r="W180" s="67" t="e">
        <f t="shared" ca="1" si="1440"/>
        <v>#NAME?</v>
      </c>
      <c r="X180" s="67" t="e">
        <f t="shared" ca="1" si="1440"/>
        <v>#NAME?</v>
      </c>
      <c r="Y180" s="67" t="e">
        <f t="shared" ca="1" si="1440"/>
        <v>#NAME?</v>
      </c>
      <c r="Z180" s="67" t="e">
        <f t="shared" ca="1" si="1440"/>
        <v>#NAME?</v>
      </c>
      <c r="AA180" s="67" t="e">
        <f t="shared" ref="AA180" ca="1" si="1441">AA145/AA8*365</f>
        <v>#NAME?</v>
      </c>
      <c r="AB180" s="18" t="e">
        <f t="shared" ca="1" si="1440"/>
        <v>#NAME?</v>
      </c>
      <c r="AC180" s="18" t="e">
        <f t="shared" ca="1" si="1440"/>
        <v>#NAME?</v>
      </c>
      <c r="AD180" s="18" t="e">
        <f t="shared" ca="1" si="1440"/>
        <v>#NAME?</v>
      </c>
      <c r="AE180" s="18" t="e">
        <f t="shared" ca="1" si="1440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00"/>
        <v>#NAME?</v>
      </c>
      <c r="AN180" s="67" t="e">
        <f ca="1">AN145/AN8*90</f>
        <v>#NAME?</v>
      </c>
      <c r="AO180" s="67" t="e">
        <f t="shared" ca="1" si="1401"/>
        <v>#NAME?</v>
      </c>
      <c r="AP180" s="67" t="e">
        <f ca="1">AP145/AP8*90</f>
        <v>#NAME?</v>
      </c>
      <c r="AQ180" s="67" t="e">
        <f t="shared" ca="1" si="1402"/>
        <v>#NAME?</v>
      </c>
      <c r="AR180" s="67" t="e">
        <f ca="1">AR145/AR8*90</f>
        <v>#NAME?</v>
      </c>
      <c r="AS180" s="67" t="e">
        <f t="shared" ca="1" si="1403"/>
        <v>#NAME?</v>
      </c>
      <c r="AT180" s="67" t="e">
        <f ca="1">AT145/AT8*90</f>
        <v>#NAME?</v>
      </c>
      <c r="AU180" s="67" t="e">
        <f t="shared" ca="1" si="1404"/>
        <v>#NAME?</v>
      </c>
      <c r="AV180" s="67" t="e">
        <f ca="1">AV145/AV8*90</f>
        <v>#NAME?</v>
      </c>
      <c r="AW180" s="67" t="e">
        <f t="shared" ca="1" si="1405"/>
        <v>#NAME?</v>
      </c>
      <c r="AX180" s="67" t="e">
        <f ca="1">AX145/AX8*90</f>
        <v>#NAME?</v>
      </c>
      <c r="AY180" s="67" t="e">
        <f t="shared" ca="1" si="1406"/>
        <v>#NAME?</v>
      </c>
      <c r="AZ180" s="67" t="e">
        <f ca="1">AZ145/AZ8*90</f>
        <v>#NAME?</v>
      </c>
      <c r="BA180" s="67" t="e">
        <f t="shared" ca="1" si="1407"/>
        <v>#NAME?</v>
      </c>
      <c r="BB180" s="67" t="e">
        <f ca="1">BB145/BB8*90</f>
        <v>#NAME?</v>
      </c>
      <c r="BC180" s="67" t="e">
        <f t="shared" ca="1" si="1408"/>
        <v>#NAME?</v>
      </c>
      <c r="BD180" s="67" t="e">
        <f ca="1">BD145/BD8*90</f>
        <v>#NAME?</v>
      </c>
      <c r="BE180" s="67" t="e">
        <f t="shared" ca="1" si="1409"/>
        <v>#NAME?</v>
      </c>
      <c r="BF180" s="67" t="e">
        <f ca="1">BF145/BF8*90</f>
        <v>#NAME?</v>
      </c>
      <c r="BG180" s="67" t="e">
        <f t="shared" ca="1" si="1410"/>
        <v>#NAME?</v>
      </c>
      <c r="BH180" s="67" t="e">
        <f ca="1">BH145/BH8*90</f>
        <v>#NAME?</v>
      </c>
      <c r="BI180" s="67" t="e">
        <f t="shared" ca="1" si="1411"/>
        <v>#NAME?</v>
      </c>
      <c r="BJ180" s="67" t="e">
        <f ca="1">BJ145/BJ8*90</f>
        <v>#NAME?</v>
      </c>
      <c r="BK180" s="67" t="e">
        <f t="shared" ca="1" si="1412"/>
        <v>#NAME?</v>
      </c>
      <c r="BL180" s="67" t="e">
        <f ca="1">BL145/BL8*90</f>
        <v>#NAME?</v>
      </c>
      <c r="BM180" s="67" t="e">
        <f t="shared" ca="1" si="1413"/>
        <v>#NAME?</v>
      </c>
      <c r="BN180" s="67" t="e">
        <f ca="1">BN145/BN8*90</f>
        <v>#NAME?</v>
      </c>
      <c r="BO180" s="67" t="e">
        <f t="shared" ca="1" si="1414"/>
        <v>#NAME?</v>
      </c>
      <c r="BP180" s="67" t="e">
        <f ca="1">BP145/BP8*90</f>
        <v>#NAME?</v>
      </c>
      <c r="BQ180" s="67" t="e">
        <f t="shared" ca="1" si="1415"/>
        <v>#NAME?</v>
      </c>
      <c r="BR180" s="67" t="e">
        <f ca="1">BR145/BR8*90</f>
        <v>#NAME?</v>
      </c>
      <c r="BS180" s="67" t="e">
        <f t="shared" ca="1" si="1416"/>
        <v>#NAME?</v>
      </c>
      <c r="BT180" s="67" t="e">
        <f ca="1">BT145/BT8*90</f>
        <v>#NAME?</v>
      </c>
      <c r="BU180" s="67" t="e">
        <f t="shared" ca="1" si="1417"/>
        <v>#NAME?</v>
      </c>
      <c r="BV180" s="67" t="e">
        <f ca="1">BV145/BV8*90</f>
        <v>#NAME?</v>
      </c>
      <c r="BW180" s="67" t="e">
        <f t="shared" ca="1" si="1418"/>
        <v>#NAME?</v>
      </c>
      <c r="BX180" s="67" t="e">
        <f ca="1">BX145/BX8*90</f>
        <v>#NAME?</v>
      </c>
      <c r="BY180" s="67" t="e">
        <f t="shared" ca="1" si="1419"/>
        <v>#NAME?</v>
      </c>
      <c r="BZ180" s="67" t="e">
        <f ca="1">BZ145/BZ8*90</f>
        <v>#NAME?</v>
      </c>
      <c r="CA180" s="67" t="e">
        <f t="shared" ca="1" si="1420"/>
        <v>#NAME?</v>
      </c>
      <c r="CB180" s="67" t="e">
        <f ca="1">CB145/CB8*90</f>
        <v>#NAME?</v>
      </c>
      <c r="CC180" s="67" t="e">
        <f t="shared" ca="1" si="1421"/>
        <v>#NAME?</v>
      </c>
      <c r="CD180" s="67" t="e">
        <f ca="1">CD145/CD8*90</f>
        <v>#NAME?</v>
      </c>
      <c r="CE180" s="114" t="e">
        <f t="shared" ref="CE180" ca="1" si="1442">+CD180</f>
        <v>#NAME?</v>
      </c>
      <c r="CF180" s="67" t="e">
        <f ca="1">CF145/CF8*90</f>
        <v>#NAME?</v>
      </c>
      <c r="CG180" s="67" t="e">
        <f t="shared" ca="1" si="1422"/>
        <v>#NAME?</v>
      </c>
      <c r="CH180" s="67" t="e">
        <f ca="1">CH145/CH8*90</f>
        <v>#NAME?</v>
      </c>
      <c r="CI180" s="67" t="e">
        <f t="shared" ca="1" si="1422"/>
        <v>#NAME?</v>
      </c>
      <c r="CJ180" s="67" t="e">
        <f ca="1">CJ145/CJ8*90</f>
        <v>#NAME?</v>
      </c>
      <c r="CK180" s="30" t="e">
        <f t="shared" ca="1" si="1423"/>
        <v>#NAME?</v>
      </c>
      <c r="CL180" s="67" t="e">
        <f ca="1">CL145/CL8*90</f>
        <v>#NAME?</v>
      </c>
      <c r="CM180" s="30" t="e">
        <f t="shared" ca="1" si="1424"/>
        <v>#NAME?</v>
      </c>
      <c r="CN180" s="30" t="e">
        <f t="shared" ca="1" si="1425"/>
        <v>#NAME?</v>
      </c>
      <c r="CO180" s="30" t="e">
        <f t="shared" ca="1" si="1426"/>
        <v>#NAME?</v>
      </c>
      <c r="CP180" s="30" t="e">
        <f t="shared" ca="1" si="1427"/>
        <v>#NAME?</v>
      </c>
      <c r="CQ180" s="30" t="e">
        <f t="shared" ca="1" si="1428"/>
        <v>#NAME?</v>
      </c>
      <c r="CR180" s="30" t="e">
        <f t="shared" ca="1" si="1429"/>
        <v>#NAME?</v>
      </c>
      <c r="CS180" s="30" t="e">
        <f t="shared" ca="1" si="1430"/>
        <v>#NAME?</v>
      </c>
      <c r="CT180" s="30" t="e">
        <f t="shared" ca="1" si="1431"/>
        <v>#NAME?</v>
      </c>
      <c r="CU180" s="30" t="e">
        <f t="shared" ca="1" si="1432"/>
        <v>#NAME?</v>
      </c>
      <c r="CV180" s="30" t="e">
        <f t="shared" ca="1" si="1433"/>
        <v>#NAME?</v>
      </c>
      <c r="CW180" s="30" t="e">
        <f t="shared" ca="1" si="1434"/>
        <v>#NAME?</v>
      </c>
      <c r="CX180" s="30" t="e">
        <f t="shared" ca="1" si="1435"/>
        <v>#NAME?</v>
      </c>
      <c r="CY180" s="30" t="e">
        <f t="shared" ca="1" si="1436"/>
        <v>#NAME?</v>
      </c>
      <c r="CZ180" s="30" t="e">
        <f t="shared" ca="1" si="1437"/>
        <v>#NAME?</v>
      </c>
      <c r="DA180" s="30" t="e">
        <f t="shared" ca="1" si="1438"/>
        <v>#NAME?</v>
      </c>
      <c r="DB180" s="30" t="e">
        <f t="shared" ca="1" si="1439"/>
        <v>#NAME?</v>
      </c>
      <c r="DE180" s="139"/>
      <c r="DF180" s="62">
        <v>88.918124274168932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43">C182-C180-C179</f>
        <v>#NAME?</v>
      </c>
      <c r="D181" s="67" t="e">
        <f t="shared" ca="1" si="1443"/>
        <v>#NAME?</v>
      </c>
      <c r="E181" s="67" t="e">
        <f t="shared" ca="1" si="1443"/>
        <v>#NAME?</v>
      </c>
      <c r="F181" s="67" t="e">
        <f t="shared" ca="1" si="1443"/>
        <v>#NAME?</v>
      </c>
      <c r="G181" s="67" t="e">
        <f t="shared" ca="1" si="1443"/>
        <v>#NAME?</v>
      </c>
      <c r="H181" s="67" t="e">
        <f t="shared" ca="1" si="1443"/>
        <v>#NAME?</v>
      </c>
      <c r="I181" s="67" t="e">
        <f t="shared" ca="1" si="1443"/>
        <v>#NAME?</v>
      </c>
      <c r="J181" s="67" t="e">
        <f t="shared" ca="1" si="1443"/>
        <v>#NAME?</v>
      </c>
      <c r="K181" s="67" t="e">
        <f t="shared" ca="1" si="1443"/>
        <v>#NAME?</v>
      </c>
      <c r="L181" s="67" t="e">
        <f t="shared" ca="1" si="1443"/>
        <v>#NAME?</v>
      </c>
      <c r="M181" s="67" t="e">
        <f t="shared" ca="1" si="1443"/>
        <v>#NAME?</v>
      </c>
      <c r="N181" s="67" t="e">
        <f t="shared" ca="1" si="1443"/>
        <v>#NAME?</v>
      </c>
      <c r="O181" s="67" t="e">
        <f t="shared" ca="1" si="1443"/>
        <v>#NAME?</v>
      </c>
      <c r="P181" s="67" t="e">
        <f t="shared" ca="1" si="1443"/>
        <v>#NAME?</v>
      </c>
      <c r="Q181" s="67" t="e">
        <f t="shared" ca="1" si="1443"/>
        <v>#NAME?</v>
      </c>
      <c r="R181" s="67" t="e">
        <f t="shared" ca="1" si="1443"/>
        <v>#NAME?</v>
      </c>
      <c r="S181" s="67" t="e">
        <f t="shared" ca="1" si="1443"/>
        <v>#NAME?</v>
      </c>
      <c r="T181" s="67" t="e">
        <f t="shared" ca="1" si="1443"/>
        <v>#NAME?</v>
      </c>
      <c r="U181" s="67" t="e">
        <f t="shared" ca="1" si="1443"/>
        <v>#NAME?</v>
      </c>
      <c r="V181" s="67" t="e">
        <f ca="1">V182-V180-V179</f>
        <v>#NAME?</v>
      </c>
      <c r="W181" s="67" t="e">
        <f t="shared" ref="W181" ca="1" si="1444">W182-W180-W179</f>
        <v>#NAME?</v>
      </c>
      <c r="X181" s="67" t="e">
        <f t="shared" ref="X181:Y181" ca="1" si="1445">X182-X180-X179</f>
        <v>#NAME?</v>
      </c>
      <c r="Y181" s="67" t="e">
        <f t="shared" ca="1" si="1445"/>
        <v>#NAME?</v>
      </c>
      <c r="Z181" s="67" t="e">
        <f t="shared" ref="Z181:AA181" ca="1" si="1446">Z182-Z180-Z179</f>
        <v>#NAME?</v>
      </c>
      <c r="AA181" s="67" t="e">
        <f t="shared" ca="1" si="1446"/>
        <v>#NAME?</v>
      </c>
      <c r="AB181" s="18" t="e">
        <f t="shared" ref="AA181:AD181" ca="1" si="1447">AB182-AB180-AB179</f>
        <v>#NAME?</v>
      </c>
      <c r="AC181" s="18" t="e">
        <f t="shared" ca="1" si="1447"/>
        <v>#NAME?</v>
      </c>
      <c r="AD181" s="18" t="e">
        <f t="shared" ca="1" si="1447"/>
        <v>#NAME?</v>
      </c>
      <c r="AE181" s="18" t="e">
        <f t="shared" ref="AE181" ca="1" si="1448">AE182-AE180-AE179</f>
        <v>#NAME?</v>
      </c>
      <c r="AI181" s="67" t="e">
        <f t="shared" ref="AI181:AK181" ca="1" si="1449">AI182-AI180-AI179</f>
        <v>#NAME?</v>
      </c>
      <c r="AJ181" s="67" t="e">
        <f t="shared" ref="AJ181:AM181" ca="1" si="1450">AJ182-AJ180-AJ179</f>
        <v>#NAME?</v>
      </c>
      <c r="AK181" s="67" t="e">
        <f t="shared" ca="1" si="1449"/>
        <v>#NAME?</v>
      </c>
      <c r="AL181" s="67" t="e">
        <f t="shared" ca="1" si="1450"/>
        <v>#NAME?</v>
      </c>
      <c r="AM181" s="67" t="e">
        <f t="shared" ca="1" si="1450"/>
        <v>#NAME?</v>
      </c>
      <c r="AN181" s="67" t="e">
        <f t="shared" ref="AN181:AY181" ca="1" si="1451">AN182-AN180-AN179</f>
        <v>#NAME?</v>
      </c>
      <c r="AO181" s="67" t="e">
        <f t="shared" ca="1" si="1451"/>
        <v>#NAME?</v>
      </c>
      <c r="AP181" s="67" t="e">
        <f t="shared" ca="1" si="1451"/>
        <v>#NAME?</v>
      </c>
      <c r="AQ181" s="67" t="e">
        <f t="shared" ca="1" si="1451"/>
        <v>#NAME?</v>
      </c>
      <c r="AR181" s="67" t="e">
        <f t="shared" ca="1" si="1451"/>
        <v>#NAME?</v>
      </c>
      <c r="AS181" s="67" t="e">
        <f t="shared" ca="1" si="1451"/>
        <v>#NAME?</v>
      </c>
      <c r="AT181" s="67" t="e">
        <f t="shared" ca="1" si="1451"/>
        <v>#NAME?</v>
      </c>
      <c r="AU181" s="67" t="e">
        <f t="shared" ca="1" si="1451"/>
        <v>#NAME?</v>
      </c>
      <c r="AV181" s="67" t="e">
        <f t="shared" ca="1" si="1451"/>
        <v>#NAME?</v>
      </c>
      <c r="AW181" s="67" t="e">
        <f t="shared" ca="1" si="1451"/>
        <v>#NAME?</v>
      </c>
      <c r="AX181" s="67" t="e">
        <f t="shared" ca="1" si="1451"/>
        <v>#NAME?</v>
      </c>
      <c r="AY181" s="67" t="e">
        <f t="shared" ca="1" si="1451"/>
        <v>#NAME?</v>
      </c>
      <c r="AZ181" s="67" t="e">
        <f t="shared" ref="AZ181:BC181" ca="1" si="1452">AZ182-AZ180-AZ179</f>
        <v>#NAME?</v>
      </c>
      <c r="BA181" s="67" t="e">
        <f t="shared" ca="1" si="1452"/>
        <v>#NAME?</v>
      </c>
      <c r="BB181" s="67" t="e">
        <f t="shared" ca="1" si="1452"/>
        <v>#NAME?</v>
      </c>
      <c r="BC181" s="67" t="e">
        <f t="shared" ca="1" si="1452"/>
        <v>#NAME?</v>
      </c>
      <c r="BD181" s="67" t="e">
        <f t="shared" ref="BD181:CE181" ca="1" si="1453">BD182-BD180-BD179</f>
        <v>#NAME?</v>
      </c>
      <c r="BE181" s="67" t="e">
        <f t="shared" ca="1" si="1453"/>
        <v>#NAME?</v>
      </c>
      <c r="BF181" s="67" t="e">
        <f t="shared" ca="1" si="1453"/>
        <v>#NAME?</v>
      </c>
      <c r="BG181" s="67" t="e">
        <f t="shared" ca="1" si="1453"/>
        <v>#NAME?</v>
      </c>
      <c r="BH181" s="67" t="e">
        <f t="shared" ca="1" si="1453"/>
        <v>#NAME?</v>
      </c>
      <c r="BI181" s="67" t="e">
        <f t="shared" ca="1" si="1453"/>
        <v>#NAME?</v>
      </c>
      <c r="BJ181" s="67" t="e">
        <f t="shared" ca="1" si="1453"/>
        <v>#NAME?</v>
      </c>
      <c r="BK181" s="67" t="e">
        <f t="shared" ca="1" si="1453"/>
        <v>#NAME?</v>
      </c>
      <c r="BL181" s="67" t="e">
        <f t="shared" ca="1" si="1453"/>
        <v>#NAME?</v>
      </c>
      <c r="BM181" s="67" t="e">
        <f t="shared" ca="1" si="1453"/>
        <v>#NAME?</v>
      </c>
      <c r="BN181" s="67" t="e">
        <f t="shared" ca="1" si="1453"/>
        <v>#NAME?</v>
      </c>
      <c r="BO181" s="67" t="e">
        <f t="shared" ca="1" si="1453"/>
        <v>#NAME?</v>
      </c>
      <c r="BP181" s="67" t="e">
        <f t="shared" ca="1" si="1453"/>
        <v>#NAME?</v>
      </c>
      <c r="BQ181" s="67" t="e">
        <f t="shared" ca="1" si="1453"/>
        <v>#NAME?</v>
      </c>
      <c r="BR181" s="67" t="e">
        <f t="shared" ca="1" si="1453"/>
        <v>#NAME?</v>
      </c>
      <c r="BS181" s="67" t="e">
        <f t="shared" ca="1" si="1453"/>
        <v>#NAME?</v>
      </c>
      <c r="BT181" s="67" t="e">
        <f t="shared" ca="1" si="1453"/>
        <v>#NAME?</v>
      </c>
      <c r="BU181" s="67" t="e">
        <f t="shared" ca="1" si="1453"/>
        <v>#NAME?</v>
      </c>
      <c r="BV181" s="67" t="e">
        <f t="shared" ca="1" si="1453"/>
        <v>#NAME?</v>
      </c>
      <c r="BW181" s="67" t="e">
        <f t="shared" ca="1" si="1453"/>
        <v>#NAME?</v>
      </c>
      <c r="BX181" s="67" t="e">
        <f t="shared" ca="1" si="1453"/>
        <v>#NAME?</v>
      </c>
      <c r="BY181" s="67" t="e">
        <f t="shared" ca="1" si="1453"/>
        <v>#NAME?</v>
      </c>
      <c r="BZ181" s="67" t="e">
        <f t="shared" ca="1" si="1453"/>
        <v>#NAME?</v>
      </c>
      <c r="CA181" s="67" t="e">
        <f t="shared" ca="1" si="1453"/>
        <v>#NAME?</v>
      </c>
      <c r="CB181" s="67" t="e">
        <f t="shared" ca="1" si="1453"/>
        <v>#NAME?</v>
      </c>
      <c r="CC181" s="67" t="e">
        <f t="shared" ca="1" si="1453"/>
        <v>#NAME?</v>
      </c>
      <c r="CD181" s="67" t="e">
        <f t="shared" ca="1" si="1453"/>
        <v>#NAME?</v>
      </c>
      <c r="CE181" s="114" t="e">
        <f t="shared" ca="1" si="1453"/>
        <v>#NAME?</v>
      </c>
      <c r="CF181" s="67" t="e">
        <f t="shared" ref="CF181:CG181" ca="1" si="1454">CF182-CF180-CF179</f>
        <v>#NAME?</v>
      </c>
      <c r="CG181" s="67" t="e">
        <f t="shared" ca="1" si="1454"/>
        <v>#NAME?</v>
      </c>
      <c r="CH181" s="67" t="e">
        <f t="shared" ref="CH181" ca="1" si="1455">CH182-CH180-CH179</f>
        <v>#NAME?</v>
      </c>
      <c r="CI181" s="67" t="e">
        <f ca="1">CH181</f>
        <v>#NAME?</v>
      </c>
      <c r="CJ181" s="67" t="e">
        <f t="shared" ref="CJ181:CL181" ca="1" si="1456">CJ182-CJ180-CJ179</f>
        <v>#NAME?</v>
      </c>
      <c r="CK181" s="30" t="e">
        <f t="shared" ref="CK181:DB181" ca="1" si="1457">CJ181</f>
        <v>#NAME?</v>
      </c>
      <c r="CL181" s="67" t="e">
        <f t="shared" ca="1" si="1456"/>
        <v>#NAME?</v>
      </c>
      <c r="CM181" s="30" t="e">
        <f t="shared" ca="1" si="1457"/>
        <v>#NAME?</v>
      </c>
      <c r="CN181" s="30" t="e">
        <f t="shared" ca="1" si="1457"/>
        <v>#NAME?</v>
      </c>
      <c r="CO181" s="30" t="e">
        <f t="shared" ca="1" si="1457"/>
        <v>#NAME?</v>
      </c>
      <c r="CP181" s="30" t="e">
        <f t="shared" ca="1" si="1457"/>
        <v>#NAME?</v>
      </c>
      <c r="CQ181" s="30" t="e">
        <f t="shared" ca="1" si="1457"/>
        <v>#NAME?</v>
      </c>
      <c r="CR181" s="30" t="e">
        <f t="shared" ca="1" si="1457"/>
        <v>#NAME?</v>
      </c>
      <c r="CS181" s="30" t="e">
        <f t="shared" ca="1" si="1457"/>
        <v>#NAME?</v>
      </c>
      <c r="CT181" s="30" t="e">
        <f t="shared" ca="1" si="1457"/>
        <v>#NAME?</v>
      </c>
      <c r="CU181" s="30" t="e">
        <f t="shared" ca="1" si="1457"/>
        <v>#NAME?</v>
      </c>
      <c r="CV181" s="30" t="e">
        <f t="shared" ca="1" si="1457"/>
        <v>#NAME?</v>
      </c>
      <c r="CW181" s="30" t="e">
        <f t="shared" ca="1" si="1457"/>
        <v>#NAME?</v>
      </c>
      <c r="CX181" s="30" t="e">
        <f t="shared" ca="1" si="1457"/>
        <v>#NAME?</v>
      </c>
      <c r="CY181" s="30" t="e">
        <f t="shared" ca="1" si="1457"/>
        <v>#NAME?</v>
      </c>
      <c r="CZ181" s="30" t="e">
        <f t="shared" ca="1" si="1457"/>
        <v>#NAME?</v>
      </c>
      <c r="DA181" s="30" t="e">
        <f t="shared" ca="1" si="1457"/>
        <v>#NAME?</v>
      </c>
      <c r="DB181" s="30" t="e">
        <f t="shared" ca="1" si="1457"/>
        <v>#NAME?</v>
      </c>
      <c r="DE181" s="139"/>
      <c r="DF181" s="62">
        <v>61.951783017634</v>
      </c>
    </row>
    <row r="182" spans="1:110" s="7" customFormat="1" outlineLevel="1" x14ac:dyDescent="0.2">
      <c r="A182" s="69" t="s">
        <v>467</v>
      </c>
      <c r="B182" s="70" t="e">
        <f t="shared" ref="B182:AE182" ca="1" si="1458">B148/B8*365</f>
        <v>#NAME?</v>
      </c>
      <c r="C182" s="70" t="e">
        <f t="shared" ca="1" si="1458"/>
        <v>#NAME?</v>
      </c>
      <c r="D182" s="70" t="e">
        <f t="shared" ca="1" si="1458"/>
        <v>#NAME?</v>
      </c>
      <c r="E182" s="70" t="e">
        <f t="shared" ca="1" si="1458"/>
        <v>#NAME?</v>
      </c>
      <c r="F182" s="70" t="e">
        <f t="shared" ca="1" si="1458"/>
        <v>#NAME?</v>
      </c>
      <c r="G182" s="70" t="e">
        <f t="shared" ca="1" si="1458"/>
        <v>#NAME?</v>
      </c>
      <c r="H182" s="70" t="e">
        <f t="shared" ca="1" si="1458"/>
        <v>#NAME?</v>
      </c>
      <c r="I182" s="70" t="e">
        <f t="shared" ca="1" si="1458"/>
        <v>#NAME?</v>
      </c>
      <c r="J182" s="70" t="e">
        <f t="shared" ca="1" si="1458"/>
        <v>#NAME?</v>
      </c>
      <c r="K182" s="70" t="e">
        <f t="shared" ca="1" si="1458"/>
        <v>#NAME?</v>
      </c>
      <c r="L182" s="70" t="e">
        <f t="shared" ca="1" si="1458"/>
        <v>#NAME?</v>
      </c>
      <c r="M182" s="70" t="e">
        <f t="shared" ca="1" si="1458"/>
        <v>#NAME?</v>
      </c>
      <c r="N182" s="70" t="e">
        <f t="shared" ca="1" si="1458"/>
        <v>#NAME?</v>
      </c>
      <c r="O182" s="70" t="e">
        <f t="shared" ca="1" si="1458"/>
        <v>#NAME?</v>
      </c>
      <c r="P182" s="70" t="e">
        <f t="shared" ca="1" si="1458"/>
        <v>#NAME?</v>
      </c>
      <c r="Q182" s="70" t="e">
        <f t="shared" ca="1" si="1458"/>
        <v>#NAME?</v>
      </c>
      <c r="R182" s="70" t="e">
        <f t="shared" ca="1" si="1458"/>
        <v>#NAME?</v>
      </c>
      <c r="S182" s="70" t="e">
        <f t="shared" ca="1" si="1458"/>
        <v>#NAME?</v>
      </c>
      <c r="T182" s="70" t="e">
        <f t="shared" ca="1" si="1458"/>
        <v>#NAME?</v>
      </c>
      <c r="U182" s="70" t="e">
        <f t="shared" ca="1" si="1458"/>
        <v>#NAME?</v>
      </c>
      <c r="V182" s="70" t="e">
        <f t="shared" ca="1" si="1458"/>
        <v>#NAME?</v>
      </c>
      <c r="W182" s="70" t="e">
        <f t="shared" ca="1" si="1458"/>
        <v>#NAME?</v>
      </c>
      <c r="X182" s="70" t="e">
        <f t="shared" ca="1" si="1458"/>
        <v>#NAME?</v>
      </c>
      <c r="Y182" s="70" t="e">
        <f t="shared" ca="1" si="1458"/>
        <v>#NAME?</v>
      </c>
      <c r="Z182" s="70" t="e">
        <f t="shared" ca="1" si="1458"/>
        <v>#NAME?</v>
      </c>
      <c r="AA182" s="70" t="e">
        <f t="shared" ref="AA182" ca="1" si="1459">AA148/AA8*365</f>
        <v>#NAME?</v>
      </c>
      <c r="AB182" s="71" t="e">
        <f t="shared" ca="1" si="1458"/>
        <v>#NAME?</v>
      </c>
      <c r="AC182" s="71" t="e">
        <f t="shared" ca="1" si="1458"/>
        <v>#NAME?</v>
      </c>
      <c r="AD182" s="71" t="e">
        <f t="shared" ca="1" si="1458"/>
        <v>#NAME?</v>
      </c>
      <c r="AE182" s="71" t="e">
        <f t="shared" ca="1" si="1458"/>
        <v>#NAME?</v>
      </c>
      <c r="AI182" s="70" t="e">
        <f t="shared" ref="AI182:CD182" ca="1" si="1460">AI148/AI8*90</f>
        <v>#NAME?</v>
      </c>
      <c r="AJ182" s="70" t="e">
        <f t="shared" ca="1" si="1460"/>
        <v>#NAME?</v>
      </c>
      <c r="AK182" s="70" t="e">
        <f t="shared" ca="1" si="1460"/>
        <v>#NAME?</v>
      </c>
      <c r="AL182" s="70" t="e">
        <f t="shared" ca="1" si="1460"/>
        <v>#NAME?</v>
      </c>
      <c r="AM182" s="70" t="e">
        <f t="shared" ca="1" si="1460"/>
        <v>#NAME?</v>
      </c>
      <c r="AN182" s="70" t="e">
        <f t="shared" ca="1" si="1460"/>
        <v>#NAME?</v>
      </c>
      <c r="AO182" s="70" t="e">
        <f t="shared" ca="1" si="1460"/>
        <v>#NAME?</v>
      </c>
      <c r="AP182" s="70" t="e">
        <f t="shared" ca="1" si="1460"/>
        <v>#NAME?</v>
      </c>
      <c r="AQ182" s="70" t="e">
        <f t="shared" ca="1" si="1460"/>
        <v>#NAME?</v>
      </c>
      <c r="AR182" s="70" t="e">
        <f t="shared" ca="1" si="1460"/>
        <v>#NAME?</v>
      </c>
      <c r="AS182" s="70" t="e">
        <f t="shared" ca="1" si="1460"/>
        <v>#NAME?</v>
      </c>
      <c r="AT182" s="70" t="e">
        <f t="shared" ca="1" si="1460"/>
        <v>#NAME?</v>
      </c>
      <c r="AU182" s="70" t="e">
        <f t="shared" ca="1" si="1460"/>
        <v>#NAME?</v>
      </c>
      <c r="AV182" s="70" t="e">
        <f t="shared" ca="1" si="1460"/>
        <v>#NAME?</v>
      </c>
      <c r="AW182" s="70" t="e">
        <f t="shared" ca="1" si="1460"/>
        <v>#NAME?</v>
      </c>
      <c r="AX182" s="70" t="e">
        <f t="shared" ca="1" si="1460"/>
        <v>#NAME?</v>
      </c>
      <c r="AY182" s="70" t="e">
        <f t="shared" ca="1" si="1460"/>
        <v>#NAME?</v>
      </c>
      <c r="AZ182" s="70" t="e">
        <f t="shared" ca="1" si="1460"/>
        <v>#NAME?</v>
      </c>
      <c r="BA182" s="70" t="e">
        <f t="shared" ca="1" si="1460"/>
        <v>#NAME?</v>
      </c>
      <c r="BB182" s="70" t="e">
        <f t="shared" ca="1" si="1460"/>
        <v>#NAME?</v>
      </c>
      <c r="BC182" s="70" t="e">
        <f t="shared" ca="1" si="1460"/>
        <v>#NAME?</v>
      </c>
      <c r="BD182" s="70" t="e">
        <f t="shared" ca="1" si="1460"/>
        <v>#NAME?</v>
      </c>
      <c r="BE182" s="70" t="e">
        <f t="shared" ca="1" si="1460"/>
        <v>#NAME?</v>
      </c>
      <c r="BF182" s="70" t="e">
        <f t="shared" ca="1" si="1460"/>
        <v>#NAME?</v>
      </c>
      <c r="BG182" s="70" t="e">
        <f t="shared" ca="1" si="1460"/>
        <v>#NAME?</v>
      </c>
      <c r="BH182" s="70" t="e">
        <f t="shared" ca="1" si="1460"/>
        <v>#NAME?</v>
      </c>
      <c r="BI182" s="70" t="e">
        <f t="shared" ca="1" si="1460"/>
        <v>#NAME?</v>
      </c>
      <c r="BJ182" s="70" t="e">
        <f t="shared" ca="1" si="1460"/>
        <v>#NAME?</v>
      </c>
      <c r="BK182" s="70" t="e">
        <f t="shared" ca="1" si="1460"/>
        <v>#NAME?</v>
      </c>
      <c r="BL182" s="70" t="e">
        <f t="shared" ca="1" si="1460"/>
        <v>#NAME?</v>
      </c>
      <c r="BM182" s="70" t="e">
        <f t="shared" ca="1" si="1460"/>
        <v>#NAME?</v>
      </c>
      <c r="BN182" s="70" t="e">
        <f t="shared" ca="1" si="1460"/>
        <v>#NAME?</v>
      </c>
      <c r="BO182" s="70" t="e">
        <f t="shared" ca="1" si="1460"/>
        <v>#NAME?</v>
      </c>
      <c r="BP182" s="70" t="e">
        <f t="shared" ca="1" si="1460"/>
        <v>#NAME?</v>
      </c>
      <c r="BQ182" s="70" t="e">
        <f t="shared" ca="1" si="1460"/>
        <v>#NAME?</v>
      </c>
      <c r="BR182" s="70" t="e">
        <f t="shared" ca="1" si="1460"/>
        <v>#NAME?</v>
      </c>
      <c r="BS182" s="70" t="e">
        <f t="shared" ca="1" si="1460"/>
        <v>#NAME?</v>
      </c>
      <c r="BT182" s="70" t="e">
        <f t="shared" ca="1" si="1460"/>
        <v>#NAME?</v>
      </c>
      <c r="BU182" s="70" t="e">
        <f t="shared" ca="1" si="1460"/>
        <v>#NAME?</v>
      </c>
      <c r="BV182" s="70" t="e">
        <f t="shared" ca="1" si="1460"/>
        <v>#NAME?</v>
      </c>
      <c r="BW182" s="70" t="e">
        <f t="shared" ca="1" si="1460"/>
        <v>#NAME?</v>
      </c>
      <c r="BX182" s="70" t="e">
        <f t="shared" ca="1" si="1460"/>
        <v>#NAME?</v>
      </c>
      <c r="BY182" s="70" t="e">
        <f t="shared" ca="1" si="1460"/>
        <v>#NAME?</v>
      </c>
      <c r="BZ182" s="70" t="e">
        <f t="shared" ca="1" si="1460"/>
        <v>#NAME?</v>
      </c>
      <c r="CA182" s="70" t="e">
        <f t="shared" ca="1" si="1460"/>
        <v>#NAME?</v>
      </c>
      <c r="CB182" s="70" t="e">
        <f t="shared" ca="1" si="1460"/>
        <v>#NAME?</v>
      </c>
      <c r="CC182" s="70" t="e">
        <f t="shared" ca="1" si="1460"/>
        <v>#NAME?</v>
      </c>
      <c r="CD182" s="70" t="e">
        <f t="shared" ca="1" si="1460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61">CK179+CK180+CK181</f>
        <v>#NAME?</v>
      </c>
      <c r="CL182" s="70" t="e">
        <f ca="1">CL148/CL8*90</f>
        <v>#NAME?</v>
      </c>
      <c r="CM182" s="50" t="e">
        <f t="shared" ca="1" si="1461"/>
        <v>#NAME?</v>
      </c>
      <c r="CN182" s="50" t="e">
        <f t="shared" ca="1" si="1461"/>
        <v>#NAME?</v>
      </c>
      <c r="CO182" s="50" t="e">
        <f t="shared" ca="1" si="1461"/>
        <v>#NAME?</v>
      </c>
      <c r="CP182" s="50" t="e">
        <f t="shared" ca="1" si="1461"/>
        <v>#NAME?</v>
      </c>
      <c r="CQ182" s="50" t="e">
        <f t="shared" ca="1" si="1461"/>
        <v>#NAME?</v>
      </c>
      <c r="CR182" s="50" t="e">
        <f t="shared" ca="1" si="1461"/>
        <v>#NAME?</v>
      </c>
      <c r="CS182" s="50" t="e">
        <f t="shared" ca="1" si="1461"/>
        <v>#NAME?</v>
      </c>
      <c r="CT182" s="50" t="e">
        <f t="shared" ca="1" si="1461"/>
        <v>#NAME?</v>
      </c>
      <c r="CU182" s="50" t="e">
        <f t="shared" ca="1" si="1461"/>
        <v>#NAME?</v>
      </c>
      <c r="CV182" s="50" t="e">
        <f t="shared" ca="1" si="1461"/>
        <v>#NAME?</v>
      </c>
      <c r="CW182" s="50" t="e">
        <f t="shared" ca="1" si="1461"/>
        <v>#NAME?</v>
      </c>
      <c r="CX182" s="50" t="e">
        <f t="shared" ca="1" si="1461"/>
        <v>#NAME?</v>
      </c>
      <c r="CY182" s="50" t="e">
        <f t="shared" ca="1" si="1461"/>
        <v>#NAME?</v>
      </c>
      <c r="CZ182" s="50" t="e">
        <f t="shared" ca="1" si="1461"/>
        <v>#NAME?</v>
      </c>
      <c r="DA182" s="50" t="e">
        <f t="shared" ca="1" si="1461"/>
        <v>#NAME?</v>
      </c>
      <c r="DB182" s="50" t="e">
        <f t="shared" ca="1" si="1461"/>
        <v>#NAME?</v>
      </c>
      <c r="DE182" s="138"/>
      <c r="DF182" s="7">
        <v>338.16993860410548</v>
      </c>
    </row>
    <row r="183" spans="1:110" s="62" customFormat="1" outlineLevel="1" x14ac:dyDescent="0.2">
      <c r="A183" s="68" t="s">
        <v>468</v>
      </c>
      <c r="B183" s="67" t="e">
        <f t="shared" ref="B183:AE183" ca="1" si="1462">B153/B8*365</f>
        <v>#NAME?</v>
      </c>
      <c r="C183" s="67" t="e">
        <f t="shared" ca="1" si="1462"/>
        <v>#NAME?</v>
      </c>
      <c r="D183" s="67" t="e">
        <f t="shared" ca="1" si="1462"/>
        <v>#NAME?</v>
      </c>
      <c r="E183" s="67" t="e">
        <f t="shared" ca="1" si="1462"/>
        <v>#NAME?</v>
      </c>
      <c r="F183" s="67" t="e">
        <f t="shared" ca="1" si="1462"/>
        <v>#NAME?</v>
      </c>
      <c r="G183" s="67" t="e">
        <f t="shared" ca="1" si="1462"/>
        <v>#NAME?</v>
      </c>
      <c r="H183" s="67" t="e">
        <f t="shared" ca="1" si="1462"/>
        <v>#NAME?</v>
      </c>
      <c r="I183" s="67" t="e">
        <f t="shared" ca="1" si="1462"/>
        <v>#NAME?</v>
      </c>
      <c r="J183" s="67" t="e">
        <f t="shared" ca="1" si="1462"/>
        <v>#NAME?</v>
      </c>
      <c r="K183" s="67" t="e">
        <f t="shared" ca="1" si="1462"/>
        <v>#NAME?</v>
      </c>
      <c r="L183" s="67" t="e">
        <f t="shared" ca="1" si="1462"/>
        <v>#NAME?</v>
      </c>
      <c r="M183" s="67" t="e">
        <f t="shared" ca="1" si="1462"/>
        <v>#NAME?</v>
      </c>
      <c r="N183" s="67" t="e">
        <f t="shared" ca="1" si="1462"/>
        <v>#NAME?</v>
      </c>
      <c r="O183" s="67" t="e">
        <f t="shared" ca="1" si="1462"/>
        <v>#NAME?</v>
      </c>
      <c r="P183" s="67" t="e">
        <f t="shared" ca="1" si="1462"/>
        <v>#NAME?</v>
      </c>
      <c r="Q183" s="67" t="e">
        <f t="shared" ca="1" si="1462"/>
        <v>#NAME?</v>
      </c>
      <c r="R183" s="67" t="e">
        <f t="shared" ca="1" si="1462"/>
        <v>#NAME?</v>
      </c>
      <c r="S183" s="67" t="e">
        <f t="shared" ca="1" si="1462"/>
        <v>#NAME?</v>
      </c>
      <c r="T183" s="67" t="e">
        <f t="shared" ca="1" si="1462"/>
        <v>#NAME?</v>
      </c>
      <c r="U183" s="67" t="e">
        <f t="shared" ca="1" si="1462"/>
        <v>#NAME?</v>
      </c>
      <c r="V183" s="67" t="e">
        <f t="shared" ca="1" si="1462"/>
        <v>#NAME?</v>
      </c>
      <c r="W183" s="67" t="e">
        <f t="shared" ca="1" si="1462"/>
        <v>#NAME?</v>
      </c>
      <c r="X183" s="67" t="e">
        <f t="shared" ca="1" si="1462"/>
        <v>#NAME?</v>
      </c>
      <c r="Y183" s="67" t="e">
        <f t="shared" ca="1" si="1462"/>
        <v>#NAME?</v>
      </c>
      <c r="Z183" s="67" t="e">
        <f t="shared" ca="1" si="1462"/>
        <v>#NAME?</v>
      </c>
      <c r="AA183" s="67" t="e">
        <f t="shared" ref="AA183" ca="1" si="1463">AA153/AA8*365</f>
        <v>#NAME?</v>
      </c>
      <c r="AB183" s="18" t="e">
        <f t="shared" ca="1" si="1462"/>
        <v>#NAME?</v>
      </c>
      <c r="AC183" s="18" t="e">
        <f t="shared" ca="1" si="1462"/>
        <v>#NAME?</v>
      </c>
      <c r="AD183" s="18" t="e">
        <f t="shared" ca="1" si="1462"/>
        <v>#NAME?</v>
      </c>
      <c r="AE183" s="18" t="e">
        <f t="shared" ca="1" si="1462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4">+AJ183</f>
        <v>#NAME?</v>
      </c>
      <c r="AL183" s="67" t="e">
        <f ca="1">AL153/AL8*90</f>
        <v>#NAME?</v>
      </c>
      <c r="AM183" s="67" t="e">
        <f t="shared" ref="AM183" ca="1" si="1465">+AL183</f>
        <v>#NAME?</v>
      </c>
      <c r="AN183" s="67" t="e">
        <f ca="1">AN153/AN8*90</f>
        <v>#NAME?</v>
      </c>
      <c r="AO183" s="67" t="e">
        <f t="shared" ref="AO183" ca="1" si="1466">+AN183</f>
        <v>#NAME?</v>
      </c>
      <c r="AP183" s="67" t="e">
        <f ca="1">AP153/AP8*90</f>
        <v>#NAME?</v>
      </c>
      <c r="AQ183" s="67" t="e">
        <f t="shared" ref="AQ183" ca="1" si="1467">+AP183</f>
        <v>#NAME?</v>
      </c>
      <c r="AR183" s="67" t="e">
        <f ca="1">AR153/AR8*90</f>
        <v>#NAME?</v>
      </c>
      <c r="AS183" s="67" t="e">
        <f t="shared" ref="AS183" ca="1" si="1468">+AR183</f>
        <v>#NAME?</v>
      </c>
      <c r="AT183" s="67" t="e">
        <f ca="1">AT153/AT8*90</f>
        <v>#NAME?</v>
      </c>
      <c r="AU183" s="67" t="e">
        <f t="shared" ref="AU183" ca="1" si="1469">+AT183</f>
        <v>#NAME?</v>
      </c>
      <c r="AV183" s="67" t="e">
        <f ca="1">AV153/AV8*90</f>
        <v>#NAME?</v>
      </c>
      <c r="AW183" s="67" t="e">
        <f t="shared" ref="AW183" ca="1" si="1470">+AV183</f>
        <v>#NAME?</v>
      </c>
      <c r="AX183" s="67" t="e">
        <f ca="1">AX153/AX8*90</f>
        <v>#NAME?</v>
      </c>
      <c r="AY183" s="67" t="e">
        <f t="shared" ref="AY183" ca="1" si="1471">+AX183</f>
        <v>#NAME?</v>
      </c>
      <c r="AZ183" s="67" t="e">
        <f ca="1">AZ153/AZ8*90</f>
        <v>#NAME?</v>
      </c>
      <c r="BA183" s="67" t="e">
        <f t="shared" ref="BA183" ca="1" si="1472">+AZ183</f>
        <v>#NAME?</v>
      </c>
      <c r="BB183" s="67" t="e">
        <f ca="1">BB153/BB8*90</f>
        <v>#NAME?</v>
      </c>
      <c r="BC183" s="67" t="e">
        <f t="shared" ref="BC183" ca="1" si="1473">+BB183</f>
        <v>#NAME?</v>
      </c>
      <c r="BD183" s="67" t="e">
        <f ca="1">BD153/BD8*90</f>
        <v>#NAME?</v>
      </c>
      <c r="BE183" s="67" t="e">
        <f t="shared" ref="BE183" ca="1" si="1474">+BD183</f>
        <v>#NAME?</v>
      </c>
      <c r="BF183" s="67" t="e">
        <f ca="1">BF153/BF8*90</f>
        <v>#NAME?</v>
      </c>
      <c r="BG183" s="67" t="e">
        <f t="shared" ref="BG183" ca="1" si="1475">+BF183</f>
        <v>#NAME?</v>
      </c>
      <c r="BH183" s="67" t="e">
        <f ca="1">BH153/BH8*90</f>
        <v>#NAME?</v>
      </c>
      <c r="BI183" s="67" t="e">
        <f t="shared" ref="BI183" ca="1" si="1476">+BH183</f>
        <v>#NAME?</v>
      </c>
      <c r="BJ183" s="67" t="e">
        <f ca="1">BJ153/BJ8*90</f>
        <v>#NAME?</v>
      </c>
      <c r="BK183" s="67" t="e">
        <f t="shared" ref="BK183" ca="1" si="1477">+BJ183</f>
        <v>#NAME?</v>
      </c>
      <c r="BL183" s="67" t="e">
        <f ca="1">BL153/BL8*90</f>
        <v>#NAME?</v>
      </c>
      <c r="BM183" s="67" t="e">
        <f t="shared" ref="BM183" ca="1" si="1478">+BL183</f>
        <v>#NAME?</v>
      </c>
      <c r="BN183" s="67" t="e">
        <f ca="1">BN153/BN8*90</f>
        <v>#NAME?</v>
      </c>
      <c r="BO183" s="67" t="e">
        <f t="shared" ref="BO183" ca="1" si="1479">+BN183</f>
        <v>#NAME?</v>
      </c>
      <c r="BP183" s="67" t="e">
        <f ca="1">BP153/BP8*90</f>
        <v>#NAME?</v>
      </c>
      <c r="BQ183" s="67" t="e">
        <f t="shared" ref="BQ183" ca="1" si="1480">+BP183</f>
        <v>#NAME?</v>
      </c>
      <c r="BR183" s="67" t="e">
        <f ca="1">BR153/BR8*90</f>
        <v>#NAME?</v>
      </c>
      <c r="BS183" s="67" t="e">
        <f t="shared" ref="BS183" ca="1" si="1481">+BR183</f>
        <v>#NAME?</v>
      </c>
      <c r="BT183" s="67" t="e">
        <f ca="1">BT153/BT8*90</f>
        <v>#NAME?</v>
      </c>
      <c r="BU183" s="67" t="e">
        <f t="shared" ref="BU183" ca="1" si="1482">+BT183</f>
        <v>#NAME?</v>
      </c>
      <c r="BV183" s="67" t="e">
        <f ca="1">BV153/BV8*90</f>
        <v>#NAME?</v>
      </c>
      <c r="BW183" s="67" t="e">
        <f t="shared" ref="BW183" ca="1" si="1483">+BV183</f>
        <v>#NAME?</v>
      </c>
      <c r="BX183" s="67" t="e">
        <f ca="1">BX153/BX8*90</f>
        <v>#NAME?</v>
      </c>
      <c r="BY183" s="67" t="e">
        <f t="shared" ref="BY183" ca="1" si="1484">+BX183</f>
        <v>#NAME?</v>
      </c>
      <c r="BZ183" s="67" t="e">
        <f ca="1">BZ153/BZ8*90</f>
        <v>#NAME?</v>
      </c>
      <c r="CA183" s="67" t="e">
        <f t="shared" ref="CA183" ca="1" si="1485">+BZ183</f>
        <v>#NAME?</v>
      </c>
      <c r="CB183" s="67" t="e">
        <f ca="1">CB153/CB8*90</f>
        <v>#NAME?</v>
      </c>
      <c r="CC183" s="67" t="e">
        <f t="shared" ref="CC183" ca="1" si="1486">+CB183</f>
        <v>#NAME?</v>
      </c>
      <c r="CD183" s="67" t="e">
        <f ca="1">CD153/CD8*90</f>
        <v>#NAME?</v>
      </c>
      <c r="CE183" s="114" t="e">
        <f t="shared" ca="1" si="1464"/>
        <v>#NAME?</v>
      </c>
      <c r="CF183" s="67" t="e">
        <f ca="1">CF153/CF8*90</f>
        <v>#NAME?</v>
      </c>
      <c r="CG183" s="67" t="e">
        <f t="shared" ref="CG183:CI183" ca="1" si="1487">+CF183</f>
        <v>#NAME?</v>
      </c>
      <c r="CH183" s="67" t="e">
        <f ca="1">CH153/CH8*90</f>
        <v>#NAME?</v>
      </c>
      <c r="CI183" s="67" t="e">
        <f t="shared" ca="1" si="1487"/>
        <v>#NAME?</v>
      </c>
      <c r="CJ183" s="67" t="e">
        <f ca="1">CJ153/CJ8*90</f>
        <v>#NAME?</v>
      </c>
      <c r="CK183" s="30" t="e">
        <f t="shared" ref="CK183" ca="1" si="1488">+CJ183</f>
        <v>#NAME?</v>
      </c>
      <c r="CL183" s="67" t="e">
        <f ca="1">CL153/CL8*90</f>
        <v>#NAME?</v>
      </c>
      <c r="CM183" s="30" t="e">
        <f t="shared" ref="CM183" ca="1" si="1489">+CL183</f>
        <v>#NAME?</v>
      </c>
      <c r="CN183" s="30" t="e">
        <f t="shared" ref="CN183" ca="1" si="1490">+CM183</f>
        <v>#NAME?</v>
      </c>
      <c r="CO183" s="30" t="e">
        <f t="shared" ref="CO183" ca="1" si="1491">+CN183</f>
        <v>#NAME?</v>
      </c>
      <c r="CP183" s="30" t="e">
        <f t="shared" ref="CP183" ca="1" si="1492">+CO183</f>
        <v>#NAME?</v>
      </c>
      <c r="CQ183" s="30" t="e">
        <f t="shared" ref="CQ183" ca="1" si="1493">+CP183</f>
        <v>#NAME?</v>
      </c>
      <c r="CR183" s="30" t="e">
        <f t="shared" ref="CR183" ca="1" si="1494">+CQ183</f>
        <v>#NAME?</v>
      </c>
      <c r="CS183" s="30" t="e">
        <f t="shared" ref="CS183" ca="1" si="1495">+CR183</f>
        <v>#NAME?</v>
      </c>
      <c r="CT183" s="30" t="e">
        <f t="shared" ref="CT183" ca="1" si="1496">+CS183</f>
        <v>#NAME?</v>
      </c>
      <c r="CU183" s="30" t="e">
        <f t="shared" ref="CU183" ca="1" si="1497">+CT183</f>
        <v>#NAME?</v>
      </c>
      <c r="CV183" s="30" t="e">
        <f t="shared" ref="CV183" ca="1" si="1498">+CU183</f>
        <v>#NAME?</v>
      </c>
      <c r="CW183" s="30" t="e">
        <f t="shared" ref="CW183" ca="1" si="1499">+CV183</f>
        <v>#NAME?</v>
      </c>
      <c r="CX183" s="30" t="e">
        <f t="shared" ref="CX183" ca="1" si="1500">+CW183</f>
        <v>#NAME?</v>
      </c>
      <c r="CY183" s="30" t="e">
        <f t="shared" ref="CY183" ca="1" si="1501">+CX183</f>
        <v>#NAME?</v>
      </c>
      <c r="CZ183" s="30" t="e">
        <f t="shared" ref="CZ183" ca="1" si="1502">+CY183</f>
        <v>#NAME?</v>
      </c>
      <c r="DA183" s="30" t="e">
        <f t="shared" ref="DA183" ca="1" si="1503">+CZ183</f>
        <v>#NAME?</v>
      </c>
      <c r="DB183" s="30" t="e">
        <f t="shared" ref="DB183" ca="1" si="1504">+DA183</f>
        <v>#NAME?</v>
      </c>
      <c r="DE183" s="139"/>
      <c r="DF183" s="62">
        <v>79.081090936475661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5">C185-C183</f>
        <v>#NAME?</v>
      </c>
      <c r="D184" s="67" t="e">
        <f t="shared" ca="1" si="1505"/>
        <v>#NAME?</v>
      </c>
      <c r="E184" s="67" t="e">
        <f t="shared" ca="1" si="1505"/>
        <v>#NAME?</v>
      </c>
      <c r="F184" s="67" t="e">
        <f t="shared" ca="1" si="1505"/>
        <v>#NAME?</v>
      </c>
      <c r="G184" s="67" t="e">
        <f t="shared" ca="1" si="1505"/>
        <v>#NAME?</v>
      </c>
      <c r="H184" s="67" t="e">
        <f t="shared" ca="1" si="1505"/>
        <v>#NAME?</v>
      </c>
      <c r="I184" s="67" t="e">
        <f t="shared" ca="1" si="1505"/>
        <v>#NAME?</v>
      </c>
      <c r="J184" s="67" t="e">
        <f t="shared" ca="1" si="1505"/>
        <v>#NAME?</v>
      </c>
      <c r="K184" s="67" t="e">
        <f t="shared" ca="1" si="1505"/>
        <v>#NAME?</v>
      </c>
      <c r="L184" s="67" t="e">
        <f t="shared" ca="1" si="1505"/>
        <v>#NAME?</v>
      </c>
      <c r="M184" s="67" t="e">
        <f t="shared" ca="1" si="1505"/>
        <v>#NAME?</v>
      </c>
      <c r="N184" s="67" t="e">
        <f t="shared" ca="1" si="1505"/>
        <v>#NAME?</v>
      </c>
      <c r="O184" s="67" t="e">
        <f t="shared" ca="1" si="1505"/>
        <v>#NAME?</v>
      </c>
      <c r="P184" s="67" t="e">
        <f t="shared" ca="1" si="1505"/>
        <v>#NAME?</v>
      </c>
      <c r="Q184" s="67" t="e">
        <f t="shared" ca="1" si="1505"/>
        <v>#NAME?</v>
      </c>
      <c r="R184" s="67" t="e">
        <f t="shared" ca="1" si="1505"/>
        <v>#NAME?</v>
      </c>
      <c r="S184" s="67" t="e">
        <f t="shared" ca="1" si="1505"/>
        <v>#NAME?</v>
      </c>
      <c r="T184" s="67" t="e">
        <f t="shared" ca="1" si="1505"/>
        <v>#NAME?</v>
      </c>
      <c r="U184" s="67" t="e">
        <f t="shared" ca="1" si="1505"/>
        <v>#NAME?</v>
      </c>
      <c r="V184" s="67" t="e">
        <f t="shared" ca="1" si="1505"/>
        <v>#NAME?</v>
      </c>
      <c r="W184" s="67" t="e">
        <f t="shared" ref="W184" ca="1" si="1506">W185-W183</f>
        <v>#NAME?</v>
      </c>
      <c r="X184" s="67" t="e">
        <f t="shared" ref="X184:Y184" ca="1" si="1507">X185-X183</f>
        <v>#NAME?</v>
      </c>
      <c r="Y184" s="67" t="e">
        <f t="shared" ca="1" si="1507"/>
        <v>#NAME?</v>
      </c>
      <c r="Z184" s="67" t="e">
        <f t="shared" ref="Z184:AA184" ca="1" si="1508">Z185-Z183</f>
        <v>#NAME?</v>
      </c>
      <c r="AA184" s="67" t="e">
        <f t="shared" ca="1" si="1508"/>
        <v>#NAME?</v>
      </c>
      <c r="AB184" s="18" t="e">
        <f t="shared" ref="AA184:AD184" ca="1" si="1509">AB185-AB183</f>
        <v>#NAME?</v>
      </c>
      <c r="AC184" s="18" t="e">
        <f t="shared" ca="1" si="1509"/>
        <v>#NAME?</v>
      </c>
      <c r="AD184" s="18" t="e">
        <f t="shared" ca="1" si="1509"/>
        <v>#NAME?</v>
      </c>
      <c r="AE184" s="18" t="e">
        <f t="shared" ref="AE184" ca="1" si="1510">AE185-AE183</f>
        <v>#NAME?</v>
      </c>
      <c r="AI184" s="67" t="e">
        <f t="shared" ref="AI184:AK184" ca="1" si="1511">AI185-AI183</f>
        <v>#NAME?</v>
      </c>
      <c r="AJ184" s="67" t="e">
        <f t="shared" ref="AJ184:AM184" ca="1" si="1512">AJ185-AJ183</f>
        <v>#NAME?</v>
      </c>
      <c r="AK184" s="67" t="e">
        <f t="shared" ca="1" si="1511"/>
        <v>#NAME?</v>
      </c>
      <c r="AL184" s="67" t="e">
        <f t="shared" ca="1" si="1512"/>
        <v>#NAME?</v>
      </c>
      <c r="AM184" s="67" t="e">
        <f t="shared" ca="1" si="1512"/>
        <v>#NAME?</v>
      </c>
      <c r="AN184" s="67" t="e">
        <f t="shared" ref="AN184:AY184" ca="1" si="1513">AN185-AN183</f>
        <v>#NAME?</v>
      </c>
      <c r="AO184" s="67" t="e">
        <f t="shared" ca="1" si="1513"/>
        <v>#NAME?</v>
      </c>
      <c r="AP184" s="67" t="e">
        <f t="shared" ca="1" si="1513"/>
        <v>#NAME?</v>
      </c>
      <c r="AQ184" s="67" t="e">
        <f t="shared" ca="1" si="1513"/>
        <v>#NAME?</v>
      </c>
      <c r="AR184" s="67" t="e">
        <f t="shared" ca="1" si="1513"/>
        <v>#NAME?</v>
      </c>
      <c r="AS184" s="67" t="e">
        <f t="shared" ca="1" si="1513"/>
        <v>#NAME?</v>
      </c>
      <c r="AT184" s="67" t="e">
        <f t="shared" ca="1" si="1513"/>
        <v>#NAME?</v>
      </c>
      <c r="AU184" s="67" t="e">
        <f t="shared" ca="1" si="1513"/>
        <v>#NAME?</v>
      </c>
      <c r="AV184" s="67" t="e">
        <f t="shared" ca="1" si="1513"/>
        <v>#NAME?</v>
      </c>
      <c r="AW184" s="67" t="e">
        <f t="shared" ca="1" si="1513"/>
        <v>#NAME?</v>
      </c>
      <c r="AX184" s="67" t="e">
        <f t="shared" ca="1" si="1513"/>
        <v>#NAME?</v>
      </c>
      <c r="AY184" s="67" t="e">
        <f t="shared" ca="1" si="1513"/>
        <v>#NAME?</v>
      </c>
      <c r="AZ184" s="67" t="e">
        <f t="shared" ref="AZ184:BC184" ca="1" si="1514">AZ185-AZ183</f>
        <v>#NAME?</v>
      </c>
      <c r="BA184" s="67" t="e">
        <f t="shared" ca="1" si="1514"/>
        <v>#NAME?</v>
      </c>
      <c r="BB184" s="67" t="e">
        <f t="shared" ca="1" si="1514"/>
        <v>#NAME?</v>
      </c>
      <c r="BC184" s="67" t="e">
        <f t="shared" ca="1" si="1514"/>
        <v>#NAME?</v>
      </c>
      <c r="BD184" s="67" t="e">
        <f t="shared" ref="BD184:CE184" ca="1" si="1515">BD185-BD183</f>
        <v>#NAME?</v>
      </c>
      <c r="BE184" s="67" t="e">
        <f t="shared" ca="1" si="1515"/>
        <v>#NAME?</v>
      </c>
      <c r="BF184" s="67" t="e">
        <f t="shared" ca="1" si="1515"/>
        <v>#NAME?</v>
      </c>
      <c r="BG184" s="67" t="e">
        <f t="shared" ca="1" si="1515"/>
        <v>#NAME?</v>
      </c>
      <c r="BH184" s="67" t="e">
        <f t="shared" ca="1" si="1515"/>
        <v>#NAME?</v>
      </c>
      <c r="BI184" s="67" t="e">
        <f t="shared" ca="1" si="1515"/>
        <v>#NAME?</v>
      </c>
      <c r="BJ184" s="67" t="e">
        <f t="shared" ca="1" si="1515"/>
        <v>#NAME?</v>
      </c>
      <c r="BK184" s="67" t="e">
        <f t="shared" ca="1" si="1515"/>
        <v>#NAME?</v>
      </c>
      <c r="BL184" s="67" t="e">
        <f t="shared" ca="1" si="1515"/>
        <v>#NAME?</v>
      </c>
      <c r="BM184" s="67" t="e">
        <f t="shared" ca="1" si="1515"/>
        <v>#NAME?</v>
      </c>
      <c r="BN184" s="67" t="e">
        <f t="shared" ca="1" si="1515"/>
        <v>#NAME?</v>
      </c>
      <c r="BO184" s="67" t="e">
        <f t="shared" ca="1" si="1515"/>
        <v>#NAME?</v>
      </c>
      <c r="BP184" s="67" t="e">
        <f t="shared" ca="1" si="1515"/>
        <v>#NAME?</v>
      </c>
      <c r="BQ184" s="67" t="e">
        <f t="shared" ca="1" si="1515"/>
        <v>#NAME?</v>
      </c>
      <c r="BR184" s="67" t="e">
        <f t="shared" ca="1" si="1515"/>
        <v>#NAME?</v>
      </c>
      <c r="BS184" s="67" t="e">
        <f t="shared" ca="1" si="1515"/>
        <v>#NAME?</v>
      </c>
      <c r="BT184" s="67" t="e">
        <f t="shared" ca="1" si="1515"/>
        <v>#NAME?</v>
      </c>
      <c r="BU184" s="67" t="e">
        <f t="shared" ca="1" si="1515"/>
        <v>#NAME?</v>
      </c>
      <c r="BV184" s="67" t="e">
        <f t="shared" ca="1" si="1515"/>
        <v>#NAME?</v>
      </c>
      <c r="BW184" s="67" t="e">
        <f t="shared" ca="1" si="1515"/>
        <v>#NAME?</v>
      </c>
      <c r="BX184" s="67" t="e">
        <f t="shared" ca="1" si="1515"/>
        <v>#NAME?</v>
      </c>
      <c r="BY184" s="67" t="e">
        <f t="shared" ca="1" si="1515"/>
        <v>#NAME?</v>
      </c>
      <c r="BZ184" s="67" t="e">
        <f t="shared" ca="1" si="1515"/>
        <v>#NAME?</v>
      </c>
      <c r="CA184" s="67" t="e">
        <f t="shared" ca="1" si="1515"/>
        <v>#NAME?</v>
      </c>
      <c r="CB184" s="67" t="e">
        <f t="shared" ca="1" si="1515"/>
        <v>#NAME?</v>
      </c>
      <c r="CC184" s="67" t="e">
        <f t="shared" ca="1" si="1515"/>
        <v>#NAME?</v>
      </c>
      <c r="CD184" s="67" t="e">
        <f t="shared" ca="1" si="1515"/>
        <v>#NAME?</v>
      </c>
      <c r="CE184" s="114" t="e">
        <f t="shared" ca="1" si="1515"/>
        <v>#NAME?</v>
      </c>
      <c r="CF184" s="67" t="e">
        <f t="shared" ref="CF184:CG184" ca="1" si="1516">CF185-CF183</f>
        <v>#NAME?</v>
      </c>
      <c r="CG184" s="67" t="e">
        <f t="shared" ca="1" si="1516"/>
        <v>#NAME?</v>
      </c>
      <c r="CH184" s="67" t="e">
        <f t="shared" ref="CH184" ca="1" si="1517">CH185-CH183</f>
        <v>#NAME?</v>
      </c>
      <c r="CI184" s="67" t="e">
        <f ca="1">CH184</f>
        <v>#NAME?</v>
      </c>
      <c r="CJ184" s="67" t="e">
        <f t="shared" ref="CJ184:CL184" ca="1" si="1518">CJ185-CJ183</f>
        <v>#NAME?</v>
      </c>
      <c r="CK184" s="30" t="e">
        <f t="shared" ref="CK184:DB184" ca="1" si="1519">CJ184</f>
        <v>#NAME?</v>
      </c>
      <c r="CL184" s="67" t="e">
        <f t="shared" ca="1" si="1518"/>
        <v>#NAME?</v>
      </c>
      <c r="CM184" s="30" t="e">
        <f t="shared" ca="1" si="1519"/>
        <v>#NAME?</v>
      </c>
      <c r="CN184" s="30" t="e">
        <f t="shared" ca="1" si="1519"/>
        <v>#NAME?</v>
      </c>
      <c r="CO184" s="30" t="e">
        <f t="shared" ca="1" si="1519"/>
        <v>#NAME?</v>
      </c>
      <c r="CP184" s="30" t="e">
        <f t="shared" ca="1" si="1519"/>
        <v>#NAME?</v>
      </c>
      <c r="CQ184" s="30" t="e">
        <f t="shared" ca="1" si="1519"/>
        <v>#NAME?</v>
      </c>
      <c r="CR184" s="30" t="e">
        <f t="shared" ca="1" si="1519"/>
        <v>#NAME?</v>
      </c>
      <c r="CS184" s="30" t="e">
        <f t="shared" ca="1" si="1519"/>
        <v>#NAME?</v>
      </c>
      <c r="CT184" s="30" t="e">
        <f t="shared" ca="1" si="1519"/>
        <v>#NAME?</v>
      </c>
      <c r="CU184" s="30" t="e">
        <f t="shared" ca="1" si="1519"/>
        <v>#NAME?</v>
      </c>
      <c r="CV184" s="30" t="e">
        <f t="shared" ca="1" si="1519"/>
        <v>#NAME?</v>
      </c>
      <c r="CW184" s="30" t="e">
        <f t="shared" ca="1" si="1519"/>
        <v>#NAME?</v>
      </c>
      <c r="CX184" s="30" t="e">
        <f t="shared" ca="1" si="1519"/>
        <v>#NAME?</v>
      </c>
      <c r="CY184" s="30" t="e">
        <f t="shared" ca="1" si="1519"/>
        <v>#NAME?</v>
      </c>
      <c r="CZ184" s="30" t="e">
        <f t="shared" ca="1" si="1519"/>
        <v>#NAME?</v>
      </c>
      <c r="DA184" s="30" t="e">
        <f t="shared" ca="1" si="1519"/>
        <v>#NAME?</v>
      </c>
      <c r="DB184" s="30" t="e">
        <f t="shared" ca="1" si="1519"/>
        <v>#NAME?</v>
      </c>
      <c r="DE184" s="139"/>
      <c r="DF184" s="62">
        <v>72.52027174322329</v>
      </c>
    </row>
    <row r="185" spans="1:110" s="7" customFormat="1" outlineLevel="1" x14ac:dyDescent="0.2">
      <c r="A185" s="69" t="s">
        <v>469</v>
      </c>
      <c r="B185" s="70" t="e">
        <f t="shared" ref="B185:AE185" ca="1" si="1520">B156/B8*365</f>
        <v>#NAME?</v>
      </c>
      <c r="C185" s="70" t="e">
        <f t="shared" ca="1" si="1520"/>
        <v>#NAME?</v>
      </c>
      <c r="D185" s="70" t="e">
        <f t="shared" ca="1" si="1520"/>
        <v>#NAME?</v>
      </c>
      <c r="E185" s="70" t="e">
        <f t="shared" ca="1" si="1520"/>
        <v>#NAME?</v>
      </c>
      <c r="F185" s="70" t="e">
        <f t="shared" ca="1" si="1520"/>
        <v>#NAME?</v>
      </c>
      <c r="G185" s="70" t="e">
        <f t="shared" ca="1" si="1520"/>
        <v>#NAME?</v>
      </c>
      <c r="H185" s="70" t="e">
        <f t="shared" ca="1" si="1520"/>
        <v>#NAME?</v>
      </c>
      <c r="I185" s="70" t="e">
        <f t="shared" ca="1" si="1520"/>
        <v>#NAME?</v>
      </c>
      <c r="J185" s="70" t="e">
        <f t="shared" ca="1" si="1520"/>
        <v>#NAME?</v>
      </c>
      <c r="K185" s="70" t="e">
        <f t="shared" ca="1" si="1520"/>
        <v>#NAME?</v>
      </c>
      <c r="L185" s="70" t="e">
        <f t="shared" ca="1" si="1520"/>
        <v>#NAME?</v>
      </c>
      <c r="M185" s="70" t="e">
        <f t="shared" ca="1" si="1520"/>
        <v>#NAME?</v>
      </c>
      <c r="N185" s="70" t="e">
        <f t="shared" ca="1" si="1520"/>
        <v>#NAME?</v>
      </c>
      <c r="O185" s="70" t="e">
        <f t="shared" ca="1" si="1520"/>
        <v>#NAME?</v>
      </c>
      <c r="P185" s="70" t="e">
        <f t="shared" ca="1" si="1520"/>
        <v>#NAME?</v>
      </c>
      <c r="Q185" s="70" t="e">
        <f t="shared" ca="1" si="1520"/>
        <v>#NAME?</v>
      </c>
      <c r="R185" s="70" t="e">
        <f t="shared" ca="1" si="1520"/>
        <v>#NAME?</v>
      </c>
      <c r="S185" s="70" t="e">
        <f t="shared" ca="1" si="1520"/>
        <v>#NAME?</v>
      </c>
      <c r="T185" s="70" t="e">
        <f t="shared" ca="1" si="1520"/>
        <v>#NAME?</v>
      </c>
      <c r="U185" s="70" t="e">
        <f t="shared" ca="1" si="1520"/>
        <v>#NAME?</v>
      </c>
      <c r="V185" s="70" t="e">
        <f t="shared" ca="1" si="1520"/>
        <v>#NAME?</v>
      </c>
      <c r="W185" s="70" t="e">
        <f t="shared" ca="1" si="1520"/>
        <v>#NAME?</v>
      </c>
      <c r="X185" s="70" t="e">
        <f t="shared" ca="1" si="1520"/>
        <v>#NAME?</v>
      </c>
      <c r="Y185" s="70" t="e">
        <f t="shared" ca="1" si="1520"/>
        <v>#NAME?</v>
      </c>
      <c r="Z185" s="70" t="e">
        <f t="shared" ca="1" si="1520"/>
        <v>#NAME?</v>
      </c>
      <c r="AA185" s="70" t="e">
        <f t="shared" ref="AA185" ca="1" si="1521">AA156/AA8*365</f>
        <v>#NAME?</v>
      </c>
      <c r="AB185" s="71" t="e">
        <f t="shared" ca="1" si="1520"/>
        <v>#NAME?</v>
      </c>
      <c r="AC185" s="71" t="e">
        <f t="shared" ca="1" si="1520"/>
        <v>#NAME?</v>
      </c>
      <c r="AD185" s="71" t="e">
        <f t="shared" ca="1" si="1520"/>
        <v>#NAME?</v>
      </c>
      <c r="AE185" s="71" t="e">
        <f t="shared" ca="1" si="1520"/>
        <v>#NAME?</v>
      </c>
      <c r="AI185" s="70" t="e">
        <f t="shared" ref="AI185:CD185" ca="1" si="1522">AI156/AI8*90</f>
        <v>#NAME?</v>
      </c>
      <c r="AJ185" s="70" t="e">
        <f t="shared" ca="1" si="1522"/>
        <v>#NAME?</v>
      </c>
      <c r="AK185" s="70" t="e">
        <f ca="1">AK156/AK8*90</f>
        <v>#NAME?</v>
      </c>
      <c r="AL185" s="70" t="e">
        <f t="shared" ca="1" si="1522"/>
        <v>#NAME?</v>
      </c>
      <c r="AM185" s="70" t="e">
        <f t="shared" ca="1" si="1522"/>
        <v>#NAME?</v>
      </c>
      <c r="AN185" s="70" t="e">
        <f t="shared" ca="1" si="1522"/>
        <v>#NAME?</v>
      </c>
      <c r="AO185" s="70" t="e">
        <f t="shared" ca="1" si="1522"/>
        <v>#NAME?</v>
      </c>
      <c r="AP185" s="70" t="e">
        <f t="shared" ca="1" si="1522"/>
        <v>#NAME?</v>
      </c>
      <c r="AQ185" s="70" t="e">
        <f t="shared" ca="1" si="1522"/>
        <v>#NAME?</v>
      </c>
      <c r="AR185" s="70" t="e">
        <f t="shared" ca="1" si="1522"/>
        <v>#NAME?</v>
      </c>
      <c r="AS185" s="70" t="e">
        <f t="shared" ca="1" si="1522"/>
        <v>#NAME?</v>
      </c>
      <c r="AT185" s="70" t="e">
        <f t="shared" ca="1" si="1522"/>
        <v>#NAME?</v>
      </c>
      <c r="AU185" s="70" t="e">
        <f t="shared" ca="1" si="1522"/>
        <v>#NAME?</v>
      </c>
      <c r="AV185" s="70" t="e">
        <f t="shared" ca="1" si="1522"/>
        <v>#NAME?</v>
      </c>
      <c r="AW185" s="70" t="e">
        <f t="shared" ca="1" si="1522"/>
        <v>#NAME?</v>
      </c>
      <c r="AX185" s="70" t="e">
        <f t="shared" ca="1" si="1522"/>
        <v>#NAME?</v>
      </c>
      <c r="AY185" s="70" t="e">
        <f t="shared" ca="1" si="1522"/>
        <v>#NAME?</v>
      </c>
      <c r="AZ185" s="70" t="e">
        <f t="shared" ca="1" si="1522"/>
        <v>#NAME?</v>
      </c>
      <c r="BA185" s="70" t="e">
        <f t="shared" ca="1" si="1522"/>
        <v>#NAME?</v>
      </c>
      <c r="BB185" s="70" t="e">
        <f t="shared" ca="1" si="1522"/>
        <v>#NAME?</v>
      </c>
      <c r="BC185" s="70" t="e">
        <f t="shared" ca="1" si="1522"/>
        <v>#NAME?</v>
      </c>
      <c r="BD185" s="70" t="e">
        <f t="shared" ca="1" si="1522"/>
        <v>#NAME?</v>
      </c>
      <c r="BE185" s="70" t="e">
        <f t="shared" ca="1" si="1522"/>
        <v>#NAME?</v>
      </c>
      <c r="BF185" s="70" t="e">
        <f t="shared" ca="1" si="1522"/>
        <v>#NAME?</v>
      </c>
      <c r="BG185" s="70" t="e">
        <f t="shared" ca="1" si="1522"/>
        <v>#NAME?</v>
      </c>
      <c r="BH185" s="70" t="e">
        <f t="shared" ca="1" si="1522"/>
        <v>#NAME?</v>
      </c>
      <c r="BI185" s="70" t="e">
        <f t="shared" ca="1" si="1522"/>
        <v>#NAME?</v>
      </c>
      <c r="BJ185" s="70" t="e">
        <f t="shared" ca="1" si="1522"/>
        <v>#NAME?</v>
      </c>
      <c r="BK185" s="70" t="e">
        <f t="shared" ca="1" si="1522"/>
        <v>#NAME?</v>
      </c>
      <c r="BL185" s="70" t="e">
        <f t="shared" ca="1" si="1522"/>
        <v>#NAME?</v>
      </c>
      <c r="BM185" s="70" t="e">
        <f t="shared" ca="1" si="1522"/>
        <v>#NAME?</v>
      </c>
      <c r="BN185" s="70" t="e">
        <f t="shared" ca="1" si="1522"/>
        <v>#NAME?</v>
      </c>
      <c r="BO185" s="70" t="e">
        <f t="shared" ca="1" si="1522"/>
        <v>#NAME?</v>
      </c>
      <c r="BP185" s="70" t="e">
        <f t="shared" ca="1" si="1522"/>
        <v>#NAME?</v>
      </c>
      <c r="BQ185" s="70" t="e">
        <f t="shared" ca="1" si="1522"/>
        <v>#NAME?</v>
      </c>
      <c r="BR185" s="70" t="e">
        <f t="shared" ca="1" si="1522"/>
        <v>#NAME?</v>
      </c>
      <c r="BS185" s="70" t="e">
        <f t="shared" ca="1" si="1522"/>
        <v>#NAME?</v>
      </c>
      <c r="BT185" s="70" t="e">
        <f t="shared" ca="1" si="1522"/>
        <v>#NAME?</v>
      </c>
      <c r="BU185" s="70" t="e">
        <f t="shared" ca="1" si="1522"/>
        <v>#NAME?</v>
      </c>
      <c r="BV185" s="70" t="e">
        <f t="shared" ca="1" si="1522"/>
        <v>#NAME?</v>
      </c>
      <c r="BW185" s="70" t="e">
        <f t="shared" ca="1" si="1522"/>
        <v>#NAME?</v>
      </c>
      <c r="BX185" s="70" t="e">
        <f t="shared" ca="1" si="1522"/>
        <v>#NAME?</v>
      </c>
      <c r="BY185" s="70" t="e">
        <f t="shared" ca="1" si="1522"/>
        <v>#NAME?</v>
      </c>
      <c r="BZ185" s="70" t="e">
        <f t="shared" ca="1" si="1522"/>
        <v>#NAME?</v>
      </c>
      <c r="CA185" s="70" t="e">
        <f t="shared" ca="1" si="1522"/>
        <v>#NAME?</v>
      </c>
      <c r="CB185" s="70" t="e">
        <f t="shared" ca="1" si="1522"/>
        <v>#NAME?</v>
      </c>
      <c r="CC185" s="70" t="e">
        <f t="shared" ca="1" si="1522"/>
        <v>#NAME?</v>
      </c>
      <c r="CD185" s="70" t="e">
        <f t="shared" ca="1" si="1522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23">CK183+CK184</f>
        <v>#NAME?</v>
      </c>
      <c r="CL185" s="70" t="e">
        <f ca="1">CL156/CL8*90</f>
        <v>#NAME?</v>
      </c>
      <c r="CM185" s="50" t="e">
        <f t="shared" ca="1" si="1523"/>
        <v>#NAME?</v>
      </c>
      <c r="CN185" s="50" t="e">
        <f t="shared" ca="1" si="1523"/>
        <v>#NAME?</v>
      </c>
      <c r="CO185" s="50" t="e">
        <f t="shared" ca="1" si="1523"/>
        <v>#NAME?</v>
      </c>
      <c r="CP185" s="50" t="e">
        <f t="shared" ca="1" si="1523"/>
        <v>#NAME?</v>
      </c>
      <c r="CQ185" s="50" t="e">
        <f t="shared" ca="1" si="1523"/>
        <v>#NAME?</v>
      </c>
      <c r="CR185" s="50" t="e">
        <f t="shared" ca="1" si="1523"/>
        <v>#NAME?</v>
      </c>
      <c r="CS185" s="50" t="e">
        <f t="shared" ca="1" si="1523"/>
        <v>#NAME?</v>
      </c>
      <c r="CT185" s="50" t="e">
        <f t="shared" ca="1" si="1523"/>
        <v>#NAME?</v>
      </c>
      <c r="CU185" s="50" t="e">
        <f t="shared" ca="1" si="1523"/>
        <v>#NAME?</v>
      </c>
      <c r="CV185" s="50" t="e">
        <f t="shared" ca="1" si="1523"/>
        <v>#NAME?</v>
      </c>
      <c r="CW185" s="50" t="e">
        <f t="shared" ca="1" si="1523"/>
        <v>#NAME?</v>
      </c>
      <c r="CX185" s="50" t="e">
        <f t="shared" ca="1" si="1523"/>
        <v>#NAME?</v>
      </c>
      <c r="CY185" s="50" t="e">
        <f t="shared" ca="1" si="1523"/>
        <v>#NAME?</v>
      </c>
      <c r="CZ185" s="50" t="e">
        <f t="shared" ca="1" si="1523"/>
        <v>#NAME?</v>
      </c>
      <c r="DA185" s="50" t="e">
        <f t="shared" ca="1" si="1523"/>
        <v>#NAME?</v>
      </c>
      <c r="DB185" s="50" t="e">
        <f t="shared" ca="1" si="1523"/>
        <v>#NAME?</v>
      </c>
      <c r="DE185" s="138"/>
      <c r="DF185" s="7">
        <v>151.60136267969895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4">C182-C185</f>
        <v>#NAME?</v>
      </c>
      <c r="D186" s="70" t="e">
        <f t="shared" ca="1" si="1524"/>
        <v>#NAME?</v>
      </c>
      <c r="E186" s="70" t="e">
        <f t="shared" ca="1" si="1524"/>
        <v>#NAME?</v>
      </c>
      <c r="F186" s="70" t="e">
        <f t="shared" ca="1" si="1524"/>
        <v>#NAME?</v>
      </c>
      <c r="G186" s="70" t="e">
        <f t="shared" ca="1" si="1524"/>
        <v>#NAME?</v>
      </c>
      <c r="H186" s="70" t="e">
        <f t="shared" ca="1" si="1524"/>
        <v>#NAME?</v>
      </c>
      <c r="I186" s="70" t="e">
        <f t="shared" ca="1" si="1524"/>
        <v>#NAME?</v>
      </c>
      <c r="J186" s="70" t="e">
        <f t="shared" ca="1" si="1524"/>
        <v>#NAME?</v>
      </c>
      <c r="K186" s="70" t="e">
        <f t="shared" ca="1" si="1524"/>
        <v>#NAME?</v>
      </c>
      <c r="L186" s="70" t="e">
        <f t="shared" ca="1" si="1524"/>
        <v>#NAME?</v>
      </c>
      <c r="M186" s="70" t="e">
        <f t="shared" ca="1" si="1524"/>
        <v>#NAME?</v>
      </c>
      <c r="N186" s="70" t="e">
        <f t="shared" ca="1" si="1524"/>
        <v>#NAME?</v>
      </c>
      <c r="O186" s="70" t="e">
        <f t="shared" ca="1" si="1524"/>
        <v>#NAME?</v>
      </c>
      <c r="P186" s="70" t="e">
        <f t="shared" ca="1" si="1524"/>
        <v>#NAME?</v>
      </c>
      <c r="Q186" s="70" t="e">
        <f t="shared" ca="1" si="1524"/>
        <v>#NAME?</v>
      </c>
      <c r="R186" s="70" t="e">
        <f t="shared" ca="1" si="1524"/>
        <v>#NAME?</v>
      </c>
      <c r="S186" s="70" t="e">
        <f t="shared" ca="1" si="1524"/>
        <v>#NAME?</v>
      </c>
      <c r="T186" s="70" t="e">
        <f t="shared" ca="1" si="1524"/>
        <v>#NAME?</v>
      </c>
      <c r="U186" s="70" t="e">
        <f t="shared" ca="1" si="1524"/>
        <v>#NAME?</v>
      </c>
      <c r="V186" s="70" t="e">
        <f t="shared" ca="1" si="1524"/>
        <v>#NAME?</v>
      </c>
      <c r="W186" s="70" t="e">
        <f t="shared" ref="W186" ca="1" si="1525">W182-W185</f>
        <v>#NAME?</v>
      </c>
      <c r="X186" s="70" t="e">
        <f t="shared" ref="X186:Y186" ca="1" si="1526">X182-X185</f>
        <v>#NAME?</v>
      </c>
      <c r="Y186" s="70" t="e">
        <f t="shared" ca="1" si="1526"/>
        <v>#NAME?</v>
      </c>
      <c r="Z186" s="70" t="e">
        <f t="shared" ref="Z186:AA186" ca="1" si="1527">Z182-Z185</f>
        <v>#NAME?</v>
      </c>
      <c r="AA186" s="70" t="e">
        <f t="shared" ca="1" si="1527"/>
        <v>#NAME?</v>
      </c>
      <c r="AB186" s="71" t="e">
        <f t="shared" ref="AA186:AD186" ca="1" si="1528">AB182-AB185</f>
        <v>#NAME?</v>
      </c>
      <c r="AC186" s="71" t="e">
        <f t="shared" ca="1" si="1528"/>
        <v>#NAME?</v>
      </c>
      <c r="AD186" s="71" t="e">
        <f t="shared" ca="1" si="1528"/>
        <v>#NAME?</v>
      </c>
      <c r="AE186" s="71" t="e">
        <f t="shared" ref="AE186" ca="1" si="1529">AE182-AE185</f>
        <v>#NAME?</v>
      </c>
      <c r="AI186" s="70" t="e">
        <f t="shared" ref="AI186:AK186" ca="1" si="1530">AI182-AI185</f>
        <v>#NAME?</v>
      </c>
      <c r="AJ186" s="70" t="e">
        <f t="shared" ref="AJ186:AM186" ca="1" si="1531">AJ182-AJ185</f>
        <v>#NAME?</v>
      </c>
      <c r="AK186" s="70" t="e">
        <f t="shared" ca="1" si="1530"/>
        <v>#NAME?</v>
      </c>
      <c r="AL186" s="70" t="e">
        <f t="shared" ca="1" si="1531"/>
        <v>#NAME?</v>
      </c>
      <c r="AM186" s="70" t="e">
        <f t="shared" ca="1" si="1531"/>
        <v>#NAME?</v>
      </c>
      <c r="AN186" s="70" t="e">
        <f t="shared" ref="AN186:AY186" ca="1" si="1532">AN182-AN185</f>
        <v>#NAME?</v>
      </c>
      <c r="AO186" s="70" t="e">
        <f t="shared" ca="1" si="1532"/>
        <v>#NAME?</v>
      </c>
      <c r="AP186" s="70" t="e">
        <f t="shared" ca="1" si="1532"/>
        <v>#NAME?</v>
      </c>
      <c r="AQ186" s="70" t="e">
        <f t="shared" ca="1" si="1532"/>
        <v>#NAME?</v>
      </c>
      <c r="AR186" s="70" t="e">
        <f t="shared" ca="1" si="1532"/>
        <v>#NAME?</v>
      </c>
      <c r="AS186" s="70" t="e">
        <f t="shared" ca="1" si="1532"/>
        <v>#NAME?</v>
      </c>
      <c r="AT186" s="70" t="e">
        <f t="shared" ca="1" si="1532"/>
        <v>#NAME?</v>
      </c>
      <c r="AU186" s="70" t="e">
        <f t="shared" ca="1" si="1532"/>
        <v>#NAME?</v>
      </c>
      <c r="AV186" s="70" t="e">
        <f t="shared" ca="1" si="1532"/>
        <v>#NAME?</v>
      </c>
      <c r="AW186" s="70" t="e">
        <f t="shared" ca="1" si="1532"/>
        <v>#NAME?</v>
      </c>
      <c r="AX186" s="70" t="e">
        <f t="shared" ca="1" si="1532"/>
        <v>#NAME?</v>
      </c>
      <c r="AY186" s="70" t="e">
        <f t="shared" ca="1" si="1532"/>
        <v>#NAME?</v>
      </c>
      <c r="AZ186" s="70" t="e">
        <f t="shared" ref="AZ186:BC186" ca="1" si="1533">AZ182-AZ185</f>
        <v>#NAME?</v>
      </c>
      <c r="BA186" s="70" t="e">
        <f t="shared" ca="1" si="1533"/>
        <v>#NAME?</v>
      </c>
      <c r="BB186" s="70" t="e">
        <f t="shared" ca="1" si="1533"/>
        <v>#NAME?</v>
      </c>
      <c r="BC186" s="70" t="e">
        <f t="shared" ca="1" si="1533"/>
        <v>#NAME?</v>
      </c>
      <c r="BD186" s="70" t="e">
        <f t="shared" ref="BD186:CE186" ca="1" si="1534">BD182-BD185</f>
        <v>#NAME?</v>
      </c>
      <c r="BE186" s="70" t="e">
        <f t="shared" ca="1" si="1534"/>
        <v>#NAME?</v>
      </c>
      <c r="BF186" s="70" t="e">
        <f t="shared" ca="1" si="1534"/>
        <v>#NAME?</v>
      </c>
      <c r="BG186" s="70" t="e">
        <f t="shared" ca="1" si="1534"/>
        <v>#NAME?</v>
      </c>
      <c r="BH186" s="70" t="e">
        <f t="shared" ca="1" si="1534"/>
        <v>#NAME?</v>
      </c>
      <c r="BI186" s="70" t="e">
        <f t="shared" ca="1" si="1534"/>
        <v>#NAME?</v>
      </c>
      <c r="BJ186" s="70" t="e">
        <f t="shared" ca="1" si="1534"/>
        <v>#NAME?</v>
      </c>
      <c r="BK186" s="70" t="e">
        <f t="shared" ca="1" si="1534"/>
        <v>#NAME?</v>
      </c>
      <c r="BL186" s="70" t="e">
        <f t="shared" ca="1" si="1534"/>
        <v>#NAME?</v>
      </c>
      <c r="BM186" s="70" t="e">
        <f t="shared" ca="1" si="1534"/>
        <v>#NAME?</v>
      </c>
      <c r="BN186" s="70" t="e">
        <f t="shared" ca="1" si="1534"/>
        <v>#NAME?</v>
      </c>
      <c r="BO186" s="70" t="e">
        <f t="shared" ca="1" si="1534"/>
        <v>#NAME?</v>
      </c>
      <c r="BP186" s="70" t="e">
        <f t="shared" ca="1" si="1534"/>
        <v>#NAME?</v>
      </c>
      <c r="BQ186" s="70" t="e">
        <f t="shared" ca="1" si="1534"/>
        <v>#NAME?</v>
      </c>
      <c r="BR186" s="70" t="e">
        <f t="shared" ca="1" si="1534"/>
        <v>#NAME?</v>
      </c>
      <c r="BS186" s="70" t="e">
        <f t="shared" ca="1" si="1534"/>
        <v>#NAME?</v>
      </c>
      <c r="BT186" s="70" t="e">
        <f t="shared" ca="1" si="1534"/>
        <v>#NAME?</v>
      </c>
      <c r="BU186" s="70" t="e">
        <f t="shared" ca="1" si="1534"/>
        <v>#NAME?</v>
      </c>
      <c r="BV186" s="70" t="e">
        <f t="shared" ca="1" si="1534"/>
        <v>#NAME?</v>
      </c>
      <c r="BW186" s="70" t="e">
        <f t="shared" ca="1" si="1534"/>
        <v>#NAME?</v>
      </c>
      <c r="BX186" s="70" t="e">
        <f t="shared" ca="1" si="1534"/>
        <v>#NAME?</v>
      </c>
      <c r="BY186" s="70" t="e">
        <f t="shared" ca="1" si="1534"/>
        <v>#NAME?</v>
      </c>
      <c r="BZ186" s="70" t="e">
        <f t="shared" ca="1" si="1534"/>
        <v>#NAME?</v>
      </c>
      <c r="CA186" s="70" t="e">
        <f t="shared" ca="1" si="1534"/>
        <v>#NAME?</v>
      </c>
      <c r="CB186" s="70" t="e">
        <f t="shared" ca="1" si="1534"/>
        <v>#NAME?</v>
      </c>
      <c r="CC186" s="70" t="e">
        <f t="shared" ca="1" si="1534"/>
        <v>#NAME?</v>
      </c>
      <c r="CD186" s="70" t="e">
        <f t="shared" ca="1" si="1534"/>
        <v>#NAME?</v>
      </c>
      <c r="CE186" s="115" t="e">
        <f t="shared" ca="1" si="1534"/>
        <v>#NAME?</v>
      </c>
      <c r="CF186" s="70" t="e">
        <f t="shared" ref="CF186:CG186" ca="1" si="1535">CF182-CF185</f>
        <v>#NAME?</v>
      </c>
      <c r="CG186" s="70" t="e">
        <f t="shared" ca="1" si="1535"/>
        <v>#NAME?</v>
      </c>
      <c r="CH186" s="70" t="e">
        <f t="shared" ref="CH186:CI186" ca="1" si="1536">CH182-CH185</f>
        <v>#NAME?</v>
      </c>
      <c r="CI186" s="70" t="e">
        <f t="shared" ca="1" si="1536"/>
        <v>#NAME?</v>
      </c>
      <c r="CJ186" s="70" t="e">
        <f t="shared" ref="CJ186:DB186" ca="1" si="1537">CJ182-CJ185</f>
        <v>#NAME?</v>
      </c>
      <c r="CK186" s="50" t="e">
        <f t="shared" ca="1" si="1537"/>
        <v>#NAME?</v>
      </c>
      <c r="CL186" s="70" t="e">
        <f t="shared" ref="CL186" ca="1" si="1538">CL182-CL185</f>
        <v>#NAME?</v>
      </c>
      <c r="CM186" s="50" t="e">
        <f t="shared" ca="1" si="1537"/>
        <v>#NAME?</v>
      </c>
      <c r="CN186" s="50" t="e">
        <f t="shared" ca="1" si="1537"/>
        <v>#NAME?</v>
      </c>
      <c r="CO186" s="50" t="e">
        <f t="shared" ca="1" si="1537"/>
        <v>#NAME?</v>
      </c>
      <c r="CP186" s="50" t="e">
        <f t="shared" ca="1" si="1537"/>
        <v>#NAME?</v>
      </c>
      <c r="CQ186" s="50" t="e">
        <f t="shared" ca="1" si="1537"/>
        <v>#NAME?</v>
      </c>
      <c r="CR186" s="50" t="e">
        <f t="shared" ca="1" si="1537"/>
        <v>#NAME?</v>
      </c>
      <c r="CS186" s="50" t="e">
        <f t="shared" ca="1" si="1537"/>
        <v>#NAME?</v>
      </c>
      <c r="CT186" s="50" t="e">
        <f t="shared" ca="1" si="1537"/>
        <v>#NAME?</v>
      </c>
      <c r="CU186" s="50" t="e">
        <f t="shared" ca="1" si="1537"/>
        <v>#NAME?</v>
      </c>
      <c r="CV186" s="50" t="e">
        <f t="shared" ca="1" si="1537"/>
        <v>#NAME?</v>
      </c>
      <c r="CW186" s="50" t="e">
        <f t="shared" ca="1" si="1537"/>
        <v>#NAME?</v>
      </c>
      <c r="CX186" s="50" t="e">
        <f t="shared" ca="1" si="1537"/>
        <v>#NAME?</v>
      </c>
      <c r="CY186" s="50" t="e">
        <f t="shared" ca="1" si="1537"/>
        <v>#NAME?</v>
      </c>
      <c r="CZ186" s="50" t="e">
        <f t="shared" ca="1" si="1537"/>
        <v>#NAME?</v>
      </c>
      <c r="DA186" s="50" t="e">
        <f t="shared" ca="1" si="1537"/>
        <v>#NAME?</v>
      </c>
      <c r="DB186" s="50" t="e">
        <f t="shared" ca="1" si="1537"/>
        <v>#NAME?</v>
      </c>
      <c r="DE186" s="138"/>
      <c r="DF186" s="7">
        <v>186.56857592440653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39">C10/B10-1</f>
        <v>#NAME?</v>
      </c>
      <c r="D188" s="86" t="e">
        <f t="shared" ca="1" si="1539"/>
        <v>#NAME?</v>
      </c>
      <c r="E188" s="86" t="e">
        <f t="shared" ca="1" si="1539"/>
        <v>#NAME?</v>
      </c>
      <c r="F188" s="86" t="e">
        <f t="shared" ca="1" si="1539"/>
        <v>#NAME?</v>
      </c>
      <c r="G188" s="86" t="e">
        <f t="shared" ca="1" si="1539"/>
        <v>#NAME?</v>
      </c>
      <c r="H188" s="86" t="e">
        <f t="shared" ca="1" si="1539"/>
        <v>#NAME?</v>
      </c>
      <c r="I188" s="86" t="e">
        <f t="shared" ca="1" si="1539"/>
        <v>#NAME?</v>
      </c>
      <c r="J188" s="86" t="e">
        <f t="shared" ca="1" si="1539"/>
        <v>#NAME?</v>
      </c>
      <c r="K188" s="86" t="e">
        <f t="shared" ca="1" si="1539"/>
        <v>#NAME?</v>
      </c>
      <c r="L188" s="86" t="e">
        <f t="shared" ca="1" si="1539"/>
        <v>#NAME?</v>
      </c>
      <c r="M188" s="86" t="e">
        <f t="shared" ca="1" si="1539"/>
        <v>#NAME?</v>
      </c>
      <c r="N188" s="86" t="e">
        <f t="shared" ca="1" si="1539"/>
        <v>#NAME?</v>
      </c>
      <c r="O188" s="86" t="e">
        <f t="shared" ca="1" si="1539"/>
        <v>#NAME?</v>
      </c>
      <c r="P188" s="86" t="e">
        <f t="shared" ca="1" si="1539"/>
        <v>#NAME?</v>
      </c>
      <c r="Q188" s="86" t="e">
        <f t="shared" ca="1" si="1539"/>
        <v>#NAME?</v>
      </c>
      <c r="R188" s="86" t="e">
        <f t="shared" ca="1" si="1539"/>
        <v>#NAME?</v>
      </c>
      <c r="S188" s="86" t="e">
        <f t="shared" ca="1" si="1539"/>
        <v>#NAME?</v>
      </c>
      <c r="T188" s="86" t="e">
        <f t="shared" ca="1" si="1539"/>
        <v>#NAME?</v>
      </c>
      <c r="U188" s="86" t="e">
        <f t="shared" ca="1" si="1539"/>
        <v>#NAME?</v>
      </c>
      <c r="V188" s="86" t="e">
        <f t="shared" ca="1" si="1539"/>
        <v>#NAME?</v>
      </c>
      <c r="W188" s="86" t="e">
        <f t="shared" ca="1" si="1539"/>
        <v>#NAME?</v>
      </c>
      <c r="X188" s="86" t="e">
        <f t="shared" ca="1" si="1539"/>
        <v>#NAME?</v>
      </c>
      <c r="Y188" s="86" t="e">
        <f t="shared" ca="1" si="1539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40">AB10/AA10-1</f>
        <v>#NAME?</v>
      </c>
      <c r="AC188" s="87" t="e">
        <f t="shared" ca="1" si="1540"/>
        <v>#NAME?</v>
      </c>
      <c r="AD188" s="87" t="e">
        <f t="shared" ca="1" si="1540"/>
        <v>#NAME?</v>
      </c>
      <c r="AE188" s="87" t="e">
        <f t="shared" ca="1" si="1540"/>
        <v>#NAME?</v>
      </c>
      <c r="AN188" s="86" t="e">
        <f t="shared" ref="AN188:CI188" ca="1" si="1541">+(AN10+AM10)/(AJ10+AI10)-1</f>
        <v>#NAME?</v>
      </c>
      <c r="AO188" s="86" t="e">
        <f t="shared" ca="1" si="1541"/>
        <v>#NAME?</v>
      </c>
      <c r="AP188" s="86" t="e">
        <f t="shared" ca="1" si="1541"/>
        <v>#NAME?</v>
      </c>
      <c r="AQ188" s="86" t="e">
        <f t="shared" ca="1" si="1541"/>
        <v>#NAME?</v>
      </c>
      <c r="AR188" s="86" t="e">
        <f t="shared" ca="1" si="1541"/>
        <v>#NAME?</v>
      </c>
      <c r="AS188" s="86" t="e">
        <f t="shared" ca="1" si="1541"/>
        <v>#NAME?</v>
      </c>
      <c r="AT188" s="86" t="e">
        <f t="shared" ca="1" si="1541"/>
        <v>#NAME?</v>
      </c>
      <c r="AU188" s="86" t="e">
        <f t="shared" ca="1" si="1541"/>
        <v>#NAME?</v>
      </c>
      <c r="AV188" s="86" t="e">
        <f t="shared" ca="1" si="1541"/>
        <v>#NAME?</v>
      </c>
      <c r="AW188" s="86" t="e">
        <f t="shared" ca="1" si="1541"/>
        <v>#NAME?</v>
      </c>
      <c r="AX188" s="86" t="e">
        <f t="shared" ca="1" si="1541"/>
        <v>#NAME?</v>
      </c>
      <c r="AY188" s="86" t="e">
        <f t="shared" ca="1" si="1541"/>
        <v>#NAME?</v>
      </c>
      <c r="AZ188" s="86" t="e">
        <f t="shared" ca="1" si="1541"/>
        <v>#NAME?</v>
      </c>
      <c r="BA188" s="86" t="e">
        <f t="shared" ca="1" si="1541"/>
        <v>#NAME?</v>
      </c>
      <c r="BB188" s="86" t="e">
        <f t="shared" ca="1" si="1541"/>
        <v>#NAME?</v>
      </c>
      <c r="BC188" s="86" t="e">
        <f t="shared" ca="1" si="1541"/>
        <v>#NAME?</v>
      </c>
      <c r="BD188" s="86" t="e">
        <f t="shared" ca="1" si="1541"/>
        <v>#NAME?</v>
      </c>
      <c r="BE188" s="86" t="e">
        <f t="shared" ca="1" si="1541"/>
        <v>#NAME?</v>
      </c>
      <c r="BF188" s="86" t="e">
        <f t="shared" ca="1" si="1541"/>
        <v>#NAME?</v>
      </c>
      <c r="BG188" s="86" t="e">
        <f t="shared" ca="1" si="1541"/>
        <v>#NAME?</v>
      </c>
      <c r="BH188" s="86" t="e">
        <f t="shared" ca="1" si="1541"/>
        <v>#NAME?</v>
      </c>
      <c r="BI188" s="86" t="e">
        <f t="shared" ca="1" si="1541"/>
        <v>#NAME?</v>
      </c>
      <c r="BJ188" s="86" t="e">
        <f t="shared" ca="1" si="1541"/>
        <v>#NAME?</v>
      </c>
      <c r="BK188" s="86" t="e">
        <f t="shared" ca="1" si="1541"/>
        <v>#NAME?</v>
      </c>
      <c r="BL188" s="86" t="e">
        <f t="shared" ca="1" si="1541"/>
        <v>#NAME?</v>
      </c>
      <c r="BM188" s="86" t="e">
        <f t="shared" ca="1" si="1541"/>
        <v>#NAME?</v>
      </c>
      <c r="BN188" s="86" t="e">
        <f t="shared" ca="1" si="1541"/>
        <v>#NAME?</v>
      </c>
      <c r="BO188" s="86" t="e">
        <f t="shared" ca="1" si="1541"/>
        <v>#NAME?</v>
      </c>
      <c r="BP188" s="86" t="e">
        <f t="shared" ca="1" si="1541"/>
        <v>#NAME?</v>
      </c>
      <c r="BQ188" s="86" t="e">
        <f t="shared" ca="1" si="1541"/>
        <v>#NAME?</v>
      </c>
      <c r="BR188" s="86" t="e">
        <f t="shared" ca="1" si="1541"/>
        <v>#NAME?</v>
      </c>
      <c r="BS188" s="86" t="e">
        <f t="shared" ca="1" si="1541"/>
        <v>#NAME?</v>
      </c>
      <c r="BT188" s="86" t="e">
        <f t="shared" ca="1" si="1541"/>
        <v>#NAME?</v>
      </c>
      <c r="BU188" s="86" t="e">
        <f t="shared" ca="1" si="1541"/>
        <v>#NAME?</v>
      </c>
      <c r="BV188" s="86" t="e">
        <f t="shared" ca="1" si="1541"/>
        <v>#NAME?</v>
      </c>
      <c r="BW188" s="86" t="e">
        <f t="shared" ca="1" si="1541"/>
        <v>#NAME?</v>
      </c>
      <c r="BX188" s="86" t="e">
        <f t="shared" ca="1" si="1541"/>
        <v>#NAME?</v>
      </c>
      <c r="BY188" s="86" t="e">
        <f t="shared" ca="1" si="1541"/>
        <v>#NAME?</v>
      </c>
      <c r="BZ188" s="86" t="e">
        <f t="shared" ca="1" si="1541"/>
        <v>#NAME?</v>
      </c>
      <c r="CA188" s="86" t="e">
        <f t="shared" ca="1" si="1541"/>
        <v>#NAME?</v>
      </c>
      <c r="CB188" s="86" t="e">
        <f t="shared" ca="1" si="1541"/>
        <v>#NAME?</v>
      </c>
      <c r="CC188" s="86" t="e">
        <f t="shared" ca="1" si="1541"/>
        <v>#NAME?</v>
      </c>
      <c r="CD188" s="86" t="e">
        <f t="shared" ca="1" si="1541"/>
        <v>#NAME?</v>
      </c>
      <c r="CE188" s="86" t="e">
        <f t="shared" ca="1" si="1541"/>
        <v>#NAME?</v>
      </c>
      <c r="CF188" s="86" t="e">
        <f t="shared" ca="1" si="1541"/>
        <v>#NAME?</v>
      </c>
      <c r="CG188" s="86" t="e">
        <f t="shared" ca="1" si="1541"/>
        <v>#NAME?</v>
      </c>
      <c r="CH188" s="86" t="e">
        <f t="shared" ca="1" si="1541"/>
        <v>#NAME?</v>
      </c>
      <c r="CI188" s="86" t="e">
        <f t="shared" ca="1" si="1541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-0.17160077545396024</v>
      </c>
    </row>
    <row r="189" spans="1:110" s="86" customFormat="1" x14ac:dyDescent="0.2">
      <c r="A189" s="86" t="s">
        <v>441</v>
      </c>
      <c r="C189" s="86" t="e">
        <f t="shared" ref="C189" ca="1" si="1542">C186/B186-1</f>
        <v>#NAME?</v>
      </c>
      <c r="D189" s="86" t="e">
        <f t="shared" ref="D189" ca="1" si="1543">D186/C186-1</f>
        <v>#NAME?</v>
      </c>
      <c r="E189" s="86" t="e">
        <f ca="1">E186/D186-1</f>
        <v>#NAME?</v>
      </c>
      <c r="F189" s="86" t="e">
        <f t="shared" ref="F189" ca="1" si="1544">F186/E186-1</f>
        <v>#NAME?</v>
      </c>
      <c r="G189" s="86" t="e">
        <f t="shared" ref="G189" ca="1" si="1545">G186/F186-1</f>
        <v>#NAME?</v>
      </c>
      <c r="H189" s="86" t="e">
        <f t="shared" ref="H189" ca="1" si="1546">H186/G186-1</f>
        <v>#NAME?</v>
      </c>
      <c r="I189" s="86" t="e">
        <f t="shared" ref="I189" ca="1" si="1547">I186/H186-1</f>
        <v>#NAME?</v>
      </c>
      <c r="J189" s="86" t="e">
        <f t="shared" ref="J189" ca="1" si="1548">J186/I186-1</f>
        <v>#NAME?</v>
      </c>
      <c r="K189" s="86" t="e">
        <f ca="1">K186/J186-1</f>
        <v>#NAME?</v>
      </c>
      <c r="L189" s="86" t="e">
        <f t="shared" ref="L189" ca="1" si="1549">L186/K186-1</f>
        <v>#NAME?</v>
      </c>
      <c r="M189" s="86" t="e">
        <f t="shared" ref="M189" ca="1" si="1550">M186/L186-1</f>
        <v>#NAME?</v>
      </c>
      <c r="N189" s="86" t="e">
        <f t="shared" ref="N189" ca="1" si="1551">N186/M186-1</f>
        <v>#NAME?</v>
      </c>
      <c r="O189" s="86" t="e">
        <f t="shared" ref="O189" ca="1" si="1552">O186/N186-1</f>
        <v>#NAME?</v>
      </c>
      <c r="P189" s="86" t="e">
        <f t="shared" ref="P189" ca="1" si="1553">P186/O186-1</f>
        <v>#NAME?</v>
      </c>
      <c r="Q189" s="86" t="e">
        <f t="shared" ref="Q189" ca="1" si="1554">Q186/P186-1</f>
        <v>#NAME?</v>
      </c>
      <c r="R189" s="86" t="e">
        <f t="shared" ref="R189" ca="1" si="1555">R186/Q186-1</f>
        <v>#NAME?</v>
      </c>
      <c r="S189" s="86" t="e">
        <f t="shared" ref="S189" ca="1" si="1556">S186/R186-1</f>
        <v>#NAME?</v>
      </c>
      <c r="T189" s="86" t="e">
        <f t="shared" ref="T189" ca="1" si="1557">T186/S186-1</f>
        <v>#NAME?</v>
      </c>
      <c r="U189" s="86" t="e">
        <f t="shared" ref="U189" ca="1" si="1558">U186/T186-1</f>
        <v>#NAME?</v>
      </c>
      <c r="V189" s="86" t="e">
        <f t="shared" ref="V189" ca="1" si="1559">V186/U186-1</f>
        <v>#NAME?</v>
      </c>
      <c r="W189" s="86" t="e">
        <f t="shared" ref="W189:AA189" ca="1" si="1560">W186/V186-1</f>
        <v>#NAME?</v>
      </c>
      <c r="X189" s="86" t="e">
        <f t="shared" ca="1" si="1560"/>
        <v>#NAME?</v>
      </c>
      <c r="Y189" s="86" t="e">
        <f t="shared" ca="1" si="1560"/>
        <v>#NAME?</v>
      </c>
      <c r="Z189" s="86" t="e">
        <f t="shared" ca="1" si="1560"/>
        <v>#NAME?</v>
      </c>
      <c r="AA189" s="86" t="e">
        <f t="shared" ca="1" si="1560"/>
        <v>#NAME?</v>
      </c>
      <c r="AB189" s="87" t="e">
        <f t="shared" ref="AB189" ca="1" si="1561">AB186/AA186-1</f>
        <v>#NAME?</v>
      </c>
      <c r="AC189" s="87" t="e">
        <f t="shared" ref="AC189" ca="1" si="1562">AC186/AB186-1</f>
        <v>#NAME?</v>
      </c>
      <c r="AD189" s="87" t="e">
        <f t="shared" ref="AD189" ca="1" si="1563">AD186/AC186-1</f>
        <v>#NAME?</v>
      </c>
      <c r="AE189" s="87" t="e">
        <f t="shared" ref="AE189" ca="1" si="1564">AE186/AD186-1</f>
        <v>#NAME?</v>
      </c>
      <c r="AN189" s="86" t="e">
        <f t="shared" ref="AN189:CI189" ca="1" si="1565">+AN186/AJ186-1</f>
        <v>#NAME?</v>
      </c>
      <c r="AO189" s="86" t="e">
        <f t="shared" ca="1" si="1565"/>
        <v>#NAME?</v>
      </c>
      <c r="AP189" s="86" t="e">
        <f t="shared" ca="1" si="1565"/>
        <v>#NAME?</v>
      </c>
      <c r="AQ189" s="86" t="e">
        <f t="shared" ca="1" si="1565"/>
        <v>#NAME?</v>
      </c>
      <c r="AR189" s="86" t="e">
        <f t="shared" ca="1" si="1565"/>
        <v>#NAME?</v>
      </c>
      <c r="AS189" s="86" t="e">
        <f t="shared" ca="1" si="1565"/>
        <v>#NAME?</v>
      </c>
      <c r="AT189" s="86" t="e">
        <f t="shared" ca="1" si="1565"/>
        <v>#NAME?</v>
      </c>
      <c r="AU189" s="86" t="e">
        <f t="shared" ca="1" si="1565"/>
        <v>#NAME?</v>
      </c>
      <c r="AV189" s="86" t="e">
        <f t="shared" ca="1" si="1565"/>
        <v>#NAME?</v>
      </c>
      <c r="AW189" s="86" t="e">
        <f t="shared" ca="1" si="1565"/>
        <v>#NAME?</v>
      </c>
      <c r="AX189" s="86" t="e">
        <f t="shared" ca="1" si="1565"/>
        <v>#NAME?</v>
      </c>
      <c r="AY189" s="86" t="e">
        <f t="shared" ca="1" si="1565"/>
        <v>#NAME?</v>
      </c>
      <c r="AZ189" s="86" t="e">
        <f t="shared" ca="1" si="1565"/>
        <v>#NAME?</v>
      </c>
      <c r="BA189" s="86" t="e">
        <f t="shared" ca="1" si="1565"/>
        <v>#NAME?</v>
      </c>
      <c r="BB189" s="86" t="e">
        <f t="shared" ca="1" si="1565"/>
        <v>#NAME?</v>
      </c>
      <c r="BC189" s="86" t="e">
        <f t="shared" ca="1" si="1565"/>
        <v>#NAME?</v>
      </c>
      <c r="BD189" s="86" t="e">
        <f t="shared" ca="1" si="1565"/>
        <v>#NAME?</v>
      </c>
      <c r="BE189" s="86" t="e">
        <f t="shared" ca="1" si="1565"/>
        <v>#NAME?</v>
      </c>
      <c r="BF189" s="86" t="e">
        <f t="shared" ca="1" si="1565"/>
        <v>#NAME?</v>
      </c>
      <c r="BG189" s="86" t="e">
        <f t="shared" ca="1" si="1565"/>
        <v>#NAME?</v>
      </c>
      <c r="BH189" s="86" t="e">
        <f t="shared" ca="1" si="1565"/>
        <v>#NAME?</v>
      </c>
      <c r="BI189" s="86" t="e">
        <f t="shared" ca="1" si="1565"/>
        <v>#NAME?</v>
      </c>
      <c r="BJ189" s="86" t="e">
        <f t="shared" ca="1" si="1565"/>
        <v>#NAME?</v>
      </c>
      <c r="BK189" s="86" t="e">
        <f t="shared" ca="1" si="1565"/>
        <v>#NAME?</v>
      </c>
      <c r="BL189" s="86" t="e">
        <f t="shared" ca="1" si="1565"/>
        <v>#NAME?</v>
      </c>
      <c r="BM189" s="86" t="e">
        <f t="shared" ca="1" si="1565"/>
        <v>#NAME?</v>
      </c>
      <c r="BN189" s="86" t="e">
        <f t="shared" ca="1" si="1565"/>
        <v>#NAME?</v>
      </c>
      <c r="BO189" s="86" t="e">
        <f t="shared" ca="1" si="1565"/>
        <v>#NAME?</v>
      </c>
      <c r="BP189" s="86" t="e">
        <f t="shared" ca="1" si="1565"/>
        <v>#NAME?</v>
      </c>
      <c r="BQ189" s="86" t="e">
        <f t="shared" ca="1" si="1565"/>
        <v>#NAME?</v>
      </c>
      <c r="BR189" s="86" t="e">
        <f t="shared" ca="1" si="1565"/>
        <v>#NAME?</v>
      </c>
      <c r="BS189" s="86" t="e">
        <f t="shared" ca="1" si="1565"/>
        <v>#NAME?</v>
      </c>
      <c r="BT189" s="86" t="e">
        <f t="shared" ca="1" si="1565"/>
        <v>#NAME?</v>
      </c>
      <c r="BU189" s="86" t="e">
        <f t="shared" ca="1" si="1565"/>
        <v>#NAME?</v>
      </c>
      <c r="BV189" s="86" t="e">
        <f t="shared" ca="1" si="1565"/>
        <v>#NAME?</v>
      </c>
      <c r="BW189" s="86" t="e">
        <f t="shared" ca="1" si="1565"/>
        <v>#NAME?</v>
      </c>
      <c r="BX189" s="86" t="e">
        <f t="shared" ca="1" si="1565"/>
        <v>#NAME?</v>
      </c>
      <c r="BY189" s="86" t="e">
        <f t="shared" ca="1" si="1565"/>
        <v>#NAME?</v>
      </c>
      <c r="BZ189" s="86" t="e">
        <f t="shared" ca="1" si="1565"/>
        <v>#NAME?</v>
      </c>
      <c r="CA189" s="86" t="e">
        <f t="shared" ca="1" si="1565"/>
        <v>#NAME?</v>
      </c>
      <c r="CB189" s="86" t="e">
        <f t="shared" ca="1" si="1565"/>
        <v>#NAME?</v>
      </c>
      <c r="CC189" s="86" t="e">
        <f t="shared" ca="1" si="1565"/>
        <v>#NAME?</v>
      </c>
      <c r="CD189" s="86" t="e">
        <f t="shared" ca="1" si="1565"/>
        <v>#NAME?</v>
      </c>
      <c r="CE189" s="86" t="e">
        <f t="shared" ca="1" si="1565"/>
        <v>#NAME?</v>
      </c>
      <c r="CF189" s="86" t="e">
        <f t="shared" ca="1" si="1565"/>
        <v>#NAME?</v>
      </c>
      <c r="CG189" s="86" t="e">
        <f t="shared" ca="1" si="1565"/>
        <v>#NAME?</v>
      </c>
      <c r="CH189" s="86" t="e">
        <f t="shared" ca="1" si="1565"/>
        <v>#NAME?</v>
      </c>
      <c r="CI189" s="86" t="e">
        <f t="shared" ca="1" si="1565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0.52378400045889739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6">IF(E189&gt;E188,"RF",0)</f>
        <v>#NAME?</v>
      </c>
      <c r="F190" s="103" t="e">
        <f t="shared" ca="1" si="1566"/>
        <v>#NAME?</v>
      </c>
      <c r="G190" s="103" t="e">
        <f t="shared" ca="1" si="1566"/>
        <v>#NAME?</v>
      </c>
      <c r="H190" s="103" t="e">
        <f t="shared" ca="1" si="1566"/>
        <v>#NAME?</v>
      </c>
      <c r="I190" s="103" t="e">
        <f t="shared" ca="1" si="1566"/>
        <v>#NAME?</v>
      </c>
      <c r="J190" s="103" t="e">
        <f t="shared" ca="1" si="1566"/>
        <v>#NAME?</v>
      </c>
      <c r="K190" s="103" t="e">
        <f t="shared" ca="1" si="1566"/>
        <v>#NAME?</v>
      </c>
      <c r="L190" s="103" t="e">
        <f t="shared" ca="1" si="1566"/>
        <v>#NAME?</v>
      </c>
      <c r="M190" s="103" t="e">
        <f t="shared" ca="1" si="1566"/>
        <v>#NAME?</v>
      </c>
      <c r="N190" s="103" t="e">
        <f t="shared" ca="1" si="1566"/>
        <v>#NAME?</v>
      </c>
      <c r="O190" s="103" t="e">
        <f t="shared" ca="1" si="1566"/>
        <v>#NAME?</v>
      </c>
      <c r="P190" s="103" t="e">
        <f t="shared" ca="1" si="1566"/>
        <v>#NAME?</v>
      </c>
      <c r="Q190" s="103" t="e">
        <f t="shared" ca="1" si="1566"/>
        <v>#NAME?</v>
      </c>
      <c r="R190" s="103" t="e">
        <f t="shared" ca="1" si="1566"/>
        <v>#NAME?</v>
      </c>
      <c r="S190" s="103" t="e">
        <f t="shared" ca="1" si="1566"/>
        <v>#NAME?</v>
      </c>
      <c r="T190" s="103" t="e">
        <f t="shared" ca="1" si="1566"/>
        <v>#NAME?</v>
      </c>
      <c r="U190" s="103" t="e">
        <f t="shared" ca="1" si="1566"/>
        <v>#NAME?</v>
      </c>
      <c r="V190" s="103" t="e">
        <f ca="1">IF(V189&gt;V188,"RF",0)</f>
        <v>#NAME?</v>
      </c>
      <c r="W190" s="103" t="e">
        <f t="shared" ref="W190" ca="1" si="1567">IF(W189&gt;W188,"RF",0)</f>
        <v>#NAME?</v>
      </c>
      <c r="X190" s="103" t="e">
        <f t="shared" ref="X190:Y190" ca="1" si="1568">IF(X189&gt;X188,"RF",0)</f>
        <v>#NAME?</v>
      </c>
      <c r="Y190" s="103" t="e">
        <f t="shared" ca="1" si="1568"/>
        <v>#NAME?</v>
      </c>
      <c r="Z190" s="103" t="e">
        <f t="shared" ref="Z190:AA190" ca="1" si="1569">IF(Z189&gt;Z188,"RF",0)</f>
        <v>#NAME?</v>
      </c>
      <c r="AA190" s="103" t="e">
        <f t="shared" ca="1" si="1569"/>
        <v>#NAME?</v>
      </c>
      <c r="AB190" s="73" t="e">
        <f t="shared" ref="AA190:AD190" ca="1" si="1570">IF(AB189&gt;AB188,"RF",0)</f>
        <v>#NAME?</v>
      </c>
      <c r="AC190" s="73" t="e">
        <f t="shared" ca="1" si="1570"/>
        <v>#NAME?</v>
      </c>
      <c r="AD190" s="73" t="e">
        <f t="shared" ca="1" si="1570"/>
        <v>#NAME?</v>
      </c>
      <c r="AE190" s="73" t="e">
        <f t="shared" ref="AE190" ca="1" si="1571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72">C48</f>
        <v>#NAME?</v>
      </c>
      <c r="D193" s="23" t="e">
        <f t="shared" ca="1" si="1572"/>
        <v>#NAME?</v>
      </c>
      <c r="E193" s="23" t="e">
        <f t="shared" ca="1" si="1572"/>
        <v>#NAME?</v>
      </c>
      <c r="F193" s="23" t="e">
        <f t="shared" ca="1" si="1572"/>
        <v>#NAME?</v>
      </c>
      <c r="G193" s="23" t="e">
        <f t="shared" ca="1" si="1572"/>
        <v>#NAME?</v>
      </c>
      <c r="H193" s="23" t="e">
        <f t="shared" ca="1" si="1572"/>
        <v>#NAME?</v>
      </c>
      <c r="I193" s="23" t="e">
        <f t="shared" ca="1" si="1572"/>
        <v>#NAME?</v>
      </c>
      <c r="J193" s="23" t="e">
        <f t="shared" ca="1" si="1572"/>
        <v>#NAME?</v>
      </c>
      <c r="K193" s="23" t="e">
        <f t="shared" ca="1" si="1572"/>
        <v>#NAME?</v>
      </c>
      <c r="L193" s="23" t="e">
        <f t="shared" ca="1" si="1572"/>
        <v>#NAME?</v>
      </c>
      <c r="M193" s="23" t="e">
        <f t="shared" ca="1" si="1572"/>
        <v>#NAME?</v>
      </c>
      <c r="N193" s="23" t="e">
        <f t="shared" ca="1" si="1572"/>
        <v>#NAME?</v>
      </c>
      <c r="O193" s="23" t="e">
        <f t="shared" ca="1" si="1572"/>
        <v>#NAME?</v>
      </c>
      <c r="P193" s="23" t="e">
        <f t="shared" ca="1" si="1572"/>
        <v>#NAME?</v>
      </c>
      <c r="Q193" s="23" t="e">
        <f t="shared" ca="1" si="1572"/>
        <v>#NAME?</v>
      </c>
      <c r="R193" s="23" t="e">
        <f t="shared" ca="1" si="1572"/>
        <v>#NAME?</v>
      </c>
      <c r="S193" s="23" t="e">
        <f t="shared" ca="1" si="1572"/>
        <v>#NAME?</v>
      </c>
      <c r="T193" s="23" t="e">
        <f t="shared" ca="1" si="1572"/>
        <v>#NAME?</v>
      </c>
      <c r="U193" s="23" t="e">
        <f t="shared" ca="1" si="1572"/>
        <v>#NAME?</v>
      </c>
      <c r="V193" s="23" t="e">
        <f t="shared" ca="1" si="1572"/>
        <v>#NAME?</v>
      </c>
      <c r="W193" s="23" t="e">
        <f t="shared" ca="1" si="1572"/>
        <v>#NAME?</v>
      </c>
      <c r="X193" s="23" t="e">
        <f t="shared" ca="1" si="1572"/>
        <v>#NAME?</v>
      </c>
      <c r="Y193" s="23" t="e">
        <f t="shared" ca="1" si="1572"/>
        <v>#NAME?</v>
      </c>
      <c r="Z193" s="23" t="e">
        <f t="shared" ca="1" si="1572"/>
        <v>#NAME?</v>
      </c>
      <c r="AA193" s="23" t="e">
        <f t="shared" ref="AA193" ca="1" si="1573">AA48</f>
        <v>#NAME?</v>
      </c>
      <c r="AB193" s="24" t="e">
        <f t="shared" ca="1" si="1572"/>
        <v>#NAME?</v>
      </c>
      <c r="AC193" s="24" t="e">
        <f t="shared" ca="1" si="1572"/>
        <v>#NAME?</v>
      </c>
      <c r="AD193" s="24" t="e">
        <f t="shared" ca="1" si="1572"/>
        <v>#NAME?</v>
      </c>
      <c r="AE193" s="24" t="e">
        <f t="shared" ca="1" si="1572"/>
        <v>#NAME?</v>
      </c>
      <c r="AI193" s="23" t="e">
        <f t="shared" ref="AI193:BN193" ca="1" si="1574">AI48</f>
        <v>#NAME?</v>
      </c>
      <c r="AJ193" s="23" t="e">
        <f t="shared" ca="1" si="1574"/>
        <v>#NAME?</v>
      </c>
      <c r="AK193" s="23" t="e">
        <f t="shared" ca="1" si="1574"/>
        <v>#NAME?</v>
      </c>
      <c r="AL193" s="23" t="e">
        <f t="shared" ca="1" si="1574"/>
        <v>#NAME?</v>
      </c>
      <c r="AM193" s="23" t="e">
        <f t="shared" ca="1" si="1574"/>
        <v>#NAME?</v>
      </c>
      <c r="AN193" s="23" t="e">
        <f t="shared" ca="1" si="1574"/>
        <v>#NAME?</v>
      </c>
      <c r="AO193" s="23" t="e">
        <f t="shared" ca="1" si="1574"/>
        <v>#NAME?</v>
      </c>
      <c r="AP193" s="23" t="e">
        <f t="shared" ca="1" si="1574"/>
        <v>#NAME?</v>
      </c>
      <c r="AQ193" s="23" t="e">
        <f t="shared" ca="1" si="1574"/>
        <v>#NAME?</v>
      </c>
      <c r="AR193" s="23" t="e">
        <f t="shared" ca="1" si="1574"/>
        <v>#NAME?</v>
      </c>
      <c r="AS193" s="23" t="e">
        <f t="shared" ca="1" si="1574"/>
        <v>#NAME?</v>
      </c>
      <c r="AT193" s="23" t="e">
        <f t="shared" ca="1" si="1574"/>
        <v>#NAME?</v>
      </c>
      <c r="AU193" s="23" t="e">
        <f t="shared" ca="1" si="1574"/>
        <v>#NAME?</v>
      </c>
      <c r="AV193" s="23" t="e">
        <f t="shared" ca="1" si="1574"/>
        <v>#NAME?</v>
      </c>
      <c r="AW193" s="23" t="e">
        <f t="shared" ca="1" si="1574"/>
        <v>#NAME?</v>
      </c>
      <c r="AX193" s="23" t="e">
        <f t="shared" ca="1" si="1574"/>
        <v>#NAME?</v>
      </c>
      <c r="AY193" s="23" t="e">
        <f t="shared" ca="1" si="1574"/>
        <v>#NAME?</v>
      </c>
      <c r="AZ193" s="23" t="e">
        <f t="shared" ca="1" si="1574"/>
        <v>#NAME?</v>
      </c>
      <c r="BA193" s="23" t="e">
        <f t="shared" ca="1" si="1574"/>
        <v>#NAME?</v>
      </c>
      <c r="BB193" s="23" t="e">
        <f t="shared" ca="1" si="1574"/>
        <v>#NAME?</v>
      </c>
      <c r="BC193" s="23" t="e">
        <f t="shared" ca="1" si="1574"/>
        <v>#NAME?</v>
      </c>
      <c r="BD193" s="23" t="e">
        <f t="shared" ca="1" si="1574"/>
        <v>#NAME?</v>
      </c>
      <c r="BE193" s="23" t="e">
        <f t="shared" ca="1" si="1574"/>
        <v>#NAME?</v>
      </c>
      <c r="BF193" s="23" t="e">
        <f t="shared" ca="1" si="1574"/>
        <v>#NAME?</v>
      </c>
      <c r="BG193" s="23" t="e">
        <f t="shared" ca="1" si="1574"/>
        <v>#NAME?</v>
      </c>
      <c r="BH193" s="23" t="e">
        <f t="shared" ca="1" si="1574"/>
        <v>#NAME?</v>
      </c>
      <c r="BI193" s="23" t="e">
        <f t="shared" ca="1" si="1574"/>
        <v>#NAME?</v>
      </c>
      <c r="BJ193" s="23" t="e">
        <f t="shared" ca="1" si="1574"/>
        <v>#NAME?</v>
      </c>
      <c r="BK193" s="23" t="e">
        <f t="shared" ca="1" si="1574"/>
        <v>#NAME?</v>
      </c>
      <c r="BL193" s="23" t="e">
        <f t="shared" ca="1" si="1574"/>
        <v>#NAME?</v>
      </c>
      <c r="BM193" s="23" t="e">
        <f t="shared" ca="1" si="1574"/>
        <v>#NAME?</v>
      </c>
      <c r="BN193" s="23" t="e">
        <f t="shared" ca="1" si="1574"/>
        <v>#NAME?</v>
      </c>
      <c r="BO193" s="23" t="e">
        <f t="shared" ref="BO193:CT193" ca="1" si="1575">BO48</f>
        <v>#NAME?</v>
      </c>
      <c r="BP193" s="23" t="e">
        <f t="shared" ca="1" si="1575"/>
        <v>#NAME?</v>
      </c>
      <c r="BQ193" s="23" t="e">
        <f t="shared" ca="1" si="1575"/>
        <v>#NAME?</v>
      </c>
      <c r="BR193" s="23" t="e">
        <f t="shared" ca="1" si="1575"/>
        <v>#NAME?</v>
      </c>
      <c r="BS193" s="23" t="e">
        <f t="shared" ca="1" si="1575"/>
        <v>#NAME?</v>
      </c>
      <c r="BT193" s="23" t="e">
        <f t="shared" ca="1" si="1575"/>
        <v>#NAME?</v>
      </c>
      <c r="BU193" s="23" t="e">
        <f t="shared" ca="1" si="1575"/>
        <v>#NAME?</v>
      </c>
      <c r="BV193" s="23" t="e">
        <f t="shared" ca="1" si="1575"/>
        <v>#NAME?</v>
      </c>
      <c r="BW193" s="23" t="e">
        <f t="shared" ca="1" si="1575"/>
        <v>#NAME?</v>
      </c>
      <c r="BX193" s="23" t="e">
        <f t="shared" ca="1" si="1575"/>
        <v>#NAME?</v>
      </c>
      <c r="BY193" s="23" t="e">
        <f t="shared" ca="1" si="1575"/>
        <v>#NAME?</v>
      </c>
      <c r="BZ193" s="23" t="e">
        <f t="shared" ca="1" si="1575"/>
        <v>#NAME?</v>
      </c>
      <c r="CA193" s="23" t="e">
        <f t="shared" ca="1" si="1575"/>
        <v>#NAME?</v>
      </c>
      <c r="CB193" s="23" t="e">
        <f t="shared" ca="1" si="1575"/>
        <v>#NAME?</v>
      </c>
      <c r="CC193" s="23" t="e">
        <f t="shared" ca="1" si="1575"/>
        <v>#NAME?</v>
      </c>
      <c r="CD193" s="23" t="e">
        <f t="shared" ca="1" si="1575"/>
        <v>#NAME?</v>
      </c>
      <c r="CE193" s="23" t="e">
        <f t="shared" ca="1" si="1575"/>
        <v>#NAME?</v>
      </c>
      <c r="CF193" s="23" t="e">
        <f t="shared" ca="1" si="1575"/>
        <v>#NAME?</v>
      </c>
      <c r="CG193" s="23" t="e">
        <f t="shared" ca="1" si="1575"/>
        <v>#NAME?</v>
      </c>
      <c r="CH193" s="23" t="e">
        <f t="shared" ca="1" si="1575"/>
        <v>#NAME?</v>
      </c>
      <c r="CI193" s="23" t="e">
        <f t="shared" ca="1" si="1575"/>
        <v>#NAME?</v>
      </c>
      <c r="CJ193" s="23" t="e">
        <f t="shared" ca="1" si="1575"/>
        <v>#NAME?</v>
      </c>
      <c r="CK193" s="24" t="e">
        <f t="shared" ca="1" si="1575"/>
        <v>#NAME?</v>
      </c>
      <c r="CL193" s="23" t="e">
        <f t="shared" ref="CL193" ca="1" si="1576">CL48</f>
        <v>#NAME?</v>
      </c>
      <c r="CM193" s="24" t="e">
        <f t="shared" ca="1" si="1575"/>
        <v>#NAME?</v>
      </c>
      <c r="CN193" s="24" t="e">
        <f t="shared" ca="1" si="1575"/>
        <v>#NAME?</v>
      </c>
      <c r="CO193" s="24" t="e">
        <f t="shared" ca="1" si="1575"/>
        <v>#NAME?</v>
      </c>
      <c r="CP193" s="24" t="e">
        <f t="shared" ca="1" si="1575"/>
        <v>#NAME?</v>
      </c>
      <c r="CQ193" s="24" t="e">
        <f t="shared" ca="1" si="1575"/>
        <v>#NAME?</v>
      </c>
      <c r="CR193" s="24" t="e">
        <f t="shared" ca="1" si="1575"/>
        <v>#NAME?</v>
      </c>
      <c r="CS193" s="24" t="e">
        <f t="shared" ca="1" si="1575"/>
        <v>#NAME?</v>
      </c>
      <c r="CT193" s="24" t="e">
        <f t="shared" ca="1" si="1575"/>
        <v>#NAME?</v>
      </c>
      <c r="CU193" s="24" t="e">
        <f t="shared" ref="CU193:DB193" ca="1" si="1577">CU48</f>
        <v>#NAME?</v>
      </c>
      <c r="CV193" s="24" t="e">
        <f t="shared" ca="1" si="1577"/>
        <v>#NAME?</v>
      </c>
      <c r="CW193" s="24" t="e">
        <f t="shared" ca="1" si="1577"/>
        <v>#NAME?</v>
      </c>
      <c r="CX193" s="24" t="e">
        <f t="shared" ca="1" si="1577"/>
        <v>#NAME?</v>
      </c>
      <c r="CY193" s="24" t="e">
        <f t="shared" ca="1" si="1577"/>
        <v>#NAME?</v>
      </c>
      <c r="CZ193" s="24" t="e">
        <f t="shared" ca="1" si="1577"/>
        <v>#NAME?</v>
      </c>
      <c r="DA193" s="24" t="e">
        <f t="shared" ca="1" si="1577"/>
        <v>#NAME?</v>
      </c>
      <c r="DB193" s="24" t="e">
        <f t="shared" ca="1" si="1577"/>
        <v>#NAME?</v>
      </c>
      <c r="DE193" s="123"/>
      <c r="DF193" s="23">
        <v>73.282000000000153</v>
      </c>
    </row>
    <row r="194" spans="1:110" s="23" customFormat="1" x14ac:dyDescent="0.2">
      <c r="A194" s="23" t="s">
        <v>88</v>
      </c>
      <c r="C194" s="23" t="e">
        <f t="shared" ref="C194:AE194" ca="1" si="1578">C32</f>
        <v>#NAME?</v>
      </c>
      <c r="D194" s="23" t="e">
        <f t="shared" ca="1" si="1578"/>
        <v>#NAME?</v>
      </c>
      <c r="E194" s="23" t="e">
        <f t="shared" ca="1" si="1578"/>
        <v>#NAME?</v>
      </c>
      <c r="F194" s="23" t="e">
        <f t="shared" ca="1" si="1578"/>
        <v>#NAME?</v>
      </c>
      <c r="G194" s="23" t="e">
        <f t="shared" ca="1" si="1578"/>
        <v>#NAME?</v>
      </c>
      <c r="H194" s="23" t="e">
        <f t="shared" ca="1" si="1578"/>
        <v>#NAME?</v>
      </c>
      <c r="I194" s="23" t="e">
        <f t="shared" ca="1" si="1578"/>
        <v>#NAME?</v>
      </c>
      <c r="J194" s="23" t="e">
        <f t="shared" ca="1" si="1578"/>
        <v>#NAME?</v>
      </c>
      <c r="K194" s="23" t="e">
        <f t="shared" ca="1" si="1578"/>
        <v>#NAME?</v>
      </c>
      <c r="L194" s="23" t="e">
        <f t="shared" ca="1" si="1578"/>
        <v>#NAME?</v>
      </c>
      <c r="M194" s="23" t="e">
        <f t="shared" ca="1" si="1578"/>
        <v>#NAME?</v>
      </c>
      <c r="N194" s="23" t="e">
        <f t="shared" ca="1" si="1578"/>
        <v>#NAME?</v>
      </c>
      <c r="O194" s="23" t="e">
        <f t="shared" ca="1" si="1578"/>
        <v>#NAME?</v>
      </c>
      <c r="P194" s="23" t="e">
        <f t="shared" ca="1" si="1578"/>
        <v>#NAME?</v>
      </c>
      <c r="Q194" s="23" t="e">
        <f t="shared" ca="1" si="1578"/>
        <v>#NAME?</v>
      </c>
      <c r="R194" s="23" t="e">
        <f t="shared" ca="1" si="1578"/>
        <v>#NAME?</v>
      </c>
      <c r="S194" s="23" t="e">
        <f t="shared" ca="1" si="1578"/>
        <v>#NAME?</v>
      </c>
      <c r="T194" s="23" t="e">
        <f t="shared" ca="1" si="1578"/>
        <v>#NAME?</v>
      </c>
      <c r="U194" s="23" t="e">
        <f t="shared" ca="1" si="1578"/>
        <v>#NAME?</v>
      </c>
      <c r="V194" s="23" t="e">
        <f t="shared" ca="1" si="1578"/>
        <v>#NAME?</v>
      </c>
      <c r="W194" s="23" t="e">
        <f t="shared" ca="1" si="1578"/>
        <v>#NAME?</v>
      </c>
      <c r="X194" s="23" t="e">
        <f t="shared" ca="1" si="1578"/>
        <v>#NAME?</v>
      </c>
      <c r="Y194" s="23" t="e">
        <f t="shared" ca="1" si="1578"/>
        <v>#NAME?</v>
      </c>
      <c r="Z194" s="23" t="e">
        <f t="shared" ca="1" si="1578"/>
        <v>#NAME?</v>
      </c>
      <c r="AA194" s="23" t="e">
        <f t="shared" ref="AA194" ca="1" si="1579">AA32</f>
        <v>#NAME?</v>
      </c>
      <c r="AB194" s="24" t="e">
        <f t="shared" ca="1" si="1578"/>
        <v>#NAME?</v>
      </c>
      <c r="AC194" s="24" t="e">
        <f t="shared" ca="1" si="1578"/>
        <v>#NAME?</v>
      </c>
      <c r="AD194" s="24" t="e">
        <f t="shared" ca="1" si="1578"/>
        <v>#NAME?</v>
      </c>
      <c r="AE194" s="24" t="e">
        <f t="shared" ca="1" si="1578"/>
        <v>#NAME?</v>
      </c>
      <c r="AI194" s="23" t="e">
        <f t="shared" ref="AI194:BN194" ca="1" si="1580">AI32</f>
        <v>#NAME?</v>
      </c>
      <c r="AJ194" s="23" t="e">
        <f t="shared" ca="1" si="1580"/>
        <v>#NAME?</v>
      </c>
      <c r="AK194" s="23" t="e">
        <f t="shared" ca="1" si="1580"/>
        <v>#NAME?</v>
      </c>
      <c r="AL194" s="23" t="e">
        <f t="shared" ca="1" si="1580"/>
        <v>#NAME?</v>
      </c>
      <c r="AM194" s="23" t="e">
        <f t="shared" ca="1" si="1580"/>
        <v>#NAME?</v>
      </c>
      <c r="AN194" s="23" t="e">
        <f t="shared" ca="1" si="1580"/>
        <v>#NAME?</v>
      </c>
      <c r="AO194" s="23" t="e">
        <f t="shared" ca="1" si="1580"/>
        <v>#NAME?</v>
      </c>
      <c r="AP194" s="23" t="e">
        <f t="shared" ca="1" si="1580"/>
        <v>#NAME?</v>
      </c>
      <c r="AQ194" s="23" t="e">
        <f t="shared" ca="1" si="1580"/>
        <v>#NAME?</v>
      </c>
      <c r="AR194" s="23" t="e">
        <f t="shared" ca="1" si="1580"/>
        <v>#NAME?</v>
      </c>
      <c r="AS194" s="23" t="e">
        <f t="shared" ca="1" si="1580"/>
        <v>#NAME?</v>
      </c>
      <c r="AT194" s="23" t="e">
        <f t="shared" ca="1" si="1580"/>
        <v>#NAME?</v>
      </c>
      <c r="AU194" s="23" t="e">
        <f t="shared" ca="1" si="1580"/>
        <v>#NAME?</v>
      </c>
      <c r="AV194" s="23" t="e">
        <f t="shared" ca="1" si="1580"/>
        <v>#NAME?</v>
      </c>
      <c r="AW194" s="23" t="e">
        <f t="shared" ca="1" si="1580"/>
        <v>#NAME?</v>
      </c>
      <c r="AX194" s="23" t="e">
        <f t="shared" ca="1" si="1580"/>
        <v>#NAME?</v>
      </c>
      <c r="AY194" s="23" t="e">
        <f t="shared" ca="1" si="1580"/>
        <v>#NAME?</v>
      </c>
      <c r="AZ194" s="23" t="e">
        <f t="shared" ca="1" si="1580"/>
        <v>#NAME?</v>
      </c>
      <c r="BA194" s="23" t="e">
        <f t="shared" ca="1" si="1580"/>
        <v>#NAME?</v>
      </c>
      <c r="BB194" s="23" t="e">
        <f t="shared" ca="1" si="1580"/>
        <v>#NAME?</v>
      </c>
      <c r="BC194" s="23" t="e">
        <f t="shared" ca="1" si="1580"/>
        <v>#NAME?</v>
      </c>
      <c r="BD194" s="23" t="e">
        <f t="shared" ca="1" si="1580"/>
        <v>#NAME?</v>
      </c>
      <c r="BE194" s="23" t="e">
        <f t="shared" ca="1" si="1580"/>
        <v>#NAME?</v>
      </c>
      <c r="BF194" s="23" t="e">
        <f t="shared" ca="1" si="1580"/>
        <v>#NAME?</v>
      </c>
      <c r="BG194" s="23" t="e">
        <f t="shared" ca="1" si="1580"/>
        <v>#NAME?</v>
      </c>
      <c r="BH194" s="23" t="e">
        <f t="shared" ca="1" si="1580"/>
        <v>#NAME?</v>
      </c>
      <c r="BI194" s="23" t="e">
        <f t="shared" ca="1" si="1580"/>
        <v>#NAME?</v>
      </c>
      <c r="BJ194" s="23" t="e">
        <f t="shared" ca="1" si="1580"/>
        <v>#NAME?</v>
      </c>
      <c r="BK194" s="23" t="e">
        <f t="shared" ca="1" si="1580"/>
        <v>#NAME?</v>
      </c>
      <c r="BL194" s="23" t="e">
        <f t="shared" ca="1" si="1580"/>
        <v>#NAME?</v>
      </c>
      <c r="BM194" s="23" t="e">
        <f t="shared" ca="1" si="1580"/>
        <v>#NAME?</v>
      </c>
      <c r="BN194" s="23" t="e">
        <f t="shared" ca="1" si="1580"/>
        <v>#NAME?</v>
      </c>
      <c r="BO194" s="23" t="e">
        <f t="shared" ref="BO194:CT194" ca="1" si="1581">BO32</f>
        <v>#NAME?</v>
      </c>
      <c r="BP194" s="23" t="e">
        <f t="shared" ca="1" si="1581"/>
        <v>#NAME?</v>
      </c>
      <c r="BQ194" s="23" t="e">
        <f t="shared" ca="1" si="1581"/>
        <v>#NAME?</v>
      </c>
      <c r="BR194" s="23" t="e">
        <f t="shared" ca="1" si="1581"/>
        <v>#NAME?</v>
      </c>
      <c r="BS194" s="23" t="e">
        <f t="shared" ca="1" si="1581"/>
        <v>#NAME?</v>
      </c>
      <c r="BT194" s="23" t="e">
        <f t="shared" ca="1" si="1581"/>
        <v>#NAME?</v>
      </c>
      <c r="BU194" s="23" t="e">
        <f t="shared" ca="1" si="1581"/>
        <v>#NAME?</v>
      </c>
      <c r="BV194" s="23" t="e">
        <f t="shared" ca="1" si="1581"/>
        <v>#NAME?</v>
      </c>
      <c r="BW194" s="23" t="e">
        <f t="shared" ca="1" si="1581"/>
        <v>#NAME?</v>
      </c>
      <c r="BX194" s="23" t="e">
        <f t="shared" ca="1" si="1581"/>
        <v>#NAME?</v>
      </c>
      <c r="BY194" s="23" t="e">
        <f t="shared" ca="1" si="1581"/>
        <v>#NAME?</v>
      </c>
      <c r="BZ194" s="23" t="e">
        <f t="shared" ca="1" si="1581"/>
        <v>#NAME?</v>
      </c>
      <c r="CA194" s="23" t="e">
        <f t="shared" ca="1" si="1581"/>
        <v>#NAME?</v>
      </c>
      <c r="CB194" s="23" t="e">
        <f t="shared" ca="1" si="1581"/>
        <v>#NAME?</v>
      </c>
      <c r="CC194" s="23" t="e">
        <f t="shared" ca="1" si="1581"/>
        <v>#NAME?</v>
      </c>
      <c r="CD194" s="23" t="e">
        <f t="shared" ca="1" si="1581"/>
        <v>#NAME?</v>
      </c>
      <c r="CE194" s="23" t="e">
        <f t="shared" ca="1" si="1581"/>
        <v>#NAME?</v>
      </c>
      <c r="CF194" s="23" t="e">
        <f t="shared" ca="1" si="1581"/>
        <v>#NAME?</v>
      </c>
      <c r="CG194" s="23" t="e">
        <f t="shared" ca="1" si="1581"/>
        <v>#NAME?</v>
      </c>
      <c r="CH194" s="23" t="e">
        <f t="shared" ca="1" si="1581"/>
        <v>#NAME?</v>
      </c>
      <c r="CI194" s="23" t="e">
        <f t="shared" ca="1" si="1581"/>
        <v>#NAME?</v>
      </c>
      <c r="CJ194" s="23" t="e">
        <f t="shared" ca="1" si="1581"/>
        <v>#NAME?</v>
      </c>
      <c r="CK194" s="24" t="e">
        <f t="shared" ca="1" si="1581"/>
        <v>#NAME?</v>
      </c>
      <c r="CL194" s="23" t="e">
        <f t="shared" ref="CL194" ca="1" si="1582">CL32</f>
        <v>#NAME?</v>
      </c>
      <c r="CM194" s="24" t="e">
        <f t="shared" ca="1" si="1581"/>
        <v>#NAME?</v>
      </c>
      <c r="CN194" s="24" t="e">
        <f t="shared" ca="1" si="1581"/>
        <v>#NAME?</v>
      </c>
      <c r="CO194" s="24" t="e">
        <f t="shared" ca="1" si="1581"/>
        <v>#NAME?</v>
      </c>
      <c r="CP194" s="24" t="e">
        <f t="shared" ca="1" si="1581"/>
        <v>#NAME?</v>
      </c>
      <c r="CQ194" s="24" t="e">
        <f t="shared" ca="1" si="1581"/>
        <v>#NAME?</v>
      </c>
      <c r="CR194" s="24" t="e">
        <f t="shared" ca="1" si="1581"/>
        <v>#NAME?</v>
      </c>
      <c r="CS194" s="24" t="e">
        <f t="shared" ca="1" si="1581"/>
        <v>#NAME?</v>
      </c>
      <c r="CT194" s="24" t="e">
        <f t="shared" ca="1" si="1581"/>
        <v>#NAME?</v>
      </c>
      <c r="CU194" s="24" t="e">
        <f t="shared" ref="CU194:DB194" ca="1" si="1583">CU32</f>
        <v>#NAME?</v>
      </c>
      <c r="CV194" s="24" t="e">
        <f t="shared" ca="1" si="1583"/>
        <v>#NAME?</v>
      </c>
      <c r="CW194" s="24" t="e">
        <f t="shared" ca="1" si="1583"/>
        <v>#NAME?</v>
      </c>
      <c r="CX194" s="24" t="e">
        <f t="shared" ca="1" si="1583"/>
        <v>#NAME?</v>
      </c>
      <c r="CY194" s="24" t="e">
        <f t="shared" ca="1" si="1583"/>
        <v>#NAME?</v>
      </c>
      <c r="CZ194" s="24" t="e">
        <f t="shared" ca="1" si="1583"/>
        <v>#NAME?</v>
      </c>
      <c r="DA194" s="24" t="e">
        <f t="shared" ca="1" si="1583"/>
        <v>#NAME?</v>
      </c>
      <c r="DB194" s="24" t="e">
        <f t="shared" ca="1" si="1583"/>
        <v>#NAME?</v>
      </c>
      <c r="DE194" s="123"/>
      <c r="DF194" s="23">
        <v>42.751999999999995</v>
      </c>
    </row>
    <row r="195" spans="1:110" s="22" customFormat="1" x14ac:dyDescent="0.2">
      <c r="A195" s="22" t="s">
        <v>89</v>
      </c>
      <c r="C195" s="22" t="e">
        <f t="shared" ref="C195:W195" ca="1" si="1584">C193+C194</f>
        <v>#NAME?</v>
      </c>
      <c r="D195" s="22" t="e">
        <f t="shared" ca="1" si="1584"/>
        <v>#NAME?</v>
      </c>
      <c r="E195" s="22" t="e">
        <f t="shared" ca="1" si="1584"/>
        <v>#NAME?</v>
      </c>
      <c r="F195" s="22" t="e">
        <f t="shared" ca="1" si="1584"/>
        <v>#NAME?</v>
      </c>
      <c r="G195" s="22" t="e">
        <f t="shared" ca="1" si="1584"/>
        <v>#NAME?</v>
      </c>
      <c r="H195" s="22" t="e">
        <f t="shared" ca="1" si="1584"/>
        <v>#NAME?</v>
      </c>
      <c r="I195" s="22" t="e">
        <f t="shared" ca="1" si="1584"/>
        <v>#NAME?</v>
      </c>
      <c r="J195" s="22" t="e">
        <f t="shared" ca="1" si="1584"/>
        <v>#NAME?</v>
      </c>
      <c r="K195" s="22" t="e">
        <f t="shared" ca="1" si="1584"/>
        <v>#NAME?</v>
      </c>
      <c r="L195" s="22" t="e">
        <f t="shared" ca="1" si="1584"/>
        <v>#NAME?</v>
      </c>
      <c r="M195" s="22" t="e">
        <f t="shared" ca="1" si="1584"/>
        <v>#NAME?</v>
      </c>
      <c r="N195" s="22" t="e">
        <f t="shared" ca="1" si="1584"/>
        <v>#NAME?</v>
      </c>
      <c r="O195" s="22" t="e">
        <f t="shared" ca="1" si="1584"/>
        <v>#NAME?</v>
      </c>
      <c r="P195" s="22" t="e">
        <f t="shared" ca="1" si="1584"/>
        <v>#NAME?</v>
      </c>
      <c r="Q195" s="22" t="e">
        <f t="shared" ca="1" si="1584"/>
        <v>#NAME?</v>
      </c>
      <c r="R195" s="22" t="e">
        <f t="shared" ca="1" si="1584"/>
        <v>#NAME?</v>
      </c>
      <c r="S195" s="22" t="e">
        <f t="shared" ca="1" si="1584"/>
        <v>#NAME?</v>
      </c>
      <c r="T195" s="22" t="e">
        <f t="shared" ca="1" si="1584"/>
        <v>#NAME?</v>
      </c>
      <c r="U195" s="22" t="e">
        <f t="shared" ca="1" si="1584"/>
        <v>#NAME?</v>
      </c>
      <c r="V195" s="22" t="e">
        <f t="shared" ca="1" si="1584"/>
        <v>#NAME?</v>
      </c>
      <c r="W195" s="22" t="e">
        <f t="shared" ca="1" si="1584"/>
        <v>#NAME?</v>
      </c>
      <c r="X195" s="22" t="e">
        <f t="shared" ref="X195:Y195" ca="1" si="1585">X193+X194</f>
        <v>#NAME?</v>
      </c>
      <c r="Y195" s="22" t="e">
        <f t="shared" ca="1" si="1585"/>
        <v>#NAME?</v>
      </c>
      <c r="Z195" s="22" t="e">
        <f t="shared" ref="Z195:AA195" ca="1" si="1586">Z193+Z194</f>
        <v>#NAME?</v>
      </c>
      <c r="AA195" s="22" t="e">
        <f t="shared" ca="1" si="1586"/>
        <v>#NAME?</v>
      </c>
      <c r="AB195" s="21" t="e">
        <f t="shared" ref="AA195:AD195" ca="1" si="1587">AB193+AB194</f>
        <v>#NAME?</v>
      </c>
      <c r="AC195" s="21" t="e">
        <f t="shared" ca="1" si="1587"/>
        <v>#NAME?</v>
      </c>
      <c r="AD195" s="21" t="e">
        <f t="shared" ca="1" si="1587"/>
        <v>#NAME?</v>
      </c>
      <c r="AE195" s="21" t="e">
        <f t="shared" ref="AE195" ca="1" si="1588">AE193+AE194</f>
        <v>#NAME?</v>
      </c>
      <c r="AI195" s="22" t="e">
        <f t="shared" ref="AI195" ca="1" si="1589">AI193+AI194</f>
        <v>#NAME?</v>
      </c>
      <c r="AJ195" s="22" t="e">
        <f t="shared" ref="AJ195:AL195" ca="1" si="1590">AJ193+AJ194</f>
        <v>#NAME?</v>
      </c>
      <c r="AK195" s="22" t="e">
        <f t="shared" ca="1" si="1590"/>
        <v>#NAME?</v>
      </c>
      <c r="AL195" s="22" t="e">
        <f t="shared" ca="1" si="1590"/>
        <v>#NAME?</v>
      </c>
      <c r="AM195" s="22" t="e">
        <f t="shared" ref="AM195" ca="1" si="1591">AM193+AM194</f>
        <v>#NAME?</v>
      </c>
      <c r="AN195" s="22" t="e">
        <f t="shared" ref="AN195:CD195" ca="1" si="1592">AN193+AN194</f>
        <v>#NAME?</v>
      </c>
      <c r="AO195" s="22" t="e">
        <f t="shared" ca="1" si="1592"/>
        <v>#NAME?</v>
      </c>
      <c r="AP195" s="22" t="e">
        <f t="shared" ca="1" si="1592"/>
        <v>#NAME?</v>
      </c>
      <c r="AQ195" s="22" t="e">
        <f t="shared" ca="1" si="1592"/>
        <v>#NAME?</v>
      </c>
      <c r="AR195" s="22" t="e">
        <f t="shared" ca="1" si="1592"/>
        <v>#NAME?</v>
      </c>
      <c r="AS195" s="22" t="e">
        <f t="shared" ca="1" si="1592"/>
        <v>#NAME?</v>
      </c>
      <c r="AT195" s="22" t="e">
        <f t="shared" ca="1" si="1592"/>
        <v>#NAME?</v>
      </c>
      <c r="AU195" s="22" t="e">
        <f t="shared" ca="1" si="1592"/>
        <v>#NAME?</v>
      </c>
      <c r="AV195" s="22" t="e">
        <f t="shared" ca="1" si="1592"/>
        <v>#NAME?</v>
      </c>
      <c r="AW195" s="22" t="e">
        <f t="shared" ca="1" si="1592"/>
        <v>#NAME?</v>
      </c>
      <c r="AX195" s="22" t="e">
        <f t="shared" ca="1" si="1592"/>
        <v>#NAME?</v>
      </c>
      <c r="AY195" s="22" t="e">
        <f t="shared" ca="1" si="1592"/>
        <v>#NAME?</v>
      </c>
      <c r="AZ195" s="22" t="e">
        <f t="shared" ca="1" si="1592"/>
        <v>#NAME?</v>
      </c>
      <c r="BA195" s="22" t="e">
        <f t="shared" ca="1" si="1592"/>
        <v>#NAME?</v>
      </c>
      <c r="BB195" s="22" t="e">
        <f t="shared" ca="1" si="1592"/>
        <v>#NAME?</v>
      </c>
      <c r="BC195" s="22" t="e">
        <f t="shared" ca="1" si="1592"/>
        <v>#NAME?</v>
      </c>
      <c r="BD195" s="22" t="e">
        <f t="shared" ca="1" si="1592"/>
        <v>#NAME?</v>
      </c>
      <c r="BE195" s="22" t="e">
        <f t="shared" ca="1" si="1592"/>
        <v>#NAME?</v>
      </c>
      <c r="BF195" s="22" t="e">
        <f t="shared" ca="1" si="1592"/>
        <v>#NAME?</v>
      </c>
      <c r="BG195" s="22" t="e">
        <f t="shared" ca="1" si="1592"/>
        <v>#NAME?</v>
      </c>
      <c r="BH195" s="22" t="e">
        <f t="shared" ca="1" si="1592"/>
        <v>#NAME?</v>
      </c>
      <c r="BI195" s="22" t="e">
        <f t="shared" ca="1" si="1592"/>
        <v>#NAME?</v>
      </c>
      <c r="BJ195" s="22" t="e">
        <f t="shared" ca="1" si="1592"/>
        <v>#NAME?</v>
      </c>
      <c r="BK195" s="22" t="e">
        <f t="shared" ca="1" si="1592"/>
        <v>#NAME?</v>
      </c>
      <c r="BL195" s="22" t="e">
        <f t="shared" ca="1" si="1592"/>
        <v>#NAME?</v>
      </c>
      <c r="BM195" s="22" t="e">
        <f t="shared" ca="1" si="1592"/>
        <v>#NAME?</v>
      </c>
      <c r="BN195" s="22" t="e">
        <f t="shared" ca="1" si="1592"/>
        <v>#NAME?</v>
      </c>
      <c r="BO195" s="22" t="e">
        <f t="shared" ca="1" si="1592"/>
        <v>#NAME?</v>
      </c>
      <c r="BP195" s="22" t="e">
        <f t="shared" ca="1" si="1592"/>
        <v>#NAME?</v>
      </c>
      <c r="BQ195" s="22" t="e">
        <f t="shared" ca="1" si="1592"/>
        <v>#NAME?</v>
      </c>
      <c r="BR195" s="22" t="e">
        <f t="shared" ca="1" si="1592"/>
        <v>#NAME?</v>
      </c>
      <c r="BS195" s="22" t="e">
        <f t="shared" ca="1" si="1592"/>
        <v>#NAME?</v>
      </c>
      <c r="BT195" s="22" t="e">
        <f t="shared" ca="1" si="1592"/>
        <v>#NAME?</v>
      </c>
      <c r="BU195" s="22" t="e">
        <f t="shared" ca="1" si="1592"/>
        <v>#NAME?</v>
      </c>
      <c r="BV195" s="22" t="e">
        <f t="shared" ca="1" si="1592"/>
        <v>#NAME?</v>
      </c>
      <c r="BW195" s="22" t="e">
        <f t="shared" ca="1" si="1592"/>
        <v>#NAME?</v>
      </c>
      <c r="BX195" s="22" t="e">
        <f t="shared" ca="1" si="1592"/>
        <v>#NAME?</v>
      </c>
      <c r="BY195" s="22" t="e">
        <f t="shared" ca="1" si="1592"/>
        <v>#NAME?</v>
      </c>
      <c r="BZ195" s="22" t="e">
        <f t="shared" ca="1" si="1592"/>
        <v>#NAME?</v>
      </c>
      <c r="CA195" s="22" t="e">
        <f t="shared" ca="1" si="1592"/>
        <v>#NAME?</v>
      </c>
      <c r="CB195" s="22" t="e">
        <f t="shared" ca="1" si="1592"/>
        <v>#NAME?</v>
      </c>
      <c r="CC195" s="22" t="e">
        <f t="shared" ca="1" si="1592"/>
        <v>#NAME?</v>
      </c>
      <c r="CD195" s="22" t="e">
        <f t="shared" ca="1" si="1592"/>
        <v>#NAME?</v>
      </c>
      <c r="CE195" s="22" t="e">
        <f t="shared" ref="CE195:CF195" ca="1" si="1593">CE193+CE194</f>
        <v>#NAME?</v>
      </c>
      <c r="CF195" s="22" t="e">
        <f t="shared" ca="1" si="1593"/>
        <v>#NAME?</v>
      </c>
      <c r="CG195" s="22" t="e">
        <f t="shared" ref="CG195:CH195" ca="1" si="1594">CG193+CG194</f>
        <v>#NAME?</v>
      </c>
      <c r="CH195" s="22" t="e">
        <f t="shared" ca="1" si="1594"/>
        <v>#NAME?</v>
      </c>
      <c r="CI195" s="22" t="e">
        <f t="shared" ref="CI195:CJ195" ca="1" si="1595">CI193+CI194</f>
        <v>#NAME?</v>
      </c>
      <c r="CJ195" s="22" t="e">
        <f t="shared" ca="1" si="1595"/>
        <v>#NAME?</v>
      </c>
      <c r="CK195" s="21" t="e">
        <f t="shared" ref="CK195:DB195" ca="1" si="1596">CK193+CK194</f>
        <v>#NAME?</v>
      </c>
      <c r="CL195" s="22" t="e">
        <f t="shared" ca="1" si="1596"/>
        <v>#NAME?</v>
      </c>
      <c r="CM195" s="21" t="e">
        <f t="shared" ca="1" si="1596"/>
        <v>#NAME?</v>
      </c>
      <c r="CN195" s="21" t="e">
        <f t="shared" ca="1" si="1596"/>
        <v>#NAME?</v>
      </c>
      <c r="CO195" s="21" t="e">
        <f t="shared" ca="1" si="1596"/>
        <v>#NAME?</v>
      </c>
      <c r="CP195" s="21" t="e">
        <f t="shared" ca="1" si="1596"/>
        <v>#NAME?</v>
      </c>
      <c r="CQ195" s="21" t="e">
        <f t="shared" ca="1" si="1596"/>
        <v>#NAME?</v>
      </c>
      <c r="CR195" s="21" t="e">
        <f t="shared" ca="1" si="1596"/>
        <v>#NAME?</v>
      </c>
      <c r="CS195" s="21" t="e">
        <f t="shared" ca="1" si="1596"/>
        <v>#NAME?</v>
      </c>
      <c r="CT195" s="21" t="e">
        <f t="shared" ca="1" si="1596"/>
        <v>#NAME?</v>
      </c>
      <c r="CU195" s="21" t="e">
        <f t="shared" ca="1" si="1596"/>
        <v>#NAME?</v>
      </c>
      <c r="CV195" s="21" t="e">
        <f t="shared" ca="1" si="1596"/>
        <v>#NAME?</v>
      </c>
      <c r="CW195" s="21" t="e">
        <f t="shared" ca="1" si="1596"/>
        <v>#NAME?</v>
      </c>
      <c r="CX195" s="21" t="e">
        <f t="shared" ca="1" si="1596"/>
        <v>#NAME?</v>
      </c>
      <c r="CY195" s="21" t="e">
        <f t="shared" ca="1" si="1596"/>
        <v>#NAME?</v>
      </c>
      <c r="CZ195" s="21" t="e">
        <f t="shared" ca="1" si="1596"/>
        <v>#NAME?</v>
      </c>
      <c r="DA195" s="21" t="e">
        <f t="shared" ca="1" si="1596"/>
        <v>#NAME?</v>
      </c>
      <c r="DB195" s="21" t="e">
        <f t="shared" ca="1" si="1596"/>
        <v>#NAME?</v>
      </c>
      <c r="DE195" s="126"/>
      <c r="DF195" s="22">
        <v>116.03400000000015</v>
      </c>
    </row>
    <row r="196" spans="1:110" s="23" customFormat="1" x14ac:dyDescent="0.2">
      <c r="A196" s="23" t="s">
        <v>65</v>
      </c>
      <c r="C196" s="23" t="e">
        <f t="shared" ref="C196:AA196" ca="1" si="1597">B148-C148+B163+B164-C163-C164</f>
        <v>#NAME?</v>
      </c>
      <c r="D196" s="23" t="e">
        <f t="shared" ca="1" si="1597"/>
        <v>#NAME?</v>
      </c>
      <c r="E196" s="23" t="e">
        <f ca="1">D148-E148+D163+D164-E163-E164</f>
        <v>#NAME?</v>
      </c>
      <c r="F196" s="23" t="e">
        <f t="shared" ca="1" si="1597"/>
        <v>#NAME?</v>
      </c>
      <c r="G196" s="23" t="e">
        <f t="shared" ca="1" si="1597"/>
        <v>#NAME?</v>
      </c>
      <c r="H196" s="23" t="e">
        <f t="shared" ca="1" si="1597"/>
        <v>#NAME?</v>
      </c>
      <c r="I196" s="23" t="e">
        <f t="shared" ca="1" si="1597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7"/>
        <v>#NAME?</v>
      </c>
      <c r="M196" s="23" t="e">
        <f t="shared" ca="1" si="1597"/>
        <v>#NAME?</v>
      </c>
      <c r="N196" s="23" t="e">
        <f t="shared" ca="1" si="1597"/>
        <v>#NAME?</v>
      </c>
      <c r="O196" s="23" t="e">
        <f t="shared" ca="1" si="1597"/>
        <v>#NAME?</v>
      </c>
      <c r="P196" s="23" t="e">
        <f t="shared" ca="1" si="1597"/>
        <v>#NAME?</v>
      </c>
      <c r="Q196" s="23" t="e">
        <f t="shared" ca="1" si="1597"/>
        <v>#NAME?</v>
      </c>
      <c r="R196" s="23" t="e">
        <f t="shared" ca="1" si="1597"/>
        <v>#NAME?</v>
      </c>
      <c r="S196" s="23" t="e">
        <f t="shared" ca="1" si="1597"/>
        <v>#NAME?</v>
      </c>
      <c r="T196" s="23" t="e">
        <f t="shared" ca="1" si="1597"/>
        <v>#NAME?</v>
      </c>
      <c r="U196" s="23" t="e">
        <f t="shared" ca="1" si="1597"/>
        <v>#NAME?</v>
      </c>
      <c r="V196" s="23" t="e">
        <f t="shared" ca="1" si="1597"/>
        <v>#NAME?</v>
      </c>
      <c r="W196" s="23" t="e">
        <f t="shared" ca="1" si="1597"/>
        <v>#NAME?</v>
      </c>
      <c r="X196" s="23" t="e">
        <f t="shared" ca="1" si="1597"/>
        <v>#NAME?</v>
      </c>
      <c r="Y196" s="23" t="e">
        <f t="shared" ca="1" si="1597"/>
        <v>#NAME?</v>
      </c>
      <c r="Z196" s="23" t="e">
        <f t="shared" ca="1" si="1597"/>
        <v>#NAME?</v>
      </c>
      <c r="AA196" s="23" t="e">
        <f t="shared" ca="1" si="1597"/>
        <v>#NAME?</v>
      </c>
      <c r="AB196" s="24" t="e">
        <f t="shared" ref="AB196" ca="1" si="1598">AA148-AB148+AA163+AA164-AB163-AB164</f>
        <v>#NAME?</v>
      </c>
      <c r="AC196" s="24" t="e">
        <f t="shared" ref="AC196" ca="1" si="1599">AB148-AC148+AB163+AB164-AC163-AC164</f>
        <v>#NAME?</v>
      </c>
      <c r="AD196" s="24" t="e">
        <f t="shared" ref="AD196" ca="1" si="1600">AC148-AD148+AC163+AC164-AD163-AD164</f>
        <v>#NAME?</v>
      </c>
      <c r="AE196" s="24" t="e">
        <f t="shared" ref="AE196" ca="1" si="1601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02">AI148-AJ148+AI163+AI164-AJ163-AK164</f>
        <v>#NAME?</v>
      </c>
      <c r="AK196" s="23" t="e">
        <f t="shared" ca="1" si="1602"/>
        <v>#NAME?</v>
      </c>
      <c r="AL196" s="23" t="e">
        <f t="shared" ca="1" si="1602"/>
        <v>#NAME?</v>
      </c>
      <c r="AM196" s="23" t="e">
        <f t="shared" ref="AM196" ca="1" si="1603">AL148-AM148+AL163+AL164-AM163-AM164</f>
        <v>#NAME?</v>
      </c>
      <c r="AN196" s="23" t="e">
        <f t="shared" ref="AN196" ca="1" si="1604">AM148-AN148+AM163+AM164-AN163-AN164</f>
        <v>#NAME?</v>
      </c>
      <c r="AO196" s="23" t="e">
        <f t="shared" ref="AO196" ca="1" si="1605">AN148-AO148+AN163+AN164-AO163-AO164</f>
        <v>#NAME?</v>
      </c>
      <c r="AP196" s="23" t="e">
        <f t="shared" ref="AP196" ca="1" si="1606">AO148-AP148+AO163+AO164-AP163-AP164</f>
        <v>#NAME?</v>
      </c>
      <c r="AQ196" s="23" t="e">
        <f t="shared" ref="AQ196" ca="1" si="1607">AP148-AQ148+AP163+AP164-AQ163-AQ164</f>
        <v>#NAME?</v>
      </c>
      <c r="AR196" s="23" t="e">
        <f t="shared" ref="AR196" ca="1" si="1608">AQ148-AR148+AQ163+AQ164-AR163-AR164</f>
        <v>#NAME?</v>
      </c>
      <c r="AS196" s="23" t="e">
        <f t="shared" ref="AS196" ca="1" si="1609">AR148-AS148+AR163+AR164-AS163-AS164</f>
        <v>#NAME?</v>
      </c>
      <c r="AT196" s="23" t="e">
        <f t="shared" ref="AT196" ca="1" si="1610">AS148-AT148+AS163+AS164-AT163-AT164</f>
        <v>#NAME?</v>
      </c>
      <c r="AU196" s="23" t="e">
        <f t="shared" ref="AU196" ca="1" si="1611">AT148-AU148+AT163+AT164-AU163-AU164</f>
        <v>#NAME?</v>
      </c>
      <c r="AV196" s="23" t="e">
        <f t="shared" ref="AV196" ca="1" si="1612">AU148-AV148+AU163+AU164-AV163-AV164</f>
        <v>#NAME?</v>
      </c>
      <c r="AW196" s="23" t="e">
        <f t="shared" ref="AW196" ca="1" si="1613">AV148-AW148+AV163+AV164-AW163-AW164</f>
        <v>#NAME?</v>
      </c>
      <c r="AX196" s="23" t="e">
        <f t="shared" ref="AX196" ca="1" si="1614">AW148-AX148+AW163+AW164-AX163-AX164</f>
        <v>#NAME?</v>
      </c>
      <c r="AY196" s="23" t="e">
        <f t="shared" ref="AY196" ca="1" si="1615">AX148-AY148+AX163+AX164-AY163-AY164</f>
        <v>#NAME?</v>
      </c>
      <c r="AZ196" s="23" t="e">
        <f t="shared" ref="AZ196" ca="1" si="1616">AY148-AZ148+AY163+AY164-AZ163-AZ164</f>
        <v>#NAME?</v>
      </c>
      <c r="BA196" s="23" t="e">
        <f t="shared" ref="BA196" ca="1" si="1617">AZ148-BA148+AZ163+AZ164-BA163-BA164</f>
        <v>#NAME?</v>
      </c>
      <c r="BB196" s="23" t="e">
        <f t="shared" ref="BB196" ca="1" si="1618">BA148-BB148+BA163+BA164-BB163-BB164</f>
        <v>#NAME?</v>
      </c>
      <c r="BC196" s="23" t="e">
        <f t="shared" ref="BC196" ca="1" si="1619">BB148-BC148+BB163+BB164-BC163-BC164</f>
        <v>#NAME?</v>
      </c>
      <c r="BD196" s="23" t="e">
        <f t="shared" ref="BD196" ca="1" si="1620">BC148-BD148+BC163+BC164-BD163-BD164</f>
        <v>#NAME?</v>
      </c>
      <c r="BE196" s="23" t="e">
        <f t="shared" ref="BE196" ca="1" si="1621">BD148-BE148+BD163+BD164-BE163-BE164</f>
        <v>#NAME?</v>
      </c>
      <c r="BF196" s="23" t="e">
        <f t="shared" ref="BF196" ca="1" si="1622">BE148-BF148+BE163+BE164-BF163-BF164</f>
        <v>#NAME?</v>
      </c>
      <c r="BG196" s="23" t="e">
        <f t="shared" ref="BG196" ca="1" si="1623">BF148-BG148+BF163+BF164-BG163-BG164</f>
        <v>#NAME?</v>
      </c>
      <c r="BH196" s="23" t="e">
        <f t="shared" ref="BH196" ca="1" si="1624">BG148-BH148+BG163+BG164-BH163-BH164</f>
        <v>#NAME?</v>
      </c>
      <c r="BI196" s="23" t="e">
        <f t="shared" ref="BI196" ca="1" si="1625">BH148-BI148+BH163+BH164-BI163-BI164</f>
        <v>#NAME?</v>
      </c>
      <c r="BJ196" s="23" t="e">
        <f t="shared" ref="BJ196" ca="1" si="1626">BI148-BJ148+BI163+BI164-BJ163-BJ164</f>
        <v>#NAME?</v>
      </c>
      <c r="BK196" s="23" t="e">
        <f t="shared" ref="BK196" ca="1" si="1627">BJ148-BK148+BJ163+BJ164-BK163-BK164</f>
        <v>#NAME?</v>
      </c>
      <c r="BL196" s="23" t="e">
        <f t="shared" ref="BL196" ca="1" si="1628">BK148-BL148+BK163+BK164-BL163-BL164</f>
        <v>#NAME?</v>
      </c>
      <c r="BM196" s="23" t="e">
        <f t="shared" ref="BM196" ca="1" si="1629">BL148-BM148+BL163+BL164-BM163-BM164</f>
        <v>#NAME?</v>
      </c>
      <c r="BN196" s="23" t="e">
        <f t="shared" ref="BN196" ca="1" si="1630">BM148-BN148+BM163+BM164-BN163-BN164</f>
        <v>#NAME?</v>
      </c>
      <c r="BO196" s="23" t="e">
        <f t="shared" ref="BO196" ca="1" si="1631">BN148-BO148+BN163+BN164-BO163-BO164</f>
        <v>#NAME?</v>
      </c>
      <c r="BP196" s="23" t="e">
        <f t="shared" ref="BP196" ca="1" si="1632">BO148-BP148+BO163+BO164-BP163-BP164</f>
        <v>#NAME?</v>
      </c>
      <c r="BQ196" s="23" t="e">
        <f t="shared" ref="BQ196" ca="1" si="1633">BP148-BQ148+BP163+BP164-BQ163-BQ164</f>
        <v>#NAME?</v>
      </c>
      <c r="BR196" s="23" t="e">
        <f t="shared" ref="BR196" ca="1" si="1634">BQ148-BR148+BQ163+BQ164-BR163-BR164</f>
        <v>#NAME?</v>
      </c>
      <c r="BS196" s="23" t="e">
        <f t="shared" ref="BS196" ca="1" si="1635">BR148-BS148+BR163+BR164-BS163-BS164</f>
        <v>#NAME?</v>
      </c>
      <c r="BT196" s="23" t="e">
        <f t="shared" ref="BT196" ca="1" si="1636">BS148-BT148+BS163+BS164-BT163-BT164</f>
        <v>#NAME?</v>
      </c>
      <c r="BU196" s="23" t="e">
        <f t="shared" ref="BU196" ca="1" si="1637">BT148-BU148+BT163+BT164-BU163-BU164</f>
        <v>#NAME?</v>
      </c>
      <c r="BV196" s="23" t="e">
        <f t="shared" ref="BV196" ca="1" si="1638">BU148-BV148+BU163+BU164-BV163-BV164</f>
        <v>#NAME?</v>
      </c>
      <c r="BW196" s="23" t="e">
        <f t="shared" ref="BW196" ca="1" si="1639">BV148-BW148+BV163+BV164-BW163-BW164</f>
        <v>#NAME?</v>
      </c>
      <c r="BX196" s="23" t="e">
        <f t="shared" ref="BX196" ca="1" si="1640">BW148-BX148+BW163+BW164-BX163-BX164</f>
        <v>#NAME?</v>
      </c>
      <c r="BY196" s="23" t="e">
        <f t="shared" ref="BY196" ca="1" si="1641">BX148-BY148+BX163+BX164-BY163-BY164</f>
        <v>#NAME?</v>
      </c>
      <c r="BZ196" s="23" t="e">
        <f t="shared" ref="BZ196" ca="1" si="1642">BY148-BZ148+BY163+BY164-BZ163-BZ164</f>
        <v>#NAME?</v>
      </c>
      <c r="CA196" s="23" t="e">
        <f t="shared" ref="CA196" ca="1" si="1643">BZ148-CA148+BZ163+BZ164-CA163-CA164</f>
        <v>#NAME?</v>
      </c>
      <c r="CB196" s="23" t="e">
        <f t="shared" ref="CB196" ca="1" si="1644">CA148-CB148+CA163+CA164-CB163-CB164</f>
        <v>#NAME?</v>
      </c>
      <c r="CC196" s="23" t="e">
        <f t="shared" ref="CC196" ca="1" si="1645">CB148-CC148+CB163+CB164-CC163-CC164</f>
        <v>#NAME?</v>
      </c>
      <c r="CD196" s="23" t="e">
        <f t="shared" ref="CD196" ca="1" si="1646">CC148-CD148+CC163+CC164-CD163-CD164</f>
        <v>#NAME?</v>
      </c>
      <c r="CE196" s="23" t="e">
        <f t="shared" ref="CE196" ca="1" si="1647">CD148-CE148+CD163+CD164-CE163-CE164</f>
        <v>#NAME?</v>
      </c>
      <c r="CF196" s="23" t="e">
        <f t="shared" ref="CF196" ca="1" si="1648">CE148-CF148+CE163+CE164-CF163-CF164</f>
        <v>#NAME?</v>
      </c>
      <c r="CG196" s="23" t="e">
        <f t="shared" ref="CG196" ca="1" si="1649">CF148-CG148+CF163+CF164-CG163-CG164</f>
        <v>#NAME?</v>
      </c>
      <c r="CH196" s="23" t="e">
        <f t="shared" ref="CH196:CL196" ca="1" si="1650">CG148-CH148+CG163+CG164-CH163-CH164</f>
        <v>#NAME?</v>
      </c>
      <c r="CI196" s="23" t="e">
        <f t="shared" ca="1" si="1650"/>
        <v>#NAME?</v>
      </c>
      <c r="CJ196" s="23" t="e">
        <f t="shared" ca="1" si="1650"/>
        <v>#NAME?</v>
      </c>
      <c r="CK196" s="24" t="e">
        <f t="shared" ref="CK196" ca="1" si="1651">CJ148-CK148+CJ163+CJ164-CK163-CK164</f>
        <v>#NAME?</v>
      </c>
      <c r="CL196" s="23" t="e">
        <f t="shared" ca="1" si="1650"/>
        <v>#NAME?</v>
      </c>
      <c r="CM196" s="24" t="e">
        <f t="shared" ref="CM196" ca="1" si="1652">CL148-CM148+CL163+CL164-CM163-CM164</f>
        <v>#NAME?</v>
      </c>
      <c r="CN196" s="24" t="e">
        <f t="shared" ref="CN196" ca="1" si="1653">CM148-CN148+CM163+CM164-CN163-CN164</f>
        <v>#NAME?</v>
      </c>
      <c r="CO196" s="24" t="e">
        <f t="shared" ref="CO196" ca="1" si="1654">CN148-CO148+CN163+CN164-CO163-CO164</f>
        <v>#NAME?</v>
      </c>
      <c r="CP196" s="24" t="e">
        <f t="shared" ref="CP196" ca="1" si="1655">CO148-CP148+CO163+CO164-CP163-CP164</f>
        <v>#NAME?</v>
      </c>
      <c r="CQ196" s="24" t="e">
        <f t="shared" ref="CQ196" ca="1" si="1656">CP148-CQ148+CP163+CP164-CQ163-CQ164</f>
        <v>#NAME?</v>
      </c>
      <c r="CR196" s="24" t="e">
        <f t="shared" ref="CR196" ca="1" si="1657">CQ148-CR148+CQ163+CQ164-CR163-CR164</f>
        <v>#NAME?</v>
      </c>
      <c r="CS196" s="24" t="e">
        <f t="shared" ref="CS196" ca="1" si="1658">CR148-CS148+CR163+CR164-CS163-CS164</f>
        <v>#NAME?</v>
      </c>
      <c r="CT196" s="24" t="e">
        <f t="shared" ref="CT196" ca="1" si="1659">CS148-CT148+CS163+CS164-CT163-CT164</f>
        <v>#NAME?</v>
      </c>
      <c r="CU196" s="24" t="e">
        <f t="shared" ref="CU196" ca="1" si="1660">CT148-CU148+CT163+CT164-CU163-CU164</f>
        <v>#NAME?</v>
      </c>
      <c r="CV196" s="24" t="e">
        <f t="shared" ref="CV196" ca="1" si="1661">CU148-CV148+CU163+CU164-CV163-CV164</f>
        <v>#NAME?</v>
      </c>
      <c r="CW196" s="24" t="e">
        <f t="shared" ref="CW196" ca="1" si="1662">CV148-CW148+CV163+CV164-CW163-CW164</f>
        <v>#NAME?</v>
      </c>
      <c r="CX196" s="24" t="e">
        <f t="shared" ref="CX196" ca="1" si="1663">CW148-CX148+CW163+CW164-CX163-CX164</f>
        <v>#NAME?</v>
      </c>
      <c r="CY196" s="24" t="e">
        <f t="shared" ref="CY196" ca="1" si="1664">CX148-CY148+CX163+CX164-CY163-CY164</f>
        <v>#NAME?</v>
      </c>
      <c r="CZ196" s="24" t="e">
        <f t="shared" ref="CZ196" ca="1" si="1665">CY148-CZ148+CY163+CY164-CZ163-CZ164</f>
        <v>#NAME?</v>
      </c>
      <c r="DA196" s="24" t="e">
        <f t="shared" ref="DA196" ca="1" si="1666">CZ148-DA148+CZ163+CZ164-DA163-DA164</f>
        <v>#NAME?</v>
      </c>
      <c r="DB196" s="24" t="e">
        <f t="shared" ref="DB196" ca="1" si="1667">DA148-DB148+DA163+DA164-DB163-DB164</f>
        <v>#NAME?</v>
      </c>
      <c r="DE196" s="123"/>
      <c r="DF196" s="23">
        <v>-158.05500000000001</v>
      </c>
    </row>
    <row r="197" spans="1:110" s="23" customFormat="1" x14ac:dyDescent="0.2">
      <c r="A197" s="23" t="s">
        <v>73</v>
      </c>
      <c r="C197" s="23" t="e">
        <f t="shared" ref="C197:AA197" ca="1" si="1668">B156-C156</f>
        <v>#NAME?</v>
      </c>
      <c r="D197" s="23" t="e">
        <f t="shared" ca="1" si="1668"/>
        <v>#NAME?</v>
      </c>
      <c r="E197" s="23" t="e">
        <f ca="1">D156-E156</f>
        <v>#NAME?</v>
      </c>
      <c r="F197" s="23" t="e">
        <f t="shared" ca="1" si="1668"/>
        <v>#NAME?</v>
      </c>
      <c r="G197" s="23" t="e">
        <f t="shared" ca="1" si="1668"/>
        <v>#NAME?</v>
      </c>
      <c r="H197" s="23" t="e">
        <f t="shared" ca="1" si="1668"/>
        <v>#NAME?</v>
      </c>
      <c r="I197" s="23" t="e">
        <f t="shared" ca="1" si="1668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8"/>
        <v>#NAME?</v>
      </c>
      <c r="M197" s="23" t="e">
        <f t="shared" ca="1" si="1668"/>
        <v>#NAME?</v>
      </c>
      <c r="N197" s="23" t="e">
        <f t="shared" ca="1" si="1668"/>
        <v>#NAME?</v>
      </c>
      <c r="O197" s="23" t="e">
        <f t="shared" ca="1" si="1668"/>
        <v>#NAME?</v>
      </c>
      <c r="P197" s="23" t="e">
        <f t="shared" ca="1" si="1668"/>
        <v>#NAME?</v>
      </c>
      <c r="Q197" s="23" t="e">
        <f t="shared" ca="1" si="1668"/>
        <v>#NAME?</v>
      </c>
      <c r="R197" s="23" t="e">
        <f t="shared" ca="1" si="1668"/>
        <v>#NAME?</v>
      </c>
      <c r="S197" s="23" t="e">
        <f t="shared" ca="1" si="1668"/>
        <v>#NAME?</v>
      </c>
      <c r="T197" s="23" t="e">
        <f t="shared" ca="1" si="1668"/>
        <v>#NAME?</v>
      </c>
      <c r="U197" s="23" t="e">
        <f t="shared" ca="1" si="1668"/>
        <v>#NAME?</v>
      </c>
      <c r="V197" s="23" t="e">
        <f t="shared" ca="1" si="1668"/>
        <v>#NAME?</v>
      </c>
      <c r="W197" s="23" t="e">
        <f t="shared" ca="1" si="1668"/>
        <v>#NAME?</v>
      </c>
      <c r="X197" s="23" t="e">
        <f t="shared" ca="1" si="1668"/>
        <v>#NAME?</v>
      </c>
      <c r="Y197" s="23" t="e">
        <f t="shared" ca="1" si="1668"/>
        <v>#NAME?</v>
      </c>
      <c r="Z197" s="23" t="e">
        <f t="shared" ca="1" si="1668"/>
        <v>#NAME?</v>
      </c>
      <c r="AA197" s="23" t="e">
        <f t="shared" ca="1" si="1668"/>
        <v>#NAME?</v>
      </c>
      <c r="AB197" s="24" t="e">
        <f t="shared" ref="AB197" ca="1" si="1669">AA156-AB156</f>
        <v>#NAME?</v>
      </c>
      <c r="AC197" s="24" t="e">
        <f t="shared" ref="AC197" ca="1" si="1670">AB156-AC156</f>
        <v>#NAME?</v>
      </c>
      <c r="AD197" s="24" t="e">
        <f t="shared" ref="AD197" ca="1" si="1671">AC156-AD156</f>
        <v>#NAME?</v>
      </c>
      <c r="AE197" s="24" t="e">
        <f t="shared" ref="AE197" ca="1" si="1672">AD156-AE156</f>
        <v>#NAME?</v>
      </c>
      <c r="AI197" s="23">
        <f t="shared" ref="AI197" si="1673">AH156-AI156</f>
        <v>0</v>
      </c>
      <c r="AJ197" s="23" t="e">
        <f t="shared" ref="AJ197" ca="1" si="1674">AI156-AJ156</f>
        <v>#NAME?</v>
      </c>
      <c r="AK197" s="23" t="e">
        <f t="shared" ref="AK197" ca="1" si="1675">AJ156-AK156</f>
        <v>#NAME?</v>
      </c>
      <c r="AL197" s="23" t="e">
        <f t="shared" ref="AL197" ca="1" si="1676">AK156-AL156</f>
        <v>#NAME?</v>
      </c>
      <c r="AM197" s="23" t="e">
        <f t="shared" ref="AM197" ca="1" si="1677">AL156-AM156</f>
        <v>#NAME?</v>
      </c>
      <c r="AN197" s="23" t="e">
        <f t="shared" ref="AN197" ca="1" si="1678">AM156-AN156</f>
        <v>#NAME?</v>
      </c>
      <c r="AO197" s="23" t="e">
        <f t="shared" ref="AO197" ca="1" si="1679">AN156-AO156</f>
        <v>#NAME?</v>
      </c>
      <c r="AP197" s="23" t="e">
        <f t="shared" ref="AP197" ca="1" si="1680">AO156-AP156</f>
        <v>#NAME?</v>
      </c>
      <c r="AQ197" s="23" t="e">
        <f t="shared" ref="AQ197" ca="1" si="1681">AP156-AQ156</f>
        <v>#NAME?</v>
      </c>
      <c r="AR197" s="23" t="e">
        <f t="shared" ref="AR197" ca="1" si="1682">AQ156-AR156</f>
        <v>#NAME?</v>
      </c>
      <c r="AS197" s="23" t="e">
        <f t="shared" ref="AS197" ca="1" si="1683">AR156-AS156</f>
        <v>#NAME?</v>
      </c>
      <c r="AT197" s="23" t="e">
        <f t="shared" ref="AT197" ca="1" si="1684">AS156-AT156</f>
        <v>#NAME?</v>
      </c>
      <c r="AU197" s="23" t="e">
        <f t="shared" ref="AU197" ca="1" si="1685">AT156-AU156</f>
        <v>#NAME?</v>
      </c>
      <c r="AV197" s="23" t="e">
        <f t="shared" ref="AV197" ca="1" si="1686">AU156-AV156</f>
        <v>#NAME?</v>
      </c>
      <c r="AW197" s="23" t="e">
        <f t="shared" ref="AW197" ca="1" si="1687">AV156-AW156</f>
        <v>#NAME?</v>
      </c>
      <c r="AX197" s="23" t="e">
        <f t="shared" ref="AX197" ca="1" si="1688">AW156-AX156</f>
        <v>#NAME?</v>
      </c>
      <c r="AY197" s="23" t="e">
        <f t="shared" ref="AY197" ca="1" si="1689">AX156-AY156</f>
        <v>#NAME?</v>
      </c>
      <c r="AZ197" s="23" t="e">
        <f t="shared" ref="AZ197" ca="1" si="1690">AY156-AZ156</f>
        <v>#NAME?</v>
      </c>
      <c r="BA197" s="23" t="e">
        <f t="shared" ref="BA197" ca="1" si="1691">AZ156-BA156</f>
        <v>#NAME?</v>
      </c>
      <c r="BB197" s="23" t="e">
        <f t="shared" ref="BB197" ca="1" si="1692">BA156-BB156</f>
        <v>#NAME?</v>
      </c>
      <c r="BC197" s="23" t="e">
        <f t="shared" ref="BC197" ca="1" si="1693">BB156-BC156</f>
        <v>#NAME?</v>
      </c>
      <c r="BD197" s="23" t="e">
        <f t="shared" ref="BD197" ca="1" si="1694">BC156-BD156</f>
        <v>#NAME?</v>
      </c>
      <c r="BE197" s="23" t="e">
        <f t="shared" ref="BE197" ca="1" si="1695">BD156-BE156</f>
        <v>#NAME?</v>
      </c>
      <c r="BF197" s="23" t="e">
        <f t="shared" ref="BF197" ca="1" si="1696">BE156-BF156</f>
        <v>#NAME?</v>
      </c>
      <c r="BG197" s="23" t="e">
        <f t="shared" ref="BG197" ca="1" si="1697">BF156-BG156</f>
        <v>#NAME?</v>
      </c>
      <c r="BH197" s="23" t="e">
        <f t="shared" ref="BH197" ca="1" si="1698">BG156-BH156</f>
        <v>#NAME?</v>
      </c>
      <c r="BI197" s="23" t="e">
        <f t="shared" ref="BI197" ca="1" si="1699">BH156-BI156</f>
        <v>#NAME?</v>
      </c>
      <c r="BJ197" s="23" t="e">
        <f t="shared" ref="BJ197" ca="1" si="1700">BI156-BJ156</f>
        <v>#NAME?</v>
      </c>
      <c r="BK197" s="23" t="e">
        <f t="shared" ref="BK197" ca="1" si="1701">BJ156-BK156</f>
        <v>#NAME?</v>
      </c>
      <c r="BL197" s="23" t="e">
        <f t="shared" ref="BL197" ca="1" si="1702">BK156-BL156</f>
        <v>#NAME?</v>
      </c>
      <c r="BM197" s="23" t="e">
        <f t="shared" ref="BM197" ca="1" si="1703">BL156-BM156</f>
        <v>#NAME?</v>
      </c>
      <c r="BN197" s="23" t="e">
        <f t="shared" ref="BN197" ca="1" si="1704">BM156-BN156</f>
        <v>#NAME?</v>
      </c>
      <c r="BO197" s="23" t="e">
        <f t="shared" ref="BO197" ca="1" si="1705">BN156-BO156</f>
        <v>#NAME?</v>
      </c>
      <c r="BP197" s="23" t="e">
        <f t="shared" ref="BP197" ca="1" si="1706">BO156-BP156</f>
        <v>#NAME?</v>
      </c>
      <c r="BQ197" s="23" t="e">
        <f t="shared" ref="BQ197" ca="1" si="1707">BP156-BQ156</f>
        <v>#NAME?</v>
      </c>
      <c r="BR197" s="23" t="e">
        <f t="shared" ref="BR197" ca="1" si="1708">BQ156-BR156</f>
        <v>#NAME?</v>
      </c>
      <c r="BS197" s="23" t="e">
        <f t="shared" ref="BS197" ca="1" si="1709">BR156-BS156</f>
        <v>#NAME?</v>
      </c>
      <c r="BT197" s="23" t="e">
        <f t="shared" ref="BT197" ca="1" si="1710">BS156-BT156</f>
        <v>#NAME?</v>
      </c>
      <c r="BU197" s="23" t="e">
        <f t="shared" ref="BU197" ca="1" si="1711">BT156-BU156</f>
        <v>#NAME?</v>
      </c>
      <c r="BV197" s="23" t="e">
        <f t="shared" ref="BV197" ca="1" si="1712">BU156-BV156</f>
        <v>#NAME?</v>
      </c>
      <c r="BW197" s="23" t="e">
        <f t="shared" ref="BW197" ca="1" si="1713">BV156-BW156</f>
        <v>#NAME?</v>
      </c>
      <c r="BX197" s="23" t="e">
        <f t="shared" ref="BX197" ca="1" si="1714">BW156-BX156</f>
        <v>#NAME?</v>
      </c>
      <c r="BY197" s="23" t="e">
        <f t="shared" ref="BY197" ca="1" si="1715">BX156-BY156</f>
        <v>#NAME?</v>
      </c>
      <c r="BZ197" s="23" t="e">
        <f t="shared" ref="BZ197" ca="1" si="1716">BY156-BZ156</f>
        <v>#NAME?</v>
      </c>
      <c r="CA197" s="23" t="e">
        <f t="shared" ref="CA197" ca="1" si="1717">BZ156-CA156</f>
        <v>#NAME?</v>
      </c>
      <c r="CB197" s="23" t="e">
        <f t="shared" ref="CB197" ca="1" si="1718">CA156-CB156</f>
        <v>#NAME?</v>
      </c>
      <c r="CC197" s="23" t="e">
        <f t="shared" ref="CC197" ca="1" si="1719">CB156-CC156</f>
        <v>#NAME?</v>
      </c>
      <c r="CD197" s="23" t="e">
        <f t="shared" ref="CD197" ca="1" si="1720">CC156-CD156</f>
        <v>#NAME?</v>
      </c>
      <c r="CE197" s="23" t="e">
        <f t="shared" ref="CE197" ca="1" si="1721">CD156-CE156</f>
        <v>#NAME?</v>
      </c>
      <c r="CF197" s="23" t="e">
        <f t="shared" ref="CF197" ca="1" si="1722">CE156-CF156</f>
        <v>#NAME?</v>
      </c>
      <c r="CG197" s="23" t="e">
        <f t="shared" ref="CG197" ca="1" si="1723">CF156-CG156</f>
        <v>#NAME?</v>
      </c>
      <c r="CH197" s="23" t="e">
        <f t="shared" ref="CH197:CL197" ca="1" si="1724">CG156-CH156</f>
        <v>#NAME?</v>
      </c>
      <c r="CI197" s="23" t="e">
        <f t="shared" ca="1" si="1724"/>
        <v>#NAME?</v>
      </c>
      <c r="CJ197" s="23" t="e">
        <f t="shared" ca="1" si="1724"/>
        <v>#NAME?</v>
      </c>
      <c r="CK197" s="24" t="e">
        <f t="shared" ref="CK197" ca="1" si="1725">CJ156-CK156</f>
        <v>#NAME?</v>
      </c>
      <c r="CL197" s="23" t="e">
        <f t="shared" ca="1" si="1724"/>
        <v>#NAME?</v>
      </c>
      <c r="CM197" s="24" t="e">
        <f t="shared" ref="CM197" ca="1" si="1726">CL156-CM156</f>
        <v>#NAME?</v>
      </c>
      <c r="CN197" s="24" t="e">
        <f t="shared" ref="CN197" ca="1" si="1727">CM156-CN156</f>
        <v>#NAME?</v>
      </c>
      <c r="CO197" s="24" t="e">
        <f t="shared" ref="CO197" ca="1" si="1728">CN156-CO156</f>
        <v>#NAME?</v>
      </c>
      <c r="CP197" s="24" t="e">
        <f t="shared" ref="CP197" ca="1" si="1729">CO156-CP156</f>
        <v>#NAME?</v>
      </c>
      <c r="CQ197" s="24" t="e">
        <f t="shared" ref="CQ197" ca="1" si="1730">CP156-CQ156</f>
        <v>#NAME?</v>
      </c>
      <c r="CR197" s="24" t="e">
        <f t="shared" ref="CR197" ca="1" si="1731">CQ156-CR156</f>
        <v>#NAME?</v>
      </c>
      <c r="CS197" s="24" t="e">
        <f t="shared" ref="CS197" ca="1" si="1732">CR156-CS156</f>
        <v>#NAME?</v>
      </c>
      <c r="CT197" s="24" t="e">
        <f t="shared" ref="CT197" ca="1" si="1733">CS156-CT156</f>
        <v>#NAME?</v>
      </c>
      <c r="CU197" s="24" t="e">
        <f t="shared" ref="CU197" ca="1" si="1734">CT156-CU156</f>
        <v>#NAME?</v>
      </c>
      <c r="CV197" s="24" t="e">
        <f t="shared" ref="CV197" ca="1" si="1735">CU156-CV156</f>
        <v>#NAME?</v>
      </c>
      <c r="CW197" s="24" t="e">
        <f t="shared" ref="CW197" ca="1" si="1736">CV156-CW156</f>
        <v>#NAME?</v>
      </c>
      <c r="CX197" s="24" t="e">
        <f t="shared" ref="CX197" ca="1" si="1737">CW156-CX156</f>
        <v>#NAME?</v>
      </c>
      <c r="CY197" s="24" t="e">
        <f t="shared" ref="CY197" ca="1" si="1738">CX156-CY156</f>
        <v>#NAME?</v>
      </c>
      <c r="CZ197" s="24" t="e">
        <f t="shared" ref="CZ197" ca="1" si="1739">CY156-CZ156</f>
        <v>#NAME?</v>
      </c>
      <c r="DA197" s="24" t="e">
        <f t="shared" ref="DA197" ca="1" si="1740">CZ156-DA156</f>
        <v>#NAME?</v>
      </c>
      <c r="DB197" s="24" t="e">
        <f t="shared" ref="DB197" ca="1" si="1741">DA156-DB156</f>
        <v>#NAME?</v>
      </c>
      <c r="DE197" s="123"/>
      <c r="DF197" s="23">
        <v>-23.231000000000051</v>
      </c>
    </row>
    <row r="198" spans="1:110" s="22" customFormat="1" x14ac:dyDescent="0.2">
      <c r="A198" s="22" t="s">
        <v>90</v>
      </c>
      <c r="C198" s="22" t="e">
        <f t="shared" ref="C198:W198" ca="1" si="1742">C196-C197</f>
        <v>#NAME?</v>
      </c>
      <c r="D198" s="22" t="e">
        <f t="shared" ca="1" si="1742"/>
        <v>#NAME?</v>
      </c>
      <c r="E198" s="22" t="e">
        <f t="shared" ca="1" si="1742"/>
        <v>#NAME?</v>
      </c>
      <c r="F198" s="22" t="e">
        <f t="shared" ca="1" si="1742"/>
        <v>#NAME?</v>
      </c>
      <c r="G198" s="22" t="e">
        <f t="shared" ca="1" si="1742"/>
        <v>#NAME?</v>
      </c>
      <c r="H198" s="22" t="e">
        <f t="shared" ca="1" si="1742"/>
        <v>#NAME?</v>
      </c>
      <c r="I198" s="22" t="e">
        <f t="shared" ca="1" si="1742"/>
        <v>#NAME?</v>
      </c>
      <c r="J198" s="22" t="e">
        <f ca="1">J196-J197</f>
        <v>#NAME?</v>
      </c>
      <c r="K198" s="22" t="e">
        <f t="shared" ca="1" si="1742"/>
        <v>#NAME?</v>
      </c>
      <c r="L198" s="22" t="e">
        <f t="shared" ca="1" si="1742"/>
        <v>#NAME?</v>
      </c>
      <c r="M198" s="22" t="e">
        <f t="shared" ca="1" si="1742"/>
        <v>#NAME?</v>
      </c>
      <c r="N198" s="22" t="e">
        <f t="shared" ca="1" si="1742"/>
        <v>#NAME?</v>
      </c>
      <c r="O198" s="22" t="e">
        <f t="shared" ca="1" si="1742"/>
        <v>#NAME?</v>
      </c>
      <c r="P198" s="22" t="e">
        <f t="shared" ca="1" si="1742"/>
        <v>#NAME?</v>
      </c>
      <c r="Q198" s="22" t="e">
        <f t="shared" ca="1" si="1742"/>
        <v>#NAME?</v>
      </c>
      <c r="R198" s="22" t="e">
        <f t="shared" ca="1" si="1742"/>
        <v>#NAME?</v>
      </c>
      <c r="S198" s="22" t="e">
        <f t="shared" ca="1" si="1742"/>
        <v>#NAME?</v>
      </c>
      <c r="T198" s="22" t="e">
        <f t="shared" ca="1" si="1742"/>
        <v>#NAME?</v>
      </c>
      <c r="U198" s="22" t="e">
        <f t="shared" ca="1" si="1742"/>
        <v>#NAME?</v>
      </c>
      <c r="V198" s="22" t="e">
        <f t="shared" ca="1" si="1742"/>
        <v>#NAME?</v>
      </c>
      <c r="W198" s="22" t="e">
        <f t="shared" ca="1" si="1742"/>
        <v>#NAME?</v>
      </c>
      <c r="X198" s="22" t="e">
        <f t="shared" ref="X198:Y198" ca="1" si="1743">X196-X197</f>
        <v>#NAME?</v>
      </c>
      <c r="Y198" s="22" t="e">
        <f t="shared" ca="1" si="1743"/>
        <v>#NAME?</v>
      </c>
      <c r="Z198" s="22" t="e">
        <f t="shared" ref="Z198:AA198" ca="1" si="1744">Z196-Z197</f>
        <v>#NAME?</v>
      </c>
      <c r="AA198" s="22" t="e">
        <f t="shared" ca="1" si="1744"/>
        <v>#NAME?</v>
      </c>
      <c r="AB198" s="21" t="e">
        <f t="shared" ref="AA198:AD198" ca="1" si="1745">AB196-AB197</f>
        <v>#NAME?</v>
      </c>
      <c r="AC198" s="21" t="e">
        <f t="shared" ca="1" si="1745"/>
        <v>#NAME?</v>
      </c>
      <c r="AD198" s="21" t="e">
        <f t="shared" ca="1" si="1745"/>
        <v>#NAME?</v>
      </c>
      <c r="AE198" s="21" t="e">
        <f t="shared" ref="AE198" ca="1" si="1746">AE196-AE197</f>
        <v>#NAME?</v>
      </c>
      <c r="AI198" s="22" t="e">
        <f t="shared" ref="AI198" ca="1" si="1747">AI196-AI197</f>
        <v>#NAME?</v>
      </c>
      <c r="AJ198" s="22" t="e">
        <f t="shared" ref="AJ198:AL198" ca="1" si="1748">AJ196-AJ197</f>
        <v>#NAME?</v>
      </c>
      <c r="AK198" s="22" t="e">
        <f t="shared" ca="1" si="1748"/>
        <v>#NAME?</v>
      </c>
      <c r="AL198" s="22" t="e">
        <f t="shared" ca="1" si="1748"/>
        <v>#NAME?</v>
      </c>
      <c r="AM198" s="22" t="e">
        <f t="shared" ref="AM198" ca="1" si="1749">AM196-AM197</f>
        <v>#NAME?</v>
      </c>
      <c r="AN198" s="22" t="e">
        <f t="shared" ref="AN198:CD198" ca="1" si="1750">AN196-AN197</f>
        <v>#NAME?</v>
      </c>
      <c r="AO198" s="22" t="e">
        <f t="shared" ca="1" si="1750"/>
        <v>#NAME?</v>
      </c>
      <c r="AP198" s="22" t="e">
        <f t="shared" ca="1" si="1750"/>
        <v>#NAME?</v>
      </c>
      <c r="AQ198" s="22" t="e">
        <f t="shared" ca="1" si="1750"/>
        <v>#NAME?</v>
      </c>
      <c r="AR198" s="22" t="e">
        <f t="shared" ca="1" si="1750"/>
        <v>#NAME?</v>
      </c>
      <c r="AS198" s="22" t="e">
        <f t="shared" ca="1" si="1750"/>
        <v>#NAME?</v>
      </c>
      <c r="AT198" s="22" t="e">
        <f t="shared" ca="1" si="1750"/>
        <v>#NAME?</v>
      </c>
      <c r="AU198" s="22" t="e">
        <f t="shared" ca="1" si="1750"/>
        <v>#NAME?</v>
      </c>
      <c r="AV198" s="22" t="e">
        <f t="shared" ca="1" si="1750"/>
        <v>#NAME?</v>
      </c>
      <c r="AW198" s="22" t="e">
        <f t="shared" ca="1" si="1750"/>
        <v>#NAME?</v>
      </c>
      <c r="AX198" s="22" t="e">
        <f t="shared" ca="1" si="1750"/>
        <v>#NAME?</v>
      </c>
      <c r="AY198" s="22" t="e">
        <f t="shared" ca="1" si="1750"/>
        <v>#NAME?</v>
      </c>
      <c r="AZ198" s="22" t="e">
        <f t="shared" ca="1" si="1750"/>
        <v>#NAME?</v>
      </c>
      <c r="BA198" s="22" t="e">
        <f t="shared" ca="1" si="1750"/>
        <v>#NAME?</v>
      </c>
      <c r="BB198" s="22" t="e">
        <f t="shared" ca="1" si="1750"/>
        <v>#NAME?</v>
      </c>
      <c r="BC198" s="22" t="e">
        <f t="shared" ca="1" si="1750"/>
        <v>#NAME?</v>
      </c>
      <c r="BD198" s="22" t="e">
        <f t="shared" ca="1" si="1750"/>
        <v>#NAME?</v>
      </c>
      <c r="BE198" s="22" t="e">
        <f t="shared" ca="1" si="1750"/>
        <v>#NAME?</v>
      </c>
      <c r="BF198" s="22" t="e">
        <f t="shared" ca="1" si="1750"/>
        <v>#NAME?</v>
      </c>
      <c r="BG198" s="22" t="e">
        <f t="shared" ca="1" si="1750"/>
        <v>#NAME?</v>
      </c>
      <c r="BH198" s="22" t="e">
        <f t="shared" ca="1" si="1750"/>
        <v>#NAME?</v>
      </c>
      <c r="BI198" s="22" t="e">
        <f t="shared" ca="1" si="1750"/>
        <v>#NAME?</v>
      </c>
      <c r="BJ198" s="22" t="e">
        <f t="shared" ca="1" si="1750"/>
        <v>#NAME?</v>
      </c>
      <c r="BK198" s="22" t="e">
        <f t="shared" ca="1" si="1750"/>
        <v>#NAME?</v>
      </c>
      <c r="BL198" s="22" t="e">
        <f t="shared" ca="1" si="1750"/>
        <v>#NAME?</v>
      </c>
      <c r="BM198" s="22" t="e">
        <f t="shared" ca="1" si="1750"/>
        <v>#NAME?</v>
      </c>
      <c r="BN198" s="22" t="e">
        <f t="shared" ca="1" si="1750"/>
        <v>#NAME?</v>
      </c>
      <c r="BO198" s="22" t="e">
        <f t="shared" ca="1" si="1750"/>
        <v>#NAME?</v>
      </c>
      <c r="BP198" s="22" t="e">
        <f t="shared" ca="1" si="1750"/>
        <v>#NAME?</v>
      </c>
      <c r="BQ198" s="22" t="e">
        <f t="shared" ca="1" si="1750"/>
        <v>#NAME?</v>
      </c>
      <c r="BR198" s="22" t="e">
        <f t="shared" ca="1" si="1750"/>
        <v>#NAME?</v>
      </c>
      <c r="BS198" s="22" t="e">
        <f t="shared" ca="1" si="1750"/>
        <v>#NAME?</v>
      </c>
      <c r="BT198" s="22" t="e">
        <f t="shared" ca="1" si="1750"/>
        <v>#NAME?</v>
      </c>
      <c r="BU198" s="22" t="e">
        <f t="shared" ca="1" si="1750"/>
        <v>#NAME?</v>
      </c>
      <c r="BV198" s="22" t="e">
        <f t="shared" ca="1" si="1750"/>
        <v>#NAME?</v>
      </c>
      <c r="BW198" s="22" t="e">
        <f t="shared" ca="1" si="1750"/>
        <v>#NAME?</v>
      </c>
      <c r="BX198" s="22" t="e">
        <f t="shared" ca="1" si="1750"/>
        <v>#NAME?</v>
      </c>
      <c r="BY198" s="22" t="e">
        <f t="shared" ca="1" si="1750"/>
        <v>#NAME?</v>
      </c>
      <c r="BZ198" s="22" t="e">
        <f t="shared" ca="1" si="1750"/>
        <v>#NAME?</v>
      </c>
      <c r="CA198" s="22" t="e">
        <f t="shared" ca="1" si="1750"/>
        <v>#NAME?</v>
      </c>
      <c r="CB198" s="22" t="e">
        <f t="shared" ca="1" si="1750"/>
        <v>#NAME?</v>
      </c>
      <c r="CC198" s="22" t="e">
        <f t="shared" ca="1" si="1750"/>
        <v>#NAME?</v>
      </c>
      <c r="CD198" s="22" t="e">
        <f t="shared" ca="1" si="1750"/>
        <v>#NAME?</v>
      </c>
      <c r="CE198" s="22" t="e">
        <f t="shared" ref="CE198:CF198" ca="1" si="1751">CE196-CE197</f>
        <v>#NAME?</v>
      </c>
      <c r="CF198" s="22" t="e">
        <f t="shared" ca="1" si="1751"/>
        <v>#NAME?</v>
      </c>
      <c r="CG198" s="22" t="e">
        <f t="shared" ref="CG198:CH198" ca="1" si="1752">CG196-CG197</f>
        <v>#NAME?</v>
      </c>
      <c r="CH198" s="22" t="e">
        <f t="shared" ca="1" si="1752"/>
        <v>#NAME?</v>
      </c>
      <c r="CI198" s="22" t="e">
        <f t="shared" ref="CI198:CJ198" ca="1" si="1753">CI196-CI197</f>
        <v>#NAME?</v>
      </c>
      <c r="CJ198" s="22" t="e">
        <f t="shared" ca="1" si="1753"/>
        <v>#NAME?</v>
      </c>
      <c r="CK198" s="21" t="e">
        <f t="shared" ref="CK198:DB198" ca="1" si="1754">CK196-CK197</f>
        <v>#NAME?</v>
      </c>
      <c r="CL198" s="22" t="e">
        <f t="shared" ca="1" si="1754"/>
        <v>#NAME?</v>
      </c>
      <c r="CM198" s="21" t="e">
        <f t="shared" ca="1" si="1754"/>
        <v>#NAME?</v>
      </c>
      <c r="CN198" s="21" t="e">
        <f t="shared" ca="1" si="1754"/>
        <v>#NAME?</v>
      </c>
      <c r="CO198" s="21" t="e">
        <f t="shared" ca="1" si="1754"/>
        <v>#NAME?</v>
      </c>
      <c r="CP198" s="21" t="e">
        <f t="shared" ca="1" si="1754"/>
        <v>#NAME?</v>
      </c>
      <c r="CQ198" s="21" t="e">
        <f t="shared" ca="1" si="1754"/>
        <v>#NAME?</v>
      </c>
      <c r="CR198" s="21" t="e">
        <f t="shared" ca="1" si="1754"/>
        <v>#NAME?</v>
      </c>
      <c r="CS198" s="21" t="e">
        <f t="shared" ca="1" si="1754"/>
        <v>#NAME?</v>
      </c>
      <c r="CT198" s="21" t="e">
        <f t="shared" ca="1" si="1754"/>
        <v>#NAME?</v>
      </c>
      <c r="CU198" s="21" t="e">
        <f t="shared" ca="1" si="1754"/>
        <v>#NAME?</v>
      </c>
      <c r="CV198" s="21" t="e">
        <f t="shared" ca="1" si="1754"/>
        <v>#NAME?</v>
      </c>
      <c r="CW198" s="21" t="e">
        <f t="shared" ca="1" si="1754"/>
        <v>#NAME?</v>
      </c>
      <c r="CX198" s="21" t="e">
        <f t="shared" ca="1" si="1754"/>
        <v>#NAME?</v>
      </c>
      <c r="CY198" s="21" t="e">
        <f t="shared" ca="1" si="1754"/>
        <v>#NAME?</v>
      </c>
      <c r="CZ198" s="21" t="e">
        <f t="shared" ca="1" si="1754"/>
        <v>#NAME?</v>
      </c>
      <c r="DA198" s="21" t="e">
        <f t="shared" ca="1" si="1754"/>
        <v>#NAME?</v>
      </c>
      <c r="DB198" s="21" t="e">
        <f t="shared" ca="1" si="1754"/>
        <v>#NAME?</v>
      </c>
      <c r="DE198" s="126"/>
      <c r="DF198" s="22">
        <v>-134.82399999999996</v>
      </c>
    </row>
    <row r="199" spans="1:110" s="22" customFormat="1" x14ac:dyDescent="0.2">
      <c r="A199" s="22" t="s">
        <v>91</v>
      </c>
      <c r="C199" s="22" t="e">
        <f t="shared" ref="C199:W199" ca="1" si="1755">C195+C198</f>
        <v>#NAME?</v>
      </c>
      <c r="D199" s="22" t="e">
        <f ca="1">D195+D198</f>
        <v>#NAME?</v>
      </c>
      <c r="E199" s="22" t="e">
        <f t="shared" ca="1" si="1755"/>
        <v>#NAME?</v>
      </c>
      <c r="F199" s="22" t="e">
        <f t="shared" ca="1" si="1755"/>
        <v>#NAME?</v>
      </c>
      <c r="G199" s="22" t="e">
        <f t="shared" ca="1" si="1755"/>
        <v>#NAME?</v>
      </c>
      <c r="H199" s="22" t="e">
        <f t="shared" ca="1" si="1755"/>
        <v>#NAME?</v>
      </c>
      <c r="I199" s="22" t="e">
        <f t="shared" ca="1" si="1755"/>
        <v>#NAME?</v>
      </c>
      <c r="J199" s="22" t="e">
        <f ca="1">J195+J198</f>
        <v>#NAME?</v>
      </c>
      <c r="K199" s="22" t="e">
        <f t="shared" ca="1" si="1755"/>
        <v>#NAME?</v>
      </c>
      <c r="L199" s="22" t="e">
        <f t="shared" ca="1" si="1755"/>
        <v>#NAME?</v>
      </c>
      <c r="M199" s="22" t="e">
        <f t="shared" ca="1" si="1755"/>
        <v>#NAME?</v>
      </c>
      <c r="N199" s="22" t="e">
        <f t="shared" ca="1" si="1755"/>
        <v>#NAME?</v>
      </c>
      <c r="O199" s="22" t="e">
        <f t="shared" ca="1" si="1755"/>
        <v>#NAME?</v>
      </c>
      <c r="P199" s="22" t="e">
        <f t="shared" ca="1" si="1755"/>
        <v>#NAME?</v>
      </c>
      <c r="Q199" s="22" t="e">
        <f t="shared" ca="1" si="1755"/>
        <v>#NAME?</v>
      </c>
      <c r="R199" s="22" t="e">
        <f t="shared" ca="1" si="1755"/>
        <v>#NAME?</v>
      </c>
      <c r="S199" s="22" t="e">
        <f t="shared" ca="1" si="1755"/>
        <v>#NAME?</v>
      </c>
      <c r="T199" s="22" t="e">
        <f t="shared" ca="1" si="1755"/>
        <v>#NAME?</v>
      </c>
      <c r="U199" s="22" t="e">
        <f t="shared" ca="1" si="1755"/>
        <v>#NAME?</v>
      </c>
      <c r="V199" s="22" t="e">
        <f t="shared" ca="1" si="1755"/>
        <v>#NAME?</v>
      </c>
      <c r="W199" s="22" t="e">
        <f t="shared" ca="1" si="1755"/>
        <v>#NAME?</v>
      </c>
      <c r="X199" s="22" t="e">
        <f t="shared" ref="X199:Y199" ca="1" si="1756">X195+X198</f>
        <v>#NAME?</v>
      </c>
      <c r="Y199" s="22" t="e">
        <f t="shared" ca="1" si="1756"/>
        <v>#NAME?</v>
      </c>
      <c r="Z199" s="22" t="e">
        <f t="shared" ref="Z199:AA199" ca="1" si="1757">Z195+Z198</f>
        <v>#NAME?</v>
      </c>
      <c r="AA199" s="22" t="e">
        <f t="shared" ca="1" si="1757"/>
        <v>#NAME?</v>
      </c>
      <c r="AB199" s="21" t="e">
        <f t="shared" ref="AA199:AD199" ca="1" si="1758">AB195+AB198</f>
        <v>#NAME?</v>
      </c>
      <c r="AC199" s="21" t="e">
        <f t="shared" ca="1" si="1758"/>
        <v>#NAME?</v>
      </c>
      <c r="AD199" s="21" t="e">
        <f t="shared" ca="1" si="1758"/>
        <v>#NAME?</v>
      </c>
      <c r="AE199" s="21" t="e">
        <f t="shared" ref="AE199" ca="1" si="1759">AE195+AE198</f>
        <v>#NAME?</v>
      </c>
      <c r="AI199" s="22" t="e">
        <f t="shared" ref="AI199" ca="1" si="1760">AI195+AI198</f>
        <v>#NAME?</v>
      </c>
      <c r="AJ199" s="22" t="e">
        <f t="shared" ref="AJ199:AL199" ca="1" si="1761">AJ195+AJ198</f>
        <v>#NAME?</v>
      </c>
      <c r="AK199" s="22" t="e">
        <f t="shared" ca="1" si="1761"/>
        <v>#NAME?</v>
      </c>
      <c r="AL199" s="22" t="e">
        <f t="shared" ca="1" si="1761"/>
        <v>#NAME?</v>
      </c>
      <c r="AM199" s="22" t="e">
        <f t="shared" ref="AM199" ca="1" si="1762">AM195+AM198</f>
        <v>#NAME?</v>
      </c>
      <c r="AN199" s="22" t="e">
        <f t="shared" ref="AN199:CD199" ca="1" si="1763">AN195+AN198</f>
        <v>#NAME?</v>
      </c>
      <c r="AO199" s="22" t="e">
        <f t="shared" ca="1" si="1763"/>
        <v>#NAME?</v>
      </c>
      <c r="AP199" s="22" t="e">
        <f t="shared" ca="1" si="1763"/>
        <v>#NAME?</v>
      </c>
      <c r="AQ199" s="22" t="e">
        <f t="shared" ca="1" si="1763"/>
        <v>#NAME?</v>
      </c>
      <c r="AR199" s="22" t="e">
        <f t="shared" ca="1" si="1763"/>
        <v>#NAME?</v>
      </c>
      <c r="AS199" s="22" t="e">
        <f t="shared" ca="1" si="1763"/>
        <v>#NAME?</v>
      </c>
      <c r="AT199" s="22" t="e">
        <f t="shared" ca="1" si="1763"/>
        <v>#NAME?</v>
      </c>
      <c r="AU199" s="22" t="e">
        <f t="shared" ca="1" si="1763"/>
        <v>#NAME?</v>
      </c>
      <c r="AV199" s="22" t="e">
        <f t="shared" ca="1" si="1763"/>
        <v>#NAME?</v>
      </c>
      <c r="AW199" s="22" t="e">
        <f t="shared" ca="1" si="1763"/>
        <v>#NAME?</v>
      </c>
      <c r="AX199" s="22" t="e">
        <f t="shared" ca="1" si="1763"/>
        <v>#NAME?</v>
      </c>
      <c r="AY199" s="22" t="e">
        <f t="shared" ca="1" si="1763"/>
        <v>#NAME?</v>
      </c>
      <c r="AZ199" s="22" t="e">
        <f t="shared" ca="1" si="1763"/>
        <v>#NAME?</v>
      </c>
      <c r="BA199" s="22" t="e">
        <f t="shared" ca="1" si="1763"/>
        <v>#NAME?</v>
      </c>
      <c r="BB199" s="22" t="e">
        <f t="shared" ca="1" si="1763"/>
        <v>#NAME?</v>
      </c>
      <c r="BC199" s="22" t="e">
        <f t="shared" ca="1" si="1763"/>
        <v>#NAME?</v>
      </c>
      <c r="BD199" s="22" t="e">
        <f t="shared" ca="1" si="1763"/>
        <v>#NAME?</v>
      </c>
      <c r="BE199" s="22" t="e">
        <f t="shared" ca="1" si="1763"/>
        <v>#NAME?</v>
      </c>
      <c r="BF199" s="22" t="e">
        <f t="shared" ca="1" si="1763"/>
        <v>#NAME?</v>
      </c>
      <c r="BG199" s="22" t="e">
        <f t="shared" ca="1" si="1763"/>
        <v>#NAME?</v>
      </c>
      <c r="BH199" s="22" t="e">
        <f t="shared" ca="1" si="1763"/>
        <v>#NAME?</v>
      </c>
      <c r="BI199" s="22" t="e">
        <f t="shared" ca="1" si="1763"/>
        <v>#NAME?</v>
      </c>
      <c r="BJ199" s="22" t="e">
        <f t="shared" ca="1" si="1763"/>
        <v>#NAME?</v>
      </c>
      <c r="BK199" s="22" t="e">
        <f t="shared" ca="1" si="1763"/>
        <v>#NAME?</v>
      </c>
      <c r="BL199" s="22" t="e">
        <f t="shared" ca="1" si="1763"/>
        <v>#NAME?</v>
      </c>
      <c r="BM199" s="22" t="e">
        <f t="shared" ca="1" si="1763"/>
        <v>#NAME?</v>
      </c>
      <c r="BN199" s="22" t="e">
        <f t="shared" ca="1" si="1763"/>
        <v>#NAME?</v>
      </c>
      <c r="BO199" s="22" t="e">
        <f t="shared" ca="1" si="1763"/>
        <v>#NAME?</v>
      </c>
      <c r="BP199" s="22" t="e">
        <f t="shared" ca="1" si="1763"/>
        <v>#NAME?</v>
      </c>
      <c r="BQ199" s="22" t="e">
        <f t="shared" ca="1" si="1763"/>
        <v>#NAME?</v>
      </c>
      <c r="BR199" s="22" t="e">
        <f t="shared" ca="1" si="1763"/>
        <v>#NAME?</v>
      </c>
      <c r="BS199" s="22" t="e">
        <f t="shared" ca="1" si="1763"/>
        <v>#NAME?</v>
      </c>
      <c r="BT199" s="22" t="e">
        <f t="shared" ca="1" si="1763"/>
        <v>#NAME?</v>
      </c>
      <c r="BU199" s="22" t="e">
        <f t="shared" ca="1" si="1763"/>
        <v>#NAME?</v>
      </c>
      <c r="BV199" s="22" t="e">
        <f t="shared" ca="1" si="1763"/>
        <v>#NAME?</v>
      </c>
      <c r="BW199" s="22" t="e">
        <f t="shared" ca="1" si="1763"/>
        <v>#NAME?</v>
      </c>
      <c r="BX199" s="22" t="e">
        <f t="shared" ca="1" si="1763"/>
        <v>#NAME?</v>
      </c>
      <c r="BY199" s="22" t="e">
        <f t="shared" ca="1" si="1763"/>
        <v>#NAME?</v>
      </c>
      <c r="BZ199" s="22" t="e">
        <f t="shared" ca="1" si="1763"/>
        <v>#NAME?</v>
      </c>
      <c r="CA199" s="22" t="e">
        <f t="shared" ca="1" si="1763"/>
        <v>#NAME?</v>
      </c>
      <c r="CB199" s="22" t="e">
        <f t="shared" ca="1" si="1763"/>
        <v>#NAME?</v>
      </c>
      <c r="CC199" s="22" t="e">
        <f t="shared" ca="1" si="1763"/>
        <v>#NAME?</v>
      </c>
      <c r="CD199" s="22" t="e">
        <f t="shared" ca="1" si="1763"/>
        <v>#NAME?</v>
      </c>
      <c r="CE199" s="22" t="e">
        <f t="shared" ref="CE199:CF199" ca="1" si="1764">CE195+CE198</f>
        <v>#NAME?</v>
      </c>
      <c r="CF199" s="22" t="e">
        <f t="shared" ca="1" si="1764"/>
        <v>#NAME?</v>
      </c>
      <c r="CG199" s="22" t="e">
        <f t="shared" ref="CG199:CH199" ca="1" si="1765">CG195+CG198</f>
        <v>#NAME?</v>
      </c>
      <c r="CH199" s="22" t="e">
        <f t="shared" ca="1" si="1765"/>
        <v>#NAME?</v>
      </c>
      <c r="CI199" s="22" t="e">
        <f t="shared" ref="CI199:CJ199" ca="1" si="1766">CI195+CI198</f>
        <v>#NAME?</v>
      </c>
      <c r="CJ199" s="22" t="e">
        <f t="shared" ca="1" si="1766"/>
        <v>#NAME?</v>
      </c>
      <c r="CK199" s="21" t="e">
        <f t="shared" ref="CK199:DB199" ca="1" si="1767">CK195+CK198</f>
        <v>#NAME?</v>
      </c>
      <c r="CL199" s="22" t="e">
        <f t="shared" ca="1" si="1767"/>
        <v>#NAME?</v>
      </c>
      <c r="CM199" s="21" t="e">
        <f t="shared" ca="1" si="1767"/>
        <v>#NAME?</v>
      </c>
      <c r="CN199" s="21" t="e">
        <f t="shared" ca="1" si="1767"/>
        <v>#NAME?</v>
      </c>
      <c r="CO199" s="21" t="e">
        <f t="shared" ca="1" si="1767"/>
        <v>#NAME?</v>
      </c>
      <c r="CP199" s="21" t="e">
        <f t="shared" ca="1" si="1767"/>
        <v>#NAME?</v>
      </c>
      <c r="CQ199" s="21" t="e">
        <f t="shared" ca="1" si="1767"/>
        <v>#NAME?</v>
      </c>
      <c r="CR199" s="21" t="e">
        <f t="shared" ca="1" si="1767"/>
        <v>#NAME?</v>
      </c>
      <c r="CS199" s="21" t="e">
        <f t="shared" ca="1" si="1767"/>
        <v>#NAME?</v>
      </c>
      <c r="CT199" s="21" t="e">
        <f t="shared" ca="1" si="1767"/>
        <v>#NAME?</v>
      </c>
      <c r="CU199" s="21" t="e">
        <f t="shared" ca="1" si="1767"/>
        <v>#NAME?</v>
      </c>
      <c r="CV199" s="21" t="e">
        <f t="shared" ca="1" si="1767"/>
        <v>#NAME?</v>
      </c>
      <c r="CW199" s="21" t="e">
        <f t="shared" ca="1" si="1767"/>
        <v>#NAME?</v>
      </c>
      <c r="CX199" s="21" t="e">
        <f t="shared" ca="1" si="1767"/>
        <v>#NAME?</v>
      </c>
      <c r="CY199" s="21" t="e">
        <f t="shared" ca="1" si="1767"/>
        <v>#NAME?</v>
      </c>
      <c r="CZ199" s="21" t="e">
        <f t="shared" ca="1" si="1767"/>
        <v>#NAME?</v>
      </c>
      <c r="DA199" s="21" t="e">
        <f t="shared" ca="1" si="1767"/>
        <v>#NAME?</v>
      </c>
      <c r="DB199" s="21" t="e">
        <f t="shared" ca="1" si="1767"/>
        <v>#NAME?</v>
      </c>
      <c r="DE199" s="126"/>
      <c r="DF199" s="22">
        <v>-18.789999999999807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8">C202+C203</f>
        <v>#NAME?</v>
      </c>
      <c r="D201" s="22" t="e">
        <f ca="1">D202+D203</f>
        <v>#NAME?</v>
      </c>
      <c r="E201" s="22" t="e">
        <f t="shared" ca="1" si="1768"/>
        <v>#NAME?</v>
      </c>
      <c r="F201" s="22" t="e">
        <f t="shared" ca="1" si="1768"/>
        <v>#NAME?</v>
      </c>
      <c r="G201" s="22" t="e">
        <f t="shared" ca="1" si="1768"/>
        <v>#NAME?</v>
      </c>
      <c r="H201" s="22" t="e">
        <f t="shared" ca="1" si="1768"/>
        <v>#NAME?</v>
      </c>
      <c r="I201" s="22" t="e">
        <f t="shared" ca="1" si="1768"/>
        <v>#NAME?</v>
      </c>
      <c r="J201" s="22" t="e">
        <f t="shared" ca="1" si="1768"/>
        <v>#NAME?</v>
      </c>
      <c r="K201" s="22" t="e">
        <f t="shared" ca="1" si="1768"/>
        <v>#NAME?</v>
      </c>
      <c r="L201" s="22" t="e">
        <f t="shared" ca="1" si="1768"/>
        <v>#NAME?</v>
      </c>
      <c r="M201" s="22" t="e">
        <f t="shared" ca="1" si="1768"/>
        <v>#NAME?</v>
      </c>
      <c r="N201" s="22" t="e">
        <f t="shared" ca="1" si="1768"/>
        <v>#NAME?</v>
      </c>
      <c r="O201" s="22" t="e">
        <f t="shared" ca="1" si="1768"/>
        <v>#NAME?</v>
      </c>
      <c r="P201" s="22" t="e">
        <f t="shared" ca="1" si="1768"/>
        <v>#NAME?</v>
      </c>
      <c r="Q201" s="22" t="e">
        <f t="shared" ca="1" si="1768"/>
        <v>#NAME?</v>
      </c>
      <c r="R201" s="22" t="e">
        <f t="shared" ca="1" si="1768"/>
        <v>#NAME?</v>
      </c>
      <c r="S201" s="22" t="e">
        <f t="shared" ca="1" si="1768"/>
        <v>#NAME?</v>
      </c>
      <c r="T201" s="22" t="e">
        <f t="shared" ca="1" si="1768"/>
        <v>#NAME?</v>
      </c>
      <c r="U201" s="22" t="e">
        <f t="shared" ca="1" si="1768"/>
        <v>#NAME?</v>
      </c>
      <c r="V201" s="22" t="e">
        <f t="shared" ca="1" si="1768"/>
        <v>#NAME?</v>
      </c>
      <c r="W201" s="22" t="e">
        <f t="shared" ca="1" si="1768"/>
        <v>#NAME?</v>
      </c>
      <c r="X201" s="22" t="e">
        <f t="shared" ref="X201:Y201" ca="1" si="1769">X202+X203</f>
        <v>#NAME?</v>
      </c>
      <c r="Y201" s="22" t="e">
        <f t="shared" ca="1" si="1769"/>
        <v>#NAME?</v>
      </c>
      <c r="Z201" s="22" t="e">
        <f t="shared" ref="Z201:AA201" ca="1" si="1770">Z202+Z203</f>
        <v>#NAME?</v>
      </c>
      <c r="AA201" s="22" t="e">
        <f t="shared" ca="1" si="1770"/>
        <v>#NAME?</v>
      </c>
      <c r="AB201" s="21" t="e">
        <f t="shared" ref="AA201:AD201" ca="1" si="1771">AB202+AB203</f>
        <v>#NAME?</v>
      </c>
      <c r="AC201" s="21" t="e">
        <f t="shared" ca="1" si="1771"/>
        <v>#NAME?</v>
      </c>
      <c r="AD201" s="21" t="e">
        <f t="shared" ca="1" si="1771"/>
        <v>#NAME?</v>
      </c>
      <c r="AE201" s="21" t="e">
        <f t="shared" ref="AE201" ca="1" si="1772">AE202+AE203</f>
        <v>#NAME?</v>
      </c>
      <c r="AI201" s="22" t="e">
        <f t="shared" ref="AI201" ca="1" si="1773">AI202+AI203</f>
        <v>#NAME?</v>
      </c>
      <c r="AJ201" s="22" t="e">
        <f t="shared" ref="AJ201:AL201" ca="1" si="1774">AJ202+AJ203</f>
        <v>#NAME?</v>
      </c>
      <c r="AK201" s="22" t="e">
        <f t="shared" ca="1" si="1774"/>
        <v>#NAME?</v>
      </c>
      <c r="AL201" s="22" t="e">
        <f t="shared" ca="1" si="1774"/>
        <v>#NAME?</v>
      </c>
      <c r="AM201" s="22" t="e">
        <f t="shared" ref="AM201" ca="1" si="1775">AM202+AM203</f>
        <v>#NAME?</v>
      </c>
      <c r="AN201" s="22" t="e">
        <f t="shared" ref="AN201:CD201" ca="1" si="1776">AN202+AN203</f>
        <v>#NAME?</v>
      </c>
      <c r="AO201" s="22" t="e">
        <f t="shared" ca="1" si="1776"/>
        <v>#NAME?</v>
      </c>
      <c r="AP201" s="22" t="e">
        <f t="shared" ca="1" si="1776"/>
        <v>#NAME?</v>
      </c>
      <c r="AQ201" s="22" t="e">
        <f t="shared" ca="1" si="1776"/>
        <v>#NAME?</v>
      </c>
      <c r="AR201" s="22" t="e">
        <f t="shared" ca="1" si="1776"/>
        <v>#NAME?</v>
      </c>
      <c r="AS201" s="22" t="e">
        <f t="shared" ca="1" si="1776"/>
        <v>#NAME?</v>
      </c>
      <c r="AT201" s="22" t="e">
        <f t="shared" ca="1" si="1776"/>
        <v>#NAME?</v>
      </c>
      <c r="AU201" s="22" t="e">
        <f t="shared" ca="1" si="1776"/>
        <v>#NAME?</v>
      </c>
      <c r="AV201" s="22" t="e">
        <f t="shared" ca="1" si="1776"/>
        <v>#NAME?</v>
      </c>
      <c r="AW201" s="22" t="e">
        <f t="shared" ca="1" si="1776"/>
        <v>#NAME?</v>
      </c>
      <c r="AX201" s="22" t="e">
        <f t="shared" ca="1" si="1776"/>
        <v>#NAME?</v>
      </c>
      <c r="AY201" s="22" t="e">
        <f t="shared" ca="1" si="1776"/>
        <v>#NAME?</v>
      </c>
      <c r="AZ201" s="22" t="e">
        <f t="shared" ca="1" si="1776"/>
        <v>#NAME?</v>
      </c>
      <c r="BA201" s="22" t="e">
        <f t="shared" ca="1" si="1776"/>
        <v>#NAME?</v>
      </c>
      <c r="BB201" s="22" t="e">
        <f t="shared" ca="1" si="1776"/>
        <v>#NAME?</v>
      </c>
      <c r="BC201" s="22" t="e">
        <f t="shared" ca="1" si="1776"/>
        <v>#NAME?</v>
      </c>
      <c r="BD201" s="22" t="e">
        <f t="shared" ca="1" si="1776"/>
        <v>#NAME?</v>
      </c>
      <c r="BE201" s="22" t="e">
        <f t="shared" ca="1" si="1776"/>
        <v>#NAME?</v>
      </c>
      <c r="BF201" s="22" t="e">
        <f t="shared" ca="1" si="1776"/>
        <v>#NAME?</v>
      </c>
      <c r="BG201" s="22" t="e">
        <f t="shared" ca="1" si="1776"/>
        <v>#NAME?</v>
      </c>
      <c r="BH201" s="22" t="e">
        <f t="shared" ca="1" si="1776"/>
        <v>#NAME?</v>
      </c>
      <c r="BI201" s="22" t="e">
        <f t="shared" ca="1" si="1776"/>
        <v>#NAME?</v>
      </c>
      <c r="BJ201" s="22" t="e">
        <f t="shared" ca="1" si="1776"/>
        <v>#NAME?</v>
      </c>
      <c r="BK201" s="22" t="e">
        <f t="shared" ca="1" si="1776"/>
        <v>#NAME?</v>
      </c>
      <c r="BL201" s="22" t="e">
        <f t="shared" ca="1" si="1776"/>
        <v>#NAME?</v>
      </c>
      <c r="BM201" s="22" t="e">
        <f t="shared" ca="1" si="1776"/>
        <v>#NAME?</v>
      </c>
      <c r="BN201" s="22" t="e">
        <f t="shared" ca="1" si="1776"/>
        <v>#NAME?</v>
      </c>
      <c r="BO201" s="22" t="e">
        <f t="shared" ca="1" si="1776"/>
        <v>#NAME?</v>
      </c>
      <c r="BP201" s="22" t="e">
        <f t="shared" ca="1" si="1776"/>
        <v>#NAME?</v>
      </c>
      <c r="BQ201" s="22" t="e">
        <f t="shared" ca="1" si="1776"/>
        <v>#NAME?</v>
      </c>
      <c r="BR201" s="22" t="e">
        <f t="shared" ca="1" si="1776"/>
        <v>#NAME?</v>
      </c>
      <c r="BS201" s="22" t="e">
        <f t="shared" ca="1" si="1776"/>
        <v>#NAME?</v>
      </c>
      <c r="BT201" s="22" t="e">
        <f t="shared" ca="1" si="1776"/>
        <v>#NAME?</v>
      </c>
      <c r="BU201" s="22" t="e">
        <f t="shared" ca="1" si="1776"/>
        <v>#NAME?</v>
      </c>
      <c r="BV201" s="22" t="e">
        <f t="shared" ca="1" si="1776"/>
        <v>#NAME?</v>
      </c>
      <c r="BW201" s="22" t="e">
        <f t="shared" ca="1" si="1776"/>
        <v>#NAME?</v>
      </c>
      <c r="BX201" s="22" t="e">
        <f t="shared" ca="1" si="1776"/>
        <v>#NAME?</v>
      </c>
      <c r="BY201" s="22" t="e">
        <f t="shared" ca="1" si="1776"/>
        <v>#NAME?</v>
      </c>
      <c r="BZ201" s="22" t="e">
        <f t="shared" ca="1" si="1776"/>
        <v>#NAME?</v>
      </c>
      <c r="CA201" s="22" t="e">
        <f t="shared" ca="1" si="1776"/>
        <v>#NAME?</v>
      </c>
      <c r="CB201" s="22" t="e">
        <f t="shared" ca="1" si="1776"/>
        <v>#NAME?</v>
      </c>
      <c r="CC201" s="22" t="e">
        <f t="shared" ca="1" si="1776"/>
        <v>#NAME?</v>
      </c>
      <c r="CD201" s="22" t="e">
        <f t="shared" ca="1" si="1776"/>
        <v>#NAME?</v>
      </c>
      <c r="CE201" s="22" t="e">
        <f t="shared" ref="CE201:CF201" ca="1" si="1777">CE202+CE203</f>
        <v>#NAME?</v>
      </c>
      <c r="CF201" s="22" t="e">
        <f t="shared" ca="1" si="1777"/>
        <v>#NAME?</v>
      </c>
      <c r="CG201" s="22" t="e">
        <f t="shared" ref="CG201:CH201" ca="1" si="1778">CG202+CG203</f>
        <v>#NAME?</v>
      </c>
      <c r="CH201" s="22" t="e">
        <f t="shared" ca="1" si="1778"/>
        <v>#NAME?</v>
      </c>
      <c r="CI201" s="22" t="e">
        <f t="shared" ref="CI201:CJ201" ca="1" si="1779">CI202+CI203</f>
        <v>#NAME?</v>
      </c>
      <c r="CJ201" s="22" t="e">
        <f t="shared" ca="1" si="1779"/>
        <v>#NAME?</v>
      </c>
      <c r="CK201" s="21" t="e">
        <f t="shared" ref="CK201:DB201" ca="1" si="1780">CK202+CK203</f>
        <v>#NAME?</v>
      </c>
      <c r="CL201" s="22" t="e">
        <f t="shared" ca="1" si="1780"/>
        <v>#NAME?</v>
      </c>
      <c r="CM201" s="21" t="e">
        <f t="shared" ca="1" si="1780"/>
        <v>#NAME?</v>
      </c>
      <c r="CN201" s="21" t="e">
        <f t="shared" ca="1" si="1780"/>
        <v>#NAME?</v>
      </c>
      <c r="CO201" s="21" t="e">
        <f t="shared" ca="1" si="1780"/>
        <v>#NAME?</v>
      </c>
      <c r="CP201" s="21" t="e">
        <f t="shared" ca="1" si="1780"/>
        <v>#NAME?</v>
      </c>
      <c r="CQ201" s="21" t="e">
        <f t="shared" ca="1" si="1780"/>
        <v>#NAME?</v>
      </c>
      <c r="CR201" s="21" t="e">
        <f t="shared" ca="1" si="1780"/>
        <v>#NAME?</v>
      </c>
      <c r="CS201" s="21" t="e">
        <f t="shared" ca="1" si="1780"/>
        <v>#NAME?</v>
      </c>
      <c r="CT201" s="21" t="e">
        <f t="shared" ca="1" si="1780"/>
        <v>#NAME?</v>
      </c>
      <c r="CU201" s="21" t="e">
        <f t="shared" ca="1" si="1780"/>
        <v>#NAME?</v>
      </c>
      <c r="CV201" s="21" t="e">
        <f t="shared" ca="1" si="1780"/>
        <v>#NAME?</v>
      </c>
      <c r="CW201" s="21" t="e">
        <f t="shared" ca="1" si="1780"/>
        <v>#NAME?</v>
      </c>
      <c r="CX201" s="21" t="e">
        <f t="shared" ca="1" si="1780"/>
        <v>#NAME?</v>
      </c>
      <c r="CY201" s="21" t="e">
        <f t="shared" ca="1" si="1780"/>
        <v>#NAME?</v>
      </c>
      <c r="CZ201" s="21" t="e">
        <f t="shared" ca="1" si="1780"/>
        <v>#NAME?</v>
      </c>
      <c r="DA201" s="21" t="e">
        <f t="shared" ca="1" si="1780"/>
        <v>#NAME?</v>
      </c>
      <c r="DB201" s="21" t="e">
        <f t="shared" ca="1" si="1780"/>
        <v>#NAME?</v>
      </c>
      <c r="DE201" s="126"/>
      <c r="DF201" s="22">
        <v>25.048000000000108</v>
      </c>
    </row>
    <row r="202" spans="1:110" s="23" customFormat="1" x14ac:dyDescent="0.2">
      <c r="A202" s="23" t="s">
        <v>93</v>
      </c>
      <c r="C202" s="23" t="e">
        <f t="shared" ref="C202:AA202" ca="1" si="1781">B140-C140</f>
        <v>#NAME?</v>
      </c>
      <c r="D202" s="23" t="e">
        <f t="shared" ca="1" si="1781"/>
        <v>#NAME?</v>
      </c>
      <c r="E202" s="23" t="e">
        <f ca="1">D140-E140</f>
        <v>#NAME?</v>
      </c>
      <c r="F202" s="23" t="e">
        <f t="shared" ca="1" si="1781"/>
        <v>#NAME?</v>
      </c>
      <c r="G202" s="23" t="e">
        <f t="shared" ca="1" si="1781"/>
        <v>#NAME?</v>
      </c>
      <c r="H202" s="23" t="e">
        <f t="shared" ca="1" si="1781"/>
        <v>#NAME?</v>
      </c>
      <c r="I202" s="23" t="e">
        <f t="shared" ca="1" si="1781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1"/>
        <v>#NAME?</v>
      </c>
      <c r="M202" s="23" t="e">
        <f t="shared" ca="1" si="1781"/>
        <v>#NAME?</v>
      </c>
      <c r="N202" s="23" t="e">
        <f t="shared" ca="1" si="1781"/>
        <v>#NAME?</v>
      </c>
      <c r="O202" s="23" t="e">
        <f t="shared" ca="1" si="1781"/>
        <v>#NAME?</v>
      </c>
      <c r="P202" s="23" t="e">
        <f t="shared" ca="1" si="1781"/>
        <v>#NAME?</v>
      </c>
      <c r="Q202" s="23" t="e">
        <f t="shared" ca="1" si="1781"/>
        <v>#NAME?</v>
      </c>
      <c r="R202" s="23" t="e">
        <f t="shared" ca="1" si="1781"/>
        <v>#NAME?</v>
      </c>
      <c r="S202" s="23" t="e">
        <f t="shared" ca="1" si="1781"/>
        <v>#NAME?</v>
      </c>
      <c r="T202" s="23" t="e">
        <f t="shared" ca="1" si="1781"/>
        <v>#NAME?</v>
      </c>
      <c r="U202" s="23" t="e">
        <f t="shared" ca="1" si="1781"/>
        <v>#NAME?</v>
      </c>
      <c r="V202" s="23" t="e">
        <f t="shared" ca="1" si="1781"/>
        <v>#NAME?</v>
      </c>
      <c r="W202" s="23" t="e">
        <f t="shared" ca="1" si="1781"/>
        <v>#NAME?</v>
      </c>
      <c r="X202" s="23" t="e">
        <f t="shared" ca="1" si="1781"/>
        <v>#NAME?</v>
      </c>
      <c r="Y202" s="23" t="e">
        <f t="shared" ca="1" si="1781"/>
        <v>#NAME?</v>
      </c>
      <c r="Z202" s="23" t="e">
        <f t="shared" ca="1" si="1781"/>
        <v>#NAME?</v>
      </c>
      <c r="AA202" s="23" t="e">
        <f t="shared" ca="1" si="1781"/>
        <v>#NAME?</v>
      </c>
      <c r="AB202" s="24" t="e">
        <f t="shared" ref="AB202" ca="1" si="1782">AA140-AB140</f>
        <v>#NAME?</v>
      </c>
      <c r="AC202" s="24" t="e">
        <f t="shared" ref="AC202" ca="1" si="1783">AB140-AC140</f>
        <v>#NAME?</v>
      </c>
      <c r="AD202" s="24" t="e">
        <f t="shared" ref="AD202" ca="1" si="1784">AC140-AD140</f>
        <v>#NAME?</v>
      </c>
      <c r="AE202" s="24" t="e">
        <f t="shared" ref="AE202" ca="1" si="1785">AD140-AE140</f>
        <v>#NAME?</v>
      </c>
      <c r="AI202" s="23">
        <f t="shared" ref="AI202" si="1786">AH140-AI140</f>
        <v>0</v>
      </c>
      <c r="AJ202" s="23" t="e">
        <f t="shared" ref="AJ202" ca="1" si="1787">AI140-AJ140</f>
        <v>#NAME?</v>
      </c>
      <c r="AK202" s="23" t="e">
        <f t="shared" ref="AK202" ca="1" si="1788">AJ140-AK140</f>
        <v>#NAME?</v>
      </c>
      <c r="AL202" s="23" t="e">
        <f t="shared" ref="AL202" ca="1" si="1789">AK140-AL140</f>
        <v>#NAME?</v>
      </c>
      <c r="AM202" s="23" t="e">
        <f t="shared" ref="AM202" ca="1" si="1790">AL140-AM140</f>
        <v>#NAME?</v>
      </c>
      <c r="AN202" s="23" t="e">
        <f t="shared" ref="AN202" ca="1" si="1791">AM140-AN140</f>
        <v>#NAME?</v>
      </c>
      <c r="AO202" s="23" t="e">
        <f t="shared" ref="AO202" ca="1" si="1792">AN140-AO140</f>
        <v>#NAME?</v>
      </c>
      <c r="AP202" s="23" t="e">
        <f t="shared" ref="AP202" ca="1" si="1793">AO140-AP140</f>
        <v>#NAME?</v>
      </c>
      <c r="AQ202" s="23" t="e">
        <f t="shared" ref="AQ202" ca="1" si="1794">AP140-AQ140</f>
        <v>#NAME?</v>
      </c>
      <c r="AR202" s="23" t="e">
        <f t="shared" ref="AR202" ca="1" si="1795">AQ140-AR140</f>
        <v>#NAME?</v>
      </c>
      <c r="AS202" s="23" t="e">
        <f t="shared" ref="AS202" ca="1" si="1796">AR140-AS140</f>
        <v>#NAME?</v>
      </c>
      <c r="AT202" s="23" t="e">
        <f t="shared" ref="AT202" ca="1" si="1797">AS140-AT140</f>
        <v>#NAME?</v>
      </c>
      <c r="AU202" s="23" t="e">
        <f t="shared" ref="AU202" ca="1" si="1798">AT140-AU140</f>
        <v>#NAME?</v>
      </c>
      <c r="AV202" s="23" t="e">
        <f t="shared" ref="AV202" ca="1" si="1799">AU140-AV140</f>
        <v>#NAME?</v>
      </c>
      <c r="AW202" s="23" t="e">
        <f t="shared" ref="AW202" ca="1" si="1800">AV140-AW140</f>
        <v>#NAME?</v>
      </c>
      <c r="AX202" s="23" t="e">
        <f t="shared" ref="AX202" ca="1" si="1801">AW140-AX140</f>
        <v>#NAME?</v>
      </c>
      <c r="AY202" s="23" t="e">
        <f t="shared" ref="AY202" ca="1" si="1802">AX140-AY140</f>
        <v>#NAME?</v>
      </c>
      <c r="AZ202" s="23" t="e">
        <f t="shared" ref="AZ202" ca="1" si="1803">AY140-AZ140</f>
        <v>#NAME?</v>
      </c>
      <c r="BA202" s="23" t="e">
        <f t="shared" ref="BA202" ca="1" si="1804">AZ140-BA140</f>
        <v>#NAME?</v>
      </c>
      <c r="BB202" s="23" t="e">
        <f t="shared" ref="BB202" ca="1" si="1805">BA140-BB140</f>
        <v>#NAME?</v>
      </c>
      <c r="BC202" s="23" t="e">
        <f t="shared" ref="BC202" ca="1" si="1806">BB140-BC140</f>
        <v>#NAME?</v>
      </c>
      <c r="BD202" s="23" t="e">
        <f t="shared" ref="BD202" ca="1" si="1807">BC140-BD140</f>
        <v>#NAME?</v>
      </c>
      <c r="BE202" s="23" t="e">
        <f t="shared" ref="BE202" ca="1" si="1808">BD140-BE140</f>
        <v>#NAME?</v>
      </c>
      <c r="BF202" s="23" t="e">
        <f t="shared" ref="BF202" ca="1" si="1809">BE140-BF140</f>
        <v>#NAME?</v>
      </c>
      <c r="BG202" s="23" t="e">
        <f t="shared" ref="BG202" ca="1" si="1810">BF140-BG140</f>
        <v>#NAME?</v>
      </c>
      <c r="BH202" s="23" t="e">
        <f t="shared" ref="BH202" ca="1" si="1811">BG140-BH140</f>
        <v>#NAME?</v>
      </c>
      <c r="BI202" s="23" t="e">
        <f t="shared" ref="BI202" ca="1" si="1812">BH140-BI140</f>
        <v>#NAME?</v>
      </c>
      <c r="BJ202" s="23" t="e">
        <f t="shared" ref="BJ202" ca="1" si="1813">BI140-BJ140</f>
        <v>#NAME?</v>
      </c>
      <c r="BK202" s="23" t="e">
        <f t="shared" ref="BK202" ca="1" si="1814">BJ140-BK140</f>
        <v>#NAME?</v>
      </c>
      <c r="BL202" s="23" t="e">
        <f t="shared" ref="BL202" ca="1" si="1815">BK140-BL140</f>
        <v>#NAME?</v>
      </c>
      <c r="BM202" s="23" t="e">
        <f t="shared" ref="BM202" ca="1" si="1816">BL140-BM140</f>
        <v>#NAME?</v>
      </c>
      <c r="BN202" s="23" t="e">
        <f t="shared" ref="BN202" ca="1" si="1817">BM140-BN140</f>
        <v>#NAME?</v>
      </c>
      <c r="BO202" s="23" t="e">
        <f t="shared" ref="BO202" ca="1" si="1818">BN140-BO140</f>
        <v>#NAME?</v>
      </c>
      <c r="BP202" s="23" t="e">
        <f t="shared" ref="BP202" ca="1" si="1819">BO140-BP140</f>
        <v>#NAME?</v>
      </c>
      <c r="BQ202" s="23" t="e">
        <f t="shared" ref="BQ202" ca="1" si="1820">BP140-BQ140</f>
        <v>#NAME?</v>
      </c>
      <c r="BR202" s="23" t="e">
        <f t="shared" ref="BR202" ca="1" si="1821">BQ140-BR140</f>
        <v>#NAME?</v>
      </c>
      <c r="BS202" s="23" t="e">
        <f t="shared" ref="BS202" ca="1" si="1822">BR140-BS140</f>
        <v>#NAME?</v>
      </c>
      <c r="BT202" s="23" t="e">
        <f t="shared" ref="BT202" ca="1" si="1823">BS140-BT140</f>
        <v>#NAME?</v>
      </c>
      <c r="BU202" s="23" t="e">
        <f t="shared" ref="BU202" ca="1" si="1824">BT140-BU140</f>
        <v>#NAME?</v>
      </c>
      <c r="BV202" s="23" t="e">
        <f t="shared" ref="BV202" ca="1" si="1825">BU140-BV140</f>
        <v>#NAME?</v>
      </c>
      <c r="BW202" s="23" t="e">
        <f t="shared" ref="BW202" ca="1" si="1826">BV140-BW140</f>
        <v>#NAME?</v>
      </c>
      <c r="BX202" s="23" t="e">
        <f t="shared" ref="BX202" ca="1" si="1827">BW140-BX140</f>
        <v>#NAME?</v>
      </c>
      <c r="BY202" s="23" t="e">
        <f t="shared" ref="BY202" ca="1" si="1828">BX140-BY140</f>
        <v>#NAME?</v>
      </c>
      <c r="BZ202" s="23" t="e">
        <f t="shared" ref="BZ202" ca="1" si="1829">BY140-BZ140</f>
        <v>#NAME?</v>
      </c>
      <c r="CA202" s="23" t="e">
        <f t="shared" ref="CA202" ca="1" si="1830">BZ140-CA140</f>
        <v>#NAME?</v>
      </c>
      <c r="CB202" s="23" t="e">
        <f t="shared" ref="CB202" ca="1" si="1831">CA140-CB140</f>
        <v>#NAME?</v>
      </c>
      <c r="CC202" s="23" t="e">
        <f t="shared" ref="CC202" ca="1" si="1832">CB140-CC140</f>
        <v>#NAME?</v>
      </c>
      <c r="CD202" s="23" t="e">
        <f t="shared" ref="CD202" ca="1" si="1833">CC140-CD140</f>
        <v>#NAME?</v>
      </c>
      <c r="CE202" s="23" t="e">
        <f t="shared" ref="CE202" ca="1" si="1834">CD140-CE140</f>
        <v>#NAME?</v>
      </c>
      <c r="CF202" s="23" t="e">
        <f t="shared" ref="CF202" ca="1" si="1835">CE140-CF140</f>
        <v>#NAME?</v>
      </c>
      <c r="CG202" s="23" t="e">
        <f t="shared" ref="CG202" ca="1" si="1836">CF140-CG140</f>
        <v>#NAME?</v>
      </c>
      <c r="CH202" s="23" t="e">
        <f t="shared" ref="CH202:CL202" ca="1" si="1837">CG140-CH140</f>
        <v>#NAME?</v>
      </c>
      <c r="CI202" s="23" t="e">
        <f t="shared" ca="1" si="1837"/>
        <v>#NAME?</v>
      </c>
      <c r="CJ202" s="23" t="e">
        <f t="shared" ca="1" si="1837"/>
        <v>#NAME?</v>
      </c>
      <c r="CK202" s="24" t="e">
        <f t="shared" ref="CK202" ca="1" si="1838">CJ140-CK140</f>
        <v>#NAME?</v>
      </c>
      <c r="CL202" s="23" t="e">
        <f t="shared" ca="1" si="1837"/>
        <v>#NAME?</v>
      </c>
      <c r="CM202" s="24" t="e">
        <f t="shared" ref="CM202" ca="1" si="1839">CL140-CM140</f>
        <v>#NAME?</v>
      </c>
      <c r="CN202" s="24" t="e">
        <f t="shared" ref="CN202" ca="1" si="1840">CM140-CN140</f>
        <v>#NAME?</v>
      </c>
      <c r="CO202" s="24" t="e">
        <f t="shared" ref="CO202" ca="1" si="1841">CN140-CO140</f>
        <v>#NAME?</v>
      </c>
      <c r="CP202" s="24" t="e">
        <f t="shared" ref="CP202" ca="1" si="1842">CO140-CP140</f>
        <v>#NAME?</v>
      </c>
      <c r="CQ202" s="24" t="e">
        <f t="shared" ref="CQ202" ca="1" si="1843">CP140-CQ140</f>
        <v>#NAME?</v>
      </c>
      <c r="CR202" s="24" t="e">
        <f t="shared" ref="CR202" ca="1" si="1844">CQ140-CR140</f>
        <v>#NAME?</v>
      </c>
      <c r="CS202" s="24" t="e">
        <f t="shared" ref="CS202" ca="1" si="1845">CR140-CS140</f>
        <v>#NAME?</v>
      </c>
      <c r="CT202" s="24" t="e">
        <f t="shared" ref="CT202" ca="1" si="1846">CS140-CT140</f>
        <v>#NAME?</v>
      </c>
      <c r="CU202" s="24" t="e">
        <f t="shared" ref="CU202" ca="1" si="1847">CT140-CU140</f>
        <v>#NAME?</v>
      </c>
      <c r="CV202" s="24" t="e">
        <f t="shared" ref="CV202" ca="1" si="1848">CU140-CV140</f>
        <v>#NAME?</v>
      </c>
      <c r="CW202" s="24" t="e">
        <f t="shared" ref="CW202" ca="1" si="1849">CV140-CW140</f>
        <v>#NAME?</v>
      </c>
      <c r="CX202" s="24" t="e">
        <f t="shared" ref="CX202" ca="1" si="1850">CW140-CX140</f>
        <v>#NAME?</v>
      </c>
      <c r="CY202" s="24" t="e">
        <f t="shared" ref="CY202" ca="1" si="1851">CX140-CY140</f>
        <v>#NAME?</v>
      </c>
      <c r="CZ202" s="24" t="e">
        <f t="shared" ref="CZ202" ca="1" si="1852">CY140-CZ140</f>
        <v>#NAME?</v>
      </c>
      <c r="DA202" s="24" t="e">
        <f t="shared" ref="DA202" ca="1" si="1853">CZ140-DA140</f>
        <v>#NAME?</v>
      </c>
      <c r="DB202" s="24" t="e">
        <f t="shared" ref="DB202" ca="1" si="1854">DA140-DB140</f>
        <v>#NAME?</v>
      </c>
      <c r="DE202" s="123"/>
      <c r="DF202" s="23">
        <v>20.716000000000001</v>
      </c>
    </row>
    <row r="203" spans="1:110" s="23" customFormat="1" x14ac:dyDescent="0.2">
      <c r="A203" s="23" t="s">
        <v>94</v>
      </c>
      <c r="C203" s="23" t="e">
        <f t="shared" ref="C203:AE203" ca="1" si="1855">B138-C32-C138</f>
        <v>#NAME?</v>
      </c>
      <c r="D203" s="23" t="e">
        <f t="shared" ca="1" si="1855"/>
        <v>#NAME?</v>
      </c>
      <c r="E203" s="23" t="e">
        <f t="shared" ca="1" si="1855"/>
        <v>#NAME?</v>
      </c>
      <c r="F203" s="23" t="e">
        <f t="shared" ca="1" si="1855"/>
        <v>#NAME?</v>
      </c>
      <c r="G203" s="23" t="e">
        <f t="shared" ca="1" si="1855"/>
        <v>#NAME?</v>
      </c>
      <c r="H203" s="23" t="e">
        <f t="shared" ca="1" si="1855"/>
        <v>#NAME?</v>
      </c>
      <c r="I203" s="23" t="e">
        <f t="shared" ca="1" si="1855"/>
        <v>#NAME?</v>
      </c>
      <c r="J203" s="23" t="e">
        <f t="shared" ca="1" si="1855"/>
        <v>#NAME?</v>
      </c>
      <c r="K203" s="23" t="e">
        <f t="shared" ca="1" si="1855"/>
        <v>#NAME?</v>
      </c>
      <c r="L203" s="23" t="e">
        <f t="shared" ca="1" si="1855"/>
        <v>#NAME?</v>
      </c>
      <c r="M203" s="23" t="e">
        <f t="shared" ca="1" si="1855"/>
        <v>#NAME?</v>
      </c>
      <c r="N203" s="23" t="e">
        <f t="shared" ca="1" si="1855"/>
        <v>#NAME?</v>
      </c>
      <c r="O203" s="23" t="e">
        <f t="shared" ca="1" si="1855"/>
        <v>#NAME?</v>
      </c>
      <c r="P203" s="23" t="e">
        <f t="shared" ca="1" si="1855"/>
        <v>#NAME?</v>
      </c>
      <c r="Q203" s="23" t="e">
        <f t="shared" ca="1" si="1855"/>
        <v>#NAME?</v>
      </c>
      <c r="R203" s="23" t="e">
        <f t="shared" ca="1" si="1855"/>
        <v>#NAME?</v>
      </c>
      <c r="S203" s="23" t="e">
        <f t="shared" ca="1" si="1855"/>
        <v>#NAME?</v>
      </c>
      <c r="T203" s="23" t="e">
        <f t="shared" ca="1" si="1855"/>
        <v>#NAME?</v>
      </c>
      <c r="U203" s="23" t="e">
        <f t="shared" ca="1" si="1855"/>
        <v>#NAME?</v>
      </c>
      <c r="V203" s="23" t="e">
        <f t="shared" ca="1" si="1855"/>
        <v>#NAME?</v>
      </c>
      <c r="W203" s="23" t="e">
        <f t="shared" ca="1" si="1855"/>
        <v>#NAME?</v>
      </c>
      <c r="X203" s="23" t="e">
        <f t="shared" ca="1" si="1855"/>
        <v>#NAME?</v>
      </c>
      <c r="Y203" s="23" t="e">
        <f t="shared" ca="1" si="1855"/>
        <v>#NAME?</v>
      </c>
      <c r="Z203" s="23" t="e">
        <f t="shared" ca="1" si="1855"/>
        <v>#NAME?</v>
      </c>
      <c r="AA203" s="23" t="e">
        <f t="shared" ca="1" si="1855"/>
        <v>#NAME?</v>
      </c>
      <c r="AB203" s="24" t="e">
        <f t="shared" ca="1" si="1855"/>
        <v>#NAME?</v>
      </c>
      <c r="AC203" s="24" t="e">
        <f t="shared" ca="1" si="1855"/>
        <v>#NAME?</v>
      </c>
      <c r="AD203" s="24" t="e">
        <f t="shared" ca="1" si="1855"/>
        <v>#NAME?</v>
      </c>
      <c r="AE203" s="24" t="e">
        <f t="shared" ca="1" si="1855"/>
        <v>#NAME?</v>
      </c>
      <c r="AI203" s="23" t="e">
        <f t="shared" ref="AI203:BN203" ca="1" si="1856">AH138-AI32-AI138</f>
        <v>#NAME?</v>
      </c>
      <c r="AJ203" s="23" t="e">
        <f t="shared" ca="1" si="1856"/>
        <v>#NAME?</v>
      </c>
      <c r="AK203" s="23" t="e">
        <f t="shared" ca="1" si="1856"/>
        <v>#NAME?</v>
      </c>
      <c r="AL203" s="23" t="e">
        <f t="shared" ca="1" si="1856"/>
        <v>#NAME?</v>
      </c>
      <c r="AM203" s="23" t="e">
        <f t="shared" ca="1" si="1856"/>
        <v>#NAME?</v>
      </c>
      <c r="AN203" s="23" t="e">
        <f t="shared" ca="1" si="1856"/>
        <v>#NAME?</v>
      </c>
      <c r="AO203" s="23" t="e">
        <f t="shared" ca="1" si="1856"/>
        <v>#NAME?</v>
      </c>
      <c r="AP203" s="23" t="e">
        <f t="shared" ca="1" si="1856"/>
        <v>#NAME?</v>
      </c>
      <c r="AQ203" s="23" t="e">
        <f t="shared" ca="1" si="1856"/>
        <v>#NAME?</v>
      </c>
      <c r="AR203" s="23" t="e">
        <f t="shared" ca="1" si="1856"/>
        <v>#NAME?</v>
      </c>
      <c r="AS203" s="23" t="e">
        <f t="shared" ca="1" si="1856"/>
        <v>#NAME?</v>
      </c>
      <c r="AT203" s="23" t="e">
        <f t="shared" ca="1" si="1856"/>
        <v>#NAME?</v>
      </c>
      <c r="AU203" s="23" t="e">
        <f t="shared" ca="1" si="1856"/>
        <v>#NAME?</v>
      </c>
      <c r="AV203" s="23" t="e">
        <f t="shared" ca="1" si="1856"/>
        <v>#NAME?</v>
      </c>
      <c r="AW203" s="23" t="e">
        <f t="shared" ca="1" si="1856"/>
        <v>#NAME?</v>
      </c>
      <c r="AX203" s="23" t="e">
        <f t="shared" ca="1" si="1856"/>
        <v>#NAME?</v>
      </c>
      <c r="AY203" s="23" t="e">
        <f t="shared" ca="1" si="1856"/>
        <v>#NAME?</v>
      </c>
      <c r="AZ203" s="23" t="e">
        <f t="shared" ca="1" si="1856"/>
        <v>#NAME?</v>
      </c>
      <c r="BA203" s="23" t="e">
        <f t="shared" ca="1" si="1856"/>
        <v>#NAME?</v>
      </c>
      <c r="BB203" s="23" t="e">
        <f t="shared" ca="1" si="1856"/>
        <v>#NAME?</v>
      </c>
      <c r="BC203" s="23" t="e">
        <f t="shared" ca="1" si="1856"/>
        <v>#NAME?</v>
      </c>
      <c r="BD203" s="23" t="e">
        <f t="shared" ca="1" si="1856"/>
        <v>#NAME?</v>
      </c>
      <c r="BE203" s="23" t="e">
        <f t="shared" ca="1" si="1856"/>
        <v>#NAME?</v>
      </c>
      <c r="BF203" s="23" t="e">
        <f t="shared" ca="1" si="1856"/>
        <v>#NAME?</v>
      </c>
      <c r="BG203" s="23" t="e">
        <f t="shared" ca="1" si="1856"/>
        <v>#NAME?</v>
      </c>
      <c r="BH203" s="23" t="e">
        <f t="shared" ca="1" si="1856"/>
        <v>#NAME?</v>
      </c>
      <c r="BI203" s="23" t="e">
        <f t="shared" ca="1" si="1856"/>
        <v>#NAME?</v>
      </c>
      <c r="BJ203" s="23" t="e">
        <f t="shared" ca="1" si="1856"/>
        <v>#NAME?</v>
      </c>
      <c r="BK203" s="23" t="e">
        <f t="shared" ca="1" si="1856"/>
        <v>#NAME?</v>
      </c>
      <c r="BL203" s="23" t="e">
        <f t="shared" ca="1" si="1856"/>
        <v>#NAME?</v>
      </c>
      <c r="BM203" s="23" t="e">
        <f t="shared" ca="1" si="1856"/>
        <v>#NAME?</v>
      </c>
      <c r="BN203" s="23" t="e">
        <f t="shared" ca="1" si="1856"/>
        <v>#NAME?</v>
      </c>
      <c r="BO203" s="23" t="e">
        <f t="shared" ref="BO203:CT203" ca="1" si="1857">BN138-BO32-BO138</f>
        <v>#NAME?</v>
      </c>
      <c r="BP203" s="23" t="e">
        <f t="shared" ca="1" si="1857"/>
        <v>#NAME?</v>
      </c>
      <c r="BQ203" s="23" t="e">
        <f t="shared" ca="1" si="1857"/>
        <v>#NAME?</v>
      </c>
      <c r="BR203" s="23" t="e">
        <f t="shared" ca="1" si="1857"/>
        <v>#NAME?</v>
      </c>
      <c r="BS203" s="23" t="e">
        <f t="shared" ca="1" si="1857"/>
        <v>#NAME?</v>
      </c>
      <c r="BT203" s="23" t="e">
        <f t="shared" ca="1" si="1857"/>
        <v>#NAME?</v>
      </c>
      <c r="BU203" s="23" t="e">
        <f t="shared" ca="1" si="1857"/>
        <v>#NAME?</v>
      </c>
      <c r="BV203" s="23" t="e">
        <f t="shared" ca="1" si="1857"/>
        <v>#NAME?</v>
      </c>
      <c r="BW203" s="23" t="e">
        <f t="shared" ca="1" si="1857"/>
        <v>#NAME?</v>
      </c>
      <c r="BX203" s="23" t="e">
        <f t="shared" ca="1" si="1857"/>
        <v>#NAME?</v>
      </c>
      <c r="BY203" s="23" t="e">
        <f t="shared" ca="1" si="1857"/>
        <v>#NAME?</v>
      </c>
      <c r="BZ203" s="23" t="e">
        <f t="shared" ca="1" si="1857"/>
        <v>#NAME?</v>
      </c>
      <c r="CA203" s="23" t="e">
        <f t="shared" ca="1" si="1857"/>
        <v>#NAME?</v>
      </c>
      <c r="CB203" s="23" t="e">
        <f t="shared" ca="1" si="1857"/>
        <v>#NAME?</v>
      </c>
      <c r="CC203" s="23" t="e">
        <f t="shared" ca="1" si="1857"/>
        <v>#NAME?</v>
      </c>
      <c r="CD203" s="23" t="e">
        <f t="shared" ca="1" si="1857"/>
        <v>#NAME?</v>
      </c>
      <c r="CE203" s="23" t="e">
        <f t="shared" ca="1" si="1857"/>
        <v>#NAME?</v>
      </c>
      <c r="CF203" s="23" t="e">
        <f t="shared" ca="1" si="1857"/>
        <v>#NAME?</v>
      </c>
      <c r="CG203" s="23" t="e">
        <f t="shared" ca="1" si="1857"/>
        <v>#NAME?</v>
      </c>
      <c r="CH203" s="23" t="e">
        <f t="shared" ca="1" si="1857"/>
        <v>#NAME?</v>
      </c>
      <c r="CI203" s="23" t="e">
        <f t="shared" ca="1" si="1857"/>
        <v>#NAME?</v>
      </c>
      <c r="CJ203" s="23" t="e">
        <f t="shared" ca="1" si="1857"/>
        <v>#NAME?</v>
      </c>
      <c r="CK203" s="24" t="e">
        <f t="shared" ca="1" si="1857"/>
        <v>#NAME?</v>
      </c>
      <c r="CL203" s="23" t="e">
        <f t="shared" ca="1" si="1857"/>
        <v>#NAME?</v>
      </c>
      <c r="CM203" s="24" t="e">
        <f t="shared" ca="1" si="1857"/>
        <v>#NAME?</v>
      </c>
      <c r="CN203" s="24" t="e">
        <f t="shared" ca="1" si="1857"/>
        <v>#NAME?</v>
      </c>
      <c r="CO203" s="24" t="e">
        <f t="shared" ca="1" si="1857"/>
        <v>#NAME?</v>
      </c>
      <c r="CP203" s="24" t="e">
        <f t="shared" ca="1" si="1857"/>
        <v>#NAME?</v>
      </c>
      <c r="CQ203" s="24" t="e">
        <f t="shared" ca="1" si="1857"/>
        <v>#NAME?</v>
      </c>
      <c r="CR203" s="24" t="e">
        <f t="shared" ca="1" si="1857"/>
        <v>#NAME?</v>
      </c>
      <c r="CS203" s="24" t="e">
        <f t="shared" ca="1" si="1857"/>
        <v>#NAME?</v>
      </c>
      <c r="CT203" s="24" t="e">
        <f t="shared" ca="1" si="1857"/>
        <v>#NAME?</v>
      </c>
      <c r="CU203" s="24" t="e">
        <f t="shared" ref="CU203:DB203" ca="1" si="1858">CT138-CU32-CU138</f>
        <v>#NAME?</v>
      </c>
      <c r="CV203" s="24" t="e">
        <f t="shared" ca="1" si="1858"/>
        <v>#NAME?</v>
      </c>
      <c r="CW203" s="24" t="e">
        <f t="shared" ca="1" si="1858"/>
        <v>#NAME?</v>
      </c>
      <c r="CX203" s="24" t="e">
        <f t="shared" ca="1" si="1858"/>
        <v>#NAME?</v>
      </c>
      <c r="CY203" s="24" t="e">
        <f t="shared" ca="1" si="1858"/>
        <v>#NAME?</v>
      </c>
      <c r="CZ203" s="24" t="e">
        <f t="shared" ca="1" si="1858"/>
        <v>#NAME?</v>
      </c>
      <c r="DA203" s="24" t="e">
        <f t="shared" ca="1" si="1858"/>
        <v>#NAME?</v>
      </c>
      <c r="DB203" s="24" t="e">
        <f t="shared" ca="1" si="1858"/>
        <v>#NAME?</v>
      </c>
      <c r="DE203" s="123"/>
      <c r="DF203" s="23">
        <v>4.3320000000001073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9">C206+C207</f>
        <v>#NAME?</v>
      </c>
      <c r="D205" s="22" t="e">
        <f t="shared" ca="1" si="1859"/>
        <v>#NAME?</v>
      </c>
      <c r="E205" s="22" t="e">
        <f t="shared" ca="1" si="1859"/>
        <v>#NAME?</v>
      </c>
      <c r="F205" s="22" t="e">
        <f t="shared" ca="1" si="1859"/>
        <v>#NAME?</v>
      </c>
      <c r="G205" s="22" t="e">
        <f t="shared" ca="1" si="1859"/>
        <v>#NAME?</v>
      </c>
      <c r="H205" s="22" t="e">
        <f t="shared" ca="1" si="1859"/>
        <v>#NAME?</v>
      </c>
      <c r="I205" s="22" t="e">
        <f t="shared" ca="1" si="1859"/>
        <v>#NAME?</v>
      </c>
      <c r="J205" s="22" t="e">
        <f t="shared" ca="1" si="1859"/>
        <v>#NAME?</v>
      </c>
      <c r="K205" s="22" t="e">
        <f t="shared" ca="1" si="1859"/>
        <v>#NAME?</v>
      </c>
      <c r="L205" s="22" t="e">
        <f t="shared" ca="1" si="1859"/>
        <v>#NAME?</v>
      </c>
      <c r="M205" s="22" t="e">
        <f t="shared" ca="1" si="1859"/>
        <v>#NAME?</v>
      </c>
      <c r="N205" s="22" t="e">
        <f t="shared" ca="1" si="1859"/>
        <v>#NAME?</v>
      </c>
      <c r="O205" s="22" t="e">
        <f t="shared" ca="1" si="1859"/>
        <v>#NAME?</v>
      </c>
      <c r="P205" s="22" t="e">
        <f t="shared" ca="1" si="1859"/>
        <v>#NAME?</v>
      </c>
      <c r="Q205" s="22" t="e">
        <f t="shared" ca="1" si="1859"/>
        <v>#NAME?</v>
      </c>
      <c r="R205" s="22" t="e">
        <f t="shared" ca="1" si="1859"/>
        <v>#NAME?</v>
      </c>
      <c r="S205" s="22" t="e">
        <f t="shared" ca="1" si="1859"/>
        <v>#NAME?</v>
      </c>
      <c r="T205" s="22" t="e">
        <f t="shared" ca="1" si="1859"/>
        <v>#NAME?</v>
      </c>
      <c r="U205" s="22" t="e">
        <f t="shared" ca="1" si="1859"/>
        <v>#NAME?</v>
      </c>
      <c r="V205" s="22" t="e">
        <f t="shared" ca="1" si="1859"/>
        <v>#NAME?</v>
      </c>
      <c r="W205" s="22" t="e">
        <f t="shared" ca="1" si="1859"/>
        <v>#NAME?</v>
      </c>
      <c r="X205" s="22" t="e">
        <f t="shared" ref="X205:Y205" ca="1" si="1860">X206+X207</f>
        <v>#NAME?</v>
      </c>
      <c r="Y205" s="22" t="e">
        <f t="shared" ca="1" si="1860"/>
        <v>#NAME?</v>
      </c>
      <c r="Z205" s="22" t="e">
        <f t="shared" ref="Z205:AA205" ca="1" si="1861">Z206+Z207</f>
        <v>#NAME?</v>
      </c>
      <c r="AA205" s="22" t="e">
        <f t="shared" ca="1" si="1861"/>
        <v>#NAME?</v>
      </c>
      <c r="AB205" s="21" t="e">
        <f t="shared" ref="AA205:AD205" ca="1" si="1862">AB206+AB207</f>
        <v>#NAME?</v>
      </c>
      <c r="AC205" s="21" t="e">
        <f t="shared" ca="1" si="1862"/>
        <v>#NAME?</v>
      </c>
      <c r="AD205" s="21" t="e">
        <f t="shared" ca="1" si="1862"/>
        <v>#NAME?</v>
      </c>
      <c r="AE205" s="21" t="e">
        <f t="shared" ref="AE205" ca="1" si="1863">AE206+AE207</f>
        <v>#NAME?</v>
      </c>
      <c r="AI205" s="22" t="e">
        <f t="shared" ref="AI205" ca="1" si="1864">AI206+AI207</f>
        <v>#NAME?</v>
      </c>
      <c r="AJ205" s="22" t="e">
        <f t="shared" ref="AJ205:AL205" ca="1" si="1865">AJ206+AJ207</f>
        <v>#NAME?</v>
      </c>
      <c r="AK205" s="22" t="e">
        <f t="shared" ca="1" si="1865"/>
        <v>#NAME?</v>
      </c>
      <c r="AL205" s="22" t="e">
        <f t="shared" ca="1" si="1865"/>
        <v>#NAME?</v>
      </c>
      <c r="AM205" s="22" t="e">
        <f t="shared" ref="AM205" ca="1" si="1866">AM206+AM207</f>
        <v>#NAME?</v>
      </c>
      <c r="AN205" s="22" t="e">
        <f t="shared" ref="AN205:CD205" ca="1" si="1867">AN206+AN207</f>
        <v>#NAME?</v>
      </c>
      <c r="AO205" s="22" t="e">
        <f t="shared" ca="1" si="1867"/>
        <v>#NAME?</v>
      </c>
      <c r="AP205" s="22" t="e">
        <f t="shared" ca="1" si="1867"/>
        <v>#NAME?</v>
      </c>
      <c r="AQ205" s="22" t="e">
        <f t="shared" ca="1" si="1867"/>
        <v>#NAME?</v>
      </c>
      <c r="AR205" s="22" t="e">
        <f t="shared" ca="1" si="1867"/>
        <v>#NAME?</v>
      </c>
      <c r="AS205" s="22" t="e">
        <f t="shared" ca="1" si="1867"/>
        <v>#NAME?</v>
      </c>
      <c r="AT205" s="22" t="e">
        <f t="shared" ca="1" si="1867"/>
        <v>#NAME?</v>
      </c>
      <c r="AU205" s="22" t="e">
        <f t="shared" ca="1" si="1867"/>
        <v>#NAME?</v>
      </c>
      <c r="AV205" s="22" t="e">
        <f t="shared" ca="1" si="1867"/>
        <v>#NAME?</v>
      </c>
      <c r="AW205" s="22" t="e">
        <f t="shared" ca="1" si="1867"/>
        <v>#NAME?</v>
      </c>
      <c r="AX205" s="22" t="e">
        <f t="shared" ca="1" si="1867"/>
        <v>#NAME?</v>
      </c>
      <c r="AY205" s="22" t="e">
        <f t="shared" ca="1" si="1867"/>
        <v>#NAME?</v>
      </c>
      <c r="AZ205" s="22" t="e">
        <f t="shared" ca="1" si="1867"/>
        <v>#NAME?</v>
      </c>
      <c r="BA205" s="22" t="e">
        <f t="shared" ca="1" si="1867"/>
        <v>#NAME?</v>
      </c>
      <c r="BB205" s="22" t="e">
        <f t="shared" ca="1" si="1867"/>
        <v>#NAME?</v>
      </c>
      <c r="BC205" s="22" t="e">
        <f t="shared" ca="1" si="1867"/>
        <v>#NAME?</v>
      </c>
      <c r="BD205" s="22" t="e">
        <f t="shared" ca="1" si="1867"/>
        <v>#NAME?</v>
      </c>
      <c r="BE205" s="22" t="e">
        <f t="shared" ca="1" si="1867"/>
        <v>#NAME?</v>
      </c>
      <c r="BF205" s="22" t="e">
        <f t="shared" ca="1" si="1867"/>
        <v>#NAME?</v>
      </c>
      <c r="BG205" s="22" t="e">
        <f t="shared" ca="1" si="1867"/>
        <v>#NAME?</v>
      </c>
      <c r="BH205" s="22" t="e">
        <f t="shared" ca="1" si="1867"/>
        <v>#NAME?</v>
      </c>
      <c r="BI205" s="22" t="e">
        <f t="shared" ca="1" si="1867"/>
        <v>#NAME?</v>
      </c>
      <c r="BJ205" s="22" t="e">
        <f t="shared" ca="1" si="1867"/>
        <v>#NAME?</v>
      </c>
      <c r="BK205" s="22" t="e">
        <f t="shared" ca="1" si="1867"/>
        <v>#NAME?</v>
      </c>
      <c r="BL205" s="22" t="e">
        <f t="shared" ca="1" si="1867"/>
        <v>#NAME?</v>
      </c>
      <c r="BM205" s="22" t="e">
        <f t="shared" ca="1" si="1867"/>
        <v>#NAME?</v>
      </c>
      <c r="BN205" s="22" t="e">
        <f t="shared" ca="1" si="1867"/>
        <v>#NAME?</v>
      </c>
      <c r="BO205" s="22" t="e">
        <f t="shared" ca="1" si="1867"/>
        <v>#NAME?</v>
      </c>
      <c r="BP205" s="22" t="e">
        <f t="shared" ca="1" si="1867"/>
        <v>#NAME?</v>
      </c>
      <c r="BQ205" s="22" t="e">
        <f t="shared" ca="1" si="1867"/>
        <v>#NAME?</v>
      </c>
      <c r="BR205" s="22" t="e">
        <f t="shared" ca="1" si="1867"/>
        <v>#NAME?</v>
      </c>
      <c r="BS205" s="22" t="e">
        <f t="shared" ca="1" si="1867"/>
        <v>#NAME?</v>
      </c>
      <c r="BT205" s="22" t="e">
        <f t="shared" ca="1" si="1867"/>
        <v>#NAME?</v>
      </c>
      <c r="BU205" s="22" t="e">
        <f t="shared" ca="1" si="1867"/>
        <v>#NAME?</v>
      </c>
      <c r="BV205" s="22" t="e">
        <f t="shared" ca="1" si="1867"/>
        <v>#NAME?</v>
      </c>
      <c r="BW205" s="22" t="e">
        <f t="shared" ca="1" si="1867"/>
        <v>#NAME?</v>
      </c>
      <c r="BX205" s="22" t="e">
        <f t="shared" ca="1" si="1867"/>
        <v>#NAME?</v>
      </c>
      <c r="BY205" s="22" t="e">
        <f t="shared" ca="1" si="1867"/>
        <v>#NAME?</v>
      </c>
      <c r="BZ205" s="22" t="e">
        <f t="shared" ca="1" si="1867"/>
        <v>#NAME?</v>
      </c>
      <c r="CA205" s="22" t="e">
        <f t="shared" ca="1" si="1867"/>
        <v>#NAME?</v>
      </c>
      <c r="CB205" s="22" t="e">
        <f t="shared" ca="1" si="1867"/>
        <v>#NAME?</v>
      </c>
      <c r="CC205" s="22" t="e">
        <f t="shared" ca="1" si="1867"/>
        <v>#NAME?</v>
      </c>
      <c r="CD205" s="22" t="e">
        <f t="shared" ca="1" si="1867"/>
        <v>#NAME?</v>
      </c>
      <c r="CE205" s="22" t="e">
        <f t="shared" ref="CE205:CF205" ca="1" si="1868">CE206+CE207</f>
        <v>#NAME?</v>
      </c>
      <c r="CF205" s="22" t="e">
        <f t="shared" ca="1" si="1868"/>
        <v>#NAME?</v>
      </c>
      <c r="CG205" s="22" t="e">
        <f t="shared" ref="CG205:CH205" ca="1" si="1869">CG206+CG207</f>
        <v>#NAME?</v>
      </c>
      <c r="CH205" s="22" t="e">
        <f t="shared" ca="1" si="1869"/>
        <v>#NAME?</v>
      </c>
      <c r="CI205" s="22" t="e">
        <f t="shared" ref="CI205:CJ205" ca="1" si="1870">CI206+CI207</f>
        <v>#NAME?</v>
      </c>
      <c r="CJ205" s="22" t="e">
        <f t="shared" ca="1" si="1870"/>
        <v>#NAME?</v>
      </c>
      <c r="CK205" s="21" t="e">
        <f t="shared" ref="CK205:DB205" ca="1" si="1871">CK206+CK207</f>
        <v>#NAME?</v>
      </c>
      <c r="CL205" s="22" t="e">
        <f t="shared" ca="1" si="1871"/>
        <v>#NAME?</v>
      </c>
      <c r="CM205" s="21" t="e">
        <f t="shared" ca="1" si="1871"/>
        <v>#NAME?</v>
      </c>
      <c r="CN205" s="21" t="e">
        <f t="shared" ca="1" si="1871"/>
        <v>#NAME?</v>
      </c>
      <c r="CO205" s="21" t="e">
        <f t="shared" ca="1" si="1871"/>
        <v>#NAME?</v>
      </c>
      <c r="CP205" s="21" t="e">
        <f t="shared" ca="1" si="1871"/>
        <v>#NAME?</v>
      </c>
      <c r="CQ205" s="21" t="e">
        <f t="shared" ca="1" si="1871"/>
        <v>#NAME?</v>
      </c>
      <c r="CR205" s="21" t="e">
        <f t="shared" ca="1" si="1871"/>
        <v>#NAME?</v>
      </c>
      <c r="CS205" s="21" t="e">
        <f t="shared" ca="1" si="1871"/>
        <v>#NAME?</v>
      </c>
      <c r="CT205" s="21" t="e">
        <f t="shared" ca="1" si="1871"/>
        <v>#NAME?</v>
      </c>
      <c r="CU205" s="21" t="e">
        <f t="shared" ca="1" si="1871"/>
        <v>#NAME?</v>
      </c>
      <c r="CV205" s="21" t="e">
        <f t="shared" ca="1" si="1871"/>
        <v>#NAME?</v>
      </c>
      <c r="CW205" s="21" t="e">
        <f t="shared" ca="1" si="1871"/>
        <v>#NAME?</v>
      </c>
      <c r="CX205" s="21" t="e">
        <f t="shared" ca="1" si="1871"/>
        <v>#NAME?</v>
      </c>
      <c r="CY205" s="21" t="e">
        <f t="shared" ca="1" si="1871"/>
        <v>#NAME?</v>
      </c>
      <c r="CZ205" s="21" t="e">
        <f t="shared" ca="1" si="1871"/>
        <v>#NAME?</v>
      </c>
      <c r="DA205" s="21" t="e">
        <f t="shared" ca="1" si="1871"/>
        <v>#NAME?</v>
      </c>
      <c r="DB205" s="21" t="e">
        <f t="shared" ca="1" si="1871"/>
        <v>#NAME?</v>
      </c>
      <c r="DE205" s="126"/>
      <c r="DF205" s="22">
        <v>-148.24000000000015</v>
      </c>
    </row>
    <row r="206" spans="1:110" s="23" customFormat="1" x14ac:dyDescent="0.2">
      <c r="A206" s="23" t="s">
        <v>49</v>
      </c>
      <c r="C206" s="23" t="e">
        <f t="shared" ref="C206:AA206" ca="1" si="1872">C128-B128</f>
        <v>#NAME?</v>
      </c>
      <c r="D206" s="23" t="e">
        <f t="shared" ca="1" si="1872"/>
        <v>#NAME?</v>
      </c>
      <c r="E206" s="23" t="e">
        <f ca="1">E128-D128</f>
        <v>#NAME?</v>
      </c>
      <c r="F206" s="23" t="e">
        <f t="shared" ca="1" si="1872"/>
        <v>#NAME?</v>
      </c>
      <c r="G206" s="23" t="e">
        <f t="shared" ca="1" si="1872"/>
        <v>#NAME?</v>
      </c>
      <c r="H206" s="23" t="e">
        <f t="shared" ca="1" si="1872"/>
        <v>#NAME?</v>
      </c>
      <c r="I206" s="23" t="e">
        <f t="shared" ca="1" si="187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2"/>
        <v>#NAME?</v>
      </c>
      <c r="M206" s="23" t="e">
        <f t="shared" ca="1" si="1872"/>
        <v>#NAME?</v>
      </c>
      <c r="N206" s="23" t="e">
        <f t="shared" ca="1" si="1872"/>
        <v>#NAME?</v>
      </c>
      <c r="O206" s="23" t="e">
        <f t="shared" ca="1" si="1872"/>
        <v>#NAME?</v>
      </c>
      <c r="P206" s="23" t="e">
        <f t="shared" ca="1" si="1872"/>
        <v>#NAME?</v>
      </c>
      <c r="Q206" s="23" t="e">
        <f t="shared" ca="1" si="1872"/>
        <v>#NAME?</v>
      </c>
      <c r="R206" s="23" t="e">
        <f t="shared" ca="1" si="1872"/>
        <v>#NAME?</v>
      </c>
      <c r="S206" s="23" t="e">
        <f t="shared" ca="1" si="1872"/>
        <v>#NAME?</v>
      </c>
      <c r="T206" s="23" t="e">
        <f t="shared" ca="1" si="1872"/>
        <v>#NAME?</v>
      </c>
      <c r="U206" s="23" t="e">
        <f t="shared" ca="1" si="1872"/>
        <v>#NAME?</v>
      </c>
      <c r="V206" s="23" t="e">
        <f t="shared" ca="1" si="1872"/>
        <v>#NAME?</v>
      </c>
      <c r="W206" s="23" t="e">
        <f t="shared" ca="1" si="1872"/>
        <v>#NAME?</v>
      </c>
      <c r="X206" s="23" t="e">
        <f t="shared" ca="1" si="1872"/>
        <v>#NAME?</v>
      </c>
      <c r="Y206" s="23" t="e">
        <f t="shared" ca="1" si="1872"/>
        <v>#NAME?</v>
      </c>
      <c r="Z206" s="23" t="e">
        <f t="shared" ca="1" si="1872"/>
        <v>#NAME?</v>
      </c>
      <c r="AA206" s="23" t="e">
        <f t="shared" ca="1" si="1872"/>
        <v>#NAME?</v>
      </c>
      <c r="AB206" s="24" t="e">
        <f t="shared" ref="AB206" ca="1" si="1873">AB128-AA128</f>
        <v>#NAME?</v>
      </c>
      <c r="AC206" s="24" t="e">
        <f t="shared" ref="AC206" ca="1" si="1874">AC128-AB128</f>
        <v>#NAME?</v>
      </c>
      <c r="AD206" s="24" t="e">
        <f t="shared" ref="AD206" ca="1" si="1875">AD128-AC128</f>
        <v>#NAME?</v>
      </c>
      <c r="AE206" s="24" t="e">
        <f t="shared" ref="AE206" ca="1" si="1876">AE128-AD128</f>
        <v>#NAME?</v>
      </c>
      <c r="AI206" s="23">
        <f t="shared" ref="AI206" si="1877">AI128-AH128</f>
        <v>0</v>
      </c>
      <c r="AJ206" s="23" t="e">
        <f t="shared" ref="AJ206" ca="1" si="1878">AJ128-AI128</f>
        <v>#NAME?</v>
      </c>
      <c r="AK206" s="23" t="e">
        <f t="shared" ref="AK206" ca="1" si="1879">AK128-AJ128</f>
        <v>#NAME?</v>
      </c>
      <c r="AL206" s="23" t="e">
        <f t="shared" ref="AL206" ca="1" si="1880">AL128-AK128</f>
        <v>#NAME?</v>
      </c>
      <c r="AM206" s="23" t="e">
        <f t="shared" ref="AM206" ca="1" si="1881">AM128-AL128</f>
        <v>#NAME?</v>
      </c>
      <c r="AN206" s="23" t="e">
        <f t="shared" ref="AN206" ca="1" si="1882">AN128-AM128</f>
        <v>#NAME?</v>
      </c>
      <c r="AO206" s="23" t="e">
        <f t="shared" ref="AO206" ca="1" si="1883">AO128-AN128</f>
        <v>#NAME?</v>
      </c>
      <c r="AP206" s="23" t="e">
        <f t="shared" ref="AP206" ca="1" si="1884">AP128-AO128</f>
        <v>#NAME?</v>
      </c>
      <c r="AQ206" s="23" t="e">
        <f t="shared" ref="AQ206" ca="1" si="1885">AQ128-AP128</f>
        <v>#NAME?</v>
      </c>
      <c r="AR206" s="23" t="e">
        <f t="shared" ref="AR206" ca="1" si="1886">AR128-AQ128</f>
        <v>#NAME?</v>
      </c>
      <c r="AS206" s="23" t="e">
        <f t="shared" ref="AS206" ca="1" si="1887">AS128-AR128</f>
        <v>#NAME?</v>
      </c>
      <c r="AT206" s="23" t="e">
        <f t="shared" ref="AT206" ca="1" si="1888">AT128-AS128</f>
        <v>#NAME?</v>
      </c>
      <c r="AU206" s="23" t="e">
        <f t="shared" ref="AU206" ca="1" si="1889">AU128-AT128</f>
        <v>#NAME?</v>
      </c>
      <c r="AV206" s="23" t="e">
        <f t="shared" ref="AV206" ca="1" si="1890">AV128-AU128</f>
        <v>#NAME?</v>
      </c>
      <c r="AW206" s="23" t="e">
        <f t="shared" ref="AW206" ca="1" si="1891">AW128-AV128</f>
        <v>#NAME?</v>
      </c>
      <c r="AX206" s="23" t="e">
        <f t="shared" ref="AX206" ca="1" si="1892">AX128-AW128</f>
        <v>#NAME?</v>
      </c>
      <c r="AY206" s="23" t="e">
        <f t="shared" ref="AY206" ca="1" si="1893">AY128-AX128</f>
        <v>#NAME?</v>
      </c>
      <c r="AZ206" s="23" t="e">
        <f t="shared" ref="AZ206" ca="1" si="1894">AZ128-AY128</f>
        <v>#NAME?</v>
      </c>
      <c r="BA206" s="23" t="e">
        <f t="shared" ref="BA206" ca="1" si="1895">BA128-AZ128</f>
        <v>#NAME?</v>
      </c>
      <c r="BB206" s="23" t="e">
        <f t="shared" ref="BB206" ca="1" si="1896">BB128-BA128</f>
        <v>#NAME?</v>
      </c>
      <c r="BC206" s="23" t="e">
        <f t="shared" ref="BC206" ca="1" si="1897">BC128-BB128</f>
        <v>#NAME?</v>
      </c>
      <c r="BD206" s="23" t="e">
        <f t="shared" ref="BD206" ca="1" si="1898">BD128-BC128</f>
        <v>#NAME?</v>
      </c>
      <c r="BE206" s="23" t="e">
        <f t="shared" ref="BE206" ca="1" si="1899">BE128-BD128</f>
        <v>#NAME?</v>
      </c>
      <c r="BF206" s="23" t="e">
        <f t="shared" ref="BF206" ca="1" si="1900">BF128-BE128</f>
        <v>#NAME?</v>
      </c>
      <c r="BG206" s="23" t="e">
        <f t="shared" ref="BG206" ca="1" si="1901">BG128-BF128</f>
        <v>#NAME?</v>
      </c>
      <c r="BH206" s="23" t="e">
        <f t="shared" ref="BH206" ca="1" si="1902">BH128-BG128</f>
        <v>#NAME?</v>
      </c>
      <c r="BI206" s="23" t="e">
        <f t="shared" ref="BI206" ca="1" si="1903">BI128-BH128</f>
        <v>#NAME?</v>
      </c>
      <c r="BJ206" s="23" t="e">
        <f t="shared" ref="BJ206" ca="1" si="1904">BJ128-BI128</f>
        <v>#NAME?</v>
      </c>
      <c r="BK206" s="23" t="e">
        <f t="shared" ref="BK206" ca="1" si="1905">BK128-BJ128</f>
        <v>#NAME?</v>
      </c>
      <c r="BL206" s="23" t="e">
        <f t="shared" ref="BL206" ca="1" si="1906">BL128-BK128</f>
        <v>#NAME?</v>
      </c>
      <c r="BM206" s="23" t="e">
        <f t="shared" ref="BM206" ca="1" si="1907">BM128-BL128</f>
        <v>#NAME?</v>
      </c>
      <c r="BN206" s="23" t="e">
        <f t="shared" ref="BN206" ca="1" si="1908">BN128-BM128</f>
        <v>#NAME?</v>
      </c>
      <c r="BO206" s="23" t="e">
        <f t="shared" ref="BO206" ca="1" si="1909">BO128-BN128</f>
        <v>#NAME?</v>
      </c>
      <c r="BP206" s="23" t="e">
        <f t="shared" ref="BP206" ca="1" si="1910">BP128-BO128</f>
        <v>#NAME?</v>
      </c>
      <c r="BQ206" s="23" t="e">
        <f t="shared" ref="BQ206" ca="1" si="1911">BQ128-BP128</f>
        <v>#NAME?</v>
      </c>
      <c r="BR206" s="23" t="e">
        <f t="shared" ref="BR206" ca="1" si="1912">BR128-BQ128</f>
        <v>#NAME?</v>
      </c>
      <c r="BS206" s="23" t="e">
        <f t="shared" ref="BS206" ca="1" si="1913">BS128-BR128</f>
        <v>#NAME?</v>
      </c>
      <c r="BT206" s="23" t="e">
        <f t="shared" ref="BT206" ca="1" si="1914">BT128-BS128</f>
        <v>#NAME?</v>
      </c>
      <c r="BU206" s="23" t="e">
        <f t="shared" ref="BU206" ca="1" si="1915">BU128-BT128</f>
        <v>#NAME?</v>
      </c>
      <c r="BV206" s="23" t="e">
        <f t="shared" ref="BV206" ca="1" si="1916">BV128-BU128</f>
        <v>#NAME?</v>
      </c>
      <c r="BW206" s="23" t="e">
        <f t="shared" ref="BW206" ca="1" si="1917">BW128-BV128</f>
        <v>#NAME?</v>
      </c>
      <c r="BX206" s="23" t="e">
        <f t="shared" ref="BX206" ca="1" si="1918">BX128-BW128</f>
        <v>#NAME?</v>
      </c>
      <c r="BY206" s="23" t="e">
        <f t="shared" ref="BY206" ca="1" si="1919">BY128-BX128</f>
        <v>#NAME?</v>
      </c>
      <c r="BZ206" s="23" t="e">
        <f t="shared" ref="BZ206" ca="1" si="1920">BZ128-BY128</f>
        <v>#NAME?</v>
      </c>
      <c r="CA206" s="23" t="e">
        <f t="shared" ref="CA206" ca="1" si="1921">CA128-BZ128</f>
        <v>#NAME?</v>
      </c>
      <c r="CB206" s="23" t="e">
        <f t="shared" ref="CB206" ca="1" si="1922">CB128-CA128</f>
        <v>#NAME?</v>
      </c>
      <c r="CC206" s="23" t="e">
        <f t="shared" ref="CC206" ca="1" si="1923">CC128-CB128</f>
        <v>#NAME?</v>
      </c>
      <c r="CD206" s="23" t="e">
        <f t="shared" ref="CD206" ca="1" si="1924">CD128-CC128</f>
        <v>#NAME?</v>
      </c>
      <c r="CE206" s="23" t="e">
        <f t="shared" ref="CE206" ca="1" si="1925">CE128-CD128</f>
        <v>#NAME?</v>
      </c>
      <c r="CF206" s="23" t="e">
        <f t="shared" ref="CF206" ca="1" si="1926">CF128-CE128</f>
        <v>#NAME?</v>
      </c>
      <c r="CG206" s="23" t="e">
        <f t="shared" ref="CG206" ca="1" si="1927">CG128-CF128</f>
        <v>#NAME?</v>
      </c>
      <c r="CH206" s="23" t="e">
        <f t="shared" ref="CH206:CL206" ca="1" si="1928">CH128-CG128</f>
        <v>#NAME?</v>
      </c>
      <c r="CI206" s="23" t="e">
        <f t="shared" ca="1" si="1928"/>
        <v>#NAME?</v>
      </c>
      <c r="CJ206" s="23" t="e">
        <f t="shared" ca="1" si="1928"/>
        <v>#NAME?</v>
      </c>
      <c r="CK206" s="24" t="e">
        <f t="shared" ref="CK206" ca="1" si="1929">CK128-CJ128</f>
        <v>#NAME?</v>
      </c>
      <c r="CL206" s="23" t="e">
        <f t="shared" ca="1" si="1928"/>
        <v>#NAME?</v>
      </c>
      <c r="CM206" s="24" t="e">
        <f t="shared" ref="CM206" ca="1" si="1930">CM128-CL128</f>
        <v>#NAME?</v>
      </c>
      <c r="CN206" s="24" t="e">
        <f t="shared" ref="CN206" ca="1" si="1931">CN128-CM128</f>
        <v>#NAME?</v>
      </c>
      <c r="CO206" s="24" t="e">
        <f t="shared" ref="CO206" ca="1" si="1932">CO128-CN128</f>
        <v>#NAME?</v>
      </c>
      <c r="CP206" s="24" t="e">
        <f t="shared" ref="CP206" ca="1" si="1933">CP128-CO128</f>
        <v>#NAME?</v>
      </c>
      <c r="CQ206" s="24" t="e">
        <f t="shared" ref="CQ206" ca="1" si="1934">CQ128-CP128</f>
        <v>#NAME?</v>
      </c>
      <c r="CR206" s="24" t="e">
        <f t="shared" ref="CR206" ca="1" si="1935">CR128-CQ128</f>
        <v>#NAME?</v>
      </c>
      <c r="CS206" s="24" t="e">
        <f t="shared" ref="CS206" ca="1" si="1936">CS128-CR128</f>
        <v>#NAME?</v>
      </c>
      <c r="CT206" s="24" t="e">
        <f t="shared" ref="CT206" ca="1" si="1937">CT128-CS128</f>
        <v>#NAME?</v>
      </c>
      <c r="CU206" s="24" t="e">
        <f t="shared" ref="CU206" ca="1" si="1938">CU128-CT128</f>
        <v>#NAME?</v>
      </c>
      <c r="CV206" s="24" t="e">
        <f t="shared" ref="CV206" ca="1" si="1939">CV128-CU128</f>
        <v>#NAME?</v>
      </c>
      <c r="CW206" s="24" t="e">
        <f t="shared" ref="CW206" ca="1" si="1940">CW128-CV128</f>
        <v>#NAME?</v>
      </c>
      <c r="CX206" s="24" t="e">
        <f t="shared" ref="CX206" ca="1" si="1941">CX128-CW128</f>
        <v>#NAME?</v>
      </c>
      <c r="CY206" s="24" t="e">
        <f t="shared" ref="CY206" ca="1" si="1942">CY128-CX128</f>
        <v>#NAME?</v>
      </c>
      <c r="CZ206" s="24" t="e">
        <f t="shared" ref="CZ206" ca="1" si="1943">CZ128-CY128</f>
        <v>#NAME?</v>
      </c>
      <c r="DA206" s="24" t="e">
        <f t="shared" ref="DA206" ca="1" si="1944">DA128-CZ128</f>
        <v>#NAME?</v>
      </c>
      <c r="DB206" s="24" t="e">
        <f t="shared" ref="DB206" ca="1" si="1945">DB128-DA128</f>
        <v>#NAME?</v>
      </c>
      <c r="DE206" s="123"/>
      <c r="DF206" s="23">
        <v>-137.631</v>
      </c>
    </row>
    <row r="207" spans="1:110" s="23" customFormat="1" x14ac:dyDescent="0.2">
      <c r="A207" s="23" t="s">
        <v>27</v>
      </c>
      <c r="C207" s="23" t="e">
        <f t="shared" ref="C207:AE207" ca="1" si="1946">C120-C48-B120+C122-B122</f>
        <v>#NAME?</v>
      </c>
      <c r="D207" s="23" t="e">
        <f t="shared" ca="1" si="1946"/>
        <v>#NAME?</v>
      </c>
      <c r="E207" s="23" t="e">
        <f t="shared" ca="1" si="1946"/>
        <v>#NAME?</v>
      </c>
      <c r="F207" s="23" t="e">
        <f t="shared" ca="1" si="1946"/>
        <v>#NAME?</v>
      </c>
      <c r="G207" s="23" t="e">
        <f t="shared" ca="1" si="1946"/>
        <v>#NAME?</v>
      </c>
      <c r="H207" s="23" t="e">
        <f t="shared" ca="1" si="1946"/>
        <v>#NAME?</v>
      </c>
      <c r="I207" s="23" t="e">
        <f t="shared" ca="1" si="1946"/>
        <v>#NAME?</v>
      </c>
      <c r="J207" s="23" t="e">
        <f t="shared" ca="1" si="1946"/>
        <v>#NAME?</v>
      </c>
      <c r="K207" s="23" t="e">
        <f t="shared" ca="1" si="1946"/>
        <v>#NAME?</v>
      </c>
      <c r="L207" s="23" t="e">
        <f t="shared" ca="1" si="1946"/>
        <v>#NAME?</v>
      </c>
      <c r="M207" s="23" t="e">
        <f t="shared" ca="1" si="1946"/>
        <v>#NAME?</v>
      </c>
      <c r="N207" s="23" t="e">
        <f t="shared" ca="1" si="1946"/>
        <v>#NAME?</v>
      </c>
      <c r="O207" s="23" t="e">
        <f t="shared" ca="1" si="1946"/>
        <v>#NAME?</v>
      </c>
      <c r="P207" s="23" t="e">
        <f t="shared" ca="1" si="1946"/>
        <v>#NAME?</v>
      </c>
      <c r="Q207" s="23" t="e">
        <f t="shared" ca="1" si="1946"/>
        <v>#NAME?</v>
      </c>
      <c r="R207" s="23" t="e">
        <f t="shared" ca="1" si="1946"/>
        <v>#NAME?</v>
      </c>
      <c r="S207" s="23" t="e">
        <f t="shared" ca="1" si="1946"/>
        <v>#NAME?</v>
      </c>
      <c r="T207" s="23" t="e">
        <f t="shared" ca="1" si="1946"/>
        <v>#NAME?</v>
      </c>
      <c r="U207" s="23" t="e">
        <f t="shared" ca="1" si="1946"/>
        <v>#NAME?</v>
      </c>
      <c r="V207" s="23" t="e">
        <f t="shared" ca="1" si="1946"/>
        <v>#NAME?</v>
      </c>
      <c r="W207" s="23" t="e">
        <f t="shared" ca="1" si="1946"/>
        <v>#NAME?</v>
      </c>
      <c r="X207" s="23" t="e">
        <f t="shared" ca="1" si="1946"/>
        <v>#NAME?</v>
      </c>
      <c r="Y207" s="23" t="e">
        <f t="shared" ca="1" si="1946"/>
        <v>#NAME?</v>
      </c>
      <c r="Z207" s="23" t="e">
        <f t="shared" ca="1" si="1946"/>
        <v>#NAME?</v>
      </c>
      <c r="AA207" s="23" t="e">
        <f t="shared" ca="1" si="1946"/>
        <v>#NAME?</v>
      </c>
      <c r="AB207" s="24" t="e">
        <f t="shared" ca="1" si="1946"/>
        <v>#NAME?</v>
      </c>
      <c r="AC207" s="24" t="e">
        <f t="shared" ca="1" si="1946"/>
        <v>#NAME?</v>
      </c>
      <c r="AD207" s="24" t="e">
        <f t="shared" ca="1" si="1946"/>
        <v>#NAME?</v>
      </c>
      <c r="AE207" s="24" t="e">
        <f t="shared" ca="1" si="1946"/>
        <v>#NAME?</v>
      </c>
      <c r="AI207" s="23" t="e">
        <f t="shared" ref="AI207:BN207" ca="1" si="1947">AI120-AI48-AH120+AI122-AH122</f>
        <v>#NAME?</v>
      </c>
      <c r="AJ207" s="23" t="e">
        <f t="shared" ca="1" si="1947"/>
        <v>#NAME?</v>
      </c>
      <c r="AK207" s="23" t="e">
        <f t="shared" ca="1" si="1947"/>
        <v>#NAME?</v>
      </c>
      <c r="AL207" s="23" t="e">
        <f t="shared" ca="1" si="1947"/>
        <v>#NAME?</v>
      </c>
      <c r="AM207" s="23" t="e">
        <f t="shared" ca="1" si="1947"/>
        <v>#NAME?</v>
      </c>
      <c r="AN207" s="23" t="e">
        <f t="shared" ca="1" si="1947"/>
        <v>#NAME?</v>
      </c>
      <c r="AO207" s="23" t="e">
        <f t="shared" ca="1" si="1947"/>
        <v>#NAME?</v>
      </c>
      <c r="AP207" s="23" t="e">
        <f t="shared" ca="1" si="1947"/>
        <v>#NAME?</v>
      </c>
      <c r="AQ207" s="23" t="e">
        <f t="shared" ca="1" si="1947"/>
        <v>#NAME?</v>
      </c>
      <c r="AR207" s="23" t="e">
        <f t="shared" ca="1" si="1947"/>
        <v>#NAME?</v>
      </c>
      <c r="AS207" s="23" t="e">
        <f t="shared" ca="1" si="1947"/>
        <v>#NAME?</v>
      </c>
      <c r="AT207" s="23" t="e">
        <f t="shared" ca="1" si="1947"/>
        <v>#NAME?</v>
      </c>
      <c r="AU207" s="23" t="e">
        <f t="shared" ca="1" si="1947"/>
        <v>#NAME?</v>
      </c>
      <c r="AV207" s="23" t="e">
        <f t="shared" ca="1" si="1947"/>
        <v>#NAME?</v>
      </c>
      <c r="AW207" s="23" t="e">
        <f t="shared" ca="1" si="1947"/>
        <v>#NAME?</v>
      </c>
      <c r="AX207" s="23" t="e">
        <f t="shared" ca="1" si="1947"/>
        <v>#NAME?</v>
      </c>
      <c r="AY207" s="23" t="e">
        <f t="shared" ca="1" si="1947"/>
        <v>#NAME?</v>
      </c>
      <c r="AZ207" s="23" t="e">
        <f t="shared" ca="1" si="1947"/>
        <v>#NAME?</v>
      </c>
      <c r="BA207" s="23" t="e">
        <f t="shared" ca="1" si="1947"/>
        <v>#NAME?</v>
      </c>
      <c r="BB207" s="23" t="e">
        <f t="shared" ca="1" si="1947"/>
        <v>#NAME?</v>
      </c>
      <c r="BC207" s="23" t="e">
        <f t="shared" ca="1" si="1947"/>
        <v>#NAME?</v>
      </c>
      <c r="BD207" s="23" t="e">
        <f t="shared" ca="1" si="1947"/>
        <v>#NAME?</v>
      </c>
      <c r="BE207" s="23" t="e">
        <f t="shared" ca="1" si="1947"/>
        <v>#NAME?</v>
      </c>
      <c r="BF207" s="23" t="e">
        <f t="shared" ca="1" si="1947"/>
        <v>#NAME?</v>
      </c>
      <c r="BG207" s="23" t="e">
        <f t="shared" ca="1" si="1947"/>
        <v>#NAME?</v>
      </c>
      <c r="BH207" s="23" t="e">
        <f t="shared" ca="1" si="1947"/>
        <v>#NAME?</v>
      </c>
      <c r="BI207" s="23" t="e">
        <f t="shared" ca="1" si="1947"/>
        <v>#NAME?</v>
      </c>
      <c r="BJ207" s="23" t="e">
        <f t="shared" ca="1" si="1947"/>
        <v>#NAME?</v>
      </c>
      <c r="BK207" s="23" t="e">
        <f t="shared" ca="1" si="1947"/>
        <v>#NAME?</v>
      </c>
      <c r="BL207" s="23" t="e">
        <f t="shared" ca="1" si="1947"/>
        <v>#NAME?</v>
      </c>
      <c r="BM207" s="23" t="e">
        <f t="shared" ca="1" si="1947"/>
        <v>#NAME?</v>
      </c>
      <c r="BN207" s="23" t="e">
        <f t="shared" ca="1" si="1947"/>
        <v>#NAME?</v>
      </c>
      <c r="BO207" s="23" t="e">
        <f t="shared" ref="BO207:CT207" ca="1" si="1948">BO120-BO48-BN120+BO122-BN122</f>
        <v>#NAME?</v>
      </c>
      <c r="BP207" s="23" t="e">
        <f t="shared" ca="1" si="1948"/>
        <v>#NAME?</v>
      </c>
      <c r="BQ207" s="23" t="e">
        <f t="shared" ca="1" si="1948"/>
        <v>#NAME?</v>
      </c>
      <c r="BR207" s="23" t="e">
        <f t="shared" ca="1" si="1948"/>
        <v>#NAME?</v>
      </c>
      <c r="BS207" s="23" t="e">
        <f t="shared" ca="1" si="1948"/>
        <v>#NAME?</v>
      </c>
      <c r="BT207" s="23" t="e">
        <f t="shared" ca="1" si="1948"/>
        <v>#NAME?</v>
      </c>
      <c r="BU207" s="23" t="e">
        <f t="shared" ca="1" si="1948"/>
        <v>#NAME?</v>
      </c>
      <c r="BV207" s="23" t="e">
        <f t="shared" ca="1" si="1948"/>
        <v>#NAME?</v>
      </c>
      <c r="BW207" s="23" t="e">
        <f t="shared" ca="1" si="1948"/>
        <v>#NAME?</v>
      </c>
      <c r="BX207" s="23" t="e">
        <f t="shared" ca="1" si="1948"/>
        <v>#NAME?</v>
      </c>
      <c r="BY207" s="23" t="e">
        <f t="shared" ca="1" si="1948"/>
        <v>#NAME?</v>
      </c>
      <c r="BZ207" s="23" t="e">
        <f t="shared" ca="1" si="1948"/>
        <v>#NAME?</v>
      </c>
      <c r="CA207" s="23" t="e">
        <f t="shared" ca="1" si="1948"/>
        <v>#NAME?</v>
      </c>
      <c r="CB207" s="23" t="e">
        <f t="shared" ca="1" si="1948"/>
        <v>#NAME?</v>
      </c>
      <c r="CC207" s="23" t="e">
        <f t="shared" ca="1" si="1948"/>
        <v>#NAME?</v>
      </c>
      <c r="CD207" s="23" t="e">
        <f t="shared" ca="1" si="1948"/>
        <v>#NAME?</v>
      </c>
      <c r="CE207" s="23" t="e">
        <f t="shared" ca="1" si="1948"/>
        <v>#NAME?</v>
      </c>
      <c r="CF207" s="23" t="e">
        <f t="shared" ca="1" si="1948"/>
        <v>#NAME?</v>
      </c>
      <c r="CG207" s="23" t="e">
        <f t="shared" ca="1" si="1948"/>
        <v>#NAME?</v>
      </c>
      <c r="CH207" s="23" t="e">
        <f t="shared" ca="1" si="1948"/>
        <v>#NAME?</v>
      </c>
      <c r="CI207" s="23" t="e">
        <f t="shared" ca="1" si="1948"/>
        <v>#NAME?</v>
      </c>
      <c r="CJ207" s="23" t="e">
        <f t="shared" ca="1" si="1948"/>
        <v>#NAME?</v>
      </c>
      <c r="CK207" s="24" t="e">
        <f t="shared" ca="1" si="1948"/>
        <v>#NAME?</v>
      </c>
      <c r="CL207" s="23" t="e">
        <f t="shared" ca="1" si="1948"/>
        <v>#NAME?</v>
      </c>
      <c r="CM207" s="24" t="e">
        <f t="shared" ca="1" si="1948"/>
        <v>#NAME?</v>
      </c>
      <c r="CN207" s="24" t="e">
        <f t="shared" ca="1" si="1948"/>
        <v>#NAME?</v>
      </c>
      <c r="CO207" s="24" t="e">
        <f t="shared" ca="1" si="1948"/>
        <v>#NAME?</v>
      </c>
      <c r="CP207" s="24" t="e">
        <f t="shared" ca="1" si="1948"/>
        <v>#NAME?</v>
      </c>
      <c r="CQ207" s="24" t="e">
        <f t="shared" ca="1" si="1948"/>
        <v>#NAME?</v>
      </c>
      <c r="CR207" s="24" t="e">
        <f t="shared" ca="1" si="1948"/>
        <v>#NAME?</v>
      </c>
      <c r="CS207" s="24" t="e">
        <f t="shared" ca="1" si="1948"/>
        <v>#NAME?</v>
      </c>
      <c r="CT207" s="24" t="e">
        <f t="shared" ca="1" si="1948"/>
        <v>#NAME?</v>
      </c>
      <c r="CU207" s="24" t="e">
        <f t="shared" ref="CU207:DB207" ca="1" si="1949">CU120-CU48-CT120+CU122-CT122</f>
        <v>#NAME?</v>
      </c>
      <c r="CV207" s="24" t="e">
        <f t="shared" ca="1" si="1949"/>
        <v>#NAME?</v>
      </c>
      <c r="CW207" s="24" t="e">
        <f t="shared" ca="1" si="1949"/>
        <v>#NAME?</v>
      </c>
      <c r="CX207" s="24" t="e">
        <f t="shared" ca="1" si="1949"/>
        <v>#NAME?</v>
      </c>
      <c r="CY207" s="24" t="e">
        <f t="shared" ca="1" si="1949"/>
        <v>#NAME?</v>
      </c>
      <c r="CZ207" s="24" t="e">
        <f t="shared" ca="1" si="1949"/>
        <v>#NAME?</v>
      </c>
      <c r="DA207" s="24" t="e">
        <f t="shared" ca="1" si="1949"/>
        <v>#NAME?</v>
      </c>
      <c r="DB207" s="24" t="e">
        <f t="shared" ca="1" si="1949"/>
        <v>#NAME?</v>
      </c>
      <c r="DE207" s="123"/>
      <c r="DF207" s="23">
        <v>-10.609000000000151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0">B161</f>
        <v>#NAME?</v>
      </c>
      <c r="D209" s="23" t="e">
        <f t="shared" ref="D209" ca="1" si="1951">C161</f>
        <v>#NAME?</v>
      </c>
      <c r="E209" s="23" t="e">
        <f ca="1">D161</f>
        <v>#NAME?</v>
      </c>
      <c r="F209" s="23" t="e">
        <f t="shared" ref="F209" ca="1" si="1952">E161</f>
        <v>#NAME?</v>
      </c>
      <c r="G209" s="23" t="e">
        <f t="shared" ref="G209" ca="1" si="1953">F161</f>
        <v>#NAME?</v>
      </c>
      <c r="H209" s="23" t="e">
        <f t="shared" ref="H209" ca="1" si="1954">G161</f>
        <v>#NAME?</v>
      </c>
      <c r="I209" s="23" t="e">
        <f t="shared" ref="I209" ca="1" si="1955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6">K161</f>
        <v>#NAME?</v>
      </c>
      <c r="M209" s="23" t="e">
        <f t="shared" ref="M209" ca="1" si="1957">L161</f>
        <v>#NAME?</v>
      </c>
      <c r="N209" s="23" t="e">
        <f t="shared" ref="N209" ca="1" si="1958">M161</f>
        <v>#NAME?</v>
      </c>
      <c r="O209" s="23" t="e">
        <f t="shared" ref="O209" ca="1" si="1959">N161</f>
        <v>#NAME?</v>
      </c>
      <c r="P209" s="23" t="e">
        <f t="shared" ref="P209" ca="1" si="1960">O161</f>
        <v>#NAME?</v>
      </c>
      <c r="Q209" s="23" t="e">
        <f t="shared" ref="Q209" ca="1" si="1961">P161</f>
        <v>#NAME?</v>
      </c>
      <c r="R209" s="23" t="e">
        <f t="shared" ref="R209" ca="1" si="1962">Q161</f>
        <v>#NAME?</v>
      </c>
      <c r="S209" s="23" t="e">
        <f t="shared" ref="S209" ca="1" si="1963">R161</f>
        <v>#NAME?</v>
      </c>
      <c r="T209" s="23" t="e">
        <f t="shared" ref="T209" ca="1" si="1964">S161</f>
        <v>#NAME?</v>
      </c>
      <c r="U209" s="23" t="e">
        <f t="shared" ref="U209" ca="1" si="1965">T161</f>
        <v>#NAME?</v>
      </c>
      <c r="V209" s="23" t="e">
        <f t="shared" ref="V209" ca="1" si="1966">U161</f>
        <v>#NAME?</v>
      </c>
      <c r="W209" s="23" t="e">
        <f t="shared" ref="W209:AA209" ca="1" si="1967">V161</f>
        <v>#NAME?</v>
      </c>
      <c r="X209" s="23" t="e">
        <f t="shared" ca="1" si="1967"/>
        <v>#NAME?</v>
      </c>
      <c r="Y209" s="23" t="e">
        <f t="shared" ca="1" si="1967"/>
        <v>#NAME?</v>
      </c>
      <c r="Z209" s="23" t="e">
        <f t="shared" ca="1" si="1967"/>
        <v>#NAME?</v>
      </c>
      <c r="AA209" s="23" t="e">
        <f t="shared" ca="1" si="1967"/>
        <v>#NAME?</v>
      </c>
      <c r="AB209" s="24" t="e">
        <f t="shared" ref="AB209" ca="1" si="1968">AA161</f>
        <v>#NAME?</v>
      </c>
      <c r="AC209" s="24" t="e">
        <f t="shared" ref="AC209" ca="1" si="1969">AB161</f>
        <v>#NAME?</v>
      </c>
      <c r="AD209" s="24" t="e">
        <f t="shared" ref="AD209" ca="1" si="1970">AC161</f>
        <v>#NAME?</v>
      </c>
      <c r="AE209" s="24" t="e">
        <f t="shared" ref="AE209" ca="1" si="1971">AD161</f>
        <v>#NAME?</v>
      </c>
      <c r="AI209" s="23">
        <f t="shared" ref="AI209" si="1972">AH161</f>
        <v>0</v>
      </c>
      <c r="AJ209" s="23">
        <f t="shared" ref="AJ209" si="1973">AI161</f>
        <v>0</v>
      </c>
      <c r="AK209" s="23" t="e">
        <f t="shared" ref="AK209" ca="1" si="1974">AJ161</f>
        <v>#NAME?</v>
      </c>
      <c r="AL209" s="23" t="e">
        <f t="shared" ref="AL209" ca="1" si="1975">AK161</f>
        <v>#NAME?</v>
      </c>
      <c r="AM209" s="23" t="e">
        <f t="shared" ref="AM209" ca="1" si="1976">AL161</f>
        <v>#NAME?</v>
      </c>
      <c r="AN209" s="23" t="e">
        <f t="shared" ref="AN209" ca="1" si="1977">AM161</f>
        <v>#NAME?</v>
      </c>
      <c r="AO209" s="23" t="e">
        <f t="shared" ref="AO209" ca="1" si="1978">AN161</f>
        <v>#NAME?</v>
      </c>
      <c r="AP209" s="23" t="e">
        <f t="shared" ref="AP209" ca="1" si="1979">AO161</f>
        <v>#NAME?</v>
      </c>
      <c r="AQ209" s="23" t="e">
        <f t="shared" ref="AQ209" ca="1" si="1980">AP161</f>
        <v>#NAME?</v>
      </c>
      <c r="AR209" s="23" t="e">
        <f t="shared" ref="AR209" ca="1" si="1981">AQ161</f>
        <v>#NAME?</v>
      </c>
      <c r="AS209" s="23" t="e">
        <f t="shared" ref="AS209" ca="1" si="1982">AR161</f>
        <v>#NAME?</v>
      </c>
      <c r="AT209" s="23" t="e">
        <f t="shared" ref="AT209" ca="1" si="1983">AS161</f>
        <v>#NAME?</v>
      </c>
      <c r="AU209" s="23" t="e">
        <f t="shared" ref="AU209" ca="1" si="1984">AT161</f>
        <v>#NAME?</v>
      </c>
      <c r="AV209" s="23" t="e">
        <f t="shared" ref="AV209" ca="1" si="1985">AU161</f>
        <v>#NAME?</v>
      </c>
      <c r="AW209" s="23" t="e">
        <f t="shared" ref="AW209" ca="1" si="1986">AV161</f>
        <v>#NAME?</v>
      </c>
      <c r="AX209" s="23" t="e">
        <f t="shared" ref="AX209" ca="1" si="1987">AW161</f>
        <v>#NAME?</v>
      </c>
      <c r="AY209" s="23" t="e">
        <f t="shared" ref="AY209" ca="1" si="1988">AX161</f>
        <v>#NAME?</v>
      </c>
      <c r="AZ209" s="23" t="e">
        <f t="shared" ref="AZ209" ca="1" si="1989">AY161</f>
        <v>#NAME?</v>
      </c>
      <c r="BA209" s="23" t="e">
        <f t="shared" ref="BA209" ca="1" si="1990">AZ161</f>
        <v>#NAME?</v>
      </c>
      <c r="BB209" s="23" t="e">
        <f t="shared" ref="BB209" ca="1" si="1991">BA161</f>
        <v>#NAME?</v>
      </c>
      <c r="BC209" s="23" t="e">
        <f t="shared" ref="BC209" ca="1" si="1992">BB161</f>
        <v>#NAME?</v>
      </c>
      <c r="BD209" s="23" t="e">
        <f t="shared" ref="BD209" ca="1" si="1993">BC161</f>
        <v>#NAME?</v>
      </c>
      <c r="BE209" s="23" t="e">
        <f t="shared" ref="BE209" ca="1" si="1994">BD161</f>
        <v>#NAME?</v>
      </c>
      <c r="BF209" s="23" t="e">
        <f t="shared" ref="BF209" ca="1" si="1995">BE161</f>
        <v>#NAME?</v>
      </c>
      <c r="BG209" s="23" t="e">
        <f t="shared" ref="BG209" ca="1" si="1996">BF161</f>
        <v>#NAME?</v>
      </c>
      <c r="BH209" s="23" t="e">
        <f t="shared" ref="BH209" ca="1" si="1997">BG161</f>
        <v>#NAME?</v>
      </c>
      <c r="BI209" s="23" t="e">
        <f t="shared" ref="BI209" ca="1" si="1998">BH161</f>
        <v>#NAME?</v>
      </c>
      <c r="BJ209" s="23" t="e">
        <f t="shared" ref="BJ209" ca="1" si="1999">BI161</f>
        <v>#NAME?</v>
      </c>
      <c r="BK209" s="23" t="e">
        <f t="shared" ref="BK209" ca="1" si="2000">BJ161</f>
        <v>#NAME?</v>
      </c>
      <c r="BL209" s="23" t="e">
        <f t="shared" ref="BL209" ca="1" si="2001">BK161</f>
        <v>#NAME?</v>
      </c>
      <c r="BM209" s="23" t="e">
        <f t="shared" ref="BM209" ca="1" si="2002">BL161</f>
        <v>#NAME?</v>
      </c>
      <c r="BN209" s="23" t="e">
        <f t="shared" ref="BN209" ca="1" si="2003">BM161</f>
        <v>#NAME?</v>
      </c>
      <c r="BO209" s="23" t="e">
        <f t="shared" ref="BO209" ca="1" si="2004">BN161</f>
        <v>#NAME?</v>
      </c>
      <c r="BP209" s="23" t="e">
        <f t="shared" ref="BP209" ca="1" si="2005">BO161</f>
        <v>#NAME?</v>
      </c>
      <c r="BQ209" s="23" t="e">
        <f t="shared" ref="BQ209" ca="1" si="2006">BP161</f>
        <v>#NAME?</v>
      </c>
      <c r="BR209" s="23" t="e">
        <f t="shared" ref="BR209" ca="1" si="2007">BQ161</f>
        <v>#NAME?</v>
      </c>
      <c r="BS209" s="23" t="e">
        <f t="shared" ref="BS209" ca="1" si="2008">BR161</f>
        <v>#NAME?</v>
      </c>
      <c r="BT209" s="23" t="e">
        <f t="shared" ref="BT209" ca="1" si="2009">BS161</f>
        <v>#NAME?</v>
      </c>
      <c r="BU209" s="23" t="e">
        <f t="shared" ref="BU209" ca="1" si="2010">BT161</f>
        <v>#NAME?</v>
      </c>
      <c r="BV209" s="23" t="e">
        <f t="shared" ref="BV209" ca="1" si="2011">BU161</f>
        <v>#NAME?</v>
      </c>
      <c r="BW209" s="23" t="e">
        <f t="shared" ref="BW209" ca="1" si="2012">BV161</f>
        <v>#NAME?</v>
      </c>
      <c r="BX209" s="23" t="e">
        <f t="shared" ref="BX209" ca="1" si="2013">BW161</f>
        <v>#NAME?</v>
      </c>
      <c r="BY209" s="23" t="e">
        <f t="shared" ref="BY209" ca="1" si="2014">BX161</f>
        <v>#NAME?</v>
      </c>
      <c r="BZ209" s="23" t="e">
        <f t="shared" ref="BZ209" ca="1" si="2015">BY161</f>
        <v>#NAME?</v>
      </c>
      <c r="CA209" s="23" t="e">
        <f t="shared" ref="CA209" ca="1" si="2016">BZ161</f>
        <v>#NAME?</v>
      </c>
      <c r="CB209" s="23" t="e">
        <f t="shared" ref="CB209" ca="1" si="2017">CA161</f>
        <v>#NAME?</v>
      </c>
      <c r="CC209" s="23" t="e">
        <f t="shared" ref="CC209" ca="1" si="2018">CB161</f>
        <v>#NAME?</v>
      </c>
      <c r="CD209" s="23" t="e">
        <f t="shared" ref="CD209" ca="1" si="2019">CC161</f>
        <v>#NAME?</v>
      </c>
      <c r="CE209" s="23" t="e">
        <f t="shared" ref="CE209" ca="1" si="2020">CD161</f>
        <v>#NAME?</v>
      </c>
      <c r="CF209" s="23" t="e">
        <f t="shared" ref="CF209" ca="1" si="2021">CE161</f>
        <v>#NAME?</v>
      </c>
      <c r="CG209" s="23" t="e">
        <f t="shared" ref="CG209" ca="1" si="2022">CF161</f>
        <v>#NAME?</v>
      </c>
      <c r="CH209" s="23" t="e">
        <f t="shared" ref="CH209:CL209" ca="1" si="2023">CG161</f>
        <v>#NAME?</v>
      </c>
      <c r="CI209" s="23" t="e">
        <f t="shared" ca="1" si="2023"/>
        <v>#NAME?</v>
      </c>
      <c r="CJ209" s="23" t="e">
        <f t="shared" ca="1" si="2023"/>
        <v>#NAME?</v>
      </c>
      <c r="CK209" s="24" t="e">
        <f t="shared" ref="CK209" ca="1" si="2024">CJ161</f>
        <v>#NAME?</v>
      </c>
      <c r="CL209" s="23" t="e">
        <f t="shared" ca="1" si="2023"/>
        <v>#NAME?</v>
      </c>
      <c r="CM209" s="24" t="e">
        <f t="shared" ref="CM209" ca="1" si="2025">CL161</f>
        <v>#NAME?</v>
      </c>
      <c r="CN209" s="24" t="e">
        <f t="shared" ref="CN209" ca="1" si="2026">CM161</f>
        <v>#NAME?</v>
      </c>
      <c r="CO209" s="24" t="e">
        <f t="shared" ref="CO209" ca="1" si="2027">CN161</f>
        <v>#NAME?</v>
      </c>
      <c r="CP209" s="24" t="e">
        <f t="shared" ref="CP209" ca="1" si="2028">CO161</f>
        <v>#NAME?</v>
      </c>
      <c r="CQ209" s="24" t="e">
        <f t="shared" ref="CQ209" ca="1" si="2029">CP161</f>
        <v>#NAME?</v>
      </c>
      <c r="CR209" s="24" t="e">
        <f t="shared" ref="CR209" ca="1" si="2030">CQ161</f>
        <v>#NAME?</v>
      </c>
      <c r="CS209" s="24" t="e">
        <f t="shared" ref="CS209" ca="1" si="2031">CR161</f>
        <v>#NAME?</v>
      </c>
      <c r="CT209" s="24" t="e">
        <f t="shared" ref="CT209" ca="1" si="2032">CS161</f>
        <v>#NAME?</v>
      </c>
      <c r="CU209" s="24" t="e">
        <f t="shared" ref="CU209" ca="1" si="2033">CT161</f>
        <v>#NAME?</v>
      </c>
      <c r="CV209" s="24" t="e">
        <f t="shared" ref="CV209" ca="1" si="2034">CU161</f>
        <v>#NAME?</v>
      </c>
      <c r="CW209" s="24" t="e">
        <f t="shared" ref="CW209" ca="1" si="2035">CV161</f>
        <v>#NAME?</v>
      </c>
      <c r="CX209" s="24" t="e">
        <f t="shared" ref="CX209" ca="1" si="2036">CW161</f>
        <v>#NAME?</v>
      </c>
      <c r="CY209" s="24" t="e">
        <f t="shared" ref="CY209" ca="1" si="2037">CX161</f>
        <v>#NAME?</v>
      </c>
      <c r="CZ209" s="24" t="e">
        <f t="shared" ref="CZ209" ca="1" si="2038">CY161</f>
        <v>#NAME?</v>
      </c>
      <c r="DA209" s="24" t="e">
        <f t="shared" ref="DA209" ca="1" si="2039">CZ161</f>
        <v>#NAME?</v>
      </c>
      <c r="DB209" s="24" t="e">
        <f t="shared" ref="DB209" ca="1" si="2040">DA161</f>
        <v>#NAME?</v>
      </c>
      <c r="DE209" s="123"/>
      <c r="DF209" s="23">
        <v>287.78199999999998</v>
      </c>
    </row>
    <row r="210" spans="1:110" s="23" customFormat="1" x14ac:dyDescent="0.2">
      <c r="A210" s="23" t="s">
        <v>443</v>
      </c>
      <c r="C210" s="23" t="e">
        <f t="shared" ref="C210:W210" ca="1" si="2041">C209+C205+C201+C199</f>
        <v>#NAME?</v>
      </c>
      <c r="D210" s="23" t="e">
        <f t="shared" ca="1" si="2041"/>
        <v>#NAME?</v>
      </c>
      <c r="E210" s="23" t="e">
        <f t="shared" ca="1" si="2041"/>
        <v>#NAME?</v>
      </c>
      <c r="F210" s="23" t="e">
        <f t="shared" ca="1" si="2041"/>
        <v>#NAME?</v>
      </c>
      <c r="G210" s="23" t="e">
        <f t="shared" ca="1" si="2041"/>
        <v>#NAME?</v>
      </c>
      <c r="H210" s="23" t="e">
        <f t="shared" ca="1" si="2041"/>
        <v>#NAME?</v>
      </c>
      <c r="I210" s="23" t="e">
        <f t="shared" ca="1" si="2041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1"/>
        <v>#NAME?</v>
      </c>
      <c r="O210" s="23" t="e">
        <f t="shared" ca="1" si="2041"/>
        <v>#NAME?</v>
      </c>
      <c r="P210" s="23" t="e">
        <f t="shared" ca="1" si="2041"/>
        <v>#NAME?</v>
      </c>
      <c r="Q210" s="23" t="e">
        <f t="shared" ca="1" si="2041"/>
        <v>#NAME?</v>
      </c>
      <c r="R210" s="23" t="e">
        <f t="shared" ca="1" si="2041"/>
        <v>#NAME?</v>
      </c>
      <c r="S210" s="23" t="e">
        <f t="shared" ca="1" si="2041"/>
        <v>#NAME?</v>
      </c>
      <c r="T210" s="23" t="e">
        <f t="shared" ca="1" si="2041"/>
        <v>#NAME?</v>
      </c>
      <c r="U210" s="23" t="e">
        <f t="shared" ca="1" si="2041"/>
        <v>#NAME?</v>
      </c>
      <c r="V210" s="23" t="e">
        <f t="shared" ca="1" si="2041"/>
        <v>#NAME?</v>
      </c>
      <c r="W210" s="23" t="e">
        <f t="shared" ca="1" si="2041"/>
        <v>#NAME?</v>
      </c>
      <c r="X210" s="23" t="e">
        <f t="shared" ref="X210:Y210" ca="1" si="2042">X209+X205+X201+X199</f>
        <v>#NAME?</v>
      </c>
      <c r="Y210" s="23" t="e">
        <f t="shared" ca="1" si="2042"/>
        <v>#NAME?</v>
      </c>
      <c r="Z210" s="23" t="e">
        <f t="shared" ref="Z210:AA210" ca="1" si="2043">Z209+Z205+Z201+Z199</f>
        <v>#NAME?</v>
      </c>
      <c r="AA210" s="23" t="e">
        <f t="shared" ca="1" si="2043"/>
        <v>#NAME?</v>
      </c>
      <c r="AB210" s="24" t="e">
        <f t="shared" ref="AA210:AD210" ca="1" si="2044">AB209+AB205+AB201+AB199</f>
        <v>#NAME?</v>
      </c>
      <c r="AC210" s="24" t="e">
        <f t="shared" ca="1" si="2044"/>
        <v>#NAME?</v>
      </c>
      <c r="AD210" s="24" t="e">
        <f t="shared" ca="1" si="2044"/>
        <v>#NAME?</v>
      </c>
      <c r="AE210" s="24" t="e">
        <f t="shared" ref="AE210" ca="1" si="2045">AE209+AE205+AE201+AE199</f>
        <v>#NAME?</v>
      </c>
      <c r="AI210" s="23" t="e">
        <f t="shared" ref="AI210" ca="1" si="2046">AI209+AI205+AI201+AI199</f>
        <v>#NAME?</v>
      </c>
      <c r="AJ210" s="23" t="e">
        <f t="shared" ref="AJ210:AL210" ca="1" si="2047">AJ209+AJ205+AJ201+AJ199</f>
        <v>#NAME?</v>
      </c>
      <c r="AK210" s="23" t="e">
        <f t="shared" ca="1" si="2047"/>
        <v>#NAME?</v>
      </c>
      <c r="AL210" s="23" t="e">
        <f t="shared" ca="1" si="2047"/>
        <v>#NAME?</v>
      </c>
      <c r="AM210" s="23" t="e">
        <f t="shared" ref="AM210" ca="1" si="2048">AM209+AM205+AM201+AM199</f>
        <v>#NAME?</v>
      </c>
      <c r="AN210" s="23" t="e">
        <f t="shared" ref="AN210:CD210" ca="1" si="2049">AN209+AN205+AN201+AN199</f>
        <v>#NAME?</v>
      </c>
      <c r="AO210" s="23" t="e">
        <f t="shared" ca="1" si="2049"/>
        <v>#NAME?</v>
      </c>
      <c r="AP210" s="23" t="e">
        <f t="shared" ca="1" si="2049"/>
        <v>#NAME?</v>
      </c>
      <c r="AQ210" s="23" t="e">
        <f t="shared" ca="1" si="2049"/>
        <v>#NAME?</v>
      </c>
      <c r="AR210" s="23" t="e">
        <f t="shared" ca="1" si="2049"/>
        <v>#NAME?</v>
      </c>
      <c r="AS210" s="23" t="e">
        <f t="shared" ca="1" si="2049"/>
        <v>#NAME?</v>
      </c>
      <c r="AT210" s="23" t="e">
        <f t="shared" ca="1" si="2049"/>
        <v>#NAME?</v>
      </c>
      <c r="AU210" s="23" t="e">
        <f t="shared" ca="1" si="2049"/>
        <v>#NAME?</v>
      </c>
      <c r="AV210" s="23" t="e">
        <f t="shared" ca="1" si="2049"/>
        <v>#NAME?</v>
      </c>
      <c r="AW210" s="23" t="e">
        <f t="shared" ca="1" si="2049"/>
        <v>#NAME?</v>
      </c>
      <c r="AX210" s="23" t="e">
        <f t="shared" ca="1" si="2049"/>
        <v>#NAME?</v>
      </c>
      <c r="AY210" s="23" t="e">
        <f t="shared" ca="1" si="2049"/>
        <v>#NAME?</v>
      </c>
      <c r="AZ210" s="23" t="e">
        <f t="shared" ca="1" si="2049"/>
        <v>#NAME?</v>
      </c>
      <c r="BA210" s="23" t="e">
        <f t="shared" ca="1" si="2049"/>
        <v>#NAME?</v>
      </c>
      <c r="BB210" s="23" t="e">
        <f t="shared" ca="1" si="2049"/>
        <v>#NAME?</v>
      </c>
      <c r="BC210" s="23" t="e">
        <f t="shared" ca="1" si="2049"/>
        <v>#NAME?</v>
      </c>
      <c r="BD210" s="23" t="e">
        <f t="shared" ca="1" si="2049"/>
        <v>#NAME?</v>
      </c>
      <c r="BE210" s="23" t="e">
        <f t="shared" ca="1" si="2049"/>
        <v>#NAME?</v>
      </c>
      <c r="BF210" s="23" t="e">
        <f t="shared" ca="1" si="2049"/>
        <v>#NAME?</v>
      </c>
      <c r="BG210" s="23" t="e">
        <f t="shared" ca="1" si="2049"/>
        <v>#NAME?</v>
      </c>
      <c r="BH210" s="23" t="e">
        <f t="shared" ca="1" si="2049"/>
        <v>#NAME?</v>
      </c>
      <c r="BI210" s="23" t="e">
        <f t="shared" ca="1" si="2049"/>
        <v>#NAME?</v>
      </c>
      <c r="BJ210" s="23" t="e">
        <f t="shared" ca="1" si="2049"/>
        <v>#NAME?</v>
      </c>
      <c r="BK210" s="23" t="e">
        <f t="shared" ca="1" si="2049"/>
        <v>#NAME?</v>
      </c>
      <c r="BL210" s="23" t="e">
        <f t="shared" ca="1" si="2049"/>
        <v>#NAME?</v>
      </c>
      <c r="BM210" s="23" t="e">
        <f t="shared" ca="1" si="2049"/>
        <v>#NAME?</v>
      </c>
      <c r="BN210" s="23" t="e">
        <f t="shared" ca="1" si="2049"/>
        <v>#NAME?</v>
      </c>
      <c r="BO210" s="23" t="e">
        <f t="shared" ca="1" si="2049"/>
        <v>#NAME?</v>
      </c>
      <c r="BP210" s="23" t="e">
        <f t="shared" ca="1" si="2049"/>
        <v>#NAME?</v>
      </c>
      <c r="BQ210" s="23" t="e">
        <f t="shared" ca="1" si="2049"/>
        <v>#NAME?</v>
      </c>
      <c r="BR210" s="23" t="e">
        <f t="shared" ca="1" si="2049"/>
        <v>#NAME?</v>
      </c>
      <c r="BS210" s="23" t="e">
        <f t="shared" ca="1" si="2049"/>
        <v>#NAME?</v>
      </c>
      <c r="BT210" s="23" t="e">
        <f t="shared" ca="1" si="2049"/>
        <v>#NAME?</v>
      </c>
      <c r="BU210" s="23" t="e">
        <f t="shared" ca="1" si="2049"/>
        <v>#NAME?</v>
      </c>
      <c r="BV210" s="23" t="e">
        <f t="shared" ca="1" si="2049"/>
        <v>#NAME?</v>
      </c>
      <c r="BW210" s="23" t="e">
        <f t="shared" ca="1" si="2049"/>
        <v>#NAME?</v>
      </c>
      <c r="BX210" s="23" t="e">
        <f t="shared" ca="1" si="2049"/>
        <v>#NAME?</v>
      </c>
      <c r="BY210" s="23" t="e">
        <f t="shared" ca="1" si="2049"/>
        <v>#NAME?</v>
      </c>
      <c r="BZ210" s="23" t="e">
        <f t="shared" ca="1" si="2049"/>
        <v>#NAME?</v>
      </c>
      <c r="CA210" s="23" t="e">
        <f t="shared" ca="1" si="2049"/>
        <v>#NAME?</v>
      </c>
      <c r="CB210" s="23" t="e">
        <f t="shared" ca="1" si="2049"/>
        <v>#NAME?</v>
      </c>
      <c r="CC210" s="23" t="e">
        <f t="shared" ca="1" si="2049"/>
        <v>#NAME?</v>
      </c>
      <c r="CD210" s="23" t="e">
        <f t="shared" ca="1" si="2049"/>
        <v>#NAME?</v>
      </c>
      <c r="CE210" s="23" t="e">
        <f t="shared" ref="CE210:CF210" ca="1" si="2050">CE209+CE205+CE201+CE199</f>
        <v>#NAME?</v>
      </c>
      <c r="CF210" s="23" t="e">
        <f t="shared" ca="1" si="2050"/>
        <v>#NAME?</v>
      </c>
      <c r="CG210" s="23" t="e">
        <f t="shared" ref="CG210:CH210" ca="1" si="2051">CG209+CG205+CG201+CG199</f>
        <v>#NAME?</v>
      </c>
      <c r="CH210" s="23" t="e">
        <f t="shared" ca="1" si="2051"/>
        <v>#NAME?</v>
      </c>
      <c r="CI210" s="23" t="e">
        <f t="shared" ref="CI210:CJ210" ca="1" si="2052">CI209+CI205+CI201+CI199</f>
        <v>#NAME?</v>
      </c>
      <c r="CJ210" s="23" t="e">
        <f t="shared" ca="1" si="2052"/>
        <v>#NAME?</v>
      </c>
      <c r="CK210" s="24" t="e">
        <f t="shared" ref="CK210:DB210" ca="1" si="2053">CK209+CK205+CK201+CK199</f>
        <v>#NAME?</v>
      </c>
      <c r="CL210" s="23" t="e">
        <f t="shared" ca="1" si="2053"/>
        <v>#NAME?</v>
      </c>
      <c r="CM210" s="24" t="e">
        <f t="shared" ca="1" si="2053"/>
        <v>#NAME?</v>
      </c>
      <c r="CN210" s="24" t="e">
        <f t="shared" ca="1" si="2053"/>
        <v>#NAME?</v>
      </c>
      <c r="CO210" s="24" t="e">
        <f t="shared" ca="1" si="2053"/>
        <v>#NAME?</v>
      </c>
      <c r="CP210" s="24" t="e">
        <f t="shared" ca="1" si="2053"/>
        <v>#NAME?</v>
      </c>
      <c r="CQ210" s="24" t="e">
        <f t="shared" ca="1" si="2053"/>
        <v>#NAME?</v>
      </c>
      <c r="CR210" s="24" t="e">
        <f t="shared" ca="1" si="2053"/>
        <v>#NAME?</v>
      </c>
      <c r="CS210" s="24" t="e">
        <f t="shared" ca="1" si="2053"/>
        <v>#NAME?</v>
      </c>
      <c r="CT210" s="24" t="e">
        <f t="shared" ca="1" si="2053"/>
        <v>#NAME?</v>
      </c>
      <c r="CU210" s="24" t="e">
        <f t="shared" ca="1" si="2053"/>
        <v>#NAME?</v>
      </c>
      <c r="CV210" s="24" t="e">
        <f t="shared" ca="1" si="2053"/>
        <v>#NAME?</v>
      </c>
      <c r="CW210" s="24" t="e">
        <f t="shared" ca="1" si="2053"/>
        <v>#NAME?</v>
      </c>
      <c r="CX210" s="24" t="e">
        <f t="shared" ca="1" si="2053"/>
        <v>#NAME?</v>
      </c>
      <c r="CY210" s="24" t="e">
        <f t="shared" ca="1" si="2053"/>
        <v>#NAME?</v>
      </c>
      <c r="CZ210" s="24" t="e">
        <f t="shared" ca="1" si="2053"/>
        <v>#NAME?</v>
      </c>
      <c r="DA210" s="24" t="e">
        <f t="shared" ca="1" si="2053"/>
        <v>#NAME?</v>
      </c>
      <c r="DB210" s="24" t="e">
        <f t="shared" ca="1" si="2053"/>
        <v>#NAME?</v>
      </c>
      <c r="DE210" s="123"/>
      <c r="DF210" s="23">
        <v>145.80000000000013</v>
      </c>
    </row>
    <row r="211" spans="1:110" s="28" customFormat="1" x14ac:dyDescent="0.2">
      <c r="A211" s="28" t="s">
        <v>444</v>
      </c>
      <c r="C211" s="28" t="e">
        <f t="shared" ref="C211:W211" ca="1" si="2054">C210-C161</f>
        <v>#NAME?</v>
      </c>
      <c r="D211" s="28" t="e">
        <f t="shared" ca="1" si="2054"/>
        <v>#NAME?</v>
      </c>
      <c r="E211" s="28" t="e">
        <f t="shared" ca="1" si="2054"/>
        <v>#NAME?</v>
      </c>
      <c r="F211" s="28" t="e">
        <f t="shared" ca="1" si="2054"/>
        <v>#NAME?</v>
      </c>
      <c r="G211" s="28" t="e">
        <f t="shared" ca="1" si="2054"/>
        <v>#NAME?</v>
      </c>
      <c r="H211" s="28" t="e">
        <f t="shared" ca="1" si="2054"/>
        <v>#NAME?</v>
      </c>
      <c r="I211" s="28" t="e">
        <f t="shared" ca="1" si="2054"/>
        <v>#NAME?</v>
      </c>
      <c r="J211" s="28" t="e">
        <f ca="1">J210-J161</f>
        <v>#NAME?</v>
      </c>
      <c r="K211" s="28" t="e">
        <f t="shared" ca="1" si="2054"/>
        <v>#NAME?</v>
      </c>
      <c r="L211" s="28" t="e">
        <f t="shared" ca="1" si="2054"/>
        <v>#NAME?</v>
      </c>
      <c r="M211" s="28" t="e">
        <f t="shared" ca="1" si="2054"/>
        <v>#NAME?</v>
      </c>
      <c r="N211" s="28" t="e">
        <f t="shared" ca="1" si="2054"/>
        <v>#NAME?</v>
      </c>
      <c r="O211" s="28" t="e">
        <f t="shared" ca="1" si="2054"/>
        <v>#NAME?</v>
      </c>
      <c r="P211" s="28" t="e">
        <f t="shared" ca="1" si="2054"/>
        <v>#NAME?</v>
      </c>
      <c r="Q211" s="28" t="e">
        <f t="shared" ca="1" si="2054"/>
        <v>#NAME?</v>
      </c>
      <c r="R211" s="28" t="e">
        <f t="shared" ca="1" si="2054"/>
        <v>#NAME?</v>
      </c>
      <c r="S211" s="28" t="e">
        <f t="shared" ca="1" si="2054"/>
        <v>#NAME?</v>
      </c>
      <c r="T211" s="28" t="e">
        <f t="shared" ca="1" si="2054"/>
        <v>#NAME?</v>
      </c>
      <c r="U211" s="28" t="e">
        <f t="shared" ca="1" si="2054"/>
        <v>#NAME?</v>
      </c>
      <c r="V211" s="28" t="e">
        <f t="shared" ca="1" si="2054"/>
        <v>#NAME?</v>
      </c>
      <c r="W211" s="28" t="e">
        <f t="shared" ca="1" si="2054"/>
        <v>#NAME?</v>
      </c>
      <c r="X211" s="28" t="e">
        <f t="shared" ref="X211:Y211" ca="1" si="2055">X210-X161</f>
        <v>#NAME?</v>
      </c>
      <c r="Y211" s="28" t="e">
        <f t="shared" ca="1" si="2055"/>
        <v>#NAME?</v>
      </c>
      <c r="Z211" s="28" t="e">
        <f t="shared" ref="Z211:AA211" ca="1" si="2056">Z210-Z161</f>
        <v>#NAME?</v>
      </c>
      <c r="AA211" s="28" t="e">
        <f t="shared" ca="1" si="2056"/>
        <v>#NAME?</v>
      </c>
      <c r="AB211" s="30" t="e">
        <f t="shared" ref="AA211:AD211" ca="1" si="2057">AB210-AB161</f>
        <v>#NAME?</v>
      </c>
      <c r="AC211" s="30" t="e">
        <f t="shared" ca="1" si="2057"/>
        <v>#NAME?</v>
      </c>
      <c r="AD211" s="30" t="e">
        <f t="shared" ca="1" si="2057"/>
        <v>#NAME?</v>
      </c>
      <c r="AE211" s="30" t="e">
        <f t="shared" ref="AE211" ca="1" si="2058">AE210-AE161</f>
        <v>#NAME?</v>
      </c>
      <c r="AI211" s="28" t="e">
        <f t="shared" ref="AI211" ca="1" si="2059">AI210-AI161</f>
        <v>#NAME?</v>
      </c>
      <c r="AJ211" s="28" t="e">
        <f t="shared" ref="AJ211:AL211" ca="1" si="2060">AJ210-AJ161</f>
        <v>#NAME?</v>
      </c>
      <c r="AK211" s="28" t="e">
        <f t="shared" ca="1" si="2060"/>
        <v>#NAME?</v>
      </c>
      <c r="AL211" s="28" t="e">
        <f t="shared" ca="1" si="2060"/>
        <v>#NAME?</v>
      </c>
      <c r="AM211" s="28" t="e">
        <f t="shared" ref="AM211" ca="1" si="2061">AM210-AM161</f>
        <v>#NAME?</v>
      </c>
      <c r="AN211" s="28" t="e">
        <f t="shared" ref="AN211:CD211" ca="1" si="2062">AN210-AN161</f>
        <v>#NAME?</v>
      </c>
      <c r="AO211" s="28" t="e">
        <f t="shared" ca="1" si="2062"/>
        <v>#NAME?</v>
      </c>
      <c r="AP211" s="28" t="e">
        <f t="shared" ca="1" si="2062"/>
        <v>#NAME?</v>
      </c>
      <c r="AQ211" s="28" t="e">
        <f t="shared" ca="1" si="2062"/>
        <v>#NAME?</v>
      </c>
      <c r="AR211" s="28" t="e">
        <f t="shared" ca="1" si="2062"/>
        <v>#NAME?</v>
      </c>
      <c r="AS211" s="28" t="e">
        <f t="shared" ca="1" si="2062"/>
        <v>#NAME?</v>
      </c>
      <c r="AT211" s="28" t="e">
        <f t="shared" ca="1" si="2062"/>
        <v>#NAME?</v>
      </c>
      <c r="AU211" s="28" t="e">
        <f t="shared" ca="1" si="2062"/>
        <v>#NAME?</v>
      </c>
      <c r="AV211" s="28" t="e">
        <f t="shared" ca="1" si="2062"/>
        <v>#NAME?</v>
      </c>
      <c r="AW211" s="28" t="e">
        <f t="shared" ca="1" si="2062"/>
        <v>#NAME?</v>
      </c>
      <c r="AX211" s="28" t="e">
        <f t="shared" ca="1" si="2062"/>
        <v>#NAME?</v>
      </c>
      <c r="AY211" s="28" t="e">
        <f t="shared" ca="1" si="2062"/>
        <v>#NAME?</v>
      </c>
      <c r="AZ211" s="28" t="e">
        <f t="shared" ca="1" si="2062"/>
        <v>#NAME?</v>
      </c>
      <c r="BA211" s="28" t="e">
        <f t="shared" ca="1" si="2062"/>
        <v>#NAME?</v>
      </c>
      <c r="BB211" s="28" t="e">
        <f t="shared" ca="1" si="2062"/>
        <v>#NAME?</v>
      </c>
      <c r="BC211" s="28" t="e">
        <f t="shared" ca="1" si="2062"/>
        <v>#NAME?</v>
      </c>
      <c r="BD211" s="28" t="e">
        <f t="shared" ca="1" si="2062"/>
        <v>#NAME?</v>
      </c>
      <c r="BE211" s="28" t="e">
        <f t="shared" ca="1" si="2062"/>
        <v>#NAME?</v>
      </c>
      <c r="BF211" s="28" t="e">
        <f t="shared" ca="1" si="2062"/>
        <v>#NAME?</v>
      </c>
      <c r="BG211" s="28" t="e">
        <f t="shared" ca="1" si="2062"/>
        <v>#NAME?</v>
      </c>
      <c r="BH211" s="28" t="e">
        <f t="shared" ca="1" si="2062"/>
        <v>#NAME?</v>
      </c>
      <c r="BI211" s="28" t="e">
        <f t="shared" ca="1" si="2062"/>
        <v>#NAME?</v>
      </c>
      <c r="BJ211" s="28" t="e">
        <f t="shared" ca="1" si="2062"/>
        <v>#NAME?</v>
      </c>
      <c r="BK211" s="28" t="e">
        <f t="shared" ca="1" si="2062"/>
        <v>#NAME?</v>
      </c>
      <c r="BL211" s="28" t="e">
        <f t="shared" ca="1" si="2062"/>
        <v>#NAME?</v>
      </c>
      <c r="BM211" s="28" t="e">
        <f t="shared" ca="1" si="2062"/>
        <v>#NAME?</v>
      </c>
      <c r="BN211" s="28" t="e">
        <f t="shared" ca="1" si="2062"/>
        <v>#NAME?</v>
      </c>
      <c r="BO211" s="28" t="e">
        <f t="shared" ca="1" si="2062"/>
        <v>#NAME?</v>
      </c>
      <c r="BP211" s="28" t="e">
        <f t="shared" ca="1" si="2062"/>
        <v>#NAME?</v>
      </c>
      <c r="BQ211" s="28" t="e">
        <f t="shared" ca="1" si="2062"/>
        <v>#NAME?</v>
      </c>
      <c r="BR211" s="28" t="e">
        <f t="shared" ca="1" si="2062"/>
        <v>#NAME?</v>
      </c>
      <c r="BS211" s="28" t="e">
        <f t="shared" ca="1" si="2062"/>
        <v>#NAME?</v>
      </c>
      <c r="BT211" s="28" t="e">
        <f t="shared" ca="1" si="2062"/>
        <v>#NAME?</v>
      </c>
      <c r="BU211" s="28" t="e">
        <f t="shared" ca="1" si="2062"/>
        <v>#NAME?</v>
      </c>
      <c r="BV211" s="28" t="e">
        <f t="shared" ca="1" si="2062"/>
        <v>#NAME?</v>
      </c>
      <c r="BW211" s="28" t="e">
        <f t="shared" ca="1" si="2062"/>
        <v>#NAME?</v>
      </c>
      <c r="BX211" s="28" t="e">
        <f t="shared" ca="1" si="2062"/>
        <v>#NAME?</v>
      </c>
      <c r="BY211" s="28" t="e">
        <f t="shared" ca="1" si="2062"/>
        <v>#NAME?</v>
      </c>
      <c r="BZ211" s="28" t="e">
        <f t="shared" ca="1" si="2062"/>
        <v>#NAME?</v>
      </c>
      <c r="CA211" s="28" t="e">
        <f t="shared" ca="1" si="2062"/>
        <v>#NAME?</v>
      </c>
      <c r="CB211" s="28" t="e">
        <f t="shared" ca="1" si="2062"/>
        <v>#NAME?</v>
      </c>
      <c r="CC211" s="28" t="e">
        <f t="shared" ca="1" si="2062"/>
        <v>#NAME?</v>
      </c>
      <c r="CD211" s="28" t="e">
        <f t="shared" ca="1" si="2062"/>
        <v>#NAME?</v>
      </c>
      <c r="CE211" s="28" t="e">
        <f t="shared" ref="CE211:CF211" ca="1" si="2063">CE210-CE161</f>
        <v>#NAME?</v>
      </c>
      <c r="CF211" s="28" t="e">
        <f t="shared" ca="1" si="2063"/>
        <v>#NAME?</v>
      </c>
      <c r="CG211" s="28" t="e">
        <f t="shared" ref="CG211:CH211" ca="1" si="2064">CG210-CG161</f>
        <v>#NAME?</v>
      </c>
      <c r="CH211" s="28" t="e">
        <f t="shared" ca="1" si="2064"/>
        <v>#NAME?</v>
      </c>
      <c r="CI211" s="28" t="e">
        <f t="shared" ref="CI211:CJ211" ca="1" si="2065">CI210-CI161</f>
        <v>#NAME?</v>
      </c>
      <c r="CJ211" s="28" t="e">
        <f t="shared" ca="1" si="2065"/>
        <v>#NAME?</v>
      </c>
      <c r="CK211" s="30" t="e">
        <f t="shared" ref="CK211:DB211" ca="1" si="2066">CK210-CK161</f>
        <v>#NAME?</v>
      </c>
      <c r="CL211" s="28" t="e">
        <f t="shared" ca="1" si="2066"/>
        <v>#NAME?</v>
      </c>
      <c r="CM211" s="30" t="e">
        <f t="shared" ca="1" si="2066"/>
        <v>#NAME?</v>
      </c>
      <c r="CN211" s="30" t="e">
        <f t="shared" ca="1" si="2066"/>
        <v>#NAME?</v>
      </c>
      <c r="CO211" s="30" t="e">
        <f t="shared" ca="1" si="2066"/>
        <v>#NAME?</v>
      </c>
      <c r="CP211" s="30" t="e">
        <f t="shared" ca="1" si="2066"/>
        <v>#NAME?</v>
      </c>
      <c r="CQ211" s="30" t="e">
        <f t="shared" ca="1" si="2066"/>
        <v>#NAME?</v>
      </c>
      <c r="CR211" s="30" t="e">
        <f t="shared" ca="1" si="2066"/>
        <v>#NAME?</v>
      </c>
      <c r="CS211" s="30" t="e">
        <f t="shared" ca="1" si="2066"/>
        <v>#NAME?</v>
      </c>
      <c r="CT211" s="30" t="e">
        <f t="shared" ca="1" si="2066"/>
        <v>#NAME?</v>
      </c>
      <c r="CU211" s="30" t="e">
        <f t="shared" ca="1" si="2066"/>
        <v>#NAME?</v>
      </c>
      <c r="CV211" s="30" t="e">
        <f t="shared" ca="1" si="2066"/>
        <v>#NAME?</v>
      </c>
      <c r="CW211" s="30" t="e">
        <f t="shared" ca="1" si="2066"/>
        <v>#NAME?</v>
      </c>
      <c r="CX211" s="30" t="e">
        <f t="shared" ca="1" si="2066"/>
        <v>#NAME?</v>
      </c>
      <c r="CY211" s="30" t="e">
        <f t="shared" ca="1" si="2066"/>
        <v>#NAME?</v>
      </c>
      <c r="CZ211" s="30" t="e">
        <f t="shared" ca="1" si="2066"/>
        <v>#NAME?</v>
      </c>
      <c r="DA211" s="30" t="e">
        <f t="shared" ca="1" si="2066"/>
        <v>#NAME?</v>
      </c>
      <c r="DB211" s="30" t="e">
        <f t="shared" ca="1" si="2066"/>
        <v>#NAME?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7">C199+C201</f>
        <v>#NAME?</v>
      </c>
      <c r="D213" s="22" t="e">
        <f t="shared" ca="1" si="2067"/>
        <v>#NAME?</v>
      </c>
      <c r="E213" s="22" t="e">
        <f t="shared" ca="1" si="2067"/>
        <v>#NAME?</v>
      </c>
      <c r="F213" s="22" t="e">
        <f t="shared" ca="1" si="2067"/>
        <v>#NAME?</v>
      </c>
      <c r="G213" s="22" t="e">
        <f t="shared" ca="1" si="2067"/>
        <v>#NAME?</v>
      </c>
      <c r="H213" s="22" t="e">
        <f t="shared" ca="1" si="2067"/>
        <v>#NAME?</v>
      </c>
      <c r="I213" s="22" t="e">
        <f t="shared" ca="1" si="2067"/>
        <v>#NAME?</v>
      </c>
      <c r="J213" s="22" t="e">
        <f ca="1">J199+J201</f>
        <v>#NAME?</v>
      </c>
      <c r="K213" s="22" t="e">
        <f t="shared" ca="1" si="2067"/>
        <v>#NAME?</v>
      </c>
      <c r="L213" s="22" t="e">
        <f t="shared" ca="1" si="2067"/>
        <v>#NAME?</v>
      </c>
      <c r="M213" s="22" t="e">
        <f t="shared" ca="1" si="2067"/>
        <v>#NAME?</v>
      </c>
      <c r="N213" s="22" t="e">
        <f t="shared" ca="1" si="2067"/>
        <v>#NAME?</v>
      </c>
      <c r="O213" s="22" t="e">
        <f t="shared" ca="1" si="2067"/>
        <v>#NAME?</v>
      </c>
      <c r="P213" s="22" t="e">
        <f t="shared" ca="1" si="2067"/>
        <v>#NAME?</v>
      </c>
      <c r="Q213" s="22" t="e">
        <f t="shared" ca="1" si="2067"/>
        <v>#NAME?</v>
      </c>
      <c r="R213" s="22" t="e">
        <f t="shared" ca="1" si="2067"/>
        <v>#NAME?</v>
      </c>
      <c r="S213" s="22" t="e">
        <f t="shared" ca="1" si="2067"/>
        <v>#NAME?</v>
      </c>
      <c r="T213" s="22" t="e">
        <f t="shared" ca="1" si="2067"/>
        <v>#NAME?</v>
      </c>
      <c r="U213" s="22" t="e">
        <f t="shared" ca="1" si="2067"/>
        <v>#NAME?</v>
      </c>
      <c r="V213" s="22" t="e">
        <f t="shared" ca="1" si="2067"/>
        <v>#NAME?</v>
      </c>
      <c r="W213" s="22" t="e">
        <f t="shared" ca="1" si="2067"/>
        <v>#NAME?</v>
      </c>
      <c r="X213" s="22" t="e">
        <f t="shared" ref="X213:Y213" ca="1" si="2068">X199+X201</f>
        <v>#NAME?</v>
      </c>
      <c r="Y213" s="22" t="e">
        <f t="shared" ca="1" si="2068"/>
        <v>#NAME?</v>
      </c>
      <c r="Z213" s="22" t="e">
        <f t="shared" ref="Z213:AA213" ca="1" si="2069">Z199+Z201</f>
        <v>#NAME?</v>
      </c>
      <c r="AA213" s="22" t="e">
        <f t="shared" ca="1" si="2069"/>
        <v>#NAME?</v>
      </c>
      <c r="AB213" s="21" t="e">
        <f t="shared" ref="AA213:AD213" ca="1" si="2070">AB199+AB201</f>
        <v>#NAME?</v>
      </c>
      <c r="AC213" s="21" t="e">
        <f t="shared" ca="1" si="2070"/>
        <v>#NAME?</v>
      </c>
      <c r="AD213" s="21" t="e">
        <f t="shared" ca="1" si="2070"/>
        <v>#NAME?</v>
      </c>
      <c r="AE213" s="21" t="e">
        <f t="shared" ref="AE213" ca="1" si="2071">AE199+AE201</f>
        <v>#NAME?</v>
      </c>
      <c r="AI213" s="22" t="e">
        <f t="shared" ref="AI213" ca="1" si="2072">AI199+AI201</f>
        <v>#NAME?</v>
      </c>
      <c r="AJ213" s="22" t="e">
        <f t="shared" ref="AJ213:AL213" ca="1" si="2073">AJ199+AJ201</f>
        <v>#NAME?</v>
      </c>
      <c r="AK213" s="22" t="e">
        <f t="shared" ca="1" si="2073"/>
        <v>#NAME?</v>
      </c>
      <c r="AL213" s="22" t="e">
        <f t="shared" ca="1" si="2073"/>
        <v>#NAME?</v>
      </c>
      <c r="AM213" s="22" t="e">
        <f t="shared" ref="AM213" ca="1" si="2074">AM199+AM201</f>
        <v>#NAME?</v>
      </c>
      <c r="AN213" s="22" t="e">
        <f t="shared" ref="AN213:CD213" ca="1" si="2075">AN199+AN201</f>
        <v>#NAME?</v>
      </c>
      <c r="AO213" s="22" t="e">
        <f t="shared" ca="1" si="2075"/>
        <v>#NAME?</v>
      </c>
      <c r="AP213" s="22" t="e">
        <f t="shared" ca="1" si="2075"/>
        <v>#NAME?</v>
      </c>
      <c r="AQ213" s="22" t="e">
        <f t="shared" ca="1" si="2075"/>
        <v>#NAME?</v>
      </c>
      <c r="AR213" s="22" t="e">
        <f t="shared" ca="1" si="2075"/>
        <v>#NAME?</v>
      </c>
      <c r="AS213" s="22" t="e">
        <f t="shared" ca="1" si="2075"/>
        <v>#NAME?</v>
      </c>
      <c r="AT213" s="22" t="e">
        <f t="shared" ca="1" si="2075"/>
        <v>#NAME?</v>
      </c>
      <c r="AU213" s="22" t="e">
        <f t="shared" ca="1" si="2075"/>
        <v>#NAME?</v>
      </c>
      <c r="AV213" s="22" t="e">
        <f t="shared" ca="1" si="2075"/>
        <v>#NAME?</v>
      </c>
      <c r="AW213" s="22" t="e">
        <f t="shared" ca="1" si="2075"/>
        <v>#NAME?</v>
      </c>
      <c r="AX213" s="22" t="e">
        <f t="shared" ca="1" si="2075"/>
        <v>#NAME?</v>
      </c>
      <c r="AY213" s="22" t="e">
        <f t="shared" ca="1" si="2075"/>
        <v>#NAME?</v>
      </c>
      <c r="AZ213" s="22" t="e">
        <f t="shared" ca="1" si="2075"/>
        <v>#NAME?</v>
      </c>
      <c r="BA213" s="22" t="e">
        <f t="shared" ca="1" si="2075"/>
        <v>#NAME?</v>
      </c>
      <c r="BB213" s="22" t="e">
        <f t="shared" ca="1" si="2075"/>
        <v>#NAME?</v>
      </c>
      <c r="BC213" s="22" t="e">
        <f t="shared" ca="1" si="2075"/>
        <v>#NAME?</v>
      </c>
      <c r="BD213" s="22" t="e">
        <f t="shared" ca="1" si="2075"/>
        <v>#NAME?</v>
      </c>
      <c r="BE213" s="22" t="e">
        <f t="shared" ca="1" si="2075"/>
        <v>#NAME?</v>
      </c>
      <c r="BF213" s="22" t="e">
        <f t="shared" ca="1" si="2075"/>
        <v>#NAME?</v>
      </c>
      <c r="BG213" s="22" t="e">
        <f t="shared" ca="1" si="2075"/>
        <v>#NAME?</v>
      </c>
      <c r="BH213" s="22" t="e">
        <f t="shared" ca="1" si="2075"/>
        <v>#NAME?</v>
      </c>
      <c r="BI213" s="22" t="e">
        <f t="shared" ca="1" si="2075"/>
        <v>#NAME?</v>
      </c>
      <c r="BJ213" s="22" t="e">
        <f t="shared" ca="1" si="2075"/>
        <v>#NAME?</v>
      </c>
      <c r="BK213" s="22" t="e">
        <f t="shared" ca="1" si="2075"/>
        <v>#NAME?</v>
      </c>
      <c r="BL213" s="22" t="e">
        <f t="shared" ca="1" si="2075"/>
        <v>#NAME?</v>
      </c>
      <c r="BM213" s="22" t="e">
        <f t="shared" ca="1" si="2075"/>
        <v>#NAME?</v>
      </c>
      <c r="BN213" s="22" t="e">
        <f t="shared" ca="1" si="2075"/>
        <v>#NAME?</v>
      </c>
      <c r="BO213" s="22" t="e">
        <f t="shared" ca="1" si="2075"/>
        <v>#NAME?</v>
      </c>
      <c r="BP213" s="22" t="e">
        <f t="shared" ca="1" si="2075"/>
        <v>#NAME?</v>
      </c>
      <c r="BQ213" s="22" t="e">
        <f t="shared" ca="1" si="2075"/>
        <v>#NAME?</v>
      </c>
      <c r="BR213" s="22" t="e">
        <f t="shared" ca="1" si="2075"/>
        <v>#NAME?</v>
      </c>
      <c r="BS213" s="22" t="e">
        <f t="shared" ca="1" si="2075"/>
        <v>#NAME?</v>
      </c>
      <c r="BT213" s="22" t="e">
        <f t="shared" ca="1" si="2075"/>
        <v>#NAME?</v>
      </c>
      <c r="BU213" s="22" t="e">
        <f t="shared" ca="1" si="2075"/>
        <v>#NAME?</v>
      </c>
      <c r="BV213" s="22" t="e">
        <f t="shared" ca="1" si="2075"/>
        <v>#NAME?</v>
      </c>
      <c r="BW213" s="22" t="e">
        <f t="shared" ca="1" si="2075"/>
        <v>#NAME?</v>
      </c>
      <c r="BX213" s="22" t="e">
        <f t="shared" ca="1" si="2075"/>
        <v>#NAME?</v>
      </c>
      <c r="BY213" s="22" t="e">
        <f t="shared" ca="1" si="2075"/>
        <v>#NAME?</v>
      </c>
      <c r="BZ213" s="22" t="e">
        <f t="shared" ca="1" si="2075"/>
        <v>#NAME?</v>
      </c>
      <c r="CA213" s="22" t="e">
        <f t="shared" ca="1" si="2075"/>
        <v>#NAME?</v>
      </c>
      <c r="CB213" s="22" t="e">
        <f t="shared" ca="1" si="2075"/>
        <v>#NAME?</v>
      </c>
      <c r="CC213" s="22" t="e">
        <f t="shared" ca="1" si="2075"/>
        <v>#NAME?</v>
      </c>
      <c r="CD213" s="22" t="e">
        <f t="shared" ca="1" si="2075"/>
        <v>#NAME?</v>
      </c>
      <c r="CE213" s="22" t="e">
        <f t="shared" ref="CE213:CF213" ca="1" si="2076">CE199+CE201</f>
        <v>#NAME?</v>
      </c>
      <c r="CF213" s="22" t="e">
        <f t="shared" ca="1" si="2076"/>
        <v>#NAME?</v>
      </c>
      <c r="CG213" s="22" t="e">
        <f t="shared" ref="CG213:CH213" ca="1" si="2077">CG199+CG201</f>
        <v>#NAME?</v>
      </c>
      <c r="CH213" s="22" t="e">
        <f t="shared" ca="1" si="2077"/>
        <v>#NAME?</v>
      </c>
      <c r="CI213" s="22" t="e">
        <f t="shared" ref="CI213:CJ213" ca="1" si="2078">CI199+CI201</f>
        <v>#NAME?</v>
      </c>
      <c r="CJ213" s="22" t="e">
        <f t="shared" ca="1" si="2078"/>
        <v>#NAME?</v>
      </c>
      <c r="CK213" s="21" t="e">
        <f t="shared" ref="CK213:DB213" ca="1" si="2079">CK199+CK201</f>
        <v>#NAME?</v>
      </c>
      <c r="CL213" s="22" t="e">
        <f t="shared" ca="1" si="2079"/>
        <v>#NAME?</v>
      </c>
      <c r="CM213" s="21" t="e">
        <f t="shared" ca="1" si="2079"/>
        <v>#NAME?</v>
      </c>
      <c r="CN213" s="21" t="e">
        <f t="shared" ca="1" si="2079"/>
        <v>#NAME?</v>
      </c>
      <c r="CO213" s="21" t="e">
        <f t="shared" ca="1" si="2079"/>
        <v>#NAME?</v>
      </c>
      <c r="CP213" s="21" t="e">
        <f t="shared" ca="1" si="2079"/>
        <v>#NAME?</v>
      </c>
      <c r="CQ213" s="21" t="e">
        <f t="shared" ca="1" si="2079"/>
        <v>#NAME?</v>
      </c>
      <c r="CR213" s="21" t="e">
        <f t="shared" ca="1" si="2079"/>
        <v>#NAME?</v>
      </c>
      <c r="CS213" s="21" t="e">
        <f t="shared" ca="1" si="2079"/>
        <v>#NAME?</v>
      </c>
      <c r="CT213" s="21" t="e">
        <f t="shared" ca="1" si="2079"/>
        <v>#NAME?</v>
      </c>
      <c r="CU213" s="21" t="e">
        <f t="shared" ca="1" si="2079"/>
        <v>#NAME?</v>
      </c>
      <c r="CV213" s="21" t="e">
        <f t="shared" ca="1" si="2079"/>
        <v>#NAME?</v>
      </c>
      <c r="CW213" s="21" t="e">
        <f t="shared" ca="1" si="2079"/>
        <v>#NAME?</v>
      </c>
      <c r="CX213" s="21" t="e">
        <f t="shared" ca="1" si="2079"/>
        <v>#NAME?</v>
      </c>
      <c r="CY213" s="21" t="e">
        <f t="shared" ca="1" si="2079"/>
        <v>#NAME?</v>
      </c>
      <c r="CZ213" s="21" t="e">
        <f t="shared" ca="1" si="2079"/>
        <v>#NAME?</v>
      </c>
      <c r="DA213" s="21" t="e">
        <f t="shared" ca="1" si="2079"/>
        <v>#NAME?</v>
      </c>
      <c r="DB213" s="21" t="e">
        <f t="shared" ca="1" si="2079"/>
        <v>#NAME?</v>
      </c>
      <c r="DE213" s="126"/>
      <c r="DF213" s="22">
        <v>6.2580000000003011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0">SUM(AI10:AL10)</f>
        <v>#NAME?</v>
      </c>
      <c r="AM225" s="66" t="e">
        <f t="shared" ca="1" si="2080"/>
        <v>#NAME?</v>
      </c>
      <c r="AN225" s="66" t="e">
        <f t="shared" ca="1" si="2080"/>
        <v>#NAME?</v>
      </c>
      <c r="AO225" s="66" t="e">
        <f t="shared" ca="1" si="2080"/>
        <v>#NAME?</v>
      </c>
      <c r="AP225" s="66" t="e">
        <f t="shared" ca="1" si="2080"/>
        <v>#NAME?</v>
      </c>
      <c r="AQ225" s="66" t="e">
        <f t="shared" ca="1" si="2080"/>
        <v>#NAME?</v>
      </c>
      <c r="AR225" s="66" t="e">
        <f t="shared" ca="1" si="2080"/>
        <v>#NAME?</v>
      </c>
      <c r="AS225" s="66" t="e">
        <f t="shared" ca="1" si="2080"/>
        <v>#NAME?</v>
      </c>
      <c r="AT225" s="66" t="e">
        <f t="shared" ca="1" si="2080"/>
        <v>#NAME?</v>
      </c>
      <c r="AU225" s="66" t="e">
        <f t="shared" ca="1" si="2080"/>
        <v>#NAME?</v>
      </c>
      <c r="AV225" s="66" t="e">
        <f t="shared" ca="1" si="2080"/>
        <v>#NAME?</v>
      </c>
      <c r="AW225" s="66" t="e">
        <f t="shared" ca="1" si="2080"/>
        <v>#NAME?</v>
      </c>
      <c r="AX225" s="66" t="e">
        <f t="shared" ca="1" si="2080"/>
        <v>#NAME?</v>
      </c>
      <c r="AY225" s="66" t="e">
        <f t="shared" ca="1" si="2080"/>
        <v>#NAME?</v>
      </c>
      <c r="AZ225" s="66" t="e">
        <f t="shared" ca="1" si="2080"/>
        <v>#NAME?</v>
      </c>
      <c r="BA225" s="66" t="e">
        <f t="shared" ca="1" si="2080"/>
        <v>#NAME?</v>
      </c>
      <c r="BB225" s="66" t="e">
        <f t="shared" ca="1" si="2080"/>
        <v>#NAME?</v>
      </c>
      <c r="BC225" s="66" t="e">
        <f t="shared" ca="1" si="2080"/>
        <v>#NAME?</v>
      </c>
      <c r="BD225" s="66" t="e">
        <f t="shared" ca="1" si="2080"/>
        <v>#NAME?</v>
      </c>
      <c r="BE225" s="66" t="e">
        <f t="shared" ca="1" si="2080"/>
        <v>#NAME?</v>
      </c>
      <c r="BF225" s="66" t="e">
        <f t="shared" ca="1" si="2080"/>
        <v>#NAME?</v>
      </c>
      <c r="BG225" s="66" t="e">
        <f t="shared" ca="1" si="2080"/>
        <v>#NAME?</v>
      </c>
      <c r="BH225" s="66" t="e">
        <f t="shared" ca="1" si="2080"/>
        <v>#NAME?</v>
      </c>
      <c r="BI225" s="66" t="e">
        <f t="shared" ca="1" si="2080"/>
        <v>#NAME?</v>
      </c>
      <c r="BJ225" s="66" t="e">
        <f t="shared" ca="1" si="2080"/>
        <v>#NAME?</v>
      </c>
      <c r="BK225" s="66" t="e">
        <f t="shared" ca="1" si="2080"/>
        <v>#NAME?</v>
      </c>
      <c r="BL225" s="66" t="e">
        <f t="shared" ca="1" si="2080"/>
        <v>#NAME?</v>
      </c>
      <c r="BM225" s="66" t="e">
        <f t="shared" ca="1" si="2080"/>
        <v>#NAME?</v>
      </c>
      <c r="BN225" s="66" t="e">
        <f t="shared" ca="1" si="2080"/>
        <v>#NAME?</v>
      </c>
      <c r="BO225" s="66" t="e">
        <f t="shared" ca="1" si="2080"/>
        <v>#NAME?</v>
      </c>
      <c r="BP225" s="66" t="e">
        <f t="shared" ca="1" si="2080"/>
        <v>#NAME?</v>
      </c>
      <c r="BQ225" s="66" t="e">
        <f t="shared" ca="1" si="2080"/>
        <v>#NAME?</v>
      </c>
      <c r="BR225" s="66" t="e">
        <f t="shared" ref="BR225:CW225" ca="1" si="2081">SUM(BO10:BR10)</f>
        <v>#NAME?</v>
      </c>
      <c r="BS225" s="66" t="e">
        <f t="shared" ca="1" si="2081"/>
        <v>#NAME?</v>
      </c>
      <c r="BT225" s="66" t="e">
        <f t="shared" ca="1" si="2081"/>
        <v>#NAME?</v>
      </c>
      <c r="BU225" s="66" t="e">
        <f t="shared" ca="1" si="2081"/>
        <v>#NAME?</v>
      </c>
      <c r="BV225" s="66" t="e">
        <f t="shared" ca="1" si="2081"/>
        <v>#NAME?</v>
      </c>
      <c r="BW225" s="66" t="e">
        <f t="shared" ca="1" si="2081"/>
        <v>#NAME?</v>
      </c>
      <c r="BX225" s="66" t="e">
        <f t="shared" ca="1" si="2081"/>
        <v>#NAME?</v>
      </c>
      <c r="BY225" s="66" t="e">
        <f t="shared" ca="1" si="2081"/>
        <v>#NAME?</v>
      </c>
      <c r="BZ225" s="66" t="e">
        <f t="shared" ca="1" si="2081"/>
        <v>#NAME?</v>
      </c>
      <c r="CA225" s="66" t="e">
        <f t="shared" ca="1" si="2081"/>
        <v>#NAME?</v>
      </c>
      <c r="CB225" s="66" t="e">
        <f t="shared" ca="1" si="2081"/>
        <v>#NAME?</v>
      </c>
      <c r="CC225" s="66" t="e">
        <f t="shared" ca="1" si="2081"/>
        <v>#NAME?</v>
      </c>
      <c r="CD225" s="66" t="e">
        <f t="shared" ca="1" si="2081"/>
        <v>#NAME?</v>
      </c>
      <c r="CE225" s="66" t="e">
        <f t="shared" ca="1" si="2081"/>
        <v>#NAME?</v>
      </c>
      <c r="CF225" s="66" t="e">
        <f t="shared" ca="1" si="2081"/>
        <v>#NAME?</v>
      </c>
      <c r="CG225" s="66" t="e">
        <f t="shared" ca="1" si="2081"/>
        <v>#NAME?</v>
      </c>
      <c r="CH225" s="66" t="e">
        <f t="shared" ca="1" si="2081"/>
        <v>#NAME?</v>
      </c>
      <c r="CI225" s="66" t="e">
        <f t="shared" ca="1" si="2081"/>
        <v>#NAME?</v>
      </c>
      <c r="CJ225" s="66" t="e">
        <f t="shared" ca="1" si="2081"/>
        <v>#NAME?</v>
      </c>
      <c r="CK225" s="50" t="e">
        <f t="shared" ca="1" si="2081"/>
        <v>#NAME?</v>
      </c>
      <c r="CL225" s="66" t="e">
        <f t="shared" ca="1" si="2081"/>
        <v>#NAME?</v>
      </c>
      <c r="CM225" s="50" t="e">
        <f t="shared" ca="1" si="2081"/>
        <v>#NAME?</v>
      </c>
      <c r="CN225" s="50" t="e">
        <f t="shared" ca="1" si="2081"/>
        <v>#NAME?</v>
      </c>
      <c r="CO225" s="50" t="e">
        <f t="shared" ca="1" si="2081"/>
        <v>#NAME?</v>
      </c>
      <c r="CP225" s="50" t="e">
        <f t="shared" ca="1" si="2081"/>
        <v>#NAME?</v>
      </c>
      <c r="CQ225" s="50" t="e">
        <f t="shared" ca="1" si="2081"/>
        <v>#NAME?</v>
      </c>
      <c r="CR225" s="50" t="e">
        <f t="shared" ca="1" si="2081"/>
        <v>#NAME?</v>
      </c>
      <c r="CS225" s="50" t="e">
        <f t="shared" ca="1" si="2081"/>
        <v>#NAME?</v>
      </c>
      <c r="CT225" s="50" t="e">
        <f t="shared" ca="1" si="2081"/>
        <v>#NAME?</v>
      </c>
      <c r="CU225" s="50" t="e">
        <f t="shared" ca="1" si="2081"/>
        <v>#NAME?</v>
      </c>
      <c r="CV225" s="50" t="e">
        <f t="shared" ca="1" si="2081"/>
        <v>#NAME?</v>
      </c>
      <c r="CW225" s="50" t="e">
        <f t="shared" ca="1" si="2081"/>
        <v>#NAME?</v>
      </c>
      <c r="CX225" s="50" t="e">
        <f t="shared" ref="CX225:DB225" ca="1" si="2082">SUM(CU10:CX10)</f>
        <v>#NAME?</v>
      </c>
      <c r="CY225" s="50" t="e">
        <f t="shared" ca="1" si="2082"/>
        <v>#NAME?</v>
      </c>
      <c r="CZ225" s="50" t="e">
        <f t="shared" ca="1" si="2082"/>
        <v>#NAME?</v>
      </c>
      <c r="DA225" s="50" t="e">
        <f t="shared" ca="1" si="2082"/>
        <v>#NAME?</v>
      </c>
      <c r="DB225" s="50" t="e">
        <f t="shared" ca="1" si="2082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3">SUM(AI28:AL28)</f>
        <v>#NAME?</v>
      </c>
      <c r="AM226" s="66" t="e">
        <f t="shared" ca="1" si="2083"/>
        <v>#NAME?</v>
      </c>
      <c r="AN226" s="66" t="e">
        <f t="shared" ca="1" si="2083"/>
        <v>#NAME?</v>
      </c>
      <c r="AO226" s="66" t="e">
        <f t="shared" ca="1" si="2083"/>
        <v>#NAME?</v>
      </c>
      <c r="AP226" s="66" t="e">
        <f t="shared" ca="1" si="2083"/>
        <v>#NAME?</v>
      </c>
      <c r="AQ226" s="66" t="e">
        <f t="shared" ca="1" si="2083"/>
        <v>#NAME?</v>
      </c>
      <c r="AR226" s="66" t="e">
        <f t="shared" ca="1" si="2083"/>
        <v>#NAME?</v>
      </c>
      <c r="AS226" s="66" t="e">
        <f t="shared" ca="1" si="2083"/>
        <v>#NAME?</v>
      </c>
      <c r="AT226" s="66" t="e">
        <f t="shared" ca="1" si="2083"/>
        <v>#NAME?</v>
      </c>
      <c r="AU226" s="66" t="e">
        <f t="shared" ca="1" si="2083"/>
        <v>#NAME?</v>
      </c>
      <c r="AV226" s="66" t="e">
        <f t="shared" ca="1" si="2083"/>
        <v>#NAME?</v>
      </c>
      <c r="AW226" s="66" t="e">
        <f t="shared" ca="1" si="2083"/>
        <v>#NAME?</v>
      </c>
      <c r="AX226" s="66" t="e">
        <f t="shared" ca="1" si="2083"/>
        <v>#NAME?</v>
      </c>
      <c r="AY226" s="66" t="e">
        <f t="shared" ca="1" si="2083"/>
        <v>#NAME?</v>
      </c>
      <c r="AZ226" s="66" t="e">
        <f t="shared" ca="1" si="2083"/>
        <v>#NAME?</v>
      </c>
      <c r="BA226" s="66" t="e">
        <f t="shared" ca="1" si="2083"/>
        <v>#NAME?</v>
      </c>
      <c r="BB226" s="66" t="e">
        <f t="shared" ca="1" si="2083"/>
        <v>#NAME?</v>
      </c>
      <c r="BC226" s="66" t="e">
        <f t="shared" ca="1" si="2083"/>
        <v>#NAME?</v>
      </c>
      <c r="BD226" s="66" t="e">
        <f t="shared" ca="1" si="2083"/>
        <v>#NAME?</v>
      </c>
      <c r="BE226" s="66" t="e">
        <f t="shared" ca="1" si="2083"/>
        <v>#NAME?</v>
      </c>
      <c r="BF226" s="66" t="e">
        <f t="shared" ca="1" si="2083"/>
        <v>#NAME?</v>
      </c>
      <c r="BG226" s="66" t="e">
        <f t="shared" ca="1" si="2083"/>
        <v>#NAME?</v>
      </c>
      <c r="BH226" s="66" t="e">
        <f t="shared" ca="1" si="2083"/>
        <v>#NAME?</v>
      </c>
      <c r="BI226" s="66" t="e">
        <f t="shared" ca="1" si="2083"/>
        <v>#NAME?</v>
      </c>
      <c r="BJ226" s="66" t="e">
        <f t="shared" ca="1" si="2083"/>
        <v>#NAME?</v>
      </c>
      <c r="BK226" s="66" t="e">
        <f t="shared" ca="1" si="2083"/>
        <v>#NAME?</v>
      </c>
      <c r="BL226" s="66" t="e">
        <f t="shared" ca="1" si="2083"/>
        <v>#NAME?</v>
      </c>
      <c r="BM226" s="66" t="e">
        <f t="shared" ca="1" si="2083"/>
        <v>#NAME?</v>
      </c>
      <c r="BN226" s="66" t="e">
        <f t="shared" ca="1" si="2083"/>
        <v>#NAME?</v>
      </c>
      <c r="BO226" s="66" t="e">
        <f t="shared" ca="1" si="2083"/>
        <v>#NAME?</v>
      </c>
      <c r="BP226" s="66" t="e">
        <f t="shared" ca="1" si="2083"/>
        <v>#NAME?</v>
      </c>
      <c r="BQ226" s="66" t="e">
        <f t="shared" ca="1" si="2083"/>
        <v>#NAME?</v>
      </c>
      <c r="BR226" s="66" t="e">
        <f t="shared" ref="BR226:CW226" ca="1" si="2084">SUM(BO28:BR28)</f>
        <v>#NAME?</v>
      </c>
      <c r="BS226" s="66" t="e">
        <f t="shared" ca="1" si="2084"/>
        <v>#NAME?</v>
      </c>
      <c r="BT226" s="66" t="e">
        <f t="shared" ca="1" si="2084"/>
        <v>#NAME?</v>
      </c>
      <c r="BU226" s="66" t="e">
        <f t="shared" ca="1" si="2084"/>
        <v>#NAME?</v>
      </c>
      <c r="BV226" s="66" t="e">
        <f t="shared" ca="1" si="2084"/>
        <v>#NAME?</v>
      </c>
      <c r="BW226" s="66" t="e">
        <f t="shared" ca="1" si="2084"/>
        <v>#NAME?</v>
      </c>
      <c r="BX226" s="66" t="e">
        <f t="shared" ca="1" si="2084"/>
        <v>#NAME?</v>
      </c>
      <c r="BY226" s="66" t="e">
        <f t="shared" ca="1" si="2084"/>
        <v>#NAME?</v>
      </c>
      <c r="BZ226" s="66" t="e">
        <f t="shared" ca="1" si="2084"/>
        <v>#NAME?</v>
      </c>
      <c r="CA226" s="66" t="e">
        <f t="shared" ca="1" si="2084"/>
        <v>#NAME?</v>
      </c>
      <c r="CB226" s="66" t="e">
        <f t="shared" ca="1" si="2084"/>
        <v>#NAME?</v>
      </c>
      <c r="CC226" s="66" t="e">
        <f t="shared" ca="1" si="2084"/>
        <v>#NAME?</v>
      </c>
      <c r="CD226" s="66" t="e">
        <f t="shared" ca="1" si="2084"/>
        <v>#NAME?</v>
      </c>
      <c r="CE226" s="66" t="e">
        <f t="shared" ca="1" si="2084"/>
        <v>#NAME?</v>
      </c>
      <c r="CF226" s="66" t="e">
        <f t="shared" ca="1" si="2084"/>
        <v>#NAME?</v>
      </c>
      <c r="CG226" s="66" t="e">
        <f t="shared" ca="1" si="2084"/>
        <v>#NAME?</v>
      </c>
      <c r="CH226" s="66" t="e">
        <f t="shared" ca="1" si="2084"/>
        <v>#NAME?</v>
      </c>
      <c r="CI226" s="66" t="e">
        <f t="shared" ca="1" si="2084"/>
        <v>#NAME?</v>
      </c>
      <c r="CJ226" s="66" t="e">
        <f t="shared" ca="1" si="2084"/>
        <v>#NAME?</v>
      </c>
      <c r="CK226" s="50" t="e">
        <f t="shared" ca="1" si="2084"/>
        <v>#NAME?</v>
      </c>
      <c r="CL226" s="66" t="e">
        <f t="shared" ca="1" si="2084"/>
        <v>#NAME?</v>
      </c>
      <c r="CM226" s="50" t="e">
        <f t="shared" ca="1" si="2084"/>
        <v>#NAME?</v>
      </c>
      <c r="CN226" s="50" t="e">
        <f t="shared" ca="1" si="2084"/>
        <v>#NAME?</v>
      </c>
      <c r="CO226" s="50" t="e">
        <f t="shared" ca="1" si="2084"/>
        <v>#NAME?</v>
      </c>
      <c r="CP226" s="50" t="e">
        <f t="shared" ca="1" si="2084"/>
        <v>#NAME?</v>
      </c>
      <c r="CQ226" s="50" t="e">
        <f t="shared" ca="1" si="2084"/>
        <v>#NAME?</v>
      </c>
      <c r="CR226" s="50" t="e">
        <f t="shared" ca="1" si="2084"/>
        <v>#NAME?</v>
      </c>
      <c r="CS226" s="50" t="e">
        <f t="shared" ca="1" si="2084"/>
        <v>#NAME?</v>
      </c>
      <c r="CT226" s="50" t="e">
        <f t="shared" ca="1" si="2084"/>
        <v>#NAME?</v>
      </c>
      <c r="CU226" s="50" t="e">
        <f t="shared" ca="1" si="2084"/>
        <v>#NAME?</v>
      </c>
      <c r="CV226" s="50" t="e">
        <f t="shared" ca="1" si="2084"/>
        <v>#NAME?</v>
      </c>
      <c r="CW226" s="50" t="e">
        <f t="shared" ca="1" si="2084"/>
        <v>#NAME?</v>
      </c>
      <c r="CX226" s="50" t="e">
        <f t="shared" ref="CX226:DB226" ca="1" si="2085">SUM(CU28:CX28)</f>
        <v>#NAME?</v>
      </c>
      <c r="CY226" s="50" t="e">
        <f t="shared" ca="1" si="2085"/>
        <v>#NAME?</v>
      </c>
      <c r="CZ226" s="50" t="e">
        <f t="shared" ca="1" si="2085"/>
        <v>#NAME?</v>
      </c>
      <c r="DA226" s="50" t="e">
        <f t="shared" ca="1" si="2085"/>
        <v>#NAME?</v>
      </c>
      <c r="DB226" s="50" t="e">
        <f t="shared" ca="1" si="2085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6">SUM(AI41:AL41)</f>
        <v>#NAME?</v>
      </c>
      <c r="AM227" s="66" t="e">
        <f t="shared" ca="1" si="2086"/>
        <v>#NAME?</v>
      </c>
      <c r="AN227" s="66" t="e">
        <f t="shared" ca="1" si="2086"/>
        <v>#NAME?</v>
      </c>
      <c r="AO227" s="66" t="e">
        <f t="shared" ca="1" si="2086"/>
        <v>#NAME?</v>
      </c>
      <c r="AP227" s="66" t="e">
        <f t="shared" ca="1" si="2086"/>
        <v>#NAME?</v>
      </c>
      <c r="AQ227" s="66" t="e">
        <f t="shared" ca="1" si="2086"/>
        <v>#NAME?</v>
      </c>
      <c r="AR227" s="66" t="e">
        <f t="shared" ca="1" si="2086"/>
        <v>#NAME?</v>
      </c>
      <c r="AS227" s="66" t="e">
        <f t="shared" ca="1" si="2086"/>
        <v>#NAME?</v>
      </c>
      <c r="AT227" s="66" t="e">
        <f t="shared" ca="1" si="2086"/>
        <v>#NAME?</v>
      </c>
      <c r="AU227" s="66" t="e">
        <f t="shared" ca="1" si="2086"/>
        <v>#NAME?</v>
      </c>
      <c r="AV227" s="66" t="e">
        <f t="shared" ca="1" si="2086"/>
        <v>#NAME?</v>
      </c>
      <c r="AW227" s="66" t="e">
        <f t="shared" ca="1" si="2086"/>
        <v>#NAME?</v>
      </c>
      <c r="AX227" s="66" t="e">
        <f t="shared" ca="1" si="2086"/>
        <v>#NAME?</v>
      </c>
      <c r="AY227" s="66" t="e">
        <f t="shared" ca="1" si="2086"/>
        <v>#NAME?</v>
      </c>
      <c r="AZ227" s="66" t="e">
        <f t="shared" ca="1" si="2086"/>
        <v>#NAME?</v>
      </c>
      <c r="BA227" s="66" t="e">
        <f t="shared" ca="1" si="2086"/>
        <v>#NAME?</v>
      </c>
      <c r="BB227" s="66" t="e">
        <f t="shared" ca="1" si="2086"/>
        <v>#NAME?</v>
      </c>
      <c r="BC227" s="66" t="e">
        <f t="shared" ca="1" si="2086"/>
        <v>#NAME?</v>
      </c>
      <c r="BD227" s="66" t="e">
        <f t="shared" ca="1" si="2086"/>
        <v>#NAME?</v>
      </c>
      <c r="BE227" s="66" t="e">
        <f t="shared" ca="1" si="2086"/>
        <v>#NAME?</v>
      </c>
      <c r="BF227" s="66" t="e">
        <f t="shared" ca="1" si="2086"/>
        <v>#NAME?</v>
      </c>
      <c r="BG227" s="66" t="e">
        <f t="shared" ca="1" si="2086"/>
        <v>#NAME?</v>
      </c>
      <c r="BH227" s="66" t="e">
        <f t="shared" ca="1" si="2086"/>
        <v>#NAME?</v>
      </c>
      <c r="BI227" s="66" t="e">
        <f t="shared" ca="1" si="2086"/>
        <v>#NAME?</v>
      </c>
      <c r="BJ227" s="66" t="e">
        <f t="shared" ca="1" si="2086"/>
        <v>#NAME?</v>
      </c>
      <c r="BK227" s="66" t="e">
        <f t="shared" ca="1" si="2086"/>
        <v>#NAME?</v>
      </c>
      <c r="BL227" s="66" t="e">
        <f t="shared" ca="1" si="2086"/>
        <v>#NAME?</v>
      </c>
      <c r="BM227" s="66" t="e">
        <f t="shared" ca="1" si="2086"/>
        <v>#NAME?</v>
      </c>
      <c r="BN227" s="66" t="e">
        <f t="shared" ca="1" si="2086"/>
        <v>#NAME?</v>
      </c>
      <c r="BO227" s="66" t="e">
        <f t="shared" ca="1" si="2086"/>
        <v>#NAME?</v>
      </c>
      <c r="BP227" s="66" t="e">
        <f t="shared" ca="1" si="2086"/>
        <v>#NAME?</v>
      </c>
      <c r="BQ227" s="66" t="e">
        <f t="shared" ca="1" si="2086"/>
        <v>#NAME?</v>
      </c>
      <c r="BR227" s="66" t="e">
        <f t="shared" ref="BR227:CW227" ca="1" si="2087">SUM(BO41:BR41)</f>
        <v>#NAME?</v>
      </c>
      <c r="BS227" s="66" t="e">
        <f t="shared" ca="1" si="2087"/>
        <v>#NAME?</v>
      </c>
      <c r="BT227" s="66" t="e">
        <f t="shared" ca="1" si="2087"/>
        <v>#NAME?</v>
      </c>
      <c r="BU227" s="66" t="e">
        <f t="shared" ca="1" si="2087"/>
        <v>#NAME?</v>
      </c>
      <c r="BV227" s="66" t="e">
        <f t="shared" ca="1" si="2087"/>
        <v>#NAME?</v>
      </c>
      <c r="BW227" s="66" t="e">
        <f t="shared" ca="1" si="2087"/>
        <v>#NAME?</v>
      </c>
      <c r="BX227" s="66" t="e">
        <f t="shared" ca="1" si="2087"/>
        <v>#NAME?</v>
      </c>
      <c r="BY227" s="66" t="e">
        <f t="shared" ca="1" si="2087"/>
        <v>#NAME?</v>
      </c>
      <c r="BZ227" s="66" t="e">
        <f t="shared" ca="1" si="2087"/>
        <v>#NAME?</v>
      </c>
      <c r="CA227" s="66" t="e">
        <f t="shared" ca="1" si="2087"/>
        <v>#NAME?</v>
      </c>
      <c r="CB227" s="66" t="e">
        <f t="shared" ca="1" si="2087"/>
        <v>#NAME?</v>
      </c>
      <c r="CC227" s="66" t="e">
        <f t="shared" ca="1" si="2087"/>
        <v>#NAME?</v>
      </c>
      <c r="CD227" s="66" t="e">
        <f t="shared" ca="1" si="2087"/>
        <v>#NAME?</v>
      </c>
      <c r="CE227" s="66" t="e">
        <f t="shared" ca="1" si="2087"/>
        <v>#NAME?</v>
      </c>
      <c r="CF227" s="66" t="e">
        <f t="shared" ca="1" si="2087"/>
        <v>#NAME?</v>
      </c>
      <c r="CG227" s="66" t="e">
        <f t="shared" ca="1" si="2087"/>
        <v>#NAME?</v>
      </c>
      <c r="CH227" s="66" t="e">
        <f t="shared" ca="1" si="2087"/>
        <v>#NAME?</v>
      </c>
      <c r="CI227" s="66" t="e">
        <f t="shared" ca="1" si="2087"/>
        <v>#NAME?</v>
      </c>
      <c r="CJ227" s="66" t="e">
        <f t="shared" ca="1" si="2087"/>
        <v>#NAME?</v>
      </c>
      <c r="CK227" s="50" t="e">
        <f t="shared" ca="1" si="2087"/>
        <v>#NAME?</v>
      </c>
      <c r="CL227" s="66" t="e">
        <f t="shared" ca="1" si="2087"/>
        <v>#NAME?</v>
      </c>
      <c r="CM227" s="50" t="e">
        <f t="shared" ca="1" si="2087"/>
        <v>#NAME?</v>
      </c>
      <c r="CN227" s="50" t="e">
        <f t="shared" ca="1" si="2087"/>
        <v>#NAME?</v>
      </c>
      <c r="CO227" s="50" t="e">
        <f t="shared" ca="1" si="2087"/>
        <v>#NAME?</v>
      </c>
      <c r="CP227" s="50" t="e">
        <f t="shared" ca="1" si="2087"/>
        <v>#NAME?</v>
      </c>
      <c r="CQ227" s="50" t="e">
        <f t="shared" ca="1" si="2087"/>
        <v>#NAME?</v>
      </c>
      <c r="CR227" s="50" t="e">
        <f t="shared" ca="1" si="2087"/>
        <v>#NAME?</v>
      </c>
      <c r="CS227" s="50" t="e">
        <f t="shared" ca="1" si="2087"/>
        <v>#NAME?</v>
      </c>
      <c r="CT227" s="50" t="e">
        <f t="shared" ca="1" si="2087"/>
        <v>#NAME?</v>
      </c>
      <c r="CU227" s="50" t="e">
        <f t="shared" ca="1" si="2087"/>
        <v>#NAME?</v>
      </c>
      <c r="CV227" s="50" t="e">
        <f t="shared" ca="1" si="2087"/>
        <v>#NAME?</v>
      </c>
      <c r="CW227" s="50" t="e">
        <f t="shared" ca="1" si="2087"/>
        <v>#NAME?</v>
      </c>
      <c r="CX227" s="50" t="e">
        <f t="shared" ref="CX227:DB227" ca="1" si="2088">SUM(CU41:CX41)</f>
        <v>#NAME?</v>
      </c>
      <c r="CY227" s="50" t="e">
        <f t="shared" ca="1" si="2088"/>
        <v>#NAME?</v>
      </c>
      <c r="CZ227" s="50" t="e">
        <f t="shared" ca="1" si="2088"/>
        <v>#NAME?</v>
      </c>
      <c r="DA227" s="50" t="e">
        <f t="shared" ca="1" si="2088"/>
        <v>#NAME?</v>
      </c>
      <c r="DB227" s="50" t="e">
        <f t="shared" ca="1" si="2088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89">B8-B237</f>
        <v>#NAME?</v>
      </c>
      <c r="C231" s="64" t="e">
        <f t="shared" ca="1" si="2089"/>
        <v>#NAME?</v>
      </c>
      <c r="D231" s="64" t="e">
        <f t="shared" ca="1" si="2089"/>
        <v>#NAME?</v>
      </c>
      <c r="E231" s="64" t="e">
        <f t="shared" ca="1" si="2089"/>
        <v>#NAME?</v>
      </c>
      <c r="F231" s="64" t="e">
        <f t="shared" ca="1" si="2089"/>
        <v>#NAME?</v>
      </c>
      <c r="G231" s="64" t="e">
        <f t="shared" ca="1" si="2089"/>
        <v>#NAME?</v>
      </c>
      <c r="H231" s="64" t="e">
        <f t="shared" ca="1" si="2089"/>
        <v>#NAME?</v>
      </c>
      <c r="I231" s="64" t="e">
        <f t="shared" ca="1" si="2089"/>
        <v>#NAME?</v>
      </c>
      <c r="J231" s="64" t="e">
        <f t="shared" ca="1" si="2089"/>
        <v>#NAME?</v>
      </c>
      <c r="K231" s="64" t="e">
        <f t="shared" ca="1" si="2089"/>
        <v>#NAME?</v>
      </c>
      <c r="L231" s="64" t="e">
        <f t="shared" ca="1" si="2089"/>
        <v>#NAME?</v>
      </c>
      <c r="M231" s="64" t="e">
        <f t="shared" ca="1" si="2089"/>
        <v>#NAME?</v>
      </c>
      <c r="N231" s="64" t="e">
        <f t="shared" ca="1" si="2089"/>
        <v>#NAME?</v>
      </c>
      <c r="O231" s="64" t="e">
        <f t="shared" ca="1" si="2089"/>
        <v>#NAME?</v>
      </c>
      <c r="P231" s="64" t="e">
        <f t="shared" ca="1" si="2089"/>
        <v>#NAME?</v>
      </c>
      <c r="Q231" s="64" t="e">
        <f t="shared" ca="1" si="2089"/>
        <v>#NAME?</v>
      </c>
      <c r="R231" s="64" t="e">
        <f t="shared" ca="1" si="2089"/>
        <v>#NAME?</v>
      </c>
      <c r="S231" s="64" t="e">
        <f t="shared" ca="1" si="2089"/>
        <v>#NAME?</v>
      </c>
      <c r="T231" s="64" t="e">
        <f t="shared" ca="1" si="2089"/>
        <v>#NAME?</v>
      </c>
      <c r="U231" s="64" t="e">
        <f t="shared" ca="1" si="2089"/>
        <v>#NAME?</v>
      </c>
      <c r="V231" s="64" t="e">
        <f t="shared" ca="1" si="2089"/>
        <v>#NAME?</v>
      </c>
      <c r="W231" s="64" t="e">
        <f t="shared" ca="1" si="2089"/>
        <v>#NAME?</v>
      </c>
      <c r="X231" s="64" t="e">
        <f t="shared" ca="1" si="2089"/>
        <v>#NAME?</v>
      </c>
      <c r="Y231" s="64" t="e">
        <f t="shared" ca="1" si="2089"/>
        <v>#NAME?</v>
      </c>
      <c r="Z231" s="64" t="e">
        <f t="shared" ca="1" si="2089"/>
        <v>#NAME?</v>
      </c>
      <c r="AA231" s="64" t="e">
        <f t="shared" ref="AA231" ca="1" si="2090">AA8-AA237</f>
        <v>#NAME?</v>
      </c>
      <c r="AB231" s="30"/>
      <c r="AC231" s="30"/>
      <c r="AD231" s="30"/>
      <c r="AE231" s="30"/>
      <c r="AI231" s="64" t="e">
        <f t="shared" ref="AI231:BN231" ca="1" si="2091">AI8-AI237</f>
        <v>#NAME?</v>
      </c>
      <c r="AJ231" s="64" t="e">
        <f t="shared" ca="1" si="2091"/>
        <v>#NAME?</v>
      </c>
      <c r="AK231" s="64" t="e">
        <f t="shared" ca="1" si="2091"/>
        <v>#NAME?</v>
      </c>
      <c r="AL231" s="64" t="e">
        <f t="shared" ca="1" si="2091"/>
        <v>#NAME?</v>
      </c>
      <c r="AM231" s="64" t="e">
        <f t="shared" ca="1" si="2091"/>
        <v>#NAME?</v>
      </c>
      <c r="AN231" s="64" t="e">
        <f t="shared" ca="1" si="2091"/>
        <v>#NAME?</v>
      </c>
      <c r="AO231" s="64" t="e">
        <f t="shared" ca="1" si="2091"/>
        <v>#NAME?</v>
      </c>
      <c r="AP231" s="64" t="e">
        <f t="shared" ca="1" si="2091"/>
        <v>#NAME?</v>
      </c>
      <c r="AQ231" s="64" t="e">
        <f t="shared" ca="1" si="2091"/>
        <v>#NAME?</v>
      </c>
      <c r="AR231" s="64" t="e">
        <f t="shared" ca="1" si="2091"/>
        <v>#NAME?</v>
      </c>
      <c r="AS231" s="64" t="e">
        <f t="shared" ca="1" si="2091"/>
        <v>#NAME?</v>
      </c>
      <c r="AT231" s="64" t="e">
        <f t="shared" ca="1" si="2091"/>
        <v>#NAME?</v>
      </c>
      <c r="AU231" s="64" t="e">
        <f t="shared" ca="1" si="2091"/>
        <v>#NAME?</v>
      </c>
      <c r="AV231" s="64" t="e">
        <f t="shared" ca="1" si="2091"/>
        <v>#NAME?</v>
      </c>
      <c r="AW231" s="64" t="e">
        <f t="shared" ca="1" si="2091"/>
        <v>#NAME?</v>
      </c>
      <c r="AX231" s="64" t="e">
        <f t="shared" ca="1" si="2091"/>
        <v>#NAME?</v>
      </c>
      <c r="AY231" s="64" t="e">
        <f t="shared" ca="1" si="2091"/>
        <v>#NAME?</v>
      </c>
      <c r="AZ231" s="64" t="e">
        <f t="shared" ca="1" si="2091"/>
        <v>#NAME?</v>
      </c>
      <c r="BA231" s="64" t="e">
        <f t="shared" ca="1" si="2091"/>
        <v>#NAME?</v>
      </c>
      <c r="BB231" s="64" t="e">
        <f t="shared" ca="1" si="2091"/>
        <v>#NAME?</v>
      </c>
      <c r="BC231" s="64" t="e">
        <f t="shared" ca="1" si="2091"/>
        <v>#NAME?</v>
      </c>
      <c r="BD231" s="64" t="e">
        <f t="shared" ca="1" si="2091"/>
        <v>#NAME?</v>
      </c>
      <c r="BE231" s="64" t="e">
        <f t="shared" ca="1" si="2091"/>
        <v>#NAME?</v>
      </c>
      <c r="BF231" s="64" t="e">
        <f t="shared" ca="1" si="2091"/>
        <v>#NAME?</v>
      </c>
      <c r="BG231" s="64" t="e">
        <f t="shared" ca="1" si="2091"/>
        <v>#NAME?</v>
      </c>
      <c r="BH231" s="64" t="e">
        <f t="shared" ca="1" si="2091"/>
        <v>#NAME?</v>
      </c>
      <c r="BI231" s="64" t="e">
        <f t="shared" ca="1" si="2091"/>
        <v>#NAME?</v>
      </c>
      <c r="BJ231" s="64" t="e">
        <f t="shared" ca="1" si="2091"/>
        <v>#NAME?</v>
      </c>
      <c r="BK231" s="64" t="e">
        <f t="shared" ca="1" si="2091"/>
        <v>#NAME?</v>
      </c>
      <c r="BL231" s="64" t="e">
        <f t="shared" ca="1" si="2091"/>
        <v>#NAME?</v>
      </c>
      <c r="BM231" s="64" t="e">
        <f t="shared" ca="1" si="2091"/>
        <v>#NAME?</v>
      </c>
      <c r="BN231" s="64" t="e">
        <f t="shared" ca="1" si="2091"/>
        <v>#NAME?</v>
      </c>
      <c r="BO231" s="64" t="e">
        <f t="shared" ref="BO231:CT231" ca="1" si="2092">BO8-BO237</f>
        <v>#NAME?</v>
      </c>
      <c r="BP231" s="64" t="e">
        <f t="shared" ca="1" si="2092"/>
        <v>#NAME?</v>
      </c>
      <c r="BQ231" s="64" t="e">
        <f t="shared" ca="1" si="2092"/>
        <v>#NAME?</v>
      </c>
      <c r="BR231" s="64" t="e">
        <f t="shared" ca="1" si="2092"/>
        <v>#NAME?</v>
      </c>
      <c r="BS231" s="64" t="e">
        <f t="shared" ca="1" si="2092"/>
        <v>#NAME?</v>
      </c>
      <c r="BT231" s="64" t="e">
        <f t="shared" ca="1" si="2092"/>
        <v>#NAME?</v>
      </c>
      <c r="BU231" s="64" t="e">
        <f t="shared" ca="1" si="2092"/>
        <v>#NAME?</v>
      </c>
      <c r="BV231" s="64" t="e">
        <f t="shared" ca="1" si="2092"/>
        <v>#NAME?</v>
      </c>
      <c r="BW231" s="64" t="e">
        <f t="shared" ca="1" si="2092"/>
        <v>#NAME?</v>
      </c>
      <c r="BX231" s="64" t="e">
        <f t="shared" ca="1" si="2092"/>
        <v>#NAME?</v>
      </c>
      <c r="BY231" s="64" t="e">
        <f t="shared" ca="1" si="2092"/>
        <v>#NAME?</v>
      </c>
      <c r="BZ231" s="64" t="e">
        <f t="shared" ca="1" si="2092"/>
        <v>#NAME?</v>
      </c>
      <c r="CA231" s="64" t="e">
        <f t="shared" ca="1" si="2092"/>
        <v>#NAME?</v>
      </c>
      <c r="CB231" s="64" t="e">
        <f t="shared" ca="1" si="2092"/>
        <v>#NAME?</v>
      </c>
      <c r="CC231" s="64" t="e">
        <f t="shared" ca="1" si="2092"/>
        <v>#NAME?</v>
      </c>
      <c r="CD231" s="64" t="e">
        <f t="shared" ca="1" si="2092"/>
        <v>#NAME?</v>
      </c>
      <c r="CE231" s="64" t="e">
        <f t="shared" ca="1" si="2092"/>
        <v>#NAME?</v>
      </c>
      <c r="CF231" s="64" t="e">
        <f t="shared" ca="1" si="2092"/>
        <v>#NAME?</v>
      </c>
      <c r="CG231" s="64" t="e">
        <f t="shared" ca="1" si="2092"/>
        <v>#NAME?</v>
      </c>
      <c r="CH231" s="64" t="e">
        <f t="shared" ca="1" si="2092"/>
        <v>#NAME?</v>
      </c>
      <c r="CI231" s="64" t="e">
        <f t="shared" ca="1" si="2092"/>
        <v>#NAME?</v>
      </c>
      <c r="CJ231" s="64" t="e">
        <f t="shared" ca="1" si="2092"/>
        <v>#NAME?</v>
      </c>
      <c r="CK231" s="30" t="e">
        <f t="shared" ca="1" si="2092"/>
        <v>#NAME?</v>
      </c>
      <c r="CL231" s="64" t="e">
        <f t="shared" ref="CL231" ca="1" si="2093">CL8-CL237</f>
        <v>#NAME?</v>
      </c>
      <c r="CM231" s="30" t="e">
        <f t="shared" ca="1" si="2092"/>
        <v>#NAME?</v>
      </c>
      <c r="CN231" s="30" t="e">
        <f t="shared" ca="1" si="2092"/>
        <v>#NAME?</v>
      </c>
      <c r="CO231" s="30" t="e">
        <f t="shared" ca="1" si="2092"/>
        <v>#NAME?</v>
      </c>
      <c r="CP231" s="30" t="e">
        <f t="shared" ca="1" si="2092"/>
        <v>#NAME?</v>
      </c>
      <c r="CQ231" s="30" t="e">
        <f t="shared" ca="1" si="2092"/>
        <v>#NAME?</v>
      </c>
      <c r="CR231" s="30" t="e">
        <f t="shared" ca="1" si="2092"/>
        <v>#NAME?</v>
      </c>
      <c r="CS231" s="30" t="e">
        <f t="shared" ca="1" si="2092"/>
        <v>#NAME?</v>
      </c>
      <c r="CT231" s="30" t="e">
        <f t="shared" ca="1" si="2092"/>
        <v>#NAME?</v>
      </c>
      <c r="CU231" s="30" t="e">
        <f t="shared" ref="CU231:DB231" ca="1" si="2094">CU8-CU237</f>
        <v>#NAME?</v>
      </c>
      <c r="CV231" s="30" t="e">
        <f t="shared" ca="1" si="2094"/>
        <v>#NAME?</v>
      </c>
      <c r="CW231" s="30" t="e">
        <f t="shared" ca="1" si="2094"/>
        <v>#NAME?</v>
      </c>
      <c r="CX231" s="30" t="e">
        <f t="shared" ca="1" si="2094"/>
        <v>#NAME?</v>
      </c>
      <c r="CY231" s="30" t="e">
        <f t="shared" ca="1" si="2094"/>
        <v>#NAME?</v>
      </c>
      <c r="CZ231" s="30" t="e">
        <f t="shared" ca="1" si="2094"/>
        <v>#NAME?</v>
      </c>
      <c r="DA231" s="30" t="e">
        <f t="shared" ca="1" si="2094"/>
        <v>#NAME?</v>
      </c>
      <c r="DB231" s="30" t="e">
        <f t="shared" ca="1" si="2094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5">B28-B238</f>
        <v>#NAME?</v>
      </c>
      <c r="C232" s="64" t="e">
        <f t="shared" ca="1" si="2095"/>
        <v>#NAME?</v>
      </c>
      <c r="D232" s="64" t="e">
        <f t="shared" ca="1" si="2095"/>
        <v>#NAME?</v>
      </c>
      <c r="E232" s="64" t="e">
        <f t="shared" ca="1" si="2095"/>
        <v>#NAME?</v>
      </c>
      <c r="F232" s="64" t="e">
        <f t="shared" ca="1" si="2095"/>
        <v>#NAME?</v>
      </c>
      <c r="G232" s="64" t="e">
        <f t="shared" ca="1" si="2095"/>
        <v>#NAME?</v>
      </c>
      <c r="H232" s="64" t="e">
        <f t="shared" ca="1" si="2095"/>
        <v>#NAME?</v>
      </c>
      <c r="I232" s="64" t="e">
        <f t="shared" ca="1" si="2095"/>
        <v>#NAME?</v>
      </c>
      <c r="J232" s="64" t="e">
        <f t="shared" ca="1" si="2095"/>
        <v>#NAME?</v>
      </c>
      <c r="K232" s="64" t="e">
        <f t="shared" ca="1" si="2095"/>
        <v>#NAME?</v>
      </c>
      <c r="L232" s="64" t="e">
        <f t="shared" ca="1" si="2095"/>
        <v>#NAME?</v>
      </c>
      <c r="M232" s="64" t="e">
        <f t="shared" ca="1" si="2095"/>
        <v>#NAME?</v>
      </c>
      <c r="N232" s="64" t="e">
        <f t="shared" ca="1" si="2095"/>
        <v>#NAME?</v>
      </c>
      <c r="O232" s="64" t="e">
        <f t="shared" ca="1" si="2095"/>
        <v>#NAME?</v>
      </c>
      <c r="P232" s="64" t="e">
        <f t="shared" ca="1" si="2095"/>
        <v>#NAME?</v>
      </c>
      <c r="Q232" s="64" t="e">
        <f t="shared" ca="1" si="2095"/>
        <v>#NAME?</v>
      </c>
      <c r="R232" s="64" t="e">
        <f t="shared" ca="1" si="2095"/>
        <v>#NAME?</v>
      </c>
      <c r="S232" s="64" t="e">
        <f t="shared" ca="1" si="2095"/>
        <v>#NAME?</v>
      </c>
      <c r="T232" s="64" t="e">
        <f t="shared" ca="1" si="2095"/>
        <v>#NAME?</v>
      </c>
      <c r="U232" s="64" t="e">
        <f t="shared" ca="1" si="2095"/>
        <v>#NAME?</v>
      </c>
      <c r="V232" s="64" t="e">
        <f t="shared" ca="1" si="2095"/>
        <v>#NAME?</v>
      </c>
      <c r="W232" s="64" t="e">
        <f t="shared" ca="1" si="2095"/>
        <v>#NAME?</v>
      </c>
      <c r="X232" s="64" t="e">
        <f t="shared" ca="1" si="2095"/>
        <v>#NAME?</v>
      </c>
      <c r="Y232" s="64" t="e">
        <f t="shared" ca="1" si="2095"/>
        <v>#NAME?</v>
      </c>
      <c r="Z232" s="64" t="e">
        <f t="shared" ca="1" si="2095"/>
        <v>#NAME?</v>
      </c>
      <c r="AA232" s="64" t="e">
        <f t="shared" ref="AA232" ca="1" si="2096">AA28-AA238</f>
        <v>#NAME?</v>
      </c>
      <c r="AB232" s="30"/>
      <c r="AC232" s="30"/>
      <c r="AD232" s="30"/>
      <c r="AE232" s="30"/>
      <c r="AI232" s="64" t="e">
        <f t="shared" ref="AI232:BN232" ca="1" si="2097">AI28-AI238</f>
        <v>#NAME?</v>
      </c>
      <c r="AJ232" s="64" t="e">
        <f t="shared" ca="1" si="2097"/>
        <v>#NAME?</v>
      </c>
      <c r="AK232" s="64" t="e">
        <f t="shared" ca="1" si="2097"/>
        <v>#NAME?</v>
      </c>
      <c r="AL232" s="64" t="e">
        <f t="shared" ca="1" si="2097"/>
        <v>#NAME?</v>
      </c>
      <c r="AM232" s="64" t="e">
        <f t="shared" ca="1" si="2097"/>
        <v>#NAME?</v>
      </c>
      <c r="AN232" s="64" t="e">
        <f t="shared" ca="1" si="2097"/>
        <v>#NAME?</v>
      </c>
      <c r="AO232" s="64" t="e">
        <f t="shared" ca="1" si="2097"/>
        <v>#NAME?</v>
      </c>
      <c r="AP232" s="64" t="e">
        <f t="shared" ca="1" si="2097"/>
        <v>#NAME?</v>
      </c>
      <c r="AQ232" s="64" t="e">
        <f t="shared" ca="1" si="2097"/>
        <v>#NAME?</v>
      </c>
      <c r="AR232" s="64" t="e">
        <f t="shared" ca="1" si="2097"/>
        <v>#NAME?</v>
      </c>
      <c r="AS232" s="64" t="e">
        <f t="shared" ca="1" si="2097"/>
        <v>#NAME?</v>
      </c>
      <c r="AT232" s="64" t="e">
        <f t="shared" ca="1" si="2097"/>
        <v>#NAME?</v>
      </c>
      <c r="AU232" s="64" t="e">
        <f t="shared" ca="1" si="2097"/>
        <v>#NAME?</v>
      </c>
      <c r="AV232" s="64" t="e">
        <f t="shared" ca="1" si="2097"/>
        <v>#NAME?</v>
      </c>
      <c r="AW232" s="64" t="e">
        <f t="shared" ca="1" si="2097"/>
        <v>#NAME?</v>
      </c>
      <c r="AX232" s="64" t="e">
        <f t="shared" ca="1" si="2097"/>
        <v>#NAME?</v>
      </c>
      <c r="AY232" s="64" t="e">
        <f t="shared" ca="1" si="2097"/>
        <v>#NAME?</v>
      </c>
      <c r="AZ232" s="64" t="e">
        <f t="shared" ca="1" si="2097"/>
        <v>#NAME?</v>
      </c>
      <c r="BA232" s="64" t="e">
        <f t="shared" ca="1" si="2097"/>
        <v>#NAME?</v>
      </c>
      <c r="BB232" s="64" t="e">
        <f t="shared" ca="1" si="2097"/>
        <v>#NAME?</v>
      </c>
      <c r="BC232" s="64" t="e">
        <f t="shared" ca="1" si="2097"/>
        <v>#NAME?</v>
      </c>
      <c r="BD232" s="64" t="e">
        <f t="shared" ca="1" si="2097"/>
        <v>#NAME?</v>
      </c>
      <c r="BE232" s="64" t="e">
        <f t="shared" ca="1" si="2097"/>
        <v>#NAME?</v>
      </c>
      <c r="BF232" s="64" t="e">
        <f t="shared" ca="1" si="2097"/>
        <v>#NAME?</v>
      </c>
      <c r="BG232" s="64" t="e">
        <f t="shared" ca="1" si="2097"/>
        <v>#NAME?</v>
      </c>
      <c r="BH232" s="64" t="e">
        <f t="shared" ca="1" si="2097"/>
        <v>#NAME?</v>
      </c>
      <c r="BI232" s="64" t="e">
        <f t="shared" ca="1" si="2097"/>
        <v>#NAME?</v>
      </c>
      <c r="BJ232" s="64" t="e">
        <f t="shared" ca="1" si="2097"/>
        <v>#NAME?</v>
      </c>
      <c r="BK232" s="64" t="e">
        <f t="shared" ca="1" si="2097"/>
        <v>#NAME?</v>
      </c>
      <c r="BL232" s="64" t="e">
        <f t="shared" ca="1" si="2097"/>
        <v>#NAME?</v>
      </c>
      <c r="BM232" s="64" t="e">
        <f t="shared" ca="1" si="2097"/>
        <v>#NAME?</v>
      </c>
      <c r="BN232" s="64" t="e">
        <f t="shared" ca="1" si="2097"/>
        <v>#NAME?</v>
      </c>
      <c r="BO232" s="64" t="e">
        <f t="shared" ref="BO232:CT232" ca="1" si="2098">BO28-BO238</f>
        <v>#NAME?</v>
      </c>
      <c r="BP232" s="64" t="e">
        <f t="shared" ca="1" si="2098"/>
        <v>#NAME?</v>
      </c>
      <c r="BQ232" s="64" t="e">
        <f t="shared" ca="1" si="2098"/>
        <v>#NAME?</v>
      </c>
      <c r="BR232" s="64" t="e">
        <f t="shared" ca="1" si="2098"/>
        <v>#NAME?</v>
      </c>
      <c r="BS232" s="64" t="e">
        <f t="shared" ca="1" si="2098"/>
        <v>#NAME?</v>
      </c>
      <c r="BT232" s="64" t="e">
        <f t="shared" ca="1" si="2098"/>
        <v>#NAME?</v>
      </c>
      <c r="BU232" s="64" t="e">
        <f t="shared" ca="1" si="2098"/>
        <v>#NAME?</v>
      </c>
      <c r="BV232" s="64" t="e">
        <f t="shared" ca="1" si="2098"/>
        <v>#NAME?</v>
      </c>
      <c r="BW232" s="64" t="e">
        <f t="shared" ca="1" si="2098"/>
        <v>#NAME?</v>
      </c>
      <c r="BX232" s="64" t="e">
        <f t="shared" ca="1" si="2098"/>
        <v>#NAME?</v>
      </c>
      <c r="BY232" s="64" t="e">
        <f t="shared" ca="1" si="2098"/>
        <v>#NAME?</v>
      </c>
      <c r="BZ232" s="64" t="e">
        <f t="shared" ca="1" si="2098"/>
        <v>#NAME?</v>
      </c>
      <c r="CA232" s="64" t="e">
        <f t="shared" ca="1" si="2098"/>
        <v>#NAME?</v>
      </c>
      <c r="CB232" s="64" t="e">
        <f t="shared" ca="1" si="2098"/>
        <v>#NAME?</v>
      </c>
      <c r="CC232" s="64" t="e">
        <f t="shared" ca="1" si="2098"/>
        <v>#NAME?</v>
      </c>
      <c r="CD232" s="64" t="e">
        <f t="shared" ca="1" si="2098"/>
        <v>#NAME?</v>
      </c>
      <c r="CE232" s="64" t="e">
        <f t="shared" ca="1" si="2098"/>
        <v>#NAME?</v>
      </c>
      <c r="CF232" s="64" t="e">
        <f t="shared" ca="1" si="2098"/>
        <v>#NAME?</v>
      </c>
      <c r="CG232" s="64" t="e">
        <f t="shared" ca="1" si="2098"/>
        <v>#NAME?</v>
      </c>
      <c r="CH232" s="64" t="e">
        <f t="shared" ca="1" si="2098"/>
        <v>#NAME?</v>
      </c>
      <c r="CI232" s="64" t="e">
        <f t="shared" ca="1" si="2098"/>
        <v>#NAME?</v>
      </c>
      <c r="CJ232" s="64" t="e">
        <f t="shared" ca="1" si="2098"/>
        <v>#NAME?</v>
      </c>
      <c r="CK232" s="30" t="e">
        <f t="shared" ca="1" si="2098"/>
        <v>#NAME?</v>
      </c>
      <c r="CL232" s="64" t="e">
        <f t="shared" ref="CL232" ca="1" si="2099">CL28-CL238</f>
        <v>#NAME?</v>
      </c>
      <c r="CM232" s="30" t="e">
        <f t="shared" ca="1" si="2098"/>
        <v>#NAME?</v>
      </c>
      <c r="CN232" s="30" t="e">
        <f t="shared" ca="1" si="2098"/>
        <v>#NAME?</v>
      </c>
      <c r="CO232" s="30" t="e">
        <f t="shared" ca="1" si="2098"/>
        <v>#NAME?</v>
      </c>
      <c r="CP232" s="30" t="e">
        <f t="shared" ca="1" si="2098"/>
        <v>#NAME?</v>
      </c>
      <c r="CQ232" s="30" t="e">
        <f t="shared" ca="1" si="2098"/>
        <v>#NAME?</v>
      </c>
      <c r="CR232" s="30" t="e">
        <f t="shared" ca="1" si="2098"/>
        <v>#NAME?</v>
      </c>
      <c r="CS232" s="30" t="e">
        <f t="shared" ca="1" si="2098"/>
        <v>#NAME?</v>
      </c>
      <c r="CT232" s="30" t="e">
        <f t="shared" ca="1" si="2098"/>
        <v>#NAME?</v>
      </c>
      <c r="CU232" s="30" t="e">
        <f t="shared" ref="CU232:DB232" ca="1" si="2100">CU28-CU238</f>
        <v>#NAME?</v>
      </c>
      <c r="CV232" s="30" t="e">
        <f t="shared" ca="1" si="2100"/>
        <v>#NAME?</v>
      </c>
      <c r="CW232" s="30" t="e">
        <f t="shared" ca="1" si="2100"/>
        <v>#NAME?</v>
      </c>
      <c r="CX232" s="30" t="e">
        <f t="shared" ca="1" si="2100"/>
        <v>#NAME?</v>
      </c>
      <c r="CY232" s="30" t="e">
        <f t="shared" ca="1" si="2100"/>
        <v>#NAME?</v>
      </c>
      <c r="CZ232" s="30" t="e">
        <f t="shared" ca="1" si="2100"/>
        <v>#NAME?</v>
      </c>
      <c r="DA232" s="30" t="e">
        <f t="shared" ca="1" si="2100"/>
        <v>#NAME?</v>
      </c>
      <c r="DB232" s="30" t="e">
        <f t="shared" ca="1" si="210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1">+C232/C231</f>
        <v>#NAME?</v>
      </c>
      <c r="D233" s="86" t="e">
        <f t="shared" ref="D233" ca="1" si="2102">+D232/D231</f>
        <v>#NAME?</v>
      </c>
      <c r="E233" s="86" t="e">
        <f t="shared" ref="E233" ca="1" si="2103">+E232/E231</f>
        <v>#NAME?</v>
      </c>
      <c r="F233" s="86" t="e">
        <f t="shared" ref="F233" ca="1" si="2104">+F232/F231</f>
        <v>#NAME?</v>
      </c>
      <c r="G233" s="86" t="e">
        <f t="shared" ref="G233" ca="1" si="2105">+G232/G231</f>
        <v>#NAME?</v>
      </c>
      <c r="H233" s="86" t="e">
        <f t="shared" ref="H233" ca="1" si="2106">+H232/H231</f>
        <v>#NAME?</v>
      </c>
      <c r="I233" s="86" t="e">
        <f t="shared" ref="I233" ca="1" si="2107">+I232/I231</f>
        <v>#NAME?</v>
      </c>
      <c r="J233" s="86" t="e">
        <f t="shared" ref="J233" ca="1" si="2108">+J232/J231</f>
        <v>#NAME?</v>
      </c>
      <c r="K233" s="86" t="e">
        <f t="shared" ref="K233" ca="1" si="2109">+K232/K231</f>
        <v>#NAME?</v>
      </c>
      <c r="L233" s="86" t="e">
        <f t="shared" ref="L233" ca="1" si="2110">+L232/L231</f>
        <v>#NAME?</v>
      </c>
      <c r="M233" s="86" t="e">
        <f t="shared" ref="M233" ca="1" si="2111">+M232/M231</f>
        <v>#NAME?</v>
      </c>
      <c r="N233" s="86" t="e">
        <f t="shared" ref="N233" ca="1" si="2112">+N232/N231</f>
        <v>#NAME?</v>
      </c>
      <c r="O233" s="86" t="e">
        <f t="shared" ref="O233" ca="1" si="2113">+O232/O231</f>
        <v>#NAME?</v>
      </c>
      <c r="P233" s="86" t="e">
        <f t="shared" ref="P233" ca="1" si="2114">+P232/P231</f>
        <v>#NAME?</v>
      </c>
      <c r="Q233" s="86" t="e">
        <f t="shared" ref="Q233" ca="1" si="2115">+Q232/Q231</f>
        <v>#NAME?</v>
      </c>
      <c r="R233" s="86" t="e">
        <f t="shared" ref="R233" ca="1" si="2116">+R232/R231</f>
        <v>#NAME?</v>
      </c>
      <c r="S233" s="86" t="e">
        <f t="shared" ref="S233" ca="1" si="2117">+S232/S231</f>
        <v>#NAME?</v>
      </c>
      <c r="T233" s="86" t="e">
        <f t="shared" ref="T233" ca="1" si="2118">+T232/T231</f>
        <v>#NAME?</v>
      </c>
      <c r="U233" s="86" t="e">
        <f t="shared" ref="U233" ca="1" si="2119">+U232/U231</f>
        <v>#NAME?</v>
      </c>
      <c r="V233" s="86" t="e">
        <f t="shared" ref="V233" ca="1" si="2120">+V232/V231</f>
        <v>#NAME?</v>
      </c>
      <c r="W233" s="86" t="e">
        <f t="shared" ref="W233" ca="1" si="2121">+W232/W231</f>
        <v>#NAME?</v>
      </c>
      <c r="X233" s="86" t="e">
        <f t="shared" ref="X233:Y233" ca="1" si="2122">+X232/X231</f>
        <v>#NAME?</v>
      </c>
      <c r="Y233" s="86" t="e">
        <f t="shared" ca="1" si="2122"/>
        <v>#NAME?</v>
      </c>
      <c r="Z233" s="86" t="e">
        <f t="shared" ref="Z233:AA233" ca="1" si="2123">+Z232/Z231</f>
        <v>#NAME?</v>
      </c>
      <c r="AA233" s="86" t="e">
        <f t="shared" ca="1" si="212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4">+AI232/AI231</f>
        <v>#NAME?</v>
      </c>
      <c r="AJ233" s="86" t="e">
        <f t="shared" ref="AJ233" ca="1" si="2125">+AJ232/AJ231</f>
        <v>#NAME?</v>
      </c>
      <c r="AK233" s="86" t="e">
        <f t="shared" ref="AK233" ca="1" si="2126">+AK232/AK231</f>
        <v>#NAME?</v>
      </c>
      <c r="AL233" s="86" t="e">
        <f t="shared" ref="AL233" ca="1" si="2127">+AL232/AL231</f>
        <v>#NAME?</v>
      </c>
      <c r="AM233" s="86" t="e">
        <f t="shared" ref="AM233" ca="1" si="2128">+AM232/AM231</f>
        <v>#NAME?</v>
      </c>
      <c r="AN233" s="86" t="e">
        <f t="shared" ref="AN233" ca="1" si="2129">+AN232/AN231</f>
        <v>#NAME?</v>
      </c>
      <c r="AO233" s="86" t="e">
        <f t="shared" ref="AO233" ca="1" si="2130">+AO232/AO231</f>
        <v>#NAME?</v>
      </c>
      <c r="AP233" s="86" t="e">
        <f t="shared" ref="AP233" ca="1" si="2131">+AP232/AP231</f>
        <v>#NAME?</v>
      </c>
      <c r="AQ233" s="86" t="e">
        <f t="shared" ref="AQ233" ca="1" si="2132">+AQ232/AQ231</f>
        <v>#NAME?</v>
      </c>
      <c r="AR233" s="86" t="e">
        <f t="shared" ref="AR233" ca="1" si="2133">+AR232/AR231</f>
        <v>#NAME?</v>
      </c>
      <c r="AS233" s="86" t="e">
        <f t="shared" ref="AS233" ca="1" si="2134">+AS232/AS231</f>
        <v>#NAME?</v>
      </c>
      <c r="AT233" s="86" t="e">
        <f t="shared" ref="AT233" ca="1" si="2135">+AT232/AT231</f>
        <v>#NAME?</v>
      </c>
      <c r="AU233" s="86" t="e">
        <f t="shared" ref="AU233" ca="1" si="2136">+AU232/AU231</f>
        <v>#NAME?</v>
      </c>
      <c r="AV233" s="86" t="e">
        <f t="shared" ref="AV233" ca="1" si="2137">+AV232/AV231</f>
        <v>#NAME?</v>
      </c>
      <c r="AW233" s="86" t="e">
        <f t="shared" ref="AW233" ca="1" si="2138">+AW232/AW231</f>
        <v>#NAME?</v>
      </c>
      <c r="AX233" s="86" t="e">
        <f t="shared" ref="AX233" ca="1" si="2139">+AX232/AX231</f>
        <v>#NAME?</v>
      </c>
      <c r="AY233" s="86" t="e">
        <f t="shared" ref="AY233" ca="1" si="2140">+AY232/AY231</f>
        <v>#NAME?</v>
      </c>
      <c r="AZ233" s="86" t="e">
        <f t="shared" ref="AZ233" ca="1" si="2141">+AZ232/AZ231</f>
        <v>#NAME?</v>
      </c>
      <c r="BA233" s="86" t="e">
        <f t="shared" ref="BA233" ca="1" si="2142">+BA232/BA231</f>
        <v>#NAME?</v>
      </c>
      <c r="BB233" s="86" t="e">
        <f t="shared" ref="BB233" ca="1" si="2143">+BB232/BB231</f>
        <v>#NAME?</v>
      </c>
      <c r="BC233" s="86" t="e">
        <f t="shared" ref="BC233" ca="1" si="2144">+BC232/BC231</f>
        <v>#NAME?</v>
      </c>
      <c r="BD233" s="86" t="e">
        <f t="shared" ref="BD233" ca="1" si="2145">+BD232/BD231</f>
        <v>#NAME?</v>
      </c>
      <c r="BE233" s="86" t="e">
        <f t="shared" ref="BE233" ca="1" si="2146">+BE232/BE231</f>
        <v>#NAME?</v>
      </c>
      <c r="BF233" s="86" t="e">
        <f t="shared" ref="BF233" ca="1" si="2147">+BF232/BF231</f>
        <v>#NAME?</v>
      </c>
      <c r="BG233" s="86" t="e">
        <f t="shared" ref="BG233" ca="1" si="2148">+BG232/BG231</f>
        <v>#NAME?</v>
      </c>
      <c r="BH233" s="86" t="e">
        <f t="shared" ref="BH233" ca="1" si="2149">+BH232/BH231</f>
        <v>#NAME?</v>
      </c>
      <c r="BI233" s="86" t="e">
        <f t="shared" ref="BI233" ca="1" si="2150">+BI232/BI231</f>
        <v>#NAME?</v>
      </c>
      <c r="BJ233" s="86" t="e">
        <f t="shared" ref="BJ233" ca="1" si="2151">+BJ232/BJ231</f>
        <v>#NAME?</v>
      </c>
      <c r="BK233" s="86" t="e">
        <f t="shared" ref="BK233" ca="1" si="2152">+BK232/BK231</f>
        <v>#NAME?</v>
      </c>
      <c r="BL233" s="86" t="e">
        <f t="shared" ref="BL233" ca="1" si="2153">+BL232/BL231</f>
        <v>#NAME?</v>
      </c>
      <c r="BM233" s="86" t="e">
        <f t="shared" ref="BM233" ca="1" si="2154">+BM232/BM231</f>
        <v>#NAME?</v>
      </c>
      <c r="BN233" s="86" t="e">
        <f t="shared" ref="BN233" ca="1" si="2155">+BN232/BN231</f>
        <v>#NAME?</v>
      </c>
      <c r="BO233" s="86" t="e">
        <f t="shared" ref="BO233" ca="1" si="2156">+BO232/BO231</f>
        <v>#NAME?</v>
      </c>
      <c r="BP233" s="86" t="e">
        <f t="shared" ref="BP233" ca="1" si="2157">+BP232/BP231</f>
        <v>#NAME?</v>
      </c>
      <c r="BQ233" s="86" t="e">
        <f t="shared" ref="BQ233" ca="1" si="2158">+BQ232/BQ231</f>
        <v>#NAME?</v>
      </c>
      <c r="BR233" s="86" t="e">
        <f t="shared" ref="BR233" ca="1" si="2159">+BR232/BR231</f>
        <v>#NAME?</v>
      </c>
      <c r="BS233" s="86" t="e">
        <f t="shared" ref="BS233" ca="1" si="2160">+BS232/BS231</f>
        <v>#NAME?</v>
      </c>
      <c r="BT233" s="86" t="e">
        <f t="shared" ref="BT233" ca="1" si="2161">+BT232/BT231</f>
        <v>#NAME?</v>
      </c>
      <c r="BU233" s="86" t="e">
        <f t="shared" ref="BU233" ca="1" si="2162">+BU232/BU231</f>
        <v>#NAME?</v>
      </c>
      <c r="BV233" s="86" t="e">
        <f t="shared" ref="BV233" ca="1" si="2163">+BV232/BV231</f>
        <v>#NAME?</v>
      </c>
      <c r="BW233" s="86" t="e">
        <f t="shared" ref="BW233" ca="1" si="2164">+BW232/BW231</f>
        <v>#NAME?</v>
      </c>
      <c r="BX233" s="86" t="e">
        <f t="shared" ref="BX233" ca="1" si="2165">+BX232/BX231</f>
        <v>#NAME?</v>
      </c>
      <c r="BY233" s="86" t="e">
        <f t="shared" ref="BY233" ca="1" si="2166">+BY232/BY231</f>
        <v>#NAME?</v>
      </c>
      <c r="BZ233" s="86" t="e">
        <f t="shared" ref="BZ233" ca="1" si="2167">+BZ232/BZ231</f>
        <v>#NAME?</v>
      </c>
      <c r="CA233" s="86" t="e">
        <f t="shared" ref="CA233" ca="1" si="2168">+CA232/CA231</f>
        <v>#NAME?</v>
      </c>
      <c r="CB233" s="86" t="e">
        <f t="shared" ref="CB233:CC233" ca="1" si="2169">+CB232/CB231</f>
        <v>#NAME?</v>
      </c>
      <c r="CC233" s="86" t="e">
        <f t="shared" ca="1" si="2169"/>
        <v>#NAME?</v>
      </c>
      <c r="CD233" s="86" t="e">
        <f t="shared" ref="CD233" ca="1" si="2170">+CD232/CD231</f>
        <v>#NAME?</v>
      </c>
      <c r="CE233" s="86" t="e">
        <f t="shared" ref="CE233:CF233" ca="1" si="2171">+CE232/CE231</f>
        <v>#NAME?</v>
      </c>
      <c r="CF233" s="86" t="e">
        <f t="shared" ca="1" si="2171"/>
        <v>#NAME?</v>
      </c>
      <c r="CG233" s="86" t="e">
        <f t="shared" ref="CG233:CH233" ca="1" si="2172">+CG232/CG231</f>
        <v>#NAME?</v>
      </c>
      <c r="CH233" s="86" t="e">
        <f t="shared" ca="1" si="2172"/>
        <v>#NAME?</v>
      </c>
      <c r="CI233" s="86" t="e">
        <f t="shared" ref="CI233:CJ233" ca="1" si="2173">+CI232/CI231</f>
        <v>#NAME?</v>
      </c>
      <c r="CJ233" s="86" t="e">
        <f t="shared" ca="1" si="2173"/>
        <v>#NAME?</v>
      </c>
      <c r="CK233" s="47" t="e">
        <f t="shared" ref="CK233:DB233" ca="1" si="2174">+CK232/CK231</f>
        <v>#NAME?</v>
      </c>
      <c r="CL233" s="86" t="e">
        <f t="shared" ca="1" si="2174"/>
        <v>#NAME?</v>
      </c>
      <c r="CM233" s="47" t="e">
        <f t="shared" ca="1" si="2174"/>
        <v>#NAME?</v>
      </c>
      <c r="CN233" s="47" t="e">
        <f t="shared" ca="1" si="2174"/>
        <v>#NAME?</v>
      </c>
      <c r="CO233" s="47" t="e">
        <f t="shared" ca="1" si="2174"/>
        <v>#NAME?</v>
      </c>
      <c r="CP233" s="47" t="e">
        <f t="shared" ca="1" si="2174"/>
        <v>#NAME?</v>
      </c>
      <c r="CQ233" s="47" t="e">
        <f t="shared" ca="1" si="2174"/>
        <v>#NAME?</v>
      </c>
      <c r="CR233" s="47" t="e">
        <f t="shared" ca="1" si="2174"/>
        <v>#NAME?</v>
      </c>
      <c r="CS233" s="47" t="e">
        <f t="shared" ca="1" si="2174"/>
        <v>#NAME?</v>
      </c>
      <c r="CT233" s="47" t="e">
        <f t="shared" ca="1" si="2174"/>
        <v>#NAME?</v>
      </c>
      <c r="CU233" s="47" t="e">
        <f t="shared" ca="1" si="2174"/>
        <v>#NAME?</v>
      </c>
      <c r="CV233" s="47" t="e">
        <f t="shared" ca="1" si="2174"/>
        <v>#NAME?</v>
      </c>
      <c r="CW233" s="47" t="e">
        <f t="shared" ca="1" si="2174"/>
        <v>#NAME?</v>
      </c>
      <c r="CX233" s="47" t="e">
        <f t="shared" ca="1" si="2174"/>
        <v>#NAME?</v>
      </c>
      <c r="CY233" s="47" t="e">
        <f t="shared" ca="1" si="2174"/>
        <v>#NAME?</v>
      </c>
      <c r="CZ233" s="47" t="e">
        <f t="shared" ca="1" si="2174"/>
        <v>#NAME?</v>
      </c>
      <c r="DA233" s="47" t="e">
        <f t="shared" ca="1" si="2174"/>
        <v>#NAME?</v>
      </c>
      <c r="DB233" s="47" t="e">
        <f t="shared" ca="1" si="217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5">B41-B240</f>
        <v>#NAME?</v>
      </c>
      <c r="C234" s="64" t="e">
        <f t="shared" ca="1" si="2175"/>
        <v>#NAME?</v>
      </c>
      <c r="D234" s="64" t="e">
        <f t="shared" ca="1" si="2175"/>
        <v>#NAME?</v>
      </c>
      <c r="E234" s="64" t="e">
        <f t="shared" ca="1" si="2175"/>
        <v>#NAME?</v>
      </c>
      <c r="F234" s="64" t="e">
        <f t="shared" ca="1" si="2175"/>
        <v>#NAME?</v>
      </c>
      <c r="G234" s="64" t="e">
        <f t="shared" ca="1" si="2175"/>
        <v>#NAME?</v>
      </c>
      <c r="H234" s="64" t="e">
        <f t="shared" ca="1" si="2175"/>
        <v>#NAME?</v>
      </c>
      <c r="I234" s="64" t="e">
        <f t="shared" ca="1" si="2175"/>
        <v>#NAME?</v>
      </c>
      <c r="J234" s="64" t="e">
        <f t="shared" ca="1" si="2175"/>
        <v>#NAME?</v>
      </c>
      <c r="K234" s="64" t="e">
        <f t="shared" ca="1" si="2175"/>
        <v>#NAME?</v>
      </c>
      <c r="L234" s="64" t="e">
        <f t="shared" ca="1" si="2175"/>
        <v>#NAME?</v>
      </c>
      <c r="M234" s="64" t="e">
        <f t="shared" ca="1" si="2175"/>
        <v>#NAME?</v>
      </c>
      <c r="N234" s="64" t="e">
        <f t="shared" ca="1" si="2175"/>
        <v>#NAME?</v>
      </c>
      <c r="O234" s="64" t="e">
        <f t="shared" ca="1" si="2175"/>
        <v>#NAME?</v>
      </c>
      <c r="P234" s="64" t="e">
        <f t="shared" ca="1" si="2175"/>
        <v>#NAME?</v>
      </c>
      <c r="Q234" s="64" t="e">
        <f t="shared" ca="1" si="2175"/>
        <v>#NAME?</v>
      </c>
      <c r="R234" s="64" t="e">
        <f t="shared" ca="1" si="2175"/>
        <v>#NAME?</v>
      </c>
      <c r="S234" s="64" t="e">
        <f t="shared" ca="1" si="2175"/>
        <v>#NAME?</v>
      </c>
      <c r="T234" s="64" t="e">
        <f t="shared" ca="1" si="2175"/>
        <v>#NAME?</v>
      </c>
      <c r="U234" s="64" t="e">
        <f t="shared" ca="1" si="2175"/>
        <v>#NAME?</v>
      </c>
      <c r="V234" s="64" t="e">
        <f t="shared" ca="1" si="2175"/>
        <v>#NAME?</v>
      </c>
      <c r="W234" s="64" t="e">
        <f t="shared" ca="1" si="2175"/>
        <v>#NAME?</v>
      </c>
      <c r="X234" s="64" t="e">
        <f t="shared" ca="1" si="2175"/>
        <v>#NAME?</v>
      </c>
      <c r="Y234" s="64" t="e">
        <f t="shared" ca="1" si="2175"/>
        <v>#NAME?</v>
      </c>
      <c r="Z234" s="64" t="e">
        <f t="shared" ca="1" si="2175"/>
        <v>#NAME?</v>
      </c>
      <c r="AA234" s="64" t="e">
        <f t="shared" ref="AA234" ca="1" si="2176">AA41-AA240</f>
        <v>#NAME?</v>
      </c>
      <c r="AB234" s="30"/>
      <c r="AC234" s="30"/>
      <c r="AD234" s="30"/>
      <c r="AE234" s="30"/>
      <c r="AI234" s="64" t="e">
        <f t="shared" ref="AI234:BN234" ca="1" si="2177">AI41-AI240</f>
        <v>#NAME?</v>
      </c>
      <c r="AJ234" s="64" t="e">
        <f t="shared" ca="1" si="2177"/>
        <v>#NAME?</v>
      </c>
      <c r="AK234" s="64" t="e">
        <f t="shared" ca="1" si="2177"/>
        <v>#NAME?</v>
      </c>
      <c r="AL234" s="64" t="e">
        <f t="shared" ca="1" si="2177"/>
        <v>#NAME?</v>
      </c>
      <c r="AM234" s="64" t="e">
        <f t="shared" ca="1" si="2177"/>
        <v>#NAME?</v>
      </c>
      <c r="AN234" s="64" t="e">
        <f t="shared" ca="1" si="2177"/>
        <v>#NAME?</v>
      </c>
      <c r="AO234" s="64" t="e">
        <f t="shared" ca="1" si="2177"/>
        <v>#NAME?</v>
      </c>
      <c r="AP234" s="64" t="e">
        <f t="shared" ca="1" si="2177"/>
        <v>#NAME?</v>
      </c>
      <c r="AQ234" s="64" t="e">
        <f t="shared" ca="1" si="2177"/>
        <v>#NAME?</v>
      </c>
      <c r="AR234" s="64" t="e">
        <f t="shared" ca="1" si="2177"/>
        <v>#NAME?</v>
      </c>
      <c r="AS234" s="64" t="e">
        <f t="shared" ca="1" si="2177"/>
        <v>#NAME?</v>
      </c>
      <c r="AT234" s="64" t="e">
        <f t="shared" ca="1" si="2177"/>
        <v>#NAME?</v>
      </c>
      <c r="AU234" s="64" t="e">
        <f t="shared" ca="1" si="2177"/>
        <v>#NAME?</v>
      </c>
      <c r="AV234" s="64" t="e">
        <f t="shared" ca="1" si="2177"/>
        <v>#NAME?</v>
      </c>
      <c r="AW234" s="64" t="e">
        <f t="shared" ca="1" si="2177"/>
        <v>#NAME?</v>
      </c>
      <c r="AX234" s="64" t="e">
        <f t="shared" ca="1" si="2177"/>
        <v>#NAME?</v>
      </c>
      <c r="AY234" s="64" t="e">
        <f t="shared" ca="1" si="2177"/>
        <v>#NAME?</v>
      </c>
      <c r="AZ234" s="64" t="e">
        <f t="shared" ca="1" si="2177"/>
        <v>#NAME?</v>
      </c>
      <c r="BA234" s="64" t="e">
        <f t="shared" ca="1" si="2177"/>
        <v>#NAME?</v>
      </c>
      <c r="BB234" s="64" t="e">
        <f t="shared" ca="1" si="2177"/>
        <v>#NAME?</v>
      </c>
      <c r="BC234" s="64" t="e">
        <f t="shared" ca="1" si="2177"/>
        <v>#NAME?</v>
      </c>
      <c r="BD234" s="64" t="e">
        <f t="shared" ca="1" si="2177"/>
        <v>#NAME?</v>
      </c>
      <c r="BE234" s="64" t="e">
        <f t="shared" ca="1" si="2177"/>
        <v>#NAME?</v>
      </c>
      <c r="BF234" s="64" t="e">
        <f t="shared" ca="1" si="2177"/>
        <v>#NAME?</v>
      </c>
      <c r="BG234" s="64" t="e">
        <f t="shared" ca="1" si="2177"/>
        <v>#NAME?</v>
      </c>
      <c r="BH234" s="64" t="e">
        <f t="shared" ca="1" si="2177"/>
        <v>#NAME?</v>
      </c>
      <c r="BI234" s="64" t="e">
        <f t="shared" ca="1" si="2177"/>
        <v>#NAME?</v>
      </c>
      <c r="BJ234" s="64" t="e">
        <f t="shared" ca="1" si="2177"/>
        <v>#NAME?</v>
      </c>
      <c r="BK234" s="64" t="e">
        <f t="shared" ca="1" si="2177"/>
        <v>#NAME?</v>
      </c>
      <c r="BL234" s="64" t="e">
        <f t="shared" ca="1" si="2177"/>
        <v>#NAME?</v>
      </c>
      <c r="BM234" s="64" t="e">
        <f t="shared" ca="1" si="2177"/>
        <v>#NAME?</v>
      </c>
      <c r="BN234" s="64" t="e">
        <f t="shared" ca="1" si="2177"/>
        <v>#NAME?</v>
      </c>
      <c r="BO234" s="64" t="e">
        <f t="shared" ref="BO234:CT234" ca="1" si="2178">BO41-BO240</f>
        <v>#NAME?</v>
      </c>
      <c r="BP234" s="64" t="e">
        <f t="shared" ca="1" si="2178"/>
        <v>#NAME?</v>
      </c>
      <c r="BQ234" s="64" t="e">
        <f t="shared" ca="1" si="2178"/>
        <v>#NAME?</v>
      </c>
      <c r="BR234" s="64" t="e">
        <f t="shared" ca="1" si="2178"/>
        <v>#NAME?</v>
      </c>
      <c r="BS234" s="64" t="e">
        <f t="shared" ca="1" si="2178"/>
        <v>#NAME?</v>
      </c>
      <c r="BT234" s="64" t="e">
        <f t="shared" ca="1" si="2178"/>
        <v>#NAME?</v>
      </c>
      <c r="BU234" s="64" t="e">
        <f t="shared" ca="1" si="2178"/>
        <v>#NAME?</v>
      </c>
      <c r="BV234" s="64" t="e">
        <f t="shared" ca="1" si="2178"/>
        <v>#NAME?</v>
      </c>
      <c r="BW234" s="64" t="e">
        <f t="shared" ca="1" si="2178"/>
        <v>#NAME?</v>
      </c>
      <c r="BX234" s="64" t="e">
        <f t="shared" ca="1" si="2178"/>
        <v>#NAME?</v>
      </c>
      <c r="BY234" s="64" t="e">
        <f t="shared" ca="1" si="2178"/>
        <v>#NAME?</v>
      </c>
      <c r="BZ234" s="64" t="e">
        <f t="shared" ca="1" si="2178"/>
        <v>#NAME?</v>
      </c>
      <c r="CA234" s="64" t="e">
        <f t="shared" ca="1" si="2178"/>
        <v>#NAME?</v>
      </c>
      <c r="CB234" s="64" t="e">
        <f t="shared" ca="1" si="2178"/>
        <v>#NAME?</v>
      </c>
      <c r="CC234" s="64" t="e">
        <f t="shared" ca="1" si="2178"/>
        <v>#NAME?</v>
      </c>
      <c r="CD234" s="64" t="e">
        <f t="shared" ca="1" si="2178"/>
        <v>#NAME?</v>
      </c>
      <c r="CE234" s="64" t="e">
        <f t="shared" ca="1" si="2178"/>
        <v>#NAME?</v>
      </c>
      <c r="CF234" s="64" t="e">
        <f t="shared" ca="1" si="2178"/>
        <v>#NAME?</v>
      </c>
      <c r="CG234" s="64" t="e">
        <f t="shared" ca="1" si="2178"/>
        <v>#NAME?</v>
      </c>
      <c r="CH234" s="64" t="e">
        <f t="shared" ca="1" si="2178"/>
        <v>#NAME?</v>
      </c>
      <c r="CI234" s="64" t="e">
        <f t="shared" ca="1" si="2178"/>
        <v>#NAME?</v>
      </c>
      <c r="CJ234" s="64" t="e">
        <f t="shared" ca="1" si="2178"/>
        <v>#NAME?</v>
      </c>
      <c r="CK234" s="30" t="e">
        <f t="shared" ca="1" si="2178"/>
        <v>#NAME?</v>
      </c>
      <c r="CL234" s="64" t="e">
        <f t="shared" ref="CL234" ca="1" si="2179">CL41-CL240</f>
        <v>#NAME?</v>
      </c>
      <c r="CM234" s="30" t="e">
        <f t="shared" ca="1" si="2178"/>
        <v>#NAME?</v>
      </c>
      <c r="CN234" s="30" t="e">
        <f t="shared" ca="1" si="2178"/>
        <v>#NAME?</v>
      </c>
      <c r="CO234" s="30" t="e">
        <f t="shared" ca="1" si="2178"/>
        <v>#NAME?</v>
      </c>
      <c r="CP234" s="30" t="e">
        <f t="shared" ca="1" si="2178"/>
        <v>#NAME?</v>
      </c>
      <c r="CQ234" s="30" t="e">
        <f t="shared" ca="1" si="2178"/>
        <v>#NAME?</v>
      </c>
      <c r="CR234" s="30" t="e">
        <f t="shared" ca="1" si="2178"/>
        <v>#NAME?</v>
      </c>
      <c r="CS234" s="30" t="e">
        <f t="shared" ca="1" si="2178"/>
        <v>#NAME?</v>
      </c>
      <c r="CT234" s="30" t="e">
        <f t="shared" ca="1" si="2178"/>
        <v>#NAME?</v>
      </c>
      <c r="CU234" s="30" t="e">
        <f t="shared" ref="CU234:DB234" ca="1" si="2180">CU41-CU240</f>
        <v>#NAME?</v>
      </c>
      <c r="CV234" s="30" t="e">
        <f t="shared" ca="1" si="2180"/>
        <v>#NAME?</v>
      </c>
      <c r="CW234" s="30" t="e">
        <f t="shared" ca="1" si="2180"/>
        <v>#NAME?</v>
      </c>
      <c r="CX234" s="30" t="e">
        <f t="shared" ca="1" si="2180"/>
        <v>#NAME?</v>
      </c>
      <c r="CY234" s="30" t="e">
        <f t="shared" ca="1" si="2180"/>
        <v>#NAME?</v>
      </c>
      <c r="CZ234" s="30" t="e">
        <f t="shared" ca="1" si="2180"/>
        <v>#NAME?</v>
      </c>
      <c r="DA234" s="30" t="e">
        <f t="shared" ca="1" si="2180"/>
        <v>#NAME?</v>
      </c>
      <c r="DB234" s="30" t="e">
        <f t="shared" ca="1" si="2180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5">E10/(E161+E148+E138)</f>
        <v>#NAME?</v>
      </c>
      <c r="F244" s="84" t="e">
        <f t="shared" ca="1" si="2235"/>
        <v>#NAME?</v>
      </c>
      <c r="G244" s="84" t="e">
        <f t="shared" ca="1" si="2235"/>
        <v>#NAME?</v>
      </c>
      <c r="H244" s="84" t="e">
        <f t="shared" ca="1" si="2235"/>
        <v>#NAME?</v>
      </c>
      <c r="I244" s="84" t="e">
        <f t="shared" ca="1" si="2235"/>
        <v>#NAME?</v>
      </c>
      <c r="J244" s="84" t="e">
        <f t="shared" ca="1" si="2235"/>
        <v>#NAME?</v>
      </c>
      <c r="K244" s="84" t="e">
        <f t="shared" ca="1" si="2235"/>
        <v>#NAME?</v>
      </c>
      <c r="L244" s="84" t="e">
        <f t="shared" ca="1" si="2235"/>
        <v>#NAME?</v>
      </c>
      <c r="M244" s="84" t="e">
        <f t="shared" ca="1" si="2235"/>
        <v>#NAME?</v>
      </c>
      <c r="N244" s="84" t="e">
        <f t="shared" ca="1" si="2235"/>
        <v>#NAME?</v>
      </c>
      <c r="O244" s="84" t="e">
        <f t="shared" ca="1" si="2235"/>
        <v>#NAME?</v>
      </c>
      <c r="P244" s="84" t="e">
        <f t="shared" ca="1" si="2235"/>
        <v>#NAME?</v>
      </c>
      <c r="Q244" s="84" t="e">
        <f t="shared" ca="1" si="2235"/>
        <v>#NAME?</v>
      </c>
      <c r="R244" s="84" t="e">
        <f t="shared" ca="1" si="2235"/>
        <v>#NAME?</v>
      </c>
      <c r="S244" s="84" t="e">
        <f t="shared" ca="1" si="2235"/>
        <v>#NAME?</v>
      </c>
      <c r="T244" s="84" t="e">
        <f t="shared" ca="1" si="2235"/>
        <v>#NAME?</v>
      </c>
      <c r="U244" s="84" t="e">
        <f t="shared" ca="1" si="2235"/>
        <v>#NAME?</v>
      </c>
      <c r="V244" s="84" t="e">
        <f t="shared" ca="1" si="2235"/>
        <v>#NAME?</v>
      </c>
      <c r="W244" s="84" t="e">
        <f t="shared" ca="1" si="2235"/>
        <v>#NAME?</v>
      </c>
      <c r="X244" s="84" t="e">
        <f t="shared" ca="1" si="2235"/>
        <v>#NAME?</v>
      </c>
      <c r="Y244" s="84" t="e">
        <f t="shared" ca="1" si="2235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6">AB10/(AB161+AB148+AB138)</f>
        <v>#NAME?</v>
      </c>
      <c r="AC244" s="50" t="e">
        <f t="shared" ca="1" si="2236"/>
        <v>#NAME?</v>
      </c>
      <c r="AD244" s="50" t="e">
        <f t="shared" ca="1" si="2236"/>
        <v>#NAME?</v>
      </c>
      <c r="AE244" s="50" t="e">
        <f t="shared" ca="1" si="2236"/>
        <v>#NAME?</v>
      </c>
      <c r="AL244" s="84" t="e">
        <f ca="1">SUM(AI10:AL10)/(AL161+AL148+AL138)</f>
        <v>#NAME?</v>
      </c>
      <c r="AM244" s="84" t="e">
        <f t="shared" ref="AM244:CL244" ca="1" si="2237">SUM(AJ10:AM10)/(AM161+AM148+AM138)</f>
        <v>#NAME?</v>
      </c>
      <c r="AN244" s="84" t="e">
        <f t="shared" ca="1" si="2237"/>
        <v>#NAME?</v>
      </c>
      <c r="AO244" s="84" t="e">
        <f t="shared" ca="1" si="2237"/>
        <v>#NAME?</v>
      </c>
      <c r="AP244" s="84" t="e">
        <f t="shared" ca="1" si="2237"/>
        <v>#NAME?</v>
      </c>
      <c r="AQ244" s="84" t="e">
        <f t="shared" ca="1" si="2237"/>
        <v>#NAME?</v>
      </c>
      <c r="AR244" s="84" t="e">
        <f t="shared" ca="1" si="2237"/>
        <v>#NAME?</v>
      </c>
      <c r="AS244" s="84" t="e">
        <f t="shared" ca="1" si="2237"/>
        <v>#NAME?</v>
      </c>
      <c r="AT244" s="84" t="e">
        <f t="shared" ca="1" si="2237"/>
        <v>#NAME?</v>
      </c>
      <c r="AU244" s="84" t="e">
        <f t="shared" ca="1" si="2237"/>
        <v>#NAME?</v>
      </c>
      <c r="AV244" s="84" t="e">
        <f t="shared" ca="1" si="2237"/>
        <v>#NAME?</v>
      </c>
      <c r="AW244" s="84" t="e">
        <f t="shared" ca="1" si="2237"/>
        <v>#NAME?</v>
      </c>
      <c r="AX244" s="84" t="e">
        <f t="shared" ca="1" si="2237"/>
        <v>#NAME?</v>
      </c>
      <c r="AY244" s="84" t="e">
        <f t="shared" ca="1" si="2237"/>
        <v>#NAME?</v>
      </c>
      <c r="AZ244" s="84" t="e">
        <f t="shared" ca="1" si="2237"/>
        <v>#NAME?</v>
      </c>
      <c r="BA244" s="84" t="e">
        <f t="shared" ca="1" si="2237"/>
        <v>#NAME?</v>
      </c>
      <c r="BB244" s="84" t="e">
        <f t="shared" ca="1" si="2237"/>
        <v>#NAME?</v>
      </c>
      <c r="BC244" s="84" t="e">
        <f t="shared" ca="1" si="2237"/>
        <v>#NAME?</v>
      </c>
      <c r="BD244" s="84" t="e">
        <f t="shared" ca="1" si="2237"/>
        <v>#NAME?</v>
      </c>
      <c r="BE244" s="84" t="e">
        <f t="shared" ca="1" si="2237"/>
        <v>#NAME?</v>
      </c>
      <c r="BF244" s="84" t="e">
        <f t="shared" ca="1" si="2237"/>
        <v>#NAME?</v>
      </c>
      <c r="BG244" s="84" t="e">
        <f t="shared" ca="1" si="2237"/>
        <v>#NAME?</v>
      </c>
      <c r="BH244" s="84" t="e">
        <f t="shared" ca="1" si="2237"/>
        <v>#NAME?</v>
      </c>
      <c r="BI244" s="84" t="e">
        <f t="shared" ca="1" si="2237"/>
        <v>#NAME?</v>
      </c>
      <c r="BJ244" s="84" t="e">
        <f t="shared" ca="1" si="2237"/>
        <v>#NAME?</v>
      </c>
      <c r="BK244" s="84" t="e">
        <f t="shared" ca="1" si="2237"/>
        <v>#NAME?</v>
      </c>
      <c r="BL244" s="84" t="e">
        <f t="shared" ca="1" si="2237"/>
        <v>#NAME?</v>
      </c>
      <c r="BM244" s="84" t="e">
        <f t="shared" ca="1" si="2237"/>
        <v>#NAME?</v>
      </c>
      <c r="BN244" s="84" t="e">
        <f t="shared" ca="1" si="2237"/>
        <v>#NAME?</v>
      </c>
      <c r="BO244" s="84" t="e">
        <f t="shared" ca="1" si="2237"/>
        <v>#NAME?</v>
      </c>
      <c r="BP244" s="84" t="e">
        <f t="shared" ca="1" si="2237"/>
        <v>#NAME?</v>
      </c>
      <c r="BQ244" s="84" t="e">
        <f t="shared" ca="1" si="2237"/>
        <v>#NAME?</v>
      </c>
      <c r="BR244" s="84" t="e">
        <f t="shared" ca="1" si="2237"/>
        <v>#NAME?</v>
      </c>
      <c r="BS244" s="84" t="e">
        <f t="shared" ca="1" si="2237"/>
        <v>#NAME?</v>
      </c>
      <c r="BT244" s="84" t="e">
        <f t="shared" ca="1" si="2237"/>
        <v>#NAME?</v>
      </c>
      <c r="BU244" s="84" t="e">
        <f t="shared" ca="1" si="2237"/>
        <v>#NAME?</v>
      </c>
      <c r="BV244" s="84" t="e">
        <f t="shared" ca="1" si="2237"/>
        <v>#NAME?</v>
      </c>
      <c r="BW244" s="84" t="e">
        <f t="shared" ca="1" si="2237"/>
        <v>#NAME?</v>
      </c>
      <c r="BX244" s="84" t="e">
        <f t="shared" ca="1" si="2237"/>
        <v>#NAME?</v>
      </c>
      <c r="BY244" s="84" t="e">
        <f t="shared" ca="1" si="2237"/>
        <v>#NAME?</v>
      </c>
      <c r="BZ244" s="84" t="e">
        <f t="shared" ca="1" si="2237"/>
        <v>#NAME?</v>
      </c>
      <c r="CA244" s="84" t="e">
        <f t="shared" ca="1" si="2237"/>
        <v>#NAME?</v>
      </c>
      <c r="CB244" s="84" t="e">
        <f t="shared" ca="1" si="2237"/>
        <v>#NAME?</v>
      </c>
      <c r="CC244" s="84" t="e">
        <f t="shared" ca="1" si="2237"/>
        <v>#NAME?</v>
      </c>
      <c r="CD244" s="84" t="e">
        <f t="shared" ca="1" si="2237"/>
        <v>#NAME?</v>
      </c>
      <c r="CE244" s="84" t="e">
        <f t="shared" ca="1" si="2237"/>
        <v>#NAME?</v>
      </c>
      <c r="CF244" s="84" t="e">
        <f t="shared" ca="1" si="2237"/>
        <v>#NAME?</v>
      </c>
      <c r="CG244" s="84" t="e">
        <f t="shared" ca="1" si="2237"/>
        <v>#NAME?</v>
      </c>
      <c r="CH244" s="84" t="e">
        <f t="shared" ca="1" si="2237"/>
        <v>#NAME?</v>
      </c>
      <c r="CI244" s="84" t="e">
        <f t="shared" ca="1" si="2237"/>
        <v>#NAME?</v>
      </c>
      <c r="CJ244" s="84" t="e">
        <f t="shared" ca="1" si="2237"/>
        <v>#NAME?</v>
      </c>
      <c r="CK244" s="50" t="e">
        <f t="shared" ref="CK244" ca="1" si="2238">SUM(CH10:CK10)/(CK161+CK148+CK138)</f>
        <v>#NAME?</v>
      </c>
      <c r="CL244" s="84" t="e">
        <f t="shared" ca="1" si="2237"/>
        <v>#NAME?</v>
      </c>
      <c r="CM244" s="50" t="e">
        <f t="shared" ref="CM244:DB244" ca="1" si="2239">SUM(CJ10:CM10)/(CM161+CM148+CM138)</f>
        <v>#NAME?</v>
      </c>
      <c r="CN244" s="50" t="e">
        <f t="shared" ca="1" si="2239"/>
        <v>#NAME?</v>
      </c>
      <c r="CO244" s="50" t="e">
        <f t="shared" ca="1" si="2239"/>
        <v>#NAME?</v>
      </c>
      <c r="CP244" s="50" t="e">
        <f t="shared" ca="1" si="2239"/>
        <v>#NAME?</v>
      </c>
      <c r="CQ244" s="50" t="e">
        <f t="shared" ca="1" si="2239"/>
        <v>#NAME?</v>
      </c>
      <c r="CR244" s="50" t="e">
        <f t="shared" ca="1" si="2239"/>
        <v>#NAME?</v>
      </c>
      <c r="CS244" s="50" t="e">
        <f t="shared" ca="1" si="2239"/>
        <v>#NAME?</v>
      </c>
      <c r="CT244" s="50" t="e">
        <f t="shared" ca="1" si="2239"/>
        <v>#NAME?</v>
      </c>
      <c r="CU244" s="50" t="e">
        <f t="shared" ca="1" si="2239"/>
        <v>#NAME?</v>
      </c>
      <c r="CV244" s="50" t="e">
        <f t="shared" ca="1" si="2239"/>
        <v>#NAME?</v>
      </c>
      <c r="CW244" s="50" t="e">
        <f t="shared" ca="1" si="2239"/>
        <v>#NAME?</v>
      </c>
      <c r="CX244" s="50" t="e">
        <f t="shared" ca="1" si="2239"/>
        <v>#NAME?</v>
      </c>
      <c r="CY244" s="50" t="e">
        <f t="shared" ca="1" si="2239"/>
        <v>#NAME?</v>
      </c>
      <c r="CZ244" s="50" t="e">
        <f t="shared" ca="1" si="2239"/>
        <v>#NAME?</v>
      </c>
      <c r="DA244" s="50" t="e">
        <f t="shared" ca="1" si="2239"/>
        <v>#NAME?</v>
      </c>
      <c r="DB244" s="50" t="e">
        <f t="shared" ca="1" si="2239"/>
        <v>#NAME?</v>
      </c>
      <c r="DE244" s="138"/>
      <c r="DF244" s="84">
        <v>0.77756756155773321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40">+F42</f>
        <v>#NAME?</v>
      </c>
      <c r="G245" s="181" t="e">
        <f t="shared" ca="1" si="2240"/>
        <v>#NAME?</v>
      </c>
      <c r="H245" s="181" t="e">
        <f t="shared" ca="1" si="2240"/>
        <v>#NAME?</v>
      </c>
      <c r="I245" s="181" t="e">
        <f t="shared" ca="1" si="2240"/>
        <v>#NAME?</v>
      </c>
      <c r="J245" s="181" t="e">
        <f t="shared" ca="1" si="2240"/>
        <v>#NAME?</v>
      </c>
      <c r="K245" s="181" t="e">
        <f t="shared" ca="1" si="2240"/>
        <v>#NAME?</v>
      </c>
      <c r="L245" s="181" t="e">
        <f t="shared" ca="1" si="2240"/>
        <v>#NAME?</v>
      </c>
      <c r="M245" s="181" t="e">
        <f t="shared" ca="1" si="2240"/>
        <v>#NAME?</v>
      </c>
      <c r="N245" s="181" t="e">
        <f t="shared" ca="1" si="2240"/>
        <v>#NAME?</v>
      </c>
      <c r="O245" s="181" t="e">
        <f t="shared" ca="1" si="2240"/>
        <v>#NAME?</v>
      </c>
      <c r="P245" s="181" t="e">
        <f t="shared" ca="1" si="2240"/>
        <v>#NAME?</v>
      </c>
      <c r="Q245" s="181" t="e">
        <f t="shared" ca="1" si="2240"/>
        <v>#NAME?</v>
      </c>
      <c r="R245" s="181" t="e">
        <f t="shared" ca="1" si="2240"/>
        <v>#NAME?</v>
      </c>
      <c r="S245" s="181" t="e">
        <f t="shared" ca="1" si="2240"/>
        <v>#NAME?</v>
      </c>
      <c r="T245" s="181" t="e">
        <f t="shared" ca="1" si="2240"/>
        <v>#NAME?</v>
      </c>
      <c r="U245" s="181" t="e">
        <f t="shared" ca="1" si="2240"/>
        <v>#NAME?</v>
      </c>
      <c r="V245" s="181" t="e">
        <f t="shared" ca="1" si="2240"/>
        <v>#NAME?</v>
      </c>
      <c r="W245" s="181" t="e">
        <f t="shared" ca="1" si="2240"/>
        <v>#NAME?</v>
      </c>
      <c r="X245" s="181" t="e">
        <f t="shared" ca="1" si="2240"/>
        <v>#NAME?</v>
      </c>
      <c r="Y245" s="181" t="e">
        <f t="shared" ca="1" si="2240"/>
        <v>#NAME?</v>
      </c>
      <c r="Z245" s="181" t="e">
        <f t="shared" ca="1" si="2240"/>
        <v>#NAME?</v>
      </c>
      <c r="AA245" s="181" t="e">
        <f t="shared" ref="AA245" ca="1" si="2241">+AA42</f>
        <v>#NAME?</v>
      </c>
      <c r="AB245" s="182" t="e">
        <f t="shared" ca="1" si="2240"/>
        <v>#NAME?</v>
      </c>
      <c r="AC245" s="182" t="e">
        <f t="shared" ca="1" si="2240"/>
        <v>#NAME?</v>
      </c>
      <c r="AD245" s="182" t="e">
        <f t="shared" ca="1" si="2240"/>
        <v>#NAME?</v>
      </c>
      <c r="AE245" s="182" t="e">
        <f t="shared" ca="1" si="2240"/>
        <v>#NAME?</v>
      </c>
      <c r="AL245" s="181" t="e">
        <f t="shared" ref="AL245:CW245" ca="1" si="2242">+AL42</f>
        <v>#NAME?</v>
      </c>
      <c r="AM245" s="181" t="e">
        <f t="shared" ca="1" si="2242"/>
        <v>#NAME?</v>
      </c>
      <c r="AN245" s="181" t="e">
        <f t="shared" ca="1" si="2242"/>
        <v>#NAME?</v>
      </c>
      <c r="AO245" s="181" t="e">
        <f t="shared" ca="1" si="2242"/>
        <v>#NAME?</v>
      </c>
      <c r="AP245" s="181" t="e">
        <f t="shared" ca="1" si="2242"/>
        <v>#NAME?</v>
      </c>
      <c r="AQ245" s="181" t="e">
        <f t="shared" ca="1" si="2242"/>
        <v>#NAME?</v>
      </c>
      <c r="AR245" s="181" t="e">
        <f t="shared" ca="1" si="2242"/>
        <v>#NAME?</v>
      </c>
      <c r="AS245" s="181" t="e">
        <f t="shared" ca="1" si="2242"/>
        <v>#NAME?</v>
      </c>
      <c r="AT245" s="181" t="e">
        <f t="shared" ca="1" si="2242"/>
        <v>#NAME?</v>
      </c>
      <c r="AU245" s="181" t="e">
        <f t="shared" ca="1" si="2242"/>
        <v>#NAME?</v>
      </c>
      <c r="AV245" s="181" t="e">
        <f t="shared" ca="1" si="2242"/>
        <v>#NAME?</v>
      </c>
      <c r="AW245" s="181" t="e">
        <f t="shared" ca="1" si="2242"/>
        <v>#NAME?</v>
      </c>
      <c r="AX245" s="181" t="e">
        <f t="shared" ca="1" si="2242"/>
        <v>#NAME?</v>
      </c>
      <c r="AY245" s="181" t="e">
        <f t="shared" ca="1" si="2242"/>
        <v>#NAME?</v>
      </c>
      <c r="AZ245" s="181" t="e">
        <f t="shared" ca="1" si="2242"/>
        <v>#NAME?</v>
      </c>
      <c r="BA245" s="181" t="e">
        <f t="shared" ca="1" si="2242"/>
        <v>#NAME?</v>
      </c>
      <c r="BB245" s="181" t="e">
        <f t="shared" ca="1" si="2242"/>
        <v>#NAME?</v>
      </c>
      <c r="BC245" s="181" t="e">
        <f t="shared" ca="1" si="2242"/>
        <v>#NAME?</v>
      </c>
      <c r="BD245" s="181" t="e">
        <f t="shared" ca="1" si="2242"/>
        <v>#NAME?</v>
      </c>
      <c r="BE245" s="181" t="e">
        <f t="shared" ca="1" si="2242"/>
        <v>#NAME?</v>
      </c>
      <c r="BF245" s="181" t="e">
        <f t="shared" ca="1" si="2242"/>
        <v>#NAME?</v>
      </c>
      <c r="BG245" s="181" t="e">
        <f t="shared" ca="1" si="2242"/>
        <v>#NAME?</v>
      </c>
      <c r="BH245" s="181" t="e">
        <f t="shared" ca="1" si="2242"/>
        <v>#NAME?</v>
      </c>
      <c r="BI245" s="181" t="e">
        <f t="shared" ca="1" si="2242"/>
        <v>#NAME?</v>
      </c>
      <c r="BJ245" s="181" t="e">
        <f t="shared" ca="1" si="2242"/>
        <v>#NAME?</v>
      </c>
      <c r="BK245" s="181" t="e">
        <f t="shared" ca="1" si="2242"/>
        <v>#NAME?</v>
      </c>
      <c r="BL245" s="181" t="e">
        <f t="shared" ca="1" si="2242"/>
        <v>#NAME?</v>
      </c>
      <c r="BM245" s="181" t="e">
        <f t="shared" ca="1" si="2242"/>
        <v>#NAME?</v>
      </c>
      <c r="BN245" s="181" t="e">
        <f t="shared" ca="1" si="2242"/>
        <v>#NAME?</v>
      </c>
      <c r="BO245" s="181" t="e">
        <f t="shared" ca="1" si="2242"/>
        <v>#NAME?</v>
      </c>
      <c r="BP245" s="181" t="e">
        <f t="shared" ca="1" si="2242"/>
        <v>#NAME?</v>
      </c>
      <c r="BQ245" s="181" t="e">
        <f t="shared" ca="1" si="2242"/>
        <v>#NAME?</v>
      </c>
      <c r="BR245" s="181" t="e">
        <f t="shared" ca="1" si="2242"/>
        <v>#NAME?</v>
      </c>
      <c r="BS245" s="181" t="e">
        <f t="shared" ca="1" si="2242"/>
        <v>#NAME?</v>
      </c>
      <c r="BT245" s="181" t="e">
        <f t="shared" ca="1" si="2242"/>
        <v>#NAME?</v>
      </c>
      <c r="BU245" s="181" t="e">
        <f t="shared" ca="1" si="2242"/>
        <v>#NAME?</v>
      </c>
      <c r="BV245" s="181" t="e">
        <f t="shared" ca="1" si="2242"/>
        <v>#NAME?</v>
      </c>
      <c r="BW245" s="181" t="e">
        <f t="shared" ca="1" si="2242"/>
        <v>#NAME?</v>
      </c>
      <c r="BX245" s="181" t="e">
        <f t="shared" ca="1" si="2242"/>
        <v>#NAME?</v>
      </c>
      <c r="BY245" s="181" t="e">
        <f t="shared" ca="1" si="2242"/>
        <v>#NAME?</v>
      </c>
      <c r="BZ245" s="181" t="e">
        <f t="shared" ca="1" si="2242"/>
        <v>#NAME?</v>
      </c>
      <c r="CA245" s="181" t="e">
        <f t="shared" ca="1" si="2242"/>
        <v>#NAME?</v>
      </c>
      <c r="CB245" s="181" t="e">
        <f t="shared" ca="1" si="2242"/>
        <v>#NAME?</v>
      </c>
      <c r="CC245" s="181" t="e">
        <f t="shared" ca="1" si="2242"/>
        <v>#NAME?</v>
      </c>
      <c r="CD245" s="181" t="e">
        <f t="shared" ca="1" si="2242"/>
        <v>#NAME?</v>
      </c>
      <c r="CE245" s="181" t="e">
        <f t="shared" ca="1" si="2242"/>
        <v>#NAME?</v>
      </c>
      <c r="CF245" s="181" t="e">
        <f t="shared" ca="1" si="2242"/>
        <v>#NAME?</v>
      </c>
      <c r="CG245" s="181" t="e">
        <f t="shared" ca="1" si="2242"/>
        <v>#NAME?</v>
      </c>
      <c r="CH245" s="181" t="e">
        <f t="shared" ca="1" si="2242"/>
        <v>#NAME?</v>
      </c>
      <c r="CI245" s="181" t="e">
        <f t="shared" ca="1" si="2242"/>
        <v>#NAME?</v>
      </c>
      <c r="CJ245" s="181" t="e">
        <f t="shared" ca="1" si="2242"/>
        <v>#NAME?</v>
      </c>
      <c r="CK245" s="182" t="e">
        <f t="shared" ca="1" si="2242"/>
        <v>#NAME?</v>
      </c>
      <c r="CL245" s="181" t="e">
        <f t="shared" ref="CL245" ca="1" si="2243">+CL42</f>
        <v>#NAME?</v>
      </c>
      <c r="CM245" s="182" t="e">
        <f t="shared" ca="1" si="2242"/>
        <v>#NAME?</v>
      </c>
      <c r="CN245" s="182" t="e">
        <f t="shared" ca="1" si="2242"/>
        <v>#NAME?</v>
      </c>
      <c r="CO245" s="182" t="e">
        <f t="shared" ca="1" si="2242"/>
        <v>#NAME?</v>
      </c>
      <c r="CP245" s="182" t="e">
        <f t="shared" ca="1" si="2242"/>
        <v>#NAME?</v>
      </c>
      <c r="CQ245" s="182" t="e">
        <f t="shared" ca="1" si="2242"/>
        <v>#NAME?</v>
      </c>
      <c r="CR245" s="182" t="e">
        <f t="shared" ca="1" si="2242"/>
        <v>#NAME?</v>
      </c>
      <c r="CS245" s="182" t="e">
        <f t="shared" ca="1" si="2242"/>
        <v>#NAME?</v>
      </c>
      <c r="CT245" s="182" t="e">
        <f t="shared" ca="1" si="2242"/>
        <v>#NAME?</v>
      </c>
      <c r="CU245" s="182" t="e">
        <f t="shared" ca="1" si="2242"/>
        <v>#NAME?</v>
      </c>
      <c r="CV245" s="182" t="e">
        <f t="shared" ca="1" si="2242"/>
        <v>#NAME?</v>
      </c>
      <c r="CW245" s="182" t="e">
        <f t="shared" ca="1" si="2242"/>
        <v>#NAME?</v>
      </c>
      <c r="CX245" s="182" t="e">
        <f t="shared" ref="CX245:DB245" ca="1" si="2244">+CX42</f>
        <v>#NAME?</v>
      </c>
      <c r="CY245" s="182" t="e">
        <f t="shared" ca="1" si="2244"/>
        <v>#NAME?</v>
      </c>
      <c r="CZ245" s="182" t="e">
        <f t="shared" ca="1" si="2244"/>
        <v>#NAME?</v>
      </c>
      <c r="DA245" s="182" t="e">
        <f t="shared" ca="1" si="2244"/>
        <v>#NAME?</v>
      </c>
      <c r="DB245" s="182" t="e">
        <f t="shared" ca="1" si="2244"/>
        <v>#NAME?</v>
      </c>
      <c r="DE245" s="138"/>
      <c r="DF245" s="84">
        <v>5.82131250809267E-2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5">(F161+F148+F138+F140)/F120</f>
        <v>#NAME?</v>
      </c>
      <c r="G246" s="84" t="e">
        <f t="shared" ca="1" si="2245"/>
        <v>#NAME?</v>
      </c>
      <c r="H246" s="84" t="e">
        <f t="shared" ca="1" si="2245"/>
        <v>#NAME?</v>
      </c>
      <c r="I246" s="84" t="e">
        <f t="shared" ca="1" si="2245"/>
        <v>#NAME?</v>
      </c>
      <c r="J246" s="84" t="e">
        <f t="shared" ca="1" si="2245"/>
        <v>#NAME?</v>
      </c>
      <c r="K246" s="84" t="e">
        <f t="shared" ca="1" si="2245"/>
        <v>#NAME?</v>
      </c>
      <c r="L246" s="84" t="e">
        <f t="shared" ca="1" si="2245"/>
        <v>#NAME?</v>
      </c>
      <c r="M246" s="84" t="e">
        <f t="shared" ca="1" si="2245"/>
        <v>#NAME?</v>
      </c>
      <c r="N246" s="84" t="e">
        <f t="shared" ca="1" si="2245"/>
        <v>#NAME?</v>
      </c>
      <c r="O246" s="84" t="e">
        <f t="shared" ca="1" si="2245"/>
        <v>#NAME?</v>
      </c>
      <c r="P246" s="84" t="e">
        <f t="shared" ca="1" si="2245"/>
        <v>#NAME?</v>
      </c>
      <c r="Q246" s="84" t="e">
        <f t="shared" ca="1" si="2245"/>
        <v>#NAME?</v>
      </c>
      <c r="R246" s="84" t="e">
        <f t="shared" ca="1" si="2245"/>
        <v>#NAME?</v>
      </c>
      <c r="S246" s="84" t="e">
        <f t="shared" ca="1" si="2245"/>
        <v>#NAME?</v>
      </c>
      <c r="T246" s="84" t="e">
        <f t="shared" ca="1" si="2245"/>
        <v>#NAME?</v>
      </c>
      <c r="U246" s="84" t="e">
        <f t="shared" ca="1" si="2245"/>
        <v>#NAME?</v>
      </c>
      <c r="V246" s="84" t="e">
        <f t="shared" ca="1" si="2245"/>
        <v>#NAME?</v>
      </c>
      <c r="W246" s="84" t="e">
        <f t="shared" ca="1" si="2245"/>
        <v>#NAME?</v>
      </c>
      <c r="X246" s="84" t="e">
        <f t="shared" ca="1" si="2245"/>
        <v>#NAME?</v>
      </c>
      <c r="Y246" s="84" t="e">
        <f t="shared" ca="1" si="2245"/>
        <v>#NAME?</v>
      </c>
      <c r="Z246" s="84" t="e">
        <f t="shared" ca="1" si="2245"/>
        <v>#NAME?</v>
      </c>
      <c r="AA246" s="84" t="e">
        <f t="shared" ref="AA246" ca="1" si="2246">(AA161+AA148+AA138+AA140)/AA120</f>
        <v>#NAME?</v>
      </c>
      <c r="AB246" s="50" t="e">
        <f t="shared" ca="1" si="2245"/>
        <v>#NAME?</v>
      </c>
      <c r="AC246" s="50" t="e">
        <f t="shared" ca="1" si="2245"/>
        <v>#NAME?</v>
      </c>
      <c r="AD246" s="50" t="e">
        <f t="shared" ca="1" si="2245"/>
        <v>#NAME?</v>
      </c>
      <c r="AE246" s="50" t="e">
        <f t="shared" ca="1" si="2245"/>
        <v>#NAME?</v>
      </c>
      <c r="AL246" s="84" t="e">
        <f t="shared" ref="AL246:CW246" ca="1" si="2247">(AL161+AL148+AL138+AL140)/AL120</f>
        <v>#NAME?</v>
      </c>
      <c r="AM246" s="84" t="e">
        <f t="shared" ca="1" si="2247"/>
        <v>#NAME?</v>
      </c>
      <c r="AN246" s="84" t="e">
        <f t="shared" ca="1" si="2247"/>
        <v>#NAME?</v>
      </c>
      <c r="AO246" s="84" t="e">
        <f t="shared" ca="1" si="2247"/>
        <v>#NAME?</v>
      </c>
      <c r="AP246" s="84" t="e">
        <f t="shared" ca="1" si="2247"/>
        <v>#NAME?</v>
      </c>
      <c r="AQ246" s="84" t="e">
        <f t="shared" ca="1" si="2247"/>
        <v>#NAME?</v>
      </c>
      <c r="AR246" s="84" t="e">
        <f t="shared" ca="1" si="2247"/>
        <v>#NAME?</v>
      </c>
      <c r="AS246" s="84" t="e">
        <f t="shared" ca="1" si="2247"/>
        <v>#NAME?</v>
      </c>
      <c r="AT246" s="84" t="e">
        <f t="shared" ca="1" si="2247"/>
        <v>#NAME?</v>
      </c>
      <c r="AU246" s="84" t="e">
        <f t="shared" ca="1" si="2247"/>
        <v>#NAME?</v>
      </c>
      <c r="AV246" s="84" t="e">
        <f t="shared" ca="1" si="2247"/>
        <v>#NAME?</v>
      </c>
      <c r="AW246" s="84" t="e">
        <f t="shared" ca="1" si="2247"/>
        <v>#NAME?</v>
      </c>
      <c r="AX246" s="84" t="e">
        <f t="shared" ca="1" si="2247"/>
        <v>#NAME?</v>
      </c>
      <c r="AY246" s="84" t="e">
        <f t="shared" ca="1" si="2247"/>
        <v>#NAME?</v>
      </c>
      <c r="AZ246" s="84" t="e">
        <f t="shared" ca="1" si="2247"/>
        <v>#NAME?</v>
      </c>
      <c r="BA246" s="84" t="e">
        <f t="shared" ca="1" si="2247"/>
        <v>#NAME?</v>
      </c>
      <c r="BB246" s="84" t="e">
        <f t="shared" ca="1" si="2247"/>
        <v>#NAME?</v>
      </c>
      <c r="BC246" s="84" t="e">
        <f t="shared" ca="1" si="2247"/>
        <v>#NAME?</v>
      </c>
      <c r="BD246" s="84" t="e">
        <f t="shared" ca="1" si="2247"/>
        <v>#NAME?</v>
      </c>
      <c r="BE246" s="84" t="e">
        <f t="shared" ca="1" si="2247"/>
        <v>#NAME?</v>
      </c>
      <c r="BF246" s="84" t="e">
        <f t="shared" ca="1" si="2247"/>
        <v>#NAME?</v>
      </c>
      <c r="BG246" s="84" t="e">
        <f t="shared" ca="1" si="2247"/>
        <v>#NAME?</v>
      </c>
      <c r="BH246" s="84" t="e">
        <f t="shared" ca="1" si="2247"/>
        <v>#NAME?</v>
      </c>
      <c r="BI246" s="84" t="e">
        <f t="shared" ca="1" si="2247"/>
        <v>#NAME?</v>
      </c>
      <c r="BJ246" s="84" t="e">
        <f t="shared" ca="1" si="2247"/>
        <v>#NAME?</v>
      </c>
      <c r="BK246" s="84" t="e">
        <f t="shared" ca="1" si="2247"/>
        <v>#NAME?</v>
      </c>
      <c r="BL246" s="84" t="e">
        <f t="shared" ca="1" si="2247"/>
        <v>#NAME?</v>
      </c>
      <c r="BM246" s="84" t="e">
        <f t="shared" ca="1" si="2247"/>
        <v>#NAME?</v>
      </c>
      <c r="BN246" s="84" t="e">
        <f t="shared" ca="1" si="2247"/>
        <v>#NAME?</v>
      </c>
      <c r="BO246" s="84" t="e">
        <f t="shared" ca="1" si="2247"/>
        <v>#NAME?</v>
      </c>
      <c r="BP246" s="84" t="e">
        <f t="shared" ca="1" si="2247"/>
        <v>#NAME?</v>
      </c>
      <c r="BQ246" s="84" t="e">
        <f t="shared" ca="1" si="2247"/>
        <v>#NAME?</v>
      </c>
      <c r="BR246" s="84" t="e">
        <f t="shared" ca="1" si="2247"/>
        <v>#NAME?</v>
      </c>
      <c r="BS246" s="84" t="e">
        <f t="shared" ca="1" si="2247"/>
        <v>#NAME?</v>
      </c>
      <c r="BT246" s="84" t="e">
        <f t="shared" ca="1" si="2247"/>
        <v>#NAME?</v>
      </c>
      <c r="BU246" s="84" t="e">
        <f t="shared" ca="1" si="2247"/>
        <v>#NAME?</v>
      </c>
      <c r="BV246" s="84" t="e">
        <f t="shared" ca="1" si="2247"/>
        <v>#NAME?</v>
      </c>
      <c r="BW246" s="84" t="e">
        <f t="shared" ca="1" si="2247"/>
        <v>#NAME?</v>
      </c>
      <c r="BX246" s="84" t="e">
        <f t="shared" ca="1" si="2247"/>
        <v>#NAME?</v>
      </c>
      <c r="BY246" s="84" t="e">
        <f t="shared" ca="1" si="2247"/>
        <v>#NAME?</v>
      </c>
      <c r="BZ246" s="84" t="e">
        <f t="shared" ca="1" si="2247"/>
        <v>#NAME?</v>
      </c>
      <c r="CA246" s="84" t="e">
        <f t="shared" ca="1" si="2247"/>
        <v>#NAME?</v>
      </c>
      <c r="CB246" s="84" t="e">
        <f t="shared" ca="1" si="2247"/>
        <v>#NAME?</v>
      </c>
      <c r="CC246" s="84" t="e">
        <f t="shared" ca="1" si="2247"/>
        <v>#NAME?</v>
      </c>
      <c r="CD246" s="84" t="e">
        <f t="shared" ca="1" si="2247"/>
        <v>#NAME?</v>
      </c>
      <c r="CE246" s="84" t="e">
        <f t="shared" ca="1" si="2247"/>
        <v>#NAME?</v>
      </c>
      <c r="CF246" s="84" t="e">
        <f t="shared" ca="1" si="2247"/>
        <v>#NAME?</v>
      </c>
      <c r="CG246" s="84" t="e">
        <f t="shared" ca="1" si="2247"/>
        <v>#NAME?</v>
      </c>
      <c r="CH246" s="84" t="e">
        <f t="shared" ca="1" si="2247"/>
        <v>#NAME?</v>
      </c>
      <c r="CI246" s="84" t="e">
        <f t="shared" ca="1" si="2247"/>
        <v>#NAME?</v>
      </c>
      <c r="CJ246" s="84" t="e">
        <f t="shared" ca="1" si="2247"/>
        <v>#NAME?</v>
      </c>
      <c r="CK246" s="50" t="e">
        <f t="shared" ca="1" si="2247"/>
        <v>#NAME?</v>
      </c>
      <c r="CL246" s="84" t="e">
        <f t="shared" ref="CL246" ca="1" si="2248">(CL161+CL148+CL138+CL140)/CL120</f>
        <v>#NAME?</v>
      </c>
      <c r="CM246" s="50" t="e">
        <f t="shared" ca="1" si="2247"/>
        <v>#NAME?</v>
      </c>
      <c r="CN246" s="50" t="e">
        <f t="shared" ca="1" si="2247"/>
        <v>#NAME?</v>
      </c>
      <c r="CO246" s="50" t="e">
        <f t="shared" ca="1" si="2247"/>
        <v>#NAME?</v>
      </c>
      <c r="CP246" s="50" t="e">
        <f t="shared" ca="1" si="2247"/>
        <v>#NAME?</v>
      </c>
      <c r="CQ246" s="50" t="e">
        <f t="shared" ca="1" si="2247"/>
        <v>#NAME?</v>
      </c>
      <c r="CR246" s="50" t="e">
        <f t="shared" ca="1" si="2247"/>
        <v>#NAME?</v>
      </c>
      <c r="CS246" s="50" t="e">
        <f t="shared" ca="1" si="2247"/>
        <v>#NAME?</v>
      </c>
      <c r="CT246" s="50" t="e">
        <f t="shared" ca="1" si="2247"/>
        <v>#NAME?</v>
      </c>
      <c r="CU246" s="50" t="e">
        <f t="shared" ca="1" si="2247"/>
        <v>#NAME?</v>
      </c>
      <c r="CV246" s="50" t="e">
        <f t="shared" ca="1" si="2247"/>
        <v>#NAME?</v>
      </c>
      <c r="CW246" s="50" t="e">
        <f t="shared" ca="1" si="2247"/>
        <v>#NAME?</v>
      </c>
      <c r="CX246" s="50" t="e">
        <f t="shared" ref="CX246:DB246" ca="1" si="2249">(CX161+CX148+CX138+CX140)/CX120</f>
        <v>#NAME?</v>
      </c>
      <c r="CY246" s="50" t="e">
        <f t="shared" ca="1" si="2249"/>
        <v>#NAME?</v>
      </c>
      <c r="CZ246" s="50" t="e">
        <f t="shared" ca="1" si="2249"/>
        <v>#NAME?</v>
      </c>
      <c r="DA246" s="50" t="e">
        <f t="shared" ca="1" si="2249"/>
        <v>#NAME?</v>
      </c>
      <c r="DB246" s="50" t="e">
        <f t="shared" ca="1" si="2249"/>
        <v>#NAME?</v>
      </c>
      <c r="DE246" s="138"/>
      <c r="DF246" s="84">
        <v>1.6097106237674239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50">B161/B120</f>
        <v>#NAME?</v>
      </c>
      <c r="C248" s="88" t="e">
        <f t="shared" ca="1" si="2250"/>
        <v>#NAME?</v>
      </c>
      <c r="D248" s="88" t="e">
        <f t="shared" ca="1" si="2250"/>
        <v>#NAME?</v>
      </c>
      <c r="F248" s="88" t="e">
        <f t="shared" ca="1" si="2250"/>
        <v>#NAME?</v>
      </c>
      <c r="G248" s="88" t="e">
        <f t="shared" ca="1" si="2250"/>
        <v>#NAME?</v>
      </c>
      <c r="H248" s="88" t="e">
        <f t="shared" ca="1" si="2250"/>
        <v>#NAME?</v>
      </c>
      <c r="I248" s="88" t="e">
        <f t="shared" ca="1" si="2250"/>
        <v>#NAME?</v>
      </c>
      <c r="J248" s="88" t="e">
        <f t="shared" ca="1" si="2250"/>
        <v>#NAME?</v>
      </c>
      <c r="K248" s="88" t="e">
        <f t="shared" ca="1" si="2250"/>
        <v>#NAME?</v>
      </c>
      <c r="L248" s="88" t="e">
        <f t="shared" ca="1" si="2250"/>
        <v>#NAME?</v>
      </c>
      <c r="M248" s="88" t="e">
        <f t="shared" ca="1" si="2250"/>
        <v>#NAME?</v>
      </c>
      <c r="N248" s="88" t="e">
        <f t="shared" ca="1" si="2250"/>
        <v>#NAME?</v>
      </c>
      <c r="O248" s="88" t="e">
        <f t="shared" ca="1" si="2250"/>
        <v>#NAME?</v>
      </c>
      <c r="P248" s="88" t="e">
        <f t="shared" ca="1" si="2250"/>
        <v>#NAME?</v>
      </c>
      <c r="Q248" s="88" t="e">
        <f t="shared" ca="1" si="2250"/>
        <v>#NAME?</v>
      </c>
      <c r="R248" s="88" t="e">
        <f t="shared" ca="1" si="2250"/>
        <v>#NAME?</v>
      </c>
      <c r="S248" s="88" t="e">
        <f t="shared" ca="1" si="2250"/>
        <v>#NAME?</v>
      </c>
      <c r="T248" s="88" t="e">
        <f t="shared" ca="1" si="2250"/>
        <v>#NAME?</v>
      </c>
      <c r="U248" s="88" t="e">
        <f t="shared" ca="1" si="2250"/>
        <v>#NAME?</v>
      </c>
      <c r="V248" s="88" t="e">
        <f t="shared" ca="1" si="2250"/>
        <v>#NAME?</v>
      </c>
      <c r="W248" s="88" t="e">
        <f t="shared" ca="1" si="2250"/>
        <v>#NAME?</v>
      </c>
      <c r="X248" s="88" t="e">
        <f t="shared" ca="1" si="2250"/>
        <v>#NAME?</v>
      </c>
      <c r="Y248" s="88" t="e">
        <f t="shared" ca="1" si="2250"/>
        <v>#NAME?</v>
      </c>
      <c r="Z248" s="88" t="e">
        <f t="shared" ca="1" si="2250"/>
        <v>#NAME?</v>
      </c>
      <c r="AA248" s="88" t="e">
        <f t="shared" ref="AA248" ca="1" si="2251">AA161/AA120</f>
        <v>#NAME?</v>
      </c>
      <c r="AB248" s="42" t="e">
        <f t="shared" ca="1" si="2250"/>
        <v>#NAME?</v>
      </c>
      <c r="AC248" s="42" t="e">
        <f t="shared" ca="1" si="2250"/>
        <v>#NAME?</v>
      </c>
      <c r="AD248" s="42" t="e">
        <f t="shared" ca="1" si="2250"/>
        <v>#NAME?</v>
      </c>
      <c r="AE248" s="42" t="e">
        <f t="shared" ca="1" si="2250"/>
        <v>#NAME?</v>
      </c>
      <c r="AL248" s="88" t="e">
        <f t="shared" ref="AL248:CW248" ca="1" si="2252">AL161/AL120</f>
        <v>#NAME?</v>
      </c>
      <c r="AM248" s="88" t="e">
        <f t="shared" ca="1" si="2252"/>
        <v>#NAME?</v>
      </c>
      <c r="AN248" s="88" t="e">
        <f t="shared" ca="1" si="2252"/>
        <v>#NAME?</v>
      </c>
      <c r="AO248" s="88" t="e">
        <f t="shared" ca="1" si="2252"/>
        <v>#NAME?</v>
      </c>
      <c r="AP248" s="88" t="e">
        <f t="shared" ca="1" si="2252"/>
        <v>#NAME?</v>
      </c>
      <c r="AQ248" s="88" t="e">
        <f t="shared" ca="1" si="2252"/>
        <v>#NAME?</v>
      </c>
      <c r="AR248" s="88" t="e">
        <f t="shared" ca="1" si="2252"/>
        <v>#NAME?</v>
      </c>
      <c r="AS248" s="88" t="e">
        <f t="shared" ca="1" si="2252"/>
        <v>#NAME?</v>
      </c>
      <c r="AT248" s="88" t="e">
        <f t="shared" ca="1" si="2252"/>
        <v>#NAME?</v>
      </c>
      <c r="AU248" s="88" t="e">
        <f t="shared" ca="1" si="2252"/>
        <v>#NAME?</v>
      </c>
      <c r="AV248" s="88" t="e">
        <f t="shared" ca="1" si="2252"/>
        <v>#NAME?</v>
      </c>
      <c r="AW248" s="88" t="e">
        <f t="shared" ca="1" si="2252"/>
        <v>#NAME?</v>
      </c>
      <c r="AX248" s="88" t="e">
        <f t="shared" ca="1" si="2252"/>
        <v>#NAME?</v>
      </c>
      <c r="AY248" s="88" t="e">
        <f t="shared" ca="1" si="2252"/>
        <v>#NAME?</v>
      </c>
      <c r="AZ248" s="88" t="e">
        <f t="shared" ca="1" si="2252"/>
        <v>#NAME?</v>
      </c>
      <c r="BA248" s="88" t="e">
        <f t="shared" ca="1" si="2252"/>
        <v>#NAME?</v>
      </c>
      <c r="BB248" s="88" t="e">
        <f t="shared" ca="1" si="2252"/>
        <v>#NAME?</v>
      </c>
      <c r="BC248" s="88" t="e">
        <f t="shared" ca="1" si="2252"/>
        <v>#NAME?</v>
      </c>
      <c r="BD248" s="88" t="e">
        <f t="shared" ca="1" si="2252"/>
        <v>#NAME?</v>
      </c>
      <c r="BE248" s="88" t="e">
        <f t="shared" ca="1" si="2252"/>
        <v>#NAME?</v>
      </c>
      <c r="BF248" s="88" t="e">
        <f t="shared" ca="1" si="2252"/>
        <v>#NAME?</v>
      </c>
      <c r="BG248" s="88" t="e">
        <f t="shared" ca="1" si="2252"/>
        <v>#NAME?</v>
      </c>
      <c r="BH248" s="88" t="e">
        <f t="shared" ca="1" si="2252"/>
        <v>#NAME?</v>
      </c>
      <c r="BI248" s="88" t="e">
        <f t="shared" ca="1" si="2252"/>
        <v>#NAME?</v>
      </c>
      <c r="BJ248" s="88" t="e">
        <f t="shared" ca="1" si="2252"/>
        <v>#NAME?</v>
      </c>
      <c r="BK248" s="88" t="e">
        <f t="shared" ca="1" si="2252"/>
        <v>#NAME?</v>
      </c>
      <c r="BL248" s="88" t="e">
        <f t="shared" ca="1" si="2252"/>
        <v>#NAME?</v>
      </c>
      <c r="BM248" s="88" t="e">
        <f t="shared" ca="1" si="2252"/>
        <v>#NAME?</v>
      </c>
      <c r="BN248" s="88" t="e">
        <f t="shared" ca="1" si="2252"/>
        <v>#NAME?</v>
      </c>
      <c r="BO248" s="88" t="e">
        <f t="shared" ca="1" si="2252"/>
        <v>#NAME?</v>
      </c>
      <c r="BP248" s="88" t="e">
        <f t="shared" ca="1" si="2252"/>
        <v>#NAME?</v>
      </c>
      <c r="BQ248" s="88" t="e">
        <f t="shared" ca="1" si="2252"/>
        <v>#NAME?</v>
      </c>
      <c r="BR248" s="88" t="e">
        <f t="shared" ca="1" si="2252"/>
        <v>#NAME?</v>
      </c>
      <c r="BS248" s="88" t="e">
        <f t="shared" ca="1" si="2252"/>
        <v>#NAME?</v>
      </c>
      <c r="BT248" s="88" t="e">
        <f t="shared" ca="1" si="2252"/>
        <v>#NAME?</v>
      </c>
      <c r="BU248" s="88" t="e">
        <f t="shared" ca="1" si="2252"/>
        <v>#NAME?</v>
      </c>
      <c r="BV248" s="88" t="e">
        <f t="shared" ca="1" si="2252"/>
        <v>#NAME?</v>
      </c>
      <c r="BW248" s="88" t="e">
        <f t="shared" ca="1" si="2252"/>
        <v>#NAME?</v>
      </c>
      <c r="BX248" s="88" t="e">
        <f t="shared" ca="1" si="2252"/>
        <v>#NAME?</v>
      </c>
      <c r="BY248" s="88" t="e">
        <f t="shared" ca="1" si="2252"/>
        <v>#NAME?</v>
      </c>
      <c r="BZ248" s="88" t="e">
        <f t="shared" ca="1" si="2252"/>
        <v>#NAME?</v>
      </c>
      <c r="CA248" s="88" t="e">
        <f t="shared" ca="1" si="2252"/>
        <v>#NAME?</v>
      </c>
      <c r="CB248" s="88" t="e">
        <f t="shared" ca="1" si="2252"/>
        <v>#NAME?</v>
      </c>
      <c r="CC248" s="88" t="e">
        <f t="shared" ca="1" si="2252"/>
        <v>#NAME?</v>
      </c>
      <c r="CD248" s="88" t="e">
        <f t="shared" ca="1" si="2252"/>
        <v>#NAME?</v>
      </c>
      <c r="CE248" s="88" t="e">
        <f t="shared" ca="1" si="2252"/>
        <v>#NAME?</v>
      </c>
      <c r="CF248" s="88" t="e">
        <f t="shared" ca="1" si="2252"/>
        <v>#NAME?</v>
      </c>
      <c r="CG248" s="88" t="e">
        <f t="shared" ca="1" si="2252"/>
        <v>#NAME?</v>
      </c>
      <c r="CH248" s="88" t="e">
        <f t="shared" ca="1" si="2252"/>
        <v>#NAME?</v>
      </c>
      <c r="CI248" s="88" t="e">
        <f t="shared" ca="1" si="2252"/>
        <v>#NAME?</v>
      </c>
      <c r="CJ248" s="88" t="e">
        <f t="shared" ca="1" si="2252"/>
        <v>#NAME?</v>
      </c>
      <c r="CK248" s="42" t="e">
        <f t="shared" ca="1" si="2252"/>
        <v>#NAME?</v>
      </c>
      <c r="CL248" s="88" t="e">
        <f t="shared" ref="CL248" ca="1" si="2253">CL161/CL120</f>
        <v>#NAME?</v>
      </c>
      <c r="CM248" s="42" t="e">
        <f t="shared" ca="1" si="2252"/>
        <v>#NAME?</v>
      </c>
      <c r="CN248" s="42" t="e">
        <f t="shared" ca="1" si="2252"/>
        <v>#NAME?</v>
      </c>
      <c r="CO248" s="42" t="e">
        <f t="shared" ca="1" si="2252"/>
        <v>#NAME?</v>
      </c>
      <c r="CP248" s="42" t="e">
        <f t="shared" ca="1" si="2252"/>
        <v>#NAME?</v>
      </c>
      <c r="CQ248" s="42" t="e">
        <f t="shared" ca="1" si="2252"/>
        <v>#NAME?</v>
      </c>
      <c r="CR248" s="42" t="e">
        <f t="shared" ca="1" si="2252"/>
        <v>#NAME?</v>
      </c>
      <c r="CS248" s="42" t="e">
        <f t="shared" ca="1" si="2252"/>
        <v>#NAME?</v>
      </c>
      <c r="CT248" s="42" t="e">
        <f t="shared" ca="1" si="2252"/>
        <v>#NAME?</v>
      </c>
      <c r="CU248" s="42" t="e">
        <f t="shared" ca="1" si="2252"/>
        <v>#NAME?</v>
      </c>
      <c r="CV248" s="42" t="e">
        <f t="shared" ca="1" si="2252"/>
        <v>#NAME?</v>
      </c>
      <c r="CW248" s="42" t="e">
        <f t="shared" ca="1" si="2252"/>
        <v>#NAME?</v>
      </c>
      <c r="CX248" s="42" t="e">
        <f t="shared" ref="CX248:DB248" ca="1" si="2254">CX161/CX120</f>
        <v>#NAME?</v>
      </c>
      <c r="CY248" s="42" t="e">
        <f t="shared" ca="1" si="2254"/>
        <v>#NAME?</v>
      </c>
      <c r="CZ248" s="42" t="e">
        <f t="shared" ca="1" si="2254"/>
        <v>#NAME?</v>
      </c>
      <c r="DA248" s="42" t="e">
        <f t="shared" ca="1" si="2254"/>
        <v>#NAME?</v>
      </c>
      <c r="DB248" s="42" t="e">
        <f t="shared" ca="1" si="2254"/>
        <v>#NAME?</v>
      </c>
      <c r="DE248" s="125"/>
      <c r="DF248" s="88">
        <v>0.14405577270409878</v>
      </c>
    </row>
    <row r="249" spans="1:110" s="89" customFormat="1" x14ac:dyDescent="0.2">
      <c r="A249" s="89" t="s">
        <v>103</v>
      </c>
      <c r="C249" s="89" t="e">
        <f t="shared" ref="C249:AE249" ca="1" si="2255">C128/B128-1</f>
        <v>#NAME?</v>
      </c>
      <c r="D249" s="89" t="e">
        <f t="shared" ca="1" si="2255"/>
        <v>#NAME?</v>
      </c>
      <c r="F249" s="89" t="e">
        <f t="shared" ca="1" si="2255"/>
        <v>#NAME?</v>
      </c>
      <c r="G249" s="89" t="e">
        <f t="shared" ca="1" si="2255"/>
        <v>#NAME?</v>
      </c>
      <c r="H249" s="89" t="e">
        <f t="shared" ca="1" si="2255"/>
        <v>#NAME?</v>
      </c>
      <c r="I249" s="89" t="e">
        <f t="shared" ca="1" si="2255"/>
        <v>#NAME?</v>
      </c>
      <c r="J249" s="89" t="e">
        <f t="shared" ca="1" si="2255"/>
        <v>#NAME?</v>
      </c>
      <c r="K249" s="89" t="e">
        <f ca="1">K128/J128-1</f>
        <v>#NAME?</v>
      </c>
      <c r="L249" s="89" t="e">
        <f t="shared" ca="1" si="2255"/>
        <v>#NAME?</v>
      </c>
      <c r="M249" s="89" t="e">
        <f t="shared" ca="1" si="2255"/>
        <v>#NAME?</v>
      </c>
      <c r="N249" s="89" t="e">
        <f t="shared" ca="1" si="2255"/>
        <v>#NAME?</v>
      </c>
      <c r="O249" s="89" t="e">
        <f t="shared" ca="1" si="2255"/>
        <v>#NAME?</v>
      </c>
      <c r="P249" s="89" t="e">
        <f t="shared" ca="1" si="2255"/>
        <v>#NAME?</v>
      </c>
      <c r="Q249" s="89" t="e">
        <f t="shared" ca="1" si="2255"/>
        <v>#NAME?</v>
      </c>
      <c r="R249" s="89" t="e">
        <f t="shared" ca="1" si="2255"/>
        <v>#NAME?</v>
      </c>
      <c r="S249" s="89" t="e">
        <f t="shared" ca="1" si="2255"/>
        <v>#NAME?</v>
      </c>
      <c r="T249" s="89" t="e">
        <f t="shared" ca="1" si="2255"/>
        <v>#NAME?</v>
      </c>
      <c r="U249" s="89" t="e">
        <f t="shared" ca="1" si="2255"/>
        <v>#NAME?</v>
      </c>
      <c r="V249" s="89" t="e">
        <f t="shared" ca="1" si="2255"/>
        <v>#NAME?</v>
      </c>
      <c r="W249" s="89" t="e">
        <f t="shared" ca="1" si="2255"/>
        <v>#NAME?</v>
      </c>
      <c r="X249" s="89" t="e">
        <f t="shared" ca="1" si="2255"/>
        <v>#NAME?</v>
      </c>
      <c r="Y249" s="89" t="e">
        <f t="shared" ca="1" si="2255"/>
        <v>#NAME?</v>
      </c>
      <c r="Z249" s="89" t="e">
        <f t="shared" ca="1" si="2255"/>
        <v>#NAME?</v>
      </c>
      <c r="AA249" s="89" t="e">
        <f t="shared" ca="1" si="2255"/>
        <v>#NAME?</v>
      </c>
      <c r="AB249" s="47" t="e">
        <f t="shared" ca="1" si="2255"/>
        <v>#NAME?</v>
      </c>
      <c r="AC249" s="47" t="e">
        <f t="shared" ca="1" si="2255"/>
        <v>#NAME?</v>
      </c>
      <c r="AD249" s="47" t="e">
        <f t="shared" ca="1" si="2255"/>
        <v>#NAME?</v>
      </c>
      <c r="AE249" s="47" t="e">
        <f t="shared" ca="1" si="2255"/>
        <v>#NAME?</v>
      </c>
      <c r="AL249" s="89" t="e">
        <f t="shared" ref="AL249:CW249" ca="1" si="2256">AL128/AK128-1</f>
        <v>#NAME?</v>
      </c>
      <c r="AM249" s="89" t="e">
        <f t="shared" ca="1" si="2256"/>
        <v>#NAME?</v>
      </c>
      <c r="AN249" s="89" t="e">
        <f t="shared" ca="1" si="2256"/>
        <v>#NAME?</v>
      </c>
      <c r="AO249" s="89" t="e">
        <f t="shared" ca="1" si="2256"/>
        <v>#NAME?</v>
      </c>
      <c r="AP249" s="89" t="e">
        <f t="shared" ca="1" si="2256"/>
        <v>#NAME?</v>
      </c>
      <c r="AQ249" s="89" t="e">
        <f t="shared" ca="1" si="2256"/>
        <v>#NAME?</v>
      </c>
      <c r="AR249" s="89" t="e">
        <f t="shared" ca="1" si="2256"/>
        <v>#NAME?</v>
      </c>
      <c r="AS249" s="89" t="e">
        <f t="shared" ca="1" si="2256"/>
        <v>#NAME?</v>
      </c>
      <c r="AT249" s="89" t="e">
        <f t="shared" ca="1" si="2256"/>
        <v>#NAME?</v>
      </c>
      <c r="AU249" s="89" t="e">
        <f t="shared" ca="1" si="2256"/>
        <v>#NAME?</v>
      </c>
      <c r="AV249" s="89" t="e">
        <f t="shared" ca="1" si="2256"/>
        <v>#NAME?</v>
      </c>
      <c r="AW249" s="89" t="e">
        <f t="shared" ca="1" si="2256"/>
        <v>#NAME?</v>
      </c>
      <c r="AX249" s="89" t="e">
        <f t="shared" ca="1" si="2256"/>
        <v>#NAME?</v>
      </c>
      <c r="AY249" s="89" t="e">
        <f t="shared" ca="1" si="2256"/>
        <v>#NAME?</v>
      </c>
      <c r="AZ249" s="89" t="e">
        <f t="shared" ca="1" si="2256"/>
        <v>#NAME?</v>
      </c>
      <c r="BA249" s="89" t="e">
        <f t="shared" ca="1" si="2256"/>
        <v>#NAME?</v>
      </c>
      <c r="BB249" s="89" t="e">
        <f t="shared" ca="1" si="2256"/>
        <v>#NAME?</v>
      </c>
      <c r="BC249" s="89" t="e">
        <f t="shared" ca="1" si="2256"/>
        <v>#NAME?</v>
      </c>
      <c r="BD249" s="89" t="e">
        <f t="shared" ca="1" si="2256"/>
        <v>#NAME?</v>
      </c>
      <c r="BE249" s="89" t="e">
        <f t="shared" ca="1" si="2256"/>
        <v>#NAME?</v>
      </c>
      <c r="BF249" s="89" t="e">
        <f t="shared" ca="1" si="2256"/>
        <v>#NAME?</v>
      </c>
      <c r="BG249" s="89" t="e">
        <f t="shared" ca="1" si="2256"/>
        <v>#NAME?</v>
      </c>
      <c r="BH249" s="89" t="e">
        <f t="shared" ca="1" si="2256"/>
        <v>#NAME?</v>
      </c>
      <c r="BI249" s="89" t="e">
        <f t="shared" ca="1" si="2256"/>
        <v>#NAME?</v>
      </c>
      <c r="BJ249" s="89" t="e">
        <f t="shared" ca="1" si="2256"/>
        <v>#NAME?</v>
      </c>
      <c r="BK249" s="89" t="e">
        <f t="shared" ca="1" si="2256"/>
        <v>#NAME?</v>
      </c>
      <c r="BL249" s="89" t="e">
        <f t="shared" ca="1" si="2256"/>
        <v>#NAME?</v>
      </c>
      <c r="BM249" s="89" t="e">
        <f t="shared" ca="1" si="2256"/>
        <v>#NAME?</v>
      </c>
      <c r="BN249" s="89" t="e">
        <f t="shared" ca="1" si="2256"/>
        <v>#NAME?</v>
      </c>
      <c r="BO249" s="89" t="e">
        <f t="shared" ca="1" si="2256"/>
        <v>#NAME?</v>
      </c>
      <c r="BP249" s="89" t="e">
        <f t="shared" ca="1" si="2256"/>
        <v>#NAME?</v>
      </c>
      <c r="BQ249" s="89" t="e">
        <f t="shared" ca="1" si="2256"/>
        <v>#NAME?</v>
      </c>
      <c r="BR249" s="89" t="e">
        <f t="shared" ca="1" si="2256"/>
        <v>#NAME?</v>
      </c>
      <c r="BS249" s="89" t="e">
        <f t="shared" ca="1" si="2256"/>
        <v>#NAME?</v>
      </c>
      <c r="BT249" s="89" t="e">
        <f t="shared" ca="1" si="2256"/>
        <v>#NAME?</v>
      </c>
      <c r="BU249" s="89" t="e">
        <f t="shared" ca="1" si="2256"/>
        <v>#NAME?</v>
      </c>
      <c r="BV249" s="89" t="e">
        <f t="shared" ca="1" si="2256"/>
        <v>#NAME?</v>
      </c>
      <c r="BW249" s="89" t="e">
        <f t="shared" ca="1" si="2256"/>
        <v>#NAME?</v>
      </c>
      <c r="BX249" s="89" t="e">
        <f t="shared" ca="1" si="2256"/>
        <v>#NAME?</v>
      </c>
      <c r="BY249" s="89" t="e">
        <f t="shared" ca="1" si="2256"/>
        <v>#NAME?</v>
      </c>
      <c r="BZ249" s="89" t="e">
        <f t="shared" ca="1" si="2256"/>
        <v>#NAME?</v>
      </c>
      <c r="CA249" s="89" t="e">
        <f t="shared" ca="1" si="2256"/>
        <v>#NAME?</v>
      </c>
      <c r="CB249" s="89" t="e">
        <f t="shared" ca="1" si="2256"/>
        <v>#NAME?</v>
      </c>
      <c r="CC249" s="89" t="e">
        <f t="shared" ca="1" si="2256"/>
        <v>#NAME?</v>
      </c>
      <c r="CD249" s="89" t="e">
        <f t="shared" ca="1" si="2256"/>
        <v>#NAME?</v>
      </c>
      <c r="CE249" s="89" t="e">
        <f t="shared" ca="1" si="2256"/>
        <v>#NAME?</v>
      </c>
      <c r="CF249" s="89" t="e">
        <f t="shared" ca="1" si="2256"/>
        <v>#NAME?</v>
      </c>
      <c r="CG249" s="89" t="e">
        <f t="shared" ca="1" si="2256"/>
        <v>#NAME?</v>
      </c>
      <c r="CH249" s="89" t="e">
        <f t="shared" ca="1" si="2256"/>
        <v>#NAME?</v>
      </c>
      <c r="CI249" s="89" t="e">
        <f t="shared" ca="1" si="2256"/>
        <v>#NAME?</v>
      </c>
      <c r="CJ249" s="89" t="e">
        <f t="shared" ca="1" si="2256"/>
        <v>#NAME?</v>
      </c>
      <c r="CK249" s="47" t="e">
        <f t="shared" ca="1" si="2256"/>
        <v>#NAME?</v>
      </c>
      <c r="CL249" s="89" t="e">
        <f t="shared" ca="1" si="2256"/>
        <v>#NAME?</v>
      </c>
      <c r="CM249" s="47" t="e">
        <f t="shared" ca="1" si="2256"/>
        <v>#NAME?</v>
      </c>
      <c r="CN249" s="47" t="e">
        <f t="shared" ca="1" si="2256"/>
        <v>#NAME?</v>
      </c>
      <c r="CO249" s="47" t="e">
        <f t="shared" ca="1" si="2256"/>
        <v>#NAME?</v>
      </c>
      <c r="CP249" s="47" t="e">
        <f t="shared" ca="1" si="2256"/>
        <v>#NAME?</v>
      </c>
      <c r="CQ249" s="47" t="e">
        <f t="shared" ca="1" si="2256"/>
        <v>#NAME?</v>
      </c>
      <c r="CR249" s="47" t="e">
        <f t="shared" ca="1" si="2256"/>
        <v>#NAME?</v>
      </c>
      <c r="CS249" s="47" t="e">
        <f t="shared" ca="1" si="2256"/>
        <v>#NAME?</v>
      </c>
      <c r="CT249" s="47" t="e">
        <f t="shared" ca="1" si="2256"/>
        <v>#NAME?</v>
      </c>
      <c r="CU249" s="47" t="e">
        <f t="shared" ca="1" si="2256"/>
        <v>#NAME?</v>
      </c>
      <c r="CV249" s="47" t="e">
        <f t="shared" ca="1" si="2256"/>
        <v>#NAME?</v>
      </c>
      <c r="CW249" s="47" t="e">
        <f t="shared" ca="1" si="2256"/>
        <v>#NAME?</v>
      </c>
      <c r="CX249" s="47" t="e">
        <f t="shared" ref="CX249:DB249" ca="1" si="2257">CX128/CW128-1</f>
        <v>#NAME?</v>
      </c>
      <c r="CY249" s="47" t="e">
        <f t="shared" ca="1" si="2257"/>
        <v>#NAME?</v>
      </c>
      <c r="CZ249" s="47" t="e">
        <f t="shared" ca="1" si="2257"/>
        <v>#NAME?</v>
      </c>
      <c r="DA249" s="47" t="e">
        <f t="shared" ca="1" si="2257"/>
        <v>#NAME?</v>
      </c>
      <c r="DB249" s="47" t="e">
        <f t="shared" ca="1" si="2257"/>
        <v>#NAME?</v>
      </c>
      <c r="DE249" s="130"/>
      <c r="DF249" s="89">
        <v>-0.5646261015113474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8">F28/E28-1</f>
        <v>#NAME?</v>
      </c>
      <c r="G250" s="89" t="e">
        <f t="shared" ca="1" si="2258"/>
        <v>#NAME?</v>
      </c>
      <c r="H250" s="89" t="e">
        <f t="shared" ca="1" si="2258"/>
        <v>#NAME?</v>
      </c>
      <c r="I250" s="89" t="e">
        <f t="shared" ca="1" si="2258"/>
        <v>#NAME?</v>
      </c>
      <c r="J250" s="89" t="e">
        <f t="shared" ca="1" si="2258"/>
        <v>#NAME?</v>
      </c>
      <c r="K250" s="89" t="e">
        <f t="shared" ca="1" si="2258"/>
        <v>#NAME?</v>
      </c>
      <c r="L250" s="89" t="e">
        <f t="shared" ca="1" si="2258"/>
        <v>#NAME?</v>
      </c>
      <c r="M250" s="89" t="e">
        <f t="shared" ca="1" si="2258"/>
        <v>#NAME?</v>
      </c>
      <c r="N250" s="89" t="e">
        <f t="shared" ca="1" si="2258"/>
        <v>#NAME?</v>
      </c>
      <c r="O250" s="89" t="e">
        <f t="shared" ca="1" si="2258"/>
        <v>#NAME?</v>
      </c>
      <c r="P250" s="89" t="e">
        <f t="shared" ca="1" si="2258"/>
        <v>#NAME?</v>
      </c>
      <c r="Q250" s="89" t="e">
        <f t="shared" ca="1" si="2258"/>
        <v>#NAME?</v>
      </c>
      <c r="R250" s="89" t="e">
        <f t="shared" ca="1" si="2258"/>
        <v>#NAME?</v>
      </c>
      <c r="S250" s="89" t="e">
        <f t="shared" ca="1" si="2258"/>
        <v>#NAME?</v>
      </c>
      <c r="T250" s="89" t="e">
        <f t="shared" ca="1" si="2258"/>
        <v>#NAME?</v>
      </c>
      <c r="U250" s="89" t="e">
        <f t="shared" ca="1" si="2258"/>
        <v>#NAME?</v>
      </c>
      <c r="V250" s="89" t="e">
        <f t="shared" ca="1" si="2258"/>
        <v>#NAME?</v>
      </c>
      <c r="W250" s="89" t="e">
        <f t="shared" ca="1" si="2258"/>
        <v>#NAME?</v>
      </c>
      <c r="X250" s="89" t="e">
        <f t="shared" ca="1" si="2258"/>
        <v>#NAME?</v>
      </c>
      <c r="Y250" s="89" t="e">
        <f t="shared" ca="1" si="2258"/>
        <v>#NAME?</v>
      </c>
      <c r="Z250" s="89" t="e">
        <f t="shared" ca="1" si="2258"/>
        <v>#NAME?</v>
      </c>
      <c r="AA250" s="89" t="e">
        <f t="shared" ca="1" si="2258"/>
        <v>#NAME?</v>
      </c>
      <c r="AB250" s="47" t="e">
        <f t="shared" ca="1" si="2258"/>
        <v>#NAME?</v>
      </c>
      <c r="AC250" s="47" t="e">
        <f t="shared" ca="1" si="2258"/>
        <v>#NAME?</v>
      </c>
      <c r="AD250" s="47" t="e">
        <f t="shared" ca="1" si="2258"/>
        <v>#NAME?</v>
      </c>
      <c r="AE250" s="47" t="e">
        <f t="shared" ca="1" si="2258"/>
        <v>#NAME?</v>
      </c>
      <c r="AL250" s="89" t="e">
        <f t="shared" ref="AL250:CW250" ca="1" si="2259">AL28/AK28-1</f>
        <v>#NAME?</v>
      </c>
      <c r="AM250" s="89" t="e">
        <f t="shared" ca="1" si="2259"/>
        <v>#NAME?</v>
      </c>
      <c r="AN250" s="89" t="e">
        <f t="shared" ca="1" si="2259"/>
        <v>#NAME?</v>
      </c>
      <c r="AO250" s="89" t="e">
        <f t="shared" ca="1" si="2259"/>
        <v>#NAME?</v>
      </c>
      <c r="AP250" s="89" t="e">
        <f t="shared" ca="1" si="2259"/>
        <v>#NAME?</v>
      </c>
      <c r="AQ250" s="89" t="e">
        <f t="shared" ca="1" si="2259"/>
        <v>#NAME?</v>
      </c>
      <c r="AR250" s="89" t="e">
        <f t="shared" ca="1" si="2259"/>
        <v>#NAME?</v>
      </c>
      <c r="AS250" s="89" t="e">
        <f t="shared" ca="1" si="2259"/>
        <v>#NAME?</v>
      </c>
      <c r="AT250" s="89" t="e">
        <f t="shared" ca="1" si="2259"/>
        <v>#NAME?</v>
      </c>
      <c r="AU250" s="89" t="e">
        <f t="shared" ca="1" si="2259"/>
        <v>#NAME?</v>
      </c>
      <c r="AV250" s="89" t="e">
        <f t="shared" ca="1" si="2259"/>
        <v>#NAME?</v>
      </c>
      <c r="AW250" s="89" t="e">
        <f t="shared" ca="1" si="2259"/>
        <v>#NAME?</v>
      </c>
      <c r="AX250" s="89" t="e">
        <f t="shared" ca="1" si="2259"/>
        <v>#NAME?</v>
      </c>
      <c r="AY250" s="89" t="e">
        <f t="shared" ca="1" si="2259"/>
        <v>#NAME?</v>
      </c>
      <c r="AZ250" s="89" t="e">
        <f t="shared" ca="1" si="2259"/>
        <v>#NAME?</v>
      </c>
      <c r="BA250" s="89" t="e">
        <f t="shared" ca="1" si="2259"/>
        <v>#NAME?</v>
      </c>
      <c r="BB250" s="89" t="e">
        <f t="shared" ca="1" si="2259"/>
        <v>#NAME?</v>
      </c>
      <c r="BC250" s="89" t="e">
        <f t="shared" ca="1" si="2259"/>
        <v>#NAME?</v>
      </c>
      <c r="BD250" s="89" t="e">
        <f t="shared" ca="1" si="2259"/>
        <v>#NAME?</v>
      </c>
      <c r="BE250" s="89" t="e">
        <f t="shared" ca="1" si="2259"/>
        <v>#NAME?</v>
      </c>
      <c r="BF250" s="89" t="e">
        <f t="shared" ca="1" si="2259"/>
        <v>#NAME?</v>
      </c>
      <c r="BG250" s="89" t="e">
        <f t="shared" ca="1" si="2259"/>
        <v>#NAME?</v>
      </c>
      <c r="BH250" s="89" t="e">
        <f t="shared" ca="1" si="2259"/>
        <v>#NAME?</v>
      </c>
      <c r="BI250" s="89" t="e">
        <f t="shared" ca="1" si="2259"/>
        <v>#NAME?</v>
      </c>
      <c r="BJ250" s="89" t="e">
        <f t="shared" ca="1" si="2259"/>
        <v>#NAME?</v>
      </c>
      <c r="BK250" s="89" t="e">
        <f t="shared" ca="1" si="2259"/>
        <v>#NAME?</v>
      </c>
      <c r="BL250" s="89" t="e">
        <f t="shared" ca="1" si="2259"/>
        <v>#NAME?</v>
      </c>
      <c r="BM250" s="89" t="e">
        <f t="shared" ca="1" si="2259"/>
        <v>#NAME?</v>
      </c>
      <c r="BN250" s="89" t="e">
        <f t="shared" ca="1" si="2259"/>
        <v>#NAME?</v>
      </c>
      <c r="BO250" s="89" t="e">
        <f t="shared" ca="1" si="2259"/>
        <v>#NAME?</v>
      </c>
      <c r="BP250" s="89" t="e">
        <f t="shared" ca="1" si="2259"/>
        <v>#NAME?</v>
      </c>
      <c r="BQ250" s="89" t="e">
        <f t="shared" ca="1" si="2259"/>
        <v>#NAME?</v>
      </c>
      <c r="BR250" s="89" t="e">
        <f t="shared" ca="1" si="2259"/>
        <v>#NAME?</v>
      </c>
      <c r="BS250" s="89" t="e">
        <f t="shared" ca="1" si="2259"/>
        <v>#NAME?</v>
      </c>
      <c r="BT250" s="89" t="e">
        <f t="shared" ca="1" si="2259"/>
        <v>#NAME?</v>
      </c>
      <c r="BU250" s="89" t="e">
        <f t="shared" ca="1" si="2259"/>
        <v>#NAME?</v>
      </c>
      <c r="BV250" s="89" t="e">
        <f t="shared" ca="1" si="2259"/>
        <v>#NAME?</v>
      </c>
      <c r="BW250" s="89" t="e">
        <f t="shared" ca="1" si="2259"/>
        <v>#NAME?</v>
      </c>
      <c r="BX250" s="89" t="e">
        <f t="shared" ca="1" si="2259"/>
        <v>#NAME?</v>
      </c>
      <c r="BY250" s="89" t="e">
        <f t="shared" ca="1" si="2259"/>
        <v>#NAME?</v>
      </c>
      <c r="BZ250" s="89" t="e">
        <f t="shared" ca="1" si="2259"/>
        <v>#NAME?</v>
      </c>
      <c r="CA250" s="89" t="e">
        <f t="shared" ca="1" si="2259"/>
        <v>#NAME?</v>
      </c>
      <c r="CB250" s="89" t="e">
        <f t="shared" ca="1" si="2259"/>
        <v>#NAME?</v>
      </c>
      <c r="CC250" s="89" t="e">
        <f t="shared" ca="1" si="2259"/>
        <v>#NAME?</v>
      </c>
      <c r="CD250" s="89" t="e">
        <f t="shared" ca="1" si="2259"/>
        <v>#NAME?</v>
      </c>
      <c r="CE250" s="89" t="e">
        <f t="shared" ca="1" si="2259"/>
        <v>#NAME?</v>
      </c>
      <c r="CF250" s="89" t="e">
        <f t="shared" ca="1" si="2259"/>
        <v>#NAME?</v>
      </c>
      <c r="CG250" s="89" t="e">
        <f t="shared" ca="1" si="2259"/>
        <v>#NAME?</v>
      </c>
      <c r="CH250" s="89" t="e">
        <f t="shared" ca="1" si="2259"/>
        <v>#NAME?</v>
      </c>
      <c r="CI250" s="89" t="e">
        <f t="shared" ca="1" si="2259"/>
        <v>#NAME?</v>
      </c>
      <c r="CJ250" s="89" t="e">
        <f t="shared" ca="1" si="2259"/>
        <v>#NAME?</v>
      </c>
      <c r="CK250" s="47" t="e">
        <f t="shared" ca="1" si="2259"/>
        <v>#NAME?</v>
      </c>
      <c r="CL250" s="89" t="e">
        <f t="shared" ca="1" si="2259"/>
        <v>#NAME?</v>
      </c>
      <c r="CM250" s="47" t="e">
        <f t="shared" ca="1" si="2259"/>
        <v>#NAME?</v>
      </c>
      <c r="CN250" s="47" t="e">
        <f t="shared" ca="1" si="2259"/>
        <v>#NAME?</v>
      </c>
      <c r="CO250" s="47" t="e">
        <f t="shared" ca="1" si="2259"/>
        <v>#NAME?</v>
      </c>
      <c r="CP250" s="47" t="e">
        <f t="shared" ca="1" si="2259"/>
        <v>#NAME?</v>
      </c>
      <c r="CQ250" s="47" t="e">
        <f t="shared" ca="1" si="2259"/>
        <v>#NAME?</v>
      </c>
      <c r="CR250" s="47" t="e">
        <f t="shared" ca="1" si="2259"/>
        <v>#NAME?</v>
      </c>
      <c r="CS250" s="47" t="e">
        <f t="shared" ca="1" si="2259"/>
        <v>#NAME?</v>
      </c>
      <c r="CT250" s="47" t="e">
        <f t="shared" ca="1" si="2259"/>
        <v>#NAME?</v>
      </c>
      <c r="CU250" s="47" t="e">
        <f t="shared" ca="1" si="2259"/>
        <v>#NAME?</v>
      </c>
      <c r="CV250" s="47" t="e">
        <f t="shared" ca="1" si="2259"/>
        <v>#NAME?</v>
      </c>
      <c r="CW250" s="47" t="e">
        <f t="shared" ca="1" si="2259"/>
        <v>#NAME?</v>
      </c>
      <c r="CX250" s="47" t="e">
        <f t="shared" ref="CX250:DB250" ca="1" si="2260">CX28/CW28-1</f>
        <v>#NAME?</v>
      </c>
      <c r="CY250" s="47" t="e">
        <f t="shared" ca="1" si="2260"/>
        <v>#NAME?</v>
      </c>
      <c r="CZ250" s="47" t="e">
        <f t="shared" ca="1" si="2260"/>
        <v>#NAME?</v>
      </c>
      <c r="DA250" s="47" t="e">
        <f t="shared" ca="1" si="2260"/>
        <v>#NAME?</v>
      </c>
      <c r="DB250" s="47" t="e">
        <f t="shared" ca="1" si="2260"/>
        <v>#NAME?</v>
      </c>
      <c r="DE250" s="130"/>
      <c r="DF250" s="89">
        <v>-7.7120287733429826E-2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61">IF(D249&gt;D250,"RF",0)</f>
        <v>#NAME?</v>
      </c>
      <c r="F251" s="103" t="e">
        <f t="shared" ca="1" si="2261"/>
        <v>#NAME?</v>
      </c>
      <c r="G251" s="103" t="e">
        <f t="shared" ca="1" si="2261"/>
        <v>#NAME?</v>
      </c>
      <c r="H251" s="103" t="e">
        <f t="shared" ca="1" si="2261"/>
        <v>#NAME?</v>
      </c>
      <c r="I251" s="103" t="e">
        <f t="shared" ca="1" si="2261"/>
        <v>#NAME?</v>
      </c>
      <c r="J251" s="103" t="e">
        <f t="shared" ca="1" si="2261"/>
        <v>#NAME?</v>
      </c>
      <c r="K251" s="103" t="e">
        <f t="shared" ca="1" si="2261"/>
        <v>#NAME?</v>
      </c>
      <c r="L251" s="103" t="e">
        <f t="shared" ca="1" si="2261"/>
        <v>#NAME?</v>
      </c>
      <c r="M251" s="103" t="e">
        <f t="shared" ca="1" si="2261"/>
        <v>#NAME?</v>
      </c>
      <c r="N251" s="103" t="e">
        <f t="shared" ca="1" si="2261"/>
        <v>#NAME?</v>
      </c>
      <c r="O251" s="103" t="e">
        <f t="shared" ca="1" si="2261"/>
        <v>#NAME?</v>
      </c>
      <c r="P251" s="103" t="e">
        <f t="shared" ca="1" si="2261"/>
        <v>#NAME?</v>
      </c>
      <c r="Q251" s="103" t="e">
        <f t="shared" ca="1" si="2261"/>
        <v>#NAME?</v>
      </c>
      <c r="R251" s="103" t="e">
        <f t="shared" ca="1" si="2261"/>
        <v>#NAME?</v>
      </c>
      <c r="S251" s="103" t="e">
        <f t="shared" ca="1" si="2261"/>
        <v>#NAME?</v>
      </c>
      <c r="T251" s="103" t="e">
        <f t="shared" ca="1" si="2261"/>
        <v>#NAME?</v>
      </c>
      <c r="U251" s="103" t="e">
        <f t="shared" ca="1" si="2261"/>
        <v>#NAME?</v>
      </c>
      <c r="V251" s="103" t="e">
        <f ca="1">IF(V249&gt;V250,"RF",0)</f>
        <v>#NAME?</v>
      </c>
      <c r="W251" s="103" t="e">
        <f t="shared" ref="W251:AE251" ca="1" si="2262">IF(W249&gt;W250,"RF",0)</f>
        <v>#NAME?</v>
      </c>
      <c r="X251" s="103" t="e">
        <f t="shared" ca="1" si="2262"/>
        <v>#NAME?</v>
      </c>
      <c r="Y251" s="103" t="e">
        <f t="shared" ca="1" si="2262"/>
        <v>#NAME?</v>
      </c>
      <c r="Z251" s="103" t="e">
        <f t="shared" ca="1" si="2262"/>
        <v>#NAME?</v>
      </c>
      <c r="AA251" s="103" t="e">
        <f t="shared" ref="AA251" ca="1" si="2263">IF(AA249&gt;AA250,"RF",0)</f>
        <v>#NAME?</v>
      </c>
      <c r="AB251" s="73" t="e">
        <f t="shared" ca="1" si="2262"/>
        <v>#NAME?</v>
      </c>
      <c r="AC251" s="73" t="e">
        <f t="shared" ca="1" si="2262"/>
        <v>#NAME?</v>
      </c>
      <c r="AD251" s="73" t="e">
        <f t="shared" ca="1" si="2262"/>
        <v>#NAME?</v>
      </c>
      <c r="AE251" s="73" t="e">
        <f t="shared" ca="1" si="2262"/>
        <v>#NAME?</v>
      </c>
      <c r="AL251" s="103" t="e">
        <f t="shared" ref="AL251:CW251" ca="1" si="2264">IF(AL249&gt;AL250,"RF",0)</f>
        <v>#NAME?</v>
      </c>
      <c r="AM251" s="103" t="e">
        <f t="shared" ca="1" si="2264"/>
        <v>#NAME?</v>
      </c>
      <c r="AN251" s="103" t="e">
        <f t="shared" ca="1" si="2264"/>
        <v>#NAME?</v>
      </c>
      <c r="AO251" s="103" t="e">
        <f t="shared" ca="1" si="2264"/>
        <v>#NAME?</v>
      </c>
      <c r="AP251" s="103" t="e">
        <f t="shared" ca="1" si="2264"/>
        <v>#NAME?</v>
      </c>
      <c r="AQ251" s="103" t="e">
        <f t="shared" ca="1" si="2264"/>
        <v>#NAME?</v>
      </c>
      <c r="AR251" s="103" t="e">
        <f t="shared" ca="1" si="2264"/>
        <v>#NAME?</v>
      </c>
      <c r="AS251" s="103" t="e">
        <f t="shared" ca="1" si="2264"/>
        <v>#NAME?</v>
      </c>
      <c r="AT251" s="103" t="e">
        <f t="shared" ca="1" si="2264"/>
        <v>#NAME?</v>
      </c>
      <c r="AU251" s="103" t="e">
        <f t="shared" ca="1" si="2264"/>
        <v>#NAME?</v>
      </c>
      <c r="AV251" s="103" t="e">
        <f t="shared" ca="1" si="2264"/>
        <v>#NAME?</v>
      </c>
      <c r="AW251" s="103" t="e">
        <f t="shared" ca="1" si="2264"/>
        <v>#NAME?</v>
      </c>
      <c r="AX251" s="103" t="e">
        <f t="shared" ca="1" si="2264"/>
        <v>#NAME?</v>
      </c>
      <c r="AY251" s="103" t="e">
        <f t="shared" ca="1" si="2264"/>
        <v>#NAME?</v>
      </c>
      <c r="AZ251" s="103" t="e">
        <f t="shared" ca="1" si="2264"/>
        <v>#NAME?</v>
      </c>
      <c r="BA251" s="103" t="e">
        <f t="shared" ca="1" si="2264"/>
        <v>#NAME?</v>
      </c>
      <c r="BB251" s="103" t="e">
        <f t="shared" ca="1" si="2264"/>
        <v>#NAME?</v>
      </c>
      <c r="BC251" s="103" t="e">
        <f t="shared" ca="1" si="2264"/>
        <v>#NAME?</v>
      </c>
      <c r="BD251" s="103" t="e">
        <f t="shared" ca="1" si="2264"/>
        <v>#NAME?</v>
      </c>
      <c r="BE251" s="103" t="e">
        <f t="shared" ca="1" si="2264"/>
        <v>#NAME?</v>
      </c>
      <c r="BF251" s="103" t="e">
        <f t="shared" ca="1" si="2264"/>
        <v>#NAME?</v>
      </c>
      <c r="BG251" s="103" t="e">
        <f t="shared" ca="1" si="2264"/>
        <v>#NAME?</v>
      </c>
      <c r="BH251" s="103" t="e">
        <f t="shared" ca="1" si="2264"/>
        <v>#NAME?</v>
      </c>
      <c r="BI251" s="103" t="e">
        <f t="shared" ca="1" si="2264"/>
        <v>#NAME?</v>
      </c>
      <c r="BJ251" s="103" t="e">
        <f t="shared" ca="1" si="2264"/>
        <v>#NAME?</v>
      </c>
      <c r="BK251" s="103" t="e">
        <f t="shared" ca="1" si="2264"/>
        <v>#NAME?</v>
      </c>
      <c r="BL251" s="103" t="e">
        <f t="shared" ca="1" si="2264"/>
        <v>#NAME?</v>
      </c>
      <c r="BM251" s="103" t="e">
        <f t="shared" ca="1" si="2264"/>
        <v>#NAME?</v>
      </c>
      <c r="BN251" s="103" t="e">
        <f t="shared" ca="1" si="2264"/>
        <v>#NAME?</v>
      </c>
      <c r="BO251" s="103" t="e">
        <f t="shared" ca="1" si="2264"/>
        <v>#NAME?</v>
      </c>
      <c r="BP251" s="103" t="e">
        <f t="shared" ca="1" si="2264"/>
        <v>#NAME?</v>
      </c>
      <c r="BQ251" s="103" t="e">
        <f t="shared" ca="1" si="2264"/>
        <v>#NAME?</v>
      </c>
      <c r="BR251" s="103" t="e">
        <f t="shared" ca="1" si="2264"/>
        <v>#NAME?</v>
      </c>
      <c r="BS251" s="103" t="e">
        <f t="shared" ca="1" si="2264"/>
        <v>#NAME?</v>
      </c>
      <c r="BT251" s="103" t="e">
        <f t="shared" ca="1" si="2264"/>
        <v>#NAME?</v>
      </c>
      <c r="BU251" s="103" t="e">
        <f t="shared" ca="1" si="2264"/>
        <v>#NAME?</v>
      </c>
      <c r="BV251" s="103" t="e">
        <f t="shared" ca="1" si="2264"/>
        <v>#NAME?</v>
      </c>
      <c r="BW251" s="103" t="e">
        <f t="shared" ca="1" si="2264"/>
        <v>#NAME?</v>
      </c>
      <c r="BX251" s="103" t="e">
        <f t="shared" ca="1" si="2264"/>
        <v>#NAME?</v>
      </c>
      <c r="BY251" s="103" t="e">
        <f t="shared" ca="1" si="2264"/>
        <v>#NAME?</v>
      </c>
      <c r="BZ251" s="103" t="e">
        <f t="shared" ca="1" si="2264"/>
        <v>#NAME?</v>
      </c>
      <c r="CA251" s="103" t="e">
        <f t="shared" ca="1" si="2264"/>
        <v>#NAME?</v>
      </c>
      <c r="CB251" s="103" t="e">
        <f t="shared" ca="1" si="2264"/>
        <v>#NAME?</v>
      </c>
      <c r="CC251" s="103" t="e">
        <f t="shared" ca="1" si="2264"/>
        <v>#NAME?</v>
      </c>
      <c r="CD251" s="103" t="e">
        <f t="shared" ca="1" si="2264"/>
        <v>#NAME?</v>
      </c>
      <c r="CE251" s="103" t="e">
        <f t="shared" ca="1" si="2264"/>
        <v>#NAME?</v>
      </c>
      <c r="CF251" s="103" t="e">
        <f t="shared" ca="1" si="2264"/>
        <v>#NAME?</v>
      </c>
      <c r="CG251" s="103" t="e">
        <f t="shared" ca="1" si="2264"/>
        <v>#NAME?</v>
      </c>
      <c r="CH251" s="103" t="e">
        <f t="shared" ca="1" si="2264"/>
        <v>#NAME?</v>
      </c>
      <c r="CI251" s="103" t="e">
        <f t="shared" ca="1" si="2264"/>
        <v>#NAME?</v>
      </c>
      <c r="CJ251" s="103" t="e">
        <f t="shared" ca="1" si="2264"/>
        <v>#NAME?</v>
      </c>
      <c r="CK251" s="73" t="e">
        <f t="shared" ca="1" si="2264"/>
        <v>#NAME?</v>
      </c>
      <c r="CL251" s="103" t="e">
        <f t="shared" ref="CL251" ca="1" si="2265">IF(CL249&gt;CL250,"RF",0)</f>
        <v>#NAME?</v>
      </c>
      <c r="CM251" s="73" t="e">
        <f t="shared" ca="1" si="2264"/>
        <v>#NAME?</v>
      </c>
      <c r="CN251" s="73" t="e">
        <f t="shared" ca="1" si="2264"/>
        <v>#NAME?</v>
      </c>
      <c r="CO251" s="73" t="e">
        <f t="shared" ca="1" si="2264"/>
        <v>#NAME?</v>
      </c>
      <c r="CP251" s="73" t="e">
        <f t="shared" ca="1" si="2264"/>
        <v>#NAME?</v>
      </c>
      <c r="CQ251" s="73" t="e">
        <f t="shared" ca="1" si="2264"/>
        <v>#NAME?</v>
      </c>
      <c r="CR251" s="73" t="e">
        <f t="shared" ca="1" si="2264"/>
        <v>#NAME?</v>
      </c>
      <c r="CS251" s="73" t="e">
        <f t="shared" ca="1" si="2264"/>
        <v>#NAME?</v>
      </c>
      <c r="CT251" s="73" t="e">
        <f t="shared" ca="1" si="2264"/>
        <v>#NAME?</v>
      </c>
      <c r="CU251" s="73" t="e">
        <f t="shared" ca="1" si="2264"/>
        <v>#NAME?</v>
      </c>
      <c r="CV251" s="73" t="e">
        <f t="shared" ca="1" si="2264"/>
        <v>#NAME?</v>
      </c>
      <c r="CW251" s="73" t="e">
        <f t="shared" ca="1" si="2264"/>
        <v>#NAME?</v>
      </c>
      <c r="CX251" s="73" t="e">
        <f t="shared" ref="CX251:DB251" ca="1" si="2266">IF(CX249&gt;CX250,"RF",0)</f>
        <v>#NAME?</v>
      </c>
      <c r="CY251" s="73" t="e">
        <f t="shared" ca="1" si="2266"/>
        <v>#NAME?</v>
      </c>
      <c r="CZ251" s="73" t="e">
        <f t="shared" ca="1" si="2266"/>
        <v>#NAME?</v>
      </c>
      <c r="DA251" s="73" t="e">
        <f t="shared" ca="1" si="2266"/>
        <v>#NAME?</v>
      </c>
      <c r="DB251" s="73" t="e">
        <f t="shared" ca="1" si="2266"/>
        <v>#NAME?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7">F36/F8</f>
        <v>#NAME?</v>
      </c>
      <c r="G252" s="86" t="e">
        <f t="shared" ca="1" si="2267"/>
        <v>#NAME?</v>
      </c>
      <c r="H252" s="86" t="e">
        <f t="shared" ca="1" si="2267"/>
        <v>#NAME?</v>
      </c>
      <c r="I252" s="86" t="e">
        <f t="shared" ca="1" si="2267"/>
        <v>#NAME?</v>
      </c>
      <c r="J252" s="86" t="e">
        <f t="shared" ca="1" si="2267"/>
        <v>#NAME?</v>
      </c>
      <c r="K252" s="86" t="e">
        <f t="shared" ca="1" si="2267"/>
        <v>#NAME?</v>
      </c>
      <c r="L252" s="86" t="e">
        <f t="shared" ca="1" si="2267"/>
        <v>#NAME?</v>
      </c>
      <c r="M252" s="86" t="e">
        <f t="shared" ca="1" si="2267"/>
        <v>#NAME?</v>
      </c>
      <c r="N252" s="86" t="e">
        <f t="shared" ca="1" si="2267"/>
        <v>#NAME?</v>
      </c>
      <c r="O252" s="86" t="e">
        <f t="shared" ca="1" si="2267"/>
        <v>#NAME?</v>
      </c>
      <c r="P252" s="86" t="e">
        <f t="shared" ca="1" si="2267"/>
        <v>#NAME?</v>
      </c>
      <c r="Q252" s="86" t="e">
        <f t="shared" ca="1" si="2267"/>
        <v>#NAME?</v>
      </c>
      <c r="R252" s="86" t="e">
        <f t="shared" ca="1" si="2267"/>
        <v>#NAME?</v>
      </c>
      <c r="S252" s="86" t="e">
        <f t="shared" ca="1" si="2267"/>
        <v>#NAME?</v>
      </c>
      <c r="T252" s="86" t="e">
        <f t="shared" ca="1" si="2267"/>
        <v>#NAME?</v>
      </c>
      <c r="U252" s="86" t="e">
        <f t="shared" ca="1" si="2267"/>
        <v>#NAME?</v>
      </c>
      <c r="V252" s="86" t="e">
        <f t="shared" ca="1" si="2267"/>
        <v>#NAME?</v>
      </c>
      <c r="W252" s="86" t="e">
        <f t="shared" ca="1" si="2267"/>
        <v>#NAME?</v>
      </c>
      <c r="X252" s="86" t="e">
        <f t="shared" ca="1" si="2267"/>
        <v>#NAME?</v>
      </c>
      <c r="Y252" s="86" t="e">
        <f t="shared" ca="1" si="2267"/>
        <v>#NAME?</v>
      </c>
      <c r="Z252" s="86" t="e">
        <f t="shared" ca="1" si="2267"/>
        <v>#NAME?</v>
      </c>
      <c r="AA252" s="86" t="e">
        <f t="shared" ref="AA252" ca="1" si="2268">AA36/AA8</f>
        <v>#NAME?</v>
      </c>
      <c r="AB252" s="87" t="e">
        <f t="shared" ca="1" si="2267"/>
        <v>#NAME?</v>
      </c>
      <c r="AC252" s="87" t="e">
        <f t="shared" ca="1" si="2267"/>
        <v>#NAME?</v>
      </c>
      <c r="AD252" s="87" t="e">
        <f t="shared" ca="1" si="2267"/>
        <v>#NAME?</v>
      </c>
      <c r="AE252" s="87" t="e">
        <f t="shared" ca="1" si="2267"/>
        <v>#NAME?</v>
      </c>
      <c r="AL252" s="86" t="e">
        <f t="shared" ref="AL252:CW252" ca="1" si="2269">AL36/AL8</f>
        <v>#NAME?</v>
      </c>
      <c r="AM252" s="86" t="e">
        <f t="shared" ca="1" si="2269"/>
        <v>#NAME?</v>
      </c>
      <c r="AN252" s="86" t="e">
        <f t="shared" ca="1" si="2269"/>
        <v>#NAME?</v>
      </c>
      <c r="AO252" s="86" t="e">
        <f t="shared" ca="1" si="2269"/>
        <v>#NAME?</v>
      </c>
      <c r="AP252" s="86" t="e">
        <f t="shared" ca="1" si="2269"/>
        <v>#NAME?</v>
      </c>
      <c r="AQ252" s="86" t="e">
        <f t="shared" ca="1" si="2269"/>
        <v>#NAME?</v>
      </c>
      <c r="AR252" s="86" t="e">
        <f t="shared" ca="1" si="2269"/>
        <v>#NAME?</v>
      </c>
      <c r="AS252" s="86" t="e">
        <f t="shared" ca="1" si="2269"/>
        <v>#NAME?</v>
      </c>
      <c r="AT252" s="86" t="e">
        <f t="shared" ca="1" si="2269"/>
        <v>#NAME?</v>
      </c>
      <c r="AU252" s="86" t="e">
        <f t="shared" ca="1" si="2269"/>
        <v>#NAME?</v>
      </c>
      <c r="AV252" s="86" t="e">
        <f t="shared" ca="1" si="2269"/>
        <v>#NAME?</v>
      </c>
      <c r="AW252" s="86" t="e">
        <f t="shared" ca="1" si="2269"/>
        <v>#NAME?</v>
      </c>
      <c r="AX252" s="86" t="e">
        <f t="shared" ca="1" si="2269"/>
        <v>#NAME?</v>
      </c>
      <c r="AY252" s="86" t="e">
        <f t="shared" ca="1" si="2269"/>
        <v>#NAME?</v>
      </c>
      <c r="AZ252" s="86" t="e">
        <f t="shared" ca="1" si="2269"/>
        <v>#NAME?</v>
      </c>
      <c r="BA252" s="86" t="e">
        <f t="shared" ca="1" si="2269"/>
        <v>#NAME?</v>
      </c>
      <c r="BB252" s="86" t="e">
        <f t="shared" ca="1" si="2269"/>
        <v>#NAME?</v>
      </c>
      <c r="BC252" s="86" t="e">
        <f t="shared" ca="1" si="2269"/>
        <v>#NAME?</v>
      </c>
      <c r="BD252" s="86" t="e">
        <f t="shared" ca="1" si="2269"/>
        <v>#NAME?</v>
      </c>
      <c r="BE252" s="86" t="e">
        <f t="shared" ca="1" si="2269"/>
        <v>#NAME?</v>
      </c>
      <c r="BF252" s="86" t="e">
        <f t="shared" ca="1" si="2269"/>
        <v>#NAME?</v>
      </c>
      <c r="BG252" s="86" t="e">
        <f t="shared" ca="1" si="2269"/>
        <v>#NAME?</v>
      </c>
      <c r="BH252" s="86" t="e">
        <f t="shared" ca="1" si="2269"/>
        <v>#NAME?</v>
      </c>
      <c r="BI252" s="86" t="e">
        <f t="shared" ca="1" si="2269"/>
        <v>#NAME?</v>
      </c>
      <c r="BJ252" s="86" t="e">
        <f t="shared" ca="1" si="2269"/>
        <v>#NAME?</v>
      </c>
      <c r="BK252" s="86" t="e">
        <f t="shared" ca="1" si="2269"/>
        <v>#NAME?</v>
      </c>
      <c r="BL252" s="86" t="e">
        <f t="shared" ca="1" si="2269"/>
        <v>#NAME?</v>
      </c>
      <c r="BM252" s="86" t="e">
        <f t="shared" ca="1" si="2269"/>
        <v>#NAME?</v>
      </c>
      <c r="BN252" s="86" t="e">
        <f t="shared" ca="1" si="2269"/>
        <v>#NAME?</v>
      </c>
      <c r="BO252" s="86" t="e">
        <f t="shared" ca="1" si="2269"/>
        <v>#NAME?</v>
      </c>
      <c r="BP252" s="86" t="e">
        <f t="shared" ca="1" si="2269"/>
        <v>#NAME?</v>
      </c>
      <c r="BQ252" s="86" t="e">
        <f t="shared" ca="1" si="2269"/>
        <v>#NAME?</v>
      </c>
      <c r="BR252" s="86" t="e">
        <f t="shared" ca="1" si="2269"/>
        <v>#NAME?</v>
      </c>
      <c r="BS252" s="86" t="e">
        <f t="shared" ca="1" si="2269"/>
        <v>#NAME?</v>
      </c>
      <c r="BT252" s="86" t="e">
        <f t="shared" ca="1" si="2269"/>
        <v>#NAME?</v>
      </c>
      <c r="BU252" s="86" t="e">
        <f t="shared" ca="1" si="2269"/>
        <v>#NAME?</v>
      </c>
      <c r="BV252" s="86" t="e">
        <f t="shared" ca="1" si="2269"/>
        <v>#NAME?</v>
      </c>
      <c r="BW252" s="86" t="e">
        <f t="shared" ca="1" si="2269"/>
        <v>#NAME?</v>
      </c>
      <c r="BX252" s="86" t="e">
        <f t="shared" ca="1" si="2269"/>
        <v>#NAME?</v>
      </c>
      <c r="BY252" s="86" t="e">
        <f t="shared" ca="1" si="2269"/>
        <v>#NAME?</v>
      </c>
      <c r="BZ252" s="86" t="e">
        <f t="shared" ca="1" si="2269"/>
        <v>#NAME?</v>
      </c>
      <c r="CA252" s="86" t="e">
        <f t="shared" ca="1" si="2269"/>
        <v>#NAME?</v>
      </c>
      <c r="CB252" s="86" t="e">
        <f t="shared" ca="1" si="2269"/>
        <v>#NAME?</v>
      </c>
      <c r="CC252" s="86" t="e">
        <f t="shared" ca="1" si="2269"/>
        <v>#NAME?</v>
      </c>
      <c r="CD252" s="86" t="e">
        <f t="shared" ca="1" si="2269"/>
        <v>#NAME?</v>
      </c>
      <c r="CE252" s="86" t="e">
        <f t="shared" ca="1" si="2269"/>
        <v>#NAME?</v>
      </c>
      <c r="CF252" s="86" t="e">
        <f t="shared" ca="1" si="2269"/>
        <v>#NAME?</v>
      </c>
      <c r="CG252" s="86" t="e">
        <f t="shared" ca="1" si="2269"/>
        <v>#NAME?</v>
      </c>
      <c r="CH252" s="86" t="e">
        <f t="shared" ca="1" si="2269"/>
        <v>#NAME?</v>
      </c>
      <c r="CI252" s="86" t="e">
        <f t="shared" ca="1" si="2269"/>
        <v>#NAME?</v>
      </c>
      <c r="CJ252" s="86" t="e">
        <f t="shared" ca="1" si="2269"/>
        <v>#NAME?</v>
      </c>
      <c r="CK252" s="87" t="e">
        <f t="shared" ca="1" si="2269"/>
        <v>#NAME?</v>
      </c>
      <c r="CL252" s="86" t="e">
        <f t="shared" ref="CL252" ca="1" si="2270">CL36/CL8</f>
        <v>#NAME?</v>
      </c>
      <c r="CM252" s="87" t="e">
        <f t="shared" ca="1" si="2269"/>
        <v>#NAME?</v>
      </c>
      <c r="CN252" s="87" t="e">
        <f t="shared" ca="1" si="2269"/>
        <v>#NAME?</v>
      </c>
      <c r="CO252" s="87" t="e">
        <f t="shared" ca="1" si="2269"/>
        <v>#NAME?</v>
      </c>
      <c r="CP252" s="87" t="e">
        <f t="shared" ca="1" si="2269"/>
        <v>#NAME?</v>
      </c>
      <c r="CQ252" s="87" t="e">
        <f t="shared" ca="1" si="2269"/>
        <v>#NAME?</v>
      </c>
      <c r="CR252" s="87" t="e">
        <f t="shared" ca="1" si="2269"/>
        <v>#NAME?</v>
      </c>
      <c r="CS252" s="87" t="e">
        <f t="shared" ca="1" si="2269"/>
        <v>#NAME?</v>
      </c>
      <c r="CT252" s="87" t="e">
        <f t="shared" ca="1" si="2269"/>
        <v>#NAME?</v>
      </c>
      <c r="CU252" s="87" t="e">
        <f t="shared" ca="1" si="2269"/>
        <v>#NAME?</v>
      </c>
      <c r="CV252" s="87" t="e">
        <f t="shared" ca="1" si="2269"/>
        <v>#NAME?</v>
      </c>
      <c r="CW252" s="87" t="e">
        <f t="shared" ca="1" si="2269"/>
        <v>#NAME?</v>
      </c>
      <c r="CX252" s="87" t="e">
        <f t="shared" ref="CX252:DB252" ca="1" si="2271">CX36/CX8</f>
        <v>#NAME?</v>
      </c>
      <c r="CY252" s="87" t="e">
        <f t="shared" ca="1" si="2271"/>
        <v>#NAME?</v>
      </c>
      <c r="CZ252" s="87" t="e">
        <f t="shared" ca="1" si="2271"/>
        <v>#NAME?</v>
      </c>
      <c r="DA252" s="87" t="e">
        <f t="shared" ca="1" si="2271"/>
        <v>#NAME?</v>
      </c>
      <c r="DB252" s="87" t="e">
        <f t="shared" ca="1" si="2271"/>
        <v>#NAME?</v>
      </c>
      <c r="DE252" s="141"/>
      <c r="DF252" s="86">
        <v>2.153731514841635E-2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72">F32/F8</f>
        <v>#NAME?</v>
      </c>
      <c r="G253" s="86" t="e">
        <f t="shared" ca="1" si="2272"/>
        <v>#NAME?</v>
      </c>
      <c r="H253" s="86" t="e">
        <f t="shared" ca="1" si="2272"/>
        <v>#NAME?</v>
      </c>
      <c r="I253" s="86" t="e">
        <f t="shared" ca="1" si="2272"/>
        <v>#NAME?</v>
      </c>
      <c r="J253" s="86" t="e">
        <f t="shared" ca="1" si="2272"/>
        <v>#NAME?</v>
      </c>
      <c r="K253" s="86" t="e">
        <f t="shared" ca="1" si="2272"/>
        <v>#NAME?</v>
      </c>
      <c r="L253" s="86" t="e">
        <f t="shared" ca="1" si="2272"/>
        <v>#NAME?</v>
      </c>
      <c r="M253" s="86" t="e">
        <f t="shared" ca="1" si="2272"/>
        <v>#NAME?</v>
      </c>
      <c r="N253" s="86" t="e">
        <f t="shared" ca="1" si="2272"/>
        <v>#NAME?</v>
      </c>
      <c r="O253" s="86" t="e">
        <f t="shared" ca="1" si="2272"/>
        <v>#NAME?</v>
      </c>
      <c r="P253" s="86" t="e">
        <f t="shared" ca="1" si="2272"/>
        <v>#NAME?</v>
      </c>
      <c r="Q253" s="86" t="e">
        <f t="shared" ca="1" si="2272"/>
        <v>#NAME?</v>
      </c>
      <c r="R253" s="86" t="e">
        <f t="shared" ca="1" si="2272"/>
        <v>#NAME?</v>
      </c>
      <c r="S253" s="86" t="e">
        <f t="shared" ca="1" si="2272"/>
        <v>#NAME?</v>
      </c>
      <c r="T253" s="86" t="e">
        <f t="shared" ca="1" si="2272"/>
        <v>#NAME?</v>
      </c>
      <c r="U253" s="86" t="e">
        <f t="shared" ca="1" si="2272"/>
        <v>#NAME?</v>
      </c>
      <c r="V253" s="86" t="e">
        <f t="shared" ca="1" si="2272"/>
        <v>#NAME?</v>
      </c>
      <c r="W253" s="86" t="e">
        <f t="shared" ca="1" si="2272"/>
        <v>#NAME?</v>
      </c>
      <c r="X253" s="86" t="e">
        <f t="shared" ca="1" si="2272"/>
        <v>#NAME?</v>
      </c>
      <c r="Y253" s="86" t="e">
        <f t="shared" ca="1" si="2272"/>
        <v>#NAME?</v>
      </c>
      <c r="Z253" s="86" t="e">
        <f t="shared" ca="1" si="2272"/>
        <v>#NAME?</v>
      </c>
      <c r="AA253" s="86" t="e">
        <f t="shared" ref="AA253" ca="1" si="2273">AA32/AA8</f>
        <v>#NAME?</v>
      </c>
      <c r="AB253" s="87" t="e">
        <f t="shared" ca="1" si="2272"/>
        <v>#NAME?</v>
      </c>
      <c r="AC253" s="87" t="e">
        <f t="shared" ca="1" si="2272"/>
        <v>#NAME?</v>
      </c>
      <c r="AD253" s="87" t="e">
        <f t="shared" ca="1" si="2272"/>
        <v>#NAME?</v>
      </c>
      <c r="AE253" s="87" t="e">
        <f t="shared" ca="1" si="2272"/>
        <v>#NAME?</v>
      </c>
      <c r="AL253" s="86" t="e">
        <f t="shared" ref="AL253:CW253" ca="1" si="2274">AL32/AL8</f>
        <v>#NAME?</v>
      </c>
      <c r="AM253" s="86" t="e">
        <f t="shared" ca="1" si="2274"/>
        <v>#NAME?</v>
      </c>
      <c r="AN253" s="86" t="e">
        <f t="shared" ca="1" si="2274"/>
        <v>#NAME?</v>
      </c>
      <c r="AO253" s="86" t="e">
        <f t="shared" ca="1" si="2274"/>
        <v>#NAME?</v>
      </c>
      <c r="AP253" s="86" t="e">
        <f t="shared" ca="1" si="2274"/>
        <v>#NAME?</v>
      </c>
      <c r="AQ253" s="86" t="e">
        <f t="shared" ca="1" si="2274"/>
        <v>#NAME?</v>
      </c>
      <c r="AR253" s="86" t="e">
        <f t="shared" ca="1" si="2274"/>
        <v>#NAME?</v>
      </c>
      <c r="AS253" s="86" t="e">
        <f t="shared" ca="1" si="2274"/>
        <v>#NAME?</v>
      </c>
      <c r="AT253" s="86" t="e">
        <f t="shared" ca="1" si="2274"/>
        <v>#NAME?</v>
      </c>
      <c r="AU253" s="86" t="e">
        <f t="shared" ca="1" si="2274"/>
        <v>#NAME?</v>
      </c>
      <c r="AV253" s="86" t="e">
        <f t="shared" ca="1" si="2274"/>
        <v>#NAME?</v>
      </c>
      <c r="AW253" s="86" t="e">
        <f t="shared" ca="1" si="2274"/>
        <v>#NAME?</v>
      </c>
      <c r="AX253" s="86" t="e">
        <f t="shared" ca="1" si="2274"/>
        <v>#NAME?</v>
      </c>
      <c r="AY253" s="86" t="e">
        <f t="shared" ca="1" si="2274"/>
        <v>#NAME?</v>
      </c>
      <c r="AZ253" s="86" t="e">
        <f t="shared" ca="1" si="2274"/>
        <v>#NAME?</v>
      </c>
      <c r="BA253" s="86" t="e">
        <f t="shared" ca="1" si="2274"/>
        <v>#NAME?</v>
      </c>
      <c r="BB253" s="86" t="e">
        <f t="shared" ca="1" si="2274"/>
        <v>#NAME?</v>
      </c>
      <c r="BC253" s="86" t="e">
        <f t="shared" ca="1" si="2274"/>
        <v>#NAME?</v>
      </c>
      <c r="BD253" s="86" t="e">
        <f t="shared" ca="1" si="2274"/>
        <v>#NAME?</v>
      </c>
      <c r="BE253" s="86" t="e">
        <f t="shared" ca="1" si="2274"/>
        <v>#NAME?</v>
      </c>
      <c r="BF253" s="86" t="e">
        <f t="shared" ca="1" si="2274"/>
        <v>#NAME?</v>
      </c>
      <c r="BG253" s="86" t="e">
        <f t="shared" ca="1" si="2274"/>
        <v>#NAME?</v>
      </c>
      <c r="BH253" s="86" t="e">
        <f t="shared" ca="1" si="2274"/>
        <v>#NAME?</v>
      </c>
      <c r="BI253" s="86" t="e">
        <f t="shared" ca="1" si="2274"/>
        <v>#NAME?</v>
      </c>
      <c r="BJ253" s="86" t="e">
        <f t="shared" ca="1" si="2274"/>
        <v>#NAME?</v>
      </c>
      <c r="BK253" s="86" t="e">
        <f t="shared" ca="1" si="2274"/>
        <v>#NAME?</v>
      </c>
      <c r="BL253" s="86" t="e">
        <f t="shared" ca="1" si="2274"/>
        <v>#NAME?</v>
      </c>
      <c r="BM253" s="86" t="e">
        <f t="shared" ca="1" si="2274"/>
        <v>#NAME?</v>
      </c>
      <c r="BN253" s="86" t="e">
        <f t="shared" ca="1" si="2274"/>
        <v>#NAME?</v>
      </c>
      <c r="BO253" s="86" t="e">
        <f t="shared" ca="1" si="2274"/>
        <v>#NAME?</v>
      </c>
      <c r="BP253" s="86" t="e">
        <f t="shared" ca="1" si="2274"/>
        <v>#NAME?</v>
      </c>
      <c r="BQ253" s="86" t="e">
        <f t="shared" ca="1" si="2274"/>
        <v>#NAME?</v>
      </c>
      <c r="BR253" s="86" t="e">
        <f t="shared" ca="1" si="2274"/>
        <v>#NAME?</v>
      </c>
      <c r="BS253" s="86" t="e">
        <f t="shared" ca="1" si="2274"/>
        <v>#NAME?</v>
      </c>
      <c r="BT253" s="86" t="e">
        <f t="shared" ca="1" si="2274"/>
        <v>#NAME?</v>
      </c>
      <c r="BU253" s="86" t="e">
        <f t="shared" ca="1" si="2274"/>
        <v>#NAME?</v>
      </c>
      <c r="BV253" s="86" t="e">
        <f t="shared" ca="1" si="2274"/>
        <v>#NAME?</v>
      </c>
      <c r="BW253" s="86" t="e">
        <f t="shared" ca="1" si="2274"/>
        <v>#NAME?</v>
      </c>
      <c r="BX253" s="86" t="e">
        <f t="shared" ca="1" si="2274"/>
        <v>#NAME?</v>
      </c>
      <c r="BY253" s="86" t="e">
        <f t="shared" ca="1" si="2274"/>
        <v>#NAME?</v>
      </c>
      <c r="BZ253" s="86" t="e">
        <f t="shared" ca="1" si="2274"/>
        <v>#NAME?</v>
      </c>
      <c r="CA253" s="86" t="e">
        <f t="shared" ca="1" si="2274"/>
        <v>#NAME?</v>
      </c>
      <c r="CB253" s="86" t="e">
        <f t="shared" ca="1" si="2274"/>
        <v>#NAME?</v>
      </c>
      <c r="CC253" s="86" t="e">
        <f t="shared" ca="1" si="2274"/>
        <v>#NAME?</v>
      </c>
      <c r="CD253" s="86" t="e">
        <f t="shared" ca="1" si="2274"/>
        <v>#NAME?</v>
      </c>
      <c r="CE253" s="86" t="e">
        <f t="shared" ca="1" si="2274"/>
        <v>#NAME?</v>
      </c>
      <c r="CF253" s="86" t="e">
        <f t="shared" ca="1" si="2274"/>
        <v>#NAME?</v>
      </c>
      <c r="CG253" s="86" t="e">
        <f t="shared" ca="1" si="2274"/>
        <v>#NAME?</v>
      </c>
      <c r="CH253" s="86" t="e">
        <f t="shared" ca="1" si="2274"/>
        <v>#NAME?</v>
      </c>
      <c r="CI253" s="86" t="e">
        <f t="shared" ca="1" si="2274"/>
        <v>#NAME?</v>
      </c>
      <c r="CJ253" s="86" t="e">
        <f t="shared" ca="1" si="2274"/>
        <v>#NAME?</v>
      </c>
      <c r="CK253" s="87" t="e">
        <f t="shared" ca="1" si="2274"/>
        <v>#NAME?</v>
      </c>
      <c r="CL253" s="86" t="e">
        <f t="shared" ref="CL253" ca="1" si="2275">CL32/CL8</f>
        <v>#NAME?</v>
      </c>
      <c r="CM253" s="87" t="e">
        <f t="shared" ca="1" si="2274"/>
        <v>#NAME?</v>
      </c>
      <c r="CN253" s="87" t="e">
        <f t="shared" ca="1" si="2274"/>
        <v>#NAME?</v>
      </c>
      <c r="CO253" s="87" t="e">
        <f t="shared" ca="1" si="2274"/>
        <v>#NAME?</v>
      </c>
      <c r="CP253" s="87" t="e">
        <f t="shared" ca="1" si="2274"/>
        <v>#NAME?</v>
      </c>
      <c r="CQ253" s="87" t="e">
        <f t="shared" ca="1" si="2274"/>
        <v>#NAME?</v>
      </c>
      <c r="CR253" s="87" t="e">
        <f t="shared" ca="1" si="2274"/>
        <v>#NAME?</v>
      </c>
      <c r="CS253" s="87" t="e">
        <f t="shared" ca="1" si="2274"/>
        <v>#NAME?</v>
      </c>
      <c r="CT253" s="87" t="e">
        <f t="shared" ca="1" si="2274"/>
        <v>#NAME?</v>
      </c>
      <c r="CU253" s="87" t="e">
        <f t="shared" ca="1" si="2274"/>
        <v>#NAME?</v>
      </c>
      <c r="CV253" s="87" t="e">
        <f t="shared" ca="1" si="2274"/>
        <v>#NAME?</v>
      </c>
      <c r="CW253" s="87" t="e">
        <f t="shared" ca="1" si="2274"/>
        <v>#NAME?</v>
      </c>
      <c r="CX253" s="87" t="e">
        <f t="shared" ref="CX253:DB253" ca="1" si="2276">CX32/CX8</f>
        <v>#NAME?</v>
      </c>
      <c r="CY253" s="87" t="e">
        <f t="shared" ca="1" si="2276"/>
        <v>#NAME?</v>
      </c>
      <c r="CZ253" s="87" t="e">
        <f t="shared" ca="1" si="2276"/>
        <v>#NAME?</v>
      </c>
      <c r="DA253" s="87" t="e">
        <f t="shared" ca="1" si="2276"/>
        <v>#NAME?</v>
      </c>
      <c r="DB253" s="87" t="e">
        <f t="shared" ca="1" si="2276"/>
        <v>#NAME?</v>
      </c>
      <c r="DE253" s="141"/>
      <c r="DF253" s="86">
        <v>3.3890216689060899E-2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209063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209063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209063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209063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209063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45117</v>
      </c>
      <c r="B4" s="116">
        <v>426.45</v>
      </c>
      <c r="C4" s="116">
        <v>420.75</v>
      </c>
      <c r="D4" s="116">
        <v>401</v>
      </c>
      <c r="E4" s="116">
        <v>401</v>
      </c>
      <c r="F4" s="116">
        <v>420.75</v>
      </c>
      <c r="G4">
        <v>1419943</v>
      </c>
      <c r="H4" s="116"/>
      <c r="I4" s="116"/>
      <c r="L4" s="170">
        <v>45117</v>
      </c>
      <c r="M4" s="116">
        <v>420.6</v>
      </c>
      <c r="N4" s="116">
        <v>427</v>
      </c>
      <c r="O4" s="116">
        <v>403</v>
      </c>
      <c r="P4" s="116">
        <v>403</v>
      </c>
      <c r="Q4" s="116">
        <v>420.6</v>
      </c>
      <c r="R4">
        <v>21041989</v>
      </c>
    </row>
    <row r="5" spans="1:18" x14ac:dyDescent="0.25">
      <c r="A5" s="170">
        <v>45118</v>
      </c>
      <c r="B5" s="116">
        <v>504.9</v>
      </c>
      <c r="C5" s="116">
        <v>492.45</v>
      </c>
      <c r="D5" s="116">
        <v>420.5</v>
      </c>
      <c r="E5" s="116">
        <v>425.15</v>
      </c>
      <c r="F5" s="116">
        <v>492.45</v>
      </c>
      <c r="G5">
        <v>1455126</v>
      </c>
      <c r="H5" s="116"/>
      <c r="I5" s="116"/>
      <c r="L5" s="170">
        <v>45118</v>
      </c>
      <c r="M5" s="116">
        <v>493.2</v>
      </c>
      <c r="N5" s="116">
        <v>504.7</v>
      </c>
      <c r="O5" s="116">
        <v>420.8</v>
      </c>
      <c r="P5" s="116">
        <v>425.25</v>
      </c>
      <c r="Q5" s="116">
        <v>493.2</v>
      </c>
      <c r="R5">
        <v>14891955</v>
      </c>
    </row>
    <row r="6" spans="1:18" x14ac:dyDescent="0.25">
      <c r="A6" s="170">
        <v>45119</v>
      </c>
      <c r="B6" s="116">
        <v>547</v>
      </c>
      <c r="C6" s="116">
        <v>518.95000000000005</v>
      </c>
      <c r="D6" s="116">
        <v>506.6</v>
      </c>
      <c r="E6" s="116">
        <v>506.6</v>
      </c>
      <c r="F6" s="116">
        <v>518.95000000000005</v>
      </c>
      <c r="G6">
        <v>695217</v>
      </c>
      <c r="H6" s="116"/>
      <c r="I6" s="116"/>
      <c r="L6" s="170">
        <v>45119</v>
      </c>
      <c r="M6" s="116">
        <v>518.29999999999995</v>
      </c>
      <c r="N6" s="116">
        <v>547</v>
      </c>
      <c r="O6" s="116">
        <v>505.6</v>
      </c>
      <c r="P6" s="116">
        <v>507.5</v>
      </c>
      <c r="Q6" s="116">
        <v>518.29999999999995</v>
      </c>
      <c r="R6">
        <v>7921315</v>
      </c>
    </row>
    <row r="7" spans="1:18" x14ac:dyDescent="0.25">
      <c r="A7" s="170">
        <v>45120</v>
      </c>
      <c r="B7" s="116">
        <v>537</v>
      </c>
      <c r="C7" s="116">
        <v>513.9</v>
      </c>
      <c r="D7" s="116">
        <v>502</v>
      </c>
      <c r="E7" s="116">
        <v>524</v>
      </c>
      <c r="F7" s="116">
        <v>513.9</v>
      </c>
      <c r="G7">
        <v>355219</v>
      </c>
      <c r="H7" s="116"/>
      <c r="I7" s="116"/>
      <c r="L7" s="170">
        <v>45120</v>
      </c>
      <c r="M7" s="116">
        <v>514</v>
      </c>
      <c r="N7" s="116">
        <v>537</v>
      </c>
      <c r="O7" s="116">
        <v>502</v>
      </c>
      <c r="P7" s="116">
        <v>524.54999999999995</v>
      </c>
      <c r="Q7" s="116">
        <v>514</v>
      </c>
      <c r="R7">
        <v>3189609</v>
      </c>
    </row>
    <row r="8" spans="1:18" x14ac:dyDescent="0.25">
      <c r="A8" s="170">
        <v>45121</v>
      </c>
      <c r="B8" s="116">
        <v>521.9</v>
      </c>
      <c r="C8" s="116">
        <v>501.45</v>
      </c>
      <c r="D8" s="116">
        <v>493.5</v>
      </c>
      <c r="E8" s="116">
        <v>517.9</v>
      </c>
      <c r="F8" s="116">
        <v>501.45</v>
      </c>
      <c r="G8">
        <v>112378</v>
      </c>
      <c r="H8" s="116"/>
      <c r="I8" s="116"/>
      <c r="L8" s="170">
        <v>45121</v>
      </c>
      <c r="M8" s="116">
        <v>501.9</v>
      </c>
      <c r="N8" s="116">
        <v>522.20000000000005</v>
      </c>
      <c r="O8" s="116">
        <v>493.55</v>
      </c>
      <c r="P8" s="116">
        <v>516.5</v>
      </c>
      <c r="Q8" s="116">
        <v>501.9</v>
      </c>
      <c r="R8">
        <v>1395304</v>
      </c>
    </row>
    <row r="9" spans="1:18" x14ac:dyDescent="0.25">
      <c r="A9" s="170">
        <v>45124</v>
      </c>
      <c r="B9" s="116">
        <v>532.20000000000005</v>
      </c>
      <c r="C9" s="116">
        <v>510.95</v>
      </c>
      <c r="D9" s="116">
        <v>505.7</v>
      </c>
      <c r="E9" s="116">
        <v>505.95</v>
      </c>
      <c r="F9" s="116">
        <v>510.95</v>
      </c>
      <c r="G9">
        <v>147276</v>
      </c>
      <c r="H9" s="116"/>
      <c r="I9" s="116"/>
      <c r="L9" s="170">
        <v>45124</v>
      </c>
      <c r="M9" s="116">
        <v>510.65</v>
      </c>
      <c r="N9" s="116">
        <v>532.35</v>
      </c>
      <c r="O9" s="116">
        <v>505.1</v>
      </c>
      <c r="P9" s="116">
        <v>507.5</v>
      </c>
      <c r="Q9" s="116">
        <v>510.65</v>
      </c>
      <c r="R9">
        <v>2250952</v>
      </c>
    </row>
    <row r="10" spans="1:18" x14ac:dyDescent="0.25">
      <c r="A10" s="170">
        <v>45125</v>
      </c>
      <c r="B10" s="116">
        <v>517.6</v>
      </c>
      <c r="C10" s="116">
        <v>497.35</v>
      </c>
      <c r="D10" s="116">
        <v>494</v>
      </c>
      <c r="E10" s="116">
        <v>511</v>
      </c>
      <c r="F10" s="116">
        <v>497.35</v>
      </c>
      <c r="G10">
        <v>69487</v>
      </c>
      <c r="H10" s="116"/>
      <c r="I10" s="116"/>
      <c r="L10" s="170">
        <v>45125</v>
      </c>
      <c r="M10" s="116">
        <v>497.5</v>
      </c>
      <c r="N10" s="116">
        <v>517.4</v>
      </c>
      <c r="O10" s="116">
        <v>494.55</v>
      </c>
      <c r="P10" s="116">
        <v>513.9</v>
      </c>
      <c r="Q10" s="116">
        <v>497.5</v>
      </c>
      <c r="R10">
        <v>821334</v>
      </c>
    </row>
    <row r="11" spans="1:18" x14ac:dyDescent="0.25">
      <c r="A11" s="170">
        <v>45126</v>
      </c>
      <c r="B11" s="116">
        <v>507.45</v>
      </c>
      <c r="C11" s="116">
        <v>504.5</v>
      </c>
      <c r="D11" s="116">
        <v>492.4</v>
      </c>
      <c r="E11" s="116">
        <v>507.45</v>
      </c>
      <c r="F11" s="116">
        <v>504.5</v>
      </c>
      <c r="G11">
        <v>36842</v>
      </c>
      <c r="H11" s="116"/>
      <c r="I11" s="116"/>
      <c r="L11" s="170">
        <v>45126</v>
      </c>
      <c r="M11" s="116">
        <v>504.75</v>
      </c>
      <c r="N11" s="116">
        <v>508</v>
      </c>
      <c r="O11" s="116">
        <v>492</v>
      </c>
      <c r="P11" s="116">
        <v>498.95</v>
      </c>
      <c r="Q11" s="116">
        <v>504.75</v>
      </c>
      <c r="R11">
        <v>978219</v>
      </c>
    </row>
    <row r="12" spans="1:18" x14ac:dyDescent="0.25">
      <c r="A12" s="170">
        <v>45127</v>
      </c>
      <c r="B12" s="116">
        <v>513.29999999999995</v>
      </c>
      <c r="C12" s="116">
        <v>507.95</v>
      </c>
      <c r="D12" s="116">
        <v>502</v>
      </c>
      <c r="E12" s="116">
        <v>505.55</v>
      </c>
      <c r="F12" s="116">
        <v>507.95</v>
      </c>
      <c r="G12">
        <v>39343</v>
      </c>
      <c r="H12" s="116"/>
      <c r="I12" s="116"/>
      <c r="L12" s="170">
        <v>45127</v>
      </c>
      <c r="M12" s="116">
        <v>508.2</v>
      </c>
      <c r="N12" s="116">
        <v>513</v>
      </c>
      <c r="O12" s="116">
        <v>501.95</v>
      </c>
      <c r="P12" s="116">
        <v>506.45</v>
      </c>
      <c r="Q12" s="116">
        <v>508.2</v>
      </c>
      <c r="R12">
        <v>588540</v>
      </c>
    </row>
    <row r="13" spans="1:18" x14ac:dyDescent="0.25">
      <c r="A13" s="170">
        <v>45128</v>
      </c>
      <c r="B13" s="116">
        <v>507.9</v>
      </c>
      <c r="C13" s="116">
        <v>496.25</v>
      </c>
      <c r="D13" s="116">
        <v>491.7</v>
      </c>
      <c r="E13" s="116">
        <v>507.9</v>
      </c>
      <c r="F13" s="116">
        <v>496.25</v>
      </c>
      <c r="G13">
        <v>34063</v>
      </c>
      <c r="H13" s="116"/>
      <c r="I13" s="116"/>
      <c r="L13" s="170">
        <v>45128</v>
      </c>
      <c r="M13" s="116">
        <v>496.8</v>
      </c>
      <c r="N13" s="116">
        <v>508.25</v>
      </c>
      <c r="O13" s="116">
        <v>492.95</v>
      </c>
      <c r="P13" s="116">
        <v>505.05</v>
      </c>
      <c r="Q13" s="116">
        <v>496.8</v>
      </c>
      <c r="R13">
        <v>548249</v>
      </c>
    </row>
    <row r="14" spans="1:18" x14ac:dyDescent="0.25">
      <c r="A14" s="170">
        <v>45131</v>
      </c>
      <c r="B14" s="116">
        <v>506.35</v>
      </c>
      <c r="C14" s="116">
        <v>494</v>
      </c>
      <c r="D14" s="116">
        <v>451</v>
      </c>
      <c r="E14" s="116">
        <v>475</v>
      </c>
      <c r="F14" s="116">
        <v>494</v>
      </c>
      <c r="G14">
        <v>139344</v>
      </c>
      <c r="H14" s="116"/>
      <c r="I14" s="116"/>
      <c r="L14" s="170">
        <v>45131</v>
      </c>
      <c r="M14" s="116">
        <v>493.95</v>
      </c>
      <c r="N14" s="116">
        <v>506.7</v>
      </c>
      <c r="O14" s="116">
        <v>450.05</v>
      </c>
      <c r="P14" s="116">
        <v>470.15</v>
      </c>
      <c r="Q14" s="116">
        <v>493.95</v>
      </c>
      <c r="R14">
        <v>2061687</v>
      </c>
    </row>
    <row r="15" spans="1:18" x14ac:dyDescent="0.25">
      <c r="A15" s="170">
        <v>45132</v>
      </c>
      <c r="B15" s="116">
        <v>500</v>
      </c>
      <c r="C15" s="116">
        <v>478.85</v>
      </c>
      <c r="D15" s="116">
        <v>474.2</v>
      </c>
      <c r="E15" s="116">
        <v>500</v>
      </c>
      <c r="F15" s="116">
        <v>478.85</v>
      </c>
      <c r="G15">
        <v>52429</v>
      </c>
      <c r="H15" s="116"/>
      <c r="I15" s="116"/>
      <c r="L15" s="170">
        <v>45132</v>
      </c>
      <c r="M15" s="116">
        <v>478.7</v>
      </c>
      <c r="N15" s="116">
        <v>500</v>
      </c>
      <c r="O15" s="116">
        <v>470</v>
      </c>
      <c r="P15" s="116">
        <v>500</v>
      </c>
      <c r="Q15" s="116">
        <v>478.7</v>
      </c>
      <c r="R15">
        <v>377215</v>
      </c>
    </row>
    <row r="16" spans="1:18" x14ac:dyDescent="0.25">
      <c r="A16" s="170">
        <v>45133</v>
      </c>
      <c r="B16" s="116">
        <v>498.2</v>
      </c>
      <c r="C16" s="116">
        <v>496</v>
      </c>
      <c r="D16" s="116">
        <v>474.9</v>
      </c>
      <c r="E16" s="116">
        <v>478.05</v>
      </c>
      <c r="F16" s="116">
        <v>496</v>
      </c>
      <c r="G16">
        <v>72649</v>
      </c>
      <c r="H16" s="116"/>
      <c r="I16" s="116"/>
      <c r="L16" s="170">
        <v>45133</v>
      </c>
      <c r="M16" s="116">
        <v>495.45</v>
      </c>
      <c r="N16" s="116">
        <v>498.4</v>
      </c>
      <c r="O16" s="116">
        <v>474.95</v>
      </c>
      <c r="P16" s="116">
        <v>478.95</v>
      </c>
      <c r="Q16" s="116">
        <v>495.45</v>
      </c>
      <c r="R16">
        <v>474453</v>
      </c>
    </row>
    <row r="17" spans="1:18" x14ac:dyDescent="0.25">
      <c r="A17" s="170">
        <v>45134</v>
      </c>
      <c r="B17" s="116">
        <v>506</v>
      </c>
      <c r="C17" s="116">
        <v>504.1</v>
      </c>
      <c r="D17" s="116">
        <v>489.8</v>
      </c>
      <c r="E17" s="116">
        <v>499</v>
      </c>
      <c r="F17" s="116">
        <v>504.1</v>
      </c>
      <c r="G17">
        <v>77304</v>
      </c>
      <c r="H17" s="116"/>
      <c r="I17" s="116"/>
      <c r="L17" s="170">
        <v>45134</v>
      </c>
      <c r="M17" s="116">
        <v>503.35</v>
      </c>
      <c r="N17" s="116">
        <v>506.95</v>
      </c>
      <c r="O17" s="116">
        <v>490.2</v>
      </c>
      <c r="P17" s="116">
        <v>499</v>
      </c>
      <c r="Q17" s="116">
        <v>503.35</v>
      </c>
      <c r="R17">
        <v>697707</v>
      </c>
    </row>
    <row r="18" spans="1:18" x14ac:dyDescent="0.25">
      <c r="A18" s="170">
        <v>45135</v>
      </c>
      <c r="B18" s="116">
        <v>531</v>
      </c>
      <c r="C18" s="116">
        <v>510.25</v>
      </c>
      <c r="D18" s="116">
        <v>498.1</v>
      </c>
      <c r="E18" s="116">
        <v>505</v>
      </c>
      <c r="F18" s="116">
        <v>510.25</v>
      </c>
      <c r="G18">
        <v>127823</v>
      </c>
      <c r="H18" s="116"/>
      <c r="I18" s="116"/>
      <c r="L18" s="170">
        <v>45135</v>
      </c>
      <c r="M18" s="116">
        <v>509.3</v>
      </c>
      <c r="N18" s="116">
        <v>531.20000000000005</v>
      </c>
      <c r="O18" s="116">
        <v>498.55</v>
      </c>
      <c r="P18" s="116">
        <v>505.9</v>
      </c>
      <c r="Q18" s="116">
        <v>509.3</v>
      </c>
      <c r="R18">
        <v>1026623</v>
      </c>
    </row>
    <row r="19" spans="1:18" x14ac:dyDescent="0.25">
      <c r="A19" s="170">
        <v>45138</v>
      </c>
      <c r="B19" s="116">
        <v>522</v>
      </c>
      <c r="C19" s="116">
        <v>515.95000000000005</v>
      </c>
      <c r="D19" s="116">
        <v>510.3</v>
      </c>
      <c r="E19" s="116">
        <v>511.05</v>
      </c>
      <c r="F19" s="116">
        <v>515.95000000000005</v>
      </c>
      <c r="G19">
        <v>62343</v>
      </c>
      <c r="H19" s="116"/>
      <c r="I19" s="116"/>
      <c r="L19" s="170">
        <v>45138</v>
      </c>
      <c r="M19" s="116">
        <v>515.79999999999995</v>
      </c>
      <c r="N19" s="116">
        <v>523.4</v>
      </c>
      <c r="O19" s="116">
        <v>510.6</v>
      </c>
      <c r="P19" s="116">
        <v>523.35</v>
      </c>
      <c r="Q19" s="116">
        <v>515.79999999999995</v>
      </c>
      <c r="R19">
        <v>474234</v>
      </c>
    </row>
    <row r="20" spans="1:18" x14ac:dyDescent="0.25">
      <c r="A20" s="170">
        <v>45139</v>
      </c>
      <c r="B20" s="116">
        <v>516.85</v>
      </c>
      <c r="C20" s="116">
        <v>512.15</v>
      </c>
      <c r="D20" s="116">
        <v>503.05</v>
      </c>
      <c r="E20" s="116">
        <v>515</v>
      </c>
      <c r="F20" s="116">
        <v>512.15</v>
      </c>
      <c r="G20">
        <v>45474</v>
      </c>
      <c r="H20" s="116"/>
      <c r="I20" s="116"/>
      <c r="L20" s="170">
        <v>45139</v>
      </c>
      <c r="M20" s="116">
        <v>512.95000000000005</v>
      </c>
      <c r="N20" s="116">
        <v>517</v>
      </c>
      <c r="O20" s="116">
        <v>503</v>
      </c>
      <c r="P20" s="116">
        <v>514.79999999999995</v>
      </c>
      <c r="Q20" s="116">
        <v>512.95000000000005</v>
      </c>
      <c r="R20">
        <v>256967</v>
      </c>
    </row>
    <row r="21" spans="1:18" x14ac:dyDescent="0.25">
      <c r="A21" s="170">
        <v>45140</v>
      </c>
      <c r="B21" s="116">
        <v>510</v>
      </c>
      <c r="C21" s="116">
        <v>494.8</v>
      </c>
      <c r="D21" s="116">
        <v>491.05</v>
      </c>
      <c r="E21" s="116">
        <v>509</v>
      </c>
      <c r="F21" s="116">
        <v>494.8</v>
      </c>
      <c r="G21">
        <v>29462</v>
      </c>
      <c r="H21" s="116"/>
      <c r="I21" s="116"/>
      <c r="L21" s="170">
        <v>45140</v>
      </c>
      <c r="M21" s="116">
        <v>493.9</v>
      </c>
      <c r="N21" s="116">
        <v>510.7</v>
      </c>
      <c r="O21" s="116">
        <v>490</v>
      </c>
      <c r="P21" s="116">
        <v>509</v>
      </c>
      <c r="Q21" s="116">
        <v>493.9</v>
      </c>
      <c r="R21">
        <v>293450</v>
      </c>
    </row>
    <row r="22" spans="1:18" x14ac:dyDescent="0.25">
      <c r="A22" s="170">
        <v>45141</v>
      </c>
      <c r="B22" s="116">
        <v>498.45</v>
      </c>
      <c r="C22" s="116">
        <v>490.35</v>
      </c>
      <c r="D22" s="116">
        <v>488.25</v>
      </c>
      <c r="E22" s="116">
        <v>492</v>
      </c>
      <c r="F22" s="116">
        <v>490.35</v>
      </c>
      <c r="G22">
        <v>41535</v>
      </c>
      <c r="H22" s="116"/>
      <c r="I22" s="116"/>
      <c r="L22" s="170">
        <v>45141</v>
      </c>
      <c r="M22" s="116">
        <v>489.8</v>
      </c>
      <c r="N22" s="116">
        <v>498.45</v>
      </c>
      <c r="O22" s="116">
        <v>488</v>
      </c>
      <c r="P22" s="116">
        <v>493.8</v>
      </c>
      <c r="Q22" s="116">
        <v>489.8</v>
      </c>
      <c r="R22">
        <v>193486</v>
      </c>
    </row>
    <row r="23" spans="1:18" x14ac:dyDescent="0.25">
      <c r="A23" s="170">
        <v>45142</v>
      </c>
      <c r="B23" s="116">
        <v>509</v>
      </c>
      <c r="C23" s="116">
        <v>504.7</v>
      </c>
      <c r="D23" s="116">
        <v>482.9</v>
      </c>
      <c r="E23" s="116">
        <v>490.75</v>
      </c>
      <c r="F23" s="116">
        <v>504.7</v>
      </c>
      <c r="G23">
        <v>77652</v>
      </c>
      <c r="H23" s="116"/>
      <c r="I23" s="116"/>
      <c r="L23" s="170">
        <v>45142</v>
      </c>
      <c r="M23" s="116">
        <v>504.7</v>
      </c>
      <c r="N23" s="116">
        <v>509.05</v>
      </c>
      <c r="O23" s="116">
        <v>483.05</v>
      </c>
      <c r="P23" s="116">
        <v>493.65</v>
      </c>
      <c r="Q23" s="116">
        <v>504.7</v>
      </c>
      <c r="R23">
        <v>1010093</v>
      </c>
    </row>
    <row r="24" spans="1:18" x14ac:dyDescent="0.25">
      <c r="A24" s="170">
        <v>45145</v>
      </c>
      <c r="B24" s="116">
        <v>509.95</v>
      </c>
      <c r="C24" s="116">
        <v>497.85</v>
      </c>
      <c r="D24" s="116">
        <v>491.45</v>
      </c>
      <c r="E24" s="116">
        <v>507</v>
      </c>
      <c r="F24" s="116">
        <v>497.85</v>
      </c>
      <c r="G24">
        <v>27478</v>
      </c>
      <c r="H24" s="116"/>
      <c r="I24" s="116"/>
      <c r="L24" s="170">
        <v>45145</v>
      </c>
      <c r="M24" s="116">
        <v>498.2</v>
      </c>
      <c r="N24" s="116">
        <v>510</v>
      </c>
      <c r="O24" s="116">
        <v>491.3</v>
      </c>
      <c r="P24" s="116">
        <v>509</v>
      </c>
      <c r="Q24" s="116">
        <v>498.2</v>
      </c>
      <c r="R24">
        <v>463115</v>
      </c>
    </row>
    <row r="25" spans="1:18" x14ac:dyDescent="0.25">
      <c r="A25" s="170">
        <v>45146</v>
      </c>
      <c r="B25" s="116">
        <v>498.35</v>
      </c>
      <c r="C25" s="116">
        <v>494.35</v>
      </c>
      <c r="D25" s="116">
        <v>490.55</v>
      </c>
      <c r="E25" s="116">
        <v>497.85</v>
      </c>
      <c r="F25" s="116">
        <v>494.35</v>
      </c>
      <c r="G25">
        <v>11507</v>
      </c>
      <c r="H25" s="116"/>
      <c r="I25" s="116"/>
      <c r="L25" s="170">
        <v>45146</v>
      </c>
      <c r="M25" s="116">
        <v>495</v>
      </c>
      <c r="N25" s="116">
        <v>498.4</v>
      </c>
      <c r="O25" s="116">
        <v>490.35</v>
      </c>
      <c r="P25" s="116">
        <v>498.2</v>
      </c>
      <c r="Q25" s="116">
        <v>495</v>
      </c>
      <c r="R25">
        <v>366379</v>
      </c>
    </row>
    <row r="26" spans="1:18" x14ac:dyDescent="0.25">
      <c r="A26" s="170">
        <v>45147</v>
      </c>
      <c r="B26" s="116">
        <v>498</v>
      </c>
      <c r="C26" s="116">
        <v>491.35</v>
      </c>
      <c r="D26" s="116">
        <v>490</v>
      </c>
      <c r="E26" s="116">
        <v>494</v>
      </c>
      <c r="F26" s="116">
        <v>491.35</v>
      </c>
      <c r="G26">
        <v>5193</v>
      </c>
      <c r="H26" s="116"/>
      <c r="I26" s="116"/>
      <c r="L26" s="170">
        <v>45147</v>
      </c>
      <c r="M26" s="116">
        <v>491.3</v>
      </c>
      <c r="N26" s="116">
        <v>498</v>
      </c>
      <c r="O26" s="116">
        <v>490</v>
      </c>
      <c r="P26" s="116">
        <v>497.95</v>
      </c>
      <c r="Q26" s="116">
        <v>491.3</v>
      </c>
      <c r="R26">
        <v>92396</v>
      </c>
    </row>
    <row r="27" spans="1:18" x14ac:dyDescent="0.25">
      <c r="A27" s="170">
        <v>45148</v>
      </c>
      <c r="B27" s="116">
        <v>503.95</v>
      </c>
      <c r="C27" s="116">
        <v>496.2</v>
      </c>
      <c r="D27" s="116">
        <v>488</v>
      </c>
      <c r="E27" s="116">
        <v>488</v>
      </c>
      <c r="F27" s="116">
        <v>496.2</v>
      </c>
      <c r="G27">
        <v>18022</v>
      </c>
      <c r="H27" s="116"/>
      <c r="I27" s="116"/>
      <c r="L27" s="170">
        <v>45148</v>
      </c>
      <c r="M27" s="116">
        <v>496.75</v>
      </c>
      <c r="N27" s="116">
        <v>503.65</v>
      </c>
      <c r="O27" s="116">
        <v>490</v>
      </c>
      <c r="P27" s="116">
        <v>491</v>
      </c>
      <c r="Q27" s="116">
        <v>496.75</v>
      </c>
      <c r="R27">
        <v>153840</v>
      </c>
    </row>
    <row r="28" spans="1:18" x14ac:dyDescent="0.25">
      <c r="A28" s="170">
        <v>45149</v>
      </c>
      <c r="B28" s="116">
        <v>505</v>
      </c>
      <c r="C28" s="116">
        <v>487.9</v>
      </c>
      <c r="D28" s="116">
        <v>478.95</v>
      </c>
      <c r="E28" s="116">
        <v>505</v>
      </c>
      <c r="F28" s="116">
        <v>487.9</v>
      </c>
      <c r="G28">
        <v>23543</v>
      </c>
      <c r="H28" s="116"/>
      <c r="I28" s="116"/>
      <c r="L28" s="170">
        <v>45149</v>
      </c>
      <c r="M28" s="116">
        <v>487.75</v>
      </c>
      <c r="N28" s="116">
        <v>503</v>
      </c>
      <c r="O28" s="116">
        <v>479</v>
      </c>
      <c r="P28" s="116">
        <v>503</v>
      </c>
      <c r="Q28" s="116">
        <v>487.75</v>
      </c>
      <c r="R28">
        <v>260714</v>
      </c>
    </row>
    <row r="29" spans="1:18" x14ac:dyDescent="0.25">
      <c r="A29" s="170">
        <v>45152</v>
      </c>
      <c r="B29" s="116">
        <v>498</v>
      </c>
      <c r="C29" s="116">
        <v>494.25</v>
      </c>
      <c r="D29" s="116">
        <v>465.05</v>
      </c>
      <c r="E29" s="116">
        <v>484</v>
      </c>
      <c r="F29" s="116">
        <v>494.25</v>
      </c>
      <c r="G29">
        <v>36256</v>
      </c>
      <c r="H29" s="116"/>
      <c r="I29" s="116"/>
      <c r="L29" s="170">
        <v>45152</v>
      </c>
      <c r="M29" s="116">
        <v>494.25</v>
      </c>
      <c r="N29" s="116">
        <v>498.4</v>
      </c>
      <c r="O29" s="116">
        <v>466.05</v>
      </c>
      <c r="P29" s="116">
        <v>487</v>
      </c>
      <c r="Q29" s="116">
        <v>494.25</v>
      </c>
      <c r="R29">
        <v>204079</v>
      </c>
    </row>
    <row r="30" spans="1:18" x14ac:dyDescent="0.25">
      <c r="A30" s="170">
        <v>45154</v>
      </c>
      <c r="B30" s="116">
        <v>502</v>
      </c>
      <c r="C30" s="116">
        <v>495</v>
      </c>
      <c r="D30" s="116">
        <v>491.15</v>
      </c>
      <c r="E30" s="116">
        <v>492</v>
      </c>
      <c r="F30" s="116">
        <v>495</v>
      </c>
      <c r="G30">
        <v>20276</v>
      </c>
      <c r="H30" s="116"/>
      <c r="I30" s="116"/>
      <c r="L30" s="170">
        <v>45154</v>
      </c>
      <c r="M30" s="116">
        <v>495.45</v>
      </c>
      <c r="N30" s="116">
        <v>502.15</v>
      </c>
      <c r="O30" s="116">
        <v>491.8</v>
      </c>
      <c r="P30" s="116">
        <v>494.05</v>
      </c>
      <c r="Q30" s="116">
        <v>495.45</v>
      </c>
      <c r="R30">
        <v>124664</v>
      </c>
    </row>
    <row r="31" spans="1:18" x14ac:dyDescent="0.25">
      <c r="A31" s="170">
        <v>45155</v>
      </c>
      <c r="B31" s="116">
        <v>512</v>
      </c>
      <c r="C31" s="116">
        <v>508.75</v>
      </c>
      <c r="D31" s="116">
        <v>492</v>
      </c>
      <c r="E31" s="116">
        <v>492</v>
      </c>
      <c r="F31" s="116">
        <v>508.75</v>
      </c>
      <c r="G31">
        <v>20598</v>
      </c>
      <c r="H31" s="116"/>
      <c r="I31" s="116"/>
      <c r="L31" s="170">
        <v>45155</v>
      </c>
      <c r="M31" s="116">
        <v>507.9</v>
      </c>
      <c r="N31" s="116">
        <v>513</v>
      </c>
      <c r="O31" s="116">
        <v>491.8</v>
      </c>
      <c r="P31" s="116">
        <v>495</v>
      </c>
      <c r="Q31" s="116">
        <v>507.9</v>
      </c>
      <c r="R31">
        <v>284248</v>
      </c>
    </row>
    <row r="32" spans="1:18" x14ac:dyDescent="0.25">
      <c r="A32" s="170">
        <v>45156</v>
      </c>
      <c r="B32" s="116">
        <v>518</v>
      </c>
      <c r="C32" s="116">
        <v>515.45000000000005</v>
      </c>
      <c r="D32" s="116">
        <v>505.35</v>
      </c>
      <c r="E32" s="116">
        <v>509.05</v>
      </c>
      <c r="F32" s="116">
        <v>515.45000000000005</v>
      </c>
      <c r="G32">
        <v>44864</v>
      </c>
      <c r="H32" s="116"/>
      <c r="I32" s="116"/>
      <c r="L32" s="170">
        <v>45156</v>
      </c>
      <c r="M32" s="116">
        <v>515.4</v>
      </c>
      <c r="N32" s="116">
        <v>518</v>
      </c>
      <c r="O32" s="116">
        <v>505</v>
      </c>
      <c r="P32" s="116">
        <v>514.9</v>
      </c>
      <c r="Q32" s="116">
        <v>515.4</v>
      </c>
      <c r="R32">
        <v>335915</v>
      </c>
    </row>
    <row r="33" spans="1:18" x14ac:dyDescent="0.25">
      <c r="A33" s="170">
        <v>45159</v>
      </c>
      <c r="B33" s="116">
        <v>567.9</v>
      </c>
      <c r="C33" s="116">
        <v>553.4</v>
      </c>
      <c r="D33" s="116">
        <v>511.85</v>
      </c>
      <c r="E33" s="116">
        <v>515.5</v>
      </c>
      <c r="F33" s="116">
        <v>553.4</v>
      </c>
      <c r="G33">
        <v>167669</v>
      </c>
      <c r="H33" s="116"/>
      <c r="I33" s="116"/>
      <c r="L33" s="170">
        <v>45159</v>
      </c>
      <c r="M33" s="116">
        <v>554.25</v>
      </c>
      <c r="N33" s="116">
        <v>567.9</v>
      </c>
      <c r="O33" s="116">
        <v>512.5</v>
      </c>
      <c r="P33" s="116">
        <v>519.4</v>
      </c>
      <c r="Q33" s="116">
        <v>554.25</v>
      </c>
      <c r="R33">
        <v>1338130</v>
      </c>
    </row>
    <row r="34" spans="1:18" x14ac:dyDescent="0.25">
      <c r="A34" s="170">
        <v>45160</v>
      </c>
      <c r="B34" s="116">
        <v>573.20000000000005</v>
      </c>
      <c r="C34" s="116">
        <v>553.95000000000005</v>
      </c>
      <c r="D34" s="116">
        <v>544.85</v>
      </c>
      <c r="E34" s="116">
        <v>560.04999999999995</v>
      </c>
      <c r="F34" s="116">
        <v>553.95000000000005</v>
      </c>
      <c r="G34">
        <v>34513</v>
      </c>
      <c r="H34" s="116"/>
      <c r="I34" s="116"/>
      <c r="L34" s="170">
        <v>45160</v>
      </c>
      <c r="M34" s="116">
        <v>554.1</v>
      </c>
      <c r="N34" s="116">
        <v>573</v>
      </c>
      <c r="O34" s="116">
        <v>545.25</v>
      </c>
      <c r="P34" s="116">
        <v>562</v>
      </c>
      <c r="Q34" s="116">
        <v>554.1</v>
      </c>
      <c r="R34">
        <v>594514</v>
      </c>
    </row>
    <row r="35" spans="1:18" x14ac:dyDescent="0.25">
      <c r="A35" s="170">
        <v>45161</v>
      </c>
      <c r="B35" s="116">
        <v>577.15</v>
      </c>
      <c r="C35" s="116">
        <v>563.4</v>
      </c>
      <c r="D35" s="116">
        <v>548.1</v>
      </c>
      <c r="E35" s="116">
        <v>548.1</v>
      </c>
      <c r="F35" s="116">
        <v>563.4</v>
      </c>
      <c r="G35">
        <v>46802</v>
      </c>
      <c r="H35" s="116"/>
      <c r="I35" s="116"/>
      <c r="L35" s="170">
        <v>45161</v>
      </c>
      <c r="M35" s="116">
        <v>562.25</v>
      </c>
      <c r="N35" s="116">
        <v>577.35</v>
      </c>
      <c r="O35" s="116">
        <v>550.25</v>
      </c>
      <c r="P35" s="116">
        <v>557</v>
      </c>
      <c r="Q35" s="116">
        <v>562.25</v>
      </c>
      <c r="R35">
        <v>502513</v>
      </c>
    </row>
    <row r="36" spans="1:18" x14ac:dyDescent="0.25">
      <c r="A36" s="170">
        <v>45162</v>
      </c>
      <c r="B36" s="116">
        <v>576.6</v>
      </c>
      <c r="C36" s="116">
        <v>568.70000000000005</v>
      </c>
      <c r="D36" s="116">
        <v>554.85</v>
      </c>
      <c r="E36" s="116">
        <v>563.4</v>
      </c>
      <c r="F36" s="116">
        <v>568.70000000000005</v>
      </c>
      <c r="G36">
        <v>40486</v>
      </c>
      <c r="H36" s="116"/>
      <c r="I36" s="116"/>
      <c r="L36" s="170">
        <v>45162</v>
      </c>
      <c r="M36" s="116">
        <v>568.6</v>
      </c>
      <c r="N36" s="116">
        <v>576</v>
      </c>
      <c r="O36" s="116">
        <v>555</v>
      </c>
      <c r="P36" s="116">
        <v>570</v>
      </c>
      <c r="Q36" s="116">
        <v>568.6</v>
      </c>
      <c r="R36">
        <v>376212</v>
      </c>
    </row>
    <row r="37" spans="1:18" x14ac:dyDescent="0.25">
      <c r="A37" s="170">
        <v>45163</v>
      </c>
      <c r="B37" s="116">
        <v>586</v>
      </c>
      <c r="C37" s="116">
        <v>574.1</v>
      </c>
      <c r="D37" s="116">
        <v>556.35</v>
      </c>
      <c r="E37" s="116">
        <v>556.35</v>
      </c>
      <c r="F37" s="116">
        <v>574.1</v>
      </c>
      <c r="G37">
        <v>45942</v>
      </c>
      <c r="H37" s="116"/>
      <c r="I37" s="116"/>
      <c r="L37" s="170">
        <v>45163</v>
      </c>
      <c r="M37" s="116">
        <v>574.5</v>
      </c>
      <c r="N37" s="116">
        <v>586.04999999999995</v>
      </c>
      <c r="O37" s="116">
        <v>561.1</v>
      </c>
      <c r="P37" s="116">
        <v>562</v>
      </c>
      <c r="Q37" s="116">
        <v>574.5</v>
      </c>
      <c r="R37">
        <v>342786</v>
      </c>
    </row>
    <row r="38" spans="1:18" x14ac:dyDescent="0.25">
      <c r="A38" s="170">
        <v>45166</v>
      </c>
      <c r="B38" s="116">
        <v>584.15</v>
      </c>
      <c r="C38" s="116">
        <v>573.6</v>
      </c>
      <c r="D38" s="116">
        <v>567.54999999999995</v>
      </c>
      <c r="E38" s="116">
        <v>580</v>
      </c>
      <c r="F38" s="116">
        <v>573.6</v>
      </c>
      <c r="G38">
        <v>11363</v>
      </c>
      <c r="H38" s="116"/>
      <c r="I38" s="116"/>
      <c r="L38" s="170">
        <v>45166</v>
      </c>
      <c r="M38" s="116">
        <v>573.6</v>
      </c>
      <c r="N38" s="116">
        <v>583</v>
      </c>
      <c r="O38" s="116">
        <v>567.1</v>
      </c>
      <c r="P38" s="116">
        <v>580</v>
      </c>
      <c r="Q38" s="116">
        <v>573.6</v>
      </c>
      <c r="R38">
        <v>181083</v>
      </c>
    </row>
    <row r="39" spans="1:18" x14ac:dyDescent="0.25">
      <c r="A39" s="170">
        <v>45167</v>
      </c>
      <c r="B39" s="116">
        <v>574.5</v>
      </c>
      <c r="C39" s="116">
        <v>555.9</v>
      </c>
      <c r="D39" s="116">
        <v>553</v>
      </c>
      <c r="E39" s="116">
        <v>573.6</v>
      </c>
      <c r="F39" s="116">
        <v>555.9</v>
      </c>
      <c r="G39">
        <v>35984</v>
      </c>
      <c r="H39" s="116"/>
      <c r="I39" s="116"/>
      <c r="L39" s="170">
        <v>45167</v>
      </c>
      <c r="M39" s="116">
        <v>556.70000000000005</v>
      </c>
      <c r="N39" s="116">
        <v>575.1</v>
      </c>
      <c r="O39" s="116">
        <v>553.29999999999995</v>
      </c>
      <c r="P39" s="116">
        <v>574.9</v>
      </c>
      <c r="Q39" s="116">
        <v>556.70000000000005</v>
      </c>
      <c r="R39">
        <v>129667</v>
      </c>
    </row>
    <row r="40" spans="1:18" x14ac:dyDescent="0.25">
      <c r="A40" s="170">
        <v>45168</v>
      </c>
      <c r="B40" s="116">
        <v>568.75</v>
      </c>
      <c r="C40" s="116">
        <v>556.75</v>
      </c>
      <c r="D40" s="116">
        <v>550.15</v>
      </c>
      <c r="E40" s="116">
        <v>560</v>
      </c>
      <c r="F40" s="116">
        <v>556.75</v>
      </c>
      <c r="G40">
        <v>23646</v>
      </c>
      <c r="H40" s="116"/>
      <c r="I40" s="116"/>
      <c r="L40" s="170">
        <v>45168</v>
      </c>
      <c r="M40" s="116">
        <v>556.15</v>
      </c>
      <c r="N40" s="116">
        <v>569</v>
      </c>
      <c r="O40" s="116">
        <v>548</v>
      </c>
      <c r="P40" s="116">
        <v>557.5</v>
      </c>
      <c r="Q40" s="116">
        <v>556.15</v>
      </c>
      <c r="R40">
        <v>242641</v>
      </c>
    </row>
    <row r="41" spans="1:18" x14ac:dyDescent="0.25">
      <c r="A41" s="170">
        <v>45169</v>
      </c>
      <c r="B41" s="116">
        <v>604.54999999999995</v>
      </c>
      <c r="C41" s="116">
        <v>598.25</v>
      </c>
      <c r="D41" s="116">
        <v>550</v>
      </c>
      <c r="E41" s="116">
        <v>555</v>
      </c>
      <c r="F41" s="116">
        <v>598.25</v>
      </c>
      <c r="G41">
        <v>94997</v>
      </c>
      <c r="H41" s="116"/>
      <c r="I41" s="116"/>
      <c r="L41" s="170">
        <v>45169</v>
      </c>
      <c r="M41" s="116">
        <v>597.54999999999995</v>
      </c>
      <c r="N41" s="116">
        <v>604</v>
      </c>
      <c r="O41" s="116">
        <v>551.4</v>
      </c>
      <c r="P41" s="116">
        <v>553.1</v>
      </c>
      <c r="Q41" s="116">
        <v>597.54999999999995</v>
      </c>
      <c r="R41">
        <v>740467</v>
      </c>
    </row>
    <row r="42" spans="1:18" x14ac:dyDescent="0.25">
      <c r="A42" s="170">
        <v>45170</v>
      </c>
      <c r="B42" s="116">
        <v>629.95000000000005</v>
      </c>
      <c r="C42" s="116">
        <v>622.79999999999995</v>
      </c>
      <c r="D42" s="116">
        <v>604.95000000000005</v>
      </c>
      <c r="E42" s="116">
        <v>604.95000000000005</v>
      </c>
      <c r="F42" s="116">
        <v>622.79999999999995</v>
      </c>
      <c r="G42">
        <v>92813</v>
      </c>
      <c r="H42" s="116"/>
      <c r="I42" s="116"/>
      <c r="L42" s="170">
        <v>45170</v>
      </c>
      <c r="M42" s="116">
        <v>622.4</v>
      </c>
      <c r="N42" s="116">
        <v>630</v>
      </c>
      <c r="O42" s="116">
        <v>605</v>
      </c>
      <c r="P42" s="116">
        <v>605</v>
      </c>
      <c r="Q42" s="116">
        <v>622.4</v>
      </c>
      <c r="R42">
        <v>841413</v>
      </c>
    </row>
    <row r="43" spans="1:18" x14ac:dyDescent="0.25">
      <c r="A43" s="170">
        <v>45173</v>
      </c>
      <c r="B43" s="116">
        <v>638</v>
      </c>
      <c r="C43" s="116">
        <v>623.9</v>
      </c>
      <c r="D43" s="116">
        <v>617</v>
      </c>
      <c r="E43" s="116">
        <v>622.04999999999995</v>
      </c>
      <c r="F43" s="116">
        <v>623.9</v>
      </c>
      <c r="G43">
        <v>48473</v>
      </c>
      <c r="H43" s="116"/>
      <c r="I43" s="116"/>
      <c r="L43" s="170">
        <v>45173</v>
      </c>
      <c r="M43" s="116">
        <v>624.6</v>
      </c>
      <c r="N43" s="116">
        <v>638.5</v>
      </c>
      <c r="O43" s="116">
        <v>616.79999999999995</v>
      </c>
      <c r="P43" s="116">
        <v>626</v>
      </c>
      <c r="Q43" s="116">
        <v>624.6</v>
      </c>
      <c r="R43">
        <v>263233</v>
      </c>
    </row>
    <row r="44" spans="1:18" x14ac:dyDescent="0.25">
      <c r="A44" s="170">
        <v>45174</v>
      </c>
      <c r="B44" s="116">
        <v>748</v>
      </c>
      <c r="C44" s="116">
        <v>718.7</v>
      </c>
      <c r="D44" s="116">
        <v>617</v>
      </c>
      <c r="E44" s="116">
        <v>617</v>
      </c>
      <c r="F44" s="116">
        <v>718.7</v>
      </c>
      <c r="G44">
        <v>119945</v>
      </c>
      <c r="H44" s="116"/>
      <c r="I44" s="116"/>
      <c r="L44" s="170">
        <v>45174</v>
      </c>
      <c r="M44" s="116">
        <v>718.4</v>
      </c>
      <c r="N44" s="116">
        <v>748.9</v>
      </c>
      <c r="O44" s="116">
        <v>623.79999999999995</v>
      </c>
      <c r="P44" s="116">
        <v>624.6</v>
      </c>
      <c r="Q44" s="116">
        <v>718.4</v>
      </c>
      <c r="R44">
        <v>1815180</v>
      </c>
    </row>
    <row r="45" spans="1:18" x14ac:dyDescent="0.25">
      <c r="A45" s="170">
        <v>45175</v>
      </c>
      <c r="B45" s="116">
        <v>779</v>
      </c>
      <c r="C45" s="116">
        <v>711.15</v>
      </c>
      <c r="D45" s="116">
        <v>696.85</v>
      </c>
      <c r="E45" s="116">
        <v>723.95</v>
      </c>
      <c r="F45" s="116">
        <v>711.15</v>
      </c>
      <c r="G45">
        <v>144206</v>
      </c>
      <c r="H45" s="116"/>
      <c r="I45" s="116"/>
      <c r="L45" s="170">
        <v>45175</v>
      </c>
      <c r="M45" s="116">
        <v>710.8</v>
      </c>
      <c r="N45" s="116">
        <v>778.9</v>
      </c>
      <c r="O45" s="116">
        <v>695.7</v>
      </c>
      <c r="P45" s="116">
        <v>722</v>
      </c>
      <c r="Q45" s="116">
        <v>710.8</v>
      </c>
      <c r="R45">
        <v>1836279</v>
      </c>
    </row>
    <row r="46" spans="1:18" x14ac:dyDescent="0.25">
      <c r="A46" s="170">
        <v>45176</v>
      </c>
      <c r="B46" s="116">
        <v>735.5</v>
      </c>
      <c r="C46" s="116">
        <v>683.85</v>
      </c>
      <c r="D46" s="116">
        <v>665.2</v>
      </c>
      <c r="E46" s="116">
        <v>707.1</v>
      </c>
      <c r="F46" s="116">
        <v>683.85</v>
      </c>
      <c r="G46">
        <v>60713</v>
      </c>
      <c r="H46" s="116"/>
      <c r="I46" s="116"/>
      <c r="L46" s="170">
        <v>45176</v>
      </c>
      <c r="M46" s="116">
        <v>683.9</v>
      </c>
      <c r="N46" s="116">
        <v>735.95</v>
      </c>
      <c r="O46" s="116">
        <v>663.2</v>
      </c>
      <c r="P46" s="116">
        <v>708.8</v>
      </c>
      <c r="Q46" s="116">
        <v>683.9</v>
      </c>
      <c r="R46">
        <v>485994</v>
      </c>
    </row>
    <row r="47" spans="1:18" x14ac:dyDescent="0.25">
      <c r="A47" s="170">
        <v>45177</v>
      </c>
      <c r="B47" s="116">
        <v>724.2</v>
      </c>
      <c r="C47" s="116">
        <v>700.3</v>
      </c>
      <c r="D47" s="116">
        <v>670.95</v>
      </c>
      <c r="E47" s="116">
        <v>676.95</v>
      </c>
      <c r="F47" s="116">
        <v>700.3</v>
      </c>
      <c r="G47">
        <v>33317</v>
      </c>
      <c r="H47" s="116"/>
      <c r="I47" s="116"/>
      <c r="L47" s="170">
        <v>45177</v>
      </c>
      <c r="M47" s="116">
        <v>699.2</v>
      </c>
      <c r="N47" s="116">
        <v>725</v>
      </c>
      <c r="O47" s="116">
        <v>671.3</v>
      </c>
      <c r="P47" s="116">
        <v>675</v>
      </c>
      <c r="Q47" s="116">
        <v>699.2</v>
      </c>
      <c r="R47">
        <v>507835</v>
      </c>
    </row>
    <row r="48" spans="1:18" x14ac:dyDescent="0.25">
      <c r="A48" s="170">
        <v>45180</v>
      </c>
      <c r="B48" s="116">
        <v>718.75</v>
      </c>
      <c r="C48" s="116">
        <v>707.85</v>
      </c>
      <c r="D48" s="116">
        <v>700.75</v>
      </c>
      <c r="E48" s="116">
        <v>710.95</v>
      </c>
      <c r="F48" s="116">
        <v>707.85</v>
      </c>
      <c r="G48">
        <v>21733</v>
      </c>
      <c r="H48" s="116"/>
      <c r="I48" s="116"/>
      <c r="L48" s="170">
        <v>45180</v>
      </c>
      <c r="M48" s="116">
        <v>707.8</v>
      </c>
      <c r="N48" s="116">
        <v>717</v>
      </c>
      <c r="O48" s="116">
        <v>702</v>
      </c>
      <c r="P48" s="116">
        <v>709.7</v>
      </c>
      <c r="Q48" s="116">
        <v>707.8</v>
      </c>
      <c r="R48">
        <v>111086</v>
      </c>
    </row>
    <row r="49" spans="1:18" x14ac:dyDescent="0.25">
      <c r="A49" s="170">
        <v>45181</v>
      </c>
      <c r="B49" s="116">
        <v>713.7</v>
      </c>
      <c r="C49" s="116">
        <v>672</v>
      </c>
      <c r="D49" s="116">
        <v>655</v>
      </c>
      <c r="E49" s="116">
        <v>713.25</v>
      </c>
      <c r="F49" s="116">
        <v>672</v>
      </c>
      <c r="G49">
        <v>47590</v>
      </c>
      <c r="H49" s="116"/>
      <c r="I49" s="116"/>
      <c r="L49" s="170">
        <v>45181</v>
      </c>
      <c r="M49" s="116">
        <v>672.3</v>
      </c>
      <c r="N49" s="116">
        <v>715.2</v>
      </c>
      <c r="O49" s="116">
        <v>660</v>
      </c>
      <c r="P49" s="116">
        <v>714</v>
      </c>
      <c r="Q49" s="116">
        <v>672.3</v>
      </c>
      <c r="R49">
        <v>187446</v>
      </c>
    </row>
    <row r="50" spans="1:18" x14ac:dyDescent="0.25">
      <c r="A50" s="170">
        <v>45182</v>
      </c>
      <c r="B50" s="116">
        <v>676.05</v>
      </c>
      <c r="C50" s="116">
        <v>675.6</v>
      </c>
      <c r="D50" s="116">
        <v>649.6</v>
      </c>
      <c r="E50" s="116">
        <v>672.1</v>
      </c>
      <c r="F50" s="116">
        <v>675.6</v>
      </c>
      <c r="G50">
        <v>17006</v>
      </c>
      <c r="H50" s="116"/>
      <c r="I50" s="116"/>
      <c r="L50" s="170">
        <v>45182</v>
      </c>
      <c r="M50" s="116">
        <v>674.1</v>
      </c>
      <c r="N50" s="116">
        <v>678.75</v>
      </c>
      <c r="O50" s="116">
        <v>650</v>
      </c>
      <c r="P50" s="116">
        <v>673.95</v>
      </c>
      <c r="Q50" s="116">
        <v>674.1</v>
      </c>
      <c r="R50">
        <v>192629</v>
      </c>
    </row>
    <row r="51" spans="1:18" x14ac:dyDescent="0.25">
      <c r="A51" s="170">
        <v>45183</v>
      </c>
      <c r="B51" s="116">
        <v>694</v>
      </c>
      <c r="C51" s="116">
        <v>680.6</v>
      </c>
      <c r="D51" s="116">
        <v>677.65</v>
      </c>
      <c r="E51" s="116">
        <v>681</v>
      </c>
      <c r="F51" s="116">
        <v>680.6</v>
      </c>
      <c r="G51">
        <v>15318</v>
      </c>
      <c r="H51" s="116"/>
      <c r="I51" s="116"/>
      <c r="L51" s="170">
        <v>45183</v>
      </c>
      <c r="M51" s="116">
        <v>680.85</v>
      </c>
      <c r="N51" s="116">
        <v>695</v>
      </c>
      <c r="O51" s="116">
        <v>678.25</v>
      </c>
      <c r="P51" s="116">
        <v>681.65</v>
      </c>
      <c r="Q51" s="116">
        <v>680.85</v>
      </c>
      <c r="R51">
        <v>117988</v>
      </c>
    </row>
    <row r="52" spans="1:18" x14ac:dyDescent="0.25">
      <c r="A52" s="170">
        <v>45184</v>
      </c>
      <c r="B52" s="116">
        <v>692.55</v>
      </c>
      <c r="C52" s="116">
        <v>677.95</v>
      </c>
      <c r="D52" s="116">
        <v>674</v>
      </c>
      <c r="E52" s="116">
        <v>687.55</v>
      </c>
      <c r="F52" s="116">
        <v>677.95</v>
      </c>
      <c r="G52">
        <v>8112</v>
      </c>
      <c r="H52" s="116"/>
      <c r="I52" s="116"/>
      <c r="L52" s="170">
        <v>45184</v>
      </c>
      <c r="M52" s="116">
        <v>679.2</v>
      </c>
      <c r="N52" s="116">
        <v>692.75</v>
      </c>
      <c r="O52" s="116">
        <v>673.55</v>
      </c>
      <c r="P52" s="116">
        <v>684.5</v>
      </c>
      <c r="Q52" s="116">
        <v>679.2</v>
      </c>
      <c r="R52">
        <v>78269</v>
      </c>
    </row>
    <row r="53" spans="1:18" x14ac:dyDescent="0.25">
      <c r="A53" s="170">
        <v>45187</v>
      </c>
      <c r="B53" s="116">
        <v>683.55</v>
      </c>
      <c r="C53" s="116">
        <v>666</v>
      </c>
      <c r="D53" s="116">
        <v>660.5</v>
      </c>
      <c r="E53" s="116">
        <v>679.2</v>
      </c>
      <c r="F53" s="116">
        <v>666</v>
      </c>
      <c r="G53">
        <v>8204</v>
      </c>
      <c r="H53" s="116"/>
      <c r="I53" s="116"/>
      <c r="L53" s="170">
        <v>45187</v>
      </c>
      <c r="M53" s="116">
        <v>666.75</v>
      </c>
      <c r="N53" s="116">
        <v>684.95</v>
      </c>
      <c r="O53" s="116">
        <v>660.1</v>
      </c>
      <c r="P53" s="116">
        <v>677</v>
      </c>
      <c r="Q53" s="116">
        <v>666.75</v>
      </c>
      <c r="R53">
        <v>89262</v>
      </c>
    </row>
    <row r="54" spans="1:18" x14ac:dyDescent="0.25">
      <c r="A54" s="170">
        <v>45189</v>
      </c>
      <c r="B54" s="116">
        <v>664.95</v>
      </c>
      <c r="C54" s="116">
        <v>655.55</v>
      </c>
      <c r="D54" s="116">
        <v>651</v>
      </c>
      <c r="E54" s="116">
        <v>664.95</v>
      </c>
      <c r="F54" s="116">
        <v>655.55</v>
      </c>
      <c r="G54">
        <v>5398</v>
      </c>
      <c r="H54" s="116"/>
      <c r="I54" s="116"/>
      <c r="L54" s="170">
        <v>45189</v>
      </c>
      <c r="M54" s="116">
        <v>656.4</v>
      </c>
      <c r="N54" s="116">
        <v>662.75</v>
      </c>
      <c r="O54" s="116">
        <v>650</v>
      </c>
      <c r="P54" s="116">
        <v>662</v>
      </c>
      <c r="Q54" s="116">
        <v>656.4</v>
      </c>
      <c r="R54">
        <v>92122</v>
      </c>
    </row>
    <row r="55" spans="1:18" x14ac:dyDescent="0.25">
      <c r="A55" s="170">
        <v>45190</v>
      </c>
      <c r="B55" s="116">
        <v>686.7</v>
      </c>
      <c r="C55" s="116">
        <v>672.6</v>
      </c>
      <c r="D55" s="116">
        <v>650.04999999999995</v>
      </c>
      <c r="E55" s="116">
        <v>650.04999999999995</v>
      </c>
      <c r="F55" s="116">
        <v>672.6</v>
      </c>
      <c r="G55">
        <v>23530</v>
      </c>
      <c r="H55" s="116"/>
      <c r="I55" s="116"/>
      <c r="L55" s="170">
        <v>45190</v>
      </c>
      <c r="M55" s="116">
        <v>672.6</v>
      </c>
      <c r="N55" s="116">
        <v>687.45</v>
      </c>
      <c r="O55" s="116">
        <v>651.25</v>
      </c>
      <c r="P55" s="116">
        <v>653.9</v>
      </c>
      <c r="Q55" s="116">
        <v>672.6</v>
      </c>
      <c r="R55">
        <v>266264</v>
      </c>
    </row>
    <row r="56" spans="1:18" x14ac:dyDescent="0.25">
      <c r="A56" s="170">
        <v>45191</v>
      </c>
      <c r="B56" s="116">
        <v>682.45</v>
      </c>
      <c r="C56" s="116">
        <v>667.6</v>
      </c>
      <c r="D56" s="116">
        <v>655.95</v>
      </c>
      <c r="E56" s="116">
        <v>682.45</v>
      </c>
      <c r="F56" s="116">
        <v>667.6</v>
      </c>
      <c r="G56">
        <v>13633</v>
      </c>
      <c r="H56" s="116"/>
      <c r="I56" s="116"/>
      <c r="L56" s="170">
        <v>45191</v>
      </c>
      <c r="M56" s="116">
        <v>667.55</v>
      </c>
      <c r="N56" s="116">
        <v>679.7</v>
      </c>
      <c r="O56" s="116">
        <v>656.4</v>
      </c>
      <c r="P56" s="116">
        <v>679.65</v>
      </c>
      <c r="Q56" s="116">
        <v>667.55</v>
      </c>
      <c r="R56">
        <v>95886</v>
      </c>
    </row>
    <row r="57" spans="1:18" x14ac:dyDescent="0.25">
      <c r="A57" s="170">
        <v>45194</v>
      </c>
      <c r="B57" s="116">
        <v>685.05</v>
      </c>
      <c r="C57" s="116">
        <v>673.7</v>
      </c>
      <c r="D57" s="116">
        <v>662.65</v>
      </c>
      <c r="E57" s="116">
        <v>676.5</v>
      </c>
      <c r="F57" s="116">
        <v>673.7</v>
      </c>
      <c r="G57">
        <v>13178</v>
      </c>
      <c r="H57" s="116"/>
      <c r="I57" s="116"/>
      <c r="L57" s="170">
        <v>45194</v>
      </c>
      <c r="M57" s="116">
        <v>674.65</v>
      </c>
      <c r="N57" s="116">
        <v>685.6</v>
      </c>
      <c r="O57" s="116">
        <v>663</v>
      </c>
      <c r="P57" s="116">
        <v>675.65</v>
      </c>
      <c r="Q57" s="116">
        <v>674.65</v>
      </c>
      <c r="R57">
        <v>136738</v>
      </c>
    </row>
    <row r="58" spans="1:18" x14ac:dyDescent="0.25">
      <c r="A58" s="170">
        <v>45195</v>
      </c>
      <c r="B58" s="116">
        <v>683</v>
      </c>
      <c r="C58" s="116">
        <v>678.05</v>
      </c>
      <c r="D58" s="116">
        <v>669.4</v>
      </c>
      <c r="E58" s="116">
        <v>671.5</v>
      </c>
      <c r="F58" s="116">
        <v>678.05</v>
      </c>
      <c r="G58">
        <v>10169</v>
      </c>
      <c r="H58" s="116"/>
      <c r="I58" s="116"/>
      <c r="L58" s="170">
        <v>45195</v>
      </c>
      <c r="M58" s="116">
        <v>678.05</v>
      </c>
      <c r="N58" s="116">
        <v>683</v>
      </c>
      <c r="O58" s="116">
        <v>669.95</v>
      </c>
      <c r="P58" s="116">
        <v>673.75</v>
      </c>
      <c r="Q58" s="116">
        <v>678.05</v>
      </c>
      <c r="R58">
        <v>126546</v>
      </c>
    </row>
    <row r="59" spans="1:18" x14ac:dyDescent="0.25">
      <c r="A59" s="170">
        <v>45196</v>
      </c>
      <c r="B59" s="116">
        <v>727</v>
      </c>
      <c r="C59" s="116">
        <v>699.1</v>
      </c>
      <c r="D59" s="116">
        <v>676.25</v>
      </c>
      <c r="E59" s="116">
        <v>676.25</v>
      </c>
      <c r="F59" s="116">
        <v>699.1</v>
      </c>
      <c r="G59">
        <v>59909</v>
      </c>
      <c r="H59" s="116"/>
      <c r="I59" s="116"/>
      <c r="L59" s="170">
        <v>45196</v>
      </c>
      <c r="M59" s="116">
        <v>698.6</v>
      </c>
      <c r="N59" s="116">
        <v>728</v>
      </c>
      <c r="O59" s="116">
        <v>678</v>
      </c>
      <c r="P59" s="116">
        <v>678</v>
      </c>
      <c r="Q59" s="116">
        <v>698.6</v>
      </c>
      <c r="R59">
        <v>513370</v>
      </c>
    </row>
    <row r="60" spans="1:18" x14ac:dyDescent="0.25">
      <c r="A60" s="170">
        <v>45197</v>
      </c>
      <c r="B60" s="116">
        <v>741.5</v>
      </c>
      <c r="C60" s="116">
        <v>704.3</v>
      </c>
      <c r="D60" s="116">
        <v>690.25</v>
      </c>
      <c r="E60" s="116">
        <v>700.05</v>
      </c>
      <c r="F60" s="116">
        <v>704.3</v>
      </c>
      <c r="G60">
        <v>98793</v>
      </c>
      <c r="H60" s="116"/>
      <c r="I60" s="116"/>
      <c r="L60" s="170">
        <v>45197</v>
      </c>
      <c r="M60" s="116">
        <v>704.7</v>
      </c>
      <c r="N60" s="116">
        <v>740.9</v>
      </c>
      <c r="O60" s="116">
        <v>691.6</v>
      </c>
      <c r="P60" s="116">
        <v>702.75</v>
      </c>
      <c r="Q60" s="116">
        <v>704.7</v>
      </c>
      <c r="R60">
        <v>838541</v>
      </c>
    </row>
    <row r="61" spans="1:18" x14ac:dyDescent="0.25">
      <c r="A61" s="170">
        <v>45198</v>
      </c>
      <c r="B61" s="116">
        <v>741</v>
      </c>
      <c r="C61" s="116">
        <v>720.6</v>
      </c>
      <c r="D61" s="116">
        <v>710.05</v>
      </c>
      <c r="E61" s="116">
        <v>710.05</v>
      </c>
      <c r="F61" s="116">
        <v>720.6</v>
      </c>
      <c r="G61">
        <v>30301</v>
      </c>
      <c r="H61" s="116"/>
      <c r="I61" s="116"/>
      <c r="L61" s="170">
        <v>45198</v>
      </c>
      <c r="M61" s="116">
        <v>720.6</v>
      </c>
      <c r="N61" s="116">
        <v>741.7</v>
      </c>
      <c r="O61" s="116">
        <v>710</v>
      </c>
      <c r="P61" s="116">
        <v>712</v>
      </c>
      <c r="Q61" s="116">
        <v>720.6</v>
      </c>
      <c r="R61">
        <v>487900</v>
      </c>
    </row>
    <row r="62" spans="1:18" x14ac:dyDescent="0.25">
      <c r="A62" s="170">
        <v>45202</v>
      </c>
      <c r="B62" s="116">
        <v>723.1</v>
      </c>
      <c r="C62" s="116">
        <v>684.85</v>
      </c>
      <c r="D62" s="116">
        <v>679.8</v>
      </c>
      <c r="E62" s="116">
        <v>721.05</v>
      </c>
      <c r="F62" s="116">
        <v>684.85</v>
      </c>
      <c r="G62">
        <v>45067</v>
      </c>
      <c r="H62" s="116"/>
      <c r="I62" s="116"/>
      <c r="L62" s="170">
        <v>45202</v>
      </c>
      <c r="M62" s="116">
        <v>685.7</v>
      </c>
      <c r="N62" s="116">
        <v>722.2</v>
      </c>
      <c r="O62" s="116">
        <v>684</v>
      </c>
      <c r="P62" s="116">
        <v>722.2</v>
      </c>
      <c r="Q62" s="116">
        <v>685.7</v>
      </c>
      <c r="R62">
        <v>366770</v>
      </c>
    </row>
    <row r="63" spans="1:18" x14ac:dyDescent="0.25">
      <c r="A63" s="170">
        <v>45203</v>
      </c>
      <c r="B63" s="116">
        <v>693.95</v>
      </c>
      <c r="C63" s="116">
        <v>656.4</v>
      </c>
      <c r="D63" s="116">
        <v>646.35</v>
      </c>
      <c r="E63" s="116">
        <v>687</v>
      </c>
      <c r="F63" s="116">
        <v>656.4</v>
      </c>
      <c r="G63">
        <v>40959</v>
      </c>
      <c r="H63" s="116"/>
      <c r="I63" s="116"/>
      <c r="L63" s="170">
        <v>45203</v>
      </c>
      <c r="M63" s="116">
        <v>656.85</v>
      </c>
      <c r="N63" s="116">
        <v>693.65</v>
      </c>
      <c r="O63" s="116">
        <v>646.85</v>
      </c>
      <c r="P63" s="116">
        <v>687</v>
      </c>
      <c r="Q63" s="116">
        <v>656.85</v>
      </c>
      <c r="R63">
        <v>516920</v>
      </c>
    </row>
    <row r="64" spans="1:18" x14ac:dyDescent="0.25">
      <c r="A64" s="170">
        <v>45204</v>
      </c>
      <c r="B64" s="116">
        <v>679.95</v>
      </c>
      <c r="C64" s="116">
        <v>670.1</v>
      </c>
      <c r="D64" s="116">
        <v>658.45</v>
      </c>
      <c r="E64" s="116">
        <v>679.95</v>
      </c>
      <c r="F64" s="116">
        <v>670.1</v>
      </c>
      <c r="G64">
        <v>23835</v>
      </c>
      <c r="H64" s="116"/>
      <c r="I64" s="116"/>
      <c r="L64" s="170">
        <v>45204</v>
      </c>
      <c r="M64" s="116">
        <v>669.95</v>
      </c>
      <c r="N64" s="116">
        <v>684.95</v>
      </c>
      <c r="O64" s="116">
        <v>658</v>
      </c>
      <c r="P64" s="116">
        <v>678</v>
      </c>
      <c r="Q64" s="116">
        <v>669.95</v>
      </c>
      <c r="R64">
        <v>258899</v>
      </c>
    </row>
    <row r="65" spans="1:18" x14ac:dyDescent="0.25">
      <c r="A65" s="170">
        <v>45205</v>
      </c>
      <c r="B65" s="116">
        <v>672.9</v>
      </c>
      <c r="C65" s="116">
        <v>668.4</v>
      </c>
      <c r="D65" s="116">
        <v>660.1</v>
      </c>
      <c r="E65" s="116">
        <v>670.05</v>
      </c>
      <c r="F65" s="116">
        <v>668.4</v>
      </c>
      <c r="G65">
        <v>18605</v>
      </c>
      <c r="H65" s="116"/>
      <c r="I65" s="116"/>
      <c r="L65" s="170">
        <v>45205</v>
      </c>
      <c r="M65" s="116">
        <v>668.25</v>
      </c>
      <c r="N65" s="116">
        <v>674</v>
      </c>
      <c r="O65" s="116">
        <v>660</v>
      </c>
      <c r="P65" s="116">
        <v>671.5</v>
      </c>
      <c r="Q65" s="116">
        <v>668.25</v>
      </c>
      <c r="R65">
        <v>160197</v>
      </c>
    </row>
    <row r="66" spans="1:18" x14ac:dyDescent="0.25">
      <c r="A66" s="170">
        <v>45208</v>
      </c>
      <c r="B66" s="116">
        <v>680</v>
      </c>
      <c r="C66" s="116">
        <v>668.45</v>
      </c>
      <c r="D66" s="116">
        <v>650</v>
      </c>
      <c r="E66" s="116">
        <v>650</v>
      </c>
      <c r="F66" s="116">
        <v>668.45</v>
      </c>
      <c r="G66">
        <v>35681</v>
      </c>
      <c r="H66" s="116"/>
      <c r="I66" s="116"/>
      <c r="L66" s="170">
        <v>45208</v>
      </c>
      <c r="M66" s="116">
        <v>668.55</v>
      </c>
      <c r="N66" s="116">
        <v>679.9</v>
      </c>
      <c r="O66" s="116">
        <v>654.5</v>
      </c>
      <c r="P66" s="116">
        <v>668.9</v>
      </c>
      <c r="Q66" s="116">
        <v>668.55</v>
      </c>
      <c r="R66">
        <v>616692</v>
      </c>
    </row>
    <row r="67" spans="1:18" x14ac:dyDescent="0.25">
      <c r="A67" s="170">
        <v>45209</v>
      </c>
      <c r="B67" s="116">
        <v>676</v>
      </c>
      <c r="C67" s="116">
        <v>666.15</v>
      </c>
      <c r="D67" s="116">
        <v>662.5</v>
      </c>
      <c r="E67" s="116">
        <v>671</v>
      </c>
      <c r="F67" s="116">
        <v>666.15</v>
      </c>
      <c r="G67">
        <v>12932</v>
      </c>
      <c r="H67" s="116"/>
      <c r="I67" s="116"/>
      <c r="L67" s="170">
        <v>45209</v>
      </c>
      <c r="M67" s="116">
        <v>665.5</v>
      </c>
      <c r="N67" s="116">
        <v>676.1</v>
      </c>
      <c r="O67" s="116">
        <v>662.2</v>
      </c>
      <c r="P67" s="116">
        <v>668</v>
      </c>
      <c r="Q67" s="116">
        <v>665.5</v>
      </c>
      <c r="R67">
        <v>215482</v>
      </c>
    </row>
    <row r="68" spans="1:18" x14ac:dyDescent="0.25">
      <c r="A68" s="170">
        <v>45210</v>
      </c>
      <c r="B68" s="116">
        <v>704.15</v>
      </c>
      <c r="C68" s="116">
        <v>672.55</v>
      </c>
      <c r="D68" s="116">
        <v>666.05</v>
      </c>
      <c r="E68" s="116">
        <v>666.05</v>
      </c>
      <c r="F68" s="116">
        <v>672.55</v>
      </c>
      <c r="G68">
        <v>39263</v>
      </c>
      <c r="H68" s="116"/>
      <c r="I68" s="116"/>
      <c r="L68" s="170">
        <v>45210</v>
      </c>
      <c r="M68" s="116">
        <v>673.1</v>
      </c>
      <c r="N68" s="116">
        <v>703.65</v>
      </c>
      <c r="O68" s="116">
        <v>669</v>
      </c>
      <c r="P68" s="116">
        <v>670</v>
      </c>
      <c r="Q68" s="116">
        <v>673.1</v>
      </c>
      <c r="R68">
        <v>326673</v>
      </c>
    </row>
    <row r="69" spans="1:18" x14ac:dyDescent="0.25">
      <c r="A69" s="170">
        <v>45211</v>
      </c>
      <c r="B69" s="116">
        <v>701.35</v>
      </c>
      <c r="C69" s="116">
        <v>691.4</v>
      </c>
      <c r="D69" s="116">
        <v>665.55</v>
      </c>
      <c r="E69" s="116">
        <v>679.9</v>
      </c>
      <c r="F69" s="116">
        <v>691.4</v>
      </c>
      <c r="G69">
        <v>17224</v>
      </c>
      <c r="H69" s="116"/>
      <c r="I69" s="116"/>
      <c r="L69" s="170">
        <v>45211</v>
      </c>
      <c r="M69" s="116">
        <v>691.85</v>
      </c>
      <c r="N69" s="116">
        <v>702</v>
      </c>
      <c r="O69" s="116">
        <v>665.3</v>
      </c>
      <c r="P69" s="116">
        <v>677.9</v>
      </c>
      <c r="Q69" s="116">
        <v>691.85</v>
      </c>
      <c r="R69">
        <v>352934</v>
      </c>
    </row>
    <row r="70" spans="1:18" x14ac:dyDescent="0.25">
      <c r="A70" s="170">
        <v>45212</v>
      </c>
      <c r="B70" s="116">
        <v>712.15</v>
      </c>
      <c r="C70" s="116">
        <v>686.75</v>
      </c>
      <c r="D70" s="116">
        <v>683</v>
      </c>
      <c r="E70" s="116">
        <v>691.4</v>
      </c>
      <c r="F70" s="116">
        <v>686.75</v>
      </c>
      <c r="G70">
        <v>12406</v>
      </c>
      <c r="H70" s="116"/>
      <c r="I70" s="116"/>
      <c r="L70" s="170">
        <v>45212</v>
      </c>
      <c r="M70" s="116">
        <v>686.55</v>
      </c>
      <c r="N70" s="116">
        <v>713.5</v>
      </c>
      <c r="O70" s="116">
        <v>682.3</v>
      </c>
      <c r="P70" s="116">
        <v>691</v>
      </c>
      <c r="Q70" s="116">
        <v>686.55</v>
      </c>
      <c r="R70">
        <v>306642</v>
      </c>
    </row>
    <row r="71" spans="1:18" x14ac:dyDescent="0.25">
      <c r="A71" s="170">
        <v>45215</v>
      </c>
      <c r="B71" s="116">
        <v>699.35</v>
      </c>
      <c r="C71" s="116">
        <v>688.6</v>
      </c>
      <c r="D71" s="116">
        <v>685</v>
      </c>
      <c r="E71" s="116">
        <v>699.35</v>
      </c>
      <c r="F71" s="116">
        <v>688.6</v>
      </c>
      <c r="G71">
        <v>26653</v>
      </c>
      <c r="H71" s="116"/>
      <c r="I71" s="116"/>
      <c r="L71" s="170">
        <v>45215</v>
      </c>
      <c r="M71" s="116">
        <v>688.75</v>
      </c>
      <c r="N71" s="116">
        <v>696.65</v>
      </c>
      <c r="O71" s="116">
        <v>685</v>
      </c>
      <c r="P71" s="116">
        <v>696.65</v>
      </c>
      <c r="Q71" s="116">
        <v>688.75</v>
      </c>
      <c r="R71">
        <v>278291</v>
      </c>
    </row>
    <row r="72" spans="1:18" x14ac:dyDescent="0.25">
      <c r="A72" s="170">
        <v>45216</v>
      </c>
      <c r="B72" s="116">
        <v>748</v>
      </c>
      <c r="C72" s="116">
        <v>708.6</v>
      </c>
      <c r="D72" s="116">
        <v>701.85</v>
      </c>
      <c r="E72" s="116">
        <v>714.85</v>
      </c>
      <c r="F72" s="116">
        <v>708.6</v>
      </c>
      <c r="G72">
        <v>68320</v>
      </c>
      <c r="H72" s="116"/>
      <c r="I72" s="116"/>
      <c r="L72" s="170">
        <v>45216</v>
      </c>
      <c r="M72" s="116">
        <v>708.6</v>
      </c>
      <c r="N72" s="116">
        <v>747.7</v>
      </c>
      <c r="O72" s="116">
        <v>701.7</v>
      </c>
      <c r="P72" s="116">
        <v>704</v>
      </c>
      <c r="Q72" s="116">
        <v>708.6</v>
      </c>
      <c r="R72">
        <v>1534941</v>
      </c>
    </row>
    <row r="73" spans="1:18" x14ac:dyDescent="0.25">
      <c r="A73" s="170">
        <v>45217</v>
      </c>
      <c r="B73" s="116">
        <v>725</v>
      </c>
      <c r="C73" s="116">
        <v>712.7</v>
      </c>
      <c r="D73" s="116">
        <v>705.8</v>
      </c>
      <c r="E73" s="116">
        <v>718.05</v>
      </c>
      <c r="F73" s="116">
        <v>712.7</v>
      </c>
      <c r="G73">
        <v>70268</v>
      </c>
      <c r="H73" s="116"/>
      <c r="I73" s="116"/>
      <c r="L73" s="170">
        <v>45217</v>
      </c>
      <c r="M73" s="116">
        <v>712.8</v>
      </c>
      <c r="N73" s="116">
        <v>725</v>
      </c>
      <c r="O73" s="116">
        <v>705.6</v>
      </c>
      <c r="P73" s="116">
        <v>719.4</v>
      </c>
      <c r="Q73" s="116">
        <v>712.8</v>
      </c>
      <c r="R73">
        <v>606175</v>
      </c>
    </row>
    <row r="74" spans="1:18" x14ac:dyDescent="0.25">
      <c r="A74" s="170">
        <v>45218</v>
      </c>
      <c r="B74" s="116">
        <v>713</v>
      </c>
      <c r="C74" s="116">
        <v>702</v>
      </c>
      <c r="D74" s="116">
        <v>690.3</v>
      </c>
      <c r="E74" s="116">
        <v>713</v>
      </c>
      <c r="F74" s="116">
        <v>702</v>
      </c>
      <c r="G74">
        <v>19709</v>
      </c>
      <c r="H74" s="116"/>
      <c r="I74" s="116"/>
      <c r="L74" s="170">
        <v>45218</v>
      </c>
      <c r="M74" s="116">
        <v>701.8</v>
      </c>
      <c r="N74" s="116">
        <v>712.6</v>
      </c>
      <c r="O74" s="116">
        <v>690.2</v>
      </c>
      <c r="P74" s="116">
        <v>712.6</v>
      </c>
      <c r="Q74" s="116">
        <v>701.8</v>
      </c>
      <c r="R74">
        <v>320930</v>
      </c>
    </row>
    <row r="75" spans="1:18" x14ac:dyDescent="0.25">
      <c r="A75" s="170">
        <v>45219</v>
      </c>
      <c r="B75" s="116">
        <v>726.75</v>
      </c>
      <c r="C75" s="116">
        <v>696.95</v>
      </c>
      <c r="D75" s="116">
        <v>693.75</v>
      </c>
      <c r="E75" s="116">
        <v>713.2</v>
      </c>
      <c r="F75" s="116">
        <v>696.95</v>
      </c>
      <c r="G75">
        <v>37997</v>
      </c>
      <c r="H75" s="116"/>
      <c r="I75" s="116"/>
      <c r="L75" s="170">
        <v>45219</v>
      </c>
      <c r="M75" s="116">
        <v>696.85</v>
      </c>
      <c r="N75" s="116">
        <v>727</v>
      </c>
      <c r="O75" s="116">
        <v>694</v>
      </c>
      <c r="P75" s="116">
        <v>707.85</v>
      </c>
      <c r="Q75" s="116">
        <v>696.85</v>
      </c>
      <c r="R75">
        <v>369338</v>
      </c>
    </row>
    <row r="76" spans="1:18" x14ac:dyDescent="0.25">
      <c r="A76" s="170">
        <v>45222</v>
      </c>
      <c r="B76" s="116">
        <v>709.95</v>
      </c>
      <c r="C76" s="116">
        <v>661.95</v>
      </c>
      <c r="D76" s="116">
        <v>658.45</v>
      </c>
      <c r="E76" s="116">
        <v>704.95</v>
      </c>
      <c r="F76" s="116">
        <v>661.95</v>
      </c>
      <c r="G76">
        <v>65939</v>
      </c>
      <c r="H76" s="116"/>
      <c r="I76" s="116"/>
      <c r="L76" s="170">
        <v>45222</v>
      </c>
      <c r="M76" s="116">
        <v>662.65</v>
      </c>
      <c r="N76" s="116">
        <v>710</v>
      </c>
      <c r="O76" s="116">
        <v>659</v>
      </c>
      <c r="P76" s="116">
        <v>702</v>
      </c>
      <c r="Q76" s="116">
        <v>662.65</v>
      </c>
      <c r="R76">
        <v>349304</v>
      </c>
    </row>
    <row r="77" spans="1:18" x14ac:dyDescent="0.25">
      <c r="A77" s="170">
        <v>45224</v>
      </c>
      <c r="B77" s="116">
        <v>674.75</v>
      </c>
      <c r="C77" s="116">
        <v>634.25</v>
      </c>
      <c r="D77" s="116">
        <v>617.35</v>
      </c>
      <c r="E77" s="116">
        <v>667.65</v>
      </c>
      <c r="F77" s="116">
        <v>634.25</v>
      </c>
      <c r="G77">
        <v>32590</v>
      </c>
      <c r="H77" s="116"/>
      <c r="I77" s="116"/>
      <c r="L77" s="170">
        <v>45224</v>
      </c>
      <c r="M77" s="116">
        <v>634</v>
      </c>
      <c r="N77" s="116">
        <v>674.9</v>
      </c>
      <c r="O77" s="116">
        <v>616.04999999999995</v>
      </c>
      <c r="P77" s="116">
        <v>667</v>
      </c>
      <c r="Q77" s="116">
        <v>634</v>
      </c>
      <c r="R77">
        <v>391358</v>
      </c>
    </row>
    <row r="78" spans="1:18" x14ac:dyDescent="0.25">
      <c r="A78" s="170">
        <v>45225</v>
      </c>
      <c r="B78" s="116">
        <v>648.1</v>
      </c>
      <c r="C78" s="116">
        <v>642.25</v>
      </c>
      <c r="D78" s="116">
        <v>604.95000000000005</v>
      </c>
      <c r="E78" s="116">
        <v>633.25</v>
      </c>
      <c r="F78" s="116">
        <v>642.25</v>
      </c>
      <c r="G78">
        <v>47692</v>
      </c>
      <c r="H78" s="116"/>
      <c r="I78" s="116"/>
      <c r="L78" s="170">
        <v>45225</v>
      </c>
      <c r="M78" s="116">
        <v>643.15</v>
      </c>
      <c r="N78" s="116">
        <v>648.9</v>
      </c>
      <c r="O78" s="116">
        <v>605.20000000000005</v>
      </c>
      <c r="P78" s="116">
        <v>631.04999999999995</v>
      </c>
      <c r="Q78" s="116">
        <v>643.15</v>
      </c>
      <c r="R78">
        <v>295771</v>
      </c>
    </row>
    <row r="79" spans="1:18" x14ac:dyDescent="0.25">
      <c r="A79" s="170">
        <v>45226</v>
      </c>
      <c r="B79" s="116">
        <v>658.65</v>
      </c>
      <c r="C79" s="116">
        <v>648.70000000000005</v>
      </c>
      <c r="D79" s="116">
        <v>646.54999999999995</v>
      </c>
      <c r="E79" s="116">
        <v>648</v>
      </c>
      <c r="F79" s="116">
        <v>648.70000000000005</v>
      </c>
      <c r="G79">
        <v>13794</v>
      </c>
      <c r="H79" s="116"/>
      <c r="I79" s="116"/>
      <c r="L79" s="170">
        <v>45226</v>
      </c>
      <c r="M79" s="116">
        <v>648.79999999999995</v>
      </c>
      <c r="N79" s="116">
        <v>659.05</v>
      </c>
      <c r="O79" s="116">
        <v>645.75</v>
      </c>
      <c r="P79" s="116">
        <v>649.95000000000005</v>
      </c>
      <c r="Q79" s="116">
        <v>648.79999999999995</v>
      </c>
      <c r="R79">
        <v>211387</v>
      </c>
    </row>
    <row r="80" spans="1:18" x14ac:dyDescent="0.25">
      <c r="A80" s="170">
        <v>45229</v>
      </c>
      <c r="B80" s="116">
        <v>660.7</v>
      </c>
      <c r="C80" s="116">
        <v>640</v>
      </c>
      <c r="D80" s="116">
        <v>635</v>
      </c>
      <c r="E80" s="116">
        <v>660.7</v>
      </c>
      <c r="F80" s="116">
        <v>640</v>
      </c>
      <c r="G80">
        <v>8387</v>
      </c>
      <c r="H80" s="116"/>
      <c r="I80" s="116"/>
      <c r="L80" s="170">
        <v>45229</v>
      </c>
      <c r="M80" s="116">
        <v>640.25</v>
      </c>
      <c r="N80" s="116">
        <v>661</v>
      </c>
      <c r="O80" s="116">
        <v>633.29999999999995</v>
      </c>
      <c r="P80" s="116">
        <v>660</v>
      </c>
      <c r="Q80" s="116">
        <v>640.25</v>
      </c>
      <c r="R80">
        <v>157409</v>
      </c>
    </row>
    <row r="81" spans="1:18" x14ac:dyDescent="0.25">
      <c r="A81" s="170">
        <v>45230</v>
      </c>
      <c r="B81" s="116">
        <v>652.4</v>
      </c>
      <c r="C81" s="116">
        <v>639.6</v>
      </c>
      <c r="D81" s="116">
        <v>636.70000000000005</v>
      </c>
      <c r="E81" s="116">
        <v>649.95000000000005</v>
      </c>
      <c r="F81" s="116">
        <v>639.6</v>
      </c>
      <c r="G81">
        <v>5336</v>
      </c>
      <c r="H81" s="116"/>
      <c r="I81" s="116"/>
      <c r="L81" s="170">
        <v>45230</v>
      </c>
      <c r="M81" s="116">
        <v>639.4</v>
      </c>
      <c r="N81" s="116">
        <v>653.5</v>
      </c>
      <c r="O81" s="116">
        <v>635.6</v>
      </c>
      <c r="P81" s="116">
        <v>644.1</v>
      </c>
      <c r="Q81" s="116">
        <v>639.4</v>
      </c>
      <c r="R81">
        <v>120251</v>
      </c>
    </row>
    <row r="82" spans="1:18" x14ac:dyDescent="0.25">
      <c r="A82" s="170">
        <v>45231</v>
      </c>
      <c r="B82" s="116">
        <v>647.5</v>
      </c>
      <c r="C82" s="116">
        <v>634.1</v>
      </c>
      <c r="D82" s="116">
        <v>630.29999999999995</v>
      </c>
      <c r="E82" s="116">
        <v>644.95000000000005</v>
      </c>
      <c r="F82" s="116">
        <v>634.1</v>
      </c>
      <c r="G82">
        <v>13115</v>
      </c>
      <c r="H82" s="116"/>
      <c r="I82" s="116"/>
      <c r="L82" s="170">
        <v>45231</v>
      </c>
      <c r="M82" s="116">
        <v>634.45000000000005</v>
      </c>
      <c r="N82" s="116">
        <v>647.4</v>
      </c>
      <c r="O82" s="116">
        <v>630</v>
      </c>
      <c r="P82" s="116">
        <v>642.79999999999995</v>
      </c>
      <c r="Q82" s="116">
        <v>634.45000000000005</v>
      </c>
      <c r="R82">
        <v>101475</v>
      </c>
    </row>
    <row r="83" spans="1:18" x14ac:dyDescent="0.25">
      <c r="A83" s="170">
        <v>45232</v>
      </c>
      <c r="B83" s="116">
        <v>644.04999999999995</v>
      </c>
      <c r="C83" s="116">
        <v>641.75</v>
      </c>
      <c r="D83" s="116">
        <v>631.29999999999995</v>
      </c>
      <c r="E83" s="116">
        <v>640.70000000000005</v>
      </c>
      <c r="F83" s="116">
        <v>641.75</v>
      </c>
      <c r="G83">
        <v>6650</v>
      </c>
      <c r="H83" s="116"/>
      <c r="I83" s="116"/>
      <c r="L83" s="170">
        <v>45232</v>
      </c>
      <c r="M83" s="116">
        <v>641.4</v>
      </c>
      <c r="N83" s="116">
        <v>643.9</v>
      </c>
      <c r="O83" s="116">
        <v>631.45000000000005</v>
      </c>
      <c r="P83" s="116">
        <v>640.1</v>
      </c>
      <c r="Q83" s="116">
        <v>641.4</v>
      </c>
      <c r="R83">
        <v>115815</v>
      </c>
    </row>
    <row r="84" spans="1:18" x14ac:dyDescent="0.25">
      <c r="A84" s="170">
        <v>45233</v>
      </c>
      <c r="B84" s="116">
        <v>648</v>
      </c>
      <c r="C84" s="116">
        <v>637.45000000000005</v>
      </c>
      <c r="D84" s="116">
        <v>635.1</v>
      </c>
      <c r="E84" s="116">
        <v>647.6</v>
      </c>
      <c r="F84" s="116">
        <v>637.45000000000005</v>
      </c>
      <c r="G84">
        <v>15467</v>
      </c>
      <c r="H84" s="116"/>
      <c r="I84" s="116"/>
      <c r="L84" s="170">
        <v>45233</v>
      </c>
      <c r="M84" s="116">
        <v>637.15</v>
      </c>
      <c r="N84" s="116">
        <v>646.9</v>
      </c>
      <c r="O84" s="116">
        <v>635.04999999999995</v>
      </c>
      <c r="P84" s="116">
        <v>646.79999999999995</v>
      </c>
      <c r="Q84" s="116">
        <v>637.15</v>
      </c>
      <c r="R84">
        <v>100195</v>
      </c>
    </row>
    <row r="85" spans="1:18" x14ac:dyDescent="0.25">
      <c r="A85" s="170">
        <v>45236</v>
      </c>
      <c r="B85" s="116">
        <v>645</v>
      </c>
      <c r="C85" s="116">
        <v>637.04999999999995</v>
      </c>
      <c r="D85" s="116">
        <v>634.45000000000005</v>
      </c>
      <c r="E85" s="116">
        <v>638</v>
      </c>
      <c r="F85" s="116">
        <v>637.04999999999995</v>
      </c>
      <c r="G85">
        <v>14516</v>
      </c>
      <c r="H85" s="116"/>
      <c r="I85" s="116"/>
      <c r="L85" s="170">
        <v>45236</v>
      </c>
      <c r="M85" s="116">
        <v>636.6</v>
      </c>
      <c r="N85" s="116">
        <v>645</v>
      </c>
      <c r="O85" s="116">
        <v>635.35</v>
      </c>
      <c r="P85" s="116">
        <v>640</v>
      </c>
      <c r="Q85" s="116">
        <v>636.6</v>
      </c>
      <c r="R85">
        <v>130765</v>
      </c>
    </row>
    <row r="86" spans="1:18" x14ac:dyDescent="0.25">
      <c r="A86" s="170">
        <v>45237</v>
      </c>
      <c r="B86" s="116">
        <v>642.9</v>
      </c>
      <c r="C86" s="116">
        <v>635.35</v>
      </c>
      <c r="D86" s="116">
        <v>633.35</v>
      </c>
      <c r="E86" s="116">
        <v>637.1</v>
      </c>
      <c r="F86" s="116">
        <v>635.35</v>
      </c>
      <c r="G86">
        <v>12157</v>
      </c>
      <c r="H86" s="116"/>
      <c r="I86" s="116"/>
      <c r="L86" s="170">
        <v>45237</v>
      </c>
      <c r="M86" s="116">
        <v>635.29999999999995</v>
      </c>
      <c r="N86" s="116">
        <v>642.85</v>
      </c>
      <c r="O86" s="116">
        <v>633.04999999999995</v>
      </c>
      <c r="P86" s="116">
        <v>639</v>
      </c>
      <c r="Q86" s="116">
        <v>635.29999999999995</v>
      </c>
      <c r="R86">
        <v>86118</v>
      </c>
    </row>
    <row r="87" spans="1:18" x14ac:dyDescent="0.25">
      <c r="A87" s="170">
        <v>45238</v>
      </c>
      <c r="B87" s="116">
        <v>646.95000000000005</v>
      </c>
      <c r="C87" s="116">
        <v>633.15</v>
      </c>
      <c r="D87" s="116">
        <v>631.04999999999995</v>
      </c>
      <c r="E87" s="116">
        <v>646.95000000000005</v>
      </c>
      <c r="F87" s="116">
        <v>633.15</v>
      </c>
      <c r="G87">
        <v>14768</v>
      </c>
      <c r="H87" s="116"/>
      <c r="I87" s="116"/>
      <c r="L87" s="170">
        <v>45238</v>
      </c>
      <c r="M87" s="116">
        <v>633.04999999999995</v>
      </c>
      <c r="N87" s="116">
        <v>646.15</v>
      </c>
      <c r="O87" s="116">
        <v>631.04999999999995</v>
      </c>
      <c r="P87" s="116">
        <v>639</v>
      </c>
      <c r="Q87" s="116">
        <v>633.04999999999995</v>
      </c>
      <c r="R87">
        <v>103804</v>
      </c>
    </row>
    <row r="88" spans="1:18" x14ac:dyDescent="0.25">
      <c r="A88" s="170">
        <v>45239</v>
      </c>
      <c r="B88" s="116">
        <v>645.25</v>
      </c>
      <c r="C88" s="116">
        <v>640.5</v>
      </c>
      <c r="D88" s="116">
        <v>629.15</v>
      </c>
      <c r="E88" s="116">
        <v>633.04999999999995</v>
      </c>
      <c r="F88" s="116">
        <v>640.5</v>
      </c>
      <c r="G88">
        <v>21536</v>
      </c>
      <c r="H88" s="116"/>
      <c r="I88" s="116"/>
      <c r="L88" s="170">
        <v>45239</v>
      </c>
      <c r="M88" s="116">
        <v>640.65</v>
      </c>
      <c r="N88" s="116">
        <v>643.15</v>
      </c>
      <c r="O88" s="116">
        <v>629</v>
      </c>
      <c r="P88" s="116">
        <v>633.95000000000005</v>
      </c>
      <c r="Q88" s="116">
        <v>640.65</v>
      </c>
      <c r="R88">
        <v>183466</v>
      </c>
    </row>
    <row r="89" spans="1:18" x14ac:dyDescent="0.25">
      <c r="A89" s="170">
        <v>45240</v>
      </c>
      <c r="B89" s="116">
        <v>640</v>
      </c>
      <c r="C89" s="116">
        <v>633.85</v>
      </c>
      <c r="D89" s="116">
        <v>632</v>
      </c>
      <c r="E89" s="116">
        <v>639.95000000000005</v>
      </c>
      <c r="F89" s="116">
        <v>633.85</v>
      </c>
      <c r="G89">
        <v>4672</v>
      </c>
      <c r="H89" s="116"/>
      <c r="I89" s="116"/>
      <c r="L89" s="170">
        <v>45240</v>
      </c>
      <c r="M89" s="116">
        <v>633.75</v>
      </c>
      <c r="N89" s="116">
        <v>640.85</v>
      </c>
      <c r="O89" s="116">
        <v>632</v>
      </c>
      <c r="P89" s="116">
        <v>640</v>
      </c>
      <c r="Q89" s="116">
        <v>633.75</v>
      </c>
      <c r="R89">
        <v>76995</v>
      </c>
    </row>
    <row r="90" spans="1:18" x14ac:dyDescent="0.25">
      <c r="A90" s="170">
        <v>45242</v>
      </c>
      <c r="B90" s="116">
        <v>647.95000000000005</v>
      </c>
      <c r="C90" s="116">
        <v>646.04999999999995</v>
      </c>
      <c r="D90" s="116">
        <v>633.85</v>
      </c>
      <c r="E90" s="116">
        <v>638</v>
      </c>
      <c r="F90" s="116">
        <v>646.04999999999995</v>
      </c>
      <c r="G90">
        <v>9089</v>
      </c>
      <c r="H90" s="116"/>
      <c r="I90" s="116"/>
      <c r="L90" s="170">
        <v>45242</v>
      </c>
      <c r="M90" s="116">
        <v>646.25</v>
      </c>
      <c r="N90" s="116">
        <v>648.45000000000005</v>
      </c>
      <c r="O90" s="116">
        <v>635</v>
      </c>
      <c r="P90" s="116">
        <v>635</v>
      </c>
      <c r="Q90" s="116">
        <v>646.25</v>
      </c>
      <c r="R90">
        <v>47579</v>
      </c>
    </row>
    <row r="91" spans="1:18" x14ac:dyDescent="0.25">
      <c r="A91" s="170">
        <v>45243</v>
      </c>
      <c r="B91" s="116">
        <v>654.95000000000005</v>
      </c>
      <c r="C91" s="116">
        <v>637.54999999999995</v>
      </c>
      <c r="D91" s="116">
        <v>635</v>
      </c>
      <c r="E91" s="116">
        <v>654.95000000000005</v>
      </c>
      <c r="F91" s="116">
        <v>637.54999999999995</v>
      </c>
      <c r="G91">
        <v>5164</v>
      </c>
      <c r="H91" s="116"/>
      <c r="I91" s="116"/>
      <c r="L91" s="170">
        <v>45243</v>
      </c>
      <c r="M91" s="116">
        <v>637</v>
      </c>
      <c r="N91" s="116">
        <v>644.95000000000005</v>
      </c>
      <c r="O91" s="116">
        <v>635</v>
      </c>
      <c r="P91" s="116">
        <v>644.95000000000005</v>
      </c>
      <c r="Q91" s="116">
        <v>637</v>
      </c>
      <c r="R91">
        <v>64807</v>
      </c>
    </row>
    <row r="92" spans="1:18" x14ac:dyDescent="0.25">
      <c r="A92" s="170">
        <v>45245</v>
      </c>
      <c r="B92" s="116">
        <v>677.5</v>
      </c>
      <c r="C92" s="116">
        <v>666.2</v>
      </c>
      <c r="D92" s="116">
        <v>647.04999999999995</v>
      </c>
      <c r="E92" s="116">
        <v>650</v>
      </c>
      <c r="F92" s="116">
        <v>666.2</v>
      </c>
      <c r="G92">
        <v>56100</v>
      </c>
      <c r="H92" s="116"/>
      <c r="I92" s="116"/>
      <c r="L92" s="170">
        <v>45245</v>
      </c>
      <c r="M92" s="116">
        <v>667.4</v>
      </c>
      <c r="N92" s="116">
        <v>679.95</v>
      </c>
      <c r="O92" s="116">
        <v>647.29999999999995</v>
      </c>
      <c r="P92" s="116">
        <v>679.95</v>
      </c>
      <c r="Q92" s="116">
        <v>667.4</v>
      </c>
      <c r="R92">
        <v>414144</v>
      </c>
    </row>
    <row r="93" spans="1:18" x14ac:dyDescent="0.25">
      <c r="A93" s="170">
        <v>45246</v>
      </c>
      <c r="B93" s="116">
        <v>676</v>
      </c>
      <c r="C93" s="116">
        <v>671.95</v>
      </c>
      <c r="D93" s="116">
        <v>661.85</v>
      </c>
      <c r="E93" s="116">
        <v>668</v>
      </c>
      <c r="F93" s="116">
        <v>671.95</v>
      </c>
      <c r="G93">
        <v>6957</v>
      </c>
      <c r="H93" s="116"/>
      <c r="I93" s="116"/>
      <c r="L93" s="170">
        <v>45246</v>
      </c>
      <c r="M93" s="116">
        <v>672.15</v>
      </c>
      <c r="N93" s="116">
        <v>676.85</v>
      </c>
      <c r="O93" s="116">
        <v>661.1</v>
      </c>
      <c r="P93" s="116">
        <v>667.4</v>
      </c>
      <c r="Q93" s="116">
        <v>672.15</v>
      </c>
      <c r="R93">
        <v>178599</v>
      </c>
    </row>
    <row r="94" spans="1:18" x14ac:dyDescent="0.25">
      <c r="A94" s="170">
        <v>45247</v>
      </c>
      <c r="B94" s="116">
        <v>691</v>
      </c>
      <c r="C94" s="116">
        <v>666.7</v>
      </c>
      <c r="D94" s="116">
        <v>664.35</v>
      </c>
      <c r="E94" s="116">
        <v>672</v>
      </c>
      <c r="F94" s="116">
        <v>666.7</v>
      </c>
      <c r="G94">
        <v>9057</v>
      </c>
      <c r="H94" s="116"/>
      <c r="I94" s="116"/>
      <c r="L94" s="170">
        <v>45247</v>
      </c>
      <c r="M94" s="116">
        <v>666.75</v>
      </c>
      <c r="N94" s="116">
        <v>692</v>
      </c>
      <c r="O94" s="116">
        <v>661</v>
      </c>
      <c r="P94" s="116">
        <v>661</v>
      </c>
      <c r="Q94" s="116">
        <v>666.75</v>
      </c>
      <c r="R94">
        <v>211681</v>
      </c>
    </row>
    <row r="95" spans="1:18" x14ac:dyDescent="0.25">
      <c r="A95" s="170">
        <v>45250</v>
      </c>
      <c r="B95" s="116">
        <v>677.75</v>
      </c>
      <c r="C95" s="116">
        <v>668.3</v>
      </c>
      <c r="D95" s="116">
        <v>665.1</v>
      </c>
      <c r="E95" s="116">
        <v>672.05</v>
      </c>
      <c r="F95" s="116">
        <v>668.3</v>
      </c>
      <c r="G95">
        <v>6508</v>
      </c>
      <c r="H95" s="116"/>
      <c r="I95" s="116"/>
      <c r="L95" s="170">
        <v>45250</v>
      </c>
      <c r="M95" s="116">
        <v>667.9</v>
      </c>
      <c r="N95" s="116">
        <v>680</v>
      </c>
      <c r="O95" s="116">
        <v>665.1</v>
      </c>
      <c r="P95" s="116">
        <v>673</v>
      </c>
      <c r="Q95" s="116">
        <v>667.9</v>
      </c>
      <c r="R95">
        <v>112567</v>
      </c>
    </row>
    <row r="96" spans="1:18" x14ac:dyDescent="0.25">
      <c r="A96" s="170">
        <v>45251</v>
      </c>
      <c r="B96" s="116">
        <v>672</v>
      </c>
      <c r="C96" s="116">
        <v>659.8</v>
      </c>
      <c r="D96" s="116">
        <v>657.3</v>
      </c>
      <c r="E96" s="116">
        <v>669.8</v>
      </c>
      <c r="F96" s="116">
        <v>659.8</v>
      </c>
      <c r="G96">
        <v>9834</v>
      </c>
      <c r="H96" s="116"/>
      <c r="I96" s="116"/>
      <c r="L96" s="170">
        <v>45251</v>
      </c>
      <c r="M96" s="116">
        <v>659.5</v>
      </c>
      <c r="N96" s="116">
        <v>672.25</v>
      </c>
      <c r="O96" s="116">
        <v>657.55</v>
      </c>
      <c r="P96" s="116">
        <v>668.5</v>
      </c>
      <c r="Q96" s="116">
        <v>659.5</v>
      </c>
      <c r="R96">
        <v>57621</v>
      </c>
    </row>
    <row r="97" spans="1:18" x14ac:dyDescent="0.25">
      <c r="A97" s="170">
        <v>45252</v>
      </c>
      <c r="B97" s="116">
        <v>659.9</v>
      </c>
      <c r="C97" s="116">
        <v>644.70000000000005</v>
      </c>
      <c r="D97" s="116">
        <v>641.75</v>
      </c>
      <c r="E97" s="116">
        <v>659.85</v>
      </c>
      <c r="F97" s="116">
        <v>644.70000000000005</v>
      </c>
      <c r="G97">
        <v>14518</v>
      </c>
      <c r="H97" s="116"/>
      <c r="I97" s="116"/>
      <c r="L97" s="170">
        <v>45252</v>
      </c>
      <c r="M97" s="116">
        <v>645.29999999999995</v>
      </c>
      <c r="N97" s="116">
        <v>661.95</v>
      </c>
      <c r="O97" s="116">
        <v>642.04999999999995</v>
      </c>
      <c r="P97" s="116">
        <v>661.95</v>
      </c>
      <c r="Q97" s="116">
        <v>645.29999999999995</v>
      </c>
      <c r="R97">
        <v>85016</v>
      </c>
    </row>
    <row r="98" spans="1:18" x14ac:dyDescent="0.25">
      <c r="A98" s="170">
        <v>45253</v>
      </c>
      <c r="B98" s="116">
        <v>653</v>
      </c>
      <c r="C98" s="116">
        <v>648.1</v>
      </c>
      <c r="D98" s="116">
        <v>640</v>
      </c>
      <c r="E98" s="116">
        <v>644.70000000000005</v>
      </c>
      <c r="F98" s="116">
        <v>648.1</v>
      </c>
      <c r="G98">
        <v>7693</v>
      </c>
      <c r="H98" s="116"/>
      <c r="I98" s="116"/>
      <c r="L98" s="170">
        <v>45253</v>
      </c>
      <c r="M98" s="116">
        <v>648.29999999999995</v>
      </c>
      <c r="N98" s="116">
        <v>653.95000000000005</v>
      </c>
      <c r="O98" s="116">
        <v>639.5</v>
      </c>
      <c r="P98" s="116">
        <v>645.29999999999995</v>
      </c>
      <c r="Q98" s="116">
        <v>648.29999999999995</v>
      </c>
      <c r="R98">
        <v>186472</v>
      </c>
    </row>
    <row r="99" spans="1:18" x14ac:dyDescent="0.25">
      <c r="A99" s="170">
        <v>45254</v>
      </c>
      <c r="B99" s="116">
        <v>665</v>
      </c>
      <c r="C99" s="116">
        <v>643.15</v>
      </c>
      <c r="D99" s="116">
        <v>639.5</v>
      </c>
      <c r="E99" s="116">
        <v>659.95</v>
      </c>
      <c r="F99" s="116">
        <v>643.15</v>
      </c>
      <c r="G99">
        <v>7010</v>
      </c>
      <c r="H99" s="116"/>
      <c r="I99" s="116"/>
      <c r="L99" s="170">
        <v>45254</v>
      </c>
      <c r="M99" s="116">
        <v>644.95000000000005</v>
      </c>
      <c r="N99" s="116">
        <v>666</v>
      </c>
      <c r="O99" s="116">
        <v>640.04999999999995</v>
      </c>
      <c r="P99" s="116">
        <v>652.29999999999995</v>
      </c>
      <c r="Q99" s="116">
        <v>644.95000000000005</v>
      </c>
      <c r="R99">
        <v>213878</v>
      </c>
    </row>
    <row r="100" spans="1:18" x14ac:dyDescent="0.25">
      <c r="A100" s="170">
        <v>45258</v>
      </c>
      <c r="B100" s="116">
        <v>653.95000000000005</v>
      </c>
      <c r="C100" s="116">
        <v>638.25</v>
      </c>
      <c r="D100" s="116">
        <v>634.54999999999995</v>
      </c>
      <c r="E100" s="116">
        <v>650.04999999999995</v>
      </c>
      <c r="F100" s="116">
        <v>638.25</v>
      </c>
      <c r="G100">
        <v>6880</v>
      </c>
      <c r="H100" s="116"/>
      <c r="I100" s="116"/>
      <c r="L100" s="170">
        <v>45258</v>
      </c>
      <c r="M100" s="116">
        <v>637.95000000000005</v>
      </c>
      <c r="N100" s="116">
        <v>654.85</v>
      </c>
      <c r="O100" s="116">
        <v>634.5</v>
      </c>
      <c r="P100" s="116">
        <v>650.79999999999995</v>
      </c>
      <c r="Q100" s="116">
        <v>637.95000000000005</v>
      </c>
      <c r="R100">
        <v>96918</v>
      </c>
    </row>
    <row r="101" spans="1:18" x14ac:dyDescent="0.25">
      <c r="A101" s="170">
        <v>45259</v>
      </c>
      <c r="B101" s="116">
        <v>649.54999999999995</v>
      </c>
      <c r="C101" s="116">
        <v>635.15</v>
      </c>
      <c r="D101" s="116">
        <v>630.29999999999995</v>
      </c>
      <c r="E101" s="116">
        <v>640.15</v>
      </c>
      <c r="F101" s="116">
        <v>635.15</v>
      </c>
      <c r="G101">
        <v>15506</v>
      </c>
      <c r="H101" s="116"/>
      <c r="I101" s="116"/>
      <c r="L101" s="170">
        <v>45259</v>
      </c>
      <c r="M101" s="116">
        <v>636.4</v>
      </c>
      <c r="N101" s="116">
        <v>649</v>
      </c>
      <c r="O101" s="116">
        <v>634.70000000000005</v>
      </c>
      <c r="P101" s="116">
        <v>649</v>
      </c>
      <c r="Q101" s="116">
        <v>636.4</v>
      </c>
      <c r="R101">
        <v>102881</v>
      </c>
    </row>
    <row r="102" spans="1:18" x14ac:dyDescent="0.25">
      <c r="A102" s="170">
        <v>45260</v>
      </c>
      <c r="B102" s="116">
        <v>662.6</v>
      </c>
      <c r="C102" s="116">
        <v>648.25</v>
      </c>
      <c r="D102" s="116">
        <v>634.15</v>
      </c>
      <c r="E102" s="116">
        <v>646.70000000000005</v>
      </c>
      <c r="F102" s="116">
        <v>648.25</v>
      </c>
      <c r="G102">
        <v>6634</v>
      </c>
      <c r="H102" s="116"/>
      <c r="I102" s="116"/>
      <c r="L102" s="170">
        <v>45260</v>
      </c>
      <c r="M102" s="116">
        <v>649.04999999999995</v>
      </c>
      <c r="N102" s="116">
        <v>663</v>
      </c>
      <c r="O102" s="116">
        <v>633.04999999999995</v>
      </c>
      <c r="P102" s="116">
        <v>640.65</v>
      </c>
      <c r="Q102" s="116">
        <v>649.04999999999995</v>
      </c>
      <c r="R102">
        <v>163395</v>
      </c>
    </row>
    <row r="103" spans="1:18" x14ac:dyDescent="0.25">
      <c r="A103" s="170">
        <v>45261</v>
      </c>
      <c r="B103" s="116">
        <v>661</v>
      </c>
      <c r="C103" s="116">
        <v>649.4</v>
      </c>
      <c r="D103" s="116">
        <v>648.1</v>
      </c>
      <c r="E103" s="116">
        <v>661</v>
      </c>
      <c r="F103" s="116">
        <v>649.4</v>
      </c>
      <c r="G103">
        <v>4116</v>
      </c>
      <c r="H103" s="116"/>
      <c r="I103" s="116"/>
      <c r="L103" s="170">
        <v>45261</v>
      </c>
      <c r="M103" s="116">
        <v>650.4</v>
      </c>
      <c r="N103" s="116">
        <v>661</v>
      </c>
      <c r="O103" s="116">
        <v>648.29999999999995</v>
      </c>
      <c r="P103" s="116">
        <v>661</v>
      </c>
      <c r="Q103" s="116">
        <v>650.4</v>
      </c>
      <c r="R103">
        <v>68760</v>
      </c>
    </row>
    <row r="104" spans="1:18" x14ac:dyDescent="0.25">
      <c r="A104" s="170">
        <v>45264</v>
      </c>
      <c r="B104" s="116">
        <v>683.1</v>
      </c>
      <c r="C104" s="116">
        <v>658.35</v>
      </c>
      <c r="D104" s="116">
        <v>647.35</v>
      </c>
      <c r="E104" s="116">
        <v>660.45</v>
      </c>
      <c r="F104" s="116">
        <v>658.35</v>
      </c>
      <c r="G104">
        <v>9915</v>
      </c>
      <c r="H104" s="116"/>
      <c r="I104" s="116"/>
      <c r="L104" s="170">
        <v>45264</v>
      </c>
      <c r="M104" s="116">
        <v>658.35</v>
      </c>
      <c r="N104" s="116">
        <v>684.3</v>
      </c>
      <c r="O104" s="116">
        <v>647.04999999999995</v>
      </c>
      <c r="P104" s="116">
        <v>659.65</v>
      </c>
      <c r="Q104" s="116">
        <v>658.35</v>
      </c>
      <c r="R104">
        <v>295623</v>
      </c>
    </row>
    <row r="105" spans="1:18" x14ac:dyDescent="0.25">
      <c r="A105" s="170">
        <v>45265</v>
      </c>
      <c r="B105" s="116">
        <v>662.35</v>
      </c>
      <c r="C105" s="116">
        <v>658.1</v>
      </c>
      <c r="D105" s="116">
        <v>646.70000000000005</v>
      </c>
      <c r="E105" s="116">
        <v>655.04999999999995</v>
      </c>
      <c r="F105" s="116">
        <v>658.1</v>
      </c>
      <c r="G105">
        <v>15315</v>
      </c>
      <c r="H105" s="116"/>
      <c r="I105" s="116"/>
      <c r="L105" s="170">
        <v>45265</v>
      </c>
      <c r="M105" s="116">
        <v>658.7</v>
      </c>
      <c r="N105" s="116">
        <v>662.05</v>
      </c>
      <c r="O105" s="116">
        <v>647</v>
      </c>
      <c r="P105" s="116">
        <v>659.95</v>
      </c>
      <c r="Q105" s="116">
        <v>658.7</v>
      </c>
      <c r="R105">
        <v>214103</v>
      </c>
    </row>
    <row r="106" spans="1:18" x14ac:dyDescent="0.25">
      <c r="A106" s="170">
        <v>45266</v>
      </c>
      <c r="B106" s="116">
        <v>661</v>
      </c>
      <c r="C106" s="116">
        <v>646.85</v>
      </c>
      <c r="D106" s="116">
        <v>642.75</v>
      </c>
      <c r="E106" s="116">
        <v>654.79999999999995</v>
      </c>
      <c r="F106" s="116">
        <v>646.85</v>
      </c>
      <c r="G106">
        <v>8076</v>
      </c>
      <c r="H106" s="116"/>
      <c r="I106" s="116"/>
      <c r="L106" s="170">
        <v>45266</v>
      </c>
      <c r="M106" s="116">
        <v>646.54999999999995</v>
      </c>
      <c r="N106" s="116">
        <v>662.5</v>
      </c>
      <c r="O106" s="116">
        <v>641.04999999999995</v>
      </c>
      <c r="P106" s="116">
        <v>662.5</v>
      </c>
      <c r="Q106" s="116">
        <v>646.54999999999995</v>
      </c>
      <c r="R106">
        <v>275275</v>
      </c>
    </row>
    <row r="107" spans="1:18" x14ac:dyDescent="0.25">
      <c r="A107" s="170">
        <v>45267</v>
      </c>
      <c r="B107" s="116">
        <v>653.20000000000005</v>
      </c>
      <c r="C107" s="116">
        <v>641.45000000000005</v>
      </c>
      <c r="D107" s="116">
        <v>639</v>
      </c>
      <c r="E107" s="116">
        <v>647</v>
      </c>
      <c r="F107" s="116">
        <v>641.45000000000005</v>
      </c>
      <c r="G107">
        <v>16255</v>
      </c>
      <c r="H107" s="116"/>
      <c r="I107" s="116"/>
      <c r="L107" s="170">
        <v>45267</v>
      </c>
      <c r="M107" s="116">
        <v>640.70000000000005</v>
      </c>
      <c r="N107" s="116">
        <v>653.5</v>
      </c>
      <c r="O107" s="116">
        <v>639.15</v>
      </c>
      <c r="P107" s="116">
        <v>646.9</v>
      </c>
      <c r="Q107" s="116">
        <v>640.70000000000005</v>
      </c>
      <c r="R107">
        <v>126530</v>
      </c>
    </row>
    <row r="108" spans="1:18" x14ac:dyDescent="0.25">
      <c r="A108" s="170">
        <v>45268</v>
      </c>
      <c r="B108" s="116">
        <v>652.45000000000005</v>
      </c>
      <c r="C108" s="116">
        <v>640.20000000000005</v>
      </c>
      <c r="D108" s="116">
        <v>638</v>
      </c>
      <c r="E108" s="116">
        <v>642.04999999999995</v>
      </c>
      <c r="F108" s="116">
        <v>640.20000000000005</v>
      </c>
      <c r="G108">
        <v>13521</v>
      </c>
      <c r="H108" s="116"/>
      <c r="I108" s="116"/>
      <c r="L108" s="170">
        <v>45268</v>
      </c>
      <c r="M108" s="116">
        <v>640.70000000000005</v>
      </c>
      <c r="N108" s="116">
        <v>653.1</v>
      </c>
      <c r="O108" s="116">
        <v>638</v>
      </c>
      <c r="P108" s="116">
        <v>644</v>
      </c>
      <c r="Q108" s="116">
        <v>640.70000000000005</v>
      </c>
      <c r="R108">
        <v>100910</v>
      </c>
    </row>
    <row r="109" spans="1:18" x14ac:dyDescent="0.25">
      <c r="A109" s="170">
        <v>45271</v>
      </c>
      <c r="B109" s="116">
        <v>644.70000000000005</v>
      </c>
      <c r="C109" s="116">
        <v>615.5</v>
      </c>
      <c r="D109" s="116">
        <v>613</v>
      </c>
      <c r="E109" s="116">
        <v>644.70000000000005</v>
      </c>
      <c r="F109" s="116">
        <v>615.5</v>
      </c>
      <c r="G109">
        <v>19195</v>
      </c>
      <c r="H109" s="116"/>
      <c r="I109" s="116"/>
      <c r="L109" s="170">
        <v>45271</v>
      </c>
      <c r="M109" s="116">
        <v>617</v>
      </c>
      <c r="N109" s="116">
        <v>643.65</v>
      </c>
      <c r="O109" s="116">
        <v>613.5</v>
      </c>
      <c r="P109" s="116">
        <v>643.65</v>
      </c>
      <c r="Q109" s="116">
        <v>617</v>
      </c>
      <c r="R109">
        <v>602674</v>
      </c>
    </row>
    <row r="110" spans="1:18" x14ac:dyDescent="0.25">
      <c r="A110" s="170">
        <v>45272</v>
      </c>
      <c r="B110" s="116">
        <v>627.5</v>
      </c>
      <c r="C110" s="116">
        <v>614.9</v>
      </c>
      <c r="D110" s="116">
        <v>613.85</v>
      </c>
      <c r="E110" s="116">
        <v>621.79999999999995</v>
      </c>
      <c r="F110" s="116">
        <v>614.9</v>
      </c>
      <c r="G110">
        <v>7613</v>
      </c>
      <c r="H110" s="116"/>
      <c r="I110" s="116"/>
      <c r="L110" s="170">
        <v>45272</v>
      </c>
      <c r="M110" s="116">
        <v>614.85</v>
      </c>
      <c r="N110" s="116">
        <v>627.5</v>
      </c>
      <c r="O110" s="116">
        <v>613.5</v>
      </c>
      <c r="P110" s="116">
        <v>622.65</v>
      </c>
      <c r="Q110" s="116">
        <v>614.85</v>
      </c>
      <c r="R110">
        <v>241097</v>
      </c>
    </row>
    <row r="111" spans="1:18" x14ac:dyDescent="0.25">
      <c r="A111" s="170">
        <v>45273</v>
      </c>
      <c r="B111" s="116">
        <v>622.35</v>
      </c>
      <c r="C111" s="116">
        <v>615.04999999999995</v>
      </c>
      <c r="D111" s="116">
        <v>612.29999999999995</v>
      </c>
      <c r="E111" s="116">
        <v>615.5</v>
      </c>
      <c r="F111" s="116">
        <v>615.04999999999995</v>
      </c>
      <c r="G111">
        <v>14609</v>
      </c>
      <c r="H111" s="116"/>
      <c r="I111" s="116"/>
      <c r="L111" s="170">
        <v>45273</v>
      </c>
      <c r="M111" s="116">
        <v>615.45000000000005</v>
      </c>
      <c r="N111" s="116">
        <v>622.70000000000005</v>
      </c>
      <c r="O111" s="116">
        <v>612.29999999999995</v>
      </c>
      <c r="P111" s="116">
        <v>615</v>
      </c>
      <c r="Q111" s="116">
        <v>615.45000000000005</v>
      </c>
      <c r="R111">
        <v>207509</v>
      </c>
    </row>
    <row r="112" spans="1:18" x14ac:dyDescent="0.25">
      <c r="A112" s="170">
        <v>45274</v>
      </c>
      <c r="B112" s="116">
        <v>657.4</v>
      </c>
      <c r="C112" s="116">
        <v>646.95000000000005</v>
      </c>
      <c r="D112" s="116">
        <v>613</v>
      </c>
      <c r="E112" s="116">
        <v>624.15</v>
      </c>
      <c r="F112" s="116">
        <v>646.95000000000005</v>
      </c>
      <c r="G112">
        <v>27332</v>
      </c>
      <c r="H112" s="116"/>
      <c r="I112" s="116"/>
      <c r="L112" s="170">
        <v>45274</v>
      </c>
      <c r="M112" s="116">
        <v>647.75</v>
      </c>
      <c r="N112" s="116">
        <v>657.25</v>
      </c>
      <c r="O112" s="116">
        <v>612.65</v>
      </c>
      <c r="P112" s="116">
        <v>619</v>
      </c>
      <c r="Q112" s="116">
        <v>647.75</v>
      </c>
      <c r="R112">
        <v>1094232</v>
      </c>
    </row>
    <row r="113" spans="1:18" x14ac:dyDescent="0.25">
      <c r="A113" s="170">
        <v>45275</v>
      </c>
      <c r="B113" s="116">
        <v>681.7</v>
      </c>
      <c r="C113" s="116">
        <v>651.54999999999995</v>
      </c>
      <c r="D113" s="116">
        <v>644.04999999999995</v>
      </c>
      <c r="E113" s="116">
        <v>654.75</v>
      </c>
      <c r="F113" s="116">
        <v>651.54999999999995</v>
      </c>
      <c r="G113">
        <v>43219</v>
      </c>
      <c r="H113" s="116"/>
      <c r="I113" s="116"/>
      <c r="L113" s="170">
        <v>45275</v>
      </c>
      <c r="M113" s="116">
        <v>652.04999999999995</v>
      </c>
      <c r="N113" s="116">
        <v>682</v>
      </c>
      <c r="O113" s="116">
        <v>644</v>
      </c>
      <c r="P113" s="116">
        <v>653</v>
      </c>
      <c r="Q113" s="116">
        <v>652.04999999999995</v>
      </c>
      <c r="R113">
        <v>904177</v>
      </c>
    </row>
    <row r="114" spans="1:18" x14ac:dyDescent="0.25">
      <c r="A114" s="170">
        <v>45278</v>
      </c>
      <c r="B114" s="116">
        <v>677.4</v>
      </c>
      <c r="C114" s="116">
        <v>671.4</v>
      </c>
      <c r="D114" s="116">
        <v>653.75</v>
      </c>
      <c r="E114" s="116">
        <v>656.6</v>
      </c>
      <c r="F114" s="116">
        <v>671.4</v>
      </c>
      <c r="G114">
        <v>25210</v>
      </c>
      <c r="H114" s="116"/>
      <c r="I114" s="116"/>
      <c r="L114" s="170">
        <v>45278</v>
      </c>
      <c r="M114" s="116">
        <v>671.1</v>
      </c>
      <c r="N114" s="116">
        <v>677.5</v>
      </c>
      <c r="O114" s="116">
        <v>653.04999999999995</v>
      </c>
      <c r="P114" s="116">
        <v>653.75</v>
      </c>
      <c r="Q114" s="116">
        <v>671.1</v>
      </c>
      <c r="R114">
        <v>462544</v>
      </c>
    </row>
    <row r="115" spans="1:18" x14ac:dyDescent="0.25">
      <c r="A115" s="170">
        <v>45279</v>
      </c>
      <c r="B115" s="116">
        <v>677.15</v>
      </c>
      <c r="C115" s="116">
        <v>666.85</v>
      </c>
      <c r="D115" s="116">
        <v>660.2</v>
      </c>
      <c r="E115" s="116">
        <v>674.7</v>
      </c>
      <c r="F115" s="116">
        <v>666.85</v>
      </c>
      <c r="G115">
        <v>28946</v>
      </c>
      <c r="H115" s="116"/>
      <c r="I115" s="116"/>
      <c r="L115" s="170">
        <v>45279</v>
      </c>
      <c r="M115" s="116">
        <v>667.3</v>
      </c>
      <c r="N115" s="116">
        <v>677</v>
      </c>
      <c r="O115" s="116">
        <v>660.7</v>
      </c>
      <c r="P115" s="116">
        <v>674</v>
      </c>
      <c r="Q115" s="116">
        <v>667.3</v>
      </c>
      <c r="R115">
        <v>204303</v>
      </c>
    </row>
    <row r="116" spans="1:18" x14ac:dyDescent="0.25">
      <c r="A116" s="170">
        <v>45280</v>
      </c>
      <c r="B116" s="116">
        <v>678.8</v>
      </c>
      <c r="C116" s="116">
        <v>641.20000000000005</v>
      </c>
      <c r="D116" s="116">
        <v>630</v>
      </c>
      <c r="E116" s="116">
        <v>669.2</v>
      </c>
      <c r="F116" s="116">
        <v>641.20000000000005</v>
      </c>
      <c r="G116">
        <v>17189</v>
      </c>
      <c r="H116" s="116"/>
      <c r="I116" s="116"/>
      <c r="L116" s="170">
        <v>45280</v>
      </c>
      <c r="M116" s="116">
        <v>640.6</v>
      </c>
      <c r="N116" s="116">
        <v>678.65</v>
      </c>
      <c r="O116" s="116">
        <v>630.54999999999995</v>
      </c>
      <c r="P116" s="116">
        <v>669.95</v>
      </c>
      <c r="Q116" s="116">
        <v>640.6</v>
      </c>
      <c r="R116">
        <v>256637</v>
      </c>
    </row>
    <row r="117" spans="1:18" x14ac:dyDescent="0.25">
      <c r="A117" s="170">
        <v>45281</v>
      </c>
      <c r="B117" s="116">
        <v>658.8</v>
      </c>
      <c r="C117" s="116">
        <v>654.79999999999995</v>
      </c>
      <c r="D117" s="116">
        <v>624.5</v>
      </c>
      <c r="E117" s="116">
        <v>630.85</v>
      </c>
      <c r="F117" s="116">
        <v>654.79999999999995</v>
      </c>
      <c r="G117">
        <v>23111</v>
      </c>
      <c r="H117" s="116"/>
      <c r="I117" s="116"/>
      <c r="L117" s="170">
        <v>45281</v>
      </c>
      <c r="M117" s="116">
        <v>654.85</v>
      </c>
      <c r="N117" s="116">
        <v>659.05</v>
      </c>
      <c r="O117" s="116">
        <v>624.4</v>
      </c>
      <c r="P117" s="116">
        <v>631</v>
      </c>
      <c r="Q117" s="116">
        <v>654.85</v>
      </c>
      <c r="R117">
        <v>174520</v>
      </c>
    </row>
    <row r="118" spans="1:18" x14ac:dyDescent="0.25">
      <c r="A118" s="170">
        <v>45282</v>
      </c>
      <c r="B118" s="116">
        <v>671.4</v>
      </c>
      <c r="C118" s="116">
        <v>667.4</v>
      </c>
      <c r="D118" s="116">
        <v>658</v>
      </c>
      <c r="E118" s="116">
        <v>659.35</v>
      </c>
      <c r="F118" s="116">
        <v>667.4</v>
      </c>
      <c r="G118">
        <v>9239</v>
      </c>
      <c r="H118" s="116"/>
      <c r="I118" s="116"/>
      <c r="L118" s="170">
        <v>45282</v>
      </c>
      <c r="M118" s="116">
        <v>666.95</v>
      </c>
      <c r="N118" s="116">
        <v>671</v>
      </c>
      <c r="O118" s="116">
        <v>654.9</v>
      </c>
      <c r="P118" s="116">
        <v>658</v>
      </c>
      <c r="Q118" s="116">
        <v>666.95</v>
      </c>
      <c r="R118">
        <v>165734</v>
      </c>
    </row>
    <row r="119" spans="1:18" x14ac:dyDescent="0.25">
      <c r="A119" s="170">
        <v>45286</v>
      </c>
      <c r="B119" s="116">
        <v>686</v>
      </c>
      <c r="C119" s="116">
        <v>668.65</v>
      </c>
      <c r="D119" s="116">
        <v>660.4</v>
      </c>
      <c r="E119" s="116">
        <v>669.85</v>
      </c>
      <c r="F119" s="116">
        <v>668.65</v>
      </c>
      <c r="G119">
        <v>38843</v>
      </c>
      <c r="H119" s="116"/>
      <c r="I119" s="116"/>
      <c r="L119" s="170">
        <v>45286</v>
      </c>
      <c r="M119" s="116">
        <v>668.65</v>
      </c>
      <c r="N119" s="116">
        <v>686.4</v>
      </c>
      <c r="O119" s="116">
        <v>660.05</v>
      </c>
      <c r="P119" s="116">
        <v>670.65</v>
      </c>
      <c r="Q119" s="116">
        <v>668.65</v>
      </c>
      <c r="R119">
        <v>288437</v>
      </c>
    </row>
    <row r="120" spans="1:18" x14ac:dyDescent="0.25">
      <c r="A120" s="170">
        <v>45287</v>
      </c>
      <c r="B120" s="116">
        <v>672.1</v>
      </c>
      <c r="C120" s="116">
        <v>664.3</v>
      </c>
      <c r="D120" s="116">
        <v>651.25</v>
      </c>
      <c r="E120" s="116">
        <v>672.1</v>
      </c>
      <c r="F120" s="116">
        <v>664.3</v>
      </c>
      <c r="G120">
        <v>16657</v>
      </c>
      <c r="H120" s="116"/>
      <c r="I120" s="116"/>
      <c r="L120" s="170">
        <v>45287</v>
      </c>
      <c r="M120" s="116">
        <v>664.7</v>
      </c>
      <c r="N120" s="116">
        <v>672.85</v>
      </c>
      <c r="O120" s="116">
        <v>651.29999999999995</v>
      </c>
      <c r="P120" s="116">
        <v>672.85</v>
      </c>
      <c r="Q120" s="116">
        <v>664.7</v>
      </c>
      <c r="R120">
        <v>251448</v>
      </c>
    </row>
    <row r="121" spans="1:18" x14ac:dyDescent="0.25">
      <c r="A121" s="170">
        <v>45288</v>
      </c>
      <c r="B121" s="116">
        <v>678.55</v>
      </c>
      <c r="C121" s="116">
        <v>673.3</v>
      </c>
      <c r="D121" s="116">
        <v>656.5</v>
      </c>
      <c r="E121" s="116">
        <v>662.45</v>
      </c>
      <c r="F121" s="116">
        <v>673.3</v>
      </c>
      <c r="G121">
        <v>14996</v>
      </c>
      <c r="H121" s="116"/>
      <c r="I121" s="116"/>
      <c r="L121" s="170">
        <v>45288</v>
      </c>
      <c r="M121" s="116">
        <v>673.95</v>
      </c>
      <c r="N121" s="116">
        <v>679.05</v>
      </c>
      <c r="O121" s="116">
        <v>656.55</v>
      </c>
      <c r="P121" s="116">
        <v>668.95</v>
      </c>
      <c r="Q121" s="116">
        <v>673.95</v>
      </c>
      <c r="R121">
        <v>221088</v>
      </c>
    </row>
    <row r="122" spans="1:18" x14ac:dyDescent="0.25">
      <c r="A122" s="170">
        <v>45289</v>
      </c>
      <c r="B122" s="116">
        <v>695.5</v>
      </c>
      <c r="C122" s="116">
        <v>675.05</v>
      </c>
      <c r="D122" s="116">
        <v>662</v>
      </c>
      <c r="E122" s="116">
        <v>675.65</v>
      </c>
      <c r="F122" s="116">
        <v>675.05</v>
      </c>
      <c r="G122">
        <v>21149</v>
      </c>
      <c r="H122" s="116"/>
      <c r="I122" s="116"/>
      <c r="L122" s="170">
        <v>45289</v>
      </c>
      <c r="M122" s="116">
        <v>674.75</v>
      </c>
      <c r="N122" s="116">
        <v>695.8</v>
      </c>
      <c r="O122" s="116">
        <v>655.95</v>
      </c>
      <c r="P122" s="116">
        <v>674.95</v>
      </c>
      <c r="Q122" s="116">
        <v>674.75</v>
      </c>
      <c r="R122">
        <v>636097</v>
      </c>
    </row>
    <row r="123" spans="1:18" x14ac:dyDescent="0.25">
      <c r="A123" s="170">
        <v>45292</v>
      </c>
      <c r="B123" s="116">
        <v>687.9</v>
      </c>
      <c r="C123" s="116">
        <v>675.15</v>
      </c>
      <c r="D123" s="116">
        <v>672.1</v>
      </c>
      <c r="E123" s="116">
        <v>687.9</v>
      </c>
      <c r="F123" s="116">
        <v>675.15</v>
      </c>
      <c r="G123">
        <v>21475</v>
      </c>
      <c r="H123" s="116"/>
      <c r="I123" s="116"/>
      <c r="L123" s="170">
        <v>45292</v>
      </c>
      <c r="M123" s="116">
        <v>675.5</v>
      </c>
      <c r="N123" s="116">
        <v>688</v>
      </c>
      <c r="O123" s="116">
        <v>672.75</v>
      </c>
      <c r="P123" s="116">
        <v>685</v>
      </c>
      <c r="Q123" s="116">
        <v>675.5</v>
      </c>
      <c r="R123">
        <v>113261</v>
      </c>
    </row>
    <row r="124" spans="1:18" x14ac:dyDescent="0.25">
      <c r="A124" s="170">
        <v>45293</v>
      </c>
      <c r="B124" s="116">
        <v>681.25</v>
      </c>
      <c r="C124" s="116">
        <v>668.15</v>
      </c>
      <c r="D124" s="116">
        <v>656.55</v>
      </c>
      <c r="E124" s="116">
        <v>669.15</v>
      </c>
      <c r="F124" s="116">
        <v>668.15</v>
      </c>
      <c r="G124">
        <v>11770</v>
      </c>
      <c r="H124" s="116"/>
      <c r="I124" s="116"/>
      <c r="L124" s="170">
        <v>45293</v>
      </c>
      <c r="M124" s="116">
        <v>669.1</v>
      </c>
      <c r="N124" s="116">
        <v>680.8</v>
      </c>
      <c r="O124" s="116">
        <v>656.2</v>
      </c>
      <c r="P124" s="116">
        <v>680.8</v>
      </c>
      <c r="Q124" s="116">
        <v>669.1</v>
      </c>
      <c r="R124">
        <v>202767</v>
      </c>
    </row>
    <row r="125" spans="1:18" x14ac:dyDescent="0.25">
      <c r="A125" s="170">
        <v>45294</v>
      </c>
      <c r="B125" s="116">
        <v>671.75</v>
      </c>
      <c r="C125" s="116">
        <v>666.1</v>
      </c>
      <c r="D125" s="116">
        <v>658.6</v>
      </c>
      <c r="E125" s="116">
        <v>668.3</v>
      </c>
      <c r="F125" s="116">
        <v>666.1</v>
      </c>
      <c r="G125">
        <v>6923</v>
      </c>
      <c r="H125" s="116"/>
      <c r="I125" s="116"/>
      <c r="L125" s="170">
        <v>45294</v>
      </c>
      <c r="M125" s="116">
        <v>666.05</v>
      </c>
      <c r="N125" s="116">
        <v>672.3</v>
      </c>
      <c r="O125" s="116">
        <v>658.2</v>
      </c>
      <c r="P125" s="116">
        <v>672.3</v>
      </c>
      <c r="Q125" s="116">
        <v>666.05</v>
      </c>
      <c r="R125">
        <v>115198</v>
      </c>
    </row>
    <row r="126" spans="1:18" x14ac:dyDescent="0.25">
      <c r="A126" s="170">
        <v>45295</v>
      </c>
      <c r="B126" s="116">
        <v>677</v>
      </c>
      <c r="C126" s="116">
        <v>666.65</v>
      </c>
      <c r="D126" s="116">
        <v>663.35</v>
      </c>
      <c r="E126" s="116">
        <v>671.7</v>
      </c>
      <c r="F126" s="116">
        <v>666.65</v>
      </c>
      <c r="G126">
        <v>15083</v>
      </c>
      <c r="H126" s="116"/>
      <c r="I126" s="116"/>
      <c r="L126" s="170">
        <v>45295</v>
      </c>
      <c r="M126" s="116">
        <v>667.65</v>
      </c>
      <c r="N126" s="116">
        <v>678.45</v>
      </c>
      <c r="O126" s="116">
        <v>664.05</v>
      </c>
      <c r="P126" s="116">
        <v>669.95</v>
      </c>
      <c r="Q126" s="116">
        <v>667.65</v>
      </c>
      <c r="R126">
        <v>89892</v>
      </c>
    </row>
    <row r="127" spans="1:18" x14ac:dyDescent="0.25">
      <c r="A127" s="170">
        <v>45296</v>
      </c>
      <c r="B127" s="116">
        <v>677.35</v>
      </c>
      <c r="C127" s="116">
        <v>666.35</v>
      </c>
      <c r="D127" s="116">
        <v>661</v>
      </c>
      <c r="E127" s="116">
        <v>669.1</v>
      </c>
      <c r="F127" s="116">
        <v>666.35</v>
      </c>
      <c r="G127">
        <v>7869</v>
      </c>
      <c r="H127" s="116"/>
      <c r="I127" s="116"/>
      <c r="L127" s="170">
        <v>45296</v>
      </c>
      <c r="M127" s="116">
        <v>665.8</v>
      </c>
      <c r="N127" s="116">
        <v>680.25</v>
      </c>
      <c r="O127" s="116">
        <v>661</v>
      </c>
      <c r="P127" s="116">
        <v>673</v>
      </c>
      <c r="Q127" s="116">
        <v>665.8</v>
      </c>
      <c r="R127">
        <v>230350</v>
      </c>
    </row>
    <row r="128" spans="1:18" x14ac:dyDescent="0.25">
      <c r="A128" s="170">
        <v>45299</v>
      </c>
      <c r="B128" s="116">
        <v>669.65</v>
      </c>
      <c r="C128" s="116">
        <v>657.4</v>
      </c>
      <c r="D128" s="116">
        <v>653</v>
      </c>
      <c r="E128" s="116">
        <v>669.65</v>
      </c>
      <c r="F128" s="116">
        <v>657.4</v>
      </c>
      <c r="G128">
        <v>18064</v>
      </c>
      <c r="H128" s="116"/>
      <c r="I128" s="116"/>
      <c r="L128" s="170">
        <v>45299</v>
      </c>
      <c r="M128" s="116">
        <v>657.25</v>
      </c>
      <c r="N128" s="116">
        <v>669</v>
      </c>
      <c r="O128" s="116">
        <v>653</v>
      </c>
      <c r="P128" s="116">
        <v>669</v>
      </c>
      <c r="Q128" s="116">
        <v>657.25</v>
      </c>
      <c r="R128">
        <v>86661</v>
      </c>
    </row>
    <row r="129" spans="1:18" x14ac:dyDescent="0.25">
      <c r="A129" s="170">
        <v>45300</v>
      </c>
      <c r="B129" s="116">
        <v>665.95</v>
      </c>
      <c r="C129" s="116">
        <v>647.85</v>
      </c>
      <c r="D129" s="116">
        <v>646</v>
      </c>
      <c r="E129" s="116">
        <v>665.95</v>
      </c>
      <c r="F129" s="116">
        <v>647.85</v>
      </c>
      <c r="G129">
        <v>19729</v>
      </c>
      <c r="H129" s="116"/>
      <c r="I129" s="116"/>
      <c r="L129" s="170">
        <v>45300</v>
      </c>
      <c r="M129" s="116">
        <v>647.95000000000005</v>
      </c>
      <c r="N129" s="116">
        <v>664</v>
      </c>
      <c r="O129" s="116">
        <v>645</v>
      </c>
      <c r="P129" s="116">
        <v>660</v>
      </c>
      <c r="Q129" s="116">
        <v>647.95000000000005</v>
      </c>
      <c r="R129">
        <v>101877</v>
      </c>
    </row>
    <row r="130" spans="1:18" x14ac:dyDescent="0.25">
      <c r="A130" s="170">
        <v>45301</v>
      </c>
      <c r="B130" s="116">
        <v>667</v>
      </c>
      <c r="C130" s="116">
        <v>662.05</v>
      </c>
      <c r="D130" s="116">
        <v>636</v>
      </c>
      <c r="E130" s="116">
        <v>652.85</v>
      </c>
      <c r="F130" s="116">
        <v>662.05</v>
      </c>
      <c r="G130">
        <v>13293</v>
      </c>
      <c r="H130" s="116"/>
      <c r="I130" s="116"/>
      <c r="L130" s="170">
        <v>45301</v>
      </c>
      <c r="M130" s="116">
        <v>660.8</v>
      </c>
      <c r="N130" s="116">
        <v>667</v>
      </c>
      <c r="O130" s="116">
        <v>635.54999999999995</v>
      </c>
      <c r="P130" s="116">
        <v>648.95000000000005</v>
      </c>
      <c r="Q130" s="116">
        <v>660.8</v>
      </c>
      <c r="R130">
        <v>223701</v>
      </c>
    </row>
    <row r="131" spans="1:18" x14ac:dyDescent="0.25">
      <c r="A131" s="170">
        <v>45302</v>
      </c>
      <c r="B131" s="116">
        <v>662.5</v>
      </c>
      <c r="C131" s="116">
        <v>649.5</v>
      </c>
      <c r="D131" s="116">
        <v>648</v>
      </c>
      <c r="E131" s="116">
        <v>662.05</v>
      </c>
      <c r="F131" s="116">
        <v>649.5</v>
      </c>
      <c r="G131">
        <v>16058</v>
      </c>
      <c r="H131" s="116"/>
      <c r="I131" s="116"/>
      <c r="L131" s="170">
        <v>45302</v>
      </c>
      <c r="M131" s="116">
        <v>649.79999999999995</v>
      </c>
      <c r="N131" s="116">
        <v>664.3</v>
      </c>
      <c r="O131" s="116">
        <v>648</v>
      </c>
      <c r="P131" s="116">
        <v>663.95</v>
      </c>
      <c r="Q131" s="116">
        <v>649.79999999999995</v>
      </c>
      <c r="R131">
        <v>262860</v>
      </c>
    </row>
    <row r="132" spans="1:18" x14ac:dyDescent="0.25">
      <c r="A132" s="170">
        <v>45303</v>
      </c>
      <c r="B132" s="116">
        <v>674.15</v>
      </c>
      <c r="C132" s="116">
        <v>669.65</v>
      </c>
      <c r="D132" s="116">
        <v>651.25</v>
      </c>
      <c r="E132" s="116">
        <v>651.25</v>
      </c>
      <c r="F132" s="116">
        <v>669.65</v>
      </c>
      <c r="G132">
        <v>16409</v>
      </c>
      <c r="H132" s="116"/>
      <c r="I132" s="116"/>
      <c r="L132" s="170">
        <v>45303</v>
      </c>
      <c r="M132" s="116">
        <v>670.3</v>
      </c>
      <c r="N132" s="116">
        <v>674.25</v>
      </c>
      <c r="O132" s="116">
        <v>651</v>
      </c>
      <c r="P132" s="116">
        <v>651.95000000000005</v>
      </c>
      <c r="Q132" s="116">
        <v>670.3</v>
      </c>
      <c r="R132">
        <v>315728</v>
      </c>
    </row>
    <row r="133" spans="1:18" x14ac:dyDescent="0.25">
      <c r="A133" s="170">
        <v>45306</v>
      </c>
      <c r="B133" s="116">
        <v>719.85</v>
      </c>
      <c r="C133" s="116">
        <v>697.95</v>
      </c>
      <c r="D133" s="116">
        <v>676.5</v>
      </c>
      <c r="E133" s="116">
        <v>679.85</v>
      </c>
      <c r="F133" s="116">
        <v>697.95</v>
      </c>
      <c r="G133">
        <v>43594</v>
      </c>
      <c r="H133" s="116"/>
      <c r="I133" s="116"/>
      <c r="L133" s="170">
        <v>45306</v>
      </c>
      <c r="M133" s="116">
        <v>697.9</v>
      </c>
      <c r="N133" s="116">
        <v>719.6</v>
      </c>
      <c r="O133" s="116">
        <v>676</v>
      </c>
      <c r="P133" s="116">
        <v>677</v>
      </c>
      <c r="Q133" s="116">
        <v>697.9</v>
      </c>
      <c r="R133">
        <v>1113034</v>
      </c>
    </row>
    <row r="134" spans="1:18" x14ac:dyDescent="0.25">
      <c r="A134" s="170">
        <v>45307</v>
      </c>
      <c r="B134" s="116">
        <v>717</v>
      </c>
      <c r="C134" s="116">
        <v>694.2</v>
      </c>
      <c r="D134" s="116">
        <v>682.05</v>
      </c>
      <c r="E134" s="116">
        <v>698.1</v>
      </c>
      <c r="F134" s="116">
        <v>694.2</v>
      </c>
      <c r="G134">
        <v>52435</v>
      </c>
      <c r="H134" s="116"/>
      <c r="I134" s="116"/>
      <c r="L134" s="170">
        <v>45307</v>
      </c>
      <c r="M134" s="116">
        <v>691.45</v>
      </c>
      <c r="N134" s="116">
        <v>717</v>
      </c>
      <c r="O134" s="116">
        <v>681.6</v>
      </c>
      <c r="P134" s="116">
        <v>702.65</v>
      </c>
      <c r="Q134" s="116">
        <v>691.45</v>
      </c>
      <c r="R134">
        <v>420791</v>
      </c>
    </row>
    <row r="135" spans="1:18" x14ac:dyDescent="0.25">
      <c r="A135" s="170">
        <v>45308</v>
      </c>
      <c r="B135" s="116">
        <v>692.1</v>
      </c>
      <c r="C135" s="116">
        <v>676.65</v>
      </c>
      <c r="D135" s="116">
        <v>670.45</v>
      </c>
      <c r="E135" s="116">
        <v>680.75</v>
      </c>
      <c r="F135" s="116">
        <v>676.65</v>
      </c>
      <c r="G135">
        <v>34751</v>
      </c>
      <c r="H135" s="116"/>
      <c r="I135" s="116"/>
      <c r="L135" s="170">
        <v>45308</v>
      </c>
      <c r="M135" s="116">
        <v>678.9</v>
      </c>
      <c r="N135" s="116">
        <v>692</v>
      </c>
      <c r="O135" s="116">
        <v>670.4</v>
      </c>
      <c r="P135" s="116">
        <v>677.7</v>
      </c>
      <c r="Q135" s="116">
        <v>678.9</v>
      </c>
      <c r="R135">
        <v>213553</v>
      </c>
    </row>
    <row r="136" spans="1:18" x14ac:dyDescent="0.25">
      <c r="A136" s="170">
        <v>45309</v>
      </c>
      <c r="B136" s="116">
        <v>684.05</v>
      </c>
      <c r="C136" s="116">
        <v>661.9</v>
      </c>
      <c r="D136" s="116">
        <v>657</v>
      </c>
      <c r="E136" s="116">
        <v>684.05</v>
      </c>
      <c r="F136" s="116">
        <v>661.9</v>
      </c>
      <c r="G136">
        <v>11003</v>
      </c>
      <c r="H136" s="116"/>
      <c r="I136" s="116"/>
      <c r="L136" s="170">
        <v>45309</v>
      </c>
      <c r="M136" s="116">
        <v>662.9</v>
      </c>
      <c r="N136" s="116">
        <v>682.8</v>
      </c>
      <c r="O136" s="116">
        <v>656.25</v>
      </c>
      <c r="P136" s="116">
        <v>675</v>
      </c>
      <c r="Q136" s="116">
        <v>662.9</v>
      </c>
      <c r="R136">
        <v>171388</v>
      </c>
    </row>
    <row r="137" spans="1:18" x14ac:dyDescent="0.25">
      <c r="A137" s="170">
        <v>45310</v>
      </c>
      <c r="B137" s="116">
        <v>675.5</v>
      </c>
      <c r="C137" s="116">
        <v>669.1</v>
      </c>
      <c r="D137" s="116">
        <v>654</v>
      </c>
      <c r="E137" s="116">
        <v>669.95</v>
      </c>
      <c r="F137" s="116">
        <v>669.1</v>
      </c>
      <c r="G137">
        <v>6793</v>
      </c>
      <c r="H137" s="116"/>
      <c r="I137" s="116"/>
      <c r="L137" s="170">
        <v>45310</v>
      </c>
      <c r="M137" s="116">
        <v>668.95</v>
      </c>
      <c r="N137" s="116">
        <v>675.75</v>
      </c>
      <c r="O137" s="116">
        <v>653.54999999999995</v>
      </c>
      <c r="P137" s="116">
        <v>668.65</v>
      </c>
      <c r="Q137" s="116">
        <v>668.95</v>
      </c>
      <c r="R137">
        <v>264756</v>
      </c>
    </row>
    <row r="138" spans="1:18" x14ac:dyDescent="0.25">
      <c r="A138" s="170">
        <v>45311</v>
      </c>
      <c r="B138" s="116">
        <v>671.9</v>
      </c>
      <c r="C138" s="116">
        <v>660.15</v>
      </c>
      <c r="D138" s="116">
        <v>658.1</v>
      </c>
      <c r="E138" s="116">
        <v>669.4</v>
      </c>
      <c r="F138" s="116">
        <v>660.15</v>
      </c>
      <c r="G138">
        <v>17310</v>
      </c>
      <c r="H138" s="116"/>
      <c r="I138" s="116"/>
      <c r="L138" s="170">
        <v>45311</v>
      </c>
      <c r="M138" s="116">
        <v>660.05</v>
      </c>
      <c r="N138" s="116">
        <v>672.1</v>
      </c>
      <c r="O138" s="116">
        <v>657.95</v>
      </c>
      <c r="P138" s="116">
        <v>665.3</v>
      </c>
      <c r="Q138" s="116">
        <v>660.05</v>
      </c>
      <c r="R138">
        <v>97438</v>
      </c>
    </row>
    <row r="139" spans="1:18" x14ac:dyDescent="0.25">
      <c r="A139" s="170">
        <v>45314</v>
      </c>
      <c r="B139" s="116">
        <v>671.85</v>
      </c>
      <c r="C139" s="116">
        <v>646.29999999999995</v>
      </c>
      <c r="D139" s="116">
        <v>637.75</v>
      </c>
      <c r="E139" s="116">
        <v>668</v>
      </c>
      <c r="F139" s="116">
        <v>646.29999999999995</v>
      </c>
      <c r="G139">
        <v>23333</v>
      </c>
      <c r="H139" s="116"/>
      <c r="I139" s="116"/>
      <c r="L139" s="170">
        <v>45314</v>
      </c>
      <c r="M139" s="116">
        <v>648.45000000000005</v>
      </c>
      <c r="N139" s="116">
        <v>672.75</v>
      </c>
      <c r="O139" s="116">
        <v>637.45000000000005</v>
      </c>
      <c r="P139" s="116">
        <v>666.65</v>
      </c>
      <c r="Q139" s="116">
        <v>648.45000000000005</v>
      </c>
      <c r="R139">
        <v>152114</v>
      </c>
    </row>
    <row r="140" spans="1:18" x14ac:dyDescent="0.25">
      <c r="A140" s="170">
        <v>45315</v>
      </c>
      <c r="B140" s="116">
        <v>687.5</v>
      </c>
      <c r="C140" s="116">
        <v>657.6</v>
      </c>
      <c r="D140" s="116">
        <v>645.4</v>
      </c>
      <c r="E140" s="116">
        <v>676.9</v>
      </c>
      <c r="F140" s="116">
        <v>657.6</v>
      </c>
      <c r="G140">
        <v>29915</v>
      </c>
      <c r="H140" s="116"/>
      <c r="I140" s="116"/>
      <c r="L140" s="170">
        <v>45315</v>
      </c>
      <c r="M140" s="116">
        <v>657.2</v>
      </c>
      <c r="N140" s="116">
        <v>687.4</v>
      </c>
      <c r="O140" s="116">
        <v>644.29999999999995</v>
      </c>
      <c r="P140" s="116">
        <v>676</v>
      </c>
      <c r="Q140" s="116">
        <v>657.2</v>
      </c>
      <c r="R140">
        <v>634505</v>
      </c>
    </row>
    <row r="141" spans="1:18" x14ac:dyDescent="0.25">
      <c r="A141" s="170">
        <v>45316</v>
      </c>
      <c r="B141" s="116">
        <v>699.95</v>
      </c>
      <c r="C141" s="116">
        <v>679.85</v>
      </c>
      <c r="D141" s="116">
        <v>663.35</v>
      </c>
      <c r="E141" s="116">
        <v>664.15</v>
      </c>
      <c r="F141" s="116">
        <v>679.85</v>
      </c>
      <c r="G141">
        <v>60939</v>
      </c>
      <c r="H141" s="116"/>
      <c r="I141" s="116"/>
      <c r="L141" s="170">
        <v>45316</v>
      </c>
      <c r="M141" s="116">
        <v>679.45</v>
      </c>
      <c r="N141" s="116">
        <v>700</v>
      </c>
      <c r="O141" s="116">
        <v>664.05</v>
      </c>
      <c r="P141" s="116">
        <v>664.9</v>
      </c>
      <c r="Q141" s="116">
        <v>679.45</v>
      </c>
      <c r="R141">
        <v>780835</v>
      </c>
    </row>
    <row r="142" spans="1:18" x14ac:dyDescent="0.25">
      <c r="A142" s="170">
        <v>45320</v>
      </c>
      <c r="B142" s="116">
        <v>696</v>
      </c>
      <c r="C142" s="116">
        <v>663.2</v>
      </c>
      <c r="D142" s="116">
        <v>660</v>
      </c>
      <c r="E142" s="116">
        <v>695</v>
      </c>
      <c r="F142" s="116">
        <v>663.2</v>
      </c>
      <c r="G142">
        <v>38873</v>
      </c>
      <c r="H142" s="116"/>
      <c r="I142" s="116"/>
      <c r="L142" s="170">
        <v>45320</v>
      </c>
      <c r="M142" s="116">
        <v>663.6</v>
      </c>
      <c r="N142" s="116">
        <v>698.85</v>
      </c>
      <c r="O142" s="116">
        <v>660</v>
      </c>
      <c r="P142" s="116">
        <v>698.85</v>
      </c>
      <c r="Q142" s="116">
        <v>663.6</v>
      </c>
      <c r="R142">
        <v>314076</v>
      </c>
    </row>
    <row r="143" spans="1:18" x14ac:dyDescent="0.25">
      <c r="A143" s="170">
        <v>45321</v>
      </c>
      <c r="B143" s="116">
        <v>674.3</v>
      </c>
      <c r="C143" s="116">
        <v>666</v>
      </c>
      <c r="D143" s="116">
        <v>657.95</v>
      </c>
      <c r="E143" s="116">
        <v>663.05</v>
      </c>
      <c r="F143" s="116">
        <v>666</v>
      </c>
      <c r="G143">
        <v>12238</v>
      </c>
      <c r="H143" s="116"/>
      <c r="I143" s="116"/>
      <c r="L143" s="170">
        <v>45321</v>
      </c>
      <c r="M143" s="116">
        <v>665.6</v>
      </c>
      <c r="N143" s="116">
        <v>674.15</v>
      </c>
      <c r="O143" s="116">
        <v>657.7</v>
      </c>
      <c r="P143" s="116">
        <v>670.45</v>
      </c>
      <c r="Q143" s="116">
        <v>665.6</v>
      </c>
      <c r="R143">
        <v>147314</v>
      </c>
    </row>
    <row r="144" spans="1:18" x14ac:dyDescent="0.25">
      <c r="A144" s="170">
        <v>45322</v>
      </c>
      <c r="B144" s="116">
        <v>686</v>
      </c>
      <c r="C144" s="116">
        <v>682.45</v>
      </c>
      <c r="D144" s="116">
        <v>663.05</v>
      </c>
      <c r="E144" s="116">
        <v>670.15</v>
      </c>
      <c r="F144" s="116">
        <v>682.45</v>
      </c>
      <c r="G144">
        <v>26281</v>
      </c>
      <c r="H144" s="116"/>
      <c r="I144" s="116"/>
      <c r="L144" s="170">
        <v>45322</v>
      </c>
      <c r="M144" s="116">
        <v>683.25</v>
      </c>
      <c r="N144" s="116">
        <v>687.35</v>
      </c>
      <c r="O144" s="116">
        <v>663.2</v>
      </c>
      <c r="P144" s="116">
        <v>669.3</v>
      </c>
      <c r="Q144" s="116">
        <v>683.25</v>
      </c>
      <c r="R144">
        <v>314671</v>
      </c>
    </row>
    <row r="145" spans="1:18" x14ac:dyDescent="0.25">
      <c r="A145" s="170">
        <v>45323</v>
      </c>
      <c r="B145" s="116">
        <v>692.75</v>
      </c>
      <c r="C145" s="116">
        <v>682</v>
      </c>
      <c r="D145" s="116">
        <v>675.75</v>
      </c>
      <c r="E145" s="116">
        <v>688.95</v>
      </c>
      <c r="F145" s="116">
        <v>682</v>
      </c>
      <c r="G145">
        <v>8890</v>
      </c>
      <c r="H145" s="116"/>
      <c r="I145" s="116"/>
      <c r="L145" s="170">
        <v>45323</v>
      </c>
      <c r="M145" s="116">
        <v>681.95</v>
      </c>
      <c r="N145" s="116">
        <v>694.95</v>
      </c>
      <c r="O145" s="116">
        <v>675.25</v>
      </c>
      <c r="P145" s="116">
        <v>689.8</v>
      </c>
      <c r="Q145" s="116">
        <v>681.95</v>
      </c>
      <c r="R145">
        <v>182151</v>
      </c>
    </row>
    <row r="146" spans="1:18" x14ac:dyDescent="0.25">
      <c r="A146" s="170">
        <v>45324</v>
      </c>
      <c r="B146" s="116">
        <v>690.05</v>
      </c>
      <c r="C146" s="116">
        <v>675.6</v>
      </c>
      <c r="D146" s="116">
        <v>666.95</v>
      </c>
      <c r="E146" s="116">
        <v>681.15</v>
      </c>
      <c r="F146" s="116">
        <v>675.6</v>
      </c>
      <c r="G146">
        <v>41128</v>
      </c>
      <c r="H146" s="116"/>
      <c r="I146" s="116"/>
      <c r="L146" s="170">
        <v>45324</v>
      </c>
      <c r="M146" s="116">
        <v>677.25</v>
      </c>
      <c r="N146" s="116">
        <v>689</v>
      </c>
      <c r="O146" s="116">
        <v>667.7</v>
      </c>
      <c r="P146" s="116">
        <v>682</v>
      </c>
      <c r="Q146" s="116">
        <v>677.25</v>
      </c>
      <c r="R146">
        <v>431281</v>
      </c>
    </row>
    <row r="147" spans="1:18" x14ac:dyDescent="0.25">
      <c r="A147" s="170">
        <v>45327</v>
      </c>
      <c r="B147" s="116">
        <v>728.4</v>
      </c>
      <c r="C147" s="116">
        <v>691.6</v>
      </c>
      <c r="D147" s="116">
        <v>666.95</v>
      </c>
      <c r="E147" s="116">
        <v>673.45</v>
      </c>
      <c r="F147" s="116">
        <v>691.6</v>
      </c>
      <c r="G147">
        <v>51374</v>
      </c>
      <c r="H147" s="116"/>
      <c r="I147" s="116"/>
      <c r="L147" s="170">
        <v>45327</v>
      </c>
      <c r="M147" s="116">
        <v>690.75</v>
      </c>
      <c r="N147" s="116">
        <v>728</v>
      </c>
      <c r="O147" s="116">
        <v>666.15</v>
      </c>
      <c r="P147" s="116">
        <v>680</v>
      </c>
      <c r="Q147" s="116">
        <v>690.75</v>
      </c>
      <c r="R147">
        <v>847981</v>
      </c>
    </row>
    <row r="148" spans="1:18" x14ac:dyDescent="0.25">
      <c r="A148" s="170">
        <v>45328</v>
      </c>
      <c r="B148" s="116">
        <v>723.7</v>
      </c>
      <c r="C148" s="116">
        <v>707.7</v>
      </c>
      <c r="D148" s="116">
        <v>695.5</v>
      </c>
      <c r="E148" s="116">
        <v>698</v>
      </c>
      <c r="F148" s="116">
        <v>707.7</v>
      </c>
      <c r="G148">
        <v>75572</v>
      </c>
      <c r="H148" s="116"/>
      <c r="I148" s="116"/>
      <c r="L148" s="170">
        <v>45328</v>
      </c>
      <c r="M148" s="116">
        <v>707.55</v>
      </c>
      <c r="N148" s="116">
        <v>723.6</v>
      </c>
      <c r="O148" s="116">
        <v>694.9</v>
      </c>
      <c r="P148" s="116">
        <v>707</v>
      </c>
      <c r="Q148" s="116">
        <v>707.55</v>
      </c>
      <c r="R148">
        <v>471101</v>
      </c>
    </row>
    <row r="149" spans="1:18" x14ac:dyDescent="0.25">
      <c r="A149" s="170">
        <v>45329</v>
      </c>
      <c r="B149" s="116">
        <v>776.45</v>
      </c>
      <c r="C149" s="116">
        <v>748.45</v>
      </c>
      <c r="D149" s="116">
        <v>700</v>
      </c>
      <c r="E149" s="116">
        <v>700.25</v>
      </c>
      <c r="F149" s="116">
        <v>748.45</v>
      </c>
      <c r="G149">
        <v>193378</v>
      </c>
      <c r="H149" s="116"/>
      <c r="I149" s="116"/>
      <c r="L149" s="170">
        <v>45329</v>
      </c>
      <c r="M149" s="116">
        <v>748.75</v>
      </c>
      <c r="N149" s="116">
        <v>777</v>
      </c>
      <c r="O149" s="116">
        <v>699.85</v>
      </c>
      <c r="P149" s="116">
        <v>713.9</v>
      </c>
      <c r="Q149" s="116">
        <v>748.75</v>
      </c>
      <c r="R149">
        <v>1458758</v>
      </c>
    </row>
    <row r="150" spans="1:18" x14ac:dyDescent="0.25">
      <c r="A150" s="170">
        <v>45330</v>
      </c>
      <c r="B150" s="116">
        <v>782.75</v>
      </c>
      <c r="C150" s="116">
        <v>752.7</v>
      </c>
      <c r="D150" s="116">
        <v>749.1</v>
      </c>
      <c r="E150" s="116">
        <v>763.45</v>
      </c>
      <c r="F150" s="116">
        <v>752.7</v>
      </c>
      <c r="G150">
        <v>47660</v>
      </c>
      <c r="H150" s="116"/>
      <c r="I150" s="116"/>
      <c r="L150" s="170">
        <v>45330</v>
      </c>
      <c r="M150" s="116">
        <v>752.1</v>
      </c>
      <c r="N150" s="116">
        <v>782.5</v>
      </c>
      <c r="O150" s="116">
        <v>749.2</v>
      </c>
      <c r="P150" s="116">
        <v>758</v>
      </c>
      <c r="Q150" s="116">
        <v>752.1</v>
      </c>
      <c r="R150">
        <v>689625</v>
      </c>
    </row>
    <row r="151" spans="1:18" x14ac:dyDescent="0.25">
      <c r="A151" s="170">
        <v>45331</v>
      </c>
      <c r="B151" s="116">
        <v>799</v>
      </c>
      <c r="C151" s="116">
        <v>775.85</v>
      </c>
      <c r="D151" s="116">
        <v>735.9</v>
      </c>
      <c r="E151" s="116">
        <v>755</v>
      </c>
      <c r="F151" s="116">
        <v>775.85</v>
      </c>
      <c r="G151">
        <v>135804</v>
      </c>
      <c r="H151" s="116"/>
      <c r="I151" s="116"/>
      <c r="L151" s="170">
        <v>45331</v>
      </c>
      <c r="M151" s="116">
        <v>775.6</v>
      </c>
      <c r="N151" s="116">
        <v>799</v>
      </c>
      <c r="O151" s="116">
        <v>735.3</v>
      </c>
      <c r="P151" s="116">
        <v>754.4</v>
      </c>
      <c r="Q151" s="116">
        <v>775.6</v>
      </c>
      <c r="R151">
        <v>853767</v>
      </c>
    </row>
    <row r="152" spans="1:18" x14ac:dyDescent="0.25">
      <c r="A152" s="170">
        <v>45334</v>
      </c>
      <c r="B152" s="116">
        <v>804.2</v>
      </c>
      <c r="C152" s="116">
        <v>760.35</v>
      </c>
      <c r="D152" s="116">
        <v>749.4</v>
      </c>
      <c r="E152" s="116">
        <v>778.75</v>
      </c>
      <c r="F152" s="116">
        <v>760.35</v>
      </c>
      <c r="G152">
        <v>135430</v>
      </c>
      <c r="H152" s="116"/>
      <c r="I152" s="116"/>
      <c r="L152" s="170">
        <v>45334</v>
      </c>
      <c r="M152" s="116">
        <v>761.85</v>
      </c>
      <c r="N152" s="116">
        <v>804.4</v>
      </c>
      <c r="O152" s="116">
        <v>750</v>
      </c>
      <c r="P152" s="116">
        <v>789</v>
      </c>
      <c r="Q152" s="116">
        <v>761.85</v>
      </c>
      <c r="R152">
        <v>729020</v>
      </c>
    </row>
    <row r="153" spans="1:18" x14ac:dyDescent="0.25">
      <c r="A153" s="170">
        <v>45335</v>
      </c>
      <c r="B153" s="116">
        <v>798</v>
      </c>
      <c r="C153" s="116">
        <v>779.45</v>
      </c>
      <c r="D153" s="116">
        <v>720.75</v>
      </c>
      <c r="E153" s="116">
        <v>758</v>
      </c>
      <c r="F153" s="116">
        <v>779.45</v>
      </c>
      <c r="G153">
        <v>36675</v>
      </c>
      <c r="H153" s="116"/>
      <c r="I153" s="116"/>
      <c r="L153" s="170">
        <v>45335</v>
      </c>
      <c r="M153" s="116">
        <v>778.4</v>
      </c>
      <c r="N153" s="116">
        <v>798</v>
      </c>
      <c r="O153" s="116">
        <v>721</v>
      </c>
      <c r="P153" s="116">
        <v>757</v>
      </c>
      <c r="Q153" s="116">
        <v>778.4</v>
      </c>
      <c r="R153">
        <v>636329</v>
      </c>
    </row>
    <row r="154" spans="1:18" x14ac:dyDescent="0.25">
      <c r="A154" s="170">
        <v>45336</v>
      </c>
      <c r="B154" s="116">
        <v>808</v>
      </c>
      <c r="C154" s="116">
        <v>802.2</v>
      </c>
      <c r="D154" s="116">
        <v>765</v>
      </c>
      <c r="E154" s="116">
        <v>765.25</v>
      </c>
      <c r="F154" s="116">
        <v>802.2</v>
      </c>
      <c r="G154">
        <v>58516</v>
      </c>
      <c r="H154" s="116"/>
      <c r="I154" s="116"/>
      <c r="L154" s="170">
        <v>45336</v>
      </c>
      <c r="M154" s="116">
        <v>801.65</v>
      </c>
      <c r="N154" s="116">
        <v>808.65</v>
      </c>
      <c r="O154" s="116">
        <v>762.05</v>
      </c>
      <c r="P154" s="116">
        <v>770</v>
      </c>
      <c r="Q154" s="116">
        <v>801.65</v>
      </c>
      <c r="R154">
        <v>391640</v>
      </c>
    </row>
    <row r="155" spans="1:18" x14ac:dyDescent="0.25">
      <c r="A155" s="170">
        <v>45337</v>
      </c>
      <c r="B155" s="116">
        <v>833.5</v>
      </c>
      <c r="C155" s="116">
        <v>777.95</v>
      </c>
      <c r="D155" s="116">
        <v>772.3</v>
      </c>
      <c r="E155" s="116">
        <v>803.95</v>
      </c>
      <c r="F155" s="116">
        <v>777.95</v>
      </c>
      <c r="G155">
        <v>66605</v>
      </c>
      <c r="H155" s="116"/>
      <c r="I155" s="116"/>
      <c r="L155" s="170">
        <v>45337</v>
      </c>
      <c r="M155" s="116">
        <v>778.1</v>
      </c>
      <c r="N155" s="116">
        <v>833.25</v>
      </c>
      <c r="O155" s="116">
        <v>772.5</v>
      </c>
      <c r="P155" s="116">
        <v>802.95</v>
      </c>
      <c r="Q155" s="116">
        <v>778.1</v>
      </c>
      <c r="R155">
        <v>455686</v>
      </c>
    </row>
    <row r="156" spans="1:18" x14ac:dyDescent="0.25">
      <c r="A156" s="170">
        <v>45338</v>
      </c>
      <c r="B156" s="116">
        <v>806.65</v>
      </c>
      <c r="C156" s="116">
        <v>784.85</v>
      </c>
      <c r="D156" s="116">
        <v>782.5</v>
      </c>
      <c r="E156" s="116">
        <v>792.35</v>
      </c>
      <c r="F156" s="116">
        <v>784.85</v>
      </c>
      <c r="G156">
        <v>14278</v>
      </c>
      <c r="H156" s="116"/>
      <c r="I156" s="116"/>
      <c r="L156" s="170">
        <v>45338</v>
      </c>
      <c r="M156" s="116">
        <v>784.85</v>
      </c>
      <c r="N156" s="116">
        <v>807.1</v>
      </c>
      <c r="O156" s="116">
        <v>782</v>
      </c>
      <c r="P156" s="116">
        <v>782.55</v>
      </c>
      <c r="Q156" s="116">
        <v>784.85</v>
      </c>
      <c r="R156">
        <v>196954</v>
      </c>
    </row>
    <row r="157" spans="1:18" x14ac:dyDescent="0.25">
      <c r="A157" s="170">
        <v>45341</v>
      </c>
      <c r="B157" s="116">
        <v>822.9</v>
      </c>
      <c r="C157" s="116">
        <v>796.05</v>
      </c>
      <c r="D157" s="116">
        <v>788.65</v>
      </c>
      <c r="E157" s="116">
        <v>793.25</v>
      </c>
      <c r="F157" s="116">
        <v>796.05</v>
      </c>
      <c r="G157">
        <v>41977</v>
      </c>
      <c r="H157" s="116"/>
      <c r="I157" s="116"/>
      <c r="L157" s="170">
        <v>45341</v>
      </c>
      <c r="M157" s="116">
        <v>798</v>
      </c>
      <c r="N157" s="116">
        <v>822.75</v>
      </c>
      <c r="O157" s="116">
        <v>789</v>
      </c>
      <c r="P157" s="116">
        <v>792.2</v>
      </c>
      <c r="Q157" s="116">
        <v>798</v>
      </c>
      <c r="R157">
        <v>245548</v>
      </c>
    </row>
    <row r="158" spans="1:18" x14ac:dyDescent="0.25">
      <c r="A158" s="170">
        <v>45342</v>
      </c>
      <c r="B158" s="116">
        <v>815</v>
      </c>
      <c r="C158" s="116">
        <v>787.1</v>
      </c>
      <c r="D158" s="116">
        <v>783</v>
      </c>
      <c r="E158" s="116">
        <v>802.05</v>
      </c>
      <c r="F158" s="116">
        <v>787.1</v>
      </c>
      <c r="G158">
        <v>13977</v>
      </c>
      <c r="H158" s="116"/>
      <c r="I158" s="116"/>
      <c r="L158" s="170">
        <v>45342</v>
      </c>
      <c r="M158" s="116">
        <v>786.1</v>
      </c>
      <c r="N158" s="116">
        <v>815.3</v>
      </c>
      <c r="O158" s="116">
        <v>781</v>
      </c>
      <c r="P158" s="116">
        <v>800.6</v>
      </c>
      <c r="Q158" s="116">
        <v>786.1</v>
      </c>
      <c r="R158">
        <v>226583</v>
      </c>
    </row>
    <row r="159" spans="1:18" x14ac:dyDescent="0.25">
      <c r="A159" s="170">
        <v>45343</v>
      </c>
      <c r="B159" s="116">
        <v>796.55</v>
      </c>
      <c r="C159" s="116">
        <v>766.7</v>
      </c>
      <c r="D159" s="116">
        <v>757.7</v>
      </c>
      <c r="E159" s="116">
        <v>786</v>
      </c>
      <c r="F159" s="116">
        <v>766.7</v>
      </c>
      <c r="G159">
        <v>44283</v>
      </c>
      <c r="H159" s="116"/>
      <c r="I159" s="116"/>
      <c r="L159" s="170">
        <v>45343</v>
      </c>
      <c r="M159" s="116">
        <v>768.8</v>
      </c>
      <c r="N159" s="116">
        <v>796.55</v>
      </c>
      <c r="O159" s="116">
        <v>756.6</v>
      </c>
      <c r="P159" s="116">
        <v>788.95</v>
      </c>
      <c r="Q159" s="116">
        <v>768.8</v>
      </c>
      <c r="R159">
        <v>195749</v>
      </c>
    </row>
    <row r="160" spans="1:18" x14ac:dyDescent="0.25">
      <c r="A160" s="170">
        <v>45344</v>
      </c>
      <c r="B160" s="116">
        <v>804.9</v>
      </c>
      <c r="C160" s="116">
        <v>797.8</v>
      </c>
      <c r="D160" s="116">
        <v>777.25</v>
      </c>
      <c r="E160" s="116">
        <v>779.85</v>
      </c>
      <c r="F160" s="116">
        <v>797.8</v>
      </c>
      <c r="G160">
        <v>12087</v>
      </c>
      <c r="H160" s="116"/>
      <c r="I160" s="116"/>
      <c r="L160" s="170">
        <v>45344</v>
      </c>
      <c r="M160" s="116">
        <v>796.7</v>
      </c>
      <c r="N160" s="116">
        <v>804.8</v>
      </c>
      <c r="O160" s="116">
        <v>774</v>
      </c>
      <c r="P160" s="116">
        <v>775</v>
      </c>
      <c r="Q160" s="116">
        <v>796.7</v>
      </c>
      <c r="R160">
        <v>248028</v>
      </c>
    </row>
    <row r="161" spans="1:18" x14ac:dyDescent="0.25">
      <c r="A161" s="170">
        <v>45345</v>
      </c>
      <c r="B161" s="116">
        <v>843</v>
      </c>
      <c r="C161" s="116">
        <v>839.3</v>
      </c>
      <c r="D161" s="116">
        <v>798</v>
      </c>
      <c r="E161" s="116">
        <v>800</v>
      </c>
      <c r="F161" s="116">
        <v>839.3</v>
      </c>
      <c r="G161">
        <v>82681</v>
      </c>
      <c r="H161" s="116"/>
      <c r="I161" s="116"/>
      <c r="L161" s="170">
        <v>45345</v>
      </c>
      <c r="M161" s="116">
        <v>839.35</v>
      </c>
      <c r="N161" s="116">
        <v>845</v>
      </c>
      <c r="O161" s="116">
        <v>797.6</v>
      </c>
      <c r="P161" s="116">
        <v>801</v>
      </c>
      <c r="Q161" s="116">
        <v>839.35</v>
      </c>
      <c r="R161">
        <v>712353</v>
      </c>
    </row>
    <row r="162" spans="1:18" x14ac:dyDescent="0.25">
      <c r="A162" s="170">
        <v>45348</v>
      </c>
      <c r="B162" s="116">
        <v>882.9</v>
      </c>
      <c r="C162" s="116">
        <v>855.65</v>
      </c>
      <c r="D162" s="116">
        <v>836.1</v>
      </c>
      <c r="E162" s="116">
        <v>854.9</v>
      </c>
      <c r="F162" s="116">
        <v>855.65</v>
      </c>
      <c r="G162">
        <v>45100</v>
      </c>
      <c r="H162" s="116"/>
      <c r="I162" s="116"/>
      <c r="L162" s="170">
        <v>45348</v>
      </c>
      <c r="M162" s="116">
        <v>855.05</v>
      </c>
      <c r="N162" s="116">
        <v>883.8</v>
      </c>
      <c r="O162" s="116">
        <v>835.25</v>
      </c>
      <c r="P162" s="116">
        <v>841.65</v>
      </c>
      <c r="Q162" s="116">
        <v>855.05</v>
      </c>
      <c r="R162">
        <v>526689</v>
      </c>
    </row>
    <row r="163" spans="1:18" x14ac:dyDescent="0.25">
      <c r="A163" s="170">
        <v>45349</v>
      </c>
      <c r="B163" s="116">
        <v>876.85</v>
      </c>
      <c r="C163" s="116">
        <v>869.45</v>
      </c>
      <c r="D163" s="116">
        <v>847.5</v>
      </c>
      <c r="E163" s="116">
        <v>855.65</v>
      </c>
      <c r="F163" s="116">
        <v>869.45</v>
      </c>
      <c r="G163">
        <v>57536</v>
      </c>
      <c r="H163" s="116"/>
      <c r="I163" s="116"/>
      <c r="L163" s="170">
        <v>45349</v>
      </c>
      <c r="M163" s="116">
        <v>869.8</v>
      </c>
      <c r="N163" s="116">
        <v>877</v>
      </c>
      <c r="O163" s="116">
        <v>846</v>
      </c>
      <c r="P163" s="116">
        <v>855.05</v>
      </c>
      <c r="Q163" s="116">
        <v>869.8</v>
      </c>
      <c r="R163">
        <v>278488</v>
      </c>
    </row>
    <row r="164" spans="1:18" x14ac:dyDescent="0.25">
      <c r="A164" s="170">
        <v>45350</v>
      </c>
      <c r="B164" s="116">
        <v>870</v>
      </c>
      <c r="C164" s="116">
        <v>836.85</v>
      </c>
      <c r="D164" s="116">
        <v>811</v>
      </c>
      <c r="E164" s="116">
        <v>870</v>
      </c>
      <c r="F164" s="116">
        <v>836.85</v>
      </c>
      <c r="G164">
        <v>20197</v>
      </c>
      <c r="H164" s="116"/>
      <c r="I164" s="116"/>
      <c r="L164" s="170">
        <v>45350</v>
      </c>
      <c r="M164" s="116">
        <v>837.2</v>
      </c>
      <c r="N164" s="116">
        <v>871.35</v>
      </c>
      <c r="O164" s="116">
        <v>810.4</v>
      </c>
      <c r="P164" s="116">
        <v>870</v>
      </c>
      <c r="Q164" s="116">
        <v>837.2</v>
      </c>
      <c r="R164">
        <v>422600</v>
      </c>
    </row>
    <row r="165" spans="1:18" x14ac:dyDescent="0.25">
      <c r="A165" s="170">
        <v>45351</v>
      </c>
      <c r="B165" s="116">
        <v>846.35</v>
      </c>
      <c r="C165" s="116">
        <v>802.8</v>
      </c>
      <c r="D165" s="116">
        <v>794.7</v>
      </c>
      <c r="E165" s="116">
        <v>836.85</v>
      </c>
      <c r="F165" s="116">
        <v>802.8</v>
      </c>
      <c r="G165">
        <v>28124</v>
      </c>
      <c r="H165" s="116"/>
      <c r="I165" s="116"/>
      <c r="L165" s="170">
        <v>45351</v>
      </c>
      <c r="M165" s="116">
        <v>803.1</v>
      </c>
      <c r="N165" s="116">
        <v>847.75</v>
      </c>
      <c r="O165" s="116">
        <v>794</v>
      </c>
      <c r="P165" s="116">
        <v>835</v>
      </c>
      <c r="Q165" s="116">
        <v>803.1</v>
      </c>
      <c r="R165">
        <v>966153</v>
      </c>
    </row>
    <row r="166" spans="1:18" x14ac:dyDescent="0.25">
      <c r="A166" s="170">
        <v>45352</v>
      </c>
      <c r="B166" s="116">
        <v>820</v>
      </c>
      <c r="C166" s="116">
        <v>806.55</v>
      </c>
      <c r="D166" s="116">
        <v>791.3</v>
      </c>
      <c r="E166" s="116">
        <v>818.9</v>
      </c>
      <c r="F166" s="116">
        <v>806.55</v>
      </c>
      <c r="G166">
        <v>13594</v>
      </c>
      <c r="H166" s="116"/>
      <c r="I166" s="116"/>
      <c r="L166" s="170">
        <v>45352</v>
      </c>
      <c r="M166" s="116">
        <v>805.4</v>
      </c>
      <c r="N166" s="116">
        <v>820</v>
      </c>
      <c r="O166" s="116">
        <v>791</v>
      </c>
      <c r="P166" s="116">
        <v>812.9</v>
      </c>
      <c r="Q166" s="116">
        <v>805.4</v>
      </c>
      <c r="R166">
        <v>248571</v>
      </c>
    </row>
    <row r="167" spans="1:18" x14ac:dyDescent="0.25">
      <c r="A167" s="170">
        <v>45353</v>
      </c>
      <c r="B167" s="116">
        <v>820</v>
      </c>
      <c r="C167" s="116">
        <v>817.25</v>
      </c>
      <c r="D167" s="116">
        <v>785.4</v>
      </c>
      <c r="E167" s="116">
        <v>814</v>
      </c>
      <c r="F167" s="116">
        <v>817.25</v>
      </c>
      <c r="G167">
        <v>4238</v>
      </c>
      <c r="H167" s="116"/>
      <c r="I167" s="116"/>
      <c r="L167" s="170">
        <v>45353</v>
      </c>
      <c r="M167" s="116">
        <v>816.75</v>
      </c>
      <c r="N167" s="116">
        <v>818.95</v>
      </c>
      <c r="O167" s="116">
        <v>801.1</v>
      </c>
      <c r="P167" s="116">
        <v>809.95</v>
      </c>
      <c r="Q167" s="116">
        <v>816.75</v>
      </c>
      <c r="R167">
        <v>13485</v>
      </c>
    </row>
    <row r="168" spans="1:18" x14ac:dyDescent="0.25">
      <c r="A168" s="170">
        <v>45355</v>
      </c>
      <c r="B168" s="116">
        <v>817.8</v>
      </c>
      <c r="C168" s="116">
        <v>794.5</v>
      </c>
      <c r="D168" s="116">
        <v>790.1</v>
      </c>
      <c r="E168" s="116">
        <v>816.85</v>
      </c>
      <c r="F168" s="116">
        <v>794.5</v>
      </c>
      <c r="G168">
        <v>16018</v>
      </c>
      <c r="H168" s="116"/>
      <c r="I168" s="116"/>
      <c r="L168" s="170">
        <v>45355</v>
      </c>
      <c r="M168" s="116">
        <v>794.05</v>
      </c>
      <c r="N168" s="116">
        <v>818.95</v>
      </c>
      <c r="O168" s="116">
        <v>791</v>
      </c>
      <c r="P168" s="116">
        <v>818.95</v>
      </c>
      <c r="Q168" s="116">
        <v>794.05</v>
      </c>
      <c r="R168">
        <v>116490</v>
      </c>
    </row>
    <row r="169" spans="1:18" x14ac:dyDescent="0.25">
      <c r="A169" s="170">
        <v>45356</v>
      </c>
      <c r="B169" s="116">
        <v>798.65</v>
      </c>
      <c r="C169" s="116">
        <v>787.7</v>
      </c>
      <c r="D169" s="116">
        <v>774.05</v>
      </c>
      <c r="E169" s="116">
        <v>798.65</v>
      </c>
      <c r="F169" s="116">
        <v>787.7</v>
      </c>
      <c r="G169">
        <v>20627</v>
      </c>
      <c r="H169" s="116"/>
      <c r="I169" s="116"/>
      <c r="L169" s="170">
        <v>45356</v>
      </c>
      <c r="M169" s="116">
        <v>789.65</v>
      </c>
      <c r="N169" s="116">
        <v>798.85</v>
      </c>
      <c r="O169" s="116">
        <v>774</v>
      </c>
      <c r="P169" s="116">
        <v>794.05</v>
      </c>
      <c r="Q169" s="116">
        <v>789.65</v>
      </c>
      <c r="R169">
        <v>168835</v>
      </c>
    </row>
    <row r="170" spans="1:18" x14ac:dyDescent="0.25">
      <c r="A170" s="170">
        <v>45357</v>
      </c>
      <c r="B170" s="116">
        <v>794.55</v>
      </c>
      <c r="C170" s="116">
        <v>771.25</v>
      </c>
      <c r="D170" s="116">
        <v>746.85</v>
      </c>
      <c r="E170" s="116">
        <v>794.55</v>
      </c>
      <c r="F170" s="116">
        <v>771.25</v>
      </c>
      <c r="G170">
        <v>19523</v>
      </c>
      <c r="H170" s="116"/>
      <c r="I170" s="116"/>
      <c r="L170" s="170">
        <v>45357</v>
      </c>
      <c r="M170" s="116">
        <v>772.25</v>
      </c>
      <c r="N170" s="116">
        <v>791.6</v>
      </c>
      <c r="O170" s="116">
        <v>746.55</v>
      </c>
      <c r="P170" s="116">
        <v>791.6</v>
      </c>
      <c r="Q170" s="116">
        <v>772.25</v>
      </c>
      <c r="R170">
        <v>295186</v>
      </c>
    </row>
    <row r="171" spans="1:18" x14ac:dyDescent="0.25">
      <c r="A171" s="170">
        <v>45358</v>
      </c>
      <c r="B171" s="116">
        <v>782</v>
      </c>
      <c r="C171" s="116">
        <v>776.4</v>
      </c>
      <c r="D171" s="116">
        <v>761.7</v>
      </c>
      <c r="E171" s="116">
        <v>778.65</v>
      </c>
      <c r="F171" s="116">
        <v>776.4</v>
      </c>
      <c r="G171">
        <v>12999</v>
      </c>
      <c r="H171" s="116"/>
      <c r="I171" s="116"/>
      <c r="L171" s="170">
        <v>45358</v>
      </c>
      <c r="M171" s="116">
        <v>778.4</v>
      </c>
      <c r="N171" s="116">
        <v>784</v>
      </c>
      <c r="O171" s="116">
        <v>762</v>
      </c>
      <c r="P171" s="116">
        <v>777.9</v>
      </c>
      <c r="Q171" s="116">
        <v>778.4</v>
      </c>
      <c r="R171">
        <v>166449</v>
      </c>
    </row>
    <row r="172" spans="1:18" x14ac:dyDescent="0.25">
      <c r="A172" s="170">
        <v>45362</v>
      </c>
      <c r="B172" s="116">
        <v>821</v>
      </c>
      <c r="C172" s="116">
        <v>740.4</v>
      </c>
      <c r="D172" s="116">
        <v>735.2</v>
      </c>
      <c r="E172" s="116">
        <v>775.35</v>
      </c>
      <c r="F172" s="116">
        <v>740.4</v>
      </c>
      <c r="G172">
        <v>9398</v>
      </c>
      <c r="H172" s="116"/>
      <c r="I172" s="116"/>
      <c r="L172" s="170">
        <v>45362</v>
      </c>
      <c r="M172" s="116">
        <v>742.5</v>
      </c>
      <c r="N172" s="116">
        <v>778.3</v>
      </c>
      <c r="O172" s="116">
        <v>737.5</v>
      </c>
      <c r="P172" s="116">
        <v>778.3</v>
      </c>
      <c r="Q172" s="116">
        <v>742.5</v>
      </c>
      <c r="R172">
        <v>124825</v>
      </c>
    </row>
    <row r="173" spans="1:18" x14ac:dyDescent="0.25">
      <c r="A173" s="170">
        <v>45363</v>
      </c>
      <c r="B173" s="116">
        <v>744.05</v>
      </c>
      <c r="C173" s="116">
        <v>718.25</v>
      </c>
      <c r="D173" s="116">
        <v>711.15</v>
      </c>
      <c r="E173" s="116">
        <v>744.05</v>
      </c>
      <c r="F173" s="116">
        <v>718.25</v>
      </c>
      <c r="G173">
        <v>19813</v>
      </c>
      <c r="H173" s="116"/>
      <c r="I173" s="116"/>
      <c r="L173" s="170">
        <v>45363</v>
      </c>
      <c r="M173" s="116">
        <v>715.35</v>
      </c>
      <c r="N173" s="116">
        <v>745.45</v>
      </c>
      <c r="O173" s="116">
        <v>711.5</v>
      </c>
      <c r="P173" s="116">
        <v>742.5</v>
      </c>
      <c r="Q173" s="116">
        <v>715.35</v>
      </c>
      <c r="R173">
        <v>237416</v>
      </c>
    </row>
    <row r="174" spans="1:18" x14ac:dyDescent="0.25">
      <c r="A174" s="170">
        <v>45364</v>
      </c>
      <c r="B174" s="116">
        <v>716</v>
      </c>
      <c r="C174" s="116">
        <v>677.65</v>
      </c>
      <c r="D174" s="116">
        <v>655.85</v>
      </c>
      <c r="E174" s="116">
        <v>712.25</v>
      </c>
      <c r="F174" s="116">
        <v>677.65</v>
      </c>
      <c r="G174">
        <v>50080</v>
      </c>
      <c r="H174" s="116"/>
      <c r="I174" s="116"/>
      <c r="L174" s="170">
        <v>45364</v>
      </c>
      <c r="M174" s="116">
        <v>677.6</v>
      </c>
      <c r="N174" s="116">
        <v>716.95</v>
      </c>
      <c r="O174" s="116">
        <v>656.65</v>
      </c>
      <c r="P174" s="116">
        <v>715.3</v>
      </c>
      <c r="Q174" s="116">
        <v>677.6</v>
      </c>
      <c r="R174">
        <v>292351</v>
      </c>
    </row>
    <row r="175" spans="1:18" x14ac:dyDescent="0.25">
      <c r="A175" s="170">
        <v>45365</v>
      </c>
      <c r="B175" s="116">
        <v>707.1</v>
      </c>
      <c r="C175" s="116">
        <v>694.1</v>
      </c>
      <c r="D175" s="116">
        <v>641.04999999999995</v>
      </c>
      <c r="E175" s="116">
        <v>641.04999999999995</v>
      </c>
      <c r="F175" s="116">
        <v>694.1</v>
      </c>
      <c r="G175">
        <v>50433</v>
      </c>
      <c r="H175" s="116"/>
      <c r="I175" s="116"/>
      <c r="L175" s="170">
        <v>45365</v>
      </c>
      <c r="M175" s="116">
        <v>694.9</v>
      </c>
      <c r="N175" s="116">
        <v>707.4</v>
      </c>
      <c r="O175" s="116">
        <v>662</v>
      </c>
      <c r="P175" s="116">
        <v>662</v>
      </c>
      <c r="Q175" s="116">
        <v>694.9</v>
      </c>
      <c r="R175">
        <v>180862</v>
      </c>
    </row>
    <row r="176" spans="1:18" x14ac:dyDescent="0.25">
      <c r="A176" s="170">
        <v>45366</v>
      </c>
      <c r="B176" s="116">
        <v>707.2</v>
      </c>
      <c r="C176" s="116">
        <v>694.2</v>
      </c>
      <c r="D176" s="116">
        <v>682.5</v>
      </c>
      <c r="E176" s="116">
        <v>683.25</v>
      </c>
      <c r="F176" s="116">
        <v>694.2</v>
      </c>
      <c r="G176">
        <v>10714</v>
      </c>
      <c r="H176" s="116"/>
      <c r="I176" s="116"/>
      <c r="L176" s="170">
        <v>45366</v>
      </c>
      <c r="M176" s="116">
        <v>694.1</v>
      </c>
      <c r="N176" s="116">
        <v>707</v>
      </c>
      <c r="O176" s="116">
        <v>681.15</v>
      </c>
      <c r="P176" s="116">
        <v>693</v>
      </c>
      <c r="Q176" s="116">
        <v>694.1</v>
      </c>
      <c r="R176">
        <v>126253</v>
      </c>
    </row>
    <row r="177" spans="1:18" x14ac:dyDescent="0.25">
      <c r="A177" s="170">
        <v>45369</v>
      </c>
      <c r="B177" s="116">
        <v>699.9</v>
      </c>
      <c r="C177" s="116">
        <v>682.6</v>
      </c>
      <c r="D177" s="116">
        <v>680.15</v>
      </c>
      <c r="E177" s="116">
        <v>696</v>
      </c>
      <c r="F177" s="116">
        <v>682.6</v>
      </c>
      <c r="G177">
        <v>13051</v>
      </c>
      <c r="H177" s="116"/>
      <c r="I177" s="116"/>
      <c r="L177" s="170">
        <v>45369</v>
      </c>
      <c r="M177" s="116">
        <v>682.2</v>
      </c>
      <c r="N177" s="116">
        <v>700</v>
      </c>
      <c r="O177" s="116">
        <v>680.2</v>
      </c>
      <c r="P177" s="116">
        <v>695</v>
      </c>
      <c r="Q177" s="116">
        <v>682.2</v>
      </c>
      <c r="R177">
        <v>78641</v>
      </c>
    </row>
    <row r="178" spans="1:18" x14ac:dyDescent="0.25">
      <c r="A178" s="170">
        <v>45370</v>
      </c>
      <c r="B178" s="116">
        <v>683.5</v>
      </c>
      <c r="C178" s="116">
        <v>668.2</v>
      </c>
      <c r="D178" s="116">
        <v>665.1</v>
      </c>
      <c r="E178" s="116">
        <v>681.1</v>
      </c>
      <c r="F178" s="116">
        <v>668.2</v>
      </c>
      <c r="G178">
        <v>14333</v>
      </c>
      <c r="H178" s="116"/>
      <c r="I178" s="116"/>
      <c r="L178" s="170">
        <v>45370</v>
      </c>
      <c r="M178" s="116">
        <v>667.65</v>
      </c>
      <c r="N178" s="116">
        <v>683.9</v>
      </c>
      <c r="O178" s="116">
        <v>665.05</v>
      </c>
      <c r="P178" s="116">
        <v>680</v>
      </c>
      <c r="Q178" s="116">
        <v>667.65</v>
      </c>
      <c r="R178">
        <v>355133</v>
      </c>
    </row>
    <row r="179" spans="1:18" x14ac:dyDescent="0.25">
      <c r="A179" s="170">
        <v>45371</v>
      </c>
      <c r="B179" s="116">
        <v>682.1</v>
      </c>
      <c r="C179" s="116">
        <v>657.55</v>
      </c>
      <c r="D179" s="116">
        <v>650.29999999999995</v>
      </c>
      <c r="E179" s="116">
        <v>670.05</v>
      </c>
      <c r="F179" s="116">
        <v>657.55</v>
      </c>
      <c r="G179">
        <v>17599</v>
      </c>
      <c r="H179" s="116"/>
      <c r="I179" s="116"/>
      <c r="L179" s="170">
        <v>45371</v>
      </c>
      <c r="M179" s="116">
        <v>657.8</v>
      </c>
      <c r="N179" s="116">
        <v>682.45</v>
      </c>
      <c r="O179" s="116">
        <v>650.1</v>
      </c>
      <c r="P179" s="116">
        <v>675</v>
      </c>
      <c r="Q179" s="116">
        <v>657.8</v>
      </c>
      <c r="R179">
        <v>124798</v>
      </c>
    </row>
    <row r="180" spans="1:18" x14ac:dyDescent="0.25">
      <c r="A180" s="170">
        <v>45372</v>
      </c>
      <c r="B180" s="116">
        <v>690</v>
      </c>
      <c r="C180" s="116">
        <v>684.35</v>
      </c>
      <c r="D180" s="116">
        <v>657.75</v>
      </c>
      <c r="E180" s="116">
        <v>657.75</v>
      </c>
      <c r="F180" s="116">
        <v>684.35</v>
      </c>
      <c r="G180">
        <v>7864</v>
      </c>
      <c r="H180" s="116"/>
      <c r="I180" s="116"/>
      <c r="L180" s="170">
        <v>45372</v>
      </c>
      <c r="M180" s="116">
        <v>685.25</v>
      </c>
      <c r="N180" s="116">
        <v>690</v>
      </c>
      <c r="O180" s="116">
        <v>660.5</v>
      </c>
      <c r="P180" s="116">
        <v>660.5</v>
      </c>
      <c r="Q180" s="116">
        <v>685.25</v>
      </c>
      <c r="R180">
        <v>223554</v>
      </c>
    </row>
    <row r="181" spans="1:18" x14ac:dyDescent="0.25">
      <c r="A181" s="170">
        <v>45373</v>
      </c>
      <c r="B181" s="116">
        <v>692.35</v>
      </c>
      <c r="C181" s="116">
        <v>689.6</v>
      </c>
      <c r="D181" s="116">
        <v>670.5</v>
      </c>
      <c r="E181" s="116">
        <v>685</v>
      </c>
      <c r="F181" s="116">
        <v>689.6</v>
      </c>
      <c r="G181">
        <v>8673</v>
      </c>
      <c r="H181" s="116"/>
      <c r="I181" s="116"/>
      <c r="L181" s="170">
        <v>45373</v>
      </c>
      <c r="M181" s="116">
        <v>689.95</v>
      </c>
      <c r="N181" s="116">
        <v>692.8</v>
      </c>
      <c r="O181" s="116">
        <v>670</v>
      </c>
      <c r="P181" s="116">
        <v>670</v>
      </c>
      <c r="Q181" s="116">
        <v>689.95</v>
      </c>
      <c r="R181">
        <v>121444</v>
      </c>
    </row>
    <row r="182" spans="1:18" x14ac:dyDescent="0.25">
      <c r="A182" s="170">
        <v>45377</v>
      </c>
      <c r="B182" s="116">
        <v>695.7</v>
      </c>
      <c r="C182" s="116">
        <v>682.9</v>
      </c>
      <c r="D182" s="116">
        <v>680</v>
      </c>
      <c r="E182" s="116">
        <v>690.5</v>
      </c>
      <c r="F182" s="116">
        <v>682.9</v>
      </c>
      <c r="G182">
        <v>6894</v>
      </c>
      <c r="H182" s="116"/>
      <c r="I182" s="116"/>
      <c r="L182" s="170">
        <v>45377</v>
      </c>
      <c r="M182" s="116">
        <v>683.3</v>
      </c>
      <c r="N182" s="116">
        <v>695.15</v>
      </c>
      <c r="O182" s="116">
        <v>679</v>
      </c>
      <c r="P182" s="116">
        <v>690</v>
      </c>
      <c r="Q182" s="116">
        <v>683.3</v>
      </c>
      <c r="R182">
        <v>96125</v>
      </c>
    </row>
    <row r="183" spans="1:18" x14ac:dyDescent="0.25">
      <c r="A183" s="170">
        <v>45378</v>
      </c>
      <c r="B183" s="116">
        <v>709.35</v>
      </c>
      <c r="C183" s="116">
        <v>702.35</v>
      </c>
      <c r="D183" s="116">
        <v>682.6</v>
      </c>
      <c r="E183" s="116">
        <v>683.05</v>
      </c>
      <c r="F183" s="116">
        <v>702.35</v>
      </c>
      <c r="G183">
        <v>9561</v>
      </c>
      <c r="H183" s="116"/>
      <c r="I183" s="116"/>
      <c r="L183" s="170">
        <v>45378</v>
      </c>
      <c r="M183" s="116">
        <v>702.6</v>
      </c>
      <c r="N183" s="116">
        <v>710</v>
      </c>
      <c r="O183" s="116">
        <v>682.25</v>
      </c>
      <c r="P183" s="116">
        <v>687</v>
      </c>
      <c r="Q183" s="116">
        <v>702.6</v>
      </c>
      <c r="R183">
        <v>137521</v>
      </c>
    </row>
    <row r="184" spans="1:18" x14ac:dyDescent="0.25">
      <c r="A184" s="170">
        <v>45379</v>
      </c>
      <c r="B184" s="116">
        <v>726.6</v>
      </c>
      <c r="C184" s="116">
        <v>720.2</v>
      </c>
      <c r="D184" s="116">
        <v>702.25</v>
      </c>
      <c r="E184" s="116">
        <v>711.1</v>
      </c>
      <c r="F184" s="116">
        <v>720.2</v>
      </c>
      <c r="G184">
        <v>12525</v>
      </c>
      <c r="H184" s="116"/>
      <c r="I184" s="116"/>
      <c r="L184" s="170">
        <v>45379</v>
      </c>
      <c r="M184" s="116">
        <v>720.4</v>
      </c>
      <c r="N184" s="116">
        <v>726.45</v>
      </c>
      <c r="O184" s="116">
        <v>701.35</v>
      </c>
      <c r="P184" s="116">
        <v>709.65</v>
      </c>
      <c r="Q184" s="116">
        <v>720.4</v>
      </c>
      <c r="R184">
        <v>136721</v>
      </c>
    </row>
    <row r="185" spans="1:18" x14ac:dyDescent="0.25">
      <c r="A185" s="170">
        <v>45383</v>
      </c>
      <c r="B185" s="116">
        <v>754.65</v>
      </c>
      <c r="C185" s="116">
        <v>705.15</v>
      </c>
      <c r="D185" s="116">
        <v>703</v>
      </c>
      <c r="E185" s="116">
        <v>754.65</v>
      </c>
      <c r="F185" s="116">
        <v>705.15</v>
      </c>
      <c r="G185">
        <v>8253</v>
      </c>
      <c r="H185" s="116"/>
      <c r="I185" s="116"/>
      <c r="L185" s="170">
        <v>45383</v>
      </c>
      <c r="M185" s="116">
        <v>704.85</v>
      </c>
      <c r="N185" s="116">
        <v>732.55</v>
      </c>
      <c r="O185" s="116">
        <v>703</v>
      </c>
      <c r="P185" s="116">
        <v>725</v>
      </c>
      <c r="Q185" s="116">
        <v>704.85</v>
      </c>
      <c r="R185">
        <v>171962</v>
      </c>
    </row>
    <row r="186" spans="1:18" x14ac:dyDescent="0.25">
      <c r="A186" s="170">
        <v>45384</v>
      </c>
      <c r="B186" s="116">
        <v>719</v>
      </c>
      <c r="C186" s="116">
        <v>704.25</v>
      </c>
      <c r="D186" s="116">
        <v>703.15</v>
      </c>
      <c r="E186" s="116">
        <v>707.7</v>
      </c>
      <c r="F186" s="116">
        <v>704.25</v>
      </c>
      <c r="G186">
        <v>9897</v>
      </c>
      <c r="H186" s="116"/>
      <c r="I186" s="116"/>
      <c r="L186" s="170">
        <v>45384</v>
      </c>
      <c r="M186" s="116">
        <v>704.65</v>
      </c>
      <c r="N186" s="116">
        <v>718.5</v>
      </c>
      <c r="O186" s="116">
        <v>703</v>
      </c>
      <c r="P186" s="116">
        <v>709.65</v>
      </c>
      <c r="Q186" s="116">
        <v>704.65</v>
      </c>
      <c r="R186">
        <v>121303</v>
      </c>
    </row>
    <row r="187" spans="1:18" x14ac:dyDescent="0.25">
      <c r="A187" s="170">
        <v>45385</v>
      </c>
      <c r="B187" s="116">
        <v>713.15</v>
      </c>
      <c r="C187" s="116">
        <v>703.6</v>
      </c>
      <c r="D187" s="116">
        <v>702.25</v>
      </c>
      <c r="E187" s="116">
        <v>707.75</v>
      </c>
      <c r="F187" s="116">
        <v>703.6</v>
      </c>
      <c r="G187">
        <v>5272</v>
      </c>
      <c r="H187" s="116"/>
      <c r="I187" s="116"/>
      <c r="L187" s="170">
        <v>45385</v>
      </c>
      <c r="M187" s="116">
        <v>703.65</v>
      </c>
      <c r="N187" s="116">
        <v>714</v>
      </c>
      <c r="O187" s="116">
        <v>700</v>
      </c>
      <c r="P187" s="116">
        <v>706.65</v>
      </c>
      <c r="Q187" s="116">
        <v>703.65</v>
      </c>
      <c r="R187">
        <v>107170</v>
      </c>
    </row>
    <row r="188" spans="1:18" x14ac:dyDescent="0.25">
      <c r="A188" s="170">
        <v>45386</v>
      </c>
      <c r="B188" s="116">
        <v>713</v>
      </c>
      <c r="C188" s="116">
        <v>703.4</v>
      </c>
      <c r="D188" s="116">
        <v>702</v>
      </c>
      <c r="E188" s="116">
        <v>704</v>
      </c>
      <c r="F188" s="116">
        <v>703.4</v>
      </c>
      <c r="G188">
        <v>8325</v>
      </c>
      <c r="H188" s="116"/>
      <c r="I188" s="116"/>
      <c r="L188" s="170">
        <v>45386</v>
      </c>
      <c r="M188" s="116">
        <v>704.7</v>
      </c>
      <c r="N188" s="116">
        <v>713.3</v>
      </c>
      <c r="O188" s="116">
        <v>701.2</v>
      </c>
      <c r="P188" s="116">
        <v>707.65</v>
      </c>
      <c r="Q188" s="116">
        <v>704.7</v>
      </c>
      <c r="R188">
        <v>221018</v>
      </c>
    </row>
    <row r="189" spans="1:18" x14ac:dyDescent="0.25">
      <c r="A189" s="170">
        <v>45387</v>
      </c>
      <c r="B189" s="116">
        <v>710.9</v>
      </c>
      <c r="C189" s="116">
        <v>703.95</v>
      </c>
      <c r="D189" s="116">
        <v>700.75</v>
      </c>
      <c r="E189" s="116">
        <v>707.85</v>
      </c>
      <c r="F189" s="116">
        <v>703.95</v>
      </c>
      <c r="G189">
        <v>4385</v>
      </c>
      <c r="H189" s="116"/>
      <c r="I189" s="116"/>
      <c r="L189" s="170">
        <v>45387</v>
      </c>
      <c r="M189" s="116">
        <v>703.85</v>
      </c>
      <c r="N189" s="116">
        <v>711.25</v>
      </c>
      <c r="O189" s="116">
        <v>701.05</v>
      </c>
      <c r="P189" s="116">
        <v>704.75</v>
      </c>
      <c r="Q189" s="116">
        <v>703.85</v>
      </c>
      <c r="R189">
        <v>127743</v>
      </c>
    </row>
    <row r="190" spans="1:18" x14ac:dyDescent="0.25">
      <c r="A190" s="170">
        <v>45390</v>
      </c>
      <c r="B190" s="116">
        <v>714.9</v>
      </c>
      <c r="C190" s="116">
        <v>701.6</v>
      </c>
      <c r="D190" s="116">
        <v>701.05</v>
      </c>
      <c r="E190" s="116">
        <v>711.05</v>
      </c>
      <c r="F190" s="116">
        <v>701.6</v>
      </c>
      <c r="G190">
        <v>10983</v>
      </c>
      <c r="H190" s="116"/>
      <c r="I190" s="116"/>
      <c r="L190" s="170">
        <v>45390</v>
      </c>
      <c r="M190" s="116">
        <v>702.55</v>
      </c>
      <c r="N190" s="116">
        <v>715</v>
      </c>
      <c r="O190" s="116">
        <v>700.95</v>
      </c>
      <c r="P190" s="116">
        <v>713</v>
      </c>
      <c r="Q190" s="116">
        <v>702.55</v>
      </c>
      <c r="R190">
        <v>133593</v>
      </c>
    </row>
    <row r="191" spans="1:18" x14ac:dyDescent="0.25">
      <c r="A191" s="170">
        <v>45391</v>
      </c>
      <c r="B191" s="116">
        <v>708.9</v>
      </c>
      <c r="C191" s="116">
        <v>702.3</v>
      </c>
      <c r="D191" s="116">
        <v>697</v>
      </c>
      <c r="E191" s="116">
        <v>708.7</v>
      </c>
      <c r="F191" s="116">
        <v>702.3</v>
      </c>
      <c r="G191">
        <v>5690</v>
      </c>
      <c r="H191" s="116"/>
      <c r="I191" s="116"/>
      <c r="L191" s="170">
        <v>45391</v>
      </c>
      <c r="M191" s="116">
        <v>702</v>
      </c>
      <c r="N191" s="116">
        <v>709</v>
      </c>
      <c r="O191" s="116">
        <v>696.8</v>
      </c>
      <c r="P191" s="116">
        <v>709</v>
      </c>
      <c r="Q191" s="116">
        <v>702</v>
      </c>
      <c r="R191">
        <v>90517</v>
      </c>
    </row>
    <row r="192" spans="1:18" x14ac:dyDescent="0.25">
      <c r="A192" s="170">
        <v>45392</v>
      </c>
      <c r="B192" s="116">
        <v>719.4</v>
      </c>
      <c r="C192" s="116">
        <v>707.6</v>
      </c>
      <c r="D192" s="116">
        <v>701.05</v>
      </c>
      <c r="E192" s="116">
        <v>710.95</v>
      </c>
      <c r="F192" s="116">
        <v>707.6</v>
      </c>
      <c r="G192">
        <v>27726</v>
      </c>
      <c r="H192" s="116"/>
      <c r="I192" s="116"/>
      <c r="L192" s="170">
        <v>45392</v>
      </c>
      <c r="M192" s="116">
        <v>707.55</v>
      </c>
      <c r="N192" s="116">
        <v>720</v>
      </c>
      <c r="O192" s="116">
        <v>700.25</v>
      </c>
      <c r="P192" s="116">
        <v>707</v>
      </c>
      <c r="Q192" s="116">
        <v>707.55</v>
      </c>
      <c r="R192">
        <v>127134</v>
      </c>
    </row>
    <row r="193" spans="1:18" x14ac:dyDescent="0.25">
      <c r="A193" s="170">
        <v>45394</v>
      </c>
      <c r="B193" s="116">
        <v>719.95</v>
      </c>
      <c r="C193" s="116">
        <v>704.8</v>
      </c>
      <c r="D193" s="116">
        <v>702.95</v>
      </c>
      <c r="E193" s="116">
        <v>712.4</v>
      </c>
      <c r="F193" s="116">
        <v>704.8</v>
      </c>
      <c r="G193">
        <v>12828</v>
      </c>
      <c r="H193" s="116"/>
      <c r="I193" s="116"/>
      <c r="L193" s="170">
        <v>45394</v>
      </c>
      <c r="M193" s="116">
        <v>705.5</v>
      </c>
      <c r="N193" s="116">
        <v>719.95</v>
      </c>
      <c r="O193" s="116">
        <v>703</v>
      </c>
      <c r="P193" s="116">
        <v>713.9</v>
      </c>
      <c r="Q193" s="116">
        <v>705.5</v>
      </c>
      <c r="R193">
        <v>121290</v>
      </c>
    </row>
    <row r="194" spans="1:18" x14ac:dyDescent="0.25">
      <c r="A194" s="170">
        <v>45397</v>
      </c>
      <c r="B194" s="116">
        <v>701</v>
      </c>
      <c r="C194" s="116">
        <v>693.85</v>
      </c>
      <c r="D194" s="116">
        <v>677</v>
      </c>
      <c r="E194" s="116">
        <v>699</v>
      </c>
      <c r="F194" s="116">
        <v>693.85</v>
      </c>
      <c r="G194">
        <v>13541</v>
      </c>
      <c r="H194" s="116"/>
      <c r="I194" s="116"/>
      <c r="L194" s="170">
        <v>45397</v>
      </c>
      <c r="M194" s="116">
        <v>694.05</v>
      </c>
      <c r="N194" s="116">
        <v>700.5</v>
      </c>
      <c r="O194" s="116">
        <v>676</v>
      </c>
      <c r="P194" s="116">
        <v>690.05</v>
      </c>
      <c r="Q194" s="116">
        <v>694.05</v>
      </c>
      <c r="R194">
        <v>120538</v>
      </c>
    </row>
    <row r="195" spans="1:18" x14ac:dyDescent="0.25">
      <c r="A195" s="170">
        <v>45398</v>
      </c>
      <c r="B195" s="116">
        <v>701.35</v>
      </c>
      <c r="C195" s="116">
        <v>684.5</v>
      </c>
      <c r="D195" s="116">
        <v>680</v>
      </c>
      <c r="E195" s="116">
        <v>680.15</v>
      </c>
      <c r="F195" s="116">
        <v>684.5</v>
      </c>
      <c r="G195">
        <v>5445</v>
      </c>
      <c r="H195" s="116"/>
      <c r="I195" s="116"/>
      <c r="L195" s="170">
        <v>45398</v>
      </c>
      <c r="M195" s="116">
        <v>684.1</v>
      </c>
      <c r="N195" s="116">
        <v>701</v>
      </c>
      <c r="O195" s="116">
        <v>680.15</v>
      </c>
      <c r="P195" s="116">
        <v>686</v>
      </c>
      <c r="Q195" s="116">
        <v>684.1</v>
      </c>
      <c r="R195">
        <v>81392</v>
      </c>
    </row>
    <row r="196" spans="1:18" x14ac:dyDescent="0.25">
      <c r="A196" s="170">
        <v>45400</v>
      </c>
      <c r="B196" s="116">
        <v>694</v>
      </c>
      <c r="C196" s="116">
        <v>670.6</v>
      </c>
      <c r="D196" s="116">
        <v>668.15</v>
      </c>
      <c r="E196" s="116">
        <v>694</v>
      </c>
      <c r="F196" s="116">
        <v>670.6</v>
      </c>
      <c r="G196">
        <v>19751</v>
      </c>
      <c r="H196" s="116"/>
      <c r="I196" s="116"/>
      <c r="L196" s="170">
        <v>45400</v>
      </c>
      <c r="M196" s="116">
        <v>670.85</v>
      </c>
      <c r="N196" s="116">
        <v>693.5</v>
      </c>
      <c r="O196" s="116">
        <v>668</v>
      </c>
      <c r="P196" s="116">
        <v>693.5</v>
      </c>
      <c r="Q196" s="116">
        <v>670.85</v>
      </c>
      <c r="R196">
        <v>525577</v>
      </c>
    </row>
    <row r="197" spans="1:18" x14ac:dyDescent="0.25">
      <c r="A197" s="170">
        <v>45401</v>
      </c>
      <c r="B197" s="116">
        <v>679.85</v>
      </c>
      <c r="C197" s="116">
        <v>661.05</v>
      </c>
      <c r="D197" s="116">
        <v>657.3</v>
      </c>
      <c r="E197" s="116">
        <v>664.95</v>
      </c>
      <c r="F197" s="116">
        <v>661.05</v>
      </c>
      <c r="G197">
        <v>7710</v>
      </c>
      <c r="H197" s="116"/>
      <c r="I197" s="116"/>
      <c r="L197" s="170">
        <v>45401</v>
      </c>
      <c r="M197" s="116">
        <v>661</v>
      </c>
      <c r="N197" s="116">
        <v>680</v>
      </c>
      <c r="O197" s="116">
        <v>656.2</v>
      </c>
      <c r="P197" s="116">
        <v>658.85</v>
      </c>
      <c r="Q197" s="116">
        <v>661</v>
      </c>
      <c r="R197">
        <v>182584</v>
      </c>
    </row>
    <row r="198" spans="1:18" x14ac:dyDescent="0.25">
      <c r="A198" s="170">
        <v>45404</v>
      </c>
      <c r="B198" s="116">
        <v>679.4</v>
      </c>
      <c r="C198" s="116">
        <v>668.7</v>
      </c>
      <c r="D198" s="116">
        <v>667.05</v>
      </c>
      <c r="E198" s="116">
        <v>675.05</v>
      </c>
      <c r="F198" s="116">
        <v>668.7</v>
      </c>
      <c r="G198">
        <v>14955</v>
      </c>
      <c r="H198" s="116"/>
      <c r="I198" s="116"/>
      <c r="L198" s="170">
        <v>45404</v>
      </c>
      <c r="M198" s="116">
        <v>669.8</v>
      </c>
      <c r="N198" s="116">
        <v>679</v>
      </c>
      <c r="O198" s="116">
        <v>666.8</v>
      </c>
      <c r="P198" s="116">
        <v>679</v>
      </c>
      <c r="Q198" s="116">
        <v>669.8</v>
      </c>
      <c r="R198">
        <v>141247</v>
      </c>
    </row>
    <row r="199" spans="1:18" x14ac:dyDescent="0.25">
      <c r="A199" s="170">
        <v>45405</v>
      </c>
      <c r="B199" s="116">
        <v>696.6</v>
      </c>
      <c r="C199" s="116">
        <v>687.35</v>
      </c>
      <c r="D199" s="116">
        <v>670</v>
      </c>
      <c r="E199" s="116">
        <v>683.05</v>
      </c>
      <c r="F199" s="116">
        <v>687.35</v>
      </c>
      <c r="G199">
        <v>20057</v>
      </c>
      <c r="H199" s="116"/>
      <c r="I199" s="116"/>
      <c r="L199" s="170">
        <v>45405</v>
      </c>
      <c r="M199" s="116">
        <v>686.5</v>
      </c>
      <c r="N199" s="116">
        <v>696.45</v>
      </c>
      <c r="O199" s="116">
        <v>669.75</v>
      </c>
      <c r="P199" s="116">
        <v>676.65</v>
      </c>
      <c r="Q199" s="116">
        <v>686.5</v>
      </c>
      <c r="R199">
        <v>482472</v>
      </c>
    </row>
    <row r="200" spans="1:18" x14ac:dyDescent="0.25">
      <c r="A200" s="170">
        <v>45406</v>
      </c>
      <c r="B200" s="116">
        <v>779.55</v>
      </c>
      <c r="C200" s="116">
        <v>721.2</v>
      </c>
      <c r="D200" s="116">
        <v>713.8</v>
      </c>
      <c r="E200" s="116">
        <v>736</v>
      </c>
      <c r="F200" s="116">
        <v>721.2</v>
      </c>
      <c r="G200">
        <v>249696</v>
      </c>
      <c r="H200" s="116"/>
      <c r="I200" s="116"/>
      <c r="L200" s="170">
        <v>45406</v>
      </c>
      <c r="M200" s="116">
        <v>721.35</v>
      </c>
      <c r="N200" s="116">
        <v>780</v>
      </c>
      <c r="O200" s="116">
        <v>715.1</v>
      </c>
      <c r="P200" s="116">
        <v>725</v>
      </c>
      <c r="Q200" s="116">
        <v>721.35</v>
      </c>
      <c r="R200">
        <v>4121045</v>
      </c>
    </row>
    <row r="201" spans="1:18" x14ac:dyDescent="0.25">
      <c r="A201" s="170">
        <v>45407</v>
      </c>
      <c r="B201" s="116">
        <v>730</v>
      </c>
      <c r="C201" s="116">
        <v>699.1</v>
      </c>
      <c r="D201" s="116">
        <v>694.4</v>
      </c>
      <c r="E201" s="116">
        <v>730</v>
      </c>
      <c r="F201" s="116">
        <v>699.1</v>
      </c>
      <c r="G201">
        <v>78232</v>
      </c>
      <c r="H201" s="116"/>
      <c r="I201" s="116"/>
      <c r="L201" s="170">
        <v>45407</v>
      </c>
      <c r="M201" s="116">
        <v>698.9</v>
      </c>
      <c r="N201" s="116">
        <v>730.3</v>
      </c>
      <c r="O201" s="116">
        <v>694</v>
      </c>
      <c r="P201" s="116">
        <v>730</v>
      </c>
      <c r="Q201" s="116">
        <v>698.9</v>
      </c>
      <c r="R201">
        <v>1167828</v>
      </c>
    </row>
    <row r="202" spans="1:18" x14ac:dyDescent="0.25">
      <c r="A202" s="170">
        <v>45408</v>
      </c>
      <c r="B202" s="116">
        <v>706</v>
      </c>
      <c r="C202" s="116">
        <v>691.8</v>
      </c>
      <c r="D202" s="116">
        <v>688.5</v>
      </c>
      <c r="E202" s="116">
        <v>705</v>
      </c>
      <c r="F202" s="116">
        <v>691.8</v>
      </c>
      <c r="G202">
        <v>42246</v>
      </c>
      <c r="H202" s="116"/>
      <c r="I202" s="116"/>
      <c r="L202" s="170">
        <v>45408</v>
      </c>
      <c r="M202" s="116">
        <v>691.6</v>
      </c>
      <c r="N202" s="116">
        <v>706</v>
      </c>
      <c r="O202" s="116">
        <v>688.25</v>
      </c>
      <c r="P202" s="116">
        <v>705.85</v>
      </c>
      <c r="Q202" s="116">
        <v>691.6</v>
      </c>
      <c r="R202">
        <v>783196</v>
      </c>
    </row>
    <row r="203" spans="1:18" x14ac:dyDescent="0.25">
      <c r="A203" s="170">
        <v>45411</v>
      </c>
      <c r="B203" s="116">
        <v>701.75</v>
      </c>
      <c r="C203" s="116">
        <v>690.45</v>
      </c>
      <c r="D203" s="116">
        <v>688.4</v>
      </c>
      <c r="E203" s="116">
        <v>701.75</v>
      </c>
      <c r="F203" s="116">
        <v>690.45</v>
      </c>
      <c r="G203">
        <v>130540</v>
      </c>
      <c r="H203" s="116"/>
      <c r="I203" s="116"/>
      <c r="L203" s="170">
        <v>45411</v>
      </c>
      <c r="M203" s="116">
        <v>690.75</v>
      </c>
      <c r="N203" s="116">
        <v>700.25</v>
      </c>
      <c r="O203" s="116">
        <v>688.5</v>
      </c>
      <c r="P203" s="116">
        <v>695</v>
      </c>
      <c r="Q203" s="116">
        <v>690.75</v>
      </c>
      <c r="R203">
        <v>157135</v>
      </c>
    </row>
    <row r="204" spans="1:18" x14ac:dyDescent="0.25">
      <c r="A204" s="170">
        <v>45412</v>
      </c>
      <c r="B204" s="116">
        <v>701.8</v>
      </c>
      <c r="C204" s="116">
        <v>692.9</v>
      </c>
      <c r="D204" s="116">
        <v>690.5</v>
      </c>
      <c r="E204" s="116">
        <v>698.75</v>
      </c>
      <c r="F204" s="116">
        <v>692.9</v>
      </c>
      <c r="G204">
        <v>12292</v>
      </c>
      <c r="H204" s="116"/>
      <c r="I204" s="116"/>
      <c r="L204" s="170">
        <v>45412</v>
      </c>
      <c r="M204" s="116">
        <v>693.55</v>
      </c>
      <c r="N204" s="116">
        <v>701</v>
      </c>
      <c r="O204" s="116">
        <v>690.3</v>
      </c>
      <c r="P204" s="116">
        <v>692.85</v>
      </c>
      <c r="Q204" s="116">
        <v>693.55</v>
      </c>
      <c r="R204">
        <v>206659</v>
      </c>
    </row>
    <row r="205" spans="1:18" x14ac:dyDescent="0.25">
      <c r="A205" s="170">
        <v>45414</v>
      </c>
      <c r="B205" s="116">
        <v>703</v>
      </c>
      <c r="C205" s="116">
        <v>690.3</v>
      </c>
      <c r="D205" s="116">
        <v>688</v>
      </c>
      <c r="E205" s="116">
        <v>696.15</v>
      </c>
      <c r="F205" s="116">
        <v>690.3</v>
      </c>
      <c r="G205">
        <v>16043</v>
      </c>
      <c r="H205" s="116"/>
      <c r="I205" s="116"/>
      <c r="L205" s="170">
        <v>45414</v>
      </c>
      <c r="M205" s="116">
        <v>689.85</v>
      </c>
      <c r="N205" s="116">
        <v>700</v>
      </c>
      <c r="O205" s="116">
        <v>686</v>
      </c>
      <c r="P205" s="116">
        <v>700</v>
      </c>
      <c r="Q205" s="116">
        <v>689.85</v>
      </c>
      <c r="R205">
        <v>237336</v>
      </c>
    </row>
    <row r="206" spans="1:18" x14ac:dyDescent="0.25">
      <c r="A206" s="170">
        <v>45415</v>
      </c>
      <c r="B206" s="116">
        <v>696</v>
      </c>
      <c r="C206" s="116">
        <v>685.5</v>
      </c>
      <c r="D206" s="116">
        <v>680.1</v>
      </c>
      <c r="E206" s="116">
        <v>694.95</v>
      </c>
      <c r="F206" s="116">
        <v>685.5</v>
      </c>
      <c r="G206">
        <v>136193</v>
      </c>
      <c r="H206" s="116"/>
      <c r="I206" s="116"/>
      <c r="L206" s="170">
        <v>45415</v>
      </c>
      <c r="M206" s="116">
        <v>684.95</v>
      </c>
      <c r="N206" s="116">
        <v>696.1</v>
      </c>
      <c r="O206" s="116">
        <v>680</v>
      </c>
      <c r="P206" s="116">
        <v>693.05</v>
      </c>
      <c r="Q206" s="116">
        <v>684.95</v>
      </c>
      <c r="R206">
        <v>187026</v>
      </c>
    </row>
    <row r="207" spans="1:18" x14ac:dyDescent="0.25">
      <c r="A207" s="170">
        <v>45418</v>
      </c>
      <c r="B207" s="116">
        <v>692</v>
      </c>
      <c r="C207" s="116">
        <v>668.15</v>
      </c>
      <c r="D207" s="116">
        <v>665.05</v>
      </c>
      <c r="E207" s="116">
        <v>688</v>
      </c>
      <c r="F207" s="116">
        <v>668.15</v>
      </c>
      <c r="G207">
        <v>292625</v>
      </c>
      <c r="H207" s="116"/>
      <c r="I207" s="116"/>
      <c r="L207" s="170">
        <v>45418</v>
      </c>
      <c r="M207" s="116">
        <v>667.65</v>
      </c>
      <c r="N207" s="116">
        <v>689</v>
      </c>
      <c r="O207" s="116">
        <v>665</v>
      </c>
      <c r="P207" s="116">
        <v>689</v>
      </c>
      <c r="Q207" s="116">
        <v>667.65</v>
      </c>
      <c r="R207">
        <v>114740</v>
      </c>
    </row>
    <row r="208" spans="1:18" x14ac:dyDescent="0.25">
      <c r="A208" s="170">
        <v>45419</v>
      </c>
      <c r="B208" s="116">
        <v>677.05</v>
      </c>
      <c r="C208" s="116">
        <v>667.2</v>
      </c>
      <c r="D208" s="116">
        <v>659</v>
      </c>
      <c r="E208" s="116">
        <v>668.8</v>
      </c>
      <c r="F208" s="116">
        <v>667.2</v>
      </c>
      <c r="G208">
        <v>35036</v>
      </c>
      <c r="H208" s="116"/>
      <c r="I208" s="116"/>
      <c r="L208" s="170">
        <v>45419</v>
      </c>
      <c r="M208" s="116">
        <v>667.05</v>
      </c>
      <c r="N208" s="116">
        <v>677.4</v>
      </c>
      <c r="O208" s="116">
        <v>659</v>
      </c>
      <c r="P208" s="116">
        <v>668.3</v>
      </c>
      <c r="Q208" s="116">
        <v>667.05</v>
      </c>
      <c r="R208">
        <v>124229</v>
      </c>
    </row>
    <row r="209" spans="1:18" x14ac:dyDescent="0.25">
      <c r="A209" s="170">
        <v>45420</v>
      </c>
      <c r="B209" s="116">
        <v>686</v>
      </c>
      <c r="C209" s="116">
        <v>675.95</v>
      </c>
      <c r="D209" s="116">
        <v>660</v>
      </c>
      <c r="E209" s="116">
        <v>667.75</v>
      </c>
      <c r="F209" s="116">
        <v>675.95</v>
      </c>
      <c r="G209">
        <v>14173</v>
      </c>
      <c r="H209" s="116"/>
      <c r="I209" s="116"/>
      <c r="L209" s="170">
        <v>45420</v>
      </c>
      <c r="M209" s="116">
        <v>677.1</v>
      </c>
      <c r="N209" s="116">
        <v>686.95</v>
      </c>
      <c r="O209" s="116">
        <v>660</v>
      </c>
      <c r="P209" s="116">
        <v>665.1</v>
      </c>
      <c r="Q209" s="116">
        <v>677.1</v>
      </c>
      <c r="R209">
        <v>199288</v>
      </c>
    </row>
    <row r="210" spans="1:18" x14ac:dyDescent="0.25">
      <c r="A210" s="170">
        <v>45421</v>
      </c>
      <c r="B210" s="116">
        <v>682.2</v>
      </c>
      <c r="C210" s="116">
        <v>671.75</v>
      </c>
      <c r="D210" s="116">
        <v>663.95</v>
      </c>
      <c r="E210" s="116">
        <v>678.95</v>
      </c>
      <c r="F210" s="116">
        <v>671.75</v>
      </c>
      <c r="G210">
        <v>6094</v>
      </c>
      <c r="H210" s="116"/>
      <c r="I210" s="116"/>
      <c r="L210" s="170">
        <v>45421</v>
      </c>
      <c r="M210" s="116">
        <v>670.3</v>
      </c>
      <c r="N210" s="116">
        <v>682.05</v>
      </c>
      <c r="O210" s="116">
        <v>661</v>
      </c>
      <c r="P210" s="116">
        <v>677</v>
      </c>
      <c r="Q210" s="116">
        <v>670.3</v>
      </c>
      <c r="R210">
        <v>135053</v>
      </c>
    </row>
    <row r="211" spans="1:18" x14ac:dyDescent="0.25">
      <c r="A211" s="170">
        <v>45422</v>
      </c>
      <c r="B211" s="116">
        <v>677.5</v>
      </c>
      <c r="C211" s="116">
        <v>674.35</v>
      </c>
      <c r="D211" s="116">
        <v>663</v>
      </c>
      <c r="E211" s="116">
        <v>670</v>
      </c>
      <c r="F211" s="116">
        <v>674.35</v>
      </c>
      <c r="G211">
        <v>17172</v>
      </c>
      <c r="H211" s="116"/>
      <c r="I211" s="116"/>
      <c r="L211" s="170">
        <v>45422</v>
      </c>
      <c r="M211" s="116">
        <v>675</v>
      </c>
      <c r="N211" s="116">
        <v>677.45</v>
      </c>
      <c r="O211" s="116">
        <v>663</v>
      </c>
      <c r="P211" s="116">
        <v>674.65</v>
      </c>
      <c r="Q211" s="116">
        <v>675</v>
      </c>
      <c r="R211">
        <v>270827</v>
      </c>
    </row>
    <row r="212" spans="1:18" x14ac:dyDescent="0.25">
      <c r="A212" s="170">
        <v>45425</v>
      </c>
      <c r="B212" s="116">
        <v>671.65</v>
      </c>
      <c r="C212" s="116">
        <v>665</v>
      </c>
      <c r="D212" s="116">
        <v>661.5</v>
      </c>
      <c r="E212" s="116">
        <v>666.05</v>
      </c>
      <c r="F212" s="116">
        <v>665</v>
      </c>
      <c r="G212">
        <v>105799</v>
      </c>
      <c r="H212" s="116"/>
      <c r="I212" s="116"/>
      <c r="L212" s="170">
        <v>45425</v>
      </c>
      <c r="M212" s="116">
        <v>666.8</v>
      </c>
      <c r="N212" s="116">
        <v>673</v>
      </c>
      <c r="O212" s="116">
        <v>660.1</v>
      </c>
      <c r="P212" s="116">
        <v>673</v>
      </c>
      <c r="Q212" s="116">
        <v>666.8</v>
      </c>
      <c r="R212">
        <v>84968</v>
      </c>
    </row>
    <row r="213" spans="1:18" x14ac:dyDescent="0.25">
      <c r="A213" s="170">
        <v>45426</v>
      </c>
      <c r="B213" s="116">
        <v>678.75</v>
      </c>
      <c r="C213" s="116">
        <v>669</v>
      </c>
      <c r="D213" s="116">
        <v>667.1</v>
      </c>
      <c r="E213" s="116">
        <v>670.65</v>
      </c>
      <c r="F213" s="116">
        <v>669</v>
      </c>
      <c r="G213">
        <v>309487</v>
      </c>
      <c r="H213" s="116"/>
      <c r="I213" s="116"/>
      <c r="L213" s="170">
        <v>45426</v>
      </c>
      <c r="M213" s="116">
        <v>668.8</v>
      </c>
      <c r="N213" s="116">
        <v>678.55</v>
      </c>
      <c r="O213" s="116">
        <v>667</v>
      </c>
      <c r="P213" s="116">
        <v>675</v>
      </c>
      <c r="Q213" s="116">
        <v>668.8</v>
      </c>
      <c r="R213">
        <v>287513</v>
      </c>
    </row>
    <row r="214" spans="1:18" x14ac:dyDescent="0.25">
      <c r="A214" s="170">
        <v>45427</v>
      </c>
      <c r="B214" s="116">
        <v>684.6</v>
      </c>
      <c r="C214" s="116">
        <v>665.25</v>
      </c>
      <c r="D214" s="116">
        <v>661.45</v>
      </c>
      <c r="E214" s="116">
        <v>665.05</v>
      </c>
      <c r="F214" s="116">
        <v>665.25</v>
      </c>
      <c r="G214">
        <v>19499</v>
      </c>
      <c r="H214" s="116"/>
      <c r="I214" s="116"/>
      <c r="L214" s="170">
        <v>45427</v>
      </c>
      <c r="M214" s="116">
        <v>665.35</v>
      </c>
      <c r="N214" s="116">
        <v>684.7</v>
      </c>
      <c r="O214" s="116">
        <v>662.15</v>
      </c>
      <c r="P214" s="116">
        <v>674</v>
      </c>
      <c r="Q214" s="116">
        <v>665.35</v>
      </c>
      <c r="R214">
        <v>164087</v>
      </c>
    </row>
    <row r="215" spans="1:18" x14ac:dyDescent="0.25">
      <c r="A215" s="170">
        <v>45428</v>
      </c>
      <c r="B215" s="116">
        <v>672.3</v>
      </c>
      <c r="C215" s="116">
        <v>664.45</v>
      </c>
      <c r="D215" s="116">
        <v>662.55</v>
      </c>
      <c r="E215" s="116">
        <v>672.1</v>
      </c>
      <c r="F215" s="116">
        <v>664.45</v>
      </c>
      <c r="G215">
        <v>7261</v>
      </c>
      <c r="H215" s="116"/>
      <c r="I215" s="116"/>
      <c r="L215" s="170">
        <v>45428</v>
      </c>
      <c r="M215" s="116">
        <v>663.9</v>
      </c>
      <c r="N215" s="116">
        <v>672.25</v>
      </c>
      <c r="O215" s="116">
        <v>662.5</v>
      </c>
      <c r="P215" s="116">
        <v>670.65</v>
      </c>
      <c r="Q215" s="116">
        <v>663.9</v>
      </c>
      <c r="R215">
        <v>113061</v>
      </c>
    </row>
    <row r="216" spans="1:18" x14ac:dyDescent="0.25">
      <c r="A216" s="170">
        <v>45429</v>
      </c>
      <c r="B216" s="116">
        <v>677.05</v>
      </c>
      <c r="C216" s="116">
        <v>674.8</v>
      </c>
      <c r="D216" s="116">
        <v>662.15</v>
      </c>
      <c r="E216" s="116">
        <v>668.95</v>
      </c>
      <c r="F216" s="116">
        <v>674.8</v>
      </c>
      <c r="G216">
        <v>314484</v>
      </c>
      <c r="H216" s="116"/>
      <c r="I216" s="116"/>
      <c r="L216" s="170">
        <v>45429</v>
      </c>
      <c r="M216" s="116">
        <v>675.5</v>
      </c>
      <c r="N216" s="116">
        <v>677</v>
      </c>
      <c r="O216" s="116">
        <v>661</v>
      </c>
      <c r="P216" s="116">
        <v>664.95</v>
      </c>
      <c r="Q216" s="116">
        <v>675.5</v>
      </c>
      <c r="R216">
        <v>86748</v>
      </c>
    </row>
    <row r="217" spans="1:18" x14ac:dyDescent="0.25">
      <c r="A217" s="170">
        <v>45430</v>
      </c>
      <c r="B217" s="116">
        <v>691.35</v>
      </c>
      <c r="C217" s="116">
        <v>689.45</v>
      </c>
      <c r="D217" s="116">
        <v>676.55</v>
      </c>
      <c r="E217" s="116">
        <v>684.75</v>
      </c>
      <c r="F217" s="116">
        <v>689.45</v>
      </c>
      <c r="G217">
        <v>7889</v>
      </c>
      <c r="H217" s="116"/>
      <c r="I217" s="116"/>
      <c r="L217" s="170">
        <v>45430</v>
      </c>
      <c r="M217" s="116">
        <v>689.75</v>
      </c>
      <c r="N217" s="116">
        <v>692.65</v>
      </c>
      <c r="O217" s="116">
        <v>675.5</v>
      </c>
      <c r="P217" s="116">
        <v>676.95</v>
      </c>
      <c r="Q217" s="116">
        <v>689.75</v>
      </c>
      <c r="R217">
        <v>57144</v>
      </c>
    </row>
    <row r="218" spans="1:18" x14ac:dyDescent="0.25">
      <c r="A218" s="170">
        <v>45433</v>
      </c>
      <c r="B218" s="116">
        <v>698.95</v>
      </c>
      <c r="C218" s="116">
        <v>678.95</v>
      </c>
      <c r="D218" s="116">
        <v>672.75</v>
      </c>
      <c r="E218" s="116">
        <v>698.95</v>
      </c>
      <c r="F218" s="116">
        <v>678.95</v>
      </c>
      <c r="G218">
        <v>22827</v>
      </c>
      <c r="H218" s="116"/>
      <c r="I218" s="116"/>
      <c r="L218" s="170">
        <v>45433</v>
      </c>
      <c r="M218" s="116">
        <v>678.95</v>
      </c>
      <c r="N218" s="116">
        <v>693.85</v>
      </c>
      <c r="O218" s="116">
        <v>675.9</v>
      </c>
      <c r="P218" s="116">
        <v>691</v>
      </c>
      <c r="Q218" s="116">
        <v>678.95</v>
      </c>
      <c r="R218">
        <v>366422</v>
      </c>
    </row>
    <row r="219" spans="1:18" x14ac:dyDescent="0.25">
      <c r="A219" s="170">
        <v>45434</v>
      </c>
      <c r="B219" s="116">
        <v>687.9</v>
      </c>
      <c r="C219" s="116">
        <v>685.25</v>
      </c>
      <c r="D219" s="116">
        <v>670.1</v>
      </c>
      <c r="E219" s="116">
        <v>683.95</v>
      </c>
      <c r="F219" s="116">
        <v>685.25</v>
      </c>
      <c r="G219">
        <v>24470</v>
      </c>
      <c r="H219" s="116"/>
      <c r="I219" s="116"/>
      <c r="L219" s="170">
        <v>45434</v>
      </c>
      <c r="M219" s="116">
        <v>685.2</v>
      </c>
      <c r="N219" s="116">
        <v>689.7</v>
      </c>
      <c r="O219" s="116">
        <v>670.2</v>
      </c>
      <c r="P219" s="116">
        <v>679.5</v>
      </c>
      <c r="Q219" s="116">
        <v>685.2</v>
      </c>
      <c r="R219">
        <v>147855</v>
      </c>
    </row>
    <row r="220" spans="1:18" x14ac:dyDescent="0.25">
      <c r="A220" s="170">
        <v>45435</v>
      </c>
      <c r="B220" s="116">
        <v>687.5</v>
      </c>
      <c r="C220" s="116">
        <v>671.7</v>
      </c>
      <c r="D220" s="116">
        <v>670.15</v>
      </c>
      <c r="E220" s="116">
        <v>687.5</v>
      </c>
      <c r="F220" s="116">
        <v>671.7</v>
      </c>
      <c r="G220">
        <v>24252</v>
      </c>
      <c r="H220" s="116"/>
      <c r="I220" s="116"/>
      <c r="L220" s="170">
        <v>45435</v>
      </c>
      <c r="M220" s="116">
        <v>670.95</v>
      </c>
      <c r="N220" s="116">
        <v>688.95</v>
      </c>
      <c r="O220" s="116">
        <v>670.1</v>
      </c>
      <c r="P220" s="116">
        <v>688</v>
      </c>
      <c r="Q220" s="116">
        <v>670.95</v>
      </c>
      <c r="R220">
        <v>327501</v>
      </c>
    </row>
    <row r="221" spans="1:18" x14ac:dyDescent="0.25">
      <c r="A221" s="170">
        <v>45436</v>
      </c>
      <c r="B221" s="116">
        <v>678.75</v>
      </c>
      <c r="C221" s="116">
        <v>661.55</v>
      </c>
      <c r="D221" s="116">
        <v>659</v>
      </c>
      <c r="E221" s="116">
        <v>678.75</v>
      </c>
      <c r="F221" s="116">
        <v>661.55</v>
      </c>
      <c r="G221">
        <v>26763</v>
      </c>
      <c r="H221" s="116"/>
      <c r="I221" s="116"/>
      <c r="L221" s="170">
        <v>45436</v>
      </c>
      <c r="M221" s="116">
        <v>661.1</v>
      </c>
      <c r="N221" s="116">
        <v>674.7</v>
      </c>
      <c r="O221" s="116">
        <v>659</v>
      </c>
      <c r="P221" s="116">
        <v>672.95</v>
      </c>
      <c r="Q221" s="116">
        <v>661.1</v>
      </c>
      <c r="R221">
        <v>181399</v>
      </c>
    </row>
    <row r="222" spans="1:18" x14ac:dyDescent="0.25">
      <c r="A222" s="170">
        <v>45439</v>
      </c>
      <c r="B222" s="116">
        <v>668.1</v>
      </c>
      <c r="C222" s="116">
        <v>660</v>
      </c>
      <c r="D222" s="116">
        <v>652</v>
      </c>
      <c r="E222" s="116">
        <v>665.9</v>
      </c>
      <c r="F222" s="116">
        <v>660</v>
      </c>
      <c r="G222">
        <v>21182</v>
      </c>
      <c r="H222" s="116"/>
      <c r="I222" s="116"/>
      <c r="L222" s="170">
        <v>45439</v>
      </c>
      <c r="M222" s="116">
        <v>659.9</v>
      </c>
      <c r="N222" s="116">
        <v>667</v>
      </c>
      <c r="O222" s="116">
        <v>652</v>
      </c>
      <c r="P222" s="116">
        <v>666.95</v>
      </c>
      <c r="Q222" s="116">
        <v>659.9</v>
      </c>
      <c r="R222">
        <v>203102</v>
      </c>
    </row>
    <row r="223" spans="1:18" x14ac:dyDescent="0.25">
      <c r="A223" s="170">
        <v>45440</v>
      </c>
      <c r="B223" s="116">
        <v>663.05</v>
      </c>
      <c r="C223" s="116">
        <v>658.5</v>
      </c>
      <c r="D223" s="116">
        <v>653</v>
      </c>
      <c r="E223" s="116">
        <v>661.05</v>
      </c>
      <c r="F223" s="116">
        <v>658.5</v>
      </c>
      <c r="G223">
        <v>12941</v>
      </c>
      <c r="H223" s="116"/>
      <c r="I223" s="116"/>
      <c r="L223" s="170">
        <v>45440</v>
      </c>
      <c r="M223" s="116">
        <v>659.35</v>
      </c>
      <c r="N223" s="116">
        <v>664</v>
      </c>
      <c r="O223" s="116">
        <v>652.6</v>
      </c>
      <c r="P223" s="116">
        <v>664</v>
      </c>
      <c r="Q223" s="116">
        <v>659.35</v>
      </c>
      <c r="R223">
        <v>82762</v>
      </c>
    </row>
    <row r="224" spans="1:18" x14ac:dyDescent="0.25">
      <c r="A224" s="170">
        <v>45441</v>
      </c>
      <c r="B224" s="116">
        <v>665.9</v>
      </c>
      <c r="C224" s="116">
        <v>662.8</v>
      </c>
      <c r="D224" s="116">
        <v>630.04999999999995</v>
      </c>
      <c r="E224" s="116">
        <v>630.04999999999995</v>
      </c>
      <c r="F224" s="116">
        <v>662.8</v>
      </c>
      <c r="G224">
        <v>209245</v>
      </c>
      <c r="H224" s="116"/>
      <c r="I224" s="116"/>
      <c r="L224" s="170">
        <v>45441</v>
      </c>
      <c r="M224" s="116">
        <v>662.35</v>
      </c>
      <c r="N224" s="116">
        <v>666.8</v>
      </c>
      <c r="O224" s="116">
        <v>654.45000000000005</v>
      </c>
      <c r="P224" s="116">
        <v>656.85</v>
      </c>
      <c r="Q224" s="116">
        <v>662.35</v>
      </c>
      <c r="R224">
        <v>72233</v>
      </c>
    </row>
    <row r="225" spans="1:18" x14ac:dyDescent="0.25">
      <c r="A225" s="170">
        <v>45442</v>
      </c>
      <c r="B225" s="116">
        <v>661.7</v>
      </c>
      <c r="C225" s="116">
        <v>648.75</v>
      </c>
      <c r="D225" s="116">
        <v>645.20000000000005</v>
      </c>
      <c r="E225" s="116">
        <v>660</v>
      </c>
      <c r="F225" s="116">
        <v>648.75</v>
      </c>
      <c r="G225">
        <v>18367</v>
      </c>
      <c r="H225" s="116"/>
      <c r="I225" s="116"/>
      <c r="L225" s="170">
        <v>45442</v>
      </c>
      <c r="M225" s="116">
        <v>648.65</v>
      </c>
      <c r="N225" s="116">
        <v>662.35</v>
      </c>
      <c r="O225" s="116">
        <v>645.1</v>
      </c>
      <c r="P225" s="116">
        <v>662.35</v>
      </c>
      <c r="Q225" s="116">
        <v>648.65</v>
      </c>
      <c r="R225">
        <v>105512</v>
      </c>
    </row>
    <row r="226" spans="1:18" x14ac:dyDescent="0.25">
      <c r="A226" s="170">
        <v>45443</v>
      </c>
      <c r="B226" s="116">
        <v>653.45000000000005</v>
      </c>
      <c r="C226" s="116">
        <v>629.79999999999995</v>
      </c>
      <c r="D226" s="116">
        <v>627.1</v>
      </c>
      <c r="E226" s="116">
        <v>650</v>
      </c>
      <c r="F226" s="116">
        <v>629.79999999999995</v>
      </c>
      <c r="G226">
        <v>31930</v>
      </c>
      <c r="H226" s="116"/>
      <c r="I226" s="116"/>
      <c r="L226" s="170">
        <v>45443</v>
      </c>
      <c r="M226" s="116">
        <v>629.65</v>
      </c>
      <c r="N226" s="116">
        <v>652.4</v>
      </c>
      <c r="O226" s="116">
        <v>627.20000000000005</v>
      </c>
      <c r="P226" s="116">
        <v>651</v>
      </c>
      <c r="Q226" s="116">
        <v>629.65</v>
      </c>
      <c r="R226">
        <v>188530</v>
      </c>
    </row>
    <row r="227" spans="1:18" x14ac:dyDescent="0.25">
      <c r="A227" s="170">
        <v>45446</v>
      </c>
      <c r="B227" s="116">
        <v>669.4</v>
      </c>
      <c r="C227" s="116">
        <v>664.95</v>
      </c>
      <c r="D227" s="116">
        <v>629.15</v>
      </c>
      <c r="E227" s="116">
        <v>639.9</v>
      </c>
      <c r="F227" s="116">
        <v>664.95</v>
      </c>
      <c r="G227">
        <v>341708</v>
      </c>
      <c r="H227" s="116"/>
      <c r="I227" s="116"/>
      <c r="L227" s="170">
        <v>45446</v>
      </c>
      <c r="M227" s="116">
        <v>664.95</v>
      </c>
      <c r="N227" s="116">
        <v>669.85</v>
      </c>
      <c r="O227" s="116">
        <v>628.04999999999995</v>
      </c>
      <c r="P227" s="116">
        <v>633</v>
      </c>
      <c r="Q227" s="116">
        <v>664.95</v>
      </c>
      <c r="R227">
        <v>809305</v>
      </c>
    </row>
    <row r="228" spans="1:18" x14ac:dyDescent="0.25">
      <c r="A228" s="170">
        <v>45447</v>
      </c>
      <c r="B228" s="116">
        <v>660.05</v>
      </c>
      <c r="C228" s="116">
        <v>609.95000000000005</v>
      </c>
      <c r="D228" s="116">
        <v>588</v>
      </c>
      <c r="E228" s="116">
        <v>660.05</v>
      </c>
      <c r="F228" s="116">
        <v>609.95000000000005</v>
      </c>
      <c r="G228">
        <v>85728</v>
      </c>
      <c r="H228" s="116"/>
      <c r="I228" s="116"/>
      <c r="L228" s="170">
        <v>45447</v>
      </c>
      <c r="M228" s="116">
        <v>609.79999999999995</v>
      </c>
      <c r="N228" s="116">
        <v>660</v>
      </c>
      <c r="O228" s="116">
        <v>580.6</v>
      </c>
      <c r="P228" s="116">
        <v>658.6</v>
      </c>
      <c r="Q228" s="116">
        <v>609.79999999999995</v>
      </c>
      <c r="R228">
        <v>412918</v>
      </c>
    </row>
    <row r="229" spans="1:18" x14ac:dyDescent="0.25">
      <c r="A229" s="170">
        <v>45448</v>
      </c>
      <c r="B229" s="116">
        <v>633.65</v>
      </c>
      <c r="C229" s="116">
        <v>598.04999999999995</v>
      </c>
      <c r="D229" s="116">
        <v>580</v>
      </c>
      <c r="E229" s="116">
        <v>629.95000000000005</v>
      </c>
      <c r="F229" s="116">
        <v>598.04999999999995</v>
      </c>
      <c r="G229">
        <v>97648</v>
      </c>
      <c r="H229" s="116"/>
      <c r="I229" s="116"/>
      <c r="L229" s="170">
        <v>45448</v>
      </c>
      <c r="M229" s="116">
        <v>598.85</v>
      </c>
      <c r="N229" s="116">
        <v>633.85</v>
      </c>
      <c r="O229" s="116">
        <v>580.85</v>
      </c>
      <c r="P229" s="116">
        <v>629.70000000000005</v>
      </c>
      <c r="Q229" s="116">
        <v>598.85</v>
      </c>
      <c r="R229">
        <v>726072</v>
      </c>
    </row>
    <row r="230" spans="1:18" x14ac:dyDescent="0.25">
      <c r="A230" s="170">
        <v>45449</v>
      </c>
      <c r="B230" s="116">
        <v>659.7</v>
      </c>
      <c r="C230" s="116">
        <v>654.4</v>
      </c>
      <c r="D230" s="116">
        <v>608.04999999999995</v>
      </c>
      <c r="E230" s="116">
        <v>610.04999999999995</v>
      </c>
      <c r="F230" s="116">
        <v>654.4</v>
      </c>
      <c r="G230">
        <v>47152</v>
      </c>
      <c r="H230" s="116"/>
      <c r="I230" s="116"/>
      <c r="L230" s="170">
        <v>45449</v>
      </c>
      <c r="M230" s="116">
        <v>654.15</v>
      </c>
      <c r="N230" s="116">
        <v>660</v>
      </c>
      <c r="O230" s="116">
        <v>605.20000000000005</v>
      </c>
      <c r="P230" s="116">
        <v>605.20000000000005</v>
      </c>
      <c r="Q230" s="116">
        <v>654.15</v>
      </c>
      <c r="R230">
        <v>701045</v>
      </c>
    </row>
    <row r="231" spans="1:18" x14ac:dyDescent="0.25">
      <c r="A231" s="170">
        <v>45450</v>
      </c>
      <c r="B231" s="116">
        <v>668.8</v>
      </c>
      <c r="C231" s="116">
        <v>662.7</v>
      </c>
      <c r="D231" s="116">
        <v>654.15</v>
      </c>
      <c r="E231" s="116">
        <v>668.8</v>
      </c>
      <c r="F231" s="116">
        <v>662.7</v>
      </c>
      <c r="G231">
        <v>25394</v>
      </c>
      <c r="H231" s="116"/>
      <c r="I231" s="116"/>
      <c r="L231" s="170">
        <v>45450</v>
      </c>
      <c r="M231" s="116">
        <v>663.2</v>
      </c>
      <c r="N231" s="116">
        <v>669.55</v>
      </c>
      <c r="O231" s="116">
        <v>656.05</v>
      </c>
      <c r="P231" s="116">
        <v>660</v>
      </c>
      <c r="Q231" s="116">
        <v>663.2</v>
      </c>
      <c r="R231">
        <v>408654</v>
      </c>
    </row>
    <row r="232" spans="1:18" x14ac:dyDescent="0.25">
      <c r="A232" s="170">
        <v>45453</v>
      </c>
      <c r="B232" s="116">
        <v>702.4</v>
      </c>
      <c r="C232" s="116">
        <v>694.05</v>
      </c>
      <c r="D232" s="116">
        <v>663</v>
      </c>
      <c r="E232" s="116">
        <v>678</v>
      </c>
      <c r="F232" s="116">
        <v>694.05</v>
      </c>
      <c r="G232">
        <v>26799</v>
      </c>
      <c r="H232" s="116"/>
      <c r="I232" s="116"/>
      <c r="L232" s="170">
        <v>45453</v>
      </c>
      <c r="M232" s="116">
        <v>693.45</v>
      </c>
      <c r="N232" s="116">
        <v>702</v>
      </c>
      <c r="O232" s="116">
        <v>663</v>
      </c>
      <c r="P232" s="116">
        <v>674</v>
      </c>
      <c r="Q232" s="116">
        <v>693.45</v>
      </c>
      <c r="R232">
        <v>493063</v>
      </c>
    </row>
    <row r="233" spans="1:18" x14ac:dyDescent="0.25">
      <c r="A233" s="170">
        <v>45454</v>
      </c>
      <c r="B233" s="116">
        <v>695.35</v>
      </c>
      <c r="C233" s="116">
        <v>684.8</v>
      </c>
      <c r="D233" s="116">
        <v>680</v>
      </c>
      <c r="E233" s="116">
        <v>693.05</v>
      </c>
      <c r="F233" s="116">
        <v>684.8</v>
      </c>
      <c r="G233">
        <v>24956</v>
      </c>
      <c r="H233" s="116"/>
      <c r="I233" s="116"/>
      <c r="L233" s="170">
        <v>45454</v>
      </c>
      <c r="M233" s="116">
        <v>685</v>
      </c>
      <c r="N233" s="116">
        <v>695</v>
      </c>
      <c r="O233" s="116">
        <v>680</v>
      </c>
      <c r="P233" s="116">
        <v>688.05</v>
      </c>
      <c r="Q233" s="116">
        <v>685</v>
      </c>
      <c r="R233">
        <v>414890</v>
      </c>
    </row>
    <row r="234" spans="1:18" x14ac:dyDescent="0.25">
      <c r="A234" s="170">
        <v>45455</v>
      </c>
      <c r="B234" s="116">
        <v>692.1</v>
      </c>
      <c r="C234" s="116">
        <v>677.05</v>
      </c>
      <c r="D234" s="116">
        <v>675</v>
      </c>
      <c r="E234" s="116">
        <v>681.05</v>
      </c>
      <c r="F234" s="116">
        <v>677.05</v>
      </c>
      <c r="G234">
        <v>113608</v>
      </c>
      <c r="H234" s="116"/>
      <c r="I234" s="116"/>
      <c r="L234" s="170">
        <v>45455</v>
      </c>
      <c r="M234" s="116">
        <v>676.85</v>
      </c>
      <c r="N234" s="116">
        <v>690.95</v>
      </c>
      <c r="O234" s="116">
        <v>674.15</v>
      </c>
      <c r="P234" s="116">
        <v>688.2</v>
      </c>
      <c r="Q234" s="116">
        <v>676.85</v>
      </c>
      <c r="R234">
        <v>175781</v>
      </c>
    </row>
    <row r="235" spans="1:18" x14ac:dyDescent="0.25">
      <c r="A235" s="170">
        <v>45456</v>
      </c>
      <c r="B235" s="116">
        <v>694.1</v>
      </c>
      <c r="C235" s="116">
        <v>685.35</v>
      </c>
      <c r="D235" s="116">
        <v>671.9</v>
      </c>
      <c r="E235" s="116">
        <v>685</v>
      </c>
      <c r="F235" s="116">
        <v>685.35</v>
      </c>
      <c r="G235">
        <v>440959</v>
      </c>
      <c r="H235" s="116"/>
      <c r="I235" s="116"/>
      <c r="L235" s="170">
        <v>45456</v>
      </c>
      <c r="M235" s="116">
        <v>686.5</v>
      </c>
      <c r="N235" s="116">
        <v>690.35</v>
      </c>
      <c r="O235" s="116">
        <v>671</v>
      </c>
      <c r="P235" s="116">
        <v>682.65</v>
      </c>
      <c r="Q235" s="116">
        <v>686.5</v>
      </c>
      <c r="R235">
        <v>656637</v>
      </c>
    </row>
    <row r="236" spans="1:18" x14ac:dyDescent="0.25">
      <c r="A236" s="170">
        <v>45457</v>
      </c>
      <c r="B236" s="116">
        <v>702.45</v>
      </c>
      <c r="C236" s="116">
        <v>687.85</v>
      </c>
      <c r="D236" s="116">
        <v>686.2</v>
      </c>
      <c r="E236" s="116">
        <v>702.45</v>
      </c>
      <c r="F236" s="116">
        <v>687.85</v>
      </c>
      <c r="G236">
        <v>17846</v>
      </c>
      <c r="H236" s="116"/>
      <c r="I236" s="116"/>
      <c r="L236" s="170">
        <v>45457</v>
      </c>
      <c r="M236" s="116">
        <v>688.15</v>
      </c>
      <c r="N236" s="116">
        <v>699.65</v>
      </c>
      <c r="O236" s="116">
        <v>686</v>
      </c>
      <c r="P236" s="116">
        <v>694</v>
      </c>
      <c r="Q236" s="116">
        <v>688.15</v>
      </c>
      <c r="R236">
        <v>422184</v>
      </c>
    </row>
    <row r="237" spans="1:18" x14ac:dyDescent="0.25">
      <c r="A237" s="170">
        <v>45461</v>
      </c>
      <c r="B237" s="116">
        <v>709.75</v>
      </c>
      <c r="C237" s="116">
        <v>700.2</v>
      </c>
      <c r="D237" s="116">
        <v>691.65</v>
      </c>
      <c r="E237" s="116">
        <v>692</v>
      </c>
      <c r="F237" s="116">
        <v>700.2</v>
      </c>
      <c r="G237">
        <v>406542</v>
      </c>
      <c r="H237" s="116"/>
      <c r="I237" s="116"/>
      <c r="L237" s="170">
        <v>45461</v>
      </c>
      <c r="M237" s="116">
        <v>702.7</v>
      </c>
      <c r="N237" s="116">
        <v>709.6</v>
      </c>
      <c r="O237" s="116">
        <v>691.25</v>
      </c>
      <c r="P237" s="116">
        <v>698.85</v>
      </c>
      <c r="Q237" s="116">
        <v>702.7</v>
      </c>
      <c r="R237">
        <v>1137893</v>
      </c>
    </row>
    <row r="238" spans="1:18" x14ac:dyDescent="0.25">
      <c r="A238" s="170">
        <v>45462</v>
      </c>
      <c r="B238" s="116">
        <v>735</v>
      </c>
      <c r="C238" s="116">
        <v>720.15</v>
      </c>
      <c r="D238" s="116">
        <v>708</v>
      </c>
      <c r="E238" s="116">
        <v>708.8</v>
      </c>
      <c r="F238" s="116">
        <v>720.15</v>
      </c>
      <c r="G238">
        <v>32784</v>
      </c>
      <c r="H238" s="116"/>
      <c r="I238" s="116"/>
      <c r="L238" s="170">
        <v>45462</v>
      </c>
      <c r="M238" s="116">
        <v>720.35</v>
      </c>
      <c r="N238" s="116">
        <v>734.7</v>
      </c>
      <c r="O238" s="116">
        <v>707.95</v>
      </c>
      <c r="P238" s="116">
        <v>708</v>
      </c>
      <c r="Q238" s="116">
        <v>720.35</v>
      </c>
      <c r="R238">
        <v>1176817</v>
      </c>
    </row>
    <row r="239" spans="1:18" x14ac:dyDescent="0.25">
      <c r="A239" s="170">
        <v>45463</v>
      </c>
      <c r="B239" s="116">
        <v>756.3</v>
      </c>
      <c r="C239" s="116">
        <v>745.7</v>
      </c>
      <c r="D239" s="116">
        <v>717.45</v>
      </c>
      <c r="E239" s="116">
        <v>729.9</v>
      </c>
      <c r="F239" s="116">
        <v>745.7</v>
      </c>
      <c r="G239">
        <v>46142</v>
      </c>
      <c r="H239" s="116"/>
      <c r="I239" s="116"/>
      <c r="L239" s="170">
        <v>45463</v>
      </c>
      <c r="M239" s="116">
        <v>745.6</v>
      </c>
      <c r="N239" s="116">
        <v>756.7</v>
      </c>
      <c r="O239" s="116">
        <v>717</v>
      </c>
      <c r="P239" s="116">
        <v>723.8</v>
      </c>
      <c r="Q239" s="116">
        <v>745.6</v>
      </c>
      <c r="R239">
        <v>1266061</v>
      </c>
    </row>
    <row r="240" spans="1:18" x14ac:dyDescent="0.25">
      <c r="A240" s="170">
        <v>45464</v>
      </c>
      <c r="B240" s="116">
        <v>766.3</v>
      </c>
      <c r="C240" s="116">
        <v>731.8</v>
      </c>
      <c r="D240" s="116">
        <v>726</v>
      </c>
      <c r="E240" s="116">
        <v>759.95</v>
      </c>
      <c r="F240" s="116">
        <v>731.8</v>
      </c>
      <c r="G240">
        <v>75607</v>
      </c>
      <c r="H240" s="116"/>
      <c r="I240" s="116"/>
      <c r="L240" s="170">
        <v>45464</v>
      </c>
      <c r="M240" s="116">
        <v>732.4</v>
      </c>
      <c r="N240" s="116">
        <v>765.85</v>
      </c>
      <c r="O240" s="116">
        <v>726</v>
      </c>
      <c r="P240" s="116">
        <v>754.4</v>
      </c>
      <c r="Q240" s="116">
        <v>732.4</v>
      </c>
      <c r="R240">
        <v>534428</v>
      </c>
    </row>
    <row r="241" spans="1:18" x14ac:dyDescent="0.25">
      <c r="A241" s="170">
        <v>45467</v>
      </c>
      <c r="B241" s="116">
        <v>749.9</v>
      </c>
      <c r="C241" s="116">
        <v>744.3</v>
      </c>
      <c r="D241" s="116">
        <v>725.8</v>
      </c>
      <c r="E241" s="116">
        <v>743.8</v>
      </c>
      <c r="F241" s="116">
        <v>744.3</v>
      </c>
      <c r="G241">
        <v>19036</v>
      </c>
      <c r="H241" s="116"/>
      <c r="I241" s="116"/>
      <c r="L241" s="170">
        <v>45467</v>
      </c>
      <c r="M241" s="116">
        <v>744.7</v>
      </c>
      <c r="N241" s="116">
        <v>749.7</v>
      </c>
      <c r="O241" s="116">
        <v>725.2</v>
      </c>
      <c r="P241" s="116">
        <v>737.65</v>
      </c>
      <c r="Q241" s="116">
        <v>744.7</v>
      </c>
      <c r="R241">
        <v>636555</v>
      </c>
    </row>
    <row r="242" spans="1:18" x14ac:dyDescent="0.25">
      <c r="A242" s="170">
        <v>45468</v>
      </c>
      <c r="B242" s="116">
        <v>759.3</v>
      </c>
      <c r="C242" s="116">
        <v>742.6</v>
      </c>
      <c r="D242" s="116">
        <v>737.5</v>
      </c>
      <c r="E242" s="116">
        <v>752</v>
      </c>
      <c r="F242" s="116">
        <v>742.6</v>
      </c>
      <c r="G242">
        <v>20090</v>
      </c>
      <c r="H242" s="116"/>
      <c r="I242" s="116"/>
      <c r="L242" s="170">
        <v>45468</v>
      </c>
      <c r="M242" s="116">
        <v>740.75</v>
      </c>
      <c r="N242" s="116">
        <v>759</v>
      </c>
      <c r="O242" s="116">
        <v>728.15</v>
      </c>
      <c r="P242" s="116">
        <v>748.2</v>
      </c>
      <c r="Q242" s="116">
        <v>740.75</v>
      </c>
      <c r="R242">
        <v>410460</v>
      </c>
    </row>
    <row r="243" spans="1:18" x14ac:dyDescent="0.25">
      <c r="A243" s="170">
        <v>45469</v>
      </c>
      <c r="B243" s="116">
        <v>754.45</v>
      </c>
      <c r="C243" s="116">
        <v>740.3</v>
      </c>
      <c r="D243" s="116">
        <v>737.6</v>
      </c>
      <c r="E243" s="116">
        <v>754.45</v>
      </c>
      <c r="F243" s="116">
        <v>740.3</v>
      </c>
      <c r="G243">
        <v>27953</v>
      </c>
      <c r="H243" s="116"/>
      <c r="I243" s="116"/>
      <c r="L243" s="170">
        <v>45469</v>
      </c>
      <c r="M243" s="116">
        <v>740.3</v>
      </c>
      <c r="N243" s="116">
        <v>751.55</v>
      </c>
      <c r="O243" s="116">
        <v>737.3</v>
      </c>
      <c r="P243" s="116">
        <v>747.55</v>
      </c>
      <c r="Q243" s="116">
        <v>740.3</v>
      </c>
      <c r="R243">
        <v>175427</v>
      </c>
    </row>
    <row r="244" spans="1:18" x14ac:dyDescent="0.25">
      <c r="A244" s="170">
        <v>45470</v>
      </c>
      <c r="B244" s="116">
        <v>762</v>
      </c>
      <c r="C244" s="116">
        <v>740</v>
      </c>
      <c r="D244" s="116">
        <v>730.8</v>
      </c>
      <c r="E244" s="116">
        <v>730.8</v>
      </c>
      <c r="F244" s="116">
        <v>740</v>
      </c>
      <c r="G244">
        <v>50278</v>
      </c>
      <c r="H244" s="116"/>
      <c r="I244" s="116"/>
      <c r="L244" s="170">
        <v>45470</v>
      </c>
      <c r="M244" s="116">
        <v>740.15</v>
      </c>
      <c r="N244" s="116">
        <v>761.8</v>
      </c>
      <c r="O244" s="116">
        <v>734.8</v>
      </c>
      <c r="P244" s="116">
        <v>737.4</v>
      </c>
      <c r="Q244" s="116">
        <v>740.15</v>
      </c>
      <c r="R244">
        <v>583072</v>
      </c>
    </row>
    <row r="245" spans="1:18" x14ac:dyDescent="0.25">
      <c r="A245" s="170">
        <v>45471</v>
      </c>
      <c r="B245" s="116">
        <v>749.35</v>
      </c>
      <c r="C245" s="116">
        <v>742.1</v>
      </c>
      <c r="D245" s="116">
        <v>733.4</v>
      </c>
      <c r="E245" s="116">
        <v>733.4</v>
      </c>
      <c r="F245" s="116">
        <v>742.1</v>
      </c>
      <c r="G245">
        <v>14664</v>
      </c>
      <c r="H245" s="116"/>
      <c r="I245" s="116"/>
      <c r="L245" s="170">
        <v>45471</v>
      </c>
      <c r="M245" s="116">
        <v>747.25</v>
      </c>
      <c r="N245" s="116">
        <v>749.5</v>
      </c>
      <c r="O245" s="116">
        <v>735.4</v>
      </c>
      <c r="P245" s="116">
        <v>737</v>
      </c>
      <c r="Q245" s="116">
        <v>747.25</v>
      </c>
      <c r="R245">
        <v>507110</v>
      </c>
    </row>
    <row r="246" spans="1:18" x14ac:dyDescent="0.25">
      <c r="A246" s="170">
        <v>45474</v>
      </c>
      <c r="B246" s="116">
        <v>751.65</v>
      </c>
      <c r="C246" s="116">
        <v>749.4</v>
      </c>
      <c r="D246" s="116">
        <v>736.85</v>
      </c>
      <c r="E246" s="116">
        <v>743</v>
      </c>
      <c r="F246" s="116">
        <v>749.4</v>
      </c>
      <c r="G246">
        <v>10581</v>
      </c>
      <c r="H246" s="116"/>
      <c r="I246" s="116"/>
      <c r="L246" s="170">
        <v>45474</v>
      </c>
      <c r="M246" s="116">
        <v>749.25</v>
      </c>
      <c r="N246" s="116">
        <v>751</v>
      </c>
      <c r="O246" s="116">
        <v>735.4</v>
      </c>
      <c r="P246" s="116">
        <v>747</v>
      </c>
      <c r="Q246" s="116">
        <v>749.25</v>
      </c>
      <c r="R246">
        <v>220553</v>
      </c>
    </row>
    <row r="247" spans="1:18" x14ac:dyDescent="0.25">
      <c r="A247" s="170">
        <v>45475</v>
      </c>
      <c r="B247" s="116">
        <v>772.55</v>
      </c>
      <c r="C247" s="116">
        <v>752.95</v>
      </c>
      <c r="D247" s="116">
        <v>750.15</v>
      </c>
      <c r="E247" s="116">
        <v>758.05</v>
      </c>
      <c r="F247" s="116">
        <v>752.95</v>
      </c>
      <c r="G247">
        <v>43615</v>
      </c>
      <c r="H247" s="116"/>
      <c r="I247" s="116"/>
      <c r="L247" s="170">
        <v>45475</v>
      </c>
      <c r="M247" s="116">
        <v>752.4</v>
      </c>
      <c r="N247" s="116">
        <v>772</v>
      </c>
      <c r="O247" s="116">
        <v>749.5</v>
      </c>
      <c r="P247" s="116">
        <v>754</v>
      </c>
      <c r="Q247" s="116">
        <v>752.4</v>
      </c>
      <c r="R247">
        <v>356304</v>
      </c>
    </row>
    <row r="248" spans="1:18" x14ac:dyDescent="0.25">
      <c r="A248" s="170">
        <v>45476</v>
      </c>
      <c r="B248" s="116">
        <v>765</v>
      </c>
      <c r="C248" s="116">
        <v>759.35</v>
      </c>
      <c r="D248" s="116">
        <v>750.2</v>
      </c>
      <c r="E248" s="116">
        <v>760</v>
      </c>
      <c r="F248" s="116">
        <v>759.35</v>
      </c>
      <c r="G248">
        <v>27050</v>
      </c>
      <c r="H248" s="116"/>
      <c r="I248" s="116"/>
      <c r="L248" s="170">
        <v>45476</v>
      </c>
      <c r="M248" s="116">
        <v>759.7</v>
      </c>
      <c r="N248" s="116">
        <v>765</v>
      </c>
      <c r="O248" s="116">
        <v>750.8</v>
      </c>
      <c r="P248" s="116">
        <v>756.95</v>
      </c>
      <c r="Q248" s="116">
        <v>759.7</v>
      </c>
      <c r="R248">
        <v>162681</v>
      </c>
    </row>
    <row r="249" spans="1:18" x14ac:dyDescent="0.25">
      <c r="A249" s="170">
        <v>45477</v>
      </c>
      <c r="B249" s="116">
        <v>777.45</v>
      </c>
      <c r="C249" s="116">
        <v>775.05</v>
      </c>
      <c r="D249" s="116">
        <v>755</v>
      </c>
      <c r="E249" s="116">
        <v>755</v>
      </c>
      <c r="F249" s="116">
        <v>775.05</v>
      </c>
      <c r="G249">
        <v>9468</v>
      </c>
      <c r="H249" s="116"/>
      <c r="I249" s="116"/>
      <c r="L249" s="170">
        <v>45477</v>
      </c>
      <c r="M249" s="116">
        <v>775</v>
      </c>
      <c r="N249" s="116">
        <v>777.7</v>
      </c>
      <c r="O249" s="116">
        <v>756</v>
      </c>
      <c r="P249" s="116">
        <v>764.95</v>
      </c>
      <c r="Q249" s="116">
        <v>775</v>
      </c>
      <c r="R249">
        <v>305399</v>
      </c>
    </row>
    <row r="250" spans="1:18" x14ac:dyDescent="0.25">
      <c r="A250" s="170">
        <v>45478</v>
      </c>
      <c r="B250" s="116">
        <v>789</v>
      </c>
      <c r="C250" s="116">
        <v>785.7</v>
      </c>
      <c r="D250" s="116">
        <v>764.25</v>
      </c>
      <c r="E250" s="116">
        <v>779.95</v>
      </c>
      <c r="F250" s="116">
        <v>785.7</v>
      </c>
      <c r="G250">
        <v>37927</v>
      </c>
      <c r="H250" s="116"/>
      <c r="I250" s="116"/>
      <c r="L250" s="170">
        <v>45478</v>
      </c>
      <c r="M250" s="116">
        <v>785.8</v>
      </c>
      <c r="N250" s="116">
        <v>788.95</v>
      </c>
      <c r="O250" s="116">
        <v>765.1</v>
      </c>
      <c r="P250" s="116">
        <v>777.65</v>
      </c>
      <c r="Q250" s="116">
        <v>785.8</v>
      </c>
      <c r="R250">
        <v>299132</v>
      </c>
    </row>
    <row r="251" spans="1:18" x14ac:dyDescent="0.25">
      <c r="A251" s="170">
        <v>45481</v>
      </c>
      <c r="B251" s="116">
        <v>795.15</v>
      </c>
      <c r="C251" s="116">
        <v>772.85</v>
      </c>
      <c r="D251" s="116">
        <v>766.4</v>
      </c>
      <c r="E251" s="116">
        <v>790.05</v>
      </c>
      <c r="F251" s="116">
        <v>772.85</v>
      </c>
      <c r="G251">
        <v>21222</v>
      </c>
      <c r="H251" s="116"/>
      <c r="I251" s="116"/>
      <c r="L251" s="170">
        <v>45481</v>
      </c>
      <c r="M251" s="116">
        <v>772.35</v>
      </c>
      <c r="N251" s="116">
        <v>795.3</v>
      </c>
      <c r="O251" s="116">
        <v>766.05</v>
      </c>
      <c r="P251" s="116">
        <v>791.95</v>
      </c>
      <c r="Q251" s="116">
        <v>772.35</v>
      </c>
      <c r="R251">
        <v>200592</v>
      </c>
    </row>
    <row r="252" spans="1:18" x14ac:dyDescent="0.25">
      <c r="A252" s="170">
        <v>45482</v>
      </c>
      <c r="B252" s="116">
        <v>792.4</v>
      </c>
      <c r="C252" s="116">
        <v>764</v>
      </c>
      <c r="D252" s="116">
        <v>760.3</v>
      </c>
      <c r="E252" s="116">
        <v>775</v>
      </c>
      <c r="F252" s="116">
        <v>764</v>
      </c>
      <c r="G252">
        <v>31363</v>
      </c>
      <c r="H252" s="116"/>
      <c r="I252" s="116"/>
      <c r="L252" s="170">
        <v>45482</v>
      </c>
      <c r="M252" s="116">
        <v>766.95</v>
      </c>
      <c r="N252" s="116">
        <v>792</v>
      </c>
      <c r="O252" s="116">
        <v>760</v>
      </c>
      <c r="P252" s="116">
        <v>781</v>
      </c>
      <c r="Q252" s="116">
        <v>766.95</v>
      </c>
      <c r="R252">
        <v>686962</v>
      </c>
    </row>
    <row r="253" spans="1:18" x14ac:dyDescent="0.25">
      <c r="A253" s="170">
        <v>45483</v>
      </c>
      <c r="B253" s="116">
        <v>776.65</v>
      </c>
      <c r="C253" s="116">
        <v>751.85</v>
      </c>
      <c r="D253" s="116">
        <v>737.65</v>
      </c>
      <c r="E253" s="116">
        <v>764</v>
      </c>
      <c r="F253" s="116">
        <v>751.85</v>
      </c>
      <c r="G253">
        <v>33567</v>
      </c>
      <c r="H253" s="116"/>
      <c r="I253" s="116"/>
      <c r="L253" s="170">
        <v>45483</v>
      </c>
      <c r="M253" s="116">
        <v>750.3</v>
      </c>
      <c r="N253" s="116">
        <v>777</v>
      </c>
      <c r="O253" s="116">
        <v>735.7</v>
      </c>
      <c r="P253" s="116">
        <v>771.95</v>
      </c>
      <c r="Q253" s="116">
        <v>750.3</v>
      </c>
      <c r="R253">
        <v>847696</v>
      </c>
    </row>
    <row r="254" spans="1:18" x14ac:dyDescent="0.25">
      <c r="A254" s="170">
        <v>45484</v>
      </c>
      <c r="B254" s="116">
        <v>789.55</v>
      </c>
      <c r="C254" s="116">
        <v>784.75</v>
      </c>
      <c r="D254" s="116">
        <v>766.2</v>
      </c>
      <c r="E254" s="116">
        <v>767.2</v>
      </c>
      <c r="F254" s="116">
        <v>784.75</v>
      </c>
      <c r="G254">
        <v>70304</v>
      </c>
      <c r="H254" s="116"/>
      <c r="I254" s="116"/>
      <c r="L254" s="170">
        <v>45484</v>
      </c>
      <c r="M254" s="116">
        <v>785.1</v>
      </c>
      <c r="N254" s="116">
        <v>789.65</v>
      </c>
      <c r="O254" s="116">
        <v>765.95</v>
      </c>
      <c r="P254" s="116">
        <v>768</v>
      </c>
      <c r="Q254" s="116">
        <v>785.1</v>
      </c>
      <c r="R254">
        <v>551315</v>
      </c>
    </row>
    <row r="255" spans="1:18" x14ac:dyDescent="0.25">
      <c r="A255" s="170">
        <v>45485</v>
      </c>
      <c r="B255" s="116">
        <v>795</v>
      </c>
      <c r="C255" s="116">
        <v>765.05</v>
      </c>
      <c r="D255" s="116">
        <v>759.95</v>
      </c>
      <c r="E255" s="116">
        <v>795</v>
      </c>
      <c r="F255" s="116">
        <v>765.05</v>
      </c>
      <c r="G255">
        <v>217407</v>
      </c>
      <c r="H255" s="116"/>
      <c r="I255" s="116"/>
      <c r="L255" s="170">
        <v>45485</v>
      </c>
      <c r="M255" s="116">
        <v>765.65</v>
      </c>
      <c r="N255" s="116">
        <v>790</v>
      </c>
      <c r="O255" s="116">
        <v>760</v>
      </c>
      <c r="P255" s="116">
        <v>790</v>
      </c>
      <c r="Q255" s="116">
        <v>765.65</v>
      </c>
      <c r="R255">
        <v>565412</v>
      </c>
    </row>
    <row r="256" spans="1:18" x14ac:dyDescent="0.25">
      <c r="A256" s="170">
        <v>45488</v>
      </c>
      <c r="B256" s="116">
        <v>780.25</v>
      </c>
      <c r="C256" s="116">
        <v>754.55</v>
      </c>
      <c r="D256" s="116">
        <v>749.95</v>
      </c>
      <c r="E256" s="116">
        <v>779.95</v>
      </c>
      <c r="F256" s="116">
        <v>754.55</v>
      </c>
      <c r="G256">
        <v>14837</v>
      </c>
      <c r="H256" s="116"/>
      <c r="I256" s="116"/>
      <c r="L256" s="170">
        <v>45488</v>
      </c>
      <c r="M256" s="116">
        <v>753.6</v>
      </c>
      <c r="N256" s="116">
        <v>782</v>
      </c>
      <c r="O256" s="116">
        <v>749</v>
      </c>
      <c r="P256" s="116">
        <v>775</v>
      </c>
      <c r="Q256" s="116">
        <v>753.6</v>
      </c>
      <c r="R256">
        <v>266807</v>
      </c>
    </row>
    <row r="257" spans="1:18" x14ac:dyDescent="0.25">
      <c r="A257" s="170">
        <v>45489</v>
      </c>
      <c r="B257" s="116">
        <v>788.85</v>
      </c>
      <c r="C257" s="116">
        <v>781.7</v>
      </c>
      <c r="D257" s="116">
        <v>752.2</v>
      </c>
      <c r="E257" s="116">
        <v>752.2</v>
      </c>
      <c r="F257" s="116">
        <v>781.7</v>
      </c>
      <c r="G257">
        <v>49516</v>
      </c>
      <c r="H257" s="116"/>
      <c r="I257" s="116"/>
      <c r="L257" s="170">
        <v>45489</v>
      </c>
      <c r="M257" s="116">
        <v>782.15</v>
      </c>
      <c r="N257" s="116">
        <v>788.8</v>
      </c>
      <c r="O257" s="116">
        <v>754.1</v>
      </c>
      <c r="P257" s="116">
        <v>754.1</v>
      </c>
      <c r="Q257" s="116">
        <v>782.15</v>
      </c>
      <c r="R257">
        <v>538396</v>
      </c>
    </row>
    <row r="258" spans="1:18" x14ac:dyDescent="0.25">
      <c r="A258" s="170">
        <v>45491</v>
      </c>
      <c r="B258" s="116">
        <v>799.2</v>
      </c>
      <c r="C258" s="116">
        <v>790.55</v>
      </c>
      <c r="D258" s="116">
        <v>770</v>
      </c>
      <c r="E258" s="116">
        <v>788</v>
      </c>
      <c r="F258" s="116">
        <v>790.55</v>
      </c>
      <c r="G258">
        <v>26868</v>
      </c>
      <c r="H258" s="116"/>
      <c r="I258" s="116"/>
      <c r="L258" s="170">
        <v>45491</v>
      </c>
      <c r="M258" s="116">
        <v>791.5</v>
      </c>
      <c r="N258" s="116">
        <v>799</v>
      </c>
      <c r="O258" s="116">
        <v>770.1</v>
      </c>
      <c r="P258" s="116">
        <v>780</v>
      </c>
      <c r="Q258" s="116">
        <v>791.5</v>
      </c>
      <c r="R258">
        <v>706855</v>
      </c>
    </row>
    <row r="259" spans="1:18" x14ac:dyDescent="0.25">
      <c r="A259" s="170">
        <v>45492</v>
      </c>
      <c r="B259" s="116">
        <v>803.55</v>
      </c>
      <c r="C259" s="116">
        <v>762.95</v>
      </c>
      <c r="D259" s="116">
        <v>759</v>
      </c>
      <c r="E259" s="116">
        <v>803.55</v>
      </c>
      <c r="F259" s="116">
        <v>762.95</v>
      </c>
      <c r="G259">
        <v>24072</v>
      </c>
      <c r="H259" s="116"/>
      <c r="I259" s="116"/>
      <c r="L259" s="170">
        <v>45492</v>
      </c>
      <c r="M259" s="116">
        <v>762.75</v>
      </c>
      <c r="N259" s="116">
        <v>798.45</v>
      </c>
      <c r="O259" s="116">
        <v>758.9</v>
      </c>
      <c r="P259" s="116">
        <v>798.45</v>
      </c>
      <c r="Q259" s="116">
        <v>762.75</v>
      </c>
      <c r="R259">
        <v>596002</v>
      </c>
    </row>
    <row r="260" spans="1:18" x14ac:dyDescent="0.25">
      <c r="A260" s="170">
        <v>45495</v>
      </c>
      <c r="B260" s="116">
        <v>788</v>
      </c>
      <c r="C260" s="116">
        <v>765.3</v>
      </c>
      <c r="D260" s="116">
        <v>745.15</v>
      </c>
      <c r="E260" s="116">
        <v>745.15</v>
      </c>
      <c r="F260" s="116">
        <v>765.3</v>
      </c>
      <c r="G260">
        <v>43488</v>
      </c>
      <c r="H260" s="116"/>
      <c r="I260" s="116"/>
      <c r="L260" s="170">
        <v>45495</v>
      </c>
      <c r="M260" s="116">
        <v>765.8</v>
      </c>
      <c r="N260" s="116">
        <v>787.8</v>
      </c>
      <c r="O260" s="116">
        <v>756.45</v>
      </c>
      <c r="P260" s="116">
        <v>757</v>
      </c>
      <c r="Q260" s="116">
        <v>765.8</v>
      </c>
      <c r="R260">
        <v>379750</v>
      </c>
    </row>
    <row r="261" spans="1:18" x14ac:dyDescent="0.25">
      <c r="A261" s="170">
        <v>45496</v>
      </c>
      <c r="B261" s="116">
        <v>767</v>
      </c>
      <c r="C261" s="116">
        <v>751.95</v>
      </c>
      <c r="D261" s="116">
        <v>725.45</v>
      </c>
      <c r="E261" s="116">
        <v>766.95</v>
      </c>
      <c r="F261" s="116">
        <v>751.95</v>
      </c>
      <c r="G261">
        <v>56955</v>
      </c>
      <c r="H261" s="116"/>
      <c r="I261" s="116"/>
      <c r="L261" s="170">
        <v>45496</v>
      </c>
      <c r="M261" s="116">
        <v>751.65</v>
      </c>
      <c r="N261" s="116">
        <v>768.95</v>
      </c>
      <c r="O261" s="116">
        <v>726</v>
      </c>
      <c r="P261" s="116">
        <v>765.8</v>
      </c>
      <c r="Q261" s="116">
        <v>751.65</v>
      </c>
      <c r="R261">
        <v>1222314</v>
      </c>
    </row>
    <row r="262" spans="1:18" x14ac:dyDescent="0.25">
      <c r="A262" s="170">
        <v>45497</v>
      </c>
      <c r="B262" s="116">
        <v>779</v>
      </c>
      <c r="C262" s="116">
        <v>775.8</v>
      </c>
      <c r="D262" s="116">
        <v>752.55</v>
      </c>
      <c r="E262" s="116">
        <v>763.95</v>
      </c>
      <c r="F262" s="116">
        <v>775.8</v>
      </c>
      <c r="G262">
        <v>53912</v>
      </c>
      <c r="H262" s="116"/>
      <c r="I262" s="116"/>
      <c r="L262" s="170">
        <v>45497</v>
      </c>
      <c r="M262" s="116">
        <v>776.15</v>
      </c>
      <c r="N262" s="116">
        <v>779</v>
      </c>
      <c r="O262" s="116">
        <v>753.3</v>
      </c>
      <c r="P262" s="116">
        <v>759.55</v>
      </c>
      <c r="Q262" s="116">
        <v>776.15</v>
      </c>
      <c r="R262">
        <v>577270</v>
      </c>
    </row>
    <row r="263" spans="1:18" x14ac:dyDescent="0.25">
      <c r="A263" s="170">
        <v>45498</v>
      </c>
      <c r="B263" s="116">
        <v>778</v>
      </c>
      <c r="C263" s="116">
        <v>771.5</v>
      </c>
      <c r="D263" s="116">
        <v>755</v>
      </c>
      <c r="E263" s="116">
        <v>764.2</v>
      </c>
      <c r="F263" s="116">
        <v>771.5</v>
      </c>
      <c r="G263">
        <v>14757</v>
      </c>
      <c r="H263" s="116"/>
      <c r="I263" s="116"/>
      <c r="L263" s="170">
        <v>45498</v>
      </c>
      <c r="M263" s="116">
        <v>771.35</v>
      </c>
      <c r="N263" s="116">
        <v>777.9</v>
      </c>
      <c r="O263" s="116">
        <v>755</v>
      </c>
      <c r="P263" s="116">
        <v>765</v>
      </c>
      <c r="Q263" s="116">
        <v>771.35</v>
      </c>
      <c r="R263">
        <v>369540</v>
      </c>
    </row>
    <row r="264" spans="1:18" x14ac:dyDescent="0.25">
      <c r="A264" s="170">
        <v>45499</v>
      </c>
      <c r="B264" s="116">
        <v>784</v>
      </c>
      <c r="C264" s="116">
        <v>775.75</v>
      </c>
      <c r="D264" s="116">
        <v>767.95</v>
      </c>
      <c r="E264" s="116">
        <v>776.05</v>
      </c>
      <c r="F264" s="116">
        <v>775.75</v>
      </c>
      <c r="G264">
        <v>27024</v>
      </c>
      <c r="H264" s="116"/>
      <c r="I264" s="116"/>
      <c r="L264" s="170">
        <v>45499</v>
      </c>
      <c r="M264" s="116">
        <v>775.95</v>
      </c>
      <c r="N264" s="116">
        <v>784</v>
      </c>
      <c r="O264" s="116">
        <v>768.25</v>
      </c>
      <c r="P264" s="116">
        <v>779.8</v>
      </c>
      <c r="Q264" s="116">
        <v>775.95</v>
      </c>
      <c r="R264">
        <v>224280</v>
      </c>
    </row>
    <row r="265" spans="1:18" x14ac:dyDescent="0.25">
      <c r="A265" s="170">
        <v>45502</v>
      </c>
      <c r="B265" s="116">
        <v>872.55</v>
      </c>
      <c r="C265" s="116">
        <v>818.65</v>
      </c>
      <c r="D265" s="116">
        <v>755.45</v>
      </c>
      <c r="E265" s="116">
        <v>775.05</v>
      </c>
      <c r="F265" s="116">
        <v>818.65</v>
      </c>
      <c r="G265">
        <v>58850</v>
      </c>
      <c r="H265" s="116"/>
      <c r="I265" s="116"/>
      <c r="L265" s="170">
        <v>45502</v>
      </c>
      <c r="M265" s="116">
        <v>817.85</v>
      </c>
      <c r="N265" s="116">
        <v>870</v>
      </c>
      <c r="O265" s="116">
        <v>755.25</v>
      </c>
      <c r="P265" s="116">
        <v>775.9</v>
      </c>
      <c r="Q265" s="116">
        <v>817.85</v>
      </c>
      <c r="R265">
        <v>1565063</v>
      </c>
    </row>
    <row r="266" spans="1:18" x14ac:dyDescent="0.25">
      <c r="A266" s="170">
        <v>45503</v>
      </c>
      <c r="B266" s="116">
        <v>836.85</v>
      </c>
      <c r="C266" s="116">
        <v>824.35</v>
      </c>
      <c r="D266" s="116">
        <v>816.4</v>
      </c>
      <c r="E266" s="116">
        <v>828</v>
      </c>
      <c r="F266" s="116">
        <v>824.35</v>
      </c>
      <c r="G266">
        <v>48978</v>
      </c>
      <c r="H266" s="116"/>
      <c r="I266" s="116"/>
      <c r="L266" s="170">
        <v>45503</v>
      </c>
      <c r="M266" s="116">
        <v>824</v>
      </c>
      <c r="N266" s="116">
        <v>837</v>
      </c>
      <c r="O266" s="116">
        <v>816</v>
      </c>
      <c r="P266" s="116">
        <v>825</v>
      </c>
      <c r="Q266" s="116">
        <v>824</v>
      </c>
      <c r="R266">
        <v>383269</v>
      </c>
    </row>
    <row r="267" spans="1:18" x14ac:dyDescent="0.25">
      <c r="A267" s="170">
        <v>45504</v>
      </c>
      <c r="B267" s="116">
        <v>828.35</v>
      </c>
      <c r="C267" s="116">
        <v>805.55</v>
      </c>
      <c r="D267" s="116">
        <v>798.75</v>
      </c>
      <c r="E267" s="116">
        <v>825.05</v>
      </c>
      <c r="F267" s="116">
        <v>805.55</v>
      </c>
      <c r="G267">
        <v>33074</v>
      </c>
      <c r="H267" s="116"/>
      <c r="I267" s="116"/>
      <c r="L267" s="170">
        <v>45504</v>
      </c>
      <c r="M267" s="116">
        <v>806.15</v>
      </c>
      <c r="N267" s="116">
        <v>829.9</v>
      </c>
      <c r="O267" s="116">
        <v>802</v>
      </c>
      <c r="P267" s="116">
        <v>829.6</v>
      </c>
      <c r="Q267" s="116">
        <v>806.15</v>
      </c>
      <c r="R267">
        <v>253421</v>
      </c>
    </row>
    <row r="268" spans="1:18" x14ac:dyDescent="0.25">
      <c r="A268" s="170">
        <v>45505</v>
      </c>
      <c r="B268" s="116">
        <v>816</v>
      </c>
      <c r="C268" s="116">
        <v>801.2</v>
      </c>
      <c r="D268" s="116">
        <v>793.4</v>
      </c>
      <c r="E268" s="116">
        <v>805</v>
      </c>
      <c r="F268" s="116">
        <v>801.2</v>
      </c>
      <c r="G268">
        <v>14752</v>
      </c>
      <c r="H268" s="116"/>
      <c r="I268" s="116"/>
      <c r="L268" s="170">
        <v>45505</v>
      </c>
      <c r="M268" s="116">
        <v>800</v>
      </c>
      <c r="N268" s="116">
        <v>816.9</v>
      </c>
      <c r="O268" s="116">
        <v>793</v>
      </c>
      <c r="P268" s="116">
        <v>804.5</v>
      </c>
      <c r="Q268" s="116">
        <v>800</v>
      </c>
      <c r="R268">
        <v>420240</v>
      </c>
    </row>
    <row r="269" spans="1:18" x14ac:dyDescent="0.25">
      <c r="A269" s="170">
        <v>45506</v>
      </c>
      <c r="B269" s="116">
        <v>795.7</v>
      </c>
      <c r="C269" s="116">
        <v>784.45</v>
      </c>
      <c r="D269" s="116">
        <v>780.05</v>
      </c>
      <c r="E269" s="116">
        <v>781.4</v>
      </c>
      <c r="F269" s="116">
        <v>784.45</v>
      </c>
      <c r="G269">
        <v>26442</v>
      </c>
      <c r="H269" s="116"/>
      <c r="I269" s="116"/>
      <c r="L269" s="170">
        <v>45506</v>
      </c>
      <c r="M269" s="116">
        <v>784.6</v>
      </c>
      <c r="N269" s="116">
        <v>795.65</v>
      </c>
      <c r="O269" s="116">
        <v>781.1</v>
      </c>
      <c r="P269" s="116">
        <v>786</v>
      </c>
      <c r="Q269" s="116">
        <v>784.6</v>
      </c>
      <c r="R269">
        <v>186225</v>
      </c>
    </row>
    <row r="270" spans="1:18" x14ac:dyDescent="0.25">
      <c r="A270" s="170">
        <v>45509</v>
      </c>
      <c r="B270" s="116">
        <v>775.15</v>
      </c>
      <c r="C270" s="116">
        <v>750.3</v>
      </c>
      <c r="D270" s="116">
        <v>741.55</v>
      </c>
      <c r="E270" s="116">
        <v>751.55</v>
      </c>
      <c r="F270" s="116">
        <v>750.3</v>
      </c>
      <c r="G270">
        <v>29061</v>
      </c>
      <c r="H270" s="116"/>
      <c r="I270" s="116"/>
      <c r="L270" s="170">
        <v>45509</v>
      </c>
      <c r="M270" s="116">
        <v>750.75</v>
      </c>
      <c r="N270" s="116">
        <v>776</v>
      </c>
      <c r="O270" s="116">
        <v>741.55</v>
      </c>
      <c r="P270" s="116">
        <v>764</v>
      </c>
      <c r="Q270" s="116">
        <v>750.75</v>
      </c>
      <c r="R270">
        <v>414946</v>
      </c>
    </row>
    <row r="271" spans="1:18" x14ac:dyDescent="0.25">
      <c r="A271" s="170">
        <v>45510</v>
      </c>
      <c r="B271" s="116">
        <v>779.4</v>
      </c>
      <c r="C271" s="116">
        <v>752</v>
      </c>
      <c r="D271" s="116">
        <v>745.2</v>
      </c>
      <c r="E271" s="116">
        <v>745.2</v>
      </c>
      <c r="F271" s="116">
        <v>752</v>
      </c>
      <c r="G271">
        <v>23741</v>
      </c>
      <c r="H271" s="116"/>
      <c r="I271" s="116"/>
      <c r="L271" s="170">
        <v>45510</v>
      </c>
      <c r="M271" s="116">
        <v>752.9</v>
      </c>
      <c r="N271" s="116">
        <v>779</v>
      </c>
      <c r="O271" s="116">
        <v>748</v>
      </c>
      <c r="P271" s="116">
        <v>755</v>
      </c>
      <c r="Q271" s="116">
        <v>752.9</v>
      </c>
      <c r="R271">
        <v>282041</v>
      </c>
    </row>
    <row r="272" spans="1:18" x14ac:dyDescent="0.25">
      <c r="A272" s="170">
        <v>45511</v>
      </c>
      <c r="B272" s="116">
        <v>779.3</v>
      </c>
      <c r="C272" s="116">
        <v>776.65</v>
      </c>
      <c r="D272" s="116">
        <v>756.5</v>
      </c>
      <c r="E272" s="116">
        <v>770</v>
      </c>
      <c r="F272" s="116">
        <v>776.65</v>
      </c>
      <c r="G272">
        <v>8973</v>
      </c>
      <c r="H272" s="116"/>
      <c r="I272" s="116"/>
      <c r="L272" s="170">
        <v>45511</v>
      </c>
      <c r="M272" s="116">
        <v>777.2</v>
      </c>
      <c r="N272" s="116">
        <v>780</v>
      </c>
      <c r="O272" s="116">
        <v>756.3</v>
      </c>
      <c r="P272" s="116">
        <v>759.9</v>
      </c>
      <c r="Q272" s="116">
        <v>777.2</v>
      </c>
      <c r="R272">
        <v>128923</v>
      </c>
    </row>
    <row r="273" spans="1:18" x14ac:dyDescent="0.25">
      <c r="A273" s="170">
        <v>45512</v>
      </c>
      <c r="B273" s="116">
        <v>777.55</v>
      </c>
      <c r="C273" s="116">
        <v>767.95</v>
      </c>
      <c r="D273" s="116">
        <v>765.75</v>
      </c>
      <c r="E273" s="116">
        <v>776.65</v>
      </c>
      <c r="F273" s="116">
        <v>767.95</v>
      </c>
      <c r="G273">
        <v>7109</v>
      </c>
      <c r="H273" s="116"/>
      <c r="I273" s="116"/>
      <c r="L273" s="170">
        <v>45512</v>
      </c>
      <c r="M273" s="116">
        <v>768.45</v>
      </c>
      <c r="N273" s="116">
        <v>777.2</v>
      </c>
      <c r="O273" s="116">
        <v>765.35</v>
      </c>
      <c r="P273" s="116">
        <v>775.1</v>
      </c>
      <c r="Q273" s="116">
        <v>768.45</v>
      </c>
      <c r="R273">
        <v>98598</v>
      </c>
    </row>
    <row r="274" spans="1:18" x14ac:dyDescent="0.25">
      <c r="A274" s="170">
        <v>45513</v>
      </c>
      <c r="B274" s="116">
        <v>777.65</v>
      </c>
      <c r="C274" s="116">
        <v>768.45</v>
      </c>
      <c r="D274" s="116">
        <v>765.75</v>
      </c>
      <c r="E274" s="116">
        <v>768</v>
      </c>
      <c r="F274" s="116">
        <v>768.45</v>
      </c>
      <c r="G274">
        <v>6109</v>
      </c>
      <c r="H274" s="116"/>
      <c r="I274" s="116"/>
      <c r="L274" s="170">
        <v>45513</v>
      </c>
      <c r="M274" s="116">
        <v>769.5</v>
      </c>
      <c r="N274" s="116">
        <v>780</v>
      </c>
      <c r="O274" s="116">
        <v>765.15</v>
      </c>
      <c r="P274" s="116">
        <v>777</v>
      </c>
      <c r="Q274" s="116">
        <v>769.5</v>
      </c>
      <c r="R274">
        <v>84322</v>
      </c>
    </row>
    <row r="275" spans="1:18" x14ac:dyDescent="0.25">
      <c r="A275" s="170">
        <v>45516</v>
      </c>
      <c r="B275" s="116">
        <v>787.8</v>
      </c>
      <c r="C275" s="116">
        <v>780.05</v>
      </c>
      <c r="D275" s="116">
        <v>747.8</v>
      </c>
      <c r="E275" s="116">
        <v>775</v>
      </c>
      <c r="F275" s="116">
        <v>780.05</v>
      </c>
      <c r="G275">
        <v>9999</v>
      </c>
      <c r="H275" s="116"/>
      <c r="I275" s="116"/>
      <c r="L275" s="170">
        <v>45516</v>
      </c>
      <c r="M275" s="116">
        <v>779.75</v>
      </c>
      <c r="N275" s="116">
        <v>788.45</v>
      </c>
      <c r="O275" s="116">
        <v>747.7</v>
      </c>
      <c r="P275" s="116">
        <v>764</v>
      </c>
      <c r="Q275" s="116">
        <v>779.75</v>
      </c>
      <c r="R275">
        <v>156280</v>
      </c>
    </row>
    <row r="276" spans="1:18" x14ac:dyDescent="0.25">
      <c r="A276" s="170">
        <v>45517</v>
      </c>
      <c r="B276" s="116">
        <v>791.95</v>
      </c>
      <c r="C276" s="116">
        <v>770.15</v>
      </c>
      <c r="D276" s="116">
        <v>766.15</v>
      </c>
      <c r="E276" s="116">
        <v>780.05</v>
      </c>
      <c r="F276" s="116">
        <v>770.15</v>
      </c>
      <c r="G276">
        <v>14469</v>
      </c>
      <c r="H276" s="116"/>
      <c r="I276" s="116"/>
      <c r="L276" s="170">
        <v>45517</v>
      </c>
      <c r="M276" s="116">
        <v>769.1</v>
      </c>
      <c r="N276" s="116">
        <v>792.45</v>
      </c>
      <c r="O276" s="116">
        <v>765.5</v>
      </c>
      <c r="P276" s="116">
        <v>781</v>
      </c>
      <c r="Q276" s="116">
        <v>769.1</v>
      </c>
      <c r="R276">
        <v>295695</v>
      </c>
    </row>
    <row r="277" spans="1:18" x14ac:dyDescent="0.25">
      <c r="A277" s="170">
        <v>45518</v>
      </c>
      <c r="B277" s="116">
        <v>779</v>
      </c>
      <c r="C277" s="116">
        <v>766.2</v>
      </c>
      <c r="D277" s="116">
        <v>756.25</v>
      </c>
      <c r="E277" s="116">
        <v>770</v>
      </c>
      <c r="F277" s="116">
        <v>766.2</v>
      </c>
      <c r="G277">
        <v>13851</v>
      </c>
      <c r="H277" s="116"/>
      <c r="I277" s="116"/>
      <c r="L277" s="170">
        <v>45518</v>
      </c>
      <c r="M277" s="116">
        <v>766.7</v>
      </c>
      <c r="N277" s="116">
        <v>779.5</v>
      </c>
      <c r="O277" s="116">
        <v>755.85</v>
      </c>
      <c r="P277" s="116">
        <v>772</v>
      </c>
      <c r="Q277" s="116">
        <v>766.7</v>
      </c>
      <c r="R277">
        <v>91824</v>
      </c>
    </row>
    <row r="278" spans="1:18" x14ac:dyDescent="0.25">
      <c r="A278" s="170">
        <v>45520</v>
      </c>
      <c r="B278" s="116">
        <v>793</v>
      </c>
      <c r="C278" s="116">
        <v>785.2</v>
      </c>
      <c r="D278" s="116">
        <v>779.35</v>
      </c>
      <c r="E278" s="116">
        <v>781.1</v>
      </c>
      <c r="F278" s="116">
        <v>785.2</v>
      </c>
      <c r="G278">
        <v>6568</v>
      </c>
      <c r="H278" s="116"/>
      <c r="I278" s="116"/>
      <c r="L278" s="170">
        <v>45520</v>
      </c>
      <c r="M278" s="116">
        <v>784.85</v>
      </c>
      <c r="N278" s="116">
        <v>793</v>
      </c>
      <c r="O278" s="116">
        <v>773.1</v>
      </c>
      <c r="P278" s="116">
        <v>778</v>
      </c>
      <c r="Q278" s="116">
        <v>784.85</v>
      </c>
      <c r="R278">
        <v>99494</v>
      </c>
    </row>
    <row r="279" spans="1:18" x14ac:dyDescent="0.25">
      <c r="A279" s="170">
        <v>45523</v>
      </c>
      <c r="B279" s="116">
        <v>799</v>
      </c>
      <c r="C279" s="116">
        <v>786</v>
      </c>
      <c r="D279" s="116">
        <v>782.1</v>
      </c>
      <c r="E279" s="116">
        <v>792.9</v>
      </c>
      <c r="F279" s="116">
        <v>786</v>
      </c>
      <c r="G279">
        <v>12447</v>
      </c>
      <c r="H279" s="116"/>
      <c r="I279" s="116"/>
      <c r="L279" s="170">
        <v>45523</v>
      </c>
      <c r="M279" s="116">
        <v>784.75</v>
      </c>
      <c r="N279" s="116">
        <v>799.85</v>
      </c>
      <c r="O279" s="116">
        <v>782.65</v>
      </c>
      <c r="P279" s="116">
        <v>786</v>
      </c>
      <c r="Q279" s="116">
        <v>784.75</v>
      </c>
      <c r="R279">
        <v>77650</v>
      </c>
    </row>
    <row r="280" spans="1:18" x14ac:dyDescent="0.25">
      <c r="A280" s="170">
        <v>45524</v>
      </c>
      <c r="B280" s="116">
        <v>793</v>
      </c>
      <c r="C280" s="116">
        <v>788.5</v>
      </c>
      <c r="D280" s="116">
        <v>783.05</v>
      </c>
      <c r="E280" s="116">
        <v>793</v>
      </c>
      <c r="F280" s="116">
        <v>788.5</v>
      </c>
      <c r="G280">
        <v>10884</v>
      </c>
      <c r="H280" s="116"/>
      <c r="I280" s="116"/>
      <c r="L280" s="170">
        <v>45524</v>
      </c>
      <c r="M280" s="116">
        <v>788.05</v>
      </c>
      <c r="N280" s="116">
        <v>793.85</v>
      </c>
      <c r="O280" s="116">
        <v>784.15</v>
      </c>
      <c r="P280" s="116">
        <v>784.75</v>
      </c>
      <c r="Q280" s="116">
        <v>788.05</v>
      </c>
      <c r="R280">
        <v>63881</v>
      </c>
    </row>
    <row r="281" spans="1:18" x14ac:dyDescent="0.25">
      <c r="A281" s="170">
        <v>45525</v>
      </c>
      <c r="B281" s="116">
        <v>790</v>
      </c>
      <c r="C281" s="116">
        <v>776.1</v>
      </c>
      <c r="D281" s="116">
        <v>762.1</v>
      </c>
      <c r="E281" s="116">
        <v>766.5</v>
      </c>
      <c r="F281" s="116">
        <v>776.1</v>
      </c>
      <c r="G281">
        <v>12138393</v>
      </c>
      <c r="H281" s="116"/>
      <c r="I281" s="116"/>
      <c r="L281" s="170">
        <v>45525</v>
      </c>
      <c r="M281" s="116">
        <v>775.85</v>
      </c>
      <c r="N281" s="116">
        <v>791</v>
      </c>
      <c r="O281" s="116">
        <v>762.25</v>
      </c>
      <c r="P281" s="116">
        <v>766</v>
      </c>
      <c r="Q281" s="116">
        <v>775.85</v>
      </c>
      <c r="R281">
        <v>2055326</v>
      </c>
    </row>
    <row r="282" spans="1:18" x14ac:dyDescent="0.25">
      <c r="A282" s="170">
        <v>45526</v>
      </c>
      <c r="B282" s="116">
        <v>823</v>
      </c>
      <c r="C282" s="116">
        <v>818.4</v>
      </c>
      <c r="D282" s="116">
        <v>789.4</v>
      </c>
      <c r="E282" s="116">
        <v>790</v>
      </c>
      <c r="F282" s="116">
        <v>818.4</v>
      </c>
      <c r="G282">
        <v>113746</v>
      </c>
      <c r="H282" s="116"/>
      <c r="I282" s="116"/>
      <c r="L282" s="170">
        <v>45526</v>
      </c>
      <c r="M282" s="116">
        <v>817.45</v>
      </c>
      <c r="N282" s="116">
        <v>823</v>
      </c>
      <c r="O282" s="116">
        <v>787.1</v>
      </c>
      <c r="P282" s="116">
        <v>790</v>
      </c>
      <c r="Q282" s="116">
        <v>817.45</v>
      </c>
      <c r="R282">
        <v>836645</v>
      </c>
    </row>
    <row r="283" spans="1:18" x14ac:dyDescent="0.25">
      <c r="A283" s="170">
        <v>45527</v>
      </c>
      <c r="B283" s="116">
        <v>840.05</v>
      </c>
      <c r="C283" s="116">
        <v>800.8</v>
      </c>
      <c r="D283" s="116">
        <v>798</v>
      </c>
      <c r="E283" s="116">
        <v>827.05</v>
      </c>
      <c r="F283" s="116">
        <v>800.8</v>
      </c>
      <c r="G283">
        <v>63835</v>
      </c>
      <c r="H283" s="116"/>
      <c r="I283" s="116"/>
      <c r="L283" s="170">
        <v>45527</v>
      </c>
      <c r="M283" s="116">
        <v>800.5</v>
      </c>
      <c r="N283" s="116">
        <v>840.8</v>
      </c>
      <c r="O283" s="116">
        <v>798</v>
      </c>
      <c r="P283" s="116">
        <v>830.05</v>
      </c>
      <c r="Q283" s="116">
        <v>800.5</v>
      </c>
      <c r="R283">
        <v>608266</v>
      </c>
    </row>
    <row r="284" spans="1:18" x14ac:dyDescent="0.25">
      <c r="A284" s="170">
        <v>45530</v>
      </c>
      <c r="B284" s="116">
        <v>814.95</v>
      </c>
      <c r="C284" s="116">
        <v>782.6</v>
      </c>
      <c r="D284" s="116">
        <v>777.4</v>
      </c>
      <c r="E284" s="116">
        <v>804.05</v>
      </c>
      <c r="F284" s="116">
        <v>782.6</v>
      </c>
      <c r="G284">
        <v>38069</v>
      </c>
      <c r="H284" s="116"/>
      <c r="I284" s="116"/>
      <c r="L284" s="170">
        <v>45530</v>
      </c>
      <c r="M284" s="116">
        <v>782.6</v>
      </c>
      <c r="N284" s="116">
        <v>814.85</v>
      </c>
      <c r="O284" s="116">
        <v>777.3</v>
      </c>
      <c r="P284" s="116">
        <v>807.95</v>
      </c>
      <c r="Q284" s="116">
        <v>782.6</v>
      </c>
      <c r="R284">
        <v>271810</v>
      </c>
    </row>
    <row r="285" spans="1:18" x14ac:dyDescent="0.25">
      <c r="A285" s="170">
        <v>45531</v>
      </c>
      <c r="B285" s="116">
        <v>787</v>
      </c>
      <c r="C285" s="116">
        <v>780.9</v>
      </c>
      <c r="D285" s="116">
        <v>771.5</v>
      </c>
      <c r="E285" s="116">
        <v>786</v>
      </c>
      <c r="F285" s="116">
        <v>780.9</v>
      </c>
      <c r="G285">
        <v>21329</v>
      </c>
      <c r="H285" s="116"/>
      <c r="I285" s="116"/>
      <c r="L285" s="170">
        <v>45531</v>
      </c>
      <c r="M285" s="116">
        <v>781.2</v>
      </c>
      <c r="N285" s="116">
        <v>787.65</v>
      </c>
      <c r="O285" s="116">
        <v>771.45</v>
      </c>
      <c r="P285" s="116">
        <v>787.65</v>
      </c>
      <c r="Q285" s="116">
        <v>781.2</v>
      </c>
      <c r="R285">
        <v>247078</v>
      </c>
    </row>
    <row r="286" spans="1:18" x14ac:dyDescent="0.25">
      <c r="A286" s="170">
        <v>45532</v>
      </c>
      <c r="B286" s="116">
        <v>785</v>
      </c>
      <c r="C286" s="116">
        <v>769.5</v>
      </c>
      <c r="D286" s="116">
        <v>768.05</v>
      </c>
      <c r="E286" s="116">
        <v>780.9</v>
      </c>
      <c r="F286" s="116">
        <v>769.5</v>
      </c>
      <c r="G286">
        <v>9335</v>
      </c>
      <c r="H286" s="116"/>
      <c r="I286" s="116"/>
      <c r="L286" s="170">
        <v>45532</v>
      </c>
      <c r="M286" s="116">
        <v>772.7</v>
      </c>
      <c r="N286" s="116">
        <v>787</v>
      </c>
      <c r="O286" s="116">
        <v>768.35</v>
      </c>
      <c r="P286" s="116">
        <v>784.8</v>
      </c>
      <c r="Q286" s="116">
        <v>772.7</v>
      </c>
      <c r="R286">
        <v>192248</v>
      </c>
    </row>
    <row r="287" spans="1:18" x14ac:dyDescent="0.25">
      <c r="A287" s="170">
        <v>45533</v>
      </c>
      <c r="B287" s="116">
        <v>776</v>
      </c>
      <c r="C287" s="116">
        <v>753.8</v>
      </c>
      <c r="D287" s="116">
        <v>745.7</v>
      </c>
      <c r="E287" s="116">
        <v>766.3</v>
      </c>
      <c r="F287" s="116">
        <v>753.8</v>
      </c>
      <c r="G287">
        <v>11255</v>
      </c>
      <c r="H287" s="116"/>
      <c r="I287" s="116"/>
      <c r="L287" s="170">
        <v>45533</v>
      </c>
      <c r="M287" s="116">
        <v>753.3</v>
      </c>
      <c r="N287" s="116">
        <v>777.25</v>
      </c>
      <c r="O287" s="116">
        <v>746</v>
      </c>
      <c r="P287" s="116">
        <v>772.7</v>
      </c>
      <c r="Q287" s="116">
        <v>753.3</v>
      </c>
      <c r="R287">
        <v>303404</v>
      </c>
    </row>
    <row r="288" spans="1:18" x14ac:dyDescent="0.25">
      <c r="A288" s="170">
        <v>45534</v>
      </c>
      <c r="B288" s="116">
        <v>766.15</v>
      </c>
      <c r="C288" s="116">
        <v>746.4</v>
      </c>
      <c r="D288" s="116">
        <v>742.15</v>
      </c>
      <c r="E288" s="116">
        <v>762</v>
      </c>
      <c r="F288" s="116">
        <v>746.4</v>
      </c>
      <c r="G288">
        <v>32753</v>
      </c>
      <c r="H288" s="116"/>
      <c r="I288" s="116"/>
      <c r="L288" s="170">
        <v>45534</v>
      </c>
      <c r="M288" s="116">
        <v>747.15</v>
      </c>
      <c r="N288" s="116">
        <v>765.9</v>
      </c>
      <c r="O288" s="116">
        <v>742.55</v>
      </c>
      <c r="P288" s="116">
        <v>760.85</v>
      </c>
      <c r="Q288" s="116">
        <v>747.15</v>
      </c>
      <c r="R288">
        <v>512710</v>
      </c>
    </row>
    <row r="289" spans="1:18" x14ac:dyDescent="0.25">
      <c r="A289" s="170">
        <v>45537</v>
      </c>
      <c r="B289" s="116">
        <v>750</v>
      </c>
      <c r="C289" s="116">
        <v>732.4</v>
      </c>
      <c r="D289" s="116">
        <v>729.35</v>
      </c>
      <c r="E289" s="116">
        <v>749.65</v>
      </c>
      <c r="F289" s="116">
        <v>732.4</v>
      </c>
      <c r="G289">
        <v>23479</v>
      </c>
      <c r="H289" s="116"/>
      <c r="I289" s="116"/>
      <c r="L289" s="170">
        <v>45537</v>
      </c>
      <c r="M289" s="116">
        <v>732.35</v>
      </c>
      <c r="N289" s="116">
        <v>750.8</v>
      </c>
      <c r="O289" s="116">
        <v>729.6</v>
      </c>
      <c r="P289" s="116">
        <v>745.05</v>
      </c>
      <c r="Q289" s="116">
        <v>732.35</v>
      </c>
      <c r="R289">
        <v>398659</v>
      </c>
    </row>
    <row r="290" spans="1:18" x14ac:dyDescent="0.25">
      <c r="A290" s="170">
        <v>45538</v>
      </c>
      <c r="B290" s="116">
        <v>740.95</v>
      </c>
      <c r="C290" s="116">
        <v>727.75</v>
      </c>
      <c r="D290" s="116">
        <v>726</v>
      </c>
      <c r="E290" s="116">
        <v>740.95</v>
      </c>
      <c r="F290" s="116">
        <v>727.75</v>
      </c>
      <c r="G290">
        <v>19361</v>
      </c>
      <c r="H290" s="116"/>
      <c r="I290" s="116"/>
      <c r="L290" s="170">
        <v>45538</v>
      </c>
      <c r="M290" s="116">
        <v>727.6</v>
      </c>
      <c r="N290" s="116">
        <v>744.9</v>
      </c>
      <c r="O290" s="116">
        <v>726</v>
      </c>
      <c r="P290" s="116">
        <v>739</v>
      </c>
      <c r="Q290" s="116">
        <v>727.6</v>
      </c>
      <c r="R290">
        <v>173332</v>
      </c>
    </row>
    <row r="291" spans="1:18" x14ac:dyDescent="0.25">
      <c r="A291" s="170">
        <v>45539</v>
      </c>
      <c r="B291" s="116">
        <v>729.45</v>
      </c>
      <c r="C291" s="116">
        <v>723.95</v>
      </c>
      <c r="D291" s="116">
        <v>718.35</v>
      </c>
      <c r="E291" s="116">
        <v>723.35</v>
      </c>
      <c r="F291" s="116">
        <v>723.95</v>
      </c>
      <c r="G291">
        <v>10687</v>
      </c>
      <c r="H291" s="116"/>
      <c r="I291" s="116"/>
      <c r="L291" s="170">
        <v>45539</v>
      </c>
      <c r="M291" s="116">
        <v>723.65</v>
      </c>
      <c r="N291" s="116">
        <v>729.45</v>
      </c>
      <c r="O291" s="116">
        <v>718.5</v>
      </c>
      <c r="P291" s="116">
        <v>722</v>
      </c>
      <c r="Q291" s="116">
        <v>723.65</v>
      </c>
      <c r="R291">
        <v>172611</v>
      </c>
    </row>
    <row r="292" spans="1:18" x14ac:dyDescent="0.25">
      <c r="A292" s="170">
        <v>45540</v>
      </c>
      <c r="B292" s="116">
        <v>729</v>
      </c>
      <c r="C292" s="116">
        <v>722.65</v>
      </c>
      <c r="D292" s="116">
        <v>719.3</v>
      </c>
      <c r="E292" s="116">
        <v>726</v>
      </c>
      <c r="F292" s="116">
        <v>722.65</v>
      </c>
      <c r="G292">
        <v>22842</v>
      </c>
      <c r="H292" s="116"/>
      <c r="I292" s="116"/>
      <c r="L292" s="170">
        <v>45540</v>
      </c>
      <c r="M292" s="116">
        <v>723.3</v>
      </c>
      <c r="N292" s="116">
        <v>729</v>
      </c>
      <c r="O292" s="116">
        <v>719.1</v>
      </c>
      <c r="P292" s="116">
        <v>728.65</v>
      </c>
      <c r="Q292" s="116">
        <v>723.3</v>
      </c>
      <c r="R292">
        <v>115383</v>
      </c>
    </row>
    <row r="293" spans="1:18" x14ac:dyDescent="0.25">
      <c r="A293" s="170">
        <v>45541</v>
      </c>
      <c r="B293" s="116">
        <v>725.1</v>
      </c>
      <c r="C293" s="116">
        <v>711.4</v>
      </c>
      <c r="D293" s="116">
        <v>695.55</v>
      </c>
      <c r="E293" s="116">
        <v>725</v>
      </c>
      <c r="F293" s="116">
        <v>711.4</v>
      </c>
      <c r="G293">
        <v>23207</v>
      </c>
      <c r="H293" s="116"/>
      <c r="I293" s="116"/>
      <c r="L293" s="170">
        <v>45541</v>
      </c>
      <c r="M293" s="116">
        <v>711.05</v>
      </c>
      <c r="N293" s="116">
        <v>725.05</v>
      </c>
      <c r="O293" s="116">
        <v>694.95</v>
      </c>
      <c r="P293" s="116">
        <v>725.05</v>
      </c>
      <c r="Q293" s="116">
        <v>711.05</v>
      </c>
      <c r="R293">
        <v>449256</v>
      </c>
    </row>
    <row r="294" spans="1:18" x14ac:dyDescent="0.25">
      <c r="A294" s="170">
        <v>45544</v>
      </c>
      <c r="B294" s="116">
        <v>710.95</v>
      </c>
      <c r="C294" s="116">
        <v>703.3</v>
      </c>
      <c r="D294" s="116">
        <v>697.75</v>
      </c>
      <c r="E294" s="116">
        <v>710.95</v>
      </c>
      <c r="F294" s="116">
        <v>703.3</v>
      </c>
      <c r="G294">
        <v>14544</v>
      </c>
      <c r="H294" s="116"/>
      <c r="I294" s="116"/>
      <c r="L294" s="170">
        <v>45544</v>
      </c>
      <c r="M294" s="116">
        <v>703.05</v>
      </c>
      <c r="N294" s="116">
        <v>713.6</v>
      </c>
      <c r="O294" s="116">
        <v>698</v>
      </c>
      <c r="P294" s="116">
        <v>708</v>
      </c>
      <c r="Q294" s="116">
        <v>703.05</v>
      </c>
      <c r="R294">
        <v>400440</v>
      </c>
    </row>
    <row r="295" spans="1:18" x14ac:dyDescent="0.25">
      <c r="A295" s="170">
        <v>45545</v>
      </c>
      <c r="B295" s="116">
        <v>713.2</v>
      </c>
      <c r="C295" s="116">
        <v>699.55</v>
      </c>
      <c r="D295" s="116">
        <v>695.05</v>
      </c>
      <c r="E295" s="116">
        <v>712</v>
      </c>
      <c r="F295" s="116">
        <v>699.55</v>
      </c>
      <c r="G295">
        <v>20976</v>
      </c>
      <c r="H295" s="116"/>
      <c r="I295" s="116"/>
      <c r="L295" s="170">
        <v>45545</v>
      </c>
      <c r="M295" s="116">
        <v>700.2</v>
      </c>
      <c r="N295" s="116">
        <v>713.5</v>
      </c>
      <c r="O295" s="116">
        <v>695</v>
      </c>
      <c r="P295" s="116">
        <v>710</v>
      </c>
      <c r="Q295" s="116">
        <v>700.2</v>
      </c>
      <c r="R295">
        <v>631419</v>
      </c>
    </row>
    <row r="296" spans="1:18" x14ac:dyDescent="0.25">
      <c r="A296" s="170">
        <v>45546</v>
      </c>
      <c r="B296" s="116">
        <v>724</v>
      </c>
      <c r="C296" s="116">
        <v>704</v>
      </c>
      <c r="D296" s="116">
        <v>697</v>
      </c>
      <c r="E296" s="116">
        <v>705</v>
      </c>
      <c r="F296" s="116">
        <v>704</v>
      </c>
      <c r="G296">
        <v>25134</v>
      </c>
      <c r="H296" s="116"/>
      <c r="I296" s="116"/>
      <c r="L296" s="170">
        <v>45546</v>
      </c>
      <c r="M296" s="116">
        <v>703.05</v>
      </c>
      <c r="N296" s="116">
        <v>724.65</v>
      </c>
      <c r="O296" s="116">
        <v>697</v>
      </c>
      <c r="P296" s="116">
        <v>704.9</v>
      </c>
      <c r="Q296" s="116">
        <v>703.05</v>
      </c>
      <c r="R296">
        <v>489568</v>
      </c>
    </row>
    <row r="297" spans="1:18" x14ac:dyDescent="0.25">
      <c r="A297" s="170">
        <v>45547</v>
      </c>
      <c r="B297" s="116">
        <v>719.95</v>
      </c>
      <c r="C297" s="116">
        <v>716.25</v>
      </c>
      <c r="D297" s="116">
        <v>708</v>
      </c>
      <c r="E297" s="116">
        <v>714.7</v>
      </c>
      <c r="F297" s="116">
        <v>716.25</v>
      </c>
      <c r="G297">
        <v>18629</v>
      </c>
      <c r="H297" s="116"/>
      <c r="I297" s="116"/>
      <c r="L297" s="170">
        <v>45547</v>
      </c>
      <c r="M297" s="116">
        <v>716.1</v>
      </c>
      <c r="N297" s="116">
        <v>719.8</v>
      </c>
      <c r="O297" s="116">
        <v>707.05</v>
      </c>
      <c r="P297" s="116">
        <v>712</v>
      </c>
      <c r="Q297" s="116">
        <v>716.1</v>
      </c>
      <c r="R297">
        <v>313773</v>
      </c>
    </row>
    <row r="298" spans="1:18" x14ac:dyDescent="0.25">
      <c r="A298" s="170">
        <v>45548</v>
      </c>
      <c r="B298" s="116">
        <v>723.55</v>
      </c>
      <c r="C298" s="116">
        <v>702.75</v>
      </c>
      <c r="D298" s="116">
        <v>700</v>
      </c>
      <c r="E298" s="116">
        <v>723.55</v>
      </c>
      <c r="F298" s="116">
        <v>702.75</v>
      </c>
      <c r="G298">
        <v>27167</v>
      </c>
      <c r="H298" s="116"/>
      <c r="I298" s="116"/>
      <c r="L298" s="170">
        <v>45548</v>
      </c>
      <c r="M298" s="116">
        <v>703.5</v>
      </c>
      <c r="N298" s="116">
        <v>721.95</v>
      </c>
      <c r="O298" s="116">
        <v>700.2</v>
      </c>
      <c r="P298" s="116">
        <v>721.95</v>
      </c>
      <c r="Q298" s="116">
        <v>703.5</v>
      </c>
      <c r="R298">
        <v>304616</v>
      </c>
    </row>
    <row r="299" spans="1:18" x14ac:dyDescent="0.25">
      <c r="A299" s="170">
        <v>45551</v>
      </c>
      <c r="B299" s="116">
        <v>707</v>
      </c>
      <c r="C299" s="116">
        <v>695.35</v>
      </c>
      <c r="D299" s="116">
        <v>691.05</v>
      </c>
      <c r="E299" s="116">
        <v>705.9</v>
      </c>
      <c r="F299" s="116">
        <v>695.35</v>
      </c>
      <c r="G299">
        <v>13568</v>
      </c>
      <c r="H299" s="116"/>
      <c r="I299" s="116"/>
      <c r="L299" s="170">
        <v>45551</v>
      </c>
      <c r="M299" s="116">
        <v>695.1</v>
      </c>
      <c r="N299" s="116">
        <v>706.95</v>
      </c>
      <c r="O299" s="116">
        <v>691</v>
      </c>
      <c r="P299" s="116">
        <v>706.95</v>
      </c>
      <c r="Q299" s="116">
        <v>695.1</v>
      </c>
      <c r="R299">
        <v>221316</v>
      </c>
    </row>
    <row r="300" spans="1:18" x14ac:dyDescent="0.25">
      <c r="A300" s="170">
        <v>45552</v>
      </c>
      <c r="B300" s="116">
        <v>710</v>
      </c>
      <c r="C300" s="116">
        <v>706.4</v>
      </c>
      <c r="D300" s="116">
        <v>692.55</v>
      </c>
      <c r="E300" s="116">
        <v>697.35</v>
      </c>
      <c r="F300" s="116">
        <v>706.4</v>
      </c>
      <c r="G300">
        <v>19059</v>
      </c>
      <c r="H300" s="116"/>
      <c r="I300" s="116"/>
      <c r="L300" s="170">
        <v>45552</v>
      </c>
      <c r="M300" s="116">
        <v>704.75</v>
      </c>
      <c r="N300" s="116">
        <v>710</v>
      </c>
      <c r="O300" s="116">
        <v>692.7</v>
      </c>
      <c r="P300" s="116">
        <v>699.6</v>
      </c>
      <c r="Q300" s="116">
        <v>704.75</v>
      </c>
      <c r="R300">
        <v>206610</v>
      </c>
    </row>
    <row r="301" spans="1:18" x14ac:dyDescent="0.25">
      <c r="A301" s="170">
        <v>45553</v>
      </c>
      <c r="B301" s="116">
        <v>707</v>
      </c>
      <c r="C301" s="116">
        <v>695.1</v>
      </c>
      <c r="D301" s="116">
        <v>693.65</v>
      </c>
      <c r="E301" s="116">
        <v>705.1</v>
      </c>
      <c r="F301" s="116">
        <v>695.1</v>
      </c>
      <c r="G301">
        <v>21040</v>
      </c>
      <c r="H301" s="116"/>
      <c r="I301" s="116"/>
      <c r="L301" s="170">
        <v>45553</v>
      </c>
      <c r="M301" s="116">
        <v>694.8</v>
      </c>
      <c r="N301" s="116">
        <v>709.45</v>
      </c>
      <c r="O301" s="116">
        <v>693.1</v>
      </c>
      <c r="P301" s="116">
        <v>708.75</v>
      </c>
      <c r="Q301" s="116">
        <v>694.8</v>
      </c>
      <c r="R301">
        <v>295319</v>
      </c>
    </row>
    <row r="302" spans="1:18" x14ac:dyDescent="0.25">
      <c r="A302" s="170">
        <v>45554</v>
      </c>
      <c r="B302" s="116">
        <v>706.6</v>
      </c>
      <c r="C302" s="116">
        <v>690.75</v>
      </c>
      <c r="D302" s="116">
        <v>685</v>
      </c>
      <c r="E302" s="116">
        <v>706.6</v>
      </c>
      <c r="F302" s="116">
        <v>690.75</v>
      </c>
      <c r="G302">
        <v>32636</v>
      </c>
      <c r="H302" s="116"/>
      <c r="I302" s="116"/>
      <c r="L302" s="170">
        <v>45554</v>
      </c>
      <c r="M302" s="116">
        <v>690.15</v>
      </c>
      <c r="N302" s="116">
        <v>703.5</v>
      </c>
      <c r="O302" s="116">
        <v>685.05</v>
      </c>
      <c r="P302" s="116">
        <v>701</v>
      </c>
      <c r="Q302" s="116">
        <v>690.15</v>
      </c>
      <c r="R302">
        <v>242208</v>
      </c>
    </row>
    <row r="303" spans="1:18" x14ac:dyDescent="0.25">
      <c r="A303" s="170">
        <v>45555</v>
      </c>
      <c r="B303" s="116">
        <v>696.5</v>
      </c>
      <c r="C303" s="116">
        <v>691.15</v>
      </c>
      <c r="D303" s="116">
        <v>680.25</v>
      </c>
      <c r="E303" s="116">
        <v>691</v>
      </c>
      <c r="F303" s="116">
        <v>691.15</v>
      </c>
      <c r="G303">
        <v>18001</v>
      </c>
      <c r="H303" s="116"/>
      <c r="I303" s="116"/>
      <c r="L303" s="170">
        <v>45555</v>
      </c>
      <c r="M303" s="116">
        <v>691.75</v>
      </c>
      <c r="N303" s="116">
        <v>696.95</v>
      </c>
      <c r="O303" s="116">
        <v>680</v>
      </c>
      <c r="P303" s="116">
        <v>693</v>
      </c>
      <c r="Q303" s="116">
        <v>691.75</v>
      </c>
      <c r="R303">
        <v>226541</v>
      </c>
    </row>
    <row r="304" spans="1:18" x14ac:dyDescent="0.25">
      <c r="A304" s="170">
        <v>45558</v>
      </c>
      <c r="B304" s="116">
        <v>695.8</v>
      </c>
      <c r="C304" s="116">
        <v>690.3</v>
      </c>
      <c r="D304" s="116">
        <v>687</v>
      </c>
      <c r="E304" s="116">
        <v>692</v>
      </c>
      <c r="F304" s="116">
        <v>690.3</v>
      </c>
      <c r="G304">
        <v>8315</v>
      </c>
      <c r="H304" s="116"/>
      <c r="I304" s="116"/>
      <c r="L304" s="170">
        <v>45558</v>
      </c>
      <c r="M304" s="116">
        <v>690.5</v>
      </c>
      <c r="N304" s="116">
        <v>695.9</v>
      </c>
      <c r="O304" s="116">
        <v>686.4</v>
      </c>
      <c r="P304" s="116">
        <v>693.95</v>
      </c>
      <c r="Q304" s="116">
        <v>690.5</v>
      </c>
      <c r="R304">
        <v>192339</v>
      </c>
    </row>
    <row r="305" spans="1:18" x14ac:dyDescent="0.25">
      <c r="A305" s="170">
        <v>45559</v>
      </c>
      <c r="B305" s="116">
        <v>692</v>
      </c>
      <c r="C305" s="116">
        <v>683.05</v>
      </c>
      <c r="D305" s="116">
        <v>680.55</v>
      </c>
      <c r="E305" s="116">
        <v>690.55</v>
      </c>
      <c r="F305" s="116">
        <v>683.05</v>
      </c>
      <c r="G305">
        <v>6152</v>
      </c>
      <c r="H305" s="116"/>
      <c r="I305" s="116"/>
      <c r="L305" s="170">
        <v>45559</v>
      </c>
      <c r="M305" s="116">
        <v>682.3</v>
      </c>
      <c r="N305" s="116">
        <v>692.95</v>
      </c>
      <c r="O305" s="116">
        <v>680.55</v>
      </c>
      <c r="P305" s="116">
        <v>692.95</v>
      </c>
      <c r="Q305" s="116">
        <v>682.3</v>
      </c>
      <c r="R305">
        <v>180424</v>
      </c>
    </row>
    <row r="306" spans="1:18" x14ac:dyDescent="0.25">
      <c r="A306" s="170">
        <v>45560</v>
      </c>
      <c r="B306" s="116">
        <v>686.3</v>
      </c>
      <c r="C306" s="116">
        <v>666.95</v>
      </c>
      <c r="D306" s="116">
        <v>664.35</v>
      </c>
      <c r="E306" s="116">
        <v>683.05</v>
      </c>
      <c r="F306" s="116">
        <v>666.95</v>
      </c>
      <c r="G306">
        <v>39044</v>
      </c>
      <c r="H306" s="116"/>
      <c r="I306" s="116"/>
      <c r="L306" s="170">
        <v>45560</v>
      </c>
      <c r="M306" s="116">
        <v>670.2</v>
      </c>
      <c r="N306" s="116">
        <v>686.65</v>
      </c>
      <c r="O306" s="116">
        <v>665</v>
      </c>
      <c r="P306" s="116">
        <v>682.9</v>
      </c>
      <c r="Q306" s="116">
        <v>670.2</v>
      </c>
      <c r="R306">
        <v>344072</v>
      </c>
    </row>
    <row r="307" spans="1:18" x14ac:dyDescent="0.25">
      <c r="A307" s="170">
        <v>45561</v>
      </c>
      <c r="B307" s="116">
        <v>679.45</v>
      </c>
      <c r="C307" s="116">
        <v>674.1</v>
      </c>
      <c r="D307" s="116">
        <v>664.85</v>
      </c>
      <c r="E307" s="116">
        <v>670.5</v>
      </c>
      <c r="F307" s="116">
        <v>674.1</v>
      </c>
      <c r="G307">
        <v>320011</v>
      </c>
      <c r="H307" s="116"/>
      <c r="I307" s="116"/>
      <c r="L307" s="170">
        <v>45561</v>
      </c>
      <c r="M307" s="116">
        <v>676.9</v>
      </c>
      <c r="N307" s="116">
        <v>679.9</v>
      </c>
      <c r="O307" s="116">
        <v>664.05</v>
      </c>
      <c r="P307" s="116">
        <v>673</v>
      </c>
      <c r="Q307" s="116">
        <v>676.9</v>
      </c>
      <c r="R307">
        <v>660178</v>
      </c>
    </row>
    <row r="308" spans="1:18" x14ac:dyDescent="0.25">
      <c r="A308" s="170">
        <v>45562</v>
      </c>
      <c r="B308" s="116">
        <v>685</v>
      </c>
      <c r="C308" s="116">
        <v>673.35</v>
      </c>
      <c r="D308" s="116">
        <v>667.2</v>
      </c>
      <c r="E308" s="116">
        <v>685</v>
      </c>
      <c r="F308" s="116">
        <v>673.35</v>
      </c>
      <c r="G308">
        <v>8671</v>
      </c>
      <c r="H308" s="116"/>
      <c r="I308" s="116"/>
      <c r="L308" s="170">
        <v>45562</v>
      </c>
      <c r="M308" s="116">
        <v>672.4</v>
      </c>
      <c r="N308" s="116">
        <v>681.85</v>
      </c>
      <c r="O308" s="116">
        <v>667</v>
      </c>
      <c r="P308" s="116">
        <v>680</v>
      </c>
      <c r="Q308" s="116">
        <v>672.4</v>
      </c>
      <c r="R308">
        <v>347452</v>
      </c>
    </row>
    <row r="309" spans="1:18" x14ac:dyDescent="0.25">
      <c r="A309" s="170">
        <v>45565</v>
      </c>
      <c r="B309" s="116">
        <v>680.9</v>
      </c>
      <c r="C309" s="116">
        <v>669.1</v>
      </c>
      <c r="D309" s="116">
        <v>662.05</v>
      </c>
      <c r="E309" s="116">
        <v>675.05</v>
      </c>
      <c r="F309" s="116">
        <v>669.1</v>
      </c>
      <c r="G309">
        <v>21787</v>
      </c>
      <c r="H309" s="116"/>
      <c r="I309" s="116"/>
      <c r="L309" s="170">
        <v>45565</v>
      </c>
      <c r="M309" s="116">
        <v>669</v>
      </c>
      <c r="N309" s="116">
        <v>681</v>
      </c>
      <c r="O309" s="116">
        <v>661.6</v>
      </c>
      <c r="P309" s="116">
        <v>678.05</v>
      </c>
      <c r="Q309" s="116">
        <v>669</v>
      </c>
      <c r="R309">
        <v>681864</v>
      </c>
    </row>
    <row r="310" spans="1:18" x14ac:dyDescent="0.25">
      <c r="A310" s="170">
        <v>45566</v>
      </c>
      <c r="B310" s="116">
        <v>714.1</v>
      </c>
      <c r="C310" s="116">
        <v>710.3</v>
      </c>
      <c r="D310" s="116">
        <v>675</v>
      </c>
      <c r="E310" s="116">
        <v>675.2</v>
      </c>
      <c r="F310" s="116">
        <v>710.3</v>
      </c>
      <c r="G310">
        <v>100483</v>
      </c>
      <c r="H310" s="116"/>
      <c r="I310" s="116"/>
      <c r="L310" s="170">
        <v>45566</v>
      </c>
      <c r="M310" s="116">
        <v>710.5</v>
      </c>
      <c r="N310" s="116">
        <v>715</v>
      </c>
      <c r="O310" s="116">
        <v>673.4</v>
      </c>
      <c r="P310" s="116">
        <v>677</v>
      </c>
      <c r="Q310" s="116">
        <v>710.5</v>
      </c>
      <c r="R310">
        <v>617211</v>
      </c>
    </row>
    <row r="311" spans="1:18" x14ac:dyDescent="0.25">
      <c r="A311" s="170">
        <v>45568</v>
      </c>
      <c r="B311" s="116">
        <v>709.4</v>
      </c>
      <c r="C311" s="116">
        <v>690.4</v>
      </c>
      <c r="D311" s="116">
        <v>688.75</v>
      </c>
      <c r="E311" s="116">
        <v>701.2</v>
      </c>
      <c r="F311" s="116">
        <v>690.4</v>
      </c>
      <c r="G311">
        <v>19379</v>
      </c>
      <c r="H311" s="116"/>
      <c r="I311" s="116"/>
      <c r="L311" s="170">
        <v>45568</v>
      </c>
      <c r="M311" s="116">
        <v>690.6</v>
      </c>
      <c r="N311" s="116">
        <v>709.95</v>
      </c>
      <c r="O311" s="116">
        <v>689.05</v>
      </c>
      <c r="P311" s="116">
        <v>705</v>
      </c>
      <c r="Q311" s="116">
        <v>690.6</v>
      </c>
      <c r="R311">
        <v>361588</v>
      </c>
    </row>
    <row r="312" spans="1:18" x14ac:dyDescent="0.25">
      <c r="A312" s="170">
        <v>45569</v>
      </c>
      <c r="B312" s="116">
        <v>704.4</v>
      </c>
      <c r="C312" s="116">
        <v>683.6</v>
      </c>
      <c r="D312" s="116">
        <v>676.6</v>
      </c>
      <c r="E312" s="116">
        <v>699.05</v>
      </c>
      <c r="F312" s="116">
        <v>683.6</v>
      </c>
      <c r="G312">
        <v>18604</v>
      </c>
      <c r="H312" s="116"/>
      <c r="I312" s="116"/>
      <c r="L312" s="170">
        <v>45569</v>
      </c>
      <c r="M312" s="116">
        <v>681.8</v>
      </c>
      <c r="N312" s="116">
        <v>704</v>
      </c>
      <c r="O312" s="116">
        <v>677</v>
      </c>
      <c r="P312" s="116">
        <v>704</v>
      </c>
      <c r="Q312" s="116">
        <v>681.8</v>
      </c>
      <c r="R312">
        <v>323351</v>
      </c>
    </row>
    <row r="313" spans="1:18" x14ac:dyDescent="0.25">
      <c r="A313" s="170">
        <v>45572</v>
      </c>
      <c r="B313" s="116">
        <v>693.7</v>
      </c>
      <c r="C313" s="116">
        <v>675.5</v>
      </c>
      <c r="D313" s="116">
        <v>673.05</v>
      </c>
      <c r="E313" s="116">
        <v>690</v>
      </c>
      <c r="F313" s="116">
        <v>675.5</v>
      </c>
      <c r="G313">
        <v>29137</v>
      </c>
      <c r="H313" s="116"/>
      <c r="I313" s="116"/>
      <c r="L313" s="170">
        <v>45572</v>
      </c>
      <c r="M313" s="116">
        <v>675.45</v>
      </c>
      <c r="N313" s="116">
        <v>693</v>
      </c>
      <c r="O313" s="116">
        <v>673.65</v>
      </c>
      <c r="P313" s="116">
        <v>686.45</v>
      </c>
      <c r="Q313" s="116">
        <v>675.45</v>
      </c>
      <c r="R313">
        <v>314583</v>
      </c>
    </row>
    <row r="314" spans="1:18" x14ac:dyDescent="0.25">
      <c r="A314" s="170">
        <v>45573</v>
      </c>
      <c r="B314" s="116">
        <v>690</v>
      </c>
      <c r="C314" s="116">
        <v>681.6</v>
      </c>
      <c r="D314" s="116">
        <v>669.05</v>
      </c>
      <c r="E314" s="116">
        <v>675.55</v>
      </c>
      <c r="F314" s="116">
        <v>681.6</v>
      </c>
      <c r="G314">
        <v>19329</v>
      </c>
      <c r="H314" s="116"/>
      <c r="I314" s="116"/>
      <c r="L314" s="170">
        <v>45573</v>
      </c>
      <c r="M314" s="116">
        <v>681.3</v>
      </c>
      <c r="N314" s="116">
        <v>689.95</v>
      </c>
      <c r="O314" s="116">
        <v>669.5</v>
      </c>
      <c r="P314" s="116">
        <v>680.45</v>
      </c>
      <c r="Q314" s="116">
        <v>681.3</v>
      </c>
      <c r="R314">
        <v>529872</v>
      </c>
    </row>
    <row r="315" spans="1:18" x14ac:dyDescent="0.25">
      <c r="A315" s="170">
        <v>45574</v>
      </c>
      <c r="B315" s="116">
        <v>705.35</v>
      </c>
      <c r="C315" s="116">
        <v>699.55</v>
      </c>
      <c r="D315" s="116">
        <v>685</v>
      </c>
      <c r="E315" s="116">
        <v>685</v>
      </c>
      <c r="F315" s="116">
        <v>699.55</v>
      </c>
      <c r="G315">
        <v>27834</v>
      </c>
      <c r="H315" s="116"/>
      <c r="I315" s="116"/>
      <c r="L315" s="170">
        <v>45574</v>
      </c>
      <c r="M315" s="116">
        <v>698.55</v>
      </c>
      <c r="N315" s="116">
        <v>704.7</v>
      </c>
      <c r="O315" s="116">
        <v>686.65</v>
      </c>
      <c r="P315" s="116">
        <v>687</v>
      </c>
      <c r="Q315" s="116">
        <v>698.55</v>
      </c>
      <c r="R315">
        <v>310832</v>
      </c>
    </row>
    <row r="316" spans="1:18" x14ac:dyDescent="0.25">
      <c r="A316" s="170">
        <v>45575</v>
      </c>
      <c r="B316" s="116">
        <v>714.45</v>
      </c>
      <c r="C316" s="116">
        <v>702.05</v>
      </c>
      <c r="D316" s="116">
        <v>691.65</v>
      </c>
      <c r="E316" s="116">
        <v>703</v>
      </c>
      <c r="F316" s="116">
        <v>702.05</v>
      </c>
      <c r="G316">
        <v>21684</v>
      </c>
      <c r="H316" s="116"/>
      <c r="I316" s="116"/>
      <c r="L316" s="170">
        <v>45575</v>
      </c>
      <c r="M316" s="116">
        <v>701.5</v>
      </c>
      <c r="N316" s="116">
        <v>714.7</v>
      </c>
      <c r="O316" s="116">
        <v>691.65</v>
      </c>
      <c r="P316" s="116">
        <v>704.5</v>
      </c>
      <c r="Q316" s="116">
        <v>701.5</v>
      </c>
      <c r="R316">
        <v>256731</v>
      </c>
    </row>
    <row r="317" spans="1:18" x14ac:dyDescent="0.25">
      <c r="A317" s="170">
        <v>45576</v>
      </c>
      <c r="B317" s="116">
        <v>708.5</v>
      </c>
      <c r="C317" s="116">
        <v>694.75</v>
      </c>
      <c r="D317" s="116">
        <v>685.8</v>
      </c>
      <c r="E317" s="116">
        <v>705</v>
      </c>
      <c r="F317" s="116">
        <v>694.75</v>
      </c>
      <c r="G317">
        <v>27554</v>
      </c>
      <c r="H317" s="116"/>
      <c r="I317" s="116"/>
      <c r="L317" s="170">
        <v>45576</v>
      </c>
      <c r="M317" s="116">
        <v>694.65</v>
      </c>
      <c r="N317" s="116">
        <v>710</v>
      </c>
      <c r="O317" s="116">
        <v>686.3</v>
      </c>
      <c r="P317" s="116">
        <v>702</v>
      </c>
      <c r="Q317" s="116">
        <v>694.65</v>
      </c>
      <c r="R317">
        <v>315048</v>
      </c>
    </row>
    <row r="318" spans="1:18" x14ac:dyDescent="0.25">
      <c r="A318" s="170">
        <v>45579</v>
      </c>
      <c r="B318" s="116">
        <v>710</v>
      </c>
      <c r="C318" s="116">
        <v>707.2</v>
      </c>
      <c r="D318" s="116">
        <v>694.6</v>
      </c>
      <c r="E318" s="116">
        <v>694.6</v>
      </c>
      <c r="F318" s="116">
        <v>707.2</v>
      </c>
      <c r="G318">
        <v>21695</v>
      </c>
      <c r="H318" s="116"/>
      <c r="I318" s="116"/>
      <c r="L318" s="170">
        <v>45579</v>
      </c>
      <c r="M318" s="116">
        <v>707.55</v>
      </c>
      <c r="N318" s="116">
        <v>710</v>
      </c>
      <c r="O318" s="116">
        <v>692.95</v>
      </c>
      <c r="P318" s="116">
        <v>693</v>
      </c>
      <c r="Q318" s="116">
        <v>707.55</v>
      </c>
      <c r="R318">
        <v>112179</v>
      </c>
    </row>
    <row r="319" spans="1:18" x14ac:dyDescent="0.25">
      <c r="A319" s="170">
        <v>45580</v>
      </c>
      <c r="B319" s="116">
        <v>716.1</v>
      </c>
      <c r="C319" s="116">
        <v>713.1</v>
      </c>
      <c r="D319" s="116">
        <v>702.7</v>
      </c>
      <c r="E319" s="116">
        <v>708.05</v>
      </c>
      <c r="F319" s="116">
        <v>713.1</v>
      </c>
      <c r="G319">
        <v>7880</v>
      </c>
      <c r="H319" s="116"/>
      <c r="I319" s="116"/>
      <c r="L319" s="170">
        <v>45580</v>
      </c>
      <c r="M319" s="116">
        <v>713.4</v>
      </c>
      <c r="N319" s="116">
        <v>716</v>
      </c>
      <c r="O319" s="116">
        <v>702.8</v>
      </c>
      <c r="P319" s="116">
        <v>709.3</v>
      </c>
      <c r="Q319" s="116">
        <v>713.4</v>
      </c>
      <c r="R319">
        <v>128695</v>
      </c>
    </row>
    <row r="320" spans="1:18" x14ac:dyDescent="0.25">
      <c r="A320" s="170">
        <v>45581</v>
      </c>
      <c r="B320" s="116">
        <v>714</v>
      </c>
      <c r="C320" s="116">
        <v>704.2</v>
      </c>
      <c r="D320" s="116">
        <v>699.05</v>
      </c>
      <c r="E320" s="116">
        <v>714</v>
      </c>
      <c r="F320" s="116">
        <v>704.2</v>
      </c>
      <c r="G320">
        <v>5738</v>
      </c>
      <c r="H320" s="116"/>
      <c r="I320" s="116"/>
      <c r="L320" s="170">
        <v>45581</v>
      </c>
      <c r="M320" s="116">
        <v>704.55</v>
      </c>
      <c r="N320" s="116">
        <v>713</v>
      </c>
      <c r="O320" s="116">
        <v>699.1</v>
      </c>
      <c r="P320" s="116">
        <v>712.05</v>
      </c>
      <c r="Q320" s="116">
        <v>704.55</v>
      </c>
      <c r="R320">
        <v>130368</v>
      </c>
    </row>
    <row r="321" spans="1:18" x14ac:dyDescent="0.25">
      <c r="A321" s="170">
        <v>45582</v>
      </c>
      <c r="B321" s="116">
        <v>717.35</v>
      </c>
      <c r="C321" s="116">
        <v>693.45</v>
      </c>
      <c r="D321" s="116">
        <v>691.75</v>
      </c>
      <c r="E321" s="116">
        <v>717.35</v>
      </c>
      <c r="F321" s="116">
        <v>693.45</v>
      </c>
      <c r="G321">
        <v>9117</v>
      </c>
      <c r="H321" s="116"/>
      <c r="I321" s="116"/>
      <c r="L321" s="170">
        <v>45582</v>
      </c>
      <c r="M321" s="116">
        <v>693.65</v>
      </c>
      <c r="N321" s="116">
        <v>709.75</v>
      </c>
      <c r="O321" s="116">
        <v>690.3</v>
      </c>
      <c r="P321" s="116">
        <v>703</v>
      </c>
      <c r="Q321" s="116">
        <v>693.65</v>
      </c>
      <c r="R321">
        <v>143248</v>
      </c>
    </row>
    <row r="322" spans="1:18" x14ac:dyDescent="0.25">
      <c r="A322" s="170">
        <v>45583</v>
      </c>
      <c r="B322" s="116">
        <v>695.3</v>
      </c>
      <c r="C322" s="116">
        <v>691.9</v>
      </c>
      <c r="D322" s="116">
        <v>677.9</v>
      </c>
      <c r="E322" s="116">
        <v>688</v>
      </c>
      <c r="F322" s="116">
        <v>691.9</v>
      </c>
      <c r="G322">
        <v>5436</v>
      </c>
      <c r="H322" s="116"/>
      <c r="I322" s="116"/>
      <c r="L322" s="170">
        <v>45583</v>
      </c>
      <c r="M322" s="116">
        <v>691.05</v>
      </c>
      <c r="N322" s="116">
        <v>694.45</v>
      </c>
      <c r="O322" s="116">
        <v>676.65</v>
      </c>
      <c r="P322" s="116">
        <v>688</v>
      </c>
      <c r="Q322" s="116">
        <v>691.05</v>
      </c>
      <c r="R322">
        <v>136760</v>
      </c>
    </row>
    <row r="323" spans="1:18" x14ac:dyDescent="0.25">
      <c r="A323" s="170">
        <v>45586</v>
      </c>
      <c r="B323" s="116">
        <v>722.4</v>
      </c>
      <c r="C323" s="116">
        <v>699.15</v>
      </c>
      <c r="D323" s="116">
        <v>693.05</v>
      </c>
      <c r="E323" s="116">
        <v>693.05</v>
      </c>
      <c r="F323" s="116">
        <v>699.15</v>
      </c>
      <c r="G323">
        <v>40514</v>
      </c>
      <c r="H323" s="116"/>
      <c r="I323" s="116"/>
      <c r="L323" s="170">
        <v>45586</v>
      </c>
      <c r="M323" s="116">
        <v>698.7</v>
      </c>
      <c r="N323" s="116">
        <v>721.9</v>
      </c>
      <c r="O323" s="116">
        <v>693.35</v>
      </c>
      <c r="P323" s="116">
        <v>693.9</v>
      </c>
      <c r="Q323" s="116">
        <v>698.7</v>
      </c>
      <c r="R323">
        <v>473487</v>
      </c>
    </row>
    <row r="324" spans="1:18" x14ac:dyDescent="0.25">
      <c r="A324" s="170">
        <v>45587</v>
      </c>
      <c r="B324" s="116">
        <v>700</v>
      </c>
      <c r="C324" s="116">
        <v>661.9</v>
      </c>
      <c r="D324" s="116">
        <v>652.70000000000005</v>
      </c>
      <c r="E324" s="116">
        <v>700</v>
      </c>
      <c r="F324" s="116">
        <v>661.9</v>
      </c>
      <c r="G324">
        <v>71067</v>
      </c>
      <c r="H324" s="116"/>
      <c r="I324" s="116"/>
      <c r="L324" s="170">
        <v>45587</v>
      </c>
      <c r="M324" s="116">
        <v>661.15</v>
      </c>
      <c r="N324" s="116">
        <v>699</v>
      </c>
      <c r="O324" s="116">
        <v>652.79999999999995</v>
      </c>
      <c r="P324" s="116">
        <v>699</v>
      </c>
      <c r="Q324" s="116">
        <v>661.15</v>
      </c>
      <c r="R324">
        <v>796742</v>
      </c>
    </row>
    <row r="325" spans="1:18" x14ac:dyDescent="0.25">
      <c r="A325" s="170">
        <v>45588</v>
      </c>
      <c r="B325" s="116">
        <v>665.45</v>
      </c>
      <c r="C325" s="116">
        <v>640.54999999999995</v>
      </c>
      <c r="D325" s="116">
        <v>633.95000000000005</v>
      </c>
      <c r="E325" s="116">
        <v>661.9</v>
      </c>
      <c r="F325" s="116">
        <v>640.54999999999995</v>
      </c>
      <c r="G325">
        <v>44750</v>
      </c>
      <c r="H325" s="116"/>
      <c r="I325" s="116"/>
      <c r="L325" s="170">
        <v>45588</v>
      </c>
      <c r="M325" s="116">
        <v>640.29999999999995</v>
      </c>
      <c r="N325" s="116">
        <v>666.4</v>
      </c>
      <c r="O325" s="116">
        <v>633.79999999999995</v>
      </c>
      <c r="P325" s="116">
        <v>662</v>
      </c>
      <c r="Q325" s="116">
        <v>640.29999999999995</v>
      </c>
      <c r="R325">
        <v>339475</v>
      </c>
    </row>
    <row r="326" spans="1:18" x14ac:dyDescent="0.25">
      <c r="A326" s="170">
        <v>45589</v>
      </c>
      <c r="B326" s="116">
        <v>645</v>
      </c>
      <c r="C326" s="116">
        <v>636.79999999999995</v>
      </c>
      <c r="D326" s="116">
        <v>634.20000000000005</v>
      </c>
      <c r="E326" s="116">
        <v>640.6</v>
      </c>
      <c r="F326" s="116">
        <v>636.79999999999995</v>
      </c>
      <c r="G326">
        <v>19954</v>
      </c>
      <c r="H326" s="116"/>
      <c r="I326" s="116"/>
      <c r="L326" s="170">
        <v>45589</v>
      </c>
      <c r="M326" s="116">
        <v>636.79999999999995</v>
      </c>
      <c r="N326" s="116">
        <v>645</v>
      </c>
      <c r="O326" s="116">
        <v>634</v>
      </c>
      <c r="P326" s="116">
        <v>645</v>
      </c>
      <c r="Q326" s="116">
        <v>636.79999999999995</v>
      </c>
      <c r="R326">
        <v>155437</v>
      </c>
    </row>
    <row r="327" spans="1:18" x14ac:dyDescent="0.25">
      <c r="A327" s="170">
        <v>45590</v>
      </c>
      <c r="B327" s="116">
        <v>637.45000000000005</v>
      </c>
      <c r="C327" s="116">
        <v>613.9</v>
      </c>
      <c r="D327" s="116">
        <v>610.04999999999995</v>
      </c>
      <c r="E327" s="116">
        <v>632</v>
      </c>
      <c r="F327" s="116">
        <v>613.9</v>
      </c>
      <c r="G327">
        <v>41626</v>
      </c>
      <c r="H327" s="116"/>
      <c r="I327" s="116"/>
      <c r="L327" s="170">
        <v>45590</v>
      </c>
      <c r="M327" s="116">
        <v>613.9</v>
      </c>
      <c r="N327" s="116">
        <v>639.70000000000005</v>
      </c>
      <c r="O327" s="116">
        <v>610</v>
      </c>
      <c r="P327" s="116">
        <v>636.79999999999995</v>
      </c>
      <c r="Q327" s="116">
        <v>613.9</v>
      </c>
      <c r="R327">
        <v>210090</v>
      </c>
    </row>
    <row r="328" spans="1:18" x14ac:dyDescent="0.25">
      <c r="A328" s="170">
        <v>45593</v>
      </c>
      <c r="B328" s="116">
        <v>626.95000000000005</v>
      </c>
      <c r="C328" s="116">
        <v>605.70000000000005</v>
      </c>
      <c r="D328" s="116">
        <v>603.4</v>
      </c>
      <c r="E328" s="116">
        <v>615.54999999999995</v>
      </c>
      <c r="F328" s="116">
        <v>605.70000000000005</v>
      </c>
      <c r="G328">
        <v>34207</v>
      </c>
      <c r="H328" s="116"/>
      <c r="I328" s="116"/>
      <c r="L328" s="170">
        <v>45593</v>
      </c>
      <c r="M328" s="116">
        <v>605.15</v>
      </c>
      <c r="N328" s="116">
        <v>626.70000000000005</v>
      </c>
      <c r="O328" s="116">
        <v>602.04999999999995</v>
      </c>
      <c r="P328" s="116">
        <v>623.04999999999995</v>
      </c>
      <c r="Q328" s="116">
        <v>605.15</v>
      </c>
      <c r="R328">
        <v>282160</v>
      </c>
    </row>
    <row r="329" spans="1:18" x14ac:dyDescent="0.25">
      <c r="A329" s="170">
        <v>45594</v>
      </c>
      <c r="B329" s="116">
        <v>613.95000000000005</v>
      </c>
      <c r="C329" s="116">
        <v>610.29999999999995</v>
      </c>
      <c r="D329" s="116">
        <v>600.5</v>
      </c>
      <c r="E329" s="116">
        <v>607.9</v>
      </c>
      <c r="F329" s="116">
        <v>610.29999999999995</v>
      </c>
      <c r="G329">
        <v>22365</v>
      </c>
      <c r="H329" s="116"/>
      <c r="I329" s="116"/>
      <c r="L329" s="170">
        <v>45594</v>
      </c>
      <c r="M329" s="116">
        <v>609.9</v>
      </c>
      <c r="N329" s="116">
        <v>614.54999999999995</v>
      </c>
      <c r="O329" s="116">
        <v>600.25</v>
      </c>
      <c r="P329" s="116">
        <v>608.75</v>
      </c>
      <c r="Q329" s="116">
        <v>609.9</v>
      </c>
      <c r="R329">
        <v>190087</v>
      </c>
    </row>
    <row r="330" spans="1:18" x14ac:dyDescent="0.25">
      <c r="A330" s="170">
        <v>45595</v>
      </c>
      <c r="B330" s="116">
        <v>635</v>
      </c>
      <c r="C330" s="116">
        <v>633.35</v>
      </c>
      <c r="D330" s="116">
        <v>608</v>
      </c>
      <c r="E330" s="116">
        <v>619.95000000000005</v>
      </c>
      <c r="F330" s="116">
        <v>633.35</v>
      </c>
      <c r="G330">
        <v>29577</v>
      </c>
      <c r="H330" s="116"/>
      <c r="I330" s="116"/>
      <c r="L330" s="170">
        <v>45595</v>
      </c>
      <c r="M330" s="116">
        <v>633.29999999999995</v>
      </c>
      <c r="N330" s="116">
        <v>635.70000000000005</v>
      </c>
      <c r="O330" s="116">
        <v>606.95000000000005</v>
      </c>
      <c r="P330" s="116">
        <v>614.54999999999995</v>
      </c>
      <c r="Q330" s="116">
        <v>633.29999999999995</v>
      </c>
      <c r="R330">
        <v>193610</v>
      </c>
    </row>
    <row r="331" spans="1:18" x14ac:dyDescent="0.25">
      <c r="A331" s="170">
        <v>45596</v>
      </c>
      <c r="B331" s="116">
        <v>655</v>
      </c>
      <c r="C331" s="116">
        <v>645.04999999999995</v>
      </c>
      <c r="D331" s="116">
        <v>628.65</v>
      </c>
      <c r="E331" s="116">
        <v>639.95000000000005</v>
      </c>
      <c r="F331" s="116">
        <v>645.04999999999995</v>
      </c>
      <c r="G331">
        <v>14206</v>
      </c>
      <c r="H331" s="116"/>
      <c r="I331" s="116"/>
      <c r="L331" s="170">
        <v>45596</v>
      </c>
      <c r="M331" s="116">
        <v>644.25</v>
      </c>
      <c r="N331" s="116">
        <v>654.15</v>
      </c>
      <c r="O331" s="116">
        <v>628.79999999999995</v>
      </c>
      <c r="P331" s="116">
        <v>630</v>
      </c>
      <c r="Q331" s="116">
        <v>644.25</v>
      </c>
      <c r="R331">
        <v>255707</v>
      </c>
    </row>
    <row r="332" spans="1:18" x14ac:dyDescent="0.25">
      <c r="A332" s="170">
        <v>45597</v>
      </c>
      <c r="B332" s="116">
        <v>674.35</v>
      </c>
      <c r="C332" s="116">
        <v>660.7</v>
      </c>
      <c r="D332" s="116">
        <v>652.6</v>
      </c>
      <c r="E332" s="116">
        <v>674.35</v>
      </c>
      <c r="F332" s="116">
        <v>660.7</v>
      </c>
      <c r="G332">
        <v>9292</v>
      </c>
      <c r="H332" s="116"/>
      <c r="I332" s="116"/>
      <c r="L332" s="170">
        <v>45597</v>
      </c>
      <c r="M332" s="116">
        <v>660.65</v>
      </c>
      <c r="N332" s="116">
        <v>664.3</v>
      </c>
      <c r="O332" s="116">
        <v>653</v>
      </c>
      <c r="P332" s="116">
        <v>658</v>
      </c>
      <c r="Q332" s="116">
        <v>660.65</v>
      </c>
      <c r="R332">
        <v>48863</v>
      </c>
    </row>
    <row r="333" spans="1:18" x14ac:dyDescent="0.25">
      <c r="A333" s="170">
        <v>45600</v>
      </c>
      <c r="B333" s="116">
        <v>667.95</v>
      </c>
      <c r="C333" s="116">
        <v>632.65</v>
      </c>
      <c r="D333" s="116">
        <v>630</v>
      </c>
      <c r="E333" s="116">
        <v>667.95</v>
      </c>
      <c r="F333" s="116">
        <v>632.65</v>
      </c>
      <c r="G333">
        <v>25359</v>
      </c>
      <c r="H333" s="116"/>
      <c r="I333" s="116"/>
      <c r="L333" s="170">
        <v>45600</v>
      </c>
      <c r="M333" s="116">
        <v>632.95000000000005</v>
      </c>
      <c r="N333" s="116">
        <v>666</v>
      </c>
      <c r="O333" s="116">
        <v>630</v>
      </c>
      <c r="P333" s="116">
        <v>666</v>
      </c>
      <c r="Q333" s="116">
        <v>632.95000000000005</v>
      </c>
      <c r="R333">
        <v>179334</v>
      </c>
    </row>
    <row r="334" spans="1:18" x14ac:dyDescent="0.25">
      <c r="A334" s="170">
        <v>45601</v>
      </c>
      <c r="B334" s="116">
        <v>638.20000000000005</v>
      </c>
      <c r="C334" s="116">
        <v>632.85</v>
      </c>
      <c r="D334" s="116">
        <v>625.54999999999995</v>
      </c>
      <c r="E334" s="116">
        <v>631.1</v>
      </c>
      <c r="F334" s="116">
        <v>632.85</v>
      </c>
      <c r="G334">
        <v>6798</v>
      </c>
      <c r="H334" s="116"/>
      <c r="I334" s="116"/>
      <c r="L334" s="170">
        <v>45601</v>
      </c>
      <c r="M334" s="116">
        <v>633.04999999999995</v>
      </c>
      <c r="N334" s="116">
        <v>638.4</v>
      </c>
      <c r="O334" s="116">
        <v>625.20000000000005</v>
      </c>
      <c r="P334" s="116">
        <v>633</v>
      </c>
      <c r="Q334" s="116">
        <v>633.04999999999995</v>
      </c>
      <c r="R334">
        <v>93751</v>
      </c>
    </row>
    <row r="335" spans="1:18" x14ac:dyDescent="0.25">
      <c r="A335" s="170">
        <v>45602</v>
      </c>
      <c r="B335" s="116">
        <v>660.15</v>
      </c>
      <c r="C335" s="116">
        <v>643.70000000000005</v>
      </c>
      <c r="D335" s="116">
        <v>635</v>
      </c>
      <c r="E335" s="116">
        <v>644.70000000000005</v>
      </c>
      <c r="F335" s="116">
        <v>643.70000000000005</v>
      </c>
      <c r="G335">
        <v>24578</v>
      </c>
      <c r="H335" s="116"/>
      <c r="I335" s="116"/>
      <c r="L335" s="170">
        <v>45602</v>
      </c>
      <c r="M335" s="116">
        <v>643.5</v>
      </c>
      <c r="N335" s="116">
        <v>661.7</v>
      </c>
      <c r="O335" s="116">
        <v>634</v>
      </c>
      <c r="P335" s="116">
        <v>635</v>
      </c>
      <c r="Q335" s="116">
        <v>643.5</v>
      </c>
      <c r="R335">
        <v>770542</v>
      </c>
    </row>
    <row r="336" spans="1:18" x14ac:dyDescent="0.25">
      <c r="A336" s="170">
        <v>45603</v>
      </c>
      <c r="B336" s="116">
        <v>661.95</v>
      </c>
      <c r="C336" s="116">
        <v>659.5</v>
      </c>
      <c r="D336" s="116">
        <v>644.04999999999995</v>
      </c>
      <c r="E336" s="116">
        <v>650</v>
      </c>
      <c r="F336" s="116">
        <v>659.5</v>
      </c>
      <c r="G336">
        <v>32986</v>
      </c>
      <c r="H336" s="116"/>
      <c r="I336" s="116"/>
      <c r="L336" s="170">
        <v>45603</v>
      </c>
      <c r="M336" s="116">
        <v>659.8</v>
      </c>
      <c r="N336" s="116">
        <v>661.85</v>
      </c>
      <c r="O336" s="116">
        <v>644.4</v>
      </c>
      <c r="P336" s="116">
        <v>645</v>
      </c>
      <c r="Q336" s="116">
        <v>659.8</v>
      </c>
      <c r="R336">
        <v>272602</v>
      </c>
    </row>
    <row r="337" spans="1:18" x14ac:dyDescent="0.25">
      <c r="A337" s="170">
        <v>45604</v>
      </c>
      <c r="B337" s="116">
        <v>670</v>
      </c>
      <c r="C337" s="116">
        <v>662.05</v>
      </c>
      <c r="D337" s="116">
        <v>651</v>
      </c>
      <c r="E337" s="116">
        <v>670</v>
      </c>
      <c r="F337" s="116">
        <v>662.05</v>
      </c>
      <c r="G337">
        <v>13299</v>
      </c>
      <c r="H337" s="116"/>
      <c r="I337" s="116"/>
      <c r="L337" s="170">
        <v>45604</v>
      </c>
      <c r="M337" s="116">
        <v>661.35</v>
      </c>
      <c r="N337" s="116">
        <v>668.9</v>
      </c>
      <c r="O337" s="116">
        <v>650.85</v>
      </c>
      <c r="P337" s="116">
        <v>664.7</v>
      </c>
      <c r="Q337" s="116">
        <v>661.35</v>
      </c>
      <c r="R337">
        <v>394510</v>
      </c>
    </row>
    <row r="338" spans="1:18" x14ac:dyDescent="0.25">
      <c r="A338" s="170">
        <v>45607</v>
      </c>
      <c r="B338" s="116">
        <v>664.95</v>
      </c>
      <c r="C338" s="116">
        <v>650.5</v>
      </c>
      <c r="D338" s="116">
        <v>647.54999999999995</v>
      </c>
      <c r="E338" s="116">
        <v>662.05</v>
      </c>
      <c r="F338" s="116">
        <v>650.5</v>
      </c>
      <c r="G338">
        <v>29441</v>
      </c>
      <c r="H338" s="116"/>
      <c r="I338" s="116"/>
      <c r="L338" s="170">
        <v>45607</v>
      </c>
      <c r="M338" s="116">
        <v>650.20000000000005</v>
      </c>
      <c r="N338" s="116">
        <v>663.95</v>
      </c>
      <c r="O338" s="116">
        <v>646.85</v>
      </c>
      <c r="P338" s="116">
        <v>663.95</v>
      </c>
      <c r="Q338" s="116">
        <v>650.20000000000005</v>
      </c>
      <c r="R338">
        <v>117778</v>
      </c>
    </row>
    <row r="339" spans="1:18" x14ac:dyDescent="0.25">
      <c r="A339" s="170">
        <v>45608</v>
      </c>
      <c r="B339" s="116">
        <v>656.65</v>
      </c>
      <c r="C339" s="116">
        <v>634.25</v>
      </c>
      <c r="D339" s="116">
        <v>631</v>
      </c>
      <c r="E339" s="116">
        <v>650</v>
      </c>
      <c r="F339" s="116">
        <v>634.25</v>
      </c>
      <c r="G339">
        <v>15495</v>
      </c>
      <c r="H339" s="116"/>
      <c r="I339" s="116"/>
      <c r="L339" s="170">
        <v>45608</v>
      </c>
      <c r="M339" s="116">
        <v>633</v>
      </c>
      <c r="N339" s="116">
        <v>655.95</v>
      </c>
      <c r="O339" s="116">
        <v>630.04999999999995</v>
      </c>
      <c r="P339" s="116">
        <v>652</v>
      </c>
      <c r="Q339" s="116">
        <v>633</v>
      </c>
      <c r="R339">
        <v>100063</v>
      </c>
    </row>
    <row r="340" spans="1:18" x14ac:dyDescent="0.25">
      <c r="A340" s="170">
        <v>45609</v>
      </c>
      <c r="B340" s="116">
        <v>634.85</v>
      </c>
      <c r="C340" s="116">
        <v>613.65</v>
      </c>
      <c r="D340" s="116">
        <v>611.29999999999995</v>
      </c>
      <c r="E340" s="116">
        <v>629.15</v>
      </c>
      <c r="F340" s="116">
        <v>613.65</v>
      </c>
      <c r="G340">
        <v>26493</v>
      </c>
      <c r="H340" s="116"/>
      <c r="I340" s="116"/>
      <c r="L340" s="170">
        <v>45609</v>
      </c>
      <c r="M340" s="116">
        <v>614.1</v>
      </c>
      <c r="N340" s="116">
        <v>634.29999999999995</v>
      </c>
      <c r="O340" s="116">
        <v>611.35</v>
      </c>
      <c r="P340" s="116">
        <v>629.79999999999995</v>
      </c>
      <c r="Q340" s="116">
        <v>614.1</v>
      </c>
      <c r="R340">
        <v>130838</v>
      </c>
    </row>
    <row r="341" spans="1:18" x14ac:dyDescent="0.25">
      <c r="A341" s="170">
        <v>45610</v>
      </c>
      <c r="B341" s="116">
        <v>636.4</v>
      </c>
      <c r="C341" s="116">
        <v>628.95000000000005</v>
      </c>
      <c r="D341" s="116">
        <v>616.70000000000005</v>
      </c>
      <c r="E341" s="116">
        <v>624.95000000000005</v>
      </c>
      <c r="F341" s="116">
        <v>628.95000000000005</v>
      </c>
      <c r="G341">
        <v>12086</v>
      </c>
      <c r="H341" s="116"/>
      <c r="I341" s="116"/>
      <c r="L341" s="170">
        <v>45610</v>
      </c>
      <c r="M341" s="116">
        <v>629.95000000000005</v>
      </c>
      <c r="N341" s="116">
        <v>636.45000000000005</v>
      </c>
      <c r="O341" s="116">
        <v>611.20000000000005</v>
      </c>
      <c r="P341" s="116">
        <v>611.20000000000005</v>
      </c>
      <c r="Q341" s="116">
        <v>629.95000000000005</v>
      </c>
      <c r="R341">
        <v>142998</v>
      </c>
    </row>
    <row r="342" spans="1:18" x14ac:dyDescent="0.25">
      <c r="A342" s="170">
        <v>45614</v>
      </c>
      <c r="B342" s="116">
        <v>635</v>
      </c>
      <c r="C342" s="116">
        <v>622.35</v>
      </c>
      <c r="D342" s="116">
        <v>619.15</v>
      </c>
      <c r="E342" s="116">
        <v>631.70000000000005</v>
      </c>
      <c r="F342" s="116">
        <v>622.35</v>
      </c>
      <c r="G342">
        <v>7522</v>
      </c>
      <c r="H342" s="116"/>
      <c r="I342" s="116"/>
      <c r="L342" s="170">
        <v>45614</v>
      </c>
      <c r="M342" s="116">
        <v>623.1</v>
      </c>
      <c r="N342" s="116">
        <v>639</v>
      </c>
      <c r="O342" s="116">
        <v>618.4</v>
      </c>
      <c r="P342" s="116">
        <v>631.04999999999995</v>
      </c>
      <c r="Q342" s="116">
        <v>623.1</v>
      </c>
      <c r="R342">
        <v>100989</v>
      </c>
    </row>
    <row r="343" spans="1:18" x14ac:dyDescent="0.25">
      <c r="A343" s="170">
        <v>45615</v>
      </c>
      <c r="B343" s="116">
        <v>642.85</v>
      </c>
      <c r="C343" s="116">
        <v>637.45000000000005</v>
      </c>
      <c r="D343" s="116">
        <v>630.15</v>
      </c>
      <c r="E343" s="116">
        <v>635</v>
      </c>
      <c r="F343" s="116">
        <v>637.45000000000005</v>
      </c>
      <c r="G343">
        <v>6956</v>
      </c>
      <c r="H343" s="116"/>
      <c r="I343" s="116"/>
      <c r="L343" s="170">
        <v>45615</v>
      </c>
      <c r="M343" s="116">
        <v>636.75</v>
      </c>
      <c r="N343" s="116">
        <v>642.4</v>
      </c>
      <c r="O343" s="116">
        <v>624.95000000000005</v>
      </c>
      <c r="P343" s="116">
        <v>624.95000000000005</v>
      </c>
      <c r="Q343" s="116">
        <v>636.75</v>
      </c>
      <c r="R343">
        <v>89418</v>
      </c>
    </row>
    <row r="344" spans="1:18" x14ac:dyDescent="0.25">
      <c r="A344" s="170">
        <v>45617</v>
      </c>
      <c r="B344" s="116">
        <v>644.9</v>
      </c>
      <c r="C344" s="116">
        <v>622.95000000000005</v>
      </c>
      <c r="D344" s="116">
        <v>621</v>
      </c>
      <c r="E344" s="116">
        <v>644.9</v>
      </c>
      <c r="F344" s="116">
        <v>622.95000000000005</v>
      </c>
      <c r="G344">
        <v>13144</v>
      </c>
      <c r="H344" s="116"/>
      <c r="I344" s="116"/>
      <c r="L344" s="170">
        <v>45617</v>
      </c>
      <c r="M344" s="116">
        <v>622.95000000000005</v>
      </c>
      <c r="N344" s="116">
        <v>634.85</v>
      </c>
      <c r="O344" s="116">
        <v>621</v>
      </c>
      <c r="P344" s="116">
        <v>634.85</v>
      </c>
      <c r="Q344" s="116">
        <v>622.95000000000005</v>
      </c>
      <c r="R344">
        <v>171439</v>
      </c>
    </row>
    <row r="345" spans="1:18" x14ac:dyDescent="0.25">
      <c r="A345" s="170">
        <v>45618</v>
      </c>
      <c r="B345" s="116">
        <v>634</v>
      </c>
      <c r="C345" s="116">
        <v>629.35</v>
      </c>
      <c r="D345" s="116">
        <v>619.75</v>
      </c>
      <c r="E345" s="116">
        <v>626.35</v>
      </c>
      <c r="F345" s="116">
        <v>629.35</v>
      </c>
      <c r="G345">
        <v>13864</v>
      </c>
      <c r="H345" s="116"/>
      <c r="I345" s="116"/>
      <c r="L345" s="170">
        <v>45618</v>
      </c>
      <c r="M345" s="116">
        <v>628.9</v>
      </c>
      <c r="N345" s="116">
        <v>630.79999999999995</v>
      </c>
      <c r="O345" s="116">
        <v>619</v>
      </c>
      <c r="P345" s="116">
        <v>628.79999999999995</v>
      </c>
      <c r="Q345" s="116">
        <v>628.9</v>
      </c>
      <c r="R345">
        <v>288289</v>
      </c>
    </row>
    <row r="346" spans="1:18" x14ac:dyDescent="0.25">
      <c r="A346" s="170">
        <v>45621</v>
      </c>
      <c r="B346" s="116">
        <v>650</v>
      </c>
      <c r="C346" s="116">
        <v>632</v>
      </c>
      <c r="D346" s="116">
        <v>630</v>
      </c>
      <c r="E346" s="116">
        <v>650</v>
      </c>
      <c r="F346" s="116">
        <v>632</v>
      </c>
      <c r="G346">
        <v>22984</v>
      </c>
      <c r="H346" s="116"/>
      <c r="I346" s="116"/>
      <c r="L346" s="170">
        <v>45621</v>
      </c>
      <c r="M346" s="116">
        <v>632.04999999999995</v>
      </c>
      <c r="N346" s="116">
        <v>646.9</v>
      </c>
      <c r="O346" s="116">
        <v>630.6</v>
      </c>
      <c r="P346" s="116">
        <v>646.9</v>
      </c>
      <c r="Q346" s="116">
        <v>632.04999999999995</v>
      </c>
      <c r="R346">
        <v>124693</v>
      </c>
    </row>
    <row r="347" spans="1:18" x14ac:dyDescent="0.25">
      <c r="A347" s="170">
        <v>45622</v>
      </c>
      <c r="B347" s="116">
        <v>637.1</v>
      </c>
      <c r="C347" s="116">
        <v>630.70000000000005</v>
      </c>
      <c r="D347" s="116">
        <v>625.45000000000005</v>
      </c>
      <c r="E347" s="116">
        <v>636</v>
      </c>
      <c r="F347" s="116">
        <v>630.70000000000005</v>
      </c>
      <c r="G347">
        <v>5179</v>
      </c>
      <c r="H347" s="116"/>
      <c r="I347" s="116"/>
      <c r="L347" s="170">
        <v>45622</v>
      </c>
      <c r="M347" s="116">
        <v>630.95000000000005</v>
      </c>
      <c r="N347" s="116">
        <v>638</v>
      </c>
      <c r="O347" s="116">
        <v>625.95000000000005</v>
      </c>
      <c r="P347" s="116">
        <v>636</v>
      </c>
      <c r="Q347" s="116">
        <v>630.95000000000005</v>
      </c>
      <c r="R347">
        <v>126734</v>
      </c>
    </row>
    <row r="348" spans="1:18" x14ac:dyDescent="0.25">
      <c r="A348" s="170">
        <v>45623</v>
      </c>
      <c r="B348" s="116">
        <v>660</v>
      </c>
      <c r="C348" s="116">
        <v>655.20000000000005</v>
      </c>
      <c r="D348" s="116">
        <v>632.04999999999995</v>
      </c>
      <c r="E348" s="116">
        <v>636.95000000000005</v>
      </c>
      <c r="F348" s="116">
        <v>655.20000000000005</v>
      </c>
      <c r="G348">
        <v>11878</v>
      </c>
      <c r="H348" s="116"/>
      <c r="I348" s="116"/>
      <c r="L348" s="170">
        <v>45623</v>
      </c>
      <c r="M348" s="116">
        <v>655.5</v>
      </c>
      <c r="N348" s="116">
        <v>660.3</v>
      </c>
      <c r="O348" s="116">
        <v>631.1</v>
      </c>
      <c r="P348" s="116">
        <v>632.1</v>
      </c>
      <c r="Q348" s="116">
        <v>655.5</v>
      </c>
      <c r="R348">
        <v>311789</v>
      </c>
    </row>
    <row r="349" spans="1:18" x14ac:dyDescent="0.25">
      <c r="A349" s="170">
        <v>45624</v>
      </c>
      <c r="B349" s="116">
        <v>705.6</v>
      </c>
      <c r="C349" s="116">
        <v>693.7</v>
      </c>
      <c r="D349" s="116">
        <v>664.5</v>
      </c>
      <c r="E349" s="116">
        <v>667.75</v>
      </c>
      <c r="F349" s="116">
        <v>693.7</v>
      </c>
      <c r="G349">
        <v>50313</v>
      </c>
      <c r="H349" s="116"/>
      <c r="I349" s="116"/>
      <c r="L349" s="170">
        <v>45624</v>
      </c>
      <c r="M349" s="116">
        <v>693.2</v>
      </c>
      <c r="N349" s="116">
        <v>705.1</v>
      </c>
      <c r="O349" s="116">
        <v>661.6</v>
      </c>
      <c r="P349" s="116">
        <v>661.6</v>
      </c>
      <c r="Q349" s="116">
        <v>693.2</v>
      </c>
      <c r="R349">
        <v>641956</v>
      </c>
    </row>
    <row r="350" spans="1:18" x14ac:dyDescent="0.25">
      <c r="A350" s="170">
        <v>45625</v>
      </c>
      <c r="B350" s="116">
        <v>702.9</v>
      </c>
      <c r="C350" s="116">
        <v>698.75</v>
      </c>
      <c r="D350" s="116">
        <v>685.1</v>
      </c>
      <c r="E350" s="116">
        <v>695.2</v>
      </c>
      <c r="F350" s="116">
        <v>698.75</v>
      </c>
      <c r="G350">
        <v>30984</v>
      </c>
      <c r="H350" s="116"/>
      <c r="I350" s="116"/>
      <c r="L350" s="170">
        <v>45625</v>
      </c>
      <c r="M350" s="116">
        <v>699.25</v>
      </c>
      <c r="N350" s="116">
        <v>703</v>
      </c>
      <c r="O350" s="116">
        <v>685.25</v>
      </c>
      <c r="P350" s="116">
        <v>699.7</v>
      </c>
      <c r="Q350" s="116">
        <v>699.25</v>
      </c>
      <c r="R350">
        <v>201738</v>
      </c>
    </row>
    <row r="351" spans="1:18" x14ac:dyDescent="0.25">
      <c r="A351" s="170">
        <v>45628</v>
      </c>
      <c r="B351" s="116">
        <v>736.3</v>
      </c>
      <c r="C351" s="116">
        <v>733.1</v>
      </c>
      <c r="D351" s="116">
        <v>688.9</v>
      </c>
      <c r="E351" s="116">
        <v>697.05</v>
      </c>
      <c r="F351" s="116">
        <v>733.1</v>
      </c>
      <c r="G351">
        <v>26787</v>
      </c>
      <c r="H351" s="116"/>
      <c r="I351" s="116"/>
      <c r="L351" s="170">
        <v>45628</v>
      </c>
      <c r="M351" s="116">
        <v>731.95</v>
      </c>
      <c r="N351" s="116">
        <v>735</v>
      </c>
      <c r="O351" s="116">
        <v>686.4</v>
      </c>
      <c r="P351" s="116">
        <v>697.95</v>
      </c>
      <c r="Q351" s="116">
        <v>731.95</v>
      </c>
      <c r="R351">
        <v>545983</v>
      </c>
    </row>
    <row r="352" spans="1:18" x14ac:dyDescent="0.25">
      <c r="A352" s="170">
        <v>45629</v>
      </c>
      <c r="B352" s="116">
        <v>743.15</v>
      </c>
      <c r="C352" s="116">
        <v>710.6</v>
      </c>
      <c r="D352" s="116">
        <v>708.3</v>
      </c>
      <c r="E352" s="116">
        <v>735.05</v>
      </c>
      <c r="F352" s="116">
        <v>710.6</v>
      </c>
      <c r="G352">
        <v>40019</v>
      </c>
      <c r="H352" s="116"/>
      <c r="I352" s="116"/>
      <c r="L352" s="170">
        <v>45629</v>
      </c>
      <c r="M352" s="116">
        <v>710.3</v>
      </c>
      <c r="N352" s="116">
        <v>744.25</v>
      </c>
      <c r="O352" s="116">
        <v>708</v>
      </c>
      <c r="P352" s="116">
        <v>738</v>
      </c>
      <c r="Q352" s="116">
        <v>710.3</v>
      </c>
      <c r="R352">
        <v>298598</v>
      </c>
    </row>
    <row r="353" spans="1:18" x14ac:dyDescent="0.25">
      <c r="A353" s="170">
        <v>45630</v>
      </c>
      <c r="B353" s="116">
        <v>717.15</v>
      </c>
      <c r="C353" s="116">
        <v>693.15</v>
      </c>
      <c r="D353" s="116">
        <v>691.55</v>
      </c>
      <c r="E353" s="116">
        <v>713</v>
      </c>
      <c r="F353" s="116">
        <v>693.15</v>
      </c>
      <c r="G353">
        <v>47097</v>
      </c>
      <c r="H353" s="116"/>
      <c r="I353" s="116"/>
      <c r="L353" s="170">
        <v>45630</v>
      </c>
      <c r="M353" s="116">
        <v>693.1</v>
      </c>
      <c r="N353" s="116">
        <v>718.6</v>
      </c>
      <c r="O353" s="116">
        <v>691.5</v>
      </c>
      <c r="P353" s="116">
        <v>712.8</v>
      </c>
      <c r="Q353" s="116">
        <v>693.1</v>
      </c>
      <c r="R353">
        <v>528217</v>
      </c>
    </row>
    <row r="354" spans="1:18" x14ac:dyDescent="0.25">
      <c r="A354" s="170">
        <v>45631</v>
      </c>
      <c r="B354" s="116">
        <v>702.8</v>
      </c>
      <c r="C354" s="116">
        <v>676.1</v>
      </c>
      <c r="D354" s="116">
        <v>671.3</v>
      </c>
      <c r="E354" s="116">
        <v>695</v>
      </c>
      <c r="F354" s="116">
        <v>676.1</v>
      </c>
      <c r="G354">
        <v>42241</v>
      </c>
      <c r="H354" s="116"/>
      <c r="I354" s="116"/>
      <c r="L354" s="170">
        <v>45631</v>
      </c>
      <c r="M354" s="116">
        <v>676.45</v>
      </c>
      <c r="N354" s="116">
        <v>702.7</v>
      </c>
      <c r="O354" s="116">
        <v>671.05</v>
      </c>
      <c r="P354" s="116">
        <v>699.4</v>
      </c>
      <c r="Q354" s="116">
        <v>676.45</v>
      </c>
      <c r="R354">
        <v>628882</v>
      </c>
    </row>
    <row r="355" spans="1:18" x14ac:dyDescent="0.25">
      <c r="A355" s="170">
        <v>45632</v>
      </c>
      <c r="B355" s="116">
        <v>693.6</v>
      </c>
      <c r="C355" s="116">
        <v>670.45</v>
      </c>
      <c r="D355" s="116">
        <v>667.1</v>
      </c>
      <c r="E355" s="116">
        <v>693.6</v>
      </c>
      <c r="F355" s="116">
        <v>670.45</v>
      </c>
      <c r="G355">
        <v>20604</v>
      </c>
      <c r="H355" s="116"/>
      <c r="I355" s="116"/>
      <c r="L355" s="170">
        <v>45632</v>
      </c>
      <c r="M355" s="116">
        <v>673.65</v>
      </c>
      <c r="N355" s="116">
        <v>682.95</v>
      </c>
      <c r="O355" s="116">
        <v>671.1</v>
      </c>
      <c r="P355" s="116">
        <v>676.45</v>
      </c>
      <c r="Q355" s="116">
        <v>673.65</v>
      </c>
      <c r="R355">
        <v>269233</v>
      </c>
    </row>
    <row r="356" spans="1:18" x14ac:dyDescent="0.25">
      <c r="A356" s="170">
        <v>45635</v>
      </c>
      <c r="B356" s="116">
        <v>687.15</v>
      </c>
      <c r="C356" s="116">
        <v>662.75</v>
      </c>
      <c r="D356" s="116">
        <v>660.95</v>
      </c>
      <c r="E356" s="116">
        <v>687.15</v>
      </c>
      <c r="F356" s="116">
        <v>662.75</v>
      </c>
      <c r="G356">
        <v>13988</v>
      </c>
      <c r="H356" s="116"/>
      <c r="I356" s="116"/>
      <c r="L356" s="170">
        <v>45635</v>
      </c>
      <c r="M356" s="116">
        <v>663.65</v>
      </c>
      <c r="N356" s="116">
        <v>678.85</v>
      </c>
      <c r="O356" s="116">
        <v>662.15</v>
      </c>
      <c r="P356" s="116">
        <v>677</v>
      </c>
      <c r="Q356" s="116">
        <v>663.65</v>
      </c>
      <c r="R356">
        <v>236002</v>
      </c>
    </row>
    <row r="357" spans="1:18" x14ac:dyDescent="0.25">
      <c r="A357" s="170">
        <v>45636</v>
      </c>
      <c r="B357" s="116">
        <v>672.45</v>
      </c>
      <c r="C357" s="116">
        <v>663.95</v>
      </c>
      <c r="D357" s="116">
        <v>662</v>
      </c>
      <c r="E357" s="116">
        <v>662.8</v>
      </c>
      <c r="F357" s="116">
        <v>663.95</v>
      </c>
      <c r="G357">
        <v>15464</v>
      </c>
      <c r="H357" s="116"/>
      <c r="I357" s="116"/>
      <c r="L357" s="170">
        <v>45636</v>
      </c>
      <c r="M357" s="116">
        <v>664.75</v>
      </c>
      <c r="N357" s="116">
        <v>673.2</v>
      </c>
      <c r="O357" s="116">
        <v>661.45</v>
      </c>
      <c r="P357" s="116">
        <v>664.6</v>
      </c>
      <c r="Q357" s="116">
        <v>664.75</v>
      </c>
      <c r="R357">
        <v>292118</v>
      </c>
    </row>
    <row r="358" spans="1:18" x14ac:dyDescent="0.25">
      <c r="A358" s="170">
        <v>45637</v>
      </c>
      <c r="B358" s="116">
        <v>680</v>
      </c>
      <c r="C358" s="116">
        <v>670.35</v>
      </c>
      <c r="D358" s="116">
        <v>666.1</v>
      </c>
      <c r="E358" s="116">
        <v>669.95</v>
      </c>
      <c r="F358" s="116">
        <v>670.35</v>
      </c>
      <c r="G358">
        <v>10966</v>
      </c>
      <c r="H358" s="116"/>
      <c r="I358" s="116"/>
      <c r="L358" s="170">
        <v>45637</v>
      </c>
      <c r="M358" s="116">
        <v>668.95</v>
      </c>
      <c r="N358" s="116">
        <v>680.3</v>
      </c>
      <c r="O358" s="116">
        <v>666.25</v>
      </c>
      <c r="P358" s="116">
        <v>667</v>
      </c>
      <c r="Q358" s="116">
        <v>668.95</v>
      </c>
      <c r="R358">
        <v>231732</v>
      </c>
    </row>
    <row r="359" spans="1:18" x14ac:dyDescent="0.25">
      <c r="A359" s="170">
        <v>45638</v>
      </c>
      <c r="B359" s="116">
        <v>679.2</v>
      </c>
      <c r="C359" s="116">
        <v>661.05</v>
      </c>
      <c r="D359" s="116">
        <v>660</v>
      </c>
      <c r="E359" s="116">
        <v>679.2</v>
      </c>
      <c r="F359" s="116">
        <v>661.05</v>
      </c>
      <c r="G359">
        <v>27967</v>
      </c>
      <c r="H359" s="116"/>
      <c r="I359" s="116"/>
      <c r="L359" s="170">
        <v>45638</v>
      </c>
      <c r="M359" s="116">
        <v>660.9</v>
      </c>
      <c r="N359" s="116">
        <v>674.8</v>
      </c>
      <c r="O359" s="116">
        <v>659.55</v>
      </c>
      <c r="P359" s="116">
        <v>674.8</v>
      </c>
      <c r="Q359" s="116">
        <v>660.9</v>
      </c>
      <c r="R359">
        <v>270956</v>
      </c>
    </row>
    <row r="360" spans="1:18" x14ac:dyDescent="0.25">
      <c r="A360" s="170">
        <v>45639</v>
      </c>
      <c r="B360" s="116">
        <v>666.9</v>
      </c>
      <c r="C360" s="116">
        <v>657.05</v>
      </c>
      <c r="D360" s="116">
        <v>647</v>
      </c>
      <c r="E360" s="116">
        <v>666.9</v>
      </c>
      <c r="F360" s="116">
        <v>657.05</v>
      </c>
      <c r="G360">
        <v>27525</v>
      </c>
      <c r="H360" s="116"/>
      <c r="I360" s="116"/>
      <c r="L360" s="170">
        <v>45639</v>
      </c>
      <c r="M360" s="116">
        <v>657.5</v>
      </c>
      <c r="N360" s="116">
        <v>663.35</v>
      </c>
      <c r="O360" s="116">
        <v>647.35</v>
      </c>
      <c r="P360" s="116">
        <v>660.9</v>
      </c>
      <c r="Q360" s="116">
        <v>657.5</v>
      </c>
      <c r="R360">
        <v>220083</v>
      </c>
    </row>
    <row r="361" spans="1:18" x14ac:dyDescent="0.25">
      <c r="A361" s="170">
        <v>45642</v>
      </c>
      <c r="B361" s="116">
        <v>677</v>
      </c>
      <c r="C361" s="116">
        <v>670.3</v>
      </c>
      <c r="D361" s="116">
        <v>662.55</v>
      </c>
      <c r="E361" s="116">
        <v>663.85</v>
      </c>
      <c r="F361" s="116">
        <v>670.3</v>
      </c>
      <c r="G361">
        <v>22082</v>
      </c>
      <c r="H361" s="116"/>
      <c r="I361" s="116"/>
      <c r="L361" s="170">
        <v>45642</v>
      </c>
      <c r="M361" s="116">
        <v>670.7</v>
      </c>
      <c r="N361" s="116">
        <v>677.45</v>
      </c>
      <c r="O361" s="116">
        <v>658.1</v>
      </c>
      <c r="P361" s="116">
        <v>658.1</v>
      </c>
      <c r="Q361" s="116">
        <v>670.7</v>
      </c>
      <c r="R361">
        <v>222958</v>
      </c>
    </row>
    <row r="362" spans="1:18" x14ac:dyDescent="0.25">
      <c r="A362" s="170">
        <v>45643</v>
      </c>
      <c r="B362" s="116">
        <v>674.55</v>
      </c>
      <c r="C362" s="116">
        <v>664.35</v>
      </c>
      <c r="D362" s="116">
        <v>661.6</v>
      </c>
      <c r="E362" s="116">
        <v>671.25</v>
      </c>
      <c r="F362" s="116">
        <v>664.35</v>
      </c>
      <c r="G362">
        <v>19196</v>
      </c>
      <c r="H362" s="116"/>
      <c r="I362" s="116"/>
      <c r="L362" s="170">
        <v>45643</v>
      </c>
      <c r="M362" s="116">
        <v>667.4</v>
      </c>
      <c r="N362" s="116">
        <v>674.6</v>
      </c>
      <c r="O362" s="116">
        <v>664.5</v>
      </c>
      <c r="P362" s="116">
        <v>673</v>
      </c>
      <c r="Q362" s="116">
        <v>667.4</v>
      </c>
      <c r="R362">
        <v>146200</v>
      </c>
    </row>
    <row r="363" spans="1:18" x14ac:dyDescent="0.25">
      <c r="A363" s="170">
        <v>45644</v>
      </c>
      <c r="B363" s="116">
        <v>678.75</v>
      </c>
      <c r="C363" s="116">
        <v>666.5</v>
      </c>
      <c r="D363" s="116">
        <v>658.2</v>
      </c>
      <c r="E363" s="116">
        <v>678.75</v>
      </c>
      <c r="F363" s="116">
        <v>666.5</v>
      </c>
      <c r="G363">
        <v>14566</v>
      </c>
      <c r="H363" s="116"/>
      <c r="I363" s="116"/>
      <c r="L363" s="170">
        <v>45644</v>
      </c>
      <c r="M363" s="116">
        <v>665.55</v>
      </c>
      <c r="N363" s="116">
        <v>675.95</v>
      </c>
      <c r="O363" s="116">
        <v>657.95</v>
      </c>
      <c r="P363" s="116">
        <v>667.5</v>
      </c>
      <c r="Q363" s="116">
        <v>665.55</v>
      </c>
      <c r="R363">
        <v>161109</v>
      </c>
    </row>
    <row r="364" spans="1:18" x14ac:dyDescent="0.25">
      <c r="A364" s="170">
        <v>45645</v>
      </c>
      <c r="B364" s="116">
        <v>669.6</v>
      </c>
      <c r="C364" s="116">
        <v>667.05</v>
      </c>
      <c r="D364" s="116">
        <v>649.6</v>
      </c>
      <c r="E364" s="116">
        <v>655.04999999999995</v>
      </c>
      <c r="F364" s="116">
        <v>667.05</v>
      </c>
      <c r="G364">
        <v>31906</v>
      </c>
      <c r="H364" s="116"/>
      <c r="I364" s="116"/>
      <c r="L364" s="170">
        <v>45645</v>
      </c>
      <c r="M364" s="116">
        <v>666.55</v>
      </c>
      <c r="N364" s="116">
        <v>669.9</v>
      </c>
      <c r="O364" s="116">
        <v>648.9</v>
      </c>
      <c r="P364" s="116">
        <v>662.95</v>
      </c>
      <c r="Q364" s="116">
        <v>666.55</v>
      </c>
      <c r="R364">
        <v>185251</v>
      </c>
    </row>
    <row r="365" spans="1:18" x14ac:dyDescent="0.25">
      <c r="A365" s="170">
        <v>45646</v>
      </c>
      <c r="B365" s="116">
        <v>688.9</v>
      </c>
      <c r="C365" s="116">
        <v>675.9</v>
      </c>
      <c r="D365" s="116">
        <v>666.75</v>
      </c>
      <c r="E365" s="116">
        <v>669.95</v>
      </c>
      <c r="F365" s="116">
        <v>675.9</v>
      </c>
      <c r="G365">
        <v>55282</v>
      </c>
      <c r="H365" s="116"/>
      <c r="I365" s="116"/>
      <c r="L365" s="170">
        <v>45646</v>
      </c>
      <c r="M365" s="116">
        <v>677.85</v>
      </c>
      <c r="N365" s="116">
        <v>688.7</v>
      </c>
      <c r="O365" s="116">
        <v>666.55</v>
      </c>
      <c r="P365" s="116">
        <v>670</v>
      </c>
      <c r="Q365" s="116">
        <v>677.85</v>
      </c>
      <c r="R365">
        <v>446391</v>
      </c>
    </row>
    <row r="366" spans="1:18" x14ac:dyDescent="0.25">
      <c r="A366" s="170">
        <v>45649</v>
      </c>
      <c r="B366" s="116">
        <v>688.6</v>
      </c>
      <c r="C366" s="116">
        <v>667.25</v>
      </c>
      <c r="D366" s="116">
        <v>663.5</v>
      </c>
      <c r="E366" s="116">
        <v>688.6</v>
      </c>
      <c r="F366" s="116">
        <v>667.25</v>
      </c>
      <c r="G366">
        <v>16121</v>
      </c>
      <c r="H366" s="116"/>
      <c r="I366" s="116"/>
      <c r="L366" s="170">
        <v>45649</v>
      </c>
      <c r="M366" s="116">
        <v>667.85</v>
      </c>
      <c r="N366" s="116">
        <v>683.85</v>
      </c>
      <c r="O366" s="116">
        <v>663</v>
      </c>
      <c r="P366" s="116">
        <v>678.6</v>
      </c>
      <c r="Q366" s="116">
        <v>667.85</v>
      </c>
      <c r="R366">
        <v>156375</v>
      </c>
    </row>
    <row r="367" spans="1:18" x14ac:dyDescent="0.25">
      <c r="A367" s="170">
        <v>45650</v>
      </c>
      <c r="B367" s="116">
        <v>673.85</v>
      </c>
      <c r="C367" s="116">
        <v>671.35</v>
      </c>
      <c r="D367" s="116">
        <v>663.1</v>
      </c>
      <c r="E367" s="116">
        <v>667.45</v>
      </c>
      <c r="F367" s="116">
        <v>671.35</v>
      </c>
      <c r="G367">
        <v>7047</v>
      </c>
      <c r="H367" s="116"/>
      <c r="I367" s="116"/>
      <c r="L367" s="170">
        <v>45650</v>
      </c>
      <c r="M367" s="116">
        <v>671.95</v>
      </c>
      <c r="N367" s="116">
        <v>674</v>
      </c>
      <c r="O367" s="116">
        <v>662.75</v>
      </c>
      <c r="P367" s="116">
        <v>667.85</v>
      </c>
      <c r="Q367" s="116">
        <v>671.95</v>
      </c>
      <c r="R367">
        <v>96424</v>
      </c>
    </row>
    <row r="368" spans="1:18" x14ac:dyDescent="0.25">
      <c r="A368" s="170">
        <v>45652</v>
      </c>
      <c r="B368" s="116">
        <v>695.85</v>
      </c>
      <c r="C368" s="116">
        <v>677.4</v>
      </c>
      <c r="D368" s="116">
        <v>671.25</v>
      </c>
      <c r="E368" s="116">
        <v>679</v>
      </c>
      <c r="F368" s="116">
        <v>677.4</v>
      </c>
      <c r="G368">
        <v>12549</v>
      </c>
      <c r="H368" s="116"/>
      <c r="I368" s="116"/>
      <c r="L368" s="170">
        <v>45652</v>
      </c>
      <c r="M368" s="116">
        <v>677.25</v>
      </c>
      <c r="N368" s="116">
        <v>696.55</v>
      </c>
      <c r="O368" s="116">
        <v>671.9</v>
      </c>
      <c r="P368" s="116">
        <v>672</v>
      </c>
      <c r="Q368" s="116">
        <v>677.25</v>
      </c>
      <c r="R368">
        <v>306798</v>
      </c>
    </row>
    <row r="369" spans="1:18" x14ac:dyDescent="0.25">
      <c r="A369" s="170">
        <v>45653</v>
      </c>
      <c r="B369" s="116">
        <v>682.9</v>
      </c>
      <c r="C369" s="116">
        <v>676.95</v>
      </c>
      <c r="D369" s="116">
        <v>672.85</v>
      </c>
      <c r="E369" s="116">
        <v>680</v>
      </c>
      <c r="F369" s="116">
        <v>676.95</v>
      </c>
      <c r="G369">
        <v>15673</v>
      </c>
      <c r="H369" s="116"/>
      <c r="I369" s="116"/>
      <c r="L369" s="170">
        <v>45653</v>
      </c>
      <c r="M369" s="116">
        <v>676.9</v>
      </c>
      <c r="N369" s="116">
        <v>684.2</v>
      </c>
      <c r="O369" s="116">
        <v>672.95</v>
      </c>
      <c r="P369" s="116">
        <v>679.75</v>
      </c>
      <c r="Q369" s="116">
        <v>676.9</v>
      </c>
      <c r="R369">
        <v>132107</v>
      </c>
    </row>
    <row r="370" spans="1:18" x14ac:dyDescent="0.25">
      <c r="A370" s="170">
        <v>45656</v>
      </c>
      <c r="B370" s="116">
        <v>682.25</v>
      </c>
      <c r="C370" s="116">
        <v>677.85</v>
      </c>
      <c r="D370" s="116">
        <v>661</v>
      </c>
      <c r="E370" s="116">
        <v>676</v>
      </c>
      <c r="F370" s="116">
        <v>677.85</v>
      </c>
      <c r="G370">
        <v>29448</v>
      </c>
      <c r="H370" s="116"/>
      <c r="I370" s="116"/>
      <c r="L370" s="170">
        <v>45656</v>
      </c>
      <c r="M370" s="116">
        <v>678.35</v>
      </c>
      <c r="N370" s="116">
        <v>683</v>
      </c>
      <c r="O370" s="116">
        <v>660.8</v>
      </c>
      <c r="P370" s="116">
        <v>671.15</v>
      </c>
      <c r="Q370" s="116">
        <v>678.35</v>
      </c>
      <c r="R370">
        <v>168032</v>
      </c>
    </row>
    <row r="371" spans="1:18" x14ac:dyDescent="0.25">
      <c r="A371" s="170">
        <v>45657</v>
      </c>
      <c r="B371" s="116">
        <v>673</v>
      </c>
      <c r="C371" s="116">
        <v>669.2</v>
      </c>
      <c r="D371" s="116">
        <v>664.4</v>
      </c>
      <c r="E371" s="116">
        <v>665.05</v>
      </c>
      <c r="F371" s="116">
        <v>669.2</v>
      </c>
      <c r="G371">
        <v>7484</v>
      </c>
      <c r="H371" s="116"/>
      <c r="I371" s="116"/>
      <c r="L371" s="170">
        <v>45657</v>
      </c>
      <c r="M371" s="116">
        <v>669.6</v>
      </c>
      <c r="N371" s="116">
        <v>674</v>
      </c>
      <c r="O371" s="116">
        <v>663.9</v>
      </c>
      <c r="P371" s="116">
        <v>674</v>
      </c>
      <c r="Q371" s="116">
        <v>669.6</v>
      </c>
      <c r="R371">
        <v>98243</v>
      </c>
    </row>
    <row r="372" spans="1:18" x14ac:dyDescent="0.25">
      <c r="A372" s="170">
        <v>45658</v>
      </c>
      <c r="B372" s="116">
        <v>679.05</v>
      </c>
      <c r="C372" s="116">
        <v>673.55</v>
      </c>
      <c r="D372" s="116">
        <v>669.5</v>
      </c>
      <c r="E372" s="116">
        <v>670</v>
      </c>
      <c r="F372" s="116">
        <v>673.55</v>
      </c>
      <c r="G372">
        <v>7366</v>
      </c>
      <c r="H372" s="116"/>
      <c r="I372" s="116"/>
      <c r="L372" s="170">
        <v>45658</v>
      </c>
      <c r="M372" s="116">
        <v>672.75</v>
      </c>
      <c r="N372" s="116">
        <v>679.65</v>
      </c>
      <c r="O372" s="116">
        <v>668.95</v>
      </c>
      <c r="P372" s="116">
        <v>669.6</v>
      </c>
      <c r="Q372" s="116">
        <v>672.75</v>
      </c>
      <c r="R372">
        <v>86458</v>
      </c>
    </row>
    <row r="373" spans="1:18" x14ac:dyDescent="0.25">
      <c r="A373" s="170">
        <v>45659</v>
      </c>
      <c r="B373" s="116">
        <v>678.35</v>
      </c>
      <c r="C373" s="116">
        <v>670.85</v>
      </c>
      <c r="D373" s="116">
        <v>668.5</v>
      </c>
      <c r="E373" s="116">
        <v>677.9</v>
      </c>
      <c r="F373" s="116">
        <v>670.85</v>
      </c>
      <c r="G373">
        <v>15035</v>
      </c>
      <c r="H373" s="116"/>
      <c r="I373" s="116"/>
      <c r="L373" s="170">
        <v>45659</v>
      </c>
      <c r="M373" s="116">
        <v>670.55</v>
      </c>
      <c r="N373" s="116">
        <v>679.5</v>
      </c>
      <c r="O373" s="116">
        <v>668.75</v>
      </c>
      <c r="P373" s="116">
        <v>674.95</v>
      </c>
      <c r="Q373" s="116">
        <v>670.55</v>
      </c>
      <c r="R373">
        <v>93359</v>
      </c>
    </row>
    <row r="374" spans="1:18" x14ac:dyDescent="0.25">
      <c r="A374" s="170">
        <v>45660</v>
      </c>
      <c r="B374" s="116">
        <v>680.35</v>
      </c>
      <c r="C374" s="116">
        <v>667.35</v>
      </c>
      <c r="D374" s="116">
        <v>665.9</v>
      </c>
      <c r="E374" s="116">
        <v>671.05</v>
      </c>
      <c r="F374" s="116">
        <v>667.35</v>
      </c>
      <c r="G374">
        <v>19457</v>
      </c>
      <c r="H374" s="116"/>
      <c r="I374" s="116"/>
      <c r="L374" s="170">
        <v>45660</v>
      </c>
      <c r="M374" s="116">
        <v>667.5</v>
      </c>
      <c r="N374" s="116">
        <v>689.95</v>
      </c>
      <c r="O374" s="116">
        <v>665.55</v>
      </c>
      <c r="P374" s="116">
        <v>672.8</v>
      </c>
      <c r="Q374" s="116">
        <v>667.5</v>
      </c>
      <c r="R374">
        <v>149110</v>
      </c>
    </row>
    <row r="375" spans="1:18" x14ac:dyDescent="0.25">
      <c r="A375" s="170">
        <v>45663</v>
      </c>
      <c r="B375" s="116">
        <v>675.25</v>
      </c>
      <c r="C375" s="116">
        <v>650.35</v>
      </c>
      <c r="D375" s="116">
        <v>644.54999999999995</v>
      </c>
      <c r="E375" s="116">
        <v>664</v>
      </c>
      <c r="F375" s="116">
        <v>650.35</v>
      </c>
      <c r="G375">
        <v>12233</v>
      </c>
      <c r="H375" s="116"/>
      <c r="I375" s="116"/>
      <c r="L375" s="170">
        <v>45663</v>
      </c>
      <c r="M375" s="116">
        <v>649.1</v>
      </c>
      <c r="N375" s="116">
        <v>671.75</v>
      </c>
      <c r="O375" s="116">
        <v>645</v>
      </c>
      <c r="P375" s="116">
        <v>671.75</v>
      </c>
      <c r="Q375" s="116">
        <v>649.1</v>
      </c>
      <c r="R375">
        <v>153393</v>
      </c>
    </row>
    <row r="376" spans="1:18" x14ac:dyDescent="0.25">
      <c r="A376" s="170">
        <v>45664</v>
      </c>
      <c r="B376" s="116">
        <v>654.25</v>
      </c>
      <c r="C376" s="116">
        <v>639.45000000000005</v>
      </c>
      <c r="D376" s="116">
        <v>635.15</v>
      </c>
      <c r="E376" s="116">
        <v>648.6</v>
      </c>
      <c r="F376" s="116">
        <v>639.45000000000005</v>
      </c>
      <c r="G376">
        <v>25308</v>
      </c>
      <c r="H376" s="116"/>
      <c r="I376" s="116"/>
      <c r="L376" s="170">
        <v>45664</v>
      </c>
      <c r="M376" s="116">
        <v>639.70000000000005</v>
      </c>
      <c r="N376" s="116">
        <v>653.79999999999995</v>
      </c>
      <c r="O376" s="116">
        <v>635.20000000000005</v>
      </c>
      <c r="P376" s="116">
        <v>649</v>
      </c>
      <c r="Q376" s="116">
        <v>639.70000000000005</v>
      </c>
      <c r="R376">
        <v>179986</v>
      </c>
    </row>
    <row r="377" spans="1:18" x14ac:dyDescent="0.25">
      <c r="A377" s="170">
        <v>45665</v>
      </c>
      <c r="B377" s="116">
        <v>650</v>
      </c>
      <c r="C377" s="116">
        <v>645.04999999999995</v>
      </c>
      <c r="D377" s="116">
        <v>636.95000000000005</v>
      </c>
      <c r="E377" s="116">
        <v>640.04999999999995</v>
      </c>
      <c r="F377" s="116">
        <v>645.04999999999995</v>
      </c>
      <c r="G377">
        <v>7666</v>
      </c>
      <c r="H377" s="116"/>
      <c r="I377" s="116"/>
      <c r="L377" s="170">
        <v>45665</v>
      </c>
      <c r="M377" s="116">
        <v>645.20000000000005</v>
      </c>
      <c r="N377" s="116">
        <v>650.25</v>
      </c>
      <c r="O377" s="116">
        <v>635.79999999999995</v>
      </c>
      <c r="P377" s="116">
        <v>641.75</v>
      </c>
      <c r="Q377" s="116">
        <v>645.20000000000005</v>
      </c>
      <c r="R377">
        <v>144646</v>
      </c>
    </row>
    <row r="378" spans="1:18" x14ac:dyDescent="0.25">
      <c r="A378" s="170">
        <v>45666</v>
      </c>
      <c r="B378" s="116">
        <v>640</v>
      </c>
      <c r="C378" s="116">
        <v>626</v>
      </c>
      <c r="D378" s="116">
        <v>625</v>
      </c>
      <c r="E378" s="116">
        <v>632.75</v>
      </c>
      <c r="F378" s="116">
        <v>626</v>
      </c>
      <c r="G378">
        <v>7521</v>
      </c>
      <c r="H378" s="116"/>
      <c r="I378" s="116"/>
      <c r="L378" s="170">
        <v>45666</v>
      </c>
      <c r="M378" s="116">
        <v>626.70000000000005</v>
      </c>
      <c r="N378" s="116">
        <v>642</v>
      </c>
      <c r="O378" s="116">
        <v>625</v>
      </c>
      <c r="P378" s="116">
        <v>638</v>
      </c>
      <c r="Q378" s="116">
        <v>626.70000000000005</v>
      </c>
      <c r="R378">
        <v>154580</v>
      </c>
    </row>
    <row r="379" spans="1:18" x14ac:dyDescent="0.25">
      <c r="A379" s="170">
        <v>45667</v>
      </c>
      <c r="B379" s="116">
        <v>623.65</v>
      </c>
      <c r="C379" s="116">
        <v>618.6</v>
      </c>
      <c r="D379" s="116">
        <v>612</v>
      </c>
      <c r="E379" s="116">
        <v>620.04999999999995</v>
      </c>
      <c r="F379" s="116">
        <v>618.6</v>
      </c>
      <c r="G379">
        <v>7130</v>
      </c>
      <c r="H379" s="116"/>
      <c r="I379" s="116"/>
      <c r="L379" s="170">
        <v>45667</v>
      </c>
      <c r="M379" s="116">
        <v>618.5</v>
      </c>
      <c r="N379" s="116">
        <v>625.9</v>
      </c>
      <c r="O379" s="116">
        <v>611</v>
      </c>
      <c r="P379" s="116">
        <v>625.9</v>
      </c>
      <c r="Q379" s="116">
        <v>618.5</v>
      </c>
      <c r="R379">
        <v>155428</v>
      </c>
    </row>
    <row r="380" spans="1:18" x14ac:dyDescent="0.25">
      <c r="A380" s="170">
        <v>45670</v>
      </c>
      <c r="B380" s="116">
        <v>618</v>
      </c>
      <c r="C380" s="116">
        <v>591.25</v>
      </c>
      <c r="D380" s="116">
        <v>587.70000000000005</v>
      </c>
      <c r="E380" s="116">
        <v>614.04999999999995</v>
      </c>
      <c r="F380" s="116">
        <v>591.25</v>
      </c>
      <c r="G380">
        <v>33968</v>
      </c>
      <c r="H380" s="116"/>
      <c r="I380" s="116"/>
      <c r="L380" s="170">
        <v>45670</v>
      </c>
      <c r="M380" s="116">
        <v>591.95000000000005</v>
      </c>
      <c r="N380" s="116">
        <v>618.54999999999995</v>
      </c>
      <c r="O380" s="116">
        <v>587.6</v>
      </c>
      <c r="P380" s="116">
        <v>618.5</v>
      </c>
      <c r="Q380" s="116">
        <v>591.95000000000005</v>
      </c>
      <c r="R380">
        <v>224983</v>
      </c>
    </row>
    <row r="381" spans="1:18" x14ac:dyDescent="0.25">
      <c r="A381" s="170">
        <v>45671</v>
      </c>
      <c r="B381" s="116">
        <v>603</v>
      </c>
      <c r="C381" s="116">
        <v>586.29999999999995</v>
      </c>
      <c r="D381" s="116">
        <v>584.15</v>
      </c>
      <c r="E381" s="116">
        <v>593.04999999999995</v>
      </c>
      <c r="F381" s="116">
        <v>586.29999999999995</v>
      </c>
      <c r="G381">
        <v>8499</v>
      </c>
      <c r="H381" s="116"/>
      <c r="I381" s="116"/>
      <c r="L381" s="170">
        <v>45671</v>
      </c>
      <c r="M381" s="116">
        <v>586</v>
      </c>
      <c r="N381" s="116">
        <v>602.4</v>
      </c>
      <c r="O381" s="116">
        <v>584</v>
      </c>
      <c r="P381" s="116">
        <v>600</v>
      </c>
      <c r="Q381" s="116">
        <v>586</v>
      </c>
      <c r="R381">
        <v>205067</v>
      </c>
    </row>
    <row r="382" spans="1:18" x14ac:dyDescent="0.25">
      <c r="A382" s="170">
        <v>45672</v>
      </c>
      <c r="B382" s="116">
        <v>598</v>
      </c>
      <c r="C382" s="116">
        <v>591.29999999999995</v>
      </c>
      <c r="D382" s="116">
        <v>584</v>
      </c>
      <c r="E382" s="116">
        <v>589.95000000000005</v>
      </c>
      <c r="F382" s="116">
        <v>591.29999999999995</v>
      </c>
      <c r="G382">
        <v>10822</v>
      </c>
      <c r="H382" s="116"/>
      <c r="I382" s="116"/>
      <c r="L382" s="170">
        <v>45672</v>
      </c>
      <c r="M382" s="116">
        <v>590.70000000000005</v>
      </c>
      <c r="N382" s="116">
        <v>598.5</v>
      </c>
      <c r="O382" s="116">
        <v>584</v>
      </c>
      <c r="P382" s="116">
        <v>588.04999999999995</v>
      </c>
      <c r="Q382" s="116">
        <v>590.70000000000005</v>
      </c>
      <c r="R382">
        <v>120393</v>
      </c>
    </row>
    <row r="383" spans="1:18" x14ac:dyDescent="0.25">
      <c r="A383" s="170">
        <v>45673</v>
      </c>
      <c r="B383" s="116">
        <v>610</v>
      </c>
      <c r="C383" s="116">
        <v>600.95000000000005</v>
      </c>
      <c r="D383" s="116">
        <v>595.04999999999995</v>
      </c>
      <c r="E383" s="116">
        <v>610</v>
      </c>
      <c r="F383" s="116">
        <v>600.95000000000005</v>
      </c>
      <c r="G383">
        <v>9640</v>
      </c>
      <c r="H383" s="116"/>
      <c r="I383" s="116"/>
      <c r="L383" s="170">
        <v>45673</v>
      </c>
      <c r="M383" s="116">
        <v>601.20000000000005</v>
      </c>
      <c r="N383" s="116">
        <v>602.95000000000005</v>
      </c>
      <c r="O383" s="116">
        <v>594</v>
      </c>
      <c r="P383" s="116">
        <v>598</v>
      </c>
      <c r="Q383" s="116">
        <v>601.20000000000005</v>
      </c>
      <c r="R383">
        <v>76111</v>
      </c>
    </row>
    <row r="384" spans="1:18" x14ac:dyDescent="0.25">
      <c r="A384" s="170">
        <v>45674</v>
      </c>
      <c r="B384" s="116">
        <v>623</v>
      </c>
      <c r="C384" s="116">
        <v>599.1</v>
      </c>
      <c r="D384" s="116">
        <v>595.95000000000005</v>
      </c>
      <c r="E384" s="116">
        <v>623</v>
      </c>
      <c r="F384" s="116">
        <v>599.1</v>
      </c>
      <c r="G384">
        <v>6367</v>
      </c>
      <c r="H384" s="116"/>
      <c r="I384" s="116"/>
      <c r="L384" s="170">
        <v>45674</v>
      </c>
      <c r="M384" s="116">
        <v>598.75</v>
      </c>
      <c r="N384" s="116">
        <v>604.20000000000005</v>
      </c>
      <c r="O384" s="116">
        <v>593</v>
      </c>
      <c r="P384" s="116">
        <v>600</v>
      </c>
      <c r="Q384" s="116">
        <v>598.75</v>
      </c>
      <c r="R384">
        <v>75096</v>
      </c>
    </row>
    <row r="385" spans="1:18" x14ac:dyDescent="0.25">
      <c r="A385" s="170">
        <v>45677</v>
      </c>
      <c r="B385" s="116">
        <v>614</v>
      </c>
      <c r="C385" s="116">
        <v>600.54999999999995</v>
      </c>
      <c r="D385" s="116">
        <v>595.04999999999995</v>
      </c>
      <c r="E385" s="116">
        <v>595.04999999999995</v>
      </c>
      <c r="F385" s="116">
        <v>600.54999999999995</v>
      </c>
      <c r="G385">
        <v>9553</v>
      </c>
      <c r="H385" s="116"/>
      <c r="I385" s="116"/>
      <c r="L385" s="170">
        <v>45677</v>
      </c>
      <c r="M385" s="116">
        <v>600.29999999999995</v>
      </c>
      <c r="N385" s="116">
        <v>614</v>
      </c>
      <c r="O385" s="116">
        <v>598.25</v>
      </c>
      <c r="P385" s="116">
        <v>599.95000000000005</v>
      </c>
      <c r="Q385" s="116">
        <v>600.29999999999995</v>
      </c>
      <c r="R385">
        <v>179222</v>
      </c>
    </row>
    <row r="386" spans="1:18" x14ac:dyDescent="0.25">
      <c r="A386" s="170">
        <v>45678</v>
      </c>
      <c r="B386" s="116">
        <v>618.54999999999995</v>
      </c>
      <c r="C386" s="116">
        <v>596.5</v>
      </c>
      <c r="D386" s="116">
        <v>592.15</v>
      </c>
      <c r="E386" s="116">
        <v>607.6</v>
      </c>
      <c r="F386" s="116">
        <v>596.5</v>
      </c>
      <c r="G386">
        <v>23592</v>
      </c>
      <c r="H386" s="116"/>
      <c r="I386" s="116"/>
      <c r="L386" s="170">
        <v>45678</v>
      </c>
      <c r="M386" s="116">
        <v>596.1</v>
      </c>
      <c r="N386" s="116">
        <v>619.95000000000005</v>
      </c>
      <c r="O386" s="116">
        <v>592.54999999999995</v>
      </c>
      <c r="P386" s="116">
        <v>605.04999999999995</v>
      </c>
      <c r="Q386" s="116">
        <v>596.1</v>
      </c>
      <c r="R386">
        <v>377940</v>
      </c>
    </row>
    <row r="387" spans="1:18" x14ac:dyDescent="0.25">
      <c r="A387" s="170">
        <v>45679</v>
      </c>
      <c r="B387" s="116">
        <v>570.75</v>
      </c>
      <c r="C387" s="116">
        <v>515.70000000000005</v>
      </c>
      <c r="D387" s="116">
        <v>506.05</v>
      </c>
      <c r="E387" s="116">
        <v>564</v>
      </c>
      <c r="F387" s="116">
        <v>515.70000000000005</v>
      </c>
      <c r="G387">
        <v>288098</v>
      </c>
      <c r="H387" s="116"/>
      <c r="I387" s="116"/>
      <c r="L387" s="170">
        <v>45679</v>
      </c>
      <c r="M387" s="116">
        <v>515</v>
      </c>
      <c r="N387" s="116">
        <v>570</v>
      </c>
      <c r="O387" s="116">
        <v>505.65</v>
      </c>
      <c r="P387" s="116">
        <v>561</v>
      </c>
      <c r="Q387" s="116">
        <v>515</v>
      </c>
      <c r="R387">
        <v>3064082</v>
      </c>
    </row>
    <row r="388" spans="1:18" x14ac:dyDescent="0.25">
      <c r="A388" s="170">
        <v>45680</v>
      </c>
      <c r="B388" s="116">
        <v>527.4</v>
      </c>
      <c r="C388" s="116">
        <v>512.20000000000005</v>
      </c>
      <c r="D388" s="116">
        <v>510</v>
      </c>
      <c r="E388" s="116">
        <v>525.29999999999995</v>
      </c>
      <c r="F388" s="116">
        <v>512.20000000000005</v>
      </c>
      <c r="G388">
        <v>53345</v>
      </c>
      <c r="H388" s="116"/>
      <c r="I388" s="116"/>
      <c r="L388" s="170">
        <v>45680</v>
      </c>
      <c r="M388" s="116">
        <v>512.15</v>
      </c>
      <c r="N388" s="116">
        <v>526.95000000000005</v>
      </c>
      <c r="O388" s="116">
        <v>505.65</v>
      </c>
      <c r="P388" s="116">
        <v>520</v>
      </c>
      <c r="Q388" s="116">
        <v>512.15</v>
      </c>
      <c r="R388">
        <v>518378</v>
      </c>
    </row>
    <row r="389" spans="1:18" x14ac:dyDescent="0.25">
      <c r="A389" s="170">
        <v>45681</v>
      </c>
      <c r="B389" s="116">
        <v>522.4</v>
      </c>
      <c r="C389" s="116">
        <v>497.6</v>
      </c>
      <c r="D389" s="116">
        <v>493.35</v>
      </c>
      <c r="E389" s="116">
        <v>522.4</v>
      </c>
      <c r="F389" s="116">
        <v>497.6</v>
      </c>
      <c r="G389">
        <v>78906</v>
      </c>
      <c r="H389" s="116"/>
      <c r="I389" s="116"/>
      <c r="L389" s="170">
        <v>45681</v>
      </c>
      <c r="M389" s="116">
        <v>498.7</v>
      </c>
      <c r="N389" s="116">
        <v>516.6</v>
      </c>
      <c r="O389" s="116">
        <v>495</v>
      </c>
      <c r="P389" s="116">
        <v>515</v>
      </c>
      <c r="Q389" s="116">
        <v>498.7</v>
      </c>
      <c r="R389">
        <v>486088</v>
      </c>
    </row>
    <row r="390" spans="1:18" x14ac:dyDescent="0.25">
      <c r="A390" s="170">
        <v>45684</v>
      </c>
      <c r="B390" s="116">
        <v>498.4</v>
      </c>
      <c r="C390" s="116">
        <v>483.95</v>
      </c>
      <c r="D390" s="116">
        <v>471</v>
      </c>
      <c r="E390" s="116">
        <v>498.4</v>
      </c>
      <c r="F390" s="116">
        <v>483.95</v>
      </c>
      <c r="G390">
        <v>28419</v>
      </c>
      <c r="H390" s="116"/>
      <c r="I390" s="116"/>
      <c r="L390" s="170">
        <v>45684</v>
      </c>
      <c r="M390" s="116">
        <v>484.3</v>
      </c>
      <c r="N390" s="116">
        <v>496.85</v>
      </c>
      <c r="O390" s="116">
        <v>470.55</v>
      </c>
      <c r="P390" s="116">
        <v>496.85</v>
      </c>
      <c r="Q390" s="116">
        <v>484.3</v>
      </c>
      <c r="R390">
        <v>447916</v>
      </c>
    </row>
    <row r="391" spans="1:18" x14ac:dyDescent="0.25">
      <c r="A391" s="170">
        <v>45685</v>
      </c>
      <c r="B391" s="116">
        <v>510</v>
      </c>
      <c r="C391" s="116">
        <v>500.95</v>
      </c>
      <c r="D391" s="116">
        <v>454</v>
      </c>
      <c r="E391" s="116">
        <v>484.05</v>
      </c>
      <c r="F391" s="116">
        <v>500.95</v>
      </c>
      <c r="G391">
        <v>29073</v>
      </c>
      <c r="H391" s="116"/>
      <c r="I391" s="116"/>
      <c r="L391" s="170">
        <v>45685</v>
      </c>
      <c r="M391" s="116">
        <v>498.15</v>
      </c>
      <c r="N391" s="116">
        <v>509.5</v>
      </c>
      <c r="O391" s="116">
        <v>453.3</v>
      </c>
      <c r="P391" s="116">
        <v>485</v>
      </c>
      <c r="Q391" s="116">
        <v>498.15</v>
      </c>
      <c r="R391">
        <v>887773</v>
      </c>
    </row>
    <row r="392" spans="1:18" x14ac:dyDescent="0.25">
      <c r="A392" s="170">
        <v>45686</v>
      </c>
      <c r="B392" s="116">
        <v>541.45000000000005</v>
      </c>
      <c r="C392" s="116">
        <v>519.54999999999995</v>
      </c>
      <c r="D392" s="116">
        <v>496.85</v>
      </c>
      <c r="E392" s="116">
        <v>499.95</v>
      </c>
      <c r="F392" s="116">
        <v>519.54999999999995</v>
      </c>
      <c r="G392">
        <v>67710</v>
      </c>
      <c r="H392" s="116"/>
      <c r="I392" s="116"/>
      <c r="L392" s="170">
        <v>45686</v>
      </c>
      <c r="M392" s="116">
        <v>520</v>
      </c>
      <c r="N392" s="116">
        <v>542.4</v>
      </c>
      <c r="O392" s="116">
        <v>497</v>
      </c>
      <c r="P392" s="116">
        <v>497</v>
      </c>
      <c r="Q392" s="116">
        <v>520</v>
      </c>
      <c r="R392">
        <v>496384</v>
      </c>
    </row>
    <row r="393" spans="1:18" x14ac:dyDescent="0.25">
      <c r="A393" s="170">
        <v>45687</v>
      </c>
      <c r="B393" s="116">
        <v>533.95000000000005</v>
      </c>
      <c r="C393" s="116">
        <v>495.15</v>
      </c>
      <c r="D393" s="116">
        <v>491.1</v>
      </c>
      <c r="E393" s="116">
        <v>533.95000000000005</v>
      </c>
      <c r="F393" s="116">
        <v>495.15</v>
      </c>
      <c r="G393">
        <v>16651</v>
      </c>
      <c r="H393" s="116"/>
      <c r="I393" s="116"/>
      <c r="L393" s="170">
        <v>45687</v>
      </c>
      <c r="M393" s="116">
        <v>494.4</v>
      </c>
      <c r="N393" s="116">
        <v>526.45000000000005</v>
      </c>
      <c r="O393" s="116">
        <v>491</v>
      </c>
      <c r="P393" s="116">
        <v>525</v>
      </c>
      <c r="Q393" s="116">
        <v>494.4</v>
      </c>
      <c r="R393">
        <v>273707</v>
      </c>
    </row>
    <row r="394" spans="1:18" x14ac:dyDescent="0.25">
      <c r="A394" s="170">
        <v>45688</v>
      </c>
      <c r="B394" s="116">
        <v>504.15</v>
      </c>
      <c r="C394" s="116">
        <v>488.5</v>
      </c>
      <c r="D394" s="116">
        <v>486.55</v>
      </c>
      <c r="E394" s="116">
        <v>504.15</v>
      </c>
      <c r="F394" s="116">
        <v>488.5</v>
      </c>
      <c r="G394">
        <v>27390</v>
      </c>
      <c r="H394" s="116"/>
      <c r="I394" s="116"/>
      <c r="L394" s="170">
        <v>45688</v>
      </c>
      <c r="M394" s="116">
        <v>488.15</v>
      </c>
      <c r="N394" s="116">
        <v>503.8</v>
      </c>
      <c r="O394" s="116">
        <v>486.4</v>
      </c>
      <c r="P394" s="116">
        <v>497.95</v>
      </c>
      <c r="Q394" s="116">
        <v>488.15</v>
      </c>
      <c r="R394">
        <v>247813</v>
      </c>
    </row>
    <row r="395" spans="1:18" x14ac:dyDescent="0.25">
      <c r="A395" s="170">
        <v>45689</v>
      </c>
      <c r="B395" s="116">
        <v>504</v>
      </c>
      <c r="C395" s="116">
        <v>493.4</v>
      </c>
      <c r="D395" s="116">
        <v>488</v>
      </c>
      <c r="E395" s="116">
        <v>496.4</v>
      </c>
      <c r="F395" s="116">
        <v>493.4</v>
      </c>
      <c r="G395">
        <v>22278</v>
      </c>
      <c r="H395" s="116"/>
      <c r="I395" s="116"/>
      <c r="L395" s="170">
        <v>45689</v>
      </c>
      <c r="M395" s="116">
        <v>494.15</v>
      </c>
      <c r="N395" s="116">
        <v>504.05</v>
      </c>
      <c r="O395" s="116">
        <v>487.25</v>
      </c>
      <c r="P395" s="116">
        <v>491.9</v>
      </c>
      <c r="Q395" s="116">
        <v>494.15</v>
      </c>
      <c r="R395">
        <v>146479</v>
      </c>
    </row>
    <row r="396" spans="1:18" x14ac:dyDescent="0.25">
      <c r="A396" s="170">
        <v>45691</v>
      </c>
      <c r="B396" s="116">
        <v>503.25</v>
      </c>
      <c r="C396" s="116">
        <v>483.5</v>
      </c>
      <c r="D396" s="116">
        <v>478</v>
      </c>
      <c r="E396" s="116">
        <v>503.25</v>
      </c>
      <c r="F396" s="116">
        <v>483.5</v>
      </c>
      <c r="G396">
        <v>19063</v>
      </c>
      <c r="H396" s="116"/>
      <c r="I396" s="116"/>
      <c r="L396" s="170">
        <v>45691</v>
      </c>
      <c r="M396" s="116">
        <v>481.05</v>
      </c>
      <c r="N396" s="116">
        <v>498</v>
      </c>
      <c r="O396" s="116">
        <v>477</v>
      </c>
      <c r="P396" s="116">
        <v>489</v>
      </c>
      <c r="Q396" s="116">
        <v>481.05</v>
      </c>
      <c r="R396">
        <v>158856</v>
      </c>
    </row>
    <row r="397" spans="1:18" x14ac:dyDescent="0.25">
      <c r="A397" s="170">
        <v>45692</v>
      </c>
      <c r="B397" s="116">
        <v>493.2</v>
      </c>
      <c r="C397" s="116">
        <v>475.4</v>
      </c>
      <c r="D397" s="116">
        <v>473.5</v>
      </c>
      <c r="E397" s="116">
        <v>493.2</v>
      </c>
      <c r="F397" s="116">
        <v>475.4</v>
      </c>
      <c r="G397">
        <v>21199</v>
      </c>
      <c r="H397" s="116"/>
      <c r="I397" s="116"/>
      <c r="L397" s="170">
        <v>45692</v>
      </c>
      <c r="M397" s="116">
        <v>475.25</v>
      </c>
      <c r="N397" s="116">
        <v>488</v>
      </c>
      <c r="O397" s="116">
        <v>473.5</v>
      </c>
      <c r="P397" s="116">
        <v>485.9</v>
      </c>
      <c r="Q397" s="116">
        <v>475.25</v>
      </c>
      <c r="R397">
        <v>124507</v>
      </c>
    </row>
    <row r="398" spans="1:18" x14ac:dyDescent="0.25">
      <c r="A398" s="170">
        <v>45693</v>
      </c>
      <c r="B398" s="116">
        <v>488</v>
      </c>
      <c r="C398" s="116">
        <v>469.65</v>
      </c>
      <c r="D398" s="116">
        <v>468.4</v>
      </c>
      <c r="E398" s="116">
        <v>479.8</v>
      </c>
      <c r="F398" s="116">
        <v>469.65</v>
      </c>
      <c r="G398">
        <v>37059</v>
      </c>
      <c r="H398" s="116"/>
      <c r="I398" s="116"/>
      <c r="L398" s="170">
        <v>45693</v>
      </c>
      <c r="M398" s="116">
        <v>469.25</v>
      </c>
      <c r="N398" s="116">
        <v>488.1</v>
      </c>
      <c r="O398" s="116">
        <v>468</v>
      </c>
      <c r="P398" s="116">
        <v>478</v>
      </c>
      <c r="Q398" s="116">
        <v>469.25</v>
      </c>
      <c r="R398">
        <v>328525</v>
      </c>
    </row>
    <row r="399" spans="1:18" x14ac:dyDescent="0.25">
      <c r="A399" s="170">
        <v>45694</v>
      </c>
      <c r="B399" s="116">
        <v>475</v>
      </c>
      <c r="C399" s="116">
        <v>457.5</v>
      </c>
      <c r="D399" s="116">
        <v>456.7</v>
      </c>
      <c r="E399" s="116">
        <v>475</v>
      </c>
      <c r="F399" s="116">
        <v>457.5</v>
      </c>
      <c r="G399">
        <v>29836</v>
      </c>
      <c r="H399" s="116"/>
      <c r="I399" s="116"/>
      <c r="L399" s="170">
        <v>45694</v>
      </c>
      <c r="M399" s="116">
        <v>457.65</v>
      </c>
      <c r="N399" s="116">
        <v>473.6</v>
      </c>
      <c r="O399" s="116">
        <v>455.15</v>
      </c>
      <c r="P399" s="116">
        <v>471.95</v>
      </c>
      <c r="Q399" s="116">
        <v>457.65</v>
      </c>
      <c r="R399">
        <v>329783</v>
      </c>
    </row>
    <row r="400" spans="1:18" x14ac:dyDescent="0.25">
      <c r="A400" s="170">
        <v>45695</v>
      </c>
      <c r="B400" s="116">
        <v>459.85</v>
      </c>
      <c r="C400" s="116">
        <v>451.1</v>
      </c>
      <c r="D400" s="116">
        <v>440.1</v>
      </c>
      <c r="E400" s="116">
        <v>457.65</v>
      </c>
      <c r="F400" s="116">
        <v>451.1</v>
      </c>
      <c r="G400">
        <v>17092</v>
      </c>
      <c r="H400" s="116"/>
      <c r="I400" s="116"/>
      <c r="L400" s="170">
        <v>45695</v>
      </c>
      <c r="M400" s="116">
        <v>451.25</v>
      </c>
      <c r="N400" s="116">
        <v>460.05</v>
      </c>
      <c r="O400" s="116">
        <v>440</v>
      </c>
      <c r="P400" s="116">
        <v>457.65</v>
      </c>
      <c r="Q400" s="116">
        <v>451.25</v>
      </c>
      <c r="R400">
        <v>534662</v>
      </c>
    </row>
    <row r="401" spans="1:18" x14ac:dyDescent="0.25">
      <c r="A401" s="170">
        <v>45698</v>
      </c>
      <c r="B401" s="116">
        <v>472.55</v>
      </c>
      <c r="C401" s="116">
        <v>439.45</v>
      </c>
      <c r="D401" s="116">
        <v>436.65</v>
      </c>
      <c r="E401" s="116">
        <v>472.55</v>
      </c>
      <c r="F401" s="116">
        <v>439.45</v>
      </c>
      <c r="G401">
        <v>12041</v>
      </c>
      <c r="H401" s="116"/>
      <c r="I401" s="116"/>
      <c r="L401" s="170">
        <v>45698</v>
      </c>
      <c r="M401" s="116">
        <v>439.85</v>
      </c>
      <c r="N401" s="116">
        <v>455</v>
      </c>
      <c r="O401" s="116">
        <v>436</v>
      </c>
      <c r="P401" s="116">
        <v>451.2</v>
      </c>
      <c r="Q401" s="116">
        <v>439.85</v>
      </c>
      <c r="R401">
        <v>319450</v>
      </c>
    </row>
    <row r="402" spans="1:18" x14ac:dyDescent="0.25">
      <c r="A402" s="170">
        <v>45699</v>
      </c>
      <c r="B402" s="116">
        <v>444.95</v>
      </c>
      <c r="C402" s="116">
        <v>422.7</v>
      </c>
      <c r="D402" s="116">
        <v>414.25</v>
      </c>
      <c r="E402" s="116">
        <v>444.95</v>
      </c>
      <c r="F402" s="116">
        <v>422.7</v>
      </c>
      <c r="G402">
        <v>21205</v>
      </c>
      <c r="H402" s="116"/>
      <c r="I402" s="116"/>
      <c r="L402" s="170">
        <v>45699</v>
      </c>
      <c r="M402" s="116">
        <v>421.95</v>
      </c>
      <c r="N402" s="116">
        <v>442.95</v>
      </c>
      <c r="O402" s="116">
        <v>413.85</v>
      </c>
      <c r="P402" s="116">
        <v>441.6</v>
      </c>
      <c r="Q402" s="116">
        <v>421.95</v>
      </c>
      <c r="R402">
        <v>619204</v>
      </c>
    </row>
    <row r="403" spans="1:18" x14ac:dyDescent="0.25">
      <c r="A403" s="170">
        <v>45700</v>
      </c>
      <c r="B403" s="116">
        <v>442.95</v>
      </c>
      <c r="C403" s="116">
        <v>439.15</v>
      </c>
      <c r="D403" s="116">
        <v>420.7</v>
      </c>
      <c r="E403" s="116">
        <v>430.4</v>
      </c>
      <c r="F403" s="116">
        <v>439.15</v>
      </c>
      <c r="G403">
        <v>53542</v>
      </c>
      <c r="H403" s="116"/>
      <c r="I403" s="116"/>
      <c r="L403" s="170">
        <v>45700</v>
      </c>
      <c r="M403" s="116">
        <v>438.7</v>
      </c>
      <c r="N403" s="116">
        <v>442.8</v>
      </c>
      <c r="O403" s="116">
        <v>421</v>
      </c>
      <c r="P403" s="116">
        <v>430</v>
      </c>
      <c r="Q403" s="116">
        <v>438.7</v>
      </c>
      <c r="R403">
        <v>506953</v>
      </c>
    </row>
    <row r="404" spans="1:18" x14ac:dyDescent="0.25">
      <c r="A404" s="170">
        <v>45701</v>
      </c>
      <c r="B404" s="116">
        <v>449.7</v>
      </c>
      <c r="C404" s="116">
        <v>430.45</v>
      </c>
      <c r="D404" s="116">
        <v>429.2</v>
      </c>
      <c r="E404" s="116">
        <v>447.55</v>
      </c>
      <c r="F404" s="116">
        <v>430.45</v>
      </c>
      <c r="G404">
        <v>28289</v>
      </c>
      <c r="H404" s="116"/>
      <c r="I404" s="116"/>
      <c r="L404" s="170">
        <v>45701</v>
      </c>
      <c r="M404" s="116">
        <v>430.7</v>
      </c>
      <c r="N404" s="116">
        <v>452.7</v>
      </c>
      <c r="O404" s="116">
        <v>429.1</v>
      </c>
      <c r="P404" s="116">
        <v>452.7</v>
      </c>
      <c r="Q404" s="116">
        <v>430.7</v>
      </c>
      <c r="R404">
        <v>771583</v>
      </c>
    </row>
    <row r="405" spans="1:18" x14ac:dyDescent="0.25">
      <c r="A405" s="170">
        <v>45702</v>
      </c>
      <c r="B405" s="116">
        <v>448</v>
      </c>
      <c r="C405" s="116">
        <v>432.95</v>
      </c>
      <c r="D405" s="116">
        <v>417</v>
      </c>
      <c r="E405" s="116">
        <v>448</v>
      </c>
      <c r="F405" s="116">
        <v>432.95</v>
      </c>
      <c r="G405">
        <v>29426</v>
      </c>
      <c r="H405" s="116"/>
      <c r="I405" s="116"/>
      <c r="L405" s="170">
        <v>45702</v>
      </c>
      <c r="M405" s="116">
        <v>434.3</v>
      </c>
      <c r="N405" s="116">
        <v>439.65</v>
      </c>
      <c r="O405" s="116">
        <v>416.8</v>
      </c>
      <c r="P405" s="116">
        <v>437.2</v>
      </c>
      <c r="Q405" s="116">
        <v>434.3</v>
      </c>
      <c r="R405">
        <v>172884</v>
      </c>
    </row>
    <row r="406" spans="1:18" x14ac:dyDescent="0.25">
      <c r="A406" s="170">
        <v>45705</v>
      </c>
      <c r="B406" s="116">
        <v>435</v>
      </c>
      <c r="C406" s="116">
        <v>421.4</v>
      </c>
      <c r="D406" s="116">
        <v>416.4</v>
      </c>
      <c r="E406" s="116">
        <v>435</v>
      </c>
      <c r="F406" s="116">
        <v>421.4</v>
      </c>
      <c r="G406">
        <v>22505</v>
      </c>
      <c r="H406" s="116"/>
      <c r="I406" s="116"/>
      <c r="L406" s="170">
        <v>45705</v>
      </c>
      <c r="M406" s="116">
        <v>421.15</v>
      </c>
      <c r="N406" s="116">
        <v>434.3</v>
      </c>
      <c r="O406" s="116">
        <v>416.6</v>
      </c>
      <c r="P406" s="116">
        <v>434</v>
      </c>
      <c r="Q406" s="116">
        <v>421.15</v>
      </c>
      <c r="R406">
        <v>1043357</v>
      </c>
    </row>
    <row r="407" spans="1:18" x14ac:dyDescent="0.25">
      <c r="A407" s="170">
        <v>45706</v>
      </c>
      <c r="B407" s="116">
        <v>427.85</v>
      </c>
      <c r="C407" s="116">
        <v>404.65</v>
      </c>
      <c r="D407" s="116">
        <v>401.9</v>
      </c>
      <c r="E407" s="116">
        <v>422</v>
      </c>
      <c r="F407" s="116">
        <v>404.65</v>
      </c>
      <c r="G407">
        <v>51711</v>
      </c>
      <c r="H407" s="116"/>
      <c r="I407" s="116"/>
      <c r="L407" s="170">
        <v>45706</v>
      </c>
      <c r="M407" s="116">
        <v>404.95</v>
      </c>
      <c r="N407" s="116">
        <v>428.05</v>
      </c>
      <c r="O407" s="116">
        <v>402.5</v>
      </c>
      <c r="P407" s="116">
        <v>421.15</v>
      </c>
      <c r="Q407" s="116">
        <v>404.95</v>
      </c>
      <c r="R407">
        <v>404406</v>
      </c>
    </row>
    <row r="408" spans="1:18" x14ac:dyDescent="0.25">
      <c r="A408" s="170">
        <v>45707</v>
      </c>
      <c r="B408" s="116">
        <v>414</v>
      </c>
      <c r="C408" s="116">
        <v>412.9</v>
      </c>
      <c r="D408" s="116">
        <v>403</v>
      </c>
      <c r="E408" s="116">
        <v>406.85</v>
      </c>
      <c r="F408" s="116">
        <v>412.9</v>
      </c>
      <c r="G408">
        <v>17249</v>
      </c>
      <c r="H408" s="116"/>
      <c r="I408" s="116"/>
      <c r="L408" s="170">
        <v>45707</v>
      </c>
      <c r="M408" s="116">
        <v>412.85</v>
      </c>
      <c r="N408" s="116">
        <v>414.1</v>
      </c>
      <c r="O408" s="116">
        <v>403.25</v>
      </c>
      <c r="P408" s="116">
        <v>405.35</v>
      </c>
      <c r="Q408" s="116">
        <v>412.85</v>
      </c>
      <c r="R408">
        <v>284358</v>
      </c>
    </row>
    <row r="409" spans="1:18" x14ac:dyDescent="0.25">
      <c r="A409" s="170">
        <v>45708</v>
      </c>
      <c r="B409" s="116">
        <v>429.15</v>
      </c>
      <c r="C409" s="116">
        <v>424.35</v>
      </c>
      <c r="D409" s="116">
        <v>410.7</v>
      </c>
      <c r="E409" s="116">
        <v>413.05</v>
      </c>
      <c r="F409" s="116">
        <v>424.35</v>
      </c>
      <c r="G409">
        <v>27189</v>
      </c>
      <c r="H409" s="116"/>
      <c r="I409" s="116"/>
      <c r="L409" s="170">
        <v>45708</v>
      </c>
      <c r="M409" s="116">
        <v>423.85</v>
      </c>
      <c r="N409" s="116">
        <v>429</v>
      </c>
      <c r="O409" s="116">
        <v>410.65</v>
      </c>
      <c r="P409" s="116">
        <v>413.95</v>
      </c>
      <c r="Q409" s="116">
        <v>423.85</v>
      </c>
      <c r="R409">
        <v>220397</v>
      </c>
    </row>
    <row r="410" spans="1:18" x14ac:dyDescent="0.25">
      <c r="A410" s="170">
        <v>45709</v>
      </c>
      <c r="B410" s="116">
        <v>445</v>
      </c>
      <c r="C410" s="116">
        <v>430.35</v>
      </c>
      <c r="D410" s="116">
        <v>426.1</v>
      </c>
      <c r="E410" s="116">
        <v>435</v>
      </c>
      <c r="F410" s="116">
        <v>430.35</v>
      </c>
      <c r="G410">
        <v>44181</v>
      </c>
      <c r="H410" s="116"/>
      <c r="I410" s="116"/>
      <c r="L410" s="170">
        <v>45709</v>
      </c>
      <c r="M410" s="116">
        <v>430.6</v>
      </c>
      <c r="N410" s="116">
        <v>444.9</v>
      </c>
      <c r="O410" s="116">
        <v>426.1</v>
      </c>
      <c r="P410" s="116">
        <v>436.65</v>
      </c>
      <c r="Q410" s="116">
        <v>430.6</v>
      </c>
      <c r="R410">
        <v>316605</v>
      </c>
    </row>
    <row r="411" spans="1:18" x14ac:dyDescent="0.25">
      <c r="A411" s="170">
        <v>45712</v>
      </c>
      <c r="B411" s="116">
        <v>432</v>
      </c>
      <c r="C411" s="116">
        <v>418.1</v>
      </c>
      <c r="D411" s="116">
        <v>416</v>
      </c>
      <c r="E411" s="116">
        <v>432</v>
      </c>
      <c r="F411" s="116">
        <v>418.1</v>
      </c>
      <c r="G411">
        <v>9326</v>
      </c>
      <c r="H411" s="116"/>
      <c r="I411" s="116"/>
      <c r="L411" s="170">
        <v>45712</v>
      </c>
      <c r="M411" s="116">
        <v>418.25</v>
      </c>
      <c r="N411" s="116">
        <v>431</v>
      </c>
      <c r="O411" s="116">
        <v>415.1</v>
      </c>
      <c r="P411" s="116">
        <v>430.8</v>
      </c>
      <c r="Q411" s="116">
        <v>418.25</v>
      </c>
      <c r="R411">
        <v>196278</v>
      </c>
    </row>
    <row r="412" spans="1:18" x14ac:dyDescent="0.25">
      <c r="A412" s="170">
        <v>45713</v>
      </c>
      <c r="B412" s="116">
        <v>423.3</v>
      </c>
      <c r="C412" s="116">
        <v>413.25</v>
      </c>
      <c r="D412" s="116">
        <v>409.5</v>
      </c>
      <c r="E412" s="116">
        <v>420.85</v>
      </c>
      <c r="F412" s="116">
        <v>413.25</v>
      </c>
      <c r="G412">
        <v>16175</v>
      </c>
      <c r="H412" s="116"/>
      <c r="I412" s="116"/>
      <c r="L412" s="170">
        <v>45713</v>
      </c>
      <c r="M412" s="116">
        <v>412</v>
      </c>
      <c r="N412" s="116">
        <v>424</v>
      </c>
      <c r="O412" s="116">
        <v>409</v>
      </c>
      <c r="P412" s="116">
        <v>418.35</v>
      </c>
      <c r="Q412" s="116">
        <v>412</v>
      </c>
      <c r="R412">
        <v>174058</v>
      </c>
    </row>
    <row r="413" spans="1:18" x14ac:dyDescent="0.25">
      <c r="A413" s="170">
        <v>45715</v>
      </c>
      <c r="B413" s="116">
        <v>418</v>
      </c>
      <c r="C413" s="116">
        <v>408.25</v>
      </c>
      <c r="D413" s="116">
        <v>399.75</v>
      </c>
      <c r="E413" s="116">
        <v>418</v>
      </c>
      <c r="F413" s="116">
        <v>408.25</v>
      </c>
      <c r="G413">
        <v>29864</v>
      </c>
      <c r="H413" s="116"/>
      <c r="I413" s="116"/>
      <c r="L413" s="170">
        <v>45715</v>
      </c>
      <c r="M413" s="116">
        <v>408.4</v>
      </c>
      <c r="N413" s="116">
        <v>415.25</v>
      </c>
      <c r="O413" s="116">
        <v>399.7</v>
      </c>
      <c r="P413" s="116">
        <v>413.15</v>
      </c>
      <c r="Q413" s="116">
        <v>408.4</v>
      </c>
      <c r="R413">
        <v>231570</v>
      </c>
    </row>
    <row r="414" spans="1:18" x14ac:dyDescent="0.25">
      <c r="A414" s="170">
        <v>45716</v>
      </c>
      <c r="B414" s="116">
        <v>408.4</v>
      </c>
      <c r="C414" s="116">
        <v>402.45</v>
      </c>
      <c r="D414" s="116">
        <v>391.4</v>
      </c>
      <c r="E414" s="116">
        <v>408.4</v>
      </c>
      <c r="F414" s="116">
        <v>402.45</v>
      </c>
      <c r="G414">
        <v>16018</v>
      </c>
      <c r="H414" s="116"/>
      <c r="I414" s="116"/>
      <c r="L414" s="170">
        <v>45716</v>
      </c>
      <c r="M414" s="116">
        <v>402.85</v>
      </c>
      <c r="N414" s="116">
        <v>407.85</v>
      </c>
      <c r="O414" s="116">
        <v>391.2</v>
      </c>
      <c r="P414" s="116">
        <v>407.85</v>
      </c>
      <c r="Q414" s="116">
        <v>402.85</v>
      </c>
      <c r="R414">
        <v>300353</v>
      </c>
    </row>
    <row r="415" spans="1:18" x14ac:dyDescent="0.25">
      <c r="A415" s="170">
        <v>45719</v>
      </c>
      <c r="B415" s="116">
        <v>405</v>
      </c>
      <c r="C415" s="116">
        <v>392.75</v>
      </c>
      <c r="D415" s="116">
        <v>380.5</v>
      </c>
      <c r="E415" s="116">
        <v>405</v>
      </c>
      <c r="F415" s="116">
        <v>392.75</v>
      </c>
      <c r="G415">
        <v>19998</v>
      </c>
      <c r="H415" s="116"/>
      <c r="I415" s="116"/>
      <c r="L415" s="170">
        <v>45719</v>
      </c>
      <c r="M415" s="116">
        <v>392.8</v>
      </c>
      <c r="N415" s="116">
        <v>405</v>
      </c>
      <c r="O415" s="116">
        <v>381</v>
      </c>
      <c r="P415" s="116">
        <v>402.8</v>
      </c>
      <c r="Q415" s="116">
        <v>392.8</v>
      </c>
      <c r="R415">
        <v>341867</v>
      </c>
    </row>
    <row r="416" spans="1:18" x14ac:dyDescent="0.25">
      <c r="A416" s="170">
        <v>45720</v>
      </c>
      <c r="B416" s="116">
        <v>403.5</v>
      </c>
      <c r="C416" s="116">
        <v>401.3</v>
      </c>
      <c r="D416" s="116">
        <v>385.95</v>
      </c>
      <c r="E416" s="116">
        <v>387.1</v>
      </c>
      <c r="F416" s="116">
        <v>401.3</v>
      </c>
      <c r="G416">
        <v>17158</v>
      </c>
      <c r="H416" s="116"/>
      <c r="I416" s="116"/>
      <c r="L416" s="170">
        <v>45720</v>
      </c>
      <c r="M416" s="116">
        <v>401</v>
      </c>
      <c r="N416" s="116">
        <v>402.9</v>
      </c>
      <c r="O416" s="116">
        <v>385.05</v>
      </c>
      <c r="P416" s="116">
        <v>385.05</v>
      </c>
      <c r="Q416" s="116">
        <v>401</v>
      </c>
      <c r="R416">
        <v>243055</v>
      </c>
    </row>
    <row r="417" spans="1:18" x14ac:dyDescent="0.25">
      <c r="A417" s="170">
        <v>45721</v>
      </c>
      <c r="B417" s="116">
        <v>412</v>
      </c>
      <c r="C417" s="116">
        <v>407.8</v>
      </c>
      <c r="D417" s="116">
        <v>400.9</v>
      </c>
      <c r="E417" s="116">
        <v>401.5</v>
      </c>
      <c r="F417" s="116">
        <v>407.8</v>
      </c>
      <c r="G417">
        <v>23315</v>
      </c>
      <c r="H417" s="116"/>
      <c r="I417" s="116"/>
      <c r="L417" s="170">
        <v>45721</v>
      </c>
      <c r="M417" s="116">
        <v>407.4</v>
      </c>
      <c r="N417" s="116">
        <v>412.15</v>
      </c>
      <c r="O417" s="116">
        <v>400.05</v>
      </c>
      <c r="P417" s="116">
        <v>405</v>
      </c>
      <c r="Q417" s="116">
        <v>407.4</v>
      </c>
      <c r="R417">
        <v>170995</v>
      </c>
    </row>
    <row r="418" spans="1:18" x14ac:dyDescent="0.25">
      <c r="A418" s="170">
        <v>45722</v>
      </c>
      <c r="B418" s="116">
        <v>420.1</v>
      </c>
      <c r="C418" s="116">
        <v>414.6</v>
      </c>
      <c r="D418" s="116">
        <v>408.1</v>
      </c>
      <c r="E418" s="116">
        <v>411.8</v>
      </c>
      <c r="F418" s="116">
        <v>414.6</v>
      </c>
      <c r="G418">
        <v>28685</v>
      </c>
      <c r="H418" s="116"/>
      <c r="I418" s="116"/>
      <c r="L418" s="170">
        <v>45722</v>
      </c>
      <c r="M418" s="116">
        <v>414.7</v>
      </c>
      <c r="N418" s="116">
        <v>420.5</v>
      </c>
      <c r="O418" s="116">
        <v>408.25</v>
      </c>
      <c r="P418" s="116">
        <v>411.8</v>
      </c>
      <c r="Q418" s="116">
        <v>414.7</v>
      </c>
      <c r="R418">
        <v>214955</v>
      </c>
    </row>
    <row r="419" spans="1:18" x14ac:dyDescent="0.25">
      <c r="A419" s="170">
        <v>45723</v>
      </c>
      <c r="B419" s="116">
        <v>433.55</v>
      </c>
      <c r="C419" s="116">
        <v>428.95</v>
      </c>
      <c r="D419" s="116">
        <v>414.05</v>
      </c>
      <c r="E419" s="116">
        <v>421.55</v>
      </c>
      <c r="F419" s="116">
        <v>428.95</v>
      </c>
      <c r="G419">
        <v>13362</v>
      </c>
      <c r="H419" s="116"/>
      <c r="I419" s="116"/>
      <c r="L419" s="170">
        <v>45723</v>
      </c>
      <c r="M419" s="116">
        <v>428.9</v>
      </c>
      <c r="N419" s="116">
        <v>433.35</v>
      </c>
      <c r="O419" s="116">
        <v>413.15</v>
      </c>
      <c r="P419" s="116">
        <v>416.95</v>
      </c>
      <c r="Q419" s="116">
        <v>428.9</v>
      </c>
      <c r="R419">
        <v>261324</v>
      </c>
    </row>
    <row r="420" spans="1:18" x14ac:dyDescent="0.25">
      <c r="A420" s="170">
        <v>45726</v>
      </c>
      <c r="B420" s="116">
        <v>430.55</v>
      </c>
      <c r="C420" s="116">
        <v>412.2</v>
      </c>
      <c r="D420" s="116">
        <v>403.8</v>
      </c>
      <c r="E420" s="116">
        <v>428.05</v>
      </c>
      <c r="F420" s="116">
        <v>412.2</v>
      </c>
      <c r="G420">
        <v>32449</v>
      </c>
      <c r="H420" s="116"/>
      <c r="I420" s="116"/>
      <c r="L420" s="170">
        <v>45726</v>
      </c>
      <c r="M420" s="116">
        <v>412</v>
      </c>
      <c r="N420" s="116">
        <v>433.95</v>
      </c>
      <c r="O420" s="116">
        <v>408.55</v>
      </c>
      <c r="P420" s="116">
        <v>429</v>
      </c>
      <c r="Q420" s="116">
        <v>412</v>
      </c>
      <c r="R420">
        <v>175091</v>
      </c>
    </row>
    <row r="421" spans="1:18" x14ac:dyDescent="0.25">
      <c r="A421" s="170">
        <v>45727</v>
      </c>
      <c r="B421" s="116">
        <v>413.7</v>
      </c>
      <c r="C421" s="116">
        <v>406.85</v>
      </c>
      <c r="D421" s="116">
        <v>400</v>
      </c>
      <c r="E421" s="116">
        <v>403.95</v>
      </c>
      <c r="F421" s="116">
        <v>406.85</v>
      </c>
      <c r="G421">
        <v>43000</v>
      </c>
      <c r="H421" s="116"/>
      <c r="I421" s="116"/>
      <c r="L421" s="170">
        <v>45727</v>
      </c>
      <c r="M421" s="116">
        <v>407.2</v>
      </c>
      <c r="N421" s="116">
        <v>414.2</v>
      </c>
      <c r="O421" s="116">
        <v>400.6</v>
      </c>
      <c r="P421" s="116">
        <v>403.3</v>
      </c>
      <c r="Q421" s="116">
        <v>407.2</v>
      </c>
      <c r="R421">
        <v>191792</v>
      </c>
    </row>
    <row r="422" spans="1:18" x14ac:dyDescent="0.25">
      <c r="A422" s="170">
        <v>45728</v>
      </c>
      <c r="B422" s="116">
        <v>419.85</v>
      </c>
      <c r="C422" s="116">
        <v>408.15</v>
      </c>
      <c r="D422" s="116">
        <v>406.1</v>
      </c>
      <c r="E422" s="116">
        <v>414.8</v>
      </c>
      <c r="F422" s="116">
        <v>408.15</v>
      </c>
      <c r="G422">
        <v>10411</v>
      </c>
      <c r="H422" s="116"/>
      <c r="I422" s="116"/>
      <c r="L422" s="170">
        <v>45728</v>
      </c>
      <c r="M422" s="116">
        <v>408.55</v>
      </c>
      <c r="N422" s="116">
        <v>419.8</v>
      </c>
      <c r="O422" s="116">
        <v>405.95</v>
      </c>
      <c r="P422" s="116">
        <v>409.9</v>
      </c>
      <c r="Q422" s="116">
        <v>408.55</v>
      </c>
      <c r="R422">
        <v>182931</v>
      </c>
    </row>
    <row r="423" spans="1:18" x14ac:dyDescent="0.25">
      <c r="A423" s="170">
        <v>45729</v>
      </c>
      <c r="B423" s="116">
        <v>414.8</v>
      </c>
      <c r="C423" s="116">
        <v>401.1</v>
      </c>
      <c r="D423" s="116">
        <v>400.5</v>
      </c>
      <c r="E423" s="116">
        <v>408.55</v>
      </c>
      <c r="F423" s="116">
        <v>401.1</v>
      </c>
      <c r="G423">
        <v>10578</v>
      </c>
      <c r="H423" s="116"/>
      <c r="I423" s="116"/>
      <c r="L423" s="170">
        <v>45729</v>
      </c>
      <c r="M423" s="116">
        <v>400.85</v>
      </c>
      <c r="N423" s="116">
        <v>414</v>
      </c>
      <c r="O423" s="116">
        <v>400</v>
      </c>
      <c r="P423" s="116">
        <v>413.8</v>
      </c>
      <c r="Q423" s="116">
        <v>400.85</v>
      </c>
      <c r="R423">
        <v>164798</v>
      </c>
    </row>
    <row r="424" spans="1:18" x14ac:dyDescent="0.25">
      <c r="A424" s="170">
        <v>45733</v>
      </c>
      <c r="B424" s="116">
        <v>403.15</v>
      </c>
      <c r="C424" s="116">
        <v>392.75</v>
      </c>
      <c r="D424" s="116">
        <v>389</v>
      </c>
      <c r="E424" s="116">
        <v>401.5</v>
      </c>
      <c r="F424" s="116">
        <v>392.75</v>
      </c>
      <c r="G424">
        <v>36475</v>
      </c>
      <c r="H424" s="116"/>
      <c r="I424" s="116"/>
      <c r="L424" s="170">
        <v>45733</v>
      </c>
      <c r="M424" s="116">
        <v>392.4</v>
      </c>
      <c r="N424" s="116">
        <v>403.75</v>
      </c>
      <c r="O424" s="116">
        <v>389</v>
      </c>
      <c r="P424" s="116">
        <v>403.75</v>
      </c>
      <c r="Q424" s="116">
        <v>392.4</v>
      </c>
      <c r="R424">
        <v>290747</v>
      </c>
    </row>
    <row r="425" spans="1:18" x14ac:dyDescent="0.25">
      <c r="A425" s="170">
        <v>45734</v>
      </c>
      <c r="B425" s="116">
        <v>404.25</v>
      </c>
      <c r="C425" s="116">
        <v>403.05</v>
      </c>
      <c r="D425" s="116">
        <v>392.75</v>
      </c>
      <c r="E425" s="116">
        <v>399.95</v>
      </c>
      <c r="F425" s="116">
        <v>403.05</v>
      </c>
      <c r="G425">
        <v>22755</v>
      </c>
      <c r="H425" s="116"/>
      <c r="I425" s="116"/>
      <c r="L425" s="170">
        <v>45734</v>
      </c>
      <c r="M425" s="116">
        <v>402.8</v>
      </c>
      <c r="N425" s="116">
        <v>404.2</v>
      </c>
      <c r="O425" s="116">
        <v>392.75</v>
      </c>
      <c r="P425" s="116">
        <v>395.85</v>
      </c>
      <c r="Q425" s="116">
        <v>402.8</v>
      </c>
      <c r="R425">
        <v>170094</v>
      </c>
    </row>
    <row r="426" spans="1:18" x14ac:dyDescent="0.25">
      <c r="A426" s="170">
        <v>45735</v>
      </c>
      <c r="B426" s="116">
        <v>414</v>
      </c>
      <c r="C426" s="116">
        <v>412.45</v>
      </c>
      <c r="D426" s="116">
        <v>404.35</v>
      </c>
      <c r="E426" s="116">
        <v>405.8</v>
      </c>
      <c r="F426" s="116">
        <v>412.45</v>
      </c>
      <c r="G426">
        <v>31873</v>
      </c>
      <c r="H426" s="116"/>
      <c r="I426" s="116"/>
      <c r="L426" s="170">
        <v>45735</v>
      </c>
      <c r="M426" s="116">
        <v>412.9</v>
      </c>
      <c r="N426" s="116">
        <v>414.25</v>
      </c>
      <c r="O426" s="116">
        <v>404.5</v>
      </c>
      <c r="P426" s="116">
        <v>404.8</v>
      </c>
      <c r="Q426" s="116">
        <v>412.9</v>
      </c>
      <c r="R426">
        <v>182777</v>
      </c>
    </row>
    <row r="427" spans="1:18" x14ac:dyDescent="0.25">
      <c r="A427" s="170">
        <v>45736</v>
      </c>
      <c r="B427" s="116">
        <v>422</v>
      </c>
      <c r="C427" s="116">
        <v>410.65</v>
      </c>
      <c r="D427" s="116">
        <v>408.9</v>
      </c>
      <c r="E427" s="116">
        <v>420.95</v>
      </c>
      <c r="F427" s="116">
        <v>410.65</v>
      </c>
      <c r="G427">
        <v>13009</v>
      </c>
      <c r="H427" s="116"/>
      <c r="I427" s="116"/>
      <c r="L427" s="170">
        <v>45736</v>
      </c>
      <c r="M427" s="116">
        <v>410.4</v>
      </c>
      <c r="N427" s="116">
        <v>423</v>
      </c>
      <c r="O427" s="116">
        <v>408.65</v>
      </c>
      <c r="P427" s="116">
        <v>414.85</v>
      </c>
      <c r="Q427" s="116">
        <v>410.4</v>
      </c>
      <c r="R427">
        <v>208377</v>
      </c>
    </row>
    <row r="428" spans="1:18" x14ac:dyDescent="0.25">
      <c r="A428" s="170">
        <v>45737</v>
      </c>
      <c r="B428" s="116">
        <v>421.95</v>
      </c>
      <c r="C428" s="116">
        <v>417.5</v>
      </c>
      <c r="D428" s="116">
        <v>409.5</v>
      </c>
      <c r="E428" s="116">
        <v>410.5</v>
      </c>
      <c r="F428" s="116">
        <v>417.5</v>
      </c>
      <c r="G428">
        <v>41012</v>
      </c>
      <c r="H428" s="116"/>
      <c r="I428" s="116"/>
      <c r="L428" s="170">
        <v>45737</v>
      </c>
      <c r="M428" s="116">
        <v>417.65</v>
      </c>
      <c r="N428" s="116">
        <v>422.4</v>
      </c>
      <c r="O428" s="116">
        <v>409.1</v>
      </c>
      <c r="P428" s="116">
        <v>410.35</v>
      </c>
      <c r="Q428" s="116">
        <v>417.65</v>
      </c>
      <c r="R428">
        <v>202073</v>
      </c>
    </row>
    <row r="429" spans="1:18" x14ac:dyDescent="0.25">
      <c r="A429" s="170">
        <v>45740</v>
      </c>
      <c r="B429" s="116">
        <v>440.85</v>
      </c>
      <c r="C429" s="116">
        <v>426.3</v>
      </c>
      <c r="D429" s="116">
        <v>418</v>
      </c>
      <c r="E429" s="116">
        <v>425.45</v>
      </c>
      <c r="F429" s="116">
        <v>426.3</v>
      </c>
      <c r="G429">
        <v>25989</v>
      </c>
      <c r="H429" s="116"/>
      <c r="I429" s="116"/>
      <c r="L429" s="170">
        <v>45740</v>
      </c>
      <c r="M429" s="116">
        <v>426.4</v>
      </c>
      <c r="N429" s="116">
        <v>441</v>
      </c>
      <c r="O429" s="116">
        <v>418</v>
      </c>
      <c r="P429" s="116">
        <v>423.5</v>
      </c>
      <c r="Q429" s="116">
        <v>426.4</v>
      </c>
      <c r="R429">
        <v>520695</v>
      </c>
    </row>
    <row r="430" spans="1:18" x14ac:dyDescent="0.25">
      <c r="A430" s="170">
        <v>45741</v>
      </c>
      <c r="B430" s="116">
        <v>430.8</v>
      </c>
      <c r="C430" s="116">
        <v>403.35</v>
      </c>
      <c r="D430" s="116">
        <v>401.85</v>
      </c>
      <c r="E430" s="116">
        <v>430.6</v>
      </c>
      <c r="F430" s="116">
        <v>403.35</v>
      </c>
      <c r="G430">
        <v>22985</v>
      </c>
      <c r="H430" s="116"/>
      <c r="I430" s="116"/>
      <c r="L430" s="170">
        <v>45741</v>
      </c>
      <c r="M430" s="116">
        <v>403.35</v>
      </c>
      <c r="N430" s="116">
        <v>432.9</v>
      </c>
      <c r="O430" s="116">
        <v>401.5</v>
      </c>
      <c r="P430" s="116">
        <v>430.5</v>
      </c>
      <c r="Q430" s="116">
        <v>403.35</v>
      </c>
      <c r="R430">
        <v>430979</v>
      </c>
    </row>
    <row r="431" spans="1:18" x14ac:dyDescent="0.25">
      <c r="A431" s="170">
        <v>45742</v>
      </c>
      <c r="B431" s="116">
        <v>413.95</v>
      </c>
      <c r="C431" s="116">
        <v>387.3</v>
      </c>
      <c r="D431" s="116">
        <v>383.5</v>
      </c>
      <c r="E431" s="116">
        <v>413.95</v>
      </c>
      <c r="F431" s="116">
        <v>387.3</v>
      </c>
      <c r="G431">
        <v>50100</v>
      </c>
      <c r="H431" s="116"/>
      <c r="I431" s="116"/>
      <c r="L431" s="170">
        <v>45742</v>
      </c>
      <c r="M431" s="116">
        <v>387.5</v>
      </c>
      <c r="N431" s="116">
        <v>409.2</v>
      </c>
      <c r="O431" s="116">
        <v>383.45</v>
      </c>
      <c r="P431" s="116">
        <v>405.95</v>
      </c>
      <c r="Q431" s="116">
        <v>387.5</v>
      </c>
      <c r="R431">
        <v>565112</v>
      </c>
    </row>
    <row r="432" spans="1:18" x14ac:dyDescent="0.25">
      <c r="A432" s="170">
        <v>45743</v>
      </c>
      <c r="B432" s="116">
        <v>464.75</v>
      </c>
      <c r="C432" s="116">
        <v>448.5</v>
      </c>
      <c r="D432" s="116">
        <v>382</v>
      </c>
      <c r="E432" s="116">
        <v>387</v>
      </c>
      <c r="F432" s="116">
        <v>448.5</v>
      </c>
      <c r="G432">
        <v>83432</v>
      </c>
      <c r="H432" s="116"/>
      <c r="I432" s="116"/>
      <c r="L432" s="170">
        <v>45743</v>
      </c>
      <c r="M432" s="116">
        <v>445.95</v>
      </c>
      <c r="N432" s="116">
        <v>465</v>
      </c>
      <c r="O432" s="116">
        <v>381.95</v>
      </c>
      <c r="P432" s="116">
        <v>387</v>
      </c>
      <c r="Q432" s="116">
        <v>445.95</v>
      </c>
      <c r="R432">
        <v>1899424</v>
      </c>
    </row>
    <row r="433" spans="1:18" x14ac:dyDescent="0.25">
      <c r="A433" s="170">
        <v>45744</v>
      </c>
      <c r="B433" s="116">
        <v>483.55</v>
      </c>
      <c r="C433" s="116">
        <v>457.15</v>
      </c>
      <c r="D433" s="116">
        <v>431.75</v>
      </c>
      <c r="E433" s="116">
        <v>446.55</v>
      </c>
      <c r="F433" s="116">
        <v>457.15</v>
      </c>
      <c r="G433">
        <v>176611</v>
      </c>
      <c r="H433" s="116"/>
      <c r="I433" s="116"/>
      <c r="L433" s="170">
        <v>45744</v>
      </c>
      <c r="M433" s="116">
        <v>457.65</v>
      </c>
      <c r="N433" s="116">
        <v>483.7</v>
      </c>
      <c r="O433" s="116">
        <v>433</v>
      </c>
      <c r="P433" s="116">
        <v>446</v>
      </c>
      <c r="Q433" s="116">
        <v>457.65</v>
      </c>
      <c r="R433">
        <v>1672783</v>
      </c>
    </row>
    <row r="434" spans="1:18" x14ac:dyDescent="0.25">
      <c r="A434" s="170">
        <v>45748</v>
      </c>
      <c r="B434" s="116">
        <v>482.95</v>
      </c>
      <c r="C434" s="116">
        <v>461.75</v>
      </c>
      <c r="D434" s="116">
        <v>455.75</v>
      </c>
      <c r="E434" s="116">
        <v>461.9</v>
      </c>
      <c r="F434" s="116">
        <v>461.75</v>
      </c>
      <c r="G434">
        <v>35416</v>
      </c>
      <c r="H434" s="116"/>
      <c r="I434" s="116"/>
      <c r="L434" s="170">
        <v>45748</v>
      </c>
      <c r="M434" s="116">
        <v>461.45</v>
      </c>
      <c r="N434" s="116">
        <v>483</v>
      </c>
      <c r="O434" s="116">
        <v>455.5</v>
      </c>
      <c r="P434" s="116">
        <v>457.7</v>
      </c>
      <c r="Q434" s="116">
        <v>461.45</v>
      </c>
      <c r="R434">
        <v>419635</v>
      </c>
    </row>
    <row r="435" spans="1:18" x14ac:dyDescent="0.25">
      <c r="A435" s="170">
        <v>45749</v>
      </c>
      <c r="B435" s="116">
        <v>462.05</v>
      </c>
      <c r="C435" s="116">
        <v>451.75</v>
      </c>
      <c r="D435" s="116">
        <v>448.55</v>
      </c>
      <c r="E435" s="116">
        <v>449.25</v>
      </c>
      <c r="F435" s="116">
        <v>451.75</v>
      </c>
      <c r="G435">
        <v>22499</v>
      </c>
      <c r="H435" s="116"/>
      <c r="I435" s="116"/>
      <c r="L435" s="170">
        <v>45749</v>
      </c>
      <c r="M435" s="116">
        <v>451.9</v>
      </c>
      <c r="N435" s="116">
        <v>462.55</v>
      </c>
      <c r="O435" s="116">
        <v>448.55</v>
      </c>
      <c r="P435" s="116">
        <v>461.45</v>
      </c>
      <c r="Q435" s="116">
        <v>451.9</v>
      </c>
      <c r="R435">
        <v>196694</v>
      </c>
    </row>
    <row r="436" spans="1:18" x14ac:dyDescent="0.25">
      <c r="A436" s="170">
        <v>45750</v>
      </c>
      <c r="B436" s="116">
        <v>461.7</v>
      </c>
      <c r="C436" s="116">
        <v>456.45</v>
      </c>
      <c r="D436" s="116">
        <v>445.15</v>
      </c>
      <c r="E436" s="116">
        <v>445.15</v>
      </c>
      <c r="F436" s="116">
        <v>456.45</v>
      </c>
      <c r="G436">
        <v>19837</v>
      </c>
      <c r="H436" s="116"/>
      <c r="I436" s="116"/>
      <c r="L436" s="170">
        <v>45750</v>
      </c>
      <c r="M436" s="116">
        <v>455.05</v>
      </c>
      <c r="N436" s="116">
        <v>461.6</v>
      </c>
      <c r="O436" s="116">
        <v>447</v>
      </c>
      <c r="P436" s="116">
        <v>447</v>
      </c>
      <c r="Q436" s="116">
        <v>455.05</v>
      </c>
      <c r="R436">
        <v>253039</v>
      </c>
    </row>
    <row r="437" spans="1:18" x14ac:dyDescent="0.25">
      <c r="A437" s="170">
        <v>45751</v>
      </c>
      <c r="B437" s="116">
        <v>452.7</v>
      </c>
      <c r="C437" s="116">
        <v>431.95</v>
      </c>
      <c r="D437" s="116">
        <v>427</v>
      </c>
      <c r="E437" s="116">
        <v>450.65</v>
      </c>
      <c r="F437" s="116">
        <v>431.95</v>
      </c>
      <c r="G437">
        <v>45938</v>
      </c>
      <c r="H437" s="116"/>
      <c r="I437" s="116"/>
      <c r="L437" s="170">
        <v>45751</v>
      </c>
      <c r="M437" s="116">
        <v>431.95</v>
      </c>
      <c r="N437" s="116">
        <v>452.8</v>
      </c>
      <c r="O437" s="116">
        <v>427.05</v>
      </c>
      <c r="P437" s="116">
        <v>452.7</v>
      </c>
      <c r="Q437" s="116">
        <v>431.95</v>
      </c>
      <c r="R437">
        <v>236789</v>
      </c>
    </row>
    <row r="438" spans="1:18" x14ac:dyDescent="0.25">
      <c r="A438" s="170">
        <v>45754</v>
      </c>
      <c r="B438" s="116">
        <v>418.25</v>
      </c>
      <c r="C438" s="116">
        <v>414.55</v>
      </c>
      <c r="D438" s="116">
        <v>350.15</v>
      </c>
      <c r="E438" s="116">
        <v>350.15</v>
      </c>
      <c r="F438" s="116">
        <v>414.55</v>
      </c>
      <c r="G438">
        <v>52462</v>
      </c>
      <c r="H438" s="116"/>
      <c r="I438" s="116"/>
      <c r="L438" s="170">
        <v>45754</v>
      </c>
      <c r="M438" s="116">
        <v>414.3</v>
      </c>
      <c r="N438" s="116">
        <v>417.8</v>
      </c>
      <c r="O438" s="116">
        <v>378.6</v>
      </c>
      <c r="P438" s="116">
        <v>386.1</v>
      </c>
      <c r="Q438" s="116">
        <v>414.3</v>
      </c>
      <c r="R438">
        <v>265302</v>
      </c>
    </row>
    <row r="439" spans="1:18" x14ac:dyDescent="0.25">
      <c r="A439" s="170">
        <v>45755</v>
      </c>
      <c r="B439" s="116">
        <v>437.8</v>
      </c>
      <c r="C439" s="116">
        <v>427.7</v>
      </c>
      <c r="D439" s="116">
        <v>417.75</v>
      </c>
      <c r="E439" s="116">
        <v>437.8</v>
      </c>
      <c r="F439" s="116">
        <v>427.7</v>
      </c>
      <c r="G439">
        <v>21121</v>
      </c>
      <c r="H439" s="116"/>
      <c r="I439" s="116"/>
      <c r="L439" s="170">
        <v>45755</v>
      </c>
      <c r="M439" s="116">
        <v>430.3</v>
      </c>
      <c r="N439" s="116">
        <v>438</v>
      </c>
      <c r="O439" s="116">
        <v>417</v>
      </c>
      <c r="P439" s="116">
        <v>429</v>
      </c>
      <c r="Q439" s="116">
        <v>430.3</v>
      </c>
      <c r="R439">
        <v>140414</v>
      </c>
    </row>
    <row r="440" spans="1:18" x14ac:dyDescent="0.25">
      <c r="A440" s="170">
        <v>45756</v>
      </c>
      <c r="B440" s="116">
        <v>434.25</v>
      </c>
      <c r="C440" s="116">
        <v>426.45</v>
      </c>
      <c r="D440" s="116">
        <v>419</v>
      </c>
      <c r="E440" s="116">
        <v>419.05</v>
      </c>
      <c r="F440" s="116">
        <v>426.45</v>
      </c>
      <c r="G440">
        <v>8311</v>
      </c>
      <c r="H440" s="116"/>
      <c r="I440" s="116"/>
      <c r="L440" s="170">
        <v>45756</v>
      </c>
      <c r="M440" s="116">
        <v>426.35</v>
      </c>
      <c r="N440" s="116">
        <v>434.2</v>
      </c>
      <c r="O440" s="116">
        <v>418.8</v>
      </c>
      <c r="P440" s="116">
        <v>427</v>
      </c>
      <c r="Q440" s="116">
        <v>426.35</v>
      </c>
      <c r="R440">
        <v>99658</v>
      </c>
    </row>
    <row r="441" spans="1:18" x14ac:dyDescent="0.25">
      <c r="A441" s="170">
        <v>45758</v>
      </c>
      <c r="B441" s="116">
        <v>449.5</v>
      </c>
      <c r="C441" s="116">
        <v>445.5</v>
      </c>
      <c r="D441" s="116">
        <v>435.9</v>
      </c>
      <c r="E441" s="116">
        <v>448.45</v>
      </c>
      <c r="F441" s="116">
        <v>445.5</v>
      </c>
      <c r="G441">
        <v>29330</v>
      </c>
      <c r="H441" s="116"/>
      <c r="I441" s="116"/>
      <c r="L441" s="170">
        <v>45758</v>
      </c>
      <c r="M441" s="116">
        <v>445.3</v>
      </c>
      <c r="N441" s="116">
        <v>449.9</v>
      </c>
      <c r="O441" s="116">
        <v>435.6</v>
      </c>
      <c r="P441" s="116">
        <v>447</v>
      </c>
      <c r="Q441" s="116">
        <v>445.3</v>
      </c>
      <c r="R441">
        <v>188024</v>
      </c>
    </row>
    <row r="442" spans="1:18" x14ac:dyDescent="0.25">
      <c r="A442" s="170">
        <v>45762</v>
      </c>
      <c r="B442" s="116">
        <v>460.35</v>
      </c>
      <c r="C442" s="116">
        <v>456.1</v>
      </c>
      <c r="D442" s="116">
        <v>448.45</v>
      </c>
      <c r="E442" s="116">
        <v>448.45</v>
      </c>
      <c r="F442" s="116">
        <v>456.1</v>
      </c>
      <c r="G442">
        <v>17271</v>
      </c>
      <c r="H442" s="116"/>
      <c r="I442" s="116"/>
      <c r="L442" s="170">
        <v>45762</v>
      </c>
      <c r="M442" s="116">
        <v>456.2</v>
      </c>
      <c r="N442" s="116">
        <v>461</v>
      </c>
      <c r="O442" s="116">
        <v>450.45</v>
      </c>
      <c r="P442" s="116">
        <v>455</v>
      </c>
      <c r="Q442" s="116">
        <v>456.2</v>
      </c>
      <c r="R442">
        <v>157958</v>
      </c>
    </row>
    <row r="443" spans="1:18" x14ac:dyDescent="0.25">
      <c r="A443" s="170">
        <v>45763</v>
      </c>
      <c r="B443" s="116">
        <v>464.1</v>
      </c>
      <c r="C443" s="116">
        <v>461.55</v>
      </c>
      <c r="D443" s="116">
        <v>456</v>
      </c>
      <c r="E443" s="116">
        <v>456.6</v>
      </c>
      <c r="F443" s="116">
        <v>461.55</v>
      </c>
      <c r="G443">
        <v>8154</v>
      </c>
      <c r="H443" s="116"/>
      <c r="I443" s="116"/>
      <c r="L443" s="170">
        <v>45763</v>
      </c>
      <c r="M443" s="116">
        <v>461.55</v>
      </c>
      <c r="N443" s="116">
        <v>463.45</v>
      </c>
      <c r="O443" s="116">
        <v>455.3</v>
      </c>
      <c r="P443" s="116">
        <v>456.2</v>
      </c>
      <c r="Q443" s="116">
        <v>461.55</v>
      </c>
      <c r="R443">
        <v>147362</v>
      </c>
    </row>
    <row r="444" spans="1:18" x14ac:dyDescent="0.25">
      <c r="A444" s="170">
        <v>45764</v>
      </c>
      <c r="B444" s="116">
        <v>472.35</v>
      </c>
      <c r="C444" s="116">
        <v>465.75</v>
      </c>
      <c r="D444" s="116">
        <v>449</v>
      </c>
      <c r="E444" s="116">
        <v>449</v>
      </c>
      <c r="F444" s="116">
        <v>465.75</v>
      </c>
      <c r="G444">
        <v>23376</v>
      </c>
      <c r="H444" s="116"/>
      <c r="I444" s="116"/>
      <c r="L444" s="170">
        <v>45764</v>
      </c>
      <c r="M444" s="116">
        <v>465.3</v>
      </c>
      <c r="N444" s="116">
        <v>473.15</v>
      </c>
      <c r="O444" s="116">
        <v>455.3</v>
      </c>
      <c r="P444" s="116">
        <v>461</v>
      </c>
      <c r="Q444" s="116">
        <v>465.3</v>
      </c>
      <c r="R444">
        <v>230810</v>
      </c>
    </row>
    <row r="445" spans="1:18" x14ac:dyDescent="0.25">
      <c r="A445" s="170">
        <v>45768</v>
      </c>
      <c r="B445" s="116">
        <v>474.95</v>
      </c>
      <c r="C445" s="116">
        <v>471.6</v>
      </c>
      <c r="D445" s="116">
        <v>461</v>
      </c>
      <c r="E445" s="116">
        <v>468.95</v>
      </c>
      <c r="F445" s="116">
        <v>471.6</v>
      </c>
      <c r="G445">
        <v>35247</v>
      </c>
      <c r="H445" s="116"/>
      <c r="I445" s="116"/>
      <c r="L445" s="170">
        <v>45768</v>
      </c>
      <c r="M445" s="116">
        <v>472</v>
      </c>
      <c r="N445" s="116">
        <v>475.2</v>
      </c>
      <c r="O445" s="116">
        <v>461.3</v>
      </c>
      <c r="P445" s="116">
        <v>469.85</v>
      </c>
      <c r="Q445" s="116">
        <v>472</v>
      </c>
      <c r="R445">
        <v>188546</v>
      </c>
    </row>
    <row r="446" spans="1:18" x14ac:dyDescent="0.25">
      <c r="A446" s="170">
        <v>45769</v>
      </c>
      <c r="B446" s="116">
        <v>491</v>
      </c>
      <c r="C446" s="116">
        <v>481.85</v>
      </c>
      <c r="D446" s="116">
        <v>467.05</v>
      </c>
      <c r="E446" s="116">
        <v>477.8</v>
      </c>
      <c r="F446" s="116">
        <v>481.85</v>
      </c>
      <c r="G446">
        <v>28935</v>
      </c>
      <c r="H446" s="116"/>
      <c r="I446" s="116"/>
      <c r="L446" s="170">
        <v>45769</v>
      </c>
      <c r="M446" s="116">
        <v>480.95</v>
      </c>
      <c r="N446" s="116">
        <v>492</v>
      </c>
      <c r="O446" s="116">
        <v>466.75</v>
      </c>
      <c r="P446" s="116">
        <v>474</v>
      </c>
      <c r="Q446" s="116">
        <v>480.95</v>
      </c>
      <c r="R446">
        <v>524747</v>
      </c>
    </row>
    <row r="447" spans="1:18" x14ac:dyDescent="0.25">
      <c r="A447" s="170">
        <v>45770</v>
      </c>
      <c r="B447" s="116">
        <v>541</v>
      </c>
      <c r="C447" s="116">
        <v>494.9</v>
      </c>
      <c r="D447" s="116">
        <v>490.65</v>
      </c>
      <c r="E447" s="116">
        <v>541</v>
      </c>
      <c r="F447" s="116">
        <v>494.9</v>
      </c>
      <c r="G447">
        <v>348025</v>
      </c>
      <c r="H447" s="116"/>
      <c r="I447" s="116"/>
      <c r="L447" s="170">
        <v>45770</v>
      </c>
      <c r="M447" s="116">
        <v>494.1</v>
      </c>
      <c r="N447" s="116">
        <v>540</v>
      </c>
      <c r="O447" s="116">
        <v>490.35</v>
      </c>
      <c r="P447" s="116">
        <v>540</v>
      </c>
      <c r="Q447" s="116">
        <v>494.1</v>
      </c>
      <c r="R447">
        <v>3957107</v>
      </c>
    </row>
    <row r="448" spans="1:18" x14ac:dyDescent="0.25">
      <c r="A448" s="170">
        <v>45771</v>
      </c>
      <c r="B448" s="116">
        <v>499</v>
      </c>
      <c r="C448" s="116">
        <v>483.05</v>
      </c>
      <c r="D448" s="116">
        <v>480.75</v>
      </c>
      <c r="E448" s="116">
        <v>495.2</v>
      </c>
      <c r="F448" s="116">
        <v>483.05</v>
      </c>
      <c r="G448">
        <v>63224</v>
      </c>
      <c r="H448" s="116"/>
      <c r="I448" s="116"/>
      <c r="L448" s="170">
        <v>45771</v>
      </c>
      <c r="M448" s="116">
        <v>482.5</v>
      </c>
      <c r="N448" s="116">
        <v>498.25</v>
      </c>
      <c r="O448" s="116">
        <v>480.45</v>
      </c>
      <c r="P448" s="116">
        <v>494.8</v>
      </c>
      <c r="Q448" s="116">
        <v>482.5</v>
      </c>
      <c r="R448">
        <v>472431</v>
      </c>
    </row>
    <row r="449" spans="1:18" x14ac:dyDescent="0.25">
      <c r="A449" s="170">
        <v>45772</v>
      </c>
      <c r="B449" s="116">
        <v>483.05</v>
      </c>
      <c r="C449" s="116">
        <v>461.1</v>
      </c>
      <c r="D449" s="116">
        <v>454.55</v>
      </c>
      <c r="E449" s="116">
        <v>482.05</v>
      </c>
      <c r="F449" s="116">
        <v>461.1</v>
      </c>
      <c r="G449">
        <v>100918</v>
      </c>
      <c r="H449" s="116"/>
      <c r="I449" s="116"/>
      <c r="L449" s="170">
        <v>45772</v>
      </c>
      <c r="M449" s="116">
        <v>461.7</v>
      </c>
      <c r="N449" s="116">
        <v>484</v>
      </c>
      <c r="O449" s="116">
        <v>454.4</v>
      </c>
      <c r="P449" s="116">
        <v>482.95</v>
      </c>
      <c r="Q449" s="116">
        <v>461.7</v>
      </c>
      <c r="R449">
        <v>522659</v>
      </c>
    </row>
    <row r="450" spans="1:18" x14ac:dyDescent="0.25">
      <c r="A450" s="170">
        <v>45775</v>
      </c>
      <c r="B450" s="116">
        <v>470</v>
      </c>
      <c r="C450" s="116">
        <v>462.25</v>
      </c>
      <c r="D450" s="116">
        <v>454.4</v>
      </c>
      <c r="E450" s="116">
        <v>454.4</v>
      </c>
      <c r="F450" s="116">
        <v>462.25</v>
      </c>
      <c r="G450">
        <v>20226</v>
      </c>
      <c r="H450" s="116"/>
      <c r="I450" s="116"/>
      <c r="L450" s="170">
        <v>45775</v>
      </c>
      <c r="M450" s="116">
        <v>462.15</v>
      </c>
      <c r="N450" s="116">
        <v>470.6</v>
      </c>
      <c r="O450" s="116">
        <v>456.4</v>
      </c>
      <c r="P450" s="116">
        <v>458.7</v>
      </c>
      <c r="Q450" s="116">
        <v>462.15</v>
      </c>
      <c r="R450">
        <v>297812</v>
      </c>
    </row>
    <row r="451" spans="1:18" x14ac:dyDescent="0.25">
      <c r="A451" s="170">
        <v>45776</v>
      </c>
      <c r="B451" s="116">
        <v>469.75</v>
      </c>
      <c r="C451" s="116">
        <v>467.4</v>
      </c>
      <c r="D451" s="116">
        <v>459.15</v>
      </c>
      <c r="E451" s="116">
        <v>465</v>
      </c>
      <c r="F451" s="116">
        <v>467.4</v>
      </c>
      <c r="G451">
        <v>21189</v>
      </c>
      <c r="H451" s="116"/>
      <c r="I451" s="116"/>
      <c r="L451" s="170">
        <v>45776</v>
      </c>
      <c r="M451" s="116">
        <v>467.45</v>
      </c>
      <c r="N451" s="116">
        <v>469.6</v>
      </c>
      <c r="O451" s="116">
        <v>459</v>
      </c>
      <c r="P451" s="116">
        <v>465</v>
      </c>
      <c r="Q451" s="116">
        <v>467.45</v>
      </c>
      <c r="R451">
        <v>234886</v>
      </c>
    </row>
    <row r="452" spans="1:18" x14ac:dyDescent="0.25">
      <c r="A452" s="170">
        <v>45777</v>
      </c>
      <c r="B452" s="116">
        <v>465.2</v>
      </c>
      <c r="C452" s="116">
        <v>447.5</v>
      </c>
      <c r="D452" s="116">
        <v>444.15</v>
      </c>
      <c r="E452" s="116">
        <v>462.25</v>
      </c>
      <c r="F452" s="116">
        <v>447.5</v>
      </c>
      <c r="G452">
        <v>17885</v>
      </c>
      <c r="H452" s="116"/>
      <c r="I452" s="116"/>
      <c r="L452" s="170">
        <v>45777</v>
      </c>
      <c r="M452" s="116">
        <v>447.25</v>
      </c>
      <c r="N452" s="116">
        <v>465</v>
      </c>
      <c r="O452" s="116">
        <v>444</v>
      </c>
      <c r="P452" s="116">
        <v>465</v>
      </c>
      <c r="Q452" s="116">
        <v>447.25</v>
      </c>
      <c r="R452">
        <v>305511</v>
      </c>
    </row>
    <row r="453" spans="1:18" x14ac:dyDescent="0.25">
      <c r="A453" s="170">
        <v>45779</v>
      </c>
      <c r="B453" s="116">
        <v>452.35</v>
      </c>
      <c r="C453" s="116">
        <v>440.8</v>
      </c>
      <c r="D453" s="116">
        <v>437.85</v>
      </c>
      <c r="E453" s="116">
        <v>448.1</v>
      </c>
      <c r="F453" s="116">
        <v>440.8</v>
      </c>
      <c r="G453">
        <v>31832</v>
      </c>
      <c r="H453" s="116"/>
      <c r="I453" s="116"/>
      <c r="L453" s="170">
        <v>45779</v>
      </c>
      <c r="M453" s="116">
        <v>440.55</v>
      </c>
      <c r="N453" s="116">
        <v>453</v>
      </c>
      <c r="O453" s="116">
        <v>438.05</v>
      </c>
      <c r="P453" s="116">
        <v>449.1</v>
      </c>
      <c r="Q453" s="116">
        <v>440.55</v>
      </c>
      <c r="R453">
        <v>234334</v>
      </c>
    </row>
    <row r="454" spans="1:18" x14ac:dyDescent="0.25">
      <c r="A454" s="170">
        <v>45782</v>
      </c>
      <c r="B454" s="116">
        <v>447.25</v>
      </c>
      <c r="C454" s="116">
        <v>442.7</v>
      </c>
      <c r="D454" s="116">
        <v>438.1</v>
      </c>
      <c r="E454" s="116">
        <v>445.05</v>
      </c>
      <c r="F454" s="116">
        <v>442.7</v>
      </c>
      <c r="G454">
        <v>26926</v>
      </c>
      <c r="H454" s="116"/>
      <c r="I454" s="116"/>
      <c r="L454" s="170">
        <v>45782</v>
      </c>
      <c r="M454" s="116">
        <v>442.85</v>
      </c>
      <c r="N454" s="116">
        <v>447</v>
      </c>
      <c r="O454" s="116">
        <v>437.85</v>
      </c>
      <c r="P454" s="116">
        <v>445.6</v>
      </c>
      <c r="Q454" s="116">
        <v>442.85</v>
      </c>
      <c r="R454">
        <v>168755</v>
      </c>
    </row>
    <row r="455" spans="1:18" x14ac:dyDescent="0.25">
      <c r="A455" s="170">
        <v>45783</v>
      </c>
      <c r="B455" s="116">
        <v>445.1</v>
      </c>
      <c r="C455" s="116">
        <v>425.4</v>
      </c>
      <c r="D455" s="116">
        <v>423.3</v>
      </c>
      <c r="E455" s="116">
        <v>442.6</v>
      </c>
      <c r="F455" s="116">
        <v>425.4</v>
      </c>
      <c r="G455">
        <v>6256</v>
      </c>
      <c r="H455" s="116"/>
      <c r="I455" s="116"/>
      <c r="L455" s="170">
        <v>45783</v>
      </c>
      <c r="M455" s="116">
        <v>425.1</v>
      </c>
      <c r="N455" s="116">
        <v>446.35</v>
      </c>
      <c r="O455" s="116">
        <v>423.3</v>
      </c>
      <c r="P455" s="116">
        <v>442.85</v>
      </c>
      <c r="Q455" s="116">
        <v>425.1</v>
      </c>
      <c r="R455">
        <v>205092</v>
      </c>
    </row>
    <row r="456" spans="1:18" x14ac:dyDescent="0.25">
      <c r="A456" s="170">
        <v>45784</v>
      </c>
      <c r="B456" s="116">
        <v>432.2</v>
      </c>
      <c r="C456" s="116">
        <v>429.2</v>
      </c>
      <c r="D456" s="116">
        <v>412.75</v>
      </c>
      <c r="E456" s="116">
        <v>412.75</v>
      </c>
      <c r="F456" s="116">
        <v>429.2</v>
      </c>
      <c r="G456">
        <v>35476</v>
      </c>
      <c r="H456" s="116"/>
      <c r="I456" s="116"/>
      <c r="L456" s="170">
        <v>45784</v>
      </c>
      <c r="M456" s="116">
        <v>428.2</v>
      </c>
      <c r="N456" s="116">
        <v>432.75</v>
      </c>
      <c r="O456" s="116">
        <v>415</v>
      </c>
      <c r="P456" s="116">
        <v>416</v>
      </c>
      <c r="Q456" s="116">
        <v>428.2</v>
      </c>
      <c r="R456">
        <v>368719</v>
      </c>
    </row>
    <row r="457" spans="1:18" x14ac:dyDescent="0.25">
      <c r="A457" s="170">
        <v>45785</v>
      </c>
      <c r="B457" s="116">
        <v>444.7</v>
      </c>
      <c r="C457" s="116">
        <v>427.6</v>
      </c>
      <c r="D457" s="116">
        <v>426</v>
      </c>
      <c r="E457" s="116">
        <v>439.8</v>
      </c>
      <c r="F457" s="116">
        <v>427.6</v>
      </c>
      <c r="G457">
        <v>23498</v>
      </c>
      <c r="H457" s="116"/>
      <c r="I457" s="116"/>
      <c r="L457" s="170">
        <v>45785</v>
      </c>
      <c r="M457" s="116">
        <v>427.65</v>
      </c>
      <c r="N457" s="116">
        <v>444.75</v>
      </c>
      <c r="O457" s="116">
        <v>425.6</v>
      </c>
      <c r="P457" s="116">
        <v>433</v>
      </c>
      <c r="Q457" s="116">
        <v>427.65</v>
      </c>
      <c r="R457">
        <v>181616</v>
      </c>
    </row>
    <row r="458" spans="1:18" x14ac:dyDescent="0.25">
      <c r="A458" s="170">
        <v>45786</v>
      </c>
      <c r="B458" s="116">
        <v>428.35</v>
      </c>
      <c r="C458" s="116">
        <v>426.9</v>
      </c>
      <c r="D458" s="116">
        <v>416.35</v>
      </c>
      <c r="E458" s="116">
        <v>419.05</v>
      </c>
      <c r="F458" s="116">
        <v>426.9</v>
      </c>
      <c r="G458">
        <v>14551</v>
      </c>
      <c r="H458" s="116"/>
      <c r="I458" s="116"/>
      <c r="L458" s="170">
        <v>45786</v>
      </c>
      <c r="M458" s="116">
        <v>426.1</v>
      </c>
      <c r="N458" s="116">
        <v>430</v>
      </c>
      <c r="O458" s="116">
        <v>415.5</v>
      </c>
      <c r="P458" s="116">
        <v>417.05</v>
      </c>
      <c r="Q458" s="116">
        <v>426.1</v>
      </c>
      <c r="R458">
        <v>222706</v>
      </c>
    </row>
    <row r="459" spans="1:18" x14ac:dyDescent="0.25">
      <c r="A459" s="170">
        <v>45789</v>
      </c>
      <c r="B459" s="116">
        <v>453</v>
      </c>
      <c r="C459" s="116">
        <v>450.65</v>
      </c>
      <c r="D459" s="116">
        <v>443.65</v>
      </c>
      <c r="E459" s="116">
        <v>450.05</v>
      </c>
      <c r="F459" s="116">
        <v>450.65</v>
      </c>
      <c r="G459">
        <v>53544</v>
      </c>
      <c r="H459" s="116"/>
      <c r="I459" s="116"/>
      <c r="L459" s="170">
        <v>45789</v>
      </c>
      <c r="M459" s="116">
        <v>450.9</v>
      </c>
      <c r="N459" s="116">
        <v>455</v>
      </c>
      <c r="O459" s="116">
        <v>443.45</v>
      </c>
      <c r="P459" s="116">
        <v>454.95</v>
      </c>
      <c r="Q459" s="116">
        <v>450.9</v>
      </c>
      <c r="R459">
        <v>391258</v>
      </c>
    </row>
    <row r="460" spans="1:18" x14ac:dyDescent="0.25">
      <c r="A460" s="170">
        <v>45790</v>
      </c>
      <c r="B460" s="116">
        <v>467.95</v>
      </c>
      <c r="C460" s="116">
        <v>465.9</v>
      </c>
      <c r="D460" s="116">
        <v>445.45</v>
      </c>
      <c r="E460" s="116">
        <v>462.95</v>
      </c>
      <c r="F460" s="116">
        <v>465.9</v>
      </c>
      <c r="G460">
        <v>21574</v>
      </c>
      <c r="H460" s="116"/>
      <c r="I460" s="116"/>
      <c r="L460" s="170">
        <v>45790</v>
      </c>
      <c r="M460" s="116">
        <v>465.35</v>
      </c>
      <c r="N460" s="116">
        <v>467.9</v>
      </c>
      <c r="O460" s="116">
        <v>446.25</v>
      </c>
      <c r="P460" s="116">
        <v>450.15</v>
      </c>
      <c r="Q460" s="116">
        <v>465.35</v>
      </c>
      <c r="R460">
        <v>656979</v>
      </c>
    </row>
    <row r="461" spans="1:18" x14ac:dyDescent="0.25">
      <c r="A461" s="170">
        <v>45791</v>
      </c>
      <c r="B461" s="116">
        <v>469</v>
      </c>
      <c r="C461" s="116">
        <v>463.85</v>
      </c>
      <c r="D461" s="116">
        <v>458.4</v>
      </c>
      <c r="E461" s="116">
        <v>465.95</v>
      </c>
      <c r="F461" s="116">
        <v>463.85</v>
      </c>
      <c r="G461">
        <v>24799</v>
      </c>
      <c r="H461" s="116"/>
      <c r="I461" s="116"/>
      <c r="L461" s="170">
        <v>45791</v>
      </c>
      <c r="M461" s="116">
        <v>464.05</v>
      </c>
      <c r="N461" s="116">
        <v>469.35</v>
      </c>
      <c r="O461" s="116">
        <v>458.15</v>
      </c>
      <c r="P461" s="116">
        <v>469</v>
      </c>
      <c r="Q461" s="116">
        <v>464.05</v>
      </c>
      <c r="R461">
        <v>260737</v>
      </c>
    </row>
    <row r="462" spans="1:18" x14ac:dyDescent="0.25">
      <c r="A462" s="170">
        <v>45792</v>
      </c>
      <c r="B462" s="116">
        <v>475.2</v>
      </c>
      <c r="C462" s="116">
        <v>463.55</v>
      </c>
      <c r="D462" s="116">
        <v>458.15</v>
      </c>
      <c r="E462" s="116">
        <v>475.2</v>
      </c>
      <c r="F462" s="116">
        <v>463.55</v>
      </c>
      <c r="G462">
        <v>40947</v>
      </c>
      <c r="H462" s="116"/>
      <c r="I462" s="116"/>
      <c r="L462" s="170">
        <v>45792</v>
      </c>
      <c r="M462" s="116">
        <v>464.65</v>
      </c>
      <c r="N462" s="116">
        <v>472.35</v>
      </c>
      <c r="O462" s="116">
        <v>458.45</v>
      </c>
      <c r="P462" s="116">
        <v>464.2</v>
      </c>
      <c r="Q462" s="116">
        <v>464.65</v>
      </c>
      <c r="R462">
        <v>318063</v>
      </c>
    </row>
    <row r="463" spans="1:18" x14ac:dyDescent="0.25">
      <c r="A463" s="170">
        <v>45793</v>
      </c>
      <c r="B463" s="116">
        <v>492</v>
      </c>
      <c r="C463" s="116">
        <v>485</v>
      </c>
      <c r="D463" s="116">
        <v>464.05</v>
      </c>
      <c r="E463" s="116">
        <v>464.05</v>
      </c>
      <c r="F463" s="116">
        <v>485</v>
      </c>
      <c r="G463">
        <v>36163</v>
      </c>
      <c r="H463" s="116"/>
      <c r="I463" s="116"/>
      <c r="L463" s="170">
        <v>45793</v>
      </c>
      <c r="M463" s="116">
        <v>484.75</v>
      </c>
      <c r="N463" s="116">
        <v>492</v>
      </c>
      <c r="O463" s="116">
        <v>462.15</v>
      </c>
      <c r="P463" s="116">
        <v>462.15</v>
      </c>
      <c r="Q463" s="116">
        <v>484.75</v>
      </c>
      <c r="R463">
        <v>801278</v>
      </c>
    </row>
    <row r="464" spans="1:18" x14ac:dyDescent="0.25">
      <c r="A464" s="170">
        <v>45796</v>
      </c>
      <c r="B464" s="116">
        <v>496.5</v>
      </c>
      <c r="C464" s="116">
        <v>490.85</v>
      </c>
      <c r="D464" s="116">
        <v>485.75</v>
      </c>
      <c r="E464" s="116">
        <v>485.75</v>
      </c>
      <c r="F464" s="116">
        <v>490.85</v>
      </c>
      <c r="G464">
        <v>48333</v>
      </c>
      <c r="H464" s="116"/>
      <c r="I464" s="116"/>
      <c r="L464" s="170">
        <v>45796</v>
      </c>
      <c r="M464" s="116">
        <v>490.5</v>
      </c>
      <c r="N464" s="116">
        <v>496.6</v>
      </c>
      <c r="O464" s="116">
        <v>487</v>
      </c>
      <c r="P464" s="116">
        <v>492</v>
      </c>
      <c r="Q464" s="116">
        <v>490.5</v>
      </c>
      <c r="R464">
        <v>332132</v>
      </c>
    </row>
    <row r="465" spans="1:18" x14ac:dyDescent="0.25">
      <c r="A465" s="170">
        <v>45797</v>
      </c>
      <c r="B465" s="116">
        <v>496.75</v>
      </c>
      <c r="C465" s="116">
        <v>478</v>
      </c>
      <c r="D465" s="116">
        <v>473.1</v>
      </c>
      <c r="E465" s="116">
        <v>496.75</v>
      </c>
      <c r="F465" s="116">
        <v>478</v>
      </c>
      <c r="G465">
        <v>31541</v>
      </c>
      <c r="H465" s="116"/>
      <c r="I465" s="116"/>
      <c r="L465" s="170">
        <v>45797</v>
      </c>
      <c r="M465" s="116">
        <v>478.4</v>
      </c>
      <c r="N465" s="116">
        <v>495.4</v>
      </c>
      <c r="O465" s="116">
        <v>473.55</v>
      </c>
      <c r="P465" s="116">
        <v>494</v>
      </c>
      <c r="Q465" s="116">
        <v>478.4</v>
      </c>
      <c r="R465">
        <v>190904</v>
      </c>
    </row>
    <row r="466" spans="1:18" x14ac:dyDescent="0.25">
      <c r="A466" s="170">
        <v>45798</v>
      </c>
      <c r="B466" s="116">
        <v>485.8</v>
      </c>
      <c r="C466" s="116">
        <v>479.75</v>
      </c>
      <c r="D466" s="116">
        <v>476.05</v>
      </c>
      <c r="E466" s="116">
        <v>485.8</v>
      </c>
      <c r="F466" s="116">
        <v>479.75</v>
      </c>
      <c r="G466">
        <v>11394</v>
      </c>
      <c r="H466" s="116"/>
      <c r="I466" s="116"/>
      <c r="L466" s="170">
        <v>45798</v>
      </c>
      <c r="M466" s="116">
        <v>479.8</v>
      </c>
      <c r="N466" s="116">
        <v>484.5</v>
      </c>
      <c r="O466" s="116">
        <v>475.5</v>
      </c>
      <c r="P466" s="116">
        <v>484.5</v>
      </c>
      <c r="Q466" s="116">
        <v>479.8</v>
      </c>
      <c r="R466">
        <v>176818</v>
      </c>
    </row>
    <row r="467" spans="1:18" x14ac:dyDescent="0.25">
      <c r="A467" s="170">
        <v>45799</v>
      </c>
      <c r="B467" s="116">
        <v>485.1</v>
      </c>
      <c r="C467" s="116">
        <v>478.25</v>
      </c>
      <c r="D467" s="116">
        <v>473.3</v>
      </c>
      <c r="E467" s="116">
        <v>482</v>
      </c>
      <c r="F467" s="116">
        <v>478.25</v>
      </c>
      <c r="G467">
        <v>13605</v>
      </c>
      <c r="H467" s="116"/>
      <c r="I467" s="116"/>
      <c r="L467" s="170">
        <v>45799</v>
      </c>
      <c r="M467" s="116">
        <v>478.35</v>
      </c>
      <c r="N467" s="116">
        <v>486</v>
      </c>
      <c r="O467" s="116">
        <v>473</v>
      </c>
      <c r="P467" s="116">
        <v>482</v>
      </c>
      <c r="Q467" s="116">
        <v>478.35</v>
      </c>
      <c r="R467">
        <v>191147</v>
      </c>
    </row>
    <row r="468" spans="1:18" x14ac:dyDescent="0.25">
      <c r="A468" s="170">
        <v>45800</v>
      </c>
      <c r="B468" s="116">
        <v>480.6</v>
      </c>
      <c r="C468" s="116">
        <v>476.95</v>
      </c>
      <c r="D468" s="116">
        <v>474.5</v>
      </c>
      <c r="E468" s="116">
        <v>475.5</v>
      </c>
      <c r="F468" s="116">
        <v>476.95</v>
      </c>
      <c r="G468">
        <v>6795</v>
      </c>
      <c r="H468" s="116"/>
      <c r="I468" s="116"/>
      <c r="L468" s="170">
        <v>45800</v>
      </c>
      <c r="M468" s="116">
        <v>477.45</v>
      </c>
      <c r="N468" s="116">
        <v>482.2</v>
      </c>
      <c r="O468" s="116">
        <v>473.75</v>
      </c>
      <c r="P468" s="116">
        <v>481.2</v>
      </c>
      <c r="Q468" s="116">
        <v>477.45</v>
      </c>
      <c r="R468">
        <v>168260</v>
      </c>
    </row>
    <row r="469" spans="1:18" x14ac:dyDescent="0.25">
      <c r="A469" s="170">
        <v>45803</v>
      </c>
      <c r="B469" s="116">
        <v>481.6</v>
      </c>
      <c r="C469" s="116">
        <v>472.6</v>
      </c>
      <c r="D469" s="116">
        <v>470.35</v>
      </c>
      <c r="E469" s="116">
        <v>479.55</v>
      </c>
      <c r="F469" s="116">
        <v>472.6</v>
      </c>
      <c r="G469">
        <v>11801</v>
      </c>
      <c r="H469" s="116"/>
      <c r="I469" s="116"/>
      <c r="L469" s="170">
        <v>45803</v>
      </c>
      <c r="M469" s="116">
        <v>471.95</v>
      </c>
      <c r="N469" s="116">
        <v>481.5</v>
      </c>
      <c r="O469" s="116">
        <v>470.2</v>
      </c>
      <c r="P469" s="116">
        <v>479</v>
      </c>
      <c r="Q469" s="116">
        <v>471.95</v>
      </c>
      <c r="R469">
        <v>227379</v>
      </c>
    </row>
    <row r="470" spans="1:18" x14ac:dyDescent="0.25">
      <c r="A470" s="170">
        <v>45804</v>
      </c>
      <c r="B470" s="116">
        <v>489</v>
      </c>
      <c r="C470" s="116">
        <v>486.3</v>
      </c>
      <c r="D470" s="116">
        <v>470.05</v>
      </c>
      <c r="E470" s="116">
        <v>472.65</v>
      </c>
      <c r="F470" s="116">
        <v>486.3</v>
      </c>
      <c r="G470">
        <v>33601</v>
      </c>
      <c r="H470" s="116"/>
      <c r="I470" s="116"/>
      <c r="L470" s="170">
        <v>45804</v>
      </c>
      <c r="M470" s="116">
        <v>486.35</v>
      </c>
      <c r="N470" s="116">
        <v>489</v>
      </c>
      <c r="O470" s="116">
        <v>470.9</v>
      </c>
      <c r="P470" s="116">
        <v>473.9</v>
      </c>
      <c r="Q470" s="116">
        <v>486.35</v>
      </c>
      <c r="R470">
        <v>285457</v>
      </c>
    </row>
    <row r="471" spans="1:18" x14ac:dyDescent="0.25">
      <c r="A471" s="170">
        <v>45805</v>
      </c>
      <c r="B471" s="116">
        <v>490</v>
      </c>
      <c r="C471" s="116">
        <v>481.8</v>
      </c>
      <c r="D471" s="116">
        <v>479.5</v>
      </c>
      <c r="E471" s="116">
        <v>490</v>
      </c>
      <c r="F471" s="116">
        <v>481.8</v>
      </c>
      <c r="G471">
        <v>12410</v>
      </c>
      <c r="H471" s="116"/>
      <c r="I471" s="116"/>
      <c r="L471" s="170">
        <v>45805</v>
      </c>
      <c r="M471" s="116">
        <v>482.5</v>
      </c>
      <c r="N471" s="116">
        <v>490</v>
      </c>
      <c r="O471" s="116">
        <v>478.8</v>
      </c>
      <c r="P471" s="116">
        <v>489</v>
      </c>
      <c r="Q471" s="116">
        <v>482.5</v>
      </c>
      <c r="R471">
        <v>218822</v>
      </c>
    </row>
    <row r="472" spans="1:18" x14ac:dyDescent="0.25">
      <c r="A472" s="170">
        <v>45806</v>
      </c>
      <c r="B472" s="116">
        <v>484.7</v>
      </c>
      <c r="C472" s="116">
        <v>480.25</v>
      </c>
      <c r="D472" s="116">
        <v>478.25</v>
      </c>
      <c r="E472" s="116">
        <v>482</v>
      </c>
      <c r="F472" s="116">
        <v>480.25</v>
      </c>
      <c r="G472">
        <v>9226</v>
      </c>
      <c r="H472" s="116"/>
      <c r="I472" s="116"/>
      <c r="L472" s="170">
        <v>45806</v>
      </c>
      <c r="M472" s="116">
        <v>480.5</v>
      </c>
      <c r="N472" s="116">
        <v>485</v>
      </c>
      <c r="O472" s="116">
        <v>478.5</v>
      </c>
      <c r="P472" s="116">
        <v>483.65</v>
      </c>
      <c r="Q472" s="116">
        <v>480.5</v>
      </c>
      <c r="R472">
        <v>115733</v>
      </c>
    </row>
    <row r="473" spans="1:18" x14ac:dyDescent="0.25">
      <c r="A473" s="170">
        <v>45807</v>
      </c>
      <c r="B473" s="116">
        <v>490</v>
      </c>
      <c r="C473" s="116">
        <v>484</v>
      </c>
      <c r="D473" s="116">
        <v>475.35</v>
      </c>
      <c r="E473" s="116">
        <v>475.35</v>
      </c>
      <c r="F473" s="116">
        <v>484</v>
      </c>
      <c r="G473">
        <v>6711</v>
      </c>
      <c r="H473" s="116"/>
      <c r="I473" s="116"/>
      <c r="L473" s="170">
        <v>45807</v>
      </c>
      <c r="M473" s="116">
        <v>483.9</v>
      </c>
      <c r="N473" s="116">
        <v>490.65</v>
      </c>
      <c r="O473" s="116">
        <v>479</v>
      </c>
      <c r="P473" s="116">
        <v>480.5</v>
      </c>
      <c r="Q473" s="116">
        <v>483.9</v>
      </c>
      <c r="R473">
        <v>210762</v>
      </c>
    </row>
    <row r="474" spans="1:18" x14ac:dyDescent="0.25">
      <c r="A474" s="170">
        <v>45810</v>
      </c>
      <c r="B474" s="116">
        <v>492.1</v>
      </c>
      <c r="C474" s="116">
        <v>487.65</v>
      </c>
      <c r="D474" s="116">
        <v>478.45</v>
      </c>
      <c r="E474" s="116">
        <v>483.15</v>
      </c>
      <c r="F474" s="116">
        <v>487.65</v>
      </c>
      <c r="G474">
        <v>32496</v>
      </c>
      <c r="H474" s="116"/>
      <c r="I474" s="116"/>
      <c r="L474" s="170">
        <v>45810</v>
      </c>
      <c r="M474" s="116">
        <v>487.55</v>
      </c>
      <c r="N474" s="116">
        <v>492.35</v>
      </c>
      <c r="O474" s="116">
        <v>479</v>
      </c>
      <c r="P474" s="116">
        <v>484.9</v>
      </c>
      <c r="Q474" s="116">
        <v>487.55</v>
      </c>
      <c r="R474">
        <v>213131</v>
      </c>
    </row>
    <row r="475" spans="1:18" x14ac:dyDescent="0.25">
      <c r="A475" s="170">
        <v>45811</v>
      </c>
      <c r="B475" s="116">
        <v>490.5</v>
      </c>
      <c r="C475" s="116">
        <v>484.5</v>
      </c>
      <c r="D475" s="116">
        <v>482.8</v>
      </c>
      <c r="E475" s="116">
        <v>490</v>
      </c>
      <c r="F475" s="116">
        <v>484.5</v>
      </c>
      <c r="G475">
        <v>20703</v>
      </c>
      <c r="H475" s="116"/>
      <c r="I475" s="116"/>
      <c r="L475" s="170">
        <v>45811</v>
      </c>
      <c r="M475" s="116">
        <v>484.5</v>
      </c>
      <c r="N475" s="116">
        <v>491</v>
      </c>
      <c r="O475" s="116">
        <v>482.8</v>
      </c>
      <c r="P475" s="116">
        <v>490</v>
      </c>
      <c r="Q475" s="116">
        <v>484.5</v>
      </c>
      <c r="R475">
        <v>125245</v>
      </c>
    </row>
    <row r="476" spans="1:18" x14ac:dyDescent="0.25">
      <c r="A476" s="170">
        <v>45812</v>
      </c>
      <c r="B476" s="116">
        <v>488.95</v>
      </c>
      <c r="C476" s="116">
        <v>479.5</v>
      </c>
      <c r="D476" s="116">
        <v>475</v>
      </c>
      <c r="E476" s="116">
        <v>488.95</v>
      </c>
      <c r="F476" s="116">
        <v>479.5</v>
      </c>
      <c r="G476">
        <v>21466</v>
      </c>
      <c r="H476" s="116"/>
      <c r="I476" s="116"/>
      <c r="L476" s="170">
        <v>45812</v>
      </c>
      <c r="M476" s="116">
        <v>479.6</v>
      </c>
      <c r="N476" s="116">
        <v>489</v>
      </c>
      <c r="O476" s="116">
        <v>475.1</v>
      </c>
      <c r="P476" s="116">
        <v>489</v>
      </c>
      <c r="Q476" s="116">
        <v>479.6</v>
      </c>
      <c r="R476">
        <v>142834</v>
      </c>
    </row>
    <row r="477" spans="1:18" x14ac:dyDescent="0.25">
      <c r="A477" s="170">
        <v>45813</v>
      </c>
      <c r="B477" s="116">
        <v>487.45</v>
      </c>
      <c r="C477" s="116">
        <v>482.85</v>
      </c>
      <c r="D477" s="116">
        <v>479.95</v>
      </c>
      <c r="E477" s="116">
        <v>479.95</v>
      </c>
      <c r="F477" s="116">
        <v>482.85</v>
      </c>
      <c r="G477">
        <v>7536</v>
      </c>
      <c r="H477" s="116"/>
      <c r="I477" s="116"/>
      <c r="L477" s="170">
        <v>45813</v>
      </c>
      <c r="M477" s="116">
        <v>483.2</v>
      </c>
      <c r="N477" s="116">
        <v>487.95</v>
      </c>
      <c r="O477" s="116">
        <v>479.85</v>
      </c>
      <c r="P477" s="116">
        <v>480</v>
      </c>
      <c r="Q477" s="116">
        <v>483.2</v>
      </c>
      <c r="R477">
        <v>107951</v>
      </c>
    </row>
    <row r="478" spans="1:18" x14ac:dyDescent="0.25">
      <c r="A478" s="170">
        <v>45814</v>
      </c>
      <c r="B478" s="116">
        <v>501.3</v>
      </c>
      <c r="C478" s="116">
        <v>484.7</v>
      </c>
      <c r="D478" s="116">
        <v>480.05</v>
      </c>
      <c r="E478" s="116">
        <v>480.05</v>
      </c>
      <c r="F478" s="116">
        <v>484.7</v>
      </c>
      <c r="G478">
        <v>15908</v>
      </c>
      <c r="H478" s="116"/>
      <c r="I478" s="116"/>
      <c r="L478" s="170">
        <v>45814</v>
      </c>
      <c r="M478" s="116">
        <v>484.85</v>
      </c>
      <c r="N478" s="116">
        <v>501.5</v>
      </c>
      <c r="O478" s="116">
        <v>481.8</v>
      </c>
      <c r="P478" s="116">
        <v>483</v>
      </c>
      <c r="Q478" s="116">
        <v>484.85</v>
      </c>
      <c r="R478">
        <v>396827</v>
      </c>
    </row>
    <row r="479" spans="1:18" x14ac:dyDescent="0.25">
      <c r="A479" s="170">
        <v>45817</v>
      </c>
      <c r="B479" s="116">
        <v>489.15</v>
      </c>
      <c r="C479" s="116">
        <v>477.9</v>
      </c>
      <c r="D479" s="116">
        <v>473.9</v>
      </c>
      <c r="E479" s="116">
        <v>480.6</v>
      </c>
      <c r="F479" s="116">
        <v>477.9</v>
      </c>
      <c r="G479">
        <v>13226</v>
      </c>
      <c r="H479" s="116"/>
      <c r="I479" s="116"/>
      <c r="L479" s="170">
        <v>45817</v>
      </c>
      <c r="M479" s="116">
        <v>477.1</v>
      </c>
      <c r="N479" s="116">
        <v>489.5</v>
      </c>
      <c r="O479" s="116">
        <v>473.3</v>
      </c>
      <c r="P479" s="116">
        <v>482.4</v>
      </c>
      <c r="Q479" s="116">
        <v>477.1</v>
      </c>
      <c r="R479">
        <v>388537</v>
      </c>
    </row>
    <row r="480" spans="1:18" x14ac:dyDescent="0.25">
      <c r="A480" s="170">
        <v>45818</v>
      </c>
      <c r="B480" s="116">
        <v>486.6</v>
      </c>
      <c r="C480" s="116">
        <v>469.15</v>
      </c>
      <c r="D480" s="116">
        <v>466.95</v>
      </c>
      <c r="E480" s="116">
        <v>483.8</v>
      </c>
      <c r="F480" s="116">
        <v>469.15</v>
      </c>
      <c r="G480">
        <v>36190</v>
      </c>
      <c r="H480" s="116"/>
      <c r="I480" s="116"/>
      <c r="L480" s="170">
        <v>45818</v>
      </c>
      <c r="M480" s="116">
        <v>468.95</v>
      </c>
      <c r="N480" s="116">
        <v>487</v>
      </c>
      <c r="O480" s="116">
        <v>466.3</v>
      </c>
      <c r="P480" s="116">
        <v>482.8</v>
      </c>
      <c r="Q480" s="116">
        <v>468.95</v>
      </c>
      <c r="R480">
        <v>618463</v>
      </c>
    </row>
    <row r="481" spans="1:18" x14ac:dyDescent="0.25">
      <c r="A481" s="170">
        <v>45819</v>
      </c>
      <c r="B481" s="116">
        <v>490.25</v>
      </c>
      <c r="C481" s="116">
        <v>484.15</v>
      </c>
      <c r="D481" s="116">
        <v>469.95</v>
      </c>
      <c r="E481" s="116">
        <v>469.95</v>
      </c>
      <c r="F481" s="116">
        <v>484.15</v>
      </c>
      <c r="G481">
        <v>64207</v>
      </c>
      <c r="H481" s="116"/>
      <c r="I481" s="116"/>
      <c r="L481" s="170">
        <v>45819</v>
      </c>
      <c r="M481" s="116">
        <v>484.15</v>
      </c>
      <c r="N481" s="116">
        <v>490.45</v>
      </c>
      <c r="O481" s="116">
        <v>469.1</v>
      </c>
      <c r="P481" s="116">
        <v>469.1</v>
      </c>
      <c r="Q481" s="116">
        <v>484.15</v>
      </c>
      <c r="R481">
        <v>354544</v>
      </c>
    </row>
    <row r="482" spans="1:18" x14ac:dyDescent="0.25">
      <c r="A482" s="170">
        <v>45820</v>
      </c>
      <c r="B482" s="116">
        <v>486.6</v>
      </c>
      <c r="C482" s="116">
        <v>468.1</v>
      </c>
      <c r="D482" s="116">
        <v>467</v>
      </c>
      <c r="E482" s="116">
        <v>484.45</v>
      </c>
      <c r="F482" s="116">
        <v>468.1</v>
      </c>
      <c r="G482">
        <v>12520</v>
      </c>
      <c r="H482" s="116"/>
      <c r="I482" s="116"/>
      <c r="L482" s="170">
        <v>45820</v>
      </c>
      <c r="M482" s="116">
        <v>468.15</v>
      </c>
      <c r="N482" s="116">
        <v>486</v>
      </c>
      <c r="O482" s="116">
        <v>467</v>
      </c>
      <c r="P482" s="116">
        <v>485</v>
      </c>
      <c r="Q482" s="116">
        <v>468.15</v>
      </c>
      <c r="R482">
        <v>210654</v>
      </c>
    </row>
    <row r="483" spans="1:18" x14ac:dyDescent="0.25">
      <c r="A483" s="170">
        <v>45821</v>
      </c>
      <c r="B483" s="116">
        <v>467.7</v>
      </c>
      <c r="C483" s="116">
        <v>461.6</v>
      </c>
      <c r="D483" s="116">
        <v>451.35</v>
      </c>
      <c r="E483" s="116">
        <v>461</v>
      </c>
      <c r="F483" s="116">
        <v>461.6</v>
      </c>
      <c r="G483">
        <v>16025</v>
      </c>
      <c r="H483" s="116"/>
      <c r="I483" s="116"/>
      <c r="L483" s="170">
        <v>45821</v>
      </c>
      <c r="M483" s="116">
        <v>458.1</v>
      </c>
      <c r="N483" s="116">
        <v>468</v>
      </c>
      <c r="O483" s="116">
        <v>450.95</v>
      </c>
      <c r="P483" s="116">
        <v>460</v>
      </c>
      <c r="Q483" s="116">
        <v>458.1</v>
      </c>
      <c r="R483">
        <v>308310</v>
      </c>
    </row>
    <row r="484" spans="1:18" x14ac:dyDescent="0.25">
      <c r="A484" s="170">
        <v>45824</v>
      </c>
      <c r="B484" s="116">
        <v>464.95</v>
      </c>
      <c r="C484" s="116">
        <v>461.75</v>
      </c>
      <c r="D484" s="116">
        <v>449.3</v>
      </c>
      <c r="E484" s="116">
        <v>455</v>
      </c>
      <c r="F484" s="116">
        <v>461.75</v>
      </c>
      <c r="G484">
        <v>18692</v>
      </c>
      <c r="H484" s="116"/>
      <c r="I484" s="116"/>
      <c r="L484" s="170">
        <v>45824</v>
      </c>
      <c r="M484" s="116">
        <v>461.55</v>
      </c>
      <c r="N484" s="116">
        <v>464.85</v>
      </c>
      <c r="O484" s="116">
        <v>448.65</v>
      </c>
      <c r="P484" s="116">
        <v>455.8</v>
      </c>
      <c r="Q484" s="116">
        <v>461.55</v>
      </c>
      <c r="R484">
        <v>208698</v>
      </c>
    </row>
    <row r="485" spans="1:18" x14ac:dyDescent="0.25">
      <c r="A485" s="170">
        <v>45825</v>
      </c>
      <c r="B485" s="116">
        <v>471.85</v>
      </c>
      <c r="C485" s="116">
        <v>457.3</v>
      </c>
      <c r="D485" s="116">
        <v>456.05</v>
      </c>
      <c r="E485" s="116">
        <v>471.85</v>
      </c>
      <c r="F485" s="116">
        <v>457.3</v>
      </c>
      <c r="G485">
        <v>16162</v>
      </c>
      <c r="H485" s="116"/>
      <c r="I485" s="116"/>
      <c r="L485" s="170">
        <v>45825</v>
      </c>
      <c r="M485" s="116">
        <v>457.5</v>
      </c>
      <c r="N485" s="116">
        <v>467.4</v>
      </c>
      <c r="O485" s="116">
        <v>456.05</v>
      </c>
      <c r="P485" s="116">
        <v>459.25</v>
      </c>
      <c r="Q485" s="116">
        <v>457.5</v>
      </c>
      <c r="R485">
        <v>157162</v>
      </c>
    </row>
    <row r="486" spans="1:18" x14ac:dyDescent="0.25">
      <c r="A486" s="170">
        <v>45826</v>
      </c>
      <c r="B486" s="116">
        <v>463.1</v>
      </c>
      <c r="C486" s="116">
        <v>458.6</v>
      </c>
      <c r="D486" s="116">
        <v>453.7</v>
      </c>
      <c r="E486" s="116">
        <v>456.05</v>
      </c>
      <c r="F486" s="116">
        <v>458.6</v>
      </c>
      <c r="G486">
        <v>7695</v>
      </c>
      <c r="H486" s="116"/>
      <c r="I486" s="116"/>
      <c r="L486" s="170">
        <v>45826</v>
      </c>
      <c r="M486" s="116">
        <v>458.25</v>
      </c>
      <c r="N486" s="116">
        <v>463</v>
      </c>
      <c r="O486" s="116">
        <v>453.9</v>
      </c>
      <c r="P486" s="116">
        <v>457.5</v>
      </c>
      <c r="Q486" s="116">
        <v>458.25</v>
      </c>
      <c r="R486">
        <v>114211</v>
      </c>
    </row>
    <row r="487" spans="1:18" x14ac:dyDescent="0.25">
      <c r="A487" s="170">
        <v>45827</v>
      </c>
      <c r="B487" s="116">
        <v>463.15</v>
      </c>
      <c r="C487" s="116">
        <v>446.65</v>
      </c>
      <c r="D487" s="116">
        <v>446</v>
      </c>
      <c r="E487" s="116">
        <v>461.8</v>
      </c>
      <c r="F487" s="116">
        <v>446.65</v>
      </c>
      <c r="G487">
        <v>27681</v>
      </c>
      <c r="H487" s="116"/>
      <c r="I487" s="116"/>
      <c r="L487" s="170">
        <v>45827</v>
      </c>
      <c r="M487" s="116">
        <v>446.5</v>
      </c>
      <c r="N487" s="116">
        <v>463.2</v>
      </c>
      <c r="O487" s="116">
        <v>444.65</v>
      </c>
      <c r="P487" s="116">
        <v>456</v>
      </c>
      <c r="Q487" s="116">
        <v>446.5</v>
      </c>
      <c r="R487">
        <v>156876</v>
      </c>
    </row>
    <row r="488" spans="1:18" x14ac:dyDescent="0.25">
      <c r="A488" s="170">
        <v>45828</v>
      </c>
      <c r="B488" s="116">
        <v>455.25</v>
      </c>
      <c r="C488" s="116">
        <v>453.9</v>
      </c>
      <c r="D488" s="116">
        <v>443.55</v>
      </c>
      <c r="E488" s="116">
        <v>450</v>
      </c>
      <c r="F488" s="116">
        <v>453.9</v>
      </c>
      <c r="G488">
        <v>14003</v>
      </c>
      <c r="H488" s="116"/>
      <c r="I488" s="116"/>
      <c r="L488" s="170">
        <v>45828</v>
      </c>
      <c r="M488" s="116">
        <v>454.3</v>
      </c>
      <c r="N488" s="116">
        <v>456.7</v>
      </c>
      <c r="O488" s="116">
        <v>443.25</v>
      </c>
      <c r="P488" s="116">
        <v>444.3</v>
      </c>
      <c r="Q488" s="116">
        <v>454.3</v>
      </c>
      <c r="R488">
        <v>95782</v>
      </c>
    </row>
    <row r="489" spans="1:18" x14ac:dyDescent="0.25">
      <c r="A489" s="170">
        <v>45831</v>
      </c>
      <c r="B489" s="116">
        <v>462.4</v>
      </c>
      <c r="C489" s="116">
        <v>461.15</v>
      </c>
      <c r="D489" s="116">
        <v>446.1</v>
      </c>
      <c r="E489" s="116">
        <v>452.95</v>
      </c>
      <c r="F489" s="116">
        <v>461.15</v>
      </c>
      <c r="G489">
        <v>7829</v>
      </c>
      <c r="H489" s="116"/>
      <c r="I489" s="116"/>
      <c r="L489" s="170">
        <v>45831</v>
      </c>
      <c r="M489" s="116">
        <v>461.4</v>
      </c>
      <c r="N489" s="116">
        <v>463</v>
      </c>
      <c r="O489" s="116">
        <v>446.3</v>
      </c>
      <c r="P489" s="116">
        <v>446.3</v>
      </c>
      <c r="Q489" s="116">
        <v>461.4</v>
      </c>
      <c r="R489">
        <v>166573</v>
      </c>
    </row>
    <row r="490" spans="1:18" x14ac:dyDescent="0.25">
      <c r="A490" s="170">
        <v>45832</v>
      </c>
      <c r="B490" s="116">
        <v>470.75</v>
      </c>
      <c r="C490" s="116">
        <v>463.55</v>
      </c>
      <c r="D490" s="116">
        <v>458.8</v>
      </c>
      <c r="E490" s="116">
        <v>469.8</v>
      </c>
      <c r="F490" s="116">
        <v>463.55</v>
      </c>
      <c r="G490">
        <v>4294</v>
      </c>
      <c r="H490" s="116"/>
      <c r="I490" s="116"/>
      <c r="L490" s="170">
        <v>45832</v>
      </c>
      <c r="M490" s="116">
        <v>464.05</v>
      </c>
      <c r="N490" s="116">
        <v>471.15</v>
      </c>
      <c r="O490" s="116">
        <v>462.1</v>
      </c>
      <c r="P490" s="116">
        <v>465</v>
      </c>
      <c r="Q490" s="116">
        <v>464.05</v>
      </c>
      <c r="R490">
        <v>141176</v>
      </c>
    </row>
    <row r="491" spans="1:18" x14ac:dyDescent="0.25">
      <c r="A491" s="170">
        <v>45833</v>
      </c>
      <c r="B491" s="116">
        <v>476.45</v>
      </c>
      <c r="C491" s="116">
        <v>473.8</v>
      </c>
      <c r="D491" s="116">
        <v>465</v>
      </c>
      <c r="E491" s="116">
        <v>465.05</v>
      </c>
      <c r="F491" s="116">
        <v>473.8</v>
      </c>
      <c r="G491">
        <v>6469</v>
      </c>
      <c r="H491" s="116"/>
      <c r="I491" s="116"/>
      <c r="L491" s="170">
        <v>45833</v>
      </c>
      <c r="M491" s="116">
        <v>473.7</v>
      </c>
      <c r="N491" s="116">
        <v>476.4</v>
      </c>
      <c r="O491" s="116">
        <v>464.05</v>
      </c>
      <c r="P491" s="116">
        <v>464.05</v>
      </c>
      <c r="Q491" s="116">
        <v>473.7</v>
      </c>
      <c r="R491">
        <v>127611</v>
      </c>
    </row>
    <row r="492" spans="1:18" x14ac:dyDescent="0.25">
      <c r="A492" s="170">
        <v>45834</v>
      </c>
      <c r="B492" s="116">
        <v>476.95</v>
      </c>
      <c r="C492" s="116">
        <v>469.95</v>
      </c>
      <c r="D492" s="116">
        <v>467.6</v>
      </c>
      <c r="E492" s="116">
        <v>476.95</v>
      </c>
      <c r="F492" s="116">
        <v>469.95</v>
      </c>
      <c r="G492">
        <v>18800</v>
      </c>
      <c r="H492" s="116"/>
      <c r="I492" s="116"/>
      <c r="L492" s="170">
        <v>45834</v>
      </c>
      <c r="M492" s="116">
        <v>470.1</v>
      </c>
      <c r="N492" s="116">
        <v>477.2</v>
      </c>
      <c r="O492" s="116">
        <v>468</v>
      </c>
      <c r="P492" s="116">
        <v>473.7</v>
      </c>
      <c r="Q492" s="116">
        <v>470.1</v>
      </c>
      <c r="R492">
        <v>76570</v>
      </c>
    </row>
    <row r="493" spans="1:18" x14ac:dyDescent="0.25">
      <c r="A493" s="170">
        <v>45835</v>
      </c>
      <c r="B493" s="116">
        <v>478.95</v>
      </c>
      <c r="C493" s="116">
        <v>466.25</v>
      </c>
      <c r="D493" s="116">
        <v>464.85</v>
      </c>
      <c r="E493" s="116">
        <v>474.95</v>
      </c>
      <c r="F493" s="116">
        <v>466.25</v>
      </c>
      <c r="G493">
        <v>10806</v>
      </c>
      <c r="H493" s="116"/>
      <c r="I493" s="116"/>
      <c r="L493" s="170">
        <v>45835</v>
      </c>
      <c r="M493" s="116">
        <v>466</v>
      </c>
      <c r="N493" s="116">
        <v>479</v>
      </c>
      <c r="O493" s="116">
        <v>463.7</v>
      </c>
      <c r="P493" s="116">
        <v>475.6</v>
      </c>
      <c r="Q493" s="116">
        <v>466</v>
      </c>
      <c r="R493">
        <v>241490</v>
      </c>
    </row>
    <row r="494" spans="1:18" x14ac:dyDescent="0.25">
      <c r="A494" s="170">
        <v>45838</v>
      </c>
      <c r="B494" s="116">
        <v>477</v>
      </c>
      <c r="C494" s="116">
        <v>475.5</v>
      </c>
      <c r="D494" s="116">
        <v>469</v>
      </c>
      <c r="E494" s="116">
        <v>470</v>
      </c>
      <c r="F494" s="116">
        <v>475.5</v>
      </c>
      <c r="G494">
        <v>10833</v>
      </c>
      <c r="H494" s="116"/>
      <c r="I494" s="116"/>
      <c r="L494" s="170">
        <v>45838</v>
      </c>
      <c r="M494" s="116">
        <v>474.7</v>
      </c>
      <c r="N494" s="116">
        <v>477</v>
      </c>
      <c r="O494" s="116">
        <v>467.4</v>
      </c>
      <c r="P494" s="116">
        <v>467.4</v>
      </c>
      <c r="Q494" s="116">
        <v>474.7</v>
      </c>
      <c r="R494">
        <v>150158</v>
      </c>
    </row>
    <row r="495" spans="1:18" x14ac:dyDescent="0.25">
      <c r="A495" s="170">
        <v>45839</v>
      </c>
      <c r="B495" s="116">
        <v>478.55</v>
      </c>
      <c r="C495" s="116">
        <v>475.25</v>
      </c>
      <c r="D495" s="116">
        <v>469.15</v>
      </c>
      <c r="E495" s="116">
        <v>478</v>
      </c>
      <c r="F495" s="116">
        <v>475.25</v>
      </c>
      <c r="G495">
        <v>15243</v>
      </c>
      <c r="H495" s="116"/>
      <c r="I495" s="116"/>
      <c r="L495" s="170">
        <v>45839</v>
      </c>
      <c r="M495" s="116">
        <v>475.4</v>
      </c>
      <c r="N495" s="116">
        <v>478.8</v>
      </c>
      <c r="O495" s="116">
        <v>469.55</v>
      </c>
      <c r="P495" s="116">
        <v>476.25</v>
      </c>
      <c r="Q495" s="116">
        <v>475.4</v>
      </c>
      <c r="R495">
        <v>94756</v>
      </c>
    </row>
    <row r="496" spans="1:18" x14ac:dyDescent="0.25">
      <c r="A496" s="170">
        <v>45840</v>
      </c>
      <c r="B496" s="116">
        <v>478.8</v>
      </c>
      <c r="C496" s="116">
        <v>475.4</v>
      </c>
      <c r="D496" s="116">
        <v>468.8</v>
      </c>
      <c r="E496" s="116">
        <v>478.8</v>
      </c>
      <c r="F496" s="116">
        <v>475.4</v>
      </c>
      <c r="G496">
        <v>4428</v>
      </c>
      <c r="H496" s="116"/>
      <c r="I496" s="116"/>
      <c r="L496" s="170">
        <v>45840</v>
      </c>
      <c r="M496" s="116">
        <v>475.45</v>
      </c>
      <c r="N496" s="116">
        <v>477.3</v>
      </c>
      <c r="O496" s="116">
        <v>469.15</v>
      </c>
      <c r="P496" s="116">
        <v>473.25</v>
      </c>
      <c r="Q496" s="116">
        <v>475.45</v>
      </c>
      <c r="R496">
        <v>130249</v>
      </c>
    </row>
    <row r="497" spans="1:18" x14ac:dyDescent="0.25">
      <c r="A497" s="170">
        <v>45841</v>
      </c>
      <c r="B497" s="116">
        <v>483</v>
      </c>
      <c r="C497" s="116">
        <v>480.1</v>
      </c>
      <c r="D497" s="116">
        <v>474.05</v>
      </c>
      <c r="E497" s="116">
        <v>477.55</v>
      </c>
      <c r="F497" s="116">
        <v>480.1</v>
      </c>
      <c r="G497">
        <v>7139</v>
      </c>
      <c r="H497" s="116"/>
      <c r="I497" s="116"/>
      <c r="L497" s="170">
        <v>45841</v>
      </c>
      <c r="M497" s="116">
        <v>480.1</v>
      </c>
      <c r="N497" s="116">
        <v>483.45</v>
      </c>
      <c r="O497" s="116">
        <v>473.2</v>
      </c>
      <c r="P497" s="116">
        <v>480</v>
      </c>
      <c r="Q497" s="116">
        <v>480.1</v>
      </c>
      <c r="R497">
        <v>163786</v>
      </c>
    </row>
    <row r="498" spans="1:18" x14ac:dyDescent="0.25">
      <c r="A498" s="170">
        <v>45842</v>
      </c>
      <c r="B498" s="116">
        <v>489.05</v>
      </c>
      <c r="C498" s="116">
        <v>484.75</v>
      </c>
      <c r="D498" s="116">
        <v>476.65</v>
      </c>
      <c r="E498" s="116">
        <v>485.25</v>
      </c>
      <c r="F498" s="116">
        <v>484.75</v>
      </c>
      <c r="G498">
        <v>29842</v>
      </c>
      <c r="H498" s="116"/>
      <c r="I498" s="116"/>
      <c r="L498" s="170">
        <v>45842</v>
      </c>
      <c r="M498" s="116">
        <v>484.7</v>
      </c>
      <c r="N498" s="116">
        <v>489.3</v>
      </c>
      <c r="O498" s="116">
        <v>476.75</v>
      </c>
      <c r="P498" s="116">
        <v>481.1</v>
      </c>
      <c r="Q498" s="116">
        <v>484.7</v>
      </c>
      <c r="R498">
        <v>192144</v>
      </c>
    </row>
    <row r="499" spans="1:18" x14ac:dyDescent="0.25">
      <c r="A499" s="170">
        <v>45845</v>
      </c>
      <c r="B499" s="116">
        <v>494.15</v>
      </c>
      <c r="C499" s="116">
        <v>491.95</v>
      </c>
      <c r="D499" s="116">
        <v>480.7</v>
      </c>
      <c r="E499" s="116">
        <v>482</v>
      </c>
      <c r="F499" s="116">
        <v>491.95</v>
      </c>
      <c r="G499">
        <v>52698</v>
      </c>
      <c r="H499" s="116"/>
      <c r="I499" s="116"/>
      <c r="L499" s="170">
        <v>45845</v>
      </c>
      <c r="M499" s="116">
        <v>491.9</v>
      </c>
      <c r="N499" s="116">
        <v>494.1</v>
      </c>
      <c r="O499" s="116">
        <v>480.6</v>
      </c>
      <c r="P499" s="116">
        <v>482.25</v>
      </c>
      <c r="Q499" s="116">
        <v>491.9</v>
      </c>
      <c r="R499">
        <v>307070</v>
      </c>
    </row>
    <row r="500" spans="1:18" x14ac:dyDescent="0.25">
      <c r="A500" s="170">
        <v>45846</v>
      </c>
      <c r="B500" s="116">
        <v>505</v>
      </c>
      <c r="C500" s="116">
        <v>492.5</v>
      </c>
      <c r="D500" s="116">
        <v>487</v>
      </c>
      <c r="E500" s="116">
        <v>492.45</v>
      </c>
      <c r="F500" s="116">
        <v>492.5</v>
      </c>
      <c r="G500">
        <v>45152</v>
      </c>
      <c r="H500" s="116"/>
      <c r="I500" s="116"/>
      <c r="L500" s="170">
        <v>45846</v>
      </c>
      <c r="M500" s="116">
        <v>493.2</v>
      </c>
      <c r="N500" s="116">
        <v>505.5</v>
      </c>
      <c r="O500" s="116">
        <v>486.9</v>
      </c>
      <c r="P500" s="116">
        <v>491.95</v>
      </c>
      <c r="Q500" s="116">
        <v>493.2</v>
      </c>
      <c r="R500">
        <v>501770</v>
      </c>
    </row>
    <row r="501" spans="1:18" x14ac:dyDescent="0.25">
      <c r="A501" s="170">
        <v>45847</v>
      </c>
      <c r="B501" s="116">
        <v>499.95</v>
      </c>
      <c r="C501" s="116">
        <v>485.55</v>
      </c>
      <c r="D501" s="116">
        <v>483</v>
      </c>
      <c r="E501" s="116">
        <v>491.35</v>
      </c>
      <c r="F501" s="116">
        <v>485.55</v>
      </c>
      <c r="G501">
        <v>12771</v>
      </c>
      <c r="H501" s="116"/>
      <c r="I501" s="116"/>
      <c r="L501" s="170">
        <v>45847</v>
      </c>
      <c r="M501" s="116">
        <v>485.55</v>
      </c>
      <c r="N501" s="116">
        <v>500</v>
      </c>
      <c r="O501" s="116">
        <v>482.65</v>
      </c>
      <c r="P501" s="116">
        <v>493.95</v>
      </c>
      <c r="Q501" s="116">
        <v>485.55</v>
      </c>
      <c r="R501">
        <v>258726</v>
      </c>
    </row>
    <row r="502" spans="1:18" x14ac:dyDescent="0.25">
      <c r="A502" s="170">
        <v>45848</v>
      </c>
      <c r="B502" s="116">
        <v>499.7</v>
      </c>
      <c r="C502" s="116">
        <v>486.45</v>
      </c>
      <c r="D502" s="116">
        <v>482.6</v>
      </c>
      <c r="E502" s="116">
        <v>491.2</v>
      </c>
      <c r="F502" s="116">
        <v>486.45</v>
      </c>
      <c r="G502">
        <v>40691</v>
      </c>
      <c r="H502" s="116"/>
      <c r="I502" s="116"/>
      <c r="L502" s="170">
        <v>45848</v>
      </c>
      <c r="M502" s="116">
        <v>486.9</v>
      </c>
      <c r="N502" s="116">
        <v>499.7</v>
      </c>
      <c r="O502" s="116">
        <v>481.95</v>
      </c>
      <c r="P502" s="116">
        <v>495</v>
      </c>
      <c r="Q502" s="116">
        <v>486.9</v>
      </c>
      <c r="R502">
        <v>323168</v>
      </c>
    </row>
    <row r="503" spans="1:18" x14ac:dyDescent="0.25">
      <c r="A503" s="170">
        <v>45849</v>
      </c>
      <c r="B503" s="116">
        <v>489.85</v>
      </c>
      <c r="C503" s="116">
        <v>482.25</v>
      </c>
      <c r="D503" s="116">
        <v>480.65</v>
      </c>
      <c r="E503" s="116">
        <v>483.1</v>
      </c>
      <c r="F503" s="116">
        <v>482.25</v>
      </c>
      <c r="G503">
        <v>6628</v>
      </c>
      <c r="H503" s="116"/>
      <c r="I503" s="116"/>
      <c r="L503" s="170">
        <v>45849</v>
      </c>
      <c r="M503" s="116">
        <v>482.7</v>
      </c>
      <c r="N503" s="116">
        <v>491</v>
      </c>
      <c r="O503" s="116">
        <v>480.5</v>
      </c>
      <c r="P503" s="116">
        <v>484.45</v>
      </c>
      <c r="Q503" s="116">
        <v>482.7</v>
      </c>
      <c r="R503">
        <v>125348</v>
      </c>
    </row>
    <row r="504" spans="1:18" x14ac:dyDescent="0.25">
      <c r="A504" s="170">
        <v>45852</v>
      </c>
      <c r="B504" s="116">
        <v>487.95</v>
      </c>
      <c r="C504" s="116">
        <v>474.25</v>
      </c>
      <c r="D504" s="116">
        <v>471.05</v>
      </c>
      <c r="E504" s="116">
        <v>487.95</v>
      </c>
      <c r="F504" s="116">
        <v>474.25</v>
      </c>
      <c r="G504">
        <v>10126</v>
      </c>
      <c r="H504" s="116"/>
      <c r="I504" s="116"/>
      <c r="L504" s="170">
        <v>45852</v>
      </c>
      <c r="M504" s="116">
        <v>474.3</v>
      </c>
      <c r="N504" s="116">
        <v>485.1</v>
      </c>
      <c r="O504" s="116">
        <v>470.95</v>
      </c>
      <c r="P504" s="116">
        <v>483</v>
      </c>
      <c r="Q504" s="116">
        <v>474.3</v>
      </c>
      <c r="R504">
        <v>164609</v>
      </c>
    </row>
    <row r="505" spans="1:18" x14ac:dyDescent="0.25">
      <c r="A505" s="170">
        <v>45853</v>
      </c>
      <c r="B505" s="116">
        <v>487.7</v>
      </c>
      <c r="C505" s="116">
        <v>484.6</v>
      </c>
      <c r="D505" s="116">
        <v>474.2</v>
      </c>
      <c r="E505" s="116">
        <v>474.35</v>
      </c>
      <c r="F505" s="116">
        <v>484.6</v>
      </c>
      <c r="G505">
        <v>7944</v>
      </c>
      <c r="H505" s="116"/>
      <c r="I505" s="116"/>
      <c r="L505" s="170">
        <v>45853</v>
      </c>
      <c r="M505" s="116">
        <v>484.25</v>
      </c>
      <c r="N505" s="116">
        <v>488.2</v>
      </c>
      <c r="O505" s="116">
        <v>473.1</v>
      </c>
      <c r="P505" s="116">
        <v>475.9</v>
      </c>
      <c r="Q505" s="116">
        <v>484.25</v>
      </c>
      <c r="R505">
        <v>167969</v>
      </c>
    </row>
    <row r="506" spans="1:18" x14ac:dyDescent="0.25">
      <c r="A506" s="170">
        <v>45854</v>
      </c>
      <c r="B506" s="116">
        <v>487.25</v>
      </c>
      <c r="C506" s="116">
        <v>483.45</v>
      </c>
      <c r="D506" s="116">
        <v>480.85</v>
      </c>
      <c r="E506" s="116">
        <v>483.45</v>
      </c>
      <c r="F506" s="116">
        <v>483.45</v>
      </c>
      <c r="G506">
        <v>10957</v>
      </c>
      <c r="H506" s="116"/>
      <c r="I506" s="116"/>
      <c r="L506" s="170">
        <v>45854</v>
      </c>
      <c r="M506" s="116">
        <v>483.85</v>
      </c>
      <c r="N506" s="116">
        <v>487.55</v>
      </c>
      <c r="O506" s="116">
        <v>481.55</v>
      </c>
      <c r="P506" s="116">
        <v>484.1</v>
      </c>
      <c r="Q506" s="116">
        <v>483.85</v>
      </c>
      <c r="R506">
        <v>74387</v>
      </c>
    </row>
    <row r="507" spans="1:18" x14ac:dyDescent="0.25">
      <c r="A507" s="170">
        <v>45855</v>
      </c>
      <c r="B507" s="116">
        <v>487.9</v>
      </c>
      <c r="C507" s="116">
        <v>485.8</v>
      </c>
      <c r="D507" s="116">
        <v>483.45</v>
      </c>
      <c r="E507" s="116">
        <v>485.3</v>
      </c>
      <c r="F507" s="116">
        <v>485.8</v>
      </c>
      <c r="G507">
        <v>4653</v>
      </c>
      <c r="H507" s="116"/>
      <c r="I507" s="116"/>
      <c r="L507" s="170">
        <v>45855</v>
      </c>
      <c r="M507" s="116">
        <v>485.5</v>
      </c>
      <c r="N507" s="116">
        <v>487.95</v>
      </c>
      <c r="O507" s="116">
        <v>483.4</v>
      </c>
      <c r="P507" s="116">
        <v>487.15</v>
      </c>
      <c r="Q507" s="116">
        <v>485.5</v>
      </c>
      <c r="R507">
        <v>74091</v>
      </c>
    </row>
    <row r="508" spans="1:18" x14ac:dyDescent="0.25">
      <c r="A508" s="170">
        <v>45856</v>
      </c>
      <c r="B508" s="116">
        <v>492</v>
      </c>
      <c r="C508" s="116">
        <v>479.1</v>
      </c>
      <c r="D508" s="116">
        <v>475.9</v>
      </c>
      <c r="E508" s="116">
        <v>483.55</v>
      </c>
      <c r="F508" s="116">
        <v>479.1</v>
      </c>
      <c r="G508">
        <v>17455</v>
      </c>
      <c r="H508" s="116"/>
      <c r="I508" s="116"/>
      <c r="L508" s="170">
        <v>45856</v>
      </c>
      <c r="M508" s="116">
        <v>478.55</v>
      </c>
      <c r="N508" s="116">
        <v>492.3</v>
      </c>
      <c r="O508" s="116">
        <v>475.1</v>
      </c>
      <c r="P508" s="116">
        <v>487.95</v>
      </c>
      <c r="Q508" s="116">
        <v>478.55</v>
      </c>
      <c r="R508">
        <v>178240</v>
      </c>
    </row>
    <row r="509" spans="1:18" x14ac:dyDescent="0.25">
      <c r="A509" s="170">
        <v>45859</v>
      </c>
      <c r="B509" s="116">
        <v>480.85</v>
      </c>
      <c r="C509" s="116">
        <v>474.9</v>
      </c>
      <c r="D509" s="116">
        <v>472</v>
      </c>
      <c r="E509" s="116">
        <v>478.35</v>
      </c>
      <c r="F509" s="116">
        <v>474.9</v>
      </c>
      <c r="G509">
        <v>20538</v>
      </c>
      <c r="H509" s="116"/>
      <c r="I509" s="116"/>
      <c r="L509" s="170">
        <v>45859</v>
      </c>
      <c r="M509" s="116">
        <v>474.5</v>
      </c>
      <c r="N509" s="116">
        <v>480.95</v>
      </c>
      <c r="O509" s="116">
        <v>471.8</v>
      </c>
      <c r="P509" s="116">
        <v>479</v>
      </c>
      <c r="Q509" s="116">
        <v>474.5</v>
      </c>
      <c r="R509">
        <v>150415</v>
      </c>
    </row>
    <row r="510" spans="1:18" x14ac:dyDescent="0.25">
      <c r="A510" s="170">
        <v>45860</v>
      </c>
      <c r="B510" s="116">
        <v>483.15</v>
      </c>
      <c r="C510" s="116">
        <v>481.2</v>
      </c>
      <c r="D510" s="116">
        <v>473</v>
      </c>
      <c r="E510" s="116">
        <v>479.45</v>
      </c>
      <c r="F510" s="116">
        <v>481.2</v>
      </c>
      <c r="G510">
        <v>23330</v>
      </c>
      <c r="H510" s="116"/>
      <c r="I510" s="116"/>
      <c r="L510" s="170">
        <v>45860</v>
      </c>
      <c r="M510" s="116">
        <v>480.9</v>
      </c>
      <c r="N510" s="116">
        <v>483.7</v>
      </c>
      <c r="O510" s="116">
        <v>472.5</v>
      </c>
      <c r="P510" s="116">
        <v>476.95</v>
      </c>
      <c r="Q510" s="116">
        <v>480.9</v>
      </c>
      <c r="R510">
        <v>229306</v>
      </c>
    </row>
    <row r="511" spans="1:18" x14ac:dyDescent="0.25">
      <c r="A511" s="170">
        <v>45861</v>
      </c>
      <c r="B511" s="116">
        <v>476</v>
      </c>
      <c r="C511" s="116">
        <v>470.3</v>
      </c>
      <c r="D511" s="116">
        <v>440.2</v>
      </c>
      <c r="E511" s="116">
        <v>464.95</v>
      </c>
      <c r="F511" s="116">
        <v>470.3</v>
      </c>
      <c r="G511">
        <v>158495</v>
      </c>
      <c r="H511" s="116"/>
      <c r="I511" s="116"/>
      <c r="L511" s="170">
        <v>45861</v>
      </c>
      <c r="M511" s="116">
        <v>470.25</v>
      </c>
      <c r="N511" s="116">
        <v>476.3</v>
      </c>
      <c r="O511" s="116">
        <v>441</v>
      </c>
      <c r="P511" s="116">
        <v>461.95</v>
      </c>
      <c r="Q511" s="116">
        <v>470.25</v>
      </c>
      <c r="R511">
        <v>1036468</v>
      </c>
    </row>
    <row r="512" spans="1:18" x14ac:dyDescent="0.25">
      <c r="A512" s="170">
        <v>45862</v>
      </c>
      <c r="B512" s="116">
        <v>473.05</v>
      </c>
      <c r="C512" s="116">
        <v>467.95</v>
      </c>
      <c r="D512" s="116">
        <v>466.55</v>
      </c>
      <c r="E512" s="116">
        <v>468.8</v>
      </c>
      <c r="F512" s="116">
        <v>467.95</v>
      </c>
      <c r="G512">
        <v>21452</v>
      </c>
      <c r="H512" s="116"/>
      <c r="I512" s="116"/>
      <c r="L512" s="170">
        <v>45862</v>
      </c>
      <c r="M512" s="116">
        <v>468.25</v>
      </c>
      <c r="N512" s="116">
        <v>473</v>
      </c>
      <c r="O512" s="116">
        <v>466.45</v>
      </c>
      <c r="P512" s="116">
        <v>470.1</v>
      </c>
      <c r="Q512" s="116">
        <v>468.25</v>
      </c>
      <c r="R512">
        <v>181321</v>
      </c>
    </row>
    <row r="513" spans="1:18" x14ac:dyDescent="0.25">
      <c r="A513" s="170">
        <v>45863</v>
      </c>
      <c r="B513" s="116">
        <v>465.4</v>
      </c>
      <c r="C513" s="116">
        <v>459.85</v>
      </c>
      <c r="D513" s="116">
        <v>456</v>
      </c>
      <c r="E513" s="116">
        <v>460.05</v>
      </c>
      <c r="F513" s="116">
        <v>459.85</v>
      </c>
      <c r="G513">
        <v>13906</v>
      </c>
      <c r="H513" s="116"/>
      <c r="I513" s="116"/>
      <c r="L513" s="170">
        <v>45863</v>
      </c>
      <c r="M513" s="116">
        <v>459.4</v>
      </c>
      <c r="N513" s="116">
        <v>468.25</v>
      </c>
      <c r="O513" s="116">
        <v>455.1</v>
      </c>
      <c r="P513" s="116">
        <v>468.25</v>
      </c>
      <c r="Q513" s="116">
        <v>459.4</v>
      </c>
      <c r="R513">
        <v>118511</v>
      </c>
    </row>
    <row r="514" spans="1:18" x14ac:dyDescent="0.25">
      <c r="A514" s="170">
        <v>45866</v>
      </c>
      <c r="B514" s="116">
        <v>456.6</v>
      </c>
      <c r="C514" s="116">
        <v>443.55</v>
      </c>
      <c r="D514" s="116">
        <v>437.7</v>
      </c>
      <c r="E514" s="116">
        <v>456.05</v>
      </c>
      <c r="F514" s="116">
        <v>443.55</v>
      </c>
      <c r="G514">
        <v>32798</v>
      </c>
      <c r="H514" s="116"/>
      <c r="I514" s="116"/>
      <c r="L514" s="170">
        <v>45866</v>
      </c>
      <c r="M514" s="116">
        <v>444</v>
      </c>
      <c r="N514" s="116">
        <v>459.25</v>
      </c>
      <c r="O514" s="116">
        <v>438.35</v>
      </c>
      <c r="P514" s="116">
        <v>459.25</v>
      </c>
      <c r="Q514" s="116">
        <v>444</v>
      </c>
      <c r="R514">
        <v>229381</v>
      </c>
    </row>
    <row r="515" spans="1:18" x14ac:dyDescent="0.25">
      <c r="A515" s="170">
        <v>45867</v>
      </c>
      <c r="B515" s="116">
        <v>452.65</v>
      </c>
      <c r="C515" s="116">
        <v>450.45</v>
      </c>
      <c r="D515" s="116">
        <v>441.55</v>
      </c>
      <c r="E515" s="116">
        <v>441.55</v>
      </c>
      <c r="F515" s="116">
        <v>450.45</v>
      </c>
      <c r="G515">
        <v>4775</v>
      </c>
      <c r="H515" s="116"/>
      <c r="I515" s="116"/>
      <c r="L515" s="170">
        <v>45867</v>
      </c>
      <c r="M515" s="116">
        <v>450.2</v>
      </c>
      <c r="N515" s="116">
        <v>452.7</v>
      </c>
      <c r="O515" s="116">
        <v>446</v>
      </c>
      <c r="P515" s="116">
        <v>446</v>
      </c>
      <c r="Q515" s="116">
        <v>450.2</v>
      </c>
      <c r="R515">
        <v>85804</v>
      </c>
    </row>
    <row r="516" spans="1:18" x14ac:dyDescent="0.25">
      <c r="A516" s="170">
        <v>45868</v>
      </c>
      <c r="B516" s="116">
        <v>456.45</v>
      </c>
      <c r="C516" s="116">
        <v>449.9</v>
      </c>
      <c r="D516" s="116">
        <v>447.3</v>
      </c>
      <c r="E516" s="116">
        <v>453</v>
      </c>
      <c r="F516" s="116">
        <v>449.9</v>
      </c>
      <c r="G516">
        <v>10039</v>
      </c>
      <c r="H516" s="116"/>
      <c r="I516" s="116"/>
      <c r="L516" s="170">
        <v>45868</v>
      </c>
      <c r="M516" s="116">
        <v>449.9</v>
      </c>
      <c r="N516" s="116">
        <v>457.15</v>
      </c>
      <c r="O516" s="116">
        <v>447.75</v>
      </c>
      <c r="P516" s="116">
        <v>452.2</v>
      </c>
      <c r="Q516" s="116">
        <v>449.9</v>
      </c>
      <c r="R516">
        <v>47947</v>
      </c>
    </row>
    <row r="517" spans="1:18" x14ac:dyDescent="0.25">
      <c r="A517" s="170">
        <v>45869</v>
      </c>
      <c r="B517" s="116">
        <v>453.55</v>
      </c>
      <c r="C517" s="116">
        <v>450.45</v>
      </c>
      <c r="D517" s="116">
        <v>437.95</v>
      </c>
      <c r="E517" s="116">
        <v>438.35</v>
      </c>
      <c r="F517" s="116">
        <v>450.45</v>
      </c>
      <c r="G517">
        <v>17981</v>
      </c>
      <c r="H517" s="116"/>
      <c r="I517" s="116"/>
      <c r="L517" s="170">
        <v>45869</v>
      </c>
      <c r="M517" s="116">
        <v>450.2</v>
      </c>
      <c r="N517" s="116">
        <v>453.95</v>
      </c>
      <c r="O517" s="116">
        <v>436.65</v>
      </c>
      <c r="P517" s="116">
        <v>440.55</v>
      </c>
      <c r="Q517" s="116">
        <v>450.2</v>
      </c>
      <c r="R517">
        <v>78374</v>
      </c>
    </row>
    <row r="518" spans="1:18" x14ac:dyDescent="0.25">
      <c r="A518" s="170">
        <v>45870</v>
      </c>
      <c r="B518" s="116">
        <v>459.2</v>
      </c>
      <c r="C518" s="116">
        <v>444.1</v>
      </c>
      <c r="D518" s="116">
        <v>442.05</v>
      </c>
      <c r="E518" s="116">
        <v>450</v>
      </c>
      <c r="F518" s="116">
        <v>444.1</v>
      </c>
      <c r="G518">
        <v>14968</v>
      </c>
      <c r="H518" s="116"/>
      <c r="I518" s="116"/>
      <c r="L518" s="170">
        <v>45870</v>
      </c>
      <c r="M518" s="116">
        <v>445.7</v>
      </c>
      <c r="N518" s="116">
        <v>460</v>
      </c>
      <c r="O518" s="116">
        <v>442.15</v>
      </c>
      <c r="P518" s="116">
        <v>450.5</v>
      </c>
      <c r="Q518" s="116">
        <v>445.7</v>
      </c>
      <c r="R518">
        <v>206126</v>
      </c>
    </row>
    <row r="519" spans="1:18" x14ac:dyDescent="0.25">
      <c r="A519" s="170">
        <v>45873</v>
      </c>
      <c r="B519" s="116">
        <v>448.4</v>
      </c>
      <c r="C519" s="116">
        <v>440.65</v>
      </c>
      <c r="D519" s="116">
        <v>438.05</v>
      </c>
      <c r="E519" s="116">
        <v>448.4</v>
      </c>
      <c r="F519" s="116">
        <v>440.65</v>
      </c>
      <c r="G519">
        <v>6669</v>
      </c>
      <c r="H519" s="116"/>
      <c r="I519" s="116"/>
      <c r="L519" s="170">
        <v>45873</v>
      </c>
      <c r="M519" s="116">
        <v>441.15</v>
      </c>
      <c r="N519" s="116">
        <v>447.05</v>
      </c>
      <c r="O519" s="116">
        <v>438.05</v>
      </c>
      <c r="P519" s="116">
        <v>446</v>
      </c>
      <c r="Q519" s="116">
        <v>441.15</v>
      </c>
      <c r="R519">
        <v>79754</v>
      </c>
    </row>
    <row r="520" spans="1:18" x14ac:dyDescent="0.25">
      <c r="A520" s="170">
        <v>45874</v>
      </c>
      <c r="B520" s="116">
        <v>456.4</v>
      </c>
      <c r="C520" s="116">
        <v>430.4</v>
      </c>
      <c r="D520" s="116">
        <v>426.85</v>
      </c>
      <c r="E520" s="116">
        <v>456.4</v>
      </c>
      <c r="F520" s="116">
        <v>430.4</v>
      </c>
      <c r="G520">
        <v>12755</v>
      </c>
      <c r="H520" s="116"/>
      <c r="I520" s="116"/>
      <c r="L520" s="170">
        <v>45874</v>
      </c>
      <c r="M520" s="116">
        <v>430.9</v>
      </c>
      <c r="N520" s="116">
        <v>443.4</v>
      </c>
      <c r="O520" s="116">
        <v>426</v>
      </c>
      <c r="P520" s="116">
        <v>441.85</v>
      </c>
      <c r="Q520" s="116">
        <v>430.9</v>
      </c>
      <c r="R520">
        <v>258008</v>
      </c>
    </row>
    <row r="521" spans="1:18" x14ac:dyDescent="0.25">
      <c r="A521" s="170">
        <v>45875</v>
      </c>
      <c r="B521" s="116">
        <v>437.8</v>
      </c>
      <c r="C521" s="116">
        <v>433</v>
      </c>
      <c r="D521" s="116">
        <v>430.2</v>
      </c>
      <c r="E521" s="116">
        <v>437.8</v>
      </c>
      <c r="F521" s="116">
        <v>433</v>
      </c>
      <c r="G521">
        <v>3474</v>
      </c>
      <c r="H521" s="116"/>
      <c r="I521" s="116"/>
      <c r="L521" s="170">
        <v>45875</v>
      </c>
      <c r="M521" s="116">
        <v>433.05</v>
      </c>
      <c r="N521" s="116">
        <v>435</v>
      </c>
      <c r="O521" s="116">
        <v>427.55</v>
      </c>
      <c r="P521" s="116">
        <v>432</v>
      </c>
      <c r="Q521" s="116">
        <v>433.05</v>
      </c>
      <c r="R521">
        <v>68133</v>
      </c>
    </row>
    <row r="522" spans="1:18" x14ac:dyDescent="0.25">
      <c r="A522" s="170">
        <v>45876</v>
      </c>
      <c r="B522" s="116">
        <v>434.95</v>
      </c>
      <c r="C522" s="116">
        <v>432.9</v>
      </c>
      <c r="D522" s="116">
        <v>425.7</v>
      </c>
      <c r="E522" s="116">
        <v>433.75</v>
      </c>
      <c r="F522" s="116">
        <v>432.9</v>
      </c>
      <c r="G522">
        <v>4876</v>
      </c>
      <c r="H522" s="116"/>
      <c r="I522" s="116"/>
      <c r="L522" s="170">
        <v>45876</v>
      </c>
      <c r="M522" s="116">
        <v>433.2</v>
      </c>
      <c r="N522" s="116">
        <v>435.15</v>
      </c>
      <c r="O522" s="116">
        <v>426</v>
      </c>
      <c r="P522" s="116">
        <v>433.05</v>
      </c>
      <c r="Q522" s="116">
        <v>433.2</v>
      </c>
      <c r="R522">
        <v>121841</v>
      </c>
    </row>
    <row r="523" spans="1:18" x14ac:dyDescent="0.25">
      <c r="A523" s="170">
        <v>45877</v>
      </c>
      <c r="B523" s="116">
        <v>438.6</v>
      </c>
      <c r="C523" s="116">
        <v>426.3</v>
      </c>
      <c r="D523" s="116">
        <v>422.5</v>
      </c>
      <c r="E523" s="116">
        <v>436.1</v>
      </c>
      <c r="F523" s="116">
        <v>426.3</v>
      </c>
      <c r="G523">
        <v>21962</v>
      </c>
      <c r="H523" s="116"/>
      <c r="I523" s="116"/>
      <c r="L523" s="170">
        <v>45877</v>
      </c>
      <c r="M523" s="116">
        <v>425.45</v>
      </c>
      <c r="N523" s="116">
        <v>439.2</v>
      </c>
      <c r="O523" s="116">
        <v>421.2</v>
      </c>
      <c r="P523" s="116">
        <v>434.05</v>
      </c>
      <c r="Q523" s="116">
        <v>425.45</v>
      </c>
      <c r="R523">
        <v>222907</v>
      </c>
    </row>
    <row r="524" spans="1:18" x14ac:dyDescent="0.25">
      <c r="A524" s="170">
        <v>45880</v>
      </c>
      <c r="B524" s="116">
        <v>428.05</v>
      </c>
      <c r="C524" s="116">
        <v>422.25</v>
      </c>
      <c r="D524" s="116">
        <v>415</v>
      </c>
      <c r="E524" s="116">
        <v>422.2</v>
      </c>
      <c r="F524" s="116">
        <v>422.25</v>
      </c>
      <c r="G524">
        <v>11530</v>
      </c>
      <c r="H524" s="116"/>
      <c r="I524" s="116"/>
      <c r="L524" s="170">
        <v>45880</v>
      </c>
      <c r="M524" s="116">
        <v>422.45</v>
      </c>
      <c r="N524" s="116">
        <v>434.8</v>
      </c>
      <c r="O524" s="116">
        <v>414.75</v>
      </c>
      <c r="P524" s="116">
        <v>427.6</v>
      </c>
      <c r="Q524" s="116">
        <v>422.45</v>
      </c>
      <c r="R524">
        <v>111616</v>
      </c>
    </row>
    <row r="525" spans="1:18" x14ac:dyDescent="0.25">
      <c r="A525" s="170">
        <v>45881</v>
      </c>
      <c r="B525" s="116">
        <v>431.1</v>
      </c>
      <c r="C525" s="116">
        <v>430.1</v>
      </c>
      <c r="D525" s="116">
        <v>424.2</v>
      </c>
      <c r="E525" s="116">
        <v>424.95</v>
      </c>
      <c r="F525" s="116">
        <v>430.1</v>
      </c>
      <c r="G525">
        <v>10969</v>
      </c>
      <c r="H525" s="116"/>
      <c r="I525" s="116"/>
      <c r="L525" s="170">
        <v>45881</v>
      </c>
      <c r="M525" s="116">
        <v>429.8</v>
      </c>
      <c r="N525" s="116">
        <v>431.15</v>
      </c>
      <c r="O525" s="116">
        <v>423.5</v>
      </c>
      <c r="P525" s="116">
        <v>423.5</v>
      </c>
      <c r="Q525" s="116">
        <v>429.8</v>
      </c>
      <c r="R525">
        <v>82891</v>
      </c>
    </row>
    <row r="526" spans="1:18" x14ac:dyDescent="0.25">
      <c r="A526" s="170">
        <v>45882</v>
      </c>
      <c r="B526" s="116">
        <v>433.55</v>
      </c>
      <c r="C526" s="116">
        <v>424.45</v>
      </c>
      <c r="D526" s="116">
        <v>422.65</v>
      </c>
      <c r="E526" s="116">
        <v>427.6</v>
      </c>
      <c r="F526" s="116">
        <v>424.45</v>
      </c>
      <c r="G526">
        <v>12052</v>
      </c>
      <c r="H526" s="116"/>
      <c r="I526" s="116"/>
      <c r="L526" s="170">
        <v>45882</v>
      </c>
      <c r="M526" s="116">
        <v>423.85</v>
      </c>
      <c r="N526" s="116">
        <v>433.95</v>
      </c>
      <c r="O526" s="116">
        <v>422.1</v>
      </c>
      <c r="P526" s="116">
        <v>430.8</v>
      </c>
      <c r="Q526" s="116">
        <v>423.85</v>
      </c>
      <c r="R526">
        <v>85689</v>
      </c>
    </row>
    <row r="527" spans="1:18" x14ac:dyDescent="0.25">
      <c r="A527" s="170">
        <v>45883</v>
      </c>
      <c r="B527" s="116">
        <v>426.5</v>
      </c>
      <c r="C527" s="116">
        <v>419.25</v>
      </c>
      <c r="D527" s="116">
        <v>418.3</v>
      </c>
      <c r="E527" s="116">
        <v>422.25</v>
      </c>
      <c r="F527" s="116">
        <v>419.25</v>
      </c>
      <c r="G527">
        <v>8980</v>
      </c>
      <c r="H527" s="116"/>
      <c r="I527" s="116"/>
      <c r="L527" s="170">
        <v>45883</v>
      </c>
      <c r="M527" s="116">
        <v>419.35</v>
      </c>
      <c r="N527" s="116">
        <v>427.4</v>
      </c>
      <c r="O527" s="116">
        <v>417.85</v>
      </c>
      <c r="P527" s="116">
        <v>424.5</v>
      </c>
      <c r="Q527" s="116">
        <v>419.35</v>
      </c>
      <c r="R527">
        <v>59687</v>
      </c>
    </row>
    <row r="528" spans="1:18" x14ac:dyDescent="0.25">
      <c r="A528" s="170">
        <v>45887</v>
      </c>
      <c r="B528" s="116">
        <v>429.95</v>
      </c>
      <c r="C528" s="116">
        <v>427.3</v>
      </c>
      <c r="D528" s="116">
        <v>422.6</v>
      </c>
      <c r="E528" s="116">
        <v>423</v>
      </c>
      <c r="F528" s="116">
        <v>427.3</v>
      </c>
      <c r="G528">
        <v>2973</v>
      </c>
      <c r="H528" s="116"/>
      <c r="I528" s="116"/>
      <c r="L528" s="170">
        <v>45887</v>
      </c>
      <c r="M528" s="116">
        <v>427.55</v>
      </c>
      <c r="N528" s="116">
        <v>430.1</v>
      </c>
      <c r="O528" s="116">
        <v>422.2</v>
      </c>
      <c r="P528" s="116">
        <v>428</v>
      </c>
      <c r="Q528" s="116">
        <v>427.55</v>
      </c>
      <c r="R528">
        <v>76798</v>
      </c>
    </row>
    <row r="529" spans="1:18" x14ac:dyDescent="0.25">
      <c r="A529" s="170">
        <v>45888</v>
      </c>
      <c r="B529" s="116">
        <v>443.7</v>
      </c>
      <c r="C529" s="116">
        <v>442.15</v>
      </c>
      <c r="D529" s="116">
        <v>426.2</v>
      </c>
      <c r="E529" s="116">
        <v>426.2</v>
      </c>
      <c r="F529" s="116">
        <v>442.15</v>
      </c>
      <c r="G529">
        <v>7273</v>
      </c>
      <c r="H529" s="116"/>
      <c r="I529" s="116"/>
      <c r="L529" s="170">
        <v>45888</v>
      </c>
      <c r="M529" s="116">
        <v>442.6</v>
      </c>
      <c r="N529" s="116">
        <v>443.7</v>
      </c>
      <c r="O529" s="116">
        <v>427.1</v>
      </c>
      <c r="P529" s="116">
        <v>427.1</v>
      </c>
      <c r="Q529" s="116">
        <v>442.6</v>
      </c>
      <c r="R529">
        <v>111746</v>
      </c>
    </row>
    <row r="530" spans="1:18" x14ac:dyDescent="0.25">
      <c r="A530" s="170">
        <v>45889</v>
      </c>
      <c r="B530" s="116">
        <v>446.8</v>
      </c>
      <c r="C530" s="116">
        <v>441.55</v>
      </c>
      <c r="D530" s="116">
        <v>437.8</v>
      </c>
      <c r="E530" s="116">
        <v>442.15</v>
      </c>
      <c r="F530" s="116">
        <v>441.55</v>
      </c>
      <c r="G530">
        <v>4247</v>
      </c>
      <c r="H530" s="116"/>
      <c r="I530" s="116"/>
      <c r="L530" s="170">
        <v>45889</v>
      </c>
      <c r="M530" s="116">
        <v>442.55</v>
      </c>
      <c r="N530" s="116">
        <v>447.25</v>
      </c>
      <c r="O530" s="116">
        <v>438.05</v>
      </c>
      <c r="P530" s="116">
        <v>438.2</v>
      </c>
      <c r="Q530" s="116">
        <v>442.55</v>
      </c>
      <c r="R530">
        <v>64168</v>
      </c>
    </row>
    <row r="531" spans="1:18" x14ac:dyDescent="0.25">
      <c r="A531" s="170">
        <v>45890</v>
      </c>
      <c r="B531" s="116">
        <v>448.7</v>
      </c>
      <c r="C531" s="116">
        <v>441.3</v>
      </c>
      <c r="D531" s="116">
        <v>440.05</v>
      </c>
      <c r="E531" s="116">
        <v>445.6</v>
      </c>
      <c r="F531" s="116">
        <v>441.3</v>
      </c>
      <c r="G531">
        <v>3832</v>
      </c>
      <c r="H531" s="116"/>
      <c r="I531" s="116"/>
      <c r="L531" s="170">
        <v>45890</v>
      </c>
      <c r="M531" s="116">
        <v>442.2</v>
      </c>
      <c r="N531" s="116">
        <v>448.8</v>
      </c>
      <c r="O531" s="116">
        <v>440.2</v>
      </c>
      <c r="P531" s="116">
        <v>442.15</v>
      </c>
      <c r="Q531" s="116">
        <v>442.2</v>
      </c>
      <c r="R531">
        <v>48642</v>
      </c>
    </row>
    <row r="532" spans="1:18" x14ac:dyDescent="0.25">
      <c r="A532" s="170">
        <v>45891</v>
      </c>
      <c r="B532" s="116">
        <v>446.5</v>
      </c>
      <c r="C532" s="116">
        <v>445</v>
      </c>
      <c r="D532" s="116">
        <v>439.25</v>
      </c>
      <c r="E532" s="116">
        <v>440.3</v>
      </c>
      <c r="F532" s="116">
        <v>445</v>
      </c>
      <c r="G532">
        <v>2633</v>
      </c>
      <c r="H532" s="116"/>
      <c r="I532" s="116"/>
      <c r="L532" s="170">
        <v>45891</v>
      </c>
      <c r="M532" s="116">
        <v>445.45</v>
      </c>
      <c r="N532" s="116">
        <v>446.7</v>
      </c>
      <c r="O532" s="116">
        <v>438.4</v>
      </c>
      <c r="P532" s="116">
        <v>440.25</v>
      </c>
      <c r="Q532" s="116">
        <v>445.45</v>
      </c>
      <c r="R532">
        <v>54153</v>
      </c>
    </row>
    <row r="533" spans="1:18" x14ac:dyDescent="0.25">
      <c r="A533" s="170">
        <v>45894</v>
      </c>
      <c r="B533" s="116">
        <v>453.7</v>
      </c>
      <c r="C533" s="116">
        <v>440.25</v>
      </c>
      <c r="D533" s="116">
        <v>438.05</v>
      </c>
      <c r="E533" s="116">
        <v>449.2</v>
      </c>
      <c r="F533" s="116">
        <v>440.25</v>
      </c>
      <c r="G533">
        <v>4229</v>
      </c>
      <c r="H533" s="116"/>
      <c r="I533" s="116"/>
      <c r="L533" s="170">
        <v>45894</v>
      </c>
      <c r="M533" s="116">
        <v>440.8</v>
      </c>
      <c r="N533" s="116">
        <v>453.85</v>
      </c>
      <c r="O533" s="116">
        <v>438.5</v>
      </c>
      <c r="P533" s="116">
        <v>453.85</v>
      </c>
      <c r="Q533" s="116">
        <v>440.8</v>
      </c>
      <c r="R533">
        <v>58749</v>
      </c>
    </row>
    <row r="534" spans="1:18" x14ac:dyDescent="0.25">
      <c r="A534" s="170">
        <v>45895</v>
      </c>
      <c r="B534" s="116">
        <v>445.5</v>
      </c>
      <c r="C534" s="116">
        <v>427.8</v>
      </c>
      <c r="D534" s="116">
        <v>426</v>
      </c>
      <c r="E534" s="116">
        <v>440.4</v>
      </c>
      <c r="F534" s="116">
        <v>427.8</v>
      </c>
      <c r="G534">
        <v>5811</v>
      </c>
      <c r="H534" s="116"/>
      <c r="I534" s="116"/>
      <c r="L534" s="170">
        <v>45895</v>
      </c>
      <c r="M534" s="116">
        <v>428.3</v>
      </c>
      <c r="N534" s="116">
        <v>449.7</v>
      </c>
      <c r="O534" s="116">
        <v>426.3</v>
      </c>
      <c r="P534" s="116">
        <v>438.95</v>
      </c>
      <c r="Q534" s="116">
        <v>428.3</v>
      </c>
      <c r="R534">
        <v>85811</v>
      </c>
    </row>
    <row r="535" spans="1:18" x14ac:dyDescent="0.25">
      <c r="A535" s="170">
        <v>45897</v>
      </c>
      <c r="B535" s="116">
        <v>428.6</v>
      </c>
      <c r="C535" s="116">
        <v>418.95</v>
      </c>
      <c r="D535" s="116">
        <v>416.05</v>
      </c>
      <c r="E535" s="116">
        <v>427.8</v>
      </c>
      <c r="F535" s="116">
        <v>418.95</v>
      </c>
      <c r="G535">
        <v>9324</v>
      </c>
      <c r="H535" s="116"/>
      <c r="I535" s="116"/>
      <c r="L535" s="170">
        <v>45897</v>
      </c>
      <c r="M535" s="116">
        <v>418.55</v>
      </c>
      <c r="N535" s="116">
        <v>429.7</v>
      </c>
      <c r="O535" s="116">
        <v>416.15</v>
      </c>
      <c r="P535" s="116">
        <v>429</v>
      </c>
      <c r="Q535" s="116">
        <v>418.55</v>
      </c>
      <c r="R535">
        <v>212577</v>
      </c>
    </row>
    <row r="536" spans="1:18" x14ac:dyDescent="0.25">
      <c r="A536" s="170">
        <v>45898</v>
      </c>
      <c r="B536" s="116">
        <v>428.2</v>
      </c>
      <c r="C536" s="116">
        <v>422.25</v>
      </c>
      <c r="D536" s="116">
        <v>417.8</v>
      </c>
      <c r="E536" s="116">
        <v>419</v>
      </c>
      <c r="F536" s="116">
        <v>422.25</v>
      </c>
      <c r="G536">
        <v>10782</v>
      </c>
      <c r="H536" s="116"/>
      <c r="I536" s="116"/>
      <c r="L536" s="170">
        <v>45898</v>
      </c>
      <c r="M536" s="116">
        <v>422.95</v>
      </c>
      <c r="N536" s="116">
        <v>430.85</v>
      </c>
      <c r="O536" s="116">
        <v>416.15</v>
      </c>
      <c r="P536" s="116">
        <v>416.15</v>
      </c>
      <c r="Q536" s="116">
        <v>422.95</v>
      </c>
      <c r="R536">
        <v>49037</v>
      </c>
    </row>
    <row r="537" spans="1:18" x14ac:dyDescent="0.25">
      <c r="A537" s="170">
        <v>45901</v>
      </c>
      <c r="B537" s="116">
        <v>430.05</v>
      </c>
      <c r="C537" s="116">
        <v>425.5</v>
      </c>
      <c r="D537" s="116">
        <v>421.75</v>
      </c>
      <c r="E537" s="116">
        <v>423</v>
      </c>
      <c r="F537" s="116">
        <v>425.5</v>
      </c>
      <c r="G537">
        <v>3982</v>
      </c>
      <c r="H537" s="116"/>
      <c r="I537" s="116"/>
      <c r="L537" s="170">
        <v>45901</v>
      </c>
      <c r="M537" s="116">
        <v>425.75</v>
      </c>
      <c r="N537" s="116">
        <v>429.4</v>
      </c>
      <c r="O537" s="116">
        <v>421.5</v>
      </c>
      <c r="P537" s="116">
        <v>424.75</v>
      </c>
      <c r="Q537" s="116">
        <v>425.75</v>
      </c>
      <c r="R537">
        <v>112511</v>
      </c>
    </row>
    <row r="538" spans="1:18" x14ac:dyDescent="0.25">
      <c r="A538" s="170">
        <v>45902</v>
      </c>
      <c r="B538" s="116">
        <v>444</v>
      </c>
      <c r="C538" s="116">
        <v>434.9</v>
      </c>
      <c r="D538" s="116">
        <v>426.45</v>
      </c>
      <c r="E538" s="116">
        <v>430.9</v>
      </c>
      <c r="F538" s="116">
        <v>434.9</v>
      </c>
      <c r="G538">
        <v>18241</v>
      </c>
      <c r="H538" s="116"/>
      <c r="I538" s="116"/>
      <c r="L538" s="170">
        <v>45902</v>
      </c>
      <c r="M538" s="116">
        <v>434.55</v>
      </c>
      <c r="N538" s="116">
        <v>443.8</v>
      </c>
      <c r="O538" s="116">
        <v>425.75</v>
      </c>
      <c r="P538" s="116">
        <v>429.05</v>
      </c>
      <c r="Q538" s="116">
        <v>434.55</v>
      </c>
      <c r="R538">
        <v>198979</v>
      </c>
    </row>
    <row r="539" spans="1:18" x14ac:dyDescent="0.25">
      <c r="A539" s="170">
        <v>45903</v>
      </c>
      <c r="B539" s="116">
        <v>446.2</v>
      </c>
      <c r="C539" s="116">
        <v>440</v>
      </c>
      <c r="D539" s="116">
        <v>435</v>
      </c>
      <c r="E539" s="116">
        <v>435</v>
      </c>
      <c r="F539" s="116">
        <v>440</v>
      </c>
      <c r="G539">
        <v>9234</v>
      </c>
      <c r="H539" s="116"/>
      <c r="I539" s="116"/>
      <c r="L539" s="170">
        <v>45903</v>
      </c>
      <c r="M539" s="116">
        <v>439.85</v>
      </c>
      <c r="N539" s="116">
        <v>446.3</v>
      </c>
      <c r="O539" s="116">
        <v>434.9</v>
      </c>
      <c r="P539" s="116">
        <v>435.75</v>
      </c>
      <c r="Q539" s="116">
        <v>439.85</v>
      </c>
      <c r="R539">
        <v>124229</v>
      </c>
    </row>
    <row r="540" spans="1:18" x14ac:dyDescent="0.25">
      <c r="A540" s="170">
        <v>45904</v>
      </c>
      <c r="B540" s="116">
        <v>442.1</v>
      </c>
      <c r="C540" s="116">
        <v>429.6</v>
      </c>
      <c r="D540" s="116">
        <v>428.6</v>
      </c>
      <c r="E540" s="116">
        <v>441.25</v>
      </c>
      <c r="F540" s="116">
        <v>429.6</v>
      </c>
      <c r="G540">
        <v>11179</v>
      </c>
      <c r="H540" s="116"/>
      <c r="I540" s="116"/>
      <c r="L540" s="170">
        <v>45904</v>
      </c>
      <c r="M540" s="116">
        <v>430.15</v>
      </c>
      <c r="N540" s="116">
        <v>443.9</v>
      </c>
      <c r="O540" s="116">
        <v>428.1</v>
      </c>
      <c r="P540" s="116">
        <v>443.9</v>
      </c>
      <c r="Q540" s="116">
        <v>430.15</v>
      </c>
      <c r="R540">
        <v>137357</v>
      </c>
    </row>
    <row r="541" spans="1:18" x14ac:dyDescent="0.25">
      <c r="A541" s="170">
        <v>45905</v>
      </c>
      <c r="B541" s="116">
        <v>435.7</v>
      </c>
      <c r="C541" s="116">
        <v>433.3</v>
      </c>
      <c r="D541" s="116">
        <v>425.75</v>
      </c>
      <c r="E541" s="116">
        <v>432.95</v>
      </c>
      <c r="F541" s="116">
        <v>433.3</v>
      </c>
      <c r="G541">
        <v>4289</v>
      </c>
      <c r="H541" s="116"/>
      <c r="I541" s="116"/>
      <c r="L541" s="170">
        <v>45905</v>
      </c>
      <c r="M541" s="116">
        <v>434.05</v>
      </c>
      <c r="N541" s="116">
        <v>436</v>
      </c>
      <c r="O541" s="116">
        <v>425.8</v>
      </c>
      <c r="P541" s="116">
        <v>430.2</v>
      </c>
      <c r="Q541" s="116">
        <v>434.05</v>
      </c>
      <c r="R541">
        <v>71819</v>
      </c>
    </row>
    <row r="542" spans="1:18" x14ac:dyDescent="0.25">
      <c r="A542" s="170">
        <v>45908</v>
      </c>
      <c r="B542" s="116">
        <v>481</v>
      </c>
      <c r="C542" s="116">
        <v>465.95</v>
      </c>
      <c r="D542" s="116">
        <v>435.65</v>
      </c>
      <c r="E542" s="116">
        <v>435.95</v>
      </c>
      <c r="F542" s="116">
        <v>465.95</v>
      </c>
      <c r="G542">
        <v>32114</v>
      </c>
      <c r="H542" s="116"/>
      <c r="I542" s="116"/>
      <c r="L542" s="170">
        <v>45908</v>
      </c>
      <c r="M542" s="116">
        <v>466.35</v>
      </c>
      <c r="N542" s="116">
        <v>481</v>
      </c>
      <c r="O542" s="116">
        <v>434.05</v>
      </c>
      <c r="P542" s="116">
        <v>434.05</v>
      </c>
      <c r="Q542" s="116">
        <v>466.35</v>
      </c>
      <c r="R542">
        <v>893531</v>
      </c>
    </row>
    <row r="543" spans="1:18" x14ac:dyDescent="0.25">
      <c r="A543" s="170">
        <v>45909</v>
      </c>
      <c r="B543" s="116">
        <v>480.95</v>
      </c>
      <c r="C543" s="116">
        <v>465.9</v>
      </c>
      <c r="D543" s="116">
        <v>462.65</v>
      </c>
      <c r="E543" s="116">
        <v>478.55</v>
      </c>
      <c r="F543" s="116">
        <v>465.9</v>
      </c>
      <c r="G543">
        <v>31384</v>
      </c>
      <c r="H543" s="116"/>
      <c r="I543" s="116"/>
      <c r="L543" s="170">
        <v>45909</v>
      </c>
      <c r="M543" s="116">
        <v>464.9</v>
      </c>
      <c r="N543" s="116">
        <v>485.9</v>
      </c>
      <c r="O543" s="116">
        <v>462.5</v>
      </c>
      <c r="P543" s="116">
        <v>474.85</v>
      </c>
      <c r="Q543" s="116">
        <v>464.9</v>
      </c>
      <c r="R543">
        <v>402581</v>
      </c>
    </row>
    <row r="544" spans="1:18" x14ac:dyDescent="0.25">
      <c r="A544" s="170">
        <v>45910</v>
      </c>
      <c r="B544" s="116">
        <v>465.45</v>
      </c>
      <c r="C544" s="116">
        <v>459.5</v>
      </c>
      <c r="D544" s="116">
        <v>453.8</v>
      </c>
      <c r="E544" s="116">
        <v>464.45</v>
      </c>
      <c r="F544" s="116">
        <v>459.5</v>
      </c>
      <c r="G544">
        <v>34054</v>
      </c>
      <c r="H544" s="116"/>
      <c r="I544" s="116"/>
      <c r="L544" s="170">
        <v>45910</v>
      </c>
      <c r="M544" s="116">
        <v>460.45</v>
      </c>
      <c r="N544" s="116">
        <v>465.05</v>
      </c>
      <c r="O544" s="116">
        <v>456.1</v>
      </c>
      <c r="P544" s="116">
        <v>465.05</v>
      </c>
      <c r="Q544" s="116">
        <v>460.45</v>
      </c>
      <c r="R544">
        <v>186479</v>
      </c>
    </row>
    <row r="545" spans="1:18" x14ac:dyDescent="0.25">
      <c r="A545" s="170">
        <v>45911</v>
      </c>
      <c r="B545" s="116">
        <v>467.7</v>
      </c>
      <c r="C545" s="116">
        <v>456.4</v>
      </c>
      <c r="D545" s="116">
        <v>455</v>
      </c>
      <c r="E545" s="116">
        <v>464.35</v>
      </c>
      <c r="F545" s="116">
        <v>456.4</v>
      </c>
      <c r="G545">
        <v>8130</v>
      </c>
      <c r="H545" s="116"/>
      <c r="I545" s="116"/>
      <c r="L545" s="170">
        <v>45911</v>
      </c>
      <c r="M545" s="116">
        <v>456.15</v>
      </c>
      <c r="N545" s="116">
        <v>469.2</v>
      </c>
      <c r="O545" s="116">
        <v>455</v>
      </c>
      <c r="P545" s="116">
        <v>460.45</v>
      </c>
      <c r="Q545" s="116">
        <v>456.15</v>
      </c>
      <c r="R545">
        <v>120304</v>
      </c>
    </row>
    <row r="546" spans="1:18" x14ac:dyDescent="0.25">
      <c r="A546" s="170">
        <v>45912</v>
      </c>
      <c r="B546" s="116">
        <v>460.85</v>
      </c>
      <c r="C546" s="116">
        <v>455.25</v>
      </c>
      <c r="D546" s="116">
        <v>453</v>
      </c>
      <c r="E546" s="116">
        <v>459.85</v>
      </c>
      <c r="F546" s="116">
        <v>455.25</v>
      </c>
      <c r="G546">
        <v>15463</v>
      </c>
      <c r="H546" s="116"/>
      <c r="I546" s="116"/>
      <c r="L546" s="170">
        <v>45912</v>
      </c>
      <c r="M546" s="116">
        <v>456.25</v>
      </c>
      <c r="N546" s="116">
        <v>459.8</v>
      </c>
      <c r="O546" s="116">
        <v>452.95</v>
      </c>
      <c r="P546" s="116">
        <v>459</v>
      </c>
      <c r="Q546" s="116">
        <v>456.25</v>
      </c>
      <c r="R546">
        <v>190330</v>
      </c>
    </row>
    <row r="547" spans="1:18" x14ac:dyDescent="0.25">
      <c r="A547" s="170">
        <v>45915</v>
      </c>
      <c r="B547" s="116">
        <v>469</v>
      </c>
      <c r="C547" s="116">
        <v>462.35</v>
      </c>
      <c r="D547" s="116">
        <v>458.2</v>
      </c>
      <c r="E547" s="116">
        <v>458.2</v>
      </c>
      <c r="F547" s="116">
        <v>462.35</v>
      </c>
      <c r="G547">
        <v>12659</v>
      </c>
      <c r="H547" s="116"/>
      <c r="I547" s="116"/>
      <c r="L547" s="170">
        <v>45915</v>
      </c>
      <c r="M547" s="116">
        <v>462.85</v>
      </c>
      <c r="N547" s="116">
        <v>468.9</v>
      </c>
      <c r="O547" s="116">
        <v>458.45</v>
      </c>
      <c r="P547" s="116">
        <v>459.9</v>
      </c>
      <c r="Q547" s="116">
        <v>462.85</v>
      </c>
      <c r="R547">
        <v>115921</v>
      </c>
    </row>
    <row r="548" spans="1:18" x14ac:dyDescent="0.25">
      <c r="A548" s="170">
        <v>45916</v>
      </c>
      <c r="B548" s="116">
        <v>472.15</v>
      </c>
      <c r="C548" s="116">
        <v>467.5</v>
      </c>
      <c r="D548" s="116">
        <v>458.1</v>
      </c>
      <c r="E548" s="116">
        <v>458.1</v>
      </c>
      <c r="F548" s="116">
        <v>467.5</v>
      </c>
      <c r="G548">
        <v>11294</v>
      </c>
      <c r="H548" s="116"/>
      <c r="I548" s="116"/>
      <c r="L548" s="170">
        <v>45916</v>
      </c>
      <c r="M548" s="116">
        <v>467.5</v>
      </c>
      <c r="N548" s="116">
        <v>472.4</v>
      </c>
      <c r="O548" s="116">
        <v>460.95</v>
      </c>
      <c r="P548" s="116">
        <v>462.85</v>
      </c>
      <c r="Q548" s="116">
        <v>467.5</v>
      </c>
      <c r="R548">
        <v>118535</v>
      </c>
    </row>
    <row r="549" spans="1:18" x14ac:dyDescent="0.25">
      <c r="A549" s="170">
        <v>45917</v>
      </c>
      <c r="B549" s="116">
        <v>484.9</v>
      </c>
      <c r="C549" s="116">
        <v>477.75</v>
      </c>
      <c r="D549" s="116">
        <v>466.85</v>
      </c>
      <c r="E549" s="116">
        <v>467.5</v>
      </c>
      <c r="F549" s="116">
        <v>477.75</v>
      </c>
      <c r="G549">
        <v>43010</v>
      </c>
      <c r="H549" s="116"/>
      <c r="I549" s="116"/>
      <c r="L549" s="170">
        <v>45917</v>
      </c>
      <c r="M549" s="116">
        <v>478</v>
      </c>
      <c r="N549" s="116">
        <v>485.5</v>
      </c>
      <c r="O549" s="116">
        <v>466.8</v>
      </c>
      <c r="P549" s="116">
        <v>467.5</v>
      </c>
      <c r="Q549" s="116">
        <v>478</v>
      </c>
      <c r="R549">
        <v>400249</v>
      </c>
    </row>
    <row r="550" spans="1:18" x14ac:dyDescent="0.25">
      <c r="A550" s="170">
        <v>45918</v>
      </c>
      <c r="B550" s="116">
        <v>484.55</v>
      </c>
      <c r="C550" s="116">
        <v>478.15</v>
      </c>
      <c r="D550" s="116">
        <v>476.6</v>
      </c>
      <c r="E550" s="116">
        <v>477.05</v>
      </c>
      <c r="F550" s="116">
        <v>478.15</v>
      </c>
      <c r="G550">
        <v>9249</v>
      </c>
      <c r="H550" s="116"/>
      <c r="I550" s="116"/>
      <c r="L550" s="170">
        <v>45918</v>
      </c>
      <c r="M550" s="116">
        <v>479.05</v>
      </c>
      <c r="N550" s="116">
        <v>488</v>
      </c>
      <c r="O550" s="116">
        <v>476.5</v>
      </c>
      <c r="P550" s="116">
        <v>479.9</v>
      </c>
      <c r="Q550" s="116">
        <v>479.05</v>
      </c>
      <c r="R550">
        <v>181664</v>
      </c>
    </row>
    <row r="551" spans="1:18" x14ac:dyDescent="0.25">
      <c r="A551" s="170">
        <v>45919</v>
      </c>
      <c r="B551" s="116">
        <v>483</v>
      </c>
      <c r="C551" s="116">
        <v>479.35</v>
      </c>
      <c r="D551" s="116">
        <v>477.65</v>
      </c>
      <c r="E551" s="116">
        <v>477.65</v>
      </c>
      <c r="F551" s="116">
        <v>479.35</v>
      </c>
      <c r="G551">
        <v>4098</v>
      </c>
      <c r="H551" s="116"/>
      <c r="I551" s="116"/>
      <c r="L551" s="170">
        <v>45919</v>
      </c>
      <c r="M551" s="116">
        <v>479</v>
      </c>
      <c r="N551" s="116">
        <v>483.2</v>
      </c>
      <c r="O551" s="116">
        <v>478</v>
      </c>
      <c r="P551" s="116">
        <v>479</v>
      </c>
      <c r="Q551" s="116">
        <v>479</v>
      </c>
      <c r="R551">
        <v>112506</v>
      </c>
    </row>
    <row r="552" spans="1:18" x14ac:dyDescent="0.25">
      <c r="A552" s="170">
        <v>45922</v>
      </c>
      <c r="B552" s="116">
        <v>484.3</v>
      </c>
      <c r="C552" s="116">
        <v>478.1</v>
      </c>
      <c r="D552" s="116">
        <v>477.3</v>
      </c>
      <c r="E552" s="116">
        <v>479.2</v>
      </c>
      <c r="F552" s="116">
        <v>478.1</v>
      </c>
      <c r="G552">
        <v>16138</v>
      </c>
      <c r="H552" s="116"/>
      <c r="I552" s="116"/>
      <c r="L552" s="170">
        <v>45922</v>
      </c>
      <c r="M552" s="116">
        <v>478.55</v>
      </c>
      <c r="N552" s="116">
        <v>485.35</v>
      </c>
      <c r="O552" s="116">
        <v>475.05</v>
      </c>
      <c r="P552" s="116">
        <v>475.05</v>
      </c>
      <c r="Q552" s="116">
        <v>478.55</v>
      </c>
      <c r="R552">
        <v>131093</v>
      </c>
    </row>
    <row r="553" spans="1:18" x14ac:dyDescent="0.25">
      <c r="A553" s="170">
        <v>45923</v>
      </c>
      <c r="B553" s="116">
        <v>484.85</v>
      </c>
      <c r="C553" s="116">
        <v>464</v>
      </c>
      <c r="D553" s="116">
        <v>460.2</v>
      </c>
      <c r="E553" s="116">
        <v>484.85</v>
      </c>
      <c r="F553" s="116">
        <v>464</v>
      </c>
      <c r="G553">
        <v>7097</v>
      </c>
      <c r="H553" s="116"/>
      <c r="I553" s="116"/>
      <c r="L553" s="170">
        <v>45923</v>
      </c>
      <c r="M553" s="116">
        <v>463.2</v>
      </c>
      <c r="N553" s="116">
        <v>482.8</v>
      </c>
      <c r="O553" s="116">
        <v>455.55</v>
      </c>
      <c r="P553" s="116">
        <v>478.5</v>
      </c>
      <c r="Q553" s="116">
        <v>463.2</v>
      </c>
      <c r="R553">
        <v>158213</v>
      </c>
    </row>
    <row r="554" spans="1:18" x14ac:dyDescent="0.25">
      <c r="A554" s="170">
        <v>45924</v>
      </c>
      <c r="B554" s="116">
        <v>465</v>
      </c>
      <c r="C554" s="116">
        <v>455.95</v>
      </c>
      <c r="D554" s="116">
        <v>455.1</v>
      </c>
      <c r="E554" s="116">
        <v>465</v>
      </c>
      <c r="F554" s="116">
        <v>455.95</v>
      </c>
      <c r="G554">
        <v>16365</v>
      </c>
      <c r="H554" s="116"/>
      <c r="I554" s="116"/>
      <c r="L554" s="170">
        <v>45924</v>
      </c>
      <c r="M554" s="116">
        <v>455.9</v>
      </c>
      <c r="N554" s="116">
        <v>465.05</v>
      </c>
      <c r="O554" s="116">
        <v>455</v>
      </c>
      <c r="P554" s="116">
        <v>465</v>
      </c>
      <c r="Q554" s="116">
        <v>455.9</v>
      </c>
      <c r="R554">
        <v>197292</v>
      </c>
    </row>
    <row r="555" spans="1:18" x14ac:dyDescent="0.25">
      <c r="A555" s="170">
        <v>45925</v>
      </c>
      <c r="B555" s="116">
        <v>457.75</v>
      </c>
      <c r="C555" s="116">
        <v>448.5</v>
      </c>
      <c r="D555" s="116">
        <v>446.2</v>
      </c>
      <c r="E555" s="116">
        <v>455.55</v>
      </c>
      <c r="F555" s="116">
        <v>448.5</v>
      </c>
      <c r="G555">
        <v>13251</v>
      </c>
      <c r="H555" s="116"/>
      <c r="I555" s="116"/>
      <c r="L555" s="170">
        <v>45925</v>
      </c>
      <c r="M555" s="116">
        <v>447.9</v>
      </c>
      <c r="N555" s="116">
        <v>457.85</v>
      </c>
      <c r="O555" s="116">
        <v>446.1</v>
      </c>
      <c r="P555" s="116">
        <v>456.95</v>
      </c>
      <c r="Q555" s="116">
        <v>447.9</v>
      </c>
      <c r="R555">
        <v>76568</v>
      </c>
    </row>
    <row r="556" spans="1:18" x14ac:dyDescent="0.25">
      <c r="A556" s="170">
        <v>45926</v>
      </c>
      <c r="B556" s="116">
        <v>451.15</v>
      </c>
      <c r="C556" s="116">
        <v>433.8</v>
      </c>
      <c r="D556" s="116">
        <v>431.55</v>
      </c>
      <c r="E556" s="116">
        <v>451.15</v>
      </c>
      <c r="F556" s="116">
        <v>433.8</v>
      </c>
      <c r="G556">
        <v>24876</v>
      </c>
      <c r="H556" s="116"/>
      <c r="I556" s="116"/>
      <c r="L556" s="170">
        <v>45926</v>
      </c>
      <c r="M556" s="116">
        <v>434</v>
      </c>
      <c r="N556" s="116">
        <v>452.8</v>
      </c>
      <c r="O556" s="116">
        <v>431.15</v>
      </c>
      <c r="P556" s="116">
        <v>449.7</v>
      </c>
      <c r="Q556" s="116">
        <v>434</v>
      </c>
      <c r="R556">
        <v>118011</v>
      </c>
    </row>
    <row r="557" spans="1:18" x14ac:dyDescent="0.25">
      <c r="A557" s="170">
        <v>45929</v>
      </c>
      <c r="B557" s="116">
        <v>435.95</v>
      </c>
      <c r="C557" s="116">
        <v>416.05</v>
      </c>
      <c r="D557" s="116">
        <v>413.3</v>
      </c>
      <c r="E557" s="116">
        <v>430.05</v>
      </c>
      <c r="F557" s="116">
        <v>416.05</v>
      </c>
      <c r="G557">
        <v>11422</v>
      </c>
      <c r="H557" s="116"/>
      <c r="I557" s="116"/>
      <c r="L557" s="170">
        <v>45929</v>
      </c>
      <c r="M557" s="116">
        <v>416.05</v>
      </c>
      <c r="N557" s="116">
        <v>436.35</v>
      </c>
      <c r="O557" s="116">
        <v>413.05</v>
      </c>
      <c r="P557" s="116">
        <v>434</v>
      </c>
      <c r="Q557" s="116">
        <v>416.05</v>
      </c>
      <c r="R557">
        <v>257268</v>
      </c>
    </row>
    <row r="558" spans="1:18" x14ac:dyDescent="0.25">
      <c r="A558" s="170">
        <v>45930</v>
      </c>
      <c r="B558" s="116">
        <v>431</v>
      </c>
      <c r="C558" s="116">
        <v>421.1</v>
      </c>
      <c r="D558" s="116">
        <v>417.1</v>
      </c>
      <c r="E558" s="116">
        <v>422.05</v>
      </c>
      <c r="F558" s="116">
        <v>421.1</v>
      </c>
      <c r="G558">
        <v>12187</v>
      </c>
      <c r="H558" s="116"/>
      <c r="I558" s="116"/>
      <c r="L558" s="170">
        <v>45930</v>
      </c>
      <c r="M558" s="116">
        <v>421.65</v>
      </c>
      <c r="N558" s="116">
        <v>431.6</v>
      </c>
      <c r="O558" s="116">
        <v>417</v>
      </c>
      <c r="P558" s="116">
        <v>425</v>
      </c>
      <c r="Q558" s="116">
        <v>421.65</v>
      </c>
      <c r="R558">
        <v>131742</v>
      </c>
    </row>
    <row r="559" spans="1:18" x14ac:dyDescent="0.25">
      <c r="A559" s="170">
        <v>45931</v>
      </c>
      <c r="B559" s="116">
        <v>433.5</v>
      </c>
      <c r="C559" s="116">
        <v>430.95</v>
      </c>
      <c r="D559" s="116">
        <v>420</v>
      </c>
      <c r="E559" s="116">
        <v>420</v>
      </c>
      <c r="F559" s="116">
        <v>430.95</v>
      </c>
      <c r="G559">
        <v>12110</v>
      </c>
      <c r="H559" s="116"/>
      <c r="I559" s="116"/>
      <c r="L559" s="170">
        <v>45931</v>
      </c>
      <c r="M559" s="116">
        <v>431.4</v>
      </c>
      <c r="N559" s="116">
        <v>434.8</v>
      </c>
      <c r="O559" s="116">
        <v>419</v>
      </c>
      <c r="P559" s="116">
        <v>419</v>
      </c>
      <c r="Q559" s="116">
        <v>431.4</v>
      </c>
      <c r="R559">
        <v>84325</v>
      </c>
    </row>
    <row r="560" spans="1:18" x14ac:dyDescent="0.25">
      <c r="A560" s="170">
        <v>45933</v>
      </c>
      <c r="B560" s="116">
        <v>438.25</v>
      </c>
      <c r="C560" s="116">
        <v>436.45</v>
      </c>
      <c r="D560" s="116">
        <v>426.25</v>
      </c>
      <c r="E560" s="116">
        <v>432</v>
      </c>
      <c r="F560" s="116">
        <v>436.45</v>
      </c>
      <c r="G560">
        <v>9237</v>
      </c>
      <c r="H560" s="116"/>
      <c r="I560" s="116"/>
      <c r="L560" s="170">
        <v>45933</v>
      </c>
      <c r="M560" s="116">
        <v>436.65</v>
      </c>
      <c r="N560" s="116">
        <v>438</v>
      </c>
      <c r="O560" s="116">
        <v>426.55</v>
      </c>
      <c r="P560" s="116">
        <v>431.45</v>
      </c>
      <c r="Q560" s="116">
        <v>436.65</v>
      </c>
      <c r="R560">
        <v>77061</v>
      </c>
    </row>
    <row r="561" spans="1:18" x14ac:dyDescent="0.25">
      <c r="A561" s="170">
        <v>45936</v>
      </c>
      <c r="B561" s="116">
        <v>437.15</v>
      </c>
      <c r="C561" s="116">
        <v>429.1</v>
      </c>
      <c r="D561" s="116">
        <v>426.75</v>
      </c>
      <c r="E561" s="116">
        <v>430.5</v>
      </c>
      <c r="F561" s="116">
        <v>429.1</v>
      </c>
      <c r="G561">
        <v>3553</v>
      </c>
      <c r="H561" s="116"/>
      <c r="I561" s="116"/>
      <c r="L561" s="170">
        <v>45936</v>
      </c>
      <c r="M561" s="116">
        <v>428.75</v>
      </c>
      <c r="N561" s="116">
        <v>439</v>
      </c>
      <c r="O561" s="116">
        <v>426</v>
      </c>
      <c r="P561" s="116">
        <v>439</v>
      </c>
      <c r="Q561" s="116">
        <v>428.75</v>
      </c>
      <c r="R561">
        <v>104970</v>
      </c>
    </row>
    <row r="562" spans="1:18" x14ac:dyDescent="0.25">
      <c r="A562" s="170">
        <v>45937</v>
      </c>
      <c r="B562" s="116">
        <v>467.55</v>
      </c>
      <c r="C562" s="116">
        <v>447.8</v>
      </c>
      <c r="D562" s="116">
        <v>430.15</v>
      </c>
      <c r="E562" s="116">
        <v>430.15</v>
      </c>
      <c r="F562" s="116">
        <v>447.8</v>
      </c>
      <c r="G562">
        <v>163254</v>
      </c>
      <c r="H562" s="116"/>
      <c r="I562" s="116"/>
      <c r="L562" s="170">
        <v>45937</v>
      </c>
      <c r="M562" s="116">
        <v>448.1</v>
      </c>
      <c r="N562" s="116">
        <v>467.45</v>
      </c>
      <c r="O562" s="116">
        <v>427.95</v>
      </c>
      <c r="P562" s="116">
        <v>428.75</v>
      </c>
      <c r="Q562" s="116">
        <v>448.1</v>
      </c>
      <c r="R562">
        <v>2383695</v>
      </c>
    </row>
    <row r="563" spans="1:18" x14ac:dyDescent="0.25">
      <c r="A563" s="170">
        <v>45938</v>
      </c>
      <c r="B563" s="116">
        <v>454.7</v>
      </c>
      <c r="C563" s="116">
        <v>452.1</v>
      </c>
      <c r="D563" s="116">
        <v>443.25</v>
      </c>
      <c r="E563" s="116">
        <v>447.95</v>
      </c>
      <c r="F563" s="116">
        <v>452.1</v>
      </c>
      <c r="G563">
        <v>8433</v>
      </c>
      <c r="H563" s="116"/>
      <c r="I563" s="116"/>
      <c r="L563" s="170">
        <v>45938</v>
      </c>
      <c r="M563" s="116">
        <v>451.95</v>
      </c>
      <c r="N563" s="116">
        <v>455.2</v>
      </c>
      <c r="O563" s="116">
        <v>443.15</v>
      </c>
      <c r="P563" s="116">
        <v>446.05</v>
      </c>
      <c r="Q563" s="116">
        <v>451.95</v>
      </c>
      <c r="R563">
        <v>155642</v>
      </c>
    </row>
    <row r="564" spans="1:18" x14ac:dyDescent="0.25">
      <c r="A564" s="170">
        <v>45939</v>
      </c>
      <c r="B564" s="116">
        <v>460.05</v>
      </c>
      <c r="C564" s="116">
        <v>456.9</v>
      </c>
      <c r="D564" s="116">
        <v>444.9</v>
      </c>
      <c r="E564" s="116">
        <v>452.2</v>
      </c>
      <c r="F564" s="116">
        <v>456.9</v>
      </c>
      <c r="G564">
        <v>25696</v>
      </c>
      <c r="H564" s="116"/>
      <c r="I564" s="116"/>
      <c r="L564" s="170">
        <v>45939</v>
      </c>
      <c r="M564" s="116">
        <v>457.2</v>
      </c>
      <c r="N564" s="116">
        <v>460.7</v>
      </c>
      <c r="O564" s="116">
        <v>444.5</v>
      </c>
      <c r="P564" s="116">
        <v>451</v>
      </c>
      <c r="Q564" s="116">
        <v>457.2</v>
      </c>
      <c r="R564">
        <v>230874</v>
      </c>
    </row>
    <row r="565" spans="1:18" x14ac:dyDescent="0.25">
      <c r="A565" s="170">
        <v>45940</v>
      </c>
      <c r="B565" s="116">
        <v>477</v>
      </c>
      <c r="C565" s="116">
        <v>471.6</v>
      </c>
      <c r="D565" s="116">
        <v>454.1</v>
      </c>
      <c r="E565" s="116">
        <v>458.6</v>
      </c>
      <c r="F565" s="116">
        <v>471.6</v>
      </c>
      <c r="G565">
        <v>16625</v>
      </c>
      <c r="H565" s="116"/>
      <c r="I565" s="116"/>
      <c r="L565" s="170">
        <v>45940</v>
      </c>
      <c r="M565" s="116">
        <v>471.35</v>
      </c>
      <c r="N565" s="116">
        <v>478</v>
      </c>
      <c r="O565" s="116">
        <v>454.6</v>
      </c>
      <c r="P565" s="116">
        <v>464.5</v>
      </c>
      <c r="Q565" s="116">
        <v>471.35</v>
      </c>
      <c r="R565">
        <v>427369</v>
      </c>
    </row>
    <row r="566" spans="1:18" x14ac:dyDescent="0.25">
      <c r="A566" s="170">
        <v>45943</v>
      </c>
      <c r="B566" s="116">
        <v>493.4</v>
      </c>
      <c r="C566" s="116">
        <v>486.95</v>
      </c>
      <c r="D566" s="116">
        <v>460.5</v>
      </c>
      <c r="E566" s="116">
        <v>471</v>
      </c>
      <c r="F566" s="116">
        <v>486.95</v>
      </c>
      <c r="G566">
        <v>17449</v>
      </c>
      <c r="H566" s="116"/>
      <c r="I566" s="116"/>
      <c r="L566" s="170">
        <v>45943</v>
      </c>
      <c r="M566" s="116">
        <v>488.2</v>
      </c>
      <c r="N566" s="116">
        <v>493</v>
      </c>
      <c r="O566" s="116">
        <v>460.05</v>
      </c>
      <c r="P566" s="116">
        <v>473.5</v>
      </c>
      <c r="Q566" s="116">
        <v>488.2</v>
      </c>
      <c r="R566">
        <v>515792</v>
      </c>
    </row>
    <row r="567" spans="1:18" x14ac:dyDescent="0.25">
      <c r="A567" s="170">
        <v>45944</v>
      </c>
      <c r="B567" s="116">
        <v>495.5</v>
      </c>
      <c r="C567" s="116">
        <v>467.4</v>
      </c>
      <c r="D567" s="116">
        <v>463.3</v>
      </c>
      <c r="E567" s="116">
        <v>489.2</v>
      </c>
      <c r="F567" s="116">
        <v>467.4</v>
      </c>
      <c r="G567">
        <v>36225</v>
      </c>
      <c r="H567" s="116"/>
      <c r="I567" s="116"/>
      <c r="L567" s="170">
        <v>45944</v>
      </c>
      <c r="M567" s="116">
        <v>468.15</v>
      </c>
      <c r="N567" s="116">
        <v>496</v>
      </c>
      <c r="O567" s="116">
        <v>463.8</v>
      </c>
      <c r="P567" s="116">
        <v>491.95</v>
      </c>
      <c r="Q567" s="116">
        <v>468.15</v>
      </c>
      <c r="R567">
        <v>447787</v>
      </c>
    </row>
    <row r="568" spans="1:18" x14ac:dyDescent="0.25">
      <c r="A568" s="170">
        <v>45945</v>
      </c>
      <c r="B568" s="116">
        <v>481.55</v>
      </c>
      <c r="C568" s="116">
        <v>442.1</v>
      </c>
      <c r="D568" s="116">
        <v>435</v>
      </c>
      <c r="E568" s="116">
        <v>473.75</v>
      </c>
      <c r="F568" s="116">
        <v>442.1</v>
      </c>
      <c r="G568">
        <v>76480</v>
      </c>
      <c r="H568" s="116"/>
      <c r="I568" s="116"/>
      <c r="L568" s="170">
        <v>45945</v>
      </c>
      <c r="M568" s="116">
        <v>440.25</v>
      </c>
      <c r="N568" s="116">
        <v>482.8</v>
      </c>
      <c r="O568" s="116">
        <v>425</v>
      </c>
      <c r="P568" s="116">
        <v>472</v>
      </c>
      <c r="Q568" s="116">
        <v>440.25</v>
      </c>
      <c r="R568">
        <v>1649726</v>
      </c>
    </row>
    <row r="569" spans="1:18" x14ac:dyDescent="0.25">
      <c r="A569" s="170">
        <v>45946</v>
      </c>
      <c r="B569" s="116">
        <v>448.2</v>
      </c>
      <c r="C569" s="116">
        <v>441.5</v>
      </c>
      <c r="D569" s="116">
        <v>438.05</v>
      </c>
      <c r="E569" s="116">
        <v>442.1</v>
      </c>
      <c r="F569" s="116">
        <v>441.5</v>
      </c>
      <c r="G569">
        <v>131798</v>
      </c>
      <c r="H569" s="116"/>
      <c r="I569" s="116"/>
      <c r="L569" s="170">
        <v>45946</v>
      </c>
      <c r="M569" s="116">
        <v>441.85</v>
      </c>
      <c r="N569" s="116">
        <v>445.95</v>
      </c>
      <c r="O569" s="116">
        <v>438.1</v>
      </c>
      <c r="P569" s="116">
        <v>440.2</v>
      </c>
      <c r="Q569" s="116">
        <v>441.85</v>
      </c>
      <c r="R569">
        <v>464127</v>
      </c>
    </row>
    <row r="570" spans="1:18" x14ac:dyDescent="0.25">
      <c r="A570" s="170">
        <v>45947</v>
      </c>
      <c r="B570" s="116">
        <v>447.7</v>
      </c>
      <c r="C570" s="116">
        <v>443.85</v>
      </c>
      <c r="D570" s="116">
        <v>438.95</v>
      </c>
      <c r="E570" s="116">
        <v>444.35</v>
      </c>
      <c r="F570" s="116">
        <v>443.85</v>
      </c>
      <c r="G570">
        <v>16067</v>
      </c>
      <c r="H570" s="116"/>
      <c r="I570" s="116"/>
      <c r="L570" s="170">
        <v>45947</v>
      </c>
      <c r="M570" s="116">
        <v>443.7</v>
      </c>
      <c r="N570" s="116">
        <v>447.35</v>
      </c>
      <c r="O570" s="116">
        <v>437.75</v>
      </c>
      <c r="P570" s="116">
        <v>446</v>
      </c>
      <c r="Q570" s="116">
        <v>443.7</v>
      </c>
      <c r="R570">
        <v>531026</v>
      </c>
    </row>
    <row r="571" spans="1:18" x14ac:dyDescent="0.25">
      <c r="A571" s="170">
        <v>45950</v>
      </c>
      <c r="B571" s="116">
        <v>467</v>
      </c>
      <c r="C571" s="116">
        <v>462.75</v>
      </c>
      <c r="D571" s="116">
        <v>443.05</v>
      </c>
      <c r="E571" s="116">
        <v>443.05</v>
      </c>
      <c r="F571" s="116">
        <v>462.75</v>
      </c>
      <c r="G571">
        <v>22382</v>
      </c>
      <c r="H571" s="116"/>
      <c r="I571" s="116"/>
      <c r="L571" s="170">
        <v>45950</v>
      </c>
      <c r="M571" s="116">
        <v>462.7</v>
      </c>
      <c r="N571" s="116">
        <v>467.55</v>
      </c>
      <c r="O571" s="116">
        <v>443.1</v>
      </c>
      <c r="P571" s="116">
        <v>445.45</v>
      </c>
      <c r="Q571" s="116">
        <v>462.7</v>
      </c>
      <c r="R571">
        <v>418491</v>
      </c>
    </row>
    <row r="572" spans="1:18" x14ac:dyDescent="0.25">
      <c r="A572" s="170">
        <v>45951</v>
      </c>
      <c r="B572" s="116">
        <v>466.8</v>
      </c>
      <c r="C572" s="116">
        <v>463.95</v>
      </c>
      <c r="D572" s="116">
        <v>460.85</v>
      </c>
      <c r="E572" s="116">
        <v>463.05</v>
      </c>
      <c r="F572" s="116">
        <v>463.95</v>
      </c>
      <c r="G572">
        <v>6250</v>
      </c>
      <c r="H572" s="116"/>
      <c r="I572" s="116"/>
      <c r="L572" s="170">
        <v>45951</v>
      </c>
      <c r="M572" s="116">
        <v>464.05</v>
      </c>
      <c r="N572" s="116">
        <v>467.85</v>
      </c>
      <c r="O572" s="116">
        <v>460.1</v>
      </c>
      <c r="P572" s="116">
        <v>463.9</v>
      </c>
      <c r="Q572" s="116">
        <v>464.05</v>
      </c>
      <c r="R572">
        <v>74012</v>
      </c>
    </row>
    <row r="573" spans="1:18" x14ac:dyDescent="0.25">
      <c r="A573" s="170">
        <v>45953</v>
      </c>
      <c r="B573" s="116">
        <v>466.15</v>
      </c>
      <c r="C573" s="116">
        <v>453.05</v>
      </c>
      <c r="D573" s="116">
        <v>451.45</v>
      </c>
      <c r="E573" s="116">
        <v>463.95</v>
      </c>
      <c r="F573" s="116">
        <v>453.05</v>
      </c>
      <c r="G573">
        <v>110412</v>
      </c>
      <c r="H573" s="116"/>
      <c r="I573" s="116"/>
      <c r="L573" s="170">
        <v>45953</v>
      </c>
      <c r="M573" s="116">
        <v>453.95</v>
      </c>
      <c r="N573" s="116">
        <v>466.35</v>
      </c>
      <c r="O573" s="116">
        <v>451.6</v>
      </c>
      <c r="P573" s="116">
        <v>463.2</v>
      </c>
      <c r="Q573" s="116">
        <v>453.95</v>
      </c>
      <c r="R573">
        <v>177186</v>
      </c>
    </row>
    <row r="574" spans="1:18" x14ac:dyDescent="0.25">
      <c r="A574" s="170">
        <v>45954</v>
      </c>
      <c r="B574" s="116">
        <v>457.95</v>
      </c>
      <c r="C574" s="116">
        <v>451.1</v>
      </c>
      <c r="D574" s="116">
        <v>448.5</v>
      </c>
      <c r="E574" s="116">
        <v>455.3</v>
      </c>
      <c r="F574" s="116">
        <v>451.1</v>
      </c>
      <c r="G574">
        <v>8408</v>
      </c>
      <c r="H574" s="116"/>
      <c r="I574" s="116"/>
      <c r="L574" s="170">
        <v>45954</v>
      </c>
      <c r="M574" s="116">
        <v>450.85</v>
      </c>
      <c r="N574" s="116">
        <v>457.8</v>
      </c>
      <c r="O574" s="116">
        <v>448.5</v>
      </c>
      <c r="P574" s="116">
        <v>454.8</v>
      </c>
      <c r="Q574" s="116">
        <v>450.85</v>
      </c>
      <c r="R574">
        <v>116190</v>
      </c>
    </row>
    <row r="575" spans="1:18" x14ac:dyDescent="0.25">
      <c r="A575" s="170">
        <v>45957</v>
      </c>
      <c r="B575" s="116">
        <v>456.35</v>
      </c>
      <c r="C575" s="116">
        <v>450.25</v>
      </c>
      <c r="D575" s="116">
        <v>441.85</v>
      </c>
      <c r="E575" s="116">
        <v>441.85</v>
      </c>
      <c r="F575" s="116">
        <v>450.25</v>
      </c>
      <c r="G575">
        <v>5258</v>
      </c>
      <c r="H575" s="116"/>
      <c r="I575" s="116"/>
      <c r="L575" s="170">
        <v>45957</v>
      </c>
      <c r="M575" s="116">
        <v>450</v>
      </c>
      <c r="N575" s="116">
        <v>456.75</v>
      </c>
      <c r="O575" s="116">
        <v>449</v>
      </c>
      <c r="P575" s="116">
        <v>450.85</v>
      </c>
      <c r="Q575" s="116">
        <v>450</v>
      </c>
      <c r="R575">
        <v>123898</v>
      </c>
    </row>
    <row r="576" spans="1:18" x14ac:dyDescent="0.25">
      <c r="A576" s="170">
        <v>45958</v>
      </c>
      <c r="B576" s="116">
        <v>457.7</v>
      </c>
      <c r="C576" s="116">
        <v>457.05</v>
      </c>
      <c r="D576" s="116">
        <v>445.4</v>
      </c>
      <c r="E576" s="116">
        <v>451.3</v>
      </c>
      <c r="F576" s="116">
        <v>457.05</v>
      </c>
      <c r="G576">
        <v>4067</v>
      </c>
      <c r="H576" s="116"/>
      <c r="I576" s="116"/>
      <c r="L576" s="170">
        <v>45958</v>
      </c>
      <c r="M576" s="116">
        <v>456.7</v>
      </c>
      <c r="N576" s="116">
        <v>458.75</v>
      </c>
      <c r="O576" s="116">
        <v>445.2</v>
      </c>
      <c r="P576" s="116">
        <v>451.5</v>
      </c>
      <c r="Q576" s="116">
        <v>456.7</v>
      </c>
      <c r="R576">
        <v>206075</v>
      </c>
    </row>
    <row r="577" spans="1:18" x14ac:dyDescent="0.25">
      <c r="A577" s="170">
        <v>45959</v>
      </c>
      <c r="B577" s="116">
        <v>459</v>
      </c>
      <c r="C577" s="116">
        <v>455.75</v>
      </c>
      <c r="D577" s="116">
        <v>452.8</v>
      </c>
      <c r="E577" s="116">
        <v>455.65</v>
      </c>
      <c r="F577" s="116">
        <v>455.75</v>
      </c>
      <c r="G577">
        <v>4736</v>
      </c>
      <c r="H577" s="116"/>
      <c r="I577" s="116"/>
      <c r="L577" s="170">
        <v>45959</v>
      </c>
      <c r="M577" s="116">
        <v>456.55</v>
      </c>
      <c r="N577" s="116">
        <v>459.25</v>
      </c>
      <c r="O577" s="116">
        <v>452.05</v>
      </c>
      <c r="P577" s="116">
        <v>457.05</v>
      </c>
      <c r="Q577" s="116">
        <v>456.55</v>
      </c>
      <c r="R577">
        <v>62149</v>
      </c>
    </row>
    <row r="578" spans="1:18" x14ac:dyDescent="0.25">
      <c r="A578" s="170">
        <v>45960</v>
      </c>
      <c r="B578" s="116">
        <v>464.5</v>
      </c>
      <c r="C578" s="116">
        <v>461.1</v>
      </c>
      <c r="D578" s="116">
        <v>456</v>
      </c>
      <c r="E578" s="116">
        <v>456</v>
      </c>
      <c r="F578" s="116">
        <v>461.1</v>
      </c>
      <c r="G578">
        <v>5138</v>
      </c>
      <c r="H578" s="116"/>
      <c r="I578" s="116"/>
      <c r="L578" s="170">
        <v>45960</v>
      </c>
      <c r="M578" s="116">
        <v>461.2</v>
      </c>
      <c r="N578" s="116">
        <v>465</v>
      </c>
      <c r="O578" s="116">
        <v>454.1</v>
      </c>
      <c r="P578" s="116">
        <v>457.3</v>
      </c>
      <c r="Q578" s="116">
        <v>461.2</v>
      </c>
      <c r="R578">
        <v>95203</v>
      </c>
    </row>
    <row r="579" spans="1:18" x14ac:dyDescent="0.25">
      <c r="A579" s="170">
        <v>45961</v>
      </c>
      <c r="B579" s="116">
        <v>462.05</v>
      </c>
      <c r="C579" s="116">
        <v>452.15</v>
      </c>
      <c r="D579" s="116">
        <v>450.5</v>
      </c>
      <c r="E579" s="116">
        <v>461.95</v>
      </c>
      <c r="F579" s="116">
        <v>452.15</v>
      </c>
      <c r="G579">
        <v>7639</v>
      </c>
      <c r="H579" s="116"/>
      <c r="I579" s="116"/>
      <c r="L579" s="170">
        <v>45961</v>
      </c>
      <c r="M579" s="116">
        <v>451.85</v>
      </c>
      <c r="N579" s="116">
        <v>463</v>
      </c>
      <c r="O579" s="116">
        <v>450.5</v>
      </c>
      <c r="P579" s="116">
        <v>461.2</v>
      </c>
      <c r="Q579" s="116">
        <v>451.85</v>
      </c>
      <c r="R579">
        <v>79030</v>
      </c>
    </row>
    <row r="580" spans="1:18" x14ac:dyDescent="0.25">
      <c r="A580" s="170">
        <v>45964</v>
      </c>
      <c r="B580" s="116">
        <v>463</v>
      </c>
      <c r="C580" s="116">
        <v>460.9</v>
      </c>
      <c r="D580" s="116">
        <v>452.3</v>
      </c>
      <c r="E580" s="116">
        <v>453.9</v>
      </c>
      <c r="F580" s="116">
        <v>460.9</v>
      </c>
      <c r="G580">
        <v>4894</v>
      </c>
      <c r="H580" s="116"/>
      <c r="I580" s="116"/>
      <c r="L580" s="170">
        <v>45964</v>
      </c>
      <c r="M580" s="116">
        <v>459.45</v>
      </c>
      <c r="N580" s="116">
        <v>463.4</v>
      </c>
      <c r="O580" s="116">
        <v>451.9</v>
      </c>
      <c r="P580" s="116">
        <v>451.9</v>
      </c>
      <c r="Q580" s="116">
        <v>459.45</v>
      </c>
      <c r="R580">
        <v>108287</v>
      </c>
    </row>
    <row r="581" spans="1:18" x14ac:dyDescent="0.25">
      <c r="A581" s="170">
        <v>45965</v>
      </c>
      <c r="B581" s="116">
        <v>462.1</v>
      </c>
      <c r="C581" s="116">
        <v>454.45</v>
      </c>
      <c r="D581" s="116">
        <v>451.55</v>
      </c>
      <c r="E581" s="116">
        <v>461.35</v>
      </c>
      <c r="F581" s="116">
        <v>454.45</v>
      </c>
      <c r="G581">
        <v>4662</v>
      </c>
      <c r="H581" s="116"/>
      <c r="I581" s="116"/>
      <c r="L581" s="170">
        <v>45965</v>
      </c>
      <c r="M581" s="116">
        <v>454.3</v>
      </c>
      <c r="N581" s="116">
        <v>462.7</v>
      </c>
      <c r="O581" s="116">
        <v>451.95</v>
      </c>
      <c r="P581" s="116">
        <v>455</v>
      </c>
      <c r="Q581" s="116">
        <v>454.3</v>
      </c>
      <c r="R581">
        <v>111141</v>
      </c>
    </row>
    <row r="582" spans="1:18" x14ac:dyDescent="0.25">
      <c r="A582" s="170">
        <v>45967</v>
      </c>
      <c r="B582" s="116">
        <v>457.15</v>
      </c>
      <c r="C582" s="116">
        <v>444.3</v>
      </c>
      <c r="D582" s="116">
        <v>442.5</v>
      </c>
      <c r="E582" s="116">
        <v>450.05</v>
      </c>
      <c r="F582" s="116">
        <v>444.3</v>
      </c>
      <c r="G582">
        <v>5149</v>
      </c>
      <c r="H582" s="116"/>
      <c r="I582" s="116"/>
      <c r="L582" s="170">
        <v>45967</v>
      </c>
      <c r="M582" s="116">
        <v>444.9</v>
      </c>
      <c r="N582" s="116">
        <v>458</v>
      </c>
      <c r="O582" s="116">
        <v>442</v>
      </c>
      <c r="P582" s="116">
        <v>453.7</v>
      </c>
      <c r="Q582" s="116">
        <v>444.9</v>
      </c>
      <c r="R582">
        <v>84256</v>
      </c>
    </row>
    <row r="583" spans="1:18" x14ac:dyDescent="0.25">
      <c r="A583" s="170">
        <v>45968</v>
      </c>
      <c r="B583" s="116">
        <v>446.4</v>
      </c>
      <c r="C583" s="116">
        <v>443.6</v>
      </c>
      <c r="D583" s="116">
        <v>437.7</v>
      </c>
      <c r="E583" s="116">
        <v>444.85</v>
      </c>
      <c r="F583" s="116">
        <v>443.6</v>
      </c>
      <c r="G583">
        <v>3894</v>
      </c>
      <c r="H583" s="116"/>
      <c r="I583" s="116"/>
      <c r="L583" s="170">
        <v>45968</v>
      </c>
      <c r="M583" s="116">
        <v>443.7</v>
      </c>
      <c r="N583" s="116">
        <v>447</v>
      </c>
      <c r="O583" s="116">
        <v>436.8</v>
      </c>
      <c r="P583" s="116">
        <v>441</v>
      </c>
      <c r="Q583" s="116">
        <v>443.7</v>
      </c>
      <c r="R583">
        <v>112529</v>
      </c>
    </row>
    <row r="584" spans="1:18" x14ac:dyDescent="0.25">
      <c r="A584" s="170">
        <v>45971</v>
      </c>
      <c r="B584" s="116">
        <v>448.4</v>
      </c>
      <c r="C584" s="116">
        <v>443.45</v>
      </c>
      <c r="D584" s="116">
        <v>442</v>
      </c>
      <c r="E584" s="116">
        <v>444.25</v>
      </c>
      <c r="F584" s="116">
        <v>443.45</v>
      </c>
      <c r="G584">
        <v>3400</v>
      </c>
      <c r="H584" s="116"/>
      <c r="I584" s="116"/>
      <c r="L584" s="170">
        <v>45971</v>
      </c>
      <c r="M584" s="116">
        <v>443.5</v>
      </c>
      <c r="N584" s="116">
        <v>448.9</v>
      </c>
      <c r="O584" s="116">
        <v>440.35</v>
      </c>
      <c r="P584" s="116">
        <v>446.95</v>
      </c>
      <c r="Q584" s="116">
        <v>443.5</v>
      </c>
      <c r="R584">
        <v>76865</v>
      </c>
    </row>
    <row r="585" spans="1:18" x14ac:dyDescent="0.25">
      <c r="A585" s="170">
        <v>45972</v>
      </c>
      <c r="B585" s="116">
        <v>444.1</v>
      </c>
      <c r="C585" s="116">
        <v>436.25</v>
      </c>
      <c r="D585" s="116">
        <v>435.45</v>
      </c>
      <c r="E585" s="116">
        <v>444.05</v>
      </c>
      <c r="F585" s="116">
        <v>436.25</v>
      </c>
      <c r="G585">
        <v>3752</v>
      </c>
      <c r="H585" s="116"/>
      <c r="I585" s="116"/>
      <c r="L585" s="170">
        <v>45972</v>
      </c>
      <c r="M585" s="116">
        <v>436.25</v>
      </c>
      <c r="N585" s="116">
        <v>442.15</v>
      </c>
      <c r="O585" s="116">
        <v>435.4</v>
      </c>
      <c r="P585" s="116">
        <v>441.9</v>
      </c>
      <c r="Q585" s="116">
        <v>436.25</v>
      </c>
      <c r="R585">
        <v>136665</v>
      </c>
    </row>
    <row r="586" spans="1:18" x14ac:dyDescent="0.25">
      <c r="A586" s="170">
        <v>45973</v>
      </c>
      <c r="B586" s="116">
        <v>453.15</v>
      </c>
      <c r="C586" s="116">
        <v>448.6</v>
      </c>
      <c r="D586" s="116">
        <v>434.55</v>
      </c>
      <c r="E586" s="116">
        <v>439.2</v>
      </c>
      <c r="F586" s="116">
        <v>448.6</v>
      </c>
      <c r="G586">
        <v>9143</v>
      </c>
      <c r="H586" s="116"/>
      <c r="I586" s="116"/>
      <c r="L586" s="170">
        <v>45973</v>
      </c>
      <c r="M586" s="116">
        <v>447.4</v>
      </c>
      <c r="N586" s="116">
        <v>452.8</v>
      </c>
      <c r="O586" s="116">
        <v>434.35</v>
      </c>
      <c r="P586" s="116">
        <v>439.55</v>
      </c>
      <c r="Q586" s="116">
        <v>447.4</v>
      </c>
      <c r="R586">
        <v>234650</v>
      </c>
    </row>
    <row r="587" spans="1:18" x14ac:dyDescent="0.25">
      <c r="A587" s="170">
        <v>45974</v>
      </c>
      <c r="B587" s="116">
        <v>445.7</v>
      </c>
      <c r="C587" s="116">
        <v>436.6</v>
      </c>
      <c r="D587" s="116">
        <v>436.1</v>
      </c>
      <c r="E587" s="116">
        <v>443.3</v>
      </c>
      <c r="F587" s="116">
        <v>436.6</v>
      </c>
      <c r="G587">
        <v>6214</v>
      </c>
      <c r="H587" s="116"/>
      <c r="I587" s="116"/>
      <c r="L587" s="170">
        <v>45974</v>
      </c>
      <c r="M587" s="116">
        <v>437.25</v>
      </c>
      <c r="N587" s="116">
        <v>447.05</v>
      </c>
      <c r="O587" s="116">
        <v>436.3</v>
      </c>
      <c r="P587" s="116">
        <v>445</v>
      </c>
      <c r="Q587" s="116">
        <v>437.25</v>
      </c>
      <c r="R587">
        <v>175691</v>
      </c>
    </row>
    <row r="588" spans="1:18" x14ac:dyDescent="0.25">
      <c r="A588" s="170">
        <v>45975</v>
      </c>
      <c r="B588" s="116">
        <v>438.15</v>
      </c>
      <c r="C588" s="116">
        <v>428.5</v>
      </c>
      <c r="D588" s="116">
        <v>426.9</v>
      </c>
      <c r="E588" s="116">
        <v>436.6</v>
      </c>
      <c r="F588" s="116">
        <v>428.5</v>
      </c>
      <c r="G588">
        <v>8637</v>
      </c>
      <c r="H588" s="116"/>
      <c r="I588" s="116"/>
      <c r="L588" s="170">
        <v>45975</v>
      </c>
      <c r="M588" s="116">
        <v>428.85</v>
      </c>
      <c r="N588" s="116">
        <v>441.6</v>
      </c>
      <c r="O588" s="116">
        <v>426.25</v>
      </c>
      <c r="P588" s="116">
        <v>436.75</v>
      </c>
      <c r="Q588" s="116">
        <v>428.85</v>
      </c>
      <c r="R588">
        <v>219740</v>
      </c>
    </row>
    <row r="589" spans="1:18" x14ac:dyDescent="0.25">
      <c r="A589" s="170">
        <v>45978</v>
      </c>
      <c r="B589" s="116">
        <v>449</v>
      </c>
      <c r="C589" s="116">
        <v>447.25</v>
      </c>
      <c r="D589" s="116">
        <v>429.35</v>
      </c>
      <c r="E589" s="116">
        <v>438</v>
      </c>
      <c r="F589" s="116">
        <v>447.25</v>
      </c>
      <c r="G589">
        <v>15035</v>
      </c>
      <c r="H589" s="116"/>
      <c r="I589" s="116"/>
      <c r="L589" s="170">
        <v>45978</v>
      </c>
      <c r="M589" s="116">
        <v>447.6</v>
      </c>
      <c r="N589" s="116">
        <v>449.45</v>
      </c>
      <c r="O589" s="116">
        <v>429.25</v>
      </c>
      <c r="P589" s="116">
        <v>434.9</v>
      </c>
      <c r="Q589" s="116">
        <v>447.6</v>
      </c>
      <c r="R589">
        <v>263695</v>
      </c>
    </row>
    <row r="590" spans="1:18" x14ac:dyDescent="0.25">
      <c r="A590" s="170">
        <v>45979</v>
      </c>
      <c r="B590" s="116">
        <v>461.95</v>
      </c>
      <c r="C590" s="116">
        <v>454.1</v>
      </c>
      <c r="D590" s="116">
        <v>440.7</v>
      </c>
      <c r="E590" s="116">
        <v>450.05</v>
      </c>
      <c r="F590" s="116">
        <v>454.1</v>
      </c>
      <c r="G590">
        <v>17434</v>
      </c>
      <c r="H590" s="116"/>
      <c r="I590" s="116"/>
      <c r="L590" s="170">
        <v>45979</v>
      </c>
      <c r="M590" s="116">
        <v>454.85</v>
      </c>
      <c r="N590" s="116">
        <v>461.9</v>
      </c>
      <c r="O590" s="116">
        <v>440.65</v>
      </c>
      <c r="P590" s="116">
        <v>453</v>
      </c>
      <c r="Q590" s="116">
        <v>454.85</v>
      </c>
      <c r="R590">
        <v>415866</v>
      </c>
    </row>
    <row r="591" spans="1:18" x14ac:dyDescent="0.25">
      <c r="A591" s="170">
        <v>45980</v>
      </c>
      <c r="B591" s="116">
        <v>451.65</v>
      </c>
      <c r="C591" s="116">
        <v>445.9</v>
      </c>
      <c r="D591" s="116">
        <v>440.95</v>
      </c>
      <c r="E591" s="116">
        <v>451.65</v>
      </c>
      <c r="F591" s="116">
        <v>445.9</v>
      </c>
      <c r="G591">
        <v>6180</v>
      </c>
      <c r="H591" s="116"/>
      <c r="I591" s="116"/>
      <c r="L591" s="170">
        <v>45980</v>
      </c>
      <c r="M591" s="116">
        <v>446.2</v>
      </c>
      <c r="N591" s="116">
        <v>454</v>
      </c>
      <c r="O591" s="116">
        <v>441</v>
      </c>
      <c r="P591" s="116">
        <v>454</v>
      </c>
      <c r="Q591" s="116">
        <v>446.2</v>
      </c>
      <c r="R591">
        <v>145223</v>
      </c>
    </row>
    <row r="592" spans="1:18" x14ac:dyDescent="0.25">
      <c r="A592" s="170">
        <v>45981</v>
      </c>
      <c r="B592" s="116">
        <v>451.35</v>
      </c>
      <c r="C592" s="116">
        <v>445.25</v>
      </c>
      <c r="D592" s="116">
        <v>441</v>
      </c>
      <c r="E592" s="116">
        <v>441</v>
      </c>
      <c r="F592" s="116">
        <v>445.25</v>
      </c>
      <c r="G592">
        <v>4029</v>
      </c>
      <c r="H592" s="116"/>
      <c r="I592" s="116"/>
      <c r="L592" s="170">
        <v>45981</v>
      </c>
      <c r="M592" s="116">
        <v>444.6</v>
      </c>
      <c r="N592" s="116">
        <v>451.1</v>
      </c>
      <c r="O592" s="116">
        <v>441.3</v>
      </c>
      <c r="P592" s="116">
        <v>441.3</v>
      </c>
      <c r="Q592" s="116">
        <v>444.6</v>
      </c>
      <c r="R592">
        <v>96671</v>
      </c>
    </row>
    <row r="593" spans="1:18" x14ac:dyDescent="0.25">
      <c r="A593" s="170">
        <v>45982</v>
      </c>
      <c r="B593" s="116">
        <v>444.6</v>
      </c>
      <c r="C593" s="116">
        <v>438.8</v>
      </c>
      <c r="D593" s="116">
        <v>437</v>
      </c>
      <c r="E593" s="116">
        <v>444.6</v>
      </c>
      <c r="F593" s="116">
        <v>438.8</v>
      </c>
      <c r="G593">
        <v>2288</v>
      </c>
      <c r="H593" s="116"/>
      <c r="I593" s="116"/>
      <c r="L593" s="170">
        <v>45982</v>
      </c>
      <c r="M593" s="116">
        <v>438.35</v>
      </c>
      <c r="N593" s="116">
        <v>444.45</v>
      </c>
      <c r="O593" s="116">
        <v>436.5</v>
      </c>
      <c r="P593" s="116">
        <v>444.45</v>
      </c>
      <c r="Q593" s="116">
        <v>438.35</v>
      </c>
      <c r="R593">
        <v>59547</v>
      </c>
    </row>
    <row r="594" spans="1:18" x14ac:dyDescent="0.25">
      <c r="A594" s="170">
        <v>45985</v>
      </c>
      <c r="B594" s="116">
        <v>436.6</v>
      </c>
      <c r="C594" s="116">
        <v>417.7</v>
      </c>
      <c r="D594" s="116">
        <v>407</v>
      </c>
      <c r="E594" s="116">
        <v>425.05</v>
      </c>
      <c r="F594" s="116">
        <v>417.7</v>
      </c>
      <c r="G594">
        <v>14004</v>
      </c>
      <c r="H594" s="116"/>
      <c r="I594" s="116"/>
      <c r="L594" s="170">
        <v>45985</v>
      </c>
      <c r="M594" s="116">
        <v>420.05</v>
      </c>
      <c r="N594" s="116">
        <v>436.7</v>
      </c>
      <c r="O594" s="116">
        <v>406.75</v>
      </c>
      <c r="P594" s="116">
        <v>436.15</v>
      </c>
      <c r="Q594" s="116">
        <v>420.05</v>
      </c>
      <c r="R594">
        <v>770272</v>
      </c>
    </row>
    <row r="595" spans="1:18" x14ac:dyDescent="0.25">
      <c r="A595" s="170">
        <v>45986</v>
      </c>
      <c r="B595" s="116">
        <v>436</v>
      </c>
      <c r="C595" s="116">
        <v>432.35</v>
      </c>
      <c r="D595" s="116">
        <v>420.25</v>
      </c>
      <c r="E595" s="116">
        <v>420.25</v>
      </c>
      <c r="F595" s="116">
        <v>432.35</v>
      </c>
      <c r="G595">
        <v>4806</v>
      </c>
      <c r="H595" s="116"/>
      <c r="I595" s="116"/>
      <c r="L595" s="170">
        <v>45986</v>
      </c>
      <c r="M595" s="116">
        <v>432.85</v>
      </c>
      <c r="N595" s="116">
        <v>436.2</v>
      </c>
      <c r="O595" s="116">
        <v>420.85</v>
      </c>
      <c r="P595" s="116">
        <v>420.85</v>
      </c>
      <c r="Q595" s="116">
        <v>432.85</v>
      </c>
      <c r="R595">
        <v>185253</v>
      </c>
    </row>
    <row r="596" spans="1:18" x14ac:dyDescent="0.25">
      <c r="A596" s="170">
        <v>45987</v>
      </c>
      <c r="B596" s="116">
        <v>434.8</v>
      </c>
      <c r="C596" s="116">
        <v>431.95</v>
      </c>
      <c r="D596" s="116">
        <v>425.25</v>
      </c>
      <c r="E596" s="116">
        <v>430</v>
      </c>
      <c r="F596" s="116">
        <v>431.95</v>
      </c>
      <c r="G596">
        <v>4570</v>
      </c>
      <c r="H596" s="116"/>
      <c r="I596" s="116"/>
      <c r="L596" s="170">
        <v>45987</v>
      </c>
      <c r="M596" s="116">
        <v>431.95</v>
      </c>
      <c r="N596" s="116">
        <v>435.45</v>
      </c>
      <c r="O596" s="116">
        <v>425.45</v>
      </c>
      <c r="P596" s="116">
        <v>432</v>
      </c>
      <c r="Q596" s="116">
        <v>431.95</v>
      </c>
      <c r="R596">
        <v>186535</v>
      </c>
    </row>
    <row r="597" spans="1:18" x14ac:dyDescent="0.25">
      <c r="A597" s="170">
        <v>45988</v>
      </c>
      <c r="B597" s="116">
        <v>435.55</v>
      </c>
      <c r="C597" s="116">
        <v>433.9</v>
      </c>
      <c r="D597" s="116">
        <v>428.65</v>
      </c>
      <c r="E597" s="116">
        <v>433.5</v>
      </c>
      <c r="F597" s="116">
        <v>433.9</v>
      </c>
      <c r="G597">
        <v>3230</v>
      </c>
      <c r="H597" s="116"/>
      <c r="I597" s="116"/>
      <c r="L597" s="170">
        <v>45988</v>
      </c>
      <c r="M597" s="116">
        <v>433.5</v>
      </c>
      <c r="N597" s="116">
        <v>438.55</v>
      </c>
      <c r="O597" s="116">
        <v>428.85</v>
      </c>
      <c r="P597" s="116">
        <v>433.95</v>
      </c>
      <c r="Q597" s="116">
        <v>433.5</v>
      </c>
      <c r="R597">
        <v>122600</v>
      </c>
    </row>
    <row r="598" spans="1:18" x14ac:dyDescent="0.25">
      <c r="A598" s="170">
        <v>45989</v>
      </c>
      <c r="B598" s="116">
        <v>435.35</v>
      </c>
      <c r="C598" s="116">
        <v>429</v>
      </c>
      <c r="D598" s="116">
        <v>424.1</v>
      </c>
      <c r="E598" s="116">
        <v>433.5</v>
      </c>
      <c r="F598" s="116">
        <v>429</v>
      </c>
      <c r="G598">
        <v>4467</v>
      </c>
      <c r="H598" s="116"/>
      <c r="I598" s="116"/>
      <c r="L598" s="170">
        <v>45989</v>
      </c>
      <c r="M598" s="116">
        <v>429.15</v>
      </c>
      <c r="N598" s="116">
        <v>439</v>
      </c>
      <c r="O598" s="116">
        <v>424.1</v>
      </c>
      <c r="P598" s="116">
        <v>433.5</v>
      </c>
      <c r="Q598" s="116">
        <v>429.15</v>
      </c>
      <c r="R598">
        <v>150562</v>
      </c>
    </row>
    <row r="599" spans="1:18" x14ac:dyDescent="0.25">
      <c r="A599" s="170">
        <v>45992</v>
      </c>
      <c r="B599" s="116">
        <v>435.4</v>
      </c>
      <c r="C599" s="116">
        <v>430.4</v>
      </c>
      <c r="D599" s="116">
        <v>428.05</v>
      </c>
      <c r="E599" s="116">
        <v>429.05</v>
      </c>
      <c r="F599" s="116">
        <v>430.4</v>
      </c>
      <c r="G599">
        <v>2019</v>
      </c>
      <c r="H599" s="116"/>
      <c r="I599" s="116"/>
      <c r="L599" s="170">
        <v>45992</v>
      </c>
      <c r="M599" s="116">
        <v>430.1</v>
      </c>
      <c r="N599" s="116">
        <v>435.2</v>
      </c>
      <c r="O599" s="116">
        <v>428.45</v>
      </c>
      <c r="P599" s="116">
        <v>430.2</v>
      </c>
      <c r="Q599" s="116">
        <v>430.1</v>
      </c>
      <c r="R599">
        <v>70598</v>
      </c>
    </row>
    <row r="600" spans="1:18" x14ac:dyDescent="0.25">
      <c r="A600" s="170">
        <v>45993</v>
      </c>
      <c r="B600" s="116">
        <v>435</v>
      </c>
      <c r="C600" s="116">
        <v>433.05</v>
      </c>
      <c r="D600" s="116">
        <v>425.85</v>
      </c>
      <c r="E600" s="116">
        <v>428.05</v>
      </c>
      <c r="F600" s="116">
        <v>433.05</v>
      </c>
      <c r="G600">
        <v>3885</v>
      </c>
      <c r="H600" s="116"/>
      <c r="I600" s="116"/>
      <c r="L600" s="170">
        <v>45993</v>
      </c>
      <c r="M600" s="116">
        <v>433.15</v>
      </c>
      <c r="N600" s="116">
        <v>435.6</v>
      </c>
      <c r="O600" s="116">
        <v>425.4</v>
      </c>
      <c r="P600" s="116">
        <v>429</v>
      </c>
      <c r="Q600" s="116">
        <v>433.15</v>
      </c>
      <c r="R600">
        <v>93197</v>
      </c>
    </row>
    <row r="601" spans="1:18" x14ac:dyDescent="0.25">
      <c r="A601" s="170">
        <v>45994</v>
      </c>
      <c r="B601" s="116">
        <v>438</v>
      </c>
      <c r="C601" s="116">
        <v>434.05</v>
      </c>
      <c r="D601" s="116">
        <v>430.55</v>
      </c>
      <c r="E601" s="116">
        <v>432.95</v>
      </c>
      <c r="F601" s="116">
        <v>434.05</v>
      </c>
      <c r="G601">
        <v>2874</v>
      </c>
      <c r="H601" s="116"/>
      <c r="I601" s="116"/>
      <c r="L601" s="170">
        <v>45994</v>
      </c>
      <c r="M601" s="116">
        <v>434.1</v>
      </c>
      <c r="N601" s="116">
        <v>438.05</v>
      </c>
      <c r="O601" s="116">
        <v>430.5</v>
      </c>
      <c r="P601" s="116">
        <v>432.65</v>
      </c>
      <c r="Q601" s="116">
        <v>434.1</v>
      </c>
      <c r="R601">
        <v>113951</v>
      </c>
    </row>
    <row r="602" spans="1:18" x14ac:dyDescent="0.25">
      <c r="A602" s="170">
        <v>45995</v>
      </c>
      <c r="B602" s="116">
        <v>440</v>
      </c>
      <c r="C602" s="116">
        <v>430.05</v>
      </c>
      <c r="D602" s="116">
        <v>429.05</v>
      </c>
      <c r="E602" s="116">
        <v>435.95</v>
      </c>
      <c r="F602" s="116">
        <v>430.05</v>
      </c>
      <c r="G602">
        <v>4255</v>
      </c>
      <c r="H602" s="116"/>
      <c r="I602" s="116"/>
      <c r="L602" s="170">
        <v>45995</v>
      </c>
      <c r="M602" s="116">
        <v>430</v>
      </c>
      <c r="N602" s="116">
        <v>440.4</v>
      </c>
      <c r="O602" s="116">
        <v>429.05</v>
      </c>
      <c r="P602" s="116">
        <v>434.15</v>
      </c>
      <c r="Q602" s="116">
        <v>430</v>
      </c>
      <c r="R602">
        <v>107409</v>
      </c>
    </row>
    <row r="603" spans="1:18" x14ac:dyDescent="0.25">
      <c r="A603" s="170">
        <v>45996</v>
      </c>
      <c r="B603" s="116">
        <v>434.6</v>
      </c>
      <c r="C603" s="116">
        <v>427.2</v>
      </c>
      <c r="D603" s="116">
        <v>424</v>
      </c>
      <c r="E603" s="116">
        <v>425.8</v>
      </c>
      <c r="F603" s="116">
        <v>427.2</v>
      </c>
      <c r="G603">
        <v>6621</v>
      </c>
      <c r="H603" s="116"/>
      <c r="I603" s="116"/>
      <c r="L603" s="170">
        <v>45996</v>
      </c>
      <c r="M603" s="116">
        <v>426.95</v>
      </c>
      <c r="N603" s="116">
        <v>435</v>
      </c>
      <c r="O603" s="116">
        <v>424</v>
      </c>
      <c r="P603" s="116">
        <v>429</v>
      </c>
      <c r="Q603" s="116">
        <v>426.95</v>
      </c>
      <c r="R603">
        <v>96439</v>
      </c>
    </row>
    <row r="604" spans="1:18" x14ac:dyDescent="0.25">
      <c r="A604" s="170">
        <v>45999</v>
      </c>
      <c r="B604" s="116">
        <v>429.6</v>
      </c>
      <c r="C604" s="116">
        <v>417.65</v>
      </c>
      <c r="D604" s="116">
        <v>415.35</v>
      </c>
      <c r="E604" s="116">
        <v>426.15</v>
      </c>
      <c r="F604" s="116">
        <v>417.65</v>
      </c>
      <c r="G604">
        <v>8560</v>
      </c>
      <c r="H604" s="116"/>
      <c r="I604" s="116"/>
      <c r="L604" s="170">
        <v>45999</v>
      </c>
      <c r="M604" s="116">
        <v>417.65</v>
      </c>
      <c r="N604" s="116">
        <v>430.65</v>
      </c>
      <c r="O604" s="116">
        <v>415.5</v>
      </c>
      <c r="P604" s="116">
        <v>426.95</v>
      </c>
      <c r="Q604" s="116">
        <v>417.65</v>
      </c>
      <c r="R604">
        <v>139503</v>
      </c>
    </row>
    <row r="605" spans="1:18" x14ac:dyDescent="0.25">
      <c r="A605" s="170">
        <v>46000</v>
      </c>
      <c r="B605" s="116">
        <v>429</v>
      </c>
      <c r="C605" s="116">
        <v>421.35</v>
      </c>
      <c r="D605" s="116">
        <v>415</v>
      </c>
      <c r="E605" s="116">
        <v>415.45</v>
      </c>
      <c r="F605" s="116">
        <v>421.35</v>
      </c>
      <c r="G605">
        <v>5504</v>
      </c>
      <c r="H605" s="116"/>
      <c r="I605" s="116"/>
      <c r="L605" s="170">
        <v>46000</v>
      </c>
      <c r="M605" s="116">
        <v>420.65</v>
      </c>
      <c r="N605" s="116">
        <v>429.5</v>
      </c>
      <c r="O605" s="116">
        <v>414</v>
      </c>
      <c r="P605" s="116">
        <v>417</v>
      </c>
      <c r="Q605" s="116">
        <v>420.65</v>
      </c>
      <c r="R605">
        <v>139056</v>
      </c>
    </row>
    <row r="606" spans="1:18" x14ac:dyDescent="0.25">
      <c r="A606" s="170">
        <v>46001</v>
      </c>
      <c r="B606" s="116">
        <v>430</v>
      </c>
      <c r="C606" s="116">
        <v>417.8</v>
      </c>
      <c r="D606" s="116">
        <v>415</v>
      </c>
      <c r="E606" s="116">
        <v>417.25</v>
      </c>
      <c r="F606" s="116">
        <v>417.8</v>
      </c>
      <c r="G606">
        <v>2909</v>
      </c>
      <c r="H606" s="116"/>
      <c r="I606" s="116"/>
      <c r="L606" s="170">
        <v>46001</v>
      </c>
      <c r="M606" s="116">
        <v>417.75</v>
      </c>
      <c r="N606" s="116">
        <v>430.1</v>
      </c>
      <c r="O606" s="116">
        <v>413.2</v>
      </c>
      <c r="P606" s="116">
        <v>420.65</v>
      </c>
      <c r="Q606" s="116">
        <v>417.75</v>
      </c>
      <c r="R606">
        <v>97489</v>
      </c>
    </row>
    <row r="607" spans="1:18" x14ac:dyDescent="0.25">
      <c r="A607" s="170">
        <v>46002</v>
      </c>
      <c r="B607" s="116">
        <v>427.1</v>
      </c>
      <c r="C607" s="116">
        <v>425.7</v>
      </c>
      <c r="D607" s="116">
        <v>414.3</v>
      </c>
      <c r="E607" s="116">
        <v>414.3</v>
      </c>
      <c r="F607" s="116">
        <v>425.7</v>
      </c>
      <c r="G607">
        <v>3043</v>
      </c>
      <c r="H607" s="116"/>
      <c r="I607" s="116"/>
      <c r="L607" s="170">
        <v>46002</v>
      </c>
      <c r="M607" s="116">
        <v>425.7</v>
      </c>
      <c r="N607" s="116">
        <v>426.6</v>
      </c>
      <c r="O607" s="116">
        <v>416.1</v>
      </c>
      <c r="P607" s="116">
        <v>417.75</v>
      </c>
      <c r="Q607" s="116">
        <v>425.7</v>
      </c>
      <c r="R607">
        <v>61885</v>
      </c>
    </row>
    <row r="608" spans="1:18" x14ac:dyDescent="0.25">
      <c r="A608" s="170">
        <v>46003</v>
      </c>
      <c r="B608" s="116">
        <v>430</v>
      </c>
      <c r="C608" s="116">
        <v>428.3</v>
      </c>
      <c r="D608" s="116">
        <v>423.7</v>
      </c>
      <c r="E608" s="116">
        <v>425.7</v>
      </c>
      <c r="F608" s="116">
        <v>428.3</v>
      </c>
      <c r="G608">
        <v>3611</v>
      </c>
      <c r="H608" s="116"/>
      <c r="I608" s="116"/>
      <c r="L608" s="170">
        <v>46003</v>
      </c>
      <c r="M608" s="116">
        <v>428.35</v>
      </c>
      <c r="N608" s="116">
        <v>430.05</v>
      </c>
      <c r="O608" s="116">
        <v>423</v>
      </c>
      <c r="P608" s="116">
        <v>425.7</v>
      </c>
      <c r="Q608" s="116">
        <v>428.35</v>
      </c>
      <c r="R608">
        <v>72882</v>
      </c>
    </row>
    <row r="609" spans="1:18" x14ac:dyDescent="0.25">
      <c r="A609" s="170">
        <v>46006</v>
      </c>
      <c r="B609" s="116">
        <v>432.05</v>
      </c>
      <c r="C609" s="116">
        <v>427.05</v>
      </c>
      <c r="D609" s="116">
        <v>420.4</v>
      </c>
      <c r="E609" s="116">
        <v>420.4</v>
      </c>
      <c r="F609" s="116">
        <v>427.05</v>
      </c>
      <c r="G609">
        <v>3205</v>
      </c>
      <c r="H609" s="116"/>
      <c r="I609" s="116"/>
      <c r="L609" s="170">
        <v>46006</v>
      </c>
      <c r="M609" s="116">
        <v>427.25</v>
      </c>
      <c r="N609" s="116">
        <v>432.5</v>
      </c>
      <c r="O609" s="116">
        <v>424.65</v>
      </c>
      <c r="P609" s="116">
        <v>428.5</v>
      </c>
      <c r="Q609" s="116">
        <v>427.25</v>
      </c>
      <c r="R609">
        <v>74489</v>
      </c>
    </row>
    <row r="610" spans="1:18" x14ac:dyDescent="0.25">
      <c r="A610" s="170">
        <v>46007</v>
      </c>
      <c r="B610" s="116">
        <v>424.6</v>
      </c>
      <c r="C610" s="116">
        <v>419.65</v>
      </c>
      <c r="D610" s="116">
        <v>419.2</v>
      </c>
      <c r="E610" s="116">
        <v>424.1</v>
      </c>
      <c r="F610" s="116">
        <v>419.65</v>
      </c>
      <c r="G610">
        <v>3806</v>
      </c>
      <c r="H610" s="116"/>
      <c r="I610" s="116"/>
      <c r="L610" s="170">
        <v>46007</v>
      </c>
      <c r="M610" s="116">
        <v>419.8</v>
      </c>
      <c r="N610" s="116">
        <v>425.65</v>
      </c>
      <c r="O610" s="116">
        <v>419.15</v>
      </c>
      <c r="P610" s="116">
        <v>425.1</v>
      </c>
      <c r="Q610" s="116">
        <v>419.8</v>
      </c>
      <c r="R610">
        <v>72099</v>
      </c>
    </row>
    <row r="611" spans="1:18" x14ac:dyDescent="0.25">
      <c r="A611" s="170">
        <v>46008</v>
      </c>
      <c r="B611" s="116">
        <v>423.45</v>
      </c>
      <c r="C611" s="116">
        <v>420.9</v>
      </c>
      <c r="D611" s="116">
        <v>418.45</v>
      </c>
      <c r="E611" s="116">
        <v>419.7</v>
      </c>
      <c r="F611" s="116">
        <v>420.9</v>
      </c>
      <c r="G611">
        <v>1588</v>
      </c>
      <c r="H611" s="116"/>
      <c r="I611" s="116"/>
      <c r="L611" s="170">
        <v>46008</v>
      </c>
      <c r="M611" s="116">
        <v>420.5</v>
      </c>
      <c r="N611" s="116">
        <v>423.55</v>
      </c>
      <c r="O611" s="116">
        <v>418.4</v>
      </c>
      <c r="P611" s="116">
        <v>421.9</v>
      </c>
      <c r="Q611" s="116">
        <v>420.5</v>
      </c>
      <c r="R611">
        <v>48188</v>
      </c>
    </row>
    <row r="612" spans="1:18" x14ac:dyDescent="0.25">
      <c r="A612" s="170">
        <v>46009</v>
      </c>
      <c r="B612" s="116">
        <v>424.15</v>
      </c>
      <c r="C612" s="116">
        <v>422.2</v>
      </c>
      <c r="D612" s="116">
        <v>416.45</v>
      </c>
      <c r="E612" s="116">
        <v>420</v>
      </c>
      <c r="F612" s="116">
        <v>422.2</v>
      </c>
      <c r="G612">
        <v>3820</v>
      </c>
      <c r="H612" s="116"/>
      <c r="I612" s="116"/>
      <c r="L612" s="170">
        <v>46009</v>
      </c>
      <c r="M612" s="116">
        <v>422.6</v>
      </c>
      <c r="N612" s="116">
        <v>423.6</v>
      </c>
      <c r="O612" s="116">
        <v>416</v>
      </c>
      <c r="P612" s="116">
        <v>420.5</v>
      </c>
      <c r="Q612" s="116">
        <v>422.6</v>
      </c>
      <c r="R612">
        <v>52480</v>
      </c>
    </row>
    <row r="613" spans="1:18" x14ac:dyDescent="0.25">
      <c r="A613" s="170">
        <v>46010</v>
      </c>
      <c r="B613" s="116">
        <v>424.95</v>
      </c>
      <c r="C613" s="116">
        <v>421.65</v>
      </c>
      <c r="D613" s="116">
        <v>419.75</v>
      </c>
      <c r="E613" s="116">
        <v>422.2</v>
      </c>
      <c r="F613" s="116">
        <v>421.65</v>
      </c>
      <c r="G613">
        <v>4856</v>
      </c>
      <c r="H613" s="116"/>
      <c r="I613" s="116"/>
      <c r="L613" s="170">
        <v>46010</v>
      </c>
      <c r="M613" s="116">
        <v>421.25</v>
      </c>
      <c r="N613" s="116">
        <v>425</v>
      </c>
      <c r="O613" s="116">
        <v>419.3</v>
      </c>
      <c r="P613" s="116">
        <v>422.75</v>
      </c>
      <c r="Q613" s="116">
        <v>421.25</v>
      </c>
      <c r="R613">
        <v>54392</v>
      </c>
    </row>
    <row r="614" spans="1:18" x14ac:dyDescent="0.25">
      <c r="A614" s="170">
        <v>46013</v>
      </c>
      <c r="B614" s="116">
        <v>431.85</v>
      </c>
      <c r="C614" s="116">
        <v>425.6</v>
      </c>
      <c r="D614" s="116">
        <v>421.7</v>
      </c>
      <c r="E614" s="116">
        <v>421.7</v>
      </c>
      <c r="F614" s="116">
        <v>425.6</v>
      </c>
      <c r="G614">
        <v>3740</v>
      </c>
      <c r="H614" s="116"/>
      <c r="I614" s="116"/>
      <c r="L614" s="170">
        <v>46013</v>
      </c>
      <c r="M614" s="116">
        <v>424.85</v>
      </c>
      <c r="N614" s="116">
        <v>432.5</v>
      </c>
      <c r="O614" s="116">
        <v>422</v>
      </c>
      <c r="P614" s="116">
        <v>424</v>
      </c>
      <c r="Q614" s="116">
        <v>424.85</v>
      </c>
      <c r="R614">
        <v>97852</v>
      </c>
    </row>
    <row r="615" spans="1:18" x14ac:dyDescent="0.25">
      <c r="A615" s="170">
        <v>46014</v>
      </c>
      <c r="B615" s="116">
        <v>428.95</v>
      </c>
      <c r="C615" s="116">
        <v>425.2</v>
      </c>
      <c r="D615" s="116">
        <v>424.05</v>
      </c>
      <c r="E615" s="116">
        <v>425.6</v>
      </c>
      <c r="F615" s="116">
        <v>425.2</v>
      </c>
      <c r="G615">
        <v>1493</v>
      </c>
      <c r="H615" s="116"/>
      <c r="I615" s="116"/>
      <c r="L615" s="170">
        <v>46014</v>
      </c>
      <c r="M615" s="116">
        <v>424.65</v>
      </c>
      <c r="N615" s="116">
        <v>428.7</v>
      </c>
      <c r="O615" s="116">
        <v>424</v>
      </c>
      <c r="P615" s="116">
        <v>427.2</v>
      </c>
      <c r="Q615" s="116">
        <v>424.65</v>
      </c>
      <c r="R615">
        <v>50469</v>
      </c>
    </row>
    <row r="616" spans="1:18" x14ac:dyDescent="0.25">
      <c r="A616" s="170">
        <v>46015</v>
      </c>
      <c r="B616" s="116">
        <v>442.85</v>
      </c>
      <c r="C616" s="116">
        <v>425</v>
      </c>
      <c r="D616" s="116">
        <v>424.75</v>
      </c>
      <c r="E616" s="116">
        <v>425.2</v>
      </c>
      <c r="F616" s="116">
        <v>425</v>
      </c>
      <c r="G616">
        <v>7364</v>
      </c>
      <c r="H616" s="116"/>
      <c r="I616" s="116"/>
      <c r="L616" s="170">
        <v>46015</v>
      </c>
      <c r="M616" s="116">
        <v>425.85</v>
      </c>
      <c r="N616" s="116">
        <v>442.4</v>
      </c>
      <c r="O616" s="116">
        <v>424.05</v>
      </c>
      <c r="P616" s="116">
        <v>424.65</v>
      </c>
      <c r="Q616" s="116">
        <v>425.85</v>
      </c>
      <c r="R616">
        <v>224225</v>
      </c>
    </row>
    <row r="617" spans="1:18" x14ac:dyDescent="0.25">
      <c r="A617" s="170">
        <v>46017</v>
      </c>
      <c r="B617" s="116">
        <v>427.15</v>
      </c>
      <c r="C617" s="116">
        <v>421.85</v>
      </c>
      <c r="D617" s="116">
        <v>421</v>
      </c>
      <c r="E617" s="116">
        <v>425.9</v>
      </c>
      <c r="F617" s="116">
        <v>421.85</v>
      </c>
      <c r="G617">
        <v>3451</v>
      </c>
      <c r="H617" s="116"/>
      <c r="I617" s="116"/>
      <c r="L617" s="170">
        <v>46017</v>
      </c>
      <c r="M617" s="116">
        <v>421.45</v>
      </c>
      <c r="N617" s="116">
        <v>427.95</v>
      </c>
      <c r="O617" s="116">
        <v>420</v>
      </c>
      <c r="P617" s="116">
        <v>426.3</v>
      </c>
      <c r="Q617" s="116">
        <v>421.45</v>
      </c>
      <c r="R617">
        <v>55389</v>
      </c>
    </row>
    <row r="618" spans="1:18" x14ac:dyDescent="0.25">
      <c r="A618" s="170">
        <v>46020</v>
      </c>
      <c r="B618" s="116">
        <v>425.35</v>
      </c>
      <c r="C618" s="116">
        <v>413.95</v>
      </c>
      <c r="D618" s="116">
        <v>412.1</v>
      </c>
      <c r="E618" s="116">
        <v>421.9</v>
      </c>
      <c r="F618" s="116">
        <v>413.95</v>
      </c>
      <c r="G618">
        <v>7352</v>
      </c>
      <c r="H618" s="116"/>
      <c r="I618" s="116"/>
      <c r="L618" s="170">
        <v>46020</v>
      </c>
      <c r="M618" s="116">
        <v>414</v>
      </c>
      <c r="N618" s="116">
        <v>425</v>
      </c>
      <c r="O618" s="116">
        <v>411.75</v>
      </c>
      <c r="P618" s="116">
        <v>423</v>
      </c>
      <c r="Q618" s="116">
        <v>414</v>
      </c>
      <c r="R618">
        <v>100202</v>
      </c>
    </row>
    <row r="619" spans="1:18" x14ac:dyDescent="0.25">
      <c r="A619" s="170">
        <v>46021</v>
      </c>
      <c r="B619" s="116">
        <v>418</v>
      </c>
      <c r="C619" s="116">
        <v>411.8</v>
      </c>
      <c r="D619" s="116">
        <v>411</v>
      </c>
      <c r="E619" s="116">
        <v>413.95</v>
      </c>
      <c r="F619" s="116">
        <v>411.8</v>
      </c>
      <c r="G619">
        <v>3227</v>
      </c>
      <c r="H619" s="116"/>
      <c r="I619" s="116"/>
      <c r="L619" s="170">
        <v>46021</v>
      </c>
      <c r="M619" s="116">
        <v>411.8</v>
      </c>
      <c r="N619" s="116">
        <v>418.6</v>
      </c>
      <c r="O619" s="116">
        <v>410.95</v>
      </c>
      <c r="P619" s="116">
        <v>412.6</v>
      </c>
      <c r="Q619" s="116">
        <v>411.8</v>
      </c>
      <c r="R619">
        <v>95899</v>
      </c>
    </row>
    <row r="620" spans="1:18" x14ac:dyDescent="0.25">
      <c r="A620" s="170">
        <v>46022</v>
      </c>
      <c r="B620" s="116">
        <v>417.65</v>
      </c>
      <c r="C620" s="116">
        <v>416.3</v>
      </c>
      <c r="D620" s="116">
        <v>411.8</v>
      </c>
      <c r="E620" s="116">
        <v>411.8</v>
      </c>
      <c r="F620" s="116">
        <v>416.3</v>
      </c>
      <c r="G620">
        <v>3021</v>
      </c>
      <c r="H620" s="116"/>
      <c r="I620" s="116"/>
      <c r="L620" s="170">
        <v>46022</v>
      </c>
      <c r="M620" s="116">
        <v>415.75</v>
      </c>
      <c r="N620" s="116">
        <v>418.15</v>
      </c>
      <c r="O620" s="116">
        <v>412</v>
      </c>
      <c r="P620" s="116">
        <v>412</v>
      </c>
      <c r="Q620" s="116">
        <v>415.75</v>
      </c>
      <c r="R620">
        <v>66828</v>
      </c>
    </row>
    <row r="621" spans="1:18" x14ac:dyDescent="0.25">
      <c r="A621" s="170">
        <v>46023</v>
      </c>
      <c r="B621" s="116">
        <v>418.25</v>
      </c>
      <c r="C621" s="116">
        <v>414.2</v>
      </c>
      <c r="D621" s="116">
        <v>412.75</v>
      </c>
      <c r="E621" s="116">
        <v>415.05</v>
      </c>
      <c r="F621" s="116">
        <v>414.2</v>
      </c>
      <c r="G621">
        <v>2308</v>
      </c>
      <c r="H621" s="116"/>
      <c r="I621" s="116"/>
      <c r="L621" s="170">
        <v>46023</v>
      </c>
      <c r="M621" s="116">
        <v>414.6</v>
      </c>
      <c r="N621" s="116">
        <v>417.9</v>
      </c>
      <c r="O621" s="116">
        <v>412.8</v>
      </c>
      <c r="P621" s="116">
        <v>415.55</v>
      </c>
      <c r="Q621" s="116">
        <v>414.6</v>
      </c>
      <c r="R621">
        <v>58809</v>
      </c>
    </row>
    <row r="622" spans="1:18" x14ac:dyDescent="0.25">
      <c r="A622" s="170">
        <v>46024</v>
      </c>
      <c r="B622" s="116">
        <v>417.8</v>
      </c>
      <c r="C622" s="116">
        <v>415.7</v>
      </c>
      <c r="D622" s="116">
        <v>413.7</v>
      </c>
      <c r="E622" s="116">
        <v>414</v>
      </c>
      <c r="F622" s="116">
        <v>415.7</v>
      </c>
      <c r="G622">
        <v>3752</v>
      </c>
      <c r="H622" s="116"/>
      <c r="I622" s="116"/>
      <c r="L622" s="170">
        <v>46024</v>
      </c>
      <c r="M622" s="116">
        <v>415.85</v>
      </c>
      <c r="N622" s="116">
        <v>417.7</v>
      </c>
      <c r="O622" s="116">
        <v>413.9</v>
      </c>
      <c r="P622" s="116">
        <v>414.75</v>
      </c>
      <c r="Q622" s="116">
        <v>415.85</v>
      </c>
      <c r="R622">
        <v>54963</v>
      </c>
    </row>
    <row r="623" spans="1:18" x14ac:dyDescent="0.25">
      <c r="A623" s="170">
        <v>46027</v>
      </c>
      <c r="B623" s="116">
        <v>419.8</v>
      </c>
      <c r="C623" s="116">
        <v>414.85</v>
      </c>
      <c r="D623" s="116">
        <v>412.55</v>
      </c>
      <c r="E623" s="116">
        <v>416.3</v>
      </c>
      <c r="F623" s="116">
        <v>414.85</v>
      </c>
      <c r="G623">
        <v>3890</v>
      </c>
      <c r="H623" s="116"/>
      <c r="I623" s="116"/>
      <c r="L623" s="170">
        <v>46027</v>
      </c>
      <c r="M623" s="116">
        <v>416.05</v>
      </c>
      <c r="N623" s="116">
        <v>424</v>
      </c>
      <c r="O623" s="116">
        <v>413</v>
      </c>
      <c r="P623" s="116">
        <v>416.75</v>
      </c>
      <c r="Q623" s="116">
        <v>416.05</v>
      </c>
      <c r="R623">
        <v>101621</v>
      </c>
    </row>
    <row r="624" spans="1:18" x14ac:dyDescent="0.25">
      <c r="A624" s="170">
        <v>46028</v>
      </c>
      <c r="B624" s="116">
        <v>417.1</v>
      </c>
      <c r="C624" s="116">
        <v>411.35</v>
      </c>
      <c r="D624" s="116">
        <v>410.05</v>
      </c>
      <c r="E624" s="116">
        <v>415.7</v>
      </c>
      <c r="F624" s="116">
        <v>411.35</v>
      </c>
      <c r="G624">
        <v>3527</v>
      </c>
      <c r="H624" s="116"/>
      <c r="I624" s="116"/>
      <c r="L624" s="170">
        <v>46028</v>
      </c>
      <c r="M624" s="116">
        <v>411.45</v>
      </c>
      <c r="N624" s="116">
        <v>417.35</v>
      </c>
      <c r="O624" s="116">
        <v>410</v>
      </c>
      <c r="P624" s="116">
        <v>416.2</v>
      </c>
      <c r="Q624" s="116">
        <v>411.45</v>
      </c>
      <c r="R624">
        <v>73169</v>
      </c>
    </row>
    <row r="625" spans="1:18" x14ac:dyDescent="0.25">
      <c r="A625" s="170">
        <v>46029</v>
      </c>
      <c r="B625" s="116">
        <v>415.7</v>
      </c>
      <c r="C625" s="116">
        <v>407.9</v>
      </c>
      <c r="D625" s="116">
        <v>406.55</v>
      </c>
      <c r="E625" s="116">
        <v>411.4</v>
      </c>
      <c r="F625" s="116">
        <v>407.9</v>
      </c>
      <c r="G625">
        <v>7840</v>
      </c>
      <c r="H625" s="116"/>
      <c r="I625" s="116"/>
      <c r="L625" s="170">
        <v>46029</v>
      </c>
      <c r="M625" s="116">
        <v>408.05</v>
      </c>
      <c r="N625" s="116">
        <v>416.45</v>
      </c>
      <c r="O625" s="116">
        <v>407.15</v>
      </c>
      <c r="P625" s="116">
        <v>410.7</v>
      </c>
      <c r="Q625" s="116">
        <v>408.05</v>
      </c>
      <c r="R625">
        <v>116305</v>
      </c>
    </row>
    <row r="626" spans="1:18" x14ac:dyDescent="0.25">
      <c r="A626" s="170">
        <v>46030</v>
      </c>
      <c r="B626" s="116">
        <v>415.95</v>
      </c>
      <c r="C626" s="116">
        <v>412.95</v>
      </c>
      <c r="D626" s="116">
        <v>402.05</v>
      </c>
      <c r="E626" s="116">
        <v>408</v>
      </c>
      <c r="F626" s="116">
        <v>412.95</v>
      </c>
      <c r="G626">
        <v>10270</v>
      </c>
      <c r="H626" s="116"/>
      <c r="I626" s="116"/>
      <c r="L626" s="170">
        <v>46030</v>
      </c>
      <c r="M626" s="116">
        <v>413.1</v>
      </c>
      <c r="N626" s="116">
        <v>416.5</v>
      </c>
      <c r="O626" s="116">
        <v>402</v>
      </c>
      <c r="P626" s="116">
        <v>408.55</v>
      </c>
      <c r="Q626" s="116">
        <v>413.1</v>
      </c>
      <c r="R626">
        <v>323129</v>
      </c>
    </row>
    <row r="627" spans="1:18" x14ac:dyDescent="0.25">
      <c r="A627" s="170">
        <v>46031</v>
      </c>
      <c r="B627" s="116">
        <v>418.8</v>
      </c>
      <c r="C627" s="116">
        <v>406.25</v>
      </c>
      <c r="D627" s="116">
        <v>405.35</v>
      </c>
      <c r="E627" s="116">
        <v>413</v>
      </c>
      <c r="F627" s="116">
        <v>406.25</v>
      </c>
      <c r="G627">
        <v>3985</v>
      </c>
      <c r="H627" s="116"/>
      <c r="I627" s="116"/>
      <c r="L627" s="170">
        <v>46031</v>
      </c>
      <c r="M627" s="116">
        <v>406.1</v>
      </c>
      <c r="N627" s="116">
        <v>418</v>
      </c>
      <c r="O627" s="116">
        <v>405.1</v>
      </c>
      <c r="P627" s="116">
        <v>418</v>
      </c>
      <c r="Q627" s="116">
        <v>406.1</v>
      </c>
      <c r="R627">
        <v>112081</v>
      </c>
    </row>
    <row r="628" spans="1:18" x14ac:dyDescent="0.25">
      <c r="A628" s="170">
        <v>46034</v>
      </c>
      <c r="B628" s="116">
        <v>411.6</v>
      </c>
      <c r="C628" s="116">
        <v>406.85</v>
      </c>
      <c r="D628" s="116">
        <v>401.2</v>
      </c>
      <c r="E628" s="116">
        <v>406.25</v>
      </c>
      <c r="F628" s="116">
        <v>406.85</v>
      </c>
      <c r="G628">
        <v>4203</v>
      </c>
      <c r="H628" s="116"/>
      <c r="I628" s="116"/>
      <c r="L628" s="170">
        <v>46034</v>
      </c>
      <c r="M628" s="116">
        <v>406.75</v>
      </c>
      <c r="N628" s="116">
        <v>411.8</v>
      </c>
      <c r="O628" s="116">
        <v>401.4</v>
      </c>
      <c r="P628" s="116">
        <v>405</v>
      </c>
      <c r="Q628" s="116">
        <v>406.75</v>
      </c>
      <c r="R628">
        <v>225071</v>
      </c>
    </row>
    <row r="629" spans="1:18" x14ac:dyDescent="0.25">
      <c r="A629" s="170">
        <v>46035</v>
      </c>
      <c r="B629" s="116">
        <v>413.8</v>
      </c>
      <c r="C629" s="116">
        <v>400.7</v>
      </c>
      <c r="D629" s="116">
        <v>398.6</v>
      </c>
      <c r="E629" s="116">
        <v>406.9</v>
      </c>
      <c r="F629" s="116">
        <v>400.7</v>
      </c>
      <c r="G629">
        <v>76739</v>
      </c>
      <c r="H629" s="116"/>
      <c r="I629" s="116"/>
      <c r="L629" s="170">
        <v>46035</v>
      </c>
      <c r="M629" s="116">
        <v>399.85</v>
      </c>
      <c r="N629" s="116">
        <v>414.45</v>
      </c>
      <c r="O629" s="116">
        <v>398.5</v>
      </c>
      <c r="P629" s="116">
        <v>407.95</v>
      </c>
      <c r="Q629" s="116">
        <v>399.85</v>
      </c>
      <c r="R629">
        <v>183217</v>
      </c>
    </row>
    <row r="630" spans="1:18" x14ac:dyDescent="0.25">
      <c r="A630" s="170">
        <v>46036</v>
      </c>
      <c r="B630" s="116">
        <v>402.35</v>
      </c>
      <c r="C630" s="116">
        <v>397.1</v>
      </c>
      <c r="D630" s="116">
        <v>393.7</v>
      </c>
      <c r="E630" s="116">
        <v>398.65</v>
      </c>
      <c r="F630" s="116">
        <v>397.1</v>
      </c>
      <c r="G630">
        <v>81771</v>
      </c>
      <c r="H630" s="116"/>
      <c r="I630" s="116"/>
      <c r="L630" s="170">
        <v>46036</v>
      </c>
      <c r="M630" s="116">
        <v>397.3</v>
      </c>
      <c r="N630" s="116">
        <v>402.5</v>
      </c>
      <c r="O630" s="116">
        <v>393.4</v>
      </c>
      <c r="P630" s="116">
        <v>398.1</v>
      </c>
      <c r="Q630" s="116">
        <v>397.3</v>
      </c>
      <c r="R630">
        <v>96304</v>
      </c>
    </row>
    <row r="631" spans="1:18" x14ac:dyDescent="0.25">
      <c r="A631" s="170">
        <v>46038</v>
      </c>
      <c r="B631" s="116">
        <v>399.8</v>
      </c>
      <c r="C631" s="116">
        <v>391.95</v>
      </c>
      <c r="D631" s="116">
        <v>389.75</v>
      </c>
      <c r="E631" s="116">
        <v>397</v>
      </c>
      <c r="F631" s="116">
        <v>391.95</v>
      </c>
      <c r="G631">
        <v>6183</v>
      </c>
      <c r="H631" s="116"/>
      <c r="I631" s="116"/>
      <c r="L631" s="170">
        <v>46038</v>
      </c>
      <c r="M631" s="116">
        <v>392.55</v>
      </c>
      <c r="N631" s="116">
        <v>399.5</v>
      </c>
      <c r="O631" s="116">
        <v>389.3</v>
      </c>
      <c r="P631" s="116">
        <v>395.35</v>
      </c>
      <c r="Q631" s="116">
        <v>392.55</v>
      </c>
      <c r="R631">
        <v>190457</v>
      </c>
    </row>
    <row r="632" spans="1:18" x14ac:dyDescent="0.25">
      <c r="A632" s="170">
        <v>46041</v>
      </c>
      <c r="B632" s="116">
        <v>389.95</v>
      </c>
      <c r="C632" s="116">
        <v>384.7</v>
      </c>
      <c r="D632" s="116">
        <v>382</v>
      </c>
      <c r="E632" s="116">
        <v>388.1</v>
      </c>
      <c r="F632" s="116">
        <v>384.7</v>
      </c>
      <c r="G632">
        <v>111244</v>
      </c>
      <c r="H632" s="116"/>
      <c r="I632" s="116"/>
      <c r="L632" s="170">
        <v>46041</v>
      </c>
      <c r="M632" s="116">
        <v>384.35</v>
      </c>
      <c r="N632" s="116">
        <v>390.75</v>
      </c>
      <c r="O632" s="116">
        <v>382</v>
      </c>
      <c r="P632" s="116">
        <v>390</v>
      </c>
      <c r="Q632" s="116">
        <v>384.35</v>
      </c>
      <c r="R632">
        <v>220699</v>
      </c>
    </row>
    <row r="633" spans="1:18" x14ac:dyDescent="0.25">
      <c r="A633" s="170">
        <v>46042</v>
      </c>
      <c r="B633" s="116">
        <v>385.45</v>
      </c>
      <c r="C633" s="116">
        <v>366.75</v>
      </c>
      <c r="D633" s="116">
        <v>361.5</v>
      </c>
      <c r="E633" s="116">
        <v>381.65</v>
      </c>
      <c r="F633" s="116">
        <v>366.75</v>
      </c>
      <c r="G633">
        <v>12112</v>
      </c>
      <c r="H633" s="116"/>
      <c r="I633" s="116"/>
      <c r="L633" s="170">
        <v>46042</v>
      </c>
      <c r="M633" s="116">
        <v>366.3</v>
      </c>
      <c r="N633" s="116">
        <v>385.6</v>
      </c>
      <c r="O633" s="116">
        <v>361.25</v>
      </c>
      <c r="P633" s="116">
        <v>384</v>
      </c>
      <c r="Q633" s="116">
        <v>366.3</v>
      </c>
      <c r="R633">
        <v>169926</v>
      </c>
    </row>
    <row r="634" spans="1:18" x14ac:dyDescent="0.25">
      <c r="A634" s="170">
        <v>46043</v>
      </c>
      <c r="B634" s="116">
        <v>367.2</v>
      </c>
      <c r="C634" s="116">
        <v>362.25</v>
      </c>
      <c r="D634" s="116">
        <v>345.2</v>
      </c>
      <c r="E634" s="116">
        <v>351.45</v>
      </c>
      <c r="F634" s="116">
        <v>362.25</v>
      </c>
      <c r="G634">
        <v>24657</v>
      </c>
      <c r="H634" s="116"/>
      <c r="I634" s="116"/>
      <c r="L634" s="170">
        <v>46043</v>
      </c>
      <c r="M634" s="116">
        <v>362.65</v>
      </c>
      <c r="N634" s="116">
        <v>367.05</v>
      </c>
      <c r="O634" s="116">
        <v>345.8</v>
      </c>
      <c r="P634" s="116">
        <v>352.55</v>
      </c>
      <c r="Q634" s="116">
        <v>362.65</v>
      </c>
      <c r="R634">
        <v>471891</v>
      </c>
    </row>
    <row r="635" spans="1:18" x14ac:dyDescent="0.25">
      <c r="A635" s="170">
        <v>46044</v>
      </c>
      <c r="B635" s="116">
        <v>370.6</v>
      </c>
      <c r="C635" s="116">
        <v>367.5</v>
      </c>
      <c r="D635" s="116">
        <v>358.25</v>
      </c>
      <c r="E635" s="116">
        <v>363.1</v>
      </c>
      <c r="F635" s="116">
        <v>367.5</v>
      </c>
      <c r="G635">
        <v>10576</v>
      </c>
      <c r="H635" s="116"/>
      <c r="I635" s="116"/>
      <c r="L635" s="170">
        <v>46044</v>
      </c>
      <c r="M635" s="116">
        <v>366.95</v>
      </c>
      <c r="N635" s="116">
        <v>370.7</v>
      </c>
      <c r="O635" s="116">
        <v>358.35</v>
      </c>
      <c r="P635" s="116">
        <v>364.5</v>
      </c>
      <c r="Q635" s="116">
        <v>366.95</v>
      </c>
      <c r="R635">
        <v>151844</v>
      </c>
    </row>
    <row r="636" spans="1:18" x14ac:dyDescent="0.25">
      <c r="A636" s="170">
        <v>46045</v>
      </c>
      <c r="B636" s="116">
        <v>369</v>
      </c>
      <c r="C636" s="116">
        <v>360.6</v>
      </c>
      <c r="D636" s="116">
        <v>357</v>
      </c>
      <c r="E636" s="116">
        <v>369</v>
      </c>
      <c r="F636" s="116">
        <v>360.6</v>
      </c>
      <c r="G636">
        <v>6518</v>
      </c>
      <c r="H636" s="116"/>
      <c r="I636" s="116"/>
      <c r="L636" s="170">
        <v>46045</v>
      </c>
      <c r="M636" s="116">
        <v>359.75</v>
      </c>
      <c r="N636" s="116">
        <v>369</v>
      </c>
      <c r="O636" s="116">
        <v>355.25</v>
      </c>
      <c r="P636" s="116">
        <v>368</v>
      </c>
      <c r="Q636" s="116">
        <v>359.75</v>
      </c>
      <c r="R636">
        <v>199758</v>
      </c>
    </row>
    <row r="637" spans="1:18" x14ac:dyDescent="0.25">
      <c r="A637" s="170">
        <v>46049</v>
      </c>
      <c r="B637" s="116">
        <v>359.6</v>
      </c>
      <c r="C637" s="116">
        <v>349</v>
      </c>
      <c r="D637" s="116">
        <v>347.65</v>
      </c>
      <c r="E637" s="116">
        <v>354.35</v>
      </c>
      <c r="F637" s="116">
        <v>349</v>
      </c>
      <c r="G637">
        <v>6916</v>
      </c>
      <c r="H637" s="116"/>
      <c r="I637" s="116"/>
      <c r="L637" s="170">
        <v>46049</v>
      </c>
      <c r="M637" s="116">
        <v>350.05</v>
      </c>
      <c r="N637" s="116">
        <v>359.35</v>
      </c>
      <c r="O637" s="116">
        <v>347.15</v>
      </c>
      <c r="P637" s="116">
        <v>355</v>
      </c>
      <c r="Q637" s="116">
        <v>350.05</v>
      </c>
      <c r="R637">
        <v>96006</v>
      </c>
    </row>
    <row r="638" spans="1:18" x14ac:dyDescent="0.25">
      <c r="A638" s="170">
        <v>46050</v>
      </c>
      <c r="B638" s="116">
        <v>358.95</v>
      </c>
      <c r="C638" s="116">
        <v>352.75</v>
      </c>
      <c r="D638" s="116">
        <v>349.3</v>
      </c>
      <c r="E638" s="116">
        <v>358.95</v>
      </c>
      <c r="F638" s="116">
        <v>352.75</v>
      </c>
      <c r="G638">
        <v>6132</v>
      </c>
      <c r="H638" s="116"/>
      <c r="I638" s="116"/>
      <c r="L638" s="170">
        <v>46050</v>
      </c>
      <c r="M638" s="116">
        <v>352.75</v>
      </c>
      <c r="N638" s="116">
        <v>356.8</v>
      </c>
      <c r="O638" s="116">
        <v>348.5</v>
      </c>
      <c r="P638" s="116">
        <v>351.35</v>
      </c>
      <c r="Q638" s="116">
        <v>352.75</v>
      </c>
      <c r="R638">
        <v>107755</v>
      </c>
    </row>
    <row r="639" spans="1:18" x14ac:dyDescent="0.25">
      <c r="A639" s="170">
        <v>46051</v>
      </c>
      <c r="B639" s="116">
        <v>369</v>
      </c>
      <c r="C639" s="116">
        <v>366.65</v>
      </c>
      <c r="D639" s="116">
        <v>352.85</v>
      </c>
      <c r="E639" s="116">
        <v>352.85</v>
      </c>
      <c r="F639" s="116">
        <v>366.65</v>
      </c>
      <c r="G639">
        <v>83811</v>
      </c>
      <c r="H639" s="116"/>
      <c r="I639" s="116"/>
      <c r="L639" s="170">
        <v>46051</v>
      </c>
      <c r="M639" s="116">
        <v>365.25</v>
      </c>
      <c r="N639" s="116">
        <v>368.9</v>
      </c>
      <c r="O639" s="116">
        <v>351.2</v>
      </c>
      <c r="P639" s="116">
        <v>353</v>
      </c>
      <c r="Q639" s="116">
        <v>365.25</v>
      </c>
      <c r="R639">
        <v>189819</v>
      </c>
    </row>
    <row r="640" spans="1:18" x14ac:dyDescent="0.25">
      <c r="A640" s="170">
        <v>46052</v>
      </c>
      <c r="B640" s="116">
        <v>381.5</v>
      </c>
      <c r="C640" s="116">
        <v>375.8</v>
      </c>
      <c r="D640" s="116">
        <v>360.4</v>
      </c>
      <c r="E640" s="116">
        <v>364.05</v>
      </c>
      <c r="F640" s="116">
        <v>375.8</v>
      </c>
      <c r="G640">
        <v>7886</v>
      </c>
      <c r="H640" s="116"/>
      <c r="I640" s="116"/>
      <c r="L640" s="170">
        <v>46052</v>
      </c>
      <c r="M640" s="116">
        <v>374.55</v>
      </c>
      <c r="N640" s="116">
        <v>382</v>
      </c>
      <c r="O640" s="116">
        <v>360.7</v>
      </c>
      <c r="P640" s="116">
        <v>362.95</v>
      </c>
      <c r="Q640" s="116">
        <v>374.55</v>
      </c>
      <c r="R640">
        <v>191426</v>
      </c>
    </row>
    <row r="641" spans="1:18" x14ac:dyDescent="0.25">
      <c r="A641" s="170">
        <v>46054</v>
      </c>
      <c r="B641" s="116">
        <v>379.95</v>
      </c>
      <c r="C641" s="116">
        <v>368.75</v>
      </c>
      <c r="D641" s="116">
        <v>367</v>
      </c>
      <c r="E641" s="116">
        <v>372.7</v>
      </c>
      <c r="F641" s="116">
        <v>368.75</v>
      </c>
      <c r="G641">
        <v>7115</v>
      </c>
      <c r="H641" s="116"/>
      <c r="I641" s="116"/>
      <c r="L641" s="170">
        <v>46054</v>
      </c>
      <c r="M641" s="116">
        <v>369.5</v>
      </c>
      <c r="N641" s="116">
        <v>380.8</v>
      </c>
      <c r="O641" s="116">
        <v>365</v>
      </c>
      <c r="P641" s="116">
        <v>374.55</v>
      </c>
      <c r="Q641" s="116">
        <v>369.5</v>
      </c>
      <c r="R641">
        <v>109958</v>
      </c>
    </row>
    <row r="642" spans="1:18" x14ac:dyDescent="0.25">
      <c r="A642" s="170">
        <v>46055</v>
      </c>
      <c r="B642" s="116">
        <v>368.6</v>
      </c>
      <c r="C642" s="116">
        <v>361.15</v>
      </c>
      <c r="D642" s="116">
        <v>357</v>
      </c>
      <c r="E642" s="116">
        <v>368.6</v>
      </c>
      <c r="F642" s="116">
        <v>361.15</v>
      </c>
      <c r="G642">
        <v>4191</v>
      </c>
      <c r="H642" s="116"/>
      <c r="I642" s="116"/>
      <c r="L642" s="170">
        <v>46055</v>
      </c>
      <c r="M642" s="116">
        <v>361</v>
      </c>
      <c r="N642" s="116">
        <v>367</v>
      </c>
      <c r="O642" s="116">
        <v>357</v>
      </c>
      <c r="P642" s="116">
        <v>367</v>
      </c>
      <c r="Q642" s="116">
        <v>361</v>
      </c>
      <c r="R642">
        <v>115344</v>
      </c>
    </row>
    <row r="643" spans="1:18" x14ac:dyDescent="0.25">
      <c r="A643" s="170">
        <v>46056</v>
      </c>
      <c r="B643" s="116">
        <v>393.95</v>
      </c>
      <c r="C643" s="116">
        <v>385.45</v>
      </c>
      <c r="D643" s="116">
        <v>375.5</v>
      </c>
      <c r="E643" s="116">
        <v>390.05</v>
      </c>
      <c r="F643" s="116">
        <v>385.45</v>
      </c>
      <c r="G643">
        <v>8203</v>
      </c>
      <c r="H643" s="116"/>
      <c r="I643" s="116"/>
      <c r="L643" s="170">
        <v>46056</v>
      </c>
      <c r="M643" s="116">
        <v>385.45</v>
      </c>
      <c r="N643" s="116">
        <v>397.2</v>
      </c>
      <c r="O643" s="116">
        <v>375.1</v>
      </c>
      <c r="P643" s="116">
        <v>397.2</v>
      </c>
      <c r="Q643" s="116">
        <v>385.45</v>
      </c>
      <c r="R643">
        <v>274313</v>
      </c>
    </row>
    <row r="644" spans="1:18" x14ac:dyDescent="0.25">
      <c r="A644" s="170">
        <v>46057</v>
      </c>
      <c r="B644" s="116">
        <v>387.55</v>
      </c>
      <c r="C644" s="116">
        <v>370.65</v>
      </c>
      <c r="D644" s="116">
        <v>369.1</v>
      </c>
      <c r="E644" s="116">
        <v>381.05</v>
      </c>
      <c r="F644" s="116">
        <v>370.65</v>
      </c>
      <c r="G644">
        <v>3282</v>
      </c>
      <c r="H644" s="116"/>
      <c r="I644" s="116"/>
      <c r="L644" s="170">
        <v>46057</v>
      </c>
      <c r="M644" s="116">
        <v>370.2</v>
      </c>
      <c r="N644" s="116">
        <v>387.95</v>
      </c>
      <c r="O644" s="116">
        <v>369</v>
      </c>
      <c r="P644" s="116">
        <v>383.45</v>
      </c>
      <c r="Q644" s="116">
        <v>370.2</v>
      </c>
      <c r="R644">
        <v>154795</v>
      </c>
    </row>
    <row r="645" spans="1:18" x14ac:dyDescent="0.25">
      <c r="A645" s="170">
        <v>46058</v>
      </c>
      <c r="B645" s="116">
        <v>373.15</v>
      </c>
      <c r="C645" s="116">
        <v>357.75</v>
      </c>
      <c r="D645" s="116">
        <v>357</v>
      </c>
      <c r="E645" s="116">
        <v>370.7</v>
      </c>
      <c r="F645" s="116">
        <v>357.75</v>
      </c>
      <c r="G645">
        <v>6619</v>
      </c>
      <c r="H645" s="116"/>
      <c r="I645" s="116"/>
      <c r="L645" s="170">
        <v>46058</v>
      </c>
      <c r="M645" s="116">
        <v>357.85</v>
      </c>
      <c r="N645" s="116">
        <v>380</v>
      </c>
      <c r="O645" s="116">
        <v>356.7</v>
      </c>
      <c r="P645" s="116">
        <v>373</v>
      </c>
      <c r="Q645" s="116">
        <v>357.85</v>
      </c>
      <c r="R645">
        <v>290011</v>
      </c>
    </row>
    <row r="646" spans="1:18" x14ac:dyDescent="0.25">
      <c r="A646" s="170">
        <v>46059</v>
      </c>
      <c r="B646" s="116">
        <v>358</v>
      </c>
      <c r="C646" s="116">
        <v>346.05</v>
      </c>
      <c r="D646" s="116">
        <v>345</v>
      </c>
      <c r="E646" s="116">
        <v>357.8</v>
      </c>
      <c r="F646" s="116">
        <v>346.05</v>
      </c>
      <c r="G646">
        <v>8667</v>
      </c>
      <c r="H646" s="116"/>
      <c r="I646" s="116"/>
      <c r="L646" s="170">
        <v>46059</v>
      </c>
      <c r="M646" s="116">
        <v>345.8</v>
      </c>
      <c r="N646" s="116">
        <v>360.05</v>
      </c>
      <c r="O646" s="116">
        <v>344.55</v>
      </c>
      <c r="P646" s="116">
        <v>360.05</v>
      </c>
      <c r="Q646" s="116">
        <v>345.8</v>
      </c>
      <c r="R646">
        <v>500799</v>
      </c>
    </row>
    <row r="647" spans="1:18" x14ac:dyDescent="0.25">
      <c r="A647" s="170">
        <v>46062</v>
      </c>
      <c r="B647" s="116">
        <v>364.2</v>
      </c>
      <c r="C647" s="116">
        <v>361.05</v>
      </c>
      <c r="D647" s="116">
        <v>346.1</v>
      </c>
      <c r="E647" s="116">
        <v>346.1</v>
      </c>
      <c r="F647" s="116">
        <v>361.05</v>
      </c>
      <c r="G647">
        <v>9482</v>
      </c>
      <c r="H647" s="116"/>
      <c r="I647" s="116"/>
      <c r="L647" s="170">
        <v>46062</v>
      </c>
      <c r="M647" s="116">
        <v>360.7</v>
      </c>
      <c r="N647" s="116">
        <v>365</v>
      </c>
      <c r="O647" s="116">
        <v>347.45</v>
      </c>
      <c r="P647" s="116">
        <v>347.45</v>
      </c>
      <c r="Q647" s="116">
        <v>360.7</v>
      </c>
      <c r="R647">
        <v>316379</v>
      </c>
    </row>
    <row r="648" spans="1:18" x14ac:dyDescent="0.25">
      <c r="A648" s="170">
        <v>46063</v>
      </c>
      <c r="B648" s="116">
        <v>376.45</v>
      </c>
      <c r="C648" s="116">
        <v>365.8</v>
      </c>
      <c r="D648" s="116">
        <v>358.2</v>
      </c>
      <c r="E648" s="116">
        <v>358.2</v>
      </c>
      <c r="F648" s="116">
        <v>365.8</v>
      </c>
      <c r="G648">
        <v>14619</v>
      </c>
      <c r="H648" s="116"/>
      <c r="I648" s="116"/>
      <c r="L648" s="170">
        <v>46063</v>
      </c>
      <c r="M648" s="116">
        <v>365.8</v>
      </c>
      <c r="N648" s="116">
        <v>375.95</v>
      </c>
      <c r="O648" s="116">
        <v>357.05</v>
      </c>
      <c r="P648" s="116">
        <v>360.65</v>
      </c>
      <c r="Q648" s="116">
        <v>365.8</v>
      </c>
      <c r="R648">
        <v>321499</v>
      </c>
    </row>
    <row r="649" spans="1:18" x14ac:dyDescent="0.25">
      <c r="A649" s="170">
        <v>46064</v>
      </c>
      <c r="B649" s="116">
        <v>365.8</v>
      </c>
      <c r="C649" s="116">
        <v>361.6</v>
      </c>
      <c r="D649" s="116">
        <v>356.95</v>
      </c>
      <c r="E649" s="116">
        <v>365.8</v>
      </c>
      <c r="F649" s="116">
        <v>361.6</v>
      </c>
      <c r="G649">
        <v>4802</v>
      </c>
      <c r="H649" s="116"/>
      <c r="I649" s="116"/>
      <c r="L649" s="170">
        <v>46064</v>
      </c>
      <c r="M649" s="116">
        <v>360.15</v>
      </c>
      <c r="N649" s="116">
        <v>366.2</v>
      </c>
      <c r="O649" s="116">
        <v>356.6</v>
      </c>
      <c r="P649" s="116">
        <v>365.8</v>
      </c>
      <c r="Q649" s="116">
        <v>360.15</v>
      </c>
      <c r="R649">
        <v>231208</v>
      </c>
    </row>
    <row r="650" spans="1:18" x14ac:dyDescent="0.25">
      <c r="A650" s="170">
        <v>46065</v>
      </c>
      <c r="B650" s="116">
        <v>366.7</v>
      </c>
      <c r="C650" s="116">
        <v>364.6</v>
      </c>
      <c r="D650" s="116">
        <v>354.25</v>
      </c>
      <c r="E650" s="116">
        <v>355.3</v>
      </c>
      <c r="F650" s="116">
        <v>364.6</v>
      </c>
      <c r="G650">
        <v>9048</v>
      </c>
      <c r="H650" s="116"/>
      <c r="I650" s="116"/>
      <c r="L650" s="170">
        <v>46065</v>
      </c>
      <c r="M650" s="116">
        <v>364.45</v>
      </c>
      <c r="N650" s="116">
        <v>367.2</v>
      </c>
      <c r="O650" s="116">
        <v>353.85</v>
      </c>
      <c r="P650" s="116">
        <v>358.75</v>
      </c>
      <c r="Q650" s="116">
        <v>364.45</v>
      </c>
      <c r="R650">
        <v>203585</v>
      </c>
    </row>
    <row r="651" spans="1:18" x14ac:dyDescent="0.25">
      <c r="A651" s="170">
        <v>46066</v>
      </c>
      <c r="B651" s="116">
        <v>365.15</v>
      </c>
      <c r="C651" s="116">
        <v>364.05</v>
      </c>
      <c r="D651" s="116">
        <v>357.05</v>
      </c>
      <c r="E651" s="116">
        <v>357.05</v>
      </c>
      <c r="F651" s="116">
        <v>364.05</v>
      </c>
      <c r="G651">
        <v>7491</v>
      </c>
      <c r="H651" s="116"/>
      <c r="I651" s="116"/>
      <c r="L651" s="170">
        <v>46066</v>
      </c>
      <c r="M651" s="116">
        <v>363.35</v>
      </c>
      <c r="N651" s="116">
        <v>366.8</v>
      </c>
      <c r="O651" s="116">
        <v>358.7</v>
      </c>
      <c r="P651" s="116">
        <v>364.4</v>
      </c>
      <c r="Q651" s="116">
        <v>363.35</v>
      </c>
      <c r="R651">
        <v>111824</v>
      </c>
    </row>
    <row r="652" spans="1:18" x14ac:dyDescent="0.25">
      <c r="A652" s="170">
        <v>46069</v>
      </c>
      <c r="B652" s="116">
        <v>363.35</v>
      </c>
      <c r="C652" s="116">
        <v>355.45</v>
      </c>
      <c r="D652" s="116">
        <v>354.65</v>
      </c>
      <c r="E652" s="116">
        <v>358.75</v>
      </c>
      <c r="F652" s="116">
        <v>355.45</v>
      </c>
      <c r="G652">
        <v>3401</v>
      </c>
      <c r="H652" s="116"/>
      <c r="I652" s="116"/>
      <c r="L652" s="170">
        <v>46069</v>
      </c>
      <c r="M652" s="116">
        <v>355.9</v>
      </c>
      <c r="N652" s="116">
        <v>363</v>
      </c>
      <c r="O652" s="116">
        <v>354.6</v>
      </c>
      <c r="P652" s="116">
        <v>358.05</v>
      </c>
      <c r="Q652" s="116">
        <v>355.9</v>
      </c>
      <c r="R652">
        <v>88670</v>
      </c>
    </row>
    <row r="653" spans="1:18" x14ac:dyDescent="0.25">
      <c r="A653" s="170">
        <v>46070</v>
      </c>
      <c r="B653" s="116">
        <v>367.45</v>
      </c>
      <c r="C653" s="116">
        <v>363.9</v>
      </c>
      <c r="D653" s="116">
        <v>355.45</v>
      </c>
      <c r="E653" s="116">
        <v>355.45</v>
      </c>
      <c r="F653" s="116">
        <v>363.9</v>
      </c>
      <c r="G653">
        <v>6084</v>
      </c>
      <c r="H653" s="116"/>
      <c r="I653" s="116"/>
      <c r="L653" s="170">
        <v>46070</v>
      </c>
      <c r="M653" s="116">
        <v>364.15</v>
      </c>
      <c r="N653" s="116">
        <v>367.7</v>
      </c>
      <c r="O653" s="116">
        <v>354.9</v>
      </c>
      <c r="P653" s="116">
        <v>355</v>
      </c>
      <c r="Q653" s="116">
        <v>364.15</v>
      </c>
      <c r="R653">
        <v>122630</v>
      </c>
    </row>
    <row r="654" spans="1:18" x14ac:dyDescent="0.25">
      <c r="A654" s="170">
        <v>46071</v>
      </c>
      <c r="B654" s="116">
        <v>367.35</v>
      </c>
      <c r="C654" s="116">
        <v>358.55</v>
      </c>
      <c r="D654" s="116">
        <v>353</v>
      </c>
      <c r="E654" s="116">
        <v>364</v>
      </c>
      <c r="F654" s="116">
        <v>358.55</v>
      </c>
      <c r="G654">
        <v>9146</v>
      </c>
      <c r="H654" s="116"/>
      <c r="I654" s="116"/>
      <c r="L654" s="170">
        <v>46071</v>
      </c>
      <c r="M654" s="116">
        <v>358.25</v>
      </c>
      <c r="N654" s="116">
        <v>368.4</v>
      </c>
      <c r="O654" s="116">
        <v>352.85</v>
      </c>
      <c r="P654" s="116">
        <v>364.15</v>
      </c>
      <c r="Q654" s="116">
        <v>358.25</v>
      </c>
      <c r="R654">
        <v>135056</v>
      </c>
    </row>
    <row r="655" spans="1:18" x14ac:dyDescent="0.25">
      <c r="A655" s="170">
        <v>46072</v>
      </c>
      <c r="B655" s="116">
        <v>359</v>
      </c>
      <c r="C655" s="116">
        <v>348.15</v>
      </c>
      <c r="D655" s="116">
        <v>347</v>
      </c>
      <c r="E655" s="116">
        <v>358.55</v>
      </c>
      <c r="F655" s="116">
        <v>348.15</v>
      </c>
      <c r="G655">
        <v>6359</v>
      </c>
      <c r="H655" s="116"/>
      <c r="I655" s="116"/>
      <c r="L655" s="170">
        <v>46072</v>
      </c>
      <c r="M655" s="116">
        <v>348.4</v>
      </c>
      <c r="N655" s="116">
        <v>362.05</v>
      </c>
      <c r="O655" s="116">
        <v>346.2</v>
      </c>
      <c r="P655" s="116">
        <v>359.5</v>
      </c>
      <c r="Q655" s="116">
        <v>348.4</v>
      </c>
      <c r="R655">
        <v>183693</v>
      </c>
    </row>
    <row r="656" spans="1:18" x14ac:dyDescent="0.25">
      <c r="A656" s="170">
        <v>46073</v>
      </c>
      <c r="B656" s="116">
        <v>352.75</v>
      </c>
      <c r="C656" s="116">
        <v>336.75</v>
      </c>
      <c r="D656" s="116">
        <v>328.5</v>
      </c>
      <c r="E656" s="116">
        <v>348.2</v>
      </c>
      <c r="F656" s="116">
        <v>336.75</v>
      </c>
      <c r="G656">
        <v>51332</v>
      </c>
      <c r="H656" s="116"/>
      <c r="I656" s="116"/>
      <c r="L656" s="170">
        <v>46073</v>
      </c>
      <c r="M656" s="116">
        <v>336.6</v>
      </c>
      <c r="N656" s="116">
        <v>348.7</v>
      </c>
      <c r="O656" s="116">
        <v>334.75</v>
      </c>
      <c r="P656" s="116">
        <v>348</v>
      </c>
      <c r="Q656" s="116">
        <v>336.6</v>
      </c>
      <c r="R656">
        <v>274345</v>
      </c>
    </row>
    <row r="657" spans="1:18" x14ac:dyDescent="0.25">
      <c r="A657" s="170">
        <v>46076</v>
      </c>
      <c r="B657" s="116">
        <v>341.15</v>
      </c>
      <c r="C657" s="116">
        <v>327.14999999999998</v>
      </c>
      <c r="D657" s="116">
        <v>321.14999999999998</v>
      </c>
      <c r="E657" s="116">
        <v>336.8</v>
      </c>
      <c r="F657" s="116">
        <v>327.14999999999998</v>
      </c>
      <c r="G657">
        <v>16050</v>
      </c>
      <c r="H657" s="116"/>
      <c r="I657" s="116"/>
      <c r="L657" s="170">
        <v>46076</v>
      </c>
      <c r="M657" s="116">
        <v>326.60000000000002</v>
      </c>
      <c r="N657" s="116">
        <v>341.05</v>
      </c>
      <c r="O657" s="116">
        <v>320.10000000000002</v>
      </c>
      <c r="P657" s="116">
        <v>337</v>
      </c>
      <c r="Q657" s="116">
        <v>326.60000000000002</v>
      </c>
      <c r="R657">
        <v>224766</v>
      </c>
    </row>
    <row r="658" spans="1:18" x14ac:dyDescent="0.25">
      <c r="A658" s="170">
        <v>46077</v>
      </c>
      <c r="B658" s="116">
        <v>323.3</v>
      </c>
      <c r="C658" s="116">
        <v>319.2</v>
      </c>
      <c r="D658" s="116">
        <v>316.75</v>
      </c>
      <c r="E658" s="116">
        <v>323.25</v>
      </c>
      <c r="F658" s="116">
        <v>319.2</v>
      </c>
      <c r="G658">
        <v>9599</v>
      </c>
      <c r="H658" s="116"/>
      <c r="I658" s="116"/>
      <c r="L658" s="170">
        <v>46077</v>
      </c>
      <c r="M658" s="116">
        <v>319</v>
      </c>
      <c r="N658" s="116">
        <v>325.35000000000002</v>
      </c>
      <c r="O658" s="116">
        <v>316.05</v>
      </c>
      <c r="P658" s="116">
        <v>322.14999999999998</v>
      </c>
      <c r="Q658" s="116">
        <v>319</v>
      </c>
      <c r="R658">
        <v>177662</v>
      </c>
    </row>
    <row r="659" spans="1:18" x14ac:dyDescent="0.25">
      <c r="A659" s="170">
        <v>46078</v>
      </c>
      <c r="B659" s="116">
        <v>324.45</v>
      </c>
      <c r="C659" s="116">
        <v>311.85000000000002</v>
      </c>
      <c r="D659" s="116">
        <v>308.25</v>
      </c>
      <c r="E659" s="116">
        <v>319.3</v>
      </c>
      <c r="F659" s="116">
        <v>311.85000000000002</v>
      </c>
      <c r="G659">
        <v>8241</v>
      </c>
      <c r="H659" s="116"/>
      <c r="I659" s="116"/>
      <c r="L659" s="170">
        <v>46078</v>
      </c>
      <c r="M659" s="116">
        <v>312.2</v>
      </c>
      <c r="N659" s="116">
        <v>325</v>
      </c>
      <c r="O659" s="116">
        <v>308.8</v>
      </c>
      <c r="P659" s="116">
        <v>321.14999999999998</v>
      </c>
      <c r="Q659" s="116">
        <v>312.2</v>
      </c>
      <c r="R659">
        <v>191361</v>
      </c>
    </row>
    <row r="660" spans="1:18" x14ac:dyDescent="0.25">
      <c r="A660" s="170">
        <v>46079</v>
      </c>
      <c r="B660" s="116">
        <v>322.35000000000002</v>
      </c>
      <c r="C660" s="116">
        <v>313.35000000000002</v>
      </c>
      <c r="D660" s="116">
        <v>311.25</v>
      </c>
      <c r="E660" s="116">
        <v>311.89999999999998</v>
      </c>
      <c r="F660" s="116">
        <v>313.35000000000002</v>
      </c>
      <c r="G660">
        <v>7693</v>
      </c>
      <c r="H660" s="116"/>
      <c r="I660" s="116"/>
      <c r="L660" s="170">
        <v>46079</v>
      </c>
      <c r="M660" s="116">
        <v>312.55</v>
      </c>
      <c r="N660" s="116">
        <v>322.55</v>
      </c>
      <c r="O660" s="116">
        <v>311</v>
      </c>
      <c r="P660" s="116">
        <v>311</v>
      </c>
      <c r="Q660" s="116">
        <v>312.55</v>
      </c>
      <c r="R660">
        <v>169628</v>
      </c>
    </row>
    <row r="661" spans="1:18" x14ac:dyDescent="0.25">
      <c r="A661" s="170">
        <v>46080</v>
      </c>
      <c r="B661" s="116">
        <v>317.14999999999998</v>
      </c>
      <c r="C661" s="116">
        <v>312.2</v>
      </c>
      <c r="D661" s="116">
        <v>308</v>
      </c>
      <c r="E661" s="116">
        <v>313.2</v>
      </c>
      <c r="F661" s="116">
        <v>312.2</v>
      </c>
      <c r="G661">
        <v>8033</v>
      </c>
      <c r="H661" s="116"/>
      <c r="I661" s="116"/>
      <c r="L661" s="170">
        <v>46080</v>
      </c>
      <c r="M661" s="116">
        <v>312.60000000000002</v>
      </c>
      <c r="N661" s="116">
        <v>317</v>
      </c>
      <c r="O661" s="116">
        <v>307.8</v>
      </c>
      <c r="P661" s="116">
        <v>312.39999999999998</v>
      </c>
      <c r="Q661" s="116">
        <v>312.60000000000002</v>
      </c>
      <c r="R661">
        <v>278138</v>
      </c>
    </row>
    <row r="662" spans="1:18" x14ac:dyDescent="0.25">
      <c r="A662" s="170">
        <v>46083</v>
      </c>
      <c r="B662" s="116">
        <v>311</v>
      </c>
      <c r="C662" s="116">
        <v>303.10000000000002</v>
      </c>
      <c r="D662" s="116">
        <v>291</v>
      </c>
      <c r="E662" s="116">
        <v>291</v>
      </c>
      <c r="F662" s="116">
        <v>303.10000000000002</v>
      </c>
      <c r="G662">
        <v>14265</v>
      </c>
      <c r="H662" s="116"/>
      <c r="I662" s="116"/>
      <c r="L662" s="170">
        <v>46083</v>
      </c>
      <c r="M662" s="116">
        <v>303.2</v>
      </c>
      <c r="N662" s="116">
        <v>311.14999999999998</v>
      </c>
      <c r="O662" s="116">
        <v>300</v>
      </c>
      <c r="P662" s="116">
        <v>300</v>
      </c>
      <c r="Q662" s="116">
        <v>303.2</v>
      </c>
      <c r="R662">
        <v>224999</v>
      </c>
    </row>
    <row r="663" spans="1:18" x14ac:dyDescent="0.25">
      <c r="A663" s="170">
        <v>46085</v>
      </c>
      <c r="B663" s="116">
        <v>309.7</v>
      </c>
      <c r="C663" s="116">
        <v>300</v>
      </c>
      <c r="D663" s="116">
        <v>297.05</v>
      </c>
      <c r="E663" s="116">
        <v>297.05</v>
      </c>
      <c r="F663" s="116">
        <v>300</v>
      </c>
      <c r="G663">
        <v>9116</v>
      </c>
      <c r="H663" s="116"/>
      <c r="I663" s="116"/>
      <c r="L663" s="170">
        <v>46085</v>
      </c>
      <c r="M663" s="116">
        <v>299.45</v>
      </c>
      <c r="N663" s="116">
        <v>309.55</v>
      </c>
      <c r="O663" s="116">
        <v>297.95</v>
      </c>
      <c r="P663" s="116">
        <v>298</v>
      </c>
      <c r="Q663" s="116">
        <v>299.45</v>
      </c>
      <c r="R663">
        <v>195253</v>
      </c>
    </row>
    <row r="664" spans="1:18" x14ac:dyDescent="0.25">
      <c r="A664" s="170">
        <v>46086</v>
      </c>
      <c r="B664" s="116">
        <v>304.60000000000002</v>
      </c>
      <c r="C664" s="116">
        <v>299.55</v>
      </c>
      <c r="D664" s="116">
        <v>294</v>
      </c>
      <c r="E664" s="116">
        <v>300.10000000000002</v>
      </c>
      <c r="F664" s="116">
        <v>299.55</v>
      </c>
      <c r="G664">
        <v>8327</v>
      </c>
      <c r="H664" s="116"/>
      <c r="I664" s="116"/>
      <c r="L664" s="170">
        <v>46086</v>
      </c>
      <c r="M664" s="116">
        <v>299.60000000000002</v>
      </c>
      <c r="N664" s="116">
        <v>306.39999999999998</v>
      </c>
      <c r="O664" s="116">
        <v>294.10000000000002</v>
      </c>
      <c r="P664" s="116">
        <v>303</v>
      </c>
      <c r="Q664" s="116">
        <v>299.60000000000002</v>
      </c>
      <c r="R664">
        <v>171059</v>
      </c>
    </row>
    <row r="665" spans="1:18" x14ac:dyDescent="0.25">
      <c r="A665" s="170">
        <v>46087</v>
      </c>
      <c r="B665" s="116">
        <v>304.5</v>
      </c>
      <c r="C665" s="116">
        <v>296.55</v>
      </c>
      <c r="D665" s="116">
        <v>295.05</v>
      </c>
      <c r="E665" s="116">
        <v>298</v>
      </c>
      <c r="F665" s="116">
        <v>296.55</v>
      </c>
      <c r="G665">
        <v>11612</v>
      </c>
      <c r="H665" s="116"/>
      <c r="I665" s="116"/>
      <c r="L665" s="170">
        <v>46087</v>
      </c>
      <c r="M665" s="116">
        <v>295.7</v>
      </c>
      <c r="N665" s="116">
        <v>304.95</v>
      </c>
      <c r="O665" s="116">
        <v>295</v>
      </c>
      <c r="P665" s="116">
        <v>298</v>
      </c>
      <c r="Q665" s="116">
        <v>295.7</v>
      </c>
      <c r="R665">
        <v>186985</v>
      </c>
    </row>
    <row r="666" spans="1:18" x14ac:dyDescent="0.25">
      <c r="A666" s="170">
        <v>46090</v>
      </c>
      <c r="B666" s="116">
        <v>292.10000000000002</v>
      </c>
      <c r="C666" s="116">
        <v>289.05</v>
      </c>
      <c r="D666" s="116">
        <v>285</v>
      </c>
      <c r="E666" s="116">
        <v>289.14999999999998</v>
      </c>
      <c r="F666" s="116">
        <v>289.05</v>
      </c>
      <c r="G666">
        <v>18836</v>
      </c>
      <c r="H666" s="116"/>
      <c r="I666" s="116"/>
      <c r="L666" s="170">
        <v>46090</v>
      </c>
      <c r="M666" s="116">
        <v>288.05</v>
      </c>
      <c r="N666" s="116">
        <v>292.7</v>
      </c>
      <c r="O666" s="116">
        <v>282.60000000000002</v>
      </c>
      <c r="P666" s="116">
        <v>291.64999999999998</v>
      </c>
      <c r="Q666" s="116">
        <v>288.05</v>
      </c>
      <c r="R666">
        <v>205137</v>
      </c>
    </row>
    <row r="667" spans="1:18" x14ac:dyDescent="0.25">
      <c r="A667" s="170">
        <v>46091</v>
      </c>
      <c r="B667" s="116">
        <v>305.39999999999998</v>
      </c>
      <c r="C667" s="116">
        <v>301.89999999999998</v>
      </c>
      <c r="D667" s="116">
        <v>290</v>
      </c>
      <c r="E667" s="116">
        <v>292</v>
      </c>
      <c r="F667" s="116">
        <v>301.89999999999998</v>
      </c>
      <c r="G667">
        <v>23460</v>
      </c>
      <c r="H667" s="116"/>
      <c r="I667" s="116"/>
      <c r="L667" s="170">
        <v>46091</v>
      </c>
      <c r="M667" s="116">
        <v>301.2</v>
      </c>
      <c r="N667" s="116">
        <v>306.35000000000002</v>
      </c>
      <c r="O667" s="116">
        <v>290.2</v>
      </c>
      <c r="P667" s="116">
        <v>293</v>
      </c>
      <c r="Q667" s="116">
        <v>301.2</v>
      </c>
      <c r="R667">
        <v>261274</v>
      </c>
    </row>
    <row r="668" spans="1:18" x14ac:dyDescent="0.25">
      <c r="A668" s="170">
        <v>46092</v>
      </c>
      <c r="B668" s="116">
        <v>326.55</v>
      </c>
      <c r="C668" s="116">
        <v>311.8</v>
      </c>
      <c r="D668" s="116">
        <v>300</v>
      </c>
      <c r="E668" s="116">
        <v>302</v>
      </c>
      <c r="F668" s="116">
        <v>311.8</v>
      </c>
      <c r="G668">
        <v>43445</v>
      </c>
      <c r="H668" s="116"/>
      <c r="I668" s="116"/>
      <c r="L668" s="170">
        <v>46092</v>
      </c>
      <c r="M668" s="116">
        <v>312.45</v>
      </c>
      <c r="N668" s="116">
        <v>326.95</v>
      </c>
      <c r="O668" s="116">
        <v>299</v>
      </c>
      <c r="P668" s="116">
        <v>303</v>
      </c>
      <c r="Q668" s="116">
        <v>312.45</v>
      </c>
      <c r="R668">
        <v>516158</v>
      </c>
    </row>
    <row r="669" spans="1:18" x14ac:dyDescent="0.25">
      <c r="A669" s="170">
        <v>46093</v>
      </c>
      <c r="B669" s="116">
        <v>315.2</v>
      </c>
      <c r="C669" s="116">
        <v>310.85000000000002</v>
      </c>
      <c r="D669" s="116">
        <v>303.75</v>
      </c>
      <c r="E669" s="116">
        <v>313</v>
      </c>
      <c r="F669" s="116">
        <v>310.85000000000002</v>
      </c>
      <c r="G669">
        <v>8654</v>
      </c>
      <c r="H669" s="116"/>
      <c r="I669" s="116"/>
      <c r="L669" s="170">
        <v>46093</v>
      </c>
      <c r="M669" s="116">
        <v>309.64999999999998</v>
      </c>
      <c r="N669" s="116">
        <v>315.8</v>
      </c>
      <c r="O669" s="116">
        <v>303.60000000000002</v>
      </c>
      <c r="P669" s="116">
        <v>314</v>
      </c>
      <c r="Q669" s="116">
        <v>309.64999999999998</v>
      </c>
      <c r="R669">
        <v>152024</v>
      </c>
    </row>
    <row r="670" spans="1:18" x14ac:dyDescent="0.25">
      <c r="A670" s="170">
        <v>46094</v>
      </c>
      <c r="B670" s="116">
        <v>312</v>
      </c>
      <c r="C670" s="116">
        <v>304.75</v>
      </c>
      <c r="D670" s="116">
        <v>300.89999999999998</v>
      </c>
      <c r="E670" s="116">
        <v>305.25</v>
      </c>
      <c r="F670" s="116">
        <v>304.75</v>
      </c>
      <c r="G670">
        <v>20357</v>
      </c>
      <c r="H670" s="116"/>
      <c r="I670" s="116"/>
      <c r="L670" s="170">
        <v>46094</v>
      </c>
      <c r="M670" s="116">
        <v>305.3</v>
      </c>
      <c r="N670" s="116">
        <v>312.39999999999998</v>
      </c>
      <c r="O670" s="116">
        <v>300.60000000000002</v>
      </c>
      <c r="P670" s="116">
        <v>307.2</v>
      </c>
      <c r="Q670" s="116">
        <v>305.3</v>
      </c>
      <c r="R670">
        <v>159385</v>
      </c>
    </row>
    <row r="671" spans="1:18" x14ac:dyDescent="0.25">
      <c r="A671" s="170">
        <v>46097</v>
      </c>
      <c r="B671" s="116">
        <v>309.55</v>
      </c>
      <c r="C671" s="116">
        <v>300.14999999999998</v>
      </c>
      <c r="D671" s="116">
        <v>296.25</v>
      </c>
      <c r="E671" s="116">
        <v>304.8</v>
      </c>
      <c r="F671" s="116">
        <v>300.14999999999998</v>
      </c>
      <c r="G671">
        <v>13022</v>
      </c>
      <c r="H671" s="116"/>
      <c r="I671" s="116"/>
      <c r="L671" s="170">
        <v>46097</v>
      </c>
      <c r="M671" s="116">
        <v>300.60000000000002</v>
      </c>
      <c r="N671" s="116">
        <v>309.39999999999998</v>
      </c>
      <c r="O671" s="116">
        <v>296.2</v>
      </c>
      <c r="P671" s="116">
        <v>305</v>
      </c>
      <c r="Q671" s="116">
        <v>300.60000000000002</v>
      </c>
      <c r="R671">
        <v>186112</v>
      </c>
    </row>
    <row r="672" spans="1:18" x14ac:dyDescent="0.25">
      <c r="A672" s="170">
        <v>46098</v>
      </c>
      <c r="B672" s="116">
        <v>347</v>
      </c>
      <c r="C672" s="116">
        <v>298.35000000000002</v>
      </c>
      <c r="D672" s="116">
        <v>286.5</v>
      </c>
      <c r="E672" s="116">
        <v>304.64999999999998</v>
      </c>
      <c r="F672" s="116">
        <v>298.35000000000002</v>
      </c>
      <c r="G672">
        <v>2225768</v>
      </c>
      <c r="H672" s="116"/>
      <c r="I672" s="116"/>
      <c r="L672" s="170">
        <v>46098</v>
      </c>
      <c r="M672" s="116">
        <v>296.55</v>
      </c>
      <c r="N672" s="116">
        <v>348</v>
      </c>
      <c r="O672" s="116">
        <v>286.14999999999998</v>
      </c>
      <c r="P672" s="116">
        <v>309</v>
      </c>
      <c r="Q672" s="116">
        <v>296.55</v>
      </c>
      <c r="R672">
        <v>31534417</v>
      </c>
    </row>
    <row r="673" spans="1:18" x14ac:dyDescent="0.25">
      <c r="A673" s="170">
        <v>46099</v>
      </c>
      <c r="B673" s="116">
        <v>328</v>
      </c>
      <c r="C673" s="116">
        <v>313.05</v>
      </c>
      <c r="D673" s="116">
        <v>294.89999999999998</v>
      </c>
      <c r="E673" s="116">
        <v>299</v>
      </c>
      <c r="F673" s="116">
        <v>313.05</v>
      </c>
      <c r="G673">
        <v>1873792</v>
      </c>
      <c r="H673" s="116"/>
      <c r="I673" s="116"/>
      <c r="L673" s="170">
        <v>46099</v>
      </c>
      <c r="M673" s="116">
        <v>313.7</v>
      </c>
      <c r="N673" s="116">
        <v>328.6</v>
      </c>
      <c r="O673" s="116">
        <v>295</v>
      </c>
      <c r="P673" s="116">
        <v>298</v>
      </c>
      <c r="Q673" s="116">
        <v>313.7</v>
      </c>
      <c r="R673">
        <v>18115782</v>
      </c>
    </row>
    <row r="674" spans="1:18" x14ac:dyDescent="0.25">
      <c r="A674" s="170">
        <v>46100</v>
      </c>
      <c r="B674" s="116">
        <v>315.35000000000002</v>
      </c>
      <c r="C674" s="116">
        <v>299.05</v>
      </c>
      <c r="D674" s="116">
        <v>296.39999999999998</v>
      </c>
      <c r="E674" s="116">
        <v>312</v>
      </c>
      <c r="F674" s="116">
        <v>299.05</v>
      </c>
      <c r="G674">
        <v>235488</v>
      </c>
      <c r="H674" s="116"/>
      <c r="I674" s="116"/>
      <c r="L674" s="170">
        <v>46100</v>
      </c>
      <c r="M674" s="116">
        <v>298.60000000000002</v>
      </c>
      <c r="N674" s="116">
        <v>315.7</v>
      </c>
      <c r="O674" s="116">
        <v>295.8</v>
      </c>
      <c r="P674" s="116">
        <v>310.25</v>
      </c>
      <c r="Q674" s="116">
        <v>298.60000000000002</v>
      </c>
      <c r="R674">
        <v>2149687</v>
      </c>
    </row>
    <row r="675" spans="1:18" x14ac:dyDescent="0.25">
      <c r="A675" s="170">
        <v>46101</v>
      </c>
      <c r="B675" s="116">
        <v>309.95</v>
      </c>
      <c r="C675" s="116">
        <v>303.7</v>
      </c>
      <c r="D675" s="116">
        <v>301.64999999999998</v>
      </c>
      <c r="E675" s="116">
        <v>305.05</v>
      </c>
      <c r="F675" s="116">
        <v>303.7</v>
      </c>
      <c r="G675">
        <v>48457</v>
      </c>
      <c r="H675" s="116"/>
      <c r="I675" s="116"/>
      <c r="L675" s="170">
        <v>46101</v>
      </c>
      <c r="M675" s="116">
        <v>303.8</v>
      </c>
      <c r="N675" s="116">
        <v>310</v>
      </c>
      <c r="O675" s="116">
        <v>300.35000000000002</v>
      </c>
      <c r="P675" s="116">
        <v>303.10000000000002</v>
      </c>
      <c r="Q675" s="116">
        <v>303.8</v>
      </c>
      <c r="R675">
        <v>996356</v>
      </c>
    </row>
    <row r="676" spans="1:18" x14ac:dyDescent="0.25">
      <c r="A676" s="170">
        <v>46104</v>
      </c>
      <c r="B676" s="116">
        <v>300.95</v>
      </c>
      <c r="C676" s="116">
        <v>281</v>
      </c>
      <c r="D676" s="116">
        <v>276.55</v>
      </c>
      <c r="E676" s="116">
        <v>300.95</v>
      </c>
      <c r="F676" s="116">
        <v>281</v>
      </c>
      <c r="G676">
        <v>41453</v>
      </c>
      <c r="H676" s="116"/>
      <c r="I676" s="116"/>
      <c r="L676" s="170">
        <v>46104</v>
      </c>
      <c r="M676" s="116">
        <v>280.14999999999998</v>
      </c>
      <c r="N676" s="116">
        <v>301.7</v>
      </c>
      <c r="O676" s="116">
        <v>276.14999999999998</v>
      </c>
      <c r="P676" s="116">
        <v>300.05</v>
      </c>
      <c r="Q676" s="116">
        <v>280.14999999999998</v>
      </c>
      <c r="R676">
        <v>765989</v>
      </c>
    </row>
    <row r="677" spans="1:18" x14ac:dyDescent="0.25">
      <c r="A677" s="170">
        <v>46105</v>
      </c>
      <c r="B677" s="116">
        <v>290.8</v>
      </c>
      <c r="C677" s="116">
        <v>284.2</v>
      </c>
      <c r="D677" s="116">
        <v>276.2</v>
      </c>
      <c r="E677" s="116">
        <v>282</v>
      </c>
      <c r="F677" s="116">
        <v>284.2</v>
      </c>
      <c r="G677">
        <v>57460</v>
      </c>
      <c r="H677" s="116"/>
      <c r="I677" s="116"/>
      <c r="L677" s="170">
        <v>46105</v>
      </c>
      <c r="M677" s="116">
        <v>284.10000000000002</v>
      </c>
      <c r="N677" s="116">
        <v>290.10000000000002</v>
      </c>
      <c r="O677" s="116">
        <v>276.5</v>
      </c>
      <c r="P677" s="116">
        <v>290.10000000000002</v>
      </c>
      <c r="Q677" s="116">
        <v>284.10000000000002</v>
      </c>
      <c r="R677">
        <v>775945</v>
      </c>
    </row>
    <row r="678" spans="1:18" x14ac:dyDescent="0.25">
      <c r="A678" s="170">
        <v>46106</v>
      </c>
      <c r="B678" s="116">
        <v>300</v>
      </c>
      <c r="C678" s="116">
        <v>294.64999999999998</v>
      </c>
      <c r="D678" s="116">
        <v>285.60000000000002</v>
      </c>
      <c r="E678" s="116">
        <v>285.60000000000002</v>
      </c>
      <c r="F678" s="116">
        <v>294.64999999999998</v>
      </c>
      <c r="G678">
        <v>41106</v>
      </c>
      <c r="H678" s="116"/>
      <c r="I678" s="116"/>
      <c r="L678" s="170">
        <v>46106</v>
      </c>
      <c r="M678" s="116">
        <v>294.60000000000002</v>
      </c>
      <c r="N678" s="116">
        <v>300.14999999999998</v>
      </c>
      <c r="O678" s="116">
        <v>287.45</v>
      </c>
      <c r="P678" s="116">
        <v>290.85000000000002</v>
      </c>
      <c r="Q678" s="116">
        <v>294.60000000000002</v>
      </c>
      <c r="R678">
        <v>844648</v>
      </c>
    </row>
    <row r="679" spans="1:18" x14ac:dyDescent="0.25">
      <c r="A679" s="170">
        <v>46108</v>
      </c>
      <c r="B679" s="116">
        <v>297.45</v>
      </c>
      <c r="C679" s="116">
        <v>279.8</v>
      </c>
      <c r="D679" s="116">
        <v>271.7</v>
      </c>
      <c r="E679" s="116">
        <v>290.05</v>
      </c>
      <c r="F679" s="116">
        <v>279.8</v>
      </c>
      <c r="G679">
        <v>544323</v>
      </c>
      <c r="H679" s="116"/>
      <c r="I679" s="116"/>
      <c r="L679" s="170">
        <v>46108</v>
      </c>
      <c r="M679" s="116">
        <v>278.89999999999998</v>
      </c>
      <c r="N679" s="116">
        <v>298.7</v>
      </c>
      <c r="O679" s="116">
        <v>271.5</v>
      </c>
      <c r="P679" s="116">
        <v>290</v>
      </c>
      <c r="Q679" s="116">
        <v>278.89999999999998</v>
      </c>
      <c r="R679">
        <v>2187659</v>
      </c>
    </row>
    <row r="680" spans="1:18" x14ac:dyDescent="0.25">
      <c r="A680" s="170">
        <v>46111</v>
      </c>
      <c r="B680" s="116">
        <v>280.14999999999998</v>
      </c>
      <c r="C680" s="116">
        <v>272</v>
      </c>
      <c r="D680" s="116">
        <v>264.95</v>
      </c>
      <c r="E680" s="116">
        <v>270.7</v>
      </c>
      <c r="F680" s="116">
        <v>272</v>
      </c>
      <c r="G680">
        <v>47357</v>
      </c>
      <c r="H680" s="116"/>
      <c r="I680" s="116"/>
      <c r="L680" s="170">
        <v>46111</v>
      </c>
      <c r="M680" s="116">
        <v>272.3</v>
      </c>
      <c r="N680" s="116">
        <v>281</v>
      </c>
      <c r="O680" s="116">
        <v>265.2</v>
      </c>
      <c r="P680" s="116">
        <v>276</v>
      </c>
      <c r="Q680" s="116">
        <v>272.3</v>
      </c>
      <c r="R680">
        <v>862655</v>
      </c>
    </row>
    <row r="681" spans="1:18" x14ac:dyDescent="0.25">
      <c r="A681" s="170">
        <v>46113</v>
      </c>
      <c r="B681" s="116">
        <v>287.45</v>
      </c>
      <c r="C681" s="116">
        <v>284.45</v>
      </c>
      <c r="D681" s="116">
        <v>278.2</v>
      </c>
      <c r="E681" s="116">
        <v>286.05</v>
      </c>
      <c r="F681" s="116">
        <v>284.45</v>
      </c>
      <c r="G681">
        <v>23591</v>
      </c>
      <c r="H681" s="116"/>
      <c r="I681" s="116"/>
      <c r="L681" s="170">
        <v>46113</v>
      </c>
      <c r="M681" s="116">
        <v>284.60000000000002</v>
      </c>
      <c r="N681" s="116">
        <v>287.5</v>
      </c>
      <c r="O681" s="116">
        <v>278.25</v>
      </c>
      <c r="P681" s="116">
        <v>286.2</v>
      </c>
      <c r="Q681" s="116">
        <v>284.60000000000002</v>
      </c>
      <c r="R681">
        <v>377163</v>
      </c>
    </row>
    <row r="682" spans="1:18" x14ac:dyDescent="0.25">
      <c r="A682" s="170">
        <v>46114</v>
      </c>
      <c r="B682" s="116">
        <v>281.45</v>
      </c>
      <c r="C682" s="116">
        <v>279.7</v>
      </c>
      <c r="D682" s="116">
        <v>269.39999999999998</v>
      </c>
      <c r="E682" s="116">
        <v>280.25</v>
      </c>
      <c r="F682" s="116">
        <v>279.7</v>
      </c>
      <c r="G682">
        <v>24992</v>
      </c>
      <c r="H682" s="116"/>
      <c r="I682" s="116"/>
      <c r="L682" s="170">
        <v>46114</v>
      </c>
      <c r="M682" s="116">
        <v>280.10000000000002</v>
      </c>
      <c r="N682" s="116">
        <v>281.14999999999998</v>
      </c>
      <c r="O682" s="116">
        <v>269</v>
      </c>
      <c r="P682" s="116">
        <v>280.60000000000002</v>
      </c>
      <c r="Q682" s="116">
        <v>280.10000000000002</v>
      </c>
      <c r="R682">
        <v>327752</v>
      </c>
    </row>
    <row r="683" spans="1:18" x14ac:dyDescent="0.25">
      <c r="A683" s="170">
        <v>46118</v>
      </c>
      <c r="B683" s="116">
        <v>293.89999999999998</v>
      </c>
      <c r="C683" s="116">
        <v>289.60000000000002</v>
      </c>
      <c r="D683" s="116">
        <v>272.5</v>
      </c>
      <c r="E683" s="116">
        <v>280.5</v>
      </c>
      <c r="F683" s="116">
        <v>289.60000000000002</v>
      </c>
      <c r="G683">
        <v>24504</v>
      </c>
      <c r="H683" s="116"/>
      <c r="I683" s="116"/>
      <c r="L683" s="170">
        <v>46118</v>
      </c>
      <c r="M683" s="116">
        <v>290.10000000000002</v>
      </c>
      <c r="N683" s="116">
        <v>293.64999999999998</v>
      </c>
      <c r="O683" s="116">
        <v>272.5</v>
      </c>
      <c r="P683" s="116">
        <v>280.10000000000002</v>
      </c>
      <c r="Q683" s="116">
        <v>290.10000000000002</v>
      </c>
      <c r="R683">
        <v>635348</v>
      </c>
    </row>
    <row r="684" spans="1:18" x14ac:dyDescent="0.25">
      <c r="A684" s="170">
        <v>46119</v>
      </c>
      <c r="B684" s="116">
        <v>292.45</v>
      </c>
      <c r="C684" s="116">
        <v>284</v>
      </c>
      <c r="D684" s="116">
        <v>283</v>
      </c>
      <c r="E684" s="116">
        <v>292.45</v>
      </c>
      <c r="F684" s="116">
        <v>284</v>
      </c>
      <c r="G684">
        <v>20020</v>
      </c>
      <c r="H684" s="116"/>
      <c r="I684" s="116"/>
      <c r="L684" s="170">
        <v>46119</v>
      </c>
      <c r="M684" s="116">
        <v>284.10000000000002</v>
      </c>
      <c r="N684" s="116">
        <v>289</v>
      </c>
      <c r="O684" s="116">
        <v>282.10000000000002</v>
      </c>
      <c r="P684" s="116">
        <v>289</v>
      </c>
      <c r="Q684" s="116">
        <v>284.10000000000002</v>
      </c>
      <c r="R684">
        <v>298403</v>
      </c>
    </row>
    <row r="685" spans="1:18" x14ac:dyDescent="0.25">
      <c r="A685" s="170">
        <v>46120</v>
      </c>
      <c r="B685" s="116">
        <v>309</v>
      </c>
      <c r="C685" s="116">
        <v>306.5</v>
      </c>
      <c r="D685" s="116">
        <v>291.35000000000002</v>
      </c>
      <c r="E685" s="116">
        <v>301.89999999999998</v>
      </c>
      <c r="F685" s="116">
        <v>306.5</v>
      </c>
      <c r="G685">
        <v>28646</v>
      </c>
      <c r="H685" s="116"/>
      <c r="I685" s="116"/>
      <c r="L685" s="170">
        <v>46120</v>
      </c>
      <c r="M685" s="116">
        <v>306.55</v>
      </c>
      <c r="N685" s="116">
        <v>309.64999999999998</v>
      </c>
      <c r="O685" s="116">
        <v>291.10000000000002</v>
      </c>
      <c r="P685" s="116">
        <v>299</v>
      </c>
      <c r="Q685" s="116">
        <v>306.55</v>
      </c>
      <c r="R685">
        <v>811456</v>
      </c>
    </row>
    <row r="686" spans="1:18" x14ac:dyDescent="0.25">
      <c r="A686" s="170">
        <v>46121</v>
      </c>
      <c r="B686" s="116">
        <v>321</v>
      </c>
      <c r="C686" s="116">
        <v>310.39999999999998</v>
      </c>
      <c r="D686" s="116">
        <v>302.14999999999998</v>
      </c>
      <c r="E686" s="116">
        <v>308.85000000000002</v>
      </c>
      <c r="F686" s="116">
        <v>310.39999999999998</v>
      </c>
      <c r="G686">
        <v>28198</v>
      </c>
      <c r="H686" s="116"/>
      <c r="I686" s="116"/>
      <c r="L686" s="170">
        <v>46121</v>
      </c>
      <c r="M686" s="116">
        <v>310.25</v>
      </c>
      <c r="N686" s="116">
        <v>322.14999999999998</v>
      </c>
      <c r="O686" s="116">
        <v>303</v>
      </c>
      <c r="P686" s="116">
        <v>307.7</v>
      </c>
      <c r="Q686" s="116">
        <v>310.25</v>
      </c>
      <c r="R686">
        <v>707566</v>
      </c>
    </row>
    <row r="687" spans="1:18" x14ac:dyDescent="0.25">
      <c r="A687" s="170">
        <v>46122</v>
      </c>
      <c r="B687" s="116">
        <v>319.89999999999998</v>
      </c>
      <c r="C687" s="116">
        <v>314.55</v>
      </c>
      <c r="D687" s="116">
        <v>310.89999999999998</v>
      </c>
      <c r="E687" s="116">
        <v>315.35000000000002</v>
      </c>
      <c r="F687" s="116">
        <v>314.55</v>
      </c>
      <c r="G687">
        <v>19000</v>
      </c>
      <c r="H687" s="116"/>
      <c r="I687" s="116"/>
      <c r="L687" s="170">
        <v>46122</v>
      </c>
      <c r="M687" s="116">
        <v>314.5</v>
      </c>
      <c r="N687" s="116">
        <v>320.2</v>
      </c>
      <c r="O687" s="116">
        <v>310.55</v>
      </c>
      <c r="P687" s="116">
        <v>315</v>
      </c>
      <c r="Q687" s="116">
        <v>314.5</v>
      </c>
      <c r="R687">
        <v>294086</v>
      </c>
    </row>
    <row r="688" spans="1:18" x14ac:dyDescent="0.25">
      <c r="A688" s="170">
        <v>46125</v>
      </c>
      <c r="B688" s="116">
        <v>319.95</v>
      </c>
      <c r="C688" s="116">
        <v>315.95</v>
      </c>
      <c r="D688" s="116">
        <v>300.05</v>
      </c>
      <c r="E688" s="116">
        <v>306.05</v>
      </c>
      <c r="F688" s="116">
        <v>315.95</v>
      </c>
      <c r="G688">
        <v>41685</v>
      </c>
      <c r="H688" s="116"/>
      <c r="I688" s="116"/>
      <c r="L688" s="170">
        <v>46125</v>
      </c>
      <c r="M688" s="116">
        <v>317.2</v>
      </c>
      <c r="N688" s="116">
        <v>319.95</v>
      </c>
      <c r="O688" s="116">
        <v>301.2</v>
      </c>
      <c r="P688" s="116">
        <v>307</v>
      </c>
      <c r="Q688" s="116">
        <v>317.2</v>
      </c>
      <c r="R688">
        <v>485786</v>
      </c>
    </row>
    <row r="689" spans="1:18" x14ac:dyDescent="0.25">
      <c r="A689" s="170">
        <v>46127</v>
      </c>
      <c r="B689" s="116">
        <v>333.75</v>
      </c>
      <c r="C689" s="116">
        <v>326.10000000000002</v>
      </c>
      <c r="D689" s="116">
        <v>320.05</v>
      </c>
      <c r="E689" s="116">
        <v>320.05</v>
      </c>
      <c r="F689" s="116">
        <v>326.10000000000002</v>
      </c>
      <c r="G689">
        <v>32777</v>
      </c>
      <c r="H689" s="116"/>
      <c r="I689" s="116"/>
      <c r="L689" s="170">
        <v>46127</v>
      </c>
      <c r="M689" s="116">
        <v>325.5</v>
      </c>
      <c r="N689" s="116">
        <v>333.4</v>
      </c>
      <c r="O689" s="116">
        <v>321.35000000000002</v>
      </c>
      <c r="P689" s="116">
        <v>325</v>
      </c>
      <c r="Q689" s="116">
        <v>325.5</v>
      </c>
      <c r="R689">
        <v>483233</v>
      </c>
    </row>
    <row r="690" spans="1:18" x14ac:dyDescent="0.25">
      <c r="A690" s="170">
        <v>46128</v>
      </c>
      <c r="B690" s="116">
        <v>339.9</v>
      </c>
      <c r="C690" s="116">
        <v>337.3</v>
      </c>
      <c r="D690" s="116">
        <v>322.05</v>
      </c>
      <c r="E690" s="116">
        <v>329</v>
      </c>
      <c r="F690" s="116">
        <v>337.3</v>
      </c>
      <c r="G690">
        <v>39330</v>
      </c>
      <c r="H690" s="116"/>
      <c r="I690" s="116"/>
      <c r="L690" s="170">
        <v>46128</v>
      </c>
      <c r="M690" s="116">
        <v>336.1</v>
      </c>
      <c r="N690" s="116">
        <v>340</v>
      </c>
      <c r="O690" s="116">
        <v>321.89999999999998</v>
      </c>
      <c r="P690" s="116">
        <v>329.8</v>
      </c>
      <c r="Q690" s="116">
        <v>336.1</v>
      </c>
      <c r="R690">
        <v>563428</v>
      </c>
    </row>
    <row r="691" spans="1:18" x14ac:dyDescent="0.25">
      <c r="A691" s="170">
        <v>46129</v>
      </c>
      <c r="B691" s="116">
        <v>343.95</v>
      </c>
      <c r="C691" s="116">
        <v>341.1</v>
      </c>
      <c r="D691" s="116">
        <v>334.05</v>
      </c>
      <c r="E691" s="116">
        <v>335.4</v>
      </c>
      <c r="F691" s="116">
        <v>341.1</v>
      </c>
      <c r="G691">
        <v>23904</v>
      </c>
      <c r="H691" s="116"/>
      <c r="I691" s="116"/>
      <c r="L691" s="170">
        <v>46129</v>
      </c>
      <c r="M691" s="116">
        <v>341.25</v>
      </c>
      <c r="N691" s="116">
        <v>343.95</v>
      </c>
      <c r="O691" s="116">
        <v>333.7</v>
      </c>
      <c r="P691" s="116">
        <v>338.9</v>
      </c>
      <c r="Q691" s="116">
        <v>341.25</v>
      </c>
      <c r="R691">
        <v>334102</v>
      </c>
    </row>
    <row r="692" spans="1:18" x14ac:dyDescent="0.25">
      <c r="A692" s="170">
        <v>46132</v>
      </c>
      <c r="B692" s="116">
        <v>349.85</v>
      </c>
      <c r="C692" s="116">
        <v>345.55</v>
      </c>
      <c r="D692" s="116">
        <v>335</v>
      </c>
      <c r="E692" s="116">
        <v>347.55</v>
      </c>
      <c r="F692" s="116">
        <v>345.55</v>
      </c>
      <c r="G692">
        <v>25016</v>
      </c>
      <c r="H692" s="116"/>
      <c r="I692" s="116"/>
      <c r="L692" s="170">
        <v>46132</v>
      </c>
      <c r="M692" s="116">
        <v>345.8</v>
      </c>
      <c r="N692" s="116">
        <v>349.95</v>
      </c>
      <c r="O692" s="116">
        <v>334.1</v>
      </c>
      <c r="P692" s="116">
        <v>345</v>
      </c>
      <c r="Q692" s="116">
        <v>345.8</v>
      </c>
      <c r="R692">
        <v>488341</v>
      </c>
    </row>
    <row r="693" spans="1:18" x14ac:dyDescent="0.25">
      <c r="A693" s="170">
        <v>46133</v>
      </c>
      <c r="B693" s="116">
        <v>369.45</v>
      </c>
      <c r="C693" s="116">
        <v>357.7</v>
      </c>
      <c r="D693" s="116">
        <v>345.75</v>
      </c>
      <c r="E693" s="116">
        <v>348.95</v>
      </c>
      <c r="F693" s="116">
        <v>357.7</v>
      </c>
      <c r="G693">
        <v>36900</v>
      </c>
      <c r="H693" s="116"/>
      <c r="I693" s="116"/>
      <c r="L693" s="170">
        <v>46133</v>
      </c>
      <c r="M693" s="116">
        <v>357.8</v>
      </c>
      <c r="N693" s="116">
        <v>370</v>
      </c>
      <c r="O693" s="116">
        <v>346</v>
      </c>
      <c r="P693" s="116">
        <v>349</v>
      </c>
      <c r="Q693" s="116">
        <v>357.8</v>
      </c>
      <c r="R693">
        <v>831912</v>
      </c>
    </row>
    <row r="694" spans="1:18" x14ac:dyDescent="0.25">
      <c r="A694" s="170"/>
      <c r="B694" s="116"/>
      <c r="C694" s="116"/>
      <c r="D694" s="116"/>
      <c r="E694" s="116"/>
      <c r="F694" s="116"/>
      <c r="H694" s="116"/>
      <c r="I694" s="116"/>
      <c r="L694" s="170"/>
    </row>
    <row r="695" spans="1:18" x14ac:dyDescent="0.25">
      <c r="A695" s="170"/>
      <c r="B695" s="116"/>
      <c r="C695" s="116"/>
      <c r="D695" s="116"/>
      <c r="E695" s="116"/>
      <c r="F695" s="116"/>
      <c r="H695" s="116"/>
      <c r="I695" s="116"/>
      <c r="L695" s="170"/>
    </row>
    <row r="696" spans="1:18" x14ac:dyDescent="0.25">
      <c r="A696" s="170"/>
      <c r="B696" s="116"/>
      <c r="C696" s="116"/>
      <c r="D696" s="116"/>
      <c r="E696" s="116"/>
      <c r="F696" s="116"/>
      <c r="H696" s="116"/>
      <c r="I696" s="116"/>
      <c r="L696" s="170"/>
    </row>
    <row r="697" spans="1:18" x14ac:dyDescent="0.25">
      <c r="A697" s="170"/>
      <c r="B697" s="116"/>
      <c r="C697" s="116"/>
      <c r="D697" s="116"/>
      <c r="E697" s="116"/>
      <c r="F697" s="116"/>
      <c r="H697" s="116"/>
      <c r="I697" s="116"/>
      <c r="L697" s="170"/>
    </row>
    <row r="698" spans="1:18" x14ac:dyDescent="0.25">
      <c r="A698" s="170"/>
      <c r="B698" s="116"/>
      <c r="C698" s="116"/>
      <c r="D698" s="116"/>
      <c r="E698" s="116"/>
      <c r="F698" s="116"/>
      <c r="H698" s="116"/>
      <c r="I698" s="116"/>
      <c r="L698" s="170"/>
    </row>
    <row r="699" spans="1:18" x14ac:dyDescent="0.25">
      <c r="A699" s="170"/>
      <c r="B699" s="116"/>
      <c r="C699" s="116"/>
      <c r="D699" s="116"/>
      <c r="E699" s="116"/>
      <c r="F699" s="116"/>
      <c r="H699" s="116"/>
      <c r="I699" s="116"/>
      <c r="L699" s="170"/>
    </row>
    <row r="700" spans="1:18" x14ac:dyDescent="0.25">
      <c r="A700" s="170"/>
      <c r="B700" s="116"/>
      <c r="C700" s="116"/>
      <c r="D700" s="116"/>
      <c r="E700" s="116"/>
      <c r="F700" s="116"/>
      <c r="H700" s="116"/>
      <c r="I700" s="116"/>
      <c r="L700" s="170"/>
    </row>
    <row r="701" spans="1:18" x14ac:dyDescent="0.25">
      <c r="A701" s="170"/>
      <c r="B701" s="116"/>
      <c r="C701" s="116"/>
      <c r="D701" s="116"/>
      <c r="E701" s="116"/>
      <c r="F701" s="116"/>
      <c r="H701" s="116"/>
      <c r="I701" s="116"/>
      <c r="L701" s="170"/>
    </row>
    <row r="702" spans="1:18" x14ac:dyDescent="0.25">
      <c r="A702" s="170"/>
      <c r="B702" s="116"/>
      <c r="C702" s="116"/>
      <c r="D702" s="116"/>
      <c r="E702" s="116"/>
      <c r="F702" s="116"/>
      <c r="H702" s="116"/>
      <c r="I702" s="116"/>
      <c r="L702" s="170"/>
    </row>
    <row r="703" spans="1:18" x14ac:dyDescent="0.25">
      <c r="A703" s="170"/>
      <c r="B703" s="116"/>
      <c r="C703" s="116"/>
      <c r="D703" s="116"/>
      <c r="E703" s="116"/>
      <c r="F703" s="116"/>
      <c r="H703" s="116"/>
      <c r="I703" s="116"/>
      <c r="L703" s="170"/>
    </row>
    <row r="704" spans="1:18" x14ac:dyDescent="0.25">
      <c r="A704" s="170"/>
      <c r="B704" s="116"/>
      <c r="C704" s="116"/>
      <c r="D704" s="116"/>
      <c r="E704" s="116"/>
      <c r="F704" s="116"/>
      <c r="H704" s="116"/>
      <c r="I704" s="116"/>
      <c r="L704" s="170"/>
    </row>
    <row r="705" spans="1:12" x14ac:dyDescent="0.25">
      <c r="A705" s="170"/>
      <c r="B705" s="116"/>
      <c r="C705" s="116"/>
      <c r="D705" s="116"/>
      <c r="E705" s="116"/>
      <c r="F705" s="116"/>
      <c r="H705" s="116"/>
      <c r="I705" s="116"/>
      <c r="L705" s="170"/>
    </row>
    <row r="706" spans="1:12" x14ac:dyDescent="0.25">
      <c r="A706" s="170"/>
      <c r="B706" s="116"/>
      <c r="C706" s="116"/>
      <c r="D706" s="116"/>
      <c r="E706" s="116"/>
      <c r="F706" s="116"/>
      <c r="H706" s="116"/>
      <c r="I706" s="116"/>
      <c r="L706" s="170"/>
    </row>
    <row r="707" spans="1:12" x14ac:dyDescent="0.25">
      <c r="A707" s="170"/>
      <c r="B707" s="116"/>
      <c r="C707" s="116"/>
      <c r="D707" s="116"/>
      <c r="E707" s="116"/>
      <c r="F707" s="116"/>
      <c r="H707" s="116"/>
      <c r="I707" s="116"/>
      <c r="L707" s="170"/>
    </row>
    <row r="708" spans="1:12" x14ac:dyDescent="0.25">
      <c r="A708" s="170"/>
      <c r="B708" s="116"/>
      <c r="C708" s="116"/>
      <c r="D708" s="116"/>
      <c r="E708" s="116"/>
      <c r="F708" s="116"/>
      <c r="H708" s="116"/>
      <c r="I708" s="116"/>
      <c r="L708" s="170"/>
    </row>
    <row r="709" spans="1:12" x14ac:dyDescent="0.25">
      <c r="A709" s="170"/>
      <c r="B709" s="116"/>
      <c r="C709" s="116"/>
      <c r="D709" s="116"/>
      <c r="E709" s="116"/>
      <c r="F709" s="116"/>
      <c r="H709" s="116"/>
      <c r="I709" s="116"/>
      <c r="L709" s="170"/>
    </row>
    <row r="710" spans="1:12" x14ac:dyDescent="0.25">
      <c r="A710" s="170"/>
      <c r="B710" s="116"/>
      <c r="C710" s="116"/>
      <c r="D710" s="116"/>
      <c r="E710" s="116"/>
      <c r="F710" s="116"/>
      <c r="H710" s="116"/>
      <c r="I710" s="116"/>
      <c r="L710" s="170"/>
    </row>
    <row r="711" spans="1:12" x14ac:dyDescent="0.25">
      <c r="A711" s="170"/>
      <c r="B711" s="116"/>
      <c r="C711" s="116"/>
      <c r="D711" s="116"/>
      <c r="E711" s="116"/>
      <c r="F711" s="116"/>
      <c r="H711" s="116"/>
      <c r="I711" s="116"/>
      <c r="L711" s="170"/>
    </row>
    <row r="712" spans="1:12" x14ac:dyDescent="0.25">
      <c r="A712" s="170"/>
      <c r="B712" s="116"/>
      <c r="C712" s="116"/>
      <c r="D712" s="116"/>
      <c r="E712" s="116"/>
      <c r="F712" s="116"/>
      <c r="H712" s="116"/>
      <c r="I712" s="116"/>
      <c r="L712" s="170"/>
    </row>
    <row r="713" spans="1:12" x14ac:dyDescent="0.25">
      <c r="A713" s="170"/>
      <c r="B713" s="116"/>
      <c r="C713" s="116"/>
      <c r="D713" s="116"/>
      <c r="E713" s="116"/>
      <c r="F713" s="116"/>
      <c r="H713" s="116"/>
      <c r="I713" s="116"/>
      <c r="L713" s="170"/>
    </row>
    <row r="714" spans="1:12" x14ac:dyDescent="0.25">
      <c r="A714" s="170"/>
      <c r="B714" s="116"/>
      <c r="C714" s="116"/>
      <c r="D714" s="116"/>
      <c r="E714" s="116"/>
      <c r="F714" s="116"/>
      <c r="H714" s="116"/>
      <c r="I714" s="116"/>
      <c r="L714" s="170"/>
    </row>
    <row r="715" spans="1:12" x14ac:dyDescent="0.25">
      <c r="A715" s="170"/>
      <c r="B715" s="116"/>
      <c r="C715" s="116"/>
      <c r="D715" s="116"/>
      <c r="E715" s="116"/>
      <c r="F715" s="116"/>
      <c r="H715" s="116"/>
      <c r="I715" s="116"/>
      <c r="L715" s="170"/>
    </row>
    <row r="716" spans="1:12" x14ac:dyDescent="0.25">
      <c r="A716" s="170"/>
      <c r="B716" s="116"/>
      <c r="C716" s="116"/>
      <c r="D716" s="116"/>
      <c r="E716" s="116"/>
      <c r="F716" s="116"/>
      <c r="H716" s="116"/>
      <c r="I716" s="116"/>
      <c r="L716" s="170"/>
    </row>
    <row r="717" spans="1:12" x14ac:dyDescent="0.25">
      <c r="A717" s="170"/>
      <c r="B717" s="116"/>
      <c r="C717" s="116"/>
      <c r="D717" s="116"/>
      <c r="E717" s="116"/>
      <c r="F717" s="116"/>
      <c r="H717" s="116"/>
      <c r="I717" s="116"/>
      <c r="L717" s="170"/>
    </row>
    <row r="718" spans="1:12" x14ac:dyDescent="0.25">
      <c r="A718" s="170"/>
      <c r="B718" s="116"/>
      <c r="C718" s="116"/>
      <c r="D718" s="116"/>
      <c r="E718" s="116"/>
      <c r="F718" s="116"/>
      <c r="H718" s="116"/>
      <c r="I718" s="116"/>
      <c r="L718" s="170"/>
    </row>
    <row r="719" spans="1:12" x14ac:dyDescent="0.25">
      <c r="A719" s="170"/>
      <c r="B719" s="116"/>
      <c r="C719" s="116"/>
      <c r="D719" s="116"/>
      <c r="E719" s="116"/>
      <c r="F719" s="116"/>
      <c r="H719" s="116"/>
      <c r="I719" s="116"/>
      <c r="L719" s="170"/>
    </row>
    <row r="720" spans="1:12" x14ac:dyDescent="0.25">
      <c r="A720" s="170"/>
      <c r="B720" s="116"/>
      <c r="C720" s="116"/>
      <c r="D720" s="116"/>
      <c r="E720" s="116"/>
      <c r="F720" s="116"/>
      <c r="H720" s="116"/>
      <c r="I720" s="116"/>
      <c r="L720" s="170"/>
    </row>
    <row r="721" spans="1:12" x14ac:dyDescent="0.25">
      <c r="A721" s="170"/>
      <c r="B721" s="116"/>
      <c r="C721" s="116"/>
      <c r="D721" s="116"/>
      <c r="E721" s="116"/>
      <c r="F721" s="116"/>
      <c r="H721" s="116"/>
      <c r="I721" s="116"/>
      <c r="L721" s="170"/>
    </row>
    <row r="722" spans="1:12" x14ac:dyDescent="0.25">
      <c r="A722" s="170"/>
      <c r="B722" s="116"/>
      <c r="C722" s="116"/>
      <c r="D722" s="116"/>
      <c r="E722" s="116"/>
      <c r="F722" s="116"/>
      <c r="H722" s="116"/>
      <c r="I722" s="116"/>
      <c r="L722" s="170"/>
    </row>
    <row r="723" spans="1:12" x14ac:dyDescent="0.25">
      <c r="A723" s="170"/>
      <c r="B723" s="116"/>
      <c r="C723" s="116"/>
      <c r="D723" s="116"/>
      <c r="E723" s="116"/>
      <c r="F723" s="116"/>
      <c r="H723" s="116"/>
      <c r="I723" s="116"/>
      <c r="L723" s="170"/>
    </row>
    <row r="724" spans="1:12" x14ac:dyDescent="0.25">
      <c r="A724" s="170"/>
      <c r="B724" s="116"/>
      <c r="C724" s="116"/>
      <c r="D724" s="116"/>
      <c r="E724" s="116"/>
      <c r="F724" s="116"/>
      <c r="H724" s="116"/>
      <c r="I724" s="116"/>
      <c r="L724" s="170"/>
    </row>
    <row r="725" spans="1:12" x14ac:dyDescent="0.25">
      <c r="A725" s="170"/>
      <c r="B725" s="116"/>
      <c r="C725" s="116"/>
      <c r="D725" s="116"/>
      <c r="E725" s="116"/>
      <c r="F725" s="116"/>
      <c r="H725" s="116"/>
      <c r="I725" s="116"/>
      <c r="L725" s="170"/>
    </row>
    <row r="726" spans="1:12" x14ac:dyDescent="0.25">
      <c r="A726" s="170"/>
      <c r="B726" s="116"/>
      <c r="C726" s="116"/>
      <c r="D726" s="116"/>
      <c r="E726" s="116"/>
      <c r="F726" s="116"/>
      <c r="H726" s="116"/>
      <c r="I726" s="116"/>
      <c r="L726" s="170"/>
    </row>
    <row r="727" spans="1:12" x14ac:dyDescent="0.25">
      <c r="A727" s="170"/>
      <c r="B727" s="116"/>
      <c r="C727" s="116"/>
      <c r="D727" s="116"/>
      <c r="E727" s="116"/>
      <c r="F727" s="116"/>
      <c r="H727" s="116"/>
      <c r="I727" s="116"/>
      <c r="L727" s="170"/>
    </row>
    <row r="728" spans="1:12" x14ac:dyDescent="0.25">
      <c r="A728" s="170"/>
      <c r="B728" s="116"/>
      <c r="C728" s="116"/>
      <c r="D728" s="116"/>
      <c r="E728" s="116"/>
      <c r="F728" s="116"/>
      <c r="H728" s="116"/>
      <c r="I728" s="116"/>
      <c r="L728" s="170"/>
    </row>
    <row r="729" spans="1:12" x14ac:dyDescent="0.25">
      <c r="A729" s="170"/>
      <c r="B729" s="116"/>
      <c r="C729" s="116"/>
      <c r="D729" s="116"/>
      <c r="E729" s="116"/>
      <c r="F729" s="116"/>
      <c r="H729" s="116"/>
      <c r="I729" s="116"/>
      <c r="L729" s="170"/>
    </row>
    <row r="730" spans="1:12" x14ac:dyDescent="0.25">
      <c r="A730" s="170"/>
      <c r="B730" s="116"/>
      <c r="C730" s="116"/>
      <c r="D730" s="116"/>
      <c r="E730" s="116"/>
      <c r="F730" s="116"/>
      <c r="H730" s="116"/>
      <c r="I730" s="116"/>
      <c r="L730" s="170"/>
    </row>
    <row r="731" spans="1:12" x14ac:dyDescent="0.25">
      <c r="A731" s="170"/>
      <c r="B731" s="116"/>
      <c r="C731" s="116"/>
      <c r="D731" s="116"/>
      <c r="E731" s="116"/>
      <c r="F731" s="116"/>
      <c r="H731" s="116"/>
      <c r="I731" s="116"/>
      <c r="L731" s="170"/>
    </row>
    <row r="732" spans="1:12" x14ac:dyDescent="0.25">
      <c r="A732" s="170"/>
      <c r="B732" s="116"/>
      <c r="C732" s="116"/>
      <c r="D732" s="116"/>
      <c r="E732" s="116"/>
      <c r="F732" s="116"/>
      <c r="H732" s="116"/>
      <c r="I732" s="116"/>
      <c r="L732" s="170"/>
    </row>
    <row r="733" spans="1:12" x14ac:dyDescent="0.25">
      <c r="A733" s="170"/>
      <c r="B733" s="116"/>
      <c r="C733" s="116"/>
      <c r="D733" s="116"/>
      <c r="E733" s="116"/>
      <c r="F733" s="116"/>
      <c r="H733" s="116"/>
      <c r="I733" s="116"/>
      <c r="L733" s="170"/>
    </row>
    <row r="734" spans="1:12" x14ac:dyDescent="0.25">
      <c r="A734" s="170"/>
      <c r="B734" s="116"/>
      <c r="C734" s="116"/>
      <c r="D734" s="116"/>
      <c r="E734" s="116"/>
      <c r="F734" s="116"/>
      <c r="H734" s="116"/>
      <c r="I734" s="116"/>
      <c r="L734" s="170"/>
    </row>
    <row r="735" spans="1:12" x14ac:dyDescent="0.25">
      <c r="A735" s="170"/>
      <c r="B735" s="116"/>
      <c r="C735" s="116"/>
      <c r="D735" s="116"/>
      <c r="E735" s="116"/>
      <c r="F735" s="116"/>
      <c r="H735" s="116"/>
      <c r="I735" s="116"/>
      <c r="L735" s="170"/>
    </row>
    <row r="736" spans="1:12" x14ac:dyDescent="0.25">
      <c r="A736" s="170"/>
      <c r="B736" s="116"/>
      <c r="C736" s="116"/>
      <c r="D736" s="116"/>
      <c r="E736" s="116"/>
      <c r="F736" s="116"/>
      <c r="H736" s="116"/>
      <c r="I736" s="116"/>
      <c r="L736" s="170"/>
    </row>
    <row r="737" spans="1:12" x14ac:dyDescent="0.25">
      <c r="A737" s="170"/>
      <c r="B737" s="116"/>
      <c r="C737" s="116"/>
      <c r="D737" s="116"/>
      <c r="E737" s="116"/>
      <c r="F737" s="116"/>
      <c r="H737" s="116"/>
      <c r="I737" s="116"/>
      <c r="L737" s="170"/>
    </row>
    <row r="738" spans="1:12" x14ac:dyDescent="0.25">
      <c r="A738" s="170"/>
      <c r="B738" s="116"/>
      <c r="C738" s="116"/>
      <c r="D738" s="116"/>
      <c r="E738" s="116"/>
      <c r="F738" s="116"/>
      <c r="H738" s="116"/>
      <c r="I738" s="116"/>
      <c r="L738" s="170"/>
    </row>
    <row r="739" spans="1:12" x14ac:dyDescent="0.25">
      <c r="A739" s="170"/>
      <c r="B739" s="116"/>
      <c r="C739" s="116"/>
      <c r="D739" s="116"/>
      <c r="E739" s="116"/>
      <c r="F739" s="116"/>
      <c r="H739" s="116"/>
      <c r="I739" s="116"/>
      <c r="L739" s="170"/>
    </row>
    <row r="740" spans="1:12" x14ac:dyDescent="0.25">
      <c r="A740" s="170"/>
      <c r="B740" s="116"/>
      <c r="C740" s="116"/>
      <c r="D740" s="116"/>
      <c r="E740" s="116"/>
      <c r="F740" s="116"/>
      <c r="H740" s="116"/>
      <c r="I740" s="116"/>
      <c r="L740" s="170"/>
    </row>
    <row r="741" spans="1:12" x14ac:dyDescent="0.25">
      <c r="A741" s="170"/>
      <c r="B741" s="116"/>
      <c r="C741" s="116"/>
      <c r="D741" s="116"/>
      <c r="E741" s="116"/>
      <c r="F741" s="116"/>
      <c r="H741" s="116"/>
      <c r="I741" s="116"/>
      <c r="L741" s="170"/>
    </row>
    <row r="742" spans="1:12" x14ac:dyDescent="0.25">
      <c r="A742" s="170"/>
      <c r="B742" s="116"/>
      <c r="C742" s="116"/>
      <c r="D742" s="116"/>
      <c r="E742" s="116"/>
      <c r="F742" s="116"/>
      <c r="H742" s="116"/>
      <c r="I742" s="116"/>
      <c r="L742" s="170"/>
    </row>
    <row r="743" spans="1:12" x14ac:dyDescent="0.25">
      <c r="A743" s="170"/>
      <c r="B743" s="116"/>
      <c r="C743" s="116"/>
      <c r="D743" s="116"/>
      <c r="E743" s="116"/>
      <c r="F743" s="116"/>
      <c r="H743" s="116"/>
      <c r="I743" s="116"/>
      <c r="L743" s="170"/>
    </row>
    <row r="744" spans="1:12" x14ac:dyDescent="0.25">
      <c r="A744" s="170"/>
      <c r="B744" s="116"/>
      <c r="C744" s="116"/>
      <c r="D744" s="116"/>
      <c r="E744" s="116"/>
      <c r="F744" s="116"/>
      <c r="H744" s="116"/>
      <c r="I744" s="116"/>
      <c r="L744" s="170"/>
    </row>
    <row r="745" spans="1:12" x14ac:dyDescent="0.25">
      <c r="A745" s="170"/>
      <c r="B745" s="116"/>
      <c r="C745" s="116"/>
      <c r="D745" s="116"/>
      <c r="E745" s="116"/>
      <c r="F745" s="116"/>
      <c r="H745" s="116"/>
      <c r="I745" s="116"/>
      <c r="L745" s="170"/>
    </row>
    <row r="746" spans="1:12" x14ac:dyDescent="0.25">
      <c r="A746" s="170"/>
      <c r="B746" s="116"/>
      <c r="C746" s="116"/>
      <c r="D746" s="116"/>
      <c r="E746" s="116"/>
      <c r="F746" s="116"/>
      <c r="H746" s="116"/>
      <c r="I746" s="116"/>
      <c r="L746" s="170"/>
    </row>
    <row r="747" spans="1:12" x14ac:dyDescent="0.25">
      <c r="A747" s="170"/>
      <c r="B747" s="116"/>
      <c r="C747" s="116"/>
      <c r="D747" s="116"/>
      <c r="E747" s="116"/>
      <c r="F747" s="116"/>
      <c r="H747" s="116"/>
      <c r="I747" s="116"/>
      <c r="L747" s="170"/>
    </row>
    <row r="748" spans="1:12" x14ac:dyDescent="0.25">
      <c r="A748" s="170"/>
      <c r="B748" s="116"/>
      <c r="C748" s="116"/>
      <c r="D748" s="116"/>
      <c r="E748" s="116"/>
      <c r="F748" s="116"/>
      <c r="H748" s="116"/>
      <c r="I748" s="116"/>
      <c r="L748" s="170"/>
    </row>
    <row r="749" spans="1:12" x14ac:dyDescent="0.25">
      <c r="A749" s="170"/>
      <c r="B749" s="116"/>
      <c r="C749" s="116"/>
      <c r="D749" s="116"/>
      <c r="E749" s="116"/>
      <c r="F749" s="116"/>
      <c r="H749" s="116"/>
      <c r="I749" s="116"/>
      <c r="L749" s="170"/>
    </row>
    <row r="750" spans="1:12" x14ac:dyDescent="0.25">
      <c r="A750" s="170"/>
      <c r="B750" s="116"/>
      <c r="C750" s="116"/>
      <c r="D750" s="116"/>
      <c r="E750" s="116"/>
      <c r="F750" s="116"/>
      <c r="H750" s="116"/>
      <c r="I750" s="116"/>
      <c r="L750" s="170"/>
    </row>
    <row r="751" spans="1:12" x14ac:dyDescent="0.25">
      <c r="A751" s="170"/>
      <c r="B751" s="116"/>
      <c r="C751" s="116"/>
      <c r="D751" s="116"/>
      <c r="E751" s="116"/>
      <c r="F751" s="116"/>
      <c r="H751" s="116"/>
      <c r="I751" s="116"/>
      <c r="L751" s="170"/>
    </row>
    <row r="752" spans="1:12" x14ac:dyDescent="0.25">
      <c r="A752" s="170"/>
      <c r="B752" s="116"/>
      <c r="C752" s="116"/>
      <c r="D752" s="116"/>
      <c r="E752" s="116"/>
      <c r="F752" s="116"/>
      <c r="H752" s="116"/>
      <c r="I752" s="116"/>
      <c r="L752" s="170"/>
    </row>
    <row r="753" spans="1:12" x14ac:dyDescent="0.25">
      <c r="A753" s="170"/>
      <c r="B753" s="116"/>
      <c r="C753" s="116"/>
      <c r="D753" s="116"/>
      <c r="E753" s="116"/>
      <c r="F753" s="116"/>
      <c r="H753" s="116"/>
      <c r="I753" s="116"/>
      <c r="L753" s="170"/>
    </row>
    <row r="754" spans="1:12" x14ac:dyDescent="0.25">
      <c r="A754" s="170"/>
      <c r="B754" s="116"/>
      <c r="C754" s="116"/>
      <c r="D754" s="116"/>
      <c r="E754" s="116"/>
      <c r="F754" s="116"/>
      <c r="H754" s="116"/>
      <c r="I754" s="116"/>
      <c r="L754" s="170"/>
    </row>
    <row r="755" spans="1:12" x14ac:dyDescent="0.25">
      <c r="A755" s="170"/>
      <c r="B755" s="116"/>
      <c r="C755" s="116"/>
      <c r="D755" s="116"/>
      <c r="E755" s="116"/>
      <c r="F755" s="116"/>
      <c r="H755" s="116"/>
      <c r="I755" s="116"/>
      <c r="L755" s="170"/>
    </row>
    <row r="756" spans="1:12" x14ac:dyDescent="0.25">
      <c r="A756" s="170"/>
      <c r="B756" s="116"/>
      <c r="C756" s="116"/>
      <c r="D756" s="116"/>
      <c r="E756" s="116"/>
      <c r="F756" s="116"/>
      <c r="H756" s="116"/>
      <c r="I756" s="116"/>
      <c r="L756" s="170"/>
    </row>
    <row r="757" spans="1:12" x14ac:dyDescent="0.25">
      <c r="A757" s="170"/>
      <c r="B757" s="116"/>
      <c r="C757" s="116"/>
      <c r="D757" s="116"/>
      <c r="E757" s="116"/>
      <c r="F757" s="116"/>
      <c r="H757" s="116"/>
      <c r="I757" s="116"/>
      <c r="L757" s="170"/>
    </row>
    <row r="758" spans="1:12" x14ac:dyDescent="0.25">
      <c r="A758" s="170"/>
      <c r="B758" s="116"/>
      <c r="C758" s="116"/>
      <c r="D758" s="116"/>
      <c r="E758" s="116"/>
      <c r="F758" s="116"/>
      <c r="H758" s="116"/>
      <c r="I758" s="116"/>
      <c r="L758" s="170"/>
    </row>
    <row r="759" spans="1:12" x14ac:dyDescent="0.25">
      <c r="A759" s="170"/>
      <c r="B759" s="116"/>
      <c r="C759" s="116"/>
      <c r="D759" s="116"/>
      <c r="E759" s="116"/>
      <c r="F759" s="116"/>
      <c r="H759" s="116"/>
      <c r="I759" s="116"/>
      <c r="L759" s="170"/>
    </row>
    <row r="760" spans="1:12" x14ac:dyDescent="0.25">
      <c r="A760" s="170"/>
      <c r="B760" s="116"/>
      <c r="C760" s="116"/>
      <c r="D760" s="116"/>
      <c r="E760" s="116"/>
      <c r="F760" s="116"/>
      <c r="H760" s="116"/>
      <c r="I760" s="116"/>
      <c r="L760" s="170"/>
    </row>
    <row r="761" spans="1:12" x14ac:dyDescent="0.25">
      <c r="A761" s="170"/>
      <c r="B761" s="116"/>
      <c r="C761" s="116"/>
      <c r="D761" s="116"/>
      <c r="E761" s="116"/>
      <c r="F761" s="116"/>
      <c r="H761" s="116"/>
      <c r="I761" s="116"/>
      <c r="L761" s="170"/>
    </row>
    <row r="762" spans="1:12" x14ac:dyDescent="0.25">
      <c r="A762" s="170"/>
      <c r="B762" s="116"/>
      <c r="C762" s="116"/>
      <c r="D762" s="116"/>
      <c r="E762" s="116"/>
      <c r="F762" s="116"/>
      <c r="H762" s="116"/>
      <c r="I762" s="116"/>
      <c r="L762" s="170"/>
    </row>
    <row r="763" spans="1:12" x14ac:dyDescent="0.25">
      <c r="A763" s="170"/>
      <c r="B763" s="116"/>
      <c r="C763" s="116"/>
      <c r="D763" s="116"/>
      <c r="E763" s="116"/>
      <c r="F763" s="116"/>
      <c r="H763" s="116"/>
      <c r="I763" s="116"/>
      <c r="L763" s="170"/>
    </row>
    <row r="764" spans="1:12" x14ac:dyDescent="0.25">
      <c r="A764" s="170"/>
      <c r="B764" s="116"/>
      <c r="C764" s="116"/>
      <c r="D764" s="116"/>
      <c r="E764" s="116"/>
      <c r="F764" s="116"/>
      <c r="H764" s="116"/>
      <c r="I764" s="116"/>
      <c r="L764" s="170"/>
    </row>
    <row r="765" spans="1:12" x14ac:dyDescent="0.25">
      <c r="A765" s="170"/>
      <c r="B765" s="116"/>
      <c r="C765" s="116"/>
      <c r="D765" s="116"/>
      <c r="E765" s="116"/>
      <c r="F765" s="116"/>
      <c r="H765" s="116"/>
      <c r="I765" s="116"/>
      <c r="L765" s="170"/>
    </row>
    <row r="766" spans="1:12" x14ac:dyDescent="0.25">
      <c r="A766" s="170"/>
      <c r="B766" s="116"/>
      <c r="C766" s="116"/>
      <c r="D766" s="116"/>
      <c r="E766" s="116"/>
      <c r="F766" s="116"/>
      <c r="H766" s="116"/>
      <c r="I766" s="116"/>
      <c r="L766" s="170"/>
    </row>
    <row r="767" spans="1:12" x14ac:dyDescent="0.25">
      <c r="A767" s="170"/>
      <c r="B767" s="116"/>
      <c r="C767" s="116"/>
      <c r="D767" s="116"/>
      <c r="E767" s="116"/>
      <c r="F767" s="116"/>
      <c r="H767" s="116"/>
      <c r="I767" s="116"/>
      <c r="L767" s="170"/>
    </row>
    <row r="768" spans="1:12" x14ac:dyDescent="0.25">
      <c r="A768" s="170"/>
      <c r="B768" s="116"/>
      <c r="C768" s="116"/>
      <c r="D768" s="116"/>
      <c r="E768" s="116"/>
      <c r="F768" s="116"/>
      <c r="H768" s="116"/>
      <c r="I768" s="116"/>
      <c r="L768" s="170"/>
    </row>
    <row r="769" spans="1:12" x14ac:dyDescent="0.25">
      <c r="A769" s="170"/>
      <c r="B769" s="116"/>
      <c r="C769" s="116"/>
      <c r="D769" s="116"/>
      <c r="E769" s="116"/>
      <c r="F769" s="116"/>
      <c r="H769" s="116"/>
      <c r="I769" s="116"/>
      <c r="L769" s="170"/>
    </row>
    <row r="770" spans="1:12" x14ac:dyDescent="0.25">
      <c r="A770" s="170"/>
      <c r="B770" s="116"/>
      <c r="C770" s="116"/>
      <c r="D770" s="116"/>
      <c r="E770" s="116"/>
      <c r="F770" s="116"/>
      <c r="H770" s="116"/>
      <c r="I770" s="116"/>
      <c r="L770" s="170"/>
    </row>
    <row r="771" spans="1:12" x14ac:dyDescent="0.25">
      <c r="A771" s="170"/>
      <c r="B771" s="116"/>
      <c r="C771" s="116"/>
      <c r="D771" s="116"/>
      <c r="E771" s="116"/>
      <c r="F771" s="116"/>
      <c r="H771" s="116"/>
      <c r="I771" s="116"/>
      <c r="L771" s="170"/>
    </row>
    <row r="772" spans="1:12" x14ac:dyDescent="0.25">
      <c r="A772" s="170"/>
      <c r="B772" s="116"/>
      <c r="C772" s="116"/>
      <c r="D772" s="116"/>
      <c r="E772" s="116"/>
      <c r="F772" s="116"/>
      <c r="H772" s="116"/>
      <c r="I772" s="116"/>
      <c r="L772" s="170"/>
    </row>
    <row r="773" spans="1:12" x14ac:dyDescent="0.25">
      <c r="A773" s="170"/>
      <c r="B773" s="116"/>
      <c r="C773" s="116"/>
      <c r="D773" s="116"/>
      <c r="E773" s="116"/>
      <c r="F773" s="116"/>
      <c r="H773" s="116"/>
      <c r="I773" s="116"/>
      <c r="L773" s="170"/>
    </row>
    <row r="774" spans="1:12" x14ac:dyDescent="0.25">
      <c r="A774" s="170"/>
      <c r="B774" s="116"/>
      <c r="C774" s="116"/>
      <c r="D774" s="116"/>
      <c r="E774" s="116"/>
      <c r="F774" s="116"/>
      <c r="H774" s="116"/>
      <c r="I774" s="116"/>
      <c r="L774" s="170"/>
    </row>
    <row r="775" spans="1:12" x14ac:dyDescent="0.25">
      <c r="A775" s="170"/>
      <c r="B775" s="116"/>
      <c r="C775" s="116"/>
      <c r="D775" s="116"/>
      <c r="E775" s="116"/>
      <c r="F775" s="116"/>
      <c r="H775" s="116"/>
      <c r="I775" s="116"/>
      <c r="L775" s="170"/>
    </row>
    <row r="776" spans="1:12" x14ac:dyDescent="0.25">
      <c r="A776" s="170"/>
      <c r="B776" s="116"/>
      <c r="C776" s="116"/>
      <c r="D776" s="116"/>
      <c r="E776" s="116"/>
      <c r="F776" s="116"/>
      <c r="H776" s="116"/>
      <c r="I776" s="116"/>
      <c r="L776" s="170"/>
    </row>
    <row r="777" spans="1:12" x14ac:dyDescent="0.25">
      <c r="A777" s="170"/>
      <c r="B777" s="116"/>
      <c r="C777" s="116"/>
      <c r="D777" s="116"/>
      <c r="E777" s="116"/>
      <c r="F777" s="116"/>
      <c r="H777" s="116"/>
      <c r="I777" s="116"/>
      <c r="L777" s="170"/>
    </row>
    <row r="778" spans="1:12" x14ac:dyDescent="0.25">
      <c r="A778" s="170"/>
      <c r="B778" s="116"/>
      <c r="C778" s="116"/>
      <c r="D778" s="116"/>
      <c r="E778" s="116"/>
      <c r="F778" s="116"/>
      <c r="H778" s="116"/>
      <c r="I778" s="116"/>
      <c r="L778" s="170"/>
    </row>
    <row r="779" spans="1:12" x14ac:dyDescent="0.25">
      <c r="A779" s="170"/>
      <c r="B779" s="116"/>
      <c r="C779" s="116"/>
      <c r="D779" s="116"/>
      <c r="E779" s="116"/>
      <c r="F779" s="116"/>
      <c r="H779" s="116"/>
      <c r="I779" s="116"/>
      <c r="L779" s="170"/>
    </row>
    <row r="780" spans="1:12" x14ac:dyDescent="0.25">
      <c r="A780" s="170"/>
      <c r="B780" s="116"/>
      <c r="C780" s="116"/>
      <c r="D780" s="116"/>
      <c r="E780" s="116"/>
      <c r="F780" s="116"/>
      <c r="H780" s="116"/>
      <c r="I780" s="116"/>
      <c r="L780" s="170"/>
    </row>
    <row r="781" spans="1:12" x14ac:dyDescent="0.25">
      <c r="A781" s="170"/>
      <c r="B781" s="116"/>
      <c r="C781" s="116"/>
      <c r="D781" s="116"/>
      <c r="E781" s="116"/>
      <c r="F781" s="116"/>
      <c r="H781" s="116"/>
      <c r="I781" s="116"/>
      <c r="L781" s="170"/>
    </row>
    <row r="782" spans="1:12" x14ac:dyDescent="0.25">
      <c r="A782" s="170"/>
      <c r="B782" s="116"/>
      <c r="C782" s="116"/>
      <c r="D782" s="116"/>
      <c r="E782" s="116"/>
      <c r="F782" s="116"/>
      <c r="H782" s="116"/>
      <c r="I782" s="116"/>
      <c r="L782" s="170"/>
    </row>
    <row r="783" spans="1:12" x14ac:dyDescent="0.25">
      <c r="A783" s="170"/>
      <c r="B783" s="116"/>
      <c r="C783" s="116"/>
      <c r="D783" s="116"/>
      <c r="E783" s="116"/>
      <c r="F783" s="116"/>
      <c r="H783" s="116"/>
      <c r="I783" s="116"/>
      <c r="L783" s="170"/>
    </row>
    <row r="784" spans="1:12" x14ac:dyDescent="0.25">
      <c r="A784" s="170"/>
      <c r="B784" s="116"/>
      <c r="C784" s="116"/>
      <c r="D784" s="116"/>
      <c r="E784" s="116"/>
      <c r="F784" s="116"/>
      <c r="H784" s="116"/>
      <c r="I784" s="116"/>
      <c r="L784" s="170"/>
    </row>
    <row r="785" spans="1:12" x14ac:dyDescent="0.25">
      <c r="A785" s="170"/>
      <c r="B785" s="116"/>
      <c r="C785" s="116"/>
      <c r="D785" s="116"/>
      <c r="E785" s="116"/>
      <c r="F785" s="116"/>
      <c r="H785" s="116"/>
      <c r="I785" s="116"/>
      <c r="L785" s="170"/>
    </row>
    <row r="786" spans="1:12" x14ac:dyDescent="0.25">
      <c r="A786" s="170"/>
      <c r="B786" s="116"/>
      <c r="C786" s="116"/>
      <c r="D786" s="116"/>
      <c r="E786" s="116"/>
      <c r="F786" s="116"/>
      <c r="H786" s="116"/>
      <c r="I786" s="116"/>
      <c r="L786" s="170"/>
    </row>
    <row r="787" spans="1:12" x14ac:dyDescent="0.25">
      <c r="A787" s="170"/>
      <c r="B787" s="116"/>
      <c r="C787" s="116"/>
      <c r="D787" s="116"/>
      <c r="E787" s="116"/>
      <c r="F787" s="116"/>
      <c r="H787" s="116"/>
      <c r="I787" s="116"/>
      <c r="L787" s="170"/>
    </row>
    <row r="788" spans="1:12" x14ac:dyDescent="0.25">
      <c r="A788" s="170"/>
      <c r="B788" s="116"/>
      <c r="C788" s="116"/>
      <c r="D788" s="116"/>
      <c r="E788" s="116"/>
      <c r="F788" s="116"/>
      <c r="H788" s="116"/>
      <c r="I788" s="116"/>
      <c r="L788" s="170"/>
    </row>
    <row r="789" spans="1:12" x14ac:dyDescent="0.25">
      <c r="A789" s="170"/>
      <c r="B789" s="116"/>
      <c r="C789" s="116"/>
      <c r="D789" s="116"/>
      <c r="E789" s="116"/>
      <c r="F789" s="116"/>
      <c r="H789" s="116"/>
      <c r="I789" s="116"/>
      <c r="L789" s="170"/>
    </row>
    <row r="790" spans="1:12" x14ac:dyDescent="0.25">
      <c r="A790" s="170"/>
      <c r="B790" s="116"/>
      <c r="C790" s="116"/>
      <c r="D790" s="116"/>
      <c r="E790" s="116"/>
      <c r="F790" s="116"/>
      <c r="H790" s="116"/>
      <c r="I790" s="116"/>
      <c r="L790" s="170"/>
    </row>
    <row r="791" spans="1:12" x14ac:dyDescent="0.25">
      <c r="A791" s="170"/>
      <c r="B791" s="116"/>
      <c r="C791" s="116"/>
      <c r="D791" s="116"/>
      <c r="E791" s="116"/>
      <c r="F791" s="116"/>
      <c r="H791" s="116"/>
      <c r="I791" s="116"/>
      <c r="L791" s="170"/>
    </row>
    <row r="792" spans="1:12" x14ac:dyDescent="0.25">
      <c r="A792" s="170"/>
      <c r="B792" s="116"/>
      <c r="C792" s="116"/>
      <c r="D792" s="116"/>
      <c r="E792" s="116"/>
      <c r="F792" s="116"/>
      <c r="H792" s="116"/>
      <c r="I792" s="116"/>
      <c r="L792" s="170"/>
    </row>
    <row r="793" spans="1:12" x14ac:dyDescent="0.25">
      <c r="A793" s="170"/>
      <c r="B793" s="116"/>
      <c r="C793" s="116"/>
      <c r="D793" s="116"/>
      <c r="E793" s="116"/>
      <c r="F793" s="116"/>
      <c r="H793" s="116"/>
      <c r="I793" s="116"/>
      <c r="L793" s="170"/>
    </row>
    <row r="794" spans="1:12" x14ac:dyDescent="0.25">
      <c r="A794" s="170"/>
      <c r="B794" s="116"/>
      <c r="C794" s="116"/>
      <c r="D794" s="116"/>
      <c r="E794" s="116"/>
      <c r="F794" s="116"/>
      <c r="H794" s="116"/>
      <c r="I794" s="116"/>
      <c r="L794" s="170"/>
    </row>
    <row r="795" spans="1:12" x14ac:dyDescent="0.25">
      <c r="A795" s="170"/>
      <c r="B795" s="116"/>
      <c r="C795" s="116"/>
      <c r="D795" s="116"/>
      <c r="E795" s="116"/>
      <c r="F795" s="116"/>
      <c r="H795" s="116"/>
      <c r="I795" s="116"/>
      <c r="L795" s="170"/>
    </row>
    <row r="796" spans="1:12" x14ac:dyDescent="0.25">
      <c r="A796" s="170"/>
      <c r="B796" s="116"/>
      <c r="C796" s="116"/>
      <c r="D796" s="116"/>
      <c r="E796" s="116"/>
      <c r="F796" s="116"/>
      <c r="H796" s="116"/>
      <c r="I796" s="116"/>
      <c r="L796" s="170"/>
    </row>
    <row r="797" spans="1:12" x14ac:dyDescent="0.25">
      <c r="A797" s="170"/>
      <c r="B797" s="116"/>
      <c r="C797" s="116"/>
      <c r="D797" s="116"/>
      <c r="E797" s="116"/>
      <c r="F797" s="116"/>
      <c r="H797" s="116"/>
      <c r="I797" s="116"/>
      <c r="L797" s="170"/>
    </row>
    <row r="798" spans="1:12" x14ac:dyDescent="0.25">
      <c r="A798" s="170"/>
      <c r="B798" s="116"/>
      <c r="C798" s="116"/>
      <c r="D798" s="116"/>
      <c r="E798" s="116"/>
      <c r="F798" s="116"/>
      <c r="H798" s="116"/>
      <c r="I798" s="116"/>
      <c r="L798" s="170"/>
    </row>
    <row r="799" spans="1:12" x14ac:dyDescent="0.25">
      <c r="A799" s="170"/>
      <c r="B799" s="116"/>
      <c r="C799" s="116"/>
      <c r="D799" s="116"/>
      <c r="E799" s="116"/>
      <c r="F799" s="116"/>
      <c r="H799" s="116"/>
      <c r="I799" s="116"/>
      <c r="L799" s="170"/>
    </row>
    <row r="800" spans="1:12" x14ac:dyDescent="0.25">
      <c r="A800" s="170"/>
      <c r="B800" s="116"/>
      <c r="C800" s="116"/>
      <c r="D800" s="116"/>
      <c r="E800" s="116"/>
      <c r="F800" s="116"/>
      <c r="H800" s="116"/>
      <c r="I800" s="116"/>
      <c r="L800" s="170"/>
    </row>
    <row r="801" spans="1:12" x14ac:dyDescent="0.25">
      <c r="A801" s="170"/>
      <c r="B801" s="116"/>
      <c r="C801" s="116"/>
      <c r="D801" s="116"/>
      <c r="E801" s="116"/>
      <c r="F801" s="116"/>
      <c r="H801" s="116"/>
      <c r="I801" s="116"/>
      <c r="L801" s="170"/>
    </row>
    <row r="802" spans="1:12" x14ac:dyDescent="0.25">
      <c r="A802" s="170"/>
      <c r="B802" s="116"/>
      <c r="C802" s="116"/>
      <c r="D802" s="116"/>
      <c r="E802" s="116"/>
      <c r="F802" s="116"/>
      <c r="H802" s="116"/>
      <c r="I802" s="116"/>
      <c r="L802" s="170"/>
    </row>
    <row r="803" spans="1:12" x14ac:dyDescent="0.25">
      <c r="A803" s="170"/>
      <c r="B803" s="116"/>
      <c r="C803" s="116"/>
      <c r="D803" s="116"/>
      <c r="E803" s="116"/>
      <c r="F803" s="116"/>
      <c r="H803" s="116"/>
      <c r="I803" s="116"/>
      <c r="L803" s="170"/>
    </row>
    <row r="804" spans="1:12" x14ac:dyDescent="0.25">
      <c r="A804" s="170"/>
      <c r="B804" s="116"/>
      <c r="C804" s="116"/>
      <c r="D804" s="116"/>
      <c r="E804" s="116"/>
      <c r="F804" s="116"/>
      <c r="H804" s="116"/>
      <c r="I804" s="116"/>
      <c r="L804" s="170"/>
    </row>
    <row r="805" spans="1:12" x14ac:dyDescent="0.25">
      <c r="A805" s="170"/>
      <c r="B805" s="116"/>
      <c r="C805" s="116"/>
      <c r="D805" s="116"/>
      <c r="E805" s="116"/>
      <c r="F805" s="116"/>
      <c r="H805" s="116"/>
      <c r="I805" s="116"/>
      <c r="L805" s="170"/>
    </row>
    <row r="806" spans="1:12" x14ac:dyDescent="0.25">
      <c r="A806" s="170"/>
      <c r="B806" s="116"/>
      <c r="C806" s="116"/>
      <c r="D806" s="116"/>
      <c r="E806" s="116"/>
      <c r="F806" s="116"/>
      <c r="H806" s="116"/>
      <c r="I806" s="116"/>
      <c r="L806" s="170"/>
    </row>
    <row r="807" spans="1:12" x14ac:dyDescent="0.25">
      <c r="A807" s="170"/>
      <c r="B807" s="116"/>
      <c r="C807" s="116"/>
      <c r="D807" s="116"/>
      <c r="E807" s="116"/>
      <c r="F807" s="116"/>
      <c r="H807" s="116"/>
      <c r="I807" s="116"/>
      <c r="L807" s="170"/>
    </row>
    <row r="808" spans="1:12" x14ac:dyDescent="0.25">
      <c r="A808" s="170"/>
      <c r="B808" s="116"/>
      <c r="C808" s="116"/>
      <c r="D808" s="116"/>
      <c r="E808" s="116"/>
      <c r="F808" s="116"/>
      <c r="H808" s="116"/>
      <c r="I808" s="116"/>
      <c r="L808" s="170"/>
    </row>
    <row r="809" spans="1:12" x14ac:dyDescent="0.25">
      <c r="A809" s="170"/>
      <c r="B809" s="116"/>
      <c r="C809" s="116"/>
      <c r="D809" s="116"/>
      <c r="E809" s="116"/>
      <c r="F809" s="116"/>
      <c r="H809" s="116"/>
      <c r="I809" s="116"/>
      <c r="L809" s="170"/>
    </row>
    <row r="810" spans="1:12" x14ac:dyDescent="0.25">
      <c r="A810" s="170"/>
      <c r="B810" s="116"/>
      <c r="C810" s="116"/>
      <c r="D810" s="116"/>
      <c r="E810" s="116"/>
      <c r="F810" s="116"/>
      <c r="H810" s="116"/>
      <c r="I810" s="116"/>
      <c r="L810" s="170"/>
    </row>
    <row r="811" spans="1:12" x14ac:dyDescent="0.25">
      <c r="A811" s="170"/>
      <c r="B811" s="116"/>
      <c r="C811" s="116"/>
      <c r="D811" s="116"/>
      <c r="E811" s="116"/>
      <c r="F811" s="116"/>
      <c r="H811" s="116"/>
      <c r="I811" s="116"/>
      <c r="L811" s="170"/>
    </row>
    <row r="812" spans="1:12" x14ac:dyDescent="0.25">
      <c r="A812" s="170"/>
      <c r="B812" s="116"/>
      <c r="C812" s="116"/>
      <c r="D812" s="116"/>
      <c r="E812" s="116"/>
      <c r="F812" s="116"/>
      <c r="H812" s="116"/>
      <c r="I812" s="116"/>
      <c r="L812" s="170"/>
    </row>
    <row r="813" spans="1:12" x14ac:dyDescent="0.25">
      <c r="A813" s="170"/>
      <c r="B813" s="116"/>
      <c r="C813" s="116"/>
      <c r="D813" s="116"/>
      <c r="E813" s="116"/>
      <c r="F813" s="116"/>
      <c r="H813" s="116"/>
      <c r="I813" s="116"/>
      <c r="L813" s="170"/>
    </row>
    <row r="814" spans="1:12" x14ac:dyDescent="0.25">
      <c r="A814" s="170"/>
      <c r="B814" s="116"/>
      <c r="C814" s="116"/>
      <c r="D814" s="116"/>
      <c r="E814" s="116"/>
      <c r="F814" s="116"/>
      <c r="H814" s="116"/>
      <c r="I814" s="116"/>
      <c r="L814" s="170"/>
    </row>
    <row r="815" spans="1:12" x14ac:dyDescent="0.25">
      <c r="A815" s="170"/>
      <c r="B815" s="116"/>
      <c r="C815" s="116"/>
      <c r="D815" s="116"/>
      <c r="E815" s="116"/>
      <c r="F815" s="116"/>
      <c r="H815" s="116"/>
      <c r="I815" s="116"/>
      <c r="L815" s="170"/>
    </row>
    <row r="816" spans="1:12" x14ac:dyDescent="0.25">
      <c r="A816" s="170"/>
      <c r="B816" s="116"/>
      <c r="C816" s="116"/>
      <c r="D816" s="116"/>
      <c r="E816" s="116"/>
      <c r="F816" s="116"/>
      <c r="H816" s="116"/>
      <c r="I816" s="116"/>
      <c r="L816" s="170"/>
    </row>
    <row r="817" spans="1:12" x14ac:dyDescent="0.25">
      <c r="A817" s="170"/>
      <c r="B817" s="116"/>
      <c r="C817" s="116"/>
      <c r="D817" s="116"/>
      <c r="E817" s="116"/>
      <c r="F817" s="116"/>
      <c r="H817" s="116"/>
      <c r="I817" s="116"/>
      <c r="L817" s="170"/>
    </row>
    <row r="818" spans="1:12" x14ac:dyDescent="0.25">
      <c r="A818" s="170"/>
      <c r="B818" s="116"/>
      <c r="C818" s="116"/>
      <c r="D818" s="116"/>
      <c r="E818" s="116"/>
      <c r="F818" s="116"/>
      <c r="H818" s="116"/>
      <c r="I818" s="116"/>
      <c r="L818" s="170"/>
    </row>
    <row r="819" spans="1:12" x14ac:dyDescent="0.25">
      <c r="A819" s="170"/>
      <c r="B819" s="116"/>
      <c r="C819" s="116"/>
      <c r="D819" s="116"/>
      <c r="E819" s="116"/>
      <c r="F819" s="116"/>
      <c r="H819" s="116"/>
      <c r="I819" s="116"/>
      <c r="L819" s="170"/>
    </row>
    <row r="820" spans="1:12" x14ac:dyDescent="0.25">
      <c r="A820" s="170"/>
      <c r="B820" s="116"/>
      <c r="C820" s="116"/>
      <c r="D820" s="116"/>
      <c r="E820" s="116"/>
      <c r="F820" s="116"/>
      <c r="H820" s="116"/>
      <c r="I820" s="116"/>
      <c r="L820" s="170"/>
    </row>
    <row r="821" spans="1:12" x14ac:dyDescent="0.25">
      <c r="A821" s="170"/>
      <c r="B821" s="116"/>
      <c r="C821" s="116"/>
      <c r="D821" s="116"/>
      <c r="E821" s="116"/>
      <c r="F821" s="116"/>
      <c r="H821" s="116"/>
      <c r="I821" s="116"/>
      <c r="L821" s="170"/>
    </row>
    <row r="822" spans="1:12" x14ac:dyDescent="0.25">
      <c r="A822" s="170"/>
      <c r="B822" s="116"/>
      <c r="C822" s="116"/>
      <c r="D822" s="116"/>
      <c r="E822" s="116"/>
      <c r="F822" s="116"/>
      <c r="H822" s="116"/>
      <c r="I822" s="116"/>
      <c r="L822" s="170"/>
    </row>
    <row r="823" spans="1:12" x14ac:dyDescent="0.25">
      <c r="A823" s="170"/>
      <c r="B823" s="116"/>
      <c r="C823" s="116"/>
      <c r="D823" s="116"/>
      <c r="E823" s="116"/>
      <c r="F823" s="116"/>
      <c r="H823" s="116"/>
      <c r="I823" s="116"/>
      <c r="L823" s="170"/>
    </row>
    <row r="824" spans="1:12" x14ac:dyDescent="0.25">
      <c r="A824" s="170"/>
      <c r="B824" s="116"/>
      <c r="C824" s="116"/>
      <c r="D824" s="116"/>
      <c r="E824" s="116"/>
      <c r="F824" s="116"/>
      <c r="H824" s="116"/>
      <c r="I824" s="116"/>
      <c r="L824" s="170"/>
    </row>
    <row r="825" spans="1:12" x14ac:dyDescent="0.25">
      <c r="A825" s="170"/>
      <c r="B825" s="116"/>
      <c r="C825" s="116"/>
      <c r="D825" s="116"/>
      <c r="E825" s="116"/>
      <c r="F825" s="116"/>
      <c r="H825" s="116"/>
      <c r="I825" s="116"/>
      <c r="L825" s="170"/>
    </row>
    <row r="826" spans="1:12" x14ac:dyDescent="0.25">
      <c r="A826" s="170"/>
      <c r="B826" s="116"/>
      <c r="C826" s="116"/>
      <c r="D826" s="116"/>
      <c r="E826" s="116"/>
      <c r="F826" s="116"/>
      <c r="H826" s="116"/>
      <c r="I826" s="116"/>
      <c r="L826" s="170"/>
    </row>
    <row r="827" spans="1:12" x14ac:dyDescent="0.25">
      <c r="A827" s="170"/>
      <c r="B827" s="116"/>
      <c r="C827" s="116"/>
      <c r="D827" s="116"/>
      <c r="E827" s="116"/>
      <c r="F827" s="116"/>
      <c r="H827" s="116"/>
      <c r="I827" s="116"/>
      <c r="L827" s="170"/>
    </row>
    <row r="828" spans="1:12" x14ac:dyDescent="0.25">
      <c r="A828" s="170"/>
      <c r="B828" s="116"/>
      <c r="C828" s="116"/>
      <c r="D828" s="116"/>
      <c r="E828" s="116"/>
      <c r="F828" s="116"/>
      <c r="H828" s="116"/>
      <c r="I828" s="116"/>
      <c r="L828" s="170"/>
    </row>
    <row r="829" spans="1:12" x14ac:dyDescent="0.25">
      <c r="A829" s="170"/>
      <c r="B829" s="116"/>
      <c r="C829" s="116"/>
      <c r="D829" s="116"/>
      <c r="E829" s="116"/>
      <c r="F829" s="116"/>
      <c r="H829" s="116"/>
      <c r="I829" s="116"/>
      <c r="L829" s="170"/>
    </row>
    <row r="830" spans="1:12" x14ac:dyDescent="0.25">
      <c r="A830" s="170"/>
      <c r="B830" s="116"/>
      <c r="C830" s="116"/>
      <c r="D830" s="116"/>
      <c r="E830" s="116"/>
      <c r="F830" s="116"/>
      <c r="H830" s="116"/>
      <c r="I830" s="116"/>
      <c r="L830" s="170"/>
    </row>
    <row r="831" spans="1:12" x14ac:dyDescent="0.25">
      <c r="A831" s="170"/>
      <c r="B831" s="116"/>
      <c r="C831" s="116"/>
      <c r="D831" s="116"/>
      <c r="E831" s="116"/>
      <c r="F831" s="116"/>
      <c r="H831" s="116"/>
      <c r="I831" s="116"/>
      <c r="L831" s="170"/>
    </row>
    <row r="832" spans="1:12" x14ac:dyDescent="0.25">
      <c r="A832" s="170"/>
      <c r="B832" s="116"/>
      <c r="C832" s="116"/>
      <c r="D832" s="116"/>
      <c r="E832" s="116"/>
      <c r="F832" s="116"/>
      <c r="H832" s="116"/>
      <c r="I832" s="116"/>
      <c r="L832" s="170"/>
    </row>
    <row r="833" spans="1:18" x14ac:dyDescent="0.25">
      <c r="A833" s="170"/>
      <c r="B833" s="116"/>
      <c r="C833" s="116"/>
      <c r="D833" s="116"/>
      <c r="E833" s="116"/>
      <c r="F833" s="116"/>
      <c r="H833" s="116"/>
      <c r="I833" s="116"/>
      <c r="L833" s="170"/>
    </row>
    <row r="834" spans="1:18" x14ac:dyDescent="0.25">
      <c r="A834" s="170"/>
      <c r="B834" s="116"/>
      <c r="C834" s="116"/>
      <c r="D834" s="116"/>
      <c r="E834" s="116"/>
      <c r="F834" s="116"/>
      <c r="H834" s="116"/>
      <c r="I834" s="116"/>
      <c r="L834" s="170"/>
    </row>
    <row r="835" spans="1:18" x14ac:dyDescent="0.25">
      <c r="A835" s="170"/>
      <c r="B835" s="116"/>
      <c r="C835" s="116"/>
      <c r="D835" s="116"/>
      <c r="E835" s="116"/>
      <c r="F835" s="116"/>
      <c r="H835" s="116"/>
      <c r="I835" s="116"/>
      <c r="L835" s="170"/>
    </row>
    <row r="836" spans="1:18" x14ac:dyDescent="0.25">
      <c r="A836" s="170"/>
      <c r="B836" s="116"/>
      <c r="C836" s="116"/>
      <c r="D836" s="116"/>
      <c r="E836" s="116"/>
      <c r="F836" s="116"/>
      <c r="H836" s="116"/>
      <c r="I836" s="116"/>
      <c r="L836" s="170"/>
    </row>
    <row r="837" spans="1:18" x14ac:dyDescent="0.25">
      <c r="A837" s="170"/>
      <c r="B837" s="116"/>
      <c r="C837" s="116"/>
      <c r="D837" s="116"/>
      <c r="E837" s="116"/>
      <c r="F837" s="116"/>
      <c r="H837" s="116"/>
      <c r="I837" s="116"/>
      <c r="L837" s="170"/>
    </row>
    <row r="838" spans="1:18" x14ac:dyDescent="0.25">
      <c r="A838" s="170"/>
      <c r="B838" s="116"/>
      <c r="C838" s="116"/>
      <c r="D838" s="116"/>
      <c r="E838" s="116"/>
      <c r="F838" s="116"/>
      <c r="H838" s="116"/>
      <c r="I838" s="116"/>
      <c r="L838" s="170"/>
    </row>
    <row r="839" spans="1:18" x14ac:dyDescent="0.25">
      <c r="A839" s="170"/>
      <c r="B839" s="116"/>
      <c r="C839" s="116"/>
      <c r="D839" s="116"/>
      <c r="E839" s="116"/>
      <c r="F839" s="116"/>
      <c r="H839" s="116"/>
      <c r="I839" s="116"/>
      <c r="L839" s="170"/>
    </row>
    <row r="840" spans="1:18" x14ac:dyDescent="0.25">
      <c r="A840" s="170"/>
      <c r="B840" s="116"/>
      <c r="C840" s="116"/>
      <c r="D840" s="116"/>
      <c r="E840" s="116"/>
      <c r="F840" s="116"/>
      <c r="H840" s="116"/>
      <c r="I840" s="116"/>
      <c r="L840" s="170"/>
    </row>
    <row r="841" spans="1:18" x14ac:dyDescent="0.25">
      <c r="A841" s="170"/>
      <c r="B841" s="116"/>
      <c r="C841" s="116"/>
      <c r="D841" s="116"/>
      <c r="E841" s="116"/>
      <c r="F841" s="116"/>
      <c r="H841" s="116"/>
      <c r="I841" s="116"/>
      <c r="L841" s="170"/>
    </row>
    <row r="842" spans="1:18" x14ac:dyDescent="0.25">
      <c r="A842" s="170"/>
      <c r="B842" s="116"/>
      <c r="C842" s="116"/>
      <c r="D842" s="116"/>
      <c r="E842" s="116"/>
      <c r="F842" s="116"/>
      <c r="H842" s="116"/>
      <c r="I842" s="116"/>
      <c r="L842" s="170"/>
    </row>
    <row r="843" spans="1:18" x14ac:dyDescent="0.25">
      <c r="A843" s="170"/>
      <c r="B843" s="116"/>
      <c r="C843" s="116"/>
      <c r="D843" s="116"/>
      <c r="E843" s="116"/>
      <c r="F843" s="116"/>
      <c r="H843" s="116"/>
      <c r="I843" s="116"/>
      <c r="L843" s="170"/>
    </row>
    <row r="844" spans="1:18" x14ac:dyDescent="0.25">
      <c r="A844" s="170">
        <v>43244</v>
      </c>
      <c r="B844" s="116">
        <v>361.4</v>
      </c>
      <c r="C844" s="116">
        <v>353.35</v>
      </c>
      <c r="D844" s="116">
        <v>349.6</v>
      </c>
      <c r="E844" s="116">
        <v>353</v>
      </c>
      <c r="F844" s="116">
        <v>353.35</v>
      </c>
      <c r="G844">
        <v>27025</v>
      </c>
      <c r="H844" s="116"/>
      <c r="I844" s="116"/>
      <c r="L844" s="170">
        <v>43244</v>
      </c>
      <c r="M844" s="116">
        <v>353.75</v>
      </c>
      <c r="N844" s="116">
        <v>361.4</v>
      </c>
      <c r="O844" s="116">
        <v>348.95</v>
      </c>
      <c r="P844" s="116">
        <v>358.5</v>
      </c>
      <c r="Q844" s="116">
        <v>353.75</v>
      </c>
      <c r="R844">
        <v>634740</v>
      </c>
    </row>
    <row r="845" spans="1:18" x14ac:dyDescent="0.25">
      <c r="A845" s="170">
        <v>43245</v>
      </c>
      <c r="B845" s="116">
        <v>363.8</v>
      </c>
      <c r="C845" s="116">
        <v>361.35</v>
      </c>
      <c r="D845" s="116">
        <v>352</v>
      </c>
      <c r="E845" s="116">
        <v>352</v>
      </c>
      <c r="F845" s="116">
        <v>361.35</v>
      </c>
      <c r="G845">
        <v>28354</v>
      </c>
      <c r="H845" s="116"/>
      <c r="I845" s="116"/>
      <c r="L845" s="170">
        <v>43245</v>
      </c>
      <c r="M845" s="116">
        <v>360.95</v>
      </c>
      <c r="N845" s="116">
        <v>364</v>
      </c>
      <c r="O845" s="116">
        <v>353.95</v>
      </c>
      <c r="P845" s="116">
        <v>354.95</v>
      </c>
      <c r="Q845" s="116">
        <v>360.95</v>
      </c>
      <c r="R845">
        <v>622830</v>
      </c>
    </row>
    <row r="846" spans="1:18" x14ac:dyDescent="0.25">
      <c r="A846" s="170">
        <v>43248</v>
      </c>
      <c r="B846" s="116">
        <v>406.75</v>
      </c>
      <c r="C846" s="116">
        <v>400.2</v>
      </c>
      <c r="D846" s="116">
        <v>362</v>
      </c>
      <c r="E846" s="116">
        <v>362</v>
      </c>
      <c r="F846" s="116">
        <v>400.2</v>
      </c>
      <c r="G846">
        <v>139236</v>
      </c>
      <c r="H846" s="116"/>
      <c r="I846" s="116"/>
      <c r="L846" s="170">
        <v>43248</v>
      </c>
      <c r="M846" s="116">
        <v>399.8</v>
      </c>
      <c r="N846" s="116">
        <v>406.85</v>
      </c>
      <c r="O846" s="116">
        <v>365</v>
      </c>
      <c r="P846" s="116">
        <v>365.3</v>
      </c>
      <c r="Q846" s="116">
        <v>399.8</v>
      </c>
      <c r="R846">
        <v>2557508</v>
      </c>
    </row>
    <row r="847" spans="1:18" x14ac:dyDescent="0.25">
      <c r="A847" s="170">
        <v>43249</v>
      </c>
      <c r="B847" s="116">
        <v>402.05</v>
      </c>
      <c r="C847" s="116">
        <v>386.45</v>
      </c>
      <c r="D847" s="116">
        <v>382</v>
      </c>
      <c r="E847" s="116">
        <v>400.2</v>
      </c>
      <c r="F847" s="116">
        <v>386.45</v>
      </c>
      <c r="G847">
        <v>61342</v>
      </c>
      <c r="H847" s="116"/>
      <c r="I847" s="116"/>
      <c r="L847" s="170">
        <v>43249</v>
      </c>
      <c r="M847" s="116">
        <v>386.9</v>
      </c>
      <c r="N847" s="116">
        <v>403.4</v>
      </c>
      <c r="O847" s="116">
        <v>381.9</v>
      </c>
      <c r="P847" s="116">
        <v>403.4</v>
      </c>
      <c r="Q847" s="116">
        <v>386.9</v>
      </c>
      <c r="R847">
        <v>1252925</v>
      </c>
    </row>
    <row r="848" spans="1:18" x14ac:dyDescent="0.25">
      <c r="A848" s="170">
        <v>43250</v>
      </c>
      <c r="B848" s="116">
        <v>398.5</v>
      </c>
      <c r="C848" s="116">
        <v>388.4</v>
      </c>
      <c r="D848" s="116">
        <v>378.5</v>
      </c>
      <c r="E848" s="116">
        <v>378.5</v>
      </c>
      <c r="F848" s="116">
        <v>388.4</v>
      </c>
      <c r="G848">
        <v>87227</v>
      </c>
      <c r="H848" s="116"/>
      <c r="I848" s="116"/>
      <c r="L848" s="170">
        <v>43250</v>
      </c>
      <c r="M848" s="116">
        <v>389.65</v>
      </c>
      <c r="N848" s="116">
        <v>398.45</v>
      </c>
      <c r="O848" s="116">
        <v>379.15</v>
      </c>
      <c r="P848" s="116">
        <v>381.7</v>
      </c>
      <c r="Q848" s="116">
        <v>389.65</v>
      </c>
      <c r="R848">
        <v>1578953</v>
      </c>
    </row>
    <row r="849" spans="1:18" x14ac:dyDescent="0.25">
      <c r="A849" s="170">
        <v>43251</v>
      </c>
      <c r="B849" s="116">
        <v>396.5</v>
      </c>
      <c r="C849" s="116">
        <v>380.2</v>
      </c>
      <c r="D849" s="116">
        <v>374.2</v>
      </c>
      <c r="E849" s="116">
        <v>390</v>
      </c>
      <c r="F849" s="116">
        <v>380.2</v>
      </c>
      <c r="G849">
        <v>62060</v>
      </c>
      <c r="H849" s="116"/>
      <c r="I849" s="116"/>
      <c r="L849" s="170">
        <v>43251</v>
      </c>
      <c r="M849" s="116">
        <v>378.85</v>
      </c>
      <c r="N849" s="116">
        <v>396.85</v>
      </c>
      <c r="O849" s="116">
        <v>376.2</v>
      </c>
      <c r="P849" s="116">
        <v>393</v>
      </c>
      <c r="Q849" s="116">
        <v>378.85</v>
      </c>
      <c r="R849">
        <v>1088010</v>
      </c>
    </row>
    <row r="850" spans="1:18" x14ac:dyDescent="0.25">
      <c r="A850" s="170">
        <v>43252</v>
      </c>
      <c r="B850" s="116">
        <v>386.45</v>
      </c>
      <c r="C850" s="116">
        <v>363.1</v>
      </c>
      <c r="D850" s="116">
        <v>361</v>
      </c>
      <c r="E850" s="116">
        <v>380.5</v>
      </c>
      <c r="F850" s="116">
        <v>363.1</v>
      </c>
      <c r="G850">
        <v>71055</v>
      </c>
      <c r="H850" s="116"/>
      <c r="I850" s="116"/>
      <c r="L850" s="170">
        <v>43252</v>
      </c>
      <c r="M850" s="116">
        <v>362.15</v>
      </c>
      <c r="N850" s="116">
        <v>387</v>
      </c>
      <c r="O850" s="116">
        <v>360.05</v>
      </c>
      <c r="P850" s="116">
        <v>378.85</v>
      </c>
      <c r="Q850" s="116">
        <v>362.15</v>
      </c>
      <c r="R850">
        <v>1773575</v>
      </c>
    </row>
    <row r="851" spans="1:18" x14ac:dyDescent="0.25">
      <c r="A851" s="170">
        <v>43255</v>
      </c>
      <c r="B851" s="116">
        <v>372.35</v>
      </c>
      <c r="C851" s="116">
        <v>353.85</v>
      </c>
      <c r="D851" s="116">
        <v>350.5</v>
      </c>
      <c r="E851" s="116">
        <v>365</v>
      </c>
      <c r="F851" s="116">
        <v>353.85</v>
      </c>
      <c r="G851">
        <v>66230</v>
      </c>
      <c r="H851" s="116"/>
      <c r="I851" s="116"/>
      <c r="L851" s="170">
        <v>43255</v>
      </c>
      <c r="M851" s="116">
        <v>353.85</v>
      </c>
      <c r="N851" s="116">
        <v>373.05</v>
      </c>
      <c r="O851" s="116">
        <v>349.45</v>
      </c>
      <c r="P851" s="116">
        <v>363</v>
      </c>
      <c r="Q851" s="116">
        <v>353.85</v>
      </c>
      <c r="R851">
        <v>1796830</v>
      </c>
    </row>
    <row r="852" spans="1:18" x14ac:dyDescent="0.25">
      <c r="A852" s="170">
        <v>43256</v>
      </c>
      <c r="B852" s="116">
        <v>357.15</v>
      </c>
      <c r="C852" s="116">
        <v>352.05</v>
      </c>
      <c r="D852" s="116">
        <v>336</v>
      </c>
      <c r="E852" s="116">
        <v>355</v>
      </c>
      <c r="F852" s="116">
        <v>352.05</v>
      </c>
      <c r="G852">
        <v>41444</v>
      </c>
      <c r="H852" s="116"/>
      <c r="I852" s="116"/>
      <c r="L852" s="170">
        <v>43256</v>
      </c>
      <c r="M852" s="116">
        <v>352.7</v>
      </c>
      <c r="N852" s="116">
        <v>356.9</v>
      </c>
      <c r="O852" s="116">
        <v>345.05</v>
      </c>
      <c r="P852" s="116">
        <v>353.8</v>
      </c>
      <c r="Q852" s="116">
        <v>352.7</v>
      </c>
      <c r="R852">
        <v>661193</v>
      </c>
    </row>
    <row r="853" spans="1:18" x14ac:dyDescent="0.25">
      <c r="A853" s="170">
        <v>43257</v>
      </c>
      <c r="B853" s="116">
        <v>366.1</v>
      </c>
      <c r="C853" s="116">
        <v>362.95</v>
      </c>
      <c r="D853" s="116">
        <v>347.7</v>
      </c>
      <c r="E853" s="116">
        <v>352.05</v>
      </c>
      <c r="F853" s="116">
        <v>362.95</v>
      </c>
      <c r="G853">
        <v>73895</v>
      </c>
      <c r="H853" s="116"/>
      <c r="I853" s="116"/>
      <c r="L853" s="170">
        <v>43257</v>
      </c>
      <c r="M853" s="116">
        <v>362.75</v>
      </c>
      <c r="N853" s="116">
        <v>367.4</v>
      </c>
      <c r="O853" s="116">
        <v>347.1</v>
      </c>
      <c r="P853" s="116">
        <v>351</v>
      </c>
      <c r="Q853" s="116">
        <v>362.75</v>
      </c>
      <c r="R853">
        <v>1173088</v>
      </c>
    </row>
    <row r="854" spans="1:18" x14ac:dyDescent="0.25">
      <c r="A854" s="170">
        <v>43258</v>
      </c>
      <c r="B854" s="116">
        <v>377</v>
      </c>
      <c r="C854" s="116">
        <v>369.3</v>
      </c>
      <c r="D854" s="116">
        <v>368</v>
      </c>
      <c r="E854" s="116">
        <v>368</v>
      </c>
      <c r="F854" s="116">
        <v>369.3</v>
      </c>
      <c r="G854">
        <v>72317</v>
      </c>
      <c r="H854" s="116"/>
      <c r="I854" s="116"/>
      <c r="L854" s="170">
        <v>43258</v>
      </c>
      <c r="M854" s="116">
        <v>369.5</v>
      </c>
      <c r="N854" s="116">
        <v>377.6</v>
      </c>
      <c r="O854" s="116">
        <v>367.05</v>
      </c>
      <c r="P854" s="116">
        <v>367.4</v>
      </c>
      <c r="Q854" s="116">
        <v>369.5</v>
      </c>
      <c r="R854">
        <v>1362929</v>
      </c>
    </row>
    <row r="855" spans="1:18" x14ac:dyDescent="0.25">
      <c r="A855" s="170">
        <v>43259</v>
      </c>
      <c r="B855" s="116">
        <v>366</v>
      </c>
      <c r="C855" s="116">
        <v>364.05</v>
      </c>
      <c r="D855" s="116">
        <v>361.2</v>
      </c>
      <c r="E855" s="116">
        <v>366</v>
      </c>
      <c r="F855" s="116">
        <v>364.05</v>
      </c>
      <c r="G855">
        <v>27513</v>
      </c>
      <c r="H855" s="116"/>
      <c r="I855" s="116"/>
      <c r="L855" s="170">
        <v>43259</v>
      </c>
      <c r="M855" s="116">
        <v>364.5</v>
      </c>
      <c r="N855" s="116">
        <v>369</v>
      </c>
      <c r="O855" s="116">
        <v>361.5</v>
      </c>
      <c r="P855" s="116">
        <v>369</v>
      </c>
      <c r="Q855" s="116">
        <v>364.5</v>
      </c>
      <c r="R855">
        <v>565011</v>
      </c>
    </row>
    <row r="856" spans="1:18" x14ac:dyDescent="0.25">
      <c r="A856" s="170">
        <v>43262</v>
      </c>
      <c r="B856" s="116">
        <v>373.45</v>
      </c>
      <c r="C856" s="116">
        <v>366.65</v>
      </c>
      <c r="D856" s="116">
        <v>364.35</v>
      </c>
      <c r="E856" s="116">
        <v>365</v>
      </c>
      <c r="F856" s="116">
        <v>366.65</v>
      </c>
      <c r="G856">
        <v>49991</v>
      </c>
      <c r="H856" s="116"/>
      <c r="I856" s="116"/>
      <c r="L856" s="170">
        <v>43262</v>
      </c>
      <c r="M856" s="116">
        <v>365.6</v>
      </c>
      <c r="N856" s="116">
        <v>373.5</v>
      </c>
      <c r="O856" s="116">
        <v>364</v>
      </c>
      <c r="P856" s="116">
        <v>364.5</v>
      </c>
      <c r="Q856" s="116">
        <v>365.6</v>
      </c>
      <c r="R856">
        <v>594819</v>
      </c>
    </row>
    <row r="857" spans="1:18" x14ac:dyDescent="0.25">
      <c r="A857" s="170">
        <v>43263</v>
      </c>
      <c r="B857" s="116">
        <v>370.95</v>
      </c>
      <c r="C857" s="116">
        <v>364.3</v>
      </c>
      <c r="D857" s="116">
        <v>361.6</v>
      </c>
      <c r="E857" s="116">
        <v>366.2</v>
      </c>
      <c r="F857" s="116">
        <v>364.3</v>
      </c>
      <c r="G857">
        <v>42747</v>
      </c>
      <c r="H857" s="116"/>
      <c r="I857" s="116"/>
      <c r="L857" s="170">
        <v>43263</v>
      </c>
      <c r="M857" s="116">
        <v>364.45</v>
      </c>
      <c r="N857" s="116">
        <v>371.35</v>
      </c>
      <c r="O857" s="116">
        <v>361.5</v>
      </c>
      <c r="P857" s="116">
        <v>367.9</v>
      </c>
      <c r="Q857" s="116">
        <v>364.45</v>
      </c>
      <c r="R857">
        <v>389329</v>
      </c>
    </row>
    <row r="858" spans="1:18" x14ac:dyDescent="0.25">
      <c r="A858" s="170">
        <v>43264</v>
      </c>
      <c r="B858" s="116">
        <v>370</v>
      </c>
      <c r="C858" s="116">
        <v>361.55</v>
      </c>
      <c r="D858" s="116">
        <v>359.1</v>
      </c>
      <c r="E858" s="116">
        <v>367</v>
      </c>
      <c r="F858" s="116">
        <v>361.55</v>
      </c>
      <c r="G858">
        <v>28034</v>
      </c>
      <c r="H858" s="116"/>
      <c r="I858" s="116"/>
      <c r="L858" s="170">
        <v>43264</v>
      </c>
      <c r="M858" s="116">
        <v>361.15</v>
      </c>
      <c r="N858" s="116">
        <v>369.45</v>
      </c>
      <c r="O858" s="116">
        <v>358.85</v>
      </c>
      <c r="P858" s="116">
        <v>364</v>
      </c>
      <c r="Q858" s="116">
        <v>361.15</v>
      </c>
      <c r="R858">
        <v>498988</v>
      </c>
    </row>
    <row r="859" spans="1:18" x14ac:dyDescent="0.25">
      <c r="A859" s="170">
        <v>43265</v>
      </c>
      <c r="B859" s="116">
        <v>363.8</v>
      </c>
      <c r="C859" s="116">
        <v>360</v>
      </c>
      <c r="D859" s="116">
        <v>355.95</v>
      </c>
      <c r="E859" s="116">
        <v>361.4</v>
      </c>
      <c r="F859" s="116">
        <v>360</v>
      </c>
      <c r="G859">
        <v>25947</v>
      </c>
      <c r="H859" s="116"/>
      <c r="I859" s="116"/>
      <c r="L859" s="170">
        <v>43265</v>
      </c>
      <c r="M859" s="116">
        <v>359.55</v>
      </c>
      <c r="N859" s="116">
        <v>363.9</v>
      </c>
      <c r="O859" s="116">
        <v>355.6</v>
      </c>
      <c r="P859" s="116">
        <v>362</v>
      </c>
      <c r="Q859" s="116">
        <v>359.55</v>
      </c>
      <c r="R859">
        <v>479061</v>
      </c>
    </row>
    <row r="860" spans="1:18" x14ac:dyDescent="0.25">
      <c r="A860" s="170">
        <v>43266</v>
      </c>
      <c r="B860" s="116">
        <v>369.05</v>
      </c>
      <c r="C860" s="116">
        <v>355.55</v>
      </c>
      <c r="D860" s="116">
        <v>354.1</v>
      </c>
      <c r="E860" s="116">
        <v>359.4</v>
      </c>
      <c r="F860" s="116">
        <v>355.55</v>
      </c>
      <c r="G860">
        <v>36047</v>
      </c>
      <c r="H860" s="116"/>
      <c r="I860" s="116"/>
      <c r="L860" s="170">
        <v>43266</v>
      </c>
      <c r="M860" s="116">
        <v>354.7</v>
      </c>
      <c r="N860" s="116">
        <v>369.45</v>
      </c>
      <c r="O860" s="116">
        <v>353.4</v>
      </c>
      <c r="P860" s="116">
        <v>360</v>
      </c>
      <c r="Q860" s="116">
        <v>354.7</v>
      </c>
      <c r="R860">
        <v>856667</v>
      </c>
    </row>
    <row r="861" spans="1:18" x14ac:dyDescent="0.25">
      <c r="A861" s="170">
        <v>43269</v>
      </c>
      <c r="B861" s="116">
        <v>358</v>
      </c>
      <c r="C861" s="116">
        <v>350.6</v>
      </c>
      <c r="D861" s="116">
        <v>349</v>
      </c>
      <c r="E861" s="116">
        <v>358</v>
      </c>
      <c r="F861" s="116">
        <v>350.6</v>
      </c>
      <c r="G861">
        <v>21527</v>
      </c>
      <c r="H861" s="116"/>
      <c r="I861" s="116"/>
      <c r="L861" s="170">
        <v>43269</v>
      </c>
      <c r="M861" s="116">
        <v>349.85</v>
      </c>
      <c r="N861" s="116">
        <v>357.8</v>
      </c>
      <c r="O861" s="116">
        <v>349.1</v>
      </c>
      <c r="P861" s="116">
        <v>357.8</v>
      </c>
      <c r="Q861" s="116">
        <v>349.85</v>
      </c>
      <c r="R861">
        <v>665122</v>
      </c>
    </row>
    <row r="862" spans="1:18" x14ac:dyDescent="0.25">
      <c r="A862" s="170">
        <v>43270</v>
      </c>
      <c r="B862" s="116">
        <v>350.65</v>
      </c>
      <c r="C862" s="116">
        <v>345.4</v>
      </c>
      <c r="D862" s="116">
        <v>342</v>
      </c>
      <c r="E862" s="116">
        <v>350</v>
      </c>
      <c r="F862" s="116">
        <v>345.4</v>
      </c>
      <c r="G862">
        <v>27827</v>
      </c>
      <c r="H862" s="116"/>
      <c r="I862" s="116"/>
      <c r="L862" s="170">
        <v>43270</v>
      </c>
      <c r="M862" s="116">
        <v>345.65</v>
      </c>
      <c r="N862" s="116">
        <v>350.9</v>
      </c>
      <c r="O862" s="116">
        <v>341.6</v>
      </c>
      <c r="P862" s="116">
        <v>348</v>
      </c>
      <c r="Q862" s="116">
        <v>345.65</v>
      </c>
      <c r="R862">
        <v>790318</v>
      </c>
    </row>
    <row r="863" spans="1:18" x14ac:dyDescent="0.25">
      <c r="A863" s="170">
        <v>43271</v>
      </c>
      <c r="B863" s="116">
        <v>347.1</v>
      </c>
      <c r="C863" s="116">
        <v>343.25</v>
      </c>
      <c r="D863" s="116">
        <v>337.6</v>
      </c>
      <c r="E863" s="116">
        <v>342</v>
      </c>
      <c r="F863" s="116">
        <v>343.25</v>
      </c>
      <c r="G863">
        <v>65907</v>
      </c>
      <c r="H863" s="116"/>
      <c r="I863" s="116"/>
      <c r="L863" s="170">
        <v>43271</v>
      </c>
      <c r="M863" s="116">
        <v>343.25</v>
      </c>
      <c r="N863" s="116">
        <v>346.95</v>
      </c>
      <c r="O863" s="116">
        <v>337.6</v>
      </c>
      <c r="P863" s="116">
        <v>342.6</v>
      </c>
      <c r="Q863" s="116">
        <v>343.25</v>
      </c>
      <c r="R863">
        <v>1166685</v>
      </c>
    </row>
    <row r="864" spans="1:18" x14ac:dyDescent="0.25">
      <c r="A864" s="170">
        <v>43272</v>
      </c>
      <c r="B864" s="116">
        <v>351.4</v>
      </c>
      <c r="C864" s="116">
        <v>347.9</v>
      </c>
      <c r="D864" s="116">
        <v>342</v>
      </c>
      <c r="E864" s="116">
        <v>344.15</v>
      </c>
      <c r="F864" s="116">
        <v>347.9</v>
      </c>
      <c r="G864">
        <v>104448</v>
      </c>
      <c r="H864" s="116"/>
      <c r="I864" s="116"/>
      <c r="L864" s="170">
        <v>43272</v>
      </c>
      <c r="M864" s="116">
        <v>346.7</v>
      </c>
      <c r="N864" s="116">
        <v>351.3</v>
      </c>
      <c r="O864" s="116">
        <v>342.5</v>
      </c>
      <c r="P864" s="116">
        <v>344.9</v>
      </c>
      <c r="Q864" s="116">
        <v>346.7</v>
      </c>
      <c r="R864">
        <v>767810</v>
      </c>
    </row>
    <row r="865" spans="1:18" x14ac:dyDescent="0.25">
      <c r="A865" s="170">
        <v>43273</v>
      </c>
      <c r="B865" s="116">
        <v>359</v>
      </c>
      <c r="C865" s="116">
        <v>357.55</v>
      </c>
      <c r="D865" s="116">
        <v>345.95</v>
      </c>
      <c r="E865" s="116">
        <v>346.1</v>
      </c>
      <c r="F865" s="116">
        <v>357.55</v>
      </c>
      <c r="G865">
        <v>100747</v>
      </c>
      <c r="H865" s="116"/>
      <c r="I865" s="116"/>
      <c r="L865" s="170">
        <v>43273</v>
      </c>
      <c r="M865" s="116">
        <v>357.1</v>
      </c>
      <c r="N865" s="116">
        <v>358.8</v>
      </c>
      <c r="O865" s="116">
        <v>345.25</v>
      </c>
      <c r="P865" s="116">
        <v>347.95</v>
      </c>
      <c r="Q865" s="116">
        <v>357.1</v>
      </c>
      <c r="R865">
        <v>1291984</v>
      </c>
    </row>
    <row r="866" spans="1:18" x14ac:dyDescent="0.25">
      <c r="A866" s="170">
        <v>43276</v>
      </c>
      <c r="B866" s="116">
        <v>369.35</v>
      </c>
      <c r="C866" s="116">
        <v>362.55</v>
      </c>
      <c r="D866" s="116">
        <v>353.95</v>
      </c>
      <c r="E866" s="116">
        <v>353.95</v>
      </c>
      <c r="F866" s="116">
        <v>362.55</v>
      </c>
      <c r="G866">
        <v>121918</v>
      </c>
      <c r="H866" s="116"/>
      <c r="I866" s="116"/>
      <c r="L866" s="170">
        <v>43276</v>
      </c>
      <c r="M866" s="116">
        <v>362.45</v>
      </c>
      <c r="N866" s="116">
        <v>369.5</v>
      </c>
      <c r="O866" s="116">
        <v>352.2</v>
      </c>
      <c r="P866" s="116">
        <v>352.2</v>
      </c>
      <c r="Q866" s="116">
        <v>362.45</v>
      </c>
      <c r="R866">
        <v>1777563</v>
      </c>
    </row>
    <row r="867" spans="1:18" x14ac:dyDescent="0.25">
      <c r="A867" s="170">
        <v>43277</v>
      </c>
      <c r="B867" s="116">
        <v>370.05</v>
      </c>
      <c r="C867" s="116">
        <v>363.2</v>
      </c>
      <c r="D867" s="116">
        <v>360.5</v>
      </c>
      <c r="E867" s="116">
        <v>363</v>
      </c>
      <c r="F867" s="116">
        <v>363.2</v>
      </c>
      <c r="G867">
        <v>43570</v>
      </c>
      <c r="H867" s="116"/>
      <c r="I867" s="116"/>
      <c r="L867" s="170">
        <v>43277</v>
      </c>
      <c r="M867" s="116">
        <v>363.3</v>
      </c>
      <c r="N867" s="116">
        <v>369.9</v>
      </c>
      <c r="O867" s="116">
        <v>360</v>
      </c>
      <c r="P867" s="116">
        <v>362.45</v>
      </c>
      <c r="Q867" s="116">
        <v>363.3</v>
      </c>
      <c r="R867">
        <v>921643</v>
      </c>
    </row>
    <row r="868" spans="1:18" x14ac:dyDescent="0.25">
      <c r="A868" s="170">
        <v>43278</v>
      </c>
      <c r="B868" s="116">
        <v>366</v>
      </c>
      <c r="C868" s="116">
        <v>351.4</v>
      </c>
      <c r="D868" s="116">
        <v>347</v>
      </c>
      <c r="E868" s="116">
        <v>363.1</v>
      </c>
      <c r="F868" s="116">
        <v>351.4</v>
      </c>
      <c r="G868">
        <v>34637</v>
      </c>
      <c r="H868" s="116"/>
      <c r="I868" s="116"/>
      <c r="L868" s="170">
        <v>43278</v>
      </c>
      <c r="M868" s="116">
        <v>351.4</v>
      </c>
      <c r="N868" s="116">
        <v>365.5</v>
      </c>
      <c r="O868" s="116">
        <v>347.25</v>
      </c>
      <c r="P868" s="116">
        <v>363.35</v>
      </c>
      <c r="Q868" s="116">
        <v>351.4</v>
      </c>
      <c r="R868">
        <v>652275</v>
      </c>
    </row>
    <row r="869" spans="1:18" x14ac:dyDescent="0.25">
      <c r="A869" s="170">
        <v>43279</v>
      </c>
      <c r="B869" s="116">
        <v>350.4</v>
      </c>
      <c r="C869" s="116">
        <v>337.3</v>
      </c>
      <c r="D869" s="116">
        <v>334.1</v>
      </c>
      <c r="E869" s="116">
        <v>348.1</v>
      </c>
      <c r="F869" s="116">
        <v>337.3</v>
      </c>
      <c r="G869">
        <v>38373</v>
      </c>
      <c r="H869" s="116"/>
      <c r="I869" s="116"/>
      <c r="L869" s="170">
        <v>43279</v>
      </c>
      <c r="M869" s="116">
        <v>334.9</v>
      </c>
      <c r="N869" s="116">
        <v>350</v>
      </c>
      <c r="O869" s="116">
        <v>333.1</v>
      </c>
      <c r="P869" s="116">
        <v>350</v>
      </c>
      <c r="Q869" s="116">
        <v>334.9</v>
      </c>
      <c r="R869">
        <v>1006162</v>
      </c>
    </row>
    <row r="870" spans="1:18" x14ac:dyDescent="0.25">
      <c r="A870" s="170">
        <v>43280</v>
      </c>
      <c r="B870" s="116">
        <v>360</v>
      </c>
      <c r="C870" s="116">
        <v>339.4</v>
      </c>
      <c r="D870" s="116">
        <v>336.25</v>
      </c>
      <c r="E870" s="116">
        <v>339</v>
      </c>
      <c r="F870" s="116">
        <v>339.4</v>
      </c>
      <c r="G870">
        <v>57421</v>
      </c>
      <c r="H870" s="116"/>
      <c r="I870" s="116"/>
      <c r="L870" s="170">
        <v>43280</v>
      </c>
      <c r="M870" s="116">
        <v>339.95</v>
      </c>
      <c r="N870" s="116">
        <v>344.8</v>
      </c>
      <c r="O870" s="116">
        <v>335.65</v>
      </c>
      <c r="P870" s="116">
        <v>340.3</v>
      </c>
      <c r="Q870" s="116">
        <v>339.95</v>
      </c>
      <c r="R870">
        <v>575705</v>
      </c>
    </row>
    <row r="871" spans="1:18" x14ac:dyDescent="0.25">
      <c r="A871" s="170">
        <v>43283</v>
      </c>
      <c r="B871" s="116">
        <v>345.7</v>
      </c>
      <c r="C871" s="116">
        <v>338.65</v>
      </c>
      <c r="D871" s="116">
        <v>328.15</v>
      </c>
      <c r="E871" s="116">
        <v>337</v>
      </c>
      <c r="F871" s="116">
        <v>338.65</v>
      </c>
      <c r="G871">
        <v>142378</v>
      </c>
      <c r="H871" s="116"/>
      <c r="I871" s="116"/>
      <c r="L871" s="170">
        <v>43283</v>
      </c>
      <c r="M871" s="116">
        <v>337.85</v>
      </c>
      <c r="N871" s="116">
        <v>345.45</v>
      </c>
      <c r="O871" s="116">
        <v>327.7</v>
      </c>
      <c r="P871" s="116">
        <v>340.6</v>
      </c>
      <c r="Q871" s="116">
        <v>337.85</v>
      </c>
      <c r="R871">
        <v>951548</v>
      </c>
    </row>
    <row r="872" spans="1:18" x14ac:dyDescent="0.25">
      <c r="A872" s="170">
        <v>43284</v>
      </c>
      <c r="B872" s="116">
        <v>344.85</v>
      </c>
      <c r="C872" s="116">
        <v>342.15</v>
      </c>
      <c r="D872" s="116">
        <v>335</v>
      </c>
      <c r="E872" s="116">
        <v>336.25</v>
      </c>
      <c r="F872" s="116">
        <v>342.15</v>
      </c>
      <c r="G872">
        <v>81194</v>
      </c>
      <c r="H872" s="116"/>
      <c r="I872" s="116"/>
      <c r="L872" s="170">
        <v>43284</v>
      </c>
      <c r="M872" s="116">
        <v>342.25</v>
      </c>
      <c r="N872" s="116">
        <v>344.7</v>
      </c>
      <c r="O872" s="116">
        <v>334.6</v>
      </c>
      <c r="P872" s="116">
        <v>339.7</v>
      </c>
      <c r="Q872" s="116">
        <v>342.25</v>
      </c>
      <c r="R872">
        <v>566587</v>
      </c>
    </row>
    <row r="873" spans="1:18" x14ac:dyDescent="0.25">
      <c r="A873" s="170">
        <v>43285</v>
      </c>
      <c r="B873" s="116">
        <v>342.7</v>
      </c>
      <c r="C873" s="116">
        <v>335.6</v>
      </c>
      <c r="D873" s="116">
        <v>335</v>
      </c>
      <c r="E873" s="116">
        <v>339</v>
      </c>
      <c r="F873" s="116">
        <v>335.6</v>
      </c>
      <c r="G873">
        <v>54091</v>
      </c>
      <c r="H873" s="116"/>
      <c r="I873" s="116"/>
      <c r="L873" s="170">
        <v>43285</v>
      </c>
      <c r="M873" s="116">
        <v>335.05</v>
      </c>
      <c r="N873" s="116">
        <v>342.05</v>
      </c>
      <c r="O873" s="116">
        <v>334.25</v>
      </c>
      <c r="P873" s="116">
        <v>341.8</v>
      </c>
      <c r="Q873" s="116">
        <v>335.05</v>
      </c>
      <c r="R873">
        <v>519879</v>
      </c>
    </row>
    <row r="874" spans="1:18" x14ac:dyDescent="0.25">
      <c r="A874" s="170">
        <v>43286</v>
      </c>
      <c r="B874" s="116">
        <v>339.3</v>
      </c>
      <c r="C874" s="116">
        <v>334.1</v>
      </c>
      <c r="D874" s="116">
        <v>331.95</v>
      </c>
      <c r="E874" s="116">
        <v>335.9</v>
      </c>
      <c r="F874" s="116">
        <v>334.1</v>
      </c>
      <c r="G874">
        <v>27891</v>
      </c>
      <c r="H874" s="116"/>
      <c r="I874" s="116"/>
      <c r="L874" s="170">
        <v>43286</v>
      </c>
      <c r="M874" s="116">
        <v>334.8</v>
      </c>
      <c r="N874" s="116">
        <v>339.55</v>
      </c>
      <c r="O874" s="116">
        <v>331.7</v>
      </c>
      <c r="P874" s="116">
        <v>335.25</v>
      </c>
      <c r="Q874" s="116">
        <v>334.8</v>
      </c>
      <c r="R874">
        <v>432791</v>
      </c>
    </row>
    <row r="875" spans="1:18" x14ac:dyDescent="0.25">
      <c r="A875" s="170">
        <v>43287</v>
      </c>
      <c r="B875" s="116">
        <v>344</v>
      </c>
      <c r="C875" s="116">
        <v>339.5</v>
      </c>
      <c r="D875" s="116">
        <v>332.2</v>
      </c>
      <c r="E875" s="116">
        <v>332.2</v>
      </c>
      <c r="F875" s="116">
        <v>339.5</v>
      </c>
      <c r="G875">
        <v>22947</v>
      </c>
      <c r="H875" s="116"/>
      <c r="I875" s="116"/>
      <c r="L875" s="170">
        <v>43287</v>
      </c>
      <c r="M875" s="116">
        <v>339.9</v>
      </c>
      <c r="N875" s="116">
        <v>344.5</v>
      </c>
      <c r="O875" s="116">
        <v>333.1</v>
      </c>
      <c r="P875" s="116">
        <v>335</v>
      </c>
      <c r="Q875" s="116">
        <v>339.9</v>
      </c>
      <c r="R875">
        <v>558300</v>
      </c>
    </row>
    <row r="876" spans="1:18" x14ac:dyDescent="0.25">
      <c r="A876" s="170">
        <v>43290</v>
      </c>
      <c r="B876" s="116">
        <v>347.95</v>
      </c>
      <c r="C876" s="116">
        <v>344.65</v>
      </c>
      <c r="D876" s="116">
        <v>340.1</v>
      </c>
      <c r="E876" s="116">
        <v>341</v>
      </c>
      <c r="F876" s="116">
        <v>344.65</v>
      </c>
      <c r="G876">
        <v>55948</v>
      </c>
      <c r="H876" s="116"/>
      <c r="I876" s="116"/>
      <c r="L876" s="170">
        <v>43290</v>
      </c>
      <c r="M876" s="116">
        <v>344.75</v>
      </c>
      <c r="N876" s="116">
        <v>348.3</v>
      </c>
      <c r="O876" s="116">
        <v>340.55</v>
      </c>
      <c r="P876" s="116">
        <v>342.35</v>
      </c>
      <c r="Q876" s="116">
        <v>344.75</v>
      </c>
      <c r="R876">
        <v>496501</v>
      </c>
    </row>
    <row r="877" spans="1:18" x14ac:dyDescent="0.25">
      <c r="A877" s="170">
        <v>43291</v>
      </c>
      <c r="B877" s="116">
        <v>349</v>
      </c>
      <c r="C877" s="116">
        <v>344.3</v>
      </c>
      <c r="D877" s="116">
        <v>342.1</v>
      </c>
      <c r="E877" s="116">
        <v>345.05</v>
      </c>
      <c r="F877" s="116">
        <v>344.3</v>
      </c>
      <c r="G877">
        <v>20682</v>
      </c>
      <c r="H877" s="116"/>
      <c r="I877" s="116"/>
      <c r="L877" s="170">
        <v>43291</v>
      </c>
      <c r="M877" s="116">
        <v>344.95</v>
      </c>
      <c r="N877" s="116">
        <v>349.2</v>
      </c>
      <c r="O877" s="116">
        <v>343.35</v>
      </c>
      <c r="P877" s="116">
        <v>345.9</v>
      </c>
      <c r="Q877" s="116">
        <v>344.95</v>
      </c>
      <c r="R877">
        <v>312399</v>
      </c>
    </row>
    <row r="878" spans="1:18" x14ac:dyDescent="0.25">
      <c r="A878" s="170">
        <v>43292</v>
      </c>
      <c r="B878" s="116">
        <v>347</v>
      </c>
      <c r="C878" s="116">
        <v>335.9</v>
      </c>
      <c r="D878" s="116">
        <v>335</v>
      </c>
      <c r="E878" s="116">
        <v>345.1</v>
      </c>
      <c r="F878" s="116">
        <v>335.9</v>
      </c>
      <c r="G878">
        <v>29172</v>
      </c>
      <c r="H878" s="116"/>
      <c r="I878" s="116"/>
      <c r="L878" s="170">
        <v>43292</v>
      </c>
      <c r="M878" s="116">
        <v>336.15</v>
      </c>
      <c r="N878" s="116">
        <v>346.95</v>
      </c>
      <c r="O878" s="116">
        <v>335.1</v>
      </c>
      <c r="P878" s="116">
        <v>345.85</v>
      </c>
      <c r="Q878" s="116">
        <v>336.15</v>
      </c>
      <c r="R878">
        <v>447233</v>
      </c>
    </row>
    <row r="879" spans="1:18" x14ac:dyDescent="0.25">
      <c r="A879" s="170">
        <v>43293</v>
      </c>
      <c r="B879" s="116">
        <v>343.65</v>
      </c>
      <c r="C879" s="116">
        <v>333.85</v>
      </c>
      <c r="D879" s="116">
        <v>328</v>
      </c>
      <c r="E879" s="116">
        <v>334.3</v>
      </c>
      <c r="F879" s="116">
        <v>333.85</v>
      </c>
      <c r="G879">
        <v>56289</v>
      </c>
      <c r="H879" s="116"/>
      <c r="I879" s="116"/>
      <c r="L879" s="170">
        <v>43293</v>
      </c>
      <c r="M879" s="116">
        <v>332.55</v>
      </c>
      <c r="N879" s="116">
        <v>344</v>
      </c>
      <c r="O879" s="116">
        <v>331.15</v>
      </c>
      <c r="P879" s="116">
        <v>339.3</v>
      </c>
      <c r="Q879" s="116">
        <v>332.55</v>
      </c>
      <c r="R879">
        <v>622204</v>
      </c>
    </row>
    <row r="880" spans="1:18" x14ac:dyDescent="0.25">
      <c r="A880" s="170">
        <v>43294</v>
      </c>
      <c r="B880" s="116">
        <v>334.65</v>
      </c>
      <c r="C880" s="116">
        <v>328.9</v>
      </c>
      <c r="D880" s="116">
        <v>325.45</v>
      </c>
      <c r="E880" s="116">
        <v>334.65</v>
      </c>
      <c r="F880" s="116">
        <v>328.9</v>
      </c>
      <c r="G880">
        <v>55034</v>
      </c>
      <c r="H880" s="116"/>
      <c r="I880" s="116"/>
      <c r="L880" s="170">
        <v>43294</v>
      </c>
      <c r="M880" s="116">
        <v>330</v>
      </c>
      <c r="N880" s="116">
        <v>334.35</v>
      </c>
      <c r="O880" s="116">
        <v>325</v>
      </c>
      <c r="P880" s="116">
        <v>333</v>
      </c>
      <c r="Q880" s="116">
        <v>330</v>
      </c>
      <c r="R880">
        <v>405675</v>
      </c>
    </row>
    <row r="881" spans="1:18" x14ac:dyDescent="0.25">
      <c r="A881" s="170">
        <v>43297</v>
      </c>
      <c r="B881" s="116">
        <v>336.65</v>
      </c>
      <c r="C881" s="116">
        <v>325.14999999999998</v>
      </c>
      <c r="D881" s="116">
        <v>320.60000000000002</v>
      </c>
      <c r="E881" s="116">
        <v>328.5</v>
      </c>
      <c r="F881" s="116">
        <v>325.14999999999998</v>
      </c>
      <c r="G881">
        <v>41239</v>
      </c>
      <c r="H881" s="116"/>
      <c r="I881" s="116"/>
      <c r="L881" s="170">
        <v>43297</v>
      </c>
      <c r="M881" s="116">
        <v>324.2</v>
      </c>
      <c r="N881" s="116">
        <v>338</v>
      </c>
      <c r="O881" s="116">
        <v>320</v>
      </c>
      <c r="P881" s="116">
        <v>331</v>
      </c>
      <c r="Q881" s="116">
        <v>324.2</v>
      </c>
      <c r="R881">
        <v>903578</v>
      </c>
    </row>
    <row r="882" spans="1:18" x14ac:dyDescent="0.25">
      <c r="A882" s="170">
        <v>43298</v>
      </c>
      <c r="B882" s="116">
        <v>334.5</v>
      </c>
      <c r="C882" s="116">
        <v>330.65</v>
      </c>
      <c r="D882" s="116">
        <v>320.5</v>
      </c>
      <c r="E882" s="116">
        <v>323.64999999999998</v>
      </c>
      <c r="F882" s="116">
        <v>330.65</v>
      </c>
      <c r="G882">
        <v>28917</v>
      </c>
      <c r="H882" s="116"/>
      <c r="I882" s="116"/>
      <c r="L882" s="170">
        <v>43298</v>
      </c>
      <c r="M882" s="116">
        <v>331.15</v>
      </c>
      <c r="N882" s="116">
        <v>335</v>
      </c>
      <c r="O882" s="116">
        <v>321</v>
      </c>
      <c r="P882" s="116">
        <v>323.3</v>
      </c>
      <c r="Q882" s="116">
        <v>331.15</v>
      </c>
      <c r="R882">
        <v>629049</v>
      </c>
    </row>
    <row r="883" spans="1:18" x14ac:dyDescent="0.25">
      <c r="A883" s="170">
        <v>43299</v>
      </c>
      <c r="B883" s="116">
        <v>336.1</v>
      </c>
      <c r="C883" s="116">
        <v>329.15</v>
      </c>
      <c r="D883" s="116">
        <v>324.7</v>
      </c>
      <c r="E883" s="116">
        <v>333.8</v>
      </c>
      <c r="F883" s="116">
        <v>329.15</v>
      </c>
      <c r="G883">
        <v>29262</v>
      </c>
      <c r="H883" s="116"/>
      <c r="I883" s="116"/>
      <c r="L883" s="170">
        <v>43299</v>
      </c>
      <c r="M883" s="116">
        <v>329.65</v>
      </c>
      <c r="N883" s="116">
        <v>336.8</v>
      </c>
      <c r="O883" s="116">
        <v>323.75</v>
      </c>
      <c r="P883" s="116">
        <v>332.55</v>
      </c>
      <c r="Q883" s="116">
        <v>329.65</v>
      </c>
      <c r="R883">
        <v>435531</v>
      </c>
    </row>
    <row r="884" spans="1:18" x14ac:dyDescent="0.25">
      <c r="A884" s="170">
        <v>43300</v>
      </c>
      <c r="B884" s="116">
        <v>335.25</v>
      </c>
      <c r="C884" s="116">
        <v>328</v>
      </c>
      <c r="D884" s="116">
        <v>324.60000000000002</v>
      </c>
      <c r="E884" s="116">
        <v>331.45</v>
      </c>
      <c r="F884" s="116">
        <v>328</v>
      </c>
      <c r="G884">
        <v>28238</v>
      </c>
      <c r="H884" s="116"/>
      <c r="I884" s="116"/>
      <c r="L884" s="170">
        <v>43300</v>
      </c>
      <c r="M884" s="116">
        <v>328.05</v>
      </c>
      <c r="N884" s="116">
        <v>336.3</v>
      </c>
      <c r="O884" s="116">
        <v>324.7</v>
      </c>
      <c r="P884" s="116">
        <v>330.7</v>
      </c>
      <c r="Q884" s="116">
        <v>328.05</v>
      </c>
      <c r="R884">
        <v>345136</v>
      </c>
    </row>
    <row r="885" spans="1:18" x14ac:dyDescent="0.25">
      <c r="A885" s="170">
        <v>43301</v>
      </c>
      <c r="B885" s="116">
        <v>330.4</v>
      </c>
      <c r="C885" s="116">
        <v>326.64999999999998</v>
      </c>
      <c r="D885" s="116">
        <v>325</v>
      </c>
      <c r="E885" s="116">
        <v>328.75</v>
      </c>
      <c r="F885" s="116">
        <v>326.64999999999998</v>
      </c>
      <c r="G885">
        <v>20334</v>
      </c>
      <c r="H885" s="116"/>
      <c r="I885" s="116"/>
      <c r="L885" s="170">
        <v>43301</v>
      </c>
      <c r="M885" s="116">
        <v>325.8</v>
      </c>
      <c r="N885" s="116">
        <v>330.5</v>
      </c>
      <c r="O885" s="116">
        <v>324.39999999999998</v>
      </c>
      <c r="P885" s="116">
        <v>328.5</v>
      </c>
      <c r="Q885" s="116">
        <v>325.8</v>
      </c>
      <c r="R885">
        <v>342316</v>
      </c>
    </row>
    <row r="886" spans="1:18" x14ac:dyDescent="0.25">
      <c r="A886" s="170">
        <v>43304</v>
      </c>
      <c r="B886" s="116">
        <v>331.75</v>
      </c>
      <c r="C886" s="116">
        <v>330.35</v>
      </c>
      <c r="D886" s="116">
        <v>320.8</v>
      </c>
      <c r="E886" s="116">
        <v>326.10000000000002</v>
      </c>
      <c r="F886" s="116">
        <v>330.35</v>
      </c>
      <c r="G886">
        <v>24363</v>
      </c>
      <c r="H886" s="116"/>
      <c r="I886" s="116"/>
      <c r="L886" s="170">
        <v>43304</v>
      </c>
      <c r="M886" s="116">
        <v>330.9</v>
      </c>
      <c r="N886" s="116">
        <v>332</v>
      </c>
      <c r="O886" s="116">
        <v>320.10000000000002</v>
      </c>
      <c r="P886" s="116">
        <v>328</v>
      </c>
      <c r="Q886" s="116">
        <v>330.9</v>
      </c>
      <c r="R886">
        <v>531124</v>
      </c>
    </row>
    <row r="887" spans="1:18" x14ac:dyDescent="0.25">
      <c r="A887" s="170">
        <v>43305</v>
      </c>
      <c r="B887" s="116">
        <v>350</v>
      </c>
      <c r="C887" s="116">
        <v>345.25</v>
      </c>
      <c r="D887" s="116">
        <v>329.2</v>
      </c>
      <c r="E887" s="116">
        <v>330.35</v>
      </c>
      <c r="F887" s="116">
        <v>345.25</v>
      </c>
      <c r="G887">
        <v>45829</v>
      </c>
      <c r="H887" s="116"/>
      <c r="I887" s="116"/>
      <c r="L887" s="170">
        <v>43305</v>
      </c>
      <c r="M887" s="116">
        <v>345.3</v>
      </c>
      <c r="N887" s="116">
        <v>348</v>
      </c>
      <c r="O887" s="116">
        <v>328.35</v>
      </c>
      <c r="P887" s="116">
        <v>331.5</v>
      </c>
      <c r="Q887" s="116">
        <v>345.3</v>
      </c>
      <c r="R887">
        <v>801325</v>
      </c>
    </row>
    <row r="888" spans="1:18" x14ac:dyDescent="0.25">
      <c r="A888" s="170">
        <v>43306</v>
      </c>
      <c r="B888" s="116">
        <v>375</v>
      </c>
      <c r="C888" s="116">
        <v>356.05</v>
      </c>
      <c r="D888" s="116">
        <v>345.9</v>
      </c>
      <c r="E888" s="116">
        <v>359</v>
      </c>
      <c r="F888" s="116">
        <v>356.05</v>
      </c>
      <c r="G888">
        <v>95525</v>
      </c>
      <c r="H888" s="116"/>
      <c r="I888" s="116"/>
      <c r="L888" s="170">
        <v>43306</v>
      </c>
      <c r="M888" s="116">
        <v>355.7</v>
      </c>
      <c r="N888" s="116">
        <v>360</v>
      </c>
      <c r="O888" s="116">
        <v>345.3</v>
      </c>
      <c r="P888" s="116">
        <v>345.3</v>
      </c>
      <c r="Q888" s="116">
        <v>355.7</v>
      </c>
      <c r="R888">
        <v>975818</v>
      </c>
    </row>
    <row r="889" spans="1:18" x14ac:dyDescent="0.25">
      <c r="A889" s="170">
        <v>43307</v>
      </c>
      <c r="B889" s="116">
        <v>360</v>
      </c>
      <c r="C889" s="116">
        <v>352.95</v>
      </c>
      <c r="D889" s="116">
        <v>350.45</v>
      </c>
      <c r="E889" s="116">
        <v>360</v>
      </c>
      <c r="F889" s="116">
        <v>352.95</v>
      </c>
      <c r="G889">
        <v>37022</v>
      </c>
      <c r="H889" s="116"/>
      <c r="I889" s="116"/>
      <c r="L889" s="170">
        <v>43307</v>
      </c>
      <c r="M889" s="116">
        <v>352.7</v>
      </c>
      <c r="N889" s="116">
        <v>360.45</v>
      </c>
      <c r="O889" s="116">
        <v>349.4</v>
      </c>
      <c r="P889" s="116">
        <v>360</v>
      </c>
      <c r="Q889" s="116">
        <v>352.7</v>
      </c>
      <c r="R889">
        <v>773683</v>
      </c>
    </row>
    <row r="890" spans="1:18" x14ac:dyDescent="0.25">
      <c r="A890" s="170">
        <v>43308</v>
      </c>
      <c r="B890" s="116">
        <v>372</v>
      </c>
      <c r="C890" s="116">
        <v>369.3</v>
      </c>
      <c r="D890" s="116">
        <v>353.35</v>
      </c>
      <c r="E890" s="116">
        <v>355.45</v>
      </c>
      <c r="F890" s="116">
        <v>369.3</v>
      </c>
      <c r="G890">
        <v>105135</v>
      </c>
      <c r="H890" s="116"/>
      <c r="I890" s="116"/>
      <c r="L890" s="170">
        <v>43308</v>
      </c>
      <c r="M890" s="116">
        <v>369.15</v>
      </c>
      <c r="N890" s="116">
        <v>371.95</v>
      </c>
      <c r="O890" s="116">
        <v>354.8</v>
      </c>
      <c r="P890" s="116">
        <v>354.8</v>
      </c>
      <c r="Q890" s="116">
        <v>369.15</v>
      </c>
      <c r="R890">
        <v>1288015</v>
      </c>
    </row>
    <row r="891" spans="1:18" x14ac:dyDescent="0.25">
      <c r="A891" s="170">
        <v>43311</v>
      </c>
      <c r="B891" s="116">
        <v>377.7</v>
      </c>
      <c r="C891" s="116">
        <v>363.95</v>
      </c>
      <c r="D891" s="116">
        <v>357</v>
      </c>
      <c r="E891" s="116">
        <v>369.3</v>
      </c>
      <c r="F891" s="116">
        <v>363.95</v>
      </c>
      <c r="G891">
        <v>166987</v>
      </c>
      <c r="H891" s="116"/>
      <c r="I891" s="116"/>
      <c r="L891" s="170">
        <v>43311</v>
      </c>
      <c r="M891" s="116">
        <v>363.65</v>
      </c>
      <c r="N891" s="116">
        <v>377</v>
      </c>
      <c r="O891" s="116">
        <v>355.5</v>
      </c>
      <c r="P891" s="116">
        <v>369.5</v>
      </c>
      <c r="Q891" s="116">
        <v>363.65</v>
      </c>
      <c r="R891">
        <v>1940010</v>
      </c>
    </row>
    <row r="892" spans="1:18" x14ac:dyDescent="0.25">
      <c r="A892" s="170">
        <v>43312</v>
      </c>
      <c r="B892" s="116">
        <v>363</v>
      </c>
      <c r="C892" s="116">
        <v>335.5</v>
      </c>
      <c r="D892" s="116">
        <v>329.6</v>
      </c>
      <c r="E892" s="116">
        <v>363</v>
      </c>
      <c r="F892" s="116">
        <v>335.5</v>
      </c>
      <c r="G892">
        <v>365462</v>
      </c>
      <c r="H892" s="116"/>
      <c r="I892" s="116"/>
      <c r="L892" s="170">
        <v>43312</v>
      </c>
      <c r="M892" s="116">
        <v>334.65</v>
      </c>
      <c r="N892" s="116">
        <v>358</v>
      </c>
      <c r="O892" s="116">
        <v>328.9</v>
      </c>
      <c r="P892" s="116">
        <v>352</v>
      </c>
      <c r="Q892" s="116">
        <v>334.65</v>
      </c>
      <c r="R892">
        <v>3877856</v>
      </c>
    </row>
    <row r="893" spans="1:18" x14ac:dyDescent="0.25">
      <c r="A893" s="170">
        <v>43313</v>
      </c>
      <c r="B893" s="116">
        <v>338</v>
      </c>
      <c r="C893" s="116">
        <v>331.5</v>
      </c>
      <c r="D893" s="116">
        <v>329.2</v>
      </c>
      <c r="E893" s="116">
        <v>336</v>
      </c>
      <c r="F893" s="116">
        <v>331.5</v>
      </c>
      <c r="G893">
        <v>85987</v>
      </c>
      <c r="H893" s="116"/>
      <c r="I893" s="116"/>
      <c r="L893" s="170">
        <v>43313</v>
      </c>
      <c r="M893" s="116">
        <v>331.95</v>
      </c>
      <c r="N893" s="116">
        <v>336.9</v>
      </c>
      <c r="O893" s="116">
        <v>329.15</v>
      </c>
      <c r="P893" s="116">
        <v>334</v>
      </c>
      <c r="Q893" s="116">
        <v>331.95</v>
      </c>
      <c r="R893">
        <v>867516</v>
      </c>
    </row>
    <row r="894" spans="1:18" x14ac:dyDescent="0.25">
      <c r="A894" s="170">
        <v>43314</v>
      </c>
      <c r="B894" s="116">
        <v>336</v>
      </c>
      <c r="C894" s="116">
        <v>332</v>
      </c>
      <c r="D894" s="116">
        <v>330.45</v>
      </c>
      <c r="E894" s="116">
        <v>332</v>
      </c>
      <c r="F894" s="116">
        <v>332</v>
      </c>
      <c r="G894">
        <v>45533</v>
      </c>
      <c r="H894" s="116"/>
      <c r="I894" s="116"/>
      <c r="L894" s="170">
        <v>43314</v>
      </c>
      <c r="M894" s="116">
        <v>332.05</v>
      </c>
      <c r="N894" s="116">
        <v>336.35</v>
      </c>
      <c r="O894" s="116">
        <v>329.7</v>
      </c>
      <c r="P894" s="116">
        <v>331</v>
      </c>
      <c r="Q894" s="116">
        <v>332.05</v>
      </c>
      <c r="R894">
        <v>552662</v>
      </c>
    </row>
    <row r="895" spans="1:18" x14ac:dyDescent="0.25">
      <c r="A895" s="170">
        <v>43315</v>
      </c>
      <c r="B895" s="116">
        <v>340.85</v>
      </c>
      <c r="C895" s="116">
        <v>336.15</v>
      </c>
      <c r="D895" s="116">
        <v>334.25</v>
      </c>
      <c r="E895" s="116">
        <v>334.7</v>
      </c>
      <c r="F895" s="116">
        <v>336.15</v>
      </c>
      <c r="G895">
        <v>58294</v>
      </c>
      <c r="H895" s="116"/>
      <c r="I895" s="116"/>
      <c r="L895" s="170">
        <v>43315</v>
      </c>
      <c r="M895" s="116">
        <v>335.5</v>
      </c>
      <c r="N895" s="116">
        <v>341</v>
      </c>
      <c r="O895" s="116">
        <v>333.45</v>
      </c>
      <c r="P895" s="116">
        <v>333.45</v>
      </c>
      <c r="Q895" s="116">
        <v>335.5</v>
      </c>
      <c r="R895">
        <v>744285</v>
      </c>
    </row>
    <row r="896" spans="1:18" x14ac:dyDescent="0.25">
      <c r="A896" s="170">
        <v>43318</v>
      </c>
      <c r="B896" s="116">
        <v>343</v>
      </c>
      <c r="C896" s="116">
        <v>333.25</v>
      </c>
      <c r="D896" s="116">
        <v>332.1</v>
      </c>
      <c r="E896" s="116">
        <v>340</v>
      </c>
      <c r="F896" s="116">
        <v>333.25</v>
      </c>
      <c r="G896">
        <v>58584</v>
      </c>
      <c r="H896" s="116"/>
      <c r="I896" s="116"/>
      <c r="L896" s="170">
        <v>43318</v>
      </c>
      <c r="M896" s="116">
        <v>333.05</v>
      </c>
      <c r="N896" s="116">
        <v>342.9</v>
      </c>
      <c r="O896" s="116">
        <v>331.5</v>
      </c>
      <c r="P896" s="116">
        <v>338</v>
      </c>
      <c r="Q896" s="116">
        <v>333.05</v>
      </c>
      <c r="R896">
        <v>825602</v>
      </c>
    </row>
    <row r="897" spans="1:18" x14ac:dyDescent="0.25">
      <c r="A897" s="170">
        <v>43319</v>
      </c>
      <c r="B897" s="116">
        <v>335.8</v>
      </c>
      <c r="C897" s="116">
        <v>330.25</v>
      </c>
      <c r="D897" s="116">
        <v>328.7</v>
      </c>
      <c r="E897" s="116">
        <v>333.25</v>
      </c>
      <c r="F897" s="116">
        <v>330.25</v>
      </c>
      <c r="G897">
        <v>45884</v>
      </c>
      <c r="H897" s="116"/>
      <c r="I897" s="116"/>
      <c r="L897" s="170">
        <v>43319</v>
      </c>
      <c r="M897" s="116">
        <v>330.1</v>
      </c>
      <c r="N897" s="116">
        <v>335.5</v>
      </c>
      <c r="O897" s="116">
        <v>328.3</v>
      </c>
      <c r="P897" s="116">
        <v>334.05</v>
      </c>
      <c r="Q897" s="116">
        <v>330.1</v>
      </c>
      <c r="R897">
        <v>509705</v>
      </c>
    </row>
    <row r="898" spans="1:18" x14ac:dyDescent="0.25">
      <c r="A898" s="170">
        <v>43320</v>
      </c>
      <c r="B898" s="116">
        <v>332</v>
      </c>
      <c r="C898" s="116">
        <v>326.45</v>
      </c>
      <c r="D898" s="116">
        <v>325.2</v>
      </c>
      <c r="E898" s="116">
        <v>331.9</v>
      </c>
      <c r="F898" s="116">
        <v>326.45</v>
      </c>
      <c r="G898">
        <v>37081</v>
      </c>
      <c r="H898" s="116"/>
      <c r="I898" s="116"/>
      <c r="L898" s="170">
        <v>43320</v>
      </c>
      <c r="M898" s="116">
        <v>326.45</v>
      </c>
      <c r="N898" s="116">
        <v>333</v>
      </c>
      <c r="O898" s="116">
        <v>325.14999999999998</v>
      </c>
      <c r="P898" s="116">
        <v>333</v>
      </c>
      <c r="Q898" s="116">
        <v>326.45</v>
      </c>
      <c r="R898">
        <v>541478</v>
      </c>
    </row>
    <row r="899" spans="1:18" x14ac:dyDescent="0.25">
      <c r="A899" s="170">
        <v>43321</v>
      </c>
      <c r="B899" s="116">
        <v>331.6</v>
      </c>
      <c r="C899" s="116">
        <v>326.25</v>
      </c>
      <c r="D899" s="116">
        <v>325.14999999999998</v>
      </c>
      <c r="E899" s="116">
        <v>326.45</v>
      </c>
      <c r="F899" s="116">
        <v>326.25</v>
      </c>
      <c r="G899">
        <v>43513</v>
      </c>
      <c r="H899" s="116"/>
      <c r="I899" s="116"/>
      <c r="L899" s="170">
        <v>43321</v>
      </c>
      <c r="M899" s="116">
        <v>326.25</v>
      </c>
      <c r="N899" s="116">
        <v>332.15</v>
      </c>
      <c r="O899" s="116">
        <v>325</v>
      </c>
      <c r="P899" s="116">
        <v>328.3</v>
      </c>
      <c r="Q899" s="116">
        <v>326.25</v>
      </c>
      <c r="R899">
        <v>564901</v>
      </c>
    </row>
    <row r="900" spans="1:18" x14ac:dyDescent="0.25">
      <c r="A900" s="170">
        <v>43322</v>
      </c>
      <c r="B900" s="116">
        <v>328.75</v>
      </c>
      <c r="C900" s="116">
        <v>320.14999999999998</v>
      </c>
      <c r="D900" s="116">
        <v>318.39999999999998</v>
      </c>
      <c r="E900" s="116">
        <v>326.7</v>
      </c>
      <c r="F900" s="116">
        <v>320.14999999999998</v>
      </c>
      <c r="G900">
        <v>56787</v>
      </c>
      <c r="H900" s="116"/>
      <c r="I900" s="116"/>
      <c r="L900" s="170">
        <v>43322</v>
      </c>
      <c r="M900" s="116">
        <v>320.25</v>
      </c>
      <c r="N900" s="116">
        <v>328.65</v>
      </c>
      <c r="O900" s="116">
        <v>318</v>
      </c>
      <c r="P900" s="116">
        <v>328</v>
      </c>
      <c r="Q900" s="116">
        <v>320.25</v>
      </c>
      <c r="R900">
        <v>625441</v>
      </c>
    </row>
    <row r="901" spans="1:18" x14ac:dyDescent="0.25">
      <c r="A901" s="170">
        <v>43325</v>
      </c>
      <c r="B901" s="116">
        <v>319</v>
      </c>
      <c r="C901" s="116">
        <v>312.75</v>
      </c>
      <c r="D901" s="116">
        <v>310.14999999999998</v>
      </c>
      <c r="E901" s="116">
        <v>318</v>
      </c>
      <c r="F901" s="116">
        <v>312.75</v>
      </c>
      <c r="G901">
        <v>43165</v>
      </c>
      <c r="H901" s="116"/>
      <c r="I901" s="116"/>
      <c r="L901" s="170">
        <v>43325</v>
      </c>
      <c r="M901" s="116">
        <v>312.2</v>
      </c>
      <c r="N901" s="116">
        <v>318.5</v>
      </c>
      <c r="O901" s="116">
        <v>310.3</v>
      </c>
      <c r="P901" s="116">
        <v>318.5</v>
      </c>
      <c r="Q901" s="116">
        <v>312.2</v>
      </c>
      <c r="R901">
        <v>732007</v>
      </c>
    </row>
    <row r="902" spans="1:18" x14ac:dyDescent="0.25">
      <c r="A902" s="170">
        <v>43326</v>
      </c>
      <c r="B902" s="116">
        <v>317.55</v>
      </c>
      <c r="C902" s="116">
        <v>314.05</v>
      </c>
      <c r="D902" s="116">
        <v>309.05</v>
      </c>
      <c r="E902" s="116">
        <v>311.8</v>
      </c>
      <c r="F902" s="116">
        <v>314.05</v>
      </c>
      <c r="G902">
        <v>40708</v>
      </c>
      <c r="H902" s="116"/>
      <c r="I902" s="116"/>
      <c r="L902" s="170">
        <v>43326</v>
      </c>
      <c r="M902" s="116">
        <v>314.7</v>
      </c>
      <c r="N902" s="116">
        <v>317.39999999999998</v>
      </c>
      <c r="O902" s="116">
        <v>308.39999999999998</v>
      </c>
      <c r="P902" s="116">
        <v>311.7</v>
      </c>
      <c r="Q902" s="116">
        <v>314.7</v>
      </c>
      <c r="R902">
        <v>598656</v>
      </c>
    </row>
    <row r="903" spans="1:18" x14ac:dyDescent="0.25">
      <c r="A903" s="170">
        <v>43328</v>
      </c>
      <c r="B903" s="116">
        <v>318.95</v>
      </c>
      <c r="C903" s="116">
        <v>313.25</v>
      </c>
      <c r="D903" s="116">
        <v>306.14999999999998</v>
      </c>
      <c r="E903" s="116">
        <v>317</v>
      </c>
      <c r="F903" s="116">
        <v>313.25</v>
      </c>
      <c r="G903">
        <v>33063</v>
      </c>
      <c r="H903" s="116"/>
      <c r="I903" s="116"/>
      <c r="L903" s="170">
        <v>43328</v>
      </c>
      <c r="M903" s="116">
        <v>313.14999999999998</v>
      </c>
      <c r="N903" s="116">
        <v>318.7</v>
      </c>
      <c r="O903" s="116">
        <v>310.55</v>
      </c>
      <c r="P903" s="116">
        <v>314</v>
      </c>
      <c r="Q903" s="116">
        <v>313.14999999999998</v>
      </c>
      <c r="R903">
        <v>452622</v>
      </c>
    </row>
    <row r="904" spans="1:18" x14ac:dyDescent="0.25">
      <c r="A904" s="170">
        <v>43329</v>
      </c>
      <c r="B904" s="116">
        <v>327.9</v>
      </c>
      <c r="C904" s="116">
        <v>323.95</v>
      </c>
      <c r="D904" s="116">
        <v>313.55</v>
      </c>
      <c r="E904" s="116">
        <v>315</v>
      </c>
      <c r="F904" s="116">
        <v>323.95</v>
      </c>
      <c r="G904">
        <v>78194</v>
      </c>
      <c r="H904" s="116"/>
      <c r="I904" s="116"/>
      <c r="L904" s="170">
        <v>43329</v>
      </c>
      <c r="M904" s="116">
        <v>323.8</v>
      </c>
      <c r="N904" s="116">
        <v>327.75</v>
      </c>
      <c r="O904" s="116">
        <v>314</v>
      </c>
      <c r="P904" s="116">
        <v>314</v>
      </c>
      <c r="Q904" s="116">
        <v>323.8</v>
      </c>
      <c r="R904">
        <v>1285608</v>
      </c>
    </row>
    <row r="905" spans="1:18" x14ac:dyDescent="0.25">
      <c r="A905" s="170">
        <v>43332</v>
      </c>
      <c r="B905" s="116">
        <v>330</v>
      </c>
      <c r="C905" s="116">
        <v>326.85000000000002</v>
      </c>
      <c r="D905" s="116">
        <v>324.85000000000002</v>
      </c>
      <c r="E905" s="116">
        <v>327.8</v>
      </c>
      <c r="F905" s="116">
        <v>326.85000000000002</v>
      </c>
      <c r="G905">
        <v>65630</v>
      </c>
      <c r="H905" s="116"/>
      <c r="I905" s="116"/>
      <c r="L905" s="170">
        <v>43332</v>
      </c>
      <c r="M905" s="116">
        <v>326.35000000000002</v>
      </c>
      <c r="N905" s="116">
        <v>330</v>
      </c>
      <c r="O905" s="116">
        <v>324.3</v>
      </c>
      <c r="P905" s="116">
        <v>326.5</v>
      </c>
      <c r="Q905" s="116">
        <v>326.35000000000002</v>
      </c>
      <c r="R905">
        <v>901769</v>
      </c>
    </row>
    <row r="906" spans="1:18" x14ac:dyDescent="0.25">
      <c r="A906" s="170">
        <v>43333</v>
      </c>
      <c r="B906" s="116">
        <v>344.6</v>
      </c>
      <c r="C906" s="116">
        <v>339.05</v>
      </c>
      <c r="D906" s="116">
        <v>327.9</v>
      </c>
      <c r="E906" s="116">
        <v>327.9</v>
      </c>
      <c r="F906" s="116">
        <v>339.05</v>
      </c>
      <c r="G906">
        <v>152206</v>
      </c>
      <c r="H906" s="116"/>
      <c r="I906" s="116"/>
      <c r="L906" s="170">
        <v>43333</v>
      </c>
      <c r="M906" s="116">
        <v>339.6</v>
      </c>
      <c r="N906" s="116">
        <v>345</v>
      </c>
      <c r="O906" s="116">
        <v>327.39999999999998</v>
      </c>
      <c r="P906" s="116">
        <v>328</v>
      </c>
      <c r="Q906" s="116">
        <v>339.6</v>
      </c>
      <c r="R906">
        <v>2541789</v>
      </c>
    </row>
    <row r="907" spans="1:18" x14ac:dyDescent="0.25">
      <c r="A907" s="170">
        <v>43335</v>
      </c>
      <c r="B907" s="116">
        <v>342</v>
      </c>
      <c r="C907" s="116">
        <v>330</v>
      </c>
      <c r="D907" s="116">
        <v>328.3</v>
      </c>
      <c r="E907" s="116">
        <v>340.1</v>
      </c>
      <c r="F907" s="116">
        <v>330</v>
      </c>
      <c r="G907">
        <v>70736</v>
      </c>
      <c r="H907" s="116"/>
      <c r="I907" s="116"/>
      <c r="L907" s="170">
        <v>43335</v>
      </c>
      <c r="M907" s="116">
        <v>330.15</v>
      </c>
      <c r="N907" s="116">
        <v>341.95</v>
      </c>
      <c r="O907" s="116">
        <v>328.65</v>
      </c>
      <c r="P907" s="116">
        <v>340.7</v>
      </c>
      <c r="Q907" s="116">
        <v>330.15</v>
      </c>
      <c r="R907">
        <v>635816</v>
      </c>
    </row>
    <row r="908" spans="1:18" x14ac:dyDescent="0.25">
      <c r="A908" s="170">
        <v>43336</v>
      </c>
      <c r="B908" s="116">
        <v>328</v>
      </c>
      <c r="C908" s="116">
        <v>318.7</v>
      </c>
      <c r="D908" s="116">
        <v>317.75</v>
      </c>
      <c r="E908" s="116">
        <v>328</v>
      </c>
      <c r="F908" s="116">
        <v>318.7</v>
      </c>
      <c r="G908">
        <v>56060</v>
      </c>
      <c r="H908" s="116"/>
      <c r="I908" s="116"/>
      <c r="L908" s="170">
        <v>43336</v>
      </c>
      <c r="M908" s="116">
        <v>319.5</v>
      </c>
      <c r="N908" s="116">
        <v>327.85</v>
      </c>
      <c r="O908" s="116">
        <v>317</v>
      </c>
      <c r="P908" s="116">
        <v>326.95</v>
      </c>
      <c r="Q908" s="116">
        <v>319.5</v>
      </c>
      <c r="R908">
        <v>837168</v>
      </c>
    </row>
    <row r="909" spans="1:18" x14ac:dyDescent="0.25">
      <c r="A909" s="170">
        <v>43339</v>
      </c>
      <c r="B909" s="116">
        <v>324.7</v>
      </c>
      <c r="C909" s="116">
        <v>320.5</v>
      </c>
      <c r="D909" s="116">
        <v>318.25</v>
      </c>
      <c r="E909" s="116">
        <v>319.05</v>
      </c>
      <c r="F909" s="116">
        <v>320.5</v>
      </c>
      <c r="G909">
        <v>66089</v>
      </c>
      <c r="H909" s="116"/>
      <c r="I909" s="116"/>
      <c r="L909" s="170">
        <v>43339</v>
      </c>
      <c r="M909" s="116">
        <v>320.95</v>
      </c>
      <c r="N909" s="116">
        <v>325.5</v>
      </c>
      <c r="O909" s="116">
        <v>317.75</v>
      </c>
      <c r="P909" s="116">
        <v>320</v>
      </c>
      <c r="Q909" s="116">
        <v>320.95</v>
      </c>
      <c r="R909">
        <v>842626</v>
      </c>
    </row>
    <row r="910" spans="1:18" x14ac:dyDescent="0.25">
      <c r="A910" s="170">
        <v>43340</v>
      </c>
      <c r="B910" s="116">
        <v>324</v>
      </c>
      <c r="C910" s="116">
        <v>318.05</v>
      </c>
      <c r="D910" s="116">
        <v>315</v>
      </c>
      <c r="E910" s="116">
        <v>321.39999999999998</v>
      </c>
      <c r="F910" s="116">
        <v>318.05</v>
      </c>
      <c r="G910">
        <v>30840</v>
      </c>
      <c r="H910" s="116"/>
      <c r="I910" s="116"/>
      <c r="L910" s="170">
        <v>43340</v>
      </c>
      <c r="M910" s="116">
        <v>319.5</v>
      </c>
      <c r="N910" s="116">
        <v>323.95</v>
      </c>
      <c r="O910" s="116">
        <v>317.35000000000002</v>
      </c>
      <c r="P910" s="116">
        <v>323.60000000000002</v>
      </c>
      <c r="Q910" s="116">
        <v>319.5</v>
      </c>
      <c r="R910">
        <v>423113</v>
      </c>
    </row>
    <row r="911" spans="1:18" x14ac:dyDescent="0.25">
      <c r="A911" s="170">
        <v>43341</v>
      </c>
      <c r="B911" s="116">
        <v>321.5</v>
      </c>
      <c r="C911" s="116">
        <v>317.25</v>
      </c>
      <c r="D911" s="116">
        <v>316.2</v>
      </c>
      <c r="E911" s="116">
        <v>320.95</v>
      </c>
      <c r="F911" s="116">
        <v>317.25</v>
      </c>
      <c r="G911">
        <v>30269</v>
      </c>
      <c r="H911" s="116"/>
      <c r="I911" s="116"/>
      <c r="L911" s="170">
        <v>43341</v>
      </c>
      <c r="M911" s="116">
        <v>318.14999999999998</v>
      </c>
      <c r="N911" s="116">
        <v>322.60000000000002</v>
      </c>
      <c r="O911" s="116">
        <v>317.10000000000002</v>
      </c>
      <c r="P911" s="116">
        <v>321</v>
      </c>
      <c r="Q911" s="116">
        <v>318.14999999999998</v>
      </c>
      <c r="R911">
        <v>636032</v>
      </c>
    </row>
    <row r="912" spans="1:18" x14ac:dyDescent="0.25">
      <c r="A912" s="170">
        <v>43342</v>
      </c>
      <c r="B912" s="116">
        <v>318.60000000000002</v>
      </c>
      <c r="C912" s="116">
        <v>316.7</v>
      </c>
      <c r="D912" s="116">
        <v>312</v>
      </c>
      <c r="E912" s="116">
        <v>315</v>
      </c>
      <c r="F912" s="116">
        <v>316.7</v>
      </c>
      <c r="G912">
        <v>34921</v>
      </c>
      <c r="H912" s="116"/>
      <c r="I912" s="116"/>
      <c r="L912" s="170">
        <v>43342</v>
      </c>
      <c r="M912" s="116">
        <v>317.64999999999998</v>
      </c>
      <c r="N912" s="116">
        <v>319.2</v>
      </c>
      <c r="O912" s="116">
        <v>315</v>
      </c>
      <c r="P912" s="116">
        <v>316.55</v>
      </c>
      <c r="Q912" s="116">
        <v>317.64999999999998</v>
      </c>
      <c r="R912">
        <v>666237</v>
      </c>
    </row>
    <row r="913" spans="1:18" x14ac:dyDescent="0.25">
      <c r="A913" s="170">
        <v>43343</v>
      </c>
      <c r="B913" s="116">
        <v>323.39999999999998</v>
      </c>
      <c r="C913" s="116">
        <v>320.60000000000002</v>
      </c>
      <c r="D913" s="116">
        <v>317.55</v>
      </c>
      <c r="E913" s="116">
        <v>318</v>
      </c>
      <c r="F913" s="116">
        <v>320.60000000000002</v>
      </c>
      <c r="G913">
        <v>38855</v>
      </c>
      <c r="H913" s="116"/>
      <c r="I913" s="116"/>
      <c r="L913" s="170">
        <v>43343</v>
      </c>
      <c r="M913" s="116">
        <v>319.89999999999998</v>
      </c>
      <c r="N913" s="116">
        <v>323.89999999999998</v>
      </c>
      <c r="O913" s="116">
        <v>317.45</v>
      </c>
      <c r="P913" s="116">
        <v>319</v>
      </c>
      <c r="Q913" s="116">
        <v>319.89999999999998</v>
      </c>
      <c r="R913">
        <v>683956</v>
      </c>
    </row>
    <row r="914" spans="1:18" x14ac:dyDescent="0.25">
      <c r="A914" s="170">
        <v>43346</v>
      </c>
      <c r="B914" s="116">
        <v>331</v>
      </c>
      <c r="C914" s="116">
        <v>321</v>
      </c>
      <c r="D914" s="116">
        <v>318.05</v>
      </c>
      <c r="E914" s="116">
        <v>320</v>
      </c>
      <c r="F914" s="116">
        <v>321</v>
      </c>
      <c r="G914">
        <v>113663</v>
      </c>
      <c r="H914" s="116"/>
      <c r="I914" s="116"/>
      <c r="L914" s="170">
        <v>43346</v>
      </c>
      <c r="M914" s="116">
        <v>321.14999999999998</v>
      </c>
      <c r="N914" s="116">
        <v>330.9</v>
      </c>
      <c r="O914" s="116">
        <v>318.2</v>
      </c>
      <c r="P914" s="116">
        <v>319</v>
      </c>
      <c r="Q914" s="116">
        <v>321.14999999999998</v>
      </c>
      <c r="R914">
        <v>1738538</v>
      </c>
    </row>
    <row r="915" spans="1:18" x14ac:dyDescent="0.25">
      <c r="A915" s="170">
        <v>43347</v>
      </c>
      <c r="B915" s="116">
        <v>336.5</v>
      </c>
      <c r="C915" s="116">
        <v>315.89999999999998</v>
      </c>
      <c r="D915" s="116">
        <v>314.7</v>
      </c>
      <c r="E915" s="116">
        <v>327</v>
      </c>
      <c r="F915" s="116">
        <v>315.89999999999998</v>
      </c>
      <c r="G915">
        <v>37591</v>
      </c>
      <c r="H915" s="116"/>
      <c r="I915" s="116"/>
      <c r="L915" s="170">
        <v>43347</v>
      </c>
      <c r="M915" s="116">
        <v>315.89999999999998</v>
      </c>
      <c r="N915" s="116">
        <v>323.55</v>
      </c>
      <c r="O915" s="116">
        <v>315.3</v>
      </c>
      <c r="P915" s="116">
        <v>322.39999999999998</v>
      </c>
      <c r="Q915" s="116">
        <v>315.89999999999998</v>
      </c>
      <c r="R915">
        <v>825212</v>
      </c>
    </row>
    <row r="916" spans="1:18" x14ac:dyDescent="0.25">
      <c r="A916" s="170">
        <v>43348</v>
      </c>
      <c r="B916" s="116">
        <v>319.60000000000002</v>
      </c>
      <c r="C916" s="116">
        <v>312.05</v>
      </c>
      <c r="D916" s="116">
        <v>305.5</v>
      </c>
      <c r="E916" s="116">
        <v>319.60000000000002</v>
      </c>
      <c r="F916" s="116">
        <v>312.05</v>
      </c>
      <c r="G916">
        <v>50011</v>
      </c>
      <c r="H916" s="116"/>
      <c r="I916" s="116"/>
      <c r="L916" s="170">
        <v>43348</v>
      </c>
      <c r="M916" s="116">
        <v>311.75</v>
      </c>
      <c r="N916" s="116">
        <v>318.05</v>
      </c>
      <c r="O916" s="116">
        <v>305.25</v>
      </c>
      <c r="P916" s="116">
        <v>316.95</v>
      </c>
      <c r="Q916" s="116">
        <v>311.75</v>
      </c>
      <c r="R916">
        <v>1192942</v>
      </c>
    </row>
    <row r="917" spans="1:18" x14ac:dyDescent="0.25">
      <c r="A917" s="170">
        <v>43349</v>
      </c>
      <c r="B917" s="116">
        <v>314.39999999999998</v>
      </c>
      <c r="C917" s="116">
        <v>310</v>
      </c>
      <c r="D917" s="116">
        <v>309</v>
      </c>
      <c r="E917" s="116">
        <v>312.25</v>
      </c>
      <c r="F917" s="116">
        <v>310</v>
      </c>
      <c r="G917">
        <v>38714</v>
      </c>
      <c r="H917" s="116"/>
      <c r="I917" s="116"/>
      <c r="L917" s="170">
        <v>43349</v>
      </c>
      <c r="M917" s="116">
        <v>310.7</v>
      </c>
      <c r="N917" s="116">
        <v>314.8</v>
      </c>
      <c r="O917" s="116">
        <v>309.10000000000002</v>
      </c>
      <c r="P917" s="116">
        <v>312</v>
      </c>
      <c r="Q917" s="116">
        <v>310.7</v>
      </c>
      <c r="R917">
        <v>911910</v>
      </c>
    </row>
    <row r="918" spans="1:18" x14ac:dyDescent="0.25">
      <c r="A918" s="170">
        <v>43350</v>
      </c>
      <c r="B918" s="116">
        <v>311.89999999999998</v>
      </c>
      <c r="C918" s="116">
        <v>310.3</v>
      </c>
      <c r="D918" s="116">
        <v>308</v>
      </c>
      <c r="E918" s="116">
        <v>311.14999999999998</v>
      </c>
      <c r="F918" s="116">
        <v>310.3</v>
      </c>
      <c r="G918">
        <v>45641</v>
      </c>
      <c r="H918" s="116"/>
      <c r="I918" s="116"/>
      <c r="L918" s="170">
        <v>43350</v>
      </c>
      <c r="M918" s="116">
        <v>310.8</v>
      </c>
      <c r="N918" s="116">
        <v>313</v>
      </c>
      <c r="O918" s="116">
        <v>308</v>
      </c>
      <c r="P918" s="116">
        <v>311</v>
      </c>
      <c r="Q918" s="116">
        <v>310.8</v>
      </c>
      <c r="R918">
        <v>525441</v>
      </c>
    </row>
    <row r="919" spans="1:18" x14ac:dyDescent="0.25">
      <c r="A919" s="170">
        <v>43353</v>
      </c>
      <c r="B919" s="116">
        <v>315.95</v>
      </c>
      <c r="C919" s="116">
        <v>311.3</v>
      </c>
      <c r="D919" s="116">
        <v>309.10000000000002</v>
      </c>
      <c r="E919" s="116">
        <v>312</v>
      </c>
      <c r="F919" s="116">
        <v>311.3</v>
      </c>
      <c r="G919">
        <v>56485</v>
      </c>
      <c r="H919" s="116"/>
      <c r="I919" s="116"/>
      <c r="L919" s="170">
        <v>43353</v>
      </c>
      <c r="M919" s="116">
        <v>312.60000000000002</v>
      </c>
      <c r="N919" s="116">
        <v>316.39999999999998</v>
      </c>
      <c r="O919" s="116">
        <v>309.3</v>
      </c>
      <c r="P919" s="116">
        <v>311</v>
      </c>
      <c r="Q919" s="116">
        <v>312.60000000000002</v>
      </c>
      <c r="R919">
        <v>548200</v>
      </c>
    </row>
    <row r="920" spans="1:18" x14ac:dyDescent="0.25">
      <c r="A920" s="170">
        <v>43354</v>
      </c>
      <c r="B920" s="116">
        <v>313.10000000000002</v>
      </c>
      <c r="C920" s="116">
        <v>309.45</v>
      </c>
      <c r="D920" s="116">
        <v>307.89999999999998</v>
      </c>
      <c r="E920" s="116">
        <v>312.8</v>
      </c>
      <c r="F920" s="116">
        <v>309.45</v>
      </c>
      <c r="G920">
        <v>40386</v>
      </c>
      <c r="H920" s="116"/>
      <c r="I920" s="116"/>
      <c r="L920" s="170">
        <v>43354</v>
      </c>
      <c r="M920" s="116">
        <v>309.10000000000002</v>
      </c>
      <c r="N920" s="116">
        <v>313.39999999999998</v>
      </c>
      <c r="O920" s="116">
        <v>307.7</v>
      </c>
      <c r="P920" s="116">
        <v>312.10000000000002</v>
      </c>
      <c r="Q920" s="116">
        <v>309.10000000000002</v>
      </c>
      <c r="R920">
        <v>489001</v>
      </c>
    </row>
    <row r="921" spans="1:18" x14ac:dyDescent="0.25">
      <c r="A921" s="170">
        <v>43355</v>
      </c>
      <c r="B921" s="116">
        <v>309.35000000000002</v>
      </c>
      <c r="C921" s="116">
        <v>304</v>
      </c>
      <c r="D921" s="116">
        <v>297.60000000000002</v>
      </c>
      <c r="E921" s="116">
        <v>308.7</v>
      </c>
      <c r="F921" s="116">
        <v>304</v>
      </c>
      <c r="G921">
        <v>68001</v>
      </c>
      <c r="H921" s="116"/>
      <c r="I921" s="116"/>
      <c r="L921" s="170">
        <v>43355</v>
      </c>
      <c r="M921" s="116">
        <v>303.14999999999998</v>
      </c>
      <c r="N921" s="116">
        <v>310.05</v>
      </c>
      <c r="O921" s="116">
        <v>297.95</v>
      </c>
      <c r="P921" s="116">
        <v>308.7</v>
      </c>
      <c r="Q921" s="116">
        <v>303.14999999999998</v>
      </c>
      <c r="R921">
        <v>802880</v>
      </c>
    </row>
    <row r="922" spans="1:18" x14ac:dyDescent="0.25">
      <c r="A922" s="170">
        <v>43357</v>
      </c>
      <c r="B922" s="116">
        <v>312.7</v>
      </c>
      <c r="C922" s="116">
        <v>309.39999999999998</v>
      </c>
      <c r="D922" s="116">
        <v>303.39999999999998</v>
      </c>
      <c r="E922" s="116">
        <v>303.39999999999998</v>
      </c>
      <c r="F922" s="116">
        <v>309.39999999999998</v>
      </c>
      <c r="G922">
        <v>56555</v>
      </c>
      <c r="H922" s="116"/>
      <c r="I922" s="116"/>
      <c r="L922" s="170">
        <v>43357</v>
      </c>
      <c r="M922" s="116">
        <v>309.89999999999998</v>
      </c>
      <c r="N922" s="116">
        <v>313.35000000000002</v>
      </c>
      <c r="O922" s="116">
        <v>303</v>
      </c>
      <c r="P922" s="116">
        <v>303</v>
      </c>
      <c r="Q922" s="116">
        <v>309.89999999999998</v>
      </c>
      <c r="R922">
        <v>593195</v>
      </c>
    </row>
    <row r="923" spans="1:18" x14ac:dyDescent="0.25">
      <c r="A923" s="170">
        <v>43360</v>
      </c>
      <c r="B923" s="116">
        <v>328.35</v>
      </c>
      <c r="C923" s="116">
        <v>323</v>
      </c>
      <c r="D923" s="116">
        <v>307.85000000000002</v>
      </c>
      <c r="E923" s="116">
        <v>309</v>
      </c>
      <c r="F923" s="116">
        <v>323</v>
      </c>
      <c r="G923">
        <v>220009</v>
      </c>
      <c r="H923" s="116"/>
      <c r="I923" s="116"/>
      <c r="L923" s="170">
        <v>43360</v>
      </c>
      <c r="M923" s="116">
        <v>324.25</v>
      </c>
      <c r="N923" s="116">
        <v>328.8</v>
      </c>
      <c r="O923" s="116">
        <v>306.5</v>
      </c>
      <c r="P923" s="116">
        <v>306.5</v>
      </c>
      <c r="Q923" s="116">
        <v>324.25</v>
      </c>
      <c r="R923">
        <v>2193321</v>
      </c>
    </row>
    <row r="924" spans="1:18" x14ac:dyDescent="0.25">
      <c r="A924" s="170">
        <v>43361</v>
      </c>
      <c r="B924" s="116">
        <v>324.85000000000002</v>
      </c>
      <c r="C924" s="116">
        <v>311.05</v>
      </c>
      <c r="D924" s="116">
        <v>310</v>
      </c>
      <c r="E924" s="116">
        <v>323.8</v>
      </c>
      <c r="F924" s="116">
        <v>311.05</v>
      </c>
      <c r="G924">
        <v>59537</v>
      </c>
      <c r="H924" s="116"/>
      <c r="I924" s="116"/>
      <c r="L924" s="170">
        <v>43361</v>
      </c>
      <c r="M924" s="116">
        <v>311.60000000000002</v>
      </c>
      <c r="N924" s="116">
        <v>325.05</v>
      </c>
      <c r="O924" s="116">
        <v>310</v>
      </c>
      <c r="P924" s="116">
        <v>323.25</v>
      </c>
      <c r="Q924" s="116">
        <v>311.60000000000002</v>
      </c>
      <c r="R924">
        <v>726984</v>
      </c>
    </row>
    <row r="925" spans="1:18" x14ac:dyDescent="0.25">
      <c r="A925" s="170">
        <v>43362</v>
      </c>
      <c r="B925" s="116">
        <v>313.55</v>
      </c>
      <c r="C925" s="116">
        <v>307.8</v>
      </c>
      <c r="D925" s="116">
        <v>305.95</v>
      </c>
      <c r="E925" s="116">
        <v>312.35000000000002</v>
      </c>
      <c r="F925" s="116">
        <v>307.8</v>
      </c>
      <c r="G925">
        <v>49022</v>
      </c>
      <c r="H925" s="116"/>
      <c r="I925" s="116"/>
      <c r="L925" s="170">
        <v>43362</v>
      </c>
      <c r="M925" s="116">
        <v>308.85000000000002</v>
      </c>
      <c r="N925" s="116">
        <v>313.89999999999998</v>
      </c>
      <c r="O925" s="116">
        <v>306.25</v>
      </c>
      <c r="P925" s="116">
        <v>313</v>
      </c>
      <c r="Q925" s="116">
        <v>308.85000000000002</v>
      </c>
      <c r="R925">
        <v>475858</v>
      </c>
    </row>
    <row r="926" spans="1:18" x14ac:dyDescent="0.25">
      <c r="A926" s="170">
        <v>43364</v>
      </c>
      <c r="B926" s="116">
        <v>311.45</v>
      </c>
      <c r="C926" s="116">
        <v>290.25</v>
      </c>
      <c r="D926" s="116">
        <v>263</v>
      </c>
      <c r="E926" s="116">
        <v>310</v>
      </c>
      <c r="F926" s="116">
        <v>290.25</v>
      </c>
      <c r="G926">
        <v>145328</v>
      </c>
      <c r="H926" s="116"/>
      <c r="I926" s="116"/>
      <c r="L926" s="170">
        <v>43364</v>
      </c>
      <c r="M926" s="116">
        <v>292.55</v>
      </c>
      <c r="N926" s="116">
        <v>312.10000000000002</v>
      </c>
      <c r="O926" s="116">
        <v>263.25</v>
      </c>
      <c r="P926" s="116">
        <v>309</v>
      </c>
      <c r="Q926" s="116">
        <v>292.55</v>
      </c>
      <c r="R926">
        <v>2113853</v>
      </c>
    </row>
    <row r="927" spans="1:18" x14ac:dyDescent="0.25">
      <c r="A927" s="170">
        <v>43367</v>
      </c>
      <c r="B927" s="116">
        <v>299.2</v>
      </c>
      <c r="C927" s="116">
        <v>271.7</v>
      </c>
      <c r="D927" s="116">
        <v>264.35000000000002</v>
      </c>
      <c r="E927" s="116">
        <v>296</v>
      </c>
      <c r="F927" s="116">
        <v>271.7</v>
      </c>
      <c r="G927">
        <v>218264</v>
      </c>
      <c r="H927" s="116"/>
      <c r="I927" s="116"/>
      <c r="L927" s="170">
        <v>43367</v>
      </c>
      <c r="M927" s="116">
        <v>268.60000000000002</v>
      </c>
      <c r="N927" s="116">
        <v>299.8</v>
      </c>
      <c r="O927" s="116">
        <v>266.5</v>
      </c>
      <c r="P927" s="116">
        <v>295</v>
      </c>
      <c r="Q927" s="116">
        <v>268.60000000000002</v>
      </c>
      <c r="R927">
        <v>1641904</v>
      </c>
    </row>
    <row r="928" spans="1:18" x14ac:dyDescent="0.25">
      <c r="A928" s="170">
        <v>43368</v>
      </c>
      <c r="B928" s="116">
        <v>279</v>
      </c>
      <c r="C928" s="116">
        <v>254</v>
      </c>
      <c r="D928" s="116">
        <v>231.6</v>
      </c>
      <c r="E928" s="116">
        <v>279</v>
      </c>
      <c r="F928" s="116">
        <v>254</v>
      </c>
      <c r="G928">
        <v>348895</v>
      </c>
      <c r="H928" s="116"/>
      <c r="I928" s="116"/>
      <c r="L928" s="170">
        <v>43368</v>
      </c>
      <c r="M928" s="116">
        <v>253.8</v>
      </c>
      <c r="N928" s="116">
        <v>268.5</v>
      </c>
      <c r="O928" s="116">
        <v>232.65</v>
      </c>
      <c r="P928" s="116">
        <v>266.5</v>
      </c>
      <c r="Q928" s="116">
        <v>253.8</v>
      </c>
      <c r="R928">
        <v>3615362</v>
      </c>
    </row>
    <row r="929" spans="1:18" x14ac:dyDescent="0.25">
      <c r="A929" s="170">
        <v>43369</v>
      </c>
      <c r="B929" s="116">
        <v>260.64999999999998</v>
      </c>
      <c r="C929" s="116">
        <v>248.85</v>
      </c>
      <c r="D929" s="116">
        <v>246.15</v>
      </c>
      <c r="E929" s="116">
        <v>255</v>
      </c>
      <c r="F929" s="116">
        <v>248.85</v>
      </c>
      <c r="G929">
        <v>177663</v>
      </c>
      <c r="H929" s="116"/>
      <c r="I929" s="116"/>
      <c r="L929" s="170">
        <v>43369</v>
      </c>
      <c r="M929" s="116">
        <v>248.65</v>
      </c>
      <c r="N929" s="116">
        <v>260.35000000000002</v>
      </c>
      <c r="O929" s="116">
        <v>246.05</v>
      </c>
      <c r="P929" s="116">
        <v>255.55</v>
      </c>
      <c r="Q929" s="116">
        <v>248.65</v>
      </c>
      <c r="R929">
        <v>2245941</v>
      </c>
    </row>
    <row r="930" spans="1:18" x14ac:dyDescent="0.25">
      <c r="A930" s="170">
        <v>43370</v>
      </c>
      <c r="B930" s="116">
        <v>250.6</v>
      </c>
      <c r="C930" s="116">
        <v>227.75</v>
      </c>
      <c r="D930" s="116">
        <v>225.55</v>
      </c>
      <c r="E930" s="116">
        <v>248.85</v>
      </c>
      <c r="F930" s="116">
        <v>227.75</v>
      </c>
      <c r="G930">
        <v>187795</v>
      </c>
      <c r="H930" s="116"/>
      <c r="I930" s="116"/>
      <c r="L930" s="170">
        <v>43370</v>
      </c>
      <c r="M930" s="116">
        <v>227.3</v>
      </c>
      <c r="N930" s="116">
        <v>251</v>
      </c>
      <c r="O930" s="116">
        <v>225</v>
      </c>
      <c r="P930" s="116">
        <v>248</v>
      </c>
      <c r="Q930" s="116">
        <v>227.3</v>
      </c>
      <c r="R930">
        <v>2530915</v>
      </c>
    </row>
    <row r="931" spans="1:18" x14ac:dyDescent="0.25">
      <c r="A931" s="170">
        <v>43371</v>
      </c>
      <c r="B931" s="116">
        <v>246.35</v>
      </c>
      <c r="C931" s="116">
        <v>237.85</v>
      </c>
      <c r="D931" s="116">
        <v>220.05</v>
      </c>
      <c r="E931" s="116">
        <v>220.05</v>
      </c>
      <c r="F931" s="116">
        <v>237.85</v>
      </c>
      <c r="G931">
        <v>348287</v>
      </c>
      <c r="H931" s="116"/>
      <c r="I931" s="116"/>
      <c r="L931" s="170">
        <v>43371</v>
      </c>
      <c r="M931" s="116">
        <v>237.6</v>
      </c>
      <c r="N931" s="116">
        <v>246.65</v>
      </c>
      <c r="O931" s="116">
        <v>223</v>
      </c>
      <c r="P931" s="116">
        <v>231</v>
      </c>
      <c r="Q931" s="116">
        <v>237.6</v>
      </c>
      <c r="R931">
        <v>5205383</v>
      </c>
    </row>
    <row r="932" spans="1:18" x14ac:dyDescent="0.25">
      <c r="A932" s="170">
        <v>43374</v>
      </c>
      <c r="B932" s="116">
        <v>265.25</v>
      </c>
      <c r="C932" s="116">
        <v>261.14999999999998</v>
      </c>
      <c r="D932" s="116">
        <v>229.4</v>
      </c>
      <c r="E932" s="116">
        <v>240</v>
      </c>
      <c r="F932" s="116">
        <v>261.14999999999998</v>
      </c>
      <c r="G932">
        <v>307465</v>
      </c>
      <c r="H932" s="116"/>
      <c r="I932" s="116"/>
      <c r="L932" s="170">
        <v>43374</v>
      </c>
      <c r="M932" s="116">
        <v>261.7</v>
      </c>
      <c r="N932" s="116">
        <v>266.64999999999998</v>
      </c>
      <c r="O932" s="116">
        <v>229.4</v>
      </c>
      <c r="P932" s="116">
        <v>237</v>
      </c>
      <c r="Q932" s="116">
        <v>261.7</v>
      </c>
      <c r="R932">
        <v>4532697</v>
      </c>
    </row>
    <row r="933" spans="1:18" x14ac:dyDescent="0.25">
      <c r="A933" s="170">
        <v>43376</v>
      </c>
      <c r="B933" s="116">
        <v>264.39999999999998</v>
      </c>
      <c r="C933" s="116">
        <v>252.5</v>
      </c>
      <c r="D933" s="116">
        <v>249</v>
      </c>
      <c r="E933" s="116">
        <v>260</v>
      </c>
      <c r="F933" s="116">
        <v>252.5</v>
      </c>
      <c r="G933">
        <v>137639</v>
      </c>
      <c r="H933" s="116"/>
      <c r="I933" s="116"/>
      <c r="L933" s="170">
        <v>43376</v>
      </c>
      <c r="M933" s="116">
        <v>251.9</v>
      </c>
      <c r="N933" s="116">
        <v>264.3</v>
      </c>
      <c r="O933" s="116">
        <v>248.3</v>
      </c>
      <c r="P933" s="116">
        <v>257.75</v>
      </c>
      <c r="Q933" s="116">
        <v>251.9</v>
      </c>
      <c r="R933">
        <v>1707752</v>
      </c>
    </row>
    <row r="934" spans="1:18" x14ac:dyDescent="0.25">
      <c r="A934" s="170">
        <v>43377</v>
      </c>
      <c r="B934" s="116">
        <v>249.7</v>
      </c>
      <c r="C934" s="116">
        <v>245.4</v>
      </c>
      <c r="D934" s="116">
        <v>235.1</v>
      </c>
      <c r="E934" s="116">
        <v>247.5</v>
      </c>
      <c r="F934" s="116">
        <v>245.4</v>
      </c>
      <c r="G934">
        <v>142032</v>
      </c>
      <c r="H934" s="116"/>
      <c r="I934" s="116"/>
      <c r="L934" s="170">
        <v>43377</v>
      </c>
      <c r="M934" s="116">
        <v>246.2</v>
      </c>
      <c r="N934" s="116">
        <v>250.4</v>
      </c>
      <c r="O934" s="116">
        <v>235.9</v>
      </c>
      <c r="P934" s="116">
        <v>245</v>
      </c>
      <c r="Q934" s="116">
        <v>246.2</v>
      </c>
      <c r="R934">
        <v>1681325</v>
      </c>
    </row>
    <row r="935" spans="1:18" x14ac:dyDescent="0.25">
      <c r="A935" s="170">
        <v>43378</v>
      </c>
      <c r="B935" s="116">
        <v>251.8</v>
      </c>
      <c r="C935" s="116">
        <v>237</v>
      </c>
      <c r="D935" s="116">
        <v>230</v>
      </c>
      <c r="E935" s="116">
        <v>245</v>
      </c>
      <c r="F935" s="116">
        <v>237</v>
      </c>
      <c r="G935">
        <v>117268</v>
      </c>
      <c r="H935" s="116"/>
      <c r="I935" s="116"/>
      <c r="L935" s="170">
        <v>43378</v>
      </c>
      <c r="M935" s="116">
        <v>236.95</v>
      </c>
      <c r="N935" s="116">
        <v>251.85</v>
      </c>
      <c r="O935" s="116">
        <v>231.6</v>
      </c>
      <c r="P935" s="116">
        <v>244.7</v>
      </c>
      <c r="Q935" s="116">
        <v>236.95</v>
      </c>
      <c r="R935">
        <v>1195049</v>
      </c>
    </row>
    <row r="936" spans="1:18" x14ac:dyDescent="0.25">
      <c r="A936" s="170">
        <v>43381</v>
      </c>
      <c r="B936" s="116">
        <v>238.35</v>
      </c>
      <c r="C936" s="116">
        <v>224.95</v>
      </c>
      <c r="D936" s="116">
        <v>218.15</v>
      </c>
      <c r="E936" s="116">
        <v>234.1</v>
      </c>
      <c r="F936" s="116">
        <v>224.95</v>
      </c>
      <c r="G936">
        <v>175626</v>
      </c>
      <c r="H936" s="116"/>
      <c r="I936" s="116"/>
      <c r="L936" s="170">
        <v>43381</v>
      </c>
      <c r="M936" s="116">
        <v>225.3</v>
      </c>
      <c r="N936" s="116">
        <v>238.8</v>
      </c>
      <c r="O936" s="116">
        <v>218.25</v>
      </c>
      <c r="P936" s="116">
        <v>235</v>
      </c>
      <c r="Q936" s="116">
        <v>225.3</v>
      </c>
      <c r="R936">
        <v>1769943</v>
      </c>
    </row>
    <row r="937" spans="1:18" x14ac:dyDescent="0.25">
      <c r="A937" s="170">
        <v>43382</v>
      </c>
      <c r="B937" s="116">
        <v>246.4</v>
      </c>
      <c r="C937" s="116">
        <v>234</v>
      </c>
      <c r="D937" s="116">
        <v>220.25</v>
      </c>
      <c r="E937" s="116">
        <v>225</v>
      </c>
      <c r="F937" s="116">
        <v>234</v>
      </c>
      <c r="G937">
        <v>222327</v>
      </c>
      <c r="H937" s="116"/>
      <c r="I937" s="116"/>
      <c r="L937" s="170">
        <v>43382</v>
      </c>
      <c r="M937" s="116">
        <v>234.25</v>
      </c>
      <c r="N937" s="116">
        <v>247</v>
      </c>
      <c r="O937" s="116">
        <v>220.05</v>
      </c>
      <c r="P937" s="116">
        <v>226.3</v>
      </c>
      <c r="Q937" s="116">
        <v>234.25</v>
      </c>
      <c r="R937">
        <v>2766301</v>
      </c>
    </row>
    <row r="938" spans="1:18" x14ac:dyDescent="0.25">
      <c r="A938" s="170">
        <v>43383</v>
      </c>
      <c r="B938" s="116">
        <v>255.5</v>
      </c>
      <c r="C938" s="116">
        <v>252.1</v>
      </c>
      <c r="D938" s="116">
        <v>234.15</v>
      </c>
      <c r="E938" s="116">
        <v>234.15</v>
      </c>
      <c r="F938" s="116">
        <v>252.1</v>
      </c>
      <c r="G938">
        <v>167724</v>
      </c>
      <c r="H938" s="116"/>
      <c r="I938" s="116"/>
      <c r="L938" s="170">
        <v>43383</v>
      </c>
      <c r="M938" s="116">
        <v>252.3</v>
      </c>
      <c r="N938" s="116">
        <v>256</v>
      </c>
      <c r="O938" s="116">
        <v>236.5</v>
      </c>
      <c r="P938" s="116">
        <v>236.5</v>
      </c>
      <c r="Q938" s="116">
        <v>252.3</v>
      </c>
      <c r="R938">
        <v>2530297</v>
      </c>
    </row>
    <row r="939" spans="1:18" x14ac:dyDescent="0.25">
      <c r="A939" s="170">
        <v>43384</v>
      </c>
      <c r="B939" s="116">
        <v>249.15</v>
      </c>
      <c r="C939" s="116">
        <v>238.75</v>
      </c>
      <c r="D939" s="116">
        <v>231.05</v>
      </c>
      <c r="E939" s="116">
        <v>240.1</v>
      </c>
      <c r="F939" s="116">
        <v>238.75</v>
      </c>
      <c r="G939">
        <v>140821</v>
      </c>
      <c r="H939" s="116"/>
      <c r="I939" s="116"/>
      <c r="L939" s="170">
        <v>43384</v>
      </c>
      <c r="M939" s="116">
        <v>238.8</v>
      </c>
      <c r="N939" s="116">
        <v>249.3</v>
      </c>
      <c r="O939" s="116">
        <v>231.4</v>
      </c>
      <c r="P939" s="116">
        <v>240</v>
      </c>
      <c r="Q939" s="116">
        <v>238.8</v>
      </c>
      <c r="R939">
        <v>1580911</v>
      </c>
    </row>
    <row r="940" spans="1:18" x14ac:dyDescent="0.25">
      <c r="A940" s="170">
        <v>43385</v>
      </c>
      <c r="B940" s="116">
        <v>259.35000000000002</v>
      </c>
      <c r="C940" s="116">
        <v>244.95</v>
      </c>
      <c r="D940" s="116">
        <v>238.8</v>
      </c>
      <c r="E940" s="116">
        <v>242.5</v>
      </c>
      <c r="F940" s="116">
        <v>244.95</v>
      </c>
      <c r="G940">
        <v>265389</v>
      </c>
      <c r="H940" s="116"/>
      <c r="I940" s="116"/>
      <c r="L940" s="170">
        <v>43385</v>
      </c>
      <c r="M940" s="116">
        <v>245.15</v>
      </c>
      <c r="N940" s="116">
        <v>259</v>
      </c>
      <c r="O940" s="116">
        <v>240</v>
      </c>
      <c r="P940" s="116">
        <v>241.9</v>
      </c>
      <c r="Q940" s="116">
        <v>245.15</v>
      </c>
      <c r="R940">
        <v>2803952</v>
      </c>
    </row>
    <row r="941" spans="1:18" x14ac:dyDescent="0.25">
      <c r="A941" s="170">
        <v>43388</v>
      </c>
      <c r="B941" s="116">
        <v>247.8</v>
      </c>
      <c r="C941" s="116">
        <v>245.6</v>
      </c>
      <c r="D941" s="116">
        <v>240.85</v>
      </c>
      <c r="E941" s="116">
        <v>245</v>
      </c>
      <c r="F941" s="116">
        <v>245.6</v>
      </c>
      <c r="G941">
        <v>50375</v>
      </c>
      <c r="H941" s="116"/>
      <c r="I941" s="116"/>
      <c r="L941" s="170">
        <v>43388</v>
      </c>
      <c r="M941" s="116">
        <v>245.95</v>
      </c>
      <c r="N941" s="116">
        <v>248</v>
      </c>
      <c r="O941" s="116">
        <v>240.3</v>
      </c>
      <c r="P941" s="116">
        <v>245</v>
      </c>
      <c r="Q941" s="116">
        <v>245.95</v>
      </c>
      <c r="R941">
        <v>807029</v>
      </c>
    </row>
    <row r="942" spans="1:18" x14ac:dyDescent="0.25">
      <c r="A942" s="170">
        <v>43389</v>
      </c>
      <c r="B942" s="116">
        <v>251.8</v>
      </c>
      <c r="C942" s="116">
        <v>242.3</v>
      </c>
      <c r="D942" s="116">
        <v>239.45</v>
      </c>
      <c r="E942" s="116">
        <v>247</v>
      </c>
      <c r="F942" s="116">
        <v>242.3</v>
      </c>
      <c r="G942">
        <v>96135</v>
      </c>
      <c r="H942" s="116"/>
      <c r="I942" s="116"/>
      <c r="L942" s="170">
        <v>43389</v>
      </c>
      <c r="M942" s="116">
        <v>241.7</v>
      </c>
      <c r="N942" s="116">
        <v>251.9</v>
      </c>
      <c r="O942" s="116">
        <v>238.6</v>
      </c>
      <c r="P942" s="116">
        <v>247.95</v>
      </c>
      <c r="Q942" s="116">
        <v>241.7</v>
      </c>
      <c r="R942">
        <v>1519162</v>
      </c>
    </row>
    <row r="943" spans="1:18" x14ac:dyDescent="0.25">
      <c r="A943" s="170">
        <v>43390</v>
      </c>
      <c r="B943" s="116">
        <v>247</v>
      </c>
      <c r="C943" s="116">
        <v>231.25</v>
      </c>
      <c r="D943" s="116">
        <v>228.5</v>
      </c>
      <c r="E943" s="116">
        <v>245</v>
      </c>
      <c r="F943" s="116">
        <v>231.25</v>
      </c>
      <c r="G943">
        <v>160507</v>
      </c>
      <c r="H943" s="116"/>
      <c r="I943" s="116"/>
      <c r="L943" s="170">
        <v>43390</v>
      </c>
      <c r="M943" s="116">
        <v>231.8</v>
      </c>
      <c r="N943" s="116">
        <v>246.95</v>
      </c>
      <c r="O943" s="116">
        <v>228.1</v>
      </c>
      <c r="P943" s="116">
        <v>243.9</v>
      </c>
      <c r="Q943" s="116">
        <v>231.8</v>
      </c>
      <c r="R943">
        <v>2200201</v>
      </c>
    </row>
    <row r="944" spans="1:18" x14ac:dyDescent="0.25">
      <c r="A944" s="170">
        <v>43392</v>
      </c>
      <c r="B944" s="116">
        <v>238.5</v>
      </c>
      <c r="C944" s="116">
        <v>231.25</v>
      </c>
      <c r="D944" s="116">
        <v>226.75</v>
      </c>
      <c r="E944" s="116">
        <v>231</v>
      </c>
      <c r="F944" s="116">
        <v>231.25</v>
      </c>
      <c r="G944">
        <v>169895</v>
      </c>
      <c r="H944" s="116"/>
      <c r="I944" s="116"/>
      <c r="L944" s="170">
        <v>43392</v>
      </c>
      <c r="M944" s="116">
        <v>230.65</v>
      </c>
      <c r="N944" s="116">
        <v>239.15</v>
      </c>
      <c r="O944" s="116">
        <v>226.55</v>
      </c>
      <c r="P944" s="116">
        <v>231.9</v>
      </c>
      <c r="Q944" s="116">
        <v>230.65</v>
      </c>
      <c r="R944">
        <v>1698583</v>
      </c>
    </row>
    <row r="945" spans="1:18" x14ac:dyDescent="0.25">
      <c r="A945" s="170">
        <v>43395</v>
      </c>
      <c r="B945" s="116">
        <v>233.15</v>
      </c>
      <c r="C945" s="116">
        <v>224.95</v>
      </c>
      <c r="D945" s="116">
        <v>222.3</v>
      </c>
      <c r="E945" s="116">
        <v>233</v>
      </c>
      <c r="F945" s="116">
        <v>224.95</v>
      </c>
      <c r="G945">
        <v>169764</v>
      </c>
      <c r="H945" s="116"/>
      <c r="I945" s="116"/>
      <c r="L945" s="170">
        <v>43395</v>
      </c>
      <c r="M945" s="116">
        <v>225.7</v>
      </c>
      <c r="N945" s="116">
        <v>233.75</v>
      </c>
      <c r="O945" s="116">
        <v>223</v>
      </c>
      <c r="P945" s="116">
        <v>232</v>
      </c>
      <c r="Q945" s="116">
        <v>225.7</v>
      </c>
      <c r="R945">
        <v>1576606</v>
      </c>
    </row>
    <row r="946" spans="1:18" x14ac:dyDescent="0.25">
      <c r="A946" s="170">
        <v>43396</v>
      </c>
      <c r="B946" s="116">
        <v>241.15</v>
      </c>
      <c r="C946" s="116">
        <v>221.6</v>
      </c>
      <c r="D946" s="116">
        <v>217</v>
      </c>
      <c r="E946" s="116">
        <v>220</v>
      </c>
      <c r="F946" s="116">
        <v>221.6</v>
      </c>
      <c r="G946">
        <v>940301</v>
      </c>
      <c r="H946" s="116"/>
      <c r="I946" s="116"/>
      <c r="L946" s="170">
        <v>43396</v>
      </c>
      <c r="M946" s="116">
        <v>222.25</v>
      </c>
      <c r="N946" s="116">
        <v>241.5</v>
      </c>
      <c r="O946" s="116">
        <v>216.5</v>
      </c>
      <c r="P946" s="116">
        <v>221.1</v>
      </c>
      <c r="Q946" s="116">
        <v>222.25</v>
      </c>
      <c r="R946">
        <v>4207402</v>
      </c>
    </row>
    <row r="947" spans="1:18" x14ac:dyDescent="0.25">
      <c r="A947" s="170">
        <v>43397</v>
      </c>
      <c r="B947" s="116">
        <v>253.5</v>
      </c>
      <c r="C947" s="116">
        <v>250.2</v>
      </c>
      <c r="D947" s="116">
        <v>225.4</v>
      </c>
      <c r="E947" s="116">
        <v>229</v>
      </c>
      <c r="F947" s="116">
        <v>250.2</v>
      </c>
      <c r="G947">
        <v>428286</v>
      </c>
      <c r="H947" s="116"/>
      <c r="I947" s="116"/>
      <c r="L947" s="170">
        <v>43397</v>
      </c>
      <c r="M947" s="116">
        <v>249.8</v>
      </c>
      <c r="N947" s="116">
        <v>253.3</v>
      </c>
      <c r="O947" s="116">
        <v>226.7</v>
      </c>
      <c r="P947" s="116">
        <v>226.7</v>
      </c>
      <c r="Q947" s="116">
        <v>249.8</v>
      </c>
      <c r="R947">
        <v>5508544</v>
      </c>
    </row>
    <row r="948" spans="1:18" x14ac:dyDescent="0.25">
      <c r="A948" s="170">
        <v>43398</v>
      </c>
      <c r="B948" s="116">
        <v>263</v>
      </c>
      <c r="C948" s="116">
        <v>257</v>
      </c>
      <c r="D948" s="116">
        <v>240</v>
      </c>
      <c r="E948" s="116">
        <v>240</v>
      </c>
      <c r="F948" s="116">
        <v>257</v>
      </c>
      <c r="G948">
        <v>404178</v>
      </c>
      <c r="H948" s="116"/>
      <c r="I948" s="116"/>
      <c r="L948" s="170">
        <v>43398</v>
      </c>
      <c r="M948" s="116">
        <v>256.95</v>
      </c>
      <c r="N948" s="116">
        <v>259.39999999999998</v>
      </c>
      <c r="O948" s="116">
        <v>241.4</v>
      </c>
      <c r="P948" s="116">
        <v>243.6</v>
      </c>
      <c r="Q948" s="116">
        <v>256.95</v>
      </c>
      <c r="R948">
        <v>3997399</v>
      </c>
    </row>
    <row r="949" spans="1:18" x14ac:dyDescent="0.25">
      <c r="A949" s="170">
        <v>43399</v>
      </c>
      <c r="B949" s="116">
        <v>263</v>
      </c>
      <c r="C949" s="116">
        <v>255.4</v>
      </c>
      <c r="D949" s="116">
        <v>246.35</v>
      </c>
      <c r="E949" s="116">
        <v>262</v>
      </c>
      <c r="F949" s="116">
        <v>255.4</v>
      </c>
      <c r="G949">
        <v>172003</v>
      </c>
      <c r="H949" s="116"/>
      <c r="I949" s="116"/>
      <c r="L949" s="170">
        <v>43399</v>
      </c>
      <c r="M949" s="116">
        <v>255.2</v>
      </c>
      <c r="N949" s="116">
        <v>263.2</v>
      </c>
      <c r="O949" s="116">
        <v>246</v>
      </c>
      <c r="P949" s="116">
        <v>255.3</v>
      </c>
      <c r="Q949" s="116">
        <v>255.2</v>
      </c>
      <c r="R949">
        <v>2228229</v>
      </c>
    </row>
    <row r="950" spans="1:18" x14ac:dyDescent="0.25">
      <c r="A950" s="170">
        <v>43402</v>
      </c>
      <c r="B950" s="116">
        <v>272.5</v>
      </c>
      <c r="C950" s="116">
        <v>268.10000000000002</v>
      </c>
      <c r="D950" s="116">
        <v>248.3</v>
      </c>
      <c r="E950" s="116">
        <v>255.45</v>
      </c>
      <c r="F950" s="116">
        <v>268.10000000000002</v>
      </c>
      <c r="G950">
        <v>142925</v>
      </c>
      <c r="H950" s="116"/>
      <c r="I950" s="116"/>
      <c r="L950" s="170">
        <v>43402</v>
      </c>
      <c r="M950" s="116">
        <v>267.60000000000002</v>
      </c>
      <c r="N950" s="116">
        <v>272.64999999999998</v>
      </c>
      <c r="O950" s="116">
        <v>247.8</v>
      </c>
      <c r="P950" s="116">
        <v>254.95</v>
      </c>
      <c r="Q950" s="116">
        <v>267.60000000000002</v>
      </c>
      <c r="R950">
        <v>2021125</v>
      </c>
    </row>
    <row r="951" spans="1:18" x14ac:dyDescent="0.25">
      <c r="A951" s="170">
        <v>43403</v>
      </c>
      <c r="B951" s="116">
        <v>274.5</v>
      </c>
      <c r="C951" s="116">
        <v>265.2</v>
      </c>
      <c r="D951" s="116">
        <v>263.2</v>
      </c>
      <c r="E951" s="116">
        <v>269.8</v>
      </c>
      <c r="F951" s="116">
        <v>265.2</v>
      </c>
      <c r="G951">
        <v>89714</v>
      </c>
      <c r="H951" s="116"/>
      <c r="I951" s="116"/>
      <c r="L951" s="170">
        <v>43403</v>
      </c>
      <c r="M951" s="116">
        <v>265.05</v>
      </c>
      <c r="N951" s="116">
        <v>274</v>
      </c>
      <c r="O951" s="116">
        <v>263.10000000000002</v>
      </c>
      <c r="P951" s="116">
        <v>264.8</v>
      </c>
      <c r="Q951" s="116">
        <v>265.05</v>
      </c>
      <c r="R951">
        <v>1308018</v>
      </c>
    </row>
    <row r="952" spans="1:18" x14ac:dyDescent="0.25">
      <c r="A952" s="170">
        <v>43404</v>
      </c>
      <c r="B952" s="116">
        <v>279.35000000000002</v>
      </c>
      <c r="C952" s="116">
        <v>274.85000000000002</v>
      </c>
      <c r="D952" s="116">
        <v>245.15</v>
      </c>
      <c r="E952" s="116">
        <v>269.89999999999998</v>
      </c>
      <c r="F952" s="116">
        <v>274.85000000000002</v>
      </c>
      <c r="G952">
        <v>217773</v>
      </c>
      <c r="H952" s="116"/>
      <c r="I952" s="116"/>
      <c r="L952" s="170">
        <v>43404</v>
      </c>
      <c r="M952" s="116">
        <v>275.8</v>
      </c>
      <c r="N952" s="116">
        <v>279.8</v>
      </c>
      <c r="O952" s="116">
        <v>246.05</v>
      </c>
      <c r="P952" s="116">
        <v>265</v>
      </c>
      <c r="Q952" s="116">
        <v>275.8</v>
      </c>
      <c r="R952">
        <v>3102508</v>
      </c>
    </row>
    <row r="953" spans="1:18" x14ac:dyDescent="0.25">
      <c r="A953" s="170">
        <v>43405</v>
      </c>
      <c r="B953" s="116">
        <v>282.14999999999998</v>
      </c>
      <c r="C953" s="116">
        <v>275.64999999999998</v>
      </c>
      <c r="D953" s="116">
        <v>273.5</v>
      </c>
      <c r="E953" s="116">
        <v>275.5</v>
      </c>
      <c r="F953" s="116">
        <v>275.64999999999998</v>
      </c>
      <c r="G953">
        <v>90314</v>
      </c>
      <c r="H953" s="116"/>
      <c r="I953" s="116"/>
      <c r="L953" s="170">
        <v>43405</v>
      </c>
      <c r="M953" s="116">
        <v>275.95</v>
      </c>
      <c r="N953" s="116">
        <v>282.5</v>
      </c>
      <c r="O953" s="116">
        <v>274.25</v>
      </c>
      <c r="P953" s="116">
        <v>277</v>
      </c>
      <c r="Q953" s="116">
        <v>275.95</v>
      </c>
      <c r="R953">
        <v>1291590</v>
      </c>
    </row>
    <row r="954" spans="1:18" x14ac:dyDescent="0.25">
      <c r="A954" s="170">
        <v>43406</v>
      </c>
      <c r="B954" s="116">
        <v>285.3</v>
      </c>
      <c r="C954" s="116">
        <v>274.5</v>
      </c>
      <c r="D954" s="116">
        <v>273</v>
      </c>
      <c r="E954" s="116">
        <v>283.7</v>
      </c>
      <c r="F954" s="116">
        <v>274.5</v>
      </c>
      <c r="G954">
        <v>133395</v>
      </c>
      <c r="H954" s="116"/>
      <c r="I954" s="116"/>
      <c r="L954" s="170">
        <v>43406</v>
      </c>
      <c r="M954" s="116">
        <v>274.64999999999998</v>
      </c>
      <c r="N954" s="116">
        <v>285</v>
      </c>
      <c r="O954" s="116">
        <v>272.55</v>
      </c>
      <c r="P954" s="116">
        <v>279</v>
      </c>
      <c r="Q954" s="116">
        <v>274.64999999999998</v>
      </c>
      <c r="R954">
        <v>1551343</v>
      </c>
    </row>
    <row r="955" spans="1:18" x14ac:dyDescent="0.25">
      <c r="A955" s="170">
        <v>43409</v>
      </c>
      <c r="B955" s="116">
        <v>280.60000000000002</v>
      </c>
      <c r="C955" s="116">
        <v>273.60000000000002</v>
      </c>
      <c r="D955" s="116">
        <v>264</v>
      </c>
      <c r="E955" s="116">
        <v>273.7</v>
      </c>
      <c r="F955" s="116">
        <v>273.60000000000002</v>
      </c>
      <c r="G955">
        <v>91796</v>
      </c>
      <c r="H955" s="116"/>
      <c r="I955" s="116"/>
      <c r="L955" s="170">
        <v>43409</v>
      </c>
      <c r="M955" s="116">
        <v>273.85000000000002</v>
      </c>
      <c r="N955" s="116">
        <v>280.8</v>
      </c>
      <c r="O955" s="116">
        <v>264</v>
      </c>
      <c r="P955" s="116">
        <v>277.55</v>
      </c>
      <c r="Q955" s="116">
        <v>273.85000000000002</v>
      </c>
      <c r="R955">
        <v>1293130</v>
      </c>
    </row>
    <row r="956" spans="1:18" x14ac:dyDescent="0.25">
      <c r="A956" s="170">
        <v>43410</v>
      </c>
      <c r="B956" s="116">
        <v>288.89999999999998</v>
      </c>
      <c r="C956" s="116">
        <v>277.2</v>
      </c>
      <c r="D956" s="116">
        <v>274.75</v>
      </c>
      <c r="E956" s="116">
        <v>275.10000000000002</v>
      </c>
      <c r="F956" s="116">
        <v>277.2</v>
      </c>
      <c r="G956">
        <v>142521</v>
      </c>
      <c r="H956" s="116"/>
      <c r="I956" s="116"/>
      <c r="L956" s="170">
        <v>43410</v>
      </c>
      <c r="M956" s="116">
        <v>277</v>
      </c>
      <c r="N956" s="116">
        <v>288.75</v>
      </c>
      <c r="O956" s="116">
        <v>274.75</v>
      </c>
      <c r="P956" s="116">
        <v>275</v>
      </c>
      <c r="Q956" s="116">
        <v>277</v>
      </c>
      <c r="R956">
        <v>1521755</v>
      </c>
    </row>
    <row r="957" spans="1:18" x14ac:dyDescent="0.25">
      <c r="A957" s="170">
        <v>43411</v>
      </c>
      <c r="B957" s="116">
        <v>282.39999999999998</v>
      </c>
      <c r="C957" s="116">
        <v>280.2</v>
      </c>
      <c r="D957" s="116">
        <v>277.60000000000002</v>
      </c>
      <c r="E957" s="116">
        <v>279.3</v>
      </c>
      <c r="F957" s="116">
        <v>280.2</v>
      </c>
      <c r="G957">
        <v>7245</v>
      </c>
      <c r="H957" s="116"/>
      <c r="I957" s="116"/>
      <c r="L957" s="170">
        <v>43411</v>
      </c>
      <c r="M957" s="116">
        <v>280.2</v>
      </c>
      <c r="N957" s="116">
        <v>282.3</v>
      </c>
      <c r="O957" s="116">
        <v>276.7</v>
      </c>
      <c r="P957" s="116">
        <v>276.7</v>
      </c>
      <c r="Q957" s="116">
        <v>280.2</v>
      </c>
      <c r="R957">
        <v>163908</v>
      </c>
    </row>
    <row r="958" spans="1:18" x14ac:dyDescent="0.25">
      <c r="A958" s="170">
        <v>43413</v>
      </c>
      <c r="B958" s="116">
        <v>286</v>
      </c>
      <c r="C958" s="116">
        <v>281.7</v>
      </c>
      <c r="D958" s="116">
        <v>271.89999999999998</v>
      </c>
      <c r="E958" s="116">
        <v>271.89999999999998</v>
      </c>
      <c r="F958" s="116">
        <v>281.7</v>
      </c>
      <c r="G958">
        <v>43696</v>
      </c>
      <c r="H958" s="116"/>
      <c r="I958" s="116"/>
      <c r="L958" s="170">
        <v>43413</v>
      </c>
      <c r="M958" s="116">
        <v>281.3</v>
      </c>
      <c r="N958" s="116">
        <v>285.75</v>
      </c>
      <c r="O958" s="116">
        <v>276</v>
      </c>
      <c r="P958" s="116">
        <v>280.10000000000002</v>
      </c>
      <c r="Q958" s="116">
        <v>281.3</v>
      </c>
      <c r="R958">
        <v>711075</v>
      </c>
    </row>
    <row r="959" spans="1:18" x14ac:dyDescent="0.25">
      <c r="A959" s="170">
        <v>43416</v>
      </c>
      <c r="B959" s="116">
        <v>283.2</v>
      </c>
      <c r="C959" s="116">
        <v>276.3</v>
      </c>
      <c r="D959" s="116">
        <v>273.14999999999998</v>
      </c>
      <c r="E959" s="116">
        <v>281.7</v>
      </c>
      <c r="F959" s="116">
        <v>276.3</v>
      </c>
      <c r="G959">
        <v>41162</v>
      </c>
      <c r="H959" s="116"/>
      <c r="I959" s="116"/>
      <c r="L959" s="170">
        <v>43416</v>
      </c>
      <c r="M959" s="116">
        <v>275.89999999999998</v>
      </c>
      <c r="N959" s="116">
        <v>283.5</v>
      </c>
      <c r="O959" s="116">
        <v>273</v>
      </c>
      <c r="P959" s="116">
        <v>282</v>
      </c>
      <c r="Q959" s="116">
        <v>275.89999999999998</v>
      </c>
      <c r="R959">
        <v>641248</v>
      </c>
    </row>
    <row r="960" spans="1:18" x14ac:dyDescent="0.25">
      <c r="A960" s="170">
        <v>43417</v>
      </c>
      <c r="B960" s="116">
        <v>283.3</v>
      </c>
      <c r="C960" s="116">
        <v>282.2</v>
      </c>
      <c r="D960" s="116">
        <v>271</v>
      </c>
      <c r="E960" s="116">
        <v>273.25</v>
      </c>
      <c r="F960" s="116">
        <v>282.2</v>
      </c>
      <c r="G960">
        <v>56594</v>
      </c>
      <c r="H960" s="116"/>
      <c r="I960" s="116"/>
      <c r="L960" s="170">
        <v>43417</v>
      </c>
      <c r="M960" s="116">
        <v>282.2</v>
      </c>
      <c r="N960" s="116">
        <v>283.45</v>
      </c>
      <c r="O960" s="116">
        <v>270.55</v>
      </c>
      <c r="P960" s="116">
        <v>276.95</v>
      </c>
      <c r="Q960" s="116">
        <v>282.2</v>
      </c>
      <c r="R960">
        <v>708468</v>
      </c>
    </row>
    <row r="961" spans="1:18" x14ac:dyDescent="0.25">
      <c r="A961" s="170">
        <v>43418</v>
      </c>
      <c r="B961" s="116">
        <v>283.7</v>
      </c>
      <c r="C961" s="116">
        <v>277.7</v>
      </c>
      <c r="D961" s="116">
        <v>276.05</v>
      </c>
      <c r="E961" s="116">
        <v>282.25</v>
      </c>
      <c r="F961" s="116">
        <v>277.7</v>
      </c>
      <c r="G961">
        <v>38930</v>
      </c>
      <c r="H961" s="116"/>
      <c r="I961" s="116"/>
      <c r="L961" s="170">
        <v>43418</v>
      </c>
      <c r="M961" s="116">
        <v>278.3</v>
      </c>
      <c r="N961" s="116">
        <v>284.5</v>
      </c>
      <c r="O961" s="116">
        <v>276.05</v>
      </c>
      <c r="P961" s="116">
        <v>284</v>
      </c>
      <c r="Q961" s="116">
        <v>278.3</v>
      </c>
      <c r="R961">
        <v>416738</v>
      </c>
    </row>
    <row r="962" spans="1:18" x14ac:dyDescent="0.25">
      <c r="A962" s="170">
        <v>43419</v>
      </c>
      <c r="B962" s="116">
        <v>285.5</v>
      </c>
      <c r="C962" s="116">
        <v>277.55</v>
      </c>
      <c r="D962" s="116">
        <v>268.7</v>
      </c>
      <c r="E962" s="116">
        <v>277.8</v>
      </c>
      <c r="F962" s="116">
        <v>277.55</v>
      </c>
      <c r="G962">
        <v>83057</v>
      </c>
      <c r="H962" s="116"/>
      <c r="I962" s="116"/>
      <c r="L962" s="170">
        <v>43419</v>
      </c>
      <c r="M962" s="116">
        <v>277.7</v>
      </c>
      <c r="N962" s="116">
        <v>285.75</v>
      </c>
      <c r="O962" s="116">
        <v>268.5</v>
      </c>
      <c r="P962" s="116">
        <v>278</v>
      </c>
      <c r="Q962" s="116">
        <v>277.7</v>
      </c>
      <c r="R962">
        <v>1321100</v>
      </c>
    </row>
    <row r="963" spans="1:18" x14ac:dyDescent="0.25">
      <c r="A963" s="170">
        <v>43420</v>
      </c>
      <c r="B963" s="116">
        <v>281.45</v>
      </c>
      <c r="C963" s="116">
        <v>265.60000000000002</v>
      </c>
      <c r="D963" s="116">
        <v>258.45</v>
      </c>
      <c r="E963" s="116">
        <v>280</v>
      </c>
      <c r="F963" s="116">
        <v>265.60000000000002</v>
      </c>
      <c r="G963">
        <v>75230</v>
      </c>
      <c r="H963" s="116"/>
      <c r="I963" s="116"/>
      <c r="L963" s="170">
        <v>43420</v>
      </c>
      <c r="M963" s="116">
        <v>265.60000000000002</v>
      </c>
      <c r="N963" s="116">
        <v>281.5</v>
      </c>
      <c r="O963" s="116">
        <v>257.85000000000002</v>
      </c>
      <c r="P963" s="116">
        <v>277.7</v>
      </c>
      <c r="Q963" s="116">
        <v>265.60000000000002</v>
      </c>
      <c r="R963">
        <v>1221311</v>
      </c>
    </row>
    <row r="964" spans="1:18" x14ac:dyDescent="0.25">
      <c r="A964" s="170">
        <v>43423</v>
      </c>
      <c r="B964" s="116">
        <v>270.8</v>
      </c>
      <c r="C964" s="116">
        <v>266.60000000000002</v>
      </c>
      <c r="D964" s="116">
        <v>262.55</v>
      </c>
      <c r="E964" s="116">
        <v>268.8</v>
      </c>
      <c r="F964" s="116">
        <v>266.60000000000002</v>
      </c>
      <c r="G964">
        <v>37436</v>
      </c>
      <c r="H964" s="116"/>
      <c r="I964" s="116"/>
      <c r="L964" s="170">
        <v>43423</v>
      </c>
      <c r="M964" s="116">
        <v>266.55</v>
      </c>
      <c r="N964" s="116">
        <v>270.60000000000002</v>
      </c>
      <c r="O964" s="116">
        <v>262.39999999999998</v>
      </c>
      <c r="P964" s="116">
        <v>269.05</v>
      </c>
      <c r="Q964" s="116">
        <v>266.55</v>
      </c>
      <c r="R964">
        <v>564058</v>
      </c>
    </row>
    <row r="965" spans="1:18" x14ac:dyDescent="0.25">
      <c r="A965" s="170">
        <v>43424</v>
      </c>
      <c r="B965" s="116">
        <v>266.95</v>
      </c>
      <c r="C965" s="116">
        <v>256.95</v>
      </c>
      <c r="D965" s="116">
        <v>254.25</v>
      </c>
      <c r="E965" s="116">
        <v>263.14999999999998</v>
      </c>
      <c r="F965" s="116">
        <v>256.95</v>
      </c>
      <c r="G965">
        <v>59924</v>
      </c>
      <c r="H965" s="116"/>
      <c r="I965" s="116"/>
      <c r="L965" s="170">
        <v>43424</v>
      </c>
      <c r="M965" s="116">
        <v>257.64999999999998</v>
      </c>
      <c r="N965" s="116">
        <v>266.8</v>
      </c>
      <c r="O965" s="116">
        <v>254.4</v>
      </c>
      <c r="P965" s="116">
        <v>266</v>
      </c>
      <c r="Q965" s="116">
        <v>257.64999999999998</v>
      </c>
      <c r="R965">
        <v>1032154</v>
      </c>
    </row>
    <row r="966" spans="1:18" x14ac:dyDescent="0.25">
      <c r="A966" s="170">
        <v>43425</v>
      </c>
      <c r="B966" s="116">
        <v>267.8</v>
      </c>
      <c r="C966" s="116">
        <v>263.75</v>
      </c>
      <c r="D966" s="116">
        <v>256.95</v>
      </c>
      <c r="E966" s="116">
        <v>258.75</v>
      </c>
      <c r="F966" s="116">
        <v>263.75</v>
      </c>
      <c r="G966">
        <v>41174</v>
      </c>
      <c r="H966" s="116"/>
      <c r="I966" s="116"/>
      <c r="L966" s="170">
        <v>43425</v>
      </c>
      <c r="M966" s="116">
        <v>264.55</v>
      </c>
      <c r="N966" s="116">
        <v>268.10000000000002</v>
      </c>
      <c r="O966" s="116">
        <v>256.3</v>
      </c>
      <c r="P966" s="116">
        <v>257.05</v>
      </c>
      <c r="Q966" s="116">
        <v>264.55</v>
      </c>
      <c r="R966">
        <v>675117</v>
      </c>
    </row>
    <row r="967" spans="1:18" x14ac:dyDescent="0.25">
      <c r="A967" s="170">
        <v>43426</v>
      </c>
      <c r="B967" s="116">
        <v>267</v>
      </c>
      <c r="C967" s="116">
        <v>260.10000000000002</v>
      </c>
      <c r="D967" s="116">
        <v>258</v>
      </c>
      <c r="E967" s="116">
        <v>265.85000000000002</v>
      </c>
      <c r="F967" s="116">
        <v>260.10000000000002</v>
      </c>
      <c r="G967">
        <v>30196</v>
      </c>
      <c r="H967" s="116"/>
      <c r="I967" s="116"/>
      <c r="L967" s="170">
        <v>43426</v>
      </c>
      <c r="M967" s="116">
        <v>259.64999999999998</v>
      </c>
      <c r="N967" s="116">
        <v>266.89999999999998</v>
      </c>
      <c r="O967" s="116">
        <v>258.05</v>
      </c>
      <c r="P967" s="116">
        <v>266.2</v>
      </c>
      <c r="Q967" s="116">
        <v>259.64999999999998</v>
      </c>
      <c r="R967">
        <v>564021</v>
      </c>
    </row>
    <row r="968" spans="1:18" x14ac:dyDescent="0.25">
      <c r="A968" s="170">
        <v>43430</v>
      </c>
      <c r="B968" s="116">
        <v>261.55</v>
      </c>
      <c r="C968" s="116">
        <v>253.3</v>
      </c>
      <c r="D968" s="116">
        <v>247.65</v>
      </c>
      <c r="E968" s="116">
        <v>260.05</v>
      </c>
      <c r="F968" s="116">
        <v>253.3</v>
      </c>
      <c r="G968">
        <v>42058</v>
      </c>
      <c r="H968" s="116"/>
      <c r="I968" s="116"/>
      <c r="L968" s="170">
        <v>43430</v>
      </c>
      <c r="M968" s="116">
        <v>253.85</v>
      </c>
      <c r="N968" s="116">
        <v>262</v>
      </c>
      <c r="O968" s="116">
        <v>247.45</v>
      </c>
      <c r="P968" s="116">
        <v>261.8</v>
      </c>
      <c r="Q968" s="116">
        <v>253.85</v>
      </c>
      <c r="R968">
        <v>714344</v>
      </c>
    </row>
    <row r="969" spans="1:18" x14ac:dyDescent="0.25">
      <c r="A969" s="170">
        <v>43431</v>
      </c>
      <c r="B969" s="116">
        <v>259.5</v>
      </c>
      <c r="C969" s="116">
        <v>257.45</v>
      </c>
      <c r="D969" s="116">
        <v>250.65</v>
      </c>
      <c r="E969" s="116">
        <v>253</v>
      </c>
      <c r="F969" s="116">
        <v>257.45</v>
      </c>
      <c r="G969">
        <v>46968</v>
      </c>
      <c r="H969" s="116"/>
      <c r="I969" s="116"/>
      <c r="L969" s="170">
        <v>43431</v>
      </c>
      <c r="M969" s="116">
        <v>257.64999999999998</v>
      </c>
      <c r="N969" s="116">
        <v>259.25</v>
      </c>
      <c r="O969" s="116">
        <v>250.65</v>
      </c>
      <c r="P969" s="116">
        <v>253.85</v>
      </c>
      <c r="Q969" s="116">
        <v>257.64999999999998</v>
      </c>
      <c r="R969">
        <v>643563</v>
      </c>
    </row>
    <row r="970" spans="1:18" x14ac:dyDescent="0.25">
      <c r="A970" s="170">
        <v>43432</v>
      </c>
      <c r="B970" s="116">
        <v>265.8</v>
      </c>
      <c r="C970" s="116">
        <v>257</v>
      </c>
      <c r="D970" s="116">
        <v>254.05</v>
      </c>
      <c r="E970" s="116">
        <v>257.64999999999998</v>
      </c>
      <c r="F970" s="116">
        <v>257</v>
      </c>
      <c r="G970">
        <v>36833</v>
      </c>
      <c r="H970" s="116"/>
      <c r="I970" s="116"/>
      <c r="L970" s="170">
        <v>43432</v>
      </c>
      <c r="M970" s="116">
        <v>257.75</v>
      </c>
      <c r="N970" s="116">
        <v>266.14999999999998</v>
      </c>
      <c r="O970" s="116">
        <v>253.65</v>
      </c>
      <c r="P970" s="116">
        <v>257</v>
      </c>
      <c r="Q970" s="116">
        <v>257.75</v>
      </c>
      <c r="R970">
        <v>687407</v>
      </c>
    </row>
    <row r="971" spans="1:18" x14ac:dyDescent="0.25">
      <c r="A971" s="170">
        <v>43433</v>
      </c>
      <c r="B971" s="116">
        <v>269.75</v>
      </c>
      <c r="C971" s="116">
        <v>267.5</v>
      </c>
      <c r="D971" s="116">
        <v>255.75</v>
      </c>
      <c r="E971" s="116">
        <v>262</v>
      </c>
      <c r="F971" s="116">
        <v>267.5</v>
      </c>
      <c r="G971">
        <v>102228</v>
      </c>
      <c r="H971" s="116"/>
      <c r="I971" s="116"/>
      <c r="L971" s="170">
        <v>43433</v>
      </c>
      <c r="M971" s="116">
        <v>267.45</v>
      </c>
      <c r="N971" s="116">
        <v>269.8</v>
      </c>
      <c r="O971" s="116">
        <v>255.3</v>
      </c>
      <c r="P971" s="116">
        <v>259.35000000000002</v>
      </c>
      <c r="Q971" s="116">
        <v>267.45</v>
      </c>
      <c r="R971">
        <v>927302</v>
      </c>
    </row>
    <row r="972" spans="1:18" x14ac:dyDescent="0.25">
      <c r="A972" s="170">
        <v>43434</v>
      </c>
      <c r="B972" s="116">
        <v>279.89999999999998</v>
      </c>
      <c r="C972" s="116">
        <v>269.7</v>
      </c>
      <c r="D972" s="116">
        <v>265.64999999999998</v>
      </c>
      <c r="E972" s="116">
        <v>270.85000000000002</v>
      </c>
      <c r="F972" s="116">
        <v>269.7</v>
      </c>
      <c r="G972">
        <v>130098</v>
      </c>
      <c r="H972" s="116"/>
      <c r="I972" s="116"/>
      <c r="L972" s="170">
        <v>43434</v>
      </c>
      <c r="M972" s="116">
        <v>269.85000000000002</v>
      </c>
      <c r="N972" s="116">
        <v>279.7</v>
      </c>
      <c r="O972" s="116">
        <v>265.8</v>
      </c>
      <c r="P972" s="116">
        <v>270</v>
      </c>
      <c r="Q972" s="116">
        <v>269.85000000000002</v>
      </c>
      <c r="R972">
        <v>1538831</v>
      </c>
    </row>
    <row r="973" spans="1:18" x14ac:dyDescent="0.25">
      <c r="A973" s="170">
        <v>43437</v>
      </c>
      <c r="B973" s="116">
        <v>273.7</v>
      </c>
      <c r="C973" s="116">
        <v>267.60000000000002</v>
      </c>
      <c r="D973" s="116">
        <v>264.7</v>
      </c>
      <c r="E973" s="116">
        <v>273.7</v>
      </c>
      <c r="F973" s="116">
        <v>267.60000000000002</v>
      </c>
      <c r="G973">
        <v>31920</v>
      </c>
      <c r="H973" s="116"/>
      <c r="I973" s="116"/>
      <c r="L973" s="170">
        <v>43437</v>
      </c>
      <c r="M973" s="116">
        <v>267.55</v>
      </c>
      <c r="N973" s="116">
        <v>272.8</v>
      </c>
      <c r="O973" s="116">
        <v>264.39999999999998</v>
      </c>
      <c r="P973" s="116">
        <v>270.10000000000002</v>
      </c>
      <c r="Q973" s="116">
        <v>267.55</v>
      </c>
      <c r="R973">
        <v>471044</v>
      </c>
    </row>
    <row r="974" spans="1:18" x14ac:dyDescent="0.25">
      <c r="A974" s="170">
        <v>43438</v>
      </c>
      <c r="B974" s="116">
        <v>269.45</v>
      </c>
      <c r="C974" s="116">
        <v>261.45</v>
      </c>
      <c r="D974" s="116">
        <v>260</v>
      </c>
      <c r="E974" s="116">
        <v>268.25</v>
      </c>
      <c r="F974" s="116">
        <v>261.45</v>
      </c>
      <c r="G974">
        <v>46809</v>
      </c>
      <c r="H974" s="116"/>
      <c r="I974" s="116"/>
      <c r="L974" s="170">
        <v>43438</v>
      </c>
      <c r="M974" s="116">
        <v>261.5</v>
      </c>
      <c r="N974" s="116">
        <v>270</v>
      </c>
      <c r="O974" s="116">
        <v>259.2</v>
      </c>
      <c r="P974" s="116">
        <v>268</v>
      </c>
      <c r="Q974" s="116">
        <v>261.5</v>
      </c>
      <c r="R974">
        <v>667633</v>
      </c>
    </row>
    <row r="975" spans="1:18" x14ac:dyDescent="0.25">
      <c r="A975" s="170">
        <v>43439</v>
      </c>
      <c r="B975" s="116">
        <v>265.3</v>
      </c>
      <c r="C975" s="116">
        <v>248.85</v>
      </c>
      <c r="D975" s="116">
        <v>246.35</v>
      </c>
      <c r="E975" s="116">
        <v>261.55</v>
      </c>
      <c r="F975" s="116">
        <v>248.85</v>
      </c>
      <c r="G975">
        <v>1014050</v>
      </c>
      <c r="H975" s="116"/>
      <c r="I975" s="116"/>
      <c r="L975" s="170">
        <v>43439</v>
      </c>
      <c r="M975" s="116">
        <v>249.6</v>
      </c>
      <c r="N975" s="116">
        <v>265.95</v>
      </c>
      <c r="O975" s="116">
        <v>246.4</v>
      </c>
      <c r="P975" s="116">
        <v>262</v>
      </c>
      <c r="Q975" s="116">
        <v>249.6</v>
      </c>
      <c r="R975">
        <v>1269752</v>
      </c>
    </row>
    <row r="976" spans="1:18" x14ac:dyDescent="0.25">
      <c r="A976" s="170">
        <v>43440</v>
      </c>
      <c r="B976" s="116">
        <v>248.8</v>
      </c>
      <c r="C976" s="116">
        <v>241</v>
      </c>
      <c r="D976" s="116">
        <v>239.35</v>
      </c>
      <c r="E976" s="116">
        <v>248.8</v>
      </c>
      <c r="F976" s="116">
        <v>241</v>
      </c>
      <c r="G976">
        <v>742279</v>
      </c>
      <c r="H976" s="116"/>
      <c r="I976" s="116"/>
      <c r="L976" s="170">
        <v>43440</v>
      </c>
      <c r="M976" s="116">
        <v>240.75</v>
      </c>
      <c r="N976" s="116">
        <v>248.65</v>
      </c>
      <c r="O976" s="116">
        <v>238.6</v>
      </c>
      <c r="P976" s="116">
        <v>247</v>
      </c>
      <c r="Q976" s="116">
        <v>240.75</v>
      </c>
      <c r="R976">
        <v>941560</v>
      </c>
    </row>
    <row r="977" spans="1:18" x14ac:dyDescent="0.25">
      <c r="A977" s="170">
        <v>43441</v>
      </c>
      <c r="B977" s="116">
        <v>245</v>
      </c>
      <c r="C977" s="116">
        <v>239.45</v>
      </c>
      <c r="D977" s="116">
        <v>232.75</v>
      </c>
      <c r="E977" s="116">
        <v>245</v>
      </c>
      <c r="F977" s="116">
        <v>239.45</v>
      </c>
      <c r="G977">
        <v>62655</v>
      </c>
      <c r="H977" s="116"/>
      <c r="I977" s="116"/>
      <c r="L977" s="170">
        <v>43441</v>
      </c>
      <c r="M977" s="116">
        <v>239.7</v>
      </c>
      <c r="N977" s="116">
        <v>245.05</v>
      </c>
      <c r="O977" s="116">
        <v>232.65</v>
      </c>
      <c r="P977" s="116">
        <v>242</v>
      </c>
      <c r="Q977" s="116">
        <v>239.7</v>
      </c>
      <c r="R977">
        <v>724994</v>
      </c>
    </row>
    <row r="978" spans="1:18" x14ac:dyDescent="0.25">
      <c r="A978" s="170">
        <v>43444</v>
      </c>
      <c r="B978" s="116">
        <v>239</v>
      </c>
      <c r="C978" s="116">
        <v>235.05</v>
      </c>
      <c r="D978" s="116">
        <v>231.55</v>
      </c>
      <c r="E978" s="116">
        <v>239</v>
      </c>
      <c r="F978" s="116">
        <v>235.05</v>
      </c>
      <c r="G978">
        <v>36934</v>
      </c>
      <c r="H978" s="116"/>
      <c r="I978" s="116"/>
      <c r="L978" s="170">
        <v>43444</v>
      </c>
      <c r="M978" s="116">
        <v>234.15</v>
      </c>
      <c r="N978" s="116">
        <v>236.5</v>
      </c>
      <c r="O978" s="116">
        <v>231.35</v>
      </c>
      <c r="P978" s="116">
        <v>233</v>
      </c>
      <c r="Q978" s="116">
        <v>234.15</v>
      </c>
      <c r="R978">
        <v>382131</v>
      </c>
    </row>
    <row r="979" spans="1:18" x14ac:dyDescent="0.25">
      <c r="A979" s="170">
        <v>43445</v>
      </c>
      <c r="B979" s="116">
        <v>244.5</v>
      </c>
      <c r="C979" s="116">
        <v>235</v>
      </c>
      <c r="D979" s="116">
        <v>228.6</v>
      </c>
      <c r="E979" s="116">
        <v>231.4</v>
      </c>
      <c r="F979" s="116">
        <v>235</v>
      </c>
      <c r="G979">
        <v>103289</v>
      </c>
      <c r="H979" s="116"/>
      <c r="I979" s="116"/>
      <c r="L979" s="170">
        <v>43445</v>
      </c>
      <c r="M979" s="116">
        <v>235.15</v>
      </c>
      <c r="N979" s="116">
        <v>244.8</v>
      </c>
      <c r="O979" s="116">
        <v>226.4</v>
      </c>
      <c r="P979" s="116">
        <v>226.4</v>
      </c>
      <c r="Q979" s="116">
        <v>235.15</v>
      </c>
      <c r="R979">
        <v>1109419</v>
      </c>
    </row>
    <row r="980" spans="1:18" x14ac:dyDescent="0.25">
      <c r="A980" s="170">
        <v>43446</v>
      </c>
      <c r="B980" s="116">
        <v>255.25</v>
      </c>
      <c r="C980" s="116">
        <v>254.05</v>
      </c>
      <c r="D980" s="116">
        <v>237.1</v>
      </c>
      <c r="E980" s="116">
        <v>238.15</v>
      </c>
      <c r="F980" s="116">
        <v>254.05</v>
      </c>
      <c r="G980">
        <v>221505</v>
      </c>
      <c r="H980" s="116"/>
      <c r="I980" s="116"/>
      <c r="L980" s="170">
        <v>43446</v>
      </c>
      <c r="M980" s="116">
        <v>254.45</v>
      </c>
      <c r="N980" s="116">
        <v>255.9</v>
      </c>
      <c r="O980" s="116">
        <v>236.15</v>
      </c>
      <c r="P980" s="116">
        <v>236.15</v>
      </c>
      <c r="Q980" s="116">
        <v>254.45</v>
      </c>
      <c r="R980">
        <v>2492996</v>
      </c>
    </row>
    <row r="981" spans="1:18" x14ac:dyDescent="0.25">
      <c r="A981" s="170">
        <v>43447</v>
      </c>
      <c r="B981" s="116">
        <v>275</v>
      </c>
      <c r="C981" s="116">
        <v>266.10000000000002</v>
      </c>
      <c r="D981" s="116">
        <v>253</v>
      </c>
      <c r="E981" s="116">
        <v>253</v>
      </c>
      <c r="F981" s="116">
        <v>266.10000000000002</v>
      </c>
      <c r="G981">
        <v>268082</v>
      </c>
      <c r="H981" s="116"/>
      <c r="I981" s="116"/>
      <c r="L981" s="170">
        <v>43447</v>
      </c>
      <c r="M981" s="116">
        <v>266.5</v>
      </c>
      <c r="N981" s="116">
        <v>275</v>
      </c>
      <c r="O981" s="116">
        <v>254.45</v>
      </c>
      <c r="P981" s="116">
        <v>255</v>
      </c>
      <c r="Q981" s="116">
        <v>266.5</v>
      </c>
      <c r="R981">
        <v>3014335</v>
      </c>
    </row>
    <row r="982" spans="1:18" x14ac:dyDescent="0.25">
      <c r="A982" s="170">
        <v>43448</v>
      </c>
      <c r="B982" s="116">
        <v>281.5</v>
      </c>
      <c r="C982" s="116">
        <v>278.35000000000002</v>
      </c>
      <c r="D982" s="116">
        <v>262.7</v>
      </c>
      <c r="E982" s="116">
        <v>264</v>
      </c>
      <c r="F982" s="116">
        <v>278.35000000000002</v>
      </c>
      <c r="G982">
        <v>213531</v>
      </c>
      <c r="H982" s="116"/>
      <c r="I982" s="116"/>
      <c r="L982" s="170">
        <v>43448</v>
      </c>
      <c r="M982" s="116">
        <v>278.60000000000002</v>
      </c>
      <c r="N982" s="116">
        <v>281.95</v>
      </c>
      <c r="O982" s="116">
        <v>260.2</v>
      </c>
      <c r="P982" s="116">
        <v>265.8</v>
      </c>
      <c r="Q982" s="116">
        <v>278.60000000000002</v>
      </c>
      <c r="R982">
        <v>2961622</v>
      </c>
    </row>
    <row r="983" spans="1:18" x14ac:dyDescent="0.25">
      <c r="A983" s="170">
        <v>43451</v>
      </c>
      <c r="B983" s="116">
        <v>282</v>
      </c>
      <c r="C983" s="116">
        <v>275.14999999999998</v>
      </c>
      <c r="D983" s="116">
        <v>273</v>
      </c>
      <c r="E983" s="116">
        <v>278.35000000000002</v>
      </c>
      <c r="F983" s="116">
        <v>275.14999999999998</v>
      </c>
      <c r="G983">
        <v>57843</v>
      </c>
      <c r="H983" s="116"/>
      <c r="I983" s="116"/>
      <c r="L983" s="170">
        <v>43451</v>
      </c>
      <c r="M983" s="116">
        <v>275.60000000000002</v>
      </c>
      <c r="N983" s="116">
        <v>280.14999999999998</v>
      </c>
      <c r="O983" s="116">
        <v>272.8</v>
      </c>
      <c r="P983" s="116">
        <v>276.10000000000002</v>
      </c>
      <c r="Q983" s="116">
        <v>275.60000000000002</v>
      </c>
      <c r="R983">
        <v>685591</v>
      </c>
    </row>
    <row r="984" spans="1:18" x14ac:dyDescent="0.25">
      <c r="A984" s="170">
        <v>43452</v>
      </c>
      <c r="B984" s="116">
        <v>281</v>
      </c>
      <c r="C984" s="116">
        <v>277.95</v>
      </c>
      <c r="D984" s="116">
        <v>271.89999999999998</v>
      </c>
      <c r="E984" s="116">
        <v>274</v>
      </c>
      <c r="F984" s="116">
        <v>277.95</v>
      </c>
      <c r="G984">
        <v>65454</v>
      </c>
      <c r="H984" s="116"/>
      <c r="I984" s="116"/>
      <c r="L984" s="170">
        <v>43452</v>
      </c>
      <c r="M984" s="116">
        <v>278.05</v>
      </c>
      <c r="N984" s="116">
        <v>281</v>
      </c>
      <c r="O984" s="116">
        <v>271.89999999999998</v>
      </c>
      <c r="P984" s="116">
        <v>272</v>
      </c>
      <c r="Q984" s="116">
        <v>278.05</v>
      </c>
      <c r="R984">
        <v>965727</v>
      </c>
    </row>
    <row r="985" spans="1:18" x14ac:dyDescent="0.25">
      <c r="A985" s="170">
        <v>43453</v>
      </c>
      <c r="B985" s="116">
        <v>290</v>
      </c>
      <c r="C985" s="116">
        <v>285.89999999999998</v>
      </c>
      <c r="D985" s="116">
        <v>281</v>
      </c>
      <c r="E985" s="116">
        <v>282.10000000000002</v>
      </c>
      <c r="F985" s="116">
        <v>285.89999999999998</v>
      </c>
      <c r="G985">
        <v>209430</v>
      </c>
      <c r="H985" s="116"/>
      <c r="I985" s="116"/>
      <c r="L985" s="170">
        <v>43453</v>
      </c>
      <c r="M985" s="116">
        <v>286.64999999999998</v>
      </c>
      <c r="N985" s="116">
        <v>289</v>
      </c>
      <c r="O985" s="116">
        <v>280.45</v>
      </c>
      <c r="P985" s="116">
        <v>280.55</v>
      </c>
      <c r="Q985" s="116">
        <v>286.64999999999998</v>
      </c>
      <c r="R985">
        <v>2678955</v>
      </c>
    </row>
    <row r="986" spans="1:18" x14ac:dyDescent="0.25">
      <c r="A986" s="170">
        <v>43454</v>
      </c>
      <c r="B986" s="116">
        <v>293.3</v>
      </c>
      <c r="C986" s="116">
        <v>288.75</v>
      </c>
      <c r="D986" s="116">
        <v>283.45</v>
      </c>
      <c r="E986" s="116">
        <v>285</v>
      </c>
      <c r="F986" s="116">
        <v>288.75</v>
      </c>
      <c r="G986">
        <v>160409</v>
      </c>
      <c r="H986" s="116"/>
      <c r="I986" s="116"/>
      <c r="L986" s="170">
        <v>43454</v>
      </c>
      <c r="M986" s="116">
        <v>289.39999999999998</v>
      </c>
      <c r="N986" s="116">
        <v>293.25</v>
      </c>
      <c r="O986" s="116">
        <v>283</v>
      </c>
      <c r="P986" s="116">
        <v>284.2</v>
      </c>
      <c r="Q986" s="116">
        <v>289.39999999999998</v>
      </c>
      <c r="R986">
        <v>1973626</v>
      </c>
    </row>
    <row r="987" spans="1:18" x14ac:dyDescent="0.25">
      <c r="A987" s="170">
        <v>43455</v>
      </c>
      <c r="B987" s="116">
        <v>296</v>
      </c>
      <c r="C987" s="116">
        <v>278.85000000000002</v>
      </c>
      <c r="D987" s="116">
        <v>276.5</v>
      </c>
      <c r="E987" s="116">
        <v>291.7</v>
      </c>
      <c r="F987" s="116">
        <v>278.85000000000002</v>
      </c>
      <c r="G987">
        <v>118728</v>
      </c>
      <c r="H987" s="116"/>
      <c r="I987" s="116"/>
      <c r="L987" s="170">
        <v>43455</v>
      </c>
      <c r="M987" s="116">
        <v>278.14999999999998</v>
      </c>
      <c r="N987" s="116">
        <v>297</v>
      </c>
      <c r="O987" s="116">
        <v>276</v>
      </c>
      <c r="P987" s="116">
        <v>290.05</v>
      </c>
      <c r="Q987" s="116">
        <v>278.14999999999998</v>
      </c>
      <c r="R987">
        <v>2472656</v>
      </c>
    </row>
    <row r="988" spans="1:18" x14ac:dyDescent="0.25">
      <c r="A988" s="170">
        <v>43458</v>
      </c>
      <c r="B988" s="116">
        <v>284.45</v>
      </c>
      <c r="C988" s="116">
        <v>276.7</v>
      </c>
      <c r="D988" s="116">
        <v>275</v>
      </c>
      <c r="E988" s="116">
        <v>280.14999999999998</v>
      </c>
      <c r="F988" s="116">
        <v>276.7</v>
      </c>
      <c r="G988">
        <v>70169</v>
      </c>
      <c r="H988" s="116"/>
      <c r="I988" s="116"/>
      <c r="L988" s="170">
        <v>43458</v>
      </c>
      <c r="M988" s="116">
        <v>276.39999999999998</v>
      </c>
      <c r="N988" s="116">
        <v>284.75</v>
      </c>
      <c r="O988" s="116">
        <v>275.14999999999998</v>
      </c>
      <c r="P988" s="116">
        <v>278.75</v>
      </c>
      <c r="Q988" s="116">
        <v>276.39999999999998</v>
      </c>
      <c r="R988">
        <v>1113170</v>
      </c>
    </row>
    <row r="989" spans="1:18" x14ac:dyDescent="0.25">
      <c r="A989" s="170">
        <v>43460</v>
      </c>
      <c r="B989" s="116">
        <v>291.60000000000002</v>
      </c>
      <c r="C989" s="116">
        <v>289.2</v>
      </c>
      <c r="D989" s="116">
        <v>267.8</v>
      </c>
      <c r="E989" s="116">
        <v>276.55</v>
      </c>
      <c r="F989" s="116">
        <v>289.2</v>
      </c>
      <c r="G989">
        <v>161099</v>
      </c>
      <c r="H989" s="116"/>
      <c r="I989" s="116"/>
      <c r="L989" s="170">
        <v>43460</v>
      </c>
      <c r="M989" s="116">
        <v>288.95</v>
      </c>
      <c r="N989" s="116">
        <v>292.5</v>
      </c>
      <c r="O989" s="116">
        <v>268</v>
      </c>
      <c r="P989" s="116">
        <v>276</v>
      </c>
      <c r="Q989" s="116">
        <v>288.95</v>
      </c>
      <c r="R989">
        <v>2140115</v>
      </c>
    </row>
    <row r="990" spans="1:18" x14ac:dyDescent="0.25">
      <c r="A990" s="170">
        <v>43461</v>
      </c>
      <c r="B990" s="116">
        <v>296</v>
      </c>
      <c r="C990" s="116">
        <v>288.45</v>
      </c>
      <c r="D990" s="116">
        <v>281.85000000000002</v>
      </c>
      <c r="E990" s="116">
        <v>296</v>
      </c>
      <c r="F990" s="116">
        <v>288.45</v>
      </c>
      <c r="G990">
        <v>185759</v>
      </c>
      <c r="H990" s="116"/>
      <c r="I990" s="116"/>
      <c r="L990" s="170">
        <v>43461</v>
      </c>
      <c r="M990" s="116">
        <v>288.89999999999998</v>
      </c>
      <c r="N990" s="116">
        <v>294</v>
      </c>
      <c r="O990" s="116">
        <v>281.35000000000002</v>
      </c>
      <c r="P990" s="116">
        <v>294</v>
      </c>
      <c r="Q990" s="116">
        <v>288.89999999999998</v>
      </c>
      <c r="R990">
        <v>2531457</v>
      </c>
    </row>
    <row r="991" spans="1:18" x14ac:dyDescent="0.25">
      <c r="A991" s="170">
        <v>43462</v>
      </c>
      <c r="B991" s="116">
        <v>293.39999999999998</v>
      </c>
      <c r="C991" s="116">
        <v>292.2</v>
      </c>
      <c r="D991" s="116">
        <v>286.45</v>
      </c>
      <c r="E991" s="116">
        <v>289.35000000000002</v>
      </c>
      <c r="F991" s="116">
        <v>292.2</v>
      </c>
      <c r="G991">
        <v>48154</v>
      </c>
      <c r="H991" s="116"/>
      <c r="I991" s="116"/>
      <c r="L991" s="170">
        <v>43462</v>
      </c>
      <c r="M991" s="116">
        <v>292.55</v>
      </c>
      <c r="N991" s="116">
        <v>293.7</v>
      </c>
      <c r="O991" s="116">
        <v>286.25</v>
      </c>
      <c r="P991" s="116">
        <v>290</v>
      </c>
      <c r="Q991" s="116">
        <v>292.55</v>
      </c>
      <c r="R991">
        <v>1032473</v>
      </c>
    </row>
    <row r="992" spans="1:18" x14ac:dyDescent="0.25">
      <c r="A992" s="170">
        <v>43465</v>
      </c>
      <c r="B992" s="116">
        <v>295.75</v>
      </c>
      <c r="C992" s="116">
        <v>288.55</v>
      </c>
      <c r="D992" s="116">
        <v>286.10000000000002</v>
      </c>
      <c r="E992" s="116">
        <v>294</v>
      </c>
      <c r="F992" s="116">
        <v>288.55</v>
      </c>
      <c r="G992">
        <v>110121</v>
      </c>
      <c r="H992" s="116"/>
      <c r="I992" s="116"/>
      <c r="L992" s="170">
        <v>43465</v>
      </c>
      <c r="M992" s="116">
        <v>288.89999999999998</v>
      </c>
      <c r="N992" s="116">
        <v>297.39999999999998</v>
      </c>
      <c r="O992" s="116">
        <v>286</v>
      </c>
      <c r="P992" s="116">
        <v>294.10000000000002</v>
      </c>
      <c r="Q992" s="116">
        <v>288.89999999999998</v>
      </c>
      <c r="R992">
        <v>2055035</v>
      </c>
    </row>
    <row r="993" spans="1:18" x14ac:dyDescent="0.25">
      <c r="A993" s="170">
        <v>43466</v>
      </c>
      <c r="B993" s="116">
        <v>289.39999999999998</v>
      </c>
      <c r="C993" s="116">
        <v>286.55</v>
      </c>
      <c r="D993" s="116">
        <v>283.60000000000002</v>
      </c>
      <c r="E993" s="116">
        <v>288.55</v>
      </c>
      <c r="F993" s="116">
        <v>286.55</v>
      </c>
      <c r="G993">
        <v>47154</v>
      </c>
      <c r="H993" s="116"/>
      <c r="I993" s="116"/>
      <c r="L993" s="170">
        <v>43466</v>
      </c>
      <c r="M993" s="116">
        <v>286.8</v>
      </c>
      <c r="N993" s="116">
        <v>289.75</v>
      </c>
      <c r="O993" s="116">
        <v>283.35000000000002</v>
      </c>
      <c r="P993" s="116">
        <v>285.55</v>
      </c>
      <c r="Q993" s="116">
        <v>286.8</v>
      </c>
      <c r="R993">
        <v>797818</v>
      </c>
    </row>
    <row r="994" spans="1:18" x14ac:dyDescent="0.25">
      <c r="A994" s="170">
        <v>43467</v>
      </c>
      <c r="B994" s="116">
        <v>290.05</v>
      </c>
      <c r="C994" s="116">
        <v>280.89999999999998</v>
      </c>
      <c r="D994" s="116">
        <v>278.14999999999998</v>
      </c>
      <c r="E994" s="116">
        <v>284.89999999999998</v>
      </c>
      <c r="F994" s="116">
        <v>280.89999999999998</v>
      </c>
      <c r="G994">
        <v>74141</v>
      </c>
      <c r="H994" s="116"/>
      <c r="I994" s="116"/>
      <c r="L994" s="170">
        <v>43467</v>
      </c>
      <c r="M994" s="116">
        <v>280.89999999999998</v>
      </c>
      <c r="N994" s="116">
        <v>290.35000000000002</v>
      </c>
      <c r="O994" s="116">
        <v>278</v>
      </c>
      <c r="P994" s="116">
        <v>286.5</v>
      </c>
      <c r="Q994" s="116">
        <v>280.89999999999998</v>
      </c>
      <c r="R994">
        <v>878757</v>
      </c>
    </row>
    <row r="995" spans="1:18" x14ac:dyDescent="0.25">
      <c r="A995" s="170">
        <v>43468</v>
      </c>
      <c r="B995" s="116">
        <v>284.2</v>
      </c>
      <c r="C995" s="116">
        <v>276.45</v>
      </c>
      <c r="D995" s="116">
        <v>275.39999999999998</v>
      </c>
      <c r="E995" s="116">
        <v>282.5</v>
      </c>
      <c r="F995" s="116">
        <v>276.45</v>
      </c>
      <c r="G995">
        <v>40474</v>
      </c>
      <c r="H995" s="116"/>
      <c r="I995" s="116"/>
      <c r="L995" s="170">
        <v>43468</v>
      </c>
      <c r="M995" s="116">
        <v>276.89999999999998</v>
      </c>
      <c r="N995" s="116">
        <v>284.5</v>
      </c>
      <c r="O995" s="116">
        <v>275.8</v>
      </c>
      <c r="P995" s="116">
        <v>281.05</v>
      </c>
      <c r="Q995" s="116">
        <v>276.89999999999998</v>
      </c>
      <c r="R995">
        <v>595191</v>
      </c>
    </row>
    <row r="996" spans="1:18" x14ac:dyDescent="0.25">
      <c r="A996" s="170">
        <v>43469</v>
      </c>
      <c r="B996" s="116">
        <v>281.8</v>
      </c>
      <c r="C996" s="116">
        <v>280.35000000000002</v>
      </c>
      <c r="D996" s="116">
        <v>273.7</v>
      </c>
      <c r="E996" s="116">
        <v>279</v>
      </c>
      <c r="F996" s="116">
        <v>280.35000000000002</v>
      </c>
      <c r="G996">
        <v>43239</v>
      </c>
      <c r="H996" s="116"/>
      <c r="I996" s="116"/>
      <c r="L996" s="170">
        <v>43469</v>
      </c>
      <c r="M996" s="116">
        <v>280.5</v>
      </c>
      <c r="N996" s="116">
        <v>281.75</v>
      </c>
      <c r="O996" s="116">
        <v>273.75</v>
      </c>
      <c r="P996" s="116">
        <v>277.25</v>
      </c>
      <c r="Q996" s="116">
        <v>280.5</v>
      </c>
      <c r="R996">
        <v>856596</v>
      </c>
    </row>
    <row r="997" spans="1:18" x14ac:dyDescent="0.25">
      <c r="A997" s="170">
        <v>43472</v>
      </c>
      <c r="B997" s="116">
        <v>288.8</v>
      </c>
      <c r="C997" s="116">
        <v>283.14999999999998</v>
      </c>
      <c r="D997" s="116">
        <v>280.10000000000002</v>
      </c>
      <c r="E997" s="116">
        <v>282</v>
      </c>
      <c r="F997" s="116">
        <v>283.14999999999998</v>
      </c>
      <c r="G997">
        <v>114688</v>
      </c>
      <c r="H997" s="116"/>
      <c r="I997" s="116"/>
      <c r="L997" s="170">
        <v>43472</v>
      </c>
      <c r="M997" s="116">
        <v>283.2</v>
      </c>
      <c r="N997" s="116">
        <v>288.95</v>
      </c>
      <c r="O997" s="116">
        <v>279.8</v>
      </c>
      <c r="P997" s="116">
        <v>286.60000000000002</v>
      </c>
      <c r="Q997" s="116">
        <v>283.2</v>
      </c>
      <c r="R997">
        <v>1570668</v>
      </c>
    </row>
    <row r="998" spans="1:18" x14ac:dyDescent="0.25">
      <c r="A998" s="170">
        <v>43473</v>
      </c>
      <c r="B998" s="116">
        <v>286</v>
      </c>
      <c r="C998" s="116">
        <v>284.25</v>
      </c>
      <c r="D998" s="116">
        <v>279.89999999999998</v>
      </c>
      <c r="E998" s="116">
        <v>285</v>
      </c>
      <c r="F998" s="116">
        <v>284.25</v>
      </c>
      <c r="G998">
        <v>48133</v>
      </c>
      <c r="H998" s="116"/>
      <c r="I998" s="116"/>
      <c r="L998" s="170">
        <v>43473</v>
      </c>
      <c r="M998" s="116">
        <v>284.55</v>
      </c>
      <c r="N998" s="116">
        <v>286.3</v>
      </c>
      <c r="O998" s="116">
        <v>279.5</v>
      </c>
      <c r="P998" s="116">
        <v>284.2</v>
      </c>
      <c r="Q998" s="116">
        <v>284.55</v>
      </c>
      <c r="R998">
        <v>821351</v>
      </c>
    </row>
    <row r="999" spans="1:18" x14ac:dyDescent="0.25">
      <c r="A999" s="170">
        <v>43474</v>
      </c>
      <c r="B999" s="116">
        <v>286.2</v>
      </c>
      <c r="C999" s="116">
        <v>273.85000000000002</v>
      </c>
      <c r="D999" s="116">
        <v>272.60000000000002</v>
      </c>
      <c r="E999" s="116">
        <v>285.05</v>
      </c>
      <c r="F999" s="116">
        <v>273.85000000000002</v>
      </c>
      <c r="G999">
        <v>63603</v>
      </c>
      <c r="H999" s="116"/>
      <c r="I999" s="116"/>
      <c r="L999" s="170">
        <v>43474</v>
      </c>
      <c r="M999" s="116">
        <v>273.75</v>
      </c>
      <c r="N999" s="116">
        <v>286</v>
      </c>
      <c r="O999" s="116">
        <v>272.60000000000002</v>
      </c>
      <c r="P999" s="116">
        <v>286</v>
      </c>
      <c r="Q999" s="116">
        <v>273.75</v>
      </c>
      <c r="R999">
        <v>1092119</v>
      </c>
    </row>
    <row r="1000" spans="1:18" x14ac:dyDescent="0.25">
      <c r="A1000" s="170">
        <v>43475</v>
      </c>
      <c r="B1000" s="116">
        <v>280</v>
      </c>
      <c r="C1000" s="116">
        <v>275.95</v>
      </c>
      <c r="D1000" s="116">
        <v>273.5</v>
      </c>
      <c r="E1000" s="116">
        <v>274.75</v>
      </c>
      <c r="F1000" s="116">
        <v>275.95</v>
      </c>
      <c r="G1000">
        <v>32986</v>
      </c>
      <c r="H1000" s="116"/>
      <c r="I1000" s="116"/>
      <c r="L1000" s="170">
        <v>43475</v>
      </c>
      <c r="M1000" s="116">
        <v>275.8</v>
      </c>
      <c r="N1000" s="116">
        <v>277.60000000000002</v>
      </c>
      <c r="O1000" s="116">
        <v>273.35000000000002</v>
      </c>
      <c r="P1000" s="116">
        <v>275</v>
      </c>
      <c r="Q1000" s="116">
        <v>275.8</v>
      </c>
      <c r="R1000">
        <v>486829</v>
      </c>
    </row>
    <row r="1001" spans="1:18" x14ac:dyDescent="0.25">
      <c r="A1001" s="170">
        <v>43476</v>
      </c>
      <c r="B1001" s="116">
        <v>277.64999999999998</v>
      </c>
      <c r="C1001" s="116">
        <v>272.95</v>
      </c>
      <c r="D1001" s="116">
        <v>271.10000000000002</v>
      </c>
      <c r="E1001" s="116">
        <v>276.14999999999998</v>
      </c>
      <c r="F1001" s="116">
        <v>272.95</v>
      </c>
      <c r="G1001">
        <v>29335</v>
      </c>
      <c r="H1001" s="116"/>
      <c r="I1001" s="116"/>
      <c r="L1001" s="170">
        <v>43476</v>
      </c>
      <c r="M1001" s="116">
        <v>272.95</v>
      </c>
      <c r="N1001" s="116">
        <v>277.85000000000002</v>
      </c>
      <c r="O1001" s="116">
        <v>271.2</v>
      </c>
      <c r="P1001" s="116">
        <v>276</v>
      </c>
      <c r="Q1001" s="116">
        <v>272.95</v>
      </c>
      <c r="R1001">
        <v>480905</v>
      </c>
    </row>
    <row r="1002" spans="1:18" x14ac:dyDescent="0.25">
      <c r="A1002" s="170">
        <v>43479</v>
      </c>
      <c r="B1002" s="116">
        <v>277.39999999999998</v>
      </c>
      <c r="C1002" s="116">
        <v>274.10000000000002</v>
      </c>
      <c r="D1002" s="116">
        <v>268.64999999999998</v>
      </c>
      <c r="E1002" s="116">
        <v>275</v>
      </c>
      <c r="F1002" s="116">
        <v>274.10000000000002</v>
      </c>
      <c r="G1002">
        <v>35818</v>
      </c>
      <c r="H1002" s="116"/>
      <c r="I1002" s="116"/>
      <c r="L1002" s="170">
        <v>43479</v>
      </c>
      <c r="M1002" s="116">
        <v>274.25</v>
      </c>
      <c r="N1002" s="116">
        <v>277.7</v>
      </c>
      <c r="O1002" s="116">
        <v>269.45</v>
      </c>
      <c r="P1002" s="116">
        <v>271.5</v>
      </c>
      <c r="Q1002" s="116">
        <v>274.25</v>
      </c>
      <c r="R1002">
        <v>545315</v>
      </c>
    </row>
    <row r="1003" spans="1:18" x14ac:dyDescent="0.25">
      <c r="A1003" s="170">
        <v>43480</v>
      </c>
      <c r="B1003" s="116">
        <v>278</v>
      </c>
      <c r="C1003" s="116">
        <v>276.45</v>
      </c>
      <c r="D1003" s="116">
        <v>273.60000000000002</v>
      </c>
      <c r="E1003" s="116">
        <v>276</v>
      </c>
      <c r="F1003" s="116">
        <v>276.45</v>
      </c>
      <c r="G1003">
        <v>35528</v>
      </c>
      <c r="H1003" s="116"/>
      <c r="I1003" s="116"/>
      <c r="L1003" s="170">
        <v>43480</v>
      </c>
      <c r="M1003" s="116">
        <v>276.64999999999998</v>
      </c>
      <c r="N1003" s="116">
        <v>278</v>
      </c>
      <c r="O1003" s="116">
        <v>273.85000000000002</v>
      </c>
      <c r="P1003" s="116">
        <v>274.25</v>
      </c>
      <c r="Q1003" s="116">
        <v>276.64999999999998</v>
      </c>
      <c r="R1003">
        <v>397020</v>
      </c>
    </row>
    <row r="1004" spans="1:18" x14ac:dyDescent="0.25">
      <c r="A1004" s="170">
        <v>43481</v>
      </c>
      <c r="B1004" s="116">
        <v>282.39999999999998</v>
      </c>
      <c r="C1004" s="116">
        <v>276.45</v>
      </c>
      <c r="D1004" s="116">
        <v>275</v>
      </c>
      <c r="E1004" s="116">
        <v>276.60000000000002</v>
      </c>
      <c r="F1004" s="116">
        <v>276.45</v>
      </c>
      <c r="G1004">
        <v>54122</v>
      </c>
      <c r="H1004" s="116"/>
      <c r="I1004" s="116"/>
      <c r="L1004" s="170">
        <v>43481</v>
      </c>
      <c r="M1004" s="116">
        <v>277.3</v>
      </c>
      <c r="N1004" s="116">
        <v>282.7</v>
      </c>
      <c r="O1004" s="116">
        <v>276</v>
      </c>
      <c r="P1004" s="116">
        <v>278</v>
      </c>
      <c r="Q1004" s="116">
        <v>277.3</v>
      </c>
      <c r="R1004">
        <v>425297</v>
      </c>
    </row>
    <row r="1005" spans="1:18" x14ac:dyDescent="0.25">
      <c r="A1005" s="170">
        <v>43482</v>
      </c>
      <c r="B1005" s="116">
        <v>282.45</v>
      </c>
      <c r="C1005" s="116">
        <v>275.60000000000002</v>
      </c>
      <c r="D1005" s="116">
        <v>273.10000000000002</v>
      </c>
      <c r="E1005" s="116">
        <v>278.05</v>
      </c>
      <c r="F1005" s="116">
        <v>275.60000000000002</v>
      </c>
      <c r="G1005">
        <v>60781</v>
      </c>
      <c r="H1005" s="116"/>
      <c r="I1005" s="116"/>
      <c r="L1005" s="170">
        <v>43482</v>
      </c>
      <c r="M1005" s="116">
        <v>276.10000000000002</v>
      </c>
      <c r="N1005" s="116">
        <v>282.2</v>
      </c>
      <c r="O1005" s="116">
        <v>273</v>
      </c>
      <c r="P1005" s="116">
        <v>277.3</v>
      </c>
      <c r="Q1005" s="116">
        <v>276.10000000000002</v>
      </c>
      <c r="R1005">
        <v>675184</v>
      </c>
    </row>
    <row r="1006" spans="1:18" x14ac:dyDescent="0.25">
      <c r="A1006" s="170">
        <v>43483</v>
      </c>
      <c r="B1006" s="116">
        <v>278.39999999999998</v>
      </c>
      <c r="C1006" s="116">
        <v>268.75</v>
      </c>
      <c r="D1006" s="116">
        <v>267.55</v>
      </c>
      <c r="E1006" s="116">
        <v>276</v>
      </c>
      <c r="F1006" s="116">
        <v>268.75</v>
      </c>
      <c r="G1006">
        <v>47164</v>
      </c>
      <c r="H1006" s="116"/>
      <c r="I1006" s="116"/>
      <c r="L1006" s="170">
        <v>43483</v>
      </c>
      <c r="M1006" s="116">
        <v>268.95</v>
      </c>
      <c r="N1006" s="116">
        <v>278.14999999999998</v>
      </c>
      <c r="O1006" s="116">
        <v>267.45</v>
      </c>
      <c r="P1006" s="116">
        <v>277</v>
      </c>
      <c r="Q1006" s="116">
        <v>268.95</v>
      </c>
      <c r="R1006">
        <v>853929</v>
      </c>
    </row>
    <row r="1007" spans="1:18" x14ac:dyDescent="0.25">
      <c r="A1007" s="170">
        <v>43486</v>
      </c>
      <c r="B1007" s="116">
        <v>270.95</v>
      </c>
      <c r="C1007" s="116">
        <v>264.55</v>
      </c>
      <c r="D1007" s="116">
        <v>262.2</v>
      </c>
      <c r="E1007" s="116">
        <v>270.95</v>
      </c>
      <c r="F1007" s="116">
        <v>264.55</v>
      </c>
      <c r="G1007">
        <v>51776</v>
      </c>
      <c r="H1007" s="116"/>
      <c r="I1007" s="116"/>
      <c r="L1007" s="170">
        <v>43486</v>
      </c>
      <c r="M1007" s="116">
        <v>264.25</v>
      </c>
      <c r="N1007" s="116">
        <v>270.95</v>
      </c>
      <c r="O1007" s="116">
        <v>262</v>
      </c>
      <c r="P1007" s="116">
        <v>270.10000000000002</v>
      </c>
      <c r="Q1007" s="116">
        <v>264.25</v>
      </c>
      <c r="R1007">
        <v>745460</v>
      </c>
    </row>
    <row r="1008" spans="1:18" x14ac:dyDescent="0.25">
      <c r="A1008" s="170">
        <v>43487</v>
      </c>
      <c r="B1008" s="116">
        <v>267.60000000000002</v>
      </c>
      <c r="C1008" s="116">
        <v>264.75</v>
      </c>
      <c r="D1008" s="116">
        <v>262.25</v>
      </c>
      <c r="E1008" s="116">
        <v>262.35000000000002</v>
      </c>
      <c r="F1008" s="116">
        <v>264.75</v>
      </c>
      <c r="G1008">
        <v>37011</v>
      </c>
      <c r="H1008" s="116"/>
      <c r="I1008" s="116"/>
      <c r="L1008" s="170">
        <v>43487</v>
      </c>
      <c r="M1008" s="116">
        <v>265.39999999999998</v>
      </c>
      <c r="N1008" s="116">
        <v>267.85000000000002</v>
      </c>
      <c r="O1008" s="116">
        <v>262.14999999999998</v>
      </c>
      <c r="P1008" s="116">
        <v>262.39999999999998</v>
      </c>
      <c r="Q1008" s="116">
        <v>265.39999999999998</v>
      </c>
      <c r="R1008">
        <v>604048</v>
      </c>
    </row>
    <row r="1009" spans="1:18" x14ac:dyDescent="0.25">
      <c r="A1009" s="170">
        <v>43488</v>
      </c>
      <c r="B1009" s="116">
        <v>270</v>
      </c>
      <c r="C1009" s="116">
        <v>265.55</v>
      </c>
      <c r="D1009" s="116">
        <v>259.85000000000002</v>
      </c>
      <c r="E1009" s="116">
        <v>268.5</v>
      </c>
      <c r="F1009" s="116">
        <v>265.55</v>
      </c>
      <c r="G1009">
        <v>217615</v>
      </c>
      <c r="H1009" s="116"/>
      <c r="I1009" s="116"/>
      <c r="L1009" s="170">
        <v>43488</v>
      </c>
      <c r="M1009" s="116">
        <v>265.39999999999998</v>
      </c>
      <c r="N1009" s="116">
        <v>270</v>
      </c>
      <c r="O1009" s="116">
        <v>259.35000000000002</v>
      </c>
      <c r="P1009" s="116">
        <v>266</v>
      </c>
      <c r="Q1009" s="116">
        <v>265.39999999999998</v>
      </c>
      <c r="R1009">
        <v>2312792</v>
      </c>
    </row>
    <row r="1010" spans="1:18" x14ac:dyDescent="0.25">
      <c r="A1010" s="170">
        <v>43489</v>
      </c>
      <c r="B1010" s="116">
        <v>266.7</v>
      </c>
      <c r="C1010" s="116">
        <v>254.45</v>
      </c>
      <c r="D1010" s="116">
        <v>252.2</v>
      </c>
      <c r="E1010" s="116">
        <v>263.3</v>
      </c>
      <c r="F1010" s="116">
        <v>254.45</v>
      </c>
      <c r="G1010">
        <v>108218</v>
      </c>
      <c r="H1010" s="116"/>
      <c r="I1010" s="116"/>
      <c r="L1010" s="170">
        <v>43489</v>
      </c>
      <c r="M1010" s="116">
        <v>254.6</v>
      </c>
      <c r="N1010" s="116">
        <v>266.75</v>
      </c>
      <c r="O1010" s="116">
        <v>252.2</v>
      </c>
      <c r="P1010" s="116">
        <v>264</v>
      </c>
      <c r="Q1010" s="116">
        <v>254.6</v>
      </c>
      <c r="R1010">
        <v>1505981</v>
      </c>
    </row>
    <row r="1011" spans="1:18" x14ac:dyDescent="0.25">
      <c r="A1011" s="170">
        <v>43490</v>
      </c>
      <c r="B1011" s="116">
        <v>261.8</v>
      </c>
      <c r="C1011" s="116">
        <v>252.85</v>
      </c>
      <c r="D1011" s="116">
        <v>250.7</v>
      </c>
      <c r="E1011" s="116">
        <v>255</v>
      </c>
      <c r="F1011" s="116">
        <v>252.85</v>
      </c>
      <c r="G1011">
        <v>74838</v>
      </c>
      <c r="H1011" s="116"/>
      <c r="I1011" s="116"/>
      <c r="L1011" s="170">
        <v>43490</v>
      </c>
      <c r="M1011" s="116">
        <v>252.3</v>
      </c>
      <c r="N1011" s="116">
        <v>262</v>
      </c>
      <c r="O1011" s="116">
        <v>250.45</v>
      </c>
      <c r="P1011" s="116">
        <v>254</v>
      </c>
      <c r="Q1011" s="116">
        <v>252.3</v>
      </c>
      <c r="R1011">
        <v>1040487</v>
      </c>
    </row>
    <row r="1012" spans="1:18" x14ac:dyDescent="0.25">
      <c r="A1012" s="170">
        <v>43493</v>
      </c>
      <c r="B1012" s="116">
        <v>254.9</v>
      </c>
      <c r="C1012" s="116">
        <v>244.4</v>
      </c>
      <c r="D1012" s="116">
        <v>241</v>
      </c>
      <c r="E1012" s="116">
        <v>250.1</v>
      </c>
      <c r="F1012" s="116">
        <v>244.4</v>
      </c>
      <c r="G1012">
        <v>79100</v>
      </c>
      <c r="H1012" s="116"/>
      <c r="I1012" s="116"/>
      <c r="L1012" s="170">
        <v>43493</v>
      </c>
      <c r="M1012" s="116">
        <v>244.1</v>
      </c>
      <c r="N1012" s="116">
        <v>253.65</v>
      </c>
      <c r="O1012" s="116">
        <v>242</v>
      </c>
      <c r="P1012" s="116">
        <v>251.05</v>
      </c>
      <c r="Q1012" s="116">
        <v>244.1</v>
      </c>
      <c r="R1012">
        <v>1070964</v>
      </c>
    </row>
    <row r="1013" spans="1:18" x14ac:dyDescent="0.25">
      <c r="A1013" s="170">
        <v>43494</v>
      </c>
      <c r="B1013" s="116">
        <v>252.1</v>
      </c>
      <c r="C1013" s="116">
        <v>248.4</v>
      </c>
      <c r="D1013" s="116">
        <v>240.2</v>
      </c>
      <c r="E1013" s="116">
        <v>241.55</v>
      </c>
      <c r="F1013" s="116">
        <v>248.4</v>
      </c>
      <c r="G1013">
        <v>54472</v>
      </c>
      <c r="H1013" s="116"/>
      <c r="I1013" s="116"/>
      <c r="L1013" s="170">
        <v>43494</v>
      </c>
      <c r="M1013" s="116">
        <v>247.1</v>
      </c>
      <c r="N1013" s="116">
        <v>252.2</v>
      </c>
      <c r="O1013" s="116">
        <v>240.7</v>
      </c>
      <c r="P1013" s="116">
        <v>242.05</v>
      </c>
      <c r="Q1013" s="116">
        <v>247.1</v>
      </c>
      <c r="R1013">
        <v>779409</v>
      </c>
    </row>
    <row r="1014" spans="1:18" x14ac:dyDescent="0.25">
      <c r="A1014" s="170">
        <v>43495</v>
      </c>
      <c r="B1014" s="116">
        <v>253.55</v>
      </c>
      <c r="C1014" s="116">
        <v>252</v>
      </c>
      <c r="D1014" s="116">
        <v>246.6</v>
      </c>
      <c r="E1014" s="116">
        <v>249.05</v>
      </c>
      <c r="F1014" s="116">
        <v>252</v>
      </c>
      <c r="G1014">
        <v>27050</v>
      </c>
      <c r="H1014" s="116"/>
      <c r="I1014" s="116"/>
      <c r="L1014" s="170">
        <v>43495</v>
      </c>
      <c r="M1014" s="116">
        <v>252.1</v>
      </c>
      <c r="N1014" s="116">
        <v>256.95</v>
      </c>
      <c r="O1014" s="116">
        <v>246.75</v>
      </c>
      <c r="P1014" s="116">
        <v>248</v>
      </c>
      <c r="Q1014" s="116">
        <v>252.1</v>
      </c>
      <c r="R1014">
        <v>418383</v>
      </c>
    </row>
    <row r="1015" spans="1:18" x14ac:dyDescent="0.25">
      <c r="A1015" s="170">
        <v>43496</v>
      </c>
      <c r="B1015" s="116">
        <v>255.05</v>
      </c>
      <c r="C1015" s="116">
        <v>250.45</v>
      </c>
      <c r="D1015" s="116">
        <v>245</v>
      </c>
      <c r="E1015" s="116">
        <v>253.45</v>
      </c>
      <c r="F1015" s="116">
        <v>250.45</v>
      </c>
      <c r="G1015">
        <v>33353</v>
      </c>
      <c r="H1015" s="116"/>
      <c r="I1015" s="116"/>
      <c r="L1015" s="170">
        <v>43496</v>
      </c>
      <c r="M1015" s="116">
        <v>250.7</v>
      </c>
      <c r="N1015" s="116">
        <v>254.55</v>
      </c>
      <c r="O1015" s="116">
        <v>244.7</v>
      </c>
      <c r="P1015" s="116">
        <v>254.1</v>
      </c>
      <c r="Q1015" s="116">
        <v>250.7</v>
      </c>
      <c r="R1015">
        <v>737326</v>
      </c>
    </row>
    <row r="1016" spans="1:18" x14ac:dyDescent="0.25">
      <c r="A1016" s="170">
        <v>43497</v>
      </c>
      <c r="B1016" s="116">
        <v>262.60000000000002</v>
      </c>
      <c r="C1016" s="116">
        <v>258.3</v>
      </c>
      <c r="D1016" s="116">
        <v>246.65</v>
      </c>
      <c r="E1016" s="116">
        <v>251</v>
      </c>
      <c r="F1016" s="116">
        <v>258.3</v>
      </c>
      <c r="G1016">
        <v>185456</v>
      </c>
      <c r="H1016" s="116"/>
      <c r="I1016" s="116"/>
      <c r="L1016" s="170">
        <v>43497</v>
      </c>
      <c r="M1016" s="116">
        <v>259</v>
      </c>
      <c r="N1016" s="116">
        <v>262</v>
      </c>
      <c r="O1016" s="116">
        <v>246.1</v>
      </c>
      <c r="P1016" s="116">
        <v>252</v>
      </c>
      <c r="Q1016" s="116">
        <v>259</v>
      </c>
      <c r="R1016">
        <v>1578799</v>
      </c>
    </row>
    <row r="1017" spans="1:18" x14ac:dyDescent="0.25">
      <c r="A1017" s="170">
        <v>43500</v>
      </c>
      <c r="B1017" s="116">
        <v>256.45</v>
      </c>
      <c r="C1017" s="116">
        <v>247.05</v>
      </c>
      <c r="D1017" s="116">
        <v>244.45</v>
      </c>
      <c r="E1017" s="116">
        <v>255</v>
      </c>
      <c r="F1017" s="116">
        <v>247.05</v>
      </c>
      <c r="G1017">
        <v>69177</v>
      </c>
      <c r="H1017" s="116"/>
      <c r="I1017" s="116"/>
      <c r="L1017" s="170">
        <v>43500</v>
      </c>
      <c r="M1017" s="116">
        <v>247.4</v>
      </c>
      <c r="N1017" s="116">
        <v>257.39999999999998</v>
      </c>
      <c r="O1017" s="116">
        <v>244.15</v>
      </c>
      <c r="P1017" s="116">
        <v>257.39999999999998</v>
      </c>
      <c r="Q1017" s="116">
        <v>247.4</v>
      </c>
      <c r="R1017">
        <v>786527</v>
      </c>
    </row>
    <row r="1018" spans="1:18" x14ac:dyDescent="0.25">
      <c r="A1018" s="170">
        <v>43501</v>
      </c>
      <c r="B1018" s="116">
        <v>252</v>
      </c>
      <c r="C1018" s="116">
        <v>245.55</v>
      </c>
      <c r="D1018" s="116">
        <v>244.3</v>
      </c>
      <c r="E1018" s="116">
        <v>246.1</v>
      </c>
      <c r="F1018" s="116">
        <v>245.55</v>
      </c>
      <c r="G1018">
        <v>23266</v>
      </c>
      <c r="H1018" s="116"/>
      <c r="I1018" s="116"/>
      <c r="L1018" s="170">
        <v>43501</v>
      </c>
      <c r="M1018" s="116">
        <v>245.85</v>
      </c>
      <c r="N1018" s="116">
        <v>252.2</v>
      </c>
      <c r="O1018" s="116">
        <v>245</v>
      </c>
      <c r="P1018" s="116">
        <v>245.4</v>
      </c>
      <c r="Q1018" s="116">
        <v>245.85</v>
      </c>
      <c r="R1018">
        <v>556021</v>
      </c>
    </row>
    <row r="1019" spans="1:18" x14ac:dyDescent="0.25">
      <c r="A1019" s="170">
        <v>43502</v>
      </c>
      <c r="B1019" s="116">
        <v>248.15</v>
      </c>
      <c r="C1019" s="116">
        <v>244.15</v>
      </c>
      <c r="D1019" s="116">
        <v>240.2</v>
      </c>
      <c r="E1019" s="116">
        <v>245.05</v>
      </c>
      <c r="F1019" s="116">
        <v>244.15</v>
      </c>
      <c r="G1019">
        <v>36761</v>
      </c>
      <c r="H1019" s="116"/>
      <c r="I1019" s="116"/>
      <c r="L1019" s="170">
        <v>43502</v>
      </c>
      <c r="M1019" s="116">
        <v>244.9</v>
      </c>
      <c r="N1019" s="116">
        <v>248.35</v>
      </c>
      <c r="O1019" s="116">
        <v>240.25</v>
      </c>
      <c r="P1019" s="116">
        <v>247.65</v>
      </c>
      <c r="Q1019" s="116">
        <v>244.9</v>
      </c>
      <c r="R1019">
        <v>583430</v>
      </c>
    </row>
    <row r="1020" spans="1:18" x14ac:dyDescent="0.25">
      <c r="A1020" s="170">
        <v>43503</v>
      </c>
      <c r="B1020" s="116">
        <v>258</v>
      </c>
      <c r="C1020" s="116">
        <v>253.75</v>
      </c>
      <c r="D1020" s="116">
        <v>244.2</v>
      </c>
      <c r="E1020" s="116">
        <v>244.2</v>
      </c>
      <c r="F1020" s="116">
        <v>253.75</v>
      </c>
      <c r="G1020">
        <v>113113</v>
      </c>
      <c r="H1020" s="116"/>
      <c r="I1020" s="116"/>
      <c r="L1020" s="170">
        <v>43503</v>
      </c>
      <c r="M1020" s="116">
        <v>254.45</v>
      </c>
      <c r="N1020" s="116">
        <v>258.75</v>
      </c>
      <c r="O1020" s="116">
        <v>243.95</v>
      </c>
      <c r="P1020" s="116">
        <v>245.5</v>
      </c>
      <c r="Q1020" s="116">
        <v>254.45</v>
      </c>
      <c r="R1020">
        <v>1491642</v>
      </c>
    </row>
    <row r="1021" spans="1:18" x14ac:dyDescent="0.25">
      <c r="A1021" s="170">
        <v>43504</v>
      </c>
      <c r="B1021" s="116">
        <v>258.45</v>
      </c>
      <c r="C1021" s="116">
        <v>248.15</v>
      </c>
      <c r="D1021" s="116">
        <v>246.8</v>
      </c>
      <c r="E1021" s="116">
        <v>258.45</v>
      </c>
      <c r="F1021" s="116">
        <v>248.15</v>
      </c>
      <c r="G1021">
        <v>29755</v>
      </c>
      <c r="H1021" s="116"/>
      <c r="I1021" s="116"/>
      <c r="L1021" s="170">
        <v>43504</v>
      </c>
      <c r="M1021" s="116">
        <v>247.8</v>
      </c>
      <c r="N1021" s="116">
        <v>254.95</v>
      </c>
      <c r="O1021" s="116">
        <v>246.55</v>
      </c>
      <c r="P1021" s="116">
        <v>253.75</v>
      </c>
      <c r="Q1021" s="116">
        <v>247.8</v>
      </c>
      <c r="R1021">
        <v>491254</v>
      </c>
    </row>
    <row r="1022" spans="1:18" x14ac:dyDescent="0.25">
      <c r="A1022" s="170">
        <v>43507</v>
      </c>
      <c r="B1022" s="116">
        <v>248.7</v>
      </c>
      <c r="C1022" s="116">
        <v>239.8</v>
      </c>
      <c r="D1022" s="116">
        <v>234.65</v>
      </c>
      <c r="E1022" s="116">
        <v>248.7</v>
      </c>
      <c r="F1022" s="116">
        <v>239.8</v>
      </c>
      <c r="G1022">
        <v>44559</v>
      </c>
      <c r="H1022" s="116"/>
      <c r="I1022" s="116"/>
      <c r="L1022" s="170">
        <v>43507</v>
      </c>
      <c r="M1022" s="116">
        <v>239.6</v>
      </c>
      <c r="N1022" s="116">
        <v>246.2</v>
      </c>
      <c r="O1022" s="116">
        <v>235.55</v>
      </c>
      <c r="P1022" s="116">
        <v>245.25</v>
      </c>
      <c r="Q1022" s="116">
        <v>239.6</v>
      </c>
      <c r="R1022">
        <v>1094166</v>
      </c>
    </row>
    <row r="1023" spans="1:18" x14ac:dyDescent="0.25">
      <c r="A1023" s="170">
        <v>43508</v>
      </c>
      <c r="B1023" s="116">
        <v>269.7</v>
      </c>
      <c r="C1023" s="116">
        <v>264.8</v>
      </c>
      <c r="D1023" s="116">
        <v>240.85</v>
      </c>
      <c r="E1023" s="116">
        <v>240.9</v>
      </c>
      <c r="F1023" s="116">
        <v>264.8</v>
      </c>
      <c r="G1023">
        <v>315941</v>
      </c>
      <c r="H1023" s="116"/>
      <c r="I1023" s="116"/>
      <c r="L1023" s="170">
        <v>43508</v>
      </c>
      <c r="M1023" s="116">
        <v>264.75</v>
      </c>
      <c r="N1023" s="116">
        <v>269.85000000000002</v>
      </c>
      <c r="O1023" s="116">
        <v>239</v>
      </c>
      <c r="P1023" s="116">
        <v>239.6</v>
      </c>
      <c r="Q1023" s="116">
        <v>264.75</v>
      </c>
      <c r="R1023">
        <v>5413985</v>
      </c>
    </row>
    <row r="1024" spans="1:18" x14ac:dyDescent="0.25">
      <c r="A1024" s="170">
        <v>43509</v>
      </c>
      <c r="B1024" s="116">
        <v>267.55</v>
      </c>
      <c r="C1024" s="116">
        <v>255.45</v>
      </c>
      <c r="D1024" s="116">
        <v>253.7</v>
      </c>
      <c r="E1024" s="116">
        <v>264.89999999999998</v>
      </c>
      <c r="F1024" s="116">
        <v>255.45</v>
      </c>
      <c r="G1024">
        <v>74693</v>
      </c>
      <c r="H1024" s="116"/>
      <c r="I1024" s="116"/>
      <c r="L1024" s="170">
        <v>43509</v>
      </c>
      <c r="M1024" s="116">
        <v>255.7</v>
      </c>
      <c r="N1024" s="116">
        <v>266.64999999999998</v>
      </c>
      <c r="O1024" s="116">
        <v>254.05</v>
      </c>
      <c r="P1024" s="116">
        <v>263.35000000000002</v>
      </c>
      <c r="Q1024" s="116">
        <v>255.7</v>
      </c>
      <c r="R1024">
        <v>1120854</v>
      </c>
    </row>
    <row r="1025" spans="1:18" x14ac:dyDescent="0.25">
      <c r="A1025" s="170">
        <v>43510</v>
      </c>
      <c r="B1025" s="116">
        <v>268.89999999999998</v>
      </c>
      <c r="C1025" s="116">
        <v>266.35000000000002</v>
      </c>
      <c r="D1025" s="116">
        <v>247.1</v>
      </c>
      <c r="E1025" s="116">
        <v>261.5</v>
      </c>
      <c r="F1025" s="116">
        <v>266.35000000000002</v>
      </c>
      <c r="G1025">
        <v>121984</v>
      </c>
      <c r="H1025" s="116"/>
      <c r="I1025" s="116"/>
      <c r="L1025" s="170">
        <v>43510</v>
      </c>
      <c r="M1025" s="116">
        <v>266.05</v>
      </c>
      <c r="N1025" s="116">
        <v>268.85000000000002</v>
      </c>
      <c r="O1025" s="116">
        <v>247.25</v>
      </c>
      <c r="P1025" s="116">
        <v>255.7</v>
      </c>
      <c r="Q1025" s="116">
        <v>266.05</v>
      </c>
      <c r="R1025">
        <v>1509966</v>
      </c>
    </row>
    <row r="1026" spans="1:18" x14ac:dyDescent="0.25">
      <c r="A1026" s="170">
        <v>43511</v>
      </c>
      <c r="B1026" s="116">
        <v>265.64999999999998</v>
      </c>
      <c r="C1026" s="116">
        <v>248.7</v>
      </c>
      <c r="D1026" s="116">
        <v>244.85</v>
      </c>
      <c r="E1026" s="116">
        <v>265.64999999999998</v>
      </c>
      <c r="F1026" s="116">
        <v>248.7</v>
      </c>
      <c r="G1026">
        <v>111692</v>
      </c>
      <c r="H1026" s="116"/>
      <c r="I1026" s="116"/>
      <c r="L1026" s="170">
        <v>43511</v>
      </c>
      <c r="M1026" s="116">
        <v>248.9</v>
      </c>
      <c r="N1026" s="116">
        <v>266.39999999999998</v>
      </c>
      <c r="O1026" s="116">
        <v>244.3</v>
      </c>
      <c r="P1026" s="116">
        <v>266</v>
      </c>
      <c r="Q1026" s="116">
        <v>248.9</v>
      </c>
      <c r="R1026">
        <v>1931996</v>
      </c>
    </row>
    <row r="1027" spans="1:18" x14ac:dyDescent="0.25">
      <c r="A1027" s="170">
        <v>43514</v>
      </c>
      <c r="B1027" s="116">
        <v>254.4</v>
      </c>
      <c r="C1027" s="116">
        <v>246.9</v>
      </c>
      <c r="D1027" s="116">
        <v>244.35</v>
      </c>
      <c r="E1027" s="116">
        <v>249</v>
      </c>
      <c r="F1027" s="116">
        <v>246.9</v>
      </c>
      <c r="G1027">
        <v>46488</v>
      </c>
      <c r="H1027" s="116"/>
      <c r="I1027" s="116"/>
      <c r="L1027" s="170">
        <v>43514</v>
      </c>
      <c r="M1027" s="116">
        <v>246.9</v>
      </c>
      <c r="N1027" s="116">
        <v>254.2</v>
      </c>
      <c r="O1027" s="116">
        <v>245.9</v>
      </c>
      <c r="P1027" s="116">
        <v>249.5</v>
      </c>
      <c r="Q1027" s="116">
        <v>246.9</v>
      </c>
      <c r="R1027">
        <v>848217</v>
      </c>
    </row>
    <row r="1028" spans="1:18" x14ac:dyDescent="0.25">
      <c r="A1028" s="170">
        <v>43515</v>
      </c>
      <c r="B1028" s="116">
        <v>252.5</v>
      </c>
      <c r="C1028" s="116">
        <v>242.3</v>
      </c>
      <c r="D1028" s="116">
        <v>240.4</v>
      </c>
      <c r="E1028" s="116">
        <v>249.3</v>
      </c>
      <c r="F1028" s="116">
        <v>242.3</v>
      </c>
      <c r="G1028">
        <v>40605</v>
      </c>
      <c r="H1028" s="116"/>
      <c r="I1028" s="116"/>
      <c r="L1028" s="170">
        <v>43515</v>
      </c>
      <c r="M1028" s="116">
        <v>242.95</v>
      </c>
      <c r="N1028" s="116">
        <v>252.9</v>
      </c>
      <c r="O1028" s="116">
        <v>241.5</v>
      </c>
      <c r="P1028" s="116">
        <v>248.4</v>
      </c>
      <c r="Q1028" s="116">
        <v>242.95</v>
      </c>
      <c r="R1028">
        <v>916621</v>
      </c>
    </row>
    <row r="1029" spans="1:18" x14ac:dyDescent="0.25">
      <c r="A1029" s="170">
        <v>43516</v>
      </c>
      <c r="B1029" s="116">
        <v>254.7</v>
      </c>
      <c r="C1029" s="116">
        <v>253.1</v>
      </c>
      <c r="D1029" s="116">
        <v>243</v>
      </c>
      <c r="E1029" s="116">
        <v>243</v>
      </c>
      <c r="F1029" s="116">
        <v>253.1</v>
      </c>
      <c r="G1029">
        <v>61895</v>
      </c>
      <c r="H1029" s="116"/>
      <c r="I1029" s="116"/>
      <c r="L1029" s="170">
        <v>43516</v>
      </c>
      <c r="M1029" s="116">
        <v>253.3</v>
      </c>
      <c r="N1029" s="116">
        <v>254.7</v>
      </c>
      <c r="O1029" s="116">
        <v>243.55</v>
      </c>
      <c r="P1029" s="116">
        <v>245.65</v>
      </c>
      <c r="Q1029" s="116">
        <v>253.3</v>
      </c>
      <c r="R1029">
        <v>1041990</v>
      </c>
    </row>
    <row r="1030" spans="1:18" x14ac:dyDescent="0.25">
      <c r="A1030" s="170">
        <v>43517</v>
      </c>
      <c r="B1030" s="116">
        <v>275.95</v>
      </c>
      <c r="C1030" s="116">
        <v>270.60000000000002</v>
      </c>
      <c r="D1030" s="116">
        <v>251.8</v>
      </c>
      <c r="E1030" s="116">
        <v>253.1</v>
      </c>
      <c r="F1030" s="116">
        <v>270.60000000000002</v>
      </c>
      <c r="G1030">
        <v>211945</v>
      </c>
      <c r="H1030" s="116"/>
      <c r="I1030" s="116"/>
      <c r="L1030" s="170">
        <v>43517</v>
      </c>
      <c r="M1030" s="116">
        <v>271</v>
      </c>
      <c r="N1030" s="116">
        <v>277.05</v>
      </c>
      <c r="O1030" s="116">
        <v>250</v>
      </c>
      <c r="P1030" s="116">
        <v>250.6</v>
      </c>
      <c r="Q1030" s="116">
        <v>271</v>
      </c>
      <c r="R1030">
        <v>4491541</v>
      </c>
    </row>
    <row r="1031" spans="1:18" x14ac:dyDescent="0.25">
      <c r="A1031" s="170">
        <v>43518</v>
      </c>
      <c r="B1031" s="116">
        <v>274</v>
      </c>
      <c r="C1031" s="116">
        <v>269.89999999999998</v>
      </c>
      <c r="D1031" s="116">
        <v>268</v>
      </c>
      <c r="E1031" s="116">
        <v>273.8</v>
      </c>
      <c r="F1031" s="116">
        <v>269.89999999999998</v>
      </c>
      <c r="G1031">
        <v>129405</v>
      </c>
      <c r="H1031" s="116"/>
      <c r="I1031" s="116"/>
      <c r="L1031" s="170">
        <v>43518</v>
      </c>
      <c r="M1031" s="116">
        <v>269.85000000000002</v>
      </c>
      <c r="N1031" s="116">
        <v>273.5</v>
      </c>
      <c r="O1031" s="116">
        <v>268.05</v>
      </c>
      <c r="P1031" s="116">
        <v>271.7</v>
      </c>
      <c r="Q1031" s="116">
        <v>269.85000000000002</v>
      </c>
      <c r="R1031">
        <v>1346370</v>
      </c>
    </row>
    <row r="1032" spans="1:18" x14ac:dyDescent="0.25">
      <c r="A1032" s="170">
        <v>43521</v>
      </c>
      <c r="B1032" s="116">
        <v>279.5</v>
      </c>
      <c r="C1032" s="116">
        <v>267.45</v>
      </c>
      <c r="D1032" s="116">
        <v>265.64999999999998</v>
      </c>
      <c r="E1032" s="116">
        <v>272.5</v>
      </c>
      <c r="F1032" s="116">
        <v>267.45</v>
      </c>
      <c r="G1032">
        <v>81631</v>
      </c>
      <c r="H1032" s="116"/>
      <c r="I1032" s="116"/>
      <c r="L1032" s="170">
        <v>43521</v>
      </c>
      <c r="M1032" s="116">
        <v>267.95</v>
      </c>
      <c r="N1032" s="116">
        <v>279.25</v>
      </c>
      <c r="O1032" s="116">
        <v>266.55</v>
      </c>
      <c r="P1032" s="116">
        <v>272.55</v>
      </c>
      <c r="Q1032" s="116">
        <v>267.95</v>
      </c>
      <c r="R1032">
        <v>1854471</v>
      </c>
    </row>
    <row r="1033" spans="1:18" x14ac:dyDescent="0.25">
      <c r="A1033" s="170">
        <v>43522</v>
      </c>
      <c r="B1033" s="116">
        <v>267.35000000000002</v>
      </c>
      <c r="C1033" s="116">
        <v>262.85000000000002</v>
      </c>
      <c r="D1033" s="116">
        <v>256.5</v>
      </c>
      <c r="E1033" s="116">
        <v>265</v>
      </c>
      <c r="F1033" s="116">
        <v>262.85000000000002</v>
      </c>
      <c r="G1033">
        <v>69840</v>
      </c>
      <c r="H1033" s="116"/>
      <c r="I1033" s="116"/>
      <c r="L1033" s="170">
        <v>43522</v>
      </c>
      <c r="M1033" s="116">
        <v>262.25</v>
      </c>
      <c r="N1033" s="116">
        <v>267.75</v>
      </c>
      <c r="O1033" s="116">
        <v>256.60000000000002</v>
      </c>
      <c r="P1033" s="116">
        <v>264</v>
      </c>
      <c r="Q1033" s="116">
        <v>262.25</v>
      </c>
      <c r="R1033">
        <v>1114519</v>
      </c>
    </row>
    <row r="1034" spans="1:18" x14ac:dyDescent="0.25">
      <c r="A1034" s="170">
        <v>43523</v>
      </c>
      <c r="B1034" s="116">
        <v>274.55</v>
      </c>
      <c r="C1034" s="116">
        <v>260.95</v>
      </c>
      <c r="D1034" s="116">
        <v>257.45</v>
      </c>
      <c r="E1034" s="116">
        <v>264.89999999999998</v>
      </c>
      <c r="F1034" s="116">
        <v>260.95</v>
      </c>
      <c r="G1034">
        <v>68782</v>
      </c>
      <c r="H1034" s="116"/>
      <c r="I1034" s="116"/>
      <c r="L1034" s="170">
        <v>43523</v>
      </c>
      <c r="M1034" s="116">
        <v>260.7</v>
      </c>
      <c r="N1034" s="116">
        <v>273.35000000000002</v>
      </c>
      <c r="O1034" s="116">
        <v>257.25</v>
      </c>
      <c r="P1034" s="116">
        <v>264.89999999999998</v>
      </c>
      <c r="Q1034" s="116">
        <v>260.7</v>
      </c>
      <c r="R1034">
        <v>1345898</v>
      </c>
    </row>
    <row r="1035" spans="1:18" x14ac:dyDescent="0.25">
      <c r="A1035" s="170">
        <v>43524</v>
      </c>
      <c r="B1035" s="116">
        <v>269.89999999999998</v>
      </c>
      <c r="C1035" s="116">
        <v>265.8</v>
      </c>
      <c r="D1035" s="116">
        <v>262</v>
      </c>
      <c r="E1035" s="116">
        <v>264</v>
      </c>
      <c r="F1035" s="116">
        <v>265.8</v>
      </c>
      <c r="G1035">
        <v>58805</v>
      </c>
      <c r="H1035" s="116"/>
      <c r="I1035" s="116"/>
      <c r="L1035" s="170">
        <v>43524</v>
      </c>
      <c r="M1035" s="116">
        <v>266.2</v>
      </c>
      <c r="N1035" s="116">
        <v>270</v>
      </c>
      <c r="O1035" s="116">
        <v>261.2</v>
      </c>
      <c r="P1035" s="116">
        <v>262.3</v>
      </c>
      <c r="Q1035" s="116">
        <v>266.2</v>
      </c>
      <c r="R1035">
        <v>1432989</v>
      </c>
    </row>
    <row r="1036" spans="1:18" x14ac:dyDescent="0.25">
      <c r="A1036" s="170">
        <v>43525</v>
      </c>
      <c r="B1036" s="116">
        <v>278</v>
      </c>
      <c r="C1036" s="116">
        <v>275.64999999999998</v>
      </c>
      <c r="D1036" s="116">
        <v>268.7</v>
      </c>
      <c r="E1036" s="116">
        <v>269.95</v>
      </c>
      <c r="F1036" s="116">
        <v>275.64999999999998</v>
      </c>
      <c r="G1036">
        <v>70209</v>
      </c>
      <c r="H1036" s="116"/>
      <c r="I1036" s="116"/>
      <c r="L1036" s="170">
        <v>43525</v>
      </c>
      <c r="M1036" s="116">
        <v>275.8</v>
      </c>
      <c r="N1036" s="116">
        <v>278.05</v>
      </c>
      <c r="O1036" s="116">
        <v>267.2</v>
      </c>
      <c r="P1036" s="116">
        <v>267.85000000000002</v>
      </c>
      <c r="Q1036" s="116">
        <v>275.8</v>
      </c>
      <c r="R1036">
        <v>1267073</v>
      </c>
    </row>
    <row r="1037" spans="1:18" x14ac:dyDescent="0.25">
      <c r="A1037" s="170">
        <v>43529</v>
      </c>
      <c r="B1037" s="116">
        <v>296.45</v>
      </c>
      <c r="C1037" s="116">
        <v>293.3</v>
      </c>
      <c r="D1037" s="116">
        <v>276.10000000000002</v>
      </c>
      <c r="E1037" s="116">
        <v>278</v>
      </c>
      <c r="F1037" s="116">
        <v>293.3</v>
      </c>
      <c r="G1037">
        <v>218161</v>
      </c>
      <c r="H1037" s="116"/>
      <c r="I1037" s="116"/>
      <c r="L1037" s="170">
        <v>43529</v>
      </c>
      <c r="M1037" s="116">
        <v>293.64999999999998</v>
      </c>
      <c r="N1037" s="116">
        <v>296.7</v>
      </c>
      <c r="O1037" s="116">
        <v>276.39999999999998</v>
      </c>
      <c r="P1037" s="116">
        <v>276.55</v>
      </c>
      <c r="Q1037" s="116">
        <v>293.64999999999998</v>
      </c>
      <c r="R1037">
        <v>2196314</v>
      </c>
    </row>
    <row r="1038" spans="1:18" x14ac:dyDescent="0.25">
      <c r="A1038" s="170">
        <v>43530</v>
      </c>
      <c r="B1038" s="116">
        <v>306.45</v>
      </c>
      <c r="C1038" s="116">
        <v>289.5</v>
      </c>
      <c r="D1038" s="116">
        <v>288</v>
      </c>
      <c r="E1038" s="116">
        <v>299</v>
      </c>
      <c r="F1038" s="116">
        <v>289.5</v>
      </c>
      <c r="G1038">
        <v>184814</v>
      </c>
      <c r="H1038" s="116"/>
      <c r="I1038" s="116"/>
      <c r="L1038" s="170">
        <v>43530</v>
      </c>
      <c r="M1038" s="116">
        <v>289.5</v>
      </c>
      <c r="N1038" s="116">
        <v>306.25</v>
      </c>
      <c r="O1038" s="116">
        <v>287.64999999999998</v>
      </c>
      <c r="P1038" s="116">
        <v>299</v>
      </c>
      <c r="Q1038" s="116">
        <v>289.5</v>
      </c>
      <c r="R1038">
        <v>2880739</v>
      </c>
    </row>
    <row r="1039" spans="1:18" x14ac:dyDescent="0.25">
      <c r="A1039" s="170">
        <v>43531</v>
      </c>
      <c r="B1039" s="116">
        <v>299.89999999999998</v>
      </c>
      <c r="C1039" s="116">
        <v>291.89999999999998</v>
      </c>
      <c r="D1039" s="116">
        <v>285.45</v>
      </c>
      <c r="E1039" s="116">
        <v>289</v>
      </c>
      <c r="F1039" s="116">
        <v>291.89999999999998</v>
      </c>
      <c r="G1039">
        <v>88733</v>
      </c>
      <c r="H1039" s="116"/>
      <c r="I1039" s="116"/>
      <c r="L1039" s="170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70">
        <v>43532</v>
      </c>
      <c r="B1040" s="116">
        <v>294.2</v>
      </c>
      <c r="C1040" s="116">
        <v>287.60000000000002</v>
      </c>
      <c r="D1040" s="116">
        <v>285.60000000000002</v>
      </c>
      <c r="E1040" s="116">
        <v>289.5</v>
      </c>
      <c r="F1040" s="116">
        <v>287.60000000000002</v>
      </c>
      <c r="G1040">
        <v>52361</v>
      </c>
      <c r="H1040" s="116"/>
      <c r="I1040" s="116"/>
      <c r="L1040" s="170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70">
        <v>43535</v>
      </c>
      <c r="B1041" s="116">
        <v>309</v>
      </c>
      <c r="C1041" s="116">
        <v>307.35000000000002</v>
      </c>
      <c r="D1041" s="116">
        <v>289.55</v>
      </c>
      <c r="E1041" s="116">
        <v>290</v>
      </c>
      <c r="F1041" s="116">
        <v>307.35000000000002</v>
      </c>
      <c r="G1041">
        <v>239671</v>
      </c>
      <c r="H1041" s="116"/>
      <c r="I1041" s="116"/>
      <c r="L1041" s="170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70">
        <v>43536</v>
      </c>
      <c r="B1042" s="116">
        <v>325.25</v>
      </c>
      <c r="C1042" s="116">
        <v>315.95</v>
      </c>
      <c r="D1042" s="116">
        <v>310.25</v>
      </c>
      <c r="E1042" s="116">
        <v>312.8</v>
      </c>
      <c r="F1042" s="116">
        <v>315.95</v>
      </c>
      <c r="G1042">
        <v>286130</v>
      </c>
      <c r="H1042" s="116"/>
      <c r="I1042" s="116"/>
      <c r="L1042" s="170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70">
        <v>43537</v>
      </c>
      <c r="B1043" s="116">
        <v>326.8</v>
      </c>
      <c r="C1043" s="116">
        <v>321.8</v>
      </c>
      <c r="D1043" s="116">
        <v>310.5</v>
      </c>
      <c r="E1043" s="116">
        <v>318.89999999999998</v>
      </c>
      <c r="F1043" s="116">
        <v>321.8</v>
      </c>
      <c r="G1043">
        <v>138311</v>
      </c>
      <c r="H1043" s="116"/>
      <c r="I1043" s="116"/>
      <c r="L1043" s="170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70">
        <v>43538</v>
      </c>
      <c r="B1044" s="116">
        <v>324.64999999999998</v>
      </c>
      <c r="C1044" s="116">
        <v>321.39999999999998</v>
      </c>
      <c r="D1044" s="116">
        <v>315.3</v>
      </c>
      <c r="E1044" s="116">
        <v>321.8</v>
      </c>
      <c r="F1044" s="116">
        <v>321.39999999999998</v>
      </c>
      <c r="G1044">
        <v>90207</v>
      </c>
      <c r="H1044" s="116"/>
      <c r="I1044" s="116"/>
      <c r="L1044" s="170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70">
        <v>43539</v>
      </c>
      <c r="B1045" s="116">
        <v>324.55</v>
      </c>
      <c r="C1045" s="116">
        <v>314.55</v>
      </c>
      <c r="D1045" s="116">
        <v>311.89999999999998</v>
      </c>
      <c r="E1045" s="116">
        <v>321.39999999999998</v>
      </c>
      <c r="F1045" s="116">
        <v>314.55</v>
      </c>
      <c r="G1045">
        <v>103051</v>
      </c>
      <c r="H1045" s="116"/>
      <c r="I1045" s="116"/>
      <c r="L1045" s="170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70">
        <v>43542</v>
      </c>
      <c r="B1046" s="116">
        <v>321.5</v>
      </c>
      <c r="C1046" s="116">
        <v>317.3</v>
      </c>
      <c r="D1046" s="116">
        <v>308.75</v>
      </c>
      <c r="E1046" s="116">
        <v>314.55</v>
      </c>
      <c r="F1046" s="116">
        <v>317.3</v>
      </c>
      <c r="G1046">
        <v>180981</v>
      </c>
      <c r="H1046" s="116"/>
      <c r="I1046" s="116"/>
      <c r="L1046" s="170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70">
        <v>43543</v>
      </c>
      <c r="B1047" s="116">
        <v>328.75</v>
      </c>
      <c r="C1047" s="116">
        <v>319.60000000000002</v>
      </c>
      <c r="D1047" s="116">
        <v>314.2</v>
      </c>
      <c r="E1047" s="116">
        <v>316</v>
      </c>
      <c r="F1047" s="116">
        <v>319.60000000000002</v>
      </c>
      <c r="G1047">
        <v>216713</v>
      </c>
      <c r="H1047" s="116"/>
      <c r="I1047" s="116"/>
      <c r="L1047" s="170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70">
        <v>43544</v>
      </c>
      <c r="B1048" s="116">
        <v>328</v>
      </c>
      <c r="C1048" s="116">
        <v>325.95</v>
      </c>
      <c r="D1048" s="116">
        <v>320.10000000000002</v>
      </c>
      <c r="E1048" s="116">
        <v>321.05</v>
      </c>
      <c r="F1048" s="116">
        <v>325.95</v>
      </c>
      <c r="G1048">
        <v>96602</v>
      </c>
      <c r="H1048" s="116"/>
      <c r="I1048" s="116"/>
      <c r="L1048" s="170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70">
        <v>43546</v>
      </c>
      <c r="B1049" s="116">
        <v>333.45</v>
      </c>
      <c r="C1049" s="116">
        <v>323.39999999999998</v>
      </c>
      <c r="D1049" s="116">
        <v>322.5</v>
      </c>
      <c r="E1049" s="116">
        <v>327</v>
      </c>
      <c r="F1049" s="116">
        <v>323.39999999999998</v>
      </c>
      <c r="G1049">
        <v>151460</v>
      </c>
      <c r="H1049" s="116"/>
      <c r="I1049" s="116"/>
      <c r="L1049" s="170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70">
        <v>43549</v>
      </c>
      <c r="B1050" s="116">
        <v>330.05</v>
      </c>
      <c r="C1050" s="116">
        <v>327.8</v>
      </c>
      <c r="D1050" s="116">
        <v>316.05</v>
      </c>
      <c r="E1050" s="116">
        <v>320</v>
      </c>
      <c r="F1050" s="116">
        <v>327.8</v>
      </c>
      <c r="G1050">
        <v>74903</v>
      </c>
      <c r="H1050" s="116"/>
      <c r="I1050" s="116"/>
      <c r="L1050" s="170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70">
        <v>43550</v>
      </c>
      <c r="B1051" s="116">
        <v>337</v>
      </c>
      <c r="C1051" s="116">
        <v>334.95</v>
      </c>
      <c r="D1051" s="116">
        <v>330.4</v>
      </c>
      <c r="E1051" s="116">
        <v>331.9</v>
      </c>
      <c r="F1051" s="116">
        <v>334.95</v>
      </c>
      <c r="G1051">
        <v>237543</v>
      </c>
      <c r="H1051" s="116"/>
      <c r="I1051" s="116"/>
      <c r="L1051" s="170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70">
        <v>43551</v>
      </c>
      <c r="B1052" s="116">
        <v>344.75</v>
      </c>
      <c r="C1052" s="116">
        <v>335.45</v>
      </c>
      <c r="D1052" s="116">
        <v>333.3</v>
      </c>
      <c r="E1052" s="116">
        <v>337.95</v>
      </c>
      <c r="F1052" s="116">
        <v>335.45</v>
      </c>
      <c r="G1052">
        <v>133814</v>
      </c>
      <c r="H1052" s="116"/>
      <c r="I1052" s="116"/>
      <c r="L1052" s="170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70">
        <v>43552</v>
      </c>
      <c r="B1053" s="116">
        <v>347</v>
      </c>
      <c r="C1053" s="116">
        <v>345.25</v>
      </c>
      <c r="D1053" s="116">
        <v>337.2</v>
      </c>
      <c r="E1053" s="116">
        <v>338.55</v>
      </c>
      <c r="F1053" s="116">
        <v>345.25</v>
      </c>
      <c r="G1053">
        <v>85003</v>
      </c>
      <c r="H1053" s="116"/>
      <c r="I1053" s="116"/>
      <c r="L1053" s="170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70">
        <v>43553</v>
      </c>
      <c r="B1054" s="116">
        <v>356.15</v>
      </c>
      <c r="C1054" s="116">
        <v>348.55</v>
      </c>
      <c r="D1054" s="116">
        <v>346</v>
      </c>
      <c r="E1054" s="116">
        <v>346</v>
      </c>
      <c r="F1054" s="116">
        <v>348.55</v>
      </c>
      <c r="G1054">
        <v>106749</v>
      </c>
      <c r="H1054" s="116"/>
      <c r="I1054" s="116"/>
      <c r="L1054" s="170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70">
        <v>43556</v>
      </c>
      <c r="B1055" s="116">
        <v>361.3</v>
      </c>
      <c r="C1055" s="116">
        <v>354.95</v>
      </c>
      <c r="D1055" s="116">
        <v>349.05</v>
      </c>
      <c r="E1055" s="116">
        <v>350.1</v>
      </c>
      <c r="F1055" s="116">
        <v>354.95</v>
      </c>
      <c r="G1055">
        <v>186238</v>
      </c>
      <c r="H1055" s="116"/>
      <c r="I1055" s="116"/>
      <c r="L1055" s="170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70">
        <v>43557</v>
      </c>
      <c r="B1056" s="116">
        <v>357</v>
      </c>
      <c r="C1056" s="116">
        <v>349</v>
      </c>
      <c r="D1056" s="116">
        <v>347.05</v>
      </c>
      <c r="E1056" s="116">
        <v>356</v>
      </c>
      <c r="F1056" s="116">
        <v>349</v>
      </c>
      <c r="G1056">
        <v>50976</v>
      </c>
      <c r="H1056" s="116"/>
      <c r="I1056" s="116"/>
      <c r="L1056" s="170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70">
        <v>43558</v>
      </c>
      <c r="B1057" s="116">
        <v>360.65</v>
      </c>
      <c r="C1057" s="116">
        <v>352.7</v>
      </c>
      <c r="D1057" s="116">
        <v>347</v>
      </c>
      <c r="E1057" s="116">
        <v>347</v>
      </c>
      <c r="F1057" s="116">
        <v>352.7</v>
      </c>
      <c r="G1057">
        <v>83921</v>
      </c>
      <c r="H1057" s="116"/>
      <c r="I1057" s="116"/>
      <c r="L1057" s="170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70">
        <v>43559</v>
      </c>
      <c r="B1058" s="116">
        <v>356.55</v>
      </c>
      <c r="C1058" s="116">
        <v>346.7</v>
      </c>
      <c r="D1058" s="116">
        <v>343.2</v>
      </c>
      <c r="E1058" s="116">
        <v>352</v>
      </c>
      <c r="F1058" s="116">
        <v>346.7</v>
      </c>
      <c r="G1058">
        <v>125455</v>
      </c>
      <c r="H1058" s="116"/>
      <c r="I1058" s="116"/>
      <c r="L1058" s="170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70">
        <v>43560</v>
      </c>
      <c r="B1059" s="116">
        <v>363.3</v>
      </c>
      <c r="C1059" s="116">
        <v>360.45</v>
      </c>
      <c r="D1059" s="116">
        <v>350</v>
      </c>
      <c r="E1059" s="116">
        <v>350</v>
      </c>
      <c r="F1059" s="116">
        <v>360.45</v>
      </c>
      <c r="G1059">
        <v>128524</v>
      </c>
      <c r="H1059" s="116"/>
      <c r="I1059" s="116"/>
      <c r="L1059" s="170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70">
        <v>43563</v>
      </c>
      <c r="B1060" s="116">
        <v>368.35</v>
      </c>
      <c r="C1060" s="116">
        <v>360.95</v>
      </c>
      <c r="D1060" s="116">
        <v>359.6</v>
      </c>
      <c r="E1060" s="116">
        <v>361</v>
      </c>
      <c r="F1060" s="116">
        <v>360.95</v>
      </c>
      <c r="G1060">
        <v>117176</v>
      </c>
      <c r="H1060" s="116"/>
      <c r="I1060" s="116"/>
      <c r="L1060" s="170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70">
        <v>43564</v>
      </c>
      <c r="B1061" s="116">
        <v>363</v>
      </c>
      <c r="C1061" s="116">
        <v>354.75</v>
      </c>
      <c r="D1061" s="116">
        <v>348.55</v>
      </c>
      <c r="E1061" s="116">
        <v>362.45</v>
      </c>
      <c r="F1061" s="116">
        <v>354.75</v>
      </c>
      <c r="G1061">
        <v>124216</v>
      </c>
      <c r="H1061" s="116"/>
      <c r="I1061" s="116"/>
      <c r="L1061" s="170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70">
        <v>43565</v>
      </c>
      <c r="B1062" s="116">
        <v>359.85</v>
      </c>
      <c r="C1062" s="116">
        <v>347.35</v>
      </c>
      <c r="D1062" s="116">
        <v>345.95</v>
      </c>
      <c r="E1062" s="116">
        <v>353.65</v>
      </c>
      <c r="F1062" s="116">
        <v>347.35</v>
      </c>
      <c r="G1062">
        <v>84436</v>
      </c>
      <c r="H1062" s="116"/>
      <c r="I1062" s="116"/>
      <c r="L1062" s="170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70">
        <v>43566</v>
      </c>
      <c r="B1063" s="116">
        <v>351.4</v>
      </c>
      <c r="C1063" s="116">
        <v>349.4</v>
      </c>
      <c r="D1063" s="116">
        <v>344</v>
      </c>
      <c r="E1063" s="116">
        <v>346.1</v>
      </c>
      <c r="F1063" s="116">
        <v>349.4</v>
      </c>
      <c r="G1063">
        <v>67419</v>
      </c>
      <c r="H1063" s="116"/>
      <c r="I1063" s="116"/>
      <c r="L1063" s="170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70">
        <v>43567</v>
      </c>
      <c r="B1064" s="116">
        <v>354</v>
      </c>
      <c r="C1064" s="116">
        <v>353</v>
      </c>
      <c r="D1064" s="116">
        <v>348.5</v>
      </c>
      <c r="E1064" s="116">
        <v>350.95</v>
      </c>
      <c r="F1064" s="116">
        <v>353</v>
      </c>
      <c r="G1064">
        <v>30616</v>
      </c>
      <c r="H1064" s="116"/>
      <c r="I1064" s="116"/>
      <c r="L1064" s="170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70">
        <v>43570</v>
      </c>
      <c r="B1065" s="116">
        <v>356</v>
      </c>
      <c r="C1065" s="116">
        <v>347.2</v>
      </c>
      <c r="D1065" s="116">
        <v>345.25</v>
      </c>
      <c r="E1065" s="116">
        <v>351</v>
      </c>
      <c r="F1065" s="116">
        <v>347.2</v>
      </c>
      <c r="G1065">
        <v>41102</v>
      </c>
      <c r="H1065" s="116"/>
      <c r="I1065" s="116"/>
      <c r="L1065" s="170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70">
        <v>43571</v>
      </c>
      <c r="B1066" s="116">
        <v>349.1</v>
      </c>
      <c r="C1066" s="116">
        <v>344.85</v>
      </c>
      <c r="D1066" s="116">
        <v>342</v>
      </c>
      <c r="E1066" s="116">
        <v>347</v>
      </c>
      <c r="F1066" s="116">
        <v>344.85</v>
      </c>
      <c r="G1066">
        <v>46479</v>
      </c>
      <c r="H1066" s="116"/>
      <c r="I1066" s="116"/>
      <c r="L1066" s="170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70">
        <v>43573</v>
      </c>
      <c r="B1067" s="116">
        <v>346.75</v>
      </c>
      <c r="C1067" s="116">
        <v>337.55</v>
      </c>
      <c r="D1067" s="116">
        <v>335.65</v>
      </c>
      <c r="E1067" s="116">
        <v>343.25</v>
      </c>
      <c r="F1067" s="116">
        <v>337.55</v>
      </c>
      <c r="G1067">
        <v>141650</v>
      </c>
      <c r="H1067" s="116"/>
      <c r="I1067" s="116"/>
      <c r="L1067" s="170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70">
        <v>43577</v>
      </c>
      <c r="B1068" s="116">
        <v>335</v>
      </c>
      <c r="C1068" s="116">
        <v>318.7</v>
      </c>
      <c r="D1068" s="116">
        <v>316.95</v>
      </c>
      <c r="E1068" s="116">
        <v>334.95</v>
      </c>
      <c r="F1068" s="116">
        <v>318.7</v>
      </c>
      <c r="G1068">
        <v>84096</v>
      </c>
      <c r="H1068" s="116"/>
      <c r="I1068" s="116"/>
      <c r="L1068" s="170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70">
        <v>43578</v>
      </c>
      <c r="B1069" s="116">
        <v>322.05</v>
      </c>
      <c r="C1069" s="116">
        <v>317.55</v>
      </c>
      <c r="D1069" s="116">
        <v>311.25</v>
      </c>
      <c r="E1069" s="116">
        <v>319.55</v>
      </c>
      <c r="F1069" s="116">
        <v>317.55</v>
      </c>
      <c r="G1069">
        <v>100798</v>
      </c>
      <c r="H1069" s="116"/>
      <c r="I1069" s="116"/>
      <c r="L1069" s="170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70">
        <v>43579</v>
      </c>
      <c r="B1070" s="116">
        <v>321.10000000000002</v>
      </c>
      <c r="C1070" s="116">
        <v>316.95</v>
      </c>
      <c r="D1070" s="116">
        <v>313</v>
      </c>
      <c r="E1070" s="116">
        <v>319</v>
      </c>
      <c r="F1070" s="116">
        <v>316.95</v>
      </c>
      <c r="G1070">
        <v>45911</v>
      </c>
      <c r="H1070" s="116"/>
      <c r="I1070" s="116"/>
      <c r="L1070" s="170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70">
        <v>43580</v>
      </c>
      <c r="B1071" s="116">
        <v>324</v>
      </c>
      <c r="C1071" s="116">
        <v>319.35000000000002</v>
      </c>
      <c r="D1071" s="116">
        <v>317</v>
      </c>
      <c r="E1071" s="116">
        <v>320.05</v>
      </c>
      <c r="F1071" s="116">
        <v>319.35000000000002</v>
      </c>
      <c r="G1071">
        <v>60098</v>
      </c>
      <c r="H1071" s="116"/>
      <c r="I1071" s="116"/>
      <c r="L1071" s="170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70">
        <v>43581</v>
      </c>
      <c r="B1072" s="116">
        <v>324.45</v>
      </c>
      <c r="C1072" s="116">
        <v>322.05</v>
      </c>
      <c r="D1072" s="116">
        <v>318.95</v>
      </c>
      <c r="E1072" s="116">
        <v>321</v>
      </c>
      <c r="F1072" s="116">
        <v>322.05</v>
      </c>
      <c r="G1072">
        <v>47775</v>
      </c>
      <c r="H1072" s="116"/>
      <c r="I1072" s="116"/>
      <c r="L1072" s="170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70">
        <v>43585</v>
      </c>
      <c r="B1073" s="116">
        <v>322.3</v>
      </c>
      <c r="C1073" s="116">
        <v>317.55</v>
      </c>
      <c r="D1073" s="116">
        <v>313.64999999999998</v>
      </c>
      <c r="E1073" s="116">
        <v>322.3</v>
      </c>
      <c r="F1073" s="116">
        <v>317.55</v>
      </c>
      <c r="G1073">
        <v>65304</v>
      </c>
      <c r="H1073" s="116"/>
      <c r="I1073" s="116"/>
      <c r="L1073" s="170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70">
        <v>43587</v>
      </c>
      <c r="B1074" s="116">
        <v>345.6</v>
      </c>
      <c r="C1074" s="116">
        <v>342.65</v>
      </c>
      <c r="D1074" s="116">
        <v>313.89999999999998</v>
      </c>
      <c r="E1074" s="116">
        <v>315</v>
      </c>
      <c r="F1074" s="116">
        <v>342.65</v>
      </c>
      <c r="G1074">
        <v>183378</v>
      </c>
      <c r="H1074" s="116"/>
      <c r="I1074" s="116"/>
      <c r="L1074" s="170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70">
        <v>43588</v>
      </c>
      <c r="B1075" s="116">
        <v>344.6</v>
      </c>
      <c r="C1075" s="116">
        <v>333.3</v>
      </c>
      <c r="D1075" s="116">
        <v>330.75</v>
      </c>
      <c r="E1075" s="116">
        <v>341.8</v>
      </c>
      <c r="F1075" s="116">
        <v>333.3</v>
      </c>
      <c r="G1075">
        <v>75488</v>
      </c>
      <c r="H1075" s="116"/>
      <c r="I1075" s="116"/>
      <c r="L1075" s="170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70">
        <v>43591</v>
      </c>
      <c r="B1076" s="116">
        <v>332.15</v>
      </c>
      <c r="C1076" s="116">
        <v>323.64999999999998</v>
      </c>
      <c r="D1076" s="116">
        <v>321.8</v>
      </c>
      <c r="E1076" s="116">
        <v>327</v>
      </c>
      <c r="F1076" s="116">
        <v>323.64999999999998</v>
      </c>
      <c r="G1076">
        <v>31368</v>
      </c>
      <c r="H1076" s="116"/>
      <c r="I1076" s="116"/>
      <c r="L1076" s="170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70">
        <v>43592</v>
      </c>
      <c r="B1077" s="116">
        <v>328.2</v>
      </c>
      <c r="C1077" s="116">
        <v>315.64999999999998</v>
      </c>
      <c r="D1077" s="116">
        <v>314.55</v>
      </c>
      <c r="E1077" s="116">
        <v>327.64999999999998</v>
      </c>
      <c r="F1077" s="116">
        <v>315.64999999999998</v>
      </c>
      <c r="G1077">
        <v>27826</v>
      </c>
      <c r="H1077" s="116"/>
      <c r="I1077" s="116"/>
      <c r="L1077" s="170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70">
        <v>43593</v>
      </c>
      <c r="B1078" s="116">
        <v>326.14999999999998</v>
      </c>
      <c r="C1078" s="116">
        <v>321.3</v>
      </c>
      <c r="D1078" s="116">
        <v>312.85000000000002</v>
      </c>
      <c r="E1078" s="116">
        <v>313</v>
      </c>
      <c r="F1078" s="116">
        <v>321.3</v>
      </c>
      <c r="G1078">
        <v>51825</v>
      </c>
      <c r="H1078" s="116"/>
      <c r="I1078" s="116"/>
      <c r="L1078" s="170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70">
        <v>43594</v>
      </c>
      <c r="B1079" s="116">
        <v>326</v>
      </c>
      <c r="C1079" s="116">
        <v>316.85000000000002</v>
      </c>
      <c r="D1079" s="116">
        <v>314.5</v>
      </c>
      <c r="E1079" s="116">
        <v>321.89999999999998</v>
      </c>
      <c r="F1079" s="116">
        <v>316.85000000000002</v>
      </c>
      <c r="G1079">
        <v>57421</v>
      </c>
      <c r="H1079" s="116"/>
      <c r="I1079" s="116"/>
      <c r="L1079" s="170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70">
        <v>43595</v>
      </c>
      <c r="B1080" s="116">
        <v>323.14999999999998</v>
      </c>
      <c r="C1080" s="116">
        <v>317.95</v>
      </c>
      <c r="D1080" s="116">
        <v>314</v>
      </c>
      <c r="E1080" s="116">
        <v>319</v>
      </c>
      <c r="F1080" s="116">
        <v>317.95</v>
      </c>
      <c r="G1080">
        <v>49581</v>
      </c>
      <c r="H1080" s="116"/>
      <c r="I1080" s="116"/>
      <c r="L1080" s="170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70">
        <v>43598</v>
      </c>
      <c r="B1081" s="116">
        <v>319.14999999999998</v>
      </c>
      <c r="C1081" s="116">
        <v>308.75</v>
      </c>
      <c r="D1081" s="116">
        <v>305.10000000000002</v>
      </c>
      <c r="E1081" s="116">
        <v>317.64999999999998</v>
      </c>
      <c r="F1081" s="116">
        <v>308.75</v>
      </c>
      <c r="G1081">
        <v>33304</v>
      </c>
      <c r="H1081" s="116"/>
      <c r="I1081" s="116"/>
      <c r="L1081" s="170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70">
        <v>43599</v>
      </c>
      <c r="B1082" s="116">
        <v>316</v>
      </c>
      <c r="C1082" s="116">
        <v>313.95</v>
      </c>
      <c r="D1082" s="116">
        <v>305.45</v>
      </c>
      <c r="E1082" s="116">
        <v>306.95</v>
      </c>
      <c r="F1082" s="116">
        <v>313.95</v>
      </c>
      <c r="G1082">
        <v>38032</v>
      </c>
      <c r="H1082" s="116"/>
      <c r="I1082" s="116"/>
      <c r="L1082" s="170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70">
        <v>43600</v>
      </c>
      <c r="B1083" s="116">
        <v>317.39999999999998</v>
      </c>
      <c r="C1083" s="116">
        <v>305.5</v>
      </c>
      <c r="D1083" s="116">
        <v>304.75</v>
      </c>
      <c r="E1083" s="116">
        <v>317.39999999999998</v>
      </c>
      <c r="F1083" s="116">
        <v>305.5</v>
      </c>
      <c r="G1083">
        <v>41846</v>
      </c>
      <c r="H1083" s="116"/>
      <c r="I1083" s="116"/>
      <c r="L1083" s="170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70">
        <v>43601</v>
      </c>
      <c r="B1084" s="116">
        <v>313.5</v>
      </c>
      <c r="C1084" s="116">
        <v>312.25</v>
      </c>
      <c r="D1084" s="116">
        <v>304.39999999999998</v>
      </c>
      <c r="E1084" s="116">
        <v>306.10000000000002</v>
      </c>
      <c r="F1084" s="116">
        <v>312.25</v>
      </c>
      <c r="G1084">
        <v>37013</v>
      </c>
      <c r="H1084" s="116"/>
      <c r="I1084" s="116"/>
      <c r="L1084" s="170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70">
        <v>43602</v>
      </c>
      <c r="B1085" s="116">
        <v>321.8</v>
      </c>
      <c r="C1085" s="116">
        <v>320.05</v>
      </c>
      <c r="D1085" s="116">
        <v>311.2</v>
      </c>
      <c r="E1085" s="116">
        <v>312.89999999999998</v>
      </c>
      <c r="F1085" s="116">
        <v>320.05</v>
      </c>
      <c r="G1085">
        <v>36439</v>
      </c>
      <c r="H1085" s="116"/>
      <c r="I1085" s="116"/>
      <c r="L1085" s="170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70">
        <v>43605</v>
      </c>
      <c r="B1086" s="116">
        <v>362.5</v>
      </c>
      <c r="C1086" s="116">
        <v>355.35</v>
      </c>
      <c r="D1086" s="116">
        <v>328.05</v>
      </c>
      <c r="E1086" s="116">
        <v>330.3</v>
      </c>
      <c r="F1086" s="116">
        <v>355.35</v>
      </c>
      <c r="G1086">
        <v>178865</v>
      </c>
      <c r="H1086" s="116"/>
      <c r="I1086" s="116"/>
      <c r="L1086" s="170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70">
        <v>43606</v>
      </c>
      <c r="B1087" s="116">
        <v>357</v>
      </c>
      <c r="C1087" s="116">
        <v>346.2</v>
      </c>
      <c r="D1087" s="116">
        <v>342</v>
      </c>
      <c r="E1087" s="116">
        <v>357</v>
      </c>
      <c r="F1087" s="116">
        <v>346.2</v>
      </c>
      <c r="G1087">
        <v>73192</v>
      </c>
      <c r="H1087" s="116"/>
      <c r="I1087" s="116"/>
      <c r="L1087" s="170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70">
        <v>43607</v>
      </c>
      <c r="B1088" s="116">
        <v>347.95</v>
      </c>
      <c r="C1088" s="116">
        <v>342.65</v>
      </c>
      <c r="D1088" s="116">
        <v>335.45</v>
      </c>
      <c r="E1088" s="116">
        <v>342.1</v>
      </c>
      <c r="F1088" s="116">
        <v>342.65</v>
      </c>
      <c r="G1088">
        <v>78182</v>
      </c>
      <c r="H1088" s="116"/>
      <c r="I1088" s="116"/>
      <c r="L1088" s="170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70">
        <v>43608</v>
      </c>
      <c r="B1089" s="116">
        <v>360.65</v>
      </c>
      <c r="C1089" s="116">
        <v>340.65</v>
      </c>
      <c r="D1089" s="116">
        <v>338.15</v>
      </c>
      <c r="E1089" s="116">
        <v>352.5</v>
      </c>
      <c r="F1089" s="116">
        <v>340.65</v>
      </c>
      <c r="G1089">
        <v>109984</v>
      </c>
      <c r="H1089" s="116"/>
      <c r="I1089" s="116"/>
      <c r="L1089" s="170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70">
        <v>43609</v>
      </c>
      <c r="B1090" s="116">
        <v>368.05</v>
      </c>
      <c r="C1090" s="116">
        <v>359.15</v>
      </c>
      <c r="D1090" s="116">
        <v>346</v>
      </c>
      <c r="E1090" s="116">
        <v>346.35</v>
      </c>
      <c r="F1090" s="116">
        <v>359.15</v>
      </c>
      <c r="G1090">
        <v>106838</v>
      </c>
      <c r="H1090" s="116"/>
      <c r="I1090" s="116"/>
      <c r="L1090" s="170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70">
        <v>43612</v>
      </c>
      <c r="B1091" s="116">
        <v>356.65</v>
      </c>
      <c r="C1091" s="116">
        <v>355.2</v>
      </c>
      <c r="D1091" s="116">
        <v>348.9</v>
      </c>
      <c r="E1091" s="116">
        <v>353</v>
      </c>
      <c r="F1091" s="116">
        <v>355.2</v>
      </c>
      <c r="G1091">
        <v>41047</v>
      </c>
      <c r="H1091" s="116"/>
      <c r="I1091" s="116"/>
      <c r="L1091" s="170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70">
        <v>43613</v>
      </c>
      <c r="B1092" s="116">
        <v>354.1</v>
      </c>
      <c r="C1092" s="116">
        <v>346.95</v>
      </c>
      <c r="D1092" s="116">
        <v>342.9</v>
      </c>
      <c r="E1092" s="116">
        <v>354.1</v>
      </c>
      <c r="F1092" s="116">
        <v>346.95</v>
      </c>
      <c r="G1092">
        <v>60427</v>
      </c>
      <c r="H1092" s="116"/>
      <c r="I1092" s="116"/>
      <c r="L1092" s="170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70">
        <v>43614</v>
      </c>
      <c r="B1093" s="116">
        <v>361.55</v>
      </c>
      <c r="C1093" s="116">
        <v>353.85</v>
      </c>
      <c r="D1093" s="116">
        <v>342</v>
      </c>
      <c r="E1093" s="116">
        <v>346.45</v>
      </c>
      <c r="F1093" s="116">
        <v>353.85</v>
      </c>
      <c r="G1093">
        <v>108846</v>
      </c>
      <c r="H1093" s="116"/>
      <c r="I1093" s="116"/>
      <c r="L1093" s="170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70">
        <v>43615</v>
      </c>
      <c r="B1094" s="116">
        <v>358.7</v>
      </c>
      <c r="C1094" s="116">
        <v>356.05</v>
      </c>
      <c r="D1094" s="116">
        <v>353.1</v>
      </c>
      <c r="E1094" s="116">
        <v>353.1</v>
      </c>
      <c r="F1094" s="116">
        <v>356.05</v>
      </c>
      <c r="G1094">
        <v>58236</v>
      </c>
      <c r="H1094" s="116"/>
      <c r="I1094" s="116"/>
      <c r="L1094" s="170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70">
        <v>43616</v>
      </c>
      <c r="B1095" s="116">
        <v>369.9</v>
      </c>
      <c r="C1095" s="116">
        <v>352.4</v>
      </c>
      <c r="D1095" s="116">
        <v>348.8</v>
      </c>
      <c r="E1095" s="116">
        <v>358.6</v>
      </c>
      <c r="F1095" s="116">
        <v>352.4</v>
      </c>
      <c r="G1095">
        <v>133559</v>
      </c>
      <c r="H1095" s="116"/>
      <c r="I1095" s="116"/>
      <c r="L1095" s="170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70">
        <v>43619</v>
      </c>
      <c r="B1096" s="116">
        <v>362.7</v>
      </c>
      <c r="C1096" s="116">
        <v>360.95</v>
      </c>
      <c r="D1096" s="116">
        <v>351.55</v>
      </c>
      <c r="E1096" s="116">
        <v>356.9</v>
      </c>
      <c r="F1096" s="116">
        <v>360.95</v>
      </c>
      <c r="G1096">
        <v>48273</v>
      </c>
      <c r="H1096" s="116"/>
      <c r="I1096" s="116"/>
      <c r="L1096" s="170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70">
        <v>43620</v>
      </c>
      <c r="B1097" s="116">
        <v>368.8</v>
      </c>
      <c r="C1097" s="116">
        <v>364.75</v>
      </c>
      <c r="D1097" s="116">
        <v>360.05</v>
      </c>
      <c r="E1097" s="116">
        <v>363.55</v>
      </c>
      <c r="F1097" s="116">
        <v>364.75</v>
      </c>
      <c r="G1097">
        <v>36735</v>
      </c>
      <c r="H1097" s="116"/>
      <c r="I1097" s="116"/>
      <c r="L1097" s="170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70">
        <v>43622</v>
      </c>
      <c r="B1098" s="116">
        <v>371.7</v>
      </c>
      <c r="C1098" s="116">
        <v>352.65</v>
      </c>
      <c r="D1098" s="116">
        <v>350.85</v>
      </c>
      <c r="E1098" s="116">
        <v>367</v>
      </c>
      <c r="F1098" s="116">
        <v>352.65</v>
      </c>
      <c r="G1098">
        <v>62701</v>
      </c>
      <c r="H1098" s="116"/>
      <c r="I1098" s="116"/>
      <c r="L1098" s="170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70">
        <v>43623</v>
      </c>
      <c r="B1099" s="116">
        <v>356.65</v>
      </c>
      <c r="C1099" s="116">
        <v>353.9</v>
      </c>
      <c r="D1099" s="116">
        <v>343.9</v>
      </c>
      <c r="E1099" s="116">
        <v>352.9</v>
      </c>
      <c r="F1099" s="116">
        <v>353.9</v>
      </c>
      <c r="G1099">
        <v>39185</v>
      </c>
      <c r="H1099" s="116"/>
      <c r="I1099" s="116"/>
      <c r="L1099" s="170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70">
        <v>43626</v>
      </c>
      <c r="B1100" s="116">
        <v>359</v>
      </c>
      <c r="C1100" s="116">
        <v>349.2</v>
      </c>
      <c r="D1100" s="116">
        <v>347.2</v>
      </c>
      <c r="E1100" s="116">
        <v>355.4</v>
      </c>
      <c r="F1100" s="116">
        <v>349.2</v>
      </c>
      <c r="G1100">
        <v>50921</v>
      </c>
      <c r="H1100" s="116"/>
      <c r="I1100" s="116"/>
      <c r="L1100" s="170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70">
        <v>43627</v>
      </c>
      <c r="B1101" s="116">
        <v>350.1</v>
      </c>
      <c r="C1101" s="116">
        <v>346.1</v>
      </c>
      <c r="D1101" s="116">
        <v>336.7</v>
      </c>
      <c r="E1101" s="116">
        <v>350.1</v>
      </c>
      <c r="F1101" s="116">
        <v>346.1</v>
      </c>
      <c r="G1101">
        <v>41211</v>
      </c>
      <c r="H1101" s="116"/>
      <c r="I1101" s="116"/>
      <c r="L1101" s="170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70">
        <v>43628</v>
      </c>
      <c r="B1102" s="116">
        <v>352</v>
      </c>
      <c r="C1102" s="116">
        <v>345.3</v>
      </c>
      <c r="D1102" s="116">
        <v>338</v>
      </c>
      <c r="E1102" s="116">
        <v>338</v>
      </c>
      <c r="F1102" s="116">
        <v>345.3</v>
      </c>
      <c r="G1102">
        <v>30919</v>
      </c>
      <c r="H1102" s="116"/>
      <c r="I1102" s="116"/>
      <c r="L1102" s="170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70">
        <v>43629</v>
      </c>
      <c r="B1103" s="116">
        <v>353.5</v>
      </c>
      <c r="C1103" s="116">
        <v>350.65</v>
      </c>
      <c r="D1103" s="116">
        <v>339.75</v>
      </c>
      <c r="E1103" s="116">
        <v>346.85</v>
      </c>
      <c r="F1103" s="116">
        <v>350.65</v>
      </c>
      <c r="G1103">
        <v>36603</v>
      </c>
      <c r="H1103" s="116"/>
      <c r="I1103" s="116"/>
      <c r="L1103" s="170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70">
        <v>43630</v>
      </c>
      <c r="B1104" s="116">
        <v>355</v>
      </c>
      <c r="C1104" s="116">
        <v>345.55</v>
      </c>
      <c r="D1104" s="116">
        <v>340.35</v>
      </c>
      <c r="E1104" s="116">
        <v>355</v>
      </c>
      <c r="F1104" s="116">
        <v>345.55</v>
      </c>
      <c r="G1104">
        <v>37351</v>
      </c>
      <c r="H1104" s="116"/>
      <c r="I1104" s="116"/>
      <c r="L1104" s="170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70">
        <v>43633</v>
      </c>
      <c r="B1105" s="116">
        <v>344.5</v>
      </c>
      <c r="C1105" s="116">
        <v>337.15</v>
      </c>
      <c r="D1105" s="116">
        <v>335</v>
      </c>
      <c r="E1105" s="116">
        <v>343</v>
      </c>
      <c r="F1105" s="116">
        <v>337.15</v>
      </c>
      <c r="G1105">
        <v>30302</v>
      </c>
      <c r="H1105" s="116"/>
      <c r="I1105" s="116"/>
      <c r="L1105" s="170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70">
        <v>43634</v>
      </c>
      <c r="B1106" s="116">
        <v>347.95</v>
      </c>
      <c r="C1106" s="116">
        <v>344.2</v>
      </c>
      <c r="D1106" s="116">
        <v>337.5</v>
      </c>
      <c r="E1106" s="116">
        <v>338.35</v>
      </c>
      <c r="F1106" s="116">
        <v>344.2</v>
      </c>
      <c r="G1106">
        <v>47443</v>
      </c>
      <c r="H1106" s="116"/>
      <c r="I1106" s="116"/>
      <c r="L1106" s="170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70">
        <v>43635</v>
      </c>
      <c r="B1107" s="116">
        <v>362</v>
      </c>
      <c r="C1107" s="116">
        <v>347.55</v>
      </c>
      <c r="D1107" s="116">
        <v>345.7</v>
      </c>
      <c r="E1107" s="116">
        <v>350</v>
      </c>
      <c r="F1107" s="116">
        <v>347.55</v>
      </c>
      <c r="G1107">
        <v>160522</v>
      </c>
      <c r="H1107" s="116"/>
      <c r="I1107" s="116"/>
      <c r="L1107" s="170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70">
        <v>43636</v>
      </c>
      <c r="B1108" s="116">
        <v>356.65</v>
      </c>
      <c r="C1108" s="116">
        <v>355.05</v>
      </c>
      <c r="D1108" s="116">
        <v>341</v>
      </c>
      <c r="E1108" s="116">
        <v>350</v>
      </c>
      <c r="F1108" s="116">
        <v>355.05</v>
      </c>
      <c r="G1108">
        <v>52397</v>
      </c>
      <c r="H1108" s="116"/>
      <c r="I1108" s="116"/>
      <c r="L1108" s="170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70">
        <v>43637</v>
      </c>
      <c r="B1109" s="116">
        <v>356.5</v>
      </c>
      <c r="C1109" s="116">
        <v>348.65</v>
      </c>
      <c r="D1109" s="116">
        <v>343.7</v>
      </c>
      <c r="E1109" s="116">
        <v>355.2</v>
      </c>
      <c r="F1109" s="116">
        <v>348.65</v>
      </c>
      <c r="G1109">
        <v>65002</v>
      </c>
      <c r="H1109" s="116"/>
      <c r="I1109" s="116"/>
      <c r="L1109" s="170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70">
        <v>43640</v>
      </c>
      <c r="B1110" s="116">
        <v>352.6</v>
      </c>
      <c r="C1110" s="116">
        <v>348.75</v>
      </c>
      <c r="D1110" s="116">
        <v>345.6</v>
      </c>
      <c r="E1110" s="116">
        <v>351.6</v>
      </c>
      <c r="F1110" s="116">
        <v>348.75</v>
      </c>
      <c r="G1110">
        <v>23822</v>
      </c>
      <c r="H1110" s="116"/>
      <c r="I1110" s="116"/>
      <c r="L1110" s="170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70">
        <v>43641</v>
      </c>
      <c r="B1111" s="116">
        <v>359.3</v>
      </c>
      <c r="C1111" s="116">
        <v>356.2</v>
      </c>
      <c r="D1111" s="116">
        <v>335.85</v>
      </c>
      <c r="E1111" s="116">
        <v>347</v>
      </c>
      <c r="F1111" s="116">
        <v>356.2</v>
      </c>
      <c r="G1111">
        <v>49845</v>
      </c>
      <c r="H1111" s="116"/>
      <c r="I1111" s="116"/>
      <c r="L1111" s="170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70">
        <v>43642</v>
      </c>
      <c r="B1112" s="116">
        <v>360.1</v>
      </c>
      <c r="C1112" s="116">
        <v>355.5</v>
      </c>
      <c r="D1112" s="116">
        <v>351.55</v>
      </c>
      <c r="E1112" s="116">
        <v>354</v>
      </c>
      <c r="F1112" s="116">
        <v>355.5</v>
      </c>
      <c r="G1112">
        <v>55867</v>
      </c>
      <c r="H1112" s="116"/>
      <c r="I1112" s="116"/>
      <c r="L1112" s="170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70">
        <v>43643</v>
      </c>
      <c r="B1113" s="116">
        <v>366</v>
      </c>
      <c r="C1113" s="116">
        <v>347.45</v>
      </c>
      <c r="D1113" s="116">
        <v>345.75</v>
      </c>
      <c r="E1113" s="116">
        <v>355.5</v>
      </c>
      <c r="F1113" s="116">
        <v>347.45</v>
      </c>
      <c r="G1113">
        <v>121452</v>
      </c>
      <c r="H1113" s="116"/>
      <c r="I1113" s="116"/>
      <c r="L1113" s="170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70">
        <v>43644</v>
      </c>
      <c r="B1114" s="116">
        <v>359.9</v>
      </c>
      <c r="C1114" s="116">
        <v>356.4</v>
      </c>
      <c r="D1114" s="116">
        <v>343.35</v>
      </c>
      <c r="E1114" s="116">
        <v>356.9</v>
      </c>
      <c r="F1114" s="116">
        <v>356.4</v>
      </c>
      <c r="G1114">
        <v>40630</v>
      </c>
      <c r="H1114" s="116"/>
      <c r="I1114" s="116"/>
      <c r="L1114" s="170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70">
        <v>43647</v>
      </c>
      <c r="B1115" s="116">
        <v>361.05</v>
      </c>
      <c r="C1115" s="116">
        <v>355.4</v>
      </c>
      <c r="D1115" s="116">
        <v>354</v>
      </c>
      <c r="E1115" s="116">
        <v>357.9</v>
      </c>
      <c r="F1115" s="116">
        <v>355.4</v>
      </c>
      <c r="G1115">
        <v>12502</v>
      </c>
      <c r="H1115" s="116"/>
      <c r="I1115" s="116"/>
      <c r="L1115" s="170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70">
        <v>43648</v>
      </c>
      <c r="B1116" s="116">
        <v>359.8</v>
      </c>
      <c r="C1116" s="116">
        <v>358</v>
      </c>
      <c r="D1116" s="116">
        <v>355.4</v>
      </c>
      <c r="E1116" s="116">
        <v>356.3</v>
      </c>
      <c r="F1116" s="116">
        <v>358</v>
      </c>
      <c r="G1116">
        <v>23318</v>
      </c>
      <c r="H1116" s="116"/>
      <c r="I1116" s="116"/>
      <c r="L1116" s="170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70">
        <v>43649</v>
      </c>
      <c r="B1117" s="116">
        <v>358.8</v>
      </c>
      <c r="C1117" s="116">
        <v>357.95</v>
      </c>
      <c r="D1117" s="116">
        <v>354.8</v>
      </c>
      <c r="E1117" s="116">
        <v>358</v>
      </c>
      <c r="F1117" s="116">
        <v>357.95</v>
      </c>
      <c r="G1117">
        <v>15023</v>
      </c>
      <c r="H1117" s="116"/>
      <c r="I1117" s="116"/>
      <c r="L1117" s="170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70">
        <v>43650</v>
      </c>
      <c r="B1118" s="116">
        <v>362.85</v>
      </c>
      <c r="C1118" s="116">
        <v>358.15</v>
      </c>
      <c r="D1118" s="116">
        <v>356.05</v>
      </c>
      <c r="E1118" s="116">
        <v>358.05</v>
      </c>
      <c r="F1118" s="116">
        <v>358.15</v>
      </c>
      <c r="G1118">
        <v>26061</v>
      </c>
      <c r="H1118" s="116"/>
      <c r="I1118" s="116"/>
      <c r="L1118" s="170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70">
        <v>43651</v>
      </c>
      <c r="B1119" s="116">
        <v>380</v>
      </c>
      <c r="C1119" s="116">
        <v>360.1</v>
      </c>
      <c r="D1119" s="116">
        <v>356</v>
      </c>
      <c r="E1119" s="116">
        <v>360</v>
      </c>
      <c r="F1119" s="116">
        <v>360.1</v>
      </c>
      <c r="G1119">
        <v>174888</v>
      </c>
      <c r="H1119" s="116"/>
      <c r="I1119" s="116"/>
      <c r="L1119" s="170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70">
        <v>43654</v>
      </c>
      <c r="B1120" s="116">
        <v>365.75</v>
      </c>
      <c r="C1120" s="116">
        <v>362</v>
      </c>
      <c r="D1120" s="116">
        <v>360</v>
      </c>
      <c r="E1120" s="116">
        <v>361</v>
      </c>
      <c r="F1120" s="116">
        <v>362</v>
      </c>
      <c r="G1120">
        <v>39282</v>
      </c>
      <c r="H1120" s="116"/>
      <c r="I1120" s="116"/>
      <c r="L1120" s="170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70">
        <v>43655</v>
      </c>
      <c r="B1121" s="116">
        <v>368.05</v>
      </c>
      <c r="C1121" s="116">
        <v>365.8</v>
      </c>
      <c r="D1121" s="116">
        <v>356.1</v>
      </c>
      <c r="E1121" s="116">
        <v>361.55</v>
      </c>
      <c r="F1121" s="116">
        <v>365.8</v>
      </c>
      <c r="G1121">
        <v>26682</v>
      </c>
      <c r="H1121" s="116"/>
      <c r="I1121" s="116"/>
      <c r="L1121" s="170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70">
        <v>43656</v>
      </c>
      <c r="B1122" s="116">
        <v>369.85</v>
      </c>
      <c r="C1122" s="116">
        <v>365.4</v>
      </c>
      <c r="D1122" s="116">
        <v>362.7</v>
      </c>
      <c r="E1122" s="116">
        <v>367.15</v>
      </c>
      <c r="F1122" s="116">
        <v>365.4</v>
      </c>
      <c r="G1122">
        <v>31667</v>
      </c>
      <c r="H1122" s="116"/>
      <c r="I1122" s="116"/>
      <c r="L1122" s="170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70">
        <v>43657</v>
      </c>
      <c r="B1123" s="116">
        <v>377</v>
      </c>
      <c r="C1123" s="116">
        <v>374.15</v>
      </c>
      <c r="D1123" s="116">
        <v>366.8</v>
      </c>
      <c r="E1123" s="116">
        <v>369.7</v>
      </c>
      <c r="F1123" s="116">
        <v>374.15</v>
      </c>
      <c r="G1123">
        <v>51581</v>
      </c>
      <c r="H1123" s="116"/>
      <c r="I1123" s="116"/>
      <c r="L1123" s="170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70">
        <v>43658</v>
      </c>
      <c r="B1124" s="116">
        <v>376.2</v>
      </c>
      <c r="C1124" s="116">
        <v>372.7</v>
      </c>
      <c r="D1124" s="116">
        <v>370.1</v>
      </c>
      <c r="E1124" s="116">
        <v>374.9</v>
      </c>
      <c r="F1124" s="116">
        <v>372.7</v>
      </c>
      <c r="G1124">
        <v>74155</v>
      </c>
      <c r="H1124" s="116"/>
      <c r="I1124" s="116"/>
      <c r="L1124" s="170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70">
        <v>43661</v>
      </c>
      <c r="B1125" s="116">
        <v>377.1</v>
      </c>
      <c r="C1125" s="116">
        <v>369.65</v>
      </c>
      <c r="D1125" s="116">
        <v>368.85</v>
      </c>
      <c r="E1125" s="116">
        <v>377</v>
      </c>
      <c r="F1125" s="116">
        <v>369.65</v>
      </c>
      <c r="G1125">
        <v>26923</v>
      </c>
      <c r="H1125" s="116"/>
      <c r="I1125" s="116"/>
      <c r="L1125" s="170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70">
        <v>43662</v>
      </c>
      <c r="B1126" s="116">
        <v>377.9</v>
      </c>
      <c r="C1126" s="116">
        <v>373</v>
      </c>
      <c r="D1126" s="116">
        <v>370.2</v>
      </c>
      <c r="E1126" s="116">
        <v>377.9</v>
      </c>
      <c r="F1126" s="116">
        <v>373</v>
      </c>
      <c r="G1126">
        <v>61758</v>
      </c>
      <c r="H1126" s="116"/>
      <c r="I1126" s="116"/>
      <c r="L1126" s="170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70">
        <v>43663</v>
      </c>
      <c r="B1127" s="116">
        <v>387.95</v>
      </c>
      <c r="C1127" s="116">
        <v>382.65</v>
      </c>
      <c r="D1127" s="116">
        <v>371.4</v>
      </c>
      <c r="E1127" s="116">
        <v>371.75</v>
      </c>
      <c r="F1127" s="116">
        <v>382.65</v>
      </c>
      <c r="G1127">
        <v>107025</v>
      </c>
      <c r="H1127" s="116"/>
      <c r="I1127" s="116"/>
      <c r="L1127" s="170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70">
        <v>43664</v>
      </c>
      <c r="B1128" s="116">
        <v>392</v>
      </c>
      <c r="C1128" s="116">
        <v>389.9</v>
      </c>
      <c r="D1128" s="116">
        <v>379.55</v>
      </c>
      <c r="E1128" s="116">
        <v>382.9</v>
      </c>
      <c r="F1128" s="116">
        <v>389.9</v>
      </c>
      <c r="G1128">
        <v>31218</v>
      </c>
      <c r="H1128" s="116"/>
      <c r="I1128" s="116"/>
      <c r="L1128" s="170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70">
        <v>43665</v>
      </c>
      <c r="B1129" s="116">
        <v>397.45</v>
      </c>
      <c r="C1129" s="116">
        <v>387.75</v>
      </c>
      <c r="D1129" s="116">
        <v>384.2</v>
      </c>
      <c r="E1129" s="116">
        <v>390</v>
      </c>
      <c r="F1129" s="116">
        <v>387.75</v>
      </c>
      <c r="G1129">
        <v>56191</v>
      </c>
      <c r="H1129" s="116"/>
      <c r="I1129" s="116"/>
      <c r="L1129" s="170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70">
        <v>43668</v>
      </c>
      <c r="B1130" s="116">
        <v>387.9</v>
      </c>
      <c r="C1130" s="116">
        <v>375.45</v>
      </c>
      <c r="D1130" s="116">
        <v>373.5</v>
      </c>
      <c r="E1130" s="116">
        <v>387.75</v>
      </c>
      <c r="F1130" s="116">
        <v>375.45</v>
      </c>
      <c r="G1130">
        <v>37839</v>
      </c>
      <c r="H1130" s="116"/>
      <c r="I1130" s="116"/>
      <c r="L1130" s="170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70">
        <v>43669</v>
      </c>
      <c r="B1131" s="116">
        <v>420</v>
      </c>
      <c r="C1131" s="116">
        <v>406.8</v>
      </c>
      <c r="D1131" s="116">
        <v>380.75</v>
      </c>
      <c r="E1131" s="116">
        <v>388</v>
      </c>
      <c r="F1131" s="116">
        <v>406.8</v>
      </c>
      <c r="G1131">
        <v>155179</v>
      </c>
      <c r="H1131" s="116"/>
      <c r="I1131" s="116"/>
      <c r="L1131" s="170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70">
        <v>43670</v>
      </c>
      <c r="B1132" s="116">
        <v>409.2</v>
      </c>
      <c r="C1132" s="116">
        <v>388.8</v>
      </c>
      <c r="D1132" s="116">
        <v>384.1</v>
      </c>
      <c r="E1132" s="116">
        <v>406.1</v>
      </c>
      <c r="F1132" s="116">
        <v>388.8</v>
      </c>
      <c r="G1132">
        <v>68206</v>
      </c>
      <c r="H1132" s="116"/>
      <c r="I1132" s="116"/>
      <c r="L1132" s="170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70">
        <v>43671</v>
      </c>
      <c r="B1133" s="116">
        <v>395.5</v>
      </c>
      <c r="C1133" s="116">
        <v>383.65</v>
      </c>
      <c r="D1133" s="116">
        <v>382.5</v>
      </c>
      <c r="E1133" s="116">
        <v>390</v>
      </c>
      <c r="F1133" s="116">
        <v>383.65</v>
      </c>
      <c r="G1133">
        <v>31446</v>
      </c>
      <c r="H1133" s="116"/>
      <c r="I1133" s="116"/>
      <c r="L1133" s="170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70">
        <v>43672</v>
      </c>
      <c r="B1134" s="116">
        <v>395</v>
      </c>
      <c r="C1134" s="116">
        <v>386.8</v>
      </c>
      <c r="D1134" s="116">
        <v>385.2</v>
      </c>
      <c r="E1134" s="116">
        <v>387</v>
      </c>
      <c r="F1134" s="116">
        <v>386.8</v>
      </c>
      <c r="G1134">
        <v>91804</v>
      </c>
      <c r="H1134" s="116"/>
      <c r="I1134" s="116"/>
      <c r="L1134" s="170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70">
        <v>43675</v>
      </c>
      <c r="B1135" s="116">
        <v>398</v>
      </c>
      <c r="C1135" s="116">
        <v>392</v>
      </c>
      <c r="D1135" s="116">
        <v>382.35</v>
      </c>
      <c r="E1135" s="116">
        <v>382.35</v>
      </c>
      <c r="F1135" s="116">
        <v>392</v>
      </c>
      <c r="G1135">
        <v>139776</v>
      </c>
      <c r="H1135" s="116"/>
      <c r="I1135" s="116"/>
      <c r="L1135" s="170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70">
        <v>43676</v>
      </c>
      <c r="B1136" s="116">
        <v>395</v>
      </c>
      <c r="C1136" s="116">
        <v>388.1</v>
      </c>
      <c r="D1136" s="116">
        <v>386.55</v>
      </c>
      <c r="E1136" s="116">
        <v>388</v>
      </c>
      <c r="F1136" s="116">
        <v>388.1</v>
      </c>
      <c r="G1136">
        <v>28915</v>
      </c>
      <c r="H1136" s="116"/>
      <c r="I1136" s="116"/>
      <c r="L1136" s="170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70">
        <v>43677</v>
      </c>
      <c r="B1137" s="116">
        <v>391.9</v>
      </c>
      <c r="C1137" s="116">
        <v>386.95</v>
      </c>
      <c r="D1137" s="116">
        <v>378.6</v>
      </c>
      <c r="E1137" s="116">
        <v>389.8</v>
      </c>
      <c r="F1137" s="116">
        <v>386.95</v>
      </c>
      <c r="G1137">
        <v>123885</v>
      </c>
      <c r="H1137" s="116"/>
      <c r="I1137" s="116"/>
      <c r="L1137" s="170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70">
        <v>43678</v>
      </c>
      <c r="B1138" s="116">
        <v>388.8</v>
      </c>
      <c r="C1138" s="116">
        <v>374.85</v>
      </c>
      <c r="D1138" s="116">
        <v>371.1</v>
      </c>
      <c r="E1138" s="116">
        <v>385.7</v>
      </c>
      <c r="F1138" s="116">
        <v>374.85</v>
      </c>
      <c r="G1138">
        <v>62775</v>
      </c>
      <c r="H1138" s="116"/>
      <c r="I1138" s="116"/>
      <c r="L1138" s="170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70">
        <v>43679</v>
      </c>
      <c r="B1139" s="116">
        <v>382.55</v>
      </c>
      <c r="C1139" s="116">
        <v>378.7</v>
      </c>
      <c r="D1139" s="116">
        <v>369</v>
      </c>
      <c r="E1139" s="116">
        <v>372</v>
      </c>
      <c r="F1139" s="116">
        <v>378.7</v>
      </c>
      <c r="G1139">
        <v>64569</v>
      </c>
      <c r="H1139" s="116"/>
      <c r="I1139" s="116"/>
      <c r="L1139" s="170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70">
        <v>43682</v>
      </c>
      <c r="B1140" s="116">
        <v>376.35</v>
      </c>
      <c r="C1140" s="116">
        <v>373.55</v>
      </c>
      <c r="D1140" s="116">
        <v>365.6</v>
      </c>
      <c r="E1140" s="116">
        <v>375.95</v>
      </c>
      <c r="F1140" s="116">
        <v>373.55</v>
      </c>
      <c r="G1140">
        <v>46411</v>
      </c>
      <c r="H1140" s="116"/>
      <c r="I1140" s="116"/>
      <c r="L1140" s="170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70">
        <v>43683</v>
      </c>
      <c r="B1141" s="116">
        <v>388.9</v>
      </c>
      <c r="C1141" s="116">
        <v>386.35</v>
      </c>
      <c r="D1141" s="116">
        <v>371.7</v>
      </c>
      <c r="E1141" s="116">
        <v>373.05</v>
      </c>
      <c r="F1141" s="116">
        <v>386.35</v>
      </c>
      <c r="G1141">
        <v>54669</v>
      </c>
      <c r="H1141" s="116"/>
      <c r="I1141" s="116"/>
      <c r="L1141" s="170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70">
        <v>43684</v>
      </c>
      <c r="B1142" s="116">
        <v>393.15</v>
      </c>
      <c r="C1142" s="116">
        <v>386.3</v>
      </c>
      <c r="D1142" s="116">
        <v>383.3</v>
      </c>
      <c r="E1142" s="116">
        <v>383.6</v>
      </c>
      <c r="F1142" s="116">
        <v>386.3</v>
      </c>
      <c r="G1142">
        <v>70491</v>
      </c>
      <c r="H1142" s="116"/>
      <c r="I1142" s="116"/>
      <c r="L1142" s="170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70">
        <v>43685</v>
      </c>
      <c r="B1143" s="116">
        <v>390.7</v>
      </c>
      <c r="C1143" s="116">
        <v>382.7</v>
      </c>
      <c r="D1143" s="116">
        <v>381.3</v>
      </c>
      <c r="E1143" s="116">
        <v>389.7</v>
      </c>
      <c r="F1143" s="116">
        <v>382.7</v>
      </c>
      <c r="G1143">
        <v>53031</v>
      </c>
      <c r="H1143" s="116"/>
      <c r="I1143" s="116"/>
      <c r="L1143" s="170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70">
        <v>43686</v>
      </c>
      <c r="B1144" s="116">
        <v>392.4</v>
      </c>
      <c r="C1144" s="116">
        <v>386.55</v>
      </c>
      <c r="D1144" s="116">
        <v>384.25</v>
      </c>
      <c r="E1144" s="116">
        <v>389.75</v>
      </c>
      <c r="F1144" s="116">
        <v>386.55</v>
      </c>
      <c r="G1144">
        <v>82387</v>
      </c>
      <c r="H1144" s="116"/>
      <c r="I1144" s="116"/>
      <c r="L1144" s="170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70">
        <v>43690</v>
      </c>
      <c r="B1145" s="116">
        <v>390.45</v>
      </c>
      <c r="C1145" s="116">
        <v>371.6</v>
      </c>
      <c r="D1145" s="116">
        <v>368.2</v>
      </c>
      <c r="E1145" s="116">
        <v>387</v>
      </c>
      <c r="F1145" s="116">
        <v>371.6</v>
      </c>
      <c r="G1145">
        <v>86831</v>
      </c>
      <c r="H1145" s="116"/>
      <c r="I1145" s="116"/>
      <c r="L1145" s="170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70">
        <v>43691</v>
      </c>
      <c r="B1146" s="116">
        <v>382.2</v>
      </c>
      <c r="C1146" s="116">
        <v>372.8</v>
      </c>
      <c r="D1146" s="116">
        <v>371.6</v>
      </c>
      <c r="E1146" s="116">
        <v>376</v>
      </c>
      <c r="F1146" s="116">
        <v>372.8</v>
      </c>
      <c r="G1146">
        <v>71332</v>
      </c>
      <c r="H1146" s="116"/>
      <c r="I1146" s="116"/>
      <c r="L1146" s="170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70">
        <v>43693</v>
      </c>
      <c r="B1147" s="116">
        <v>378.75</v>
      </c>
      <c r="C1147" s="116">
        <v>374.9</v>
      </c>
      <c r="D1147" s="116">
        <v>372.6</v>
      </c>
      <c r="E1147" s="116">
        <v>375.3</v>
      </c>
      <c r="F1147" s="116">
        <v>374.9</v>
      </c>
      <c r="G1147">
        <v>53536</v>
      </c>
      <c r="H1147" s="116"/>
      <c r="I1147" s="116"/>
      <c r="L1147" s="170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70">
        <v>43696</v>
      </c>
      <c r="B1148" s="116">
        <v>382.65</v>
      </c>
      <c r="C1148" s="116">
        <v>381.85</v>
      </c>
      <c r="D1148" s="116">
        <v>375.1</v>
      </c>
      <c r="E1148" s="116">
        <v>375.15</v>
      </c>
      <c r="F1148" s="116">
        <v>381.85</v>
      </c>
      <c r="G1148">
        <v>43533</v>
      </c>
      <c r="H1148" s="116"/>
      <c r="I1148" s="116"/>
      <c r="L1148" s="170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70">
        <v>43697</v>
      </c>
      <c r="B1149" s="116">
        <v>385.5</v>
      </c>
      <c r="C1149" s="116">
        <v>377.2</v>
      </c>
      <c r="D1149" s="116">
        <v>372.9</v>
      </c>
      <c r="E1149" s="116">
        <v>379.8</v>
      </c>
      <c r="F1149" s="116">
        <v>377.2</v>
      </c>
      <c r="G1149">
        <v>19664</v>
      </c>
      <c r="H1149" s="116"/>
      <c r="I1149" s="116"/>
      <c r="L1149" s="170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70">
        <v>43698</v>
      </c>
      <c r="B1150" s="116">
        <v>379.7</v>
      </c>
      <c r="C1150" s="116">
        <v>379.15</v>
      </c>
      <c r="D1150" s="116">
        <v>375.55</v>
      </c>
      <c r="E1150" s="116">
        <v>378.5</v>
      </c>
      <c r="F1150" s="116">
        <v>379.15</v>
      </c>
      <c r="G1150">
        <v>48929</v>
      </c>
      <c r="H1150" s="116"/>
      <c r="I1150" s="116"/>
      <c r="L1150" s="170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70">
        <v>43699</v>
      </c>
      <c r="B1151" s="116">
        <v>381.05</v>
      </c>
      <c r="C1151" s="116">
        <v>369.5</v>
      </c>
      <c r="D1151" s="116">
        <v>362.2</v>
      </c>
      <c r="E1151" s="116">
        <v>380.25</v>
      </c>
      <c r="F1151" s="116">
        <v>369.5</v>
      </c>
      <c r="G1151">
        <v>57698</v>
      </c>
      <c r="H1151" s="116"/>
      <c r="I1151" s="116"/>
      <c r="L1151" s="170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70">
        <v>43700</v>
      </c>
      <c r="B1152" s="116">
        <v>375</v>
      </c>
      <c r="C1152" s="116">
        <v>370.75</v>
      </c>
      <c r="D1152" s="116">
        <v>360.6</v>
      </c>
      <c r="E1152" s="116">
        <v>369.15</v>
      </c>
      <c r="F1152" s="116">
        <v>370.75</v>
      </c>
      <c r="G1152">
        <v>57253</v>
      </c>
      <c r="H1152" s="116"/>
      <c r="I1152" s="116"/>
      <c r="L1152" s="170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70">
        <v>43703</v>
      </c>
      <c r="B1153" s="116">
        <v>387.25</v>
      </c>
      <c r="C1153" s="116">
        <v>378.05</v>
      </c>
      <c r="D1153" s="116">
        <v>374</v>
      </c>
      <c r="E1153" s="116">
        <v>378</v>
      </c>
      <c r="F1153" s="116">
        <v>378.05</v>
      </c>
      <c r="G1153">
        <v>36759</v>
      </c>
      <c r="H1153" s="116"/>
      <c r="I1153" s="116"/>
      <c r="L1153" s="170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70">
        <v>43704</v>
      </c>
      <c r="B1154" s="116">
        <v>405</v>
      </c>
      <c r="C1154" s="116">
        <v>396.7</v>
      </c>
      <c r="D1154" s="116">
        <v>382.05</v>
      </c>
      <c r="E1154" s="116">
        <v>383.4</v>
      </c>
      <c r="F1154" s="116">
        <v>396.7</v>
      </c>
      <c r="G1154">
        <v>28712</v>
      </c>
      <c r="H1154" s="116"/>
      <c r="I1154" s="116"/>
      <c r="L1154" s="170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70">
        <v>43705</v>
      </c>
      <c r="B1155" s="116">
        <v>408.8</v>
      </c>
      <c r="C1155" s="116">
        <v>404.65</v>
      </c>
      <c r="D1155" s="116">
        <v>392.1</v>
      </c>
      <c r="E1155" s="116">
        <v>399</v>
      </c>
      <c r="F1155" s="116">
        <v>404.65</v>
      </c>
      <c r="G1155">
        <v>34002</v>
      </c>
      <c r="H1155" s="116"/>
      <c r="I1155" s="116"/>
      <c r="L1155" s="170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70">
        <v>43706</v>
      </c>
      <c r="B1156" s="116">
        <v>416.9</v>
      </c>
      <c r="C1156" s="116">
        <v>399.05</v>
      </c>
      <c r="D1156" s="116">
        <v>394.2</v>
      </c>
      <c r="E1156" s="116">
        <v>404.65</v>
      </c>
      <c r="F1156" s="116">
        <v>399.05</v>
      </c>
      <c r="G1156">
        <v>74838</v>
      </c>
      <c r="H1156" s="116"/>
      <c r="I1156" s="116"/>
      <c r="L1156" s="170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70">
        <v>43707</v>
      </c>
      <c r="B1157" s="116">
        <v>415</v>
      </c>
      <c r="C1157" s="116">
        <v>412.45</v>
      </c>
      <c r="D1157" s="116">
        <v>395</v>
      </c>
      <c r="E1157" s="116">
        <v>400.2</v>
      </c>
      <c r="F1157" s="116">
        <v>412.45</v>
      </c>
      <c r="G1157">
        <v>25986</v>
      </c>
      <c r="H1157" s="116"/>
      <c r="I1157" s="116"/>
      <c r="L1157" s="170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70">
        <v>43711</v>
      </c>
      <c r="B1158" s="116">
        <v>412.45</v>
      </c>
      <c r="C1158" s="116">
        <v>404.3</v>
      </c>
      <c r="D1158" s="116">
        <v>401.6</v>
      </c>
      <c r="E1158" s="116">
        <v>412.45</v>
      </c>
      <c r="F1158" s="116">
        <v>404.3</v>
      </c>
      <c r="G1158">
        <v>40764</v>
      </c>
      <c r="H1158" s="116"/>
      <c r="I1158" s="116"/>
      <c r="L1158" s="170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70">
        <v>43712</v>
      </c>
      <c r="B1159" s="116">
        <v>410</v>
      </c>
      <c r="C1159" s="116">
        <v>401.15</v>
      </c>
      <c r="D1159" s="116">
        <v>400.05</v>
      </c>
      <c r="E1159" s="116">
        <v>409</v>
      </c>
      <c r="F1159" s="116">
        <v>401.15</v>
      </c>
      <c r="G1159">
        <v>12789</v>
      </c>
      <c r="H1159" s="116"/>
      <c r="I1159" s="116"/>
      <c r="L1159" s="170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70">
        <v>43713</v>
      </c>
      <c r="B1160" s="116">
        <v>404</v>
      </c>
      <c r="C1160" s="116">
        <v>393.3</v>
      </c>
      <c r="D1160" s="116">
        <v>387</v>
      </c>
      <c r="E1160" s="116">
        <v>401.2</v>
      </c>
      <c r="F1160" s="116">
        <v>393.3</v>
      </c>
      <c r="G1160">
        <v>26888</v>
      </c>
      <c r="H1160" s="116"/>
      <c r="I1160" s="116"/>
      <c r="L1160" s="170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70">
        <v>43714</v>
      </c>
      <c r="B1161" s="116">
        <v>399.9</v>
      </c>
      <c r="C1161" s="116">
        <v>391.75</v>
      </c>
      <c r="D1161" s="116">
        <v>389.05</v>
      </c>
      <c r="E1161" s="116">
        <v>395.6</v>
      </c>
      <c r="F1161" s="116">
        <v>391.75</v>
      </c>
      <c r="G1161">
        <v>31914</v>
      </c>
      <c r="H1161" s="116"/>
      <c r="I1161" s="116"/>
      <c r="L1161" s="170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70">
        <v>43717</v>
      </c>
      <c r="B1162" s="116">
        <v>406.45</v>
      </c>
      <c r="C1162" s="116">
        <v>400.3</v>
      </c>
      <c r="D1162" s="116">
        <v>396</v>
      </c>
      <c r="E1162" s="116">
        <v>400</v>
      </c>
      <c r="F1162" s="116">
        <v>400.3</v>
      </c>
      <c r="G1162">
        <v>28463</v>
      </c>
      <c r="H1162" s="116"/>
      <c r="I1162" s="116"/>
      <c r="L1162" s="170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70">
        <v>43719</v>
      </c>
      <c r="B1163" s="116">
        <v>404</v>
      </c>
      <c r="C1163" s="116">
        <v>393.75</v>
      </c>
      <c r="D1163" s="116">
        <v>391.65</v>
      </c>
      <c r="E1163" s="116">
        <v>399.15</v>
      </c>
      <c r="F1163" s="116">
        <v>393.75</v>
      </c>
      <c r="G1163">
        <v>35136</v>
      </c>
      <c r="H1163" s="116"/>
      <c r="I1163" s="116"/>
      <c r="L1163" s="170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70">
        <v>43720</v>
      </c>
      <c r="B1164" s="116">
        <v>400.45</v>
      </c>
      <c r="C1164" s="116">
        <v>392.4</v>
      </c>
      <c r="D1164" s="116">
        <v>390.15</v>
      </c>
      <c r="E1164" s="116">
        <v>394</v>
      </c>
      <c r="F1164" s="116">
        <v>392.4</v>
      </c>
      <c r="G1164">
        <v>51034</v>
      </c>
      <c r="H1164" s="116"/>
      <c r="I1164" s="116"/>
      <c r="L1164" s="170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70">
        <v>43721</v>
      </c>
      <c r="B1165" s="116">
        <v>397.75</v>
      </c>
      <c r="C1165" s="116">
        <v>392.25</v>
      </c>
      <c r="D1165" s="116">
        <v>390.25</v>
      </c>
      <c r="E1165" s="116">
        <v>394.55</v>
      </c>
      <c r="F1165" s="116">
        <v>392.25</v>
      </c>
      <c r="G1165">
        <v>19310</v>
      </c>
      <c r="H1165" s="116"/>
      <c r="I1165" s="116"/>
      <c r="L1165" s="170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70">
        <v>43724</v>
      </c>
      <c r="B1166" s="116">
        <v>404</v>
      </c>
      <c r="C1166" s="116">
        <v>402.6</v>
      </c>
      <c r="D1166" s="116">
        <v>387.6</v>
      </c>
      <c r="E1166" s="116">
        <v>392.25</v>
      </c>
      <c r="F1166" s="116">
        <v>402.6</v>
      </c>
      <c r="G1166">
        <v>31494</v>
      </c>
      <c r="H1166" s="116"/>
      <c r="I1166" s="116"/>
      <c r="L1166" s="170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70">
        <v>43725</v>
      </c>
      <c r="B1167" s="116">
        <v>406.65</v>
      </c>
      <c r="C1167" s="116">
        <v>396</v>
      </c>
      <c r="D1167" s="116">
        <v>393</v>
      </c>
      <c r="E1167" s="116">
        <v>402.3</v>
      </c>
      <c r="F1167" s="116">
        <v>396</v>
      </c>
      <c r="G1167">
        <v>22697</v>
      </c>
      <c r="H1167" s="116"/>
      <c r="I1167" s="116"/>
      <c r="L1167" s="170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70">
        <v>43726</v>
      </c>
      <c r="B1168" s="116">
        <v>400</v>
      </c>
      <c r="C1168" s="116">
        <v>382.15</v>
      </c>
      <c r="D1168" s="116">
        <v>379</v>
      </c>
      <c r="E1168" s="116">
        <v>395.95</v>
      </c>
      <c r="F1168" s="116">
        <v>382.15</v>
      </c>
      <c r="G1168">
        <v>31262</v>
      </c>
      <c r="H1168" s="116"/>
      <c r="I1168" s="116"/>
      <c r="L1168" s="170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70">
        <v>43727</v>
      </c>
      <c r="B1169" s="116">
        <v>393</v>
      </c>
      <c r="C1169" s="116">
        <v>376.95</v>
      </c>
      <c r="D1169" s="116">
        <v>376</v>
      </c>
      <c r="E1169" s="116">
        <v>393</v>
      </c>
      <c r="F1169" s="116">
        <v>376.95</v>
      </c>
      <c r="G1169">
        <v>20218</v>
      </c>
      <c r="H1169" s="116"/>
      <c r="I1169" s="116"/>
      <c r="L1169" s="170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70">
        <v>43728</v>
      </c>
      <c r="B1170" s="116">
        <v>398.05</v>
      </c>
      <c r="C1170" s="116">
        <v>387.3</v>
      </c>
      <c r="D1170" s="116">
        <v>371.9</v>
      </c>
      <c r="E1170" s="116">
        <v>380.05</v>
      </c>
      <c r="F1170" s="116">
        <v>387.3</v>
      </c>
      <c r="G1170">
        <v>51954</v>
      </c>
      <c r="H1170" s="116"/>
      <c r="I1170" s="116"/>
      <c r="L1170" s="170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70">
        <v>43731</v>
      </c>
      <c r="B1171" s="116">
        <v>411</v>
      </c>
      <c r="C1171" s="116">
        <v>405.3</v>
      </c>
      <c r="D1171" s="116">
        <v>387.3</v>
      </c>
      <c r="E1171" s="116">
        <v>387.3</v>
      </c>
      <c r="F1171" s="116">
        <v>405.3</v>
      </c>
      <c r="G1171">
        <v>44500</v>
      </c>
      <c r="H1171" s="116"/>
      <c r="I1171" s="116"/>
      <c r="L1171" s="170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70">
        <v>43732</v>
      </c>
      <c r="B1172" s="116">
        <v>419.5</v>
      </c>
      <c r="C1172" s="116">
        <v>416.25</v>
      </c>
      <c r="D1172" s="116">
        <v>403.5</v>
      </c>
      <c r="E1172" s="116">
        <v>403.5</v>
      </c>
      <c r="F1172" s="116">
        <v>416.25</v>
      </c>
      <c r="G1172">
        <v>34777</v>
      </c>
      <c r="H1172" s="116"/>
      <c r="I1172" s="116"/>
      <c r="L1172" s="170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70">
        <v>43733</v>
      </c>
      <c r="B1173" s="116">
        <v>424.1</v>
      </c>
      <c r="C1173" s="116">
        <v>412.15</v>
      </c>
      <c r="D1173" s="116">
        <v>410.2</v>
      </c>
      <c r="E1173" s="116">
        <v>420</v>
      </c>
      <c r="F1173" s="116">
        <v>412.15</v>
      </c>
      <c r="G1173">
        <v>23374</v>
      </c>
      <c r="H1173" s="116"/>
      <c r="I1173" s="116"/>
      <c r="L1173" s="170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70">
        <v>43734</v>
      </c>
      <c r="B1174" s="116">
        <v>415.45</v>
      </c>
      <c r="C1174" s="116">
        <v>413.7</v>
      </c>
      <c r="D1174" s="116">
        <v>410.85</v>
      </c>
      <c r="E1174" s="116">
        <v>414.8</v>
      </c>
      <c r="F1174" s="116">
        <v>413.7</v>
      </c>
      <c r="G1174">
        <v>7914</v>
      </c>
      <c r="H1174" s="116"/>
      <c r="I1174" s="116"/>
      <c r="L1174" s="170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70">
        <v>43735</v>
      </c>
      <c r="B1175" s="116">
        <v>414.05</v>
      </c>
      <c r="C1175" s="116">
        <v>403.8</v>
      </c>
      <c r="D1175" s="116">
        <v>400.75</v>
      </c>
      <c r="E1175" s="116">
        <v>414.05</v>
      </c>
      <c r="F1175" s="116">
        <v>403.8</v>
      </c>
      <c r="G1175">
        <v>14257</v>
      </c>
      <c r="H1175" s="116"/>
      <c r="I1175" s="116"/>
      <c r="L1175" s="170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70">
        <v>43738</v>
      </c>
      <c r="B1176" s="116">
        <v>402.4</v>
      </c>
      <c r="C1176" s="116">
        <v>392.75</v>
      </c>
      <c r="D1176" s="116">
        <v>390</v>
      </c>
      <c r="E1176" s="116">
        <v>399.55</v>
      </c>
      <c r="F1176" s="116">
        <v>392.75</v>
      </c>
      <c r="G1176">
        <v>24142</v>
      </c>
      <c r="H1176" s="116"/>
      <c r="I1176" s="116"/>
      <c r="L1176" s="170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70">
        <v>43739</v>
      </c>
      <c r="B1177" s="116">
        <v>398.6</v>
      </c>
      <c r="C1177" s="116">
        <v>392.8</v>
      </c>
      <c r="D1177" s="116">
        <v>388</v>
      </c>
      <c r="E1177" s="116">
        <v>394</v>
      </c>
      <c r="F1177" s="116">
        <v>392.8</v>
      </c>
      <c r="G1177">
        <v>24609</v>
      </c>
      <c r="H1177" s="116"/>
      <c r="I1177" s="116"/>
      <c r="L1177" s="170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70">
        <v>43741</v>
      </c>
      <c r="B1178" s="116">
        <v>397.05</v>
      </c>
      <c r="C1178" s="116">
        <v>389.35</v>
      </c>
      <c r="D1178" s="116">
        <v>385.2</v>
      </c>
      <c r="E1178" s="116">
        <v>389.75</v>
      </c>
      <c r="F1178" s="116">
        <v>389.35</v>
      </c>
      <c r="G1178">
        <v>11568</v>
      </c>
      <c r="H1178" s="116"/>
      <c r="I1178" s="116"/>
      <c r="L1178" s="170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70">
        <v>43742</v>
      </c>
      <c r="B1179" s="116">
        <v>396.15</v>
      </c>
      <c r="C1179" s="116">
        <v>392.7</v>
      </c>
      <c r="D1179" s="116">
        <v>390</v>
      </c>
      <c r="E1179" s="116">
        <v>390</v>
      </c>
      <c r="F1179" s="116">
        <v>392.7</v>
      </c>
      <c r="G1179">
        <v>8266</v>
      </c>
      <c r="H1179" s="116"/>
      <c r="I1179" s="116"/>
      <c r="L1179" s="170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70">
        <v>43745</v>
      </c>
      <c r="B1180" s="116">
        <v>393</v>
      </c>
      <c r="C1180" s="116">
        <v>379.55</v>
      </c>
      <c r="D1180" s="116">
        <v>368.4</v>
      </c>
      <c r="E1180" s="116">
        <v>393</v>
      </c>
      <c r="F1180" s="116">
        <v>379.55</v>
      </c>
      <c r="G1180">
        <v>745815</v>
      </c>
      <c r="H1180" s="116"/>
      <c r="I1180" s="116"/>
      <c r="L1180" s="170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70">
        <v>43747</v>
      </c>
      <c r="B1181" s="116">
        <v>393.25</v>
      </c>
      <c r="C1181" s="116">
        <v>390.7</v>
      </c>
      <c r="D1181" s="116">
        <v>376.2</v>
      </c>
      <c r="E1181" s="116">
        <v>376.7</v>
      </c>
      <c r="F1181" s="116">
        <v>390.7</v>
      </c>
      <c r="G1181">
        <v>30286</v>
      </c>
      <c r="H1181" s="116"/>
      <c r="I1181" s="116"/>
      <c r="L1181" s="170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70">
        <v>43748</v>
      </c>
      <c r="B1182" s="116">
        <v>400.9</v>
      </c>
      <c r="C1182" s="116">
        <v>389.2</v>
      </c>
      <c r="D1182" s="116">
        <v>387.85</v>
      </c>
      <c r="E1182" s="116">
        <v>389.8</v>
      </c>
      <c r="F1182" s="116">
        <v>389.2</v>
      </c>
      <c r="G1182">
        <v>21644</v>
      </c>
      <c r="H1182" s="116"/>
      <c r="I1182" s="116"/>
      <c r="L1182" s="170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70">
        <v>43749</v>
      </c>
      <c r="B1183" s="116">
        <v>398.75</v>
      </c>
      <c r="C1183" s="116">
        <v>383.85</v>
      </c>
      <c r="D1183" s="116">
        <v>382.1</v>
      </c>
      <c r="E1183" s="116">
        <v>392.1</v>
      </c>
      <c r="F1183" s="116">
        <v>383.85</v>
      </c>
      <c r="G1183">
        <v>10183</v>
      </c>
      <c r="H1183" s="116"/>
      <c r="I1183" s="116"/>
      <c r="L1183" s="170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70">
        <v>43752</v>
      </c>
      <c r="B1184" s="116">
        <v>388.6</v>
      </c>
      <c r="C1184" s="116">
        <v>382.2</v>
      </c>
      <c r="D1184" s="116">
        <v>380</v>
      </c>
      <c r="E1184" s="116">
        <v>386.85</v>
      </c>
      <c r="F1184" s="116">
        <v>382.2</v>
      </c>
      <c r="G1184">
        <v>20554</v>
      </c>
      <c r="H1184" s="116"/>
      <c r="I1184" s="116"/>
      <c r="L1184" s="170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70">
        <v>43753</v>
      </c>
      <c r="B1185" s="116">
        <v>386.7</v>
      </c>
      <c r="C1185" s="116">
        <v>381.95</v>
      </c>
      <c r="D1185" s="116">
        <v>365</v>
      </c>
      <c r="E1185" s="116">
        <v>383.25</v>
      </c>
      <c r="F1185" s="116">
        <v>381.95</v>
      </c>
      <c r="G1185">
        <v>32448</v>
      </c>
      <c r="H1185" s="116"/>
      <c r="I1185" s="116"/>
      <c r="L1185" s="170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70">
        <v>43754</v>
      </c>
      <c r="B1186" s="116">
        <v>396</v>
      </c>
      <c r="C1186" s="116">
        <v>384.75</v>
      </c>
      <c r="D1186" s="116">
        <v>383.85</v>
      </c>
      <c r="E1186" s="116">
        <v>388</v>
      </c>
      <c r="F1186" s="116">
        <v>384.75</v>
      </c>
      <c r="G1186">
        <v>9977</v>
      </c>
      <c r="H1186" s="116"/>
      <c r="I1186" s="116"/>
      <c r="L1186" s="170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70">
        <v>43755</v>
      </c>
      <c r="B1187" s="116">
        <v>388.5</v>
      </c>
      <c r="C1187" s="116">
        <v>385.1</v>
      </c>
      <c r="D1187" s="116">
        <v>384.3</v>
      </c>
      <c r="E1187" s="116">
        <v>387.7</v>
      </c>
      <c r="F1187" s="116">
        <v>385.1</v>
      </c>
      <c r="G1187">
        <v>8273</v>
      </c>
      <c r="H1187" s="116"/>
      <c r="I1187" s="116"/>
      <c r="L1187" s="170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70">
        <v>43756</v>
      </c>
      <c r="B1188" s="116">
        <v>406</v>
      </c>
      <c r="C1188" s="116">
        <v>401.9</v>
      </c>
      <c r="D1188" s="116">
        <v>386.95</v>
      </c>
      <c r="E1188" s="116">
        <v>386.95</v>
      </c>
      <c r="F1188" s="116">
        <v>401.9</v>
      </c>
      <c r="G1188">
        <v>38176</v>
      </c>
      <c r="H1188" s="116"/>
      <c r="I1188" s="116"/>
      <c r="L1188" s="170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70">
        <v>43760</v>
      </c>
      <c r="B1189" s="116">
        <v>404.15</v>
      </c>
      <c r="C1189" s="116">
        <v>396.05</v>
      </c>
      <c r="D1189" s="116">
        <v>391.05</v>
      </c>
      <c r="E1189" s="116">
        <v>399.85</v>
      </c>
      <c r="F1189" s="116">
        <v>396.05</v>
      </c>
      <c r="G1189">
        <v>16295</v>
      </c>
      <c r="H1189" s="116"/>
      <c r="I1189" s="116"/>
      <c r="L1189" s="170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70">
        <v>43761</v>
      </c>
      <c r="B1190" s="116">
        <v>398.5</v>
      </c>
      <c r="C1190" s="116">
        <v>388.25</v>
      </c>
      <c r="D1190" s="116">
        <v>387</v>
      </c>
      <c r="E1190" s="116">
        <v>393.25</v>
      </c>
      <c r="F1190" s="116">
        <v>388.25</v>
      </c>
      <c r="G1190">
        <v>31559</v>
      </c>
      <c r="H1190" s="116"/>
      <c r="I1190" s="116"/>
      <c r="L1190" s="170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70">
        <v>43762</v>
      </c>
      <c r="B1191" s="116">
        <v>393</v>
      </c>
      <c r="C1191" s="116">
        <v>386.45</v>
      </c>
      <c r="D1191" s="116">
        <v>385.1</v>
      </c>
      <c r="E1191" s="116">
        <v>390.25</v>
      </c>
      <c r="F1191" s="116">
        <v>386.45</v>
      </c>
      <c r="G1191">
        <v>11510</v>
      </c>
      <c r="H1191" s="116"/>
      <c r="I1191" s="116"/>
      <c r="L1191" s="170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70">
        <v>43763</v>
      </c>
      <c r="B1192" s="116">
        <v>409.8</v>
      </c>
      <c r="C1192" s="116">
        <v>395.2</v>
      </c>
      <c r="D1192" s="116">
        <v>385.5</v>
      </c>
      <c r="E1192" s="116">
        <v>385.5</v>
      </c>
      <c r="F1192" s="116">
        <v>395.2</v>
      </c>
      <c r="G1192">
        <v>29485</v>
      </c>
      <c r="H1192" s="116"/>
      <c r="I1192" s="116"/>
      <c r="L1192" s="170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70">
        <v>43765</v>
      </c>
      <c r="B1193" s="116">
        <v>410</v>
      </c>
      <c r="C1193" s="116">
        <v>405.15</v>
      </c>
      <c r="D1193" s="116">
        <v>393.3</v>
      </c>
      <c r="E1193" s="116">
        <v>394.65</v>
      </c>
      <c r="F1193" s="116">
        <v>405.15</v>
      </c>
      <c r="G1193">
        <v>14362</v>
      </c>
      <c r="H1193" s="116"/>
      <c r="I1193" s="116"/>
      <c r="L1193" s="170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70">
        <v>43767</v>
      </c>
      <c r="B1194" s="116">
        <v>405.9</v>
      </c>
      <c r="C1194" s="116">
        <v>396.45</v>
      </c>
      <c r="D1194" s="116">
        <v>393.8</v>
      </c>
      <c r="E1194" s="116">
        <v>405.9</v>
      </c>
      <c r="F1194" s="116">
        <v>396.45</v>
      </c>
      <c r="G1194">
        <v>9362</v>
      </c>
      <c r="H1194" s="116"/>
      <c r="I1194" s="116"/>
      <c r="L1194" s="170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70">
        <v>43768</v>
      </c>
      <c r="B1195" s="116">
        <v>401.6</v>
      </c>
      <c r="C1195" s="116">
        <v>395.05</v>
      </c>
      <c r="D1195" s="116">
        <v>393</v>
      </c>
      <c r="E1195" s="116">
        <v>398</v>
      </c>
      <c r="F1195" s="116">
        <v>395.05</v>
      </c>
      <c r="G1195">
        <v>10267</v>
      </c>
      <c r="H1195" s="116"/>
      <c r="I1195" s="116"/>
      <c r="L1195" s="170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70">
        <v>43769</v>
      </c>
      <c r="B1196" s="116">
        <v>406.6</v>
      </c>
      <c r="C1196" s="116">
        <v>395.5</v>
      </c>
      <c r="D1196" s="116">
        <v>391.5</v>
      </c>
      <c r="E1196" s="116">
        <v>397.5</v>
      </c>
      <c r="F1196" s="116">
        <v>395.5</v>
      </c>
      <c r="G1196">
        <v>20060</v>
      </c>
      <c r="H1196" s="116"/>
      <c r="I1196" s="116"/>
      <c r="L1196" s="170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70">
        <v>43770</v>
      </c>
      <c r="B1197" s="116">
        <v>409.5</v>
      </c>
      <c r="C1197" s="116">
        <v>405.5</v>
      </c>
      <c r="D1197" s="116">
        <v>394.25</v>
      </c>
      <c r="E1197" s="116">
        <v>395.25</v>
      </c>
      <c r="F1197" s="116">
        <v>405.5</v>
      </c>
      <c r="G1197">
        <v>42327</v>
      </c>
      <c r="H1197" s="116"/>
      <c r="I1197" s="116"/>
      <c r="L1197" s="170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70">
        <v>43773</v>
      </c>
      <c r="B1198" s="116">
        <v>433</v>
      </c>
      <c r="C1198" s="116">
        <v>426.7</v>
      </c>
      <c r="D1198" s="116">
        <v>398.1</v>
      </c>
      <c r="E1198" s="116">
        <v>409.95</v>
      </c>
      <c r="F1198" s="116">
        <v>426.7</v>
      </c>
      <c r="G1198">
        <v>120968</v>
      </c>
      <c r="H1198" s="116"/>
      <c r="I1198" s="116"/>
      <c r="L1198" s="170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70">
        <v>43774</v>
      </c>
      <c r="B1199" s="116">
        <v>432.8</v>
      </c>
      <c r="C1199" s="116">
        <v>416.95</v>
      </c>
      <c r="D1199" s="116">
        <v>411.6</v>
      </c>
      <c r="E1199" s="116">
        <v>423.5</v>
      </c>
      <c r="F1199" s="116">
        <v>416.95</v>
      </c>
      <c r="G1199">
        <v>37031</v>
      </c>
      <c r="H1199" s="116"/>
      <c r="I1199" s="116"/>
      <c r="L1199" s="170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70">
        <v>43775</v>
      </c>
      <c r="B1200" s="116">
        <v>420</v>
      </c>
      <c r="C1200" s="116">
        <v>411.1</v>
      </c>
      <c r="D1200" s="116">
        <v>410.1</v>
      </c>
      <c r="E1200" s="116">
        <v>416.95</v>
      </c>
      <c r="F1200" s="116">
        <v>411.1</v>
      </c>
      <c r="G1200">
        <v>17937</v>
      </c>
      <c r="H1200" s="116"/>
      <c r="I1200" s="116"/>
      <c r="L1200" s="170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70">
        <v>43776</v>
      </c>
      <c r="B1201" s="116">
        <v>422.2</v>
      </c>
      <c r="C1201" s="116">
        <v>408.6</v>
      </c>
      <c r="D1201" s="116">
        <v>407.6</v>
      </c>
      <c r="E1201" s="116">
        <v>411.3</v>
      </c>
      <c r="F1201" s="116">
        <v>408.6</v>
      </c>
      <c r="G1201">
        <v>19148</v>
      </c>
      <c r="H1201" s="116"/>
      <c r="I1201" s="116"/>
      <c r="L1201" s="170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70">
        <v>43777</v>
      </c>
      <c r="B1202" s="116">
        <v>413</v>
      </c>
      <c r="C1202" s="116">
        <v>401.65</v>
      </c>
      <c r="D1202" s="116">
        <v>400.95</v>
      </c>
      <c r="E1202" s="116">
        <v>410.2</v>
      </c>
      <c r="F1202" s="116">
        <v>401.65</v>
      </c>
      <c r="G1202">
        <v>12725</v>
      </c>
      <c r="H1202" s="116"/>
      <c r="I1202" s="116"/>
      <c r="L1202" s="170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70">
        <v>43780</v>
      </c>
      <c r="B1203" s="116">
        <v>405.2</v>
      </c>
      <c r="C1203" s="116">
        <v>394.7</v>
      </c>
      <c r="D1203" s="116">
        <v>391.75</v>
      </c>
      <c r="E1203" s="116">
        <v>402.85</v>
      </c>
      <c r="F1203" s="116">
        <v>394.7</v>
      </c>
      <c r="G1203">
        <v>15593</v>
      </c>
      <c r="H1203" s="116"/>
      <c r="I1203" s="116"/>
      <c r="L1203" s="170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70">
        <v>43782</v>
      </c>
      <c r="B1204" s="116">
        <v>395.05</v>
      </c>
      <c r="C1204" s="116">
        <v>380.2</v>
      </c>
      <c r="D1204" s="116">
        <v>377.2</v>
      </c>
      <c r="E1204" s="116">
        <v>395</v>
      </c>
      <c r="F1204" s="116">
        <v>380.2</v>
      </c>
      <c r="G1204">
        <v>6512</v>
      </c>
      <c r="H1204" s="116"/>
      <c r="I1204" s="116"/>
      <c r="L1204" s="170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70">
        <v>43783</v>
      </c>
      <c r="B1205" s="116">
        <v>384.7</v>
      </c>
      <c r="C1205" s="116">
        <v>378.05</v>
      </c>
      <c r="D1205" s="116">
        <v>376.35</v>
      </c>
      <c r="E1205" s="116">
        <v>384.7</v>
      </c>
      <c r="F1205" s="116">
        <v>378.05</v>
      </c>
      <c r="G1205">
        <v>18245</v>
      </c>
      <c r="H1205" s="116"/>
      <c r="I1205" s="116"/>
      <c r="L1205" s="170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70">
        <v>43784</v>
      </c>
      <c r="B1206" s="116">
        <v>388.4</v>
      </c>
      <c r="C1206" s="116">
        <v>385.05</v>
      </c>
      <c r="D1206" s="116">
        <v>378.4</v>
      </c>
      <c r="E1206" s="116">
        <v>380.25</v>
      </c>
      <c r="F1206" s="116">
        <v>385.05</v>
      </c>
      <c r="G1206">
        <v>22195</v>
      </c>
      <c r="H1206" s="116"/>
      <c r="I1206" s="116"/>
      <c r="L1206" s="170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70">
        <v>43787</v>
      </c>
      <c r="B1207" s="116">
        <v>388.7</v>
      </c>
      <c r="C1207" s="116">
        <v>383.95</v>
      </c>
      <c r="D1207" s="116">
        <v>379.1</v>
      </c>
      <c r="E1207" s="116">
        <v>385.95</v>
      </c>
      <c r="F1207" s="116">
        <v>383.95</v>
      </c>
      <c r="G1207">
        <v>8256</v>
      </c>
      <c r="H1207" s="116"/>
      <c r="I1207" s="116"/>
      <c r="L1207" s="170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70">
        <v>43788</v>
      </c>
      <c r="B1208" s="116">
        <v>409.75</v>
      </c>
      <c r="C1208" s="116">
        <v>393.55</v>
      </c>
      <c r="D1208" s="116">
        <v>383.85</v>
      </c>
      <c r="E1208" s="116">
        <v>383.95</v>
      </c>
      <c r="F1208" s="116">
        <v>393.55</v>
      </c>
      <c r="G1208">
        <v>50532</v>
      </c>
      <c r="H1208" s="116"/>
      <c r="I1208" s="116"/>
      <c r="L1208" s="170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70">
        <v>43789</v>
      </c>
      <c r="B1209" s="116">
        <v>404.65</v>
      </c>
      <c r="C1209" s="116">
        <v>395.95</v>
      </c>
      <c r="D1209" s="116">
        <v>394.2</v>
      </c>
      <c r="E1209" s="116">
        <v>394.75</v>
      </c>
      <c r="F1209" s="116">
        <v>395.95</v>
      </c>
      <c r="G1209">
        <v>9128</v>
      </c>
      <c r="H1209" s="116"/>
      <c r="I1209" s="116"/>
      <c r="L1209" s="170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70">
        <v>43790</v>
      </c>
      <c r="B1210" s="116">
        <v>402</v>
      </c>
      <c r="C1210" s="116">
        <v>396.6</v>
      </c>
      <c r="D1210" s="116">
        <v>393.25</v>
      </c>
      <c r="E1210" s="116">
        <v>396</v>
      </c>
      <c r="F1210" s="116">
        <v>396.6</v>
      </c>
      <c r="G1210">
        <v>25735</v>
      </c>
      <c r="H1210" s="116"/>
      <c r="I1210" s="116"/>
      <c r="L1210" s="170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70">
        <v>43791</v>
      </c>
      <c r="B1211" s="116">
        <v>407.7</v>
      </c>
      <c r="C1211" s="116">
        <v>393</v>
      </c>
      <c r="D1211" s="116">
        <v>390.2</v>
      </c>
      <c r="E1211" s="116">
        <v>398.6</v>
      </c>
      <c r="F1211" s="116">
        <v>393</v>
      </c>
      <c r="G1211">
        <v>31197</v>
      </c>
      <c r="H1211" s="116"/>
      <c r="I1211" s="116"/>
      <c r="L1211" s="170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70">
        <v>43794</v>
      </c>
      <c r="B1212" s="116">
        <v>399.4</v>
      </c>
      <c r="C1212" s="116">
        <v>394.6</v>
      </c>
      <c r="D1212" s="116">
        <v>390.8</v>
      </c>
      <c r="E1212" s="116">
        <v>394.9</v>
      </c>
      <c r="F1212" s="116">
        <v>394.6</v>
      </c>
      <c r="G1212">
        <v>8954</v>
      </c>
      <c r="H1212" s="116"/>
      <c r="I1212" s="116"/>
      <c r="L1212" s="170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70">
        <v>43795</v>
      </c>
      <c r="B1213" s="116">
        <v>398.1</v>
      </c>
      <c r="C1213" s="116">
        <v>387.6</v>
      </c>
      <c r="D1213" s="116">
        <v>383.65</v>
      </c>
      <c r="E1213" s="116">
        <v>397.5</v>
      </c>
      <c r="F1213" s="116">
        <v>387.6</v>
      </c>
      <c r="G1213">
        <v>5237</v>
      </c>
      <c r="H1213" s="116"/>
      <c r="I1213" s="116"/>
      <c r="L1213" s="170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70">
        <v>43796</v>
      </c>
      <c r="B1214" s="116">
        <v>393.2</v>
      </c>
      <c r="C1214" s="116">
        <v>391.6</v>
      </c>
      <c r="D1214" s="116">
        <v>388.4</v>
      </c>
      <c r="E1214" s="116">
        <v>392.4</v>
      </c>
      <c r="F1214" s="116">
        <v>391.6</v>
      </c>
      <c r="G1214">
        <v>4775</v>
      </c>
      <c r="H1214" s="116"/>
      <c r="I1214" s="116"/>
      <c r="L1214" s="170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70">
        <v>43797</v>
      </c>
      <c r="B1215" s="116">
        <v>399.45</v>
      </c>
      <c r="C1215" s="116">
        <v>393.65</v>
      </c>
      <c r="D1215" s="116">
        <v>387.6</v>
      </c>
      <c r="E1215" s="116">
        <v>391.8</v>
      </c>
      <c r="F1215" s="116">
        <v>393.65</v>
      </c>
      <c r="G1215">
        <v>18106</v>
      </c>
      <c r="H1215" s="116"/>
      <c r="I1215" s="116"/>
      <c r="L1215" s="170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70">
        <v>43798</v>
      </c>
      <c r="B1216" s="116">
        <v>399.55</v>
      </c>
      <c r="C1216" s="116">
        <v>398</v>
      </c>
      <c r="D1216" s="116">
        <v>390.15</v>
      </c>
      <c r="E1216" s="116">
        <v>395.05</v>
      </c>
      <c r="F1216" s="116">
        <v>398</v>
      </c>
      <c r="G1216">
        <v>22377</v>
      </c>
      <c r="H1216" s="116"/>
      <c r="I1216" s="116"/>
      <c r="L1216" s="170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70">
        <v>43801</v>
      </c>
      <c r="B1217" s="116">
        <v>403.15</v>
      </c>
      <c r="C1217" s="116">
        <v>395.15</v>
      </c>
      <c r="D1217" s="116">
        <v>392.25</v>
      </c>
      <c r="E1217" s="116">
        <v>397.25</v>
      </c>
      <c r="F1217" s="116">
        <v>395.15</v>
      </c>
      <c r="G1217">
        <v>28983</v>
      </c>
      <c r="H1217" s="116"/>
      <c r="I1217" s="116"/>
      <c r="L1217" s="170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70">
        <v>43802</v>
      </c>
      <c r="B1218" s="116">
        <v>396</v>
      </c>
      <c r="C1218" s="116">
        <v>388.15</v>
      </c>
      <c r="D1218" s="116">
        <v>384.8</v>
      </c>
      <c r="E1218" s="116">
        <v>396</v>
      </c>
      <c r="F1218" s="116">
        <v>388.15</v>
      </c>
      <c r="G1218">
        <v>15226</v>
      </c>
      <c r="H1218" s="116"/>
      <c r="I1218" s="116"/>
      <c r="L1218" s="170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70">
        <v>43803</v>
      </c>
      <c r="B1219" s="116">
        <v>403</v>
      </c>
      <c r="C1219" s="116">
        <v>400.3</v>
      </c>
      <c r="D1219" s="116">
        <v>387.2</v>
      </c>
      <c r="E1219" s="116">
        <v>388.5</v>
      </c>
      <c r="F1219" s="116">
        <v>400.3</v>
      </c>
      <c r="G1219">
        <v>10893</v>
      </c>
      <c r="H1219" s="116"/>
      <c r="I1219" s="116"/>
      <c r="L1219" s="170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70">
        <v>43804</v>
      </c>
      <c r="B1220" s="116">
        <v>424.55</v>
      </c>
      <c r="C1220" s="116">
        <v>421.65</v>
      </c>
      <c r="D1220" s="116">
        <v>402.85</v>
      </c>
      <c r="E1220" s="116">
        <v>408</v>
      </c>
      <c r="F1220" s="116">
        <v>421.65</v>
      </c>
      <c r="G1220">
        <v>73689</v>
      </c>
      <c r="H1220" s="116"/>
      <c r="I1220" s="116"/>
      <c r="L1220" s="170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70">
        <v>43805</v>
      </c>
      <c r="B1221" s="116">
        <v>419.6</v>
      </c>
      <c r="C1221" s="116">
        <v>414.65</v>
      </c>
      <c r="D1221" s="116">
        <v>407.8</v>
      </c>
      <c r="E1221" s="116">
        <v>417.25</v>
      </c>
      <c r="F1221" s="116">
        <v>414.65</v>
      </c>
      <c r="G1221">
        <v>44683</v>
      </c>
      <c r="H1221" s="116"/>
      <c r="I1221" s="116"/>
      <c r="L1221" s="170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70">
        <v>43808</v>
      </c>
      <c r="B1222" s="116">
        <v>418.8</v>
      </c>
      <c r="C1222" s="116">
        <v>410.2</v>
      </c>
      <c r="D1222" s="116">
        <v>408.05</v>
      </c>
      <c r="E1222" s="116">
        <v>418.4</v>
      </c>
      <c r="F1222" s="116">
        <v>410.2</v>
      </c>
      <c r="G1222">
        <v>27953</v>
      </c>
      <c r="H1222" s="116"/>
      <c r="I1222" s="116"/>
      <c r="L1222" s="170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70">
        <v>43809</v>
      </c>
      <c r="B1223" s="116">
        <v>411.3</v>
      </c>
      <c r="C1223" s="116">
        <v>405.9</v>
      </c>
      <c r="D1223" s="116">
        <v>401.95</v>
      </c>
      <c r="E1223" s="116">
        <v>411.3</v>
      </c>
      <c r="F1223" s="116">
        <v>405.9</v>
      </c>
      <c r="G1223">
        <v>9142</v>
      </c>
      <c r="H1223" s="116"/>
      <c r="I1223" s="116"/>
      <c r="L1223" s="170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70">
        <v>43810</v>
      </c>
      <c r="B1224" s="116">
        <v>416.25</v>
      </c>
      <c r="C1224" s="116">
        <v>411.9</v>
      </c>
      <c r="D1224" s="116">
        <v>407.75</v>
      </c>
      <c r="E1224" s="116">
        <v>414.9</v>
      </c>
      <c r="F1224" s="116">
        <v>411.9</v>
      </c>
      <c r="G1224">
        <v>19583</v>
      </c>
      <c r="H1224" s="116"/>
      <c r="I1224" s="116"/>
      <c r="L1224" s="170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70">
        <v>43811</v>
      </c>
      <c r="B1225" s="116">
        <v>413.35</v>
      </c>
      <c r="C1225" s="116">
        <v>411.2</v>
      </c>
      <c r="D1225" s="116">
        <v>408.25</v>
      </c>
      <c r="E1225" s="116">
        <v>413.35</v>
      </c>
      <c r="F1225" s="116">
        <v>411.2</v>
      </c>
      <c r="G1225">
        <v>6311</v>
      </c>
      <c r="H1225" s="116"/>
      <c r="I1225" s="116"/>
      <c r="L1225" s="170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70">
        <v>43812</v>
      </c>
      <c r="B1226" s="116">
        <v>421.6</v>
      </c>
      <c r="C1226" s="116">
        <v>416.2</v>
      </c>
      <c r="D1226" s="116">
        <v>409.6</v>
      </c>
      <c r="E1226" s="116">
        <v>411.65</v>
      </c>
      <c r="F1226" s="116">
        <v>416.2</v>
      </c>
      <c r="G1226">
        <v>10627</v>
      </c>
      <c r="H1226" s="116"/>
      <c r="I1226" s="116"/>
      <c r="L1226" s="170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70">
        <v>43815</v>
      </c>
      <c r="B1227" s="116">
        <v>418.45</v>
      </c>
      <c r="C1227" s="116">
        <v>417.3</v>
      </c>
      <c r="D1227" s="116">
        <v>408.95</v>
      </c>
      <c r="E1227" s="116">
        <v>417.25</v>
      </c>
      <c r="F1227" s="116">
        <v>417.3</v>
      </c>
      <c r="G1227">
        <v>36667</v>
      </c>
      <c r="H1227" s="116"/>
      <c r="I1227" s="116"/>
      <c r="L1227" s="170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70">
        <v>43816</v>
      </c>
      <c r="B1228" s="116">
        <v>422.85</v>
      </c>
      <c r="C1228" s="116">
        <v>419.2</v>
      </c>
      <c r="D1228" s="116">
        <v>414.8</v>
      </c>
      <c r="E1228" s="116">
        <v>416</v>
      </c>
      <c r="F1228" s="116">
        <v>419.2</v>
      </c>
      <c r="G1228">
        <v>14093</v>
      </c>
      <c r="H1228" s="116"/>
      <c r="I1228" s="116"/>
      <c r="L1228" s="170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70">
        <v>43817</v>
      </c>
      <c r="B1229" s="116">
        <v>417.15</v>
      </c>
      <c r="C1229" s="116">
        <v>406.5</v>
      </c>
      <c r="D1229" s="116">
        <v>406</v>
      </c>
      <c r="E1229" s="116">
        <v>415.95</v>
      </c>
      <c r="F1229" s="116">
        <v>406.5</v>
      </c>
      <c r="G1229">
        <v>6031</v>
      </c>
      <c r="H1229" s="116"/>
      <c r="I1229" s="116"/>
      <c r="L1229" s="170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70">
        <v>43818</v>
      </c>
      <c r="B1230" s="116">
        <v>406.35</v>
      </c>
      <c r="C1230" s="116">
        <v>398</v>
      </c>
      <c r="D1230" s="116">
        <v>396.4</v>
      </c>
      <c r="E1230" s="116">
        <v>406.35</v>
      </c>
      <c r="F1230" s="116">
        <v>398</v>
      </c>
      <c r="G1230">
        <v>9665</v>
      </c>
      <c r="H1230" s="116"/>
      <c r="I1230" s="116"/>
      <c r="L1230" s="170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70">
        <v>43819</v>
      </c>
      <c r="B1231" s="116">
        <v>404.7</v>
      </c>
      <c r="C1231" s="116">
        <v>392.7</v>
      </c>
      <c r="D1231" s="116">
        <v>391.3</v>
      </c>
      <c r="E1231" s="116">
        <v>396.75</v>
      </c>
      <c r="F1231" s="116">
        <v>392.7</v>
      </c>
      <c r="G1231">
        <v>12648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43822</v>
      </c>
      <c r="B1232" s="116">
        <v>400.75</v>
      </c>
      <c r="C1232" s="116">
        <v>398.6</v>
      </c>
      <c r="D1232" s="116">
        <v>388.75</v>
      </c>
      <c r="E1232" s="116">
        <v>392</v>
      </c>
      <c r="F1232" s="116">
        <v>398.6</v>
      </c>
      <c r="G1232">
        <v>15525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43823</v>
      </c>
      <c r="B1233" s="116">
        <v>398.6</v>
      </c>
      <c r="C1233" s="116">
        <v>396.15</v>
      </c>
      <c r="D1233" s="116">
        <v>392.25</v>
      </c>
      <c r="E1233" s="116">
        <v>398</v>
      </c>
      <c r="F1233" s="116">
        <v>396.15</v>
      </c>
      <c r="G1233">
        <v>8177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43825</v>
      </c>
      <c r="B1234" s="116">
        <v>397.7</v>
      </c>
      <c r="C1234" s="116">
        <v>391.75</v>
      </c>
      <c r="D1234" s="116">
        <v>390.4</v>
      </c>
      <c r="E1234" s="116">
        <v>396.65</v>
      </c>
      <c r="F1234" s="116">
        <v>391.75</v>
      </c>
      <c r="G1234">
        <v>43416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43826</v>
      </c>
      <c r="B1235" s="116">
        <v>397.85</v>
      </c>
      <c r="C1235" s="116">
        <v>391.3</v>
      </c>
      <c r="D1235" s="116">
        <v>390.7</v>
      </c>
      <c r="E1235" s="116">
        <v>395.3</v>
      </c>
      <c r="F1235" s="116">
        <v>391.3</v>
      </c>
      <c r="G1235">
        <v>13141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43829</v>
      </c>
      <c r="B1236" s="116">
        <v>398</v>
      </c>
      <c r="C1236" s="116">
        <v>396.15</v>
      </c>
      <c r="D1236" s="116">
        <v>387.75</v>
      </c>
      <c r="E1236" s="116">
        <v>392.4</v>
      </c>
      <c r="F1236" s="116">
        <v>396.15</v>
      </c>
      <c r="G1236">
        <v>20254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43830</v>
      </c>
      <c r="B1237" s="116">
        <v>401.2</v>
      </c>
      <c r="C1237" s="116">
        <v>393.05</v>
      </c>
      <c r="D1237" s="116">
        <v>392.65</v>
      </c>
      <c r="E1237" s="116">
        <v>397.25</v>
      </c>
      <c r="F1237" s="116">
        <v>393.05</v>
      </c>
      <c r="G1237">
        <v>13248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43831</v>
      </c>
      <c r="B1238" s="116">
        <v>396.2</v>
      </c>
      <c r="C1238" s="116">
        <v>395.25</v>
      </c>
      <c r="D1238" s="116">
        <v>394.8</v>
      </c>
      <c r="E1238" s="116">
        <v>395</v>
      </c>
      <c r="F1238" s="116">
        <v>395.25</v>
      </c>
      <c r="G1238">
        <v>4814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43832</v>
      </c>
      <c r="B1239" s="116">
        <v>404.5</v>
      </c>
      <c r="C1239" s="116">
        <v>400.1</v>
      </c>
      <c r="D1239" s="116">
        <v>395.6</v>
      </c>
      <c r="E1239" s="116">
        <v>396.45</v>
      </c>
      <c r="F1239" s="116">
        <v>400.1</v>
      </c>
      <c r="G1239">
        <v>6758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43833</v>
      </c>
      <c r="B1240" s="116">
        <v>401.85</v>
      </c>
      <c r="C1240" s="116">
        <v>395.5</v>
      </c>
      <c r="D1240" s="116">
        <v>393.6</v>
      </c>
      <c r="E1240" s="116">
        <v>401.35</v>
      </c>
      <c r="F1240" s="116">
        <v>395.5</v>
      </c>
      <c r="G1240">
        <v>45292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43836</v>
      </c>
      <c r="B1241" s="116">
        <v>391.8</v>
      </c>
      <c r="C1241" s="116">
        <v>383</v>
      </c>
      <c r="D1241" s="116">
        <v>382.05</v>
      </c>
      <c r="E1241" s="116">
        <v>388.4</v>
      </c>
      <c r="F1241" s="116">
        <v>383</v>
      </c>
      <c r="G1241">
        <v>8017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43837</v>
      </c>
      <c r="B1242" s="116">
        <v>396.8</v>
      </c>
      <c r="C1242" s="116">
        <v>388.4</v>
      </c>
      <c r="D1242" s="116">
        <v>386</v>
      </c>
      <c r="E1242" s="116">
        <v>387.2</v>
      </c>
      <c r="F1242" s="116">
        <v>388.4</v>
      </c>
      <c r="G1242">
        <v>11564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43838</v>
      </c>
      <c r="B1243" s="116">
        <v>387.6</v>
      </c>
      <c r="C1243" s="116">
        <v>384.45</v>
      </c>
      <c r="D1243" s="116">
        <v>382.05</v>
      </c>
      <c r="E1243" s="116">
        <v>387</v>
      </c>
      <c r="F1243" s="116">
        <v>384.45</v>
      </c>
      <c r="G1243">
        <v>7840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43839</v>
      </c>
      <c r="B1244" s="116">
        <v>393</v>
      </c>
      <c r="C1244" s="116">
        <v>386.65</v>
      </c>
      <c r="D1244" s="116">
        <v>384.85</v>
      </c>
      <c r="E1244" s="116">
        <v>390.8</v>
      </c>
      <c r="F1244" s="116">
        <v>386.65</v>
      </c>
      <c r="G1244">
        <v>6534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43840</v>
      </c>
      <c r="B1245" s="116">
        <v>393.6</v>
      </c>
      <c r="C1245" s="116">
        <v>385.9</v>
      </c>
      <c r="D1245" s="116">
        <v>384.75</v>
      </c>
      <c r="E1245" s="116">
        <v>387.8</v>
      </c>
      <c r="F1245" s="116">
        <v>385.9</v>
      </c>
      <c r="G1245">
        <v>5891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43843</v>
      </c>
      <c r="B1246" s="116">
        <v>389.5</v>
      </c>
      <c r="C1246" s="116">
        <v>385.85</v>
      </c>
      <c r="D1246" s="116">
        <v>382.6</v>
      </c>
      <c r="E1246" s="116">
        <v>385.55</v>
      </c>
      <c r="F1246" s="116">
        <v>385.85</v>
      </c>
      <c r="G1246">
        <v>6683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43844</v>
      </c>
      <c r="B1247" s="116">
        <v>390</v>
      </c>
      <c r="C1247" s="116">
        <v>386.4</v>
      </c>
      <c r="D1247" s="116">
        <v>385.35</v>
      </c>
      <c r="E1247" s="116">
        <v>387.15</v>
      </c>
      <c r="F1247" s="116">
        <v>386.4</v>
      </c>
      <c r="G1247">
        <v>5930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43845</v>
      </c>
      <c r="B1248" s="116">
        <v>387</v>
      </c>
      <c r="C1248" s="116">
        <v>375.45</v>
      </c>
      <c r="D1248" s="116">
        <v>368.25</v>
      </c>
      <c r="E1248" s="116">
        <v>387</v>
      </c>
      <c r="F1248" s="116">
        <v>375.45</v>
      </c>
      <c r="G1248">
        <v>32191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43846</v>
      </c>
      <c r="B1249" s="116">
        <v>387.6</v>
      </c>
      <c r="C1249" s="116">
        <v>384.95</v>
      </c>
      <c r="D1249" s="116">
        <v>375.5</v>
      </c>
      <c r="E1249" s="116">
        <v>377</v>
      </c>
      <c r="F1249" s="116">
        <v>384.95</v>
      </c>
      <c r="G1249">
        <v>16394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43847</v>
      </c>
      <c r="B1250" s="116">
        <v>390.6</v>
      </c>
      <c r="C1250" s="116">
        <v>388.75</v>
      </c>
      <c r="D1250" s="116">
        <v>383.6</v>
      </c>
      <c r="E1250" s="116">
        <v>386.25</v>
      </c>
      <c r="F1250" s="116">
        <v>388.75</v>
      </c>
      <c r="G1250">
        <v>12776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43850</v>
      </c>
      <c r="B1251" s="116">
        <v>396.9</v>
      </c>
      <c r="C1251" s="116">
        <v>389.35</v>
      </c>
      <c r="D1251" s="116">
        <v>387.1</v>
      </c>
      <c r="E1251" s="116">
        <v>391</v>
      </c>
      <c r="F1251" s="116">
        <v>389.35</v>
      </c>
      <c r="G1251">
        <v>17124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43851</v>
      </c>
      <c r="B1252" s="116">
        <v>467.2</v>
      </c>
      <c r="C1252" s="116">
        <v>464.1</v>
      </c>
      <c r="D1252" s="116">
        <v>396.1</v>
      </c>
      <c r="E1252" s="116">
        <v>396.1</v>
      </c>
      <c r="F1252" s="116">
        <v>464.1</v>
      </c>
      <c r="G1252">
        <v>536191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43852</v>
      </c>
      <c r="B1253" s="116">
        <v>504.9</v>
      </c>
      <c r="C1253" s="116">
        <v>455.95</v>
      </c>
      <c r="D1253" s="116">
        <v>447.05</v>
      </c>
      <c r="E1253" s="116">
        <v>472.95</v>
      </c>
      <c r="F1253" s="116">
        <v>455.95</v>
      </c>
      <c r="G1253">
        <v>699691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43853</v>
      </c>
      <c r="B1254" s="116">
        <v>485.65</v>
      </c>
      <c r="C1254" s="116">
        <v>477.6</v>
      </c>
      <c r="D1254" s="116">
        <v>451.6</v>
      </c>
      <c r="E1254" s="116">
        <v>456.8</v>
      </c>
      <c r="F1254" s="116">
        <v>477.6</v>
      </c>
      <c r="G1254">
        <v>232265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43854</v>
      </c>
      <c r="B1255" s="116">
        <v>484.35</v>
      </c>
      <c r="C1255" s="116">
        <v>473.1</v>
      </c>
      <c r="D1255" s="116">
        <v>471</v>
      </c>
      <c r="E1255" s="116">
        <v>479</v>
      </c>
      <c r="F1255" s="116">
        <v>473.1</v>
      </c>
      <c r="G1255">
        <v>74259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43857</v>
      </c>
      <c r="B1256" s="116">
        <v>474.7</v>
      </c>
      <c r="C1256" s="116">
        <v>469.5</v>
      </c>
      <c r="D1256" s="116">
        <v>463.05</v>
      </c>
      <c r="E1256" s="116">
        <v>471</v>
      </c>
      <c r="F1256" s="116">
        <v>469.5</v>
      </c>
      <c r="G1256">
        <v>34193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43858</v>
      </c>
      <c r="B1257" s="116">
        <v>482.45</v>
      </c>
      <c r="C1257" s="116">
        <v>473.6</v>
      </c>
      <c r="D1257" s="116">
        <v>467.25</v>
      </c>
      <c r="E1257" s="116">
        <v>482.45</v>
      </c>
      <c r="F1257" s="116">
        <v>473.6</v>
      </c>
      <c r="G1257">
        <v>26570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43859</v>
      </c>
      <c r="B1258" s="116">
        <v>495.8</v>
      </c>
      <c r="C1258" s="116">
        <v>487.65</v>
      </c>
      <c r="D1258" s="116">
        <v>472.8</v>
      </c>
      <c r="E1258" s="116">
        <v>475.5</v>
      </c>
      <c r="F1258" s="116">
        <v>487.65</v>
      </c>
      <c r="G1258">
        <v>94043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43860</v>
      </c>
      <c r="B1259" s="116">
        <v>487</v>
      </c>
      <c r="C1259" s="116">
        <v>481.15</v>
      </c>
      <c r="D1259" s="116">
        <v>478.6</v>
      </c>
      <c r="E1259" s="116">
        <v>484</v>
      </c>
      <c r="F1259" s="116">
        <v>481.15</v>
      </c>
      <c r="G1259">
        <v>25736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43861</v>
      </c>
      <c r="B1260" s="116">
        <v>491.15</v>
      </c>
      <c r="C1260" s="116">
        <v>483.75</v>
      </c>
      <c r="D1260" s="116">
        <v>480.3</v>
      </c>
      <c r="E1260" s="116">
        <v>485</v>
      </c>
      <c r="F1260" s="116">
        <v>483.75</v>
      </c>
      <c r="G1260">
        <v>30003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43862</v>
      </c>
      <c r="B1261" s="116">
        <v>511.95</v>
      </c>
      <c r="C1261" s="116">
        <v>470.5</v>
      </c>
      <c r="D1261" s="116">
        <v>468.5</v>
      </c>
      <c r="E1261" s="116">
        <v>482.9</v>
      </c>
      <c r="F1261" s="116">
        <v>470.5</v>
      </c>
      <c r="G1261">
        <v>140708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43864</v>
      </c>
      <c r="B1262" s="116">
        <v>494.35</v>
      </c>
      <c r="C1262" s="116">
        <v>488.2</v>
      </c>
      <c r="D1262" s="116">
        <v>462.15</v>
      </c>
      <c r="E1262" s="116">
        <v>471</v>
      </c>
      <c r="F1262" s="116">
        <v>488.2</v>
      </c>
      <c r="G1262">
        <v>53471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43865</v>
      </c>
      <c r="B1263" s="116">
        <v>490</v>
      </c>
      <c r="C1263" s="116">
        <v>483.35</v>
      </c>
      <c r="D1263" s="116">
        <v>476</v>
      </c>
      <c r="E1263" s="116">
        <v>490</v>
      </c>
      <c r="F1263" s="116">
        <v>483.35</v>
      </c>
      <c r="G1263">
        <v>23666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43866</v>
      </c>
      <c r="B1264" s="116">
        <v>487.75</v>
      </c>
      <c r="C1264" s="116">
        <v>479.4</v>
      </c>
      <c r="D1264" s="116">
        <v>476.25</v>
      </c>
      <c r="E1264" s="116">
        <v>483.45</v>
      </c>
      <c r="F1264" s="116">
        <v>479.4</v>
      </c>
      <c r="G1264">
        <v>15692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43867</v>
      </c>
      <c r="B1265" s="116">
        <v>498.8</v>
      </c>
      <c r="C1265" s="116">
        <v>489.55</v>
      </c>
      <c r="D1265" s="116">
        <v>479</v>
      </c>
      <c r="E1265" s="116">
        <v>479.5</v>
      </c>
      <c r="F1265" s="116">
        <v>489.55</v>
      </c>
      <c r="G1265">
        <v>64879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43868</v>
      </c>
      <c r="B1266" s="116">
        <v>493</v>
      </c>
      <c r="C1266" s="116">
        <v>487.35</v>
      </c>
      <c r="D1266" s="116">
        <v>482.5</v>
      </c>
      <c r="E1266" s="116">
        <v>493</v>
      </c>
      <c r="F1266" s="116">
        <v>487.35</v>
      </c>
      <c r="G1266">
        <v>46723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43871</v>
      </c>
      <c r="B1267" s="116">
        <v>487</v>
      </c>
      <c r="C1267" s="116">
        <v>481.3</v>
      </c>
      <c r="D1267" s="116">
        <v>478</v>
      </c>
      <c r="E1267" s="116">
        <v>486.35</v>
      </c>
      <c r="F1267" s="116">
        <v>481.3</v>
      </c>
      <c r="G1267">
        <v>39930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43872</v>
      </c>
      <c r="B1268" s="116">
        <v>494.5</v>
      </c>
      <c r="C1268" s="116">
        <v>492.9</v>
      </c>
      <c r="D1268" s="116">
        <v>480.1</v>
      </c>
      <c r="E1268" s="116">
        <v>484</v>
      </c>
      <c r="F1268" s="116">
        <v>492.9</v>
      </c>
      <c r="G1268">
        <v>80148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43873</v>
      </c>
      <c r="B1269" s="116">
        <v>519</v>
      </c>
      <c r="C1269" s="116">
        <v>510.8</v>
      </c>
      <c r="D1269" s="116">
        <v>495</v>
      </c>
      <c r="E1269" s="116">
        <v>495</v>
      </c>
      <c r="F1269" s="116">
        <v>510.8</v>
      </c>
      <c r="G1269">
        <v>815827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43874</v>
      </c>
      <c r="B1270" s="116">
        <v>514.15</v>
      </c>
      <c r="C1270" s="116">
        <v>506.15</v>
      </c>
      <c r="D1270" s="116">
        <v>503.5</v>
      </c>
      <c r="E1270" s="116">
        <v>511</v>
      </c>
      <c r="F1270" s="116">
        <v>506.15</v>
      </c>
      <c r="G1270">
        <v>42111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2026-06-17T06:44:55Z</dcterms:modified>
  <cp:category/>
  <cp:contentStatus/>
</cp:coreProperties>
</file>