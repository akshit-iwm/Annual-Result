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9DCF3AD0-6B71-4541-BDAB-8F1A16F2719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F41" i="2"/>
  <c r="AC12" i="2"/>
  <c r="AD87" i="2"/>
  <c r="AD107" i="2"/>
  <c r="AE67" i="2"/>
  <c r="AE91" i="2"/>
  <c r="AE42" i="2"/>
  <c r="AF92" i="2"/>
  <c r="AC105" i="2"/>
  <c r="AE88" i="2"/>
  <c r="AD77" i="2"/>
  <c r="AE43" i="2"/>
  <c r="AB95" i="2"/>
  <c r="AB28" i="2"/>
  <c r="AE21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104" i="2"/>
  <c r="AD23" i="2"/>
  <c r="AD58" i="2"/>
  <c r="AE17" i="2"/>
  <c r="AE44" i="2"/>
  <c r="AC63" i="2"/>
  <c r="AC75" i="2"/>
  <c r="AC87" i="2"/>
  <c r="AE110" i="2"/>
  <c r="AD71" i="2"/>
  <c r="AF76" i="2"/>
  <c r="AF112" i="2"/>
  <c r="AE73" i="2"/>
  <c r="AE97" i="2"/>
  <c r="AD106" i="2"/>
  <c r="AC18" i="2"/>
  <c r="AE64" i="2"/>
  <c r="AB43" i="2"/>
  <c r="AB72" i="2"/>
  <c r="AB108" i="2"/>
  <c r="AC92" i="2"/>
  <c r="AD93" i="2"/>
  <c r="AC8" i="2"/>
  <c r="AE16" i="2"/>
  <c r="AE48" i="2"/>
  <c r="AE58" i="2"/>
  <c r="AE77" i="2"/>
  <c r="AC5" i="2"/>
  <c r="AC113" i="2" s="1"/>
  <c r="AC44" i="2"/>
  <c r="AC106" i="2"/>
  <c r="AE84" i="2"/>
  <c r="AC51" i="2"/>
  <c r="AC20" i="2"/>
  <c r="AF108" i="2"/>
  <c r="AB5" i="2"/>
  <c r="AB10" i="2"/>
  <c r="AD9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F26" i="2"/>
  <c r="AD59" i="2"/>
  <c r="AC45" i="2"/>
  <c r="AE76" i="2"/>
  <c r="AB8" i="2"/>
  <c r="AE15" i="2"/>
  <c r="AB88" i="2"/>
  <c r="AC68" i="2"/>
  <c r="AC55" i="2"/>
  <c r="AC74" i="2"/>
  <c r="AC98" i="2"/>
  <c r="AF58" i="2"/>
  <c r="AF32" i="2"/>
  <c r="AB60" i="2"/>
  <c r="AC65" i="2"/>
  <c r="AD11" i="2"/>
  <c r="AC28" i="2"/>
  <c r="AF90" i="2"/>
  <c r="AE71" i="2"/>
  <c r="AB78" i="2"/>
  <c r="AE11" i="2"/>
  <c r="AD16" i="2"/>
  <c r="AD24" i="2"/>
  <c r="AD32" i="2"/>
  <c r="AD51" i="2"/>
  <c r="AC29" i="2"/>
  <c r="AC56" i="2"/>
  <c r="AF71" i="2"/>
  <c r="AF79" i="2"/>
  <c r="AF95" i="2"/>
  <c r="AF107" i="2"/>
  <c r="AF14" i="2"/>
  <c r="AE31" i="2"/>
  <c r="AD75" i="2"/>
  <c r="AD91" i="2"/>
  <c r="AC72" i="2"/>
  <c r="AC60" i="2"/>
  <c r="AF96" i="2"/>
  <c r="AC78" i="2"/>
  <c r="AC93" i="2"/>
  <c r="AD83" i="2"/>
  <c r="AC84" i="2"/>
  <c r="AF72" i="2"/>
  <c r="AE23" i="2"/>
  <c r="AF7" i="2"/>
  <c r="AF15" i="2"/>
  <c r="AF23" i="2"/>
  <c r="AF31" i="2"/>
  <c r="AF42" i="2"/>
  <c r="AF50" i="2"/>
  <c r="AE28" i="2"/>
  <c r="AE55" i="2"/>
  <c r="AF16" i="2"/>
  <c r="AF51" i="2"/>
  <c r="AB63" i="2"/>
  <c r="AB71" i="2"/>
  <c r="AB79" i="2"/>
  <c r="AB87" i="2"/>
  <c r="AB107" i="2"/>
  <c r="AE108" i="2"/>
  <c r="AC77" i="2"/>
  <c r="AC89" i="2"/>
  <c r="AD46" i="2"/>
  <c r="AF74" i="2"/>
  <c r="AF110" i="2"/>
  <c r="AE95" i="2"/>
  <c r="AB94" i="2"/>
  <c r="AE105" i="2"/>
  <c r="AD8" i="2"/>
  <c r="AD43" i="2"/>
  <c r="AC17" i="2"/>
  <c r="AD17" i="2"/>
  <c r="AD33" i="2"/>
  <c r="AD52" i="2"/>
  <c r="AF63" i="2"/>
  <c r="AF87" i="2"/>
  <c r="AC109" i="2"/>
  <c r="AD31" i="2"/>
  <c r="AF62" i="2"/>
  <c r="AC22" i="2"/>
  <c r="AC49" i="2"/>
  <c r="AE66" i="2"/>
  <c r="AE78" i="2"/>
  <c r="AE90" i="2"/>
  <c r="AF49" i="2"/>
  <c r="AC96" i="2"/>
  <c r="AF80" i="2"/>
  <c r="AC24" i="2"/>
  <c r="AF99" i="2"/>
  <c r="AC34" i="2"/>
  <c r="AC99" i="2"/>
  <c r="AD67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E27" i="2"/>
  <c r="AE81" i="2"/>
  <c r="AE109" i="2"/>
  <c r="AC19" i="2"/>
  <c r="AC58" i="2"/>
  <c r="AF55" i="2"/>
  <c r="AB73" i="2"/>
  <c r="AB81" i="2"/>
  <c r="AB89" i="2"/>
  <c r="AB109" i="2"/>
  <c r="AB36" i="2"/>
  <c r="AB64" i="2"/>
  <c r="AC26" i="2"/>
  <c r="AD19" i="2"/>
  <c r="AF78" i="2"/>
  <c r="AC104" i="2"/>
  <c r="AB98" i="2"/>
  <c r="AC110" i="2"/>
  <c r="AC64" i="2"/>
  <c r="AB96" i="2"/>
  <c r="AD69" i="2"/>
  <c r="AD105" i="2"/>
  <c r="AF46" i="2"/>
  <c r="AF8" i="2"/>
  <c r="AF43" i="2"/>
  <c r="AB67" i="2"/>
  <c r="AB83" i="2"/>
  <c r="AB47" i="2"/>
  <c r="AE9" i="2"/>
  <c r="AE98" i="2"/>
  <c r="AF66" i="2"/>
  <c r="AF98" i="2"/>
  <c r="AE83" i="2"/>
  <c r="AB86" i="2"/>
  <c r="AE89" i="2"/>
  <c r="AD12" i="2"/>
  <c r="AD28" i="2"/>
  <c r="AC11" i="2"/>
  <c r="AC35" i="2"/>
  <c r="AD9" i="2"/>
  <c r="AD44" i="2"/>
  <c r="AF59" i="2"/>
  <c r="AD15" i="2"/>
  <c r="AE72" i="2"/>
  <c r="AB62" i="2"/>
  <c r="AB21" i="2"/>
  <c r="AE36" i="2"/>
  <c r="AB26" i="2"/>
  <c r="AD68" i="2"/>
  <c r="AF18" i="2"/>
  <c r="AE40" i="2"/>
  <c r="AC85" i="2"/>
  <c r="AB68" i="2"/>
  <c r="AE87" i="2"/>
  <c r="AD89" i="2"/>
  <c r="AF9" i="2"/>
  <c r="AF17" i="2"/>
  <c r="AF25" i="2"/>
  <c r="AF33" i="2"/>
  <c r="AF44" i="2"/>
  <c r="AF52" i="2"/>
  <c r="AC7" i="2"/>
  <c r="AC31" i="2"/>
  <c r="AC46" i="2"/>
  <c r="AF20" i="2"/>
  <c r="AF36" i="2"/>
  <c r="AB65" i="2"/>
  <c r="AB97" i="2"/>
  <c r="AF6" i="2"/>
  <c r="AC53" i="2"/>
  <c r="AE68" i="2"/>
  <c r="AE80" i="2"/>
  <c r="AE92" i="2"/>
  <c r="AD54" i="2"/>
  <c r="AE50" i="2"/>
  <c r="AF94" i="2"/>
  <c r="AC16" i="2"/>
  <c r="AC76" i="2"/>
  <c r="AB66" i="2"/>
  <c r="AB82" i="2"/>
  <c r="AC43" i="2"/>
  <c r="AC82" i="2"/>
  <c r="AB80" i="2"/>
  <c r="AC32" i="2"/>
  <c r="AC108" i="2"/>
  <c r="AD85" i="2"/>
  <c r="AC62" i="2"/>
  <c r="AF27" i="2"/>
  <c r="AE49" i="2"/>
  <c r="AB99" i="2"/>
  <c r="AC71" i="2"/>
  <c r="AD27" i="2"/>
  <c r="AE7" i="2"/>
  <c r="AB106" i="2"/>
  <c r="AD20" i="2"/>
  <c r="AF64" i="2"/>
  <c r="AE54" i="2"/>
  <c r="AD73" i="2"/>
  <c r="AE93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E46" i="2"/>
  <c r="AE85" i="2"/>
  <c r="AD66" i="2"/>
  <c r="AD74" i="2"/>
  <c r="AD82" i="2"/>
  <c r="AD90" i="2"/>
  <c r="AD98" i="2"/>
  <c r="AD110" i="2"/>
  <c r="AF10" i="2"/>
  <c r="AF45" i="2"/>
  <c r="AC6" i="2"/>
  <c r="AC30" i="2"/>
  <c r="AC57" i="2"/>
  <c r="AE70" i="2"/>
  <c r="AE82" i="2"/>
  <c r="AC95" i="2"/>
  <c r="AB24" i="2"/>
  <c r="AF60" i="2"/>
  <c r="AC80" i="2"/>
  <c r="AC86" i="2"/>
  <c r="AF19" i="2"/>
  <c r="AF54" i="2"/>
  <c r="AE34" i="2"/>
  <c r="AF24" i="2"/>
  <c r="AB59" i="2"/>
  <c r="AB75" i="2"/>
  <c r="AB91" i="2"/>
  <c r="AB12" i="2"/>
  <c r="AE33" i="2"/>
  <c r="AC59" i="2"/>
  <c r="AC83" i="2"/>
  <c r="AD61" i="2"/>
  <c r="AF82" i="2"/>
  <c r="AE35" i="2"/>
  <c r="AB70" i="2"/>
  <c r="AE65" i="2"/>
  <c r="AD36" i="2"/>
  <c r="AD47" i="2"/>
  <c r="AD55" i="2"/>
  <c r="AC23" i="2"/>
  <c r="AC50" i="2"/>
  <c r="AD25" i="2"/>
  <c r="AF67" i="2"/>
  <c r="AF83" i="2"/>
  <c r="AF91" i="2"/>
  <c r="AC10" i="2"/>
  <c r="AE60" i="2"/>
  <c r="AD99" i="2"/>
  <c r="AF88" i="2"/>
  <c r="AC90" i="2"/>
  <c r="AB40" i="2"/>
  <c r="AB56" i="2"/>
  <c r="AE24" i="2"/>
  <c r="AD60" i="2"/>
  <c r="AD84" i="2"/>
  <c r="AE96" i="2"/>
  <c r="AF53" i="2"/>
  <c r="AC61" i="2"/>
  <c r="AE106" i="2"/>
  <c r="AB84" i="2"/>
  <c r="AE69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F11" i="2"/>
  <c r="AF35" i="2"/>
  <c r="AE10" i="2"/>
  <c r="AE22" i="2"/>
  <c r="AF75" i="2"/>
  <c r="AD50" i="2"/>
  <c r="AF30" i="2"/>
  <c r="AC66" i="2"/>
  <c r="AB13" i="2"/>
  <c r="AB29" i="2"/>
  <c r="AB48" i="2"/>
  <c r="AE12" i="2"/>
  <c r="AE51" i="2"/>
  <c r="AB45" i="2"/>
  <c r="AD76" i="2"/>
  <c r="AD104" i="2"/>
  <c r="AE13" i="2"/>
  <c r="AC73" i="2"/>
  <c r="AB32" i="2"/>
  <c r="AB104" i="2"/>
  <c r="AD109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231" i="1"/>
  <c r="AA154" i="1"/>
  <c r="AA134" i="1"/>
  <c r="AA138" i="1" s="1"/>
  <c r="AA194" i="1"/>
  <c r="AA182" i="1"/>
  <c r="AA179" i="1"/>
  <c r="AA252" i="1"/>
  <c r="AA120" i="1"/>
  <c r="AA37" i="1"/>
  <c r="AB112" i="2"/>
  <c r="AA73" i="1" s="1"/>
  <c r="AB113" i="2"/>
  <c r="AA74" i="1" s="1"/>
  <c r="B1" i="9"/>
  <c r="AB111" i="2"/>
  <c r="AE113" i="2"/>
  <c r="AC112" i="2"/>
  <c r="AE111" i="2"/>
  <c r="AE112" i="2"/>
  <c r="A1" i="9"/>
  <c r="AF111" i="2"/>
  <c r="AD112" i="2"/>
  <c r="AD113" i="2"/>
  <c r="AC111" i="2"/>
  <c r="L1" i="9"/>
  <c r="AF113" i="2"/>
  <c r="AA173" i="1" l="1"/>
  <c r="AA183" i="1"/>
  <c r="AA180" i="1"/>
  <c r="AA156" i="1"/>
  <c r="AA157" i="1" s="1"/>
  <c r="AA161" i="1"/>
  <c r="AA10" i="1"/>
  <c r="AA185" i="1"/>
  <c r="AA184" i="1" s="1"/>
  <c r="AA186" i="1"/>
  <c r="AA33" i="1"/>
  <c r="AA175" i="1"/>
  <c r="AA12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1" i="1" l="1"/>
  <c r="AA246" i="1"/>
  <c r="AA248" i="1"/>
  <c r="AA16" i="1"/>
  <c r="AA98" i="1"/>
  <c r="AA244" i="1"/>
  <c r="AA168" i="1"/>
  <c r="AA109" i="1" s="1"/>
  <c r="AA165" i="1"/>
  <c r="AA27" i="1"/>
  <c r="AA17" i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EX9" i="4" a="1"/>
  <c r="FC15" i="4" a="1"/>
  <c r="FD6" i="4" a="1"/>
  <c r="FB15" i="4" a="1"/>
  <c r="Z6" i="2"/>
  <c r="Z92" i="2"/>
  <c r="Y5" i="2"/>
  <c r="AA99" i="2"/>
  <c r="X6" i="2"/>
  <c r="BB7" i="3"/>
  <c r="Y67" i="2"/>
  <c r="BD31" i="3"/>
  <c r="BB28" i="3"/>
  <c r="Y97" i="2"/>
  <c r="EZ11" i="4" a="1"/>
  <c r="FB12" i="4" a="1"/>
  <c r="FF7" i="4" a="1"/>
  <c r="BI25" i="3"/>
  <c r="BN25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Y15" i="4" a="1"/>
  <c r="FF5" i="4" a="1"/>
  <c r="Z17" i="2"/>
  <c r="EZ8" i="4" a="1"/>
  <c r="EX5" i="4" a="1"/>
  <c r="FE14" i="4" a="1"/>
  <c r="EX14" i="4" a="1"/>
  <c r="BD8" i="3"/>
  <c r="AA42" i="2"/>
  <c r="AA89" i="2"/>
  <c r="BD9" i="3"/>
  <c r="BC34" i="3"/>
  <c r="BC6" i="3"/>
  <c r="Z52" i="2"/>
  <c r="BA25" i="3"/>
  <c r="Y29" i="2"/>
  <c r="FA8" i="4" a="1"/>
  <c r="FA15" i="4" a="1"/>
  <c r="FE8" i="4" a="1"/>
  <c r="FC13" i="4" a="1"/>
  <c r="BM15" i="3"/>
  <c r="BL6" i="3"/>
  <c r="BE6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AA15" i="2"/>
  <c r="FC12" i="4" a="1"/>
  <c r="FF8" i="4" a="1"/>
  <c r="BA28" i="3"/>
  <c r="Z43" i="2"/>
  <c r="FB6" i="4" a="1"/>
  <c r="BK20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E85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P11" i="3"/>
  <c r="BG6" i="3"/>
  <c r="BE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66" i="3" s="1"/>
  <c r="BK25" i="3"/>
  <c r="BF18" i="3"/>
  <c r="CL25" i="1" s="1"/>
  <c r="BH59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P92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H11" i="3"/>
  <c r="BT18" i="3"/>
  <c r="BE29" i="3"/>
  <c r="BM45" i="3"/>
  <c r="BL20" i="3"/>
  <c r="BJ37" i="3"/>
  <c r="BI14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N30" i="3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N12" i="3"/>
  <c r="BM46" i="3"/>
  <c r="BJ30" i="3"/>
  <c r="BT30" i="3"/>
  <c r="BG30" i="3"/>
  <c r="BJ5" i="3"/>
  <c r="BH22" i="3"/>
  <c r="BF39" i="3"/>
  <c r="BK15" i="3"/>
  <c r="BQ10" i="3"/>
  <c r="BU10" i="3"/>
  <c r="BQ16" i="3"/>
  <c r="BR11" i="3"/>
  <c r="BI10" i="3"/>
  <c r="BR23" i="3"/>
  <c r="BO7" i="3"/>
  <c r="BO31" i="3"/>
  <c r="BJ9" i="3"/>
  <c r="BN46" i="3"/>
  <c r="BE9" i="3"/>
  <c r="BM39" i="3"/>
  <c r="BM36" i="3"/>
  <c r="BH33" i="3"/>
  <c r="BG45" i="3"/>
  <c r="BF7" i="3"/>
  <c r="BM16" i="3"/>
  <c r="BH29" i="3"/>
  <c r="Y14" i="2"/>
  <c r="AA53" i="2"/>
  <c r="AA44" i="2"/>
  <c r="BD42" i="3"/>
  <c r="BC25" i="3"/>
  <c r="AA62" i="2"/>
  <c r="Z14" i="2"/>
  <c r="AA11" i="2"/>
  <c r="Y25" i="2"/>
  <c r="BB19" i="3"/>
  <c r="BD45" i="3"/>
  <c r="AA5" i="2"/>
  <c r="Y55" i="2"/>
  <c r="BU16" i="3"/>
  <c r="BV11" i="3"/>
  <c r="BE12" i="3"/>
  <c r="BV26" i="3"/>
  <c r="BS10" i="3"/>
  <c r="BS34" i="3"/>
  <c r="BJ21" i="3"/>
  <c r="BI46" i="3"/>
  <c r="BM11" i="3"/>
  <c r="BH10" i="3"/>
  <c r="BM38" i="3"/>
  <c r="BN34" i="3"/>
  <c r="BP6" i="3"/>
  <c r="BL8" i="3"/>
  <c r="BE18" i="3"/>
  <c r="BL35" i="3"/>
  <c r="AA55" i="2"/>
  <c r="AA72" i="2"/>
  <c r="Z109" i="2"/>
  <c r="BD32" i="3"/>
  <c r="BA9" i="3"/>
  <c r="BQ22" i="3"/>
  <c r="BS41" i="3"/>
  <c r="BG31" i="3"/>
  <c r="BV28" i="3"/>
  <c r="BS12" i="3"/>
  <c r="BS38" i="3"/>
  <c r="BF31" i="3"/>
  <c r="BT16" i="3"/>
  <c r="BI13" i="3"/>
  <c r="BL16" i="3"/>
  <c r="BH21" i="3"/>
  <c r="BN42" i="3"/>
  <c r="BT31" i="3"/>
  <c r="BJ15" i="3"/>
  <c r="BG25" i="3"/>
  <c r="BN16" i="3"/>
  <c r="Y13" i="2"/>
  <c r="AA77" i="2"/>
  <c r="Y72" i="2"/>
  <c r="BD33" i="3"/>
  <c r="BB25" i="3"/>
  <c r="Z25" i="2"/>
  <c r="AA8" i="2"/>
  <c r="Z79" i="2"/>
  <c r="Z15" i="2"/>
  <c r="BD30" i="3"/>
  <c r="AA28" i="2"/>
  <c r="Z18" i="2"/>
  <c r="AA71" i="2"/>
  <c r="Y30" i="2"/>
  <c r="BA14" i="3"/>
  <c r="Y56" i="2"/>
  <c r="Y86" i="2"/>
  <c r="BC30" i="3"/>
  <c r="Y69" i="2"/>
  <c r="BB39" i="3"/>
  <c r="BD40" i="3"/>
  <c r="Y110" i="2"/>
  <c r="FD14" i="4" a="1"/>
  <c r="FE12" i="4" a="1"/>
  <c r="FB7" i="4" a="1"/>
  <c r="FD11" i="4" a="1"/>
  <c r="FE7" i="4" a="1"/>
  <c r="EZ6" i="4" a="1"/>
  <c r="Z82" i="2"/>
  <c r="FE11" i="4" a="1"/>
  <c r="EY14" i="4" a="1"/>
  <c r="FD15" i="4" a="1"/>
  <c r="BU22" i="3"/>
  <c r="BS42" i="3"/>
  <c r="BM32" i="3"/>
  <c r="BR29" i="3"/>
  <c r="BO13" i="3"/>
  <c r="BS39" i="3"/>
  <c r="BF33" i="3"/>
  <c r="BT20" i="3"/>
  <c r="BM13" i="3"/>
  <c r="BH18" i="3"/>
  <c r="BF34" i="3"/>
  <c r="CL45" i="1" s="1"/>
  <c r="BJ46" i="3"/>
  <c r="BT45" i="3"/>
  <c r="BL18" i="3"/>
  <c r="BE28" i="3"/>
  <c r="BF28" i="3"/>
  <c r="CL32" i="1" s="1"/>
  <c r="Y22" i="2"/>
  <c r="AA80" i="2"/>
  <c r="Z50" i="2"/>
  <c r="BA17" i="3"/>
  <c r="BA29" i="3"/>
  <c r="Y17" i="2"/>
  <c r="Y33" i="2"/>
  <c r="AA76" i="2"/>
  <c r="Z68" i="2"/>
  <c r="BA37" i="3"/>
  <c r="AA56" i="2"/>
  <c r="AA104" i="2"/>
  <c r="AA64" i="2"/>
  <c r="Y82" i="2"/>
  <c r="BD46" i="3"/>
  <c r="AA27" i="2"/>
  <c r="BD25" i="3"/>
  <c r="Y59" i="2"/>
  <c r="AA49" i="2"/>
  <c r="BA46" i="3"/>
  <c r="BD20" i="3"/>
  <c r="EY11" i="4" a="1"/>
  <c r="EZ14" i="4" a="1"/>
  <c r="FB13" i="4" a="1"/>
  <c r="EZ15" i="4" a="1"/>
  <c r="FD9" i="4" a="1"/>
  <c r="FA16" i="4" a="1"/>
  <c r="EX15" i="4" a="1"/>
  <c r="EY16" i="4" a="1"/>
  <c r="BQ28" i="3"/>
  <c r="BT6" i="3"/>
  <c r="BF10" i="3"/>
  <c r="CL13" i="1" s="1"/>
  <c r="BV32" i="3"/>
  <c r="BS16" i="3"/>
  <c r="BT11" i="3"/>
  <c r="BL46" i="3"/>
  <c r="BP9" i="3"/>
  <c r="BK16" i="3"/>
  <c r="BN29" i="3"/>
  <c r="BL21" i="3"/>
  <c r="BH19" i="3"/>
  <c r="BT42" i="3"/>
  <c r="BN23" i="3"/>
  <c r="BI30" i="3"/>
  <c r="BN40" i="3"/>
  <c r="Y76" i="2"/>
  <c r="Z104" i="2"/>
  <c r="AA94" i="2"/>
  <c r="BD26" i="3"/>
  <c r="BB41" i="3"/>
  <c r="Y9" i="2"/>
  <c r="Z11" i="2"/>
  <c r="Z80" i="2"/>
  <c r="Y78" i="2"/>
  <c r="BB14" i="3"/>
  <c r="AA73" i="2"/>
  <c r="AA85" i="2"/>
  <c r="AA84" i="2"/>
  <c r="Z99" i="2"/>
  <c r="BA7" i="3"/>
  <c r="Y93" i="2"/>
  <c r="BA11" i="3"/>
  <c r="Y70" i="2"/>
  <c r="Z33" i="2"/>
  <c r="BD14" i="3"/>
  <c r="Y54" i="2"/>
  <c r="BD34" i="3"/>
  <c r="FD7" i="4" a="1"/>
  <c r="FA5" i="4" a="1"/>
  <c r="FF9" i="4" a="1"/>
  <c r="EZ7" i="4" a="1"/>
  <c r="FC6" i="4" a="1"/>
  <c r="FE13" i="4" a="1"/>
  <c r="Y106" i="2"/>
  <c r="BC17" i="3"/>
  <c r="BA40" i="3"/>
  <c r="AA16" i="2"/>
  <c r="Y92" i="2"/>
  <c r="AA96" i="2"/>
  <c r="AA60" i="2"/>
  <c r="BB27" i="3"/>
  <c r="AA31" i="2"/>
  <c r="BB31" i="3"/>
  <c r="Z24" i="2"/>
  <c r="Y95" i="2"/>
  <c r="BB36" i="3"/>
  <c r="Z63" i="2"/>
  <c r="BB29" i="3"/>
  <c r="BU28" i="3"/>
  <c r="BT14" i="3"/>
  <c r="BN38" i="3"/>
  <c r="BV34" i="3"/>
  <c r="BS18" i="3"/>
  <c r="BT33" i="3"/>
  <c r="BK9" i="3"/>
  <c r="BP41" i="3"/>
  <c r="BG18" i="3"/>
  <c r="BN35" i="3"/>
  <c r="BL29" i="3"/>
  <c r="BL25" i="3"/>
  <c r="BP8" i="3"/>
  <c r="BF25" i="3"/>
  <c r="CL36" i="1" s="1"/>
  <c r="BK31" i="3"/>
  <c r="BK45" i="3"/>
  <c r="AA110" i="2"/>
  <c r="Y26" i="2"/>
  <c r="Z9" i="2"/>
  <c r="BB9" i="3"/>
  <c r="BA19" i="3"/>
  <c r="Z110" i="2"/>
  <c r="Z53" i="2"/>
  <c r="BQ34" i="3"/>
  <c r="BM29" i="3"/>
  <c r="BF46" i="3"/>
  <c r="CL64" i="1" s="1"/>
  <c r="BR35" i="3"/>
  <c r="BO19" i="3"/>
  <c r="BT39" i="3"/>
  <c r="BI12" i="3"/>
  <c r="BP21" i="3"/>
  <c r="BK18" i="3"/>
  <c r="BN37" i="3"/>
  <c r="BJ29" i="3"/>
  <c r="BJ14" i="3"/>
  <c r="BP34" i="3"/>
  <c r="BH32" i="3"/>
  <c r="BG33" i="3"/>
  <c r="BG59" i="3"/>
  <c r="Z55" i="2"/>
  <c r="AA68" i="2"/>
  <c r="Y24" i="2"/>
  <c r="AY29" i="3"/>
  <c r="BC11" i="3"/>
  <c r="Z40" i="2"/>
  <c r="AA91" i="2"/>
  <c r="Y50" i="2"/>
  <c r="BD10" i="3"/>
  <c r="BA42" i="3"/>
  <c r="Y16" i="2"/>
  <c r="Z106" i="2"/>
  <c r="AA65" i="2"/>
  <c r="AA52" i="2"/>
  <c r="BB26" i="3"/>
  <c r="Y7" i="2"/>
  <c r="BB42" i="3"/>
  <c r="AA43" i="2"/>
  <c r="Z34" i="2"/>
  <c r="BA38" i="3"/>
  <c r="Z51" i="2"/>
  <c r="BB40" i="3"/>
  <c r="FA6" i="4" a="1"/>
  <c r="FB8" i="4" a="1"/>
  <c r="EY5" i="4" a="1"/>
  <c r="EX7" i="4" a="1"/>
  <c r="EX8" i="4" a="1"/>
  <c r="EY6" i="4" a="1"/>
  <c r="BB24" i="3"/>
  <c r="BD13" i="3"/>
  <c r="AA48" i="2"/>
  <c r="BD19" i="3"/>
  <c r="BB5" i="3"/>
  <c r="Z75" i="2"/>
  <c r="AA92" i="2"/>
  <c r="Y48" i="2"/>
  <c r="Z28" i="2"/>
  <c r="FC7" i="4" a="1"/>
  <c r="FB16" i="4" a="1"/>
  <c r="BU34" i="3"/>
  <c r="BM31" i="3"/>
  <c r="BV14" i="3"/>
  <c r="BV38" i="3"/>
  <c r="BS22" i="3"/>
  <c r="BP32" i="3"/>
  <c r="BE24" i="3"/>
  <c r="BP27" i="3"/>
  <c r="BI21" i="3"/>
  <c r="BE10" i="3"/>
  <c r="BL7" i="3"/>
  <c r="BH27" i="3"/>
  <c r="BM25" i="3"/>
  <c r="BF35" i="3"/>
  <c r="CL46" i="1" s="1"/>
  <c r="BI34" i="3"/>
  <c r="AA24" i="2"/>
  <c r="Y68" i="2"/>
  <c r="AA93" i="2"/>
  <c r="BA31" i="3"/>
  <c r="BA22" i="3"/>
  <c r="Y42" i="2"/>
  <c r="Z96" i="2"/>
  <c r="Z91" i="2"/>
  <c r="BA39" i="3"/>
  <c r="BA5" i="3"/>
  <c r="AA108" i="2"/>
  <c r="Z10" i="2"/>
  <c r="Z45" i="2"/>
  <c r="AA34" i="2"/>
  <c r="BC21" i="3"/>
  <c r="Z88" i="2"/>
  <c r="BA13" i="3"/>
  <c r="BD17" i="3"/>
  <c r="AA83" i="2"/>
  <c r="Y18" i="2"/>
  <c r="AA107" i="2"/>
  <c r="AA45" i="2"/>
  <c r="FC9" i="4" a="1"/>
  <c r="EY13" i="4" a="1"/>
  <c r="FB9" i="4" a="1"/>
  <c r="EX6" i="4" a="1"/>
  <c r="FC11" i="4" a="1"/>
  <c r="Z58" i="2"/>
  <c r="AA95" i="2"/>
  <c r="Y87" i="2"/>
  <c r="EZ12" i="4" a="1"/>
  <c r="FF14" i="4" a="1"/>
  <c r="FB14" i="4" a="1"/>
  <c r="FD16" i="4" a="1"/>
  <c r="EZ5" i="4" a="1"/>
  <c r="Z16" i="2"/>
  <c r="Z7" i="2"/>
  <c r="FF11" i="4" a="1"/>
  <c r="BQ40" i="3"/>
  <c r="BF9" i="3"/>
  <c r="BV16" i="3"/>
  <c r="BV40" i="3"/>
  <c r="BS24" i="3"/>
  <c r="BG26" i="3"/>
  <c r="BM30" i="3"/>
  <c r="BP29" i="3"/>
  <c r="BE23" i="3"/>
  <c r="BI16" i="3"/>
  <c r="BF14" i="3"/>
  <c r="CL23" i="1" s="1"/>
  <c r="BG79" i="3"/>
  <c r="BE31" i="3"/>
  <c r="BL40" i="3"/>
  <c r="BM40" i="3"/>
  <c r="AA19" i="2"/>
  <c r="Y10" i="2"/>
  <c r="Y32" i="2"/>
  <c r="BB17" i="3"/>
  <c r="BD23" i="3"/>
  <c r="Y44" i="2"/>
  <c r="Z44" i="2"/>
  <c r="Y15" i="2"/>
  <c r="BD11" i="3"/>
  <c r="BB21" i="3"/>
  <c r="Z57" i="2"/>
  <c r="C5" i="2"/>
  <c r="AA70" i="2"/>
  <c r="AA33" i="2"/>
  <c r="BD7" i="3"/>
  <c r="BB6" i="3"/>
  <c r="BD24" i="3"/>
  <c r="Z97" i="2"/>
  <c r="AA75" i="2"/>
  <c r="BB35" i="3"/>
  <c r="FF16" i="4" a="1"/>
  <c r="EZ16" i="4" a="1"/>
  <c r="EZ13" i="4" a="1"/>
  <c r="BJ16" i="3"/>
  <c r="Y89" i="2"/>
  <c r="EX11" i="4" a="1"/>
  <c r="FE6" i="4" a="1"/>
  <c r="EX12" i="4" a="1"/>
  <c r="BD28" i="3"/>
  <c r="Z69" i="2"/>
  <c r="FF12" i="4" a="1"/>
  <c r="Y98" i="2"/>
  <c r="BC31" i="3"/>
  <c r="BD12" i="3"/>
  <c r="BA30" i="3"/>
  <c r="FF13" i="4" a="1"/>
  <c r="FF6" i="4" a="1"/>
  <c r="FA14" i="4" a="1"/>
  <c r="BU40" i="3"/>
  <c r="BL10" i="3"/>
  <c r="BR17" i="3"/>
  <c r="BR41" i="3"/>
  <c r="BO25" i="3"/>
  <c r="BM27" i="3"/>
  <c r="BI32" i="3"/>
  <c r="BP7" i="3"/>
  <c r="BI23" i="3"/>
  <c r="BI18" i="3"/>
  <c r="BL15" i="3"/>
  <c r="BL17" i="3"/>
  <c r="BG32" i="3"/>
  <c r="BH42" i="3"/>
  <c r="BJ8" i="3"/>
  <c r="AA109" i="2"/>
  <c r="Y51" i="2"/>
  <c r="AA7" i="2"/>
  <c r="Z72" i="2"/>
  <c r="BC41" i="3"/>
  <c r="BB38" i="3"/>
  <c r="Y108" i="2"/>
  <c r="AA35" i="2"/>
  <c r="Z19" i="2"/>
  <c r="BC19" i="3"/>
  <c r="BB18" i="3"/>
  <c r="Z59" i="2"/>
  <c r="Y11" i="2"/>
  <c r="Z98" i="2"/>
  <c r="BB13" i="3"/>
  <c r="BB12" i="3"/>
  <c r="BA18" i="3"/>
  <c r="AA25" i="2"/>
  <c r="Z78" i="2"/>
  <c r="BC46" i="3"/>
  <c r="FB11" i="4" a="1"/>
  <c r="Y75" i="2"/>
  <c r="Y91" i="2"/>
  <c r="Z21" i="2"/>
  <c r="BC14" i="3"/>
  <c r="Z46" i="2"/>
  <c r="BD41" i="3"/>
  <c r="BA21" i="3"/>
  <c r="BB10" i="3"/>
  <c r="Z41" i="2"/>
  <c r="FC5" i="4" a="1"/>
  <c r="FB5" i="4" a="1"/>
  <c r="EY12" i="4" a="1"/>
  <c r="FD13" i="4" a="1"/>
  <c r="BC23" i="3"/>
  <c r="BC24" i="3"/>
  <c r="AA41" i="2"/>
  <c r="Z74" i="2"/>
  <c r="Z87" i="2"/>
  <c r="AA59" i="2"/>
  <c r="EY9" i="4" a="1"/>
  <c r="BR5" i="3"/>
  <c r="BH28" i="3"/>
  <c r="BV20" i="3"/>
  <c r="BV46" i="3"/>
  <c r="BS28" i="3"/>
  <c r="BI39" i="3"/>
  <c r="BL11" i="3"/>
  <c r="BE7" i="3"/>
  <c r="BK28" i="3"/>
  <c r="BM26" i="3"/>
  <c r="BL23" i="3"/>
  <c r="BJ22" i="3"/>
  <c r="BK38" i="3"/>
  <c r="BG9" i="3"/>
  <c r="Y73" i="2"/>
  <c r="Z30" i="2"/>
  <c r="BC32" i="3"/>
  <c r="Z31" i="2"/>
  <c r="AA22" i="2"/>
  <c r="BC9" i="3"/>
  <c r="Z32" i="2"/>
  <c r="Y107" i="2"/>
  <c r="BB11" i="3"/>
  <c r="Z84" i="2"/>
  <c r="BA34" i="3"/>
  <c r="BD15" i="3"/>
  <c r="Y40" i="2"/>
  <c r="EX16" i="4" a="1"/>
  <c r="EY8" i="4" a="1"/>
  <c r="FE15" i="4" a="1"/>
  <c r="Z47" i="2"/>
  <c r="BC26" i="3"/>
  <c r="FD8" i="4" a="1"/>
  <c r="BV5" i="3"/>
  <c r="BH30" i="3"/>
  <c r="BV22" i="3"/>
  <c r="BS6" i="3"/>
  <c r="BS30" i="3"/>
  <c r="BN7" i="3"/>
  <c r="BH37" i="3"/>
  <c r="BK8" i="3"/>
  <c r="BG38" i="3"/>
  <c r="BE30" i="3"/>
  <c r="BN26" i="3"/>
  <c r="BH35" i="3"/>
  <c r="BI41" i="3"/>
  <c r="BG11" i="3"/>
  <c r="BN22" i="3"/>
  <c r="Y60" i="2"/>
  <c r="Z89" i="2"/>
  <c r="AA90" i="2"/>
  <c r="BB20" i="3"/>
  <c r="BB22" i="3"/>
  <c r="Y6" i="2"/>
  <c r="Y49" i="2"/>
  <c r="AA6" i="2"/>
  <c r="Z86" i="2"/>
  <c r="BD6" i="3"/>
  <c r="BA27" i="3"/>
  <c r="AA74" i="2"/>
  <c r="Y31" i="2"/>
  <c r="Y77" i="2"/>
  <c r="BA12" i="3"/>
  <c r="BA24" i="3"/>
  <c r="AA23" i="2"/>
  <c r="BA23" i="3"/>
  <c r="AA67" i="2"/>
  <c r="BB23" i="3"/>
  <c r="Z60" i="2"/>
  <c r="Z42" i="2"/>
  <c r="BB34" i="3"/>
  <c r="FF15" i="4" a="1"/>
  <c r="FD12" i="4" a="1"/>
  <c r="FD5" i="4" a="1"/>
  <c r="Y84" i="2"/>
  <c r="AA69" i="2"/>
  <c r="FA12" i="4" a="1"/>
  <c r="AA36" i="2"/>
  <c r="BA35" i="3"/>
  <c r="CL8" i="1" l="1"/>
  <c r="CL47" i="1"/>
  <c r="AA52" i="1"/>
  <c r="AA54" i="1"/>
  <c r="AA193" i="1"/>
  <c r="AA195" i="1" s="1"/>
  <c r="CL10" i="1"/>
  <c r="CL231" i="1"/>
  <c r="CL194" i="1"/>
  <c r="CL253" i="1"/>
  <c r="CL252" i="1"/>
  <c r="CL65" i="1"/>
  <c r="CL26" i="1"/>
  <c r="CL27" i="1" s="1"/>
  <c r="CK35" i="1"/>
  <c r="CK13" i="1"/>
  <c r="CK32" i="1"/>
  <c r="CK25" i="1"/>
  <c r="CK14" i="1"/>
  <c r="CK39" i="1"/>
  <c r="CK46" i="1"/>
  <c r="CK63" i="1"/>
  <c r="CK21" i="1"/>
  <c r="CK47" i="1"/>
  <c r="CK22" i="1"/>
  <c r="CK15" i="1"/>
  <c r="CK36" i="1"/>
  <c r="CK64" i="1"/>
  <c r="CK24" i="1"/>
  <c r="CK8" i="1"/>
  <c r="CK51" i="1"/>
  <c r="CK20" i="1"/>
  <c r="CK9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V48" i="3"/>
  <c r="BH6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P77" i="3"/>
  <c r="BJ56" i="3"/>
  <c r="BA72" i="3"/>
  <c r="BA91" i="3"/>
  <c r="BQ59" i="3"/>
  <c r="BH47" i="3"/>
  <c r="BL8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GA12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T49" i="3"/>
  <c r="BP6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BK78" i="3"/>
  <c r="BL84" i="3"/>
  <c r="BA68" i="3"/>
  <c r="BA58" i="3"/>
  <c r="BA60" i="3"/>
  <c r="BU5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BG86" i="3"/>
  <c r="BP56" i="3"/>
  <c r="BC82" i="3"/>
  <c r="BG78" i="3"/>
  <c r="BM72" i="3"/>
  <c r="BB55" i="3"/>
  <c r="BB67" i="3"/>
  <c r="BM81" i="3"/>
  <c r="BU54" i="3"/>
  <c r="BI78" i="3"/>
  <c r="BC56" i="3"/>
  <c r="BH60" i="3"/>
  <c r="BL47" i="3"/>
  <c r="BL59" i="3"/>
  <c r="BE61" i="3"/>
  <c r="BF89" i="3"/>
  <c r="CL153" i="1" s="1"/>
  <c r="BQ79" i="3"/>
  <c r="BU72" i="3"/>
  <c r="BV47" i="3"/>
  <c r="BO97" i="3"/>
  <c r="BO74" i="3"/>
  <c r="BS55" i="3"/>
  <c r="BF97" i="3"/>
  <c r="BU92" i="3"/>
  <c r="BR64" i="3"/>
  <c r="BR94" i="3"/>
  <c r="BV90" i="3"/>
  <c r="BV70" i="3"/>
  <c r="BT57" i="3"/>
  <c r="BT48" i="3"/>
  <c r="BN61" i="3"/>
  <c r="BN63" i="3"/>
  <c r="BF67" i="3"/>
  <c r="BO56" i="3"/>
  <c r="BS87" i="3"/>
  <c r="BH93" i="3"/>
  <c r="BE73" i="3"/>
  <c r="BM47" i="3"/>
  <c r="BF50" i="3"/>
  <c r="CL74" i="1" s="1"/>
  <c r="BJ89" i="3"/>
  <c r="BJ71" i="3"/>
  <c r="BK59" i="3"/>
  <c r="BK54" i="3"/>
  <c r="GC5" i="4" a="1"/>
  <c r="GK8" i="4" a="1"/>
  <c r="HH9" i="4" a="1"/>
  <c r="FY9" i="4" a="1"/>
  <c r="HA7" i="4" a="1"/>
  <c r="GB11" i="4" a="1"/>
  <c r="FU5" i="4" a="1"/>
  <c r="GX5" i="4" a="1"/>
  <c r="FH8" i="4" a="1"/>
  <c r="FP6" i="4" a="1"/>
  <c r="FR6" i="4" a="1"/>
  <c r="GM11" i="4" a="1"/>
  <c r="FM6" i="4" a="1"/>
  <c r="FT6" i="4" a="1"/>
  <c r="FY12" i="4" a="1"/>
  <c r="FU6" i="4" a="1"/>
  <c r="GN5" i="4" a="1"/>
  <c r="GO6" i="4" a="1"/>
  <c r="GW9" i="4" a="1"/>
  <c r="HA11" i="4" a="1"/>
  <c r="GX12" i="4" a="1"/>
  <c r="GW13" i="4" a="1"/>
  <c r="GQ11" i="4" a="1"/>
  <c r="GS12" i="4" a="1"/>
  <c r="GP13" i="4" a="1"/>
  <c r="GO14" i="4" a="1"/>
  <c r="FQ11" i="4" a="1"/>
  <c r="GE14" i="4" a="1"/>
  <c r="GP15" i="4" a="1"/>
  <c r="FN16" i="4" a="1"/>
  <c r="GN16" i="4" a="1"/>
  <c r="FS12" i="4" a="1"/>
  <c r="FU11" i="4" a="1"/>
  <c r="GL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G63" i="3"/>
  <c r="BP73" i="3"/>
  <c r="BR56" i="3"/>
  <c r="BG50" i="3"/>
  <c r="BM95" i="3"/>
  <c r="BB65" i="3"/>
  <c r="BB60" i="3"/>
  <c r="BF86" i="3"/>
  <c r="BU61" i="3"/>
  <c r="BB81" i="3"/>
  <c r="BC57" i="3"/>
  <c r="BH71" i="3"/>
  <c r="BL64" i="3"/>
  <c r="BL87" i="3"/>
  <c r="BE70" i="3"/>
  <c r="BF65" i="3"/>
  <c r="CL150" i="1" s="1"/>
  <c r="BQ72" i="3"/>
  <c r="BU75" i="3"/>
  <c r="BV81" i="3"/>
  <c r="BO55" i="3"/>
  <c r="BO79" i="3"/>
  <c r="BS47" i="3"/>
  <c r="BU49" i="3"/>
  <c r="BU94" i="3"/>
  <c r="BR74" i="3"/>
  <c r="BF79" i="3"/>
  <c r="BP64" i="3"/>
  <c r="BR61" i="3"/>
  <c r="BG61" i="3"/>
  <c r="BM48" i="3"/>
  <c r="BB95" i="3"/>
  <c r="BB83" i="3"/>
  <c r="BF88" i="3"/>
  <c r="CL127" i="1" s="1"/>
  <c r="BU79" i="3"/>
  <c r="BB82" i="3"/>
  <c r="BC60" i="3"/>
  <c r="BH58" i="3"/>
  <c r="BL93" i="3"/>
  <c r="BL79" i="3"/>
  <c r="BE88" i="3"/>
  <c r="BF47" i="3"/>
  <c r="BQ63" i="3"/>
  <c r="BU76" i="3"/>
  <c r="BV60" i="3"/>
  <c r="BO59" i="3"/>
  <c r="BO82" i="3"/>
  <c r="BS77" i="3"/>
  <c r="BU59" i="3"/>
  <c r="BU95" i="3"/>
  <c r="BR72" i="3"/>
  <c r="BR79" i="3"/>
  <c r="BV84" i="3"/>
  <c r="BV73" i="3"/>
  <c r="BT56" i="3"/>
  <c r="BT66" i="3"/>
  <c r="BN90" i="3"/>
  <c r="BN81" i="3"/>
  <c r="BF73" i="3"/>
  <c r="BO61" i="3"/>
  <c r="BS49" i="3"/>
  <c r="BL54" i="3"/>
  <c r="BE81" i="3"/>
  <c r="BM87" i="3"/>
  <c r="BJ74" i="3"/>
  <c r="BJ87" i="3"/>
  <c r="BJ75" i="3"/>
  <c r="BK48" i="3"/>
  <c r="BK65" i="3"/>
  <c r="GB5" i="4" a="1"/>
  <c r="GM5" i="4" a="1"/>
  <c r="FW6" i="4" a="1"/>
  <c r="FO5" i="4" a="1"/>
  <c r="GQ8" i="4" a="1"/>
  <c r="GD7" i="4" a="1"/>
  <c r="GL5" i="4" a="1"/>
  <c r="GB6" i="4" a="1"/>
  <c r="GB12" i="4" a="1"/>
  <c r="FO7" i="4" a="1"/>
  <c r="HA5" i="4" a="1"/>
  <c r="GG12" i="4" a="1"/>
  <c r="FG7" i="4" a="1"/>
  <c r="FJ6" i="4" a="1"/>
  <c r="FV13" i="4" a="1"/>
  <c r="FR7" i="4" a="1"/>
  <c r="HB7" i="4" a="1"/>
  <c r="GP11" i="4" a="1"/>
  <c r="FG11" i="4" a="1"/>
  <c r="FG12" i="4" a="1"/>
  <c r="HF12" i="4" a="1"/>
  <c r="FN7" i="4" a="1"/>
  <c r="HB11" i="4" a="1"/>
  <c r="HA12" i="4" a="1"/>
  <c r="GX13" i="4" a="1"/>
  <c r="GW14" i="4" a="1"/>
  <c r="GR11" i="4" a="1"/>
  <c r="GU14" i="4" a="1"/>
  <c r="GT15" i="4" a="1"/>
  <c r="FR16" i="4" a="1"/>
  <c r="GR16" i="4" a="1"/>
  <c r="FN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BH96" i="3"/>
  <c r="BM71" i="3"/>
  <c r="BB58" i="3"/>
  <c r="BP93" i="3"/>
  <c r="BI69" i="3"/>
  <c r="BB54" i="3"/>
  <c r="BD61" i="3"/>
  <c r="BH85" i="3"/>
  <c r="BL76" i="3"/>
  <c r="BE94" i="3"/>
  <c r="BI82" i="3"/>
  <c r="BQ92" i="3"/>
  <c r="BR89" i="3"/>
  <c r="BO95" i="3"/>
  <c r="BV58" i="3"/>
  <c r="BT68" i="3"/>
  <c r="BT79" i="3"/>
  <c r="BN77" i="3"/>
  <c r="BF48" i="3"/>
  <c r="BS58" i="3"/>
  <c r="BL50" i="3"/>
  <c r="BM89" i="3"/>
  <c r="BJ81" i="3"/>
  <c r="HH6" i="4" a="1"/>
  <c r="FV5" i="4" a="1"/>
  <c r="FQ12" i="4" a="1"/>
  <c r="GB9" i="4" a="1"/>
  <c r="HE5" i="4" a="1"/>
  <c r="GZ5" i="4" a="1"/>
  <c r="FX8" i="4" a="1"/>
  <c r="GN14" i="4" a="1"/>
  <c r="FL8" i="4" a="1"/>
  <c r="GR12" i="4" a="1"/>
  <c r="FR12" i="4" a="1"/>
  <c r="FQ13" i="4" a="1"/>
  <c r="FH12" i="4" a="1"/>
  <c r="FG13" i="4" a="1"/>
  <c r="HE14" i="4" a="1"/>
  <c r="FV12" i="4" a="1"/>
  <c r="FL15" i="4" a="1"/>
  <c r="FV16" i="4" a="1"/>
  <c r="GX16" i="4" a="1"/>
  <c r="FV15" i="4" a="1"/>
  <c r="GT12" i="4" a="1"/>
  <c r="GD8" i="4" a="1"/>
  <c r="HD13" i="4" a="1"/>
  <c r="HE15" i="4" a="1"/>
  <c r="GY16" i="4" a="1"/>
  <c r="BK84" i="3"/>
  <c r="BA67" i="3"/>
  <c r="BH87" i="3"/>
  <c r="BM64" i="3"/>
  <c r="BG76" i="3"/>
  <c r="BM59" i="3"/>
  <c r="BB97" i="3"/>
  <c r="BG94" i="3"/>
  <c r="BP86" i="3"/>
  <c r="BP58" i="3"/>
  <c r="BB57" i="3"/>
  <c r="BD50" i="3"/>
  <c r="BH67" i="3"/>
  <c r="BL68" i="3"/>
  <c r="BL61" i="3"/>
  <c r="BE97" i="3"/>
  <c r="BF94" i="3"/>
  <c r="BQ97" i="3"/>
  <c r="BR62" i="3"/>
  <c r="BV85" i="3"/>
  <c r="BO66" i="3"/>
  <c r="BO90" i="3"/>
  <c r="BS96" i="3"/>
  <c r="BU62" i="3"/>
  <c r="BU97" i="3"/>
  <c r="BR59" i="3"/>
  <c r="BR83" i="3"/>
  <c r="BV80" i="3"/>
  <c r="BV87" i="3"/>
  <c r="BT55" i="3"/>
  <c r="BN57" i="3"/>
  <c r="BN48" i="3"/>
  <c r="BN83" i="3"/>
  <c r="BF69" i="3"/>
  <c r="BO86" i="3"/>
  <c r="BS54" i="3"/>
  <c r="BL95" i="3"/>
  <c r="BI63" i="3"/>
  <c r="BM58" i="3"/>
  <c r="BJ82" i="3"/>
  <c r="BJ91" i="3"/>
  <c r="BJ77" i="3"/>
  <c r="BK85" i="3"/>
  <c r="BK97" i="3"/>
  <c r="GQ5" i="4" a="1"/>
  <c r="FI6" i="4" a="1"/>
  <c r="FZ6" i="4" a="1"/>
  <c r="GA5" i="4" a="1"/>
  <c r="HC8" i="4" a="1"/>
  <c r="FX9" i="4" a="1"/>
  <c r="FH6" i="4" a="1"/>
  <c r="FV7" i="4" a="1"/>
  <c r="GW12" i="4" a="1"/>
  <c r="GP7" i="4" a="1"/>
  <c r="HC6" i="4" a="1"/>
  <c r="GD13" i="4" a="1"/>
  <c r="FZ7" i="4" a="1"/>
  <c r="GG7" i="4" a="1"/>
  <c r="FP14" i="4" a="1"/>
  <c r="GM7" i="4" a="1"/>
  <c r="FT9" i="4" a="1"/>
  <c r="FL12" i="4" a="1"/>
  <c r="FK11" i="4" a="1"/>
  <c r="FJ12" i="4" a="1"/>
  <c r="FL13" i="4" a="1"/>
  <c r="GI7" i="4" a="1"/>
  <c r="HG11" i="4" a="1"/>
  <c r="HD12" i="4" a="1"/>
  <c r="HC13" i="4" a="1"/>
  <c r="GZ14" i="4" a="1"/>
  <c r="FK12" i="4" a="1"/>
  <c r="HF14" i="4" a="1"/>
  <c r="GV15" i="4" a="1"/>
  <c r="FT16" i="4" a="1"/>
  <c r="GT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A65" i="3"/>
  <c r="BA48" i="3"/>
  <c r="BM66" i="3"/>
  <c r="BG83" i="3"/>
  <c r="BG77" i="3"/>
  <c r="BF61" i="3"/>
  <c r="BT69" i="3"/>
  <c r="BO71" i="3"/>
  <c r="BS92" i="3"/>
  <c r="BU71" i="3"/>
  <c r="BU81" i="3"/>
  <c r="BR75" i="3"/>
  <c r="BR67" i="3"/>
  <c r="BN60" i="3"/>
  <c r="BN91" i="3"/>
  <c r="BO78" i="3"/>
  <c r="BI71" i="3"/>
  <c r="BJ47" i="3"/>
  <c r="BJ55" i="3"/>
  <c r="BK60" i="3"/>
  <c r="BK96" i="3"/>
  <c r="GN6" i="4" a="1"/>
  <c r="GX11" i="4" a="1"/>
  <c r="GG6" i="4" a="1"/>
  <c r="FW7" i="4" a="1"/>
  <c r="FU14" i="4" a="1"/>
  <c r="GW7" i="4" a="1"/>
  <c r="HB13" i="4" a="1"/>
  <c r="FL7" i="4" a="1"/>
  <c r="FO11" i="4" a="1"/>
  <c r="GT7" i="4" a="1"/>
  <c r="HF13" i="4" a="1"/>
  <c r="GX15" i="4" a="1"/>
  <c r="FM15" i="4" a="1"/>
  <c r="GG15" i="4" a="1"/>
  <c r="GA16" i="4" a="1"/>
  <c r="BA93" i="3"/>
  <c r="BC49" i="3"/>
  <c r="BP71" i="3"/>
  <c r="BG80" i="3"/>
  <c r="BF83" i="3"/>
  <c r="CL160" i="1" s="1"/>
  <c r="BB47" i="3"/>
  <c r="BH64" i="3"/>
  <c r="BD94" i="3"/>
  <c r="BI72" i="3"/>
  <c r="BA74" i="3"/>
  <c r="BQ57" i="3"/>
  <c r="BH82" i="3"/>
  <c r="BL82" i="3"/>
  <c r="BE80" i="3"/>
  <c r="BI57" i="3"/>
  <c r="BF93" i="3"/>
  <c r="BQ82" i="3"/>
  <c r="BR54" i="3"/>
  <c r="BT84" i="3"/>
  <c r="BO94" i="3"/>
  <c r="BS73" i="3"/>
  <c r="BS61" i="3"/>
  <c r="BU86" i="3"/>
  <c r="BR88" i="3"/>
  <c r="BR80" i="3"/>
  <c r="BV57" i="3"/>
  <c r="BV92" i="3"/>
  <c r="BT72" i="3"/>
  <c r="BT87" i="3"/>
  <c r="BN59" i="3"/>
  <c r="BN56" i="3"/>
  <c r="BP90" i="3"/>
  <c r="BO47" i="3"/>
  <c r="BS66" i="3"/>
  <c r="BG62" i="3"/>
  <c r="BE89" i="3"/>
  <c r="BI91" i="3"/>
  <c r="BF64" i="3"/>
  <c r="CL149" i="1" s="1"/>
  <c r="BJ76" i="3"/>
  <c r="BJ50" i="3"/>
  <c r="BK77" i="3"/>
  <c r="BK90" i="3"/>
  <c r="GT14" i="4" a="1"/>
  <c r="FN6" i="4" a="1"/>
  <c r="GB8" i="4" a="1"/>
  <c r="GQ13" i="4" a="1"/>
  <c r="GW5" i="4" a="1"/>
  <c r="GR7" i="4" a="1"/>
  <c r="FW15" i="4" a="1"/>
  <c r="HB6" i="4" a="1"/>
  <c r="GZ9" i="4" a="1"/>
  <c r="GO9" i="4" a="1"/>
  <c r="FU8" i="4" a="1"/>
  <c r="HF9" i="4" a="1"/>
  <c r="FQ5" i="4" a="1"/>
  <c r="FG8" i="4" a="1"/>
  <c r="FN11" i="4" a="1"/>
  <c r="FW5" i="4" a="1"/>
  <c r="FJ8" i="4" a="1"/>
  <c r="GV9" i="4" a="1"/>
  <c r="FG15" i="4" a="1"/>
  <c r="GK11" i="4" a="1"/>
  <c r="GH12" i="4" a="1"/>
  <c r="GG13" i="4" a="1"/>
  <c r="GA9" i="4" a="1"/>
  <c r="FX12" i="4" a="1"/>
  <c r="FW13" i="4" a="1"/>
  <c r="FT14" i="4" a="1"/>
  <c r="FN8" i="4" a="1"/>
  <c r="HA13" i="4" a="1"/>
  <c r="GH15" i="4" a="1"/>
  <c r="HH15" i="4" a="1"/>
  <c r="GF16" i="4" a="1"/>
  <c r="HF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A55" i="3"/>
  <c r="BC72" i="3"/>
  <c r="BP76" i="3"/>
  <c r="BE56" i="3"/>
  <c r="BK72" i="3"/>
  <c r="BE55" i="3"/>
  <c r="BD89" i="3"/>
  <c r="BI97" i="3"/>
  <c r="BA97" i="3"/>
  <c r="BH65" i="3"/>
  <c r="BL77" i="3"/>
  <c r="BL89" i="3"/>
  <c r="BE76" i="3"/>
  <c r="BQ68" i="3"/>
  <c r="BQ78" i="3"/>
  <c r="BN88" i="3"/>
  <c r="BO62" i="3"/>
  <c r="BP50" i="3"/>
  <c r="BA63" i="3"/>
  <c r="BC71" i="3"/>
  <c r="BP94" i="3"/>
  <c r="BE62" i="3"/>
  <c r="BF60" i="3"/>
  <c r="CL122" i="1" s="1"/>
  <c r="BB66" i="3"/>
  <c r="BH68" i="3"/>
  <c r="BD83" i="3"/>
  <c r="BI74" i="3"/>
  <c r="BA47" i="3"/>
  <c r="BQ73" i="3"/>
  <c r="BH48" i="3"/>
  <c r="BL94" i="3"/>
  <c r="BE60" i="3"/>
  <c r="BI81" i="3"/>
  <c r="BQ93" i="3"/>
  <c r="BQ69" i="3"/>
  <c r="BV64" i="3"/>
  <c r="BT90" i="3"/>
  <c r="BO57" i="3"/>
  <c r="BS68" i="3"/>
  <c r="BS57" i="3"/>
  <c r="BU77" i="3"/>
  <c r="BR48" i="3"/>
  <c r="BR77" i="3"/>
  <c r="BV72" i="3"/>
  <c r="BV94" i="3"/>
  <c r="BT77" i="3"/>
  <c r="BT54" i="3"/>
  <c r="BN50" i="3"/>
  <c r="BN66" i="3"/>
  <c r="BP74" i="3"/>
  <c r="BO48" i="3"/>
  <c r="BS70" i="3"/>
  <c r="BG47" i="3"/>
  <c r="BE91" i="3"/>
  <c r="BI61" i="3"/>
  <c r="BF57" i="3"/>
  <c r="CL118" i="1" s="1"/>
  <c r="BJ78" i="3"/>
  <c r="BJ61" i="3"/>
  <c r="BK55" i="3"/>
  <c r="BK92" i="3"/>
  <c r="FK15" i="4" a="1"/>
  <c r="GY6" i="4" a="1"/>
  <c r="GZ8" i="4" a="1"/>
  <c r="GF14" i="4" a="1"/>
  <c r="FS6" i="4" a="1"/>
  <c r="GR8" i="4" a="1"/>
  <c r="GO7" i="4" a="1"/>
  <c r="GV7" i="4" a="1"/>
  <c r="FJ11" i="4" a="1"/>
  <c r="FY5" i="4" a="1"/>
  <c r="GS8" i="4" a="1"/>
  <c r="FP11" i="4" a="1"/>
  <c r="GE5" i="4" a="1"/>
  <c r="GI8" i="4" a="1"/>
  <c r="GF11" i="4" a="1"/>
  <c r="FJ5" i="4" a="1"/>
  <c r="GA8" i="4" a="1"/>
  <c r="FH11" i="4" a="1"/>
  <c r="GV5" i="4" a="1"/>
  <c r="GN11" i="4" a="1"/>
  <c r="GM12" i="4" a="1"/>
  <c r="GJ13" i="4" a="1"/>
  <c r="GF9" i="4" a="1"/>
  <c r="GC12" i="4" a="1"/>
  <c r="FZ13" i="4" a="1"/>
  <c r="FY14" i="4" a="1"/>
  <c r="FQ9" i="4" a="1"/>
  <c r="FJ14" i="4" a="1"/>
  <c r="GJ15" i="4" a="1"/>
  <c r="FH16" i="4" a="1"/>
  <c r="GH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BB87" i="3"/>
  <c r="BI59" i="3"/>
  <c r="BV59" i="3"/>
  <c r="BS75" i="3"/>
  <c r="BA70" i="3"/>
  <c r="BG91" i="3"/>
  <c r="BG60" i="3"/>
  <c r="BA76" i="3"/>
  <c r="BL96" i="3"/>
  <c r="BF66" i="3"/>
  <c r="CL151" i="1" s="1"/>
  <c r="BT92" i="3"/>
  <c r="BS86" i="3"/>
  <c r="BR49" i="3"/>
  <c r="BV93" i="3"/>
  <c r="BT96" i="3"/>
  <c r="BN93" i="3"/>
  <c r="BP82" i="3"/>
  <c r="BS76" i="3"/>
  <c r="BE59" i="3"/>
  <c r="BF72" i="3"/>
  <c r="CL135" i="1" s="1"/>
  <c r="BA50" i="3"/>
  <c r="BG81" i="3"/>
  <c r="BG95" i="3"/>
  <c r="BA78" i="3"/>
  <c r="BL80" i="3"/>
  <c r="BF82" i="3"/>
  <c r="CL145" i="1" s="1"/>
  <c r="BT80" i="3"/>
  <c r="BS69" i="3"/>
  <c r="BR78" i="3"/>
  <c r="BV88" i="3"/>
  <c r="BT47" i="3"/>
  <c r="BN55" i="3"/>
  <c r="BF77" i="3"/>
  <c r="CL140" i="1" s="1"/>
  <c r="BS89" i="3"/>
  <c r="BE77" i="3"/>
  <c r="BJ49" i="3"/>
  <c r="BJ73" i="3"/>
  <c r="BK49" i="3"/>
  <c r="GU8" i="4" a="1"/>
  <c r="HA9" i="4" a="1"/>
  <c r="GJ6" i="4" a="1"/>
  <c r="FQ6" i="4" a="1"/>
  <c r="GV6" i="4" a="1"/>
  <c r="FI12" i="4" a="1"/>
  <c r="GL7" i="4" a="1"/>
  <c r="GS6" i="4" a="1"/>
  <c r="FS7" i="4" a="1"/>
  <c r="HD11" i="4" a="1"/>
  <c r="GZ13" i="4" a="1"/>
  <c r="GV12" i="4" a="1"/>
  <c r="GR14" i="4" a="1"/>
  <c r="GP14" i="4" a="1"/>
  <c r="FP16" i="4" a="1"/>
  <c r="FH13" i="4" a="1"/>
  <c r="HB14" i="4" a="1"/>
  <c r="FP13" i="4" a="1"/>
  <c r="GY15" i="4" a="1"/>
  <c r="GS16" i="4" a="1"/>
  <c r="BC95" i="3"/>
  <c r="BC87" i="3"/>
  <c r="BD58" i="3"/>
  <c r="Y113" i="2"/>
  <c r="BN74" i="3"/>
  <c r="BI75" i="3"/>
  <c r="BJ60" i="3"/>
  <c r="BK71" i="3"/>
  <c r="HB5" i="4" a="1"/>
  <c r="FH7" i="4" a="1"/>
  <c r="GV8" i="4" a="1"/>
  <c r="FW12" i="4" a="1"/>
  <c r="FJ13" i="4" a="1"/>
  <c r="HH14" i="4" a="1"/>
  <c r="FP15" i="4" a="1"/>
  <c r="FZ16" i="4" a="1"/>
  <c r="GP6" i="4" a="1"/>
  <c r="FT15" i="4" a="1"/>
  <c r="FG14" i="4" a="1"/>
  <c r="HA16" i="4" a="1"/>
  <c r="BC68" i="3"/>
  <c r="GO5" i="4" a="1"/>
  <c r="GU9" i="4" a="1"/>
  <c r="BC66" i="3"/>
  <c r="BQ77" i="3"/>
  <c r="BM70" i="3"/>
  <c r="BE90" i="3"/>
  <c r="BA61" i="3"/>
  <c r="BL91" i="3"/>
  <c r="BQ70" i="3"/>
  <c r="BN92" i="3"/>
  <c r="BS50" i="3"/>
  <c r="BR95" i="3"/>
  <c r="BV74" i="3"/>
  <c r="BT82" i="3"/>
  <c r="AA112" i="2"/>
  <c r="BP63" i="3"/>
  <c r="BJ85" i="3"/>
  <c r="FG9" i="4" a="1"/>
  <c r="FK13" i="4" a="1"/>
  <c r="GB7" i="4" a="1"/>
  <c r="FX14" i="4" a="1"/>
  <c r="HH5" i="4" a="1"/>
  <c r="FN13" i="4" a="1"/>
  <c r="FM8" i="4" a="1"/>
  <c r="HG15" i="4" a="1"/>
  <c r="BC75" i="3"/>
  <c r="BD67" i="3"/>
  <c r="Z112" i="2"/>
  <c r="FZ9" i="4" a="1"/>
  <c r="BH70" i="3"/>
  <c r="BM67" i="3"/>
  <c r="BP97" i="3"/>
  <c r="BD73" i="3"/>
  <c r="BE83" i="3"/>
  <c r="BQ67" i="3"/>
  <c r="BO76" i="3"/>
  <c r="BF91" i="3"/>
  <c r="CL154" i="1" s="1"/>
  <c r="BR85" i="3"/>
  <c r="BV78" i="3"/>
  <c r="BT65" i="3"/>
  <c r="BN94" i="3"/>
  <c r="AA111" i="2"/>
  <c r="BP65" i="3"/>
  <c r="BI79" i="3"/>
  <c r="BJ66" i="3"/>
  <c r="BK73" i="3"/>
  <c r="BK79" i="3"/>
  <c r="GE9" i="4" a="1"/>
  <c r="GC6" i="4" a="1"/>
  <c r="GI13" i="4" a="1"/>
  <c r="FP8" i="4" a="1"/>
  <c r="GK7" i="4" a="1"/>
  <c r="GV14" i="4" a="1"/>
  <c r="GR9" i="4" a="1"/>
  <c r="FP7" i="4" a="1"/>
  <c r="FM14" i="4" a="1"/>
  <c r="FZ12" i="4" a="1"/>
  <c r="FK9" i="4" a="1"/>
  <c r="FO13" i="4" a="1"/>
  <c r="FO6" i="4" a="1"/>
  <c r="FS15" i="4" a="1"/>
  <c r="GB16" i="4" a="1"/>
  <c r="GJ7" i="4" a="1"/>
  <c r="FX15" i="4" a="1"/>
  <c r="FR14" i="4" a="1"/>
  <c r="FG16" i="4" a="1"/>
  <c r="HC16" i="4" a="1"/>
  <c r="BC64" i="3"/>
  <c r="BC76" i="3"/>
  <c r="BD63" i="3"/>
  <c r="BQ55" i="3"/>
  <c r="BQ81" i="3"/>
  <c r="BO89" i="3"/>
  <c r="BU80" i="3"/>
  <c r="BT60" i="3"/>
  <c r="BN68" i="3"/>
  <c r="BO69" i="3"/>
  <c r="BI50" i="3"/>
  <c r="BJ80" i="3"/>
  <c r="GE15" i="4" a="1"/>
  <c r="FR9" i="4" a="1"/>
  <c r="GQ6" i="4" a="1"/>
  <c r="GX8" i="4" a="1"/>
  <c r="GP5" i="4" a="1"/>
  <c r="FN5" i="4" a="1"/>
  <c r="GY7" i="4" a="1"/>
  <c r="HA8" i="4" a="1"/>
  <c r="FR8" i="4" a="1"/>
  <c r="GP12" i="4" a="1"/>
  <c r="GE13" i="4" a="1"/>
  <c r="GL9" i="4" a="1"/>
  <c r="GL15" i="4" a="1"/>
  <c r="GJ16" i="4" a="1"/>
  <c r="GD12" i="4" a="1"/>
  <c r="GX14" i="4" a="1"/>
  <c r="GG9" i="4" a="1"/>
  <c r="BC83" i="3"/>
  <c r="BD66" i="3"/>
  <c r="Z111" i="2"/>
  <c r="BH83" i="3"/>
  <c r="BE87" i="3"/>
  <c r="BO67" i="3"/>
  <c r="BV63" i="3"/>
  <c r="BT62" i="3"/>
  <c r="BO54" i="3"/>
  <c r="BM69" i="3"/>
  <c r="BK83" i="3"/>
  <c r="FM5" i="4" a="1"/>
  <c r="GH9" i="4" a="1"/>
  <c r="HG6" i="4" a="1"/>
  <c r="GS9" i="4" a="1"/>
  <c r="GS5" i="4" a="1"/>
  <c r="FL6" i="4" a="1"/>
  <c r="FZ5" i="4" a="1"/>
  <c r="HF5" i="4" a="1"/>
  <c r="GU12" i="4" a="1"/>
  <c r="GC13" i="4" a="1"/>
  <c r="GY9" i="4" a="1"/>
  <c r="BC78" i="3"/>
  <c r="BH94" i="3"/>
  <c r="BO60" i="3"/>
  <c r="BM85" i="3"/>
  <c r="FP5" i="4" a="1"/>
  <c r="GE8" i="4" a="1"/>
  <c r="HF11" i="4" a="1"/>
  <c r="GK6" i="4" a="1"/>
  <c r="HE9" i="4" a="1"/>
  <c r="GU13" i="4" a="1"/>
  <c r="GR15" i="4" a="1"/>
  <c r="FH15" i="4" a="1"/>
  <c r="FU16" i="4" a="1"/>
  <c r="GZ11" i="4" a="1"/>
  <c r="BD72" i="3"/>
  <c r="BD81" i="3"/>
  <c r="BN49" i="3"/>
  <c r="BI90" i="3"/>
  <c r="BS83" i="3"/>
  <c r="BT63" i="3"/>
  <c r="BO91" i="3"/>
  <c r="BM55" i="3"/>
  <c r="GA7" i="4" a="1"/>
  <c r="GT6" i="4" a="1"/>
  <c r="FJ15" i="4" a="1"/>
  <c r="FT13" i="4" a="1"/>
  <c r="FI14" i="4" a="1"/>
  <c r="GZ15" i="4" a="1"/>
  <c r="FM13" i="4" a="1"/>
  <c r="GC16" i="4" a="1"/>
  <c r="BC61" i="3"/>
  <c r="GJ12" i="4" a="1"/>
  <c r="FO15" i="4" a="1"/>
  <c r="FM7" i="4" a="1"/>
  <c r="GJ8" i="4" a="1"/>
  <c r="GA11" i="4" a="1"/>
  <c r="FP12" i="4" a="1"/>
  <c r="FL14" i="4" a="1"/>
  <c r="BD59" i="3"/>
  <c r="BH66" i="3"/>
  <c r="BM62" i="3"/>
  <c r="BD70" i="3"/>
  <c r="BQ50" i="3"/>
  <c r="BE84" i="3"/>
  <c r="BQ71" i="3"/>
  <c r="BO84" i="3"/>
  <c r="BU69" i="3"/>
  <c r="BR66" i="3"/>
  <c r="BV82" i="3"/>
  <c r="BT83" i="3"/>
  <c r="BN71" i="3"/>
  <c r="AA113" i="2"/>
  <c r="BG82" i="3"/>
  <c r="BI77" i="3"/>
  <c r="BJ68" i="3"/>
  <c r="BK81" i="3"/>
  <c r="BK89" i="3"/>
  <c r="GH6" i="4" a="1"/>
  <c r="HD6" i="4" a="1"/>
  <c r="HG13" i="4" a="1"/>
  <c r="GN8" i="4" a="1"/>
  <c r="HD7" i="4" a="1"/>
  <c r="GZ7" i="4" a="1"/>
  <c r="HD9" i="4" a="1"/>
  <c r="GN7" i="4" a="1"/>
  <c r="GK14" i="4" a="1"/>
  <c r="GE12" i="4" a="1"/>
  <c r="FP9" i="4" a="1"/>
  <c r="FR13" i="4" a="1"/>
  <c r="FY7" i="4" a="1"/>
  <c r="GF15" i="4" a="1"/>
  <c r="GD16" i="4" a="1"/>
  <c r="FV8" i="4" a="1"/>
  <c r="GA15" i="4" a="1"/>
  <c r="FW14" i="4" a="1"/>
  <c r="FI16" i="4" a="1"/>
  <c r="HE16" i="4" a="1"/>
  <c r="BC84" i="3"/>
  <c r="BC62" i="3"/>
  <c r="BD79" i="3"/>
  <c r="BD49" i="3"/>
  <c r="BV96" i="3"/>
  <c r="BK88" i="3"/>
  <c r="GI11" i="4" a="1"/>
  <c r="GQ9" i="4" a="1"/>
  <c r="FO16" i="4" a="1"/>
  <c r="BD48" i="3"/>
  <c r="BC58" i="3"/>
  <c r="BU48" i="3"/>
  <c r="BQ96" i="3"/>
  <c r="BU73" i="3"/>
  <c r="BR96" i="3"/>
  <c r="BN70" i="3"/>
  <c r="BG90" i="3"/>
  <c r="BJ96" i="3"/>
  <c r="HC11" i="4" a="1"/>
  <c r="FN9" i="4" a="1"/>
  <c r="GL11" i="4" a="1"/>
  <c r="GM13" i="4" a="1"/>
  <c r="HC9" i="4" a="1"/>
  <c r="GN15" i="4" a="1"/>
  <c r="GL16" i="4" a="1"/>
  <c r="HG9" i="4" a="1"/>
  <c r="HC14" i="4" a="1"/>
  <c r="FQ16" i="4" a="1"/>
  <c r="BD84" i="3"/>
  <c r="BM60" i="3"/>
  <c r="BB69" i="3"/>
  <c r="BI73" i="3"/>
  <c r="BR92" i="3"/>
  <c r="BS71" i="3"/>
  <c r="BR73" i="3"/>
  <c r="BT97" i="3"/>
  <c r="BJ97" i="3"/>
  <c r="FZ11" i="4" a="1"/>
  <c r="HG7" i="4" a="1"/>
  <c r="GW6" i="4" a="1"/>
  <c r="HC12" i="4" a="1"/>
  <c r="GG11" i="4" a="1"/>
  <c r="GP16" i="4" a="1"/>
  <c r="FQ15" i="4" a="1"/>
  <c r="BC77" i="3"/>
  <c r="BB74" i="3"/>
  <c r="BH92" i="3"/>
  <c r="BR50" i="3"/>
  <c r="BU90" i="3"/>
  <c r="BV62" i="3"/>
  <c r="BN79" i="3"/>
  <c r="BE49" i="3"/>
  <c r="BJ62" i="3"/>
  <c r="BK87" i="3"/>
  <c r="FT12" i="4" a="1"/>
  <c r="GS14" i="4" a="1"/>
  <c r="FK8" i="4" a="1"/>
  <c r="FW11" i="4" a="1"/>
  <c r="FM12" i="4" a="1"/>
  <c r="GQ12" i="4" a="1"/>
  <c r="GZ16" i="4" a="1"/>
  <c r="GI15" i="4" a="1"/>
  <c r="FS14" i="4" a="1"/>
  <c r="BD60" i="3"/>
  <c r="GH7" i="4" a="1"/>
  <c r="FY13" i="4" a="1"/>
  <c r="HB12" i="4" a="1"/>
  <c r="HB16" i="4" a="1"/>
  <c r="GE16" i="4" a="1"/>
  <c r="BL72" i="3"/>
  <c r="BF84" i="3"/>
  <c r="CL146" i="1" s="1"/>
  <c r="BE72" i="3"/>
  <c r="BR69" i="3"/>
  <c r="BG84" i="3"/>
  <c r="FV11" i="4" a="1"/>
  <c r="BD80" i="3"/>
  <c r="BI62" i="3"/>
  <c r="BU89" i="3"/>
  <c r="BV97" i="3"/>
  <c r="BN73" i="3"/>
  <c r="BH89" i="3"/>
  <c r="BK58" i="3"/>
  <c r="FX5" i="4" a="1"/>
  <c r="GZ12" i="4" a="1"/>
  <c r="GY11" i="4" a="1"/>
  <c r="GJ11" i="4" a="1"/>
  <c r="BI89" i="3"/>
  <c r="BN97" i="3"/>
  <c r="FJ7" i="4" a="1"/>
  <c r="GU7" i="4" a="1"/>
  <c r="GF8" i="4" a="1"/>
  <c r="HH8" i="4" a="1"/>
  <c r="BD95" i="3"/>
  <c r="FL9" i="4" a="1"/>
  <c r="GK15" i="4" a="1"/>
  <c r="BN84" i="3"/>
  <c r="BB63" i="3"/>
  <c r="BI95" i="3"/>
  <c r="BH80" i="3"/>
  <c r="BI47" i="3"/>
  <c r="BR63" i="3"/>
  <c r="BS85" i="3"/>
  <c r="BU88" i="3"/>
  <c r="BV50" i="3"/>
  <c r="BT58" i="3"/>
  <c r="BN89" i="3"/>
  <c r="BP54" i="3"/>
  <c r="BO93" i="3"/>
  <c r="BE47" i="3"/>
  <c r="BF68" i="3"/>
  <c r="CL134" i="1" s="1"/>
  <c r="BJ64" i="3"/>
  <c r="BK62" i="3"/>
  <c r="BP67" i="3"/>
  <c r="BG55" i="3"/>
  <c r="BB78" i="3"/>
  <c r="BI96" i="3"/>
  <c r="BL58" i="3"/>
  <c r="BI85" i="3"/>
  <c r="BV56" i="3"/>
  <c r="BS65" i="3"/>
  <c r="BU64" i="3"/>
  <c r="BV79" i="3"/>
  <c r="BT59" i="3"/>
  <c r="BN67" i="3"/>
  <c r="BP69" i="3"/>
  <c r="BO96" i="3"/>
  <c r="BE79" i="3"/>
  <c r="BF74" i="3"/>
  <c r="BJ92" i="3"/>
  <c r="BK76" i="3"/>
  <c r="HF7" i="4" a="1"/>
  <c r="HE12" i="4" a="1"/>
  <c r="GJ9" i="4" a="1"/>
  <c r="FK6" i="4" a="1"/>
  <c r="FI7" i="4" a="1"/>
  <c r="GT9" i="4" a="1"/>
  <c r="GF7" i="4" a="1"/>
  <c r="GD9" i="4" a="1"/>
  <c r="HG8" i="4" a="1"/>
  <c r="GE11" i="4" a="1"/>
  <c r="GB13" i="4" a="1"/>
  <c r="FU12" i="4" a="1"/>
  <c r="FQ14" i="4" a="1"/>
  <c r="FU13" i="4" a="1"/>
  <c r="HF15" i="4" a="1"/>
  <c r="HD16" i="4" a="1"/>
  <c r="GS13" i="4" a="1"/>
  <c r="FI11" i="4" a="1"/>
  <c r="GM15" i="4" a="1"/>
  <c r="GG16" i="4" a="1"/>
  <c r="BC54" i="3"/>
  <c r="BC79" i="3"/>
  <c r="BD97" i="3"/>
  <c r="BA87" i="3"/>
  <c r="BG65" i="3"/>
  <c r="BG97" i="3"/>
  <c r="BA64" i="3"/>
  <c r="BL60" i="3"/>
  <c r="BF78" i="3"/>
  <c r="CL142" i="1" s="1"/>
  <c r="BT50" i="3"/>
  <c r="BS91" i="3"/>
  <c r="BU70" i="3"/>
  <c r="BV67" i="3"/>
  <c r="BT88" i="3"/>
  <c r="BN54" i="3"/>
  <c r="BP79" i="3"/>
  <c r="BS74" i="3"/>
  <c r="BE65" i="3"/>
  <c r="BF96" i="3"/>
  <c r="CL163" i="1" s="1"/>
  <c r="BJ63" i="3"/>
  <c r="BK94" i="3"/>
  <c r="FU7" i="4" a="1"/>
  <c r="HA14" i="4" a="1"/>
  <c r="FM9" i="4" a="1"/>
  <c r="FQ8" i="4" a="1"/>
  <c r="GI5" i="4" a="1"/>
  <c r="HD5" i="4" a="1"/>
  <c r="GW8" i="4" a="1"/>
  <c r="FR5" i="4" a="1"/>
  <c r="FT11" i="4" a="1"/>
  <c r="GS11" i="4" a="1"/>
  <c r="GO13" i="4" a="1"/>
  <c r="GF12" i="4" a="1"/>
  <c r="GG14" i="4" a="1"/>
  <c r="FO14" i="4" a="1"/>
  <c r="FJ16" i="4" a="1"/>
  <c r="HE7" i="4" a="1"/>
  <c r="FV14" i="4" a="1"/>
  <c r="HH11" i="4" a="1"/>
  <c r="GS15" i="4" a="1"/>
  <c r="GM16" i="4" a="1"/>
  <c r="BC96" i="3"/>
  <c r="BC69" i="3"/>
  <c r="BD65" i="3"/>
  <c r="BJ65" i="3"/>
  <c r="BK56" i="3"/>
  <c r="GS7" i="4" a="1"/>
  <c r="FR15" i="4" a="1"/>
  <c r="GP9" i="4" a="1"/>
  <c r="GC8" i="4" a="1"/>
  <c r="FT5" i="4" a="1"/>
  <c r="FH9" i="4" a="1"/>
  <c r="GU5" i="4" a="1"/>
  <c r="GD5" i="4" a="1"/>
  <c r="GD11" i="4" a="1"/>
  <c r="GV11" i="4" a="1"/>
  <c r="GR13" i="4" a="1"/>
  <c r="GK12" i="4" a="1"/>
  <c r="GJ14" i="4" a="1"/>
  <c r="FZ14" i="4" a="1"/>
  <c r="FL16" i="4" a="1"/>
  <c r="GO11" i="4" a="1"/>
  <c r="GA14" i="4" a="1"/>
  <c r="GL12" i="4" a="1"/>
  <c r="GU15" i="4" a="1"/>
  <c r="GO16" i="4" a="1"/>
  <c r="BC67" i="3"/>
  <c r="BC74" i="3"/>
  <c r="BD57" i="3"/>
  <c r="BC48" i="3"/>
  <c r="GE6" i="4" a="1"/>
  <c r="HD15" i="4" a="1"/>
  <c r="FX13" i="4" a="1"/>
  <c r="BC55" i="3"/>
  <c r="BD90" i="3"/>
  <c r="CO20" i="1" l="1"/>
  <c r="CS20" i="1" s="1"/>
  <c r="CL179" i="1"/>
  <c r="CL183" i="1"/>
  <c r="CL143" i="1"/>
  <c r="CL180" i="1"/>
  <c r="CL137" i="1"/>
  <c r="CH140" i="1"/>
  <c r="CI140" i="1" s="1"/>
  <c r="AA202" i="1"/>
  <c r="X179" i="1"/>
  <c r="CL98" i="1"/>
  <c r="CL99" i="1" s="1"/>
  <c r="X10" i="1"/>
  <c r="CL16" i="1"/>
  <c r="CK65" i="1"/>
  <c r="CK98" i="1"/>
  <c r="X148" i="1"/>
  <c r="Y231" i="1"/>
  <c r="Y183" i="1"/>
  <c r="CL161" i="1"/>
  <c r="CL138" i="1"/>
  <c r="CL148" i="1"/>
  <c r="CL120" i="1"/>
  <c r="CL128" i="1"/>
  <c r="CL156" i="1"/>
  <c r="CL185" i="1" s="1"/>
  <c r="CL184" i="1" s="1"/>
  <c r="CK99" i="1"/>
  <c r="CK26" i="1"/>
  <c r="X180" i="1"/>
  <c r="Y252" i="1"/>
  <c r="Z148" i="1"/>
  <c r="Y148" i="1"/>
  <c r="Y182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R16" i="4" s="1"/>
  <c r="KB9" i="4" s="1"/>
  <c r="CJ150" i="1"/>
  <c r="KA16" i="4" s="1"/>
  <c r="JY16" i="4" s="1"/>
  <c r="JX9" i="4" s="1"/>
  <c r="JZ9" i="4" s="1"/>
  <c r="JR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59" i="1"/>
  <c r="KF16" i="4" s="1"/>
  <c r="KF21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K73" i="1"/>
  <c r="KB16" i="4" s="1"/>
  <c r="KB21" i="4" s="1"/>
  <c r="CJ146" i="1"/>
  <c r="JS16" i="4" s="1"/>
  <c r="CJ73" i="1"/>
  <c r="CJ143" i="1"/>
  <c r="KG16" i="4" s="1"/>
  <c r="JQ16" i="4" s="1"/>
  <c r="JV14" i="4" s="1"/>
  <c r="JX16" i="4" s="1"/>
  <c r="JX21" i="4" s="1"/>
  <c r="Z74" i="1"/>
  <c r="CJ133" i="1"/>
  <c r="CK133" i="1" s="1"/>
  <c r="CJ144" i="1"/>
  <c r="CJ179" i="1" s="1"/>
  <c r="CK179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U16" i="4" s="1"/>
  <c r="KG9" i="4" s="1"/>
  <c r="KE9" i="4" s="1"/>
  <c r="KC9" i="4" s="1"/>
  <c r="CJ151" i="1"/>
  <c r="JY9" i="4" s="1"/>
  <c r="JZ16" i="4" s="1"/>
  <c r="JZ21" i="4" s="1"/>
  <c r="JT9" i="4" s="1"/>
  <c r="CJ125" i="1"/>
  <c r="JT14" i="4" s="1"/>
  <c r="Z73" i="1"/>
  <c r="CJ119" i="1"/>
  <c r="KC16" i="4" s="1"/>
  <c r="KC21" i="4" s="1"/>
  <c r="CG74" i="1"/>
  <c r="CJ152" i="1"/>
  <c r="KC15" i="4" s="1"/>
  <c r="KH16" i="4" s="1"/>
  <c r="JR14" i="4" s="1"/>
  <c r="CJ160" i="1"/>
  <c r="CJ153" i="1"/>
  <c r="CJ183" i="1" s="1"/>
  <c r="CK183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J137" i="1"/>
  <c r="CK137" i="1" s="1"/>
  <c r="CI73" i="1"/>
  <c r="JW16" i="4" s="1"/>
  <c r="CJ134" i="1"/>
  <c r="CK33" i="1" s="1"/>
  <c r="CJ154" i="1"/>
  <c r="JV9" i="4" s="1"/>
  <c r="CJ74" i="1"/>
  <c r="KE16" i="4" s="1"/>
  <c r="CJ149" i="1"/>
  <c r="JT16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H9" i="4" s="1"/>
  <c r="KA9" i="4" s="1"/>
  <c r="JS9" i="4" s="1"/>
  <c r="JQ9" i="4" s="1"/>
  <c r="JU8" i="4" s="1"/>
  <c r="CK74" i="1"/>
  <c r="CJ142" i="1"/>
  <c r="CH73" i="1"/>
  <c r="JQ8" i="4" s="1"/>
  <c r="CJ155" i="1"/>
  <c r="CJ124" i="1"/>
  <c r="CK124" i="1" s="1"/>
  <c r="CG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D16" i="4" s="1"/>
  <c r="JV16" i="4" s="1"/>
  <c r="JV21" i="4" s="1"/>
  <c r="JU9" i="4" s="1"/>
  <c r="KF9" i="4" s="1"/>
  <c r="X73" i="1"/>
  <c r="CJ147" i="1"/>
  <c r="Y74" i="1"/>
  <c r="CI74" i="1"/>
  <c r="Z154" i="1"/>
  <c r="CH154" i="1" s="1"/>
  <c r="CH156" i="1" s="1"/>
  <c r="CH185" i="1" s="1"/>
  <c r="Y179" i="1"/>
  <c r="CK10" i="1"/>
  <c r="X183" i="1"/>
  <c r="X252" i="1"/>
  <c r="Y134" i="1"/>
  <c r="Z252" i="1"/>
  <c r="Y10" i="1"/>
  <c r="Y161" i="1"/>
  <c r="Z209" i="1" s="1"/>
  <c r="Y173" i="1"/>
  <c r="Y26" i="1"/>
  <c r="Y27" i="1" s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CM124" i="1"/>
  <c r="CW163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M137" i="1" l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W9" i="4" s="1"/>
  <c r="KD9" i="4" s="1"/>
  <c r="CI202" i="1"/>
  <c r="X157" i="1"/>
  <c r="CW20" i="1"/>
  <c r="DA20" i="1" s="1"/>
  <c r="X27" i="1"/>
  <c r="X182" i="1"/>
  <c r="Y196" i="1"/>
  <c r="X98" i="1"/>
  <c r="X16" i="1"/>
  <c r="Z182" i="1"/>
  <c r="AA196" i="1"/>
  <c r="Z175" i="1"/>
  <c r="AA207" i="1"/>
  <c r="AA188" i="1"/>
  <c r="AA11" i="1"/>
  <c r="AA249" i="1"/>
  <c r="AA206" i="1"/>
  <c r="JW21" i="4"/>
  <c r="KF14" i="4"/>
  <c r="KF19" i="4" s="1"/>
  <c r="KB7" i="4"/>
  <c r="JR8" i="4"/>
  <c r="KH14" i="4"/>
  <c r="JT21" i="4"/>
  <c r="KE14" i="4"/>
  <c r="KE19" i="4" s="1"/>
  <c r="KB14" i="4"/>
  <c r="KB19" i="4" s="1"/>
  <c r="KH21" i="4"/>
  <c r="KG7" i="4"/>
  <c r="KH8" i="4"/>
  <c r="KF15" i="4"/>
  <c r="KD8" i="4"/>
  <c r="JU21" i="4"/>
  <c r="JY8" i="4"/>
  <c r="KE7" i="4"/>
  <c r="CJ161" i="1"/>
  <c r="JT7" i="4"/>
  <c r="JT19" i="4" s="1"/>
  <c r="CL17" i="1"/>
  <c r="CL28" i="1"/>
  <c r="CL248" i="1"/>
  <c r="CL246" i="1"/>
  <c r="CL157" i="1"/>
  <c r="CL165" i="1" s="1"/>
  <c r="CL182" i="1"/>
  <c r="CL92" i="1"/>
  <c r="CL129" i="1"/>
  <c r="CL168" i="1"/>
  <c r="CL109" i="1" s="1"/>
  <c r="JR21" i="4"/>
  <c r="CL77" i="1" s="1"/>
  <c r="KE8" i="4"/>
  <c r="KH15" i="4"/>
  <c r="KH20" i="4" s="1"/>
  <c r="JU14" i="4"/>
  <c r="JZ15" i="4"/>
  <c r="KG21" i="4"/>
  <c r="JQ21" i="4"/>
  <c r="CK77" i="1" s="1"/>
  <c r="CK102" i="1" s="1"/>
  <c r="JV8" i="4"/>
  <c r="JQ15" i="4"/>
  <c r="JQ20" i="4" s="1"/>
  <c r="CK79" i="1" s="1"/>
  <c r="KD14" i="4"/>
  <c r="JY15" i="4"/>
  <c r="JY20" i="4" s="1"/>
  <c r="JY14" i="4"/>
  <c r="JX15" i="4"/>
  <c r="JS7" i="4"/>
  <c r="KB8" i="4"/>
  <c r="CJ128" i="1"/>
  <c r="JX8" i="4"/>
  <c r="JW8" i="4"/>
  <c r="CK140" i="1"/>
  <c r="CJ202" i="1"/>
  <c r="CK16" i="1"/>
  <c r="CL188" i="1"/>
  <c r="CL12" i="1"/>
  <c r="CI16" i="1"/>
  <c r="CL244" i="1"/>
  <c r="CL225" i="1"/>
  <c r="KA8" i="4"/>
  <c r="KF7" i="4"/>
  <c r="JS8" i="4"/>
  <c r="KE21" i="4"/>
  <c r="KB15" i="4"/>
  <c r="JZ7" i="4"/>
  <c r="JY7" i="4"/>
  <c r="Z156" i="1"/>
  <c r="AA197" i="1" s="1"/>
  <c r="JZ8" i="4"/>
  <c r="KA15" i="4"/>
  <c r="KA20" i="4" s="1"/>
  <c r="JW15" i="4"/>
  <c r="JR7" i="4"/>
  <c r="JR19" i="4" s="1"/>
  <c r="CL78" i="1" s="1"/>
  <c r="CJ156" i="1"/>
  <c r="CJ185" i="1" s="1"/>
  <c r="CJ184" i="1" s="1"/>
  <c r="CK184" i="1" s="1"/>
  <c r="JW7" i="4"/>
  <c r="JY21" i="4"/>
  <c r="JX14" i="4"/>
  <c r="KG15" i="4"/>
  <c r="JX7" i="4"/>
  <c r="JW14" i="4"/>
  <c r="JW19" i="4" s="1"/>
  <c r="JQ7" i="4"/>
  <c r="KG8" i="4"/>
  <c r="KD7" i="4"/>
  <c r="KC7" i="4"/>
  <c r="KA7" i="4"/>
  <c r="JV15" i="4"/>
  <c r="KF8" i="4"/>
  <c r="JR15" i="4"/>
  <c r="JR20" i="4" s="1"/>
  <c r="CL79" i="1" s="1"/>
  <c r="KG14" i="4"/>
  <c r="KC14" i="4"/>
  <c r="KC19" i="4" s="1"/>
  <c r="JS14" i="4"/>
  <c r="JS19" i="4" s="1"/>
  <c r="Z196" i="1"/>
  <c r="CK125" i="1"/>
  <c r="CK128" i="1" s="1"/>
  <c r="JU15" i="4"/>
  <c r="JU20" i="4" s="1"/>
  <c r="CJ148" i="1"/>
  <c r="KA14" i="4"/>
  <c r="KA19" i="4" s="1"/>
  <c r="KE15" i="4"/>
  <c r="JT15" i="4"/>
  <c r="JQ14" i="4"/>
  <c r="JQ19" i="4" s="1"/>
  <c r="CK78" i="1" s="1"/>
  <c r="JT8" i="4"/>
  <c r="KD15" i="4"/>
  <c r="KC8" i="4"/>
  <c r="JU7" i="4"/>
  <c r="KD21" i="4"/>
  <c r="KA21" i="4"/>
  <c r="JZ14" i="4"/>
  <c r="JV7" i="4"/>
  <c r="JV19" i="4" s="1"/>
  <c r="JS15" i="4"/>
  <c r="JS21" i="4"/>
  <c r="KH7" i="4"/>
  <c r="KC20" i="4"/>
  <c r="CK11" i="1"/>
  <c r="CK12" i="1"/>
  <c r="CJ120" i="1"/>
  <c r="CJ92" i="1" s="1"/>
  <c r="CJ94" i="1" s="1"/>
  <c r="CJ131" i="1"/>
  <c r="CK131" i="1" s="1"/>
  <c r="CK27" i="1"/>
  <c r="CJ138" i="1"/>
  <c r="Y138" i="1"/>
  <c r="Y33" i="1"/>
  <c r="Y98" i="1"/>
  <c r="Y188" i="1"/>
  <c r="Y16" i="1"/>
  <c r="Y11" i="1"/>
  <c r="CH179" i="1"/>
  <c r="CI179" i="1" s="1"/>
  <c r="CH148" i="1"/>
  <c r="Z248" i="1"/>
  <c r="Z27" i="1"/>
  <c r="CH131" i="1"/>
  <c r="Z134" i="1"/>
  <c r="AB133" i="1"/>
  <c r="CQ133" i="1"/>
  <c r="CR133" i="1" s="1"/>
  <c r="CS133" i="1" s="1"/>
  <c r="CT133" i="1" s="1"/>
  <c r="CG27" i="1"/>
  <c r="CG16" i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AA198" i="1" l="1"/>
  <c r="AA199" i="1" s="1"/>
  <c r="Y198" i="1"/>
  <c r="Z181" i="1"/>
  <c r="CK17" i="1"/>
  <c r="CK209" i="1"/>
  <c r="X28" i="1"/>
  <c r="X17" i="1"/>
  <c r="X181" i="1"/>
  <c r="AA205" i="1"/>
  <c r="JY19" i="4"/>
  <c r="JX19" i="4"/>
  <c r="JV20" i="4"/>
  <c r="KF20" i="4"/>
  <c r="KG19" i="4"/>
  <c r="KE20" i="4"/>
  <c r="JT20" i="4"/>
  <c r="KD20" i="4"/>
  <c r="JZ19" i="4"/>
  <c r="KH19" i="4"/>
  <c r="JZ20" i="4"/>
  <c r="JX20" i="4"/>
  <c r="KB20" i="4"/>
  <c r="JS20" i="4"/>
  <c r="CK18" i="1"/>
  <c r="CK19" i="1"/>
  <c r="CL202" i="1"/>
  <c r="CK202" i="1"/>
  <c r="CI17" i="1"/>
  <c r="CI28" i="1"/>
  <c r="Z157" i="1"/>
  <c r="Z185" i="1"/>
  <c r="CL232" i="1"/>
  <c r="CL233" i="1" s="1"/>
  <c r="CL34" i="1"/>
  <c r="CL38" i="1" s="1"/>
  <c r="CL29" i="1"/>
  <c r="CL186" i="1"/>
  <c r="CL181" i="1"/>
  <c r="CL102" i="1"/>
  <c r="CL94" i="1"/>
  <c r="CL19" i="1"/>
  <c r="CK28" i="1"/>
  <c r="CL166" i="1"/>
  <c r="JW20" i="4"/>
  <c r="KD19" i="4"/>
  <c r="CJ244" i="1"/>
  <c r="JU19" i="4"/>
  <c r="Y203" i="1"/>
  <c r="Y201" i="1" s="1"/>
  <c r="CJ249" i="1"/>
  <c r="CJ206" i="1"/>
  <c r="CL103" i="1"/>
  <c r="CL95" i="1"/>
  <c r="CL107" i="1"/>
  <c r="CL110" i="1" s="1"/>
  <c r="CL104" i="1"/>
  <c r="CL96" i="1"/>
  <c r="CL108" i="1"/>
  <c r="CL111" i="1" s="1"/>
  <c r="CL206" i="1"/>
  <c r="CL249" i="1"/>
  <c r="CJ157" i="1"/>
  <c r="CJ165" i="1" s="1"/>
  <c r="CJ182" i="1"/>
  <c r="KG20" i="4"/>
  <c r="Z197" i="1"/>
  <c r="Z198" i="1" s="1"/>
  <c r="CJ248" i="1"/>
  <c r="CJ129" i="1"/>
  <c r="Y165" i="1"/>
  <c r="Y166" i="1" s="1"/>
  <c r="CK107" i="1"/>
  <c r="CK103" i="1"/>
  <c r="CJ246" i="1"/>
  <c r="CK104" i="1"/>
  <c r="CK108" i="1"/>
  <c r="CH134" i="1"/>
  <c r="CI131" i="1"/>
  <c r="CI134" i="1" s="1"/>
  <c r="Z17" i="1"/>
  <c r="Z28" i="1"/>
  <c r="Z18" i="1"/>
  <c r="Y246" i="1"/>
  <c r="Y244" i="1"/>
  <c r="Y18" i="1"/>
  <c r="Y28" i="1"/>
  <c r="Y17" i="1"/>
  <c r="CH182" i="1"/>
  <c r="CH157" i="1"/>
  <c r="Z138" i="1"/>
  <c r="AA203" i="1" s="1"/>
  <c r="AA201" i="1" s="1"/>
  <c r="Z33" i="1"/>
  <c r="CU133" i="1"/>
  <c r="CV133" i="1" s="1"/>
  <c r="CW133" i="1" s="1"/>
  <c r="CX133" i="1" s="1"/>
  <c r="AC133" i="1"/>
  <c r="X244" i="1"/>
  <c r="X246" i="1"/>
  <c r="X165" i="1"/>
  <c r="X166" i="1" s="1"/>
  <c r="CJ96" i="1"/>
  <c r="CJ95" i="1"/>
  <c r="CH96" i="1"/>
  <c r="CG28" i="1"/>
  <c r="CG17" i="1"/>
  <c r="CK185" i="1"/>
  <c r="Y184" i="1"/>
  <c r="Y186" i="1"/>
  <c r="CI185" i="1"/>
  <c r="CI152" i="1"/>
  <c r="CM140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X232" i="1" l="1"/>
  <c r="X233" i="1" s="1"/>
  <c r="X34" i="1"/>
  <c r="X112" i="1"/>
  <c r="X29" i="1"/>
  <c r="Z34" i="1"/>
  <c r="Z112" i="1"/>
  <c r="AA250" i="1"/>
  <c r="AA251" i="1" s="1"/>
  <c r="AA30" i="1"/>
  <c r="AA210" i="1"/>
  <c r="AA211" i="1" s="1"/>
  <c r="AA213" i="1"/>
  <c r="CK31" i="1"/>
  <c r="CL112" i="1"/>
  <c r="CL226" i="1"/>
  <c r="Z186" i="1"/>
  <c r="Z184" i="1"/>
  <c r="CL31" i="1"/>
  <c r="CL250" i="1"/>
  <c r="CK34" i="1"/>
  <c r="CK38" i="1" s="1"/>
  <c r="CK29" i="1"/>
  <c r="CJ33" i="1"/>
  <c r="CI138" i="1"/>
  <c r="CJ203" i="1" s="1"/>
  <c r="CJ201" i="1" s="1"/>
  <c r="CL40" i="1"/>
  <c r="CL41" i="1"/>
  <c r="CJ166" i="1"/>
  <c r="CJ181" i="1"/>
  <c r="CK181" i="1" s="1"/>
  <c r="CK182" i="1" s="1"/>
  <c r="CK186" i="1" s="1"/>
  <c r="CJ186" i="1"/>
  <c r="CI38" i="1"/>
  <c r="CL55" i="1"/>
  <c r="CI250" i="1"/>
  <c r="CI251" i="1" s="1"/>
  <c r="CK112" i="1"/>
  <c r="CI33" i="1"/>
  <c r="CH138" i="1"/>
  <c r="Z232" i="1"/>
  <c r="Z233" i="1" s="1"/>
  <c r="Z29" i="1"/>
  <c r="CG232" i="1"/>
  <c r="CG233" i="1" s="1"/>
  <c r="CK30" i="1"/>
  <c r="CH181" i="1"/>
  <c r="CI181" i="1" s="1"/>
  <c r="CH186" i="1"/>
  <c r="CL189" i="1" s="1"/>
  <c r="Y189" i="1"/>
  <c r="Y190" i="1" s="1"/>
  <c r="Y250" i="1"/>
  <c r="Y251" i="1" s="1"/>
  <c r="Z250" i="1"/>
  <c r="Z251" i="1" s="1"/>
  <c r="Y30" i="1"/>
  <c r="Y112" i="1"/>
  <c r="Y34" i="1"/>
  <c r="Y29" i="1"/>
  <c r="Y232" i="1"/>
  <c r="Y233" i="1" s="1"/>
  <c r="Z30" i="1"/>
  <c r="Z203" i="1"/>
  <c r="Z201" i="1" s="1"/>
  <c r="Z165" i="1"/>
  <c r="Z166" i="1" s="1"/>
  <c r="Z246" i="1"/>
  <c r="Z244" i="1"/>
  <c r="CM17" i="1"/>
  <c r="CY133" i="1"/>
  <c r="CZ133" i="1" s="1"/>
  <c r="DA133" i="1" s="1"/>
  <c r="DB133" i="1" s="1"/>
  <c r="AE133" i="1" s="1"/>
  <c r="AD133" i="1"/>
  <c r="CG29" i="1"/>
  <c r="CG34" i="1"/>
  <c r="CG38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L114" i="1"/>
  <c r="CL251" i="1"/>
  <c r="Z38" i="1"/>
  <c r="Z55" i="1"/>
  <c r="X38" i="1"/>
  <c r="X55" i="1"/>
  <c r="Z189" i="1"/>
  <c r="Z190" i="1" s="1"/>
  <c r="AA189" i="1"/>
  <c r="AA190" i="1" s="1"/>
  <c r="CK41" i="1"/>
  <c r="CK40" i="1"/>
  <c r="CI41" i="1"/>
  <c r="CI40" i="1"/>
  <c r="CL234" i="1"/>
  <c r="CL48" i="1"/>
  <c r="CL42" i="1"/>
  <c r="CL245" i="1" s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I203" i="1"/>
  <c r="CI201" i="1" s="1"/>
  <c r="CH246" i="1"/>
  <c r="CH165" i="1"/>
  <c r="CH166" i="1" s="1"/>
  <c r="Y55" i="1"/>
  <c r="Y38" i="1"/>
  <c r="CI146" i="1"/>
  <c r="CI182" i="1"/>
  <c r="CG41" i="1"/>
  <c r="CG40" i="1"/>
  <c r="CN202" i="1"/>
  <c r="CO140" i="1"/>
  <c r="CN184" i="1"/>
  <c r="CM185" i="1"/>
  <c r="CH41" i="1"/>
  <c r="CL43" i="1" s="1"/>
  <c r="CH40" i="1"/>
  <c r="CJ41" i="1"/>
  <c r="CJ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L44" i="1" l="1"/>
  <c r="CL227" i="1"/>
  <c r="CK138" i="1"/>
  <c r="X40" i="1"/>
  <c r="X41" i="1"/>
  <c r="Z41" i="1"/>
  <c r="AA43" i="1" s="1"/>
  <c r="Z40" i="1"/>
  <c r="CK42" i="1"/>
  <c r="CK48" i="1"/>
  <c r="CI42" i="1"/>
  <c r="CI245" i="1" s="1"/>
  <c r="CI234" i="1"/>
  <c r="CI48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Y40" i="1"/>
  <c r="Y41" i="1"/>
  <c r="CP140" i="1"/>
  <c r="CP202" i="1" s="1"/>
  <c r="CO202" i="1"/>
  <c r="CJ227" i="1"/>
  <c r="CK43" i="1"/>
  <c r="CJ48" i="1"/>
  <c r="CL54" i="1" s="1"/>
  <c r="CJ44" i="1"/>
  <c r="CJ42" i="1"/>
  <c r="CJ245" i="1" s="1"/>
  <c r="CJ234" i="1"/>
  <c r="CK44" i="1"/>
  <c r="CN185" i="1"/>
  <c r="CO184" i="1"/>
  <c r="CG42" i="1"/>
  <c r="CG245" i="1" s="1"/>
  <c r="CG234" i="1"/>
  <c r="CG48" i="1"/>
  <c r="CG193" i="1" s="1"/>
  <c r="CG195" i="1" s="1"/>
  <c r="CH44" i="1"/>
  <c r="CI44" i="1"/>
  <c r="CH48" i="1"/>
  <c r="CH52" i="1" s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O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V14" i="4" a="1"/>
  <c r="EW11" i="4" a="1"/>
  <c r="G6" i="6" a="1"/>
  <c r="EQ16" i="4" a="1"/>
  <c r="EQ14" i="4" a="1"/>
  <c r="EM16" i="4" a="1"/>
  <c r="EP8" i="4" a="1"/>
  <c r="EL16" i="4" a="1"/>
  <c r="ET7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AW24" i="3"/>
  <c r="EW7" i="4" a="1"/>
  <c r="EU12" i="4" a="1"/>
  <c r="C5" i="4" a="1"/>
  <c r="ES15" i="4" a="1"/>
  <c r="ES7" i="4" a="1"/>
  <c r="EL5" i="4" a="1"/>
  <c r="ES14" i="4" a="1"/>
  <c r="EP14" i="4" a="1"/>
  <c r="EQ13" i="4" a="1"/>
  <c r="EN8" i="4" a="1"/>
  <c r="EL1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T6" i="4" a="1"/>
  <c r="EW8" i="4" a="1"/>
  <c r="EQ6" i="4" a="1"/>
  <c r="EQ7" i="4" a="1"/>
  <c r="ES9" i="4" a="1"/>
  <c r="EL6" i="4" a="1"/>
  <c r="ER7" i="4" a="1"/>
  <c r="EL12" i="4" a="1"/>
  <c r="EM5" i="4" a="1"/>
  <c r="EN7" i="4" a="1"/>
  <c r="EW9" i="4" a="1"/>
  <c r="AV45" i="3"/>
  <c r="AX45" i="3"/>
  <c r="AV23" i="3"/>
  <c r="AY8" i="3"/>
  <c r="AF31" i="3"/>
  <c r="AF39" i="3"/>
  <c r="ER12" i="4" a="1"/>
  <c r="EP16" i="4" a="1"/>
  <c r="AS24" i="3"/>
  <c r="AU46" i="3"/>
  <c r="AW17" i="3"/>
  <c r="AF5" i="3"/>
  <c r="AT32" i="3"/>
  <c r="AZ26" i="3"/>
  <c r="X5" i="6" a="1"/>
  <c r="EQ12" i="4" a="1"/>
  <c r="EM14" i="4" a="1"/>
  <c r="EL14" i="4" a="1"/>
  <c r="AU5" i="6" a="1"/>
  <c r="AP6" i="6" a="1"/>
  <c r="AV33" i="3"/>
  <c r="AU13" i="3"/>
  <c r="AY18" i="3"/>
  <c r="AY11" i="3"/>
  <c r="AY28" i="3"/>
  <c r="W5" i="6" a="1"/>
  <c r="AF28" i="3"/>
  <c r="ES11" i="4" a="1"/>
  <c r="AZ30" i="3"/>
  <c r="AW14" i="3"/>
  <c r="AT9" i="3"/>
  <c r="AT18" i="3"/>
  <c r="W6" i="6" a="1"/>
  <c r="AV32" i="3"/>
  <c r="AS5" i="3"/>
  <c r="EO14" i="4" a="1"/>
  <c r="EP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ER14" i="4" a="1"/>
  <c r="EN6" i="4" a="1"/>
  <c r="EO8" i="4" a="1"/>
  <c r="EO15" i="4" a="1"/>
  <c r="EW6" i="4" a="1"/>
  <c r="ES5" i="4" a="1"/>
  <c r="EP11" i="4" a="1"/>
  <c r="ES12" i="4" a="1"/>
  <c r="EV11" i="4" a="1"/>
  <c r="EV13" i="4" a="1"/>
  <c r="ET15" i="4" a="1"/>
  <c r="EL13" i="4" a="1"/>
  <c r="EQ8" i="4" a="1"/>
  <c r="AS34" i="3"/>
  <c r="AZ33" i="3"/>
  <c r="AF16" i="3"/>
  <c r="AX27" i="3"/>
  <c r="AU37" i="3"/>
  <c r="EO16" i="4" a="1"/>
  <c r="ET11" i="4" a="1"/>
  <c r="EM7" i="4" a="1"/>
  <c r="ET14" i="4" a="1"/>
  <c r="AT38" i="3"/>
  <c r="AS18" i="3"/>
  <c r="AX24" i="3"/>
  <c r="Z5" i="6" a="1"/>
  <c r="AY12" i="3"/>
  <c r="AY21" i="3"/>
  <c r="AF27" i="3"/>
  <c r="AT30" i="3"/>
  <c r="AX39" i="3"/>
  <c r="AZ9" i="3"/>
  <c r="AR5" i="3"/>
  <c r="AF23" i="3"/>
  <c r="AF17" i="3"/>
  <c r="ER16" i="4" a="1"/>
  <c r="AW16" i="3"/>
  <c r="AF36" i="3"/>
  <c r="AY16" i="3"/>
  <c r="AT6" i="3"/>
  <c r="AV15" i="3"/>
  <c r="S6" i="6" a="1"/>
  <c r="ER13" i="4" a="1"/>
  <c r="EU16" i="4" a="1"/>
  <c r="EL7" i="4" a="1"/>
  <c r="EV5" i="4" a="1"/>
  <c r="S5" i="6" a="1"/>
  <c r="AP5" i="3"/>
  <c r="AY34" i="3"/>
  <c r="AP5" i="6" a="1"/>
  <c r="AF14" i="3"/>
  <c r="AZ38" i="3"/>
  <c r="EW14" i="4" a="1"/>
  <c r="EO11" i="4" a="1"/>
  <c r="ET13" i="4" a="1"/>
  <c r="ET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O12" i="4" a="1"/>
  <c r="EU7" i="4" a="1"/>
  <c r="ER6" i="4" a="1"/>
  <c r="EM6" i="4" a="1"/>
  <c r="EO6" i="4" a="1"/>
  <c r="ES13" i="4" a="1"/>
  <c r="AV20" i="3"/>
  <c r="AS25" i="3"/>
  <c r="D6" i="6" a="1"/>
  <c r="AZ19" i="3"/>
  <c r="EM9" i="4" a="1"/>
  <c r="ES8" i="4" a="1"/>
  <c r="EW5" i="4" a="1"/>
  <c r="ET9" i="4" a="1"/>
  <c r="I6" i="6" a="1"/>
  <c r="AZ12" i="3"/>
  <c r="AF46" i="3"/>
  <c r="AA6" i="6" a="1"/>
  <c r="AZ27" i="3"/>
  <c r="AU30" i="3"/>
  <c r="ES16" i="4" a="1"/>
  <c r="EV9" i="4" a="1"/>
  <c r="AS46" i="3"/>
  <c r="AS7" i="3"/>
  <c r="AF41" i="3"/>
  <c r="AY27" i="3"/>
  <c r="AZ20" i="3"/>
  <c r="AT23" i="3"/>
  <c r="E6" i="6" a="1"/>
  <c r="AY19" i="3"/>
  <c r="AW38" i="3"/>
  <c r="AX11" i="3"/>
  <c r="AT34" i="3"/>
  <c r="X6" i="6" a="1"/>
  <c r="AS42" i="3"/>
  <c r="EP5" i="4" a="1"/>
  <c r="EN14" i="4" a="1"/>
  <c r="EW12" i="4" a="1"/>
  <c r="EQ5" i="4" a="1"/>
  <c r="EU15" i="4" a="1"/>
  <c r="AF20" i="3"/>
  <c r="AV28" i="3"/>
  <c r="AW33" i="3"/>
  <c r="AV22" i="3"/>
  <c r="AY41" i="3"/>
  <c r="EQ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U8" i="4" a="1"/>
  <c r="EW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EV15" i="4" a="1"/>
  <c r="L5" i="6" a="1"/>
  <c r="AZ32" i="3"/>
  <c r="EM11" i="4" a="1"/>
  <c r="EM13" i="4" a="1"/>
  <c r="AA5" i="6" a="1"/>
  <c r="AU36" i="3"/>
  <c r="AX6" i="6" a="1"/>
  <c r="AH5" i="6" a="1"/>
  <c r="AF33" i="3"/>
  <c r="AT16" i="3"/>
  <c r="EO13" i="4" a="1"/>
  <c r="AF12" i="3"/>
  <c r="AU35" i="3"/>
  <c r="AP6" i="3"/>
  <c r="Y6" i="6" a="1"/>
  <c r="EN15" i="4" a="1"/>
  <c r="AS29" i="3"/>
  <c r="AV8" i="3"/>
  <c r="O5" i="6" a="1"/>
  <c r="AU41" i="3"/>
  <c r="AT28" i="3"/>
  <c r="AZ39" i="3"/>
  <c r="AF29" i="3"/>
  <c r="AF6" i="6" a="1"/>
  <c r="AY6" i="3"/>
  <c r="AO6" i="6" a="1"/>
  <c r="AM5" i="6" a="1"/>
  <c r="EP12" i="4" a="1"/>
  <c r="ET8" i="4" a="1"/>
  <c r="EV16" i="4" a="1"/>
  <c r="AS12" i="3"/>
  <c r="AF32" i="3"/>
  <c r="Q5" i="6" a="1"/>
  <c r="AZ10" i="3"/>
  <c r="AU29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AY22" i="3"/>
  <c r="AX19" i="3"/>
  <c r="AY10" i="3"/>
  <c r="CK52" i="1" l="1"/>
  <c r="CK66" i="1"/>
  <c r="AB131" i="1"/>
  <c r="CQ131" i="1"/>
  <c r="CR131" i="1" s="1"/>
  <c r="CS131" i="1" s="1"/>
  <c r="CT131" i="1" s="1"/>
  <c r="CL69" i="1"/>
  <c r="CG52" i="1"/>
  <c r="CQ140" i="1"/>
  <c r="CQ202" i="1" s="1"/>
  <c r="CJ54" i="1"/>
  <c r="CH193" i="1"/>
  <c r="CH195" i="1" s="1"/>
  <c r="CH66" i="1"/>
  <c r="CK69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V80" i="3"/>
  <c r="AU65" i="3"/>
  <c r="C65" i="3"/>
  <c r="AU87" i="3"/>
  <c r="AU86" i="3"/>
  <c r="AX77" i="3"/>
  <c r="AY83" i="3"/>
  <c r="AT74" i="3"/>
  <c r="AY97" i="3"/>
  <c r="AT97" i="3"/>
  <c r="AS68" i="3"/>
  <c r="AV65" i="3"/>
  <c r="AZ65" i="3"/>
  <c r="AU66" i="3"/>
  <c r="AT82" i="3"/>
  <c r="AU60" i="3"/>
  <c r="AY95" i="3"/>
  <c r="AV96" i="3"/>
  <c r="AT5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Y74" i="3"/>
  <c r="C78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Y67" i="3"/>
  <c r="AV50" i="3"/>
  <c r="AX65" i="3"/>
  <c r="AZ83" i="3"/>
  <c r="AY64" i="3"/>
  <c r="AT48" i="3"/>
  <c r="AV54" i="3"/>
  <c r="AF87" i="3"/>
  <c r="AY70" i="3"/>
  <c r="C82" i="3"/>
  <c r="AZ86" i="3"/>
  <c r="AU97" i="3"/>
  <c r="AW91" i="3"/>
  <c r="AT58" i="3"/>
  <c r="AV78" i="3"/>
  <c r="AS79" i="3"/>
  <c r="AU59" i="3"/>
  <c r="AS87" i="3"/>
  <c r="AU96" i="3"/>
  <c r="AX76" i="3"/>
  <c r="AX93" i="3"/>
  <c r="AF94" i="3"/>
  <c r="AS84" i="3"/>
  <c r="AS74" i="3"/>
  <c r="AS66" i="3"/>
  <c r="AY88" i="3"/>
  <c r="AU92" i="3"/>
  <c r="AT76" i="3"/>
  <c r="C66" i="3"/>
  <c r="AT67" i="3"/>
  <c r="C85" i="3"/>
  <c r="AT89" i="3"/>
  <c r="AW78" i="3"/>
  <c r="AT64" i="3"/>
  <c r="AZ96" i="3"/>
  <c r="AZ77" i="3"/>
  <c r="AZ60" i="3"/>
  <c r="AF62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T55" i="3"/>
  <c r="AS57" i="3"/>
  <c r="AV60" i="3"/>
  <c r="AS82" i="3"/>
  <c r="AW56" i="3"/>
  <c r="AX90" i="3"/>
  <c r="AZ80" i="3"/>
  <c r="AS91" i="3"/>
  <c r="AX91" i="3"/>
  <c r="AY79" i="3"/>
  <c r="AV73" i="3"/>
  <c r="AS72" i="3"/>
  <c r="AX80" i="3"/>
  <c r="AW57" i="3"/>
  <c r="AW85" i="3"/>
  <c r="AY65" i="3"/>
  <c r="AF56" i="3"/>
  <c r="AV70" i="3"/>
  <c r="AY47" i="3"/>
  <c r="C62" i="3"/>
  <c r="AY93" i="3"/>
  <c r="AW72" i="3"/>
  <c r="C86" i="3"/>
  <c r="AX92" i="3"/>
  <c r="AV47" i="3"/>
  <c r="AY89" i="3"/>
  <c r="AZ64" i="3"/>
  <c r="AF91" i="3"/>
  <c r="AV74" i="3"/>
  <c r="AX71" i="3"/>
  <c r="AV59" i="3"/>
  <c r="AW60" i="3"/>
  <c r="AZ70" i="3"/>
  <c r="AY78" i="3"/>
  <c r="AV88" i="3"/>
  <c r="AU56" i="3"/>
  <c r="C79" i="3"/>
  <c r="AF67" i="3"/>
  <c r="C73" i="3"/>
  <c r="AU75" i="3"/>
  <c r="AY54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69" i="3"/>
  <c r="AV68" i="3"/>
  <c r="AV49" i="3"/>
  <c r="AF6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62" i="3"/>
  <c r="AW87" i="3"/>
  <c r="AF60" i="3"/>
  <c r="AY75" i="3"/>
  <c r="AT63" i="3"/>
  <c r="C54" i="3"/>
  <c r="AZ47" i="3"/>
  <c r="AF88" i="3"/>
  <c r="AS90" i="3"/>
  <c r="AU70" i="3"/>
  <c r="AF81" i="3"/>
  <c r="AT47" i="3"/>
  <c r="AW93" i="3"/>
  <c r="AX88" i="3"/>
  <c r="AW92" i="3"/>
  <c r="AV91" i="3"/>
  <c r="AT78" i="3"/>
  <c r="AS75" i="3"/>
  <c r="AV58" i="3"/>
  <c r="AU48" i="3"/>
  <c r="AZ90" i="3"/>
  <c r="AX82" i="3"/>
  <c r="AW65" i="3"/>
  <c r="AF55" i="3"/>
  <c r="AZ55" i="3"/>
  <c r="AT79" i="3"/>
  <c r="AV93" i="3"/>
  <c r="AS54" i="3"/>
  <c r="AF73" i="3"/>
  <c r="AV72" i="3"/>
  <c r="AV69" i="3"/>
  <c r="AW68" i="3"/>
  <c r="AV90" i="3"/>
  <c r="AF89" i="3"/>
  <c r="AW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S93" i="3"/>
  <c r="AU63" i="3"/>
  <c r="AT86" i="3"/>
  <c r="AV87" i="3"/>
  <c r="AX62" i="3"/>
  <c r="AF78" i="3"/>
  <c r="AX56" i="3"/>
  <c r="AZ63" i="3"/>
  <c r="AT73" i="3"/>
  <c r="AY49" i="3"/>
  <c r="AS92" i="3"/>
  <c r="AZ79" i="3"/>
  <c r="C97" i="3"/>
  <c r="AX79" i="3"/>
  <c r="AZ62" i="3"/>
  <c r="AU84" i="3"/>
  <c r="C61" i="3"/>
  <c r="C74" i="3"/>
  <c r="AW55" i="3"/>
  <c r="AS89" i="3"/>
  <c r="AU57" i="3"/>
  <c r="AT83" i="3"/>
  <c r="AF76" i="3"/>
  <c r="AX70" i="3"/>
  <c r="AZ72" i="3"/>
  <c r="C75" i="3"/>
  <c r="AZ58" i="3"/>
  <c r="AU68" i="3"/>
  <c r="AF97" i="3"/>
  <c r="AW90" i="3"/>
  <c r="C50" i="3"/>
  <c r="AV48" i="3"/>
  <c r="C83" i="3"/>
  <c r="AU55" i="3"/>
  <c r="AT90" i="3"/>
  <c r="AU78" i="3"/>
  <c r="C80" i="3"/>
  <c r="AT61" i="3"/>
  <c r="CR140" i="1" l="1"/>
  <c r="CR202" i="1" s="1"/>
  <c r="AC131" i="1"/>
  <c r="CU131" i="1"/>
  <c r="CV131" i="1" s="1"/>
  <c r="CW131" i="1" s="1"/>
  <c r="CX131" i="1" s="1"/>
  <c r="CL85" i="1"/>
  <c r="CL87" i="1"/>
  <c r="CL86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T140" i="1" l="1"/>
  <c r="CT202" i="1" s="1"/>
  <c r="CF28" i="1"/>
  <c r="AA60" i="1" s="1"/>
  <c r="AA59" i="1"/>
  <c r="CR185" i="1"/>
  <c r="CS184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31" i="1" l="1"/>
  <c r="CI112" i="1"/>
  <c r="CI226" i="1"/>
  <c r="CG250" i="1"/>
  <c r="CF29" i="1"/>
  <c r="CF232" i="1"/>
  <c r="CF233" i="1" s="1"/>
  <c r="CJ30" i="1"/>
  <c r="CF34" i="1"/>
  <c r="CU140" i="1"/>
  <c r="CG251" i="1"/>
  <c r="CT184" i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V140" i="1" l="1"/>
  <c r="CU202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W140" i="1" l="1"/>
  <c r="CV202" i="1"/>
  <c r="CF234" i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T35" i="2"/>
  <c r="X19" i="2"/>
  <c r="T5" i="2"/>
  <c r="D19" i="2"/>
  <c r="G17" i="2"/>
  <c r="N11" i="2"/>
  <c r="N9" i="2"/>
  <c r="D32" i="2"/>
  <c r="Q16" i="2"/>
  <c r="Q56" i="2"/>
  <c r="M14" i="2"/>
  <c r="I14" i="2"/>
  <c r="L12" i="2"/>
  <c r="X8" i="2"/>
  <c r="K23" i="2"/>
  <c r="J25" i="2"/>
  <c r="S20" i="2"/>
  <c r="P6" i="2"/>
  <c r="X27" i="2"/>
  <c r="T14" i="2"/>
  <c r="C18" i="2"/>
  <c r="J17" i="2"/>
  <c r="AR49" i="3"/>
  <c r="D11" i="2"/>
  <c r="R7" i="2"/>
  <c r="P21" i="2"/>
  <c r="U9" i="2"/>
  <c r="AG45" i="3"/>
  <c r="G11" i="3"/>
  <c r="AR9" i="3"/>
  <c r="D29" i="3"/>
  <c r="AR32" i="3"/>
  <c r="Z45" i="3"/>
  <c r="G10" i="3"/>
  <c r="AO45" i="3"/>
  <c r="Y46" i="3"/>
  <c r="D46" i="3"/>
  <c r="N9" i="4" a="1"/>
  <c r="AL12" i="4" a="1"/>
  <c r="Y5" i="4" a="1"/>
  <c r="AI9" i="4" a="1"/>
  <c r="J16" i="4" a="1"/>
  <c r="BI13" i="4" a="1"/>
  <c r="DK5" i="4" a="1"/>
  <c r="BS6" i="4" a="1"/>
  <c r="DS12" i="4" a="1"/>
  <c r="CD5" i="4" a="1"/>
  <c r="EI14" i="4" a="1"/>
  <c r="T16" i="4" a="1"/>
  <c r="DE14" i="4" a="1"/>
  <c r="CA15" i="4" a="1"/>
  <c r="M7" i="4" a="1"/>
  <c r="BU8" i="4" a="1"/>
  <c r="AG15" i="4" a="1"/>
  <c r="V12" i="4" a="1"/>
  <c r="BP11" i="4" a="1"/>
  <c r="CH7" i="4" a="1"/>
  <c r="CA8" i="4" a="1"/>
  <c r="X5" i="4" a="1"/>
  <c r="AF9" i="4" a="1"/>
  <c r="BI16" i="4" a="1"/>
  <c r="X8" i="4" a="1"/>
  <c r="AB9" i="4" a="1"/>
  <c r="EB8" i="4" a="1"/>
  <c r="T8" i="4" a="1"/>
  <c r="CS15" i="4" a="1"/>
  <c r="CQ8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X28" i="2"/>
  <c r="U12" i="2"/>
  <c r="R33" i="2"/>
  <c r="U25" i="2"/>
  <c r="K17" i="2"/>
  <c r="N35" i="2"/>
  <c r="J7" i="2"/>
  <c r="X63" i="2"/>
  <c r="G25" i="2"/>
  <c r="F19" i="2"/>
  <c r="G11" i="2"/>
  <c r="P25" i="2"/>
  <c r="AR55" i="3"/>
  <c r="R26" i="2"/>
  <c r="E20" i="2"/>
  <c r="M9" i="2"/>
  <c r="C30" i="2"/>
  <c r="G7" i="3"/>
  <c r="E25" i="3"/>
  <c r="AD15" i="3"/>
  <c r="AN45" i="3"/>
  <c r="AR17" i="3"/>
  <c r="AQ45" i="3"/>
  <c r="D22" i="3"/>
  <c r="F5" i="3"/>
  <c r="AD16" i="3"/>
  <c r="I45" i="3"/>
  <c r="BO14" i="4" a="1"/>
  <c r="AX8" i="4" a="1"/>
  <c r="Z8" i="4" a="1"/>
  <c r="AM11" i="4" a="1"/>
  <c r="DG12" i="4" a="1"/>
  <c r="DL15" i="4" a="1"/>
  <c r="DL14" i="4" a="1"/>
  <c r="BZ15" i="4" a="1"/>
  <c r="AJ14" i="4" a="1"/>
  <c r="AF16" i="4" a="1"/>
  <c r="CN16" i="4" a="1"/>
  <c r="V15" i="4" a="1"/>
  <c r="EK15" i="4" a="1"/>
  <c r="CQ13" i="4" a="1"/>
  <c r="BM15" i="4" a="1"/>
  <c r="X7" i="4" a="1"/>
  <c r="M5" i="4" a="1"/>
  <c r="AQ13" i="4" a="1"/>
  <c r="AE7" i="4" a="1"/>
  <c r="AQ15" i="4" a="1"/>
  <c r="DQ8" i="4" a="1"/>
  <c r="DI16" i="4" a="1"/>
  <c r="DQ9" i="4" a="1"/>
  <c r="F16" i="4" a="1"/>
  <c r="DL11" i="4" a="1"/>
  <c r="CN7" i="4" a="1"/>
  <c r="AH5" i="4" a="1"/>
  <c r="V5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Q69" i="2"/>
  <c r="F75" i="2"/>
  <c r="D8" i="2"/>
  <c r="D20" i="2"/>
  <c r="I20" i="2"/>
  <c r="R21" i="2"/>
  <c r="C59" i="2"/>
  <c r="V36" i="2"/>
  <c r="L18" i="2"/>
  <c r="P35" i="2"/>
  <c r="J20" i="2"/>
  <c r="R27" i="2"/>
  <c r="C10" i="2"/>
  <c r="R19" i="2"/>
  <c r="AR75" i="3"/>
  <c r="K27" i="2"/>
  <c r="U31" i="2"/>
  <c r="AA46" i="3"/>
  <c r="D19" i="3"/>
  <c r="AA45" i="3"/>
  <c r="W46" i="3"/>
  <c r="AR27" i="3"/>
  <c r="G18" i="3"/>
  <c r="G13" i="3"/>
  <c r="AR18" i="3"/>
  <c r="AR29" i="3"/>
  <c r="J45" i="3"/>
  <c r="CI14" i="4" a="1"/>
  <c r="BY7" i="4" a="1"/>
  <c r="BK8" i="4" a="1"/>
  <c r="CZ16" i="4" a="1"/>
  <c r="DK7" i="4" a="1"/>
  <c r="EG12" i="4" a="1"/>
  <c r="BT7" i="4" a="1"/>
  <c r="DF15" i="4" a="1"/>
  <c r="AI11" i="4" a="1"/>
  <c r="Q12" i="4" a="1"/>
  <c r="DC9" i="4" a="1"/>
  <c r="EH16" i="4" a="1"/>
  <c r="DG15" i="4" a="1"/>
  <c r="R13" i="4" a="1"/>
  <c r="CY16" i="4" a="1"/>
  <c r="DF7" i="4" a="1"/>
  <c r="CV9" i="4" a="1"/>
  <c r="AO11" i="4" a="1"/>
  <c r="CV6" i="4" a="1"/>
  <c r="CN14" i="4" a="1"/>
  <c r="O7" i="4" a="1"/>
  <c r="CB9" i="4" a="1"/>
  <c r="CU8" i="4" a="1"/>
  <c r="AK6" i="4" a="1"/>
  <c r="AY9" i="4" a="1"/>
  <c r="AF8" i="4" a="1"/>
  <c r="BI7" i="4" a="1"/>
  <c r="DF11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C8" i="2"/>
  <c r="G16" i="2"/>
  <c r="I16" i="2"/>
  <c r="I9" i="2"/>
  <c r="F35" i="2"/>
  <c r="L32" i="2"/>
  <c r="Q8" i="2"/>
  <c r="T24" i="2"/>
  <c r="K9" i="2"/>
  <c r="I22" i="2"/>
  <c r="H10" i="2"/>
  <c r="R17" i="2"/>
  <c r="T8" i="2"/>
  <c r="E5" i="2"/>
  <c r="AR54" i="3"/>
  <c r="I34" i="2"/>
  <c r="L27" i="2"/>
  <c r="AJ46" i="3"/>
  <c r="F20" i="3"/>
  <c r="D26" i="3"/>
  <c r="AR42" i="3"/>
  <c r="K46" i="3"/>
  <c r="AD46" i="3"/>
  <c r="E31" i="3"/>
  <c r="E12" i="3"/>
  <c r="G20" i="3"/>
  <c r="G22" i="3"/>
  <c r="ED16" i="4" a="1"/>
  <c r="DL9" i="4" a="1"/>
  <c r="AK11" i="4" a="1"/>
  <c r="DH14" i="4" a="1"/>
  <c r="CB7" i="4" a="1"/>
  <c r="AS6" i="4" a="1"/>
  <c r="BF7" i="4" a="1"/>
  <c r="DR16" i="4" a="1"/>
  <c r="BL9" i="4" a="1"/>
  <c r="DF5" i="4" a="1"/>
  <c r="EG14" i="4" a="1"/>
  <c r="S15" i="4" a="1"/>
  <c r="CT8" i="4" a="1"/>
  <c r="DN9" i="4" a="1"/>
  <c r="ED14" i="4" a="1"/>
  <c r="CX6" i="4" a="1"/>
  <c r="BS7" i="4" a="1"/>
  <c r="CO9" i="4" a="1"/>
  <c r="DA7" i="4" a="1"/>
  <c r="DY8" i="4" a="1"/>
  <c r="BE8" i="4" a="1"/>
  <c r="AC12" i="4" a="1"/>
  <c r="W13" i="4" a="1"/>
  <c r="DD13" i="4" a="1"/>
  <c r="BL8" i="4" a="1"/>
  <c r="CM13" i="4" a="1"/>
  <c r="BO5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T26" i="2"/>
  <c r="L17" i="2"/>
  <c r="F6" i="2"/>
  <c r="U11" i="2"/>
  <c r="I19" i="2"/>
  <c r="N14" i="2"/>
  <c r="S15" i="2"/>
  <c r="U13" i="2"/>
  <c r="H27" i="2"/>
  <c r="H11" i="2"/>
  <c r="L6" i="2"/>
  <c r="N21" i="2"/>
  <c r="J5" i="2"/>
  <c r="J23" i="2"/>
  <c r="AR91" i="3"/>
  <c r="N20" i="2"/>
  <c r="J34" i="2"/>
  <c r="E9" i="3"/>
  <c r="AR12" i="3"/>
  <c r="E20" i="3"/>
  <c r="R46" i="3"/>
  <c r="C46" i="3"/>
  <c r="AP46" i="3"/>
  <c r="AD12" i="3"/>
  <c r="E29" i="3"/>
  <c r="F7" i="3"/>
  <c r="F26" i="3"/>
  <c r="DO5" i="4" a="1"/>
  <c r="CY15" i="4" a="1"/>
  <c r="BF13" i="4" a="1"/>
  <c r="AV9" i="4" a="1"/>
  <c r="AN7" i="4" a="1"/>
  <c r="AH13" i="4" a="1"/>
  <c r="CZ12" i="4" a="1"/>
  <c r="CG16" i="4" a="1"/>
  <c r="DP14" i="4" a="1"/>
  <c r="AM7" i="4" a="1"/>
  <c r="CM8" i="4" a="1"/>
  <c r="DM12" i="4" a="1"/>
  <c r="EG5" i="4" a="1"/>
  <c r="EG16" i="4" a="1"/>
  <c r="AK13" i="4" a="1"/>
  <c r="BK6" i="4" a="1"/>
  <c r="DO12" i="4" a="1"/>
  <c r="V14" i="4" a="1"/>
  <c r="AC15" i="4" a="1"/>
  <c r="BR5" i="4" a="1"/>
  <c r="CK14" i="4" a="1"/>
  <c r="J7" i="4" a="1"/>
  <c r="BZ9" i="4" a="1"/>
  <c r="CP14" i="4" a="1"/>
  <c r="BH14" i="4" a="1"/>
  <c r="EK8" i="4" a="1"/>
  <c r="DN12" i="4" a="1"/>
  <c r="EE11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V34" i="2"/>
  <c r="M18" i="2"/>
  <c r="O15" i="2"/>
  <c r="V24" i="2"/>
  <c r="D24" i="2"/>
  <c r="R23" i="2"/>
  <c r="N19" i="2"/>
  <c r="V18" i="2"/>
  <c r="T19" i="2"/>
  <c r="X21" i="2"/>
  <c r="I25" i="2"/>
  <c r="R36" i="2"/>
  <c r="M24" i="2"/>
  <c r="C26" i="2"/>
  <c r="AR95" i="3"/>
  <c r="X29" i="2"/>
  <c r="AR86" i="3"/>
  <c r="F39" i="3"/>
  <c r="D24" i="3"/>
  <c r="D34" i="3"/>
  <c r="V45" i="3"/>
  <c r="E42" i="3"/>
  <c r="G15" i="3"/>
  <c r="N46" i="3"/>
  <c r="AR26" i="3"/>
  <c r="D18" i="3"/>
  <c r="AK45" i="3"/>
  <c r="AZ15" i="4" a="1"/>
  <c r="BF9" i="4" a="1"/>
  <c r="AJ12" i="4" a="1"/>
  <c r="BJ12" i="4" a="1"/>
  <c r="AI14" i="4" a="1"/>
  <c r="DM6" i="4" a="1"/>
  <c r="DG8" i="4" a="1"/>
  <c r="BQ7" i="4" a="1"/>
  <c r="DV7" i="4" a="1"/>
  <c r="BG5" i="4" a="1"/>
  <c r="DQ16" i="4" a="1"/>
  <c r="AK14" i="4" a="1"/>
  <c r="AH8" i="4" a="1"/>
  <c r="AB11" i="4" a="1"/>
  <c r="U16" i="4" a="1"/>
  <c r="CN8" i="4" a="1"/>
  <c r="DU8" i="4" a="1"/>
  <c r="DL6" i="4" a="1"/>
  <c r="CO13" i="4" a="1"/>
  <c r="CV12" i="4" a="1"/>
  <c r="AG9" i="4" a="1"/>
  <c r="CX15" i="4" a="1"/>
  <c r="AX6" i="4" a="1"/>
  <c r="BQ9" i="4" a="1"/>
  <c r="CF14" i="4" a="1"/>
  <c r="CM6" i="4" a="1"/>
  <c r="DR11" i="4" a="1"/>
  <c r="EJ7" i="4" a="1"/>
  <c r="CE5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K26" i="2"/>
  <c r="P7" i="2"/>
  <c r="Q30" i="2"/>
  <c r="G33" i="2"/>
  <c r="J15" i="2"/>
  <c r="S9" i="2"/>
  <c r="P28" i="2"/>
  <c r="X20" i="2"/>
  <c r="N7" i="2"/>
  <c r="N6" i="2"/>
  <c r="U26" i="2"/>
  <c r="V11" i="2"/>
  <c r="J11" i="2"/>
  <c r="F32" i="2"/>
  <c r="F22" i="2"/>
  <c r="D14" i="2"/>
  <c r="AR77" i="3"/>
  <c r="J46" i="3"/>
  <c r="AR36" i="3"/>
  <c r="E32" i="3"/>
  <c r="AR40" i="3"/>
  <c r="F13" i="3"/>
  <c r="D8" i="3"/>
  <c r="D6" i="3"/>
  <c r="E46" i="3"/>
  <c r="G8" i="3"/>
  <c r="R45" i="3"/>
  <c r="BB8" i="4" a="1"/>
  <c r="CI7" i="4" a="1"/>
  <c r="J8" i="4" a="1"/>
  <c r="AO12" i="4" a="1"/>
  <c r="CM16" i="4" a="1"/>
  <c r="D8" i="4" a="1"/>
  <c r="AK8" i="4" a="1"/>
  <c r="C15" i="4" a="1"/>
  <c r="D6" i="4" a="1"/>
  <c r="CQ6" i="4" a="1"/>
  <c r="BB13" i="4" a="1"/>
  <c r="BG8" i="4" a="1"/>
  <c r="BN16" i="4" a="1"/>
  <c r="EA5" i="4" a="1"/>
  <c r="R14" i="4" a="1"/>
  <c r="BL12" i="4" a="1"/>
  <c r="AA12" i="4" a="1"/>
  <c r="I11" i="4" a="1"/>
  <c r="CZ15" i="4" a="1"/>
  <c r="CU6" i="4" a="1"/>
  <c r="P9" i="4" a="1"/>
  <c r="X15" i="4" a="1"/>
  <c r="CI13" i="4" a="1"/>
  <c r="BR13" i="4" a="1"/>
  <c r="O8" i="2"/>
  <c r="S25" i="2"/>
  <c r="I31" i="2"/>
  <c r="U34" i="2"/>
  <c r="W12" i="2"/>
  <c r="C22" i="2"/>
  <c r="V10" i="2"/>
  <c r="I24" i="2"/>
  <c r="L21" i="2"/>
  <c r="P32" i="2"/>
  <c r="E23" i="2"/>
  <c r="Q59" i="2"/>
  <c r="F26" i="2"/>
  <c r="R11" i="2"/>
  <c r="V19" i="2"/>
  <c r="H35" i="2"/>
  <c r="V15" i="2"/>
  <c r="W45" i="3"/>
  <c r="E28" i="3"/>
  <c r="AR33" i="3"/>
  <c r="D15" i="3"/>
  <c r="O45" i="3"/>
  <c r="F11" i="3"/>
  <c r="AR39" i="3"/>
  <c r="D20" i="3"/>
  <c r="U46" i="3"/>
  <c r="AR16" i="3"/>
  <c r="AZ14" i="4" a="1"/>
  <c r="DM5" i="4" a="1"/>
  <c r="BL13" i="4" a="1"/>
  <c r="BX9" i="4" a="1"/>
  <c r="AX11" i="4" a="1"/>
  <c r="S11" i="4" a="1"/>
  <c r="BH5" i="4" a="1"/>
  <c r="L9" i="4" a="1"/>
  <c r="DY11" i="4" a="1"/>
  <c r="BC12" i="4" a="1"/>
  <c r="CT14" i="4" a="1"/>
  <c r="DI14" i="4" a="1"/>
  <c r="BZ5" i="4" a="1"/>
  <c r="DM15" i="4" a="1"/>
  <c r="DH8" i="4" a="1"/>
  <c r="BX16" i="4" a="1"/>
  <c r="CJ5" i="4" a="1"/>
  <c r="D16" i="2"/>
  <c r="W21" i="2"/>
  <c r="I8" i="2"/>
  <c r="G31" i="2"/>
  <c r="T30" i="2"/>
  <c r="H6" i="2"/>
  <c r="P8" i="2"/>
  <c r="O11" i="2"/>
  <c r="V22" i="2"/>
  <c r="W15" i="2"/>
  <c r="T6" i="2"/>
  <c r="T11" i="2"/>
  <c r="V20" i="2"/>
  <c r="C65" i="2"/>
  <c r="X26" i="2"/>
  <c r="I21" i="2"/>
  <c r="E45" i="2"/>
  <c r="F17" i="3"/>
  <c r="F19" i="3"/>
  <c r="L46" i="3"/>
  <c r="G45" i="3"/>
  <c r="F6" i="3"/>
  <c r="D45" i="3"/>
  <c r="D38" i="3"/>
  <c r="F15" i="3"/>
  <c r="AR23" i="3"/>
  <c r="F28" i="3"/>
  <c r="AF7" i="4" a="1"/>
  <c r="CK15" i="4" a="1"/>
  <c r="AG7" i="4" a="1"/>
  <c r="J9" i="4" a="1"/>
  <c r="BE15" i="4" a="1"/>
  <c r="AC11" i="4" a="1"/>
  <c r="BO8" i="4" a="1"/>
  <c r="BZ8" i="4" a="1"/>
  <c r="AB13" i="4" a="1"/>
  <c r="BW15" i="4" a="1"/>
  <c r="AZ7" i="4" a="1"/>
  <c r="EK5" i="4" a="1"/>
  <c r="BY13" i="4" a="1"/>
  <c r="Q14" i="4" a="1"/>
  <c r="DG13" i="4" a="1"/>
  <c r="AC14" i="4" a="1"/>
  <c r="DY16" i="4" a="1"/>
  <c r="D13" i="4" a="1"/>
  <c r="AO5" i="4" a="1"/>
  <c r="DE12" i="4" a="1"/>
  <c r="BY5" i="4" a="1"/>
  <c r="CW7" i="4" a="1"/>
  <c r="DP16" i="4" a="1"/>
  <c r="BF12" i="4" a="1"/>
  <c r="DZ12" i="4" a="1"/>
  <c r="AU11" i="4" a="1"/>
  <c r="AK5" i="4" a="1"/>
  <c r="AH15" i="4" a="1"/>
  <c r="CL9" i="4" a="1"/>
  <c r="DJ14" i="4" a="1"/>
  <c r="DR12" i="4" a="1"/>
  <c r="BK11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Q58" i="2"/>
  <c r="K32" i="2"/>
  <c r="V28" i="2"/>
  <c r="O12" i="2"/>
  <c r="W31" i="2"/>
  <c r="J19" i="2"/>
  <c r="K16" i="2"/>
  <c r="E10" i="2"/>
  <c r="K59" i="2"/>
  <c r="H15" i="2"/>
  <c r="J32" i="2"/>
  <c r="AR69" i="3"/>
  <c r="W70" i="2"/>
  <c r="M30" i="2"/>
  <c r="I11" i="2"/>
  <c r="E22" i="2"/>
  <c r="AR78" i="3"/>
  <c r="F22" i="3"/>
  <c r="E26" i="3"/>
  <c r="AD13" i="3"/>
  <c r="AH46" i="3"/>
  <c r="AL46" i="3"/>
  <c r="E13" i="3"/>
  <c r="AO46" i="3"/>
  <c r="AH45" i="3"/>
  <c r="D14" i="3"/>
  <c r="G25" i="3"/>
  <c r="DO14" i="4" a="1"/>
  <c r="BU6" i="4" a="1"/>
  <c r="BC9" i="4" a="1"/>
  <c r="BR12" i="4" a="1"/>
  <c r="E14" i="4" a="1"/>
  <c r="DT12" i="4" a="1"/>
  <c r="AN8" i="4" a="1"/>
  <c r="I14" i="4" a="1"/>
  <c r="G23" i="2"/>
  <c r="N31" i="2"/>
  <c r="U28" i="2"/>
  <c r="E41" i="3"/>
  <c r="E34" i="3"/>
  <c r="CF7" i="4" a="1"/>
  <c r="CX14" i="4" a="1"/>
  <c r="CW14" i="4" a="1"/>
  <c r="DZ16" i="4" a="1"/>
  <c r="CC8" i="4" a="1"/>
  <c r="DX13" i="4" a="1"/>
  <c r="BC5" i="4" a="1"/>
  <c r="U9" i="4" a="1"/>
  <c r="CF6" i="4" a="1"/>
  <c r="L5" i="4" a="1"/>
  <c r="CC13" i="4" a="1"/>
  <c r="CJ13" i="4" a="1"/>
  <c r="Z7" i="4" a="1"/>
  <c r="BH16" i="4" a="1"/>
  <c r="DE8" i="4" a="1"/>
  <c r="CI16" i="4" a="1"/>
  <c r="AL6" i="4" a="1"/>
  <c r="BJ15" i="4" a="1"/>
  <c r="DF6" i="4" a="1"/>
  <c r="CL6" i="4" a="1"/>
  <c r="BP15" i="4" a="1"/>
  <c r="I15" i="4" a="1"/>
  <c r="AI15" i="4" a="1"/>
  <c r="AU15" i="4" a="1"/>
  <c r="DX9" i="4" a="1"/>
  <c r="L13" i="4" a="1"/>
  <c r="CI11" i="4" a="1"/>
  <c r="DT13" i="4" a="1"/>
  <c r="DU16" i="4" a="1"/>
  <c r="BR15" i="4" a="1"/>
  <c r="AV14" i="4" a="1"/>
  <c r="BN8" i="4" a="1"/>
  <c r="DS16" i="4" a="1"/>
  <c r="AW13" i="4" a="1"/>
  <c r="CS13" i="4" a="1"/>
  <c r="Y9" i="4" a="1"/>
  <c r="R7" i="4" a="1"/>
  <c r="CL5" i="4" a="1"/>
  <c r="CZ11" i="4" a="1"/>
  <c r="CK8" i="4" a="1"/>
  <c r="AV6" i="4" a="1"/>
  <c r="BX7" i="4" a="1"/>
  <c r="AL9" i="4" a="1"/>
  <c r="AF14" i="4" a="1"/>
  <c r="CU12" i="4" a="1"/>
  <c r="O5" i="4" a="1"/>
  <c r="Q7" i="4" a="1"/>
  <c r="EA12" i="4" a="1"/>
  <c r="H7" i="4" a="1"/>
  <c r="BE16" i="4" a="1"/>
  <c r="DB11" i="4" a="1"/>
  <c r="G15" i="4" a="1"/>
  <c r="CW15" i="4" a="1"/>
  <c r="CV8" i="4" a="1"/>
  <c r="AT12" i="4" a="1"/>
  <c r="EJ9" i="4" a="1"/>
  <c r="H13" i="4" a="1"/>
  <c r="BD7" i="4" a="1"/>
  <c r="BO6" i="4" a="1"/>
  <c r="EB9" i="4" a="1"/>
  <c r="DA5" i="4" a="1"/>
  <c r="BK7" i="4" a="1"/>
  <c r="C12" i="4" a="1"/>
  <c r="DT15" i="4" a="1"/>
  <c r="BF8" i="4" a="1"/>
  <c r="O13" i="4" a="1"/>
  <c r="CS16" i="4" a="1"/>
  <c r="DN5" i="4" a="1"/>
  <c r="O16" i="4" a="1"/>
  <c r="DU15" i="4" a="1"/>
  <c r="S16" i="4" a="1"/>
  <c r="AC8" i="4" a="1"/>
  <c r="DD15" i="4" a="1"/>
  <c r="CQ9" i="4" a="1"/>
  <c r="CA6" i="4" a="1"/>
  <c r="DR14" i="4" a="1"/>
  <c r="CO14" i="4" a="1"/>
  <c r="DL12" i="4" a="1"/>
  <c r="CH16" i="4" a="1"/>
  <c r="DJ13" i="4" a="1"/>
  <c r="DY12" i="4" a="1"/>
  <c r="BX11" i="4" a="1"/>
  <c r="CU11" i="4" a="1"/>
  <c r="DU12" i="4" a="1"/>
  <c r="BC11" i="4" a="1"/>
  <c r="DA16" i="4" a="1"/>
  <c r="DF8" i="4" a="1"/>
  <c r="CK13" i="4" a="1"/>
  <c r="Z9" i="4" a="1"/>
  <c r="CH12" i="4" a="1"/>
  <c r="DZ15" i="4" a="1"/>
  <c r="AO6" i="4" a="1"/>
  <c r="CB11" i="4" a="1"/>
  <c r="AD14" i="4" a="1"/>
  <c r="CQ16" i="4" a="1"/>
  <c r="Q6" i="2"/>
  <c r="D10" i="2"/>
  <c r="U33" i="2"/>
  <c r="G5" i="3"/>
  <c r="AR28" i="3"/>
  <c r="AT14" i="4" a="1"/>
  <c r="DP9" i="4" a="1"/>
  <c r="AQ12" i="4" a="1"/>
  <c r="DI8" i="4" a="1"/>
  <c r="M14" i="4" a="1"/>
  <c r="CU9" i="4" a="1"/>
  <c r="DF13" i="4" a="1"/>
  <c r="CR5" i="4" a="1"/>
  <c r="BB16" i="4" a="1"/>
  <c r="W8" i="4" a="1"/>
  <c r="AW14" i="4" a="1"/>
  <c r="CH6" i="4" a="1"/>
  <c r="CL12" i="4" a="1"/>
  <c r="DH6" i="4" a="1"/>
  <c r="AO14" i="4" a="1"/>
  <c r="G11" i="4" a="1"/>
  <c r="DN15" i="4" a="1"/>
  <c r="CE13" i="4" a="1"/>
  <c r="CA11" i="4" a="1"/>
  <c r="AG16" i="4" a="1"/>
  <c r="AE15" i="4" a="1"/>
  <c r="EF7" i="4" a="1"/>
  <c r="CN9" i="4" a="1"/>
  <c r="AX14" i="4" a="1"/>
  <c r="E12" i="4" a="1"/>
  <c r="CM14" i="4" a="1"/>
  <c r="E8" i="4" a="1"/>
  <c r="DC8" i="4" a="1"/>
  <c r="AE9" i="4" a="1"/>
  <c r="DZ7" i="4" a="1"/>
  <c r="EA14" i="4" a="1"/>
  <c r="DU6" i="4" a="1"/>
  <c r="X11" i="4" a="1"/>
  <c r="DD5" i="4" a="1"/>
  <c r="CE8" i="4" a="1"/>
  <c r="S5" i="4" a="1"/>
  <c r="DI15" i="4" a="1"/>
  <c r="BG16" i="4" a="1"/>
  <c r="Z6" i="4" a="1"/>
  <c r="CK9" i="4" a="1"/>
  <c r="BU9" i="4" a="1"/>
  <c r="ED8" i="4" a="1"/>
  <c r="BF16" i="4" a="1"/>
  <c r="AN5" i="4" a="1"/>
  <c r="BL15" i="4" a="1"/>
  <c r="H8" i="4" a="1"/>
  <c r="AM14" i="4" a="1"/>
  <c r="H9" i="4" a="1"/>
  <c r="AO16" i="4" a="1"/>
  <c r="BQ12" i="4" a="1"/>
  <c r="CU13" i="4" a="1"/>
  <c r="R15" i="4" a="1"/>
  <c r="CG13" i="4" a="1"/>
  <c r="BC6" i="4" a="1"/>
  <c r="BW9" i="4" a="1"/>
  <c r="CE15" i="4" a="1"/>
  <c r="AL14" i="4" a="1"/>
  <c r="EK11" i="4" a="1"/>
  <c r="DH11" i="4" a="1"/>
  <c r="CK12" i="4" a="1"/>
  <c r="AL11" i="4" a="1"/>
  <c r="BP13" i="4" a="1"/>
  <c r="BL6" i="4" a="1"/>
  <c r="BH11" i="4" a="1"/>
  <c r="BQ5" i="4" a="1"/>
  <c r="T11" i="4" a="1"/>
  <c r="AO13" i="4" a="1"/>
  <c r="EI11" i="4" a="1"/>
  <c r="AQ14" i="4" a="1"/>
  <c r="DB9" i="4" a="1"/>
  <c r="BR16" i="4" a="1"/>
  <c r="CU7" i="4" a="1"/>
  <c r="BX15" i="4" a="1"/>
  <c r="U15" i="4" a="1"/>
  <c r="BY16" i="4" a="1"/>
  <c r="R9" i="4" a="1"/>
  <c r="EG9" i="4" a="1"/>
  <c r="CR7" i="4" a="1"/>
  <c r="DS9" i="4" a="1"/>
  <c r="AM12" i="4" a="1"/>
  <c r="AA15" i="4" a="1"/>
  <c r="DI12" i="4" a="1"/>
  <c r="EB14" i="4" a="1"/>
  <c r="BT11" i="4" a="1"/>
  <c r="DN13" i="4" a="1"/>
  <c r="Q11" i="4" a="1"/>
  <c r="CV13" i="4" a="1"/>
  <c r="AB14" i="4" a="1"/>
  <c r="EH9" i="4" a="1"/>
  <c r="C14" i="4" a="1"/>
  <c r="DJ11" i="4" a="1"/>
  <c r="EJ15" i="4" a="1"/>
  <c r="AS16" i="4" a="1"/>
  <c r="J6" i="4" a="1"/>
  <c r="EG13" i="4" a="1"/>
  <c r="DL8" i="4" a="1"/>
  <c r="CG15" i="4" a="1"/>
  <c r="EI15" i="4" a="1"/>
  <c r="O17" i="2"/>
  <c r="G27" i="2"/>
  <c r="C23" i="2"/>
  <c r="AD18" i="3"/>
  <c r="D31" i="3"/>
  <c r="CR13" i="4" a="1"/>
  <c r="CF9" i="4" a="1"/>
  <c r="BA9" i="4" a="1"/>
  <c r="DC7" i="4" a="1"/>
  <c r="BI6" i="4" a="1"/>
  <c r="C7" i="4" a="1"/>
  <c r="CP13" i="4" a="1"/>
  <c r="DQ14" i="4" a="1"/>
  <c r="DP5" i="4" a="1"/>
  <c r="AI5" i="4" a="1"/>
  <c r="AY11" i="4" a="1"/>
  <c r="AL15" i="4" a="1"/>
  <c r="DS5" i="4" a="1"/>
  <c r="DI7" i="4" a="1"/>
  <c r="I7" i="4" a="1"/>
  <c r="EB6" i="4" a="1"/>
  <c r="AN9" i="4" a="1"/>
  <c r="EB16" i="4" a="1"/>
  <c r="CY8" i="4" a="1"/>
  <c r="CH13" i="4" a="1"/>
  <c r="BJ7" i="4" a="1"/>
  <c r="EI5" i="4" a="1"/>
  <c r="J12" i="4" a="1"/>
  <c r="CT13" i="4" a="1"/>
  <c r="CE11" i="4" a="1"/>
  <c r="BP14" i="4" a="1"/>
  <c r="AU12" i="4" a="1"/>
  <c r="CM11" i="4" a="1"/>
  <c r="J13" i="4" a="1"/>
  <c r="H15" i="4" a="1"/>
  <c r="AS14" i="4" a="1"/>
  <c r="BZ14" i="4" a="1"/>
  <c r="BB12" i="4" a="1"/>
  <c r="DT14" i="4" a="1"/>
  <c r="BE13" i="4" a="1"/>
  <c r="BF5" i="4" a="1"/>
  <c r="AT16" i="4" a="1"/>
  <c r="AT9" i="4" a="1"/>
  <c r="DI9" i="4" a="1"/>
  <c r="BR8" i="4" a="1"/>
  <c r="CP5" i="4" a="1"/>
  <c r="BQ13" i="4" a="1"/>
  <c r="DS7" i="4" a="1"/>
  <c r="BD8" i="4" a="1"/>
  <c r="EK6" i="4" a="1"/>
  <c r="EI13" i="4" a="1"/>
  <c r="Q6" i="4" a="1"/>
  <c r="BI11" i="4" a="1"/>
  <c r="K11" i="4" a="1"/>
  <c r="K13" i="4" a="1"/>
  <c r="BI8" i="4" a="1"/>
  <c r="S13" i="4" a="1"/>
  <c r="DG6" i="4" a="1"/>
  <c r="EG15" i="4" a="1"/>
  <c r="Q9" i="4" a="1"/>
  <c r="EH12" i="4" a="1"/>
  <c r="CR14" i="4" a="1"/>
  <c r="AQ6" i="4" a="1"/>
  <c r="CS9" i="4" a="1"/>
  <c r="BS11" i="4" a="1"/>
  <c r="AC9" i="4" a="1"/>
  <c r="V9" i="4" a="1"/>
  <c r="DY5" i="4" a="1"/>
  <c r="CT9" i="4" a="1"/>
  <c r="CO7" i="4" a="1"/>
  <c r="CQ7" i="4" a="1"/>
  <c r="BT6" i="4" a="1"/>
  <c r="P5" i="4" a="1"/>
  <c r="BH9" i="4" a="1"/>
  <c r="CA5" i="4" a="1"/>
  <c r="EF8" i="4" a="1"/>
  <c r="DI11" i="4" a="1"/>
  <c r="BL5" i="4" a="1"/>
  <c r="BQ6" i="4" a="1"/>
  <c r="CE16" i="4" a="1"/>
  <c r="AF6" i="4" a="1"/>
  <c r="AP8" i="4" a="1"/>
  <c r="AP12" i="4" a="1"/>
  <c r="CA13" i="4" a="1"/>
  <c r="CO12" i="4" a="1"/>
  <c r="BA16" i="4" a="1"/>
  <c r="V8" i="4" a="1"/>
  <c r="CX5" i="4" a="1"/>
  <c r="AY8" i="4" a="1"/>
  <c r="DY7" i="4" a="1"/>
  <c r="AE14" i="4" a="1"/>
  <c r="BA8" i="4" a="1"/>
  <c r="BP6" i="4" a="1"/>
  <c r="T14" i="4" a="1"/>
  <c r="EJ11" i="4" a="1"/>
  <c r="BU15" i="4" a="1"/>
  <c r="BY12" i="4" a="1"/>
  <c r="Z14" i="4" a="1"/>
  <c r="EK13" i="4" a="1"/>
  <c r="EH14" i="4" a="1"/>
  <c r="DY15" i="4" a="1"/>
  <c r="BM7" i="4" a="1"/>
  <c r="DA6" i="4" a="1"/>
  <c r="CD16" i="4" a="1"/>
  <c r="EK14" i="4" a="1"/>
  <c r="K33" i="2"/>
  <c r="G24" i="2"/>
  <c r="M31" i="2"/>
  <c r="AP45" i="3"/>
  <c r="D35" i="3"/>
  <c r="D14" i="4" a="1"/>
  <c r="CQ14" i="4" a="1"/>
  <c r="BE12" i="4" a="1"/>
  <c r="K14" i="4" a="1"/>
  <c r="AM5" i="4" a="1"/>
  <c r="EF13" i="4" a="1"/>
  <c r="AP16" i="4" a="1"/>
  <c r="AZ8" i="4" a="1"/>
  <c r="CN15" i="4" a="1"/>
  <c r="D7" i="4" a="1"/>
  <c r="DW15" i="4" a="1"/>
  <c r="DP7" i="4" a="1"/>
  <c r="BE5" i="4" a="1"/>
  <c r="AW7" i="4" a="1"/>
  <c r="BV11" i="4" a="1"/>
  <c r="CB14" i="4" a="1"/>
  <c r="AR5" i="4" a="1"/>
  <c r="D12" i="4" a="1"/>
  <c r="DB12" i="4" a="1"/>
  <c r="BR6" i="4" a="1"/>
  <c r="BA15" i="4" a="1"/>
  <c r="CC14" i="4" a="1"/>
  <c r="CQ5" i="4" a="1"/>
  <c r="DR7" i="4" a="1"/>
  <c r="O12" i="4" a="1"/>
  <c r="R29" i="2"/>
  <c r="M32" i="2"/>
  <c r="N8" i="2"/>
  <c r="T45" i="3"/>
  <c r="AD11" i="3"/>
  <c r="DU7" i="4" a="1"/>
  <c r="BK13" i="4" a="1"/>
  <c r="R6" i="4" a="1"/>
  <c r="R11" i="4" a="1"/>
  <c r="AY7" i="4" a="1"/>
  <c r="DW6" i="4" a="1"/>
  <c r="X6" i="4" a="1"/>
  <c r="DU5" i="4" a="1"/>
  <c r="BB6" i="4" a="1"/>
  <c r="T12" i="4" a="1"/>
  <c r="BV16" i="4" a="1"/>
  <c r="AZ6" i="4" a="1"/>
  <c r="CJ8" i="4" a="1"/>
  <c r="BQ11" i="4" a="1"/>
  <c r="BW12" i="4" a="1"/>
  <c r="AL8" i="4" a="1"/>
  <c r="AX13" i="4" a="1"/>
  <c r="BJ8" i="4" a="1"/>
  <c r="CI12" i="4" a="1"/>
  <c r="AZ5" i="4" a="1"/>
  <c r="Y7" i="4" a="1"/>
  <c r="AT5" i="4" a="1"/>
  <c r="BR14" i="4" a="1"/>
  <c r="CI5" i="4" a="1"/>
  <c r="DZ8" i="4" a="1"/>
  <c r="AC13" i="4" a="1"/>
  <c r="X12" i="4" a="1"/>
  <c r="DD7" i="4" a="1"/>
  <c r="L15" i="4" a="1"/>
  <c r="DB5" i="4" a="1"/>
  <c r="AN14" i="4" a="1"/>
  <c r="EJ8" i="4" a="1"/>
  <c r="DY13" i="4" a="1"/>
  <c r="CO11" i="4" a="1"/>
  <c r="DP13" i="4" a="1"/>
  <c r="CE12" i="4" a="1"/>
  <c r="AG6" i="4" a="1"/>
  <c r="DC11" i="4" a="1"/>
  <c r="DD11" i="4" a="1"/>
  <c r="EI8" i="4" a="1"/>
  <c r="DH16" i="4" a="1"/>
  <c r="T12" i="2"/>
  <c r="D33" i="2"/>
  <c r="K14" i="2"/>
  <c r="E23" i="3"/>
  <c r="F35" i="3"/>
  <c r="CR8" i="4" a="1"/>
  <c r="CB13" i="4" a="1"/>
  <c r="AD11" i="4" a="1"/>
  <c r="P16" i="4" a="1"/>
  <c r="BI5" i="4" a="1"/>
  <c r="BE7" i="4" a="1"/>
  <c r="BE6" i="4" a="1"/>
  <c r="EA8" i="4" a="1"/>
  <c r="CE6" i="4" a="1"/>
  <c r="BO13" i="4" a="1"/>
  <c r="CS7" i="4" a="1"/>
  <c r="L6" i="4" a="1"/>
  <c r="I16" i="4" a="1"/>
  <c r="BS14" i="4" a="1"/>
  <c r="DK14" i="4" a="1"/>
  <c r="DB7" i="4" a="1"/>
  <c r="CD15" i="4" a="1"/>
  <c r="N14" i="4" a="1"/>
  <c r="DG7" i="4" a="1"/>
  <c r="CF11" i="4" a="1"/>
  <c r="BR11" i="4" a="1"/>
  <c r="CL11" i="4" a="1"/>
  <c r="R5" i="4" a="1"/>
  <c r="BP9" i="4" a="1"/>
  <c r="CD12" i="4" a="1"/>
  <c r="W15" i="4" a="1"/>
  <c r="BE9" i="4" a="1"/>
  <c r="CU5" i="4" a="1"/>
  <c r="BB9" i="4" a="1"/>
  <c r="AH7" i="4" a="1"/>
  <c r="EB15" i="4" a="1"/>
  <c r="DK6" i="4" a="1"/>
  <c r="N6" i="4" a="1"/>
  <c r="DQ6" i="4" a="1"/>
  <c r="CX12" i="4" a="1"/>
  <c r="CY12" i="4" a="1"/>
  <c r="BN15" i="4" a="1"/>
  <c r="EH6" i="4" a="1"/>
  <c r="DJ5" i="4" a="1"/>
  <c r="CN6" i="4" a="1"/>
  <c r="CW6" i="4" a="1"/>
  <c r="M15" i="4" a="1"/>
  <c r="BM11" i="4" a="1"/>
  <c r="AP6" i="4" a="1"/>
  <c r="CB6" i="4" a="1"/>
  <c r="CY5" i="4" a="1"/>
  <c r="CY11" i="4" a="1"/>
  <c r="AE5" i="4" a="1"/>
  <c r="AH11" i="4" a="1"/>
  <c r="AM16" i="4" a="1"/>
  <c r="CL14" i="4" a="1"/>
  <c r="EE5" i="4" a="1"/>
  <c r="AM9" i="4" a="1"/>
  <c r="AA5" i="4" a="1"/>
  <c r="AH14" i="4" a="1"/>
  <c r="H14" i="4" a="1"/>
  <c r="CX16" i="4" a="1"/>
  <c r="K10" i="2"/>
  <c r="S8" i="2"/>
  <c r="H5" i="2"/>
  <c r="E35" i="3"/>
  <c r="EJ14" i="4" a="1"/>
  <c r="AD8" i="4" a="1"/>
  <c r="T7" i="4" a="1"/>
  <c r="AE6" i="4" a="1"/>
  <c r="BH6" i="4" a="1"/>
  <c r="C8" i="4" a="1"/>
  <c r="BD5" i="4" a="1"/>
  <c r="EI6" i="4" a="1"/>
  <c r="BU13" i="4" a="1"/>
  <c r="EG6" i="4" a="1"/>
  <c r="AP11" i="4" a="1"/>
  <c r="DL5" i="4" a="1"/>
  <c r="BJ16" i="4" a="1"/>
  <c r="CW9" i="4" a="1"/>
  <c r="AA6" i="4" a="1"/>
  <c r="BV8" i="4" a="1"/>
  <c r="CS5" i="4" a="1"/>
  <c r="F9" i="4" a="1"/>
  <c r="BZ13" i="4" a="1"/>
  <c r="DM11" i="4" a="1"/>
  <c r="EE6" i="4" a="1"/>
  <c r="DM16" i="4" a="1"/>
  <c r="DR6" i="4" a="1"/>
  <c r="AX9" i="4" a="1"/>
  <c r="DH13" i="4" a="1"/>
  <c r="CS6" i="4" a="1"/>
  <c r="BM6" i="4" a="1"/>
  <c r="AF11" i="4" a="1"/>
  <c r="G9" i="4" a="1"/>
  <c r="CT6" i="4" a="1"/>
  <c r="DJ8" i="4" a="1"/>
  <c r="CO16" i="4" a="1"/>
  <c r="CW11" i="4" a="1"/>
  <c r="C11" i="4" a="1"/>
  <c r="X16" i="4" a="1"/>
  <c r="G8" i="4" a="1"/>
  <c r="BV6" i="4" a="1"/>
  <c r="CA16" i="4" a="1"/>
  <c r="DN7" i="4" a="1"/>
  <c r="DY6" i="4" a="1"/>
  <c r="DR15" i="4" a="1"/>
  <c r="CL13" i="4" a="1"/>
  <c r="S14" i="4" a="1"/>
  <c r="Q15" i="4" a="1"/>
  <c r="AR6" i="4" a="1"/>
  <c r="CE9" i="4" a="1"/>
  <c r="AF5" i="4" a="1"/>
  <c r="CF5" i="4" a="1"/>
  <c r="DS15" i="4" a="1"/>
  <c r="EF12" i="4" a="1"/>
  <c r="CO8" i="4" a="1"/>
  <c r="DC6" i="4" a="1"/>
  <c r="E7" i="4" a="1"/>
  <c r="AN16" i="4" a="1"/>
  <c r="CY7" i="4" a="1"/>
  <c r="Y13" i="4" a="1"/>
  <c r="BE14" i="4" a="1"/>
  <c r="AV7" i="4" a="1"/>
  <c r="BF6" i="4" a="1"/>
  <c r="BW5" i="4" a="1"/>
  <c r="AW16" i="4" a="1"/>
  <c r="G5" i="4" a="1"/>
  <c r="CI6" i="4" a="1"/>
  <c r="W14" i="4" a="1"/>
  <c r="D5" i="4" a="1"/>
  <c r="DS14" i="4" a="1"/>
  <c r="U5" i="2"/>
  <c r="P45" i="3"/>
  <c r="W11" i="4" a="1"/>
  <c r="CJ9" i="4" a="1"/>
  <c r="ED9" i="4" a="1"/>
  <c r="EJ6" i="4" a="1"/>
  <c r="CH5" i="4" a="1"/>
  <c r="AR7" i="4" a="1"/>
  <c r="H16" i="4" a="1"/>
  <c r="N15" i="4" a="1"/>
  <c r="CA7" i="4" a="1"/>
  <c r="CG11" i="4" a="1"/>
  <c r="F5" i="4" a="1"/>
  <c r="EE9" i="4" a="1"/>
  <c r="CK7" i="4" a="1"/>
  <c r="CB16" i="4" a="1"/>
  <c r="AH16" i="4" a="1"/>
  <c r="CL8" i="4" a="1"/>
  <c r="BU16" i="4" a="1"/>
  <c r="CX13" i="4" a="1"/>
  <c r="CI9" i="4" a="1"/>
  <c r="DJ15" i="4" a="1"/>
  <c r="AS7" i="4" a="1"/>
  <c r="AE8" i="4" a="1"/>
  <c r="N5" i="4" a="1"/>
  <c r="DI6" i="4" a="1"/>
  <c r="Z11" i="4" a="1"/>
  <c r="DS11" i="4" a="1"/>
  <c r="BV12" i="4" a="1"/>
  <c r="CT12" i="4" a="1"/>
  <c r="AU7" i="4" a="1"/>
  <c r="U12" i="4" a="1"/>
  <c r="Z16" i="4" a="1"/>
  <c r="AJ13" i="4" a="1"/>
  <c r="AO7" i="4" a="1"/>
  <c r="BX6" i="4" a="1"/>
  <c r="AW15" i="4" a="1"/>
  <c r="CP16" i="4" a="1"/>
  <c r="BN14" i="4" a="1"/>
  <c r="P23" i="2"/>
  <c r="Q20" i="2"/>
  <c r="K15" i="2"/>
  <c r="AR38" i="3"/>
  <c r="CX7" i="4" a="1"/>
  <c r="BU7" i="4" a="1"/>
  <c r="CG12" i="4" a="1"/>
  <c r="P7" i="4" a="1"/>
  <c r="BT9" i="4" a="1"/>
  <c r="DX6" i="4" a="1"/>
  <c r="EC11" i="4" a="1"/>
  <c r="BS12" i="4" a="1"/>
  <c r="AU13" i="4" a="1"/>
  <c r="CS12" i="4" a="1"/>
  <c r="EJ12" i="4" a="1"/>
  <c r="DJ6" i="4" a="1"/>
  <c r="BB14" i="4" a="1"/>
  <c r="EI12" i="4" a="1"/>
  <c r="DT16" i="4" a="1"/>
  <c r="BP16" i="4" a="1"/>
  <c r="Y12" i="4" a="1"/>
  <c r="DN6" i="4" a="1"/>
  <c r="CI8" i="4" a="1"/>
  <c r="DD12" i="4" a="1"/>
  <c r="BN9" i="4" a="1"/>
  <c r="T9" i="4" a="1"/>
  <c r="G6" i="4" a="1"/>
  <c r="DS13" i="4" a="1"/>
  <c r="AV5" i="4" a="1"/>
  <c r="EC14" i="4" a="1"/>
  <c r="ED5" i="4" a="1"/>
  <c r="BX13" i="4" a="1"/>
  <c r="DO11" i="4" a="1"/>
  <c r="DN8" i="4" a="1"/>
  <c r="CW13" i="4" a="1"/>
  <c r="CV7" i="4" a="1"/>
  <c r="DA9" i="4" a="1"/>
  <c r="DT5" i="4" a="1"/>
  <c r="CD7" i="4" a="1"/>
  <c r="U7" i="4" a="1"/>
  <c r="DH5" i="4" a="1"/>
  <c r="CG9" i="4" a="1"/>
  <c r="CP6" i="4" a="1"/>
  <c r="M8" i="4" a="1"/>
  <c r="EB12" i="4" a="1"/>
  <c r="AB7" i="4" a="1"/>
  <c r="Z13" i="4" a="1"/>
  <c r="BA11" i="4" a="1"/>
  <c r="AR14" i="4" a="1"/>
  <c r="DM9" i="4" a="1"/>
  <c r="CZ7" i="4" a="1"/>
  <c r="DW9" i="4" a="1"/>
  <c r="AO8" i="4" a="1"/>
  <c r="BA12" i="4" a="1"/>
  <c r="BS8" i="4" a="1"/>
  <c r="EB7" i="4" a="1"/>
  <c r="DB15" i="4" a="1"/>
  <c r="G16" i="4" a="1"/>
  <c r="L12" i="4" a="1"/>
  <c r="BG9" i="4" a="1"/>
  <c r="DE5" i="4" a="1"/>
  <c r="AL16" i="4" a="1"/>
  <c r="DW8" i="4" a="1"/>
  <c r="N16" i="4" a="1"/>
  <c r="CM5" i="4" a="1"/>
  <c r="BK14" i="4" a="1"/>
  <c r="AT7" i="4" a="1"/>
  <c r="CH9" i="4" a="1"/>
  <c r="DW16" i="4" a="1"/>
  <c r="DK8" i="4" a="1"/>
  <c r="D7" i="2"/>
  <c r="O14" i="2"/>
  <c r="DZ14" i="4" a="1"/>
  <c r="BN11" i="4" a="1"/>
  <c r="DQ13" i="4" a="1"/>
  <c r="AK7" i="4" a="1"/>
  <c r="AP15" i="4" a="1"/>
  <c r="DS6" i="4" a="1"/>
  <c r="AM6" i="4" a="1"/>
  <c r="CP8" i="4" a="1"/>
  <c r="I5" i="4" a="1"/>
  <c r="AV8" i="4" a="1"/>
  <c r="BY14" i="4" a="1"/>
  <c r="DX7" i="4" a="1"/>
  <c r="BD11" i="4" a="1"/>
  <c r="W6" i="4" a="1"/>
  <c r="AX15" i="4" a="1"/>
  <c r="CP9" i="4" a="1"/>
  <c r="DV6" i="4" a="1"/>
  <c r="L7" i="4" a="1"/>
  <c r="AB6" i="4" a="1"/>
  <c r="BC14" i="4" a="1"/>
  <c r="BO9" i="4" a="1"/>
  <c r="AE11" i="4" a="1"/>
  <c r="CO15" i="4" a="1"/>
  <c r="AV12" i="4" a="1"/>
  <c r="DN14" i="4" a="1"/>
  <c r="K6" i="4" a="1"/>
  <c r="AJ8" i="4" a="1"/>
  <c r="CD14" i="4" a="1"/>
  <c r="E13" i="4" a="1"/>
  <c r="AD6" i="4" a="1"/>
  <c r="W9" i="4" a="1"/>
  <c r="EG8" i="4" a="1"/>
  <c r="BW8" i="4" a="1"/>
  <c r="H11" i="4" a="1"/>
  <c r="CC9" i="4" a="1"/>
  <c r="DN16" i="4" a="1"/>
  <c r="ED12" i="4" a="1"/>
  <c r="AJ6" i="4" a="1"/>
  <c r="AX5" i="4" a="1"/>
  <c r="DI13" i="4" a="1"/>
  <c r="N12" i="4" a="1"/>
  <c r="DO16" i="4" a="1"/>
  <c r="BG15" i="4" a="1"/>
  <c r="C16" i="4" a="1"/>
  <c r="CF15" i="4" a="1"/>
  <c r="DC16" i="4" a="1"/>
  <c r="CN13" i="4" a="1"/>
  <c r="BT14" i="4" a="1"/>
  <c r="E15" i="4" a="1"/>
  <c r="BR9" i="4" a="1"/>
  <c r="CZ13" i="4" a="1"/>
  <c r="Y15" i="4" a="1"/>
  <c r="CX11" i="4" a="1"/>
  <c r="CZ6" i="4" a="1"/>
  <c r="AI12" i="4" a="1"/>
  <c r="EE16" i="4" a="1"/>
  <c r="BI14" i="4" a="1"/>
  <c r="BL7" i="4" a="1"/>
  <c r="F14" i="4" a="1"/>
  <c r="DK15" i="4" a="1"/>
  <c r="BU11" i="4" a="1"/>
  <c r="O15" i="4" a="1"/>
  <c r="D28" i="2"/>
  <c r="C14" i="2"/>
  <c r="I26" i="2"/>
  <c r="P46" i="3"/>
  <c r="EC15" i="4" a="1"/>
  <c r="AI7" i="4" a="1"/>
  <c r="AP9" i="4" a="1"/>
  <c r="BT13" i="4" a="1"/>
  <c r="DE15" i="4" a="1"/>
  <c r="AD5" i="4" a="1"/>
  <c r="DP11" i="4" a="1"/>
  <c r="G12" i="4" a="1"/>
  <c r="AY6" i="4" a="1"/>
  <c r="CT7" i="4" a="1"/>
  <c r="BA7" i="4" a="1"/>
  <c r="DT9" i="4" a="1"/>
  <c r="D9" i="4" a="1"/>
  <c r="BM16" i="4" a="1"/>
  <c r="O11" i="4" a="1"/>
  <c r="E9" i="4" a="1"/>
  <c r="AJ16" i="4" a="1"/>
  <c r="BP12" i="4" a="1"/>
  <c r="CQ11" i="4" a="1"/>
  <c r="BB11" i="4" a="1"/>
  <c r="AS13" i="4" a="1"/>
  <c r="DX12" i="4" a="1"/>
  <c r="DO8" i="4" a="1"/>
  <c r="AB16" i="4" a="1"/>
  <c r="T15" i="4" a="1"/>
  <c r="AL7" i="4" a="1"/>
  <c r="CD11" i="4" a="1"/>
  <c r="V11" i="4" a="1"/>
  <c r="CP7" i="4" a="1"/>
  <c r="AA8" i="4" a="1"/>
  <c r="DM8" i="4" a="1"/>
  <c r="K8" i="4" a="1"/>
  <c r="CZ5" i="4" a="1"/>
  <c r="M9" i="4" a="1"/>
  <c r="EC13" i="4" a="1"/>
  <c r="J15" i="4" a="1"/>
  <c r="AW9" i="4" a="1"/>
  <c r="AQ8" i="4" a="1"/>
  <c r="V13" i="4" a="1"/>
  <c r="AF12" i="4" a="1"/>
  <c r="BH15" i="4" a="1"/>
  <c r="DU13" i="4" a="1"/>
  <c r="R12" i="4" a="1"/>
  <c r="AZ11" i="4" a="1"/>
  <c r="EH15" i="4" a="1"/>
  <c r="BN5" i="4" a="1"/>
  <c r="EG11" i="4" a="1"/>
  <c r="E5" i="4" a="1"/>
  <c r="EH11" i="4" a="1"/>
  <c r="DD14" i="4" a="1"/>
  <c r="BG14" i="4" a="1"/>
  <c r="CA14" i="4" a="1"/>
  <c r="DE13" i="4" a="1"/>
  <c r="CW8" i="4" a="1"/>
  <c r="K5" i="4" a="1"/>
  <c r="DJ12" i="4" a="1"/>
  <c r="EE7" i="4" a="1"/>
  <c r="BF15" i="4" a="1"/>
  <c r="DR13" i="4" a="1"/>
  <c r="AM15" i="4" a="1"/>
  <c r="E11" i="4" a="1"/>
  <c r="AV13" i="4" a="1"/>
  <c r="U13" i="4" a="1"/>
  <c r="DW12" i="4" a="1"/>
  <c r="N8" i="4" a="1"/>
  <c r="CN5" i="4" a="1"/>
  <c r="G32" i="2"/>
  <c r="Q36" i="2"/>
  <c r="H45" i="3"/>
  <c r="AJ45" i="3"/>
  <c r="EJ5" i="4" a="1"/>
  <c r="K7" i="4" a="1"/>
  <c r="BA5" i="4" a="1"/>
  <c r="CS8" i="4" a="1"/>
  <c r="AV16" i="4" a="1"/>
  <c r="AL5" i="4" a="1"/>
  <c r="BK12" i="4" a="1"/>
  <c r="BY15" i="4" a="1"/>
  <c r="DV9" i="4" a="1"/>
  <c r="O22" i="2"/>
  <c r="DA8" i="4" a="1"/>
  <c r="BO15" i="4" a="1"/>
  <c r="EF11" i="4" a="1"/>
  <c r="DE6" i="4" a="1"/>
  <c r="AO15" i="4" a="1"/>
  <c r="DY9" i="4" a="1"/>
  <c r="BS9" i="4" a="1"/>
  <c r="DG11" i="4" a="1"/>
  <c r="Q16" i="4" a="1"/>
  <c r="CR11" i="4" a="1"/>
  <c r="DV13" i="4" a="1"/>
  <c r="O14" i="4" a="1"/>
  <c r="DV14" i="4" a="1"/>
  <c r="DG16" i="4" a="1"/>
  <c r="AR60" i="3"/>
  <c r="BG12" i="4" a="1"/>
  <c r="BT15" i="4" a="1"/>
  <c r="AY13" i="4" a="1"/>
  <c r="DE9" i="4" a="1"/>
  <c r="DW7" i="4" a="1"/>
  <c r="AD7" i="4" a="1"/>
  <c r="E6" i="4" a="1"/>
  <c r="S46" i="3"/>
  <c r="DU11" i="4" a="1"/>
  <c r="BT5" i="4" a="1"/>
  <c r="S9" i="4" a="1"/>
  <c r="CV16" i="4" a="1"/>
  <c r="BO11" i="4" a="1"/>
  <c r="C13" i="4" a="1"/>
  <c r="CJ6" i="4" a="1"/>
  <c r="J11" i="4" a="1"/>
  <c r="AC7" i="4" a="1"/>
  <c r="Z12" i="4" a="1"/>
  <c r="EC16" i="4" a="1"/>
  <c r="BB15" i="4" a="1"/>
  <c r="DB16" i="4" a="1"/>
  <c r="AR14" i="3"/>
  <c r="BP5" i="4" a="1"/>
  <c r="BO7" i="4" a="1"/>
  <c r="AK9" i="4" a="1"/>
  <c r="CT15" i="4" a="1"/>
  <c r="DD6" i="4" a="1"/>
  <c r="BZ12" i="4" a="1"/>
  <c r="AT11" i="4" a="1"/>
  <c r="BK16" i="4" a="1"/>
  <c r="CC15" i="4" a="1"/>
  <c r="EE14" i="4" a="1"/>
  <c r="BR7" i="4" a="1"/>
  <c r="BC7" i="4" a="1"/>
  <c r="AW6" i="4" a="1"/>
  <c r="C9" i="4" a="1"/>
  <c r="BJ6" i="4" a="1"/>
  <c r="EC12" i="4" a="1"/>
  <c r="AW8" i="4" a="1"/>
  <c r="BU5" i="4" a="1"/>
  <c r="AN13" i="4" a="1"/>
  <c r="F13" i="4" a="1"/>
  <c r="EE13" i="4" a="1"/>
  <c r="CZ14" i="4" a="1"/>
  <c r="BH12" i="4" a="1"/>
  <c r="G14" i="4" a="1"/>
  <c r="CO5" i="4" a="1"/>
  <c r="DH9" i="4" a="1"/>
  <c r="AB8" i="4" a="1"/>
  <c r="AN15" i="4" a="1"/>
  <c r="AF15" i="4" a="1"/>
  <c r="CY9" i="4" a="1"/>
  <c r="I6" i="4" a="1"/>
  <c r="I9" i="4" a="1"/>
  <c r="DK12" i="4" a="1"/>
  <c r="DK11" i="4" a="1"/>
  <c r="D72" i="3"/>
  <c r="D67" i="3"/>
  <c r="F49" i="3"/>
  <c r="G80" i="3"/>
  <c r="E67" i="3"/>
  <c r="F91" i="3"/>
  <c r="F61" i="3"/>
  <c r="G76" i="3"/>
  <c r="F76" i="3"/>
  <c r="E93" i="3"/>
  <c r="D86" i="3"/>
  <c r="D85" i="3"/>
  <c r="F88" i="3"/>
  <c r="G86" i="3"/>
  <c r="E61" i="3"/>
  <c r="D63" i="3"/>
  <c r="E56" i="3"/>
  <c r="G81" i="3"/>
  <c r="D91" i="3"/>
  <c r="E65" i="3"/>
  <c r="E80" i="3"/>
  <c r="E64" i="3"/>
  <c r="D73" i="3"/>
  <c r="F62" i="3"/>
  <c r="G77" i="3"/>
  <c r="E81" i="3"/>
  <c r="E70" i="3"/>
  <c r="D95" i="3"/>
  <c r="E89" i="3"/>
  <c r="G93" i="3"/>
  <c r="D93" i="3"/>
  <c r="F60" i="3"/>
  <c r="E59" i="3"/>
  <c r="F47" i="3"/>
  <c r="E74" i="3"/>
  <c r="D55" i="3"/>
  <c r="G88" i="3"/>
  <c r="D62" i="3"/>
  <c r="F94" i="3"/>
  <c r="D97" i="3"/>
  <c r="F82" i="3"/>
  <c r="F80" i="3"/>
  <c r="G78" i="3"/>
  <c r="G60" i="3"/>
  <c r="G94" i="3"/>
  <c r="F84" i="3"/>
  <c r="D87" i="3"/>
  <c r="G84" i="3"/>
  <c r="F50" i="3"/>
  <c r="G59" i="3"/>
  <c r="G67" i="3"/>
  <c r="F78" i="3"/>
  <c r="E87" i="3"/>
  <c r="F65" i="3"/>
  <c r="E71" i="3"/>
  <c r="D66" i="3"/>
  <c r="G63" i="3"/>
  <c r="F69" i="3"/>
  <c r="F86" i="3"/>
  <c r="E90" i="3"/>
  <c r="E58" i="3"/>
  <c r="F90" i="3"/>
  <c r="D84" i="3"/>
  <c r="G91" i="3"/>
  <c r="F70" i="3"/>
  <c r="E77" i="3"/>
  <c r="F58" i="3"/>
  <c r="G83" i="3"/>
  <c r="F57" i="3"/>
  <c r="F66" i="3"/>
  <c r="D65" i="3"/>
  <c r="G55" i="3"/>
  <c r="G69" i="3"/>
  <c r="F72" i="3"/>
  <c r="D80" i="3"/>
  <c r="G56" i="3"/>
  <c r="E79" i="3"/>
  <c r="F67" i="3"/>
  <c r="D69" i="3"/>
  <c r="E97" i="3"/>
  <c r="E95" i="3"/>
  <c r="E60" i="3"/>
  <c r="E75" i="3"/>
  <c r="E54" i="3"/>
  <c r="E85" i="3"/>
  <c r="D58" i="3"/>
  <c r="F55" i="3"/>
  <c r="G57" i="3"/>
  <c r="E68" i="3"/>
  <c r="E76" i="3"/>
  <c r="F64" i="3"/>
  <c r="G66" i="3"/>
  <c r="E73" i="3"/>
  <c r="G89" i="3"/>
  <c r="D61" i="3"/>
  <c r="G74" i="3"/>
  <c r="F74" i="3"/>
  <c r="D59" i="3"/>
  <c r="F95" i="3"/>
  <c r="G96" i="3"/>
  <c r="E66" i="3"/>
  <c r="G73" i="3"/>
  <c r="D82" i="3"/>
  <c r="G75" i="3"/>
  <c r="D64" i="3"/>
  <c r="F63" i="3"/>
  <c r="E63" i="3"/>
  <c r="F97" i="3"/>
  <c r="D54" i="3"/>
  <c r="F56" i="3"/>
  <c r="D68" i="3"/>
  <c r="F73" i="3"/>
  <c r="E55" i="3"/>
  <c r="D83" i="3"/>
  <c r="F81" i="3"/>
  <c r="G85" i="3"/>
  <c r="F77" i="3"/>
  <c r="G65" i="3"/>
  <c r="E69" i="3"/>
  <c r="D74" i="3"/>
  <c r="F87" i="3"/>
  <c r="G90" i="3"/>
  <c r="D78" i="3"/>
  <c r="G72" i="3"/>
  <c r="D71" i="3"/>
  <c r="F54" i="3"/>
  <c r="G97" i="3"/>
  <c r="G61" i="3"/>
  <c r="D77" i="3"/>
  <c r="F59" i="3"/>
  <c r="G54" i="3"/>
  <c r="F48" i="3"/>
  <c r="G79" i="3"/>
  <c r="F83" i="3"/>
  <c r="G64" i="3"/>
  <c r="E92" i="3"/>
  <c r="G95" i="3"/>
  <c r="F85" i="3"/>
  <c r="G71" i="3"/>
  <c r="E86" i="3"/>
  <c r="F71" i="3"/>
  <c r="G87" i="3"/>
  <c r="G70" i="3"/>
  <c r="F68" i="3"/>
  <c r="G62" i="3"/>
  <c r="F92" i="3"/>
  <c r="E57" i="3"/>
  <c r="F93" i="3"/>
  <c r="G58" i="3"/>
  <c r="D56" i="3"/>
  <c r="F89" i="3"/>
  <c r="G92" i="3"/>
  <c r="F79" i="3"/>
  <c r="G82" i="3"/>
  <c r="F75" i="3"/>
  <c r="G68" i="3"/>
  <c r="D88" i="3"/>
  <c r="F96" i="3"/>
  <c r="E78" i="3"/>
  <c r="E72" i="3" l="1"/>
  <c r="E91" i="3"/>
  <c r="E96" i="3"/>
  <c r="E88" i="3"/>
  <c r="E82" i="3"/>
  <c r="E62" i="3"/>
  <c r="E84" i="3"/>
  <c r="E83" i="3"/>
  <c r="E94" i="3"/>
  <c r="AD80" i="3"/>
  <c r="BJ159" i="1" s="1"/>
  <c r="AD74" i="3"/>
  <c r="AD67" i="3"/>
  <c r="AD92" i="3"/>
  <c r="BJ155" i="1" s="1"/>
  <c r="BK155" i="1" s="1"/>
  <c r="AD69" i="3"/>
  <c r="BJ132" i="1" s="1"/>
  <c r="AD84" i="3"/>
  <c r="BJ146" i="1" s="1"/>
  <c r="BK146" i="1" s="1"/>
  <c r="AD54" i="3"/>
  <c r="AD93" i="3"/>
  <c r="AD81" i="3"/>
  <c r="BJ144" i="1" s="1"/>
  <c r="AD90" i="3"/>
  <c r="BJ126" i="1" s="1"/>
  <c r="BK126" i="1" s="1"/>
  <c r="AD97" i="3"/>
  <c r="AD62" i="3"/>
  <c r="BJ124" i="1" s="1"/>
  <c r="BK124" i="1" s="1"/>
  <c r="AD91" i="3"/>
  <c r="BJ154" i="1" s="1"/>
  <c r="BK154" i="1" s="1"/>
  <c r="AD72" i="3"/>
  <c r="BJ135" i="1" s="1"/>
  <c r="BK135" i="1" s="1"/>
  <c r="AD65" i="3"/>
  <c r="BJ150" i="1" s="1"/>
  <c r="BK150" i="1" s="1"/>
  <c r="AD64" i="3"/>
  <c r="BJ149" i="1" s="1"/>
  <c r="AD68" i="3"/>
  <c r="BJ131" i="1" s="1"/>
  <c r="AD79" i="3"/>
  <c r="AD87" i="3"/>
  <c r="BJ152" i="1" s="1"/>
  <c r="BK152" i="1" s="1"/>
  <c r="AD55" i="3"/>
  <c r="AD76" i="3"/>
  <c r="AD94" i="3"/>
  <c r="AD75" i="3"/>
  <c r="AD66" i="3"/>
  <c r="BJ151" i="1" s="1"/>
  <c r="BK151" i="1" s="1"/>
  <c r="AD89" i="3"/>
  <c r="BJ153" i="1" s="1"/>
  <c r="AD82" i="3"/>
  <c r="BJ145" i="1" s="1"/>
  <c r="AD85" i="3"/>
  <c r="BJ147" i="1" s="1"/>
  <c r="BK147" i="1" s="1"/>
  <c r="AD88" i="3"/>
  <c r="BJ127" i="1" s="1"/>
  <c r="BK127" i="1" s="1"/>
  <c r="AD95" i="3"/>
  <c r="BJ164" i="1" s="1"/>
  <c r="AD63" i="3"/>
  <c r="BJ125" i="1" s="1"/>
  <c r="BK125" i="1" s="1"/>
  <c r="AD73" i="3"/>
  <c r="AD71" i="3"/>
  <c r="AD60" i="3"/>
  <c r="BJ122" i="1" s="1"/>
  <c r="BK122" i="1" s="1"/>
  <c r="AD57" i="3"/>
  <c r="BJ118" i="1" s="1"/>
  <c r="BK118" i="1" s="1"/>
  <c r="AD86" i="3"/>
  <c r="AD96" i="3"/>
  <c r="BJ163" i="1" s="1"/>
  <c r="BK163" i="1" s="1"/>
  <c r="AD59" i="3"/>
  <c r="AD83" i="3"/>
  <c r="BJ160" i="1" s="1"/>
  <c r="AD78" i="3"/>
  <c r="BJ142" i="1" s="1"/>
  <c r="BK142" i="1" s="1"/>
  <c r="AD58" i="3"/>
  <c r="BJ119" i="1" s="1"/>
  <c r="AD56" i="3"/>
  <c r="BJ117" i="1" s="1"/>
  <c r="AD61" i="3"/>
  <c r="AD70" i="3"/>
  <c r="BJ133" i="1" s="1"/>
  <c r="AD77" i="3"/>
  <c r="BJ140" i="1" s="1"/>
  <c r="BK140" i="1" s="1"/>
  <c r="BL202" i="1" s="1"/>
  <c r="D96" i="3"/>
  <c r="AJ163" i="1" s="1"/>
  <c r="AK163" i="1" s="1"/>
  <c r="D75" i="3"/>
  <c r="AJ137" i="1" s="1"/>
  <c r="AK137" i="1" s="1"/>
  <c r="D81" i="3"/>
  <c r="AJ144" i="1" s="1"/>
  <c r="D89" i="3"/>
  <c r="AJ153" i="1" s="1"/>
  <c r="D60" i="3"/>
  <c r="AJ122" i="1" s="1"/>
  <c r="AK122" i="1" s="1"/>
  <c r="D92" i="3"/>
  <c r="AJ155" i="1" s="1"/>
  <c r="AK155" i="1" s="1"/>
  <c r="D79" i="3"/>
  <c r="D70" i="3"/>
  <c r="AJ133" i="1" s="1"/>
  <c r="D94" i="3"/>
  <c r="D90" i="3"/>
  <c r="AJ126" i="1" s="1"/>
  <c r="AK126" i="1" s="1"/>
  <c r="D57" i="3"/>
  <c r="AJ118" i="1" s="1"/>
  <c r="AK118" i="1" s="1"/>
  <c r="D76" i="3"/>
  <c r="HQ9" i="4" s="1"/>
  <c r="II16" i="4" s="1"/>
  <c r="BX23" i="1"/>
  <c r="BX122" i="1"/>
  <c r="BY122" i="1" s="1"/>
  <c r="IY16" i="4" s="1"/>
  <c r="JE9" i="4" s="1"/>
  <c r="JD9" i="4" s="1"/>
  <c r="ID16" i="4" s="1"/>
  <c r="F45" i="1"/>
  <c r="HZ16" i="4" s="1"/>
  <c r="IB9" i="4" s="1"/>
  <c r="B20" i="1"/>
  <c r="JG16" i="4" s="1"/>
  <c r="IH15" i="4" s="1"/>
  <c r="IO9" i="4" s="1"/>
  <c r="N20" i="1"/>
  <c r="C9" i="1"/>
  <c r="JA9" i="4" s="1"/>
  <c r="HX7" i="4" s="1"/>
  <c r="IW9" i="4" s="1"/>
  <c r="IJ9" i="4" s="1"/>
  <c r="IL9" i="4" s="1"/>
  <c r="J23" i="1"/>
  <c r="O35" i="1"/>
  <c r="IQ9" i="4" s="1"/>
  <c r="JG9" i="4" s="1"/>
  <c r="HV16" i="4" s="1"/>
  <c r="IS16" i="4" s="1"/>
  <c r="JA16" i="4" s="1"/>
  <c r="HP9" i="4" s="1"/>
  <c r="AK46" i="1"/>
  <c r="IV16" i="4" s="1"/>
  <c r="IV21" i="4" s="1"/>
  <c r="BP77" i="1" s="1"/>
  <c r="IA9" i="4" s="1"/>
  <c r="IA16" i="4" s="1"/>
  <c r="IA21" i="4" s="1"/>
  <c r="AU77" i="1" s="1"/>
  <c r="IF9" i="4" s="1"/>
  <c r="IG9" i="4" s="1"/>
  <c r="IX7" i="4" s="1"/>
  <c r="HQ16" i="4" s="1"/>
  <c r="HQ21" i="4" s="1"/>
  <c r="AK77" i="1" s="1"/>
  <c r="AL46" i="1"/>
  <c r="AK35" i="1"/>
  <c r="J20" i="1"/>
  <c r="C46" i="1"/>
  <c r="S15" i="1"/>
  <c r="IL14" i="4" s="1"/>
  <c r="BJ15" i="1"/>
  <c r="L45" i="1"/>
  <c r="Q47" i="1"/>
  <c r="IB16" i="4" s="1"/>
  <c r="HP14" i="4" s="1"/>
  <c r="AJ46" i="1"/>
  <c r="J46" i="1"/>
  <c r="JI14" i="4" s="1"/>
  <c r="IB8" i="4" s="1"/>
  <c r="IH9" i="4" s="1"/>
  <c r="IW8" i="4" s="1"/>
  <c r="JF16" i="4" s="1"/>
  <c r="IP9" i="4" s="1"/>
  <c r="BJ25" i="1"/>
  <c r="B35" i="1"/>
  <c r="F32" i="1"/>
  <c r="F194" i="1" s="1"/>
  <c r="N21" i="1"/>
  <c r="IC16" i="4" s="1"/>
  <c r="IC21" i="4" s="1"/>
  <c r="AW77" i="1" s="1"/>
  <c r="JH9" i="4" s="1"/>
  <c r="JC9" i="4" s="1"/>
  <c r="HT9" i="4" s="1"/>
  <c r="IU7" i="4" s="1"/>
  <c r="IC14" i="4" s="1"/>
  <c r="IM9" i="4" s="1"/>
  <c r="HQ8" i="4" s="1"/>
  <c r="IP8" i="4" s="1"/>
  <c r="JH7" i="4" s="1"/>
  <c r="HY16" i="4" s="1"/>
  <c r="JB15" i="4" s="1"/>
  <c r="IF16" i="4" s="1"/>
  <c r="IF21" i="4" s="1"/>
  <c r="AZ77" i="1" s="1"/>
  <c r="IU9" i="4" s="1"/>
  <c r="IZ8" i="4" s="1"/>
  <c r="JB9" i="4" s="1"/>
  <c r="BX32" i="1"/>
  <c r="BX194" i="1" s="1"/>
  <c r="T46" i="1"/>
  <c r="P8" i="1"/>
  <c r="IW16" i="4" s="1"/>
  <c r="IW21" i="4" s="1"/>
  <c r="BQ77" i="1" s="1"/>
  <c r="HS16" i="4" s="1"/>
  <c r="JF9" i="4" s="1"/>
  <c r="IG16" i="4" s="1"/>
  <c r="IG21" i="4" s="1"/>
  <c r="BA77" i="1" s="1"/>
  <c r="JC16" i="4" s="1"/>
  <c r="IL15" i="4" s="1"/>
  <c r="IQ16" i="4" s="1"/>
  <c r="IQ21" i="4" s="1"/>
  <c r="BK77" i="1" s="1"/>
  <c r="IH16" i="4" s="1"/>
  <c r="IH21" i="4" s="1"/>
  <c r="BB77" i="1" s="1"/>
  <c r="HU9" i="4" s="1"/>
  <c r="AK45" i="1"/>
  <c r="F35" i="1"/>
  <c r="AM36" i="1"/>
  <c r="AJ23" i="1"/>
  <c r="AK47" i="1"/>
  <c r="BX142" i="1"/>
  <c r="BY142" i="1" s="1"/>
  <c r="H13" i="1"/>
  <c r="L39" i="1"/>
  <c r="BX132" i="1"/>
  <c r="I45" i="1"/>
  <c r="G23" i="1"/>
  <c r="I22" i="1"/>
  <c r="N15" i="1"/>
  <c r="J45" i="1"/>
  <c r="JI9" i="4" s="1"/>
  <c r="HS9" i="4" s="1"/>
  <c r="HV14" i="4" s="1"/>
  <c r="IZ9" i="4" s="1"/>
  <c r="HR16" i="4" s="1"/>
  <c r="IL16" i="4" s="1"/>
  <c r="IR9" i="4" s="1"/>
  <c r="JB16" i="4" s="1"/>
  <c r="JE16" i="4" s="1"/>
  <c r="JE21" i="4" s="1"/>
  <c r="BY77" i="1" s="1"/>
  <c r="IF7" i="4" s="1"/>
  <c r="IN8" i="4" s="1"/>
  <c r="IK8" i="4" s="1"/>
  <c r="AL32" i="1"/>
  <c r="BX35" i="1"/>
  <c r="AL24" i="1"/>
  <c r="AL8" i="1"/>
  <c r="AL231" i="1" s="1"/>
  <c r="AL21" i="1"/>
  <c r="D122" i="1"/>
  <c r="S13" i="1"/>
  <c r="S8" i="1"/>
  <c r="S231" i="1" s="1"/>
  <c r="V23" i="1"/>
  <c r="N13" i="1"/>
  <c r="G8" i="1"/>
  <c r="G231" i="1" s="1"/>
  <c r="S39" i="1"/>
  <c r="IU14" i="4" s="1"/>
  <c r="HR9" i="4" s="1"/>
  <c r="IF14" i="4" s="1"/>
  <c r="BX20" i="1"/>
  <c r="AJ9" i="1"/>
  <c r="AL15" i="1"/>
  <c r="AJ24" i="1"/>
  <c r="AK32" i="1"/>
  <c r="AK194" i="1" s="1"/>
  <c r="U23" i="1"/>
  <c r="G51" i="1"/>
  <c r="U22" i="1"/>
  <c r="Q13" i="1"/>
  <c r="D35" i="1"/>
  <c r="O45" i="1"/>
  <c r="V15" i="1"/>
  <c r="R36" i="1"/>
  <c r="IW15" i="4" s="1"/>
  <c r="IJ16" i="4" s="1"/>
  <c r="IJ21" i="4" s="1"/>
  <c r="BD77" i="1" s="1"/>
  <c r="HR8" i="4" s="1"/>
  <c r="AJ8" i="1"/>
  <c r="BX140" i="1"/>
  <c r="BY140" i="1" s="1"/>
  <c r="BZ202" i="1" s="1"/>
  <c r="C20" i="1"/>
  <c r="E45" i="1"/>
  <c r="I13" i="1"/>
  <c r="U13" i="1"/>
  <c r="M8" i="1"/>
  <c r="M9" i="1"/>
  <c r="I23" i="1"/>
  <c r="F46" i="1"/>
  <c r="P39" i="1"/>
  <c r="O9" i="1"/>
  <c r="HX16" i="4" s="1"/>
  <c r="JI7" i="4" s="1"/>
  <c r="IK9" i="4" s="1"/>
  <c r="HY9" i="4" s="1"/>
  <c r="HY21" i="4" s="1"/>
  <c r="AS77" i="1" s="1"/>
  <c r="HU16" i="4" s="1"/>
  <c r="HU21" i="4" s="1"/>
  <c r="AO77" i="1" s="1"/>
  <c r="HZ14" i="4" s="1"/>
  <c r="IF15" i="4" s="1"/>
  <c r="AJ25" i="1"/>
  <c r="BX47" i="1"/>
  <c r="AM24" i="1"/>
  <c r="AK51" i="1"/>
  <c r="AJ45" i="1"/>
  <c r="W47" i="1"/>
  <c r="BX164" i="1"/>
  <c r="BY164" i="1" s="1"/>
  <c r="H36" i="1"/>
  <c r="H252" i="1" s="1"/>
  <c r="S22" i="1"/>
  <c r="U25" i="1"/>
  <c r="M22" i="1"/>
  <c r="Q35" i="1"/>
  <c r="N23" i="1"/>
  <c r="L25" i="1"/>
  <c r="II15" i="4" s="1"/>
  <c r="HY14" i="4" s="1"/>
  <c r="IQ14" i="4" s="1"/>
  <c r="IG15" i="4" s="1"/>
  <c r="IM16" i="4" s="1"/>
  <c r="IM21" i="4" s="1"/>
  <c r="BG77" i="1" s="1"/>
  <c r="HV9" i="4" s="1"/>
  <c r="IW14" i="4" s="1"/>
  <c r="IN9" i="4" s="1"/>
  <c r="ID9" i="4" s="1"/>
  <c r="AL47" i="1"/>
  <c r="AK39" i="1"/>
  <c r="BJ14" i="1"/>
  <c r="AK9" i="1"/>
  <c r="BX14" i="1"/>
  <c r="BX154" i="1"/>
  <c r="BY154" i="1" s="1"/>
  <c r="I35" i="1"/>
  <c r="K8" i="1"/>
  <c r="K231" i="1" s="1"/>
  <c r="G13" i="1"/>
  <c r="G32" i="1"/>
  <c r="G194" i="1" s="1"/>
  <c r="T24" i="1"/>
  <c r="R23" i="1"/>
  <c r="M20" i="1"/>
  <c r="H22" i="1"/>
  <c r="T13" i="1"/>
  <c r="E8" i="1"/>
  <c r="K21" i="1"/>
  <c r="IX16" i="4" s="1"/>
  <c r="IE16" i="4" s="1"/>
  <c r="IO16" i="4" s="1"/>
  <c r="IS9" i="4" s="1"/>
  <c r="AM9" i="1"/>
  <c r="AK14" i="1"/>
  <c r="BX51" i="1"/>
  <c r="AJ47" i="1"/>
  <c r="AL9" i="1"/>
  <c r="K32" i="1"/>
  <c r="K194" i="1" s="1"/>
  <c r="Q21" i="1"/>
  <c r="K45" i="1"/>
  <c r="E51" i="1"/>
  <c r="IV9" i="4" s="1"/>
  <c r="JG15" i="4" s="1"/>
  <c r="IR14" i="4" s="1"/>
  <c r="II9" i="4" s="1"/>
  <c r="BX39" i="1"/>
  <c r="BX25" i="1"/>
  <c r="AM25" i="1"/>
  <c r="J32" i="1"/>
  <c r="J194" i="1" s="1"/>
  <c r="Q22" i="1"/>
  <c r="Q32" i="1"/>
  <c r="Q194" i="1" s="1"/>
  <c r="O51" i="1"/>
  <c r="K25" i="1"/>
  <c r="E159" i="1"/>
  <c r="IU16" i="4" s="1"/>
  <c r="IN16" i="4" s="1"/>
  <c r="HZ7" i="4" s="1"/>
  <c r="IX14" i="4" s="1"/>
  <c r="HW9" i="4" s="1"/>
  <c r="IR16" i="4" s="1"/>
  <c r="IR21" i="4" s="1"/>
  <c r="BL77" i="1" s="1"/>
  <c r="BL94" i="1" s="1"/>
  <c r="IX8" i="4" s="1"/>
  <c r="HP15" i="4" s="1"/>
  <c r="IS7" i="4" s="1"/>
  <c r="HP16" i="4" s="1"/>
  <c r="HP21" i="4" s="1"/>
  <c r="AJ77" i="1" s="1"/>
  <c r="IC15" i="4" s="1"/>
  <c r="IJ15" i="4" s="1"/>
  <c r="JA14" i="4" s="1"/>
  <c r="JA15" i="4" s="1"/>
  <c r="HW8" i="4" s="1"/>
  <c r="IE8" i="4" s="1"/>
  <c r="BJ20" i="1"/>
  <c r="BX21" i="1"/>
  <c r="BJ24" i="1"/>
  <c r="AK36" i="1"/>
  <c r="B39" i="1"/>
  <c r="O36" i="1"/>
  <c r="F13" i="1"/>
  <c r="E22" i="1"/>
  <c r="F36" i="1"/>
  <c r="W132" i="1"/>
  <c r="I9" i="1"/>
  <c r="M51" i="1"/>
  <c r="J21" i="1"/>
  <c r="T36" i="1"/>
  <c r="Q46" i="1"/>
  <c r="T15" i="1"/>
  <c r="HR14" i="4" s="1"/>
  <c r="HW14" i="4" s="1"/>
  <c r="IJ14" i="4" s="1"/>
  <c r="IK16" i="4" s="1"/>
  <c r="JI16" i="4" s="1"/>
  <c r="JI21" i="4" s="1"/>
  <c r="CC77" i="1" s="1"/>
  <c r="CC85" i="1" s="1"/>
  <c r="IC9" i="4" s="1"/>
  <c r="IM8" i="4" s="1"/>
  <c r="AM13" i="1"/>
  <c r="AJ39" i="1"/>
  <c r="AM15" i="1"/>
  <c r="Q9" i="1"/>
  <c r="C13" i="1"/>
  <c r="BX73" i="1"/>
  <c r="I21" i="1"/>
  <c r="B25" i="1"/>
  <c r="S20" i="1"/>
  <c r="W32" i="1"/>
  <c r="W253" i="1" s="1"/>
  <c r="O8" i="1"/>
  <c r="I36" i="1"/>
  <c r="J35" i="1"/>
  <c r="K15" i="1"/>
  <c r="H20" i="1"/>
  <c r="L20" i="1"/>
  <c r="P127" i="1"/>
  <c r="C45" i="1"/>
  <c r="M13" i="1"/>
  <c r="F21" i="1"/>
  <c r="C22" i="1"/>
  <c r="W22" i="1"/>
  <c r="S51" i="1"/>
  <c r="IX9" i="4" s="1"/>
  <c r="HR15" i="4" s="1"/>
  <c r="JD16" i="4" s="1"/>
  <c r="JD21" i="4" s="1"/>
  <c r="BX77" i="1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K7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T16" i="4" s="1"/>
  <c r="HT21" i="4" s="1"/>
  <c r="AN77" i="1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252" i="1" s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R194" i="1" s="1"/>
  <c r="I25" i="1"/>
  <c r="H32" i="1"/>
  <c r="H194" i="1" s="1"/>
  <c r="W46" i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J124" i="1"/>
  <c r="AK124" i="1" s="1"/>
  <c r="AJ127" i="1"/>
  <c r="AK127" i="1" s="1"/>
  <c r="AJ159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J150" i="1"/>
  <c r="AK150" i="1" s="1"/>
  <c r="AJ151" i="1"/>
  <c r="AK151" i="1" s="1"/>
  <c r="AL135" i="1"/>
  <c r="AM135" i="1" s="1"/>
  <c r="AJ149" i="1"/>
  <c r="AK149" i="1" s="1"/>
  <c r="AL133" i="1"/>
  <c r="AL163" i="1"/>
  <c r="AM163" i="1" s="1"/>
  <c r="AJ152" i="1"/>
  <c r="AK152" i="1" s="1"/>
  <c r="AJ142" i="1"/>
  <c r="AK142" i="1" s="1"/>
  <c r="AJ154" i="1"/>
  <c r="AK154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J164" i="1"/>
  <c r="AK164" i="1" s="1"/>
  <c r="AJ132" i="1"/>
  <c r="AJ140" i="1"/>
  <c r="AK140" i="1" s="1"/>
  <c r="AL140" i="1"/>
  <c r="AM140" i="1" s="1"/>
  <c r="AM202" i="1" s="1"/>
  <c r="AJ131" i="1"/>
  <c r="AJ135" i="1"/>
  <c r="AK135" i="1" s="1"/>
  <c r="AJ147" i="1"/>
  <c r="AK147" i="1" s="1"/>
  <c r="AL137" i="1"/>
  <c r="AM137" i="1" s="1"/>
  <c r="AL143" i="1"/>
  <c r="IP21" i="4"/>
  <c r="BJ77" i="1" s="1"/>
  <c r="IO21" i="4"/>
  <c r="BI77" i="1" s="1"/>
  <c r="JB8" i="4"/>
  <c r="IB7" i="4"/>
  <c r="IN14" i="4"/>
  <c r="IT15" i="4"/>
  <c r="IZ14" i="4"/>
  <c r="IA15" i="4"/>
  <c r="IY14" i="4"/>
  <c r="JG7" i="4"/>
  <c r="IY7" i="4"/>
  <c r="IV7" i="4"/>
  <c r="IN21" i="4"/>
  <c r="BH77" i="1" s="1"/>
  <c r="IK21" i="4"/>
  <c r="BE77" i="1" s="1"/>
  <c r="HX15" i="4"/>
  <c r="JE7" i="4"/>
  <c r="JC15" i="4"/>
  <c r="IA7" i="4"/>
  <c r="C231" i="1"/>
  <c r="IE15" i="4"/>
  <c r="JC14" i="4"/>
  <c r="HS15" i="4"/>
  <c r="II8" i="4"/>
  <c r="HZ8" i="4"/>
  <c r="HU15" i="4"/>
  <c r="IM14" i="4"/>
  <c r="IS8" i="4"/>
  <c r="IP14" i="4"/>
  <c r="JD8" i="4"/>
  <c r="JF14" i="4"/>
  <c r="IF8" i="4"/>
  <c r="HW15" i="4"/>
  <c r="E231" i="1"/>
  <c r="HS8" i="4"/>
  <c r="JH14" i="4"/>
  <c r="IR8" i="4"/>
  <c r="CP77" i="1"/>
  <c r="CN63" i="1"/>
  <c r="CM65" i="1"/>
  <c r="AJ179" i="1" l="1"/>
  <c r="P10" i="1"/>
  <c r="H26" i="1"/>
  <c r="V194" i="1"/>
  <c r="V253" i="1"/>
  <c r="JB21" i="4"/>
  <c r="BV77" i="1" s="1"/>
  <c r="AL10" i="1"/>
  <c r="IL21" i="4"/>
  <c r="BF77" i="1" s="1"/>
  <c r="AK26" i="1"/>
  <c r="S194" i="1"/>
  <c r="S253" i="1"/>
  <c r="P231" i="1"/>
  <c r="Q10" i="1"/>
  <c r="Q231" i="1"/>
  <c r="JC21" i="4"/>
  <c r="BW77" i="1" s="1"/>
  <c r="R252" i="1"/>
  <c r="I253" i="1"/>
  <c r="Q252" i="1"/>
  <c r="D231" i="1"/>
  <c r="BJ137" i="1"/>
  <c r="BK137" i="1" s="1"/>
  <c r="BJ143" i="1"/>
  <c r="AJ143" i="1"/>
  <c r="AK143" i="1" s="1"/>
  <c r="II21" i="4"/>
  <c r="BC77" i="1" s="1"/>
  <c r="IY9" i="4" s="1"/>
  <c r="IT16" i="4" s="1"/>
  <c r="BX179" i="1"/>
  <c r="BY179" i="1" s="1"/>
  <c r="BX10" i="1"/>
  <c r="BX180" i="1"/>
  <c r="BY180" i="1" s="1"/>
  <c r="JG21" i="4"/>
  <c r="CA77" i="1" s="1"/>
  <c r="JA21" i="4"/>
  <c r="BU77" i="1" s="1"/>
  <c r="F10" i="1"/>
  <c r="CA98" i="1"/>
  <c r="CA99" i="1" s="1"/>
  <c r="BX231" i="1"/>
  <c r="Q183" i="1"/>
  <c r="P252" i="1"/>
  <c r="C252" i="1"/>
  <c r="P183" i="1"/>
  <c r="ID21" i="4"/>
  <c r="AX77" i="1" s="1"/>
  <c r="BX252" i="1"/>
  <c r="C253" i="1"/>
  <c r="K10" i="1"/>
  <c r="K252" i="1"/>
  <c r="IB21" i="4"/>
  <c r="AV77" i="1" s="1"/>
  <c r="JG14" i="4"/>
  <c r="IC7" i="4"/>
  <c r="HU7" i="4"/>
  <c r="HW7" i="4"/>
  <c r="JF15" i="4"/>
  <c r="IX15" i="4"/>
  <c r="IH8" i="4"/>
  <c r="II7" i="4"/>
  <c r="IT14" i="4"/>
  <c r="HZ15" i="4"/>
  <c r="IK14" i="4"/>
  <c r="HT15" i="4"/>
  <c r="HP7" i="4"/>
  <c r="IU15" i="4"/>
  <c r="HU8" i="4"/>
  <c r="JF8" i="4"/>
  <c r="HY15" i="4"/>
  <c r="HS7" i="4"/>
  <c r="IO15" i="4"/>
  <c r="HX21" i="4"/>
  <c r="AR77" i="1" s="1"/>
  <c r="AK10" i="1"/>
  <c r="BX26" i="1"/>
  <c r="S252" i="1"/>
  <c r="D253" i="1"/>
  <c r="E10" i="1"/>
  <c r="L252" i="1"/>
  <c r="AL180" i="1"/>
  <c r="AM180" i="1" s="1"/>
  <c r="AL183" i="1"/>
  <c r="AM183" i="1" s="1"/>
  <c r="AL179" i="1"/>
  <c r="AM179" i="1" s="1"/>
  <c r="AL16" i="1"/>
  <c r="AL17" i="1" s="1"/>
  <c r="AL194" i="1"/>
  <c r="AL253" i="1"/>
  <c r="AJ231" i="1"/>
  <c r="AJ10" i="1"/>
  <c r="AJ16" i="1" s="1"/>
  <c r="M231" i="1"/>
  <c r="M10" i="1"/>
  <c r="M194" i="1"/>
  <c r="M253" i="1"/>
  <c r="N231" i="1"/>
  <c r="N10" i="1"/>
  <c r="B231" i="1"/>
  <c r="B10" i="1"/>
  <c r="B16" i="1" s="1"/>
  <c r="B17" i="1" s="1"/>
  <c r="B253" i="1"/>
  <c r="L231" i="1"/>
  <c r="L10" i="1"/>
  <c r="V98" i="1"/>
  <c r="V11" i="1"/>
  <c r="X11" i="1"/>
  <c r="X188" i="1"/>
  <c r="W98" i="1"/>
  <c r="AL26" i="1"/>
  <c r="IB15" i="4"/>
  <c r="HX8" i="4"/>
  <c r="HQ14" i="4"/>
  <c r="HQ19" i="4" s="1"/>
  <c r="AK78" i="1" s="1"/>
  <c r="IG7" i="4"/>
  <c r="IY21" i="4"/>
  <c r="BS77" i="1" s="1"/>
  <c r="HS14" i="4"/>
  <c r="IO14" i="4"/>
  <c r="IO19" i="4" s="1"/>
  <c r="BI78" i="1" s="1"/>
  <c r="BI107" i="1" s="1"/>
  <c r="IJ7" i="4"/>
  <c r="IJ19" i="4" s="1"/>
  <c r="BD78" i="1" s="1"/>
  <c r="BD107" i="1" s="1"/>
  <c r="II14" i="4"/>
  <c r="II19" i="4" s="1"/>
  <c r="BC78" i="1" s="1"/>
  <c r="BC107" i="1" s="1"/>
  <c r="IP15" i="4"/>
  <c r="IP20" i="4" s="1"/>
  <c r="BJ79" i="1" s="1"/>
  <c r="BJ108" i="1" s="1"/>
  <c r="JH8" i="4"/>
  <c r="IS15" i="4"/>
  <c r="IS20" i="4" s="1"/>
  <c r="BM79" i="1" s="1"/>
  <c r="BM108" i="1" s="1"/>
  <c r="IG14" i="4"/>
  <c r="IG19" i="4" s="1"/>
  <c r="BA78" i="1" s="1"/>
  <c r="BA107" i="1" s="1"/>
  <c r="HR7" i="4"/>
  <c r="IT8" i="4"/>
  <c r="C10" i="1"/>
  <c r="JA8" i="4"/>
  <c r="JA20" i="4" s="1"/>
  <c r="BU79" i="1" s="1"/>
  <c r="BU108" i="1" s="1"/>
  <c r="ID7" i="4"/>
  <c r="JF7" i="4"/>
  <c r="IQ8" i="4"/>
  <c r="HT7" i="4"/>
  <c r="IO7" i="4"/>
  <c r="IZ15" i="4"/>
  <c r="IZ20" i="4" s="1"/>
  <c r="BT79" i="1" s="1"/>
  <c r="BT108" i="1" s="1"/>
  <c r="JD15" i="4"/>
  <c r="JD20" i="4" s="1"/>
  <c r="BX79" i="1" s="1"/>
  <c r="BX108" i="1" s="1"/>
  <c r="IV15" i="4"/>
  <c r="IV20" i="4" s="1"/>
  <c r="BP79" i="1" s="1"/>
  <c r="BP108" i="1" s="1"/>
  <c r="M26" i="1"/>
  <c r="J26" i="1"/>
  <c r="JI8" i="4"/>
  <c r="IB14" i="4"/>
  <c r="JC7" i="4"/>
  <c r="JB7" i="4"/>
  <c r="JE15" i="4"/>
  <c r="JE20" i="4" s="1"/>
  <c r="BY79" i="1" s="1"/>
  <c r="BY108" i="1" s="1"/>
  <c r="IM15" i="4"/>
  <c r="HV8" i="4"/>
  <c r="IT7" i="4"/>
  <c r="JH15" i="4"/>
  <c r="JH20" i="4" s="1"/>
  <c r="CB79" i="1" s="1"/>
  <c r="HQ15" i="4"/>
  <c r="HQ20" i="4" s="1"/>
  <c r="AK79" i="1" s="1"/>
  <c r="JF21" i="4"/>
  <c r="BZ77" i="1" s="1"/>
  <c r="BZ94" i="1" s="1"/>
  <c r="JI15" i="4"/>
  <c r="HX14" i="4"/>
  <c r="HX19" i="4" s="1"/>
  <c r="AR78" i="1" s="1"/>
  <c r="AR107" i="1" s="1"/>
  <c r="IN15" i="4"/>
  <c r="IN20" i="4" s="1"/>
  <c r="BH79" i="1" s="1"/>
  <c r="BH108" i="1" s="1"/>
  <c r="IA14" i="4"/>
  <c r="IA19" i="4" s="1"/>
  <c r="AU78" i="1" s="1"/>
  <c r="AU107" i="1" s="1"/>
  <c r="ID14" i="4"/>
  <c r="ID19" i="4" s="1"/>
  <c r="AX78" i="1" s="1"/>
  <c r="AX107" i="1" s="1"/>
  <c r="IY8" i="4"/>
  <c r="JD7" i="4"/>
  <c r="IP7" i="4"/>
  <c r="IP19" i="4" s="1"/>
  <c r="BJ78" i="1" s="1"/>
  <c r="BJ107" i="1" s="1"/>
  <c r="JB14" i="4"/>
  <c r="JB19" i="4" s="1"/>
  <c r="BV78" i="1" s="1"/>
  <c r="BV107" i="1" s="1"/>
  <c r="JD14" i="4"/>
  <c r="JD19" i="4" s="1"/>
  <c r="BX78" i="1" s="1"/>
  <c r="IO8" i="4"/>
  <c r="IV8" i="4"/>
  <c r="HS21" i="4"/>
  <c r="AM77" i="1" s="1"/>
  <c r="HR21" i="4"/>
  <c r="AL77" i="1" s="1"/>
  <c r="ID8" i="4"/>
  <c r="HT14" i="4"/>
  <c r="HT19" i="4" s="1"/>
  <c r="AN78" i="1" s="1"/>
  <c r="AN107" i="1" s="1"/>
  <c r="IR15" i="4"/>
  <c r="IR20" i="4" s="1"/>
  <c r="BL79" i="1" s="1"/>
  <c r="BL96" i="1" s="1"/>
  <c r="HY7" i="4"/>
  <c r="V26" i="1"/>
  <c r="V27" i="1" s="1"/>
  <c r="HV15" i="4"/>
  <c r="HV20" i="4" s="1"/>
  <c r="AP79" i="1" s="1"/>
  <c r="AP108" i="1" s="1"/>
  <c r="U16" i="1"/>
  <c r="IQ15" i="4"/>
  <c r="IQ20" i="4" s="1"/>
  <c r="BK79" i="1" s="1"/>
  <c r="BK108" i="1" s="1"/>
  <c r="E26" i="1"/>
  <c r="B26" i="1"/>
  <c r="IE21" i="4"/>
  <c r="AY77" i="1" s="1"/>
  <c r="JC8" i="4"/>
  <c r="JC20" i="4" s="1"/>
  <c r="BW79" i="1" s="1"/>
  <c r="BW108" i="1" s="1"/>
  <c r="IC8" i="4"/>
  <c r="IQ7" i="4"/>
  <c r="IQ19" i="4" s="1"/>
  <c r="BK78" i="1" s="1"/>
  <c r="BK107" i="1" s="1"/>
  <c r="IG8" i="4"/>
  <c r="IG20" i="4" s="1"/>
  <c r="BA79" i="1" s="1"/>
  <c r="BA108" i="1" s="1"/>
  <c r="JE8" i="4"/>
  <c r="IW7" i="4"/>
  <c r="IW19" i="4" s="1"/>
  <c r="BQ78" i="1" s="1"/>
  <c r="BQ107" i="1" s="1"/>
  <c r="IS21" i="4"/>
  <c r="BM77" i="1" s="1"/>
  <c r="IH7" i="4"/>
  <c r="Q26" i="1"/>
  <c r="IZ7" i="4"/>
  <c r="IZ19" i="4" s="1"/>
  <c r="BT78" i="1" s="1"/>
  <c r="BT107" i="1" s="1"/>
  <c r="HP8" i="4"/>
  <c r="HP20" i="4" s="1"/>
  <c r="AJ79" i="1" s="1"/>
  <c r="IS14" i="4"/>
  <c r="IS19" i="4" s="1"/>
  <c r="BM78" i="1" s="1"/>
  <c r="BM107" i="1" s="1"/>
  <c r="IR7" i="4"/>
  <c r="IR19" i="4" s="1"/>
  <c r="BL78" i="1" s="1"/>
  <c r="IU21" i="4"/>
  <c r="BO77" i="1" s="1"/>
  <c r="IK15" i="4"/>
  <c r="IK20" i="4" s="1"/>
  <c r="BE79" i="1" s="1"/>
  <c r="BE108" i="1" s="1"/>
  <c r="IH14" i="4"/>
  <c r="IH19" i="4" s="1"/>
  <c r="BB78" i="1" s="1"/>
  <c r="BB107" i="1" s="1"/>
  <c r="ID15" i="4"/>
  <c r="ID20" i="4" s="1"/>
  <c r="AX79" i="1" s="1"/>
  <c r="AX108" i="1" s="1"/>
  <c r="F252" i="1"/>
  <c r="HT8" i="4"/>
  <c r="JE14" i="4"/>
  <c r="JE19" i="4" s="1"/>
  <c r="BY78" i="1" s="1"/>
  <c r="S26" i="1"/>
  <c r="O10" i="1"/>
  <c r="O16" i="1" s="1"/>
  <c r="O17" i="1" s="1"/>
  <c r="C26" i="1"/>
  <c r="IX21" i="4"/>
  <c r="BR77" i="1" s="1"/>
  <c r="IJ8" i="4"/>
  <c r="AL252" i="1"/>
  <c r="D10" i="1"/>
  <c r="N252" i="1"/>
  <c r="T26" i="1"/>
  <c r="W16" i="1"/>
  <c r="AJ37" i="1"/>
  <c r="BY120" i="1"/>
  <c r="BX134" i="1"/>
  <c r="BX138" i="1" s="1"/>
  <c r="D252" i="1"/>
  <c r="AM26" i="1"/>
  <c r="D26" i="1"/>
  <c r="D27" i="1" s="1"/>
  <c r="BY128" i="1"/>
  <c r="R26" i="1"/>
  <c r="J252" i="1"/>
  <c r="M252" i="1"/>
  <c r="BJ179" i="1"/>
  <c r="BK179" i="1" s="1"/>
  <c r="AJ183" i="1"/>
  <c r="BJ183" i="1"/>
  <c r="BK183" i="1" s="1"/>
  <c r="L253" i="1"/>
  <c r="L194" i="1"/>
  <c r="AJ194" i="1"/>
  <c r="AJ33" i="1"/>
  <c r="HU14" i="4"/>
  <c r="HU19" i="4" s="1"/>
  <c r="AO78" i="1" s="1"/>
  <c r="AO107" i="1" s="1"/>
  <c r="IL8" i="4"/>
  <c r="HV21" i="4"/>
  <c r="AP77" i="1" s="1"/>
  <c r="HQ7" i="4"/>
  <c r="IM7" i="4"/>
  <c r="IE14" i="4"/>
  <c r="IE19" i="4" s="1"/>
  <c r="AY78" i="1" s="1"/>
  <c r="AY107" i="1" s="1"/>
  <c r="IE7" i="4"/>
  <c r="U26" i="1"/>
  <c r="O231" i="1"/>
  <c r="W26" i="1"/>
  <c r="P26" i="1"/>
  <c r="L26" i="1"/>
  <c r="BX161" i="1"/>
  <c r="BY209" i="1" s="1"/>
  <c r="I26" i="1"/>
  <c r="JG8" i="4"/>
  <c r="N26" i="1"/>
  <c r="K26" i="1"/>
  <c r="HV7" i="4"/>
  <c r="J253" i="1"/>
  <c r="G10" i="1"/>
  <c r="W11" i="1"/>
  <c r="P253" i="1"/>
  <c r="IA8" i="4"/>
  <c r="IA20" i="4" s="1"/>
  <c r="AU79" i="1" s="1"/>
  <c r="AU108" i="1" s="1"/>
  <c r="BX128" i="1"/>
  <c r="F253" i="1"/>
  <c r="W188" i="1"/>
  <c r="V16" i="1"/>
  <c r="AM252" i="1"/>
  <c r="O253" i="1"/>
  <c r="V188" i="1"/>
  <c r="F26" i="1"/>
  <c r="O252" i="1"/>
  <c r="Q253" i="1"/>
  <c r="G26" i="1"/>
  <c r="G253" i="1"/>
  <c r="AK231" i="1"/>
  <c r="R253" i="1"/>
  <c r="AJ26" i="1"/>
  <c r="O26" i="1"/>
  <c r="G183" i="1"/>
  <c r="U194" i="1"/>
  <c r="W194" i="1"/>
  <c r="H253" i="1"/>
  <c r="T253" i="1"/>
  <c r="BX156" i="1"/>
  <c r="BX185" i="1" s="1"/>
  <c r="BX184" i="1" s="1"/>
  <c r="S10" i="1"/>
  <c r="S98" i="1" s="1"/>
  <c r="T252" i="1"/>
  <c r="T10" i="1"/>
  <c r="U11" i="1" s="1"/>
  <c r="BX120" i="1"/>
  <c r="BX92" i="1" s="1"/>
  <c r="BX94" i="1" s="1"/>
  <c r="I252" i="1"/>
  <c r="I10" i="1"/>
  <c r="I16" i="1" s="1"/>
  <c r="J10" i="1"/>
  <c r="BJ180" i="1"/>
  <c r="BK180" i="1" s="1"/>
  <c r="N253" i="1"/>
  <c r="AM98" i="1"/>
  <c r="AM99" i="1" s="1"/>
  <c r="AM253" i="1"/>
  <c r="AM10" i="1"/>
  <c r="G252" i="1"/>
  <c r="H10" i="1"/>
  <c r="BX253" i="1"/>
  <c r="K253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IL19" i="4"/>
  <c r="BF78" i="1" s="1"/>
  <c r="BF107" i="1" s="1"/>
  <c r="JF19" i="4"/>
  <c r="BZ78" i="1" s="1"/>
  <c r="IF19" i="4"/>
  <c r="AZ78" i="1" s="1"/>
  <c r="AZ107" i="1" s="1"/>
  <c r="IL20" i="4"/>
  <c r="BF79" i="1" s="1"/>
  <c r="BF108" i="1" s="1"/>
  <c r="HR20" i="4"/>
  <c r="AL79" i="1" s="1"/>
  <c r="IX19" i="4"/>
  <c r="BR78" i="1" s="1"/>
  <c r="BR107" i="1" s="1"/>
  <c r="J98" i="1"/>
  <c r="R11" i="1"/>
  <c r="JA19" i="4"/>
  <c r="BU78" i="1" s="1"/>
  <c r="BU107" i="1" s="1"/>
  <c r="IW20" i="4"/>
  <c r="BQ79" i="1" s="1"/>
  <c r="BQ108" i="1" s="1"/>
  <c r="JC19" i="4"/>
  <c r="BW78" i="1" s="1"/>
  <c r="BW107" i="1" s="1"/>
  <c r="II20" i="4"/>
  <c r="BC79" i="1" s="1"/>
  <c r="BC108" i="1" s="1"/>
  <c r="IC19" i="4"/>
  <c r="AW78" i="1" s="1"/>
  <c r="AW107" i="1" s="1"/>
  <c r="IH20" i="4"/>
  <c r="BB79" i="1" s="1"/>
  <c r="BB108" i="1" s="1"/>
  <c r="JG20" i="4"/>
  <c r="CA79" i="1" s="1"/>
  <c r="JH19" i="4"/>
  <c r="CB78" i="1" s="1"/>
  <c r="CA94" i="1"/>
  <c r="CA102" i="1"/>
  <c r="IN19" i="4"/>
  <c r="BH78" i="1" s="1"/>
  <c r="BH107" i="1" s="1"/>
  <c r="JI19" i="4"/>
  <c r="CC78" i="1" s="1"/>
  <c r="JB20" i="4"/>
  <c r="BV79" i="1" s="1"/>
  <c r="BV108" i="1" s="1"/>
  <c r="O98" i="1"/>
  <c r="IX20" i="4"/>
  <c r="BR79" i="1" s="1"/>
  <c r="BR108" i="1" s="1"/>
  <c r="IC20" i="4"/>
  <c r="AW79" i="1" s="1"/>
  <c r="AW108" i="1" s="1"/>
  <c r="HR19" i="4"/>
  <c r="AL78" i="1" s="1"/>
  <c r="HZ19" i="4"/>
  <c r="AT78" i="1" s="1"/>
  <c r="AT107" i="1" s="1"/>
  <c r="HP19" i="4"/>
  <c r="AJ78" i="1" s="1"/>
  <c r="IJ20" i="4"/>
  <c r="BD79" i="1" s="1"/>
  <c r="BD108" i="1" s="1"/>
  <c r="R188" i="1"/>
  <c r="HV19" i="4"/>
  <c r="AP78" i="1" s="1"/>
  <c r="AP107" i="1" s="1"/>
  <c r="CC102" i="1"/>
  <c r="HU20" i="4"/>
  <c r="AO79" i="1" s="1"/>
  <c r="AO108" i="1" s="1"/>
  <c r="CC94" i="1"/>
  <c r="IE20" i="4"/>
  <c r="AY79" i="1" s="1"/>
  <c r="AY108" i="1" s="1"/>
  <c r="IY19" i="4"/>
  <c r="BS78" i="1" s="1"/>
  <c r="BS107" i="1" s="1"/>
  <c r="IT20" i="4"/>
  <c r="BN79" i="1" s="1"/>
  <c r="BN108" i="1" s="1"/>
  <c r="IF20" i="4"/>
  <c r="AZ79" i="1" s="1"/>
  <c r="AZ108" i="1" s="1"/>
  <c r="IU19" i="4"/>
  <c r="BO78" i="1" s="1"/>
  <c r="BO107" i="1" s="1"/>
  <c r="HY19" i="4"/>
  <c r="AS78" i="1" s="1"/>
  <c r="AS107" i="1" s="1"/>
  <c r="R16" i="1"/>
  <c r="IM19" i="4"/>
  <c r="BG78" i="1" s="1"/>
  <c r="BG107" i="1" s="1"/>
  <c r="HW19" i="4"/>
  <c r="AQ78" i="1" s="1"/>
  <c r="AQ107" i="1" s="1"/>
  <c r="HS20" i="4"/>
  <c r="AM79" i="1" s="1"/>
  <c r="HW20" i="4"/>
  <c r="AQ79" i="1" s="1"/>
  <c r="AQ108" i="1" s="1"/>
  <c r="F98" i="1"/>
  <c r="F16" i="1"/>
  <c r="F17" i="1" s="1"/>
  <c r="BY12" i="1"/>
  <c r="CB11" i="1"/>
  <c r="CC188" i="1"/>
  <c r="BX16" i="1"/>
  <c r="AL202" i="1"/>
  <c r="AK202" i="1"/>
  <c r="BK202" i="1"/>
  <c r="AL12" i="1"/>
  <c r="AK16" i="1"/>
  <c r="K98" i="1"/>
  <c r="K16" i="1"/>
  <c r="Q188" i="1"/>
  <c r="Q16" i="1"/>
  <c r="Q17" i="1" s="1"/>
  <c r="Q98" i="1"/>
  <c r="Q11" i="1"/>
  <c r="P98" i="1"/>
  <c r="P16" i="1"/>
  <c r="BY202" i="1"/>
  <c r="AK27" i="1"/>
  <c r="CM32" i="1"/>
  <c r="AB77" i="1"/>
  <c r="CQ77" i="1"/>
  <c r="AC140" i="1"/>
  <c r="CN65" i="1"/>
  <c r="CO63" i="1"/>
  <c r="IB19" i="4" l="1"/>
  <c r="AV78" i="1" s="1"/>
  <c r="AV107" i="1" s="1"/>
  <c r="IM20" i="4"/>
  <c r="BG79" i="1" s="1"/>
  <c r="BG108" i="1" s="1"/>
  <c r="JI20" i="4"/>
  <c r="CC79" i="1" s="1"/>
  <c r="IT21" i="4"/>
  <c r="BN77" i="1" s="1"/>
  <c r="IV14" i="4"/>
  <c r="IT19" i="4"/>
  <c r="BN78" i="1" s="1"/>
  <c r="BN107" i="1" s="1"/>
  <c r="E27" i="1"/>
  <c r="HT20" i="4"/>
  <c r="AN79" i="1" s="1"/>
  <c r="AN108" i="1" s="1"/>
  <c r="AJ27" i="1"/>
  <c r="BX181" i="1"/>
  <c r="L16" i="1"/>
  <c r="L98" i="1"/>
  <c r="M188" i="1"/>
  <c r="M16" i="1"/>
  <c r="M17" i="1" s="1"/>
  <c r="N11" i="1"/>
  <c r="HY20" i="4"/>
  <c r="AS79" i="1" s="1"/>
  <c r="AS108" i="1" s="1"/>
  <c r="O11" i="1"/>
  <c r="F11" i="1"/>
  <c r="BX27" i="1"/>
  <c r="L11" i="1"/>
  <c r="AL184" i="1"/>
  <c r="IU20" i="4"/>
  <c r="BO79" i="1" s="1"/>
  <c r="BO108" i="1" s="1"/>
  <c r="HS19" i="4"/>
  <c r="AM78" i="1" s="1"/>
  <c r="N98" i="1"/>
  <c r="N16" i="1"/>
  <c r="IO20" i="4"/>
  <c r="BI79" i="1" s="1"/>
  <c r="BI108" i="1" s="1"/>
  <c r="AL28" i="1"/>
  <c r="C27" i="1"/>
  <c r="JF20" i="4"/>
  <c r="BZ79" i="1" s="1"/>
  <c r="JG19" i="4"/>
  <c r="CA78" i="1" s="1"/>
  <c r="HZ20" i="4"/>
  <c r="AT79" i="1" s="1"/>
  <c r="AT108" i="1" s="1"/>
  <c r="IB20" i="4"/>
  <c r="AV79" i="1" s="1"/>
  <c r="AV108" i="1" s="1"/>
  <c r="M11" i="1"/>
  <c r="AL27" i="1"/>
  <c r="M98" i="1"/>
  <c r="N188" i="1"/>
  <c r="IK19" i="4"/>
  <c r="BE78" i="1" s="1"/>
  <c r="BE107" i="1" s="1"/>
  <c r="AK12" i="1"/>
  <c r="E98" i="1"/>
  <c r="F188" i="1"/>
  <c r="E16" i="1"/>
  <c r="L188" i="1"/>
  <c r="AM102" i="1"/>
  <c r="B27" i="1"/>
  <c r="B28" i="1"/>
  <c r="B29" i="1" s="1"/>
  <c r="BX168" i="1"/>
  <c r="BY249" i="1"/>
  <c r="V17" i="1"/>
  <c r="V28" i="1"/>
  <c r="W18" i="1"/>
  <c r="BJ184" i="1"/>
  <c r="X18" i="1"/>
  <c r="W17" i="1"/>
  <c r="BY92" i="1"/>
  <c r="BZ207" i="1"/>
  <c r="BY134" i="1"/>
  <c r="BY33" i="1"/>
  <c r="BY129" i="1"/>
  <c r="BZ249" i="1"/>
  <c r="BZ251" i="1" s="1"/>
  <c r="BZ206" i="1"/>
  <c r="C11" i="1"/>
  <c r="C188" i="1"/>
  <c r="C16" i="1"/>
  <c r="V18" i="1"/>
  <c r="U17" i="1"/>
  <c r="P188" i="1"/>
  <c r="O188" i="1"/>
  <c r="P11" i="1"/>
  <c r="D188" i="1"/>
  <c r="E188" i="1"/>
  <c r="E11" i="1"/>
  <c r="D16" i="1"/>
  <c r="D11" i="1"/>
  <c r="W27" i="1"/>
  <c r="W28" i="1"/>
  <c r="G16" i="1"/>
  <c r="G188" i="1"/>
  <c r="G11" i="1"/>
  <c r="G98" i="1"/>
  <c r="AJ17" i="1"/>
  <c r="AJ28" i="1"/>
  <c r="J11" i="1"/>
  <c r="K11" i="1"/>
  <c r="AM16" i="1"/>
  <c r="AM27" i="1"/>
  <c r="AM12" i="1"/>
  <c r="AM225" i="1"/>
  <c r="H16" i="1"/>
  <c r="H17" i="1" s="1"/>
  <c r="H98" i="1"/>
  <c r="H188" i="1"/>
  <c r="I188" i="1"/>
  <c r="BY206" i="1"/>
  <c r="BX248" i="1"/>
  <c r="J16" i="1"/>
  <c r="J17" i="1" s="1"/>
  <c r="BX129" i="1"/>
  <c r="K188" i="1"/>
  <c r="J188" i="1"/>
  <c r="I98" i="1"/>
  <c r="BY207" i="1"/>
  <c r="BX186" i="1"/>
  <c r="CB189" i="1" s="1"/>
  <c r="H11" i="1"/>
  <c r="U188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T11" i="1"/>
  <c r="T188" i="1"/>
  <c r="T98" i="1"/>
  <c r="T16" i="1"/>
  <c r="U18" i="1" s="1"/>
  <c r="I11" i="1"/>
  <c r="BX95" i="1"/>
  <c r="BK249" i="1"/>
  <c r="S16" i="1"/>
  <c r="S17" i="1" s="1"/>
  <c r="AJ129" i="1"/>
  <c r="S188" i="1"/>
  <c r="S11" i="1"/>
  <c r="BX157" i="1"/>
  <c r="BX165" i="1" s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L17" i="1"/>
  <c r="BZ95" i="1"/>
  <c r="BZ89" i="1"/>
  <c r="BZ107" i="1"/>
  <c r="BZ110" i="1" s="1"/>
  <c r="AM108" i="1"/>
  <c r="AM104" i="1"/>
  <c r="I17" i="1"/>
  <c r="J18" i="1"/>
  <c r="BX246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AL107" i="1"/>
  <c r="CB96" i="1"/>
  <c r="CB108" i="1"/>
  <c r="CB111" i="1" s="1"/>
  <c r="CB114" i="1" s="1"/>
  <c r="P18" i="1"/>
  <c r="R17" i="1"/>
  <c r="BX96" i="1"/>
  <c r="CB104" i="1"/>
  <c r="BL108" i="1"/>
  <c r="BL111" i="1" s="1"/>
  <c r="CB87" i="1"/>
  <c r="BY107" i="1"/>
  <c r="BY89" i="1"/>
  <c r="BX17" i="1"/>
  <c r="CB18" i="1"/>
  <c r="BY19" i="1"/>
  <c r="BX28" i="1"/>
  <c r="R18" i="1"/>
  <c r="Q18" i="1"/>
  <c r="P17" i="1"/>
  <c r="AL19" i="1"/>
  <c r="AK28" i="1"/>
  <c r="AK17" i="1"/>
  <c r="AK19" i="1"/>
  <c r="K17" i="1"/>
  <c r="L1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M103" i="1" l="1"/>
  <c r="AM107" i="1"/>
  <c r="M18" i="1"/>
  <c r="K18" i="1"/>
  <c r="I18" i="1"/>
  <c r="BZ205" i="1"/>
  <c r="N17" i="1"/>
  <c r="N18" i="1"/>
  <c r="CC96" i="1"/>
  <c r="CC104" i="1"/>
  <c r="CC108" i="1"/>
  <c r="V34" i="1"/>
  <c r="V38" i="1" s="1"/>
  <c r="V112" i="1"/>
  <c r="V232" i="1"/>
  <c r="V233" i="1" s="1"/>
  <c r="BZ108" i="1"/>
  <c r="BZ111" i="1" s="1"/>
  <c r="BZ96" i="1"/>
  <c r="O18" i="1"/>
  <c r="CC87" i="1"/>
  <c r="V29" i="1"/>
  <c r="B112" i="1"/>
  <c r="CA103" i="1"/>
  <c r="CA107" i="1"/>
  <c r="CA95" i="1"/>
  <c r="AJ29" i="1"/>
  <c r="AJ34" i="1"/>
  <c r="AJ38" i="1" s="1"/>
  <c r="AJ232" i="1"/>
  <c r="AJ233" i="1" s="1"/>
  <c r="D17" i="1"/>
  <c r="D28" i="1"/>
  <c r="E18" i="1"/>
  <c r="BX109" i="1"/>
  <c r="BY37" i="1"/>
  <c r="AL232" i="1"/>
  <c r="AL233" i="1" s="1"/>
  <c r="AL34" i="1"/>
  <c r="AL38" i="1" s="1"/>
  <c r="AL29" i="1"/>
  <c r="E28" i="1"/>
  <c r="E29" i="1" s="1"/>
  <c r="F18" i="1"/>
  <c r="E17" i="1"/>
  <c r="IV19" i="4"/>
  <c r="BP78" i="1" s="1"/>
  <c r="BP107" i="1" s="1"/>
  <c r="HW16" i="4"/>
  <c r="BY94" i="1"/>
  <c r="BY95" i="1"/>
  <c r="BY96" i="1"/>
  <c r="C18" i="1"/>
  <c r="C28" i="1"/>
  <c r="D18" i="1"/>
  <c r="C17" i="1"/>
  <c r="G17" i="1"/>
  <c r="H18" i="1"/>
  <c r="G18" i="1"/>
  <c r="BY205" i="1"/>
  <c r="BZ33" i="1"/>
  <c r="BY138" i="1"/>
  <c r="W232" i="1"/>
  <c r="W233" i="1" s="1"/>
  <c r="X30" i="1"/>
  <c r="X250" i="1"/>
  <c r="W34" i="1"/>
  <c r="W38" i="1" s="1"/>
  <c r="W30" i="1"/>
  <c r="W29" i="1"/>
  <c r="W112" i="1"/>
  <c r="W250" i="1"/>
  <c r="AM28" i="1"/>
  <c r="AM112" i="1" s="1"/>
  <c r="AM19" i="1"/>
  <c r="AM17" i="1"/>
  <c r="S18" i="1"/>
  <c r="BX166" i="1"/>
  <c r="T18" i="1"/>
  <c r="AJ165" i="1"/>
  <c r="AJ166" i="1" s="1"/>
  <c r="T17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AL250" i="1"/>
  <c r="AL251" i="1" s="1"/>
  <c r="AM226" i="1"/>
  <c r="C30" i="1"/>
  <c r="AK232" i="1"/>
  <c r="AK233" i="1" s="1"/>
  <c r="AL31" i="1"/>
  <c r="AK29" i="1"/>
  <c r="AK34" i="1"/>
  <c r="AK38" i="1" s="1"/>
  <c r="AK31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V41" i="1" l="1"/>
  <c r="V40" i="1"/>
  <c r="AJ41" i="1"/>
  <c r="AJ40" i="1"/>
  <c r="BX110" i="1"/>
  <c r="BX111" i="1"/>
  <c r="D29" i="1"/>
  <c r="D34" i="1"/>
  <c r="D38" i="1" s="1"/>
  <c r="D232" i="1"/>
  <c r="D233" i="1" s="1"/>
  <c r="E30" i="1"/>
  <c r="D112" i="1"/>
  <c r="AL41" i="1"/>
  <c r="AL40" i="1"/>
  <c r="W41" i="1"/>
  <c r="W40" i="1"/>
  <c r="C250" i="1"/>
  <c r="C29" i="1"/>
  <c r="D30" i="1"/>
  <c r="HW21" i="4"/>
  <c r="AQ77" i="1" s="1"/>
  <c r="IZ16" i="4"/>
  <c r="IZ21" i="4" s="1"/>
  <c r="BT77" i="1" s="1"/>
  <c r="HZ9" i="4" s="1"/>
  <c r="HZ21" i="4" s="1"/>
  <c r="AT77" i="1" s="1"/>
  <c r="IT9" i="4" s="1"/>
  <c r="HY8" i="4" s="1"/>
  <c r="IE9" i="4" s="1"/>
  <c r="IU8" i="4" s="1"/>
  <c r="JH16" i="4" s="1"/>
  <c r="JH21" i="4" s="1"/>
  <c r="CB77" i="1" s="1"/>
  <c r="D250" i="1"/>
  <c r="BY203" i="1"/>
  <c r="BY201" i="1" s="1"/>
  <c r="BZ203" i="1"/>
  <c r="BZ201" i="1" s="1"/>
  <c r="AM31" i="1"/>
  <c r="AM29" i="1"/>
  <c r="AM250" i="1"/>
  <c r="AM251" i="1" s="1"/>
  <c r="AM34" i="1"/>
  <c r="AM38" i="1" s="1"/>
  <c r="AM232" i="1"/>
  <c r="AM233" i="1" s="1"/>
  <c r="AL203" i="1"/>
  <c r="AL201" i="1" s="1"/>
  <c r="AK203" i="1"/>
  <c r="AK201" i="1" s="1"/>
  <c r="AL111" i="1"/>
  <c r="AL110" i="1"/>
  <c r="BX38" i="1"/>
  <c r="CA55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D40" i="1" l="1"/>
  <c r="V42" i="1"/>
  <c r="V245" i="1" s="1"/>
  <c r="V48" i="1"/>
  <c r="AJ42" i="1"/>
  <c r="AJ48" i="1"/>
  <c r="AJ234" i="1"/>
  <c r="AL234" i="1"/>
  <c r="AL48" i="1"/>
  <c r="AL42" i="1"/>
  <c r="AL245" i="1" s="1"/>
  <c r="D41" i="1"/>
  <c r="W48" i="1"/>
  <c r="W52" i="1" s="1"/>
  <c r="W234" i="1"/>
  <c r="W42" i="1"/>
  <c r="W245" i="1" s="1"/>
  <c r="W43" i="1"/>
  <c r="X43" i="1"/>
  <c r="CB85" i="1"/>
  <c r="CB102" i="1"/>
  <c r="CB94" i="1"/>
  <c r="IY15" i="4"/>
  <c r="AM41" i="1"/>
  <c r="AM40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66" i="1" l="1"/>
  <c r="AL52" i="1"/>
  <c r="D234" i="1"/>
  <c r="D42" i="1"/>
  <c r="D48" i="1"/>
  <c r="IY20" i="4"/>
  <c r="BS79" i="1" s="1"/>
  <c r="BS108" i="1" s="1"/>
  <c r="IL7" i="4"/>
  <c r="JA7" i="4" s="1"/>
  <c r="IN7" i="4" s="1"/>
  <c r="AM44" i="1"/>
  <c r="AM42" i="1"/>
  <c r="AM245" i="1" s="1"/>
  <c r="AM227" i="1"/>
  <c r="AM234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N48" i="2"/>
  <c r="D49" i="2"/>
  <c r="G112" i="2"/>
  <c r="J91" i="2"/>
  <c r="E55" i="2"/>
  <c r="T81" i="2"/>
  <c r="Q79" i="2"/>
  <c r="U90" i="2"/>
  <c r="G50" i="2"/>
  <c r="O80" i="2"/>
  <c r="J44" i="2"/>
  <c r="X107" i="2"/>
  <c r="T60" i="2"/>
  <c r="J86" i="2"/>
  <c r="Q80" i="2"/>
  <c r="O111" i="2"/>
  <c r="Q111" i="2"/>
  <c r="T61" i="2"/>
  <c r="S56" i="2"/>
  <c r="J51" i="2"/>
  <c r="P57" i="2"/>
  <c r="X80" i="2"/>
  <c r="E112" i="2"/>
  <c r="L61" i="2"/>
  <c r="G76" i="2"/>
  <c r="C79" i="2"/>
  <c r="O50" i="2"/>
  <c r="C95" i="2"/>
  <c r="I73" i="2"/>
  <c r="D42" i="2"/>
  <c r="X45" i="2"/>
  <c r="AB89" i="3"/>
  <c r="AP86" i="3"/>
  <c r="AP55" i="3"/>
  <c r="AB71" i="3"/>
  <c r="AB54" i="3"/>
  <c r="AP72" i="3"/>
  <c r="AB85" i="3"/>
  <c r="P32" i="3"/>
  <c r="N24" i="3"/>
  <c r="AQ13" i="3"/>
  <c r="AP25" i="3"/>
  <c r="T25" i="3"/>
  <c r="Z10" i="3"/>
  <c r="R36" i="3"/>
  <c r="P5" i="3"/>
  <c r="AK12" i="3"/>
  <c r="G41" i="3"/>
  <c r="I37" i="3"/>
  <c r="H14" i="3"/>
  <c r="N40" i="3"/>
  <c r="AE21" i="3"/>
  <c r="W21" i="3"/>
  <c r="AP13" i="3"/>
  <c r="Q3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I28" i="3"/>
  <c r="G48" i="3"/>
  <c r="AQ41" i="3"/>
  <c r="AE5" i="3"/>
  <c r="L39" i="3"/>
  <c r="AC5" i="3"/>
  <c r="H10" i="3"/>
  <c r="I6" i="3"/>
  <c r="AO16" i="3"/>
  <c r="M12" i="3"/>
  <c r="Z7" i="3"/>
  <c r="N9" i="3"/>
  <c r="AH28" i="3"/>
  <c r="L15" i="3"/>
  <c r="I12" i="3"/>
  <c r="M28" i="3"/>
  <c r="AM28" i="3"/>
  <c r="AK32" i="3"/>
  <c r="AK38" i="3"/>
  <c r="AJ10" i="3"/>
  <c r="H31" i="3"/>
  <c r="AI29" i="3"/>
  <c r="N33" i="3"/>
  <c r="S25" i="3"/>
  <c r="U42" i="3"/>
  <c r="AB17" i="3"/>
  <c r="H29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I5" i="3"/>
  <c r="N59" i="2"/>
  <c r="P47" i="2"/>
  <c r="R105" i="2"/>
  <c r="R64" i="2"/>
  <c r="D91" i="2"/>
  <c r="K51" i="2"/>
  <c r="R47" i="2"/>
  <c r="L73" i="2"/>
  <c r="J70" i="2"/>
  <c r="E105" i="2"/>
  <c r="H62" i="2"/>
  <c r="J85" i="2"/>
  <c r="N75" i="2"/>
  <c r="M90" i="2"/>
  <c r="K65" i="2"/>
  <c r="V109" i="2"/>
  <c r="D73" i="2"/>
  <c r="P49" i="2"/>
  <c r="C80" i="2"/>
  <c r="T52" i="2"/>
  <c r="X86" i="2"/>
  <c r="I93" i="2"/>
  <c r="G86" i="2"/>
  <c r="N46" i="2"/>
  <c r="E48" i="2"/>
  <c r="K58" i="2"/>
  <c r="L67" i="2"/>
  <c r="S95" i="2"/>
  <c r="S64" i="2"/>
  <c r="L109" i="2"/>
  <c r="F93" i="2"/>
  <c r="AP84" i="3"/>
  <c r="AB55" i="3"/>
  <c r="AP59" i="3"/>
  <c r="AP91" i="3"/>
  <c r="AP95" i="3"/>
  <c r="AB70" i="3"/>
  <c r="AB84" i="3"/>
  <c r="I22" i="3"/>
  <c r="M35" i="3"/>
  <c r="P39" i="3"/>
  <c r="AL20" i="3"/>
  <c r="AO39" i="3"/>
  <c r="E49" i="3"/>
  <c r="AJ22" i="3"/>
  <c r="AD37" i="3"/>
  <c r="AI24" i="3"/>
  <c r="W37" i="3"/>
  <c r="AB41" i="3"/>
  <c r="E47" i="3"/>
  <c r="AN9" i="3"/>
  <c r="O17" i="3"/>
  <c r="W18" i="3"/>
  <c r="AQ18" i="3"/>
  <c r="U1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I7" i="3"/>
  <c r="H32" i="3"/>
  <c r="Z37" i="3"/>
  <c r="AC23" i="3"/>
  <c r="W35" i="3"/>
  <c r="T12" i="3"/>
  <c r="AJ13" i="3"/>
  <c r="Z29" i="3"/>
  <c r="R33" i="3"/>
  <c r="AH25" i="3"/>
  <c r="AQ15" i="3"/>
  <c r="Z38" i="3"/>
  <c r="P31" i="3"/>
  <c r="Q15" i="3"/>
  <c r="R13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J33" i="3"/>
  <c r="AI7" i="3"/>
  <c r="T39" i="3"/>
  <c r="AE16" i="3"/>
  <c r="M24" i="3"/>
  <c r="AN41" i="3"/>
  <c r="V51" i="2"/>
  <c r="J110" i="2"/>
  <c r="R75" i="2"/>
  <c r="I63" i="2"/>
  <c r="F90" i="2"/>
  <c r="X88" i="2"/>
  <c r="S45" i="2"/>
  <c r="T106" i="2"/>
  <c r="G104" i="2"/>
  <c r="E50" i="2"/>
  <c r="O65" i="2"/>
  <c r="T89" i="2"/>
  <c r="D82" i="2"/>
  <c r="X61" i="2"/>
  <c r="H47" i="2"/>
  <c r="K57" i="2"/>
  <c r="V53" i="2"/>
  <c r="T93" i="2"/>
  <c r="W64" i="2"/>
  <c r="E97" i="2"/>
  <c r="S90" i="2"/>
  <c r="F59" i="2"/>
  <c r="K83" i="2"/>
  <c r="R59" i="2"/>
  <c r="J95" i="2"/>
  <c r="Q51" i="2"/>
  <c r="S54" i="2"/>
  <c r="W96" i="2"/>
  <c r="N92" i="2"/>
  <c r="M42" i="2"/>
  <c r="N77" i="2"/>
  <c r="AP70" i="3"/>
  <c r="AB48" i="3"/>
  <c r="AP71" i="3"/>
  <c r="AP58" i="3"/>
  <c r="AP74" i="3"/>
  <c r="AP89" i="3"/>
  <c r="AB95" i="3"/>
  <c r="K13" i="3"/>
  <c r="AJ38" i="3"/>
  <c r="AJ17" i="3"/>
  <c r="J16" i="3"/>
  <c r="AL41" i="3"/>
  <c r="Z6" i="3"/>
  <c r="P34" i="3"/>
  <c r="AD24" i="3"/>
  <c r="S36" i="3"/>
  <c r="K38" i="3"/>
  <c r="Q27" i="3"/>
  <c r="I9" i="3"/>
  <c r="Z34" i="3"/>
  <c r="S32" i="3"/>
  <c r="N34" i="3"/>
  <c r="L29" i="3"/>
  <c r="AJ41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V58" i="2"/>
  <c r="L110" i="2"/>
  <c r="V90" i="2"/>
  <c r="I53" i="2"/>
  <c r="L58" i="2"/>
  <c r="L57" i="2"/>
  <c r="P82" i="2"/>
  <c r="P43" i="2"/>
  <c r="N95" i="2"/>
  <c r="O53" i="2"/>
  <c r="C68" i="2"/>
  <c r="N69" i="2"/>
  <c r="N113" i="2"/>
  <c r="X48" i="2"/>
  <c r="F56" i="2"/>
  <c r="F58" i="2"/>
  <c r="M51" i="2"/>
  <c r="Q98" i="2"/>
  <c r="W86" i="2"/>
  <c r="E73" i="2"/>
  <c r="V97" i="2"/>
  <c r="R68" i="2"/>
  <c r="P48" i="2"/>
  <c r="G78" i="2"/>
  <c r="N63" i="2"/>
  <c r="U108" i="2"/>
  <c r="P92" i="2"/>
  <c r="N61" i="2"/>
  <c r="U64" i="2"/>
  <c r="X84" i="2"/>
  <c r="N47" i="2"/>
  <c r="AP56" i="3"/>
  <c r="AB77" i="3"/>
  <c r="AP78" i="3"/>
  <c r="AB63" i="3"/>
  <c r="AP54" i="3"/>
  <c r="AB69" i="3"/>
  <c r="AB74" i="3"/>
  <c r="AI6" i="3"/>
  <c r="Z19" i="3"/>
  <c r="R18" i="3"/>
  <c r="AQ39" i="3"/>
  <c r="R25" i="3"/>
  <c r="N15" i="3"/>
  <c r="W22" i="3"/>
  <c r="AE31" i="3"/>
  <c r="AE24" i="3"/>
  <c r="AP41" i="3"/>
  <c r="X7" i="3"/>
  <c r="AO7" i="3"/>
  <c r="L11" i="3"/>
  <c r="K29" i="3"/>
  <c r="AL30" i="3"/>
  <c r="W40" i="3"/>
  <c r="AJ33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AI14" i="3"/>
  <c r="K26" i="3"/>
  <c r="U16" i="3"/>
  <c r="AJ7" i="3"/>
  <c r="C26" i="3"/>
  <c r="K47" i="2"/>
  <c r="N40" i="2"/>
  <c r="H85" i="2"/>
  <c r="Q93" i="2"/>
  <c r="D54" i="2"/>
  <c r="G52" i="2"/>
  <c r="W67" i="2"/>
  <c r="T41" i="2"/>
  <c r="J105" i="2"/>
  <c r="L96" i="2"/>
  <c r="U112" i="2"/>
  <c r="V93" i="2"/>
  <c r="K89" i="2"/>
  <c r="N91" i="2"/>
  <c r="S113" i="2"/>
  <c r="R43" i="2"/>
  <c r="T96" i="2"/>
  <c r="Q60" i="2"/>
  <c r="R94" i="2"/>
  <c r="H57" i="2"/>
  <c r="F45" i="2"/>
  <c r="R104" i="2"/>
  <c r="X74" i="2"/>
  <c r="M67" i="2"/>
  <c r="L46" i="2"/>
  <c r="G62" i="2"/>
  <c r="X54" i="2"/>
  <c r="U65" i="2"/>
  <c r="X68" i="2"/>
  <c r="L40" i="2"/>
  <c r="E42" i="2"/>
  <c r="AB58" i="3"/>
  <c r="AP97" i="3"/>
  <c r="C47" i="3"/>
  <c r="AP47" i="3"/>
  <c r="AP80" i="3"/>
  <c r="AB64" i="3"/>
  <c r="H20" i="3"/>
  <c r="AG39" i="3"/>
  <c r="V16" i="3"/>
  <c r="N26" i="3"/>
  <c r="AP10" i="3"/>
  <c r="S31" i="3"/>
  <c r="X31" i="3"/>
  <c r="Q36" i="3"/>
  <c r="I23" i="3"/>
  <c r="AJ25" i="3"/>
  <c r="AI16" i="3"/>
  <c r="C38" i="3"/>
  <c r="P41" i="3"/>
  <c r="S33" i="3"/>
  <c r="J37" i="3"/>
  <c r="X24" i="3"/>
  <c r="L33" i="3"/>
  <c r="AJ24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T85" i="2"/>
  <c r="T104" i="2"/>
  <c r="Q48" i="2"/>
  <c r="V54" i="2"/>
  <c r="L76" i="2"/>
  <c r="Q105" i="2"/>
  <c r="Q64" i="2"/>
  <c r="Q112" i="2"/>
  <c r="O44" i="2"/>
  <c r="V104" i="2"/>
  <c r="E91" i="2"/>
  <c r="J69" i="2"/>
  <c r="Q61" i="2"/>
  <c r="D104" i="2"/>
  <c r="N79" i="2"/>
  <c r="X87" i="2"/>
  <c r="X53" i="2"/>
  <c r="E113" i="2"/>
  <c r="T109" i="2"/>
  <c r="D56" i="2"/>
  <c r="J88" i="2"/>
  <c r="W104" i="2"/>
  <c r="S58" i="2"/>
  <c r="G64" i="2"/>
  <c r="D113" i="2"/>
  <c r="X112" i="2"/>
  <c r="I79" i="2"/>
  <c r="P45" i="2"/>
  <c r="V83" i="2"/>
  <c r="M59" i="2"/>
  <c r="V95" i="2"/>
  <c r="AB73" i="3"/>
  <c r="AB72" i="3"/>
  <c r="AP61" i="3"/>
  <c r="AP92" i="3"/>
  <c r="AB56" i="3"/>
  <c r="AP67" i="3"/>
  <c r="T23" i="3"/>
  <c r="H17" i="3"/>
  <c r="L32" i="3"/>
  <c r="AM16" i="3"/>
  <c r="Q34" i="3"/>
  <c r="AD50" i="3"/>
  <c r="AH21" i="3"/>
  <c r="P10" i="3"/>
  <c r="H5" i="3"/>
  <c r="AE32" i="3"/>
  <c r="AH13" i="3"/>
  <c r="O37" i="3"/>
  <c r="AD28" i="3"/>
  <c r="N14" i="3"/>
  <c r="AA8" i="3"/>
  <c r="T32" i="3"/>
  <c r="Y13" i="3"/>
  <c r="O5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N24" i="3"/>
  <c r="AD48" i="3"/>
  <c r="AJ32" i="3"/>
  <c r="Y36" i="3"/>
  <c r="R37" i="3"/>
  <c r="O26" i="3"/>
  <c r="AB27" i="3"/>
  <c r="AD30" i="3"/>
  <c r="AN38" i="3"/>
  <c r="L42" i="3"/>
  <c r="AD36" i="3"/>
  <c r="J5" i="3"/>
  <c r="AL26" i="3"/>
  <c r="O32" i="3"/>
  <c r="AN21" i="3"/>
  <c r="T9" i="3"/>
  <c r="AQ5" i="3"/>
  <c r="AA18" i="3"/>
  <c r="N16" i="3"/>
  <c r="U38" i="3"/>
  <c r="AI13" i="3"/>
  <c r="R5" i="3"/>
  <c r="Z14" i="3"/>
  <c r="AG9" i="3"/>
  <c r="AM15" i="3"/>
  <c r="O34" i="3"/>
  <c r="Z17" i="3"/>
  <c r="AG22" i="3"/>
  <c r="Z27" i="3"/>
  <c r="V40" i="3"/>
  <c r="Q25" i="3"/>
  <c r="AM42" i="3"/>
  <c r="J14" i="3"/>
  <c r="AC15" i="3"/>
  <c r="AN12" i="3"/>
  <c r="AG15" i="3"/>
  <c r="P8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AQ42" i="3"/>
  <c r="AL38" i="3"/>
  <c r="P40" i="3"/>
  <c r="P17" i="3"/>
  <c r="T21" i="3"/>
  <c r="M37" i="3"/>
  <c r="J32" i="3"/>
  <c r="AQ24" i="3"/>
  <c r="X32" i="3"/>
  <c r="W72" i="2"/>
  <c r="H87" i="2"/>
  <c r="L74" i="2"/>
  <c r="Q81" i="2"/>
  <c r="X95" i="2"/>
  <c r="V50" i="2"/>
  <c r="J74" i="2"/>
  <c r="T87" i="2"/>
  <c r="F43" i="2"/>
  <c r="L104" i="2"/>
  <c r="K40" i="2"/>
  <c r="E44" i="2"/>
  <c r="S75" i="2"/>
  <c r="C75" i="2"/>
  <c r="M74" i="2"/>
  <c r="O97" i="2"/>
  <c r="W76" i="2"/>
  <c r="K85" i="2"/>
  <c r="R45" i="2"/>
  <c r="O88" i="2"/>
  <c r="M64" i="2"/>
  <c r="S111" i="2"/>
  <c r="C61" i="2"/>
  <c r="C51" i="2"/>
  <c r="Q73" i="2"/>
  <c r="V45" i="2"/>
  <c r="F81" i="2"/>
  <c r="C56" i="2"/>
  <c r="F82" i="2"/>
  <c r="F69" i="2"/>
  <c r="C87" i="2"/>
  <c r="AP75" i="3"/>
  <c r="AB47" i="3"/>
  <c r="AB94" i="3"/>
  <c r="AP62" i="3"/>
  <c r="AP76" i="3"/>
  <c r="AB91" i="3"/>
  <c r="C28" i="3"/>
  <c r="AP12" i="3"/>
  <c r="O39" i="3"/>
  <c r="G36" i="3"/>
  <c r="AH31" i="3"/>
  <c r="AN22" i="3"/>
  <c r="AG42" i="3"/>
  <c r="AN31" i="3"/>
  <c r="X12" i="3"/>
  <c r="C7" i="3"/>
  <c r="AI41" i="3"/>
  <c r="M29" i="3"/>
  <c r="I36" i="3"/>
  <c r="U19" i="3"/>
  <c r="AM22" i="3"/>
  <c r="P30" i="3"/>
  <c r="P25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B13" i="3"/>
  <c r="AC16" i="3"/>
  <c r="AP22" i="3"/>
  <c r="M30" i="3"/>
  <c r="Z36" i="3"/>
  <c r="L27" i="3"/>
  <c r="Z23" i="3"/>
  <c r="Y33" i="3"/>
  <c r="J20" i="3"/>
  <c r="H23" i="3"/>
  <c r="AL29" i="3"/>
  <c r="C20" i="3"/>
  <c r="T37" i="3"/>
  <c r="V22" i="3"/>
  <c r="Y35" i="3"/>
  <c r="AE35" i="3"/>
  <c r="L40" i="3"/>
  <c r="J28" i="3"/>
  <c r="AM19" i="3"/>
  <c r="AJ19" i="3"/>
  <c r="AK26" i="3"/>
  <c r="T27" i="3"/>
  <c r="AJ21" i="3"/>
  <c r="S14" i="3"/>
  <c r="K25" i="3"/>
  <c r="W32" i="3"/>
  <c r="P33" i="3"/>
  <c r="AA19" i="3"/>
  <c r="AD31" i="3"/>
  <c r="AB38" i="3"/>
  <c r="AG28" i="3"/>
  <c r="AJ16" i="3"/>
  <c r="AB37" i="3"/>
  <c r="AM12" i="3"/>
  <c r="O41" i="3"/>
  <c r="L31" i="3"/>
  <c r="R108" i="2"/>
  <c r="W92" i="2"/>
  <c r="L45" i="2"/>
  <c r="V62" i="2"/>
  <c r="E51" i="2"/>
  <c r="H89" i="2"/>
  <c r="C62" i="2"/>
  <c r="U61" i="2"/>
  <c r="P61" i="2"/>
  <c r="R76" i="2"/>
  <c r="X56" i="2"/>
  <c r="R96" i="2"/>
  <c r="V82" i="2"/>
  <c r="N109" i="2"/>
  <c r="K55" i="2"/>
  <c r="C97" i="2"/>
  <c r="D43" i="2"/>
  <c r="C110" i="2"/>
  <c r="R107" i="2"/>
  <c r="S65" i="2"/>
  <c r="G42" i="2"/>
  <c r="K73" i="2"/>
  <c r="D94" i="2"/>
  <c r="G70" i="2"/>
  <c r="I58" i="2"/>
  <c r="N55" i="2"/>
  <c r="G51" i="2"/>
  <c r="J81" i="2"/>
  <c r="X85" i="2"/>
  <c r="L97" i="2"/>
  <c r="C63" i="2"/>
  <c r="AB57" i="3"/>
  <c r="AP88" i="3"/>
  <c r="AB50" i="3"/>
  <c r="AB62" i="3"/>
  <c r="AB49" i="3"/>
  <c r="AB66" i="3"/>
  <c r="AM33" i="3"/>
  <c r="T8" i="3"/>
  <c r="AN33" i="3"/>
  <c r="AJ31" i="3"/>
  <c r="X30" i="3"/>
  <c r="S16" i="3"/>
  <c r="U30" i="3"/>
  <c r="AH33" i="3"/>
  <c r="M34" i="3"/>
  <c r="O28" i="3"/>
  <c r="AE9" i="3"/>
  <c r="K40" i="3"/>
  <c r="N19" i="3"/>
  <c r="Q16" i="3"/>
  <c r="V31" i="3"/>
  <c r="X34" i="3"/>
  <c r="K36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P57" i="3"/>
  <c r="AP82" i="3"/>
  <c r="AB97" i="3"/>
  <c r="AP49" i="3"/>
  <c r="C21" i="3"/>
  <c r="AL33" i="3"/>
  <c r="AH23" i="3"/>
  <c r="AK31" i="3"/>
  <c r="M10" i="3"/>
  <c r="AQ29" i="3"/>
  <c r="Y17" i="3"/>
  <c r="AK37" i="3"/>
  <c r="Z8" i="3"/>
  <c r="AB20" i="3"/>
  <c r="I19" i="3"/>
  <c r="U15" i="3"/>
  <c r="AQ38" i="3"/>
  <c r="AH17" i="3"/>
  <c r="M11" i="3"/>
  <c r="S35" i="3"/>
  <c r="Q33" i="3"/>
  <c r="AI21" i="3"/>
  <c r="W29" i="3"/>
  <c r="W81" i="2"/>
  <c r="S55" i="2"/>
  <c r="W85" i="2"/>
  <c r="H73" i="2"/>
  <c r="O45" i="2"/>
  <c r="X89" i="2"/>
  <c r="K84" i="2"/>
  <c r="U77" i="2"/>
  <c r="F54" i="2"/>
  <c r="J58" i="2"/>
  <c r="D64" i="2"/>
  <c r="W78" i="2"/>
  <c r="O64" i="2"/>
  <c r="K69" i="2"/>
  <c r="H61" i="2"/>
  <c r="S110" i="2"/>
  <c r="H80" i="2"/>
  <c r="H58" i="2"/>
  <c r="G85" i="2"/>
  <c r="N110" i="2"/>
  <c r="K41" i="2"/>
  <c r="S42" i="2"/>
  <c r="T105" i="2"/>
  <c r="R99" i="2"/>
  <c r="O66" i="2"/>
  <c r="K106" i="2"/>
  <c r="J67" i="2"/>
  <c r="C108" i="2"/>
  <c r="T63" i="2"/>
  <c r="C91" i="2"/>
  <c r="AB65" i="3"/>
  <c r="AB59" i="3"/>
  <c r="AP90" i="3"/>
  <c r="V11" i="3"/>
  <c r="J23" i="3"/>
  <c r="D44" i="2"/>
  <c r="M69" i="2"/>
  <c r="S68" i="2"/>
  <c r="C45" i="2"/>
  <c r="K53" i="2"/>
  <c r="S76" i="2"/>
  <c r="L49" i="2"/>
  <c r="F91" i="2"/>
  <c r="T83" i="2"/>
  <c r="G105" i="2"/>
  <c r="S41" i="2"/>
  <c r="M79" i="2"/>
  <c r="I45" i="2"/>
  <c r="R71" i="2"/>
  <c r="H67" i="2"/>
  <c r="H68" i="2"/>
  <c r="K78" i="2"/>
  <c r="V108" i="2"/>
  <c r="V91" i="2"/>
  <c r="X97" i="2"/>
  <c r="D68" i="2"/>
  <c r="R65" i="2"/>
  <c r="T58" i="2"/>
  <c r="N44" i="2"/>
  <c r="P77" i="2"/>
  <c r="G69" i="2"/>
  <c r="X81" i="2"/>
  <c r="N57" i="2"/>
  <c r="K111" i="2"/>
  <c r="U51" i="2"/>
  <c r="AB83" i="3"/>
  <c r="C48" i="3"/>
  <c r="AP83" i="3"/>
  <c r="AP79" i="3"/>
  <c r="AP87" i="3"/>
  <c r="C49" i="3"/>
  <c r="AB76" i="3"/>
  <c r="R29" i="3"/>
  <c r="J36" i="3"/>
  <c r="H41" i="3"/>
  <c r="M17" i="3"/>
  <c r="I38" i="3"/>
  <c r="AE10" i="3"/>
  <c r="AC20" i="3"/>
  <c r="AO15" i="3"/>
  <c r="AK21" i="3"/>
  <c r="AH16" i="3"/>
  <c r="AA25" i="3"/>
  <c r="O38" i="3"/>
  <c r="R35" i="3"/>
  <c r="Y6" i="3"/>
  <c r="N39" i="3"/>
  <c r="AE25" i="3"/>
  <c r="AD20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AE29" i="3"/>
  <c r="V13" i="3"/>
  <c r="Q41" i="3"/>
  <c r="AO30" i="3"/>
  <c r="P24" i="3"/>
  <c r="AL12" i="3"/>
  <c r="Z40" i="3"/>
  <c r="AL40" i="3"/>
  <c r="AO18" i="3"/>
  <c r="E94" i="2"/>
  <c r="R51" i="2"/>
  <c r="V71" i="2"/>
  <c r="U87" i="2"/>
  <c r="L108" i="2"/>
  <c r="E108" i="2"/>
  <c r="O59" i="2"/>
  <c r="U60" i="2"/>
  <c r="E107" i="2"/>
  <c r="W58" i="2"/>
  <c r="N106" i="2"/>
  <c r="Q107" i="2"/>
  <c r="K71" i="2"/>
  <c r="I55" i="2"/>
  <c r="S47" i="2"/>
  <c r="S59" i="2"/>
  <c r="H106" i="2"/>
  <c r="V77" i="2"/>
  <c r="Q50" i="2"/>
  <c r="D106" i="2"/>
  <c r="J90" i="2"/>
  <c r="J60" i="2"/>
  <c r="C66" i="2"/>
  <c r="P56" i="2"/>
  <c r="H77" i="2"/>
  <c r="H109" i="2"/>
  <c r="G60" i="2"/>
  <c r="W112" i="2"/>
  <c r="O108" i="2"/>
  <c r="S98" i="2"/>
  <c r="AB61" i="3"/>
  <c r="AP66" i="3"/>
  <c r="AB90" i="3"/>
  <c r="AP63" i="3"/>
  <c r="AP94" i="3"/>
  <c r="AB86" i="3"/>
  <c r="AP60" i="3"/>
  <c r="Z30" i="3"/>
  <c r="C37" i="3"/>
  <c r="Y22" i="3"/>
  <c r="T17" i="3"/>
  <c r="W26" i="3"/>
  <c r="Y40" i="3"/>
  <c r="O21" i="3"/>
  <c r="L25" i="3"/>
  <c r="AD35" i="3"/>
  <c r="W33" i="3"/>
  <c r="Z15" i="3"/>
  <c r="G42" i="3"/>
  <c r="L37" i="3"/>
  <c r="AA12" i="3"/>
  <c r="I16" i="3"/>
  <c r="H13" i="3"/>
  <c r="Q35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L13" i="3"/>
  <c r="S26" i="3"/>
  <c r="V30" i="3"/>
  <c r="AN2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C74" i="2"/>
  <c r="L89" i="2"/>
  <c r="M49" i="2"/>
  <c r="U50" i="2"/>
  <c r="E57" i="2"/>
  <c r="W106" i="2"/>
  <c r="E54" i="2"/>
  <c r="D112" i="2"/>
  <c r="I43" i="2"/>
  <c r="K96" i="2"/>
  <c r="N99" i="2"/>
  <c r="E56" i="2"/>
  <c r="U59" i="2"/>
  <c r="C90" i="2"/>
  <c r="S83" i="2"/>
  <c r="X111" i="2"/>
  <c r="M68" i="2"/>
  <c r="D40" i="2"/>
  <c r="G74" i="2"/>
  <c r="V44" i="2"/>
  <c r="I75" i="2"/>
  <c r="T49" i="2"/>
  <c r="E87" i="2"/>
  <c r="W79" i="2"/>
  <c r="N70" i="2"/>
  <c r="N98" i="2"/>
  <c r="E78" i="2"/>
  <c r="M108" i="2"/>
  <c r="U40" i="2"/>
  <c r="L78" i="2"/>
  <c r="AB68" i="3"/>
  <c r="AB78" i="3"/>
  <c r="AB92" i="3"/>
  <c r="AB96" i="3"/>
  <c r="AB87" i="3"/>
  <c r="AB67" i="3"/>
  <c r="AP69" i="3"/>
  <c r="W5" i="3"/>
  <c r="L19" i="3"/>
  <c r="C23" i="3"/>
  <c r="AO33" i="3"/>
  <c r="T24" i="3"/>
  <c r="R24" i="3"/>
  <c r="V8" i="3"/>
  <c r="I28" i="3"/>
  <c r="V24" i="3"/>
  <c r="H38" i="3"/>
  <c r="X27" i="3"/>
  <c r="AA9" i="3"/>
  <c r="AI11" i="3"/>
  <c r="AM25" i="3"/>
  <c r="AG17" i="3"/>
  <c r="AO20" i="3"/>
  <c r="AE14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B26" i="3"/>
  <c r="AE20" i="3"/>
  <c r="AA33" i="3"/>
  <c r="U14" i="3"/>
  <c r="L17" i="3"/>
  <c r="AI37" i="3"/>
  <c r="AK40" i="3"/>
  <c r="AL32" i="3"/>
  <c r="AJ42" i="3"/>
  <c r="L34" i="3"/>
  <c r="G34" i="3"/>
  <c r="O33" i="3"/>
  <c r="Q17" i="3"/>
  <c r="AO22" i="3"/>
  <c r="AH8" i="3"/>
  <c r="X6" i="3"/>
  <c r="AQ11" i="3"/>
  <c r="K5" i="3"/>
  <c r="AA35" i="3"/>
  <c r="C11" i="3"/>
  <c r="R16" i="3"/>
  <c r="S13" i="3"/>
  <c r="AE36" i="3"/>
  <c r="R31" i="3"/>
  <c r="AA37" i="3"/>
  <c r="X37" i="3"/>
  <c r="N17" i="3"/>
  <c r="H39" i="3"/>
  <c r="N22" i="3"/>
  <c r="AG14" i="3"/>
  <c r="X11" i="3"/>
  <c r="H18" i="3"/>
  <c r="K6" i="3"/>
  <c r="K10" i="3"/>
  <c r="T19" i="3"/>
  <c r="C14" i="3"/>
  <c r="C31" i="3"/>
  <c r="U5" i="3"/>
  <c r="W20" i="3"/>
  <c r="AL5" i="3"/>
  <c r="AL66" i="3" s="1"/>
  <c r="AC40" i="3"/>
  <c r="C16" i="3"/>
  <c r="K9" i="3"/>
  <c r="AA26" i="3"/>
  <c r="AG13" i="3"/>
  <c r="AH6" i="3"/>
  <c r="AP21" i="3"/>
  <c r="AE22" i="3"/>
  <c r="AP32" i="3"/>
  <c r="AJ35" i="3"/>
  <c r="AQ35" i="3"/>
  <c r="AM6" i="3"/>
  <c r="Y24" i="3"/>
  <c r="AE41" i="3"/>
  <c r="AI20" i="3"/>
  <c r="Z20" i="3"/>
  <c r="AM34" i="3"/>
  <c r="AP42" i="3"/>
  <c r="AQ31" i="3"/>
  <c r="AG41" i="3"/>
  <c r="V28" i="3"/>
  <c r="H8" i="3"/>
  <c r="AH18" i="3"/>
  <c r="J26" i="3"/>
  <c r="Y21" i="3"/>
  <c r="Q8" i="3"/>
  <c r="AH20" i="3"/>
  <c r="M8" i="3"/>
  <c r="Z32" i="3"/>
  <c r="K41" i="3"/>
  <c r="AQ28" i="3"/>
  <c r="V15" i="3"/>
  <c r="Y42" i="3"/>
  <c r="P12" i="3"/>
  <c r="AJ29" i="3"/>
  <c r="AB9" i="3"/>
  <c r="AD41" i="3"/>
  <c r="T15" i="3"/>
  <c r="K20" i="3"/>
  <c r="Y14" i="3"/>
  <c r="C13" i="3"/>
  <c r="AQ37" i="3"/>
  <c r="X22" i="3"/>
  <c r="AO9" i="3"/>
  <c r="P15" i="3"/>
  <c r="Z21" i="3"/>
  <c r="AG20" i="3"/>
  <c r="M42" i="3"/>
  <c r="H26" i="3"/>
  <c r="D48" i="3"/>
  <c r="T40" i="3"/>
  <c r="AE40" i="3"/>
  <c r="J35" i="3"/>
  <c r="AA39" i="3"/>
  <c r="AQ20" i="3"/>
  <c r="AL7" i="3"/>
  <c r="AE27" i="3"/>
  <c r="AA15" i="3"/>
  <c r="T6" i="3"/>
  <c r="AN39" i="3"/>
  <c r="X19" i="3"/>
  <c r="AO37" i="3"/>
  <c r="AN29" i="3"/>
  <c r="AE26" i="3"/>
  <c r="AM30" i="3"/>
  <c r="N42" i="3"/>
  <c r="AD33" i="3"/>
  <c r="X40" i="3"/>
  <c r="AA7" i="3"/>
  <c r="S29" i="3"/>
  <c r="Y5" i="3"/>
  <c r="Y74" i="3" s="1"/>
  <c r="T29" i="3"/>
  <c r="K34" i="3"/>
  <c r="O12" i="3"/>
  <c r="T5" i="3"/>
  <c r="AI33" i="3"/>
  <c r="Q10" i="3"/>
  <c r="R11" i="3"/>
  <c r="AK28" i="3"/>
  <c r="W30" i="3"/>
  <c r="J11" i="3"/>
  <c r="AP17" i="3"/>
  <c r="O31" i="3"/>
  <c r="W14" i="3"/>
  <c r="AA27" i="3"/>
  <c r="Z33" i="3"/>
  <c r="Q39" i="3"/>
  <c r="AD25" i="3"/>
  <c r="L24" i="3"/>
  <c r="Y37" i="3"/>
  <c r="R10" i="3"/>
  <c r="M27" i="3"/>
  <c r="AO12" i="3"/>
  <c r="AQ26" i="3"/>
  <c r="Z18" i="3"/>
  <c r="AQ17" i="3"/>
  <c r="AD23" i="3"/>
  <c r="R7" i="3"/>
  <c r="I18" i="3"/>
  <c r="AG34" i="3"/>
  <c r="U25" i="3"/>
  <c r="AI22" i="3"/>
  <c r="AJ26" i="3"/>
  <c r="AA20" i="3"/>
  <c r="K17" i="3"/>
  <c r="H7" i="3"/>
  <c r="P23" i="3"/>
  <c r="S39" i="3"/>
  <c r="Y8" i="3"/>
  <c r="J40" i="3"/>
  <c r="AO35" i="3"/>
  <c r="P28" i="3"/>
  <c r="S22" i="3"/>
  <c r="Z5" i="3"/>
  <c r="P36" i="3"/>
  <c r="AG11" i="3"/>
  <c r="N30" i="3"/>
  <c r="AD21" i="3"/>
  <c r="U9" i="3"/>
  <c r="Q30" i="3"/>
  <c r="P37" i="3"/>
  <c r="AN42" i="3"/>
  <c r="N31" i="3"/>
  <c r="W25" i="3"/>
  <c r="U32" i="3"/>
  <c r="AI17" i="3"/>
  <c r="H12" i="3"/>
  <c r="AP38" i="3"/>
  <c r="T13" i="3"/>
  <c r="AB8" i="3"/>
  <c r="AI42" i="3"/>
  <c r="AC31" i="3"/>
  <c r="AL36" i="3"/>
  <c r="AM17" i="3"/>
  <c r="Y26" i="3"/>
  <c r="W17" i="3"/>
  <c r="K32" i="3"/>
  <c r="AD40" i="3"/>
  <c r="AG31" i="3"/>
  <c r="L12" i="3"/>
  <c r="V35" i="3"/>
  <c r="AG29" i="3"/>
  <c r="C35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H6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I76" i="3"/>
  <c r="P60" i="3"/>
  <c r="S72" i="3"/>
  <c r="AG88" i="3"/>
  <c r="AH71" i="3"/>
  <c r="R93" i="3"/>
  <c r="X70" i="3"/>
  <c r="X88" i="3"/>
  <c r="AJ54" i="3"/>
  <c r="AM97" i="3"/>
  <c r="Q71" i="3"/>
  <c r="Y58" i="3"/>
  <c r="T79" i="3"/>
  <c r="AM48" i="3"/>
  <c r="AI95" i="3"/>
  <c r="AM74" i="3"/>
  <c r="AK81" i="3"/>
  <c r="AJ91" i="3"/>
  <c r="Q56" i="3"/>
  <c r="Q54" i="3"/>
  <c r="J88" i="3"/>
  <c r="L48" i="3"/>
  <c r="J81" i="3"/>
  <c r="AC75" i="3"/>
  <c r="M76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AL47" i="3"/>
  <c r="P73" i="3"/>
  <c r="AK68" i="3"/>
  <c r="AJ95" i="3"/>
  <c r="AA59" i="3"/>
  <c r="AH66" i="3"/>
  <c r="U97" i="3"/>
  <c r="O71" i="3"/>
  <c r="Z84" i="3"/>
  <c r="P68" i="3"/>
  <c r="AO67" i="3"/>
  <c r="AM68" i="3"/>
  <c r="AJ74" i="3"/>
  <c r="AQ67" i="3"/>
  <c r="AL91" i="3"/>
  <c r="AI87" i="3"/>
  <c r="H79" i="3"/>
  <c r="AM69" i="3"/>
  <c r="AK57" i="3"/>
  <c r="AI73" i="3"/>
  <c r="AC50" i="3"/>
  <c r="J89" i="3"/>
  <c r="AC74" i="3"/>
  <c r="L63" i="3"/>
  <c r="J90" i="3"/>
  <c r="AA91" i="3"/>
  <c r="Q60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AH60" i="3"/>
  <c r="R66" i="3"/>
  <c r="M97" i="3"/>
  <c r="J72" i="3"/>
  <c r="AC84" i="3"/>
  <c r="R88" i="3"/>
  <c r="U62" i="3"/>
  <c r="AE92" i="3"/>
  <c r="T59" i="3"/>
  <c r="T48" i="3"/>
  <c r="M80" i="3"/>
  <c r="AG74" i="3"/>
  <c r="AN63" i="3"/>
  <c r="R91" i="3"/>
  <c r="K60" i="3"/>
  <c r="AI56" i="3"/>
  <c r="AE74" i="3"/>
  <c r="AI93" i="3"/>
  <c r="AK83" i="3"/>
  <c r="AI92" i="3"/>
  <c r="L75" i="3"/>
  <c r="AE59" i="3"/>
  <c r="P50" i="3"/>
  <c r="P84" i="3"/>
  <c r="T75" i="3"/>
  <c r="AE47" i="3"/>
  <c r="J94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V73" i="3"/>
  <c r="M79" i="3"/>
  <c r="T91" i="3"/>
  <c r="R77" i="3"/>
  <c r="AJ49" i="3"/>
  <c r="AL75" i="3"/>
  <c r="V75" i="3"/>
  <c r="V72" i="3"/>
  <c r="K58" i="3"/>
  <c r="J74" i="3"/>
  <c r="P55" i="3"/>
  <c r="AG70" i="3"/>
  <c r="Y64" i="3"/>
  <c r="S93" i="3"/>
  <c r="AJ50" i="3"/>
  <c r="AQ82" i="3"/>
  <c r="Q97" i="3"/>
  <c r="Z65" i="3"/>
  <c r="AM56" i="3"/>
  <c r="J97" i="3"/>
  <c r="AA63" i="3"/>
  <c r="Q89" i="3"/>
  <c r="R83" i="3"/>
  <c r="X76" i="3"/>
  <c r="R49" i="3"/>
  <c r="AO92" i="3"/>
  <c r="L95" i="3"/>
  <c r="S83" i="3"/>
  <c r="V69" i="3"/>
  <c r="R50" i="3"/>
  <c r="K78" i="3"/>
  <c r="I65" i="3"/>
  <c r="Q80" i="3"/>
  <c r="AJ61" i="3"/>
  <c r="AJ72" i="3"/>
  <c r="K80" i="3"/>
  <c r="S79" i="3"/>
  <c r="Y94" i="3"/>
  <c r="AN74" i="3"/>
  <c r="T67" i="3"/>
  <c r="AN49" i="3"/>
  <c r="J54" i="3"/>
  <c r="J92" i="3"/>
  <c r="Z81" i="3"/>
  <c r="R56" i="3"/>
  <c r="X80" i="3"/>
  <c r="AK80" i="3"/>
  <c r="L47" i="3"/>
  <c r="AK74" i="3"/>
  <c r="AK62" i="3"/>
  <c r="AM66" i="3"/>
  <c r="L54" i="3"/>
  <c r="AE68" i="3"/>
  <c r="H96" i="3"/>
  <c r="O48" i="3"/>
  <c r="H80" i="3"/>
  <c r="AN82" i="3"/>
  <c r="AE95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I73" i="3"/>
  <c r="AO91" i="3"/>
  <c r="AC64" i="3"/>
  <c r="K65" i="3"/>
  <c r="T85" i="3"/>
  <c r="AA75" i="3"/>
  <c r="AQ71" i="3"/>
  <c r="V76" i="3"/>
  <c r="X72" i="3"/>
  <c r="O64" i="3"/>
  <c r="AH70" i="3"/>
  <c r="V61" i="3"/>
  <c r="AE90" i="3"/>
  <c r="AJ48" i="3"/>
  <c r="N54" i="3"/>
  <c r="J59" i="3"/>
  <c r="J75" i="3"/>
  <c r="AQ66" i="3"/>
  <c r="AG91" i="3"/>
  <c r="Y48" i="3"/>
  <c r="X97" i="3"/>
  <c r="Z57" i="3"/>
  <c r="U95" i="3"/>
  <c r="AG71" i="3"/>
  <c r="M64" i="3"/>
  <c r="Z63" i="3"/>
  <c r="J76" i="3"/>
  <c r="H88" i="3"/>
  <c r="AC82" i="3"/>
  <c r="W87" i="3"/>
  <c r="AJ96" i="3"/>
  <c r="Y75" i="3"/>
  <c r="X57" i="3"/>
  <c r="AO49" i="3"/>
  <c r="H70" i="3"/>
  <c r="Z87" i="3"/>
  <c r="AN62" i="3"/>
  <c r="AO77" i="3"/>
  <c r="I76" i="3"/>
  <c r="AC69" i="3"/>
  <c r="N93" i="3"/>
  <c r="AA57" i="3"/>
  <c r="AK67" i="3"/>
  <c r="N73" i="3"/>
  <c r="AM87" i="3"/>
  <c r="H85" i="3"/>
  <c r="X49" i="3"/>
  <c r="O57" i="3"/>
  <c r="P79" i="3"/>
  <c r="AE96" i="3"/>
  <c r="P93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K92" i="3"/>
  <c r="K85" i="3"/>
  <c r="AJ66" i="3"/>
  <c r="I54" i="3"/>
  <c r="AI49" i="3"/>
  <c r="N89" i="3"/>
  <c r="L58" i="3"/>
  <c r="N70" i="3"/>
  <c r="O70" i="3"/>
  <c r="AG94" i="3"/>
  <c r="Q90" i="3"/>
  <c r="Q66" i="3"/>
  <c r="Q64" i="3"/>
  <c r="M94" i="3"/>
  <c r="O90" i="3"/>
  <c r="W96" i="3"/>
  <c r="AN86" i="3"/>
  <c r="AQ62" i="3"/>
  <c r="Z75" i="3"/>
  <c r="V97" i="3"/>
  <c r="AJ65" i="3"/>
  <c r="AO69" i="3"/>
  <c r="AL77" i="3"/>
  <c r="V63" i="3"/>
  <c r="I92" i="3"/>
  <c r="T84" i="3"/>
  <c r="H71" i="3"/>
  <c r="AL62" i="3"/>
  <c r="N79" i="3"/>
  <c r="N67" i="3"/>
  <c r="L94" i="3"/>
  <c r="O83" i="3"/>
  <c r="P62" i="3"/>
  <c r="Q55" i="3"/>
  <c r="H73" i="3"/>
  <c r="AE66" i="3"/>
  <c r="M71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T82" i="3"/>
  <c r="I61" i="3"/>
  <c r="H57" i="3"/>
  <c r="AN55" i="3"/>
  <c r="AE71" i="3"/>
  <c r="Q83" i="3"/>
  <c r="N63" i="3"/>
  <c r="U55" i="3"/>
  <c r="AH47" i="3"/>
  <c r="AJ68" i="3"/>
  <c r="K76" i="3"/>
  <c r="Z71" i="3"/>
  <c r="H56" i="3"/>
  <c r="J63" i="3"/>
  <c r="R57" i="3"/>
  <c r="U70" i="3"/>
  <c r="R81" i="3"/>
  <c r="AH93" i="3"/>
  <c r="AA84" i="3"/>
  <c r="AO57" i="3"/>
  <c r="AK88" i="3"/>
  <c r="M81" i="3"/>
  <c r="Z91" i="3"/>
  <c r="Q95" i="3"/>
  <c r="AC80" i="3"/>
  <c r="K70" i="3"/>
  <c r="AE87" i="3"/>
  <c r="AL48" i="3"/>
  <c r="W63" i="3"/>
  <c r="X83" i="3"/>
  <c r="Y67" i="3"/>
  <c r="AO68" i="3"/>
  <c r="X65" i="3"/>
  <c r="AE56" i="3"/>
  <c r="Y91" i="3"/>
  <c r="AN88" i="3"/>
  <c r="AE83" i="3"/>
  <c r="V67" i="3"/>
  <c r="K94" i="3"/>
  <c r="AH87" i="3"/>
  <c r="AQ60" i="3"/>
  <c r="Y60" i="3"/>
  <c r="T73" i="3"/>
  <c r="AM63" i="3"/>
  <c r="Q93" i="3"/>
  <c r="AG83" i="3"/>
  <c r="Y90" i="3"/>
  <c r="K49" i="3"/>
  <c r="AH59" i="3"/>
  <c r="U78" i="3"/>
  <c r="O60" i="3"/>
  <c r="M87" i="3"/>
  <c r="N83" i="3"/>
  <c r="AC65" i="3"/>
  <c r="R47" i="3"/>
  <c r="T58" i="3"/>
  <c r="AQ80" i="3"/>
  <c r="H86" i="3"/>
  <c r="AQ58" i="3"/>
  <c r="K59" i="3"/>
  <c r="AL71" i="3"/>
  <c r="K54" i="3"/>
  <c r="V49" i="3"/>
  <c r="AM93" i="3"/>
  <c r="O97" i="3"/>
  <c r="AI82" i="3"/>
  <c r="AM81" i="3"/>
  <c r="P88" i="3"/>
  <c r="AA83" i="3"/>
  <c r="L56" i="3"/>
  <c r="J79" i="3"/>
  <c r="J47" i="3"/>
  <c r="AN65" i="3"/>
  <c r="AA90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R85" i="3"/>
  <c r="AJ62" i="3"/>
  <c r="X64" i="3"/>
  <c r="AN56" i="3"/>
  <c r="AJ90" i="3"/>
  <c r="N55" i="3"/>
  <c r="K95" i="3"/>
  <c r="AA67" i="3"/>
  <c r="AC62" i="3"/>
  <c r="AQ68" i="3"/>
  <c r="AJ92" i="3"/>
  <c r="AE60" i="3"/>
  <c r="AK73" i="3"/>
  <c r="X75" i="3"/>
  <c r="Q49" i="3"/>
  <c r="AH97" i="3"/>
  <c r="AO85" i="3"/>
  <c r="W94" i="3"/>
  <c r="S84" i="3"/>
  <c r="I86" i="3"/>
  <c r="AA92" i="3"/>
  <c r="Z85" i="3"/>
  <c r="AL90" i="3"/>
  <c r="P58" i="3"/>
  <c r="AN78" i="3"/>
  <c r="AK85" i="3"/>
  <c r="AO96" i="3"/>
  <c r="I47" i="3"/>
  <c r="AO79" i="3"/>
  <c r="AQ47" i="3"/>
  <c r="AN92" i="3"/>
  <c r="W65" i="3"/>
  <c r="AG92" i="3"/>
  <c r="K97" i="3"/>
  <c r="Y63" i="3"/>
  <c r="AQ84" i="3"/>
  <c r="P82" i="3"/>
  <c r="J49" i="3"/>
  <c r="AI97" i="3"/>
  <c r="M60" i="3"/>
  <c r="H91" i="3"/>
  <c r="AJ70" i="3"/>
  <c r="P96" i="3"/>
  <c r="AE81" i="3"/>
  <c r="M65" i="3"/>
  <c r="Z90" i="3"/>
  <c r="AC91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N97" i="3"/>
  <c r="AC89" i="3"/>
  <c r="U89" i="3"/>
  <c r="K57" i="3"/>
  <c r="W95" i="3"/>
  <c r="V94" i="3"/>
  <c r="I83" i="3"/>
  <c r="AE76" i="3"/>
  <c r="AC49" i="3"/>
  <c r="Y77" i="3"/>
  <c r="Y68" i="3"/>
  <c r="N80" i="3"/>
  <c r="AL97" i="3"/>
  <c r="T83" i="3"/>
  <c r="U49" i="3"/>
  <c r="AC66" i="3"/>
  <c r="AQ93" i="3"/>
  <c r="L80" i="3"/>
  <c r="P86" i="3"/>
  <c r="AM86" i="3"/>
  <c r="V55" i="3"/>
  <c r="I59" i="3"/>
  <c r="AL56" i="3"/>
  <c r="R95" i="3"/>
  <c r="V81" i="3"/>
  <c r="W85" i="3"/>
  <c r="S88" i="3"/>
  <c r="S80" i="3"/>
  <c r="P94" i="3"/>
  <c r="R89" i="3"/>
  <c r="O77" i="3"/>
  <c r="T74" i="3"/>
  <c r="AI69" i="3"/>
  <c r="P87" i="3"/>
  <c r="O74" i="3"/>
  <c r="AI77" i="3"/>
  <c r="O59" i="3"/>
  <c r="AN85" i="3"/>
  <c r="AA96" i="3"/>
  <c r="AC90" i="3"/>
  <c r="AQ54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M90" i="3"/>
  <c r="T68" i="3"/>
  <c r="W79" i="3"/>
  <c r="R97" i="3"/>
  <c r="AJ88" i="3"/>
  <c r="I55" i="3"/>
  <c r="K93" i="3"/>
  <c r="AG82" i="3"/>
  <c r="N86" i="3"/>
  <c r="I78" i="3"/>
  <c r="U69" i="3"/>
  <c r="AG95" i="3"/>
  <c r="U94" i="3"/>
  <c r="L79" i="3"/>
  <c r="H93" i="3"/>
  <c r="M88" i="3"/>
  <c r="AL79" i="3"/>
  <c r="U93" i="3"/>
  <c r="AO80" i="3"/>
  <c r="P72" i="3"/>
  <c r="S60" i="3"/>
  <c r="J84" i="3"/>
  <c r="AA81" i="3"/>
  <c r="R79" i="3"/>
  <c r="O92" i="3"/>
  <c r="AQ95" i="3"/>
  <c r="AE58" i="3"/>
  <c r="AC85" i="3"/>
  <c r="M54" i="3"/>
  <c r="N68" i="3"/>
  <c r="L69" i="3"/>
  <c r="AN90" i="3"/>
  <c r="AA76" i="3"/>
  <c r="K72" i="3"/>
  <c r="M69" i="3"/>
  <c r="AL58" i="3"/>
  <c r="R80" i="3"/>
  <c r="Y86" i="3"/>
  <c r="W64" i="3"/>
  <c r="U88" i="3"/>
  <c r="S71" i="3"/>
  <c r="AE50" i="3"/>
  <c r="I96" i="3"/>
  <c r="AA60" i="3"/>
  <c r="S58" i="3"/>
  <c r="AI57" i="3"/>
  <c r="L88" i="3"/>
  <c r="J83" i="3"/>
  <c r="AI80" i="3"/>
  <c r="P57" i="3"/>
  <c r="T86" i="3"/>
  <c r="Q59" i="3"/>
  <c r="M62" i="3"/>
  <c r="Q67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S65" i="3"/>
  <c r="X56" i="3"/>
  <c r="AH94" i="3"/>
  <c r="AM64" i="3"/>
  <c r="AA86" i="3"/>
  <c r="AH58" i="3"/>
  <c r="H55" i="3"/>
  <c r="AC79" i="3"/>
  <c r="AH79" i="3"/>
  <c r="AJ81" i="3"/>
  <c r="Z96" i="3"/>
  <c r="N61" i="3"/>
  <c r="H89" i="3"/>
  <c r="J87" i="3"/>
  <c r="T80" i="3"/>
  <c r="S54" i="3"/>
  <c r="AH68" i="3"/>
  <c r="K90" i="3"/>
  <c r="I77" i="3"/>
  <c r="Q72" i="3"/>
  <c r="N95" i="3"/>
  <c r="U54" i="3"/>
  <c r="AH73" i="3"/>
  <c r="X79" i="3"/>
  <c r="Q62" i="3"/>
  <c r="L96" i="3"/>
  <c r="L64" i="3"/>
  <c r="AI47" i="3"/>
  <c r="H72" i="3"/>
  <c r="L65" i="3"/>
  <c r="P75" i="3"/>
  <c r="O67" i="3"/>
  <c r="AI66" i="3"/>
  <c r="AO64" i="3"/>
  <c r="AE89" i="3"/>
  <c r="H84" i="3"/>
  <c r="AI88" i="3"/>
  <c r="J60" i="3"/>
  <c r="AO58" i="3"/>
  <c r="Z48" i="3"/>
  <c r="W89" i="3"/>
  <c r="N91" i="3"/>
  <c r="AM91" i="3"/>
  <c r="AN94" i="3"/>
  <c r="AI75" i="3"/>
  <c r="AE67" i="3"/>
  <c r="X63" i="3"/>
  <c r="AL96" i="3"/>
  <c r="S97" i="3"/>
  <c r="AQ59" i="3"/>
  <c r="AH77" i="3"/>
  <c r="I57" i="3"/>
  <c r="Q74" i="3"/>
  <c r="AK58" i="3"/>
  <c r="R62" i="3"/>
  <c r="U79" i="3"/>
  <c r="AC93" i="3"/>
  <c r="L90" i="3"/>
  <c r="O63" i="3"/>
  <c r="AI63" i="3"/>
  <c r="AK49" i="3"/>
  <c r="L97" i="3"/>
  <c r="M50" i="3"/>
  <c r="M86" i="3"/>
  <c r="Q69" i="3"/>
  <c r="L50" i="3"/>
  <c r="H87" i="3"/>
  <c r="X89" i="3"/>
  <c r="O8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AJ82" i="3"/>
  <c r="AN89" i="3"/>
  <c r="AH84" i="3"/>
  <c r="Z54" i="3"/>
  <c r="AI68" i="3"/>
  <c r="AI46" i="1" l="1"/>
  <c r="BM39" i="1"/>
  <c r="BB46" i="1"/>
  <c r="AR14" i="1"/>
  <c r="BC21" i="1"/>
  <c r="BE47" i="1"/>
  <c r="BS21" i="1"/>
  <c r="BO51" i="1"/>
  <c r="AN14" i="1"/>
  <c r="BO21" i="1"/>
  <c r="BC36" i="1"/>
  <c r="BT51" i="1"/>
  <c r="BJ22" i="1"/>
  <c r="BJ26" i="1" s="1"/>
  <c r="BM15" i="1"/>
  <c r="AV32" i="1"/>
  <c r="AV194" i="1" s="1"/>
  <c r="BU46" i="1"/>
  <c r="AV35" i="1"/>
  <c r="AQ21" i="1"/>
  <c r="BG9" i="1"/>
  <c r="BP47" i="1"/>
  <c r="BA36" i="1"/>
  <c r="BM45" i="1"/>
  <c r="AO25" i="1"/>
  <c r="BJ35" i="1"/>
  <c r="BW21" i="1"/>
  <c r="BF25" i="1"/>
  <c r="BW47" i="1"/>
  <c r="BU14" i="1"/>
  <c r="AX13" i="1"/>
  <c r="BJ36" i="1"/>
  <c r="BJ252" i="1" s="1"/>
  <c r="BC23" i="1"/>
  <c r="BV21" i="1"/>
  <c r="AP15" i="1"/>
  <c r="BQ32" i="1"/>
  <c r="BQ194" i="1" s="1"/>
  <c r="AX15" i="1"/>
  <c r="AW13" i="1"/>
  <c r="AU14" i="1"/>
  <c r="AQ45" i="1"/>
  <c r="AZ39" i="1"/>
  <c r="AY39" i="1"/>
  <c r="AT51" i="1"/>
  <c r="BK47" i="1"/>
  <c r="BT39" i="1"/>
  <c r="AZ8" i="1"/>
  <c r="BG24" i="1"/>
  <c r="BW9" i="1"/>
  <c r="AP46" i="1"/>
  <c r="AN47" i="1"/>
  <c r="AS51" i="1"/>
  <c r="BM9" i="1"/>
  <c r="BF22" i="1"/>
  <c r="AV24" i="1"/>
  <c r="BE23" i="1"/>
  <c r="AQ9" i="1"/>
  <c r="AZ24" i="1"/>
  <c r="BP39" i="1"/>
  <c r="AV14" i="1"/>
  <c r="BE51" i="1"/>
  <c r="BB24" i="1"/>
  <c r="BW32" i="1"/>
  <c r="BW194" i="1" s="1"/>
  <c r="BN9" i="1"/>
  <c r="BE22" i="1"/>
  <c r="AP47" i="1"/>
  <c r="BN25" i="1"/>
  <c r="BB32" i="1"/>
  <c r="BV51" i="1"/>
  <c r="BS45" i="1"/>
  <c r="BF9" i="1"/>
  <c r="BO9" i="1"/>
  <c r="BS8" i="1"/>
  <c r="BS231" i="1" s="1"/>
  <c r="BW46" i="1"/>
  <c r="BP46" i="1"/>
  <c r="BV22" i="1"/>
  <c r="BN8" i="1"/>
  <c r="BG47" i="1"/>
  <c r="AI20" i="1"/>
  <c r="BC9" i="1"/>
  <c r="AI23" i="1"/>
  <c r="AQ13" i="1"/>
  <c r="AQ8" i="1"/>
  <c r="AQ231" i="1" s="1"/>
  <c r="AN25" i="1"/>
  <c r="BD15" i="1"/>
  <c r="BM23" i="1"/>
  <c r="AT21" i="1"/>
  <c r="AX20" i="1"/>
  <c r="AI15" i="1"/>
  <c r="BG46" i="1"/>
  <c r="BW15" i="1"/>
  <c r="BD8" i="1"/>
  <c r="AW21" i="1"/>
  <c r="AM45" i="1"/>
  <c r="AR45" i="1"/>
  <c r="BP51" i="1"/>
  <c r="AR21" i="1"/>
  <c r="BA23" i="1"/>
  <c r="BK9" i="1"/>
  <c r="BH47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K23" i="1"/>
  <c r="BU9" i="1"/>
  <c r="BM21" i="1"/>
  <c r="BS36" i="1"/>
  <c r="BO15" i="1"/>
  <c r="AO32" i="1"/>
  <c r="AO194" i="1" s="1"/>
  <c r="AI35" i="1"/>
  <c r="BV132" i="1"/>
  <c r="BH152" i="1"/>
  <c r="BI152" i="1" s="1"/>
  <c r="BH163" i="1"/>
  <c r="BI163" i="1" s="1"/>
  <c r="BH155" i="1"/>
  <c r="BI155" i="1" s="1"/>
  <c r="BH142" i="1"/>
  <c r="BI142" i="1" s="1"/>
  <c r="BH131" i="1"/>
  <c r="K160" i="1"/>
  <c r="L79" i="1"/>
  <c r="D160" i="1"/>
  <c r="V146" i="1"/>
  <c r="D126" i="1"/>
  <c r="D154" i="1" s="1"/>
  <c r="S163" i="1"/>
  <c r="H159" i="1"/>
  <c r="L136" i="1"/>
  <c r="R164" i="1"/>
  <c r="D127" i="1"/>
  <c r="H119" i="1"/>
  <c r="C73" i="1"/>
  <c r="D153" i="1"/>
  <c r="D183" i="1" s="1"/>
  <c r="V77" i="1"/>
  <c r="D155" i="1"/>
  <c r="T149" i="1"/>
  <c r="L163" i="1"/>
  <c r="AY9" i="1"/>
  <c r="AQ32" i="1"/>
  <c r="AQ194" i="1" s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T32" i="1"/>
  <c r="BT194" i="1" s="1"/>
  <c r="AY47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AW46" i="1"/>
  <c r="AO20" i="1"/>
  <c r="BG14" i="1"/>
  <c r="AM51" i="1"/>
  <c r="BF24" i="1"/>
  <c r="BJ46" i="1"/>
  <c r="AR36" i="1"/>
  <c r="AU22" i="1"/>
  <c r="BC47" i="1"/>
  <c r="AZ21" i="1"/>
  <c r="BV122" i="1"/>
  <c r="BW122" i="1" s="1"/>
  <c r="BV125" i="1"/>
  <c r="BW125" i="1" s="1"/>
  <c r="BH126" i="1"/>
  <c r="BI126" i="1" s="1"/>
  <c r="BV151" i="1"/>
  <c r="BW151" i="1" s="1"/>
  <c r="N79" i="1"/>
  <c r="V73" i="1"/>
  <c r="G145" i="1"/>
  <c r="G180" i="1" s="1"/>
  <c r="O127" i="1"/>
  <c r="C77" i="1"/>
  <c r="P149" i="1"/>
  <c r="U145" i="1"/>
  <c r="U180" i="1" s="1"/>
  <c r="G77" i="1"/>
  <c r="R124" i="1"/>
  <c r="J140" i="1"/>
  <c r="P78" i="1"/>
  <c r="M77" i="1"/>
  <c r="D78" i="1"/>
  <c r="D79" i="1"/>
  <c r="K79" i="1"/>
  <c r="T126" i="1"/>
  <c r="T154" i="1" s="1"/>
  <c r="U140" i="1"/>
  <c r="Q150" i="1"/>
  <c r="BU25" i="1"/>
  <c r="BR14" i="1"/>
  <c r="BK39" i="1"/>
  <c r="AS25" i="1"/>
  <c r="AR13" i="1"/>
  <c r="AT25" i="1"/>
  <c r="AP13" i="1"/>
  <c r="AW25" i="1"/>
  <c r="BI45" i="1"/>
  <c r="AY13" i="1"/>
  <c r="BG32" i="1"/>
  <c r="BG194" i="1" s="1"/>
  <c r="BB51" i="1"/>
  <c r="AW51" i="1"/>
  <c r="AQ23" i="1"/>
  <c r="AW22" i="1"/>
  <c r="BA13" i="1"/>
  <c r="AY8" i="1"/>
  <c r="AY231" i="1" s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Z32" i="1"/>
  <c r="AZ194" i="1" s="1"/>
  <c r="BP24" i="1"/>
  <c r="AU25" i="1"/>
  <c r="AR8" i="1"/>
  <c r="AU46" i="1"/>
  <c r="BD24" i="1"/>
  <c r="BD13" i="1"/>
  <c r="AN15" i="1"/>
  <c r="BW8" i="1"/>
  <c r="BJ9" i="1"/>
  <c r="BJ10" i="1" s="1"/>
  <c r="BK36" i="1"/>
  <c r="BK252" i="1" s="1"/>
  <c r="BE8" i="1"/>
  <c r="AX46" i="1"/>
  <c r="BG36" i="1"/>
  <c r="BN20" i="1"/>
  <c r="BQ22" i="1"/>
  <c r="BU24" i="1"/>
  <c r="BI9" i="1"/>
  <c r="BI10" i="1" s="1"/>
  <c r="BK13" i="1"/>
  <c r="AS21" i="1"/>
  <c r="AX39" i="1"/>
  <c r="AI73" i="1"/>
  <c r="BV152" i="1"/>
  <c r="BW152" i="1" s="1"/>
  <c r="BV143" i="1"/>
  <c r="BW143" i="1" s="1"/>
  <c r="BV160" i="1"/>
  <c r="BH160" i="1"/>
  <c r="BH161" i="1" s="1"/>
  <c r="T150" i="1"/>
  <c r="M155" i="1"/>
  <c r="O145" i="1"/>
  <c r="O180" i="1" s="1"/>
  <c r="C136" i="1"/>
  <c r="U79" i="1"/>
  <c r="J160" i="1"/>
  <c r="G136" i="1"/>
  <c r="G137" i="1"/>
  <c r="Q140" i="1"/>
  <c r="R202" i="1" s="1"/>
  <c r="H122" i="1"/>
  <c r="L146" i="1"/>
  <c r="R117" i="1"/>
  <c r="S164" i="1"/>
  <c r="K163" i="1"/>
  <c r="R144" i="1"/>
  <c r="R179" i="1" s="1"/>
  <c r="B122" i="1"/>
  <c r="R136" i="1"/>
  <c r="AP35" i="1"/>
  <c r="BB15" i="1"/>
  <c r="BV126" i="1"/>
  <c r="BW126" i="1" s="1"/>
  <c r="BH150" i="1"/>
  <c r="BI150" i="1" s="1"/>
  <c r="S132" i="1"/>
  <c r="B79" i="1"/>
  <c r="I137" i="1"/>
  <c r="J77" i="1"/>
  <c r="R118" i="1"/>
  <c r="J117" i="1"/>
  <c r="M67" i="1"/>
  <c r="F170" i="1"/>
  <c r="G147" i="1"/>
  <c r="R67" i="1"/>
  <c r="N133" i="1"/>
  <c r="V160" i="1"/>
  <c r="C133" i="1"/>
  <c r="E153" i="1"/>
  <c r="E183" i="1" s="1"/>
  <c r="T145" i="1"/>
  <c r="T180" i="1" s="1"/>
  <c r="N122" i="1"/>
  <c r="G143" i="1"/>
  <c r="V170" i="1"/>
  <c r="BC39" i="1"/>
  <c r="BO22" i="1"/>
  <c r="AY46" i="1"/>
  <c r="AS15" i="1"/>
  <c r="BN21" i="1"/>
  <c r="BA24" i="1"/>
  <c r="BH9" i="1"/>
  <c r="BE21" i="1"/>
  <c r="BW39" i="1"/>
  <c r="AS13" i="1"/>
  <c r="BN35" i="1"/>
  <c r="AI22" i="1"/>
  <c r="BV73" i="1"/>
  <c r="BV145" i="1"/>
  <c r="BV118" i="1"/>
  <c r="BW118" i="1" s="1"/>
  <c r="BD51" i="1"/>
  <c r="BK24" i="1"/>
  <c r="BH24" i="1"/>
  <c r="BA9" i="1"/>
  <c r="BJ39" i="1"/>
  <c r="BM36" i="1"/>
  <c r="BM37" i="1" s="1"/>
  <c r="BQ25" i="1"/>
  <c r="AX14" i="1"/>
  <c r="BH20" i="1"/>
  <c r="AS20" i="1"/>
  <c r="BR46" i="1"/>
  <c r="BW45" i="1"/>
  <c r="BF20" i="1"/>
  <c r="BF26" i="1" s="1"/>
  <c r="BM20" i="1"/>
  <c r="BM26" i="1" s="1"/>
  <c r="BE24" i="1"/>
  <c r="BG39" i="1"/>
  <c r="BB47" i="1"/>
  <c r="AX45" i="1"/>
  <c r="BI14" i="1"/>
  <c r="BC35" i="1"/>
  <c r="AP8" i="1"/>
  <c r="BN47" i="1"/>
  <c r="BC51" i="1"/>
  <c r="BQ46" i="1"/>
  <c r="BP25" i="1"/>
  <c r="BU32" i="1"/>
  <c r="BS35" i="1"/>
  <c r="AM73" i="1"/>
  <c r="AN24" i="1"/>
  <c r="AI8" i="1"/>
  <c r="BP14" i="1"/>
  <c r="BK32" i="1"/>
  <c r="AT32" i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AP252" i="1" s="1"/>
  <c r="BG21" i="1"/>
  <c r="BQ21" i="1"/>
  <c r="BE45" i="1"/>
  <c r="AZ45" i="1"/>
  <c r="BN24" i="1"/>
  <c r="BS15" i="1"/>
  <c r="BD45" i="1"/>
  <c r="AW20" i="1"/>
  <c r="AU32" i="1"/>
  <c r="AU194" i="1" s="1"/>
  <c r="AS45" i="1"/>
  <c r="AY20" i="1"/>
  <c r="BH151" i="1"/>
  <c r="BI151" i="1" s="1"/>
  <c r="BH73" i="1"/>
  <c r="BH124" i="1"/>
  <c r="BI124" i="1" s="1"/>
  <c r="BH74" i="1"/>
  <c r="BV127" i="1"/>
  <c r="BW127" i="1" s="1"/>
  <c r="BH118" i="1"/>
  <c r="B132" i="1"/>
  <c r="W170" i="1"/>
  <c r="F150" i="1"/>
  <c r="J143" i="1"/>
  <c r="F118" i="1"/>
  <c r="Q78" i="1"/>
  <c r="B67" i="1"/>
  <c r="C119" i="1"/>
  <c r="W127" i="1"/>
  <c r="Q144" i="1"/>
  <c r="Q179" i="1" s="1"/>
  <c r="B131" i="1"/>
  <c r="D150" i="1"/>
  <c r="K122" i="1"/>
  <c r="Q79" i="1"/>
  <c r="BS14" i="1"/>
  <c r="BP20" i="1"/>
  <c r="BM32" i="1"/>
  <c r="AQ36" i="1"/>
  <c r="AY23" i="1"/>
  <c r="BP22" i="1"/>
  <c r="BQ47" i="1"/>
  <c r="AP32" i="1"/>
  <c r="AP194" i="1" s="1"/>
  <c r="BK46" i="1"/>
  <c r="BE46" i="1"/>
  <c r="AI9" i="1"/>
  <c r="BR39" i="1"/>
  <c r="AN35" i="1"/>
  <c r="AP9" i="1"/>
  <c r="BF35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V36" i="1"/>
  <c r="AS39" i="1"/>
  <c r="BD14" i="1"/>
  <c r="BM51" i="1"/>
  <c r="BV14" i="1"/>
  <c r="AI32" i="1"/>
  <c r="AI194" i="1" s="1"/>
  <c r="BH154" i="1"/>
  <c r="BI154" i="1" s="1"/>
  <c r="BV124" i="1"/>
  <c r="BW124" i="1" s="1"/>
  <c r="B126" i="1"/>
  <c r="B154" i="1" s="1"/>
  <c r="B127" i="1"/>
  <c r="U122" i="1"/>
  <c r="P143" i="1"/>
  <c r="B150" i="1"/>
  <c r="L133" i="1"/>
  <c r="Q122" i="1"/>
  <c r="J170" i="1"/>
  <c r="V144" i="1"/>
  <c r="V179" i="1" s="1"/>
  <c r="B159" i="1"/>
  <c r="R159" i="1"/>
  <c r="E119" i="1"/>
  <c r="S126" i="1"/>
  <c r="S154" i="1" s="1"/>
  <c r="U149" i="1"/>
  <c r="W171" i="1"/>
  <c r="G126" i="1"/>
  <c r="G154" i="1" s="1"/>
  <c r="V142" i="1"/>
  <c r="AZ22" i="1"/>
  <c r="AV21" i="1"/>
  <c r="BW51" i="1"/>
  <c r="BD39" i="1"/>
  <c r="BU35" i="1"/>
  <c r="AZ23" i="1"/>
  <c r="BR24" i="1"/>
  <c r="AX32" i="1"/>
  <c r="AX194" i="1" s="1"/>
  <c r="AU8" i="1"/>
  <c r="BI36" i="1"/>
  <c r="AI45" i="1"/>
  <c r="BV32" i="1"/>
  <c r="BV194" i="1" s="1"/>
  <c r="AX21" i="1"/>
  <c r="AI21" i="1"/>
  <c r="BM24" i="1"/>
  <c r="BT14" i="1"/>
  <c r="BI24" i="1"/>
  <c r="AP23" i="1"/>
  <c r="BS51" i="1"/>
  <c r="AW36" i="1"/>
  <c r="BF21" i="1"/>
  <c r="AU45" i="1"/>
  <c r="BS24" i="1"/>
  <c r="BF23" i="1"/>
  <c r="AT20" i="1"/>
  <c r="BG25" i="1"/>
  <c r="BT22" i="1"/>
  <c r="BR47" i="1"/>
  <c r="AR51" i="1"/>
  <c r="AU47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AT23" i="1"/>
  <c r="BJ32" i="1"/>
  <c r="BJ253" i="1" s="1"/>
  <c r="AV13" i="1"/>
  <c r="BN22" i="1"/>
  <c r="BJ74" i="1"/>
  <c r="AW45" i="1"/>
  <c r="BS20" i="1"/>
  <c r="AN21" i="1"/>
  <c r="AZ35" i="1"/>
  <c r="BH117" i="1"/>
  <c r="BI117" i="1" s="1"/>
  <c r="BV155" i="1"/>
  <c r="BW155" i="1" s="1"/>
  <c r="BH135" i="1"/>
  <c r="BI135" i="1" s="1"/>
  <c r="U171" i="1"/>
  <c r="U164" i="1"/>
  <c r="O122" i="1"/>
  <c r="H146" i="1"/>
  <c r="W73" i="1"/>
  <c r="C74" i="1"/>
  <c r="F133" i="1"/>
  <c r="C127" i="1"/>
  <c r="D74" i="1"/>
  <c r="W126" i="1"/>
  <c r="W154" i="1" s="1"/>
  <c r="M146" i="1"/>
  <c r="C63" i="1"/>
  <c r="P73" i="1"/>
  <c r="P133" i="1"/>
  <c r="K144" i="1"/>
  <c r="K179" i="1" s="1"/>
  <c r="U153" i="1"/>
  <c r="U183" i="1" s="1"/>
  <c r="P125" i="1"/>
  <c r="S170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BO20" i="1"/>
  <c r="BP36" i="1"/>
  <c r="AO35" i="1"/>
  <c r="BV13" i="1"/>
  <c r="AT47" i="1"/>
  <c r="BB20" i="1"/>
  <c r="AN9" i="1"/>
  <c r="BH149" i="1"/>
  <c r="BI149" i="1" s="1"/>
  <c r="BV159" i="1"/>
  <c r="BH119" i="1"/>
  <c r="D118" i="1"/>
  <c r="W136" i="1"/>
  <c r="W153" i="1"/>
  <c r="L137" i="1"/>
  <c r="E122" i="1"/>
  <c r="G155" i="1"/>
  <c r="Q119" i="1"/>
  <c r="R74" i="1"/>
  <c r="U172" i="1"/>
  <c r="T73" i="1"/>
  <c r="S117" i="1"/>
  <c r="V137" i="1"/>
  <c r="F151" i="1"/>
  <c r="C153" i="1"/>
  <c r="C183" i="1" s="1"/>
  <c r="P172" i="1"/>
  <c r="G170" i="1"/>
  <c r="J124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B231" i="1" s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AQ39" i="1"/>
  <c r="AR15" i="1"/>
  <c r="AT24" i="1"/>
  <c r="AX36" i="1"/>
  <c r="AX252" i="1" s="1"/>
  <c r="AX25" i="1"/>
  <c r="BO8" i="1"/>
  <c r="BH137" i="1"/>
  <c r="BI137" i="1" s="1"/>
  <c r="BH132" i="1"/>
  <c r="BH125" i="1"/>
  <c r="BI125" i="1" s="1"/>
  <c r="BV142" i="1"/>
  <c r="BW142" i="1" s="1"/>
  <c r="BH140" i="1"/>
  <c r="BI140" i="1" s="1"/>
  <c r="BJ202" i="1" s="1"/>
  <c r="BV117" i="1"/>
  <c r="BW117" i="1" s="1"/>
  <c r="M124" i="1"/>
  <c r="T133" i="1"/>
  <c r="T79" i="1"/>
  <c r="M132" i="1"/>
  <c r="F160" i="1"/>
  <c r="O125" i="1"/>
  <c r="Q136" i="1"/>
  <c r="D143" i="1"/>
  <c r="V135" i="1"/>
  <c r="V131" i="1" s="1"/>
  <c r="L150" i="1"/>
  <c r="E127" i="1"/>
  <c r="W125" i="1"/>
  <c r="M74" i="1"/>
  <c r="B136" i="1"/>
  <c r="M171" i="1"/>
  <c r="O119" i="1"/>
  <c r="K155" i="1"/>
  <c r="K67" i="1"/>
  <c r="BN45" i="1"/>
  <c r="AP39" i="1"/>
  <c r="AY35" i="1"/>
  <c r="BI23" i="1"/>
  <c r="BU39" i="1"/>
  <c r="AP22" i="1"/>
  <c r="AO46" i="1"/>
  <c r="BS9" i="1"/>
  <c r="BS10" i="1" s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R39" i="1"/>
  <c r="AT45" i="1"/>
  <c r="BF45" i="1"/>
  <c r="AV45" i="1"/>
  <c r="BF8" i="1"/>
  <c r="AP20" i="1"/>
  <c r="AP26" i="1" s="1"/>
  <c r="BP21" i="1"/>
  <c r="BH164" i="1"/>
  <c r="BI164" i="1" s="1"/>
  <c r="BV153" i="1"/>
  <c r="BV137" i="1"/>
  <c r="BW137" i="1" s="1"/>
  <c r="BV119" i="1"/>
  <c r="BV133" i="1"/>
  <c r="M145" i="1"/>
  <c r="M180" i="1" s="1"/>
  <c r="L118" i="1"/>
  <c r="R153" i="1"/>
  <c r="R183" i="1" s="1"/>
  <c r="P150" i="1"/>
  <c r="I171" i="1"/>
  <c r="J164" i="1"/>
  <c r="V133" i="1"/>
  <c r="S172" i="1"/>
  <c r="J155" i="1"/>
  <c r="G124" i="1"/>
  <c r="D149" i="1"/>
  <c r="S77" i="1"/>
  <c r="R122" i="1"/>
  <c r="H132" i="1"/>
  <c r="Q159" i="1"/>
  <c r="I67" i="1"/>
  <c r="U150" i="1"/>
  <c r="BK20" i="1"/>
  <c r="BK26" i="1" s="1"/>
  <c r="BQ8" i="1"/>
  <c r="BA39" i="1"/>
  <c r="BR25" i="1"/>
  <c r="BT13" i="1"/>
  <c r="AO9" i="1"/>
  <c r="BA46" i="1"/>
  <c r="AU13" i="1"/>
  <c r="BG23" i="1"/>
  <c r="AW32" i="1"/>
  <c r="AW194" i="1" s="1"/>
  <c r="AR46" i="1"/>
  <c r="BB9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D21" i="1"/>
  <c r="AW14" i="1"/>
  <c r="AW24" i="1"/>
  <c r="BW24" i="1"/>
  <c r="BN36" i="1"/>
  <c r="BF39" i="1"/>
  <c r="AZ14" i="1"/>
  <c r="BC46" i="1"/>
  <c r="BI35" i="1"/>
  <c r="AU15" i="1"/>
  <c r="BG22" i="1"/>
  <c r="AX9" i="1"/>
  <c r="BM13" i="1"/>
  <c r="AU20" i="1"/>
  <c r="BT36" i="1"/>
  <c r="AP51" i="1"/>
  <c r="BE15" i="1"/>
  <c r="BS22" i="1"/>
  <c r="BK45" i="1"/>
  <c r="BD46" i="1"/>
  <c r="BA15" i="1"/>
  <c r="BW25" i="1"/>
  <c r="BC25" i="1"/>
  <c r="AU21" i="1"/>
  <c r="AK73" i="1"/>
  <c r="BR9" i="1"/>
  <c r="AS46" i="1"/>
  <c r="BH146" i="1"/>
  <c r="BI146" i="1" s="1"/>
  <c r="BH133" i="1"/>
  <c r="BV164" i="1"/>
  <c r="BW164" i="1" s="1"/>
  <c r="BV154" i="1"/>
  <c r="BW154" i="1" s="1"/>
  <c r="BV146" i="1"/>
  <c r="BW146" i="1" s="1"/>
  <c r="E172" i="1"/>
  <c r="R133" i="1"/>
  <c r="R171" i="1"/>
  <c r="K137" i="1"/>
  <c r="D125" i="1"/>
  <c r="F135" i="1"/>
  <c r="F131" i="1" s="1"/>
  <c r="H172" i="1"/>
  <c r="W135" i="1"/>
  <c r="W131" i="1" s="1"/>
  <c r="S151" i="1"/>
  <c r="B147" i="1"/>
  <c r="O163" i="1"/>
  <c r="C143" i="1"/>
  <c r="M159" i="1"/>
  <c r="I170" i="1"/>
  <c r="D64" i="1"/>
  <c r="K143" i="1"/>
  <c r="Q124" i="1"/>
  <c r="J150" i="1"/>
  <c r="Q133" i="1"/>
  <c r="O124" i="1"/>
  <c r="BB35" i="1"/>
  <c r="AQ20" i="1"/>
  <c r="BU47" i="1"/>
  <c r="BQ24" i="1"/>
  <c r="BR15" i="1"/>
  <c r="BU8" i="1"/>
  <c r="BJ73" i="1"/>
  <c r="BD9" i="1"/>
  <c r="AY32" i="1"/>
  <c r="AY194" i="1" s="1"/>
  <c r="BD25" i="1"/>
  <c r="AN39" i="1"/>
  <c r="BH21" i="1"/>
  <c r="BA51" i="1"/>
  <c r="AY36" i="1"/>
  <c r="BO39" i="1"/>
  <c r="BP13" i="1"/>
  <c r="BS32" i="1"/>
  <c r="BS194" i="1" s="1"/>
  <c r="AS32" i="1"/>
  <c r="AO14" i="1"/>
  <c r="AR24" i="1"/>
  <c r="BN32" i="1"/>
  <c r="BN33" i="1" s="1"/>
  <c r="AS14" i="1"/>
  <c r="BU20" i="1"/>
  <c r="AO8" i="1"/>
  <c r="AN13" i="1"/>
  <c r="BO32" i="1"/>
  <c r="BO194" i="1" s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C22" i="1"/>
  <c r="BK22" i="1"/>
  <c r="AN23" i="1"/>
  <c r="BQ14" i="1"/>
  <c r="BF13" i="1"/>
  <c r="AZ36" i="1"/>
  <c r="BV36" i="1"/>
  <c r="BH147" i="1"/>
  <c r="BI147" i="1" s="1"/>
  <c r="BV135" i="1"/>
  <c r="BW135" i="1" s="1"/>
  <c r="BH153" i="1"/>
  <c r="W122" i="1"/>
  <c r="C118" i="1"/>
  <c r="H143" i="1"/>
  <c r="B171" i="1"/>
  <c r="N149" i="1"/>
  <c r="B146" i="1"/>
  <c r="F144" i="1"/>
  <c r="F179" i="1" s="1"/>
  <c r="D73" i="1"/>
  <c r="W147" i="1"/>
  <c r="O155" i="1"/>
  <c r="I150" i="1"/>
  <c r="R127" i="1"/>
  <c r="P147" i="1"/>
  <c r="I135" i="1"/>
  <c r="I131" i="1" s="1"/>
  <c r="W78" i="1"/>
  <c r="N147" i="1"/>
  <c r="F149" i="1"/>
  <c r="P146" i="1"/>
  <c r="F73" i="1"/>
  <c r="C163" i="1"/>
  <c r="M125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F202" i="1" s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BH144" i="1"/>
  <c r="T74" i="1"/>
  <c r="L124" i="1"/>
  <c r="S67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L160" i="1"/>
  <c r="L161" i="1" s="1"/>
  <c r="J126" i="1"/>
  <c r="J154" i="1" s="1"/>
  <c r="B118" i="1"/>
  <c r="D146" i="1"/>
  <c r="L122" i="1"/>
  <c r="U147" i="1"/>
  <c r="U143" i="1"/>
  <c r="C67" i="1"/>
  <c r="K149" i="1"/>
  <c r="K156" i="1" s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J156" i="1" s="1"/>
  <c r="H160" i="1"/>
  <c r="M133" i="1"/>
  <c r="E149" i="1"/>
  <c r="C160" i="1"/>
  <c r="C147" i="1"/>
  <c r="K135" i="1"/>
  <c r="K131" i="1" s="1"/>
  <c r="N145" i="1"/>
  <c r="N180" i="1" s="1"/>
  <c r="BV163" i="1"/>
  <c r="BW163" i="1" s="1"/>
  <c r="BV131" i="1"/>
  <c r="U146" i="1"/>
  <c r="F164" i="1"/>
  <c r="N124" i="1"/>
  <c r="N128" i="1" s="1"/>
  <c r="D145" i="1"/>
  <c r="D180" i="1" s="1"/>
  <c r="J132" i="1"/>
  <c r="J134" i="1" s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B65" i="1" s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E202" i="1" s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S161" i="1" s="1"/>
  <c r="T209" i="1" s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77" i="1"/>
  <c r="R140" i="1"/>
  <c r="S202" i="1" s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I25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G148" i="1" s="1"/>
  <c r="G182" i="1" s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K161" i="1" s="1"/>
  <c r="I78" i="1"/>
  <c r="T118" i="1"/>
  <c r="T146" i="1"/>
  <c r="J78" i="1"/>
  <c r="O170" i="1"/>
  <c r="P164" i="1"/>
  <c r="J159" i="1"/>
  <c r="N127" i="1"/>
  <c r="L77" i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U160" i="1"/>
  <c r="O73" i="1"/>
  <c r="D124" i="1"/>
  <c r="S142" i="1"/>
  <c r="E164" i="1"/>
  <c r="D163" i="1"/>
  <c r="K136" i="1"/>
  <c r="B143" i="1"/>
  <c r="W155" i="1"/>
  <c r="F74" i="1"/>
  <c r="C125" i="1"/>
  <c r="C128" i="1" s="1"/>
  <c r="C37" i="1" s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K128" i="1" s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Q120" i="1" s="1"/>
  <c r="E143" i="1"/>
  <c r="R126" i="1"/>
  <c r="R154" i="1" s="1"/>
  <c r="F159" i="1"/>
  <c r="V149" i="1"/>
  <c r="P122" i="1"/>
  <c r="M126" i="1"/>
  <c r="M154" i="1" s="1"/>
  <c r="U155" i="1"/>
  <c r="BD23" i="1"/>
  <c r="BF36" i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L156" i="1" s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Z231" i="1"/>
  <c r="BB194" i="1"/>
  <c r="BN231" i="1"/>
  <c r="BD231" i="1"/>
  <c r="AI203" i="1"/>
  <c r="AI201" i="1" s="1"/>
  <c r="BV179" i="1"/>
  <c r="BW179" i="1" s="1"/>
  <c r="BL98" i="1"/>
  <c r="BL99" i="1" s="1"/>
  <c r="AI33" i="1"/>
  <c r="AQ10" i="1"/>
  <c r="BK231" i="1"/>
  <c r="AU231" i="1"/>
  <c r="AQ253" i="1"/>
  <c r="BN10" i="1"/>
  <c r="BI253" i="1"/>
  <c r="BI194" i="1"/>
  <c r="BG231" i="1"/>
  <c r="BT231" i="1"/>
  <c r="BT10" i="1"/>
  <c r="BA194" i="1"/>
  <c r="CQ134" i="1"/>
  <c r="DB77" i="1"/>
  <c r="CY65" i="1"/>
  <c r="CZ63" i="1"/>
  <c r="AO252" i="1" l="1"/>
  <c r="BR252" i="1"/>
  <c r="F173" i="1"/>
  <c r="BP10" i="1"/>
  <c r="BP253" i="1"/>
  <c r="BP252" i="1"/>
  <c r="G173" i="1"/>
  <c r="N202" i="1"/>
  <c r="AZ252" i="1"/>
  <c r="BD252" i="1"/>
  <c r="BC252" i="1"/>
  <c r="AO231" i="1"/>
  <c r="S134" i="1"/>
  <c r="I173" i="1"/>
  <c r="AO10" i="1"/>
  <c r="H161" i="1"/>
  <c r="I209" i="1" s="1"/>
  <c r="B134" i="1"/>
  <c r="S173" i="1"/>
  <c r="S120" i="1"/>
  <c r="BR253" i="1"/>
  <c r="BN252" i="1"/>
  <c r="AX10" i="1"/>
  <c r="BT252" i="1"/>
  <c r="BW26" i="1"/>
  <c r="D202" i="1"/>
  <c r="K134" i="1"/>
  <c r="I120" i="1"/>
  <c r="V120" i="1"/>
  <c r="R120" i="1"/>
  <c r="K173" i="1"/>
  <c r="P173" i="1"/>
  <c r="D161" i="1"/>
  <c r="E209" i="1" s="1"/>
  <c r="O134" i="1"/>
  <c r="L202" i="1"/>
  <c r="O202" i="1"/>
  <c r="W134" i="1"/>
  <c r="G161" i="1"/>
  <c r="M173" i="1"/>
  <c r="BD180" i="1"/>
  <c r="BE180" i="1" s="1"/>
  <c r="AV26" i="1"/>
  <c r="AW26" i="1"/>
  <c r="AQ252" i="1"/>
  <c r="BP26" i="1"/>
  <c r="AX26" i="1"/>
  <c r="BO26" i="1"/>
  <c r="BA26" i="1"/>
  <c r="R173" i="1"/>
  <c r="F134" i="1"/>
  <c r="Q128" i="1"/>
  <c r="AQ26" i="1"/>
  <c r="BD10" i="1"/>
  <c r="AY252" i="1"/>
  <c r="AS253" i="1"/>
  <c r="J202" i="1"/>
  <c r="J120" i="1"/>
  <c r="T128" i="1"/>
  <c r="V173" i="1"/>
  <c r="V134" i="1"/>
  <c r="C173" i="1"/>
  <c r="BH180" i="1"/>
  <c r="BI180" i="1" s="1"/>
  <c r="M202" i="1"/>
  <c r="K120" i="1"/>
  <c r="B128" i="1"/>
  <c r="F120" i="1"/>
  <c r="J128" i="1"/>
  <c r="AT180" i="1"/>
  <c r="AU180" i="1" s="1"/>
  <c r="BN183" i="1"/>
  <c r="BO183" i="1" s="1"/>
  <c r="BT180" i="1"/>
  <c r="BU180" i="1" s="1"/>
  <c r="BD183" i="1"/>
  <c r="BE183" i="1" s="1"/>
  <c r="AW10" i="1"/>
  <c r="AW231" i="1"/>
  <c r="BI128" i="1"/>
  <c r="BH134" i="1"/>
  <c r="BH138" i="1" s="1"/>
  <c r="BV161" i="1"/>
  <c r="BW209" i="1" s="1"/>
  <c r="BA252" i="1"/>
  <c r="AO26" i="1"/>
  <c r="AZ10" i="1"/>
  <c r="AT26" i="1"/>
  <c r="BK10" i="1"/>
  <c r="BO11" i="1" s="1"/>
  <c r="BJ98" i="1"/>
  <c r="BJ99" i="1" s="1"/>
  <c r="AI37" i="1"/>
  <c r="AS10" i="1"/>
  <c r="D156" i="1"/>
  <c r="D185" i="1" s="1"/>
  <c r="AY10" i="1"/>
  <c r="BG26" i="1"/>
  <c r="AR252" i="1"/>
  <c r="BW128" i="1"/>
  <c r="R128" i="1"/>
  <c r="K202" i="1"/>
  <c r="BU26" i="1"/>
  <c r="BH10" i="1"/>
  <c r="AN252" i="1"/>
  <c r="P148" i="1"/>
  <c r="W173" i="1"/>
  <c r="AU253" i="1"/>
  <c r="BI252" i="1"/>
  <c r="AW252" i="1"/>
  <c r="AT252" i="1"/>
  <c r="P128" i="1"/>
  <c r="Q249" i="1" s="1"/>
  <c r="Q251" i="1" s="1"/>
  <c r="AU26" i="1"/>
  <c r="BU252" i="1"/>
  <c r="AZ26" i="1"/>
  <c r="E128" i="1"/>
  <c r="W128" i="1"/>
  <c r="BV26" i="1"/>
  <c r="Q161" i="1"/>
  <c r="AS26" i="1"/>
  <c r="AS27" i="1" s="1"/>
  <c r="AI26" i="1"/>
  <c r="BR26" i="1"/>
  <c r="BQ10" i="1"/>
  <c r="AR10" i="1"/>
  <c r="AN26" i="1"/>
  <c r="B173" i="1"/>
  <c r="N156" i="1"/>
  <c r="N185" i="1" s="1"/>
  <c r="N184" i="1" s="1"/>
  <c r="H128" i="1"/>
  <c r="O156" i="1"/>
  <c r="C202" i="1"/>
  <c r="B148" i="1"/>
  <c r="L173" i="1"/>
  <c r="C161" i="1"/>
  <c r="H120" i="1"/>
  <c r="J148" i="1"/>
  <c r="D65" i="1"/>
  <c r="V161" i="1"/>
  <c r="F128" i="1"/>
  <c r="Q134" i="1"/>
  <c r="B107" i="1"/>
  <c r="G202" i="1"/>
  <c r="D173" i="1"/>
  <c r="C134" i="1"/>
  <c r="P134" i="1"/>
  <c r="D148" i="1"/>
  <c r="H134" i="1"/>
  <c r="O120" i="1"/>
  <c r="O175" i="1" s="1"/>
  <c r="H173" i="1"/>
  <c r="Q173" i="1"/>
  <c r="U120" i="1"/>
  <c r="J173" i="1"/>
  <c r="O148" i="1"/>
  <c r="P196" i="1" s="1"/>
  <c r="BI26" i="1"/>
  <c r="BI27" i="1" s="1"/>
  <c r="V128" i="1"/>
  <c r="P202" i="1"/>
  <c r="T120" i="1"/>
  <c r="O173" i="1"/>
  <c r="B120" i="1"/>
  <c r="U202" i="1"/>
  <c r="B156" i="1"/>
  <c r="P120" i="1"/>
  <c r="H156" i="1"/>
  <c r="H185" i="1" s="1"/>
  <c r="H184" i="1" s="1"/>
  <c r="N173" i="1"/>
  <c r="O161" i="1"/>
  <c r="E148" i="1"/>
  <c r="F161" i="1"/>
  <c r="M156" i="1"/>
  <c r="Q156" i="1"/>
  <c r="F148" i="1"/>
  <c r="E173" i="1"/>
  <c r="C249" i="1"/>
  <c r="C251" i="1" s="1"/>
  <c r="I148" i="1"/>
  <c r="AZ183" i="1"/>
  <c r="BA183" i="1" s="1"/>
  <c r="AV179" i="1"/>
  <c r="AW179" i="1" s="1"/>
  <c r="BR179" i="1"/>
  <c r="BS179" i="1" s="1"/>
  <c r="AT179" i="1"/>
  <c r="AU179" i="1" s="1"/>
  <c r="BR180" i="1"/>
  <c r="BS180" i="1" s="1"/>
  <c r="AR183" i="1"/>
  <c r="AS183" i="1" s="1"/>
  <c r="AV183" i="1"/>
  <c r="AW183" i="1" s="1"/>
  <c r="AT183" i="1"/>
  <c r="AU183" i="1" s="1"/>
  <c r="AR179" i="1"/>
  <c r="AS179" i="1" s="1"/>
  <c r="AY26" i="1"/>
  <c r="AP179" i="1"/>
  <c r="AQ179" i="1" s="1"/>
  <c r="AP183" i="1"/>
  <c r="AQ183" i="1" s="1"/>
  <c r="AX183" i="1"/>
  <c r="AY183" i="1" s="1"/>
  <c r="BD179" i="1"/>
  <c r="BE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BN26" i="1"/>
  <c r="BE26" i="1"/>
  <c r="BA10" i="1"/>
  <c r="AR26" i="1"/>
  <c r="BR231" i="1"/>
  <c r="BR10" i="1"/>
  <c r="AV231" i="1"/>
  <c r="AV253" i="1"/>
  <c r="AR231" i="1"/>
  <c r="AU98" i="1"/>
  <c r="AU99" i="1" s="1"/>
  <c r="BW252" i="1"/>
  <c r="BY98" i="1"/>
  <c r="BY99" i="1" s="1"/>
  <c r="BZ98" i="1"/>
  <c r="BZ99" i="1" s="1"/>
  <c r="BW231" i="1"/>
  <c r="BJ16" i="1"/>
  <c r="BJ27" i="1"/>
  <c r="BE231" i="1"/>
  <c r="BE10" i="1"/>
  <c r="AP231" i="1"/>
  <c r="AS98" i="1"/>
  <c r="AS99" i="1" s="1"/>
  <c r="AP10" i="1"/>
  <c r="BU253" i="1"/>
  <c r="BU194" i="1"/>
  <c r="AI179" i="1"/>
  <c r="AI180" i="1"/>
  <c r="AL98" i="1"/>
  <c r="AL99" i="1" s="1"/>
  <c r="AI10" i="1"/>
  <c r="AI231" i="1"/>
  <c r="AI183" i="1"/>
  <c r="AI185" i="1"/>
  <c r="AI184" i="1" s="1"/>
  <c r="AI182" i="1"/>
  <c r="BK194" i="1"/>
  <c r="BK253" i="1"/>
  <c r="BK203" i="1"/>
  <c r="BK201" i="1" s="1"/>
  <c r="BK33" i="1"/>
  <c r="AT194" i="1"/>
  <c r="AT253" i="1"/>
  <c r="BA231" i="1"/>
  <c r="BA253" i="1"/>
  <c r="BA98" i="1"/>
  <c r="BA99" i="1" s="1"/>
  <c r="BI118" i="1"/>
  <c r="BH120" i="1"/>
  <c r="AT10" i="1"/>
  <c r="AT231" i="1"/>
  <c r="BM98" i="1"/>
  <c r="BM99" i="1" s="1"/>
  <c r="BP98" i="1"/>
  <c r="BP99" i="1" s="1"/>
  <c r="BO253" i="1"/>
  <c r="BO231" i="1"/>
  <c r="BO252" i="1"/>
  <c r="BO10" i="1"/>
  <c r="BR98" i="1"/>
  <c r="BR99" i="1" s="1"/>
  <c r="BQ98" i="1"/>
  <c r="BQ99" i="1" s="1"/>
  <c r="BH231" i="1"/>
  <c r="BH252" i="1"/>
  <c r="BK98" i="1"/>
  <c r="BK99" i="1" s="1"/>
  <c r="BH179" i="1"/>
  <c r="BH183" i="1"/>
  <c r="BI183" i="1" s="1"/>
  <c r="AR194" i="1"/>
  <c r="AR253" i="1"/>
  <c r="AP98" i="1"/>
  <c r="AP99" i="1" s="1"/>
  <c r="AO98" i="1"/>
  <c r="AO99" i="1" s="1"/>
  <c r="AN98" i="1"/>
  <c r="AN99" i="1" s="1"/>
  <c r="AN231" i="1"/>
  <c r="AN10" i="1"/>
  <c r="BF231" i="1"/>
  <c r="BF253" i="1"/>
  <c r="BQ231" i="1"/>
  <c r="BQ252" i="1"/>
  <c r="BU231" i="1"/>
  <c r="BV98" i="1"/>
  <c r="BV99" i="1" s="1"/>
  <c r="AN194" i="1"/>
  <c r="AN253" i="1"/>
  <c r="AN33" i="1"/>
  <c r="BI143" i="1"/>
  <c r="BH148" i="1"/>
  <c r="BH182" i="1" s="1"/>
  <c r="AZ253" i="1"/>
  <c r="I202" i="1"/>
  <c r="S156" i="1"/>
  <c r="BI98" i="1"/>
  <c r="BI99" i="1" s="1"/>
  <c r="BI103" i="1" s="1"/>
  <c r="M161" i="1"/>
  <c r="P156" i="1"/>
  <c r="P185" i="1" s="1"/>
  <c r="P184" i="1" s="1"/>
  <c r="BG252" i="1"/>
  <c r="BW10" i="1"/>
  <c r="BC10" i="1"/>
  <c r="BT253" i="1"/>
  <c r="T134" i="1"/>
  <c r="U156" i="1"/>
  <c r="G134" i="1"/>
  <c r="L148" i="1"/>
  <c r="L182" i="1" s="1"/>
  <c r="BV134" i="1"/>
  <c r="T161" i="1"/>
  <c r="BQ26" i="1"/>
  <c r="C148" i="1"/>
  <c r="BB26" i="1"/>
  <c r="BH26" i="1"/>
  <c r="BD26" i="1"/>
  <c r="BB98" i="1"/>
  <c r="BB99" i="1" s="1"/>
  <c r="F156" i="1"/>
  <c r="F185" i="1" s="1"/>
  <c r="C65" i="1"/>
  <c r="R161" i="1"/>
  <c r="BM253" i="1"/>
  <c r="AV10" i="1"/>
  <c r="J161" i="1"/>
  <c r="K209" i="1" s="1"/>
  <c r="BK37" i="1"/>
  <c r="V202" i="1"/>
  <c r="BT26" i="1"/>
  <c r="BT27" i="1" s="1"/>
  <c r="T156" i="1"/>
  <c r="U197" i="1" s="1"/>
  <c r="AY98" i="1"/>
  <c r="AY99" i="1" s="1"/>
  <c r="BC26" i="1"/>
  <c r="BC27" i="1" s="1"/>
  <c r="BG10" i="1"/>
  <c r="BS26" i="1"/>
  <c r="BS27" i="1" s="1"/>
  <c r="M134" i="1"/>
  <c r="BH98" i="1"/>
  <c r="BH99" i="1" s="1"/>
  <c r="BH103" i="1" s="1"/>
  <c r="BF252" i="1"/>
  <c r="L134" i="1"/>
  <c r="BG98" i="1"/>
  <c r="BG99" i="1" s="1"/>
  <c r="BG103" i="1" s="1"/>
  <c r="E134" i="1"/>
  <c r="E33" i="1" s="1"/>
  <c r="C156" i="1"/>
  <c r="BJ194" i="1"/>
  <c r="AV98" i="1"/>
  <c r="AV99" i="1" s="1"/>
  <c r="AR98" i="1"/>
  <c r="AR99" i="1" s="1"/>
  <c r="BR194" i="1"/>
  <c r="BS252" i="1"/>
  <c r="BF180" i="1"/>
  <c r="BG180" i="1" s="1"/>
  <c r="H202" i="1"/>
  <c r="G156" i="1"/>
  <c r="B108" i="1"/>
  <c r="BV180" i="1"/>
  <c r="BW180" i="1" s="1"/>
  <c r="AX253" i="1"/>
  <c r="AU10" i="1"/>
  <c r="AW253" i="1"/>
  <c r="BF179" i="1"/>
  <c r="BG179" i="1" s="1"/>
  <c r="AM48" i="1"/>
  <c r="I156" i="1"/>
  <c r="BV252" i="1"/>
  <c r="U173" i="1"/>
  <c r="BI202" i="1"/>
  <c r="AV252" i="1"/>
  <c r="BT98" i="1"/>
  <c r="BT99" i="1" s="1"/>
  <c r="BT102" i="1" s="1"/>
  <c r="AV180" i="1"/>
  <c r="AW180" i="1" s="1"/>
  <c r="M120" i="1"/>
  <c r="I128" i="1"/>
  <c r="BS253" i="1"/>
  <c r="AU252" i="1"/>
  <c r="BH253" i="1"/>
  <c r="AW98" i="1"/>
  <c r="AW99" i="1" s="1"/>
  <c r="AW102" i="1" s="1"/>
  <c r="BQ253" i="1"/>
  <c r="AT98" i="1"/>
  <c r="AT99" i="1" s="1"/>
  <c r="BW98" i="1"/>
  <c r="BW99" i="1" s="1"/>
  <c r="BW103" i="1" s="1"/>
  <c r="BW253" i="1"/>
  <c r="BF183" i="1"/>
  <c r="BG183" i="1" s="1"/>
  <c r="V156" i="1"/>
  <c r="S148" i="1"/>
  <c r="H148" i="1"/>
  <c r="N148" i="1"/>
  <c r="D134" i="1"/>
  <c r="D33" i="1" s="1"/>
  <c r="G120" i="1"/>
  <c r="AS194" i="1"/>
  <c r="AQ98" i="1"/>
  <c r="AQ99" i="1" s="1"/>
  <c r="BF10" i="1"/>
  <c r="BU98" i="1"/>
  <c r="BU99" i="1" s="1"/>
  <c r="AW16" i="1"/>
  <c r="M148" i="1"/>
  <c r="M182" i="1" s="1"/>
  <c r="M181" i="1" s="1"/>
  <c r="R148" i="1"/>
  <c r="L128" i="1"/>
  <c r="BS98" i="1"/>
  <c r="BS99" i="1" s="1"/>
  <c r="U134" i="1"/>
  <c r="T148" i="1"/>
  <c r="N134" i="1"/>
  <c r="I134" i="1"/>
  <c r="BE253" i="1"/>
  <c r="BF98" i="1"/>
  <c r="BF99" i="1" s="1"/>
  <c r="BE252" i="1"/>
  <c r="AO253" i="1"/>
  <c r="AZ179" i="1"/>
  <c r="BA179" i="1" s="1"/>
  <c r="AZ180" i="1"/>
  <c r="BA180" i="1" s="1"/>
  <c r="BV183" i="1"/>
  <c r="BW183" i="1" s="1"/>
  <c r="BX98" i="1"/>
  <c r="BX99" i="1" s="1"/>
  <c r="BX102" i="1" s="1"/>
  <c r="BV148" i="1"/>
  <c r="BV10" i="1"/>
  <c r="BU10" i="1"/>
  <c r="R156" i="1"/>
  <c r="BW202" i="1"/>
  <c r="BV253" i="1"/>
  <c r="BV120" i="1"/>
  <c r="BV92" i="1" s="1"/>
  <c r="AR134" i="1"/>
  <c r="AR138" i="1" s="1"/>
  <c r="G181" i="1"/>
  <c r="M175" i="1"/>
  <c r="M54" i="1"/>
  <c r="T168" i="1"/>
  <c r="T109" i="1" s="1"/>
  <c r="U138" i="1"/>
  <c r="U33" i="1"/>
  <c r="J138" i="1"/>
  <c r="J33" i="1"/>
  <c r="N138" i="1"/>
  <c r="N33" i="1"/>
  <c r="N209" i="1"/>
  <c r="M248" i="1"/>
  <c r="R54" i="1"/>
  <c r="R175" i="1"/>
  <c r="BB252" i="1"/>
  <c r="BH156" i="1"/>
  <c r="BH185" i="1" s="1"/>
  <c r="S128" i="1"/>
  <c r="N161" i="1"/>
  <c r="BV156" i="1"/>
  <c r="BV185" i="1" s="1"/>
  <c r="BB10" i="1"/>
  <c r="BB16" i="1" s="1"/>
  <c r="U128" i="1"/>
  <c r="U249" i="1" s="1"/>
  <c r="U251" i="1" s="1"/>
  <c r="C120" i="1"/>
  <c r="Q202" i="1"/>
  <c r="BB183" i="1"/>
  <c r="BC183" i="1" s="1"/>
  <c r="Q148" i="1"/>
  <c r="G128" i="1"/>
  <c r="V148" i="1"/>
  <c r="BN253" i="1"/>
  <c r="M128" i="1"/>
  <c r="W202" i="1"/>
  <c r="AX231" i="1"/>
  <c r="BC253" i="1"/>
  <c r="AX98" i="1"/>
  <c r="AX99" i="1" s="1"/>
  <c r="AX102" i="1" s="1"/>
  <c r="BP194" i="1"/>
  <c r="AY253" i="1"/>
  <c r="BM231" i="1"/>
  <c r="AP253" i="1"/>
  <c r="BB179" i="1"/>
  <c r="BC179" i="1" s="1"/>
  <c r="AX179" i="1"/>
  <c r="AY179" i="1" s="1"/>
  <c r="T173" i="1"/>
  <c r="B161" i="1"/>
  <c r="BD253" i="1"/>
  <c r="BC98" i="1"/>
  <c r="BC99" i="1" s="1"/>
  <c r="BC102" i="1" s="1"/>
  <c r="B66" i="1"/>
  <c r="B68" i="1" s="1"/>
  <c r="E156" i="1"/>
  <c r="E185" i="1" s="1"/>
  <c r="U148" i="1"/>
  <c r="U182" i="1" s="1"/>
  <c r="U181" i="1" s="1"/>
  <c r="U161" i="1"/>
  <c r="V209" i="1" s="1"/>
  <c r="BM194" i="1"/>
  <c r="BO98" i="1"/>
  <c r="BO99" i="1" s="1"/>
  <c r="BO102" i="1" s="1"/>
  <c r="BM10" i="1"/>
  <c r="BH202" i="1"/>
  <c r="E120" i="1"/>
  <c r="R134" i="1"/>
  <c r="K148" i="1"/>
  <c r="K182" i="1" s="1"/>
  <c r="K181" i="1" s="1"/>
  <c r="BM252" i="1"/>
  <c r="BM33" i="1"/>
  <c r="BV128" i="1"/>
  <c r="AZ98" i="1"/>
  <c r="AZ99" i="1" s="1"/>
  <c r="AZ102" i="1" s="1"/>
  <c r="BN98" i="1"/>
  <c r="BN99" i="1" s="1"/>
  <c r="BN103" i="1" s="1"/>
  <c r="I161" i="1"/>
  <c r="J209" i="1" s="1"/>
  <c r="BE98" i="1"/>
  <c r="BE99" i="1" s="1"/>
  <c r="BN194" i="1"/>
  <c r="BD98" i="1"/>
  <c r="BD99" i="1" s="1"/>
  <c r="BM203" i="1"/>
  <c r="BM201" i="1" s="1"/>
  <c r="BB253" i="1"/>
  <c r="BB180" i="1"/>
  <c r="BC180" i="1" s="1"/>
  <c r="O128" i="1"/>
  <c r="L120" i="1"/>
  <c r="T202" i="1"/>
  <c r="N120" i="1"/>
  <c r="BG253" i="1"/>
  <c r="BH128" i="1"/>
  <c r="D120" i="1"/>
  <c r="D128" i="1"/>
  <c r="J37" i="1"/>
  <c r="R207" i="1"/>
  <c r="I175" i="1"/>
  <c r="I54" i="1"/>
  <c r="S33" i="1"/>
  <c r="S138" i="1"/>
  <c r="B33" i="1"/>
  <c r="B138" i="1"/>
  <c r="F54" i="1"/>
  <c r="F175" i="1"/>
  <c r="J129" i="1"/>
  <c r="J55" i="1" s="1"/>
  <c r="Q168" i="1"/>
  <c r="Q109" i="1" s="1"/>
  <c r="K207" i="1"/>
  <c r="BD161" i="1"/>
  <c r="BE209" i="1" s="1"/>
  <c r="J175" i="1"/>
  <c r="J54" i="1"/>
  <c r="J207" i="1"/>
  <c r="L185" i="1"/>
  <c r="L184" i="1" s="1"/>
  <c r="L209" i="1"/>
  <c r="K248" i="1"/>
  <c r="T37" i="1"/>
  <c r="B37" i="1"/>
  <c r="C206" i="1"/>
  <c r="K249" i="1"/>
  <c r="K251" i="1" s="1"/>
  <c r="K206" i="1"/>
  <c r="K129" i="1"/>
  <c r="K55" i="1" s="1"/>
  <c r="K37" i="1"/>
  <c r="K168" i="1"/>
  <c r="K109" i="1" s="1"/>
  <c r="K54" i="1"/>
  <c r="K175" i="1"/>
  <c r="S207" i="1"/>
  <c r="S54" i="1"/>
  <c r="Q54" i="1"/>
  <c r="Q175" i="1"/>
  <c r="K33" i="1"/>
  <c r="K138" i="1"/>
  <c r="W138" i="1"/>
  <c r="X203" i="1" s="1"/>
  <c r="X201" i="1" s="1"/>
  <c r="W33" i="1"/>
  <c r="K197" i="1"/>
  <c r="J185" i="1"/>
  <c r="AN161" i="1"/>
  <c r="AO209" i="1" s="1"/>
  <c r="S248" i="1"/>
  <c r="S175" i="1"/>
  <c r="R249" i="1"/>
  <c r="R251" i="1" s="1"/>
  <c r="Q206" i="1"/>
  <c r="AV161" i="1"/>
  <c r="AW209" i="1" s="1"/>
  <c r="BN161" i="1"/>
  <c r="BO209" i="1" s="1"/>
  <c r="BR134" i="1"/>
  <c r="AX161" i="1"/>
  <c r="AY209" i="1" s="1"/>
  <c r="BS128" i="1"/>
  <c r="P206" i="1"/>
  <c r="P168" i="1"/>
  <c r="P109" i="1" s="1"/>
  <c r="P37" i="1"/>
  <c r="H209" i="1"/>
  <c r="N37" i="1"/>
  <c r="B182" i="1"/>
  <c r="C196" i="1"/>
  <c r="O138" i="1"/>
  <c r="O33" i="1"/>
  <c r="M209" i="1"/>
  <c r="V54" i="1"/>
  <c r="V129" i="1"/>
  <c r="V55" i="1" s="1"/>
  <c r="V175" i="1"/>
  <c r="Q129" i="1"/>
  <c r="Q55" i="1" s="1"/>
  <c r="R206" i="1"/>
  <c r="Q37" i="1"/>
  <c r="K185" i="1"/>
  <c r="L197" i="1"/>
  <c r="O185" i="1"/>
  <c r="O197" i="1"/>
  <c r="U185" i="1"/>
  <c r="U157" i="1"/>
  <c r="M37" i="1"/>
  <c r="M168" i="1"/>
  <c r="M109" i="1" s="1"/>
  <c r="V138" i="1"/>
  <c r="V33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P148" i="1"/>
  <c r="BP182" i="1" s="1"/>
  <c r="BP181" i="1" s="1"/>
  <c r="AZ128" i="1"/>
  <c r="BQ202" i="1"/>
  <c r="BB156" i="1"/>
  <c r="BB185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P11" i="1"/>
  <c r="BM11" i="1"/>
  <c r="BQ12" i="1"/>
  <c r="BC202" i="1"/>
  <c r="BD202" i="1"/>
  <c r="BG225" i="1"/>
  <c r="BD16" i="1"/>
  <c r="BI16" i="1"/>
  <c r="BL244" i="1"/>
  <c r="BL225" i="1"/>
  <c r="BP16" i="1"/>
  <c r="BS16" i="1"/>
  <c r="BT12" i="1"/>
  <c r="BG202" i="1"/>
  <c r="AY12" i="1"/>
  <c r="BP27" i="1"/>
  <c r="BP11" i="1"/>
  <c r="BJ12" i="1"/>
  <c r="AX27" i="1"/>
  <c r="BL104" i="1"/>
  <c r="BL102" i="1"/>
  <c r="BL103" i="1"/>
  <c r="BN11" i="1"/>
  <c r="BN16" i="1"/>
  <c r="BR11" i="1"/>
  <c r="AR102" i="1"/>
  <c r="AR103" i="1"/>
  <c r="AR104" i="1"/>
  <c r="AP188" i="1"/>
  <c r="BX11" i="1"/>
  <c r="BT16" i="1"/>
  <c r="AX12" i="1"/>
  <c r="AX16" i="1"/>
  <c r="BB11" i="1"/>
  <c r="AZ225" i="1"/>
  <c r="BI134" i="1"/>
  <c r="AV102" i="1"/>
  <c r="AV104" i="1"/>
  <c r="AV103" i="1"/>
  <c r="P58" i="1"/>
  <c r="AQ16" i="1"/>
  <c r="AQ11" i="1"/>
  <c r="AR12" i="1"/>
  <c r="BH104" i="1"/>
  <c r="BH102" i="1"/>
  <c r="AX11" i="1"/>
  <c r="BC225" i="1"/>
  <c r="AO11" i="1"/>
  <c r="AS11" i="1"/>
  <c r="AO16" i="1"/>
  <c r="BI209" i="1"/>
  <c r="AO27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B225" i="1"/>
  <c r="BO188" i="1"/>
  <c r="BI102" i="1"/>
  <c r="BA104" i="1"/>
  <c r="BA102" i="1"/>
  <c r="BA103" i="1"/>
  <c r="AP102" i="1"/>
  <c r="AP104" i="1"/>
  <c r="AP103" i="1"/>
  <c r="AW104" i="1"/>
  <c r="AW103" i="1"/>
  <c r="AO102" i="1"/>
  <c r="AO104" i="1"/>
  <c r="AO103" i="1"/>
  <c r="BD12" i="1"/>
  <c r="BG11" i="1"/>
  <c r="AN188" i="1"/>
  <c r="AV11" i="1"/>
  <c r="AQ27" i="1"/>
  <c r="CQ138" i="1"/>
  <c r="CR32" i="1"/>
  <c r="AE77" i="1"/>
  <c r="AB125" i="1"/>
  <c r="AB128" i="1" s="1"/>
  <c r="AB249" i="1" s="1"/>
  <c r="AD142" i="1"/>
  <c r="CZ65" i="1"/>
  <c r="DA63" i="1"/>
  <c r="AU27" i="1" l="1"/>
  <c r="AI27" i="1"/>
  <c r="BR27" i="1"/>
  <c r="T33" i="1"/>
  <c r="T138" i="1"/>
  <c r="E175" i="1"/>
  <c r="J249" i="1"/>
  <c r="J251" i="1" s="1"/>
  <c r="AY188" i="1"/>
  <c r="BV27" i="1"/>
  <c r="E196" i="1"/>
  <c r="J168" i="1"/>
  <c r="J109" i="1" s="1"/>
  <c r="U209" i="1"/>
  <c r="C107" i="1"/>
  <c r="C66" i="1"/>
  <c r="C108" i="1"/>
  <c r="S185" i="1"/>
  <c r="S184" i="1" s="1"/>
  <c r="J248" i="1"/>
  <c r="G138" i="1"/>
  <c r="G33" i="1"/>
  <c r="L157" i="1"/>
  <c r="C182" i="1"/>
  <c r="C181" i="1" s="1"/>
  <c r="Q182" i="1"/>
  <c r="Q181" i="1" s="1"/>
  <c r="U168" i="1"/>
  <c r="U109" i="1" s="1"/>
  <c r="N249" i="1"/>
  <c r="N251" i="1" s="1"/>
  <c r="N206" i="1"/>
  <c r="AY16" i="1"/>
  <c r="AP16" i="1"/>
  <c r="BA27" i="1"/>
  <c r="AP27" i="1"/>
  <c r="AQ188" i="1"/>
  <c r="BR102" i="1"/>
  <c r="BR104" i="1"/>
  <c r="BR103" i="1"/>
  <c r="BQ16" i="1"/>
  <c r="BP103" i="1"/>
  <c r="BP104" i="1"/>
  <c r="BP102" i="1"/>
  <c r="BA11" i="1"/>
  <c r="BJ11" i="1"/>
  <c r="BF16" i="1"/>
  <c r="BF28" i="1" s="1"/>
  <c r="BE12" i="1"/>
  <c r="BD27" i="1"/>
  <c r="BV12" i="1"/>
  <c r="BP12" i="1"/>
  <c r="BO27" i="1"/>
  <c r="BO16" i="1"/>
  <c r="BW104" i="1"/>
  <c r="BW102" i="1"/>
  <c r="AT11" i="1"/>
  <c r="AW225" i="1"/>
  <c r="AU12" i="1"/>
  <c r="BV11" i="1"/>
  <c r="BS12" i="1"/>
  <c r="BU225" i="1"/>
  <c r="N58" i="1"/>
  <c r="AL244" i="1"/>
  <c r="AJ12" i="1"/>
  <c r="AM11" i="1"/>
  <c r="AL225" i="1"/>
  <c r="AI16" i="1"/>
  <c r="BX103" i="1"/>
  <c r="BX104" i="1"/>
  <c r="BV103" i="1"/>
  <c r="BV102" i="1"/>
  <c r="BV104" i="1"/>
  <c r="AT103" i="1"/>
  <c r="AT104" i="1"/>
  <c r="AT102" i="1"/>
  <c r="BT104" i="1"/>
  <c r="BT103" i="1"/>
  <c r="BC16" i="1"/>
  <c r="BC11" i="1"/>
  <c r="BK225" i="1"/>
  <c r="AY225" i="1"/>
  <c r="BE225" i="1"/>
  <c r="AY102" i="1"/>
  <c r="AY103" i="1"/>
  <c r="AY104" i="1"/>
  <c r="AX104" i="1"/>
  <c r="BC12" i="1"/>
  <c r="BB104" i="1"/>
  <c r="BB103" i="1"/>
  <c r="BB102" i="1"/>
  <c r="AV27" i="1"/>
  <c r="AW188" i="1"/>
  <c r="AV16" i="1"/>
  <c r="AW12" i="1"/>
  <c r="BA188" i="1"/>
  <c r="AZ11" i="1"/>
  <c r="BC188" i="1"/>
  <c r="BI104" i="1"/>
  <c r="BG188" i="1"/>
  <c r="BG27" i="1"/>
  <c r="BJ225" i="1"/>
  <c r="BJ244" i="1"/>
  <c r="BH12" i="1"/>
  <c r="BG16" i="1"/>
  <c r="BV138" i="1"/>
  <c r="BW33" i="1"/>
  <c r="BW134" i="1"/>
  <c r="BF11" i="1"/>
  <c r="BH186" i="1"/>
  <c r="BL189" i="1" s="1"/>
  <c r="F184" i="1"/>
  <c r="AR27" i="1"/>
  <c r="BQ27" i="1"/>
  <c r="BB27" i="1"/>
  <c r="AV188" i="1"/>
  <c r="C197" i="1"/>
  <c r="U244" i="1"/>
  <c r="T246" i="1"/>
  <c r="H197" i="1"/>
  <c r="M129" i="1"/>
  <c r="M55" i="1" s="1"/>
  <c r="O196" i="1"/>
  <c r="P249" i="1"/>
  <c r="P251" i="1" s="1"/>
  <c r="AT184" i="1"/>
  <c r="AX184" i="1"/>
  <c r="AV184" i="1"/>
  <c r="AZ184" i="1"/>
  <c r="F33" i="1"/>
  <c r="F138" i="1"/>
  <c r="BJ206" i="1"/>
  <c r="BJ249" i="1"/>
  <c r="AZ16" i="1"/>
  <c r="BD188" i="1"/>
  <c r="BD11" i="1"/>
  <c r="BA12" i="1"/>
  <c r="AW11" i="1"/>
  <c r="AT188" i="1"/>
  <c r="AS16" i="1"/>
  <c r="R37" i="1"/>
  <c r="R168" i="1"/>
  <c r="R109" i="1" s="1"/>
  <c r="R129" i="1"/>
  <c r="R55" i="1" s="1"/>
  <c r="BI188" i="1"/>
  <c r="BH11" i="1"/>
  <c r="BH27" i="1"/>
  <c r="Q248" i="1"/>
  <c r="R209" i="1"/>
  <c r="BS225" i="1"/>
  <c r="V58" i="1"/>
  <c r="BR225" i="1"/>
  <c r="BV188" i="1"/>
  <c r="BT225" i="1"/>
  <c r="AR16" i="1"/>
  <c r="AU225" i="1"/>
  <c r="AS225" i="1"/>
  <c r="H129" i="1"/>
  <c r="H55" i="1" s="1"/>
  <c r="H168" i="1"/>
  <c r="H109" i="1" s="1"/>
  <c r="H37" i="1"/>
  <c r="H206" i="1"/>
  <c r="I207" i="1"/>
  <c r="H54" i="1"/>
  <c r="J157" i="1"/>
  <c r="J182" i="1"/>
  <c r="J181" i="1" s="1"/>
  <c r="F168" i="1"/>
  <c r="F109" i="1" s="1"/>
  <c r="F129" i="1"/>
  <c r="F55" i="1" s="1"/>
  <c r="H138" i="1"/>
  <c r="H244" i="1" s="1"/>
  <c r="H33" i="1"/>
  <c r="U54" i="1"/>
  <c r="U207" i="1"/>
  <c r="V37" i="1"/>
  <c r="V168" i="1"/>
  <c r="V109" i="1" s="1"/>
  <c r="T54" i="1"/>
  <c r="T248" i="1"/>
  <c r="T175" i="1"/>
  <c r="O248" i="1"/>
  <c r="P209" i="1"/>
  <c r="F196" i="1"/>
  <c r="E182" i="1"/>
  <c r="F248" i="1"/>
  <c r="G209" i="1"/>
  <c r="F244" i="1"/>
  <c r="F246" i="1"/>
  <c r="M197" i="1"/>
  <c r="N197" i="1"/>
  <c r="M185" i="1"/>
  <c r="BU102" i="1"/>
  <c r="BU104" i="1"/>
  <c r="BU103" i="1"/>
  <c r="BS102" i="1"/>
  <c r="BS103" i="1"/>
  <c r="BS104" i="1"/>
  <c r="BY11" i="1"/>
  <c r="BU188" i="1"/>
  <c r="T249" i="1"/>
  <c r="T251" i="1" s="1"/>
  <c r="S37" i="1"/>
  <c r="S168" i="1"/>
  <c r="S109" i="1" s="1"/>
  <c r="S249" i="1"/>
  <c r="S251" i="1" s="1"/>
  <c r="E206" i="1"/>
  <c r="BJ102" i="1"/>
  <c r="BJ104" i="1"/>
  <c r="BJ103" i="1"/>
  <c r="BX249" i="1"/>
  <c r="BX206" i="1"/>
  <c r="E129" i="1"/>
  <c r="E55" i="1" s="1"/>
  <c r="F249" i="1"/>
  <c r="F251" i="1" s="1"/>
  <c r="E168" i="1"/>
  <c r="E109" i="1" s="1"/>
  <c r="E37" i="1"/>
  <c r="BJ28" i="1"/>
  <c r="BJ17" i="1"/>
  <c r="BH92" i="1"/>
  <c r="BH248" i="1"/>
  <c r="BM102" i="1"/>
  <c r="BM103" i="1"/>
  <c r="BM104" i="1"/>
  <c r="BH206" i="1"/>
  <c r="BV168" i="1"/>
  <c r="BW249" i="1"/>
  <c r="BE104" i="1"/>
  <c r="BE103" i="1"/>
  <c r="BD102" i="1"/>
  <c r="BD103" i="1"/>
  <c r="BD104" i="1"/>
  <c r="BI249" i="1"/>
  <c r="BH168" i="1"/>
  <c r="BI206" i="1"/>
  <c r="O54" i="1"/>
  <c r="CA188" i="1"/>
  <c r="C157" i="1"/>
  <c r="BH184" i="1"/>
  <c r="Q157" i="1"/>
  <c r="H249" i="1"/>
  <c r="H251" i="1" s="1"/>
  <c r="V157" i="1"/>
  <c r="BQ188" i="1"/>
  <c r="M207" i="1"/>
  <c r="BH129" i="1"/>
  <c r="AP181" i="1"/>
  <c r="BR184" i="1"/>
  <c r="P182" i="1"/>
  <c r="P157" i="1"/>
  <c r="W206" i="1"/>
  <c r="W249" i="1"/>
  <c r="W251" i="1" s="1"/>
  <c r="X206" i="1"/>
  <c r="X249" i="1"/>
  <c r="X251" i="1" s="1"/>
  <c r="W37" i="1"/>
  <c r="D209" i="1"/>
  <c r="C248" i="1"/>
  <c r="C168" i="1"/>
  <c r="C109" i="1" s="1"/>
  <c r="H175" i="1"/>
  <c r="H248" i="1"/>
  <c r="D107" i="1"/>
  <c r="D108" i="1"/>
  <c r="D66" i="1"/>
  <c r="W209" i="1"/>
  <c r="V248" i="1"/>
  <c r="F37" i="1"/>
  <c r="F206" i="1"/>
  <c r="Q138" i="1"/>
  <c r="Q165" i="1" s="1"/>
  <c r="Q166" i="1" s="1"/>
  <c r="Q33" i="1"/>
  <c r="C138" i="1"/>
  <c r="C203" i="1" s="1"/>
  <c r="C201" i="1" s="1"/>
  <c r="C33" i="1"/>
  <c r="P33" i="1"/>
  <c r="P138" i="1"/>
  <c r="D157" i="1"/>
  <c r="D182" i="1"/>
  <c r="V207" i="1"/>
  <c r="U175" i="1"/>
  <c r="O157" i="1"/>
  <c r="O182" i="1"/>
  <c r="T207" i="1"/>
  <c r="T129" i="1"/>
  <c r="T55" i="1" s="1"/>
  <c r="B175" i="1"/>
  <c r="B54" i="1"/>
  <c r="B129" i="1"/>
  <c r="B55" i="1" s="1"/>
  <c r="B185" i="1"/>
  <c r="B184" i="1" s="1"/>
  <c r="B157" i="1"/>
  <c r="P54" i="1"/>
  <c r="P248" i="1"/>
  <c r="P129" i="1"/>
  <c r="P55" i="1" s="1"/>
  <c r="P175" i="1"/>
  <c r="Q207" i="1"/>
  <c r="P207" i="1"/>
  <c r="R197" i="1"/>
  <c r="Q185" i="1"/>
  <c r="G196" i="1"/>
  <c r="F182" i="1"/>
  <c r="F181" i="1" s="1"/>
  <c r="F157" i="1"/>
  <c r="I182" i="1"/>
  <c r="I181" i="1" s="1"/>
  <c r="J196" i="1"/>
  <c r="BA225" i="1"/>
  <c r="BA16" i="1"/>
  <c r="BA18" i="1" s="1"/>
  <c r="BD225" i="1"/>
  <c r="R58" i="1"/>
  <c r="BE11" i="1"/>
  <c r="BB188" i="1"/>
  <c r="BB12" i="1"/>
  <c r="BR16" i="1"/>
  <c r="BS188" i="1"/>
  <c r="BR12" i="1"/>
  <c r="BY104" i="1"/>
  <c r="BY103" i="1"/>
  <c r="BY102" i="1"/>
  <c r="BZ103" i="1"/>
  <c r="BZ102" i="1"/>
  <c r="BZ104" i="1"/>
  <c r="BE188" i="1"/>
  <c r="BI11" i="1"/>
  <c r="BF12" i="1"/>
  <c r="BF225" i="1"/>
  <c r="BH225" i="1"/>
  <c r="S58" i="1"/>
  <c r="BE16" i="1"/>
  <c r="AP12" i="1"/>
  <c r="AR225" i="1"/>
  <c r="AL104" i="1"/>
  <c r="AL102" i="1"/>
  <c r="AL103" i="1"/>
  <c r="AI181" i="1"/>
  <c r="AI186" i="1"/>
  <c r="AV225" i="1"/>
  <c r="AT16" i="1"/>
  <c r="AT225" i="1"/>
  <c r="AX188" i="1"/>
  <c r="BT188" i="1"/>
  <c r="BQ225" i="1"/>
  <c r="BO12" i="1"/>
  <c r="BS11" i="1"/>
  <c r="BP188" i="1"/>
  <c r="BQ102" i="1"/>
  <c r="BQ103" i="1"/>
  <c r="BQ104" i="1"/>
  <c r="BK104" i="1"/>
  <c r="BK103" i="1"/>
  <c r="BK102" i="1"/>
  <c r="BI179" i="1"/>
  <c r="BH181" i="1"/>
  <c r="AN102" i="1"/>
  <c r="AN103" i="1"/>
  <c r="AN104" i="1"/>
  <c r="AS188" i="1"/>
  <c r="AN27" i="1"/>
  <c r="AQ225" i="1"/>
  <c r="O58" i="1"/>
  <c r="AR188" i="1"/>
  <c r="AO188" i="1"/>
  <c r="R248" i="1"/>
  <c r="S209" i="1"/>
  <c r="T58" i="1"/>
  <c r="BL188" i="1"/>
  <c r="BH188" i="1"/>
  <c r="M33" i="1"/>
  <c r="M138" i="1"/>
  <c r="L33" i="1"/>
  <c r="L138" i="1"/>
  <c r="Q58" i="1"/>
  <c r="AZ188" i="1"/>
  <c r="AU11" i="1"/>
  <c r="AU188" i="1"/>
  <c r="AU16" i="1"/>
  <c r="AY11" i="1"/>
  <c r="AX225" i="1"/>
  <c r="I197" i="1"/>
  <c r="I185" i="1"/>
  <c r="I249" i="1"/>
  <c r="I251" i="1" s="1"/>
  <c r="I129" i="1"/>
  <c r="I55" i="1" s="1"/>
  <c r="I37" i="1"/>
  <c r="I206" i="1"/>
  <c r="J206" i="1"/>
  <c r="J205" i="1" s="1"/>
  <c r="V197" i="1"/>
  <c r="V185" i="1"/>
  <c r="V184" i="1" s="1"/>
  <c r="S157" i="1"/>
  <c r="S165" i="1" s="1"/>
  <c r="S182" i="1"/>
  <c r="H182" i="1"/>
  <c r="H157" i="1"/>
  <c r="G175" i="1"/>
  <c r="G54" i="1"/>
  <c r="G207" i="1"/>
  <c r="H207" i="1"/>
  <c r="G248" i="1"/>
  <c r="AQ104" i="1"/>
  <c r="AQ103" i="1"/>
  <c r="AQ102" i="1"/>
  <c r="BI225" i="1"/>
  <c r="BG12" i="1"/>
  <c r="BF27" i="1"/>
  <c r="BK188" i="1"/>
  <c r="BF188" i="1"/>
  <c r="BJ188" i="1"/>
  <c r="AW17" i="1"/>
  <c r="AW28" i="1"/>
  <c r="R182" i="1"/>
  <c r="S196" i="1"/>
  <c r="M206" i="1"/>
  <c r="L206" i="1"/>
  <c r="L249" i="1"/>
  <c r="L251" i="1" s="1"/>
  <c r="L37" i="1"/>
  <c r="L168" i="1"/>
  <c r="L109" i="1" s="1"/>
  <c r="M249" i="1"/>
  <c r="M251" i="1" s="1"/>
  <c r="T196" i="1"/>
  <c r="T182" i="1"/>
  <c r="T181" i="1" s="1"/>
  <c r="I138" i="1"/>
  <c r="I33" i="1"/>
  <c r="BF103" i="1"/>
  <c r="BF104" i="1"/>
  <c r="BF102" i="1"/>
  <c r="BV182" i="1"/>
  <c r="BV157" i="1"/>
  <c r="BV16" i="1"/>
  <c r="BW19" i="1" s="1"/>
  <c r="BZ11" i="1"/>
  <c r="BZ188" i="1"/>
  <c r="BV225" i="1"/>
  <c r="BU27" i="1"/>
  <c r="W58" i="1"/>
  <c r="BX225" i="1"/>
  <c r="BY188" i="1"/>
  <c r="BU12" i="1"/>
  <c r="BU16" i="1"/>
  <c r="BU11" i="1"/>
  <c r="R185" i="1"/>
  <c r="R184" i="1" s="1"/>
  <c r="S197" i="1"/>
  <c r="S198" i="1" s="1"/>
  <c r="S199" i="1" s="1"/>
  <c r="J244" i="1"/>
  <c r="J246" i="1"/>
  <c r="C209" i="1"/>
  <c r="B168" i="1"/>
  <c r="B109" i="1" s="1"/>
  <c r="BF184" i="1"/>
  <c r="O249" i="1"/>
  <c r="O251" i="1" s="1"/>
  <c r="BW188" i="1"/>
  <c r="G185" i="1"/>
  <c r="I196" i="1"/>
  <c r="I198" i="1" s="1"/>
  <c r="I199" i="1" s="1"/>
  <c r="BX244" i="1"/>
  <c r="BO225" i="1"/>
  <c r="BW206" i="1"/>
  <c r="AS134" i="1"/>
  <c r="N182" i="1"/>
  <c r="N186" i="1" s="1"/>
  <c r="I157" i="1"/>
  <c r="I165" i="1" s="1"/>
  <c r="I166" i="1" s="1"/>
  <c r="U37" i="1"/>
  <c r="C185" i="1"/>
  <c r="N196" i="1"/>
  <c r="R196" i="1"/>
  <c r="D196" i="1"/>
  <c r="T185" i="1"/>
  <c r="BZ225" i="1"/>
  <c r="H196" i="1"/>
  <c r="D138" i="1"/>
  <c r="BQ11" i="1"/>
  <c r="BW12" i="1"/>
  <c r="BW225" i="1"/>
  <c r="BR188" i="1"/>
  <c r="AZ104" i="1"/>
  <c r="BG104" i="1"/>
  <c r="BM12" i="1"/>
  <c r="R157" i="1"/>
  <c r="M196" i="1"/>
  <c r="U206" i="1"/>
  <c r="BY225" i="1"/>
  <c r="BG102" i="1"/>
  <c r="BM16" i="1"/>
  <c r="U59" i="1" s="1"/>
  <c r="BH157" i="1"/>
  <c r="BH165" i="1" s="1"/>
  <c r="T157" i="1"/>
  <c r="S246" i="1"/>
  <c r="BX188" i="1"/>
  <c r="BZ244" i="1"/>
  <c r="BN12" i="1"/>
  <c r="BM188" i="1"/>
  <c r="Q197" i="1"/>
  <c r="B248" i="1"/>
  <c r="P197" i="1"/>
  <c r="P198" i="1" s="1"/>
  <c r="P199" i="1" s="1"/>
  <c r="BX12" i="1"/>
  <c r="BM225" i="1"/>
  <c r="BM27" i="1"/>
  <c r="BW27" i="1"/>
  <c r="BN225" i="1"/>
  <c r="BW16" i="1"/>
  <c r="BW11" i="1"/>
  <c r="M157" i="1"/>
  <c r="M165" i="1" s="1"/>
  <c r="G197" i="1"/>
  <c r="U248" i="1"/>
  <c r="T197" i="1"/>
  <c r="D197" i="1"/>
  <c r="D198" i="1" s="1"/>
  <c r="D199" i="1" s="1"/>
  <c r="U58" i="1"/>
  <c r="U165" i="1"/>
  <c r="CA11" i="1"/>
  <c r="X58" i="1"/>
  <c r="AX103" i="1"/>
  <c r="BN188" i="1"/>
  <c r="AZ103" i="1"/>
  <c r="AR181" i="1"/>
  <c r="G157" i="1"/>
  <c r="J197" i="1"/>
  <c r="I248" i="1"/>
  <c r="BP225" i="1"/>
  <c r="CB188" i="1"/>
  <c r="V249" i="1"/>
  <c r="V251" i="1" s="1"/>
  <c r="V206" i="1"/>
  <c r="E138" i="1"/>
  <c r="AS33" i="1"/>
  <c r="N157" i="1"/>
  <c r="N165" i="1" s="1"/>
  <c r="U129" i="1"/>
  <c r="U55" i="1" s="1"/>
  <c r="BO103" i="1"/>
  <c r="BV129" i="1"/>
  <c r="BO104" i="1"/>
  <c r="BV248" i="1"/>
  <c r="BN102" i="1"/>
  <c r="BN104" i="1"/>
  <c r="BR249" i="1"/>
  <c r="N207" i="1"/>
  <c r="O207" i="1"/>
  <c r="N54" i="1"/>
  <c r="R138" i="1"/>
  <c r="R33" i="1"/>
  <c r="O209" i="1"/>
  <c r="N248" i="1"/>
  <c r="S206" i="1"/>
  <c r="S205" i="1" s="1"/>
  <c r="E207" i="1"/>
  <c r="E54" i="1"/>
  <c r="N129" i="1"/>
  <c r="N55" i="1" s="1"/>
  <c r="L196" i="1"/>
  <c r="L198" i="1" s="1"/>
  <c r="L199" i="1" s="1"/>
  <c r="V182" i="1"/>
  <c r="V181" i="1" s="1"/>
  <c r="BE102" i="1"/>
  <c r="BC103" i="1"/>
  <c r="I168" i="1"/>
  <c r="I109" i="1" s="1"/>
  <c r="O129" i="1"/>
  <c r="O55" i="1" s="1"/>
  <c r="O206" i="1"/>
  <c r="V196" i="1"/>
  <c r="L54" i="1"/>
  <c r="L175" i="1"/>
  <c r="U246" i="1"/>
  <c r="BC104" i="1"/>
  <c r="E157" i="1"/>
  <c r="G168" i="1"/>
  <c r="G109" i="1" s="1"/>
  <c r="L129" i="1"/>
  <c r="L55" i="1" s="1"/>
  <c r="K157" i="1"/>
  <c r="K165" i="1" s="1"/>
  <c r="K166" i="1" s="1"/>
  <c r="S129" i="1"/>
  <c r="S55" i="1" s="1"/>
  <c r="Q196" i="1"/>
  <c r="C129" i="1"/>
  <c r="C55" i="1" s="1"/>
  <c r="C175" i="1"/>
  <c r="C54" i="1"/>
  <c r="C207" i="1"/>
  <c r="C205" i="1" s="1"/>
  <c r="K196" i="1"/>
  <c r="K198" i="1" s="1"/>
  <c r="K199" i="1" s="1"/>
  <c r="BB184" i="1"/>
  <c r="F197" i="1"/>
  <c r="G37" i="1"/>
  <c r="D37" i="1"/>
  <c r="D129" i="1"/>
  <c r="D55" i="1" s="1"/>
  <c r="D168" i="1"/>
  <c r="D109" i="1" s="1"/>
  <c r="D206" i="1"/>
  <c r="D249" i="1"/>
  <c r="D251" i="1" s="1"/>
  <c r="BV184" i="1"/>
  <c r="E197" i="1"/>
  <c r="L248" i="1"/>
  <c r="G129" i="1"/>
  <c r="G55" i="1" s="1"/>
  <c r="O168" i="1"/>
  <c r="O109" i="1" s="1"/>
  <c r="G249" i="1"/>
  <c r="G251" i="1" s="1"/>
  <c r="D248" i="1"/>
  <c r="D175" i="1"/>
  <c r="D54" i="1"/>
  <c r="D207" i="1"/>
  <c r="T206" i="1"/>
  <c r="N244" i="1"/>
  <c r="B69" i="1"/>
  <c r="L207" i="1"/>
  <c r="O37" i="1"/>
  <c r="G206" i="1"/>
  <c r="U196" i="1"/>
  <c r="U198" i="1" s="1"/>
  <c r="U199" i="1" s="1"/>
  <c r="N246" i="1"/>
  <c r="N168" i="1"/>
  <c r="N109" i="1" s="1"/>
  <c r="N175" i="1"/>
  <c r="F207" i="1"/>
  <c r="AX202" i="1"/>
  <c r="AW202" i="1"/>
  <c r="R205" i="1"/>
  <c r="W203" i="1"/>
  <c r="W201" i="1" s="1"/>
  <c r="K205" i="1"/>
  <c r="S244" i="1"/>
  <c r="K203" i="1"/>
  <c r="K201" i="1" s="1"/>
  <c r="N203" i="1"/>
  <c r="N201" i="1" s="1"/>
  <c r="M203" i="1"/>
  <c r="M201" i="1" s="1"/>
  <c r="M244" i="1"/>
  <c r="M246" i="1"/>
  <c r="L181" i="1"/>
  <c r="L186" i="1"/>
  <c r="D184" i="1"/>
  <c r="B181" i="1"/>
  <c r="AR202" i="1"/>
  <c r="AQ202" i="1"/>
  <c r="BB168" i="1"/>
  <c r="J184" i="1"/>
  <c r="AV168" i="1"/>
  <c r="K244" i="1"/>
  <c r="K246" i="1"/>
  <c r="BS33" i="1"/>
  <c r="BS134" i="1"/>
  <c r="BR138" i="1"/>
  <c r="V203" i="1"/>
  <c r="V201" i="1" s="1"/>
  <c r="V244" i="1"/>
  <c r="V246" i="1"/>
  <c r="AQ249" i="1"/>
  <c r="AN92" i="1"/>
  <c r="AN95" i="1" s="1"/>
  <c r="AN248" i="1"/>
  <c r="AV249" i="1"/>
  <c r="O246" i="1"/>
  <c r="AR206" i="1"/>
  <c r="AR249" i="1"/>
  <c r="AO134" i="1"/>
  <c r="AO33" i="1"/>
  <c r="AN138" i="1"/>
  <c r="AN246" i="1" s="1"/>
  <c r="BC33" i="1"/>
  <c r="BB138" i="1"/>
  <c r="BC134" i="1"/>
  <c r="AV206" i="1"/>
  <c r="BT129" i="1"/>
  <c r="K184" i="1"/>
  <c r="K186" i="1"/>
  <c r="E184" i="1"/>
  <c r="U184" i="1"/>
  <c r="U186" i="1"/>
  <c r="BN168" i="1"/>
  <c r="BN129" i="1"/>
  <c r="BC206" i="1"/>
  <c r="BC249" i="1"/>
  <c r="O203" i="1"/>
  <c r="O201" i="1" s="1"/>
  <c r="O244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P18" i="1"/>
  <c r="BI17" i="1"/>
  <c r="BI28" i="1"/>
  <c r="BJ19" i="1"/>
  <c r="BP28" i="1"/>
  <c r="BP18" i="1"/>
  <c r="BP17" i="1"/>
  <c r="BQ19" i="1"/>
  <c r="BN184" i="1"/>
  <c r="BD17" i="1"/>
  <c r="BD28" i="1"/>
  <c r="BC19" i="1"/>
  <c r="BT19" i="1"/>
  <c r="BO18" i="1"/>
  <c r="BS28" i="1"/>
  <c r="BS17" i="1"/>
  <c r="BH28" i="1"/>
  <c r="BH17" i="1"/>
  <c r="BL18" i="1"/>
  <c r="BH18" i="1"/>
  <c r="BB18" i="1"/>
  <c r="AX19" i="1"/>
  <c r="AX17" i="1"/>
  <c r="AX28" i="1"/>
  <c r="AT95" i="1"/>
  <c r="AT96" i="1"/>
  <c r="AT94" i="1"/>
  <c r="BN18" i="1"/>
  <c r="BN28" i="1"/>
  <c r="BN17" i="1"/>
  <c r="BO19" i="1"/>
  <c r="AN28" i="1"/>
  <c r="AO19" i="1"/>
  <c r="AN18" i="1"/>
  <c r="AN19" i="1"/>
  <c r="AN17" i="1"/>
  <c r="BT28" i="1"/>
  <c r="BX18" i="1"/>
  <c r="BT17" i="1"/>
  <c r="BT18" i="1"/>
  <c r="AY19" i="1"/>
  <c r="BI19" i="1"/>
  <c r="BR96" i="1"/>
  <c r="BR94" i="1"/>
  <c r="BR95" i="1"/>
  <c r="AO18" i="1"/>
  <c r="AO28" i="1"/>
  <c r="AO17" i="1"/>
  <c r="BH246" i="1"/>
  <c r="BH244" i="1"/>
  <c r="O59" i="1"/>
  <c r="AQ28" i="1"/>
  <c r="AQ18" i="1"/>
  <c r="AQ17" i="1"/>
  <c r="BJ33" i="1"/>
  <c r="BI138" i="1"/>
  <c r="BJ203" i="1" s="1"/>
  <c r="BJ201" i="1" s="1"/>
  <c r="BB17" i="1"/>
  <c r="BB28" i="1"/>
  <c r="BF18" i="1"/>
  <c r="CR194" i="1"/>
  <c r="CR132" i="1"/>
  <c r="CQ203" i="1"/>
  <c r="CQ201" i="1" s="1"/>
  <c r="AB206" i="1"/>
  <c r="DB63" i="1"/>
  <c r="DB65" i="1" s="1"/>
  <c r="DA65" i="1"/>
  <c r="BV165" i="1" l="1"/>
  <c r="BV166" i="1" s="1"/>
  <c r="H198" i="1"/>
  <c r="H199" i="1" s="1"/>
  <c r="F186" i="1"/>
  <c r="BQ28" i="1"/>
  <c r="M166" i="1"/>
  <c r="G198" i="1"/>
  <c r="G199" i="1" s="1"/>
  <c r="N59" i="1"/>
  <c r="BG17" i="1"/>
  <c r="T59" i="1"/>
  <c r="AV28" i="1"/>
  <c r="AV17" i="1"/>
  <c r="AZ18" i="1"/>
  <c r="BX33" i="1"/>
  <c r="BV244" i="1"/>
  <c r="BB19" i="1"/>
  <c r="G165" i="1"/>
  <c r="T244" i="1"/>
  <c r="V165" i="1"/>
  <c r="V166" i="1" s="1"/>
  <c r="N205" i="1"/>
  <c r="R203" i="1"/>
  <c r="R201" i="1" s="1"/>
  <c r="E205" i="1"/>
  <c r="U203" i="1"/>
  <c r="U201" i="1" s="1"/>
  <c r="F198" i="1"/>
  <c r="F199" i="1" s="1"/>
  <c r="D110" i="1"/>
  <c r="D113" i="1" s="1"/>
  <c r="E198" i="1"/>
  <c r="E199" i="1" s="1"/>
  <c r="T205" i="1"/>
  <c r="J165" i="1"/>
  <c r="J166" i="1" s="1"/>
  <c r="B165" i="1"/>
  <c r="T203" i="1"/>
  <c r="T201" i="1" s="1"/>
  <c r="C68" i="1"/>
  <c r="C69" i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C198" i="1"/>
  <c r="C199" i="1" s="1"/>
  <c r="Q205" i="1"/>
  <c r="R198" i="1"/>
  <c r="R199" i="1" s="1"/>
  <c r="N198" i="1"/>
  <c r="N199" i="1" s="1"/>
  <c r="D69" i="1"/>
  <c r="D68" i="1"/>
  <c r="B186" i="1"/>
  <c r="M186" i="1"/>
  <c r="AY17" i="1"/>
  <c r="AP28" i="1"/>
  <c r="BF17" i="1"/>
  <c r="BJ18" i="1"/>
  <c r="BF34" i="1"/>
  <c r="BF38" i="1" s="1"/>
  <c r="BP19" i="1"/>
  <c r="BO17" i="1"/>
  <c r="AJ19" i="1"/>
  <c r="AM18" i="1"/>
  <c r="AI28" i="1"/>
  <c r="BC28" i="1"/>
  <c r="BC17" i="1"/>
  <c r="AQ19" i="1"/>
  <c r="BG19" i="1"/>
  <c r="BK18" i="1"/>
  <c r="O198" i="1"/>
  <c r="O199" i="1" s="1"/>
  <c r="J186" i="1"/>
  <c r="P186" i="1"/>
  <c r="P181" i="1"/>
  <c r="O165" i="1"/>
  <c r="Q246" i="1"/>
  <c r="Q244" i="1"/>
  <c r="Q203" i="1"/>
  <c r="Q201" i="1" s="1"/>
  <c r="P203" i="1"/>
  <c r="P201" i="1" s="1"/>
  <c r="Q186" i="1"/>
  <c r="Q184" i="1"/>
  <c r="M184" i="1"/>
  <c r="AY28" i="1"/>
  <c r="AZ19" i="1"/>
  <c r="AP17" i="1"/>
  <c r="BQ17" i="1"/>
  <c r="BF29" i="1"/>
  <c r="BF232" i="1"/>
  <c r="BF233" i="1" s="1"/>
  <c r="BO28" i="1"/>
  <c r="BS18" i="1"/>
  <c r="AI17" i="1"/>
  <c r="BD19" i="1"/>
  <c r="BC18" i="1"/>
  <c r="BG18" i="1"/>
  <c r="BH19" i="1"/>
  <c r="BG28" i="1"/>
  <c r="AW19" i="1"/>
  <c r="BW138" i="1"/>
  <c r="BV246" i="1"/>
  <c r="R59" i="1"/>
  <c r="V205" i="1"/>
  <c r="I213" i="1"/>
  <c r="H165" i="1"/>
  <c r="H166" i="1" s="1"/>
  <c r="H205" i="1"/>
  <c r="J198" i="1"/>
  <c r="J199" i="1" s="1"/>
  <c r="H246" i="1"/>
  <c r="U205" i="1"/>
  <c r="T165" i="1"/>
  <c r="P205" i="1"/>
  <c r="O166" i="1"/>
  <c r="BD18" i="1"/>
  <c r="AZ28" i="1"/>
  <c r="AZ17" i="1"/>
  <c r="F165" i="1"/>
  <c r="F166" i="1" s="1"/>
  <c r="I205" i="1"/>
  <c r="I210" i="1" s="1"/>
  <c r="I211" i="1" s="1"/>
  <c r="V198" i="1"/>
  <c r="V199" i="1" s="1"/>
  <c r="S166" i="1"/>
  <c r="M205" i="1"/>
  <c r="M198" i="1"/>
  <c r="M199" i="1" s="1"/>
  <c r="M213" i="1" s="1"/>
  <c r="BH166" i="1"/>
  <c r="T198" i="1"/>
  <c r="T199" i="1" s="1"/>
  <c r="G166" i="1"/>
  <c r="T166" i="1"/>
  <c r="F205" i="1"/>
  <c r="AW18" i="1"/>
  <c r="AT19" i="1"/>
  <c r="AS18" i="1"/>
  <c r="AS28" i="1"/>
  <c r="AS17" i="1"/>
  <c r="AR28" i="1"/>
  <c r="P59" i="1"/>
  <c r="AV18" i="1"/>
  <c r="AR19" i="1"/>
  <c r="AR18" i="1"/>
  <c r="AR17" i="1"/>
  <c r="AS19" i="1"/>
  <c r="E181" i="1"/>
  <c r="E186" i="1"/>
  <c r="BW37" i="1"/>
  <c r="BV109" i="1"/>
  <c r="BI37" i="1"/>
  <c r="BH109" i="1"/>
  <c r="C111" i="1"/>
  <c r="C114" i="1" s="1"/>
  <c r="C110" i="1"/>
  <c r="C113" i="1" s="1"/>
  <c r="P244" i="1"/>
  <c r="P246" i="1"/>
  <c r="D181" i="1"/>
  <c r="D186" i="1"/>
  <c r="O181" i="1"/>
  <c r="O186" i="1"/>
  <c r="BR17" i="1"/>
  <c r="BR28" i="1"/>
  <c r="V59" i="1"/>
  <c r="BR19" i="1"/>
  <c r="BR18" i="1"/>
  <c r="BS19" i="1"/>
  <c r="BE18" i="1"/>
  <c r="BI18" i="1"/>
  <c r="BE19" i="1"/>
  <c r="BE28" i="1"/>
  <c r="BE17" i="1"/>
  <c r="BF19" i="1"/>
  <c r="S59" i="1"/>
  <c r="AX18" i="1"/>
  <c r="AT18" i="1"/>
  <c r="AU19" i="1"/>
  <c r="Q59" i="1"/>
  <c r="AU18" i="1"/>
  <c r="AV19" i="1"/>
  <c r="AU28" i="1"/>
  <c r="AY18" i="1"/>
  <c r="AU17" i="1"/>
  <c r="I184" i="1"/>
  <c r="I186" i="1"/>
  <c r="AW232" i="1"/>
  <c r="AW233" i="1" s="1"/>
  <c r="AW29" i="1"/>
  <c r="AW34" i="1"/>
  <c r="AW38" i="1" s="1"/>
  <c r="BV181" i="1"/>
  <c r="BV186" i="1"/>
  <c r="BU17" i="1"/>
  <c r="BY18" i="1"/>
  <c r="BV19" i="1"/>
  <c r="BU19" i="1"/>
  <c r="B111" i="1"/>
  <c r="B114" i="1" s="1"/>
  <c r="B110" i="1"/>
  <c r="B113" i="1" s="1"/>
  <c r="BW18" i="1"/>
  <c r="BW17" i="1"/>
  <c r="CA18" i="1"/>
  <c r="BX19" i="1"/>
  <c r="BW28" i="1"/>
  <c r="X59" i="1"/>
  <c r="B87" i="1"/>
  <c r="B85" i="1"/>
  <c r="B86" i="1"/>
  <c r="BJ30" i="1"/>
  <c r="BJ232" i="1"/>
  <c r="BJ233" i="1" s="1"/>
  <c r="BJ34" i="1"/>
  <c r="BJ38" i="1" s="1"/>
  <c r="BJ29" i="1"/>
  <c r="BH94" i="1"/>
  <c r="BH95" i="1"/>
  <c r="BH96" i="1"/>
  <c r="H181" i="1"/>
  <c r="H186" i="1"/>
  <c r="R181" i="1"/>
  <c r="R186" i="1"/>
  <c r="BV17" i="1"/>
  <c r="BV18" i="1"/>
  <c r="BV28" i="1"/>
  <c r="BZ18" i="1"/>
  <c r="G184" i="1"/>
  <c r="G186" i="1"/>
  <c r="G189" i="1" s="1"/>
  <c r="G190" i="1" s="1"/>
  <c r="C184" i="1"/>
  <c r="C186" i="1"/>
  <c r="T184" i="1"/>
  <c r="T186" i="1"/>
  <c r="U189" i="1" s="1"/>
  <c r="U190" i="1" s="1"/>
  <c r="BA17" i="1"/>
  <c r="BA28" i="1"/>
  <c r="BA19" i="1"/>
  <c r="AT28" i="1"/>
  <c r="AT17" i="1"/>
  <c r="L246" i="1"/>
  <c r="L244" i="1"/>
  <c r="C165" i="1"/>
  <c r="P165" i="1"/>
  <c r="P166" i="1" s="1"/>
  <c r="U166" i="1"/>
  <c r="O205" i="1"/>
  <c r="E165" i="1"/>
  <c r="E166" i="1" s="1"/>
  <c r="L205" i="1"/>
  <c r="G205" i="1"/>
  <c r="G210" i="1" s="1"/>
  <c r="G211" i="1" s="1"/>
  <c r="L165" i="1"/>
  <c r="L166" i="1" s="1"/>
  <c r="L203" i="1"/>
  <c r="L201" i="1" s="1"/>
  <c r="S186" i="1"/>
  <c r="S181" i="1"/>
  <c r="BU18" i="1"/>
  <c r="BU28" i="1"/>
  <c r="AT33" i="1"/>
  <c r="AS138" i="1"/>
  <c r="D203" i="1"/>
  <c r="D201" i="1" s="1"/>
  <c r="D165" i="1"/>
  <c r="BQ34" i="1"/>
  <c r="BQ38" i="1" s="1"/>
  <c r="BQ29" i="1"/>
  <c r="BQ232" i="1"/>
  <c r="BQ233" i="1" s="1"/>
  <c r="E244" i="1"/>
  <c r="F203" i="1"/>
  <c r="F201" i="1" s="1"/>
  <c r="E246" i="1"/>
  <c r="N166" i="1"/>
  <c r="BM18" i="1"/>
  <c r="BM19" i="1"/>
  <c r="N181" i="1"/>
  <c r="BM28" i="1"/>
  <c r="BQ18" i="1"/>
  <c r="BN19" i="1"/>
  <c r="BM17" i="1"/>
  <c r="E203" i="1"/>
  <c r="E201" i="1" s="1"/>
  <c r="Q198" i="1"/>
  <c r="Q199" i="1" s="1"/>
  <c r="V186" i="1"/>
  <c r="V189" i="1" s="1"/>
  <c r="V190" i="1" s="1"/>
  <c r="D205" i="1"/>
  <c r="R246" i="1"/>
  <c r="R244" i="1"/>
  <c r="D111" i="1"/>
  <c r="D114" i="1" s="1"/>
  <c r="R165" i="1"/>
  <c r="R166" i="1" s="1"/>
  <c r="S203" i="1"/>
  <c r="S201" i="1" s="1"/>
  <c r="S210" i="1" s="1"/>
  <c r="S211" i="1" s="1"/>
  <c r="K210" i="1"/>
  <c r="K211" i="1" s="1"/>
  <c r="K213" i="1"/>
  <c r="S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R166" i="1"/>
  <c r="AN165" i="1"/>
  <c r="AN166" i="1" s="1"/>
  <c r="BP165" i="1"/>
  <c r="BP166" i="1" s="1"/>
  <c r="BN109" i="1"/>
  <c r="BO37" i="1"/>
  <c r="AZ33" i="1"/>
  <c r="AY138" i="1"/>
  <c r="L189" i="1"/>
  <c r="L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A226" i="1"/>
  <c r="BL112" i="1"/>
  <c r="BS226" i="1"/>
  <c r="BO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P30" i="1"/>
  <c r="BK112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O60" i="1"/>
  <c r="AP31" i="1"/>
  <c r="BE31" i="1"/>
  <c r="BD34" i="1"/>
  <c r="BD38" i="1" s="1"/>
  <c r="BD29" i="1"/>
  <c r="BD232" i="1"/>
  <c r="BD233" i="1" s="1"/>
  <c r="BT250" i="1"/>
  <c r="BT251" i="1" s="1"/>
  <c r="BC31" i="1"/>
  <c r="AU30" i="1"/>
  <c r="BS34" i="1"/>
  <c r="BS38" i="1" s="1"/>
  <c r="BS29" i="1"/>
  <c r="BS232" i="1"/>
  <c r="BS233" i="1" s="1"/>
  <c r="BS112" i="1"/>
  <c r="AQ226" i="1"/>
  <c r="BA112" i="1"/>
  <c r="AY31" i="1"/>
  <c r="AZ112" i="1"/>
  <c r="AQ112" i="1"/>
  <c r="BT31" i="1"/>
  <c r="AR226" i="1"/>
  <c r="AP226" i="1"/>
  <c r="AP112" i="1"/>
  <c r="BK226" i="1"/>
  <c r="BI203" i="1"/>
  <c r="BI201" i="1" s="1"/>
  <c r="BG112" i="1"/>
  <c r="BI226" i="1"/>
  <c r="BI112" i="1"/>
  <c r="BG226" i="1"/>
  <c r="BG31" i="1"/>
  <c r="BL30" i="1"/>
  <c r="BH29" i="1"/>
  <c r="BH34" i="1"/>
  <c r="BH38" i="1" s="1"/>
  <c r="BH232" i="1"/>
  <c r="BH233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R30" i="1"/>
  <c r="BQ112" i="1"/>
  <c r="BN29" i="1"/>
  <c r="BO31" i="1"/>
  <c r="BN232" i="1"/>
  <c r="BN233" i="1" s="1"/>
  <c r="BN30" i="1"/>
  <c r="BQ226" i="1"/>
  <c r="AX250" i="1"/>
  <c r="AX251" i="1" s="1"/>
  <c r="AX232" i="1"/>
  <c r="AX233" i="1" s="1"/>
  <c r="BB30" i="1"/>
  <c r="AZ226" i="1"/>
  <c r="AX34" i="1"/>
  <c r="AX31" i="1"/>
  <c r="AX29" i="1"/>
  <c r="BB34" i="1"/>
  <c r="BF30" i="1"/>
  <c r="BB232" i="1"/>
  <c r="BB233" i="1" s="1"/>
  <c r="BB29" i="1"/>
  <c r="BE226" i="1"/>
  <c r="BE112" i="1"/>
  <c r="AQ29" i="1"/>
  <c r="AT226" i="1"/>
  <c r="AQ232" i="1"/>
  <c r="AQ233" i="1" s="1"/>
  <c r="P60" i="1"/>
  <c r="AQ34" i="1"/>
  <c r="AQ30" i="1"/>
  <c r="AR31" i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T34" i="1"/>
  <c r="BT29" i="1"/>
  <c r="BX30" i="1"/>
  <c r="BU31" i="1"/>
  <c r="BT232" i="1"/>
  <c r="BT233" i="1" s="1"/>
  <c r="BT30" i="1"/>
  <c r="CR134" i="1"/>
  <c r="AE142" i="1"/>
  <c r="AC124" i="1"/>
  <c r="P213" i="1" l="1"/>
  <c r="U210" i="1"/>
  <c r="U211" i="1" s="1"/>
  <c r="U213" i="1"/>
  <c r="D210" i="1"/>
  <c r="D211" i="1" s="1"/>
  <c r="D213" i="1"/>
  <c r="B166" i="1"/>
  <c r="B244" i="1"/>
  <c r="D244" i="1"/>
  <c r="D166" i="1"/>
  <c r="J213" i="1"/>
  <c r="C87" i="1"/>
  <c r="C85" i="1"/>
  <c r="C70" i="1"/>
  <c r="C86" i="1"/>
  <c r="B89" i="1"/>
  <c r="Q210" i="1"/>
  <c r="Q211" i="1" s="1"/>
  <c r="N213" i="1"/>
  <c r="D70" i="1"/>
  <c r="P210" i="1"/>
  <c r="P211" i="1" s="1"/>
  <c r="H213" i="1"/>
  <c r="J210" i="1"/>
  <c r="J211" i="1" s="1"/>
  <c r="T210" i="1"/>
  <c r="T211" i="1" s="1"/>
  <c r="T213" i="1"/>
  <c r="Q213" i="1"/>
  <c r="H210" i="1"/>
  <c r="H211" i="1" s="1"/>
  <c r="N210" i="1"/>
  <c r="N211" i="1" s="1"/>
  <c r="M210" i="1"/>
  <c r="M211" i="1" s="1"/>
  <c r="G213" i="1"/>
  <c r="C210" i="1"/>
  <c r="C211" i="1" s="1"/>
  <c r="C213" i="1"/>
  <c r="V210" i="1"/>
  <c r="V211" i="1" s="1"/>
  <c r="V213" i="1"/>
  <c r="O213" i="1"/>
  <c r="Q189" i="1"/>
  <c r="Q190" i="1" s="1"/>
  <c r="O210" i="1"/>
  <c r="O211" i="1" s="1"/>
  <c r="R210" i="1"/>
  <c r="R211" i="1" s="1"/>
  <c r="R213" i="1"/>
  <c r="L213" i="1"/>
  <c r="L210" i="1"/>
  <c r="L211" i="1" s="1"/>
  <c r="D85" i="1"/>
  <c r="D86" i="1"/>
  <c r="D87" i="1"/>
  <c r="C89" i="1"/>
  <c r="K189" i="1"/>
  <c r="K190" i="1" s="1"/>
  <c r="E189" i="1"/>
  <c r="E190" i="1" s="1"/>
  <c r="F189" i="1"/>
  <c r="F190" i="1" s="1"/>
  <c r="H189" i="1"/>
  <c r="H190" i="1" s="1"/>
  <c r="R189" i="1"/>
  <c r="R190" i="1" s="1"/>
  <c r="P189" i="1"/>
  <c r="P190" i="1" s="1"/>
  <c r="O189" i="1"/>
  <c r="O190" i="1" s="1"/>
  <c r="M189" i="1"/>
  <c r="M190" i="1" s="1"/>
  <c r="N189" i="1"/>
  <c r="N190" i="1" s="1"/>
  <c r="BX203" i="1"/>
  <c r="BX201" i="1" s="1"/>
  <c r="BW203" i="1"/>
  <c r="BW201" i="1" s="1"/>
  <c r="AQ250" i="1"/>
  <c r="AQ251" i="1" s="1"/>
  <c r="AT30" i="1"/>
  <c r="AQ31" i="1"/>
  <c r="BK30" i="1"/>
  <c r="BQ41" i="1"/>
  <c r="AW41" i="1"/>
  <c r="AY29" i="1"/>
  <c r="AY232" i="1"/>
  <c r="AY233" i="1" s="1"/>
  <c r="AY34" i="1"/>
  <c r="AY38" i="1" s="1"/>
  <c r="AZ250" i="1"/>
  <c r="AZ251" i="1" s="1"/>
  <c r="AZ31" i="1"/>
  <c r="AP29" i="1"/>
  <c r="AP232" i="1"/>
  <c r="AP233" i="1" s="1"/>
  <c r="AP34" i="1"/>
  <c r="AP38" i="1" s="1"/>
  <c r="S60" i="1"/>
  <c r="AS232" i="1"/>
  <c r="AS233" i="1" s="1"/>
  <c r="AS34" i="1"/>
  <c r="AS38" i="1" s="1"/>
  <c r="AW30" i="1"/>
  <c r="AS250" i="1"/>
  <c r="AS251" i="1" s="1"/>
  <c r="AS29" i="1"/>
  <c r="AS226" i="1"/>
  <c r="AS112" i="1"/>
  <c r="BF250" i="1"/>
  <c r="BF251" i="1" s="1"/>
  <c r="BQ250" i="1"/>
  <c r="BQ251" i="1" s="1"/>
  <c r="BD250" i="1"/>
  <c r="BD251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AJ31" i="1"/>
  <c r="AL112" i="1"/>
  <c r="AI29" i="1"/>
  <c r="AM30" i="1"/>
  <c r="AI34" i="1"/>
  <c r="N60" i="1"/>
  <c r="AL226" i="1"/>
  <c r="AI232" i="1"/>
  <c r="AI233" i="1" s="1"/>
  <c r="AV226" i="1"/>
  <c r="AU232" i="1"/>
  <c r="AU233" i="1" s="1"/>
  <c r="AU29" i="1"/>
  <c r="AU34" i="1"/>
  <c r="AU38" i="1" s="1"/>
  <c r="AY30" i="1"/>
  <c r="AV31" i="1"/>
  <c r="AV250" i="1"/>
  <c r="AV251" i="1" s="1"/>
  <c r="BV110" i="1"/>
  <c r="BV111" i="1"/>
  <c r="BS30" i="1"/>
  <c r="BS250" i="1"/>
  <c r="BS251" i="1" s="1"/>
  <c r="BD31" i="1"/>
  <c r="BG30" i="1"/>
  <c r="BF112" i="1"/>
  <c r="BC34" i="1"/>
  <c r="BC29" i="1"/>
  <c r="BC232" i="1"/>
  <c r="BC233" i="1" s="1"/>
  <c r="BF226" i="1"/>
  <c r="BC30" i="1"/>
  <c r="BT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AX112" i="1"/>
  <c r="AY112" i="1"/>
  <c r="AY226" i="1"/>
  <c r="AY250" i="1"/>
  <c r="AY251" i="1" s="1"/>
  <c r="BT112" i="1"/>
  <c r="AP250" i="1"/>
  <c r="AP251" i="1" s="1"/>
  <c r="AV112" i="1"/>
  <c r="Q60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T60" i="1"/>
  <c r="BJ112" i="1"/>
  <c r="BG250" i="1"/>
  <c r="BG251" i="1" s="1"/>
  <c r="BG34" i="1"/>
  <c r="BG232" i="1"/>
  <c r="BG233" i="1" s="1"/>
  <c r="BJ226" i="1"/>
  <c r="BH31" i="1"/>
  <c r="BH250" i="1"/>
  <c r="BH251" i="1" s="1"/>
  <c r="BO250" i="1"/>
  <c r="BO251" i="1" s="1"/>
  <c r="AX30" i="1"/>
  <c r="BB112" i="1"/>
  <c r="BD112" i="1"/>
  <c r="BB250" i="1"/>
  <c r="BB251" i="1" s="1"/>
  <c r="BB31" i="1"/>
  <c r="BC250" i="1"/>
  <c r="BC251" i="1" s="1"/>
  <c r="AR250" i="1"/>
  <c r="AR251" i="1" s="1"/>
  <c r="BU250" i="1"/>
  <c r="BU251" i="1" s="1"/>
  <c r="BU112" i="1"/>
  <c r="AV30" i="1"/>
  <c r="BQ40" i="1"/>
  <c r="AW40" i="1"/>
  <c r="AZ34" i="1"/>
  <c r="AZ38" i="1" s="1"/>
  <c r="AZ232" i="1"/>
  <c r="AZ233" i="1" s="1"/>
  <c r="AZ29" i="1"/>
  <c r="BD30" i="1"/>
  <c r="AS31" i="1"/>
  <c r="BH226" i="1"/>
  <c r="BH112" i="1"/>
  <c r="BW232" i="1"/>
  <c r="BW233" i="1" s="1"/>
  <c r="BX31" i="1"/>
  <c r="X60" i="1"/>
  <c r="BW29" i="1"/>
  <c r="BZ112" i="1"/>
  <c r="BZ226" i="1"/>
  <c r="BW34" i="1"/>
  <c r="CA30" i="1"/>
  <c r="BX250" i="1"/>
  <c r="BX251" i="1" s="1"/>
  <c r="AR34" i="1"/>
  <c r="AR232" i="1"/>
  <c r="AR233" i="1" s="1"/>
  <c r="AR29" i="1"/>
  <c r="BE30" i="1"/>
  <c r="I189" i="1"/>
  <c r="I190" i="1" s="1"/>
  <c r="J189" i="1"/>
  <c r="J190" i="1" s="1"/>
  <c r="BZ189" i="1"/>
  <c r="BV189" i="1"/>
  <c r="C189" i="1"/>
  <c r="C190" i="1" s="1"/>
  <c r="D189" i="1"/>
  <c r="D190" i="1" s="1"/>
  <c r="BJ40" i="1"/>
  <c r="BJ41" i="1"/>
  <c r="BV29" i="1"/>
  <c r="BV34" i="1"/>
  <c r="BZ30" i="1"/>
  <c r="BV232" i="1"/>
  <c r="BV233" i="1" s="1"/>
  <c r="BV30" i="1"/>
  <c r="BV226" i="1"/>
  <c r="BV112" i="1"/>
  <c r="BX112" i="1"/>
  <c r="BW31" i="1"/>
  <c r="BW226" i="1"/>
  <c r="BW250" i="1"/>
  <c r="BW251" i="1" s="1"/>
  <c r="BY112" i="1"/>
  <c r="BY226" i="1"/>
  <c r="BW112" i="1"/>
  <c r="BA232" i="1"/>
  <c r="BA233" i="1" s="1"/>
  <c r="BA29" i="1"/>
  <c r="BA31" i="1"/>
  <c r="BA30" i="1"/>
  <c r="BA34" i="1"/>
  <c r="BA250" i="1"/>
  <c r="BA251" i="1" s="1"/>
  <c r="AT29" i="1"/>
  <c r="AT232" i="1"/>
  <c r="AT233" i="1" s="1"/>
  <c r="AT34" i="1"/>
  <c r="C166" i="1"/>
  <c r="C244" i="1"/>
  <c r="AW112" i="1"/>
  <c r="AU226" i="1"/>
  <c r="AW226" i="1"/>
  <c r="AU31" i="1"/>
  <c r="AU112" i="1"/>
  <c r="AT31" i="1"/>
  <c r="AT250" i="1"/>
  <c r="AT251" i="1" s="1"/>
  <c r="AU250" i="1"/>
  <c r="AU251" i="1" s="1"/>
  <c r="S189" i="1"/>
  <c r="S190" i="1" s="1"/>
  <c r="T189" i="1"/>
  <c r="T190" i="1" s="1"/>
  <c r="BU232" i="1"/>
  <c r="BU233" i="1" s="1"/>
  <c r="BY30" i="1"/>
  <c r="BU34" i="1"/>
  <c r="BX226" i="1"/>
  <c r="BV250" i="1"/>
  <c r="BV251" i="1" s="1"/>
  <c r="BV31" i="1"/>
  <c r="BU30" i="1"/>
  <c r="BU29" i="1"/>
  <c r="AT203" i="1"/>
  <c r="AT201" i="1" s="1"/>
  <c r="AS203" i="1"/>
  <c r="AS201" i="1" s="1"/>
  <c r="F213" i="1"/>
  <c r="F210" i="1"/>
  <c r="F211" i="1" s="1"/>
  <c r="BM34" i="1"/>
  <c r="BM29" i="1"/>
  <c r="BQ30" i="1"/>
  <c r="BM31" i="1"/>
  <c r="BM30" i="1"/>
  <c r="BM232" i="1"/>
  <c r="BM233" i="1" s="1"/>
  <c r="BM250" i="1"/>
  <c r="BM251" i="1" s="1"/>
  <c r="U60" i="1"/>
  <c r="BM226" i="1"/>
  <c r="BM112" i="1"/>
  <c r="BN226" i="1"/>
  <c r="BN112" i="1"/>
  <c r="BP226" i="1"/>
  <c r="BO226" i="1"/>
  <c r="BN31" i="1"/>
  <c r="BN250" i="1"/>
  <c r="BN251" i="1" s="1"/>
  <c r="BP112" i="1"/>
  <c r="BO112" i="1"/>
  <c r="E210" i="1"/>
  <c r="E211" i="1" s="1"/>
  <c r="E213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BP40" i="1"/>
  <c r="BP41" i="1"/>
  <c r="BQ44" i="1" s="1"/>
  <c r="BI38" i="1"/>
  <c r="BL55" i="1"/>
  <c r="BV55" i="1"/>
  <c r="BD40" i="1"/>
  <c r="BD41" i="1"/>
  <c r="AP55" i="1"/>
  <c r="AO41" i="1"/>
  <c r="AX38" i="1"/>
  <c r="AZ55" i="1"/>
  <c r="BN38" i="1"/>
  <c r="BH41" i="1"/>
  <c r="BH40" i="1"/>
  <c r="AQ38" i="1"/>
  <c r="BB38" i="1"/>
  <c r="AN55" i="1"/>
  <c r="AN38" i="1"/>
  <c r="BT38" i="1"/>
  <c r="BT55" i="1"/>
  <c r="BS40" i="1"/>
  <c r="BS41" i="1"/>
  <c r="CR138" i="1"/>
  <c r="CS32" i="1"/>
  <c r="BV114" i="1" l="1"/>
  <c r="AV113" i="1"/>
  <c r="AV114" i="1"/>
  <c r="BB114" i="1"/>
  <c r="BB113" i="1"/>
  <c r="BN114" i="1"/>
  <c r="BN113" i="1"/>
  <c r="BP113" i="1"/>
  <c r="BP114" i="1"/>
  <c r="BF114" i="1"/>
  <c r="BF113" i="1"/>
  <c r="BR113" i="1"/>
  <c r="BR114" i="1"/>
  <c r="BT114" i="1"/>
  <c r="BT113" i="1"/>
  <c r="BD114" i="1"/>
  <c r="BD113" i="1"/>
  <c r="AX113" i="1"/>
  <c r="AX114" i="1"/>
  <c r="AY40" i="1"/>
  <c r="AY41" i="1"/>
  <c r="AP40" i="1"/>
  <c r="AP41" i="1"/>
  <c r="AP43" i="1" s="1"/>
  <c r="AS40" i="1"/>
  <c r="AS41" i="1"/>
  <c r="BV113" i="1"/>
  <c r="BE40" i="1"/>
  <c r="BE41" i="1"/>
  <c r="BF234" i="1"/>
  <c r="BF42" i="1"/>
  <c r="BF245" i="1" s="1"/>
  <c r="BF48" i="1"/>
  <c r="BJ43" i="1"/>
  <c r="BD55" i="1"/>
  <c r="BO41" i="1"/>
  <c r="BO40" i="1"/>
  <c r="AL114" i="1"/>
  <c r="AL113" i="1"/>
  <c r="AI38" i="1"/>
  <c r="AL55" i="1"/>
  <c r="AU41" i="1"/>
  <c r="AU40" i="1"/>
  <c r="BC38" i="1"/>
  <c r="BF55" i="1"/>
  <c r="BR38" i="1"/>
  <c r="BR55" i="1"/>
  <c r="AV38" i="1"/>
  <c r="AX55" i="1"/>
  <c r="BJ113" i="1"/>
  <c r="BJ114" i="1"/>
  <c r="BJ55" i="1"/>
  <c r="BG38" i="1"/>
  <c r="BH55" i="1"/>
  <c r="BQ42" i="1"/>
  <c r="BQ245" i="1" s="1"/>
  <c r="BQ48" i="1"/>
  <c r="BQ234" i="1"/>
  <c r="AW48" i="1"/>
  <c r="AW234" i="1"/>
  <c r="AW42" i="1"/>
  <c r="AW245" i="1" s="1"/>
  <c r="AZ40" i="1"/>
  <c r="AZ41" i="1"/>
  <c r="BX113" i="1"/>
  <c r="BX114" i="1"/>
  <c r="BZ55" i="1"/>
  <c r="BW38" i="1"/>
  <c r="BH113" i="1"/>
  <c r="BH114" i="1"/>
  <c r="BZ113" i="1"/>
  <c r="BZ114" i="1"/>
  <c r="AR38" i="1"/>
  <c r="AR55" i="1"/>
  <c r="AT55" i="1"/>
  <c r="BV38" i="1"/>
  <c r="BY55" i="1"/>
  <c r="BA38" i="1"/>
  <c r="BB55" i="1"/>
  <c r="AT38" i="1"/>
  <c r="AV55" i="1"/>
  <c r="BU38" i="1"/>
  <c r="BX55" i="1"/>
  <c r="BJ48" i="1"/>
  <c r="BJ42" i="1"/>
  <c r="BJ245" i="1" s="1"/>
  <c r="BJ234" i="1"/>
  <c r="BV41" i="1"/>
  <c r="BV40" i="1"/>
  <c r="BM38" i="1"/>
  <c r="BP55" i="1"/>
  <c r="BN55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AS48" i="1"/>
  <c r="AS42" i="1"/>
  <c r="AS245" i="1" s="1"/>
  <c r="BU43" i="1"/>
  <c r="AS234" i="1"/>
  <c r="AW43" i="1"/>
  <c r="BP48" i="1"/>
  <c r="BP43" i="1"/>
  <c r="BP234" i="1"/>
  <c r="BP42" i="1"/>
  <c r="BP245" i="1" s="1"/>
  <c r="BI41" i="1"/>
  <c r="BI44" i="1" s="1"/>
  <c r="BI40" i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D48" i="1"/>
  <c r="BD234" i="1"/>
  <c r="BD42" i="1"/>
  <c r="BD245" i="1" s="1"/>
  <c r="BE44" i="1"/>
  <c r="BO43" i="1"/>
  <c r="AP44" i="1"/>
  <c r="AO48" i="1"/>
  <c r="AO43" i="1"/>
  <c r="BH43" i="1"/>
  <c r="AO234" i="1"/>
  <c r="AS43" i="1"/>
  <c r="AO42" i="1"/>
  <c r="AO245" i="1" s="1"/>
  <c r="BN41" i="1"/>
  <c r="BN40" i="1"/>
  <c r="AQ41" i="1"/>
  <c r="AQ40" i="1"/>
  <c r="BT41" i="1"/>
  <c r="BT40" i="1"/>
  <c r="AN41" i="1"/>
  <c r="AN40" i="1"/>
  <c r="BH48" i="1"/>
  <c r="BL43" i="1"/>
  <c r="BH234" i="1"/>
  <c r="BH42" i="1"/>
  <c r="BH245" i="1" s="1"/>
  <c r="AX41" i="1"/>
  <c r="AX40" i="1"/>
  <c r="BB41" i="1"/>
  <c r="BB40" i="1"/>
  <c r="BS234" i="1"/>
  <c r="BS42" i="1"/>
  <c r="BS245" i="1" s="1"/>
  <c r="BS48" i="1"/>
  <c r="CS194" i="1"/>
  <c r="CS132" i="1"/>
  <c r="CR203" i="1"/>
  <c r="CR201" i="1" s="1"/>
  <c r="AC125" i="1"/>
  <c r="AC128" i="1" s="1"/>
  <c r="AC249" i="1" s="1"/>
  <c r="BO234" i="1" l="1"/>
  <c r="BO42" i="1"/>
  <c r="BO245" i="1" s="1"/>
  <c r="BO48" i="1"/>
  <c r="BP44" i="1"/>
  <c r="AI41" i="1"/>
  <c r="AI40" i="1"/>
  <c r="AU42" i="1"/>
  <c r="AU245" i="1" s="1"/>
  <c r="AU234" i="1"/>
  <c r="AY43" i="1"/>
  <c r="AU48" i="1"/>
  <c r="BR41" i="1"/>
  <c r="BR40" i="1"/>
  <c r="BW41" i="1"/>
  <c r="BW43" i="1" s="1"/>
  <c r="BW40" i="1"/>
  <c r="AV40" i="1"/>
  <c r="AV41" i="1"/>
  <c r="BG40" i="1"/>
  <c r="BG41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AZ42" i="1"/>
  <c r="AZ245" i="1" s="1"/>
  <c r="AZ48" i="1"/>
  <c r="AZ234" i="1"/>
  <c r="BA41" i="1"/>
  <c r="BE43" i="1" s="1"/>
  <c r="BA40" i="1"/>
  <c r="AT40" i="1"/>
  <c r="AT41" i="1"/>
  <c r="AT44" i="1" s="1"/>
  <c r="BU41" i="1"/>
  <c r="BU40" i="1"/>
  <c r="BD43" i="1"/>
  <c r="AR40" i="1"/>
  <c r="AR41" i="1"/>
  <c r="BJ66" i="1"/>
  <c r="BJ52" i="1"/>
  <c r="BJ193" i="1"/>
  <c r="BJ195" i="1" s="1"/>
  <c r="BZ43" i="1"/>
  <c r="BV234" i="1"/>
  <c r="BV48" i="1"/>
  <c r="BV42" i="1"/>
  <c r="BV245" i="1" s="1"/>
  <c r="BA44" i="1"/>
  <c r="BA43" i="1"/>
  <c r="BM40" i="1"/>
  <c r="BM41" i="1"/>
  <c r="AU227" i="1"/>
  <c r="BK52" i="1"/>
  <c r="BK193" i="1"/>
  <c r="BK195" i="1" s="1"/>
  <c r="BK119" i="1"/>
  <c r="BK120" i="1" s="1"/>
  <c r="BK66" i="1"/>
  <c r="AP193" i="1"/>
  <c r="AP195" i="1" s="1"/>
  <c r="AP66" i="1"/>
  <c r="AP52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P52" i="1"/>
  <c r="BP193" i="1"/>
  <c r="BP195" i="1" s="1"/>
  <c r="BP66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AO193" i="1"/>
  <c r="AO195" i="1" s="1"/>
  <c r="AO66" i="1"/>
  <c r="AO119" i="1"/>
  <c r="AO120" i="1" s="1"/>
  <c r="AO52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Q227" i="1"/>
  <c r="BB42" i="1"/>
  <c r="BB245" i="1" s="1"/>
  <c r="BF43" i="1"/>
  <c r="BB234" i="1"/>
  <c r="BB48" i="1"/>
  <c r="BC44" i="1"/>
  <c r="BB227" i="1"/>
  <c r="BC227" i="1"/>
  <c r="BE227" i="1"/>
  <c r="BB43" i="1"/>
  <c r="AX48" i="1"/>
  <c r="AX234" i="1"/>
  <c r="AX42" i="1"/>
  <c r="AX245" i="1" s="1"/>
  <c r="AZ227" i="1"/>
  <c r="AX44" i="1"/>
  <c r="AY44" i="1"/>
  <c r="BA227" i="1"/>
  <c r="BH52" i="1"/>
  <c r="BH66" i="1"/>
  <c r="BH193" i="1"/>
  <c r="BH195" i="1" s="1"/>
  <c r="BT227" i="1"/>
  <c r="BT44" i="1"/>
  <c r="BH227" i="1"/>
  <c r="BG43" i="1"/>
  <c r="BG227" i="1"/>
  <c r="BG44" i="1"/>
  <c r="BI227" i="1"/>
  <c r="BW44" i="1"/>
  <c r="BY227" i="1"/>
  <c r="BS193" i="1"/>
  <c r="BS195" i="1" s="1"/>
  <c r="BS52" i="1"/>
  <c r="BS119" i="1"/>
  <c r="BS120" i="1" s="1"/>
  <c r="BS66" i="1"/>
  <c r="CS134" i="1"/>
  <c r="AC206" i="1"/>
  <c r="CA226" i="1"/>
  <c r="CB226" i="1"/>
  <c r="BU226" i="1"/>
  <c r="BA48" i="1" l="1"/>
  <c r="BA42" i="1"/>
  <c r="BA245" i="1" s="1"/>
  <c r="BA234" i="1"/>
  <c r="AT42" i="1"/>
  <c r="AT245" i="1" s="1"/>
  <c r="AT234" i="1"/>
  <c r="AT48" i="1"/>
  <c r="AU44" i="1"/>
  <c r="BS44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BR42" i="1"/>
  <c r="BR245" i="1" s="1"/>
  <c r="BR234" i="1"/>
  <c r="BR48" i="1"/>
  <c r="BR207" i="1" s="1"/>
  <c r="BR205" i="1" s="1"/>
  <c r="BV43" i="1"/>
  <c r="AZ43" i="1"/>
  <c r="AV234" i="1"/>
  <c r="AV48" i="1"/>
  <c r="AY227" i="1"/>
  <c r="AW227" i="1"/>
  <c r="BQ54" i="1"/>
  <c r="BB44" i="1"/>
  <c r="BQ129" i="1"/>
  <c r="BQ55" i="1" s="1"/>
  <c r="AW92" i="1"/>
  <c r="AV42" i="1"/>
  <c r="AV245" i="1" s="1"/>
  <c r="AW44" i="1"/>
  <c r="BQ92" i="1"/>
  <c r="BD227" i="1"/>
  <c r="AX43" i="1"/>
  <c r="BQ207" i="1"/>
  <c r="BQ205" i="1" s="1"/>
  <c r="AW207" i="1"/>
  <c r="AW205" i="1" s="1"/>
  <c r="BK43" i="1"/>
  <c r="BG48" i="1"/>
  <c r="BG42" i="1"/>
  <c r="BG245" i="1" s="1"/>
  <c r="BH44" i="1"/>
  <c r="BG234" i="1"/>
  <c r="BJ227" i="1"/>
  <c r="BX227" i="1"/>
  <c r="BW234" i="1"/>
  <c r="BX44" i="1"/>
  <c r="BW48" i="1"/>
  <c r="X61" i="1"/>
  <c r="CA43" i="1"/>
  <c r="BW42" i="1"/>
  <c r="BW245" i="1" s="1"/>
  <c r="BZ227" i="1"/>
  <c r="AW129" i="1"/>
  <c r="AW55" i="1" s="1"/>
  <c r="AZ193" i="1"/>
  <c r="AZ195" i="1" s="1"/>
  <c r="AZ52" i="1"/>
  <c r="AZ66" i="1"/>
  <c r="BV44" i="1"/>
  <c r="BU48" i="1"/>
  <c r="BU234" i="1"/>
  <c r="BU42" i="1"/>
  <c r="BU245" i="1" s="1"/>
  <c r="BY43" i="1"/>
  <c r="AR234" i="1"/>
  <c r="AR48" i="1"/>
  <c r="AR42" i="1"/>
  <c r="AR245" i="1" s="1"/>
  <c r="AS44" i="1"/>
  <c r="BN227" i="1"/>
  <c r="BN44" i="1"/>
  <c r="BO227" i="1"/>
  <c r="BP227" i="1"/>
  <c r="BV52" i="1"/>
  <c r="BV66" i="1"/>
  <c r="BV193" i="1"/>
  <c r="BV195" i="1" s="1"/>
  <c r="BA119" i="1"/>
  <c r="BA120" i="1" s="1"/>
  <c r="BA54" i="1" s="1"/>
  <c r="BA66" i="1"/>
  <c r="BA193" i="1"/>
  <c r="BA195" i="1" s="1"/>
  <c r="BA52" i="1"/>
  <c r="AT52" i="1"/>
  <c r="AT193" i="1"/>
  <c r="AT195" i="1" s="1"/>
  <c r="AT66" i="1"/>
  <c r="BM42" i="1"/>
  <c r="BM245" i="1" s="1"/>
  <c r="BM44" i="1"/>
  <c r="BQ43" i="1"/>
  <c r="BM234" i="1"/>
  <c r="BM48" i="1"/>
  <c r="BM227" i="1"/>
  <c r="BK54" i="1"/>
  <c r="BK92" i="1"/>
  <c r="BL207" i="1"/>
  <c r="BL205" i="1" s="1"/>
  <c r="BK207" i="1"/>
  <c r="BK205" i="1" s="1"/>
  <c r="BK129" i="1"/>
  <c r="BK55" i="1" s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AX207" i="1"/>
  <c r="AX205" i="1" s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P207" i="1"/>
  <c r="AP205" i="1" s="1"/>
  <c r="AO92" i="1"/>
  <c r="AO129" i="1"/>
  <c r="AO55" i="1" s="1"/>
  <c r="AO207" i="1"/>
  <c r="AO205" i="1" s="1"/>
  <c r="BT54" i="1"/>
  <c r="BR52" i="1"/>
  <c r="BR193" i="1"/>
  <c r="BR195" i="1" s="1"/>
  <c r="BR66" i="1"/>
  <c r="BR54" i="1"/>
  <c r="V61" i="1"/>
  <c r="AW54" i="1"/>
  <c r="BV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AV193" i="1"/>
  <c r="AV195" i="1" s="1"/>
  <c r="AV52" i="1"/>
  <c r="AV66" i="1"/>
  <c r="AV54" i="1"/>
  <c r="Q61" i="1"/>
  <c r="AX54" i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BB54" i="1"/>
  <c r="R61" i="1"/>
  <c r="BE54" i="1"/>
  <c r="AQ119" i="1"/>
  <c r="AQ120" i="1" s="1"/>
  <c r="AQ193" i="1"/>
  <c r="AQ195" i="1" s="1"/>
  <c r="AQ52" i="1"/>
  <c r="AQ66" i="1"/>
  <c r="AS54" i="1"/>
  <c r="AR54" i="1"/>
  <c r="AT54" i="1"/>
  <c r="P61" i="1"/>
  <c r="BH54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AU54" i="1" l="1"/>
  <c r="AV207" i="1"/>
  <c r="AV205" i="1" s="1"/>
  <c r="AY54" i="1"/>
  <c r="BD54" i="1"/>
  <c r="BG52" i="1"/>
  <c r="BG66" i="1"/>
  <c r="BG119" i="1"/>
  <c r="BG120" i="1" s="1"/>
  <c r="BJ54" i="1"/>
  <c r="BG193" i="1"/>
  <c r="BG195" i="1" s="1"/>
  <c r="T61" i="1"/>
  <c r="AW95" i="1"/>
  <c r="AW94" i="1"/>
  <c r="AW96" i="1"/>
  <c r="BU66" i="1"/>
  <c r="BU193" i="1"/>
  <c r="BU195" i="1" s="1"/>
  <c r="BU52" i="1"/>
  <c r="BU119" i="1"/>
  <c r="BU120" i="1" s="1"/>
  <c r="AR66" i="1"/>
  <c r="AR193" i="1"/>
  <c r="AR195" i="1" s="1"/>
  <c r="AR52" i="1"/>
  <c r="BV69" i="1"/>
  <c r="BA92" i="1"/>
  <c r="BA129" i="1"/>
  <c r="BA55" i="1" s="1"/>
  <c r="BA207" i="1"/>
  <c r="BA205" i="1" s="1"/>
  <c r="BB207" i="1"/>
  <c r="BB205" i="1" s="1"/>
  <c r="BM193" i="1"/>
  <c r="BM195" i="1" s="1"/>
  <c r="BM119" i="1"/>
  <c r="BM120" i="1" s="1"/>
  <c r="BM52" i="1"/>
  <c r="BM66" i="1"/>
  <c r="BN54" i="1"/>
  <c r="BP54" i="1"/>
  <c r="BO54" i="1"/>
  <c r="U61" i="1"/>
  <c r="BK96" i="1"/>
  <c r="BK94" i="1"/>
  <c r="BK9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BQ69" i="1"/>
  <c r="AQ69" i="1"/>
  <c r="AN69" i="1"/>
  <c r="AP69" i="1"/>
  <c r="AO69" i="1"/>
  <c r="BG69" i="1"/>
  <c r="BH69" i="1"/>
  <c r="BI69" i="1"/>
  <c r="BE69" i="1"/>
  <c r="BE86" i="1" s="1"/>
  <c r="BD69" i="1"/>
  <c r="BB69" i="1"/>
  <c r="BC69" i="1"/>
  <c r="BZ69" i="1"/>
  <c r="BY69" i="1"/>
  <c r="BW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G207" i="1" l="1"/>
  <c r="BG205" i="1" s="1"/>
  <c r="BG54" i="1"/>
  <c r="BJ69" i="1"/>
  <c r="BF89" i="1" s="1"/>
  <c r="BX69" i="1"/>
  <c r="BG129" i="1"/>
  <c r="BG55" i="1" s="1"/>
  <c r="BG92" i="1"/>
  <c r="BH207" i="1"/>
  <c r="BH205" i="1" s="1"/>
  <c r="BU54" i="1"/>
  <c r="BU129" i="1"/>
  <c r="BU55" i="1" s="1"/>
  <c r="BU92" i="1"/>
  <c r="BU207" i="1"/>
  <c r="BU205" i="1" s="1"/>
  <c r="BV207" i="1"/>
  <c r="BV205" i="1" s="1"/>
  <c r="AU69" i="1"/>
  <c r="AT69" i="1"/>
  <c r="AT86" i="1" s="1"/>
  <c r="AR69" i="1"/>
  <c r="AS69" i="1"/>
  <c r="BR89" i="1"/>
  <c r="BV87" i="1"/>
  <c r="BV86" i="1"/>
  <c r="BV85" i="1"/>
  <c r="BN69" i="1"/>
  <c r="BP69" i="1"/>
  <c r="BT70" i="1" s="1"/>
  <c r="BO69" i="1"/>
  <c r="BS70" i="1" s="1"/>
  <c r="BM69" i="1"/>
  <c r="BM70" i="1" s="1"/>
  <c r="BA96" i="1"/>
  <c r="BA94" i="1"/>
  <c r="BA95" i="1"/>
  <c r="BN207" i="1"/>
  <c r="BN205" i="1" s="1"/>
  <c r="BM92" i="1"/>
  <c r="BM129" i="1"/>
  <c r="BM55" i="1" s="1"/>
  <c r="BM207" i="1"/>
  <c r="BM205" i="1" s="1"/>
  <c r="BM54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CD70" i="1"/>
  <c r="BZ87" i="1"/>
  <c r="AN87" i="1"/>
  <c r="AR70" i="1"/>
  <c r="AN86" i="1"/>
  <c r="AN85" i="1"/>
  <c r="BO70" i="1"/>
  <c r="CA70" i="1"/>
  <c r="BS89" i="1"/>
  <c r="BW87" i="1"/>
  <c r="BE87" i="1"/>
  <c r="BI70" i="1"/>
  <c r="BE85" i="1"/>
  <c r="BJ86" i="1"/>
  <c r="BJ70" i="1"/>
  <c r="AU70" i="1"/>
  <c r="AQ70" i="1"/>
  <c r="AQ87" i="1"/>
  <c r="BQ85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BW86" i="1"/>
  <c r="AM89" i="1"/>
  <c r="BC87" i="1"/>
  <c r="AY89" i="1"/>
  <c r="BG70" i="1"/>
  <c r="BC86" i="1"/>
  <c r="BC85" i="1"/>
  <c r="BI87" i="1"/>
  <c r="BI85" i="1"/>
  <c r="BI86" i="1"/>
  <c r="BE89" i="1"/>
  <c r="AO87" i="1"/>
  <c r="AO85" i="1"/>
  <c r="AS70" i="1"/>
  <c r="AO86" i="1"/>
  <c r="BP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Y85" i="1"/>
  <c r="BZ86" i="1"/>
  <c r="CC90" i="1" s="1"/>
  <c r="BA89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AX86" i="1"/>
  <c r="BB70" i="1"/>
  <c r="AX85" i="1"/>
  <c r="AT89" i="1"/>
  <c r="AX87" i="1"/>
  <c r="BX70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X86" i="1" l="1"/>
  <c r="BT89" i="1"/>
  <c r="BX87" i="1"/>
  <c r="CB70" i="1"/>
  <c r="BX85" i="1"/>
  <c r="BJ85" i="1"/>
  <c r="AY70" i="1"/>
  <c r="BJ87" i="1"/>
  <c r="BN70" i="1"/>
  <c r="BL89" i="1"/>
  <c r="BG94" i="1"/>
  <c r="BG96" i="1"/>
  <c r="BG95" i="1"/>
  <c r="BU95" i="1"/>
  <c r="BU96" i="1"/>
  <c r="BU94" i="1"/>
  <c r="AX70" i="1"/>
  <c r="BO85" i="1"/>
  <c r="BK89" i="1"/>
  <c r="BO86" i="1"/>
  <c r="BO87" i="1"/>
  <c r="AP89" i="1"/>
  <c r="BQ70" i="1"/>
  <c r="BP86" i="1"/>
  <c r="BP87" i="1"/>
  <c r="BP85" i="1"/>
  <c r="AS86" i="1"/>
  <c r="AO89" i="1"/>
  <c r="AS87" i="1"/>
  <c r="AS85" i="1"/>
  <c r="AW70" i="1"/>
  <c r="AT87" i="1"/>
  <c r="AT85" i="1"/>
  <c r="AU87" i="1"/>
  <c r="AU86" i="1"/>
  <c r="AQ89" i="1"/>
  <c r="AU85" i="1"/>
  <c r="AN89" i="1"/>
  <c r="AR87" i="1"/>
  <c r="AR86" i="1"/>
  <c r="AR85" i="1"/>
  <c r="AV70" i="1"/>
  <c r="BR70" i="1"/>
  <c r="BJ89" i="1"/>
  <c r="BN87" i="1"/>
  <c r="BN85" i="1"/>
  <c r="BN86" i="1"/>
  <c r="BM86" i="1"/>
  <c r="BM87" i="1"/>
  <c r="BM85" i="1"/>
  <c r="BI89" i="1"/>
  <c r="BM94" i="1"/>
  <c r="BM96" i="1"/>
  <c r="BM95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Q90" i="1" l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16" i="1"/>
  <c r="CU26" i="1"/>
  <c r="CU23" i="1" s="1"/>
  <c r="CU144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10" i="1" l="1"/>
  <c r="CY231" i="1"/>
  <c r="CU156" i="1"/>
  <c r="CU148" i="1"/>
  <c r="CU157" i="1" s="1"/>
  <c r="CU15" i="1"/>
  <c r="CU18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" i="1" s="1"/>
  <c r="CY153" i="1"/>
  <c r="CY146" i="1"/>
  <c r="CY152" i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8" i="1"/>
  <c r="CY28" i="1"/>
  <c r="CY19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4" i="1" l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85" i="1"/>
  <c r="AA108" i="1"/>
  <c r="AA111" i="1"/>
  <c r="AA114" i="1"/>
  <c r="AA107" i="1"/>
  <c r="AA110" i="1"/>
  <c r="AA113" i="1"/>
  <c r="AA87" i="1"/>
  <c r="AA86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Z108" i="1"/>
  <c r="Z111" i="1"/>
  <c r="Z114" i="1"/>
  <c r="Z99" i="1"/>
  <c r="Z107" i="1"/>
  <c r="Z110" i="1"/>
  <c r="Z113" i="1"/>
  <c r="Z92" i="1"/>
  <c r="Z66" i="1"/>
  <c r="X63" i="1"/>
  <c r="Y65" i="1"/>
  <c r="AC65" i="1"/>
  <c r="AD63" i="1"/>
  <c r="Z95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8" i="1"/>
  <c r="Z69" i="1"/>
  <c r="Z96" i="1"/>
  <c r="Z94" i="1"/>
  <c r="Z104" i="1"/>
  <c r="AC99" i="1"/>
  <c r="AB92" i="1"/>
  <c r="AC107" i="1"/>
  <c r="Z102" i="1"/>
  <c r="Z103" i="1"/>
  <c r="E65" i="1"/>
  <c r="E66" i="1"/>
  <c r="E69" i="1"/>
  <c r="AC102" i="1"/>
  <c r="P65" i="1"/>
  <c r="P92" i="1"/>
  <c r="P95" i="1"/>
  <c r="AD99" i="1"/>
  <c r="AC92" i="1"/>
  <c r="AD103" i="1"/>
  <c r="E92" i="1"/>
  <c r="E96" i="1"/>
  <c r="X99" i="1"/>
  <c r="X107" i="1"/>
  <c r="X110" i="1"/>
  <c r="X113" i="1"/>
  <c r="X92" i="1"/>
  <c r="X108" i="1"/>
  <c r="X111" i="1"/>
  <c r="X114" i="1"/>
  <c r="X66" i="1"/>
  <c r="Y68" i="1"/>
  <c r="Y69" i="1"/>
  <c r="Y103" i="1"/>
  <c r="Y102" i="1"/>
  <c r="Y104" i="1"/>
  <c r="Y95" i="1"/>
  <c r="Y94" i="1"/>
  <c r="Y96" i="1"/>
  <c r="Z86" i="1"/>
  <c r="Z87" i="1"/>
  <c r="Z85" i="1"/>
  <c r="Y85" i="1"/>
  <c r="Y86" i="1"/>
  <c r="Y87" i="1"/>
  <c r="X69" i="1"/>
  <c r="Y70" i="1"/>
  <c r="X68" i="1"/>
  <c r="X95" i="1"/>
  <c r="X94" i="1"/>
  <c r="X96" i="1"/>
  <c r="Z70" i="1"/>
  <c r="X104" i="1"/>
  <c r="X103" i="1"/>
  <c r="X102" i="1"/>
  <c r="X85" i="1"/>
  <c r="X87" i="1"/>
  <c r="X86" i="1"/>
  <c r="Q65" i="1"/>
  <c r="Q99" i="1"/>
  <c r="N65" i="1"/>
  <c r="N66" i="1"/>
  <c r="N69" i="1"/>
  <c r="H65" i="1"/>
  <c r="H99" i="1"/>
  <c r="V65" i="1"/>
  <c r="V99" i="1"/>
  <c r="G65" i="1"/>
  <c r="G66" i="1"/>
  <c r="G69" i="1"/>
  <c r="L65" i="1"/>
  <c r="K65" i="1"/>
  <c r="I65" i="1"/>
  <c r="I99" i="1"/>
  <c r="U65" i="1"/>
  <c r="U99" i="1"/>
  <c r="F65" i="1"/>
  <c r="F99" i="1"/>
  <c r="R65" i="1"/>
  <c r="R99" i="1"/>
  <c r="J65" i="1"/>
  <c r="T65" i="1"/>
  <c r="E99" i="1"/>
  <c r="S65" i="1"/>
  <c r="R66" i="1"/>
  <c r="R69" i="1"/>
  <c r="K99" i="1"/>
  <c r="L99" i="1"/>
  <c r="T99" i="1"/>
  <c r="P99" i="1"/>
  <c r="G99" i="1"/>
  <c r="S99" i="1"/>
  <c r="J99" i="1"/>
  <c r="N99" i="1"/>
  <c r="U66" i="1"/>
  <c r="U69" i="1"/>
  <c r="Q66" i="1"/>
  <c r="W65" i="1"/>
  <c r="W99" i="1"/>
  <c r="F66" i="1"/>
  <c r="F69" i="1"/>
  <c r="S66" i="1"/>
  <c r="V66" i="1"/>
  <c r="T66" i="1"/>
  <c r="T69" i="1"/>
  <c r="K66" i="1"/>
  <c r="J66" i="1"/>
  <c r="J69" i="1"/>
  <c r="I66" i="1"/>
  <c r="H66" i="1"/>
  <c r="M65" i="1"/>
  <c r="M66" i="1"/>
  <c r="O65" i="1"/>
  <c r="P66" i="1"/>
  <c r="K69" i="1"/>
  <c r="U70" i="1"/>
  <c r="H69" i="1"/>
  <c r="V69" i="1"/>
  <c r="N70" i="1"/>
  <c r="I69" i="1"/>
  <c r="AB99" i="1"/>
  <c r="AE99" i="1"/>
  <c r="I87" i="1"/>
  <c r="O92" i="1"/>
  <c r="AB95" i="1"/>
  <c r="AC104" i="1"/>
  <c r="AD108" i="1"/>
  <c r="AD111" i="1"/>
  <c r="AE108" i="1"/>
  <c r="G92" i="1"/>
  <c r="E107" i="1"/>
  <c r="E110" i="1"/>
  <c r="E113" i="1"/>
  <c r="N92" i="1"/>
  <c r="P96" i="1"/>
  <c r="R108" i="1"/>
  <c r="R111" i="1"/>
  <c r="R114" i="1"/>
  <c r="V108" i="1"/>
  <c r="V111" i="1"/>
  <c r="V114" i="1"/>
  <c r="G94" i="1"/>
  <c r="G96" i="1"/>
  <c r="N94" i="1"/>
  <c r="AB94" i="1"/>
  <c r="AE102" i="1"/>
  <c r="AC96" i="1"/>
  <c r="AD102" i="1"/>
  <c r="AC94" i="1"/>
  <c r="AE107" i="1"/>
  <c r="AE110" i="1"/>
  <c r="AE113" i="1"/>
  <c r="AC95" i="1"/>
  <c r="AB66" i="1"/>
  <c r="AB103" i="1"/>
  <c r="AC66" i="1"/>
  <c r="AC69" i="1"/>
  <c r="AC70" i="1"/>
  <c r="AC87" i="1"/>
  <c r="AE92" i="1"/>
  <c r="J70" i="1"/>
  <c r="L66" i="1"/>
  <c r="L69" i="1"/>
  <c r="V102" i="1"/>
  <c r="M69" i="1"/>
  <c r="M85" i="1"/>
  <c r="M68" i="1"/>
  <c r="R68" i="1"/>
  <c r="Q89" i="1"/>
  <c r="Q69" i="1"/>
  <c r="Q87" i="1"/>
  <c r="K68" i="1"/>
  <c r="I68" i="1"/>
  <c r="W103" i="1"/>
  <c r="L68" i="1"/>
  <c r="H108" i="1"/>
  <c r="S68" i="1"/>
  <c r="F68" i="1"/>
  <c r="O99" i="1"/>
  <c r="O103" i="1"/>
  <c r="H102" i="1"/>
  <c r="V103" i="1"/>
  <c r="H68" i="1"/>
  <c r="N68" i="1"/>
  <c r="E102" i="1"/>
  <c r="G68" i="1"/>
  <c r="S69" i="1"/>
  <c r="R89" i="1"/>
  <c r="Q68" i="1"/>
  <c r="Q102" i="1"/>
  <c r="G89" i="1"/>
  <c r="U68" i="1"/>
  <c r="T68" i="1"/>
  <c r="E89" i="1"/>
  <c r="M89" i="1"/>
  <c r="I103" i="1"/>
  <c r="J89" i="1"/>
  <c r="L102" i="1"/>
  <c r="V68" i="1"/>
  <c r="W102" i="1"/>
  <c r="K89" i="1"/>
  <c r="J68" i="1"/>
  <c r="O102" i="1"/>
  <c r="E68" i="1"/>
  <c r="P68" i="1"/>
  <c r="O66" i="1"/>
  <c r="O68" i="1"/>
  <c r="L70" i="1"/>
  <c r="Q104" i="1"/>
  <c r="Q108" i="1"/>
  <c r="E87" i="1"/>
  <c r="O104" i="1"/>
  <c r="O108" i="1"/>
  <c r="R107" i="1"/>
  <c r="R103" i="1"/>
  <c r="R86" i="1"/>
  <c r="R70" i="1"/>
  <c r="K70" i="1"/>
  <c r="P89" i="1"/>
  <c r="Q70" i="1"/>
  <c r="H70" i="1"/>
  <c r="H87" i="1"/>
  <c r="F70" i="1"/>
  <c r="H86" i="1"/>
  <c r="D89" i="1"/>
  <c r="M99" i="1"/>
  <c r="M102" i="1"/>
  <c r="U89" i="1"/>
  <c r="V85" i="1"/>
  <c r="V70" i="1"/>
  <c r="O69" i="1"/>
  <c r="S86" i="1"/>
  <c r="S70" i="1"/>
  <c r="T70" i="1"/>
  <c r="M70" i="1"/>
  <c r="I86" i="1"/>
  <c r="I70" i="1"/>
  <c r="H89" i="1"/>
  <c r="L85" i="1"/>
  <c r="L87" i="1"/>
  <c r="L108" i="1"/>
  <c r="L104" i="1"/>
  <c r="P103" i="1"/>
  <c r="P69" i="1"/>
  <c r="P86" i="1"/>
  <c r="P107" i="1"/>
  <c r="K87" i="1"/>
  <c r="K108" i="1"/>
  <c r="K104" i="1"/>
  <c r="U87" i="1"/>
  <c r="U104" i="1"/>
  <c r="U108" i="1"/>
  <c r="J102" i="1"/>
  <c r="J85" i="1"/>
  <c r="T87" i="1"/>
  <c r="T108" i="1"/>
  <c r="T104" i="1"/>
  <c r="R104" i="1"/>
  <c r="H107" i="1"/>
  <c r="H103" i="1"/>
  <c r="T85" i="1"/>
  <c r="M87" i="1"/>
  <c r="J104" i="1"/>
  <c r="J87" i="1"/>
  <c r="U85" i="1"/>
  <c r="U102" i="1"/>
  <c r="S89" i="1"/>
  <c r="P102" i="1"/>
  <c r="N107" i="1"/>
  <c r="N103" i="1"/>
  <c r="N86" i="1"/>
  <c r="L103" i="1"/>
  <c r="K85" i="1"/>
  <c r="U86" i="1"/>
  <c r="R85" i="1"/>
  <c r="S108" i="1"/>
  <c r="E108" i="1"/>
  <c r="P104" i="1"/>
  <c r="K86" i="1"/>
  <c r="F87" i="1"/>
  <c r="U92" i="1"/>
  <c r="K107" i="1"/>
  <c r="K110" i="1"/>
  <c r="K113" i="1"/>
  <c r="AB107" i="1"/>
  <c r="AC103" i="1"/>
  <c r="AD114" i="1"/>
  <c r="M108" i="1"/>
  <c r="M111" i="1"/>
  <c r="M114" i="1"/>
  <c r="L92" i="1"/>
  <c r="H111" i="1"/>
  <c r="H114" i="1"/>
  <c r="R110" i="1"/>
  <c r="R113" i="1"/>
  <c r="H110" i="1"/>
  <c r="J107" i="1"/>
  <c r="J110" i="1"/>
  <c r="J113" i="1"/>
  <c r="Q111" i="1"/>
  <c r="Q114" i="1"/>
  <c r="U107" i="1"/>
  <c r="U110" i="1"/>
  <c r="U113" i="1"/>
  <c r="E111" i="1"/>
  <c r="U96" i="1"/>
  <c r="O95" i="1"/>
  <c r="G95" i="1"/>
  <c r="N110" i="1"/>
  <c r="L96" i="1"/>
  <c r="E94" i="1"/>
  <c r="W108" i="1"/>
  <c r="W111" i="1"/>
  <c r="W114" i="1"/>
  <c r="AC86" i="1"/>
  <c r="AE111" i="1"/>
  <c r="AB68" i="1"/>
  <c r="AE103" i="1"/>
  <c r="AD104" i="1"/>
  <c r="N96" i="1"/>
  <c r="E95" i="1"/>
  <c r="L107" i="1"/>
  <c r="L86" i="1"/>
  <c r="I102" i="1"/>
  <c r="K102" i="1"/>
  <c r="S85" i="1"/>
  <c r="V104" i="1"/>
  <c r="V87" i="1"/>
  <c r="R102" i="1"/>
  <c r="S104" i="1"/>
  <c r="H92" i="1"/>
  <c r="T92" i="1"/>
  <c r="W66" i="1"/>
  <c r="W69" i="1"/>
  <c r="X89" i="1"/>
  <c r="W85" i="1"/>
  <c r="Y89" i="1"/>
  <c r="AB102" i="1"/>
  <c r="Z89" i="1"/>
  <c r="AB104" i="1"/>
  <c r="AB96" i="1"/>
  <c r="AB108" i="1"/>
  <c r="AB111" i="1"/>
  <c r="AB114" i="1"/>
  <c r="AB89" i="1"/>
  <c r="AC108" i="1"/>
  <c r="AC111" i="1"/>
  <c r="AC114" i="1"/>
  <c r="AD66" i="1"/>
  <c r="AD69" i="1"/>
  <c r="AC89" i="1"/>
  <c r="AD92" i="1"/>
  <c r="AD87" i="1"/>
  <c r="AD107" i="1"/>
  <c r="AD110" i="1"/>
  <c r="AE104" i="1"/>
  <c r="AE66" i="1"/>
  <c r="AE69" i="1"/>
  <c r="AE86" i="1"/>
  <c r="AE87" i="1"/>
  <c r="E104" i="1"/>
  <c r="F107" i="1"/>
  <c r="F103" i="1"/>
  <c r="F85" i="1"/>
  <c r="J103" i="1"/>
  <c r="P108" i="1"/>
  <c r="K103" i="1"/>
  <c r="F104" i="1"/>
  <c r="F108" i="1"/>
  <c r="I108" i="1"/>
  <c r="V86" i="1"/>
  <c r="E86" i="1"/>
  <c r="Q85" i="1"/>
  <c r="G107" i="1"/>
  <c r="M103" i="1"/>
  <c r="I89" i="1"/>
  <c r="O89" i="1"/>
  <c r="E103" i="1"/>
  <c r="J86" i="1"/>
  <c r="V107" i="1"/>
  <c r="I104" i="1"/>
  <c r="F86" i="1"/>
  <c r="Q86" i="1"/>
  <c r="M92" i="1"/>
  <c r="T111" i="1"/>
  <c r="T114" i="1"/>
  <c r="R92" i="1"/>
  <c r="R94" i="1"/>
  <c r="G86" i="1"/>
  <c r="I107" i="1"/>
  <c r="O107" i="1"/>
  <c r="T103" i="1"/>
  <c r="T86" i="1"/>
  <c r="G103" i="1"/>
  <c r="G85" i="1"/>
  <c r="G102" i="1"/>
  <c r="G104" i="1"/>
  <c r="G87" i="1"/>
  <c r="G108" i="1"/>
  <c r="N85" i="1"/>
  <c r="N102" i="1"/>
  <c r="H85" i="1"/>
  <c r="F89" i="1"/>
  <c r="T89" i="1"/>
  <c r="E85" i="1"/>
  <c r="M86" i="1"/>
  <c r="T107" i="1"/>
  <c r="H104" i="1"/>
  <c r="M107" i="1"/>
  <c r="W107" i="1"/>
  <c r="N104" i="1"/>
  <c r="N108" i="1"/>
  <c r="N87" i="1"/>
  <c r="Q107" i="1"/>
  <c r="W104" i="1"/>
  <c r="Q103" i="1"/>
  <c r="I92" i="1"/>
  <c r="F92" i="1"/>
  <c r="J92" i="1"/>
  <c r="K92" i="1"/>
  <c r="S92" i="1"/>
  <c r="Q92" i="1"/>
  <c r="V92" i="1"/>
  <c r="P70" i="1"/>
  <c r="N89" i="1"/>
  <c r="O86" i="1"/>
  <c r="O87" i="1"/>
  <c r="O70" i="1"/>
  <c r="O85" i="1"/>
  <c r="R87" i="1"/>
  <c r="T102" i="1"/>
  <c r="M104" i="1"/>
  <c r="J108" i="1"/>
  <c r="S103" i="1"/>
  <c r="S107" i="1"/>
  <c r="P85" i="1"/>
  <c r="L89" i="1"/>
  <c r="I85" i="1"/>
  <c r="S102" i="1"/>
  <c r="U103" i="1"/>
  <c r="S87" i="1"/>
  <c r="F102" i="1"/>
  <c r="P87" i="1"/>
  <c r="T110" i="1"/>
  <c r="Q95" i="1"/>
  <c r="E70" i="1"/>
  <c r="W92" i="1"/>
  <c r="W110" i="1"/>
  <c r="AB69" i="1"/>
  <c r="AB110" i="1"/>
  <c r="AE94" i="1"/>
  <c r="V95" i="1"/>
  <c r="M96" i="1"/>
  <c r="J111" i="1"/>
  <c r="J114" i="1"/>
  <c r="F111" i="1"/>
  <c r="F114" i="1"/>
  <c r="U111" i="1"/>
  <c r="L110" i="1"/>
  <c r="L113" i="1"/>
  <c r="M95" i="1"/>
  <c r="I110" i="1"/>
  <c r="I113" i="1"/>
  <c r="F110" i="1"/>
  <c r="Q110" i="1"/>
  <c r="K111" i="1"/>
  <c r="K114" i="1"/>
  <c r="L111" i="1"/>
  <c r="M110" i="1"/>
  <c r="O110" i="1"/>
  <c r="N111" i="1"/>
  <c r="I96" i="1"/>
  <c r="K96" i="1"/>
  <c r="P94" i="1"/>
  <c r="P110" i="1"/>
  <c r="V110" i="1"/>
  <c r="S110" i="1"/>
  <c r="S111" i="1"/>
  <c r="S114" i="1"/>
  <c r="O94" i="1"/>
  <c r="O111" i="1"/>
  <c r="I111" i="1"/>
  <c r="V89" i="1"/>
  <c r="AC110" i="1"/>
  <c r="AD89" i="1"/>
  <c r="AE114" i="1"/>
  <c r="AD94" i="1"/>
  <c r="AE96" i="1"/>
  <c r="J94" i="1"/>
  <c r="AB70" i="1"/>
  <c r="AC113" i="1"/>
  <c r="G70" i="1"/>
  <c r="H95" i="1"/>
  <c r="P111" i="1"/>
  <c r="P114" i="1"/>
  <c r="X70" i="1"/>
  <c r="AB85" i="1"/>
  <c r="AC68" i="1"/>
  <c r="AD70" i="1"/>
  <c r="AD86" i="1"/>
  <c r="AE85" i="1"/>
  <c r="K95" i="1"/>
  <c r="U114" i="1"/>
  <c r="M94" i="1"/>
  <c r="H94" i="1"/>
  <c r="G110" i="1"/>
  <c r="G113" i="1"/>
  <c r="I94" i="1"/>
  <c r="F95" i="1"/>
  <c r="J95" i="1"/>
  <c r="S96" i="1"/>
  <c r="L114" i="1"/>
  <c r="V94" i="1"/>
  <c r="N114" i="1"/>
  <c r="F94" i="1"/>
  <c r="P113" i="1"/>
  <c r="V113" i="1"/>
  <c r="U95" i="1"/>
  <c r="T94" i="1"/>
  <c r="O96" i="1"/>
  <c r="G111" i="1"/>
  <c r="G114" i="1"/>
  <c r="L94" i="1"/>
  <c r="N95" i="1"/>
  <c r="W89" i="1"/>
  <c r="W70" i="1"/>
  <c r="AB86" i="1"/>
  <c r="T113" i="1"/>
  <c r="W113" i="1"/>
  <c r="AB113" i="1"/>
  <c r="R96" i="1"/>
  <c r="H96" i="1"/>
  <c r="I95" i="1"/>
  <c r="F96" i="1"/>
  <c r="S95" i="1"/>
  <c r="H113" i="1"/>
  <c r="M113" i="1"/>
  <c r="O113" i="1"/>
  <c r="J96" i="1"/>
  <c r="Q96" i="1"/>
  <c r="E114" i="1"/>
  <c r="U94" i="1"/>
  <c r="T95" i="1"/>
  <c r="S113" i="1"/>
  <c r="N113" i="1"/>
  <c r="L95" i="1"/>
  <c r="W87" i="1"/>
  <c r="W95" i="1"/>
  <c r="AC85" i="1"/>
  <c r="AD96" i="1"/>
  <c r="AD95" i="1"/>
  <c r="AE95" i="1"/>
  <c r="AD113" i="1"/>
  <c r="K94" i="1"/>
  <c r="W94" i="1"/>
  <c r="W68" i="1"/>
  <c r="W86" i="1"/>
  <c r="W96" i="1"/>
  <c r="AD85" i="1"/>
  <c r="Q94" i="1"/>
  <c r="V96" i="1"/>
  <c r="R95" i="1"/>
  <c r="F113" i="1"/>
  <c r="Q113" i="1"/>
  <c r="S94" i="1"/>
  <c r="T96" i="1"/>
  <c r="O114" i="1"/>
  <c r="I114" i="1"/>
  <c r="AA89" i="1"/>
  <c r="AE70" i="1"/>
  <c r="AB87" i="1"/>
  <c r="AE68" i="1"/>
  <c r="AD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<sst xmlns="http://schemas.openxmlformats.org/spreadsheetml/2006/main" count="663" uniqueCount="524">
  <si>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</si>
  <si>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</si>
  <si>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</si>
  <si>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</si>
  <si>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</si>
  <si>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</si>
  <si>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</si>
  <si>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</si>
  <si>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</si>
  <si>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</si>
  <si>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</si>
  <si>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</si>
  <si>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</si>
  <si>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</si>
  <si>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</si>
  <si>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</si>
  <si>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</si>
  <si>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</si>
  <si>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</si>
  <si>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</si>
  <si>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</si>
  <si>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</si>
  <si>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</si>
  <si>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</si>
  <si>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</si>
  <si>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</si>
  <si>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</si>
  <si>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</si>
  <si>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</si>
  <si>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</si>
  <si>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</si>
  <si>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</si>
  <si>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</si>
  <si>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</si>
  <si>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</si>
  <si>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</si>
  <si>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</si>
  <si>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</si>
  <si>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</si>
  <si>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</si>
  <si>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</si>
  <si>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</si>
  <si>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</si>
  <si>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</si>
  <si>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</si>
  <si>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</si>
  <si>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</si>
  <si>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</si>
  <si>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</si>
  <si>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</si>
  <si>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</si>
  <si>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</si>
  <si>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</si>
  <si>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</si>
  <si>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</si>
  <si>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</si>
  <si>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</si>
  <si>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</si>
  <si>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</si>
  <si>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</si>
  <si>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</si>
  <si>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</si>
  <si>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</si>
  <si>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</si>
  <si>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</si>
  <si>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</si>
  <si>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</si>
  <si>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</si>
  <si>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</si>
  <si>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</si>
  <si>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</si>
  <si>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</si>
  <si>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</si>
  <si>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</si>
  <si>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</si>
  <si>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</si>
  <si>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</si>
  <si>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</si>
  <si>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</si>
  <si>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</si>
  <si>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</si>
  <si>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</si>
  <si>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</si>
  <si>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</si>
  <si>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</si>
  <si>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</si>
  <si>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</si>
  <si>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</si>
  <si>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</si>
  <si>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</si>
  <si>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</si>
  <si>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</si>
  <si>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</si>
  <si>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</si>
  <si>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</si>
  <si>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</si>
  <si>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</si>
  <si>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</si>
  <si>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</si>
  <si>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</si>
  <si>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</si>
  <si>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</si>
  <si>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</si>
  <si>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</si>
  <si>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</si>
  <si>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</si>
  <si>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</si>
  <si>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</si>
  <si>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</si>
  <si>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</si>
  <si>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</si>
  <si>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</si>
  <si>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</si>
  <si>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</si>
  <si>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</si>
  <si>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</si>
  <si>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</si>
  <si>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</si>
  <si>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</si>
  <si>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</si>
  <si>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</si>
  <si>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</si>
  <si>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</si>
  <si>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</si>
  <si>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</si>
  <si>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</si>
  <si>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</si>
  <si>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</si>
  <si>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</si>
  <si>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</si>
  <si>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</si>
  <si>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</si>
  <si>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</si>
  <si>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</si>
  <si>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</si>
  <si>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</si>
  <si>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</si>
  <si>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</si>
  <si>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</si>
  <si>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</si>
  <si>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</si>
  <si>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</si>
  <si>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</si>
  <si>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</si>
  <si>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</si>
  <si>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</si>
  <si>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</si>
  <si>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</si>
  <si>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</si>
  <si>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</si>
  <si>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</si>
  <si>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</si>
  <si>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</si>
  <si>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</si>
  <si>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</si>
  <si>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</si>
  <si>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</si>
  <si>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</si>
  <si>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</si>
  <si>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</si>
  <si>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</si>
  <si>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</si>
  <si>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</si>
  <si>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</si>
  <si>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</si>
  <si>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</si>
  <si>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</si>
  <si>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</si>
  <si>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</si>
  <si>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</si>
  <si>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</si>
  <si>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</si>
  <si>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</si>
  <si>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</si>
  <si>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</si>
  <si>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</si>
  <si>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</si>
  <si>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</si>
  <si>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</si>
  <si>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</si>
  <si>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</si>
  <si>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</si>
  <si>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</si>
  <si>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</si>
  <si>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</si>
  <si>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</si>
  <si>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</si>
  <si>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</si>
  <si>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</si>
  <si>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</si>
  <si>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</si>
  <si>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</si>
  <si>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</si>
  <si>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</si>
  <si>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</si>
  <si>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</si>
  <si>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</si>
  <si>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</si>
  <si>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</si>
  <si>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</si>
  <si>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</si>
  <si>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</si>
  <si>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</si>
  <si>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</si>
  <si>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</si>
  <si>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</si>
  <si>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</si>
  <si>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</si>
  <si>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</si>
  <si>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</si>
  <si>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</si>
  <si>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</si>
  <si>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</si>
  <si>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</si>
  <si>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</si>
  <si>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</si>
  <si>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</si>
  <si>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</si>
  <si>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</si>
  <si>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</si>
  <si>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</si>
  <si>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</si>
  <si>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</si>
  <si>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</si>
  <si>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</si>
  <si>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</si>
  <si>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</si>
  <si>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</si>
  <si>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</si>
  <si>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</si>
  <si>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</si>
  <si>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</si>
  <si>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</si>
  <si>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</si>
  <si>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</si>
  <si>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</si>
  <si>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</si>
  <si>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</si>
  <si>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</si>
  <si>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</si>
  <si>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</si>
  <si>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</si>
  <si>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</si>
  <si>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</si>
  <si>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</si>
  <si>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</si>
  <si>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</si>
  <si>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</si>
  <si>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</si>
  <si>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</si>
  <si>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</si>
  <si>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</si>
  <si>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</si>
  <si>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</si>
  <si>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</si>
  <si>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</si>
  <si>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</si>
  <si>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</si>
  <si>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</si>
  <si>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</si>
  <si>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</si>
  <si>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</si>
  <si>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</si>
  <si>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</si>
  <si>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</si>
  <si>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</si>
  <si>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</si>
  <si>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</si>
  <si>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</si>
  <si>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</si>
  <si>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</si>
  <si>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</si>
  <si>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</si>
  <si>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</si>
  <si>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</si>
  <si>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</si>
  <si>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</si>
  <si>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</si>
  <si>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</si>
  <si>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</si>
  <si>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</si>
  <si>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</si>
  <si>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</si>
  <si>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</si>
  <si>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</si>
  <si>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</si>
  <si>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</si>
  <si>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</si>
  <si>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</si>
  <si>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</si>
  <si>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</si>
  <si>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</si>
  <si>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</si>
  <si>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</si>
  <si>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</si>
  <si>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</si>
  <si>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</si>
  <si>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</si>
  <si>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</si>
  <si>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</si>
  <si>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</si>
  <si>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</si>
  <si>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</si>
  <si>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</si>
  <si>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</si>
  <si>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</si>
  <si>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</si>
  <si>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</si>
  <si>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</si>
  <si>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</si>
  <si>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</si>
  <si>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</si>
  <si>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</si>
  <si>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</si>
  <si>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</si>
  <si>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</si>
  <si>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</si>
  <si>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</si>
  <si>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</si>
  <si>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</si>
  <si>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</si>
  <si>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</si>
  <si>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</si>
  <si>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</si>
  <si>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</si>
  <si>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</si>
  <si>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</si>
  <si>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</si>
  <si>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</si>
  <si>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</si>
  <si>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</si>
  <si>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</si>
  <si>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</si>
  <si>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</si>
  <si>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</si>
  <si>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</si>
  <si>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</si>
  <si>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</si>
  <si>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</si>
  <si>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</si>
  <si>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</si>
  <si>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</si>
  <si>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</si>
  <si>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</si>
  <si>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</si>
  <si>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</si>
  <si>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</si>
  <si>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</si>
  <si>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</si>
  <si>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</si>
  <si>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</si>
  <si>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</si>
  <si>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</si>
  <si>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</si>
  <si>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</si>
  <si>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</si>
  <si>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</si>
  <si>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</si>
  <si>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</si>
  <si>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</si>
  <si>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</si>
  <si>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</si>
  <si>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</si>
  <si>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</si>
  <si>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</si>
  <si>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</si>
  <si>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</si>
  <si>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</si>
  <si>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</si>
  <si>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</si>
  <si>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</si>
  <si>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</si>
  <si>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</si>
  <si>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</si>
  <si>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</si>
  <si>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</si>
  <si>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</si>
  <si>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</si>
  <si>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</si>
  <si>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</si>
  <si>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</si>
  <si>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</si>
  <si>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</si>
  <si>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</si>
  <si>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</si>
  <si>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</si>
  <si>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</si>
  <si>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</si>
  <si>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</si>
  <si>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</si>
  <si>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</si>
  <si>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</si>
  <si>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</si>
  <si>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</si>
  <si>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</si>
  <si>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</si>
  <si>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</si>
  <si>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</si>
  <si>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</si>
  <si>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</si>
  <si>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</si>
  <si>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</si>
  <si>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</si>
  <si>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</si>
  <si>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</si>
  <si>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</si>
  <si>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</si>
  <si>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</si>
  <si>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</si>
  <si>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</si>
  <si>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</si>
  <si>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</si>
  <si>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</si>
  <si>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</si>
  <si>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</si>
  <si>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</si>
  <si>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</si>
  <si>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</si>
  <si>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</si>
  <si>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</si>
  <si>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</si>
  <si>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</si>
  <si>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</si>
  <si>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</si>
  <si>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</si>
  <si>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</si>
  <si>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</si>
  <si>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</si>
  <si>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</si>
  <si>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</si>
  <si>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</si>
  <si>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</si>
  <si>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</si>
  <si>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</si>
  <si>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</si>
  <si>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</si>
  <si>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</si>
  <si>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</si>
  <si>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</si>
  <si>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</si>
  <si>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</si>
  <si>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</si>
  <si>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</si>
  <si>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</si>
  <si>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</si>
  <si>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</si>
  <si>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</si>
  <si>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</si>
  <si>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</si>
  <si>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</si>
  <si>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</si>
  <si>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</si>
  <si>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</si>
  <si>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</si>
  <si>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</si>
  <si>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</si>
  <si>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</si>
  <si>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</si>
  <si>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</si>
  <si>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</si>
  <si>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</si>
  <si>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</si>
  <si>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</si>
  <si>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</si>
  <si>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</si>
  <si>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</si>
  <si>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</si>
  <si>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</si>
  <si>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</si>
  <si>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</si>
  <si>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</si>
  <si>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</si>
  <si>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</si>
  <si>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</si>
  <si>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</si>
  <si>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</si>
  <si>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</si>
  <si>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</si>
  <si>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</si>
  <si>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</si>
  <si>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</si>
  <si>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</si>
  <si>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</si>
  <si>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</si>
  <si>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</si>
  <si>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</si>
  <si>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</si>
  <si>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</si>
  <si>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</si>
  <si>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</si>
  <si>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</si>
  <si>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</si>
  <si>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</si>
  <si>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</si>
  <si>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</si>
  <si>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</si>
  <si>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</si>
  <si>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</si>
  <si>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</si>
  <si>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</si>
  <si>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</si>
  <si>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</si>
  <si>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</si>
  <si>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</si>
  <si>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</si>
  <si>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</si>
  <si>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</si>
  <si>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</si>
  <si>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</si>
  <si>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</si>
  <si>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</si>
  <si>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</si>
  <si>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</si>
  <si>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</si>
  <si>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</si>
  <si>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Benares Hotels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</si>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</sst>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139.13900000000001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139.13900000000001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2.7111539918046157E-2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10.635999999999999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128.50300000000001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0.9235584559325567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2.5439073184317262E-2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17.905999999999999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45.61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5.3610000000000007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68.876999999999995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0.49502296264886186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59.626000000000019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0.42853549328369483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5.1703239923606148E-3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6.8049999999999997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4.3662378492829876E-2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52.821000000000019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5.7640000000000002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0.38800000000000001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58.197000000000024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14.826000000000001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0.25475539976287426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43.371000000000024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0.31170987286095214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2.8092810321513895E-3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-0.13300000000000001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43.238000000000021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43.238000000000021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0.20397403941118383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0.24841743874335706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1.3</v>
      </c>
      <c r="F63" s="3">
        <f t="shared" ca="1" si="725"/>
        <v>1.3</v>
      </c>
      <c r="G63" s="3">
        <f t="shared" ca="1" si="725"/>
        <v>1.3</v>
      </c>
      <c r="H63" s="3">
        <f t="shared" ca="1" si="725"/>
        <v>1.3</v>
      </c>
      <c r="I63" s="3">
        <f t="shared" ca="1" si="725"/>
        <v>1.3</v>
      </c>
      <c r="J63" s="3">
        <f t="shared" ca="1" si="725"/>
        <v>1.3</v>
      </c>
      <c r="K63" s="3">
        <f t="shared" ca="1" si="725"/>
        <v>1.3</v>
      </c>
      <c r="L63" s="3">
        <f t="shared" ca="1" si="725"/>
        <v>1.3</v>
      </c>
      <c r="M63" s="3">
        <f t="shared" ca="1" si="725"/>
        <v>1.3</v>
      </c>
      <c r="N63" s="3">
        <f t="shared" ca="1" si="725"/>
        <v>1.3</v>
      </c>
      <c r="O63" s="3">
        <f t="shared" ca="1" si="725"/>
        <v>1.3</v>
      </c>
      <c r="P63" s="3">
        <f t="shared" ca="1" si="725"/>
        <v>1.3</v>
      </c>
      <c r="Q63" s="3">
        <f t="shared" ca="1" si="725"/>
        <v>1.3</v>
      </c>
      <c r="R63" s="3">
        <f t="shared" ca="1" si="725"/>
        <v>1.3</v>
      </c>
      <c r="S63" s="3">
        <f t="shared" ca="1" si="725"/>
        <v>1.3</v>
      </c>
      <c r="T63" s="3">
        <f t="shared" ca="1" si="725"/>
        <v>1.3</v>
      </c>
      <c r="U63" s="3">
        <f t="shared" ca="1" si="725"/>
        <v>1.3</v>
      </c>
      <c r="V63" s="3">
        <f t="shared" ca="1" si="725"/>
        <v>1.3</v>
      </c>
      <c r="W63" s="3">
        <f t="shared" ca="1" si="725"/>
        <v>1.3</v>
      </c>
      <c r="X63" s="3">
        <f t="shared" ca="1" si="725"/>
        <v>1.3</v>
      </c>
      <c r="Y63" s="3">
        <f t="shared" ca="1" si="725"/>
        <v>1.3</v>
      </c>
      <c r="Z63" s="3">
        <f ca="1">+AA63</f>
        <v>1.3</v>
      </c>
      <c r="AA63" s="3">
        <f ca="1">+AB63</f>
        <v>1.3</v>
      </c>
      <c r="AB63" s="37">
        <f t="shared" ref="AB63:AB64" ca="1" si="726">AA63</f>
        <v>1.3</v>
      </c>
      <c r="AC63" s="37">
        <f t="shared" ref="AC63:AC64" ca="1" si="727">AB63</f>
        <v>1.3</v>
      </c>
      <c r="AD63" s="37">
        <f t="shared" ref="AD63:AD64" ca="1" si="728">AC63</f>
        <v>1.3</v>
      </c>
      <c r="AE63" s="37">
        <f t="shared" ref="AE63:AE64" ca="1" si="729">AD63</f>
        <v>1.3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1.3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0.13</v>
      </c>
      <c r="F65" s="3">
        <f t="shared" ca="1" si="749"/>
        <v>0.13</v>
      </c>
      <c r="G65" s="3">
        <f t="shared" ca="1" si="749"/>
        <v>0.13</v>
      </c>
      <c r="H65" s="3">
        <f t="shared" ca="1" si="749"/>
        <v>0.13</v>
      </c>
      <c r="I65" s="3">
        <f t="shared" ca="1" si="749"/>
        <v>0.13</v>
      </c>
      <c r="J65" s="3">
        <f t="shared" ca="1" si="749"/>
        <v>0.13</v>
      </c>
      <c r="K65" s="3">
        <f t="shared" ca="1" si="749"/>
        <v>0.13</v>
      </c>
      <c r="L65" s="3">
        <f t="shared" ca="1" si="749"/>
        <v>0.13</v>
      </c>
      <c r="M65" s="3">
        <f t="shared" ca="1" si="749"/>
        <v>0.13</v>
      </c>
      <c r="N65" s="3">
        <f t="shared" ca="1" si="749"/>
        <v>0.13</v>
      </c>
      <c r="O65" s="3">
        <f t="shared" ca="1" si="749"/>
        <v>0.13</v>
      </c>
      <c r="P65" s="3">
        <f t="shared" ca="1" si="749"/>
        <v>0.13</v>
      </c>
      <c r="Q65" s="3">
        <f t="shared" ca="1" si="749"/>
        <v>0.13</v>
      </c>
      <c r="R65" s="3">
        <f t="shared" ca="1" si="749"/>
        <v>0.13</v>
      </c>
      <c r="S65" s="3">
        <f t="shared" ca="1" si="749"/>
        <v>0.13</v>
      </c>
      <c r="T65" s="3">
        <f t="shared" ca="1" si="749"/>
        <v>0.13</v>
      </c>
      <c r="U65" s="3">
        <f t="shared" ca="1" si="749"/>
        <v>0.13</v>
      </c>
      <c r="V65" s="3">
        <f ca="1">V63/V64</f>
        <v>0.13</v>
      </c>
      <c r="W65" s="3">
        <f t="shared" ca="1" si="749"/>
        <v>0.13</v>
      </c>
      <c r="X65" s="3">
        <f t="shared" ref="X65:Y65" ca="1" si="750">X63/X64</f>
        <v>0.13</v>
      </c>
      <c r="Y65" s="3">
        <f t="shared" ca="1" si="750"/>
        <v>0.13</v>
      </c>
      <c r="Z65" s="3">
        <f t="shared" ref="Z65:AA65" ca="1" si="751">Z63/Z64</f>
        <v>0.13</v>
      </c>
      <c r="AA65" s="3">
        <f t="shared" ca="1" si="751"/>
        <v>0.13</v>
      </c>
      <c r="AB65" s="37">
        <f t="shared" ref="AA65:AD65" ca="1" si="752">AB63/AB64</f>
        <v>0.13</v>
      </c>
      <c r="AC65" s="37">
        <f t="shared" ca="1" si="752"/>
        <v>0.13</v>
      </c>
      <c r="AD65" s="37">
        <f t="shared" ca="1" si="752"/>
        <v>0.13</v>
      </c>
      <c r="AE65" s="37">
        <f t="shared" ref="AE65" ca="1" si="753">AE63/AE64</f>
        <v>0.13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0.13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13.900793076923071</v>
      </c>
      <c r="F66" s="53">
        <f t="shared" ca="1" si="764"/>
        <v>20.976153846153831</v>
      </c>
      <c r="G66" s="53">
        <f t="shared" ca="1" si="764"/>
        <v>22.23698692307692</v>
      </c>
      <c r="H66" s="53">
        <f t="shared" ca="1" si="764"/>
        <v>29.748687692307687</v>
      </c>
      <c r="I66" s="53">
        <f t="shared" ca="1" si="764"/>
        <v>33.880461538461525</v>
      </c>
      <c r="J66" s="53">
        <f t="shared" ca="1" si="764"/>
        <v>24.751024615384608</v>
      </c>
      <c r="K66" s="53">
        <f t="shared" ca="1" si="764"/>
        <v>28.996836153846157</v>
      </c>
      <c r="L66" s="53">
        <f t="shared" ca="1" si="764"/>
        <v>37.727682307692298</v>
      </c>
      <c r="M66" s="53">
        <f t="shared" ca="1" si="764"/>
        <v>47.633076923076921</v>
      </c>
      <c r="N66" s="53">
        <f t="shared" ca="1" si="764"/>
        <v>65.97</v>
      </c>
      <c r="O66" s="53">
        <f t="shared" ca="1" si="764"/>
        <v>69.076153846153872</v>
      </c>
      <c r="P66" s="53">
        <f t="shared" ca="1" si="764"/>
        <v>70.970769230769221</v>
      </c>
      <c r="Q66" s="53">
        <f t="shared" ca="1" si="764"/>
        <v>65.221538461538486</v>
      </c>
      <c r="R66" s="53">
        <f t="shared" ca="1" si="764"/>
        <v>52.437692307692316</v>
      </c>
      <c r="S66" s="53">
        <f t="shared" ca="1" si="764"/>
        <v>49.868461538461482</v>
      </c>
      <c r="T66" s="53">
        <f t="shared" ca="1" si="764"/>
        <v>67.099230769230786</v>
      </c>
      <c r="U66" s="53">
        <f t="shared" ca="1" si="764"/>
        <v>81.630769230769204</v>
      </c>
      <c r="V66" s="53">
        <f t="shared" ca="1" si="764"/>
        <v>-40.220000000000013</v>
      </c>
      <c r="W66" s="53">
        <f t="shared" ca="1" si="764"/>
        <v>43.483076923076887</v>
      </c>
      <c r="X66" s="53">
        <f t="shared" ca="1" si="764"/>
        <v>179.84846153846155</v>
      </c>
      <c r="Y66" s="53">
        <f t="shared" ca="1" si="764"/>
        <v>277.25230769230768</v>
      </c>
      <c r="Z66" s="53">
        <f t="shared" ca="1" si="764"/>
        <v>332.68846153846147</v>
      </c>
      <c r="AA66" s="53">
        <f t="shared" ref="AA66" ca="1" si="765">(AA48-AA47)/AA65</f>
        <v>332.68846153846147</v>
      </c>
      <c r="AB66" s="54">
        <f t="shared" ca="1" si="764"/>
        <v>255.96094258473386</v>
      </c>
      <c r="AC66" s="54">
        <f t="shared" ca="1" si="764"/>
        <v>297.08571974890674</v>
      </c>
      <c r="AD66" s="54">
        <f t="shared" ca="1" si="764"/>
        <v>336.47882934865731</v>
      </c>
      <c r="AE66" s="54">
        <f t="shared" ca="1" si="764"/>
        <v>374.79399133817174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333.62307692307706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>
        <f t="shared" ca="1" si="770"/>
        <v>0.57550673229435578</v>
      </c>
      <c r="F68" s="3">
        <f t="shared" ca="1" si="770"/>
        <v>0.40522204701309206</v>
      </c>
      <c r="G68" s="3">
        <f t="shared" ca="1" si="770"/>
        <v>0.38224603132625579</v>
      </c>
      <c r="H68" s="3">
        <f t="shared" ca="1" si="770"/>
        <v>0.33614928172397218</v>
      </c>
      <c r="I68" s="3">
        <f t="shared" ca="1" si="770"/>
        <v>0.35418643829209495</v>
      </c>
      <c r="J68" s="3">
        <f t="shared" ca="1" si="770"/>
        <v>0.34342012632142171</v>
      </c>
      <c r="K68" s="3">
        <f t="shared" ca="1" si="770"/>
        <v>0.44832477346931771</v>
      </c>
      <c r="L68" s="3">
        <f t="shared" ca="1" si="770"/>
        <v>0.34457457243137962</v>
      </c>
      <c r="M68" s="3">
        <f t="shared" ca="1" si="770"/>
        <v>0.27291959368893626</v>
      </c>
      <c r="N68" s="3">
        <f t="shared" ca="1" si="770"/>
        <v>0.30316810671517358</v>
      </c>
      <c r="O68" s="3">
        <f t="shared" ca="1" si="770"/>
        <v>0.28953551821289758</v>
      </c>
      <c r="P68" s="3">
        <f t="shared" ca="1" si="770"/>
        <v>0.28180616071622122</v>
      </c>
      <c r="Q68" s="3">
        <f t="shared" ca="1" si="770"/>
        <v>0.30664716705194117</v>
      </c>
      <c r="R68" s="3">
        <f t="shared" ca="1" si="770"/>
        <v>0.28605377811028471</v>
      </c>
      <c r="S68" s="3">
        <f t="shared" ca="1" si="770"/>
        <v>0.30079131252988667</v>
      </c>
      <c r="T68" s="3">
        <f t="shared" ca="1" si="770"/>
        <v>0.22354950761787931</v>
      </c>
      <c r="U68" s="3">
        <f t="shared" ca="1" si="770"/>
        <v>9.1877120241236371E-2</v>
      </c>
      <c r="V68" s="3">
        <f ca="1">V67/V66</f>
        <v>0</v>
      </c>
      <c r="W68" s="3">
        <f t="shared" ref="W68" ca="1" si="771">W67/W66</f>
        <v>0.22997452589866987</v>
      </c>
      <c r="X68" s="3">
        <f t="shared" ref="X68:Y68" ca="1" si="772">X67/X66</f>
        <v>0.11120473218906515</v>
      </c>
      <c r="Y68" s="3">
        <f t="shared" ca="1" si="772"/>
        <v>9.017057498307568E-2</v>
      </c>
      <c r="Z68" s="3">
        <f t="shared" ref="Z68:AA68" ca="1" si="773">Z67/Z66</f>
        <v>7.5145377403206995E-2</v>
      </c>
      <c r="AA68" s="3">
        <f t="shared" ca="1" si="773"/>
        <v>7.5145377403206995E-2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13.900793076923071</v>
      </c>
      <c r="F69" s="3">
        <f t="shared" ca="1" si="776"/>
        <v>20.976153846153831</v>
      </c>
      <c r="G69" s="3">
        <f t="shared" ca="1" si="776"/>
        <v>22.23698692307692</v>
      </c>
      <c r="H69" s="3">
        <f t="shared" ca="1" si="776"/>
        <v>29.748687692307687</v>
      </c>
      <c r="I69" s="3">
        <f t="shared" ca="1" si="776"/>
        <v>33.880461538461525</v>
      </c>
      <c r="J69" s="3">
        <f t="shared" ca="1" si="776"/>
        <v>24.751024615384608</v>
      </c>
      <c r="K69" s="3">
        <f t="shared" ca="1" si="776"/>
        <v>28.996836153846157</v>
      </c>
      <c r="L69" s="3">
        <f t="shared" ca="1" si="776"/>
        <v>37.727682307692298</v>
      </c>
      <c r="M69" s="3">
        <f t="shared" ca="1" si="776"/>
        <v>47.633076923076921</v>
      </c>
      <c r="N69" s="3">
        <f t="shared" ca="1" si="776"/>
        <v>65.97</v>
      </c>
      <c r="O69" s="3">
        <f t="shared" ca="1" si="776"/>
        <v>69.076153846153872</v>
      </c>
      <c r="P69" s="3">
        <f t="shared" ca="1" si="776"/>
        <v>70.970769230769221</v>
      </c>
      <c r="Q69" s="3">
        <f t="shared" ca="1" si="776"/>
        <v>65.221538461538486</v>
      </c>
      <c r="R69" s="3">
        <f t="shared" ca="1" si="776"/>
        <v>52.437692307692316</v>
      </c>
      <c r="S69" s="3">
        <f t="shared" ca="1" si="776"/>
        <v>49.868461538461482</v>
      </c>
      <c r="T69" s="3">
        <f ca="1">+T66</f>
        <v>67.099230769230786</v>
      </c>
      <c r="U69" s="3">
        <f t="shared" ca="1" si="776"/>
        <v>81.630769230769204</v>
      </c>
      <c r="V69" s="3">
        <f ca="1">+V66</f>
        <v>-40.220000000000013</v>
      </c>
      <c r="W69" s="3">
        <f t="shared" ref="W69" ca="1" si="777">+W66</f>
        <v>43.483076923076887</v>
      </c>
      <c r="X69" s="3">
        <f t="shared" ref="X69:Y69" ca="1" si="778">+X66</f>
        <v>179.84846153846155</v>
      </c>
      <c r="Y69" s="3">
        <f t="shared" ca="1" si="778"/>
        <v>277.25230769230768</v>
      </c>
      <c r="Z69" s="3">
        <f t="shared" ref="Z69:AA69" ca="1" si="779">+Z66</f>
        <v>332.68846153846147</v>
      </c>
      <c r="AA69" s="3">
        <f t="shared" ca="1" si="779"/>
        <v>332.68846153846147</v>
      </c>
      <c r="AB69" s="37">
        <f t="shared" ref="AA69:AD69" ca="1" si="780">+AB66</f>
        <v>255.96094258473386</v>
      </c>
      <c r="AC69" s="37">
        <f t="shared" ca="1" si="780"/>
        <v>297.08571974890674</v>
      </c>
      <c r="AD69" s="37">
        <f t="shared" ca="1" si="780"/>
        <v>336.47882934865731</v>
      </c>
      <c r="AE69" s="37">
        <f t="shared" ref="AE69" ca="1" si="781">+AE66</f>
        <v>374.79399133817174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333.62307692307706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0.40502662945022738</v>
      </c>
      <c r="F70" s="101">
        <f t="shared" ca="1" si="846"/>
        <v>0.50898971951295935</v>
      </c>
      <c r="G70" s="101">
        <f t="shared" ca="1" si="846"/>
        <v>6.0107924749716268E-2</v>
      </c>
      <c r="H70" s="101">
        <f t="shared" ca="1" si="846"/>
        <v>0.33780209500574632</v>
      </c>
      <c r="I70" s="101">
        <f t="shared" ca="1" si="846"/>
        <v>0.13888928106305065</v>
      </c>
      <c r="J70" s="101">
        <f t="shared" ca="1" si="846"/>
        <v>-0.26946022894974631</v>
      </c>
      <c r="K70" s="101">
        <f t="shared" ca="1" si="846"/>
        <v>0.17154083939710763</v>
      </c>
      <c r="L70" s="101">
        <f t="shared" ca="1" si="846"/>
        <v>0.30109650954757949</v>
      </c>
      <c r="M70" s="101">
        <f t="shared" ca="1" si="846"/>
        <v>0.26254977802771129</v>
      </c>
      <c r="N70" s="101">
        <f t="shared" ca="1" si="846"/>
        <v>0.38496196889685574</v>
      </c>
      <c r="O70" s="101">
        <f t="shared" ca="1" si="846"/>
        <v>4.7084339035226241E-2</v>
      </c>
      <c r="P70" s="101">
        <f t="shared" ca="1" si="846"/>
        <v>2.7427922359936741E-2</v>
      </c>
      <c r="Q70" s="101">
        <f t="shared" ca="1" si="846"/>
        <v>-8.1008432507424066E-2</v>
      </c>
      <c r="R70" s="101">
        <f t="shared" ca="1" si="846"/>
        <v>-0.19600651035523908</v>
      </c>
      <c r="S70" s="101">
        <f t="shared" ca="1" si="846"/>
        <v>-4.8995877891711559E-2</v>
      </c>
      <c r="T70" s="101">
        <f t="shared" ca="1" si="846"/>
        <v>0.34552437952151238</v>
      </c>
      <c r="U70" s="101">
        <f t="shared" ca="1" si="846"/>
        <v>0.21656788453381259</v>
      </c>
      <c r="V70" s="101">
        <f t="shared" ca="1" si="846"/>
        <v>-1.4927063701470038</v>
      </c>
      <c r="W70" s="101">
        <f t="shared" ca="1" si="846"/>
        <v>-2.081130704203801</v>
      </c>
      <c r="X70" s="101">
        <f t="shared" ca="1" si="846"/>
        <v>3.1360564675912856</v>
      </c>
      <c r="Y70" s="101">
        <f t="shared" ca="1" si="846"/>
        <v>0.54158843128616807</v>
      </c>
      <c r="Z70" s="101">
        <f t="shared" ca="1" si="846"/>
        <v>0.1999483946863172</v>
      </c>
      <c r="AA70" s="101">
        <f t="shared" ca="1" si="846"/>
        <v>0.1999483946863172</v>
      </c>
      <c r="AB70" s="174">
        <f t="shared" ref="AB70" ca="1" si="847">+AB69/AA69-1</f>
        <v>-0.2327840599475367</v>
      </c>
      <c r="AC70" s="174">
        <f t="shared" ref="AC70" ca="1" si="848">+AC69/AB69-1</f>
        <v>0.16066817362402408</v>
      </c>
      <c r="AD70" s="174">
        <f t="shared" ref="AD70" ca="1" si="849">+AD69/AC69-1</f>
        <v>0.13259846226552097</v>
      </c>
      <c r="AE70" s="174">
        <f t="shared" ref="AE70" ca="1" si="850">+AE69/AD69-1</f>
        <v>0.11387094416514532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2.8092810321513895E-3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9330.4500000000007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12000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8999.9500000000007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0.28611160233429245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-3.5421657047623678E-2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>
        <f t="shared" ref="E85:AE85" ca="1" si="878">+E77/E69</f>
        <v>10.607308459600345</v>
      </c>
      <c r="F85" s="13">
        <f t="shared" ca="1" si="878"/>
        <v>13.77754959844513</v>
      </c>
      <c r="G85" s="13">
        <f t="shared" ca="1" si="878"/>
        <v>16.076818376368994</v>
      </c>
      <c r="H85" s="13">
        <f t="shared" ca="1" si="878"/>
        <v>10.958466584201492</v>
      </c>
      <c r="I85" s="13">
        <f t="shared" ca="1" si="878"/>
        <v>10.330437783519438</v>
      </c>
      <c r="J85" s="13">
        <f t="shared" ca="1" si="878"/>
        <v>10.18139668623509</v>
      </c>
      <c r="K85" s="13">
        <f t="shared" ca="1" si="878"/>
        <v>12.41514757299649</v>
      </c>
      <c r="L85" s="13">
        <f t="shared" ca="1" si="878"/>
        <v>12.485527103369337</v>
      </c>
      <c r="M85" s="13">
        <f t="shared" ca="1" si="878"/>
        <v>10.508454047769003</v>
      </c>
      <c r="N85" s="13">
        <f t="shared" ca="1" si="878"/>
        <v>8.9555858723662265</v>
      </c>
      <c r="O85" s="13">
        <f t="shared" ca="1" si="878"/>
        <v>8.6028240849007194</v>
      </c>
      <c r="P85" s="13">
        <f t="shared" ca="1" si="878"/>
        <v>17.880600897444236</v>
      </c>
      <c r="Q85" s="13">
        <f t="shared" ca="1" si="878"/>
        <v>15.271028919186671</v>
      </c>
      <c r="R85" s="13">
        <f t="shared" ca="1" si="878"/>
        <v>23.875955346271763</v>
      </c>
      <c r="S85" s="13">
        <f t="shared" ca="1" si="878"/>
        <v>23.060667293957977</v>
      </c>
      <c r="T85" s="13">
        <f t="shared" ca="1" si="878"/>
        <v>23.336333100230419</v>
      </c>
      <c r="U85" s="13">
        <f t="shared" ca="1" si="878"/>
        <v>15.840840557859032</v>
      </c>
      <c r="V85" s="13">
        <f t="shared" ca="1" si="878"/>
        <v>-31.810044753853795</v>
      </c>
      <c r="W85" s="13">
        <f t="shared" ca="1" si="878"/>
        <v>46.913653410699162</v>
      </c>
      <c r="X85" s="13">
        <f t="shared" ca="1" si="878"/>
        <v>18.057146401029925</v>
      </c>
      <c r="Y85" s="13">
        <f t="shared" ca="1" si="878"/>
        <v>31.328684230969852</v>
      </c>
      <c r="Z85" s="13">
        <f t="shared" ref="Z85:AA85" ca="1" si="879">+Z77/Z69</f>
        <v>33.626053480387064</v>
      </c>
      <c r="AA85" s="13">
        <f t="shared" ca="1" si="879"/>
        <v>33.626053480387064</v>
      </c>
      <c r="AB85" s="37">
        <f t="shared" ca="1" si="878"/>
        <v>36.452631818665964</v>
      </c>
      <c r="AC85" s="37">
        <f t="shared" ca="1" si="878"/>
        <v>31.406592036419603</v>
      </c>
      <c r="AD85" s="37">
        <f t="shared" ca="1" si="878"/>
        <v>27.729679213582394</v>
      </c>
      <c r="AE85" s="37">
        <f t="shared" ca="1" si="878"/>
        <v>24.894876160331123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27.967040188144143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>
        <f t="shared" ref="E86:AE86" ca="1" si="885">+E78/E69</f>
        <v>14.31213304874526</v>
      </c>
      <c r="F86" s="13">
        <f t="shared" ca="1" si="885"/>
        <v>14.652352488173396</v>
      </c>
      <c r="G86" s="13">
        <f t="shared" ca="1" si="885"/>
        <v>21.135957026275317</v>
      </c>
      <c r="H86" s="13">
        <f t="shared" ca="1" si="885"/>
        <v>15.546904279733713</v>
      </c>
      <c r="I86" s="13">
        <f t="shared" ca="1" si="885"/>
        <v>17.561744231983042</v>
      </c>
      <c r="J86" s="13">
        <f t="shared" ca="1" si="885"/>
        <v>18.989112867184495</v>
      </c>
      <c r="K86" s="13">
        <f t="shared" ca="1" si="885"/>
        <v>13.998078888553541</v>
      </c>
      <c r="L86" s="13">
        <f t="shared" ca="1" si="885"/>
        <v>14.896223823571951</v>
      </c>
      <c r="M86" s="13">
        <f t="shared" ca="1" si="885"/>
        <v>11.33666004554043</v>
      </c>
      <c r="N86" s="13">
        <f t="shared" ca="1" si="885"/>
        <v>9.8135516143701675</v>
      </c>
      <c r="O86" s="13">
        <f t="shared" ca="1" si="885"/>
        <v>9.3809507900978826</v>
      </c>
      <c r="P86" s="13">
        <f t="shared" ca="1" si="885"/>
        <v>30.702781210032303</v>
      </c>
      <c r="Q86" s="13">
        <f t="shared" ca="1" si="885"/>
        <v>26.214499693352824</v>
      </c>
      <c r="R86" s="13">
        <f t="shared" ca="1" si="885"/>
        <v>24.381317020933263</v>
      </c>
      <c r="S86" s="13">
        <f t="shared" ca="1" si="885"/>
        <v>27.831217510681981</v>
      </c>
      <c r="T86" s="13">
        <f t="shared" ca="1" si="885"/>
        <v>23.919797315113087</v>
      </c>
      <c r="U86" s="13">
        <f t="shared" ca="1" si="885"/>
        <v>22.087259705993223</v>
      </c>
      <c r="V86" s="13">
        <f t="shared" ca="1" si="885"/>
        <v>-34.286424664346086</v>
      </c>
      <c r="W86" s="13">
        <f t="shared" ca="1" si="885"/>
        <v>51.744268327200722</v>
      </c>
      <c r="X86" s="13">
        <f t="shared" ca="1" si="885"/>
        <v>20.5673152183676</v>
      </c>
      <c r="Y86" s="13">
        <f t="shared" ca="1" si="885"/>
        <v>36.252177966195745</v>
      </c>
      <c r="Z86" s="13">
        <f t="shared" ref="Z86:AA86" ca="1" si="886">+Z78/Z69</f>
        <v>37.572538410848694</v>
      </c>
      <c r="AA86" s="13">
        <f t="shared" ca="1" si="886"/>
        <v>37.572538410848694</v>
      </c>
      <c r="AB86" s="60">
        <f t="shared" ca="1" si="885"/>
        <v>36.0084663765928</v>
      </c>
      <c r="AC86" s="60">
        <f t="shared" ca="1" si="885"/>
        <v>29.644232321136251</v>
      </c>
      <c r="AD86" s="60">
        <f t="shared" ca="1" si="885"/>
        <v>29.644232321136222</v>
      </c>
      <c r="AE86" s="60">
        <f t="shared" ca="1" si="885"/>
        <v>29.644232321136251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35.968734868921615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>
        <f t="shared" ref="E87:AE87" ca="1" si="908">+E79/E69</f>
        <v>5.6579505618688861</v>
      </c>
      <c r="F87" s="13">
        <f t="shared" ca="1" si="908"/>
        <v>6.1998973193003089</v>
      </c>
      <c r="G87" s="13">
        <f t="shared" ca="1" si="908"/>
        <v>11.289748960524296</v>
      </c>
      <c r="H87" s="13">
        <f t="shared" ca="1" si="908"/>
        <v>8.4373469712717011</v>
      </c>
      <c r="I87" s="13">
        <f t="shared" ca="1" si="908"/>
        <v>8.9830535411832599</v>
      </c>
      <c r="J87" s="13">
        <f t="shared" ca="1" si="908"/>
        <v>9.2016392670239746</v>
      </c>
      <c r="K87" s="13">
        <f t="shared" ca="1" si="908"/>
        <v>8.4491976538448341</v>
      </c>
      <c r="L87" s="13">
        <f t="shared" ca="1" si="908"/>
        <v>9.0980939990054654</v>
      </c>
      <c r="M87" s="13">
        <f t="shared" ca="1" si="908"/>
        <v>9.489204334415323</v>
      </c>
      <c r="N87" s="13">
        <f t="shared" ca="1" si="908"/>
        <v>7.5488858572078215</v>
      </c>
      <c r="O87" s="13">
        <f t="shared" ca="1" si="908"/>
        <v>7.6010311918840934</v>
      </c>
      <c r="P87" s="13">
        <f t="shared" ca="1" si="908"/>
        <v>8.2449437471548421</v>
      </c>
      <c r="Q87" s="13">
        <f t="shared" ca="1" si="908"/>
        <v>14.627069868377594</v>
      </c>
      <c r="R87" s="13">
        <f t="shared" ca="1" si="908"/>
        <v>19.03211137027094</v>
      </c>
      <c r="S87" s="13">
        <f t="shared" ca="1" si="908"/>
        <v>21.055391877092067</v>
      </c>
      <c r="T87" s="13">
        <f t="shared" ca="1" si="908"/>
        <v>16.994978734136577</v>
      </c>
      <c r="U87" s="13">
        <f t="shared" ca="1" si="908"/>
        <v>15.020071617037321</v>
      </c>
      <c r="V87" s="13">
        <f t="shared" ca="1" si="908"/>
        <v>-28.129040278468413</v>
      </c>
      <c r="W87" s="13">
        <f t="shared" ca="1" si="908"/>
        <v>26.749486979903789</v>
      </c>
      <c r="X87" s="13">
        <f t="shared" ca="1" si="908"/>
        <v>8.8963785751252118</v>
      </c>
      <c r="Y87" s="13">
        <f t="shared" ca="1" si="908"/>
        <v>11.361492447867535</v>
      </c>
      <c r="Z87" s="13">
        <f t="shared" ref="Z87:AA87" ca="1" si="909">+Z79/Z69</f>
        <v>22.243031711349268</v>
      </c>
      <c r="AA87" s="13">
        <f t="shared" ca="1" si="909"/>
        <v>22.243031711349268</v>
      </c>
      <c r="AB87" s="60">
        <f t="shared" ca="1" si="908"/>
        <v>27.609301145926992</v>
      </c>
      <c r="AC87" s="60">
        <f t="shared" ca="1" si="908"/>
        <v>24.849079976759061</v>
      </c>
      <c r="AD87" s="60">
        <f t="shared" ca="1" si="908"/>
        <v>25.184387163102066</v>
      </c>
      <c r="AE87" s="60">
        <f t="shared" ca="1" si="908"/>
        <v>25.466507953612954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26.976401281962591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>
        <f t="shared" ca="1" si="914"/>
        <v>8.4887243013417475</v>
      </c>
      <c r="E89" s="13">
        <f t="shared" ca="1" si="914"/>
        <v>9.4845795592064306</v>
      </c>
      <c r="F89" s="13">
        <f t="shared" ca="1" si="914"/>
        <v>13.821566791544084</v>
      </c>
      <c r="G89" s="13">
        <f t="shared" ca="1" si="914"/>
        <v>15.799016241026692</v>
      </c>
      <c r="H89" s="13">
        <f t="shared" ca="1" si="914"/>
        <v>13.650935642507827</v>
      </c>
      <c r="I89" s="13">
        <f t="shared" ca="1" si="914"/>
        <v>24.039408842499519</v>
      </c>
      <c r="J89" s="13">
        <f t="shared" ca="1" si="914"/>
        <v>16.20866488696764</v>
      </c>
      <c r="K89" s="13">
        <f t="shared" ca="1" si="914"/>
        <v>10.758678380761307</v>
      </c>
      <c r="L89" s="13">
        <f t="shared" ca="1" si="914"/>
        <v>11.798523973321707</v>
      </c>
      <c r="M89" s="13">
        <f t="shared" ca="1" si="914"/>
        <v>8.1855388813096859</v>
      </c>
      <c r="N89" s="13">
        <f t="shared" ca="1" si="914"/>
        <v>9.3722647245514938</v>
      </c>
      <c r="O89" s="13">
        <f t="shared" ca="1" si="914"/>
        <v>9.1305196072055672</v>
      </c>
      <c r="P89" s="13">
        <f t="shared" ca="1" si="914"/>
        <v>33.409208850308993</v>
      </c>
      <c r="Q89" s="13">
        <f t="shared" ca="1" si="914"/>
        <v>32.605363141603952</v>
      </c>
      <c r="R89" s="13">
        <f t="shared" ca="1" si="914"/>
        <v>25.637446204630674</v>
      </c>
      <c r="S89" s="13">
        <f t="shared" ca="1" si="914"/>
        <v>20.684290774856983</v>
      </c>
      <c r="T89" s="13">
        <f t="shared" ca="1" si="914"/>
        <v>19.661703731624584</v>
      </c>
      <c r="U89" s="13">
        <f t="shared" ca="1" si="914"/>
        <v>-44.828443560417689</v>
      </c>
      <c r="V89" s="13">
        <f t="shared" ca="1" si="914"/>
        <v>31.713487121426578</v>
      </c>
      <c r="W89" s="13">
        <f t="shared" ca="1" si="914"/>
        <v>12.510532371269829</v>
      </c>
      <c r="X89" s="13">
        <f t="shared" ca="1" si="914"/>
        <v>13.341638274495878</v>
      </c>
      <c r="Y89" s="13">
        <f t="shared" ca="1" si="914"/>
        <v>30.211447531185339</v>
      </c>
      <c r="Z89" s="13">
        <f t="shared" ref="Z89:AA89" ca="1" si="915">+Z78/AA69</f>
        <v>37.467282285398063</v>
      </c>
      <c r="AA89" s="13">
        <f t="shared" ca="1" si="915"/>
        <v>37.467282285398063</v>
      </c>
      <c r="AB89" s="37">
        <f t="shared" ca="1" si="914"/>
        <v>31.023911221896782</v>
      </c>
      <c r="AC89" s="37">
        <f t="shared" ca="1" si="914"/>
        <v>26.173646979741878</v>
      </c>
      <c r="AD89" s="37">
        <f t="shared" ca="1" si="914"/>
        <v>26.613704645428918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46.882152717606495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101.38974230769232</v>
      </c>
      <c r="F92" s="162">
        <f t="shared" ca="1" si="919"/>
        <v>112.67358846153846</v>
      </c>
      <c r="G92" s="162">
        <f t="shared" ca="1" si="919"/>
        <v>125.21826769230768</v>
      </c>
      <c r="H92" s="162">
        <f t="shared" ca="1" si="919"/>
        <v>143.26745538461537</v>
      </c>
      <c r="I92" s="162">
        <f t="shared" ca="1" si="919"/>
        <v>163.10851692307691</v>
      </c>
      <c r="J92" s="162">
        <f t="shared" ca="1" si="919"/>
        <v>177.91496615384617</v>
      </c>
      <c r="K92" s="162">
        <f t="shared" ca="1" si="919"/>
        <v>191.75266461538462</v>
      </c>
      <c r="L92" s="162">
        <f t="shared" ca="1" si="919"/>
        <v>214.32120923076923</v>
      </c>
      <c r="M92" s="162">
        <f t="shared" ca="1" si="919"/>
        <v>243.35846153846154</v>
      </c>
      <c r="N92" s="162">
        <f t="shared" ca="1" si="919"/>
        <v>285.92923076923074</v>
      </c>
      <c r="O92" s="162">
        <f t="shared" ca="1" si="919"/>
        <v>331.6061538461538</v>
      </c>
      <c r="P92" s="162">
        <f t="shared" ca="1" si="919"/>
        <v>378.50538461538463</v>
      </c>
      <c r="Q92" s="162">
        <f t="shared" ca="1" si="919"/>
        <v>443.39230769230767</v>
      </c>
      <c r="R92" s="162">
        <f t="shared" ca="1" si="919"/>
        <v>470.48076923076917</v>
      </c>
      <c r="S92" s="162">
        <f t="shared" ca="1" si="919"/>
        <v>502.37846153846158</v>
      </c>
      <c r="T92" s="162">
        <f t="shared" ca="1" si="919"/>
        <v>551.556923076923</v>
      </c>
      <c r="U92" s="162">
        <f t="shared" ca="1" si="919"/>
        <v>602.40615384615376</v>
      </c>
      <c r="V92" s="162">
        <f t="shared" ca="1" si="919"/>
        <v>555.65076923076924</v>
      </c>
      <c r="W92" s="162">
        <f t="shared" ca="1" si="919"/>
        <v>598.74538461538464</v>
      </c>
      <c r="X92" s="162">
        <f t="shared" ca="1" si="919"/>
        <v>767.49923076923073</v>
      </c>
      <c r="Y92" s="162">
        <f t="shared" ca="1" si="919"/>
        <v>1023.0492307692309</v>
      </c>
      <c r="Z92" s="162">
        <f t="shared" ca="1" si="919"/>
        <v>1328.5838461538463</v>
      </c>
      <c r="AA92" s="162">
        <f t="shared" ca="1" si="919"/>
        <v>1328.5838461538463</v>
      </c>
      <c r="AB92" s="21">
        <f t="shared" ca="1" si="919"/>
        <v>1891.5763272001186</v>
      </c>
      <c r="AC92" s="21">
        <f t="shared" ca="1" si="919"/>
        <v>2188.6620469490254</v>
      </c>
      <c r="AD92" s="21">
        <f t="shared" ca="1" si="919"/>
        <v>2525.1408762976821</v>
      </c>
      <c r="AE92" s="21">
        <f t="shared" ca="1" si="919"/>
        <v>2899.9348676358545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1635.6153846153848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1.4542891287022548</v>
      </c>
      <c r="F94" s="162">
        <f t="shared" ca="1" si="922"/>
        <v>2.5649311781585018</v>
      </c>
      <c r="G94" s="162">
        <f t="shared" ca="1" si="922"/>
        <v>2.8550147401692709</v>
      </c>
      <c r="H94" s="162">
        <f t="shared" ca="1" si="922"/>
        <v>2.2754644390438945</v>
      </c>
      <c r="I94" s="162">
        <f t="shared" ca="1" si="922"/>
        <v>2.1458106946374995</v>
      </c>
      <c r="J94" s="162">
        <f t="shared" ca="1" si="922"/>
        <v>1.416406980524006</v>
      </c>
      <c r="K94" s="162">
        <f t="shared" ca="1" si="922"/>
        <v>1.877418500139667</v>
      </c>
      <c r="L94" s="162">
        <f t="shared" ca="1" si="922"/>
        <v>2.1978692715045267</v>
      </c>
      <c r="M94" s="162">
        <f t="shared" ca="1" si="922"/>
        <v>2.0568423914074208</v>
      </c>
      <c r="N94" s="162">
        <f t="shared" ca="1" si="922"/>
        <v>2.0662455475803587</v>
      </c>
      <c r="O94" s="162">
        <f t="shared" ca="1" si="922"/>
        <v>1.792035500872212</v>
      </c>
      <c r="P94" s="162">
        <f t="shared" ca="1" si="922"/>
        <v>3.3526603625189764</v>
      </c>
      <c r="Q94" s="162">
        <f t="shared" ca="1" si="922"/>
        <v>2.246317725230305</v>
      </c>
      <c r="R94" s="162">
        <f t="shared" ca="1" si="922"/>
        <v>2.6611077048845293</v>
      </c>
      <c r="S94" s="162">
        <f t="shared" ca="1" si="922"/>
        <v>2.2891108756499849</v>
      </c>
      <c r="T94" s="162">
        <f t="shared" ca="1" si="922"/>
        <v>2.8389635493372607</v>
      </c>
      <c r="U94" s="162">
        <f t="shared" ca="1" si="922"/>
        <v>2.1465584170148433</v>
      </c>
      <c r="V94" s="162">
        <f t="shared" ca="1" si="922"/>
        <v>2.3025253825728944</v>
      </c>
      <c r="W94" s="162">
        <f t="shared" ca="1" si="922"/>
        <v>3.4070408764994493</v>
      </c>
      <c r="X94" s="162">
        <f t="shared" ca="1" si="922"/>
        <v>4.2313397457677233</v>
      </c>
      <c r="Y94" s="162">
        <f t="shared" ca="1" si="922"/>
        <v>8.4902561272335184</v>
      </c>
      <c r="Z94" s="162">
        <f t="shared" ca="1" si="922"/>
        <v>8.4202438802681154</v>
      </c>
      <c r="AA94" s="162">
        <f t="shared" ref="AA94" ca="1" si="923">+AA77/AA$92</f>
        <v>8.4202438802681154</v>
      </c>
      <c r="AB94" s="21">
        <f t="shared" ca="1" si="922"/>
        <v>4.9326320412408551</v>
      </c>
      <c r="AC94" s="21">
        <f t="shared" ca="1" si="922"/>
        <v>4.2630839297490271</v>
      </c>
      <c r="AD94" s="21">
        <f t="shared" ca="1" si="922"/>
        <v>3.6950215679372889</v>
      </c>
      <c r="AE94" s="21">
        <f t="shared" ca="1" si="922"/>
        <v>3.2174688142587717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5.704550157550675</v>
      </c>
    </row>
    <row r="95" spans="1:110" s="162" customFormat="1" x14ac:dyDescent="0.2">
      <c r="A95" s="49" t="s">
        <v>503</v>
      </c>
      <c r="E95" s="162">
        <f t="shared" ca="1" si="922"/>
        <v>1.9622300586999903</v>
      </c>
      <c r="F95" s="162">
        <f t="shared" ca="1" si="922"/>
        <v>2.7277909951799848</v>
      </c>
      <c r="G95" s="162">
        <f t="shared" ca="1" si="922"/>
        <v>3.7534459521106496</v>
      </c>
      <c r="H95" s="162">
        <f t="shared" ca="1" si="922"/>
        <v>3.2282279234901878</v>
      </c>
      <c r="I95" s="162">
        <f t="shared" ca="1" si="922"/>
        <v>3.6478781808837493</v>
      </c>
      <c r="J95" s="162">
        <f t="shared" ca="1" si="922"/>
        <v>2.6417114319296942</v>
      </c>
      <c r="K95" s="162">
        <f t="shared" ca="1" si="922"/>
        <v>2.1167893589074747</v>
      </c>
      <c r="L95" s="162">
        <f t="shared" ca="1" si="922"/>
        <v>2.6222323120380935</v>
      </c>
      <c r="M95" s="162">
        <f t="shared" ca="1" si="922"/>
        <v>2.2189489388872383</v>
      </c>
      <c r="N95" s="162">
        <f t="shared" ca="1" si="922"/>
        <v>2.2641966274602647</v>
      </c>
      <c r="O95" s="162">
        <f t="shared" ca="1" si="922"/>
        <v>1.9541253757933417</v>
      </c>
      <c r="P95" s="162">
        <f t="shared" ca="1" si="922"/>
        <v>5.7568533726783686</v>
      </c>
      <c r="Q95" s="162">
        <f t="shared" ca="1" si="922"/>
        <v>3.8560659946912792</v>
      </c>
      <c r="R95" s="162">
        <f t="shared" ca="1" si="922"/>
        <v>2.7174330676476601</v>
      </c>
      <c r="S95" s="162">
        <f t="shared" ca="1" si="922"/>
        <v>2.7626582472300991</v>
      </c>
      <c r="T95" s="162">
        <f t="shared" ca="1" si="922"/>
        <v>2.9099444370062932</v>
      </c>
      <c r="U95" s="162">
        <f t="shared" ca="1" si="922"/>
        <v>2.9929973133383054</v>
      </c>
      <c r="V95" s="162">
        <f t="shared" ca="1" si="922"/>
        <v>2.481774662004081</v>
      </c>
      <c r="W95" s="162">
        <f t="shared" ca="1" si="922"/>
        <v>3.7578577769669654</v>
      </c>
      <c r="X95" s="162">
        <f t="shared" ca="1" si="922"/>
        <v>4.8195488043586119</v>
      </c>
      <c r="Y95" s="162">
        <f t="shared" ca="1" si="922"/>
        <v>9.8245516419993315</v>
      </c>
      <c r="Z95" s="162">
        <f t="shared" ca="1" si="922"/>
        <v>9.4084765791684486</v>
      </c>
      <c r="AA95" s="162">
        <f t="shared" ref="AA95" ca="1" si="926">+AA78/AA$92</f>
        <v>9.4084765791684486</v>
      </c>
      <c r="AB95" s="21">
        <f t="shared" ca="1" si="922"/>
        <v>4.8725292562874767</v>
      </c>
      <c r="AC95" s="21">
        <f t="shared" ca="1" si="922"/>
        <v>4.0238638522586321</v>
      </c>
      <c r="AD95" s="21">
        <f t="shared" ca="1" si="922"/>
        <v>3.9501386564143761</v>
      </c>
      <c r="AE95" s="21">
        <f t="shared" ca="1" si="922"/>
        <v>3.8312861008676409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7.3366881437238387</v>
      </c>
    </row>
    <row r="96" spans="1:110" s="162" customFormat="1" x14ac:dyDescent="0.2">
      <c r="A96" s="49" t="s">
        <v>504</v>
      </c>
      <c r="E96" s="162">
        <f t="shared" ca="1" si="922"/>
        <v>0.77571949794799833</v>
      </c>
      <c r="F96" s="162">
        <f t="shared" ca="1" si="922"/>
        <v>1.1542190301713258</v>
      </c>
      <c r="G96" s="162">
        <f t="shared" ca="1" si="922"/>
        <v>2.0048991622922951</v>
      </c>
      <c r="H96" s="162">
        <f t="shared" ca="1" si="922"/>
        <v>1.7519680190184586</v>
      </c>
      <c r="I96" s="162">
        <f t="shared" ca="1" si="922"/>
        <v>1.8659356711797801</v>
      </c>
      <c r="J96" s="162">
        <f t="shared" ca="1" si="922"/>
        <v>1.2801059119616762</v>
      </c>
      <c r="K96" s="162">
        <f t="shared" ca="1" si="922"/>
        <v>1.2776875903728291</v>
      </c>
      <c r="L96" s="162">
        <f t="shared" ca="1" si="922"/>
        <v>1.6015680446745117</v>
      </c>
      <c r="M96" s="162">
        <f t="shared" ca="1" si="922"/>
        <v>1.8573424451426512</v>
      </c>
      <c r="N96" s="162">
        <f t="shared" ca="1" si="922"/>
        <v>1.7416897134309728</v>
      </c>
      <c r="O96" s="162">
        <f t="shared" ca="1" si="922"/>
        <v>1.5833542107411944</v>
      </c>
      <c r="P96" s="162">
        <f t="shared" ca="1" si="922"/>
        <v>1.5459489449393058</v>
      </c>
      <c r="Q96" s="162">
        <f t="shared" ca="1" si="922"/>
        <v>2.1515934838049304</v>
      </c>
      <c r="R96" s="162">
        <f t="shared" ca="1" si="922"/>
        <v>2.1212344165133867</v>
      </c>
      <c r="S96" s="162">
        <f t="shared" ca="1" si="922"/>
        <v>2.0900577560282469</v>
      </c>
      <c r="T96" s="162">
        <f t="shared" ca="1" si="922"/>
        <v>2.0675109898692372</v>
      </c>
      <c r="U96" s="162">
        <f t="shared" ca="1" si="922"/>
        <v>2.0353377736461984</v>
      </c>
      <c r="V96" s="162">
        <f t="shared" ca="1" si="922"/>
        <v>2.0360810470328623</v>
      </c>
      <c r="W96" s="162">
        <f t="shared" ca="1" si="922"/>
        <v>1.9426454547907228</v>
      </c>
      <c r="X96" s="162">
        <f t="shared" ca="1" si="922"/>
        <v>2.0846926431397077</v>
      </c>
      <c r="Y96" s="162">
        <f t="shared" ca="1" si="922"/>
        <v>3.0790307106057</v>
      </c>
      <c r="Z96" s="162">
        <f t="shared" ca="1" si="922"/>
        <v>5.5698404142293789</v>
      </c>
      <c r="AA96" s="162">
        <f t="shared" ref="AA96" ca="1" si="930">+AA79/AA$92</f>
        <v>5.5698404142293789</v>
      </c>
      <c r="AB96" s="21">
        <f t="shared" ca="1" si="922"/>
        <v>3.7359860365125015</v>
      </c>
      <c r="AC96" s="21">
        <f t="shared" ca="1" si="922"/>
        <v>3.3729770296352881</v>
      </c>
      <c r="AD96" s="21">
        <f t="shared" ca="1" si="922"/>
        <v>3.3558575642434603</v>
      </c>
      <c r="AE96" s="21">
        <f t="shared" ca="1" si="922"/>
        <v>3.2913477705660061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5.5024855382589477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139.13900000000001</v>
      </c>
    </row>
    <row r="99" spans="1:110" s="163" customFormat="1" x14ac:dyDescent="0.2">
      <c r="A99" s="163" t="s">
        <v>511</v>
      </c>
      <c r="E99" s="163">
        <f t="shared" ref="E99:AE99" ca="1" si="938">+E98/E65</f>
        <v>97.132726923076916</v>
      </c>
      <c r="F99" s="163">
        <f t="shared" ca="1" si="938"/>
        <v>114.79506923076923</v>
      </c>
      <c r="G99" s="163">
        <f t="shared" ca="1" si="938"/>
        <v>118.45379230769231</v>
      </c>
      <c r="H99" s="163">
        <f t="shared" ca="1" si="938"/>
        <v>146.28344999999999</v>
      </c>
      <c r="I99" s="163">
        <f t="shared" ca="1" si="938"/>
        <v>162.21919384615384</v>
      </c>
      <c r="J99" s="163">
        <f t="shared" ca="1" si="938"/>
        <v>151.72481461538462</v>
      </c>
      <c r="K99" s="163">
        <f t="shared" ca="1" si="938"/>
        <v>177.50300307692308</v>
      </c>
      <c r="L99" s="163">
        <f t="shared" ca="1" si="938"/>
        <v>213.07634999999999</v>
      </c>
      <c r="M99" s="163">
        <f t="shared" ca="1" si="938"/>
        <v>267.91692307692307</v>
      </c>
      <c r="N99" s="163">
        <f t="shared" ca="1" si="938"/>
        <v>301.51461538461535</v>
      </c>
      <c r="O99" s="163">
        <f t="shared" ca="1" si="938"/>
        <v>332.25769230769231</v>
      </c>
      <c r="P99" s="163">
        <f t="shared" ca="1" si="938"/>
        <v>362.81769230769231</v>
      </c>
      <c r="Q99" s="163">
        <f t="shared" ca="1" si="938"/>
        <v>386.15769230769229</v>
      </c>
      <c r="R99" s="163">
        <f t="shared" ca="1" si="938"/>
        <v>381.30153846153848</v>
      </c>
      <c r="S99" s="163">
        <f t="shared" ca="1" si="938"/>
        <v>364.81923076923073</v>
      </c>
      <c r="T99" s="163">
        <f t="shared" ca="1" si="938"/>
        <v>459.04999999999995</v>
      </c>
      <c r="U99" s="163">
        <f t="shared" ca="1" si="938"/>
        <v>489.50461538461536</v>
      </c>
      <c r="V99" s="163">
        <f t="shared" ca="1" si="938"/>
        <v>186.45</v>
      </c>
      <c r="W99" s="163">
        <f t="shared" ca="1" si="938"/>
        <v>383.38153846153841</v>
      </c>
      <c r="X99" s="163">
        <f t="shared" ca="1" si="938"/>
        <v>717.88461538461536</v>
      </c>
      <c r="Y99" s="163">
        <f t="shared" ca="1" si="938"/>
        <v>927.40538461538461</v>
      </c>
      <c r="Z99" s="163">
        <f t="shared" ref="Z99:AA99" ca="1" si="939">+Z98/Z65</f>
        <v>1042.0484615384614</v>
      </c>
      <c r="AA99" s="163">
        <f t="shared" ca="1" si="939"/>
        <v>1042.0484615384614</v>
      </c>
      <c r="AB99" s="94">
        <f t="shared" ca="1" si="938"/>
        <v>1094.1013551777487</v>
      </c>
      <c r="AC99" s="94">
        <f t="shared" ca="1" si="938"/>
        <v>1117.3716883013572</v>
      </c>
      <c r="AD99" s="94">
        <f t="shared" ca="1" si="938"/>
        <v>1140.9614019380949</v>
      </c>
      <c r="AE99" s="94">
        <f t="shared" ca="1" si="938"/>
        <v>1165.0185075798775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1070.3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1.5180259493463129</v>
      </c>
      <c r="F102" s="163">
        <f t="shared" ca="1" si="944"/>
        <v>2.5175297330848907</v>
      </c>
      <c r="G102" s="163">
        <f t="shared" ca="1" si="944"/>
        <v>3.0180544922645267</v>
      </c>
      <c r="H102" s="163">
        <f t="shared" ca="1" si="944"/>
        <v>2.2285501196478483</v>
      </c>
      <c r="I102" s="163">
        <f t="shared" ca="1" si="944"/>
        <v>2.1575745243311624</v>
      </c>
      <c r="J102" s="163">
        <f t="shared" ca="1" si="944"/>
        <v>1.6609016833456567</v>
      </c>
      <c r="K102" s="163">
        <f t="shared" ca="1" si="944"/>
        <v>2.0281347005942747</v>
      </c>
      <c r="L102" s="163">
        <f t="shared" ca="1" si="944"/>
        <v>2.2107099168912927</v>
      </c>
      <c r="M102" s="163">
        <f t="shared" ca="1" si="944"/>
        <v>1.8683030330871797</v>
      </c>
      <c r="N102" s="163">
        <f t="shared" ca="1" si="944"/>
        <v>1.9594406700529889</v>
      </c>
      <c r="O102" s="163">
        <f t="shared" ca="1" si="944"/>
        <v>1.7885214210471483</v>
      </c>
      <c r="P102" s="163">
        <f t="shared" ca="1" si="944"/>
        <v>3.4976243631575934</v>
      </c>
      <c r="Q102" s="163">
        <f t="shared" ca="1" si="944"/>
        <v>2.5792571787133594</v>
      </c>
      <c r="R102" s="163">
        <f t="shared" ca="1" si="944"/>
        <v>3.2834905546185937</v>
      </c>
      <c r="S102" s="163">
        <f t="shared" ca="1" si="944"/>
        <v>3.1522461071341974</v>
      </c>
      <c r="T102" s="163">
        <f t="shared" ca="1" si="944"/>
        <v>3.4110663326435029</v>
      </c>
      <c r="U102" s="163">
        <f t="shared" ca="1" si="944"/>
        <v>2.6416502712318262</v>
      </c>
      <c r="V102" s="163">
        <f t="shared" ca="1" si="944"/>
        <v>6.8618932689729162</v>
      </c>
      <c r="W102" s="163">
        <f t="shared" ca="1" si="944"/>
        <v>5.3209395741538863</v>
      </c>
      <c r="X102" s="163">
        <f t="shared" ca="1" si="944"/>
        <v>4.5237771229574077</v>
      </c>
      <c r="Y102" s="163">
        <f t="shared" ca="1" si="944"/>
        <v>9.3658610830712998</v>
      </c>
      <c r="Z102" s="163">
        <f ca="1">+Z77/Z$99</f>
        <v>10.73558516029448</v>
      </c>
      <c r="AA102" s="163">
        <f ca="1">+AA77/AA$99</f>
        <v>10.73558516029448</v>
      </c>
      <c r="AB102" s="50">
        <f t="shared" ref="AA102:AE102" ca="1" si="945">+AB77/AB$99</f>
        <v>8.5279576301083804</v>
      </c>
      <c r="AC102" s="50">
        <f t="shared" ca="1" si="945"/>
        <v>8.35035476349349</v>
      </c>
      <c r="AD102" s="50">
        <f t="shared" ca="1" si="945"/>
        <v>8.1777087149055401</v>
      </c>
      <c r="AE102" s="50">
        <f t="shared" ca="1" si="945"/>
        <v>8.0088427259257724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8.7176025413435489</v>
      </c>
    </row>
    <row r="103" spans="1:110" s="163" customFormat="1" x14ac:dyDescent="0.2">
      <c r="A103" s="163" t="s">
        <v>508</v>
      </c>
      <c r="E103" s="163">
        <f t="shared" ca="1" si="944"/>
        <v>2.0482282985584872</v>
      </c>
      <c r="F103" s="163">
        <f t="shared" ca="1" si="944"/>
        <v>2.6773798043724608</v>
      </c>
      <c r="G103" s="163">
        <f t="shared" ca="1" si="944"/>
        <v>3.967791919900217</v>
      </c>
      <c r="H103" s="163">
        <f t="shared" ca="1" si="944"/>
        <v>3.161670031708987</v>
      </c>
      <c r="I103" s="163">
        <f t="shared" ca="1" si="944"/>
        <v>3.6678766913629759</v>
      </c>
      <c r="J103" s="163">
        <f t="shared" ca="1" si="944"/>
        <v>3.0977134570335658</v>
      </c>
      <c r="K103" s="163">
        <f t="shared" ca="1" si="944"/>
        <v>2.2867218749200444</v>
      </c>
      <c r="L103" s="163">
        <f t="shared" ca="1" si="944"/>
        <v>2.6375522201314223</v>
      </c>
      <c r="M103" s="163">
        <f t="shared" ca="1" si="944"/>
        <v>2.0155501705465531</v>
      </c>
      <c r="N103" s="163">
        <f t="shared" ca="1" si="944"/>
        <v>2.1471595968048494</v>
      </c>
      <c r="O103" s="163">
        <f t="shared" ca="1" si="944"/>
        <v>1.9502934469306725</v>
      </c>
      <c r="P103" s="163">
        <f t="shared" ca="1" si="944"/>
        <v>6.0057710695984206</v>
      </c>
      <c r="Q103" s="163">
        <f t="shared" ca="1" si="944"/>
        <v>4.4275953426758701</v>
      </c>
      <c r="R103" s="163">
        <f t="shared" ca="1" si="944"/>
        <v>3.3529893562938273</v>
      </c>
      <c r="S103" s="163">
        <f t="shared" ca="1" si="944"/>
        <v>3.8043498887752634</v>
      </c>
      <c r="T103" s="163">
        <f t="shared" ca="1" si="944"/>
        <v>3.4963511600043571</v>
      </c>
      <c r="U103" s="163">
        <f t="shared" ca="1" si="944"/>
        <v>3.6833156283589692</v>
      </c>
      <c r="V103" s="163">
        <f t="shared" ca="1" si="944"/>
        <v>7.3960847412174848</v>
      </c>
      <c r="W103" s="163">
        <f t="shared" ca="1" si="944"/>
        <v>5.8688271976500621</v>
      </c>
      <c r="X103" s="163">
        <f t="shared" ca="1" si="944"/>
        <v>5.1526386284489689</v>
      </c>
      <c r="Y103" s="163">
        <f t="shared" ca="1" si="944"/>
        <v>10.837763255136124</v>
      </c>
      <c r="Z103" s="163">
        <f t="shared" ref="Z103:AA104" ca="1" si="949">+Z78/Z$99</f>
        <v>11.995555352142933</v>
      </c>
      <c r="AA103" s="163">
        <f t="shared" ca="1" si="949"/>
        <v>11.995555352142933</v>
      </c>
      <c r="AB103" s="94">
        <f t="shared" ca="1" si="944"/>
        <v>8.4240467769880674</v>
      </c>
      <c r="AC103" s="94">
        <f t="shared" ca="1" si="944"/>
        <v>7.8817802417357621</v>
      </c>
      <c r="AD103" s="94">
        <f t="shared" ca="1" si="944"/>
        <v>8.742326051882289</v>
      </c>
      <c r="AE103" s="94">
        <f t="shared" ca="1" si="944"/>
        <v>9.5367413302942055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11.211809772960853</v>
      </c>
    </row>
    <row r="104" spans="1:110" s="163" customFormat="1" x14ac:dyDescent="0.2">
      <c r="A104" s="163" t="s">
        <v>509</v>
      </c>
      <c r="E104" s="163">
        <f t="shared" ca="1" si="944"/>
        <v>0.80971679156383536</v>
      </c>
      <c r="F104" s="163">
        <f t="shared" ca="1" si="944"/>
        <v>1.1328883798882008</v>
      </c>
      <c r="G104" s="163">
        <f t="shared" ca="1" si="944"/>
        <v>2.119391832959467</v>
      </c>
      <c r="H104" s="163">
        <f t="shared" ca="1" si="944"/>
        <v>1.7158468712626072</v>
      </c>
      <c r="I104" s="163">
        <f t="shared" ca="1" si="944"/>
        <v>1.8761651613719694</v>
      </c>
      <c r="J104" s="163">
        <f t="shared" ca="1" si="944"/>
        <v>1.5010728507221163</v>
      </c>
      <c r="K104" s="163">
        <f t="shared" ca="1" si="944"/>
        <v>1.3802583379044369</v>
      </c>
      <c r="L104" s="163">
        <f t="shared" ca="1" si="944"/>
        <v>1.6109249102493075</v>
      </c>
      <c r="M104" s="163">
        <f t="shared" ca="1" si="944"/>
        <v>1.6870901427537814</v>
      </c>
      <c r="N104" s="163">
        <f t="shared" ca="1" si="944"/>
        <v>1.6516612283114227</v>
      </c>
      <c r="O104" s="163">
        <f t="shared" ca="1" si="944"/>
        <v>1.5802493430724529</v>
      </c>
      <c r="P104" s="163">
        <f t="shared" ca="1" si="944"/>
        <v>1.6127934563448902</v>
      </c>
      <c r="Q104" s="163">
        <f t="shared" ca="1" si="944"/>
        <v>2.4704933217796636</v>
      </c>
      <c r="R104" s="163">
        <f t="shared" ca="1" si="944"/>
        <v>2.6173510970522016</v>
      </c>
      <c r="S104" s="163">
        <f t="shared" ca="1" si="944"/>
        <v>2.8781377499920935</v>
      </c>
      <c r="T104" s="163">
        <f t="shared" ca="1" si="944"/>
        <v>2.4841520531532515</v>
      </c>
      <c r="U104" s="163">
        <f t="shared" ca="1" si="944"/>
        <v>2.5047772001835451</v>
      </c>
      <c r="V104" s="163">
        <f t="shared" ca="1" si="944"/>
        <v>6.0678466076696163</v>
      </c>
      <c r="W104" s="163">
        <f t="shared" ca="1" si="944"/>
        <v>3.0339228244207423</v>
      </c>
      <c r="X104" s="163">
        <f t="shared" ca="1" si="944"/>
        <v>2.2287704259308869</v>
      </c>
      <c r="Y104" s="163">
        <f t="shared" ca="1" si="944"/>
        <v>3.3965729035597247</v>
      </c>
      <c r="Z104" s="163">
        <f t="shared" ca="1" si="949"/>
        <v>7.1013971740573121</v>
      </c>
      <c r="AA104" s="163">
        <f t="shared" ca="1" si="949"/>
        <v>7.1013971740573121</v>
      </c>
      <c r="AB104" s="94">
        <f t="shared" ca="1" si="944"/>
        <v>6.4590933115782043</v>
      </c>
      <c r="AC104" s="94">
        <f t="shared" ca="1" si="944"/>
        <v>6.6068497056841409</v>
      </c>
      <c r="AD104" s="94">
        <f t="shared" ca="1" si="944"/>
        <v>7.4270813159056459</v>
      </c>
      <c r="AE104" s="94">
        <f t="shared" ca="1" si="944"/>
        <v>8.1927403721742849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8.4088106138465868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25.863499999999998</v>
      </c>
      <c r="F107" s="162">
        <f t="shared" ca="1" si="958"/>
        <v>39.955500000000008</v>
      </c>
      <c r="G107" s="162">
        <f t="shared" ca="1" si="958"/>
        <v>61.1</v>
      </c>
      <c r="H107" s="162">
        <f t="shared" ca="1" si="958"/>
        <v>60.125</v>
      </c>
      <c r="I107" s="162">
        <f t="shared" ca="1" si="958"/>
        <v>77.350000000000009</v>
      </c>
      <c r="J107" s="162">
        <f t="shared" ca="1" si="958"/>
        <v>61.1</v>
      </c>
      <c r="K107" s="162">
        <f t="shared" ca="1" si="958"/>
        <v>52.766999999999996</v>
      </c>
      <c r="L107" s="162">
        <f t="shared" ca="1" si="958"/>
        <v>73.06</v>
      </c>
      <c r="M107" s="162">
        <f t="shared" ca="1" si="958"/>
        <v>70.2</v>
      </c>
      <c r="N107" s="162">
        <f t="shared" ca="1" si="958"/>
        <v>84.162000000000006</v>
      </c>
      <c r="O107" s="162">
        <f t="shared" ca="1" si="958"/>
        <v>84.240000000000009</v>
      </c>
      <c r="P107" s="162">
        <f t="shared" ca="1" si="958"/>
        <v>283.27</v>
      </c>
      <c r="Q107" s="162">
        <f t="shared" ca="1" si="958"/>
        <v>222.26750000000001</v>
      </c>
      <c r="R107" s="162">
        <f t="shared" ca="1" si="958"/>
        <v>166.20500000000001</v>
      </c>
      <c r="S107" s="162">
        <f t="shared" ca="1" si="958"/>
        <v>180.42700000000002</v>
      </c>
      <c r="T107" s="162">
        <f t="shared" ca="1" si="958"/>
        <v>208.65</v>
      </c>
      <c r="U107" s="162">
        <f t="shared" ca="1" si="958"/>
        <v>234.39000000000001</v>
      </c>
      <c r="V107" s="162">
        <f t="shared" ca="1" si="958"/>
        <v>179.27</v>
      </c>
      <c r="W107" s="162">
        <f t="shared" ca="1" si="958"/>
        <v>292.5</v>
      </c>
      <c r="X107" s="162">
        <f t="shared" ca="1" si="958"/>
        <v>480.87</v>
      </c>
      <c r="Y107" s="162">
        <f t="shared" ca="1" si="958"/>
        <v>1306.6300000000001</v>
      </c>
      <c r="Z107" s="162">
        <f t="shared" ca="1" si="958"/>
        <v>1624.9935</v>
      </c>
      <c r="AA107" s="162">
        <f t="shared" ref="AA107" ca="1" si="959">+AA78*AA65</f>
        <v>1624.9935</v>
      </c>
      <c r="AB107" s="21">
        <f t="shared" ca="1" si="958"/>
        <v>1198.1789293218408</v>
      </c>
      <c r="AC107" s="21">
        <f t="shared" ca="1" si="958"/>
        <v>1144.8941524187137</v>
      </c>
      <c r="AD107" s="21">
        <f t="shared" ca="1" si="958"/>
        <v>1296.705356486221</v>
      </c>
      <c r="AE107" s="21">
        <f t="shared" ca="1" si="958"/>
        <v>1444.3624197333099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1560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10.224500000000001</v>
      </c>
      <c r="F108" s="162">
        <f t="shared" ca="1" si="964"/>
        <v>16.906500000000001</v>
      </c>
      <c r="G108" s="162">
        <f t="shared" ca="1" si="964"/>
        <v>32.636500000000005</v>
      </c>
      <c r="H108" s="162">
        <f t="shared" ca="1" si="964"/>
        <v>32.630000000000003</v>
      </c>
      <c r="I108" s="162">
        <f t="shared" ca="1" si="964"/>
        <v>39.565500000000007</v>
      </c>
      <c r="J108" s="162">
        <f t="shared" ca="1" si="964"/>
        <v>29.607500000000002</v>
      </c>
      <c r="K108" s="162">
        <f t="shared" ca="1" si="964"/>
        <v>31.85</v>
      </c>
      <c r="L108" s="162">
        <f t="shared" ca="1" si="964"/>
        <v>44.622500000000002</v>
      </c>
      <c r="M108" s="162">
        <f t="shared" ca="1" si="964"/>
        <v>58.760000000000005</v>
      </c>
      <c r="N108" s="162">
        <f t="shared" ca="1" si="964"/>
        <v>64.740000000000009</v>
      </c>
      <c r="O108" s="162">
        <f t="shared" ca="1" si="964"/>
        <v>68.256500000000003</v>
      </c>
      <c r="P108" s="162">
        <f t="shared" ca="1" si="964"/>
        <v>76.069500000000005</v>
      </c>
      <c r="Q108" s="162">
        <f t="shared" ca="1" si="964"/>
        <v>124.02000000000001</v>
      </c>
      <c r="R108" s="162">
        <f t="shared" ca="1" si="964"/>
        <v>129.74</v>
      </c>
      <c r="S108" s="162">
        <f t="shared" ca="1" si="964"/>
        <v>136.5</v>
      </c>
      <c r="T108" s="162">
        <f t="shared" ca="1" si="964"/>
        <v>148.24549999999999</v>
      </c>
      <c r="U108" s="162">
        <f t="shared" ca="1" si="964"/>
        <v>159.393</v>
      </c>
      <c r="V108" s="162">
        <f t="shared" ca="1" si="964"/>
        <v>147.07550000000001</v>
      </c>
      <c r="W108" s="162">
        <f t="shared" ca="1" si="964"/>
        <v>151.20950000000002</v>
      </c>
      <c r="X108" s="162">
        <f t="shared" ca="1" si="964"/>
        <v>208</v>
      </c>
      <c r="Y108" s="162">
        <f t="shared" ca="1" si="964"/>
        <v>409.5</v>
      </c>
      <c r="Z108" s="162">
        <f t="shared" ca="1" si="964"/>
        <v>962</v>
      </c>
      <c r="AA108" s="162">
        <f t="shared" ref="AA108" ca="1" si="965">+AA79*AA65</f>
        <v>962</v>
      </c>
      <c r="AB108" s="21">
        <f t="shared" ca="1" si="964"/>
        <v>918.69735690424193</v>
      </c>
      <c r="AC108" s="21">
        <f t="shared" ca="1" si="964"/>
        <v>959.69988529916964</v>
      </c>
      <c r="AD108" s="21">
        <f t="shared" ca="1" si="964"/>
        <v>1101.6217043655117</v>
      </c>
      <c r="AE108" s="21">
        <f t="shared" ca="1" si="964"/>
        <v>1240.8102409793864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1169.9935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-80.893000000000001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20.848275899999997</v>
      </c>
      <c r="F110" s="162">
        <f t="shared" ca="1" si="983"/>
        <v>36.179925200000007</v>
      </c>
      <c r="G110" s="162">
        <f t="shared" ca="1" si="983"/>
        <v>58.0329427</v>
      </c>
      <c r="H110" s="162">
        <f t="shared" ca="1" si="983"/>
        <v>54.398842099999996</v>
      </c>
      <c r="I110" s="162">
        <f t="shared" ca="1" si="983"/>
        <v>70.585493000000014</v>
      </c>
      <c r="J110" s="162">
        <f t="shared" ca="1" si="983"/>
        <v>58.534966900000001</v>
      </c>
      <c r="K110" s="162">
        <f t="shared" ca="1" si="983"/>
        <v>49.202803199999998</v>
      </c>
      <c r="L110" s="162">
        <f t="shared" ca="1" si="983"/>
        <v>69.031401299999999</v>
      </c>
      <c r="M110" s="162">
        <f t="shared" ca="1" si="983"/>
        <v>64.365200000000002</v>
      </c>
      <c r="N110" s="162">
        <f t="shared" ca="1" si="983"/>
        <v>71.466100000000012</v>
      </c>
      <c r="O110" s="162">
        <f t="shared" ca="1" si="983"/>
        <v>81.912800000000004</v>
      </c>
      <c r="P110" s="162">
        <f t="shared" ca="1" si="983"/>
        <v>277.31299999999999</v>
      </c>
      <c r="Q110" s="162">
        <f t="shared" ca="1" si="983"/>
        <v>210.976</v>
      </c>
      <c r="R110" s="162">
        <f t="shared" ca="1" si="983"/>
        <v>153.87950000000001</v>
      </c>
      <c r="S110" s="162">
        <f t="shared" ca="1" si="983"/>
        <v>179.02940000000001</v>
      </c>
      <c r="T110" s="162">
        <f t="shared" ca="1" si="983"/>
        <v>210.74760000000001</v>
      </c>
      <c r="U110" s="162">
        <f t="shared" ca="1" si="983"/>
        <v>237.56080000000003</v>
      </c>
      <c r="V110" s="162">
        <f t="shared" ca="1" si="983"/>
        <v>183.09050000000002</v>
      </c>
      <c r="W110" s="162">
        <f t="shared" ca="1" si="983"/>
        <v>285.91469999999998</v>
      </c>
      <c r="X110" s="162">
        <f t="shared" ref="X110:Y110" ca="1" si="984">+X107+X109</f>
        <v>450.72230000000002</v>
      </c>
      <c r="Y110" s="162">
        <f t="shared" ca="1" si="984"/>
        <v>1256.2121000000002</v>
      </c>
      <c r="Z110" s="162">
        <f t="shared" ref="Z110:AA110" ca="1" si="985">+Z107+Z109</f>
        <v>1535.3475000000001</v>
      </c>
      <c r="AA110" s="162">
        <f t="shared" ca="1" si="985"/>
        <v>1535.3475000000001</v>
      </c>
      <c r="AB110" s="21">
        <f t="shared" ref="AA110:AD110" ca="1" si="986">+AB107+AB109</f>
        <v>1062.5847060130925</v>
      </c>
      <c r="AC110" s="21">
        <f t="shared" ca="1" si="986"/>
        <v>952.0272383570466</v>
      </c>
      <c r="AD110" s="21">
        <f t="shared" ca="1" si="986"/>
        <v>1043.8979432283904</v>
      </c>
      <c r="AE110" s="21">
        <f t="shared" ref="AE110" ca="1" si="987">+AE107+AE109</f>
        <v>1128.7617189069499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1479.107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5.2092759000000006</v>
      </c>
      <c r="F111" s="162">
        <f t="shared" ca="1" si="996"/>
        <v>13.130925200000002</v>
      </c>
      <c r="G111" s="162">
        <f t="shared" ca="1" si="996"/>
        <v>29.569442700000003</v>
      </c>
      <c r="H111" s="162">
        <f t="shared" ca="1" si="996"/>
        <v>26.903842100000002</v>
      </c>
      <c r="I111" s="162">
        <f t="shared" ca="1" si="996"/>
        <v>32.800993000000005</v>
      </c>
      <c r="J111" s="162">
        <f t="shared" ca="1" si="996"/>
        <v>27.042466900000001</v>
      </c>
      <c r="K111" s="162">
        <f t="shared" ca="1" si="996"/>
        <v>28.2858032</v>
      </c>
      <c r="L111" s="162">
        <f t="shared" ca="1" si="996"/>
        <v>40.593901299999999</v>
      </c>
      <c r="M111" s="162">
        <f t="shared" ca="1" si="996"/>
        <v>52.925200000000004</v>
      </c>
      <c r="N111" s="162">
        <f t="shared" ca="1" si="996"/>
        <v>52.044100000000007</v>
      </c>
      <c r="O111" s="162">
        <f t="shared" ca="1" si="996"/>
        <v>65.929299999999998</v>
      </c>
      <c r="P111" s="162">
        <f t="shared" ca="1" si="996"/>
        <v>70.112500000000011</v>
      </c>
      <c r="Q111" s="162">
        <f t="shared" ca="1" si="996"/>
        <v>112.72850000000001</v>
      </c>
      <c r="R111" s="162">
        <f t="shared" ca="1" si="996"/>
        <v>117.4145</v>
      </c>
      <c r="S111" s="162">
        <f t="shared" ca="1" si="996"/>
        <v>135.10239999999999</v>
      </c>
      <c r="T111" s="162">
        <f t="shared" ca="1" si="996"/>
        <v>150.34309999999999</v>
      </c>
      <c r="U111" s="162">
        <f t="shared" ca="1" si="996"/>
        <v>162.56380000000001</v>
      </c>
      <c r="V111" s="162">
        <f t="shared" ca="1" si="996"/>
        <v>150.89600000000002</v>
      </c>
      <c r="W111" s="162">
        <f t="shared" ca="1" si="996"/>
        <v>144.62420000000003</v>
      </c>
      <c r="X111" s="162">
        <f t="shared" ref="X111:Y111" ca="1" si="997">+X108+X109</f>
        <v>177.85230000000001</v>
      </c>
      <c r="Y111" s="162">
        <f t="shared" ca="1" si="997"/>
        <v>359.08209999999997</v>
      </c>
      <c r="Z111" s="162">
        <f t="shared" ref="Z111:AA111" ca="1" si="998">+Z108+Z109</f>
        <v>872.35400000000004</v>
      </c>
      <c r="AA111" s="162">
        <f t="shared" ca="1" si="998"/>
        <v>872.35400000000004</v>
      </c>
      <c r="AB111" s="21">
        <f t="shared" ref="AA111:AD111" ca="1" si="999">+AB108+AB109</f>
        <v>783.10313359549377</v>
      </c>
      <c r="AC111" s="21">
        <f t="shared" ca="1" si="999"/>
        <v>766.83297123750253</v>
      </c>
      <c r="AD111" s="21">
        <f t="shared" ca="1" si="999"/>
        <v>848.81429110768124</v>
      </c>
      <c r="AE111" s="21">
        <f t="shared" ref="AE111" ca="1" si="1000">+AE108+AE109</f>
        <v>925.20954015302641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1089.1005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59.626000000000019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>
        <f t="shared" ca="1" si="1014"/>
        <v>6.8349136129888919</v>
      </c>
      <c r="F113" s="162">
        <f t="shared" ca="1" si="1014"/>
        <v>8.1220529323679909</v>
      </c>
      <c r="G113" s="162">
        <f t="shared" ca="1" si="1014"/>
        <v>12.377741649127268</v>
      </c>
      <c r="H113" s="162">
        <f t="shared" ca="1" si="1014"/>
        <v>8.6085568534409322</v>
      </c>
      <c r="I113" s="162">
        <f t="shared" ca="1" si="1014"/>
        <v>9.9214707406226061</v>
      </c>
      <c r="J113" s="162">
        <f t="shared" ca="1" si="1014"/>
        <v>11.068224662378306</v>
      </c>
      <c r="K113" s="162">
        <f t="shared" ca="1" si="1014"/>
        <v>7.3235099601279927</v>
      </c>
      <c r="L113" s="162">
        <f t="shared" ca="1" si="1014"/>
        <v>7.7391511786539553</v>
      </c>
      <c r="M113" s="162">
        <f t="shared" ca="1" si="1014"/>
        <v>5.8742379440002921</v>
      </c>
      <c r="N113" s="162">
        <f t="shared" ca="1" si="1014"/>
        <v>5.2187511410023308</v>
      </c>
      <c r="O113" s="162">
        <f t="shared" ca="1" si="1014"/>
        <v>5.5592520954223072</v>
      </c>
      <c r="P113" s="162">
        <f t="shared" ca="1" si="1014"/>
        <v>17.497413053354201</v>
      </c>
      <c r="Q113" s="162">
        <f t="shared" ca="1" si="1014"/>
        <v>14.259278033482698</v>
      </c>
      <c r="R113" s="162">
        <f t="shared" ca="1" si="1014"/>
        <v>11.138661879564816</v>
      </c>
      <c r="S113" s="162">
        <f t="shared" ca="1" si="1014"/>
        <v>15.848779667318821</v>
      </c>
      <c r="T113" s="162">
        <f t="shared" ca="1" si="1014"/>
        <v>12.07549634722819</v>
      </c>
      <c r="U113" s="162">
        <f t="shared" ca="1" si="1014"/>
        <v>11.447223734742952</v>
      </c>
      <c r="V113" s="162">
        <f t="shared" ca="1" si="1014"/>
        <v>466.23503947033623</v>
      </c>
      <c r="W113" s="162">
        <f t="shared" ca="1" si="1014"/>
        <v>19.704258354410321</v>
      </c>
      <c r="X113" s="162">
        <f t="shared" ref="X113:Y113" ca="1" si="1015">+X110/X112</f>
        <v>12.466630525276386</v>
      </c>
      <c r="Y113" s="162">
        <f t="shared" ca="1" si="1015"/>
        <v>24.570376571329099</v>
      </c>
      <c r="Z113" s="162">
        <f t="shared" ref="Z113:AA113" ca="1" si="1016">+Z110/Z112</f>
        <v>25.882764968568416</v>
      </c>
      <c r="AA113" s="162">
        <f t="shared" ca="1" si="1016"/>
        <v>25.882764968568416</v>
      </c>
      <c r="AB113" s="21">
        <f t="shared" ref="AA113:AD113" ca="1" si="1017">+AB110/AB112</f>
        <v>17.432096924000515</v>
      </c>
      <c r="AC113" s="21">
        <f t="shared" ca="1" si="1017"/>
        <v>15.269959534685695</v>
      </c>
      <c r="AD113" s="21">
        <f t="shared" ca="1" si="1017"/>
        <v>16.390175916306667</v>
      </c>
      <c r="AE113" s="21">
        <f t="shared" ref="AE113" ca="1" si="1018">+AE110/AE112</f>
        <v>17.355161425102011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24.806409955388581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>
        <f t="shared" ca="1" si="1027"/>
        <v>1.7078127195508273</v>
      </c>
      <c r="F114" s="162">
        <f t="shared" ca="1" si="1027"/>
        <v>2.9477692100193935</v>
      </c>
      <c r="G114" s="162">
        <f t="shared" ca="1" si="1027"/>
        <v>6.306813086169285</v>
      </c>
      <c r="H114" s="162">
        <f t="shared" ca="1" si="1027"/>
        <v>4.2575033834010174</v>
      </c>
      <c r="I114" s="162">
        <f t="shared" ca="1" si="1027"/>
        <v>4.6104954216706675</v>
      </c>
      <c r="J114" s="162">
        <f t="shared" ca="1" si="1027"/>
        <v>5.1133897382306204</v>
      </c>
      <c r="K114" s="162">
        <f t="shared" ca="1" si="1027"/>
        <v>4.2101536496485679</v>
      </c>
      <c r="L114" s="162">
        <f t="shared" ca="1" si="1027"/>
        <v>4.5510062547731787</v>
      </c>
      <c r="M114" s="162">
        <f t="shared" ca="1" si="1027"/>
        <v>4.8301755923046032</v>
      </c>
      <c r="N114" s="162">
        <f t="shared" ca="1" si="1027"/>
        <v>3.8004761174520421</v>
      </c>
      <c r="O114" s="162">
        <f t="shared" ca="1" si="1027"/>
        <v>4.4744850520886343</v>
      </c>
      <c r="P114" s="162">
        <f t="shared" ca="1" si="1027"/>
        <v>4.4238365049719865</v>
      </c>
      <c r="Q114" s="162">
        <f t="shared" ca="1" si="1027"/>
        <v>7.61900417013051</v>
      </c>
      <c r="R114" s="162">
        <f t="shared" ca="1" si="1027"/>
        <v>8.4991205148064761</v>
      </c>
      <c r="S114" s="162">
        <f t="shared" ca="1" si="1027"/>
        <v>11.960092421278148</v>
      </c>
      <c r="T114" s="162">
        <f t="shared" ca="1" si="1027"/>
        <v>8.6144162727402946</v>
      </c>
      <c r="U114" s="162">
        <f t="shared" ca="1" si="1027"/>
        <v>7.8333807167260181</v>
      </c>
      <c r="V114" s="162">
        <f t="shared" ca="1" si="1027"/>
        <v>384.25261013496527</v>
      </c>
      <c r="W114" s="162">
        <f t="shared" ca="1" si="1027"/>
        <v>9.9670027497708595</v>
      </c>
      <c r="X114" s="162">
        <f t="shared" ref="X114:Y114" ca="1" si="1028">+X111/X112</f>
        <v>4.9192571837927996</v>
      </c>
      <c r="Y114" s="162">
        <f t="shared" ca="1" si="1028"/>
        <v>7.0233222694031134</v>
      </c>
      <c r="Z114" s="162">
        <f t="shared" ref="Z114:AA114" ca="1" si="1029">+Z111/Z112</f>
        <v>14.706073739912647</v>
      </c>
      <c r="AA114" s="162">
        <f t="shared" ca="1" si="1029"/>
        <v>14.706073739912647</v>
      </c>
      <c r="AB114" s="21">
        <f t="shared" ref="AA114:AD114" ca="1" si="1030">+AB111/AB112</f>
        <v>12.847097882243537</v>
      </c>
      <c r="AC114" s="21">
        <f t="shared" ca="1" si="1030"/>
        <v>12.299551912891751</v>
      </c>
      <c r="AD114" s="21">
        <f t="shared" ca="1" si="1030"/>
        <v>13.327179770567126</v>
      </c>
      <c r="AE114" s="21">
        <f t="shared" ref="AE114" ca="1" si="1031">+AE111/AE112</f>
        <v>14.225465527790329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18.265530137859319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1.3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211.33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212.63000000000002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0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0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212.63000000000002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212.10409999999999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56.249099999999999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155.85499999999999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0.81599999999999995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156.67099999999999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3.3359999999999999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1.9910000000000001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5.5590000000000002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8.3369999999999997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19.222999999999999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3.9089999999999998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0.44500000000000001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8.6890000000000001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24.952999999999999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0.308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38.303999999999995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-19.080999999999996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80.893000000000001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80.893000000000001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-5.8529999999999998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212.63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-80.893000000000001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5.2229425251007982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14.582791309410014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30.621500801356909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50.42723463586772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22.793645203717144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77.68831887536922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100.48196407908637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-50.054729443218648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2.7111539918046157E-2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10.936095934724516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43.238000000000021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6.8049999999999997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50.043000000000021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-1.8540999999999963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-20.428799999999995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18.5747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68.617700000000013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-74.04679999999999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0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-74.04679999999999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-3.323900000000009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0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-3.323900000000009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89.646000000000001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80.893000000000015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-5.4290999999999769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0.54184596572256394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0.31170987286095214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1.2076706015143674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0.38044020128862338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5.1703239923606148E-3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2.7885783281466734E-3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4.8907926605768329E-2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109438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109438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109438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109438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109438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1349.75</v>
      </c>
      <c r="C4" s="116">
        <v>1343.4</v>
      </c>
      <c r="D4" s="116">
        <v>1310</v>
      </c>
      <c r="E4" s="116">
        <v>1316</v>
      </c>
      <c r="F4" s="116">
        <v>1343.4</v>
      </c>
      <c r="G4">
        <v>422</v>
      </c>
      <c r="H4" s="116"/>
      <c r="I4" s="116"/>
      <c r="L4" s="170"/>
    </row>
    <row r="5" spans="1:18" x14ac:dyDescent="0.25">
      <c r="A5" s="170">
        <v>42006</v>
      </c>
      <c r="B5" s="116">
        <v>1410.55</v>
      </c>
      <c r="C5" s="116">
        <v>1410.55</v>
      </c>
      <c r="D5" s="116">
        <v>1326.2</v>
      </c>
      <c r="E5" s="116">
        <v>1347.9</v>
      </c>
      <c r="F5" s="116">
        <v>1410.55</v>
      </c>
      <c r="G5">
        <v>318</v>
      </c>
      <c r="H5" s="116"/>
      <c r="I5" s="116"/>
      <c r="L5" s="170"/>
    </row>
    <row r="6" spans="1:18" x14ac:dyDescent="0.25">
      <c r="A6" s="170">
        <v>42009</v>
      </c>
      <c r="B6" s="116">
        <v>1475</v>
      </c>
      <c r="C6" s="116">
        <v>1458.05</v>
      </c>
      <c r="D6" s="116">
        <v>1447</v>
      </c>
      <c r="E6" s="116">
        <v>1447</v>
      </c>
      <c r="F6" s="116">
        <v>1458.05</v>
      </c>
      <c r="G6">
        <v>443</v>
      </c>
      <c r="H6" s="116"/>
      <c r="I6" s="116"/>
      <c r="L6" s="170"/>
    </row>
    <row r="7" spans="1:18" x14ac:dyDescent="0.25">
      <c r="A7" s="170">
        <v>42010</v>
      </c>
      <c r="B7" s="116">
        <v>1460</v>
      </c>
      <c r="C7" s="116">
        <v>1420.05</v>
      </c>
      <c r="D7" s="116">
        <v>1410</v>
      </c>
      <c r="E7" s="116">
        <v>1459.95</v>
      </c>
      <c r="F7" s="116">
        <v>1420.05</v>
      </c>
      <c r="G7">
        <v>347</v>
      </c>
      <c r="H7" s="116"/>
      <c r="I7" s="116"/>
      <c r="L7" s="170"/>
    </row>
    <row r="8" spans="1:18" x14ac:dyDescent="0.25">
      <c r="A8" s="170">
        <v>42011</v>
      </c>
      <c r="B8" s="116">
        <v>1420.05</v>
      </c>
      <c r="C8" s="116">
        <v>1420</v>
      </c>
      <c r="D8" s="116">
        <v>1416</v>
      </c>
      <c r="E8" s="116">
        <v>1420.05</v>
      </c>
      <c r="F8" s="116">
        <v>1420</v>
      </c>
      <c r="G8">
        <v>52</v>
      </c>
      <c r="H8" s="116"/>
      <c r="I8" s="116"/>
      <c r="L8" s="170"/>
    </row>
    <row r="9" spans="1:18" x14ac:dyDescent="0.25">
      <c r="A9" s="170">
        <v>42012</v>
      </c>
      <c r="B9" s="116">
        <v>1483.3</v>
      </c>
      <c r="C9" s="116">
        <v>1434.45</v>
      </c>
      <c r="D9" s="116">
        <v>1383.5</v>
      </c>
      <c r="E9" s="116">
        <v>1383.5</v>
      </c>
      <c r="F9" s="116">
        <v>1434.45</v>
      </c>
      <c r="G9">
        <v>253</v>
      </c>
      <c r="H9" s="116"/>
      <c r="I9" s="116"/>
      <c r="L9" s="170"/>
    </row>
    <row r="10" spans="1:18" x14ac:dyDescent="0.25">
      <c r="A10" s="170">
        <v>42013</v>
      </c>
      <c r="B10" s="116">
        <v>1446.95</v>
      </c>
      <c r="C10" s="116">
        <v>1410</v>
      </c>
      <c r="D10" s="116">
        <v>1406</v>
      </c>
      <c r="E10" s="116">
        <v>1426.05</v>
      </c>
      <c r="F10" s="116">
        <v>1410</v>
      </c>
      <c r="G10">
        <v>161</v>
      </c>
      <c r="H10" s="116"/>
      <c r="I10" s="116"/>
      <c r="L10" s="170"/>
    </row>
    <row r="11" spans="1:18" x14ac:dyDescent="0.25">
      <c r="A11" s="170">
        <v>42016</v>
      </c>
      <c r="B11" s="116">
        <v>1449.95</v>
      </c>
      <c r="C11" s="116">
        <v>1418.25</v>
      </c>
      <c r="D11" s="116">
        <v>1410</v>
      </c>
      <c r="E11" s="116">
        <v>1410</v>
      </c>
      <c r="F11" s="116">
        <v>1418.25</v>
      </c>
      <c r="G11">
        <v>101</v>
      </c>
      <c r="H11" s="116"/>
      <c r="I11" s="116"/>
      <c r="L11" s="170"/>
    </row>
    <row r="12" spans="1:18" x14ac:dyDescent="0.25">
      <c r="A12" s="170">
        <v>42017</v>
      </c>
      <c r="B12" s="116">
        <v>1455</v>
      </c>
      <c r="C12" s="116">
        <v>1430</v>
      </c>
      <c r="D12" s="116">
        <v>1425</v>
      </c>
      <c r="E12" s="116">
        <v>1425.05</v>
      </c>
      <c r="F12" s="116">
        <v>1430</v>
      </c>
      <c r="G12">
        <v>180</v>
      </c>
      <c r="H12" s="116"/>
      <c r="I12" s="116"/>
      <c r="L12" s="170"/>
    </row>
    <row r="13" spans="1:18" x14ac:dyDescent="0.25">
      <c r="A13" s="170">
        <v>42018</v>
      </c>
      <c r="B13" s="116">
        <v>1440</v>
      </c>
      <c r="C13" s="116">
        <v>1401.05</v>
      </c>
      <c r="D13" s="116">
        <v>1401.05</v>
      </c>
      <c r="E13" s="116">
        <v>1440</v>
      </c>
      <c r="F13" s="116">
        <v>1401.05</v>
      </c>
      <c r="G13">
        <v>28</v>
      </c>
      <c r="H13" s="116"/>
      <c r="I13" s="116"/>
      <c r="L13" s="170"/>
    </row>
    <row r="14" spans="1:18" x14ac:dyDescent="0.25">
      <c r="A14" s="170">
        <v>42019</v>
      </c>
      <c r="B14" s="116">
        <v>1446</v>
      </c>
      <c r="C14" s="116">
        <v>1417</v>
      </c>
      <c r="D14" s="116">
        <v>1353</v>
      </c>
      <c r="E14" s="116">
        <v>1353</v>
      </c>
      <c r="F14" s="116">
        <v>1417</v>
      </c>
      <c r="G14">
        <v>104</v>
      </c>
      <c r="H14" s="116"/>
      <c r="I14" s="116"/>
      <c r="L14" s="170"/>
    </row>
    <row r="15" spans="1:18" x14ac:dyDescent="0.25">
      <c r="A15" s="170">
        <v>42020</v>
      </c>
      <c r="B15" s="116">
        <v>1450</v>
      </c>
      <c r="C15" s="116">
        <v>1429.7</v>
      </c>
      <c r="D15" s="116">
        <v>1428.05</v>
      </c>
      <c r="E15" s="116">
        <v>1450</v>
      </c>
      <c r="F15" s="116">
        <v>1429.7</v>
      </c>
      <c r="G15">
        <v>117</v>
      </c>
      <c r="H15" s="116"/>
      <c r="I15" s="116"/>
      <c r="L15" s="170"/>
    </row>
    <row r="16" spans="1:18" x14ac:dyDescent="0.25">
      <c r="A16" s="170">
        <v>42023</v>
      </c>
      <c r="B16" s="116">
        <v>1450</v>
      </c>
      <c r="C16" s="116">
        <v>1434.25</v>
      </c>
      <c r="D16" s="116">
        <v>1433</v>
      </c>
      <c r="E16" s="116">
        <v>1450</v>
      </c>
      <c r="F16" s="116">
        <v>1434.25</v>
      </c>
      <c r="G16">
        <v>124</v>
      </c>
      <c r="H16" s="116"/>
      <c r="I16" s="116"/>
      <c r="L16" s="170"/>
    </row>
    <row r="17" spans="1:12" x14ac:dyDescent="0.25">
      <c r="A17" s="170">
        <v>42024</v>
      </c>
      <c r="B17" s="116">
        <v>1500</v>
      </c>
      <c r="C17" s="116">
        <v>1457</v>
      </c>
      <c r="D17" s="116">
        <v>1440</v>
      </c>
      <c r="E17" s="116">
        <v>1475</v>
      </c>
      <c r="F17" s="116">
        <v>1457</v>
      </c>
      <c r="G17">
        <v>297</v>
      </c>
      <c r="H17" s="116"/>
      <c r="I17" s="116"/>
      <c r="L17" s="170"/>
    </row>
    <row r="18" spans="1:12" x14ac:dyDescent="0.25">
      <c r="A18" s="170">
        <v>42025</v>
      </c>
      <c r="B18" s="116">
        <v>1529.75</v>
      </c>
      <c r="C18" s="116">
        <v>1528.75</v>
      </c>
      <c r="D18" s="116">
        <v>1500</v>
      </c>
      <c r="E18" s="116">
        <v>1529</v>
      </c>
      <c r="F18" s="116">
        <v>1528.75</v>
      </c>
      <c r="G18">
        <v>724</v>
      </c>
      <c r="H18" s="116"/>
      <c r="I18" s="116"/>
      <c r="L18" s="170"/>
    </row>
    <row r="19" spans="1:12" x14ac:dyDescent="0.25">
      <c r="A19" s="170">
        <v>42026</v>
      </c>
      <c r="B19" s="116">
        <v>1595</v>
      </c>
      <c r="C19" s="116">
        <v>1526</v>
      </c>
      <c r="D19" s="116">
        <v>1499</v>
      </c>
      <c r="E19" s="116">
        <v>1584</v>
      </c>
      <c r="F19" s="116">
        <v>1526</v>
      </c>
      <c r="G19">
        <v>406</v>
      </c>
      <c r="H19" s="116"/>
      <c r="I19" s="116"/>
      <c r="L19" s="170"/>
    </row>
    <row r="20" spans="1:12" x14ac:dyDescent="0.25">
      <c r="A20" s="170">
        <v>42027</v>
      </c>
      <c r="B20" s="116">
        <v>1515</v>
      </c>
      <c r="C20" s="116">
        <v>1480</v>
      </c>
      <c r="D20" s="116">
        <v>1469</v>
      </c>
      <c r="E20" s="116">
        <v>1482</v>
      </c>
      <c r="F20" s="116">
        <v>1480</v>
      </c>
      <c r="G20">
        <v>246</v>
      </c>
      <c r="H20" s="116"/>
      <c r="I20" s="116"/>
      <c r="L20" s="170"/>
    </row>
    <row r="21" spans="1:12" x14ac:dyDescent="0.25">
      <c r="A21" s="170">
        <v>42031</v>
      </c>
      <c r="B21" s="116">
        <v>1480</v>
      </c>
      <c r="C21" s="116">
        <v>1411</v>
      </c>
      <c r="D21" s="116">
        <v>1406</v>
      </c>
      <c r="E21" s="116">
        <v>1480</v>
      </c>
      <c r="F21" s="116">
        <v>1411</v>
      </c>
      <c r="G21">
        <v>529</v>
      </c>
      <c r="H21" s="116"/>
      <c r="I21" s="116"/>
      <c r="L21" s="170"/>
    </row>
    <row r="22" spans="1:12" x14ac:dyDescent="0.25">
      <c r="A22" s="170">
        <v>42032</v>
      </c>
      <c r="B22" s="116">
        <v>1472.75</v>
      </c>
      <c r="C22" s="116">
        <v>1421.5</v>
      </c>
      <c r="D22" s="116">
        <v>1411</v>
      </c>
      <c r="E22" s="116">
        <v>1420.25</v>
      </c>
      <c r="F22" s="116">
        <v>1421.5</v>
      </c>
      <c r="G22">
        <v>119</v>
      </c>
      <c r="H22" s="116"/>
      <c r="I22" s="116"/>
      <c r="L22" s="170"/>
    </row>
    <row r="23" spans="1:12" x14ac:dyDescent="0.25">
      <c r="A23" s="170">
        <v>42033</v>
      </c>
      <c r="B23" s="116">
        <v>1425</v>
      </c>
      <c r="C23" s="116">
        <v>1421</v>
      </c>
      <c r="D23" s="116">
        <v>1385</v>
      </c>
      <c r="E23" s="116">
        <v>1387</v>
      </c>
      <c r="F23" s="116">
        <v>1421</v>
      </c>
      <c r="G23">
        <v>309</v>
      </c>
      <c r="H23" s="116"/>
      <c r="I23" s="116"/>
      <c r="L23" s="170"/>
    </row>
    <row r="24" spans="1:12" x14ac:dyDescent="0.25">
      <c r="A24" s="170">
        <v>42034</v>
      </c>
      <c r="B24" s="116">
        <v>1472</v>
      </c>
      <c r="C24" s="116">
        <v>1405.5</v>
      </c>
      <c r="D24" s="116">
        <v>1381</v>
      </c>
      <c r="E24" s="116">
        <v>1381</v>
      </c>
      <c r="F24" s="116">
        <v>1405.5</v>
      </c>
      <c r="G24">
        <v>19</v>
      </c>
      <c r="H24" s="116"/>
      <c r="I24" s="116"/>
      <c r="L24" s="170"/>
    </row>
    <row r="25" spans="1:12" x14ac:dyDescent="0.25">
      <c r="A25" s="170">
        <v>42037</v>
      </c>
      <c r="B25" s="116">
        <v>1435.75</v>
      </c>
      <c r="C25" s="116">
        <v>1415.75</v>
      </c>
      <c r="D25" s="116">
        <v>1410</v>
      </c>
      <c r="E25" s="116">
        <v>1410.25</v>
      </c>
      <c r="F25" s="116">
        <v>1415.75</v>
      </c>
      <c r="G25">
        <v>166</v>
      </c>
      <c r="H25" s="116"/>
      <c r="I25" s="116"/>
      <c r="L25" s="170"/>
    </row>
    <row r="26" spans="1:12" x14ac:dyDescent="0.25">
      <c r="A26" s="170">
        <v>42038</v>
      </c>
      <c r="B26" s="116">
        <v>1454.5</v>
      </c>
      <c r="C26" s="116">
        <v>1402.75</v>
      </c>
      <c r="D26" s="116">
        <v>1400</v>
      </c>
      <c r="E26" s="116">
        <v>1454.5</v>
      </c>
      <c r="F26" s="116">
        <v>1402.75</v>
      </c>
      <c r="G26">
        <v>91</v>
      </c>
      <c r="H26" s="116"/>
      <c r="I26" s="116"/>
      <c r="L26" s="170"/>
    </row>
    <row r="27" spans="1:12" x14ac:dyDescent="0.25">
      <c r="A27" s="170">
        <v>42039</v>
      </c>
      <c r="B27" s="116">
        <v>1431.5</v>
      </c>
      <c r="C27" s="116">
        <v>1400.75</v>
      </c>
      <c r="D27" s="116">
        <v>1391.5</v>
      </c>
      <c r="E27" s="116">
        <v>1403.25</v>
      </c>
      <c r="F27" s="116">
        <v>1400.75</v>
      </c>
      <c r="G27">
        <v>95</v>
      </c>
      <c r="H27" s="116"/>
      <c r="I27" s="116"/>
      <c r="L27" s="170"/>
    </row>
    <row r="28" spans="1:12" x14ac:dyDescent="0.25">
      <c r="A28" s="170">
        <v>42040</v>
      </c>
      <c r="B28" s="116">
        <v>1448.5</v>
      </c>
      <c r="C28" s="116">
        <v>1394.75</v>
      </c>
      <c r="D28" s="116">
        <v>1366.25</v>
      </c>
      <c r="E28" s="116">
        <v>1448.5</v>
      </c>
      <c r="F28" s="116">
        <v>1394.75</v>
      </c>
      <c r="G28">
        <v>119</v>
      </c>
      <c r="H28" s="116"/>
      <c r="I28" s="116"/>
      <c r="L28" s="170"/>
    </row>
    <row r="29" spans="1:12" x14ac:dyDescent="0.25">
      <c r="A29" s="170">
        <v>42041</v>
      </c>
      <c r="B29" s="116">
        <v>1406</v>
      </c>
      <c r="C29" s="116">
        <v>1384.5</v>
      </c>
      <c r="D29" s="116">
        <v>1359.75</v>
      </c>
      <c r="E29" s="116">
        <v>1359.75</v>
      </c>
      <c r="F29" s="116">
        <v>1384.5</v>
      </c>
      <c r="G29">
        <v>106</v>
      </c>
      <c r="H29" s="116"/>
      <c r="I29" s="116"/>
      <c r="L29" s="170"/>
    </row>
    <row r="30" spans="1:12" x14ac:dyDescent="0.25">
      <c r="A30" s="170">
        <v>42044</v>
      </c>
      <c r="B30" s="116">
        <v>1345.25</v>
      </c>
      <c r="C30" s="116">
        <v>1344.5</v>
      </c>
      <c r="D30" s="116">
        <v>1336</v>
      </c>
      <c r="E30" s="116">
        <v>1336</v>
      </c>
      <c r="F30" s="116">
        <v>1344.5</v>
      </c>
      <c r="G30">
        <v>141</v>
      </c>
      <c r="H30" s="116"/>
      <c r="I30" s="116"/>
      <c r="L30" s="170"/>
    </row>
    <row r="31" spans="1:12" x14ac:dyDescent="0.25">
      <c r="A31" s="170">
        <v>42046</v>
      </c>
      <c r="B31" s="116">
        <v>1355</v>
      </c>
      <c r="C31" s="116">
        <v>1350.5</v>
      </c>
      <c r="D31" s="116">
        <v>1314.25</v>
      </c>
      <c r="E31" s="116">
        <v>1344.5</v>
      </c>
      <c r="F31" s="116">
        <v>1350.5</v>
      </c>
      <c r="G31">
        <v>60</v>
      </c>
      <c r="H31" s="116"/>
      <c r="I31" s="116"/>
      <c r="L31" s="170"/>
    </row>
    <row r="32" spans="1:12" x14ac:dyDescent="0.25">
      <c r="A32" s="170">
        <v>42047</v>
      </c>
      <c r="B32" s="116">
        <v>1350</v>
      </c>
      <c r="C32" s="116">
        <v>1349.75</v>
      </c>
      <c r="D32" s="116">
        <v>1320</v>
      </c>
      <c r="E32" s="116">
        <v>1325.25</v>
      </c>
      <c r="F32" s="116">
        <v>1349.75</v>
      </c>
      <c r="G32">
        <v>140</v>
      </c>
      <c r="H32" s="116"/>
      <c r="I32" s="116"/>
      <c r="L32" s="170"/>
    </row>
    <row r="33" spans="1:12" x14ac:dyDescent="0.25">
      <c r="A33" s="170">
        <v>42048</v>
      </c>
      <c r="B33" s="116">
        <v>1340</v>
      </c>
      <c r="C33" s="116">
        <v>1340</v>
      </c>
      <c r="D33" s="116">
        <v>1331</v>
      </c>
      <c r="E33" s="116">
        <v>1335</v>
      </c>
      <c r="F33" s="116">
        <v>1340</v>
      </c>
      <c r="G33">
        <v>66</v>
      </c>
      <c r="H33" s="116"/>
      <c r="I33" s="116"/>
      <c r="L33" s="170"/>
    </row>
    <row r="34" spans="1:12" x14ac:dyDescent="0.25">
      <c r="A34" s="170">
        <v>42051</v>
      </c>
      <c r="B34" s="116">
        <v>1364.75</v>
      </c>
      <c r="C34" s="116">
        <v>1344.75</v>
      </c>
      <c r="D34" s="116">
        <v>1311.25</v>
      </c>
      <c r="E34" s="116">
        <v>1340</v>
      </c>
      <c r="F34" s="116">
        <v>1344.75</v>
      </c>
      <c r="G34">
        <v>171</v>
      </c>
      <c r="H34" s="116"/>
      <c r="I34" s="116"/>
      <c r="L34" s="170"/>
    </row>
    <row r="35" spans="1:12" x14ac:dyDescent="0.25">
      <c r="A35" s="170">
        <v>42053</v>
      </c>
      <c r="B35" s="116">
        <v>1367.75</v>
      </c>
      <c r="C35" s="116">
        <v>1322.25</v>
      </c>
      <c r="D35" s="116">
        <v>1311.25</v>
      </c>
      <c r="E35" s="116">
        <v>1322</v>
      </c>
      <c r="F35" s="116">
        <v>1322.25</v>
      </c>
      <c r="G35">
        <v>284</v>
      </c>
      <c r="H35" s="116"/>
      <c r="I35" s="116"/>
      <c r="L35" s="170"/>
    </row>
    <row r="36" spans="1:12" x14ac:dyDescent="0.25">
      <c r="A36" s="170">
        <v>42054</v>
      </c>
      <c r="B36" s="116">
        <v>1326</v>
      </c>
      <c r="C36" s="116">
        <v>1317.75</v>
      </c>
      <c r="D36" s="116">
        <v>1308.75</v>
      </c>
      <c r="E36" s="116">
        <v>1308.75</v>
      </c>
      <c r="F36" s="116">
        <v>1317.75</v>
      </c>
      <c r="G36">
        <v>85</v>
      </c>
      <c r="H36" s="116"/>
      <c r="I36" s="116"/>
      <c r="L36" s="170"/>
    </row>
    <row r="37" spans="1:12" x14ac:dyDescent="0.25">
      <c r="A37" s="170">
        <v>42055</v>
      </c>
      <c r="B37" s="116">
        <v>1334.75</v>
      </c>
      <c r="C37" s="116">
        <v>1299</v>
      </c>
      <c r="D37" s="116">
        <v>1290</v>
      </c>
      <c r="E37" s="116">
        <v>1305</v>
      </c>
      <c r="F37" s="116">
        <v>1299</v>
      </c>
      <c r="G37">
        <v>346</v>
      </c>
      <c r="H37" s="116"/>
      <c r="I37" s="116"/>
      <c r="L37" s="170"/>
    </row>
    <row r="38" spans="1:12" x14ac:dyDescent="0.25">
      <c r="A38" s="170">
        <v>42058</v>
      </c>
      <c r="B38" s="116">
        <v>1307.75</v>
      </c>
      <c r="C38" s="116">
        <v>1306.25</v>
      </c>
      <c r="D38" s="116">
        <v>1271</v>
      </c>
      <c r="E38" s="116">
        <v>1271</v>
      </c>
      <c r="F38" s="116">
        <v>1306.25</v>
      </c>
      <c r="G38">
        <v>39</v>
      </c>
      <c r="H38" s="116"/>
      <c r="I38" s="116"/>
      <c r="L38" s="170"/>
    </row>
    <row r="39" spans="1:12" x14ac:dyDescent="0.25">
      <c r="A39" s="170">
        <v>42059</v>
      </c>
      <c r="B39" s="116">
        <v>1302</v>
      </c>
      <c r="C39" s="116">
        <v>1302</v>
      </c>
      <c r="D39" s="116">
        <v>1280</v>
      </c>
      <c r="E39" s="116">
        <v>1283.25</v>
      </c>
      <c r="F39" s="116">
        <v>1302</v>
      </c>
      <c r="G39">
        <v>79</v>
      </c>
      <c r="H39" s="116"/>
      <c r="I39" s="116"/>
      <c r="L39" s="170"/>
    </row>
    <row r="40" spans="1:12" x14ac:dyDescent="0.25">
      <c r="A40" s="170">
        <v>42060</v>
      </c>
      <c r="B40" s="116">
        <v>1310</v>
      </c>
      <c r="C40" s="116">
        <v>1303</v>
      </c>
      <c r="D40" s="116">
        <v>1294</v>
      </c>
      <c r="E40" s="116">
        <v>1294.25</v>
      </c>
      <c r="F40" s="116">
        <v>1303</v>
      </c>
      <c r="G40">
        <v>43</v>
      </c>
      <c r="H40" s="116"/>
      <c r="I40" s="116"/>
      <c r="L40" s="170"/>
    </row>
    <row r="41" spans="1:12" x14ac:dyDescent="0.25">
      <c r="A41" s="170">
        <v>42061</v>
      </c>
      <c r="B41" s="116">
        <v>1325.75</v>
      </c>
      <c r="C41" s="116">
        <v>1313</v>
      </c>
      <c r="D41" s="116">
        <v>1291</v>
      </c>
      <c r="E41" s="116">
        <v>1325.75</v>
      </c>
      <c r="F41" s="116">
        <v>1313</v>
      </c>
      <c r="G41">
        <v>135</v>
      </c>
      <c r="H41" s="116"/>
      <c r="I41" s="116"/>
      <c r="L41" s="170"/>
    </row>
    <row r="42" spans="1:12" x14ac:dyDescent="0.25">
      <c r="A42" s="170">
        <v>42062</v>
      </c>
      <c r="B42" s="116">
        <v>1306.75</v>
      </c>
      <c r="C42" s="116">
        <v>1306.75</v>
      </c>
      <c r="D42" s="116">
        <v>1280.5</v>
      </c>
      <c r="E42" s="116">
        <v>1282.75</v>
      </c>
      <c r="F42" s="116">
        <v>1306.75</v>
      </c>
      <c r="G42">
        <v>193</v>
      </c>
      <c r="H42" s="116"/>
      <c r="I42" s="116"/>
      <c r="L42" s="170"/>
    </row>
    <row r="43" spans="1:12" x14ac:dyDescent="0.25">
      <c r="A43" s="170">
        <v>42063</v>
      </c>
      <c r="B43" s="116">
        <v>1361.75</v>
      </c>
      <c r="C43" s="116">
        <v>1283</v>
      </c>
      <c r="D43" s="116">
        <v>1280.25</v>
      </c>
      <c r="E43" s="116">
        <v>1361.75</v>
      </c>
      <c r="F43" s="116">
        <v>1283</v>
      </c>
      <c r="G43">
        <v>101</v>
      </c>
      <c r="H43" s="116"/>
      <c r="I43" s="116"/>
      <c r="L43" s="170"/>
    </row>
    <row r="44" spans="1:12" x14ac:dyDescent="0.25">
      <c r="A44" s="170">
        <v>42065</v>
      </c>
      <c r="B44" s="116">
        <v>1312.5</v>
      </c>
      <c r="C44" s="116">
        <v>1284.75</v>
      </c>
      <c r="D44" s="116">
        <v>1282.25</v>
      </c>
      <c r="E44" s="116">
        <v>1305</v>
      </c>
      <c r="F44" s="116">
        <v>1284.75</v>
      </c>
      <c r="G44">
        <v>53</v>
      </c>
      <c r="H44" s="116"/>
      <c r="I44" s="116"/>
      <c r="L44" s="170"/>
    </row>
    <row r="45" spans="1:12" x14ac:dyDescent="0.25">
      <c r="A45" s="170">
        <v>42066</v>
      </c>
      <c r="B45" s="116">
        <v>1316.75</v>
      </c>
      <c r="C45" s="116">
        <v>1310</v>
      </c>
      <c r="D45" s="116">
        <v>1300</v>
      </c>
      <c r="E45" s="116">
        <v>1308.75</v>
      </c>
      <c r="F45" s="116">
        <v>1310</v>
      </c>
      <c r="G45">
        <v>79</v>
      </c>
      <c r="H45" s="116"/>
      <c r="I45" s="116"/>
      <c r="L45" s="170"/>
    </row>
    <row r="46" spans="1:12" x14ac:dyDescent="0.25">
      <c r="A46" s="170">
        <v>42067</v>
      </c>
      <c r="B46" s="116">
        <v>1311</v>
      </c>
      <c r="C46" s="116">
        <v>1304</v>
      </c>
      <c r="D46" s="116">
        <v>1286</v>
      </c>
      <c r="E46" s="116">
        <v>1311</v>
      </c>
      <c r="F46" s="116">
        <v>1304</v>
      </c>
      <c r="G46">
        <v>109</v>
      </c>
      <c r="H46" s="116"/>
      <c r="I46" s="116"/>
      <c r="L46" s="170"/>
    </row>
    <row r="47" spans="1:12" x14ac:dyDescent="0.25">
      <c r="A47" s="170">
        <v>42068</v>
      </c>
      <c r="B47" s="116">
        <v>1311</v>
      </c>
      <c r="C47" s="116">
        <v>1308.5</v>
      </c>
      <c r="D47" s="116">
        <v>1300</v>
      </c>
      <c r="E47" s="116">
        <v>1300</v>
      </c>
      <c r="F47" s="116">
        <v>1308.5</v>
      </c>
      <c r="G47">
        <v>129</v>
      </c>
      <c r="H47" s="116"/>
      <c r="I47" s="116"/>
      <c r="L47" s="170"/>
    </row>
    <row r="48" spans="1:12" x14ac:dyDescent="0.25">
      <c r="A48" s="170">
        <v>42072</v>
      </c>
      <c r="B48" s="116">
        <v>1310</v>
      </c>
      <c r="C48" s="116">
        <v>1283</v>
      </c>
      <c r="D48" s="116">
        <v>1260.25</v>
      </c>
      <c r="E48" s="116">
        <v>1260.25</v>
      </c>
      <c r="F48" s="116">
        <v>1283</v>
      </c>
      <c r="G48">
        <v>83</v>
      </c>
      <c r="H48" s="116"/>
      <c r="I48" s="116"/>
      <c r="L48" s="170"/>
    </row>
    <row r="49" spans="1:12" x14ac:dyDescent="0.25">
      <c r="A49" s="170">
        <v>42073</v>
      </c>
      <c r="B49" s="116">
        <v>1299</v>
      </c>
      <c r="C49" s="116">
        <v>1286.25</v>
      </c>
      <c r="D49" s="116">
        <v>1268</v>
      </c>
      <c r="E49" s="116">
        <v>1268</v>
      </c>
      <c r="F49" s="116">
        <v>1286.25</v>
      </c>
      <c r="G49">
        <v>134</v>
      </c>
      <c r="H49" s="116"/>
      <c r="I49" s="116"/>
      <c r="L49" s="170"/>
    </row>
    <row r="50" spans="1:12" x14ac:dyDescent="0.25">
      <c r="A50" s="170">
        <v>42074</v>
      </c>
      <c r="B50" s="116">
        <v>1295</v>
      </c>
      <c r="C50" s="116">
        <v>1280</v>
      </c>
      <c r="D50" s="116">
        <v>1251.25</v>
      </c>
      <c r="E50" s="116">
        <v>1251.25</v>
      </c>
      <c r="F50" s="116">
        <v>1280</v>
      </c>
      <c r="G50">
        <v>26</v>
      </c>
      <c r="H50" s="116"/>
      <c r="I50" s="116"/>
      <c r="L50" s="170"/>
    </row>
    <row r="51" spans="1:12" x14ac:dyDescent="0.25">
      <c r="A51" s="170">
        <v>42075</v>
      </c>
      <c r="B51" s="116">
        <v>1299</v>
      </c>
      <c r="C51" s="116">
        <v>1280.25</v>
      </c>
      <c r="D51" s="116">
        <v>1252.25</v>
      </c>
      <c r="E51" s="116">
        <v>1282</v>
      </c>
      <c r="F51" s="116">
        <v>1280.25</v>
      </c>
      <c r="G51">
        <v>199</v>
      </c>
      <c r="H51" s="116"/>
      <c r="I51" s="116"/>
      <c r="L51" s="170"/>
    </row>
    <row r="52" spans="1:12" x14ac:dyDescent="0.25">
      <c r="A52" s="170">
        <v>42076</v>
      </c>
      <c r="B52" s="116">
        <v>1293</v>
      </c>
      <c r="C52" s="116">
        <v>1292</v>
      </c>
      <c r="D52" s="116">
        <v>1280</v>
      </c>
      <c r="E52" s="116">
        <v>1280</v>
      </c>
      <c r="F52" s="116">
        <v>1292</v>
      </c>
      <c r="G52">
        <v>84</v>
      </c>
      <c r="H52" s="116"/>
      <c r="I52" s="116"/>
      <c r="L52" s="170"/>
    </row>
    <row r="53" spans="1:12" x14ac:dyDescent="0.25">
      <c r="A53" s="170">
        <v>42079</v>
      </c>
      <c r="B53" s="116">
        <v>1317</v>
      </c>
      <c r="C53" s="116">
        <v>1290</v>
      </c>
      <c r="D53" s="116">
        <v>1281.25</v>
      </c>
      <c r="E53" s="116">
        <v>1291</v>
      </c>
      <c r="F53" s="116">
        <v>1290</v>
      </c>
      <c r="G53">
        <v>76</v>
      </c>
      <c r="H53" s="116"/>
      <c r="I53" s="116"/>
      <c r="L53" s="170"/>
    </row>
    <row r="54" spans="1:12" x14ac:dyDescent="0.25">
      <c r="A54" s="170">
        <v>42080</v>
      </c>
      <c r="B54" s="116">
        <v>1299</v>
      </c>
      <c r="C54" s="116">
        <v>1280.5</v>
      </c>
      <c r="D54" s="116">
        <v>1280</v>
      </c>
      <c r="E54" s="116">
        <v>1299</v>
      </c>
      <c r="F54" s="116">
        <v>1280.5</v>
      </c>
      <c r="G54">
        <v>7</v>
      </c>
      <c r="H54" s="116"/>
      <c r="I54" s="116"/>
      <c r="L54" s="170"/>
    </row>
    <row r="55" spans="1:12" x14ac:dyDescent="0.25">
      <c r="A55" s="170">
        <v>42081</v>
      </c>
      <c r="B55" s="116">
        <v>1295</v>
      </c>
      <c r="C55" s="116">
        <v>1281</v>
      </c>
      <c r="D55" s="116">
        <v>1260</v>
      </c>
      <c r="E55" s="116">
        <v>1260</v>
      </c>
      <c r="F55" s="116">
        <v>1281</v>
      </c>
      <c r="G55">
        <v>64</v>
      </c>
      <c r="H55" s="116"/>
      <c r="I55" s="116"/>
      <c r="L55" s="170"/>
    </row>
    <row r="56" spans="1:12" x14ac:dyDescent="0.25">
      <c r="A56" s="170">
        <v>42082</v>
      </c>
      <c r="B56" s="116">
        <v>1296.75</v>
      </c>
      <c r="C56" s="116">
        <v>1279</v>
      </c>
      <c r="D56" s="116">
        <v>1253.25</v>
      </c>
      <c r="E56" s="116">
        <v>1282</v>
      </c>
      <c r="F56" s="116">
        <v>1279</v>
      </c>
      <c r="G56">
        <v>313</v>
      </c>
      <c r="H56" s="116"/>
      <c r="I56" s="116"/>
      <c r="L56" s="170"/>
    </row>
    <row r="57" spans="1:12" x14ac:dyDescent="0.25">
      <c r="A57" s="170">
        <v>42083</v>
      </c>
      <c r="B57" s="116">
        <v>1328</v>
      </c>
      <c r="C57" s="116">
        <v>1272.25</v>
      </c>
      <c r="D57" s="116">
        <v>1252.25</v>
      </c>
      <c r="E57" s="116">
        <v>1279</v>
      </c>
      <c r="F57" s="116">
        <v>1272.25</v>
      </c>
      <c r="G57">
        <v>166</v>
      </c>
      <c r="H57" s="116"/>
      <c r="I57" s="116"/>
      <c r="L57" s="170"/>
    </row>
    <row r="58" spans="1:12" x14ac:dyDescent="0.25">
      <c r="A58" s="170">
        <v>42086</v>
      </c>
      <c r="B58" s="116">
        <v>1294.75</v>
      </c>
      <c r="C58" s="116">
        <v>1260</v>
      </c>
      <c r="D58" s="116">
        <v>1251</v>
      </c>
      <c r="E58" s="116">
        <v>1251.5</v>
      </c>
      <c r="F58" s="116">
        <v>1260</v>
      </c>
      <c r="G58">
        <v>110</v>
      </c>
      <c r="H58" s="116"/>
      <c r="I58" s="116"/>
      <c r="L58" s="170"/>
    </row>
    <row r="59" spans="1:12" x14ac:dyDescent="0.25">
      <c r="A59" s="170">
        <v>42087</v>
      </c>
      <c r="B59" s="116">
        <v>1296.75</v>
      </c>
      <c r="C59" s="116">
        <v>1262</v>
      </c>
      <c r="D59" s="116">
        <v>1260.25</v>
      </c>
      <c r="E59" s="116">
        <v>1260.25</v>
      </c>
      <c r="F59" s="116">
        <v>1262</v>
      </c>
      <c r="G59">
        <v>69</v>
      </c>
      <c r="H59" s="116"/>
      <c r="I59" s="116"/>
      <c r="L59" s="170"/>
    </row>
    <row r="60" spans="1:12" x14ac:dyDescent="0.25">
      <c r="A60" s="170">
        <v>42088</v>
      </c>
      <c r="B60" s="116">
        <v>1289</v>
      </c>
      <c r="C60" s="116">
        <v>1270</v>
      </c>
      <c r="D60" s="116">
        <v>1206</v>
      </c>
      <c r="E60" s="116">
        <v>1206</v>
      </c>
      <c r="F60" s="116">
        <v>1270</v>
      </c>
      <c r="G60">
        <v>165</v>
      </c>
      <c r="H60" s="116"/>
      <c r="I60" s="116"/>
      <c r="L60" s="170"/>
    </row>
    <row r="61" spans="1:12" x14ac:dyDescent="0.25">
      <c r="A61" s="170">
        <v>42089</v>
      </c>
      <c r="B61" s="116">
        <v>1261</v>
      </c>
      <c r="C61" s="116">
        <v>1251.75</v>
      </c>
      <c r="D61" s="116">
        <v>1251.25</v>
      </c>
      <c r="E61" s="116">
        <v>1251.25</v>
      </c>
      <c r="F61" s="116">
        <v>1251.75</v>
      </c>
      <c r="G61">
        <v>45</v>
      </c>
      <c r="H61" s="116"/>
      <c r="I61" s="116"/>
      <c r="L61" s="170"/>
    </row>
    <row r="62" spans="1:12" x14ac:dyDescent="0.25">
      <c r="A62" s="170">
        <v>42090</v>
      </c>
      <c r="B62" s="116">
        <v>1252.25</v>
      </c>
      <c r="C62" s="116">
        <v>1200.25</v>
      </c>
      <c r="D62" s="116">
        <v>1200.25</v>
      </c>
      <c r="E62" s="116">
        <v>1252.25</v>
      </c>
      <c r="F62" s="116">
        <v>1200.25</v>
      </c>
      <c r="G62">
        <v>41</v>
      </c>
      <c r="H62" s="116"/>
      <c r="I62" s="116"/>
      <c r="L62" s="170"/>
    </row>
    <row r="63" spans="1:12" x14ac:dyDescent="0.25">
      <c r="A63" s="170">
        <v>42093</v>
      </c>
      <c r="B63" s="116">
        <v>1259</v>
      </c>
      <c r="C63" s="116">
        <v>1230</v>
      </c>
      <c r="D63" s="116">
        <v>1211</v>
      </c>
      <c r="E63" s="116">
        <v>1258.5</v>
      </c>
      <c r="F63" s="116">
        <v>1230</v>
      </c>
      <c r="G63">
        <v>93</v>
      </c>
      <c r="H63" s="116"/>
      <c r="I63" s="116"/>
      <c r="L63" s="170"/>
    </row>
    <row r="64" spans="1:12" x14ac:dyDescent="0.25">
      <c r="A64" s="170">
        <v>42094</v>
      </c>
      <c r="B64" s="116">
        <v>1280</v>
      </c>
      <c r="C64" s="116">
        <v>1269</v>
      </c>
      <c r="D64" s="116">
        <v>1261</v>
      </c>
      <c r="E64" s="116">
        <v>1278.75</v>
      </c>
      <c r="F64" s="116">
        <v>1269</v>
      </c>
      <c r="G64">
        <v>59</v>
      </c>
      <c r="H64" s="116"/>
      <c r="I64" s="116"/>
      <c r="L64" s="170"/>
    </row>
    <row r="65" spans="1:12" x14ac:dyDescent="0.25">
      <c r="A65" s="170">
        <v>42095</v>
      </c>
      <c r="B65" s="116">
        <v>1275</v>
      </c>
      <c r="C65" s="116">
        <v>1260</v>
      </c>
      <c r="D65" s="116">
        <v>1260</v>
      </c>
      <c r="E65" s="116">
        <v>1275</v>
      </c>
      <c r="F65" s="116">
        <v>1260</v>
      </c>
      <c r="G65">
        <v>31</v>
      </c>
      <c r="H65" s="116"/>
      <c r="I65" s="116"/>
      <c r="L65" s="170"/>
    </row>
    <row r="66" spans="1:12" x14ac:dyDescent="0.25">
      <c r="A66" s="170">
        <v>42100</v>
      </c>
      <c r="B66" s="116">
        <v>1318.75</v>
      </c>
      <c r="C66" s="116">
        <v>1266.75</v>
      </c>
      <c r="D66" s="116">
        <v>1266.75</v>
      </c>
      <c r="E66" s="116">
        <v>1318.75</v>
      </c>
      <c r="F66" s="116">
        <v>1266.75</v>
      </c>
      <c r="G66">
        <v>53</v>
      </c>
      <c r="H66" s="116"/>
      <c r="I66" s="116"/>
      <c r="L66" s="170"/>
    </row>
    <row r="67" spans="1:12" x14ac:dyDescent="0.25">
      <c r="A67" s="170">
        <v>42101</v>
      </c>
      <c r="B67" s="116">
        <v>1250</v>
      </c>
      <c r="C67" s="116">
        <v>1242.5</v>
      </c>
      <c r="D67" s="116">
        <v>1210</v>
      </c>
      <c r="E67" s="116">
        <v>1245</v>
      </c>
      <c r="F67" s="116">
        <v>1242.5</v>
      </c>
      <c r="G67">
        <v>175</v>
      </c>
      <c r="H67" s="116"/>
      <c r="I67" s="116"/>
      <c r="L67" s="170"/>
    </row>
    <row r="68" spans="1:12" x14ac:dyDescent="0.25">
      <c r="A68" s="170">
        <v>42102</v>
      </c>
      <c r="B68" s="116">
        <v>1304.5</v>
      </c>
      <c r="C68" s="116">
        <v>1304.5</v>
      </c>
      <c r="D68" s="116">
        <v>1260</v>
      </c>
      <c r="E68" s="116">
        <v>1260</v>
      </c>
      <c r="F68" s="116">
        <v>1304.5</v>
      </c>
      <c r="G68">
        <v>246</v>
      </c>
      <c r="H68" s="116"/>
      <c r="I68" s="116"/>
      <c r="L68" s="170"/>
    </row>
    <row r="69" spans="1:12" x14ac:dyDescent="0.25">
      <c r="A69" s="170">
        <v>42103</v>
      </c>
      <c r="B69" s="116">
        <v>1345</v>
      </c>
      <c r="C69" s="116">
        <v>1301.75</v>
      </c>
      <c r="D69" s="116">
        <v>1285.5</v>
      </c>
      <c r="E69" s="116">
        <v>1303</v>
      </c>
      <c r="F69" s="116">
        <v>1301.75</v>
      </c>
      <c r="G69">
        <v>271</v>
      </c>
      <c r="H69" s="116"/>
      <c r="I69" s="116"/>
      <c r="L69" s="170"/>
    </row>
    <row r="70" spans="1:12" x14ac:dyDescent="0.25">
      <c r="A70" s="170">
        <v>42104</v>
      </c>
      <c r="B70" s="116">
        <v>1342.75</v>
      </c>
      <c r="C70" s="116">
        <v>1300</v>
      </c>
      <c r="D70" s="116">
        <v>1275</v>
      </c>
      <c r="E70" s="116">
        <v>1342.75</v>
      </c>
      <c r="F70" s="116">
        <v>1300</v>
      </c>
      <c r="G70">
        <v>47</v>
      </c>
      <c r="H70" s="116"/>
      <c r="I70" s="116"/>
      <c r="L70" s="170"/>
    </row>
    <row r="71" spans="1:12" x14ac:dyDescent="0.25">
      <c r="A71" s="170">
        <v>42107</v>
      </c>
      <c r="B71" s="116">
        <v>1365</v>
      </c>
      <c r="C71" s="116">
        <v>1365</v>
      </c>
      <c r="D71" s="116">
        <v>1346.25</v>
      </c>
      <c r="E71" s="116">
        <v>1350</v>
      </c>
      <c r="F71" s="116">
        <v>1365</v>
      </c>
      <c r="G71">
        <v>81</v>
      </c>
      <c r="H71" s="116"/>
      <c r="I71" s="116"/>
      <c r="L71" s="170"/>
    </row>
    <row r="72" spans="1:12" x14ac:dyDescent="0.25">
      <c r="A72" s="170">
        <v>42109</v>
      </c>
      <c r="B72" s="116">
        <v>1433.25</v>
      </c>
      <c r="C72" s="116">
        <v>1430.75</v>
      </c>
      <c r="D72" s="116">
        <v>1395.5</v>
      </c>
      <c r="E72" s="116">
        <v>1395.5</v>
      </c>
      <c r="F72" s="116">
        <v>1430.75</v>
      </c>
      <c r="G72">
        <v>154</v>
      </c>
      <c r="H72" s="116"/>
      <c r="I72" s="116"/>
      <c r="L72" s="170"/>
    </row>
    <row r="73" spans="1:12" x14ac:dyDescent="0.25">
      <c r="A73" s="170">
        <v>42110</v>
      </c>
      <c r="B73" s="116">
        <v>1462</v>
      </c>
      <c r="C73" s="116">
        <v>1457.25</v>
      </c>
      <c r="D73" s="116">
        <v>1435</v>
      </c>
      <c r="E73" s="116">
        <v>1441.25</v>
      </c>
      <c r="F73" s="116">
        <v>1457.25</v>
      </c>
      <c r="G73">
        <v>154</v>
      </c>
      <c r="H73" s="116"/>
      <c r="I73" s="116"/>
      <c r="L73" s="170"/>
    </row>
    <row r="74" spans="1:12" x14ac:dyDescent="0.25">
      <c r="A74" s="170">
        <v>42111</v>
      </c>
      <c r="B74" s="116">
        <v>1470</v>
      </c>
      <c r="C74" s="116">
        <v>1470</v>
      </c>
      <c r="D74" s="116">
        <v>1425</v>
      </c>
      <c r="E74" s="116">
        <v>1425</v>
      </c>
      <c r="F74" s="116">
        <v>1470</v>
      </c>
      <c r="G74">
        <v>35</v>
      </c>
      <c r="H74" s="116"/>
      <c r="I74" s="116"/>
      <c r="L74" s="170"/>
    </row>
    <row r="75" spans="1:12" x14ac:dyDescent="0.25">
      <c r="A75" s="170">
        <v>42114</v>
      </c>
      <c r="B75" s="116">
        <v>1479</v>
      </c>
      <c r="C75" s="116">
        <v>1440</v>
      </c>
      <c r="D75" s="116">
        <v>1440</v>
      </c>
      <c r="E75" s="116">
        <v>1479</v>
      </c>
      <c r="F75" s="116">
        <v>1440</v>
      </c>
      <c r="G75">
        <v>96</v>
      </c>
      <c r="H75" s="116"/>
      <c r="I75" s="116"/>
      <c r="L75" s="170"/>
    </row>
    <row r="76" spans="1:12" x14ac:dyDescent="0.25">
      <c r="A76" s="170">
        <v>42115</v>
      </c>
      <c r="B76" s="116">
        <v>1420.25</v>
      </c>
      <c r="C76" s="116">
        <v>1418</v>
      </c>
      <c r="D76" s="116">
        <v>1401.25</v>
      </c>
      <c r="E76" s="116">
        <v>1420</v>
      </c>
      <c r="F76" s="116">
        <v>1418</v>
      </c>
      <c r="G76">
        <v>138</v>
      </c>
      <c r="H76" s="116"/>
      <c r="I76" s="116"/>
      <c r="L76" s="170"/>
    </row>
    <row r="77" spans="1:12" x14ac:dyDescent="0.25">
      <c r="A77" s="170">
        <v>42116</v>
      </c>
      <c r="B77" s="116">
        <v>1400</v>
      </c>
      <c r="C77" s="116">
        <v>1400</v>
      </c>
      <c r="D77" s="116">
        <v>1380</v>
      </c>
      <c r="E77" s="116">
        <v>1400</v>
      </c>
      <c r="F77" s="116">
        <v>1400</v>
      </c>
      <c r="G77">
        <v>103</v>
      </c>
      <c r="H77" s="116"/>
      <c r="I77" s="116"/>
      <c r="L77" s="170"/>
    </row>
    <row r="78" spans="1:12" x14ac:dyDescent="0.25">
      <c r="A78" s="170">
        <v>42117</v>
      </c>
      <c r="B78" s="116">
        <v>1421.75</v>
      </c>
      <c r="C78" s="116">
        <v>1392.25</v>
      </c>
      <c r="D78" s="116">
        <v>1386</v>
      </c>
      <c r="E78" s="116">
        <v>1421.75</v>
      </c>
      <c r="F78" s="116">
        <v>1392.25</v>
      </c>
      <c r="G78">
        <v>144</v>
      </c>
      <c r="H78" s="116"/>
      <c r="I78" s="116"/>
      <c r="L78" s="170"/>
    </row>
    <row r="79" spans="1:12" x14ac:dyDescent="0.25">
      <c r="A79" s="170">
        <v>42118</v>
      </c>
      <c r="B79" s="116">
        <v>1395</v>
      </c>
      <c r="C79" s="116">
        <v>1370.25</v>
      </c>
      <c r="D79" s="116">
        <v>1370</v>
      </c>
      <c r="E79" s="116">
        <v>1373.25</v>
      </c>
      <c r="F79" s="116">
        <v>1370.25</v>
      </c>
      <c r="G79">
        <v>77</v>
      </c>
      <c r="H79" s="116"/>
      <c r="I79" s="116"/>
      <c r="L79" s="170"/>
    </row>
    <row r="80" spans="1:12" x14ac:dyDescent="0.25">
      <c r="A80" s="170">
        <v>42121</v>
      </c>
      <c r="B80" s="116">
        <v>1372.75</v>
      </c>
      <c r="C80" s="116">
        <v>1329.25</v>
      </c>
      <c r="D80" s="116">
        <v>1322.25</v>
      </c>
      <c r="E80" s="116">
        <v>1361</v>
      </c>
      <c r="F80" s="116">
        <v>1329.25</v>
      </c>
      <c r="G80">
        <v>84</v>
      </c>
      <c r="H80" s="116"/>
      <c r="I80" s="116"/>
      <c r="L80" s="170"/>
    </row>
    <row r="81" spans="1:12" x14ac:dyDescent="0.25">
      <c r="A81" s="170">
        <v>42122</v>
      </c>
      <c r="B81" s="116">
        <v>1349.75</v>
      </c>
      <c r="C81" s="116">
        <v>1321</v>
      </c>
      <c r="D81" s="116">
        <v>1302</v>
      </c>
      <c r="E81" s="116">
        <v>1325</v>
      </c>
      <c r="F81" s="116">
        <v>1321</v>
      </c>
      <c r="G81">
        <v>283</v>
      </c>
      <c r="H81" s="116"/>
      <c r="I81" s="116"/>
      <c r="L81" s="170"/>
    </row>
    <row r="82" spans="1:12" x14ac:dyDescent="0.25">
      <c r="A82" s="170">
        <v>42123</v>
      </c>
      <c r="B82" s="116">
        <v>1348</v>
      </c>
      <c r="C82" s="116">
        <v>1343.75</v>
      </c>
      <c r="D82" s="116">
        <v>1343.25</v>
      </c>
      <c r="E82" s="116">
        <v>1343.25</v>
      </c>
      <c r="F82" s="116">
        <v>1343.75</v>
      </c>
      <c r="G82">
        <v>49</v>
      </c>
      <c r="H82" s="116"/>
      <c r="I82" s="116"/>
      <c r="L82" s="170"/>
    </row>
    <row r="83" spans="1:12" x14ac:dyDescent="0.25">
      <c r="A83" s="170">
        <v>42124</v>
      </c>
      <c r="B83" s="116">
        <v>1380</v>
      </c>
      <c r="C83" s="116">
        <v>1326.25</v>
      </c>
      <c r="D83" s="116">
        <v>1318</v>
      </c>
      <c r="E83" s="116">
        <v>1349</v>
      </c>
      <c r="F83" s="116">
        <v>1326.25</v>
      </c>
      <c r="G83">
        <v>105</v>
      </c>
      <c r="H83" s="116"/>
      <c r="I83" s="116"/>
      <c r="L83" s="170"/>
    </row>
    <row r="84" spans="1:12" x14ac:dyDescent="0.25">
      <c r="A84" s="170">
        <v>42128</v>
      </c>
      <c r="B84" s="116">
        <v>1382.75</v>
      </c>
      <c r="C84" s="116">
        <v>1355.25</v>
      </c>
      <c r="D84" s="116">
        <v>1355</v>
      </c>
      <c r="E84" s="116">
        <v>1382.75</v>
      </c>
      <c r="F84" s="116">
        <v>1355.25</v>
      </c>
      <c r="G84">
        <v>23</v>
      </c>
      <c r="H84" s="116"/>
      <c r="I84" s="116"/>
      <c r="L84" s="170"/>
    </row>
    <row r="85" spans="1:12" x14ac:dyDescent="0.25">
      <c r="A85" s="170">
        <v>42129</v>
      </c>
      <c r="B85" s="116">
        <v>1413.75</v>
      </c>
      <c r="C85" s="116">
        <v>1355</v>
      </c>
      <c r="D85" s="116">
        <v>1346</v>
      </c>
      <c r="E85" s="116">
        <v>1413.75</v>
      </c>
      <c r="F85" s="116">
        <v>1355</v>
      </c>
      <c r="G85">
        <v>86</v>
      </c>
      <c r="H85" s="116"/>
      <c r="I85" s="116"/>
      <c r="L85" s="170"/>
    </row>
    <row r="86" spans="1:12" x14ac:dyDescent="0.25">
      <c r="A86" s="170">
        <v>42130</v>
      </c>
      <c r="B86" s="116">
        <v>1358</v>
      </c>
      <c r="C86" s="116">
        <v>1355.75</v>
      </c>
      <c r="D86" s="116">
        <v>1345</v>
      </c>
      <c r="E86" s="116">
        <v>1356</v>
      </c>
      <c r="F86" s="116">
        <v>1355.75</v>
      </c>
      <c r="G86">
        <v>130</v>
      </c>
      <c r="H86" s="116"/>
      <c r="I86" s="116"/>
      <c r="L86" s="170"/>
    </row>
    <row r="87" spans="1:12" x14ac:dyDescent="0.25">
      <c r="A87" s="170">
        <v>42131</v>
      </c>
      <c r="B87" s="116">
        <v>1347.75</v>
      </c>
      <c r="C87" s="116">
        <v>1321.25</v>
      </c>
      <c r="D87" s="116">
        <v>1300</v>
      </c>
      <c r="E87" s="116">
        <v>1320.25</v>
      </c>
      <c r="F87" s="116">
        <v>1321.25</v>
      </c>
      <c r="G87">
        <v>70</v>
      </c>
      <c r="H87" s="116"/>
      <c r="I87" s="116"/>
      <c r="L87" s="170"/>
    </row>
    <row r="88" spans="1:12" x14ac:dyDescent="0.25">
      <c r="A88" s="170">
        <v>42132</v>
      </c>
      <c r="B88" s="116">
        <v>1343.75</v>
      </c>
      <c r="C88" s="116">
        <v>1330.5</v>
      </c>
      <c r="D88" s="116">
        <v>1281.25</v>
      </c>
      <c r="E88" s="116">
        <v>1332</v>
      </c>
      <c r="F88" s="116">
        <v>1330.5</v>
      </c>
      <c r="G88">
        <v>210</v>
      </c>
      <c r="H88" s="116"/>
      <c r="I88" s="116"/>
      <c r="L88" s="170"/>
    </row>
    <row r="89" spans="1:12" x14ac:dyDescent="0.25">
      <c r="A89" s="170">
        <v>42135</v>
      </c>
      <c r="B89" s="116">
        <v>1389.75</v>
      </c>
      <c r="C89" s="116">
        <v>1335</v>
      </c>
      <c r="D89" s="116">
        <v>1330</v>
      </c>
      <c r="E89" s="116">
        <v>1330</v>
      </c>
      <c r="F89" s="116">
        <v>1335</v>
      </c>
      <c r="G89">
        <v>159</v>
      </c>
      <c r="H89" s="116"/>
      <c r="I89" s="116"/>
      <c r="L89" s="170"/>
    </row>
    <row r="90" spans="1:12" x14ac:dyDescent="0.25">
      <c r="A90" s="170">
        <v>42136</v>
      </c>
      <c r="B90" s="116">
        <v>1355</v>
      </c>
      <c r="C90" s="116">
        <v>1321.25</v>
      </c>
      <c r="D90" s="116">
        <v>1319.5</v>
      </c>
      <c r="E90" s="116">
        <v>1330</v>
      </c>
      <c r="F90" s="116">
        <v>1321.25</v>
      </c>
      <c r="G90">
        <v>21</v>
      </c>
      <c r="H90" s="116"/>
      <c r="I90" s="116"/>
      <c r="L90" s="170"/>
    </row>
    <row r="91" spans="1:12" x14ac:dyDescent="0.25">
      <c r="A91" s="170">
        <v>42137</v>
      </c>
      <c r="B91" s="116">
        <v>1385</v>
      </c>
      <c r="C91" s="116">
        <v>1309.5</v>
      </c>
      <c r="D91" s="116">
        <v>1285.5</v>
      </c>
      <c r="E91" s="116">
        <v>1285.5</v>
      </c>
      <c r="F91" s="116">
        <v>1309.5</v>
      </c>
      <c r="G91">
        <v>219</v>
      </c>
      <c r="H91" s="116"/>
      <c r="I91" s="116"/>
      <c r="L91" s="170"/>
    </row>
    <row r="92" spans="1:12" x14ac:dyDescent="0.25">
      <c r="A92" s="170">
        <v>42138</v>
      </c>
      <c r="B92" s="116">
        <v>1343.25</v>
      </c>
      <c r="C92" s="116">
        <v>1319.75</v>
      </c>
      <c r="D92" s="116">
        <v>1310.5</v>
      </c>
      <c r="E92" s="116">
        <v>1310.5</v>
      </c>
      <c r="F92" s="116">
        <v>1319.75</v>
      </c>
      <c r="G92">
        <v>27</v>
      </c>
      <c r="H92" s="116"/>
      <c r="I92" s="116"/>
      <c r="L92" s="170"/>
    </row>
    <row r="93" spans="1:12" x14ac:dyDescent="0.25">
      <c r="A93" s="170">
        <v>42139</v>
      </c>
      <c r="B93" s="116">
        <v>1324.75</v>
      </c>
      <c r="C93" s="116">
        <v>1324.5</v>
      </c>
      <c r="D93" s="116">
        <v>1301</v>
      </c>
      <c r="E93" s="116">
        <v>1301.25</v>
      </c>
      <c r="F93" s="116">
        <v>1324.5</v>
      </c>
      <c r="G93">
        <v>61</v>
      </c>
      <c r="H93" s="116"/>
      <c r="I93" s="116"/>
      <c r="L93" s="170"/>
    </row>
    <row r="94" spans="1:12" x14ac:dyDescent="0.25">
      <c r="A94" s="170">
        <v>42142</v>
      </c>
      <c r="B94" s="116">
        <v>1326</v>
      </c>
      <c r="C94" s="116">
        <v>1325</v>
      </c>
      <c r="D94" s="116">
        <v>1325</v>
      </c>
      <c r="E94" s="116">
        <v>1326</v>
      </c>
      <c r="F94" s="116">
        <v>1325</v>
      </c>
      <c r="G94">
        <v>8</v>
      </c>
      <c r="H94" s="116"/>
      <c r="I94" s="116"/>
      <c r="L94" s="170"/>
    </row>
    <row r="95" spans="1:12" x14ac:dyDescent="0.25">
      <c r="A95" s="170">
        <v>42144</v>
      </c>
      <c r="B95" s="116">
        <v>1340</v>
      </c>
      <c r="C95" s="116">
        <v>1310.25</v>
      </c>
      <c r="D95" s="116">
        <v>1302.25</v>
      </c>
      <c r="E95" s="116">
        <v>1339.5</v>
      </c>
      <c r="F95" s="116">
        <v>1310.25</v>
      </c>
      <c r="G95">
        <v>142</v>
      </c>
      <c r="H95" s="116"/>
      <c r="I95" s="116"/>
      <c r="L95" s="170"/>
    </row>
    <row r="96" spans="1:12" x14ac:dyDescent="0.25">
      <c r="A96" s="170">
        <v>42145</v>
      </c>
      <c r="B96" s="116">
        <v>1320</v>
      </c>
      <c r="C96" s="116">
        <v>1305.25</v>
      </c>
      <c r="D96" s="116">
        <v>1301.25</v>
      </c>
      <c r="E96" s="116">
        <v>1311.75</v>
      </c>
      <c r="F96" s="116">
        <v>1305.25</v>
      </c>
      <c r="G96">
        <v>58</v>
      </c>
      <c r="H96" s="116"/>
      <c r="I96" s="116"/>
      <c r="L96" s="170"/>
    </row>
    <row r="97" spans="1:12" x14ac:dyDescent="0.25">
      <c r="A97" s="170">
        <v>42146</v>
      </c>
      <c r="B97" s="116">
        <v>1310</v>
      </c>
      <c r="C97" s="116">
        <v>1310</v>
      </c>
      <c r="D97" s="116">
        <v>1306.25</v>
      </c>
      <c r="E97" s="116">
        <v>1310</v>
      </c>
      <c r="F97" s="116">
        <v>1310</v>
      </c>
      <c r="G97">
        <v>53</v>
      </c>
      <c r="H97" s="116"/>
      <c r="I97" s="116"/>
      <c r="L97" s="170"/>
    </row>
    <row r="98" spans="1:12" x14ac:dyDescent="0.25">
      <c r="A98" s="170">
        <v>42149</v>
      </c>
      <c r="B98" s="116">
        <v>1325</v>
      </c>
      <c r="C98" s="116">
        <v>1306</v>
      </c>
      <c r="D98" s="116">
        <v>1306</v>
      </c>
      <c r="E98" s="116">
        <v>1325</v>
      </c>
      <c r="F98" s="116">
        <v>1306</v>
      </c>
      <c r="G98">
        <v>20</v>
      </c>
      <c r="H98" s="116"/>
      <c r="I98" s="116"/>
      <c r="L98" s="170"/>
    </row>
    <row r="99" spans="1:12" x14ac:dyDescent="0.25">
      <c r="A99" s="170">
        <v>42150</v>
      </c>
      <c r="B99" s="116">
        <v>1319.75</v>
      </c>
      <c r="C99" s="116">
        <v>1301.75</v>
      </c>
      <c r="D99" s="116">
        <v>1286</v>
      </c>
      <c r="E99" s="116">
        <v>1286</v>
      </c>
      <c r="F99" s="116">
        <v>1301.75</v>
      </c>
      <c r="G99">
        <v>64</v>
      </c>
      <c r="H99" s="116"/>
      <c r="I99" s="116"/>
      <c r="L99" s="170"/>
    </row>
    <row r="100" spans="1:12" x14ac:dyDescent="0.25">
      <c r="A100" s="170">
        <v>42151</v>
      </c>
      <c r="B100" s="116">
        <v>1310</v>
      </c>
      <c r="C100" s="116">
        <v>1301</v>
      </c>
      <c r="D100" s="116">
        <v>1286.5</v>
      </c>
      <c r="E100" s="116">
        <v>1301</v>
      </c>
      <c r="F100" s="116">
        <v>1301</v>
      </c>
      <c r="G100">
        <v>110</v>
      </c>
      <c r="H100" s="116"/>
      <c r="I100" s="116"/>
      <c r="L100" s="170"/>
    </row>
    <row r="101" spans="1:12" x14ac:dyDescent="0.25">
      <c r="A101" s="170">
        <v>42152</v>
      </c>
      <c r="B101" s="116">
        <v>1295.5</v>
      </c>
      <c r="C101" s="116">
        <v>1270</v>
      </c>
      <c r="D101" s="116">
        <v>1245</v>
      </c>
      <c r="E101" s="116">
        <v>1280</v>
      </c>
      <c r="F101" s="116">
        <v>1270</v>
      </c>
      <c r="G101">
        <v>121</v>
      </c>
      <c r="H101" s="116"/>
      <c r="I101" s="116"/>
      <c r="L101" s="170"/>
    </row>
    <row r="102" spans="1:12" x14ac:dyDescent="0.25">
      <c r="A102" s="170">
        <v>42153</v>
      </c>
      <c r="B102" s="116">
        <v>1297</v>
      </c>
      <c r="C102" s="116">
        <v>1294</v>
      </c>
      <c r="D102" s="116">
        <v>1270</v>
      </c>
      <c r="E102" s="116">
        <v>1270</v>
      </c>
      <c r="F102" s="116">
        <v>1294</v>
      </c>
      <c r="G102">
        <v>140</v>
      </c>
      <c r="H102" s="116"/>
      <c r="I102" s="116"/>
      <c r="L102" s="170"/>
    </row>
    <row r="103" spans="1:12" x14ac:dyDescent="0.25">
      <c r="A103" s="170">
        <v>42156</v>
      </c>
      <c r="B103" s="116">
        <v>1300</v>
      </c>
      <c r="C103" s="116">
        <v>1282</v>
      </c>
      <c r="D103" s="116">
        <v>1271</v>
      </c>
      <c r="E103" s="116">
        <v>1300</v>
      </c>
      <c r="F103" s="116">
        <v>1282</v>
      </c>
      <c r="G103">
        <v>83</v>
      </c>
      <c r="H103" s="116"/>
      <c r="I103" s="116"/>
      <c r="L103" s="170"/>
    </row>
    <row r="104" spans="1:12" x14ac:dyDescent="0.25">
      <c r="A104" s="170">
        <v>42157</v>
      </c>
      <c r="B104" s="116">
        <v>1299</v>
      </c>
      <c r="C104" s="116">
        <v>1297.25</v>
      </c>
      <c r="D104" s="116">
        <v>1283</v>
      </c>
      <c r="E104" s="116">
        <v>1283</v>
      </c>
      <c r="F104" s="116">
        <v>1297.25</v>
      </c>
      <c r="G104">
        <v>63</v>
      </c>
      <c r="H104" s="116"/>
      <c r="I104" s="116"/>
      <c r="L104" s="170"/>
    </row>
    <row r="105" spans="1:12" x14ac:dyDescent="0.25">
      <c r="A105" s="170">
        <v>42158</v>
      </c>
      <c r="B105" s="116">
        <v>1316.75</v>
      </c>
      <c r="C105" s="116">
        <v>1280</v>
      </c>
      <c r="D105" s="116">
        <v>1235</v>
      </c>
      <c r="E105" s="116">
        <v>1316.75</v>
      </c>
      <c r="F105" s="116">
        <v>1280</v>
      </c>
      <c r="G105">
        <v>121</v>
      </c>
      <c r="H105" s="116"/>
      <c r="I105" s="116"/>
      <c r="L105" s="170"/>
    </row>
    <row r="106" spans="1:12" x14ac:dyDescent="0.25">
      <c r="A106" s="170">
        <v>42159</v>
      </c>
      <c r="B106" s="116">
        <v>1283.75</v>
      </c>
      <c r="C106" s="116">
        <v>1279</v>
      </c>
      <c r="D106" s="116">
        <v>1274</v>
      </c>
      <c r="E106" s="116">
        <v>1277.75</v>
      </c>
      <c r="F106" s="116">
        <v>1279</v>
      </c>
      <c r="G106">
        <v>31</v>
      </c>
      <c r="H106" s="116"/>
      <c r="I106" s="116"/>
      <c r="L106" s="170"/>
    </row>
    <row r="107" spans="1:12" x14ac:dyDescent="0.25">
      <c r="A107" s="170">
        <v>42160</v>
      </c>
      <c r="B107" s="116">
        <v>1296.75</v>
      </c>
      <c r="C107" s="116">
        <v>1287.75</v>
      </c>
      <c r="D107" s="116">
        <v>1280</v>
      </c>
      <c r="E107" s="116">
        <v>1285</v>
      </c>
      <c r="F107" s="116">
        <v>1287.75</v>
      </c>
      <c r="G107">
        <v>93</v>
      </c>
      <c r="H107" s="116"/>
      <c r="I107" s="116"/>
      <c r="L107" s="170"/>
    </row>
    <row r="108" spans="1:12" x14ac:dyDescent="0.25">
      <c r="A108" s="170">
        <v>42163</v>
      </c>
      <c r="B108" s="116">
        <v>1274</v>
      </c>
      <c r="C108" s="116">
        <v>1270</v>
      </c>
      <c r="D108" s="116">
        <v>1270</v>
      </c>
      <c r="E108" s="116">
        <v>1272.25</v>
      </c>
      <c r="F108" s="116">
        <v>1270</v>
      </c>
      <c r="G108">
        <v>72</v>
      </c>
      <c r="H108" s="116"/>
      <c r="I108" s="116"/>
      <c r="L108" s="170"/>
    </row>
    <row r="109" spans="1:12" x14ac:dyDescent="0.25">
      <c r="A109" s="170">
        <v>42164</v>
      </c>
      <c r="B109" s="116">
        <v>1270</v>
      </c>
      <c r="C109" s="116">
        <v>1270</v>
      </c>
      <c r="D109" s="116">
        <v>1270</v>
      </c>
      <c r="E109" s="116">
        <v>1270</v>
      </c>
      <c r="F109" s="116">
        <v>1270</v>
      </c>
      <c r="G109">
        <v>13</v>
      </c>
      <c r="H109" s="116"/>
      <c r="I109" s="116"/>
      <c r="L109" s="170"/>
    </row>
    <row r="110" spans="1:12" x14ac:dyDescent="0.25">
      <c r="A110" s="170">
        <v>42165</v>
      </c>
      <c r="B110" s="116">
        <v>1288.5</v>
      </c>
      <c r="C110" s="116">
        <v>1282.5</v>
      </c>
      <c r="D110" s="116">
        <v>1274</v>
      </c>
      <c r="E110" s="116">
        <v>1288.5</v>
      </c>
      <c r="F110" s="116">
        <v>1282.5</v>
      </c>
      <c r="G110">
        <v>14</v>
      </c>
      <c r="H110" s="116"/>
      <c r="I110" s="116"/>
      <c r="L110" s="170"/>
    </row>
    <row r="111" spans="1:12" x14ac:dyDescent="0.25">
      <c r="A111" s="170">
        <v>42166</v>
      </c>
      <c r="B111" s="116">
        <v>1281</v>
      </c>
      <c r="C111" s="116">
        <v>1273</v>
      </c>
      <c r="D111" s="116">
        <v>1273</v>
      </c>
      <c r="E111" s="116">
        <v>1281</v>
      </c>
      <c r="F111" s="116">
        <v>1273</v>
      </c>
      <c r="G111">
        <v>4</v>
      </c>
      <c r="H111" s="116"/>
      <c r="I111" s="116"/>
      <c r="L111" s="170"/>
    </row>
    <row r="112" spans="1:12" x14ac:dyDescent="0.25">
      <c r="A112" s="170">
        <v>42167</v>
      </c>
      <c r="B112" s="116">
        <v>1293</v>
      </c>
      <c r="C112" s="116">
        <v>1231</v>
      </c>
      <c r="D112" s="116">
        <v>1210.25</v>
      </c>
      <c r="E112" s="116">
        <v>1255.5</v>
      </c>
      <c r="F112" s="116">
        <v>1231</v>
      </c>
      <c r="G112">
        <v>184</v>
      </c>
      <c r="H112" s="116"/>
      <c r="I112" s="116"/>
      <c r="L112" s="170"/>
    </row>
    <row r="113" spans="1:12" x14ac:dyDescent="0.25">
      <c r="A113" s="170">
        <v>42170</v>
      </c>
      <c r="B113" s="116">
        <v>1249.75</v>
      </c>
      <c r="C113" s="116">
        <v>1249.75</v>
      </c>
      <c r="D113" s="116">
        <v>1203.25</v>
      </c>
      <c r="E113" s="116">
        <v>1208.25</v>
      </c>
      <c r="F113" s="116">
        <v>1249.75</v>
      </c>
      <c r="G113">
        <v>26</v>
      </c>
      <c r="H113" s="116"/>
      <c r="I113" s="116"/>
      <c r="L113" s="170"/>
    </row>
    <row r="114" spans="1:12" x14ac:dyDescent="0.25">
      <c r="A114" s="170">
        <v>42171</v>
      </c>
      <c r="B114" s="116">
        <v>1248</v>
      </c>
      <c r="C114" s="116">
        <v>1225</v>
      </c>
      <c r="D114" s="116">
        <v>1210</v>
      </c>
      <c r="E114" s="116">
        <v>1226</v>
      </c>
      <c r="F114" s="116">
        <v>1225</v>
      </c>
      <c r="G114">
        <v>33</v>
      </c>
      <c r="H114" s="116"/>
      <c r="I114" s="116"/>
      <c r="L114" s="170"/>
    </row>
    <row r="115" spans="1:12" x14ac:dyDescent="0.25">
      <c r="A115" s="170">
        <v>42172</v>
      </c>
      <c r="B115" s="116">
        <v>1269</v>
      </c>
      <c r="C115" s="116">
        <v>1262</v>
      </c>
      <c r="D115" s="116">
        <v>1235</v>
      </c>
      <c r="E115" s="116">
        <v>1235</v>
      </c>
      <c r="F115" s="116">
        <v>1262</v>
      </c>
      <c r="G115">
        <v>39</v>
      </c>
      <c r="H115" s="116"/>
      <c r="I115" s="116"/>
      <c r="L115" s="170"/>
    </row>
    <row r="116" spans="1:12" x14ac:dyDescent="0.25">
      <c r="A116" s="170">
        <v>42173</v>
      </c>
      <c r="B116" s="116">
        <v>1293</v>
      </c>
      <c r="C116" s="116">
        <v>1269</v>
      </c>
      <c r="D116" s="116">
        <v>1250</v>
      </c>
      <c r="E116" s="116">
        <v>1293</v>
      </c>
      <c r="F116" s="116">
        <v>1269</v>
      </c>
      <c r="G116">
        <v>37</v>
      </c>
      <c r="H116" s="116"/>
      <c r="I116" s="116"/>
      <c r="L116" s="170"/>
    </row>
    <row r="117" spans="1:12" x14ac:dyDescent="0.25">
      <c r="A117" s="170">
        <v>42174</v>
      </c>
      <c r="B117" s="116">
        <v>1260</v>
      </c>
      <c r="C117" s="116">
        <v>1260</v>
      </c>
      <c r="D117" s="116">
        <v>1250</v>
      </c>
      <c r="E117" s="116">
        <v>1258</v>
      </c>
      <c r="F117" s="116">
        <v>1260</v>
      </c>
      <c r="G117">
        <v>170</v>
      </c>
      <c r="H117" s="116"/>
      <c r="I117" s="116"/>
      <c r="L117" s="170"/>
    </row>
    <row r="118" spans="1:12" x14ac:dyDescent="0.25">
      <c r="A118" s="170">
        <v>42177</v>
      </c>
      <c r="B118" s="116">
        <v>1260.75</v>
      </c>
      <c r="C118" s="116">
        <v>1233.5</v>
      </c>
      <c r="D118" s="116">
        <v>1231</v>
      </c>
      <c r="E118" s="116">
        <v>1258</v>
      </c>
      <c r="F118" s="116">
        <v>1233.5</v>
      </c>
      <c r="G118">
        <v>30</v>
      </c>
      <c r="H118" s="116"/>
      <c r="I118" s="116"/>
      <c r="L118" s="170"/>
    </row>
    <row r="119" spans="1:12" x14ac:dyDescent="0.25">
      <c r="A119" s="170">
        <v>42178</v>
      </c>
      <c r="B119" s="116">
        <v>1235</v>
      </c>
      <c r="C119" s="116">
        <v>1227</v>
      </c>
      <c r="D119" s="116">
        <v>1226</v>
      </c>
      <c r="E119" s="116">
        <v>1233.5</v>
      </c>
      <c r="F119" s="116">
        <v>1227</v>
      </c>
      <c r="G119">
        <v>63</v>
      </c>
      <c r="H119" s="116"/>
      <c r="I119" s="116"/>
      <c r="L119" s="170"/>
    </row>
    <row r="120" spans="1:12" x14ac:dyDescent="0.25">
      <c r="A120" s="170">
        <v>42179</v>
      </c>
      <c r="B120" s="116">
        <v>1278.75</v>
      </c>
      <c r="C120" s="116">
        <v>1257.75</v>
      </c>
      <c r="D120" s="116">
        <v>1242</v>
      </c>
      <c r="E120" s="116">
        <v>1260</v>
      </c>
      <c r="F120" s="116">
        <v>1257.75</v>
      </c>
      <c r="G120">
        <v>120</v>
      </c>
      <c r="H120" s="116"/>
      <c r="I120" s="116"/>
      <c r="L120" s="170"/>
    </row>
    <row r="121" spans="1:12" x14ac:dyDescent="0.25">
      <c r="A121" s="170">
        <v>42180</v>
      </c>
      <c r="B121" s="116">
        <v>1249</v>
      </c>
      <c r="C121" s="116">
        <v>1244</v>
      </c>
      <c r="D121" s="116">
        <v>1239</v>
      </c>
      <c r="E121" s="116">
        <v>1245</v>
      </c>
      <c r="F121" s="116">
        <v>1244</v>
      </c>
      <c r="G121">
        <v>106</v>
      </c>
      <c r="H121" s="116"/>
      <c r="I121" s="116"/>
      <c r="L121" s="170"/>
    </row>
    <row r="122" spans="1:12" x14ac:dyDescent="0.25">
      <c r="A122" s="170">
        <v>42181</v>
      </c>
      <c r="B122" s="116">
        <v>1306</v>
      </c>
      <c r="C122" s="116">
        <v>1305.75</v>
      </c>
      <c r="D122" s="116">
        <v>1232.25</v>
      </c>
      <c r="E122" s="116">
        <v>1239</v>
      </c>
      <c r="F122" s="116">
        <v>1305.75</v>
      </c>
      <c r="G122">
        <v>410</v>
      </c>
      <c r="H122" s="116"/>
      <c r="I122" s="116"/>
      <c r="L122" s="170"/>
    </row>
    <row r="123" spans="1:12" x14ac:dyDescent="0.25">
      <c r="A123" s="170">
        <v>42184</v>
      </c>
      <c r="B123" s="116">
        <v>1371</v>
      </c>
      <c r="C123" s="116">
        <v>1340</v>
      </c>
      <c r="D123" s="116">
        <v>1245.25</v>
      </c>
      <c r="E123" s="116">
        <v>1245.25</v>
      </c>
      <c r="F123" s="116">
        <v>1340</v>
      </c>
      <c r="G123">
        <v>218</v>
      </c>
      <c r="H123" s="116"/>
      <c r="I123" s="116"/>
      <c r="L123" s="170"/>
    </row>
    <row r="124" spans="1:12" x14ac:dyDescent="0.25">
      <c r="A124" s="170">
        <v>42185</v>
      </c>
      <c r="B124" s="116">
        <v>1407</v>
      </c>
      <c r="C124" s="116">
        <v>1407</v>
      </c>
      <c r="D124" s="116">
        <v>1345</v>
      </c>
      <c r="E124" s="116">
        <v>1368</v>
      </c>
      <c r="F124" s="116">
        <v>1407</v>
      </c>
      <c r="G124">
        <v>406</v>
      </c>
      <c r="H124" s="116"/>
      <c r="I124" s="116"/>
      <c r="L124" s="170"/>
    </row>
    <row r="125" spans="1:12" x14ac:dyDescent="0.25">
      <c r="A125" s="170">
        <v>42186</v>
      </c>
      <c r="B125" s="116">
        <v>1477.25</v>
      </c>
      <c r="C125" s="116">
        <v>1477.25</v>
      </c>
      <c r="D125" s="116">
        <v>1463</v>
      </c>
      <c r="E125" s="116">
        <v>1463</v>
      </c>
      <c r="F125" s="116">
        <v>1477.25</v>
      </c>
      <c r="G125">
        <v>132</v>
      </c>
      <c r="H125" s="116"/>
      <c r="I125" s="116"/>
      <c r="L125" s="170"/>
    </row>
    <row r="126" spans="1:12" x14ac:dyDescent="0.25">
      <c r="A126" s="170">
        <v>42187</v>
      </c>
      <c r="B126" s="116">
        <v>1551</v>
      </c>
      <c r="C126" s="116">
        <v>1551</v>
      </c>
      <c r="D126" s="116">
        <v>1551</v>
      </c>
      <c r="E126" s="116">
        <v>1551</v>
      </c>
      <c r="F126" s="116">
        <v>1551</v>
      </c>
      <c r="G126">
        <v>205</v>
      </c>
      <c r="H126" s="116"/>
      <c r="I126" s="116"/>
      <c r="L126" s="170"/>
    </row>
    <row r="127" spans="1:12" x14ac:dyDescent="0.25">
      <c r="A127" s="170">
        <v>42188</v>
      </c>
      <c r="B127" s="116">
        <v>1628.5</v>
      </c>
      <c r="C127" s="116">
        <v>1628.5</v>
      </c>
      <c r="D127" s="116">
        <v>1628.5</v>
      </c>
      <c r="E127" s="116">
        <v>1628.5</v>
      </c>
      <c r="F127" s="116">
        <v>1628.5</v>
      </c>
      <c r="G127">
        <v>179</v>
      </c>
      <c r="H127" s="116"/>
      <c r="I127" s="116"/>
      <c r="L127" s="170"/>
    </row>
    <row r="128" spans="1:12" x14ac:dyDescent="0.25">
      <c r="A128" s="170">
        <v>42191</v>
      </c>
      <c r="B128" s="116">
        <v>1709.75</v>
      </c>
      <c r="C128" s="116">
        <v>1552.5</v>
      </c>
      <c r="D128" s="116">
        <v>1547.25</v>
      </c>
      <c r="E128" s="116">
        <v>1709.75</v>
      </c>
      <c r="F128" s="116">
        <v>1552.5</v>
      </c>
      <c r="G128">
        <v>1684</v>
      </c>
      <c r="H128" s="116"/>
      <c r="I128" s="116"/>
      <c r="L128" s="170"/>
    </row>
    <row r="129" spans="1:12" x14ac:dyDescent="0.25">
      <c r="A129" s="170">
        <v>42192</v>
      </c>
      <c r="B129" s="116">
        <v>1552.5</v>
      </c>
      <c r="C129" s="116">
        <v>1530.5</v>
      </c>
      <c r="D129" s="116">
        <v>1526.25</v>
      </c>
      <c r="E129" s="116">
        <v>1552.5</v>
      </c>
      <c r="F129" s="116">
        <v>1530.5</v>
      </c>
      <c r="G129">
        <v>106</v>
      </c>
      <c r="H129" s="116"/>
      <c r="I129" s="116"/>
      <c r="L129" s="170"/>
    </row>
    <row r="130" spans="1:12" x14ac:dyDescent="0.25">
      <c r="A130" s="170">
        <v>42193</v>
      </c>
      <c r="B130" s="116">
        <v>1501</v>
      </c>
      <c r="C130" s="116">
        <v>1454</v>
      </c>
      <c r="D130" s="116">
        <v>1454</v>
      </c>
      <c r="E130" s="116">
        <v>1501</v>
      </c>
      <c r="F130" s="116">
        <v>1454</v>
      </c>
      <c r="G130">
        <v>255</v>
      </c>
      <c r="H130" s="116"/>
      <c r="I130" s="116"/>
      <c r="L130" s="170"/>
    </row>
    <row r="131" spans="1:12" x14ac:dyDescent="0.25">
      <c r="A131" s="170">
        <v>42194</v>
      </c>
      <c r="B131" s="116">
        <v>1420</v>
      </c>
      <c r="C131" s="116">
        <v>1385.5</v>
      </c>
      <c r="D131" s="116">
        <v>1381.5</v>
      </c>
      <c r="E131" s="116">
        <v>1385</v>
      </c>
      <c r="F131" s="116">
        <v>1385.5</v>
      </c>
      <c r="G131">
        <v>450</v>
      </c>
      <c r="H131" s="116"/>
      <c r="I131" s="116"/>
      <c r="L131" s="170"/>
    </row>
    <row r="132" spans="1:12" x14ac:dyDescent="0.25">
      <c r="A132" s="170">
        <v>42195</v>
      </c>
      <c r="B132" s="116">
        <v>1390</v>
      </c>
      <c r="C132" s="116">
        <v>1350</v>
      </c>
      <c r="D132" s="116">
        <v>1350</v>
      </c>
      <c r="E132" s="116">
        <v>1360</v>
      </c>
      <c r="F132" s="116">
        <v>1350</v>
      </c>
      <c r="G132">
        <v>132</v>
      </c>
      <c r="H132" s="116"/>
      <c r="I132" s="116"/>
      <c r="L132" s="170"/>
    </row>
    <row r="133" spans="1:12" x14ac:dyDescent="0.25">
      <c r="A133" s="170">
        <v>42198</v>
      </c>
      <c r="B133" s="116">
        <v>1417.5</v>
      </c>
      <c r="C133" s="116">
        <v>1380.5</v>
      </c>
      <c r="D133" s="116">
        <v>1380</v>
      </c>
      <c r="E133" s="116">
        <v>1399</v>
      </c>
      <c r="F133" s="116">
        <v>1380.5</v>
      </c>
      <c r="G133">
        <v>267</v>
      </c>
      <c r="H133" s="116"/>
      <c r="I133" s="116"/>
      <c r="L133" s="170"/>
    </row>
    <row r="134" spans="1:12" x14ac:dyDescent="0.25">
      <c r="A134" s="170">
        <v>42199</v>
      </c>
      <c r="B134" s="116">
        <v>1397</v>
      </c>
      <c r="C134" s="116">
        <v>1377.75</v>
      </c>
      <c r="D134" s="116">
        <v>1350</v>
      </c>
      <c r="E134" s="116">
        <v>1381</v>
      </c>
      <c r="F134" s="116">
        <v>1377.75</v>
      </c>
      <c r="G134">
        <v>513</v>
      </c>
      <c r="H134" s="116"/>
      <c r="I134" s="116"/>
      <c r="L134" s="170"/>
    </row>
    <row r="135" spans="1:12" x14ac:dyDescent="0.25">
      <c r="A135" s="170">
        <v>42200</v>
      </c>
      <c r="B135" s="116">
        <v>1408</v>
      </c>
      <c r="C135" s="116">
        <v>1361.5</v>
      </c>
      <c r="D135" s="116">
        <v>1361.5</v>
      </c>
      <c r="E135" s="116">
        <v>1408</v>
      </c>
      <c r="F135" s="116">
        <v>1361.5</v>
      </c>
      <c r="G135">
        <v>20</v>
      </c>
      <c r="H135" s="116"/>
      <c r="I135" s="116"/>
      <c r="L135" s="170"/>
    </row>
    <row r="136" spans="1:12" x14ac:dyDescent="0.25">
      <c r="A136" s="170">
        <v>42201</v>
      </c>
      <c r="B136" s="116">
        <v>1398.5</v>
      </c>
      <c r="C136" s="116">
        <v>1375.5</v>
      </c>
      <c r="D136" s="116">
        <v>1356</v>
      </c>
      <c r="E136" s="116">
        <v>1356.25</v>
      </c>
      <c r="F136" s="116">
        <v>1375.5</v>
      </c>
      <c r="G136">
        <v>125</v>
      </c>
      <c r="H136" s="116"/>
      <c r="I136" s="116"/>
      <c r="L136" s="170"/>
    </row>
    <row r="137" spans="1:12" x14ac:dyDescent="0.25">
      <c r="A137" s="170">
        <v>42202</v>
      </c>
      <c r="B137" s="116">
        <v>1400</v>
      </c>
      <c r="C137" s="116">
        <v>1385</v>
      </c>
      <c r="D137" s="116">
        <v>1350.25</v>
      </c>
      <c r="E137" s="116">
        <v>1351</v>
      </c>
      <c r="F137" s="116">
        <v>1385</v>
      </c>
      <c r="G137">
        <v>363</v>
      </c>
      <c r="H137" s="116"/>
      <c r="I137" s="116"/>
      <c r="L137" s="170"/>
    </row>
    <row r="138" spans="1:12" x14ac:dyDescent="0.25">
      <c r="A138" s="170">
        <v>42205</v>
      </c>
      <c r="B138" s="116">
        <v>1450</v>
      </c>
      <c r="C138" s="116">
        <v>1389.25</v>
      </c>
      <c r="D138" s="116">
        <v>1370.75</v>
      </c>
      <c r="E138" s="116">
        <v>1450</v>
      </c>
      <c r="F138" s="116">
        <v>1389.25</v>
      </c>
      <c r="G138">
        <v>36</v>
      </c>
      <c r="H138" s="116"/>
      <c r="I138" s="116"/>
      <c r="L138" s="170"/>
    </row>
    <row r="139" spans="1:12" x14ac:dyDescent="0.25">
      <c r="A139" s="170">
        <v>42206</v>
      </c>
      <c r="B139" s="116">
        <v>1400</v>
      </c>
      <c r="C139" s="116">
        <v>1359.75</v>
      </c>
      <c r="D139" s="116">
        <v>1358.5</v>
      </c>
      <c r="E139" s="116">
        <v>1400</v>
      </c>
      <c r="F139" s="116">
        <v>1359.75</v>
      </c>
      <c r="G139">
        <v>418</v>
      </c>
      <c r="H139" s="116"/>
      <c r="I139" s="116"/>
      <c r="L139" s="170"/>
    </row>
    <row r="140" spans="1:12" x14ac:dyDescent="0.25">
      <c r="A140" s="170">
        <v>42207</v>
      </c>
      <c r="B140" s="116">
        <v>1375</v>
      </c>
      <c r="C140" s="116">
        <v>1351.25</v>
      </c>
      <c r="D140" s="116">
        <v>1350</v>
      </c>
      <c r="E140" s="116">
        <v>1350.25</v>
      </c>
      <c r="F140" s="116">
        <v>1351.25</v>
      </c>
      <c r="G140">
        <v>120</v>
      </c>
      <c r="H140" s="116"/>
      <c r="I140" s="116"/>
      <c r="L140" s="170"/>
    </row>
    <row r="141" spans="1:12" x14ac:dyDescent="0.25">
      <c r="A141" s="170">
        <v>42208</v>
      </c>
      <c r="B141" s="116">
        <v>1390.75</v>
      </c>
      <c r="C141" s="116">
        <v>1386.5</v>
      </c>
      <c r="D141" s="116">
        <v>1340</v>
      </c>
      <c r="E141" s="116">
        <v>1360.25</v>
      </c>
      <c r="F141" s="116">
        <v>1386.5</v>
      </c>
      <c r="G141">
        <v>382</v>
      </c>
      <c r="H141" s="116"/>
      <c r="I141" s="116"/>
      <c r="L141" s="170"/>
    </row>
    <row r="142" spans="1:12" x14ac:dyDescent="0.25">
      <c r="A142" s="170">
        <v>42209</v>
      </c>
      <c r="B142" s="116">
        <v>1385</v>
      </c>
      <c r="C142" s="116">
        <v>1349.5</v>
      </c>
      <c r="D142" s="116">
        <v>1326.25</v>
      </c>
      <c r="E142" s="116">
        <v>1331.5</v>
      </c>
      <c r="F142" s="116">
        <v>1349.5</v>
      </c>
      <c r="G142">
        <v>469</v>
      </c>
      <c r="H142" s="116"/>
      <c r="I142" s="116"/>
      <c r="L142" s="170"/>
    </row>
    <row r="143" spans="1:12" x14ac:dyDescent="0.25">
      <c r="A143" s="170">
        <v>42212</v>
      </c>
      <c r="B143" s="116">
        <v>1349.25</v>
      </c>
      <c r="C143" s="116">
        <v>1344.75</v>
      </c>
      <c r="D143" s="116">
        <v>1328</v>
      </c>
      <c r="E143" s="116">
        <v>1330.25</v>
      </c>
      <c r="F143" s="116">
        <v>1344.75</v>
      </c>
      <c r="G143">
        <v>82</v>
      </c>
      <c r="H143" s="116"/>
      <c r="I143" s="116"/>
      <c r="L143" s="170"/>
    </row>
    <row r="144" spans="1:12" x14ac:dyDescent="0.25">
      <c r="A144" s="170">
        <v>42213</v>
      </c>
      <c r="B144" s="116">
        <v>1335</v>
      </c>
      <c r="C144" s="116">
        <v>1331.25</v>
      </c>
      <c r="D144" s="116">
        <v>1330</v>
      </c>
      <c r="E144" s="116">
        <v>1330.25</v>
      </c>
      <c r="F144" s="116">
        <v>1331.25</v>
      </c>
      <c r="G144">
        <v>45</v>
      </c>
      <c r="H144" s="116"/>
      <c r="I144" s="116"/>
      <c r="L144" s="170"/>
    </row>
    <row r="145" spans="1:18" x14ac:dyDescent="0.25">
      <c r="A145" s="170">
        <v>42214</v>
      </c>
      <c r="B145" s="116">
        <v>1353.5</v>
      </c>
      <c r="C145" s="116">
        <v>1353.5</v>
      </c>
      <c r="D145" s="116">
        <v>1353.5</v>
      </c>
      <c r="E145" s="116">
        <v>1353.5</v>
      </c>
      <c r="F145" s="116">
        <v>1353.5</v>
      </c>
      <c r="G145">
        <v>1</v>
      </c>
      <c r="H145" s="116"/>
      <c r="I145" s="116"/>
      <c r="L145" s="170"/>
    </row>
    <row r="146" spans="1:18" x14ac:dyDescent="0.25">
      <c r="A146" s="170">
        <v>42215</v>
      </c>
      <c r="B146" s="116">
        <v>1386</v>
      </c>
      <c r="C146" s="116">
        <v>1346.25</v>
      </c>
      <c r="D146" s="116">
        <v>1335</v>
      </c>
      <c r="E146" s="116">
        <v>1386</v>
      </c>
      <c r="F146" s="116">
        <v>1346.25</v>
      </c>
      <c r="G146">
        <v>25</v>
      </c>
      <c r="H146" s="116"/>
      <c r="I146" s="116"/>
      <c r="L146" s="170"/>
    </row>
    <row r="147" spans="1:18" x14ac:dyDescent="0.25">
      <c r="A147" s="170">
        <v>42216</v>
      </c>
      <c r="B147" s="116">
        <v>1340</v>
      </c>
      <c r="C147" s="116">
        <v>1340</v>
      </c>
      <c r="D147" s="116">
        <v>1279</v>
      </c>
      <c r="E147" s="116">
        <v>1323.25</v>
      </c>
      <c r="F147" s="116">
        <v>1340</v>
      </c>
      <c r="G147">
        <v>243</v>
      </c>
      <c r="H147" s="116"/>
      <c r="I147" s="116"/>
      <c r="L147" s="170"/>
    </row>
    <row r="148" spans="1:18" x14ac:dyDescent="0.25">
      <c r="A148" s="170">
        <v>42219</v>
      </c>
      <c r="B148" s="116">
        <v>1389.25</v>
      </c>
      <c r="C148" s="116">
        <v>1366.75</v>
      </c>
      <c r="D148" s="116">
        <v>1300</v>
      </c>
      <c r="E148" s="116">
        <v>1308</v>
      </c>
      <c r="F148" s="116">
        <v>1366.75</v>
      </c>
      <c r="G148">
        <v>1293</v>
      </c>
      <c r="H148" s="116"/>
      <c r="I148" s="116"/>
      <c r="L148" s="170"/>
    </row>
    <row r="149" spans="1:18" x14ac:dyDescent="0.25">
      <c r="A149" s="170">
        <v>42220</v>
      </c>
      <c r="B149" s="116">
        <v>1378</v>
      </c>
      <c r="C149" s="116">
        <v>1355.25</v>
      </c>
      <c r="D149" s="116">
        <v>1350</v>
      </c>
      <c r="E149" s="116">
        <v>1365</v>
      </c>
      <c r="F149" s="116">
        <v>1355.25</v>
      </c>
      <c r="G149">
        <v>126</v>
      </c>
      <c r="H149" s="116"/>
      <c r="I149" s="116"/>
      <c r="L149" s="170"/>
    </row>
    <row r="150" spans="1:18" x14ac:dyDescent="0.25">
      <c r="A150" s="170">
        <v>42221</v>
      </c>
      <c r="B150" s="116">
        <v>1398.75</v>
      </c>
      <c r="C150" s="116">
        <v>1338</v>
      </c>
      <c r="D150" s="116">
        <v>1309.25</v>
      </c>
      <c r="E150" s="116">
        <v>1331</v>
      </c>
      <c r="F150" s="116">
        <v>1338</v>
      </c>
      <c r="G150">
        <v>381</v>
      </c>
      <c r="H150" s="116"/>
      <c r="I150" s="116"/>
      <c r="L150" s="170"/>
    </row>
    <row r="151" spans="1:18" x14ac:dyDescent="0.25">
      <c r="A151" s="170">
        <v>42222</v>
      </c>
      <c r="B151" s="116">
        <v>1382.5</v>
      </c>
      <c r="C151" s="116">
        <v>1358</v>
      </c>
      <c r="D151" s="116">
        <v>1332.5</v>
      </c>
      <c r="E151" s="116">
        <v>1380</v>
      </c>
      <c r="F151" s="116">
        <v>1358</v>
      </c>
      <c r="G151">
        <v>71</v>
      </c>
      <c r="H151" s="116"/>
      <c r="I151" s="116"/>
      <c r="L151" s="170"/>
    </row>
    <row r="152" spans="1:18" x14ac:dyDescent="0.25">
      <c r="A152" s="170">
        <v>42223</v>
      </c>
      <c r="B152" s="116">
        <v>1390.5</v>
      </c>
      <c r="C152" s="116">
        <v>1389.75</v>
      </c>
      <c r="D152" s="116">
        <v>1342.5</v>
      </c>
      <c r="E152" s="116">
        <v>1358</v>
      </c>
      <c r="F152" s="116">
        <v>1389.75</v>
      </c>
      <c r="G152">
        <v>194</v>
      </c>
      <c r="H152" s="116"/>
      <c r="I152" s="116"/>
      <c r="L152" s="170"/>
    </row>
    <row r="153" spans="1:18" x14ac:dyDescent="0.25">
      <c r="A153" s="170">
        <v>42226</v>
      </c>
      <c r="B153" s="116">
        <v>1425</v>
      </c>
      <c r="C153" s="116">
        <v>1400.75</v>
      </c>
      <c r="D153" s="116">
        <v>1390</v>
      </c>
      <c r="E153" s="116">
        <v>1392</v>
      </c>
      <c r="F153" s="116">
        <v>1400.75</v>
      </c>
      <c r="G153">
        <v>179</v>
      </c>
      <c r="H153" s="116"/>
      <c r="I153" s="116"/>
      <c r="L153" s="170"/>
    </row>
    <row r="154" spans="1:18" x14ac:dyDescent="0.25">
      <c r="A154" s="170">
        <v>42227</v>
      </c>
      <c r="B154" s="116">
        <v>1400</v>
      </c>
      <c r="C154" s="116">
        <v>1396.75</v>
      </c>
      <c r="D154" s="116">
        <v>1370</v>
      </c>
      <c r="E154" s="116">
        <v>1400</v>
      </c>
      <c r="F154" s="116">
        <v>1396.75</v>
      </c>
      <c r="G154">
        <v>234</v>
      </c>
      <c r="H154" s="116"/>
      <c r="I154" s="116"/>
      <c r="L154" s="170">
        <v>42223</v>
      </c>
      <c r="M154" s="116">
        <v>161.55000000000001</v>
      </c>
      <c r="N154" s="116">
        <v>165.88</v>
      </c>
      <c r="O154" s="116">
        <v>159.4</v>
      </c>
      <c r="P154" s="116">
        <v>159.94</v>
      </c>
      <c r="Q154" s="116">
        <v>807.75</v>
      </c>
      <c r="R154">
        <v>108192</v>
      </c>
    </row>
    <row r="155" spans="1:18" x14ac:dyDescent="0.25">
      <c r="A155" s="170">
        <v>42228</v>
      </c>
      <c r="B155" s="116">
        <v>1385</v>
      </c>
      <c r="C155" s="116">
        <v>1365</v>
      </c>
      <c r="D155" s="116">
        <v>1327</v>
      </c>
      <c r="E155" s="116">
        <v>1327</v>
      </c>
      <c r="F155" s="116">
        <v>1365</v>
      </c>
      <c r="G155">
        <v>91</v>
      </c>
      <c r="H155" s="116"/>
      <c r="I155" s="116"/>
      <c r="L155" s="170">
        <v>42226</v>
      </c>
      <c r="M155" s="116">
        <v>160.41</v>
      </c>
      <c r="N155" s="116">
        <v>163.6</v>
      </c>
      <c r="O155" s="116">
        <v>159.72999999999999</v>
      </c>
      <c r="P155" s="116">
        <v>161.61000000000001</v>
      </c>
      <c r="Q155" s="116">
        <v>802.05</v>
      </c>
      <c r="R155">
        <v>35474</v>
      </c>
    </row>
    <row r="156" spans="1:18" x14ac:dyDescent="0.25">
      <c r="A156" s="170">
        <v>42229</v>
      </c>
      <c r="B156" s="116">
        <v>1380</v>
      </c>
      <c r="C156" s="116">
        <v>1320.25</v>
      </c>
      <c r="D156" s="116">
        <v>1306</v>
      </c>
      <c r="E156" s="116">
        <v>1375</v>
      </c>
      <c r="F156" s="116">
        <v>1320.25</v>
      </c>
      <c r="G156">
        <v>107</v>
      </c>
      <c r="H156" s="116"/>
      <c r="I156" s="116"/>
      <c r="L156" s="170">
        <v>42227</v>
      </c>
      <c r="M156" s="116">
        <v>158.08000000000001</v>
      </c>
      <c r="N156" s="116">
        <v>161.4</v>
      </c>
      <c r="O156" s="116">
        <v>157.71</v>
      </c>
      <c r="P156" s="116">
        <v>160.99</v>
      </c>
      <c r="Q156" s="116">
        <v>790.4</v>
      </c>
      <c r="R156">
        <v>18847</v>
      </c>
    </row>
    <row r="157" spans="1:18" x14ac:dyDescent="0.25">
      <c r="A157" s="170">
        <v>42230</v>
      </c>
      <c r="B157" s="116">
        <v>1360</v>
      </c>
      <c r="C157" s="116">
        <v>1326.25</v>
      </c>
      <c r="D157" s="116">
        <v>1279</v>
      </c>
      <c r="E157" s="116">
        <v>1279</v>
      </c>
      <c r="F157" s="116">
        <v>1326.25</v>
      </c>
      <c r="G157">
        <v>131</v>
      </c>
      <c r="H157" s="116"/>
      <c r="I157" s="116"/>
      <c r="L157" s="170">
        <v>42228</v>
      </c>
      <c r="M157" s="116">
        <v>151.19999999999999</v>
      </c>
      <c r="N157" s="116">
        <v>158</v>
      </c>
      <c r="O157" s="116">
        <v>150.33000000000001</v>
      </c>
      <c r="P157" s="116">
        <v>156.02000000000001</v>
      </c>
      <c r="Q157" s="116">
        <v>756</v>
      </c>
      <c r="R157">
        <v>38640</v>
      </c>
    </row>
    <row r="158" spans="1:18" x14ac:dyDescent="0.25">
      <c r="A158" s="170">
        <v>42233</v>
      </c>
      <c r="B158" s="116">
        <v>1326</v>
      </c>
      <c r="C158" s="116">
        <v>1281</v>
      </c>
      <c r="D158" s="116">
        <v>1276.25</v>
      </c>
      <c r="E158" s="116">
        <v>1326</v>
      </c>
      <c r="F158" s="116">
        <v>1281</v>
      </c>
      <c r="G158">
        <v>558</v>
      </c>
      <c r="H158" s="116"/>
      <c r="I158" s="116"/>
      <c r="L158" s="170">
        <v>42229</v>
      </c>
      <c r="M158" s="116">
        <v>152.88</v>
      </c>
      <c r="N158" s="116">
        <v>158.18</v>
      </c>
      <c r="O158" s="116">
        <v>151.19</v>
      </c>
      <c r="P158" s="116">
        <v>151.19999999999999</v>
      </c>
      <c r="Q158" s="116">
        <v>764.4</v>
      </c>
      <c r="R158">
        <v>37581</v>
      </c>
    </row>
    <row r="159" spans="1:18" x14ac:dyDescent="0.25">
      <c r="A159" s="170">
        <v>42234</v>
      </c>
      <c r="B159" s="116">
        <v>1299.5</v>
      </c>
      <c r="C159" s="116">
        <v>1299.5</v>
      </c>
      <c r="D159" s="116">
        <v>1299.5</v>
      </c>
      <c r="E159" s="116">
        <v>1299.5</v>
      </c>
      <c r="F159" s="116">
        <v>1299.5</v>
      </c>
      <c r="G159">
        <v>25</v>
      </c>
      <c r="H159" s="116"/>
      <c r="I159" s="116"/>
      <c r="L159" s="170">
        <v>42230</v>
      </c>
      <c r="M159" s="116">
        <v>156.15</v>
      </c>
      <c r="N159" s="116">
        <v>157.19999999999999</v>
      </c>
      <c r="O159" s="116">
        <v>153.19999999999999</v>
      </c>
      <c r="P159" s="116">
        <v>153.51</v>
      </c>
      <c r="Q159" s="116">
        <v>780.75</v>
      </c>
      <c r="R159">
        <v>24153</v>
      </c>
    </row>
    <row r="160" spans="1:18" x14ac:dyDescent="0.25">
      <c r="A160" s="170">
        <v>42235</v>
      </c>
      <c r="B160" s="116">
        <v>1315</v>
      </c>
      <c r="C160" s="116">
        <v>1310</v>
      </c>
      <c r="D160" s="116">
        <v>1299</v>
      </c>
      <c r="E160" s="116">
        <v>1315</v>
      </c>
      <c r="F160" s="116">
        <v>1310</v>
      </c>
      <c r="G160">
        <v>165</v>
      </c>
      <c r="H160" s="116"/>
      <c r="I160" s="116"/>
      <c r="L160" s="170">
        <v>42233</v>
      </c>
      <c r="M160" s="116">
        <v>162.63</v>
      </c>
      <c r="N160" s="116">
        <v>164.2</v>
      </c>
      <c r="O160" s="116">
        <v>153.61000000000001</v>
      </c>
      <c r="P160" s="116">
        <v>156.19999999999999</v>
      </c>
      <c r="Q160" s="116">
        <v>813.15</v>
      </c>
      <c r="R160">
        <v>51002</v>
      </c>
    </row>
    <row r="161" spans="1:18" x14ac:dyDescent="0.25">
      <c r="A161" s="170">
        <v>42236</v>
      </c>
      <c r="B161" s="116">
        <v>1315</v>
      </c>
      <c r="C161" s="116">
        <v>1298</v>
      </c>
      <c r="D161" s="116">
        <v>1295</v>
      </c>
      <c r="E161" s="116">
        <v>1315</v>
      </c>
      <c r="F161" s="116">
        <v>1298</v>
      </c>
      <c r="G161">
        <v>67</v>
      </c>
      <c r="H161" s="116"/>
      <c r="I161" s="116"/>
      <c r="L161" s="170">
        <v>42234</v>
      </c>
      <c r="M161" s="116">
        <v>160.61000000000001</v>
      </c>
      <c r="N161" s="116">
        <v>166.74</v>
      </c>
      <c r="O161" s="116">
        <v>159.41</v>
      </c>
      <c r="P161" s="116">
        <v>163.19999999999999</v>
      </c>
      <c r="Q161" s="116">
        <v>803.05</v>
      </c>
      <c r="R161">
        <v>67272</v>
      </c>
    </row>
    <row r="162" spans="1:18" x14ac:dyDescent="0.25">
      <c r="A162" s="170">
        <v>42237</v>
      </c>
      <c r="B162" s="116">
        <v>1314.75</v>
      </c>
      <c r="C162" s="116">
        <v>1314.75</v>
      </c>
      <c r="D162" s="116">
        <v>1235</v>
      </c>
      <c r="E162" s="116">
        <v>1235</v>
      </c>
      <c r="F162" s="116">
        <v>1314.75</v>
      </c>
      <c r="G162">
        <v>58</v>
      </c>
      <c r="H162" s="116"/>
      <c r="I162" s="116"/>
      <c r="L162" s="170">
        <v>42235</v>
      </c>
      <c r="M162" s="116">
        <v>160.6</v>
      </c>
      <c r="N162" s="116">
        <v>162.80000000000001</v>
      </c>
      <c r="O162" s="116">
        <v>159.4</v>
      </c>
      <c r="P162" s="116">
        <v>160.75</v>
      </c>
      <c r="Q162" s="116">
        <v>803</v>
      </c>
      <c r="R162">
        <v>31220</v>
      </c>
    </row>
    <row r="163" spans="1:18" x14ac:dyDescent="0.25">
      <c r="A163" s="170">
        <v>42240</v>
      </c>
      <c r="B163" s="116">
        <v>1309</v>
      </c>
      <c r="C163" s="116">
        <v>1250</v>
      </c>
      <c r="D163" s="116">
        <v>1250</v>
      </c>
      <c r="E163" s="116">
        <v>1309</v>
      </c>
      <c r="F163" s="116">
        <v>1250</v>
      </c>
      <c r="G163">
        <v>49</v>
      </c>
      <c r="H163" s="116"/>
      <c r="I163" s="116"/>
      <c r="L163" s="170">
        <v>42236</v>
      </c>
      <c r="M163" s="116">
        <v>156.13</v>
      </c>
      <c r="N163" s="116">
        <v>161.57</v>
      </c>
      <c r="O163" s="116">
        <v>155.19999999999999</v>
      </c>
      <c r="P163" s="116">
        <v>158.02000000000001</v>
      </c>
      <c r="Q163" s="116">
        <v>780.65</v>
      </c>
      <c r="R163">
        <v>35636</v>
      </c>
    </row>
    <row r="164" spans="1:18" x14ac:dyDescent="0.25">
      <c r="A164" s="170">
        <v>42241</v>
      </c>
      <c r="B164" s="116">
        <v>1250</v>
      </c>
      <c r="C164" s="116">
        <v>1224.25</v>
      </c>
      <c r="D164" s="116">
        <v>1187.75</v>
      </c>
      <c r="E164" s="116">
        <v>1250</v>
      </c>
      <c r="F164" s="116">
        <v>1224.25</v>
      </c>
      <c r="G164">
        <v>145</v>
      </c>
      <c r="H164" s="116"/>
      <c r="I164" s="116"/>
      <c r="L164" s="170">
        <v>42237</v>
      </c>
      <c r="M164" s="116">
        <v>159.21</v>
      </c>
      <c r="N164" s="116">
        <v>159.80000000000001</v>
      </c>
      <c r="O164" s="116">
        <v>152</v>
      </c>
      <c r="P164" s="116">
        <v>154</v>
      </c>
      <c r="Q164" s="116">
        <v>796.05</v>
      </c>
      <c r="R164">
        <v>49654</v>
      </c>
    </row>
    <row r="165" spans="1:18" x14ac:dyDescent="0.25">
      <c r="A165" s="170">
        <v>42242</v>
      </c>
      <c r="B165" s="116">
        <v>1230</v>
      </c>
      <c r="C165" s="116">
        <v>1225</v>
      </c>
      <c r="D165" s="116">
        <v>1170</v>
      </c>
      <c r="E165" s="116">
        <v>1220</v>
      </c>
      <c r="F165" s="116">
        <v>1225</v>
      </c>
      <c r="G165">
        <v>176</v>
      </c>
      <c r="H165" s="116"/>
      <c r="I165" s="116"/>
      <c r="L165" s="170">
        <v>42240</v>
      </c>
      <c r="M165" s="116">
        <v>145.63999999999999</v>
      </c>
      <c r="N165" s="116">
        <v>154.80000000000001</v>
      </c>
      <c r="O165" s="116">
        <v>142.86000000000001</v>
      </c>
      <c r="P165" s="116">
        <v>154</v>
      </c>
      <c r="Q165" s="116">
        <v>728.2</v>
      </c>
      <c r="R165">
        <v>68529</v>
      </c>
    </row>
    <row r="166" spans="1:18" x14ac:dyDescent="0.25">
      <c r="A166" s="170">
        <v>42243</v>
      </c>
      <c r="B166" s="116">
        <v>1260</v>
      </c>
      <c r="C166" s="116">
        <v>1240</v>
      </c>
      <c r="D166" s="116">
        <v>1202</v>
      </c>
      <c r="E166" s="116">
        <v>1225</v>
      </c>
      <c r="F166" s="116">
        <v>1240</v>
      </c>
      <c r="G166">
        <v>40</v>
      </c>
      <c r="H166" s="116"/>
      <c r="I166" s="116"/>
      <c r="L166" s="170">
        <v>42241</v>
      </c>
      <c r="M166" s="116">
        <v>150.4</v>
      </c>
      <c r="N166" s="116">
        <v>152.97999999999999</v>
      </c>
      <c r="O166" s="116">
        <v>136</v>
      </c>
      <c r="P166" s="116">
        <v>152</v>
      </c>
      <c r="Q166" s="116">
        <v>752</v>
      </c>
      <c r="R166">
        <v>87239</v>
      </c>
    </row>
    <row r="167" spans="1:18" x14ac:dyDescent="0.25">
      <c r="A167" s="170">
        <v>42244</v>
      </c>
      <c r="B167" s="116">
        <v>1302</v>
      </c>
      <c r="C167" s="116">
        <v>1180</v>
      </c>
      <c r="D167" s="116">
        <v>1180</v>
      </c>
      <c r="E167" s="116">
        <v>1235.5</v>
      </c>
      <c r="F167" s="116">
        <v>1180</v>
      </c>
      <c r="G167">
        <v>92</v>
      </c>
      <c r="H167" s="116"/>
      <c r="I167" s="116"/>
      <c r="L167" s="170">
        <v>42242</v>
      </c>
      <c r="M167" s="116">
        <v>145.04</v>
      </c>
      <c r="N167" s="116">
        <v>152.61000000000001</v>
      </c>
      <c r="O167" s="116">
        <v>144</v>
      </c>
      <c r="P167" s="116">
        <v>152.54</v>
      </c>
      <c r="Q167" s="116">
        <v>725.2</v>
      </c>
      <c r="R167">
        <v>82242</v>
      </c>
    </row>
    <row r="168" spans="1:18" x14ac:dyDescent="0.25">
      <c r="A168" s="170">
        <v>42247</v>
      </c>
      <c r="B168" s="116">
        <v>1239</v>
      </c>
      <c r="C168" s="116">
        <v>1150</v>
      </c>
      <c r="D168" s="116">
        <v>1150</v>
      </c>
      <c r="E168" s="116">
        <v>1235</v>
      </c>
      <c r="F168" s="116">
        <v>1150</v>
      </c>
      <c r="G168">
        <v>237</v>
      </c>
      <c r="H168" s="116"/>
      <c r="I168" s="116"/>
      <c r="L168" s="170">
        <v>42243</v>
      </c>
      <c r="M168" s="116">
        <v>148.08000000000001</v>
      </c>
      <c r="N168" s="116">
        <v>149.4</v>
      </c>
      <c r="O168" s="116">
        <v>143.44999999999999</v>
      </c>
      <c r="P168" s="116">
        <v>146.76</v>
      </c>
      <c r="Q168" s="116">
        <v>740.4</v>
      </c>
      <c r="R168">
        <v>34687</v>
      </c>
    </row>
    <row r="169" spans="1:18" x14ac:dyDescent="0.25">
      <c r="A169" s="170">
        <v>42248</v>
      </c>
      <c r="B169" s="116">
        <v>1204</v>
      </c>
      <c r="C169" s="116">
        <v>1171</v>
      </c>
      <c r="D169" s="116">
        <v>1166</v>
      </c>
      <c r="E169" s="116">
        <v>1196</v>
      </c>
      <c r="F169" s="116">
        <v>1171</v>
      </c>
      <c r="G169">
        <v>105</v>
      </c>
      <c r="H169" s="116"/>
      <c r="I169" s="116"/>
      <c r="L169" s="170">
        <v>42244</v>
      </c>
      <c r="M169" s="116">
        <v>152.08000000000001</v>
      </c>
      <c r="N169" s="116">
        <v>153</v>
      </c>
      <c r="O169" s="116">
        <v>149.01</v>
      </c>
      <c r="P169" s="116">
        <v>151.03</v>
      </c>
      <c r="Q169" s="116">
        <v>760.4</v>
      </c>
      <c r="R169">
        <v>42312</v>
      </c>
    </row>
    <row r="170" spans="1:18" x14ac:dyDescent="0.25">
      <c r="A170" s="170">
        <v>42249</v>
      </c>
      <c r="B170" s="116">
        <v>1223</v>
      </c>
      <c r="C170" s="116">
        <v>1185.75</v>
      </c>
      <c r="D170" s="116">
        <v>1185.75</v>
      </c>
      <c r="E170" s="116">
        <v>1222</v>
      </c>
      <c r="F170" s="116">
        <v>1185.75</v>
      </c>
      <c r="G170">
        <v>36</v>
      </c>
      <c r="H170" s="116"/>
      <c r="I170" s="116"/>
      <c r="L170" s="170">
        <v>42247</v>
      </c>
      <c r="M170" s="116">
        <v>155.53</v>
      </c>
      <c r="N170" s="116">
        <v>157</v>
      </c>
      <c r="O170" s="116">
        <v>149.74</v>
      </c>
      <c r="P170" s="116">
        <v>152.08000000000001</v>
      </c>
      <c r="Q170" s="116">
        <v>777.65</v>
      </c>
      <c r="R170">
        <v>51514</v>
      </c>
    </row>
    <row r="171" spans="1:18" x14ac:dyDescent="0.25">
      <c r="A171" s="170">
        <v>42250</v>
      </c>
      <c r="B171" s="116">
        <v>1182</v>
      </c>
      <c r="C171" s="116">
        <v>1182</v>
      </c>
      <c r="D171" s="116">
        <v>1175</v>
      </c>
      <c r="E171" s="116">
        <v>1175</v>
      </c>
      <c r="F171" s="116">
        <v>1182</v>
      </c>
      <c r="G171">
        <v>3</v>
      </c>
      <c r="H171" s="116"/>
      <c r="I171" s="116"/>
      <c r="L171" s="170">
        <v>42248</v>
      </c>
      <c r="M171" s="116">
        <v>152.88999999999999</v>
      </c>
      <c r="N171" s="116">
        <v>154.99</v>
      </c>
      <c r="O171" s="116">
        <v>149</v>
      </c>
      <c r="P171" s="116">
        <v>154.99</v>
      </c>
      <c r="Q171" s="116">
        <v>764.45</v>
      </c>
      <c r="R171">
        <v>28530</v>
      </c>
    </row>
    <row r="172" spans="1:18" x14ac:dyDescent="0.25">
      <c r="A172" s="170">
        <v>42251</v>
      </c>
      <c r="B172" s="116">
        <v>1220</v>
      </c>
      <c r="C172" s="116">
        <v>1197.75</v>
      </c>
      <c r="D172" s="116">
        <v>1175</v>
      </c>
      <c r="E172" s="116">
        <v>1220</v>
      </c>
      <c r="F172" s="116">
        <v>1197.75</v>
      </c>
      <c r="G172">
        <v>58</v>
      </c>
      <c r="H172" s="116"/>
      <c r="I172" s="116"/>
      <c r="L172" s="170">
        <v>42249</v>
      </c>
      <c r="M172" s="116">
        <v>147.81</v>
      </c>
      <c r="N172" s="116">
        <v>155</v>
      </c>
      <c r="O172" s="116">
        <v>146.38999999999999</v>
      </c>
      <c r="P172" s="116">
        <v>153.22</v>
      </c>
      <c r="Q172" s="116">
        <v>739.05</v>
      </c>
      <c r="R172">
        <v>39040</v>
      </c>
    </row>
    <row r="173" spans="1:18" x14ac:dyDescent="0.25">
      <c r="A173" s="170">
        <v>42254</v>
      </c>
      <c r="B173" s="116">
        <v>1250</v>
      </c>
      <c r="C173" s="116">
        <v>1150.5</v>
      </c>
      <c r="D173" s="116">
        <v>1150.5</v>
      </c>
      <c r="E173" s="116">
        <v>1250</v>
      </c>
      <c r="F173" s="116">
        <v>1150.5</v>
      </c>
      <c r="G173">
        <v>203</v>
      </c>
      <c r="H173" s="116"/>
      <c r="I173" s="116"/>
      <c r="L173" s="170">
        <v>42250</v>
      </c>
      <c r="M173" s="116">
        <v>152.97999999999999</v>
      </c>
      <c r="N173" s="116">
        <v>153.80000000000001</v>
      </c>
      <c r="O173" s="116">
        <v>147.4</v>
      </c>
      <c r="P173" s="116">
        <v>147.4</v>
      </c>
      <c r="Q173" s="116">
        <v>764.9</v>
      </c>
      <c r="R173">
        <v>29759</v>
      </c>
    </row>
    <row r="174" spans="1:18" x14ac:dyDescent="0.25">
      <c r="A174" s="170">
        <v>42255</v>
      </c>
      <c r="B174" s="116">
        <v>1193</v>
      </c>
      <c r="C174" s="116">
        <v>1191</v>
      </c>
      <c r="D174" s="116">
        <v>1101.25</v>
      </c>
      <c r="E174" s="116">
        <v>1101.25</v>
      </c>
      <c r="F174" s="116">
        <v>1191</v>
      </c>
      <c r="G174">
        <v>61</v>
      </c>
      <c r="H174" s="116"/>
      <c r="I174" s="116"/>
      <c r="L174" s="170">
        <v>42251</v>
      </c>
      <c r="M174" s="116">
        <v>147.96</v>
      </c>
      <c r="N174" s="116">
        <v>153</v>
      </c>
      <c r="O174" s="116">
        <v>144</v>
      </c>
      <c r="P174" s="116">
        <v>153</v>
      </c>
      <c r="Q174" s="116">
        <v>739.8</v>
      </c>
      <c r="R174">
        <v>30808</v>
      </c>
    </row>
    <row r="175" spans="1:18" x14ac:dyDescent="0.25">
      <c r="A175" s="170">
        <v>42256</v>
      </c>
      <c r="B175" s="116">
        <v>1242</v>
      </c>
      <c r="C175" s="116">
        <v>1187.5</v>
      </c>
      <c r="D175" s="116">
        <v>1151.25</v>
      </c>
      <c r="E175" s="116">
        <v>1152</v>
      </c>
      <c r="F175" s="116">
        <v>1187.5</v>
      </c>
      <c r="G175">
        <v>125</v>
      </c>
      <c r="H175" s="116"/>
      <c r="I175" s="116"/>
      <c r="L175" s="170">
        <v>42254</v>
      </c>
      <c r="M175" s="116">
        <v>148.62</v>
      </c>
      <c r="N175" s="116">
        <v>152</v>
      </c>
      <c r="O175" s="116">
        <v>145</v>
      </c>
      <c r="P175" s="116">
        <v>150.80000000000001</v>
      </c>
      <c r="Q175" s="116">
        <v>743.1</v>
      </c>
      <c r="R175">
        <v>26477</v>
      </c>
    </row>
    <row r="176" spans="1:18" x14ac:dyDescent="0.25">
      <c r="A176" s="170">
        <v>42257</v>
      </c>
      <c r="B176" s="116">
        <v>1209</v>
      </c>
      <c r="C176" s="116">
        <v>1201</v>
      </c>
      <c r="D176" s="116">
        <v>1175</v>
      </c>
      <c r="E176" s="116">
        <v>1175</v>
      </c>
      <c r="F176" s="116">
        <v>1201</v>
      </c>
      <c r="G176">
        <v>4</v>
      </c>
      <c r="H176" s="116"/>
      <c r="I176" s="116"/>
      <c r="L176" s="170">
        <v>42255</v>
      </c>
      <c r="M176" s="116">
        <v>148.94</v>
      </c>
      <c r="N176" s="116">
        <v>150.36000000000001</v>
      </c>
      <c r="O176" s="116">
        <v>144.46</v>
      </c>
      <c r="P176" s="116">
        <v>147.24</v>
      </c>
      <c r="Q176" s="116">
        <v>744.7</v>
      </c>
      <c r="R176">
        <v>31194</v>
      </c>
    </row>
    <row r="177" spans="1:18" x14ac:dyDescent="0.25">
      <c r="A177" s="170">
        <v>42258</v>
      </c>
      <c r="B177" s="116">
        <v>1185</v>
      </c>
      <c r="C177" s="116">
        <v>1185</v>
      </c>
      <c r="D177" s="116">
        <v>1180</v>
      </c>
      <c r="E177" s="116">
        <v>1185</v>
      </c>
      <c r="F177" s="116">
        <v>1185</v>
      </c>
      <c r="G177">
        <v>29</v>
      </c>
      <c r="H177" s="116"/>
      <c r="I177" s="116"/>
      <c r="L177" s="170">
        <v>42256</v>
      </c>
      <c r="M177" s="116">
        <v>152.72</v>
      </c>
      <c r="N177" s="116">
        <v>154.19999999999999</v>
      </c>
      <c r="O177" s="116">
        <v>148.47999999999999</v>
      </c>
      <c r="P177" s="116">
        <v>151.78</v>
      </c>
      <c r="Q177" s="116">
        <v>763.6</v>
      </c>
      <c r="R177">
        <v>38468</v>
      </c>
    </row>
    <row r="178" spans="1:18" x14ac:dyDescent="0.25">
      <c r="A178" s="170">
        <v>42261</v>
      </c>
      <c r="B178" s="116">
        <v>1244</v>
      </c>
      <c r="C178" s="116">
        <v>1200</v>
      </c>
      <c r="D178" s="116">
        <v>1200</v>
      </c>
      <c r="E178" s="116">
        <v>1244</v>
      </c>
      <c r="F178" s="116">
        <v>1200</v>
      </c>
      <c r="G178">
        <v>120</v>
      </c>
      <c r="H178" s="116"/>
      <c r="I178" s="116"/>
      <c r="L178" s="170">
        <v>42257</v>
      </c>
      <c r="M178" s="116">
        <v>160.38</v>
      </c>
      <c r="N178" s="116">
        <v>161.94</v>
      </c>
      <c r="O178" s="116">
        <v>147.44</v>
      </c>
      <c r="P178" s="116">
        <v>151.19999999999999</v>
      </c>
      <c r="Q178" s="116">
        <v>801.9</v>
      </c>
      <c r="R178">
        <v>85863</v>
      </c>
    </row>
    <row r="179" spans="1:18" x14ac:dyDescent="0.25">
      <c r="A179" s="170">
        <v>42262</v>
      </c>
      <c r="B179" s="116">
        <v>1205</v>
      </c>
      <c r="C179" s="116">
        <v>1175.75</v>
      </c>
      <c r="D179" s="116">
        <v>1155</v>
      </c>
      <c r="E179" s="116">
        <v>1205</v>
      </c>
      <c r="F179" s="116">
        <v>1175.75</v>
      </c>
      <c r="G179">
        <v>137</v>
      </c>
      <c r="H179" s="116"/>
      <c r="I179" s="116"/>
      <c r="L179" s="170">
        <v>42258</v>
      </c>
      <c r="M179" s="116">
        <v>162.59</v>
      </c>
      <c r="N179" s="116">
        <v>163.74</v>
      </c>
      <c r="O179" s="116">
        <v>160.47</v>
      </c>
      <c r="P179" s="116">
        <v>162.19999999999999</v>
      </c>
      <c r="Q179" s="116">
        <v>812.95</v>
      </c>
      <c r="R179">
        <v>52542</v>
      </c>
    </row>
    <row r="180" spans="1:18" x14ac:dyDescent="0.25">
      <c r="A180" s="170">
        <v>42263</v>
      </c>
      <c r="B180" s="116">
        <v>1195</v>
      </c>
      <c r="C180" s="116">
        <v>1185</v>
      </c>
      <c r="D180" s="116">
        <v>1170</v>
      </c>
      <c r="E180" s="116">
        <v>1195</v>
      </c>
      <c r="F180" s="116">
        <v>1185</v>
      </c>
      <c r="G180">
        <v>23</v>
      </c>
      <c r="H180" s="116"/>
      <c r="I180" s="116"/>
      <c r="L180" s="170">
        <v>42261</v>
      </c>
      <c r="M180" s="116">
        <v>162.36000000000001</v>
      </c>
      <c r="N180" s="116">
        <v>164.86</v>
      </c>
      <c r="O180" s="116">
        <v>161.36000000000001</v>
      </c>
      <c r="P180" s="116">
        <v>162.6</v>
      </c>
      <c r="Q180" s="116">
        <v>811.8</v>
      </c>
      <c r="R180">
        <v>22645</v>
      </c>
    </row>
    <row r="181" spans="1:18" x14ac:dyDescent="0.25">
      <c r="A181" s="170">
        <v>42265</v>
      </c>
      <c r="B181" s="116">
        <v>1210</v>
      </c>
      <c r="C181" s="116">
        <v>1175</v>
      </c>
      <c r="D181" s="116">
        <v>1165</v>
      </c>
      <c r="E181" s="116">
        <v>1195</v>
      </c>
      <c r="F181" s="116">
        <v>1175</v>
      </c>
      <c r="G181">
        <v>120</v>
      </c>
      <c r="H181" s="116"/>
      <c r="I181" s="116"/>
      <c r="L181" s="170">
        <v>42262</v>
      </c>
      <c r="M181" s="116">
        <v>162.54</v>
      </c>
      <c r="N181" s="116">
        <v>163.6</v>
      </c>
      <c r="O181" s="116">
        <v>160.69</v>
      </c>
      <c r="P181" s="116">
        <v>162.4</v>
      </c>
      <c r="Q181" s="116">
        <v>812.7</v>
      </c>
      <c r="R181">
        <v>21125</v>
      </c>
    </row>
    <row r="182" spans="1:18" x14ac:dyDescent="0.25">
      <c r="A182" s="170">
        <v>42268</v>
      </c>
      <c r="B182" s="116">
        <v>1200</v>
      </c>
      <c r="C182" s="116">
        <v>1200</v>
      </c>
      <c r="D182" s="116">
        <v>1185</v>
      </c>
      <c r="E182" s="116">
        <v>1200</v>
      </c>
      <c r="F182" s="116">
        <v>1200</v>
      </c>
      <c r="G182">
        <v>219</v>
      </c>
      <c r="H182" s="116"/>
      <c r="I182" s="116"/>
      <c r="L182" s="170">
        <v>42263</v>
      </c>
      <c r="M182" s="116">
        <v>163.75</v>
      </c>
      <c r="N182" s="116">
        <v>164.4</v>
      </c>
      <c r="O182" s="116">
        <v>160.75</v>
      </c>
      <c r="P182" s="116">
        <v>162.80000000000001</v>
      </c>
      <c r="Q182" s="116">
        <v>818.75</v>
      </c>
      <c r="R182">
        <v>23881</v>
      </c>
    </row>
    <row r="183" spans="1:18" x14ac:dyDescent="0.25">
      <c r="A183" s="170">
        <v>42269</v>
      </c>
      <c r="B183" s="116">
        <v>1210</v>
      </c>
      <c r="C183" s="116">
        <v>1190</v>
      </c>
      <c r="D183" s="116">
        <v>1181</v>
      </c>
      <c r="E183" s="116">
        <v>1190</v>
      </c>
      <c r="F183" s="116">
        <v>1190</v>
      </c>
      <c r="G183">
        <v>277</v>
      </c>
      <c r="H183" s="116"/>
      <c r="I183" s="116"/>
      <c r="L183" s="170">
        <v>42265</v>
      </c>
      <c r="M183" s="116">
        <v>166.11</v>
      </c>
      <c r="N183" s="116">
        <v>168.12</v>
      </c>
      <c r="O183" s="116">
        <v>164.8</v>
      </c>
      <c r="P183" s="116">
        <v>164.8</v>
      </c>
      <c r="Q183" s="116">
        <v>830.55</v>
      </c>
      <c r="R183">
        <v>39066</v>
      </c>
    </row>
    <row r="184" spans="1:18" x14ac:dyDescent="0.25">
      <c r="A184" s="170">
        <v>42270</v>
      </c>
      <c r="B184" s="116">
        <v>1210</v>
      </c>
      <c r="C184" s="116">
        <v>1210</v>
      </c>
      <c r="D184" s="116">
        <v>1190</v>
      </c>
      <c r="E184" s="116">
        <v>1190</v>
      </c>
      <c r="F184" s="116">
        <v>1210</v>
      </c>
      <c r="G184">
        <v>45</v>
      </c>
      <c r="H184" s="116"/>
      <c r="I184" s="116"/>
      <c r="L184" s="170">
        <v>42268</v>
      </c>
      <c r="M184" s="116">
        <v>165.31</v>
      </c>
      <c r="N184" s="116">
        <v>166.6</v>
      </c>
      <c r="O184" s="116">
        <v>163.61000000000001</v>
      </c>
      <c r="P184" s="116">
        <v>166.6</v>
      </c>
      <c r="Q184" s="116">
        <v>826.55</v>
      </c>
      <c r="R184">
        <v>14045</v>
      </c>
    </row>
    <row r="185" spans="1:18" x14ac:dyDescent="0.25">
      <c r="A185" s="170">
        <v>42271</v>
      </c>
      <c r="B185" s="116">
        <v>1200</v>
      </c>
      <c r="C185" s="116">
        <v>1172</v>
      </c>
      <c r="D185" s="116">
        <v>1172</v>
      </c>
      <c r="E185" s="116">
        <v>1200</v>
      </c>
      <c r="F185" s="116">
        <v>1172</v>
      </c>
      <c r="G185">
        <v>46</v>
      </c>
      <c r="H185" s="116"/>
      <c r="I185" s="116"/>
      <c r="L185" s="170">
        <v>42269</v>
      </c>
      <c r="M185" s="116">
        <v>164.03</v>
      </c>
      <c r="N185" s="116">
        <v>166.99</v>
      </c>
      <c r="O185" s="116">
        <v>163.38999999999999</v>
      </c>
      <c r="P185" s="116">
        <v>166.6</v>
      </c>
      <c r="Q185" s="116">
        <v>820.15</v>
      </c>
      <c r="R185">
        <v>16931</v>
      </c>
    </row>
    <row r="186" spans="1:18" x14ac:dyDescent="0.25">
      <c r="A186" s="170">
        <v>42275</v>
      </c>
      <c r="B186" s="116">
        <v>1200</v>
      </c>
      <c r="C186" s="116">
        <v>1177.25</v>
      </c>
      <c r="D186" s="116">
        <v>1156.25</v>
      </c>
      <c r="E186" s="116">
        <v>1200</v>
      </c>
      <c r="F186" s="116">
        <v>1177.25</v>
      </c>
      <c r="G186">
        <v>102</v>
      </c>
      <c r="H186" s="116"/>
      <c r="I186" s="116"/>
      <c r="L186" s="170">
        <v>42270</v>
      </c>
      <c r="M186" s="116">
        <v>162.19999999999999</v>
      </c>
      <c r="N186" s="116">
        <v>165.42</v>
      </c>
      <c r="O186" s="116">
        <v>161.9</v>
      </c>
      <c r="P186" s="116">
        <v>163.4</v>
      </c>
      <c r="Q186" s="116">
        <v>811</v>
      </c>
      <c r="R186">
        <v>36980</v>
      </c>
    </row>
    <row r="187" spans="1:18" x14ac:dyDescent="0.25">
      <c r="A187" s="170">
        <v>42276</v>
      </c>
      <c r="B187" s="116">
        <v>1198</v>
      </c>
      <c r="C187" s="116">
        <v>1198</v>
      </c>
      <c r="D187" s="116">
        <v>1162</v>
      </c>
      <c r="E187" s="116">
        <v>1162</v>
      </c>
      <c r="F187" s="116">
        <v>1198</v>
      </c>
      <c r="G187">
        <v>25</v>
      </c>
      <c r="H187" s="116"/>
      <c r="I187" s="116"/>
      <c r="L187" s="170">
        <v>42271</v>
      </c>
      <c r="M187" s="116">
        <v>174.85</v>
      </c>
      <c r="N187" s="116">
        <v>179.56</v>
      </c>
      <c r="O187" s="116">
        <v>162</v>
      </c>
      <c r="P187" s="116">
        <v>162.6</v>
      </c>
      <c r="Q187" s="116">
        <v>874.25</v>
      </c>
      <c r="R187">
        <v>173783</v>
      </c>
    </row>
    <row r="188" spans="1:18" x14ac:dyDescent="0.25">
      <c r="A188" s="170">
        <v>42277</v>
      </c>
      <c r="B188" s="116">
        <v>1190.75</v>
      </c>
      <c r="C188" s="116">
        <v>1180</v>
      </c>
      <c r="D188" s="116">
        <v>1167.25</v>
      </c>
      <c r="E188" s="116">
        <v>1170.25</v>
      </c>
      <c r="F188" s="116">
        <v>1180</v>
      </c>
      <c r="G188">
        <v>129</v>
      </c>
      <c r="H188" s="116"/>
      <c r="I188" s="116"/>
      <c r="L188" s="170">
        <v>42275</v>
      </c>
      <c r="M188" s="116">
        <v>173.09</v>
      </c>
      <c r="N188" s="116">
        <v>180.74</v>
      </c>
      <c r="O188" s="116">
        <v>172</v>
      </c>
      <c r="P188" s="116">
        <v>174.6</v>
      </c>
      <c r="Q188" s="116">
        <v>865.45</v>
      </c>
      <c r="R188">
        <v>108483</v>
      </c>
    </row>
    <row r="189" spans="1:18" x14ac:dyDescent="0.25">
      <c r="A189" s="170">
        <v>42278</v>
      </c>
      <c r="B189" s="116">
        <v>1189</v>
      </c>
      <c r="C189" s="116">
        <v>1167</v>
      </c>
      <c r="D189" s="116">
        <v>1167</v>
      </c>
      <c r="E189" s="116">
        <v>1184</v>
      </c>
      <c r="F189" s="116">
        <v>1167</v>
      </c>
      <c r="G189">
        <v>127</v>
      </c>
      <c r="H189" s="116"/>
      <c r="I189" s="116"/>
      <c r="L189" s="170">
        <v>42276</v>
      </c>
      <c r="M189" s="116">
        <v>182.22</v>
      </c>
      <c r="N189" s="116">
        <v>184.33</v>
      </c>
      <c r="O189" s="116">
        <v>168.94</v>
      </c>
      <c r="P189" s="116">
        <v>170.79</v>
      </c>
      <c r="Q189" s="116">
        <v>911.1</v>
      </c>
      <c r="R189">
        <v>221216</v>
      </c>
    </row>
    <row r="190" spans="1:18" x14ac:dyDescent="0.25">
      <c r="A190" s="170">
        <v>42282</v>
      </c>
      <c r="B190" s="116">
        <v>1205</v>
      </c>
      <c r="C190" s="116">
        <v>1201</v>
      </c>
      <c r="D190" s="116">
        <v>1179</v>
      </c>
      <c r="E190" s="116">
        <v>1196.75</v>
      </c>
      <c r="F190" s="116">
        <v>1201</v>
      </c>
      <c r="G190">
        <v>1207</v>
      </c>
      <c r="H190" s="116"/>
      <c r="I190" s="116"/>
      <c r="L190" s="170">
        <v>42277</v>
      </c>
      <c r="M190" s="116">
        <v>182.75</v>
      </c>
      <c r="N190" s="116">
        <v>186.8</v>
      </c>
      <c r="O190" s="116">
        <v>181.02</v>
      </c>
      <c r="P190" s="116">
        <v>184.2</v>
      </c>
      <c r="Q190" s="116">
        <v>913.75</v>
      </c>
      <c r="R190">
        <v>109511</v>
      </c>
    </row>
    <row r="191" spans="1:18" x14ac:dyDescent="0.25">
      <c r="A191" s="170">
        <v>42283</v>
      </c>
      <c r="B191" s="116">
        <v>1190</v>
      </c>
      <c r="C191" s="116">
        <v>1176.5</v>
      </c>
      <c r="D191" s="116">
        <v>1176.5</v>
      </c>
      <c r="E191" s="116">
        <v>1190</v>
      </c>
      <c r="F191" s="116">
        <v>1176.5</v>
      </c>
      <c r="G191">
        <v>13</v>
      </c>
      <c r="H191" s="116"/>
      <c r="I191" s="116"/>
      <c r="L191" s="170">
        <v>42278</v>
      </c>
      <c r="M191" s="116">
        <v>175.94</v>
      </c>
      <c r="N191" s="116">
        <v>184.54</v>
      </c>
      <c r="O191" s="116">
        <v>175</v>
      </c>
      <c r="P191" s="116">
        <v>184.54</v>
      </c>
      <c r="Q191" s="116">
        <v>879.7</v>
      </c>
      <c r="R191">
        <v>48549</v>
      </c>
    </row>
    <row r="192" spans="1:18" x14ac:dyDescent="0.25">
      <c r="A192" s="170">
        <v>42284</v>
      </c>
      <c r="B192" s="116">
        <v>1229</v>
      </c>
      <c r="C192" s="116">
        <v>1186</v>
      </c>
      <c r="D192" s="116">
        <v>1183</v>
      </c>
      <c r="E192" s="116">
        <v>1229</v>
      </c>
      <c r="F192" s="116">
        <v>1186</v>
      </c>
      <c r="G192">
        <v>32</v>
      </c>
      <c r="H192" s="116"/>
      <c r="I192" s="116"/>
      <c r="L192" s="170">
        <v>42282</v>
      </c>
      <c r="M192" s="116">
        <v>182.5</v>
      </c>
      <c r="N192" s="116">
        <v>184.96</v>
      </c>
      <c r="O192" s="116">
        <v>176.8</v>
      </c>
      <c r="P192" s="116">
        <v>178</v>
      </c>
      <c r="Q192" s="116">
        <v>912.5</v>
      </c>
      <c r="R192">
        <v>56214</v>
      </c>
    </row>
    <row r="193" spans="1:18" x14ac:dyDescent="0.25">
      <c r="A193" s="170">
        <v>42285</v>
      </c>
      <c r="B193" s="116">
        <v>1217.25</v>
      </c>
      <c r="C193" s="116">
        <v>1200</v>
      </c>
      <c r="D193" s="116">
        <v>1180</v>
      </c>
      <c r="E193" s="116">
        <v>1180</v>
      </c>
      <c r="F193" s="116">
        <v>1200</v>
      </c>
      <c r="G193">
        <v>32</v>
      </c>
      <c r="H193" s="116"/>
      <c r="I193" s="116"/>
      <c r="L193" s="170">
        <v>42283</v>
      </c>
      <c r="M193" s="116">
        <v>189.77</v>
      </c>
      <c r="N193" s="116">
        <v>191.72</v>
      </c>
      <c r="O193" s="116">
        <v>182.41</v>
      </c>
      <c r="P193" s="116">
        <v>183.79</v>
      </c>
      <c r="Q193" s="116">
        <v>948.85</v>
      </c>
      <c r="R193">
        <v>131167</v>
      </c>
    </row>
    <row r="194" spans="1:18" x14ac:dyDescent="0.25">
      <c r="A194" s="170">
        <v>42286</v>
      </c>
      <c r="B194" s="116">
        <v>1200</v>
      </c>
      <c r="C194" s="116">
        <v>1179.25</v>
      </c>
      <c r="D194" s="116">
        <v>1178</v>
      </c>
      <c r="E194" s="116">
        <v>1192.25</v>
      </c>
      <c r="F194" s="116">
        <v>1179.25</v>
      </c>
      <c r="G194">
        <v>72</v>
      </c>
      <c r="H194" s="116"/>
      <c r="I194" s="116"/>
      <c r="L194" s="170">
        <v>42284</v>
      </c>
      <c r="M194" s="116">
        <v>189.66</v>
      </c>
      <c r="N194" s="116">
        <v>191.87</v>
      </c>
      <c r="O194" s="116">
        <v>188.3</v>
      </c>
      <c r="P194" s="116">
        <v>191</v>
      </c>
      <c r="Q194" s="116">
        <v>948.3</v>
      </c>
      <c r="R194">
        <v>71080</v>
      </c>
    </row>
    <row r="195" spans="1:18" x14ac:dyDescent="0.25">
      <c r="A195" s="170">
        <v>42289</v>
      </c>
      <c r="B195" s="116">
        <v>1185</v>
      </c>
      <c r="C195" s="116">
        <v>1180.25</v>
      </c>
      <c r="D195" s="116">
        <v>1180.25</v>
      </c>
      <c r="E195" s="116">
        <v>1185</v>
      </c>
      <c r="F195" s="116">
        <v>1180.25</v>
      </c>
      <c r="G195">
        <v>48</v>
      </c>
      <c r="H195" s="116"/>
      <c r="I195" s="116"/>
      <c r="L195" s="170">
        <v>42285</v>
      </c>
      <c r="M195" s="116">
        <v>193.18</v>
      </c>
      <c r="N195" s="116">
        <v>198.88</v>
      </c>
      <c r="O195" s="116">
        <v>187.11</v>
      </c>
      <c r="P195" s="116">
        <v>189.8</v>
      </c>
      <c r="Q195" s="116">
        <v>965.9</v>
      </c>
      <c r="R195">
        <v>118877</v>
      </c>
    </row>
    <row r="196" spans="1:18" x14ac:dyDescent="0.25">
      <c r="A196" s="170">
        <v>42290</v>
      </c>
      <c r="B196" s="116">
        <v>1200</v>
      </c>
      <c r="C196" s="116">
        <v>1186.5</v>
      </c>
      <c r="D196" s="116">
        <v>1178.75</v>
      </c>
      <c r="E196" s="116">
        <v>1178.75</v>
      </c>
      <c r="F196" s="116">
        <v>1186.5</v>
      </c>
      <c r="G196">
        <v>19</v>
      </c>
      <c r="H196" s="116"/>
      <c r="I196" s="116"/>
      <c r="L196" s="170">
        <v>42286</v>
      </c>
      <c r="M196" s="116">
        <v>198.56</v>
      </c>
      <c r="N196" s="116">
        <v>200.8</v>
      </c>
      <c r="O196" s="116">
        <v>194.42</v>
      </c>
      <c r="P196" s="116">
        <v>195.94</v>
      </c>
      <c r="Q196" s="116">
        <v>992.8</v>
      </c>
      <c r="R196">
        <v>106285</v>
      </c>
    </row>
    <row r="197" spans="1:18" x14ac:dyDescent="0.25">
      <c r="A197" s="170">
        <v>42291</v>
      </c>
      <c r="B197" s="116">
        <v>1196.5</v>
      </c>
      <c r="C197" s="116">
        <v>1193.75</v>
      </c>
      <c r="D197" s="116">
        <v>1180.25</v>
      </c>
      <c r="E197" s="116">
        <v>1180.5</v>
      </c>
      <c r="F197" s="116">
        <v>1193.75</v>
      </c>
      <c r="G197">
        <v>67</v>
      </c>
      <c r="H197" s="116"/>
      <c r="I197" s="116"/>
      <c r="L197" s="170">
        <v>42289</v>
      </c>
      <c r="M197" s="116">
        <v>196.22</v>
      </c>
      <c r="N197" s="116">
        <v>201.8</v>
      </c>
      <c r="O197" s="116">
        <v>193.74</v>
      </c>
      <c r="P197" s="116">
        <v>198.8</v>
      </c>
      <c r="Q197" s="116">
        <v>981.1</v>
      </c>
      <c r="R197">
        <v>64989</v>
      </c>
    </row>
    <row r="198" spans="1:18" x14ac:dyDescent="0.25">
      <c r="A198" s="170">
        <v>42292</v>
      </c>
      <c r="B198" s="116">
        <v>1209</v>
      </c>
      <c r="C198" s="116">
        <v>1206</v>
      </c>
      <c r="D198" s="116">
        <v>1185.5</v>
      </c>
      <c r="E198" s="116">
        <v>1185.5</v>
      </c>
      <c r="F198" s="116">
        <v>1206</v>
      </c>
      <c r="G198">
        <v>12</v>
      </c>
      <c r="H198" s="116"/>
      <c r="I198" s="116"/>
      <c r="L198" s="170">
        <v>42290</v>
      </c>
      <c r="M198" s="116">
        <v>195.27</v>
      </c>
      <c r="N198" s="116">
        <v>197.98</v>
      </c>
      <c r="O198" s="116">
        <v>192.6</v>
      </c>
      <c r="P198" s="116">
        <v>196.02</v>
      </c>
      <c r="Q198" s="116">
        <v>976.35</v>
      </c>
      <c r="R198">
        <v>43507</v>
      </c>
    </row>
    <row r="199" spans="1:18" x14ac:dyDescent="0.25">
      <c r="A199" s="170">
        <v>42293</v>
      </c>
      <c r="B199" s="116">
        <v>1218.5</v>
      </c>
      <c r="C199" s="116">
        <v>1192</v>
      </c>
      <c r="D199" s="116">
        <v>1192</v>
      </c>
      <c r="E199" s="116">
        <v>1210</v>
      </c>
      <c r="F199" s="116">
        <v>1192</v>
      </c>
      <c r="G199">
        <v>13</v>
      </c>
      <c r="H199" s="116"/>
      <c r="I199" s="116"/>
      <c r="L199" s="170">
        <v>42291</v>
      </c>
      <c r="M199" s="116">
        <v>193.64</v>
      </c>
      <c r="N199" s="116">
        <v>196</v>
      </c>
      <c r="O199" s="116">
        <v>192.8</v>
      </c>
      <c r="P199" s="116">
        <v>195</v>
      </c>
      <c r="Q199" s="116">
        <v>968.2</v>
      </c>
      <c r="R199">
        <v>17886</v>
      </c>
    </row>
    <row r="200" spans="1:18" x14ac:dyDescent="0.25">
      <c r="A200" s="170">
        <v>42296</v>
      </c>
      <c r="B200" s="116">
        <v>1200</v>
      </c>
      <c r="C200" s="116">
        <v>1200</v>
      </c>
      <c r="D200" s="116">
        <v>1172</v>
      </c>
      <c r="E200" s="116">
        <v>1172</v>
      </c>
      <c r="F200" s="116">
        <v>1200</v>
      </c>
      <c r="G200">
        <v>212</v>
      </c>
      <c r="H200" s="116"/>
      <c r="I200" s="116"/>
      <c r="L200" s="170">
        <v>42292</v>
      </c>
      <c r="M200" s="116">
        <v>200</v>
      </c>
      <c r="N200" s="116">
        <v>203.6</v>
      </c>
      <c r="O200" s="116">
        <v>193.23</v>
      </c>
      <c r="P200" s="116">
        <v>193.86</v>
      </c>
      <c r="Q200" s="116">
        <v>1000</v>
      </c>
      <c r="R200">
        <v>94348</v>
      </c>
    </row>
    <row r="201" spans="1:18" x14ac:dyDescent="0.25">
      <c r="A201" s="170">
        <v>42297</v>
      </c>
      <c r="B201" s="116">
        <v>1205</v>
      </c>
      <c r="C201" s="116">
        <v>1205</v>
      </c>
      <c r="D201" s="116">
        <v>1192</v>
      </c>
      <c r="E201" s="116">
        <v>1192</v>
      </c>
      <c r="F201" s="116">
        <v>1205</v>
      </c>
      <c r="G201">
        <v>107</v>
      </c>
      <c r="H201" s="116"/>
      <c r="I201" s="116"/>
      <c r="L201" s="170">
        <v>42293</v>
      </c>
      <c r="M201" s="116">
        <v>199.11</v>
      </c>
      <c r="N201" s="116">
        <v>201.66</v>
      </c>
      <c r="O201" s="116">
        <v>197.12</v>
      </c>
      <c r="P201" s="116">
        <v>201.4</v>
      </c>
      <c r="Q201" s="116">
        <v>995.55</v>
      </c>
      <c r="R201">
        <v>42479</v>
      </c>
    </row>
    <row r="202" spans="1:18" x14ac:dyDescent="0.25">
      <c r="A202" s="170">
        <v>42298</v>
      </c>
      <c r="B202" s="116">
        <v>1206</v>
      </c>
      <c r="C202" s="116">
        <v>1206</v>
      </c>
      <c r="D202" s="116">
        <v>1190.5</v>
      </c>
      <c r="E202" s="116">
        <v>1205</v>
      </c>
      <c r="F202" s="116">
        <v>1206</v>
      </c>
      <c r="G202">
        <v>18</v>
      </c>
      <c r="H202" s="116"/>
      <c r="I202" s="116"/>
      <c r="L202" s="170">
        <v>42296</v>
      </c>
      <c r="M202" s="116">
        <v>194.91</v>
      </c>
      <c r="N202" s="116">
        <v>200.11</v>
      </c>
      <c r="O202" s="116">
        <v>193</v>
      </c>
      <c r="P202" s="116">
        <v>200.11</v>
      </c>
      <c r="Q202" s="116">
        <v>974.55</v>
      </c>
      <c r="R202">
        <v>33734</v>
      </c>
    </row>
    <row r="203" spans="1:18" x14ac:dyDescent="0.25">
      <c r="A203" s="170">
        <v>42300</v>
      </c>
      <c r="B203" s="116">
        <v>1198.25</v>
      </c>
      <c r="C203" s="116">
        <v>1197</v>
      </c>
      <c r="D203" s="116">
        <v>1196.5</v>
      </c>
      <c r="E203" s="116">
        <v>1198.25</v>
      </c>
      <c r="F203" s="116">
        <v>1197</v>
      </c>
      <c r="G203">
        <v>55</v>
      </c>
      <c r="H203" s="116"/>
      <c r="I203" s="116"/>
      <c r="L203" s="170">
        <v>42297</v>
      </c>
      <c r="M203" s="116">
        <v>198.47</v>
      </c>
      <c r="N203" s="116">
        <v>205.8</v>
      </c>
      <c r="O203" s="116">
        <v>192.3</v>
      </c>
      <c r="P203" s="116">
        <v>196.54</v>
      </c>
      <c r="Q203" s="116">
        <v>992.35</v>
      </c>
      <c r="R203">
        <v>292428</v>
      </c>
    </row>
    <row r="204" spans="1:18" x14ac:dyDescent="0.25">
      <c r="A204" s="170">
        <v>42303</v>
      </c>
      <c r="B204" s="116">
        <v>1251</v>
      </c>
      <c r="C204" s="116">
        <v>1200</v>
      </c>
      <c r="D204" s="116">
        <v>1180</v>
      </c>
      <c r="E204" s="116">
        <v>1228.75</v>
      </c>
      <c r="F204" s="116">
        <v>1200</v>
      </c>
      <c r="G204">
        <v>218</v>
      </c>
      <c r="H204" s="116"/>
      <c r="I204" s="116"/>
      <c r="L204" s="170">
        <v>42298</v>
      </c>
      <c r="M204" s="116">
        <v>199.31</v>
      </c>
      <c r="N204" s="116">
        <v>205</v>
      </c>
      <c r="O204" s="116">
        <v>197.23</v>
      </c>
      <c r="P204" s="116">
        <v>201.96</v>
      </c>
      <c r="Q204" s="116">
        <v>996.55</v>
      </c>
      <c r="R204">
        <v>66099</v>
      </c>
    </row>
    <row r="205" spans="1:18" x14ac:dyDescent="0.25">
      <c r="A205" s="170">
        <v>42304</v>
      </c>
      <c r="B205" s="116">
        <v>1236</v>
      </c>
      <c r="C205" s="116">
        <v>1236</v>
      </c>
      <c r="D205" s="116">
        <v>1197</v>
      </c>
      <c r="E205" s="116">
        <v>1198</v>
      </c>
      <c r="F205" s="116">
        <v>1236</v>
      </c>
      <c r="G205">
        <v>65</v>
      </c>
      <c r="H205" s="116"/>
      <c r="I205" s="116"/>
      <c r="L205" s="170">
        <v>42300</v>
      </c>
      <c r="M205" s="116">
        <v>198.76</v>
      </c>
      <c r="N205" s="116">
        <v>202.38</v>
      </c>
      <c r="O205" s="116">
        <v>198.2</v>
      </c>
      <c r="P205" s="116">
        <v>201.2</v>
      </c>
      <c r="Q205" s="116">
        <v>993.8</v>
      </c>
      <c r="R205">
        <v>26519</v>
      </c>
    </row>
    <row r="206" spans="1:18" x14ac:dyDescent="0.25">
      <c r="A206" s="170">
        <v>42305</v>
      </c>
      <c r="B206" s="116">
        <v>1235</v>
      </c>
      <c r="C206" s="116">
        <v>1200</v>
      </c>
      <c r="D206" s="116">
        <v>1200</v>
      </c>
      <c r="E206" s="116">
        <v>1200</v>
      </c>
      <c r="F206" s="116">
        <v>1200</v>
      </c>
      <c r="G206">
        <v>121</v>
      </c>
      <c r="H206" s="116"/>
      <c r="I206" s="116"/>
      <c r="L206" s="170">
        <v>42303</v>
      </c>
      <c r="M206" s="116">
        <v>197.24</v>
      </c>
      <c r="N206" s="116">
        <v>199.21</v>
      </c>
      <c r="O206" s="116">
        <v>193.5</v>
      </c>
      <c r="P206" s="116">
        <v>198.8</v>
      </c>
      <c r="Q206" s="116">
        <v>986.2</v>
      </c>
      <c r="R206">
        <v>18428</v>
      </c>
    </row>
    <row r="207" spans="1:18" x14ac:dyDescent="0.25">
      <c r="A207" s="170">
        <v>42306</v>
      </c>
      <c r="B207" s="116">
        <v>1229.75</v>
      </c>
      <c r="C207" s="116">
        <v>1193.5</v>
      </c>
      <c r="D207" s="116">
        <v>1193.5</v>
      </c>
      <c r="E207" s="116">
        <v>1229.75</v>
      </c>
      <c r="F207" s="116">
        <v>1193.5</v>
      </c>
      <c r="G207">
        <v>11</v>
      </c>
      <c r="H207" s="116"/>
      <c r="I207" s="116"/>
      <c r="L207" s="170">
        <v>42304</v>
      </c>
      <c r="M207" s="116">
        <v>197</v>
      </c>
      <c r="N207" s="116">
        <v>199.6</v>
      </c>
      <c r="O207" s="116">
        <v>194.4</v>
      </c>
      <c r="P207" s="116">
        <v>198</v>
      </c>
      <c r="Q207" s="116">
        <v>985</v>
      </c>
      <c r="R207">
        <v>24609</v>
      </c>
    </row>
    <row r="208" spans="1:18" x14ac:dyDescent="0.25">
      <c r="A208" s="170">
        <v>42307</v>
      </c>
      <c r="B208" s="116">
        <v>1215</v>
      </c>
      <c r="C208" s="116">
        <v>1191.25</v>
      </c>
      <c r="D208" s="116">
        <v>1181.25</v>
      </c>
      <c r="E208" s="116">
        <v>1181.25</v>
      </c>
      <c r="F208" s="116">
        <v>1191.25</v>
      </c>
      <c r="G208">
        <v>98</v>
      </c>
      <c r="H208" s="116"/>
      <c r="I208" s="116"/>
      <c r="L208" s="170">
        <v>42305</v>
      </c>
      <c r="M208" s="116">
        <v>196.13</v>
      </c>
      <c r="N208" s="116">
        <v>199.6</v>
      </c>
      <c r="O208" s="116">
        <v>195.2</v>
      </c>
      <c r="P208" s="116">
        <v>197.98</v>
      </c>
      <c r="Q208" s="116">
        <v>980.65</v>
      </c>
      <c r="R208">
        <v>20993</v>
      </c>
    </row>
    <row r="209" spans="1:18" x14ac:dyDescent="0.25">
      <c r="A209" s="170">
        <v>42311</v>
      </c>
      <c r="B209" s="116">
        <v>1209</v>
      </c>
      <c r="C209" s="116">
        <v>1209</v>
      </c>
      <c r="D209" s="116">
        <v>1209</v>
      </c>
      <c r="E209" s="116">
        <v>1209</v>
      </c>
      <c r="F209" s="116">
        <v>1209</v>
      </c>
      <c r="G209">
        <v>5</v>
      </c>
      <c r="H209" s="116"/>
      <c r="I209" s="116"/>
      <c r="L209" s="170">
        <v>42306</v>
      </c>
      <c r="M209" s="116">
        <v>194.35</v>
      </c>
      <c r="N209" s="116">
        <v>197.58</v>
      </c>
      <c r="O209" s="116">
        <v>192.87</v>
      </c>
      <c r="P209" s="116">
        <v>197.58</v>
      </c>
      <c r="Q209" s="116">
        <v>971.75</v>
      </c>
      <c r="R209">
        <v>21012</v>
      </c>
    </row>
    <row r="210" spans="1:18" x14ac:dyDescent="0.25">
      <c r="A210" s="170">
        <v>42312</v>
      </c>
      <c r="B210" s="116">
        <v>1210</v>
      </c>
      <c r="C210" s="116">
        <v>1192</v>
      </c>
      <c r="D210" s="116">
        <v>1186</v>
      </c>
      <c r="E210" s="116">
        <v>1187.25</v>
      </c>
      <c r="F210" s="116">
        <v>1192</v>
      </c>
      <c r="G210">
        <v>121</v>
      </c>
      <c r="H210" s="116"/>
      <c r="I210" s="116"/>
      <c r="L210" s="170">
        <v>42307</v>
      </c>
      <c r="M210" s="116">
        <v>191.07</v>
      </c>
      <c r="N210" s="116">
        <v>197.74</v>
      </c>
      <c r="O210" s="116">
        <v>187.11</v>
      </c>
      <c r="P210" s="116">
        <v>193.81</v>
      </c>
      <c r="Q210" s="116">
        <v>955.35</v>
      </c>
      <c r="R210">
        <v>29427</v>
      </c>
    </row>
    <row r="211" spans="1:18" x14ac:dyDescent="0.25">
      <c r="A211" s="170">
        <v>42313</v>
      </c>
      <c r="B211" s="116">
        <v>1228</v>
      </c>
      <c r="C211" s="116">
        <v>1168.75</v>
      </c>
      <c r="D211" s="116">
        <v>1165.25</v>
      </c>
      <c r="E211" s="116">
        <v>1219.75</v>
      </c>
      <c r="F211" s="116">
        <v>1168.75</v>
      </c>
      <c r="G211">
        <v>40</v>
      </c>
      <c r="H211" s="116"/>
      <c r="I211" s="116"/>
      <c r="L211" s="170">
        <v>42310</v>
      </c>
      <c r="M211" s="116">
        <v>185.82</v>
      </c>
      <c r="N211" s="116">
        <v>192.16</v>
      </c>
      <c r="O211" s="116">
        <v>183.82</v>
      </c>
      <c r="P211" s="116">
        <v>192.16</v>
      </c>
      <c r="Q211" s="116">
        <v>929.1</v>
      </c>
      <c r="R211">
        <v>24743</v>
      </c>
    </row>
    <row r="212" spans="1:18" x14ac:dyDescent="0.25">
      <c r="A212" s="170">
        <v>42314</v>
      </c>
      <c r="B212" s="116">
        <v>1180</v>
      </c>
      <c r="C212" s="116">
        <v>1160.5</v>
      </c>
      <c r="D212" s="116">
        <v>1160.5</v>
      </c>
      <c r="E212" s="116">
        <v>1180</v>
      </c>
      <c r="F212" s="116">
        <v>1160.5</v>
      </c>
      <c r="G212">
        <v>26</v>
      </c>
      <c r="H212" s="116"/>
      <c r="I212" s="116"/>
      <c r="L212" s="170">
        <v>42311</v>
      </c>
      <c r="M212" s="116">
        <v>189.27</v>
      </c>
      <c r="N212" s="116">
        <v>193</v>
      </c>
      <c r="O212" s="116">
        <v>186.42</v>
      </c>
      <c r="P212" s="116">
        <v>186.42</v>
      </c>
      <c r="Q212" s="116">
        <v>946.35</v>
      </c>
      <c r="R212">
        <v>21023</v>
      </c>
    </row>
    <row r="213" spans="1:18" x14ac:dyDescent="0.25">
      <c r="A213" s="170">
        <v>42317</v>
      </c>
      <c r="B213" s="116">
        <v>1140.25</v>
      </c>
      <c r="C213" s="116">
        <v>1140.25</v>
      </c>
      <c r="D213" s="116">
        <v>1138.25</v>
      </c>
      <c r="E213" s="116">
        <v>1138.25</v>
      </c>
      <c r="F213" s="116">
        <v>1140.25</v>
      </c>
      <c r="G213">
        <v>4</v>
      </c>
      <c r="H213" s="116"/>
      <c r="I213" s="116"/>
      <c r="L213" s="170">
        <v>42312</v>
      </c>
      <c r="M213" s="116">
        <v>191.38</v>
      </c>
      <c r="N213" s="116">
        <v>194</v>
      </c>
      <c r="O213" s="116">
        <v>190.22</v>
      </c>
      <c r="P213" s="116">
        <v>191.99</v>
      </c>
      <c r="Q213" s="116">
        <v>956.9</v>
      </c>
      <c r="R213">
        <v>23371</v>
      </c>
    </row>
    <row r="214" spans="1:18" x14ac:dyDescent="0.25">
      <c r="A214" s="170">
        <v>42318</v>
      </c>
      <c r="B214" s="116">
        <v>1197.25</v>
      </c>
      <c r="C214" s="116">
        <v>1190</v>
      </c>
      <c r="D214" s="116">
        <v>1190</v>
      </c>
      <c r="E214" s="116">
        <v>1197.25</v>
      </c>
      <c r="F214" s="116">
        <v>1190</v>
      </c>
      <c r="G214">
        <v>54</v>
      </c>
      <c r="H214" s="116"/>
      <c r="I214" s="116"/>
      <c r="L214" s="170">
        <v>42313</v>
      </c>
      <c r="M214" s="116">
        <v>188.06</v>
      </c>
      <c r="N214" s="116">
        <v>192.96</v>
      </c>
      <c r="O214" s="116">
        <v>186.42</v>
      </c>
      <c r="P214" s="116">
        <v>192.96</v>
      </c>
      <c r="Q214" s="116">
        <v>940.3</v>
      </c>
      <c r="R214">
        <v>11978</v>
      </c>
    </row>
    <row r="215" spans="1:18" x14ac:dyDescent="0.25">
      <c r="A215" s="170">
        <v>42319</v>
      </c>
      <c r="B215" s="116">
        <v>1244.75</v>
      </c>
      <c r="C215" s="116">
        <v>1244.75</v>
      </c>
      <c r="D215" s="116">
        <v>1244.75</v>
      </c>
      <c r="E215" s="116">
        <v>1244.75</v>
      </c>
      <c r="F215" s="116">
        <v>1244.75</v>
      </c>
      <c r="G215">
        <v>1</v>
      </c>
      <c r="H215" s="116"/>
      <c r="I215" s="116"/>
      <c r="L215" s="170">
        <v>42314</v>
      </c>
      <c r="M215" s="116">
        <v>185.79</v>
      </c>
      <c r="N215" s="116">
        <v>191.6</v>
      </c>
      <c r="O215" s="116">
        <v>185.2</v>
      </c>
      <c r="P215" s="116">
        <v>188.4</v>
      </c>
      <c r="Q215" s="116">
        <v>928.95</v>
      </c>
      <c r="R215">
        <v>12833</v>
      </c>
    </row>
    <row r="216" spans="1:18" x14ac:dyDescent="0.25">
      <c r="A216" s="170">
        <v>42321</v>
      </c>
      <c r="B216" s="116">
        <v>1190</v>
      </c>
      <c r="C216" s="116">
        <v>1190</v>
      </c>
      <c r="D216" s="116">
        <v>1190</v>
      </c>
      <c r="E216" s="116">
        <v>1190</v>
      </c>
      <c r="F216" s="116">
        <v>1190</v>
      </c>
      <c r="G216">
        <v>8</v>
      </c>
      <c r="H216" s="116"/>
      <c r="I216" s="116"/>
      <c r="L216" s="170">
        <v>42317</v>
      </c>
      <c r="M216" s="116">
        <v>189.04</v>
      </c>
      <c r="N216" s="116">
        <v>190</v>
      </c>
      <c r="O216" s="116">
        <v>180</v>
      </c>
      <c r="P216" s="116">
        <v>185.79</v>
      </c>
      <c r="Q216" s="116">
        <v>945.2</v>
      </c>
      <c r="R216">
        <v>29564</v>
      </c>
    </row>
    <row r="217" spans="1:18" x14ac:dyDescent="0.25">
      <c r="A217" s="170">
        <v>42324</v>
      </c>
      <c r="B217" s="116">
        <v>1237.75</v>
      </c>
      <c r="C217" s="116">
        <v>1161.25</v>
      </c>
      <c r="D217" s="116">
        <v>1148.25</v>
      </c>
      <c r="E217" s="116">
        <v>1148.25</v>
      </c>
      <c r="F217" s="116">
        <v>1161.25</v>
      </c>
      <c r="G217">
        <v>79</v>
      </c>
      <c r="H217" s="116"/>
      <c r="I217" s="116"/>
      <c r="L217" s="170">
        <v>42318</v>
      </c>
      <c r="M217" s="116">
        <v>186.99</v>
      </c>
      <c r="N217" s="116">
        <v>191.35</v>
      </c>
      <c r="O217" s="116">
        <v>186.2</v>
      </c>
      <c r="P217" s="116">
        <v>190.36</v>
      </c>
      <c r="Q217" s="116">
        <v>934.95</v>
      </c>
      <c r="R217">
        <v>14302</v>
      </c>
    </row>
    <row r="218" spans="1:18" x14ac:dyDescent="0.25">
      <c r="A218" s="170">
        <v>42325</v>
      </c>
      <c r="B218" s="116">
        <v>1209.75</v>
      </c>
      <c r="C218" s="116">
        <v>1150</v>
      </c>
      <c r="D218" s="116">
        <v>1150</v>
      </c>
      <c r="E218" s="116">
        <v>1209.75</v>
      </c>
      <c r="F218" s="116">
        <v>1150</v>
      </c>
      <c r="G218">
        <v>101</v>
      </c>
      <c r="H218" s="116"/>
      <c r="I218" s="116"/>
      <c r="L218" s="170">
        <v>42319</v>
      </c>
      <c r="M218" s="116">
        <v>189.77</v>
      </c>
      <c r="N218" s="116">
        <v>191.4</v>
      </c>
      <c r="O218" s="116">
        <v>187</v>
      </c>
      <c r="P218" s="116">
        <v>191.37</v>
      </c>
      <c r="Q218" s="116">
        <v>948.85</v>
      </c>
      <c r="R218">
        <v>5842</v>
      </c>
    </row>
    <row r="219" spans="1:18" x14ac:dyDescent="0.25">
      <c r="A219" s="170">
        <v>42326</v>
      </c>
      <c r="B219" s="116">
        <v>1155.75</v>
      </c>
      <c r="C219" s="116">
        <v>1155.75</v>
      </c>
      <c r="D219" s="116">
        <v>1121</v>
      </c>
      <c r="E219" s="116">
        <v>1121</v>
      </c>
      <c r="F219" s="116">
        <v>1155.75</v>
      </c>
      <c r="G219">
        <v>15</v>
      </c>
      <c r="H219" s="116"/>
      <c r="I219" s="116"/>
      <c r="L219" s="170">
        <v>42321</v>
      </c>
      <c r="M219" s="116">
        <v>191.81</v>
      </c>
      <c r="N219" s="116">
        <v>193.76</v>
      </c>
      <c r="O219" s="116">
        <v>186</v>
      </c>
      <c r="P219" s="116">
        <v>187</v>
      </c>
      <c r="Q219" s="116">
        <v>959.05</v>
      </c>
      <c r="R219">
        <v>26353</v>
      </c>
    </row>
    <row r="220" spans="1:18" x14ac:dyDescent="0.25">
      <c r="A220" s="170">
        <v>42328</v>
      </c>
      <c r="B220" s="116">
        <v>1190</v>
      </c>
      <c r="C220" s="116">
        <v>1151</v>
      </c>
      <c r="D220" s="116">
        <v>1151</v>
      </c>
      <c r="E220" s="116">
        <v>1155.75</v>
      </c>
      <c r="F220" s="116">
        <v>1151</v>
      </c>
      <c r="G220">
        <v>9</v>
      </c>
      <c r="H220" s="116"/>
      <c r="I220" s="116"/>
      <c r="L220" s="170">
        <v>42324</v>
      </c>
      <c r="M220" s="116">
        <v>195.46</v>
      </c>
      <c r="N220" s="116">
        <v>196</v>
      </c>
      <c r="O220" s="116">
        <v>189.2</v>
      </c>
      <c r="P220" s="116">
        <v>190</v>
      </c>
      <c r="Q220" s="116">
        <v>977.3</v>
      </c>
      <c r="R220">
        <v>27865</v>
      </c>
    </row>
    <row r="221" spans="1:18" x14ac:dyDescent="0.25">
      <c r="A221" s="170">
        <v>42331</v>
      </c>
      <c r="B221" s="116">
        <v>1199.75</v>
      </c>
      <c r="C221" s="116">
        <v>1199.75</v>
      </c>
      <c r="D221" s="116">
        <v>1149.5</v>
      </c>
      <c r="E221" s="116">
        <v>1155</v>
      </c>
      <c r="F221" s="116">
        <v>1199.75</v>
      </c>
      <c r="G221">
        <v>35</v>
      </c>
      <c r="H221" s="116"/>
      <c r="I221" s="116"/>
      <c r="L221" s="170">
        <v>42325</v>
      </c>
      <c r="M221" s="116">
        <v>193.22</v>
      </c>
      <c r="N221" s="116">
        <v>197</v>
      </c>
      <c r="O221" s="116">
        <v>192.53</v>
      </c>
      <c r="P221" s="116">
        <v>195.2</v>
      </c>
      <c r="Q221" s="116">
        <v>966.1</v>
      </c>
      <c r="R221">
        <v>11560</v>
      </c>
    </row>
    <row r="222" spans="1:18" x14ac:dyDescent="0.25">
      <c r="A222" s="170">
        <v>42332</v>
      </c>
      <c r="B222" s="116">
        <v>1190</v>
      </c>
      <c r="C222" s="116">
        <v>1175</v>
      </c>
      <c r="D222" s="116">
        <v>1170</v>
      </c>
      <c r="E222" s="116">
        <v>1170</v>
      </c>
      <c r="F222" s="116">
        <v>1175</v>
      </c>
      <c r="G222">
        <v>26</v>
      </c>
      <c r="H222" s="116"/>
      <c r="I222" s="116"/>
      <c r="L222" s="170">
        <v>42326</v>
      </c>
      <c r="M222" s="116">
        <v>191.74</v>
      </c>
      <c r="N222" s="116">
        <v>195.4</v>
      </c>
      <c r="O222" s="116">
        <v>189.8</v>
      </c>
      <c r="P222" s="116">
        <v>192.2</v>
      </c>
      <c r="Q222" s="116">
        <v>958.7</v>
      </c>
      <c r="R222">
        <v>20121</v>
      </c>
    </row>
    <row r="223" spans="1:18" x14ac:dyDescent="0.25">
      <c r="A223" s="170">
        <v>42334</v>
      </c>
      <c r="B223" s="116">
        <v>1214.5</v>
      </c>
      <c r="C223" s="116">
        <v>1190</v>
      </c>
      <c r="D223" s="116">
        <v>1185.25</v>
      </c>
      <c r="E223" s="116">
        <v>1214.5</v>
      </c>
      <c r="F223" s="116">
        <v>1190</v>
      </c>
      <c r="G223">
        <v>109</v>
      </c>
      <c r="H223" s="116"/>
      <c r="I223" s="116"/>
      <c r="L223" s="170">
        <v>42327</v>
      </c>
      <c r="M223" s="116">
        <v>193.48</v>
      </c>
      <c r="N223" s="116">
        <v>194.8</v>
      </c>
      <c r="O223" s="116">
        <v>191.21</v>
      </c>
      <c r="P223" s="116">
        <v>192</v>
      </c>
      <c r="Q223" s="116">
        <v>967.4</v>
      </c>
      <c r="R223">
        <v>7709</v>
      </c>
    </row>
    <row r="224" spans="1:18" x14ac:dyDescent="0.25">
      <c r="A224" s="170">
        <v>42335</v>
      </c>
      <c r="B224" s="116">
        <v>1202</v>
      </c>
      <c r="C224" s="116">
        <v>1189.75</v>
      </c>
      <c r="D224" s="116">
        <v>1172.25</v>
      </c>
      <c r="E224" s="116">
        <v>1190.25</v>
      </c>
      <c r="F224" s="116">
        <v>1189.75</v>
      </c>
      <c r="G224">
        <v>44</v>
      </c>
      <c r="H224" s="116"/>
      <c r="I224" s="116"/>
      <c r="L224" s="170">
        <v>42328</v>
      </c>
      <c r="M224" s="116">
        <v>197.64</v>
      </c>
      <c r="N224" s="116">
        <v>199.2</v>
      </c>
      <c r="O224" s="116">
        <v>193.01</v>
      </c>
      <c r="P224" s="116">
        <v>193.99</v>
      </c>
      <c r="Q224" s="116">
        <v>988.2</v>
      </c>
      <c r="R224">
        <v>22423</v>
      </c>
    </row>
    <row r="225" spans="1:18" x14ac:dyDescent="0.25">
      <c r="A225" s="170">
        <v>42338</v>
      </c>
      <c r="B225" s="116">
        <v>1209</v>
      </c>
      <c r="C225" s="116">
        <v>1209</v>
      </c>
      <c r="D225" s="116">
        <v>1171.25</v>
      </c>
      <c r="E225" s="116">
        <v>1171.25</v>
      </c>
      <c r="F225" s="116">
        <v>1209</v>
      </c>
      <c r="G225">
        <v>50</v>
      </c>
      <c r="H225" s="116"/>
      <c r="I225" s="116"/>
      <c r="L225" s="170">
        <v>42331</v>
      </c>
      <c r="M225" s="116">
        <v>200.03</v>
      </c>
      <c r="N225" s="116">
        <v>202.88</v>
      </c>
      <c r="O225" s="116">
        <v>197</v>
      </c>
      <c r="P225" s="116">
        <v>197</v>
      </c>
      <c r="Q225" s="116">
        <v>1000.15</v>
      </c>
      <c r="R225">
        <v>31244</v>
      </c>
    </row>
    <row r="226" spans="1:18" x14ac:dyDescent="0.25">
      <c r="A226" s="170">
        <v>42339</v>
      </c>
      <c r="B226" s="116">
        <v>1225</v>
      </c>
      <c r="C226" s="116">
        <v>1200.25</v>
      </c>
      <c r="D226" s="116">
        <v>1199</v>
      </c>
      <c r="E226" s="116">
        <v>1199</v>
      </c>
      <c r="F226" s="116">
        <v>1200.25</v>
      </c>
      <c r="G226">
        <v>46</v>
      </c>
      <c r="H226" s="116"/>
      <c r="I226" s="116"/>
      <c r="L226" s="170">
        <v>42332</v>
      </c>
      <c r="M226" s="116">
        <v>198.01</v>
      </c>
      <c r="N226" s="116">
        <v>203.6</v>
      </c>
      <c r="O226" s="116">
        <v>197</v>
      </c>
      <c r="P226" s="116">
        <v>203.49</v>
      </c>
      <c r="Q226" s="116">
        <v>990.05</v>
      </c>
      <c r="R226">
        <v>10103</v>
      </c>
    </row>
    <row r="227" spans="1:18" x14ac:dyDescent="0.25">
      <c r="A227" s="170">
        <v>42340</v>
      </c>
      <c r="B227" s="116">
        <v>1260.25</v>
      </c>
      <c r="C227" s="116">
        <v>1242.5</v>
      </c>
      <c r="D227" s="116">
        <v>1185.25</v>
      </c>
      <c r="E227" s="116">
        <v>1218.5</v>
      </c>
      <c r="F227" s="116">
        <v>1242.5</v>
      </c>
      <c r="G227">
        <v>320</v>
      </c>
      <c r="H227" s="116"/>
      <c r="I227" s="116"/>
      <c r="L227" s="170">
        <v>42334</v>
      </c>
      <c r="M227" s="116">
        <v>196.39</v>
      </c>
      <c r="N227" s="116">
        <v>200</v>
      </c>
      <c r="O227" s="116">
        <v>194.9</v>
      </c>
      <c r="P227" s="116">
        <v>198.79</v>
      </c>
      <c r="Q227" s="116">
        <v>981.95</v>
      </c>
      <c r="R227">
        <v>12129</v>
      </c>
    </row>
    <row r="228" spans="1:18" x14ac:dyDescent="0.25">
      <c r="A228" s="170">
        <v>42341</v>
      </c>
      <c r="B228" s="116">
        <v>1299.5</v>
      </c>
      <c r="C228" s="116">
        <v>1250.5</v>
      </c>
      <c r="D228" s="116">
        <v>1250.5</v>
      </c>
      <c r="E228" s="116">
        <v>1299.25</v>
      </c>
      <c r="F228" s="116">
        <v>1250.5</v>
      </c>
      <c r="G228">
        <v>128</v>
      </c>
      <c r="H228" s="116"/>
      <c r="I228" s="116"/>
      <c r="L228" s="170">
        <v>42335</v>
      </c>
      <c r="M228" s="116">
        <v>195.89</v>
      </c>
      <c r="N228" s="116">
        <v>198.77</v>
      </c>
      <c r="O228" s="116">
        <v>194.41</v>
      </c>
      <c r="P228" s="116">
        <v>198.77</v>
      </c>
      <c r="Q228" s="116">
        <v>979.45</v>
      </c>
      <c r="R228">
        <v>8842</v>
      </c>
    </row>
    <row r="229" spans="1:18" x14ac:dyDescent="0.25">
      <c r="A229" s="170">
        <v>42342</v>
      </c>
      <c r="B229" s="116">
        <v>1242.75</v>
      </c>
      <c r="C229" s="116">
        <v>1216.25</v>
      </c>
      <c r="D229" s="116">
        <v>1192.25</v>
      </c>
      <c r="E229" s="116">
        <v>1225.25</v>
      </c>
      <c r="F229" s="116">
        <v>1216.25</v>
      </c>
      <c r="G229">
        <v>126</v>
      </c>
      <c r="H229" s="116"/>
      <c r="I229" s="116"/>
      <c r="L229" s="170">
        <v>42338</v>
      </c>
      <c r="M229" s="116">
        <v>193.41</v>
      </c>
      <c r="N229" s="116">
        <v>197.4</v>
      </c>
      <c r="O229" s="116">
        <v>192</v>
      </c>
      <c r="P229" s="116">
        <v>195.6</v>
      </c>
      <c r="Q229" s="116">
        <v>967.05</v>
      </c>
      <c r="R229">
        <v>13621</v>
      </c>
    </row>
    <row r="230" spans="1:18" x14ac:dyDescent="0.25">
      <c r="A230" s="170">
        <v>42345</v>
      </c>
      <c r="B230" s="116">
        <v>1274</v>
      </c>
      <c r="C230" s="116">
        <v>1239</v>
      </c>
      <c r="D230" s="116">
        <v>1209</v>
      </c>
      <c r="E230" s="116">
        <v>1274</v>
      </c>
      <c r="F230" s="116">
        <v>1239</v>
      </c>
      <c r="G230">
        <v>167</v>
      </c>
      <c r="H230" s="116"/>
      <c r="I230" s="116"/>
      <c r="L230" s="170">
        <v>42339</v>
      </c>
      <c r="M230" s="116">
        <v>193.31</v>
      </c>
      <c r="N230" s="116">
        <v>195.4</v>
      </c>
      <c r="O230" s="116">
        <v>192.41</v>
      </c>
      <c r="P230" s="116">
        <v>193.4</v>
      </c>
      <c r="Q230" s="116">
        <v>966.55</v>
      </c>
      <c r="R230">
        <v>9879</v>
      </c>
    </row>
    <row r="231" spans="1:18" x14ac:dyDescent="0.25">
      <c r="A231" s="170">
        <v>42346</v>
      </c>
      <c r="B231" s="116">
        <v>1252</v>
      </c>
      <c r="C231" s="116">
        <v>1220</v>
      </c>
      <c r="D231" s="116">
        <v>1220</v>
      </c>
      <c r="E231" s="116">
        <v>1230</v>
      </c>
      <c r="F231" s="116">
        <v>1220</v>
      </c>
      <c r="G231">
        <v>145</v>
      </c>
      <c r="H231" s="116"/>
      <c r="I231" s="116"/>
      <c r="L231" s="170">
        <v>42340</v>
      </c>
      <c r="M231" s="116">
        <v>197.97</v>
      </c>
      <c r="N231" s="116">
        <v>200.59</v>
      </c>
      <c r="O231" s="116">
        <v>192.6</v>
      </c>
      <c r="P231" s="116">
        <v>192.6</v>
      </c>
      <c r="Q231" s="116">
        <v>989.85</v>
      </c>
      <c r="R231">
        <v>24258</v>
      </c>
    </row>
    <row r="232" spans="1:18" x14ac:dyDescent="0.25">
      <c r="A232" s="170">
        <v>42347</v>
      </c>
      <c r="B232" s="116">
        <v>1229</v>
      </c>
      <c r="C232" s="116">
        <v>1229</v>
      </c>
      <c r="D232" s="116">
        <v>1228</v>
      </c>
      <c r="E232" s="116">
        <v>1228</v>
      </c>
      <c r="F232" s="116">
        <v>1229</v>
      </c>
      <c r="G232">
        <v>32</v>
      </c>
      <c r="H232" s="116"/>
      <c r="I232" s="116"/>
      <c r="L232" s="170">
        <v>42341</v>
      </c>
      <c r="M232" s="116">
        <v>195.35</v>
      </c>
      <c r="N232" s="116">
        <v>199.8</v>
      </c>
      <c r="O232" s="116">
        <v>193</v>
      </c>
      <c r="P232" s="116">
        <v>199.69</v>
      </c>
      <c r="Q232" s="116">
        <v>976.75</v>
      </c>
      <c r="R232">
        <v>11788</v>
      </c>
    </row>
    <row r="233" spans="1:18" x14ac:dyDescent="0.25">
      <c r="A233" s="170">
        <v>42348</v>
      </c>
      <c r="B233" s="116">
        <v>1193.25</v>
      </c>
      <c r="C233" s="116">
        <v>1193.25</v>
      </c>
      <c r="D233" s="116">
        <v>1192</v>
      </c>
      <c r="E233" s="116">
        <v>1192</v>
      </c>
      <c r="F233" s="116">
        <v>1193.25</v>
      </c>
      <c r="G233">
        <v>22</v>
      </c>
      <c r="H233" s="116"/>
      <c r="I233" s="116"/>
      <c r="L233" s="170">
        <v>42342</v>
      </c>
      <c r="M233" s="116">
        <v>192.88</v>
      </c>
      <c r="N233" s="116">
        <v>196</v>
      </c>
      <c r="O233" s="116">
        <v>192</v>
      </c>
      <c r="P233" s="116">
        <v>196</v>
      </c>
      <c r="Q233" s="116">
        <v>964.4</v>
      </c>
      <c r="R233">
        <v>12999</v>
      </c>
    </row>
    <row r="234" spans="1:18" x14ac:dyDescent="0.25">
      <c r="A234" s="170">
        <v>42349</v>
      </c>
      <c r="B234" s="116">
        <v>1227.5</v>
      </c>
      <c r="C234" s="116">
        <v>1196</v>
      </c>
      <c r="D234" s="116">
        <v>1191</v>
      </c>
      <c r="E234" s="116">
        <v>1191.25</v>
      </c>
      <c r="F234" s="116">
        <v>1196</v>
      </c>
      <c r="G234">
        <v>89</v>
      </c>
      <c r="H234" s="116"/>
      <c r="I234" s="116"/>
      <c r="L234" s="170">
        <v>42345</v>
      </c>
      <c r="M234" s="116">
        <v>196.64</v>
      </c>
      <c r="N234" s="116">
        <v>197</v>
      </c>
      <c r="O234" s="116">
        <v>191.21</v>
      </c>
      <c r="P234" s="116">
        <v>192.88</v>
      </c>
      <c r="Q234" s="116">
        <v>983.2</v>
      </c>
      <c r="R234">
        <v>25192</v>
      </c>
    </row>
    <row r="235" spans="1:18" x14ac:dyDescent="0.25">
      <c r="A235" s="170">
        <v>42352</v>
      </c>
      <c r="B235" s="116">
        <v>1196</v>
      </c>
      <c r="C235" s="116">
        <v>1196</v>
      </c>
      <c r="D235" s="116">
        <v>1162.25</v>
      </c>
      <c r="E235" s="116">
        <v>1162.25</v>
      </c>
      <c r="F235" s="116">
        <v>1196</v>
      </c>
      <c r="G235">
        <v>77</v>
      </c>
      <c r="H235" s="116"/>
      <c r="I235" s="116"/>
      <c r="L235" s="170">
        <v>42346</v>
      </c>
      <c r="M235" s="116">
        <v>196.69</v>
      </c>
      <c r="N235" s="116">
        <v>198.4</v>
      </c>
      <c r="O235" s="116">
        <v>193</v>
      </c>
      <c r="P235" s="116">
        <v>193</v>
      </c>
      <c r="Q235" s="116">
        <v>983.45</v>
      </c>
      <c r="R235">
        <v>15961</v>
      </c>
    </row>
    <row r="236" spans="1:18" x14ac:dyDescent="0.25">
      <c r="A236" s="170">
        <v>42353</v>
      </c>
      <c r="B236" s="116">
        <v>1245</v>
      </c>
      <c r="C236" s="116">
        <v>1238.75</v>
      </c>
      <c r="D236" s="116">
        <v>1238.75</v>
      </c>
      <c r="E236" s="116">
        <v>1245</v>
      </c>
      <c r="F236" s="116">
        <v>1238.75</v>
      </c>
      <c r="G236">
        <v>11</v>
      </c>
      <c r="H236" s="116"/>
      <c r="I236" s="116"/>
      <c r="L236" s="170">
        <v>42347</v>
      </c>
      <c r="M236" s="116">
        <v>197.63</v>
      </c>
      <c r="N236" s="116">
        <v>199.4</v>
      </c>
      <c r="O236" s="116">
        <v>189.2</v>
      </c>
      <c r="P236" s="116">
        <v>193.61</v>
      </c>
      <c r="Q236" s="116">
        <v>988.15</v>
      </c>
      <c r="R236">
        <v>30963</v>
      </c>
    </row>
    <row r="237" spans="1:18" x14ac:dyDescent="0.25">
      <c r="A237" s="170">
        <v>42354</v>
      </c>
      <c r="B237" s="116">
        <v>1240</v>
      </c>
      <c r="C237" s="116">
        <v>1225</v>
      </c>
      <c r="D237" s="116">
        <v>1210.25</v>
      </c>
      <c r="E237" s="116">
        <v>1240</v>
      </c>
      <c r="F237" s="116">
        <v>1225</v>
      </c>
      <c r="G237">
        <v>27</v>
      </c>
      <c r="H237" s="116"/>
      <c r="I237" s="116"/>
      <c r="L237" s="170">
        <v>42348</v>
      </c>
      <c r="M237" s="116">
        <v>195.98</v>
      </c>
      <c r="N237" s="116">
        <v>199</v>
      </c>
      <c r="O237" s="116">
        <v>194.21</v>
      </c>
      <c r="P237" s="116">
        <v>198.21</v>
      </c>
      <c r="Q237" s="116">
        <v>979.9</v>
      </c>
      <c r="R237">
        <v>12275</v>
      </c>
    </row>
    <row r="238" spans="1:18" x14ac:dyDescent="0.25">
      <c r="A238" s="170">
        <v>42355</v>
      </c>
      <c r="B238" s="116">
        <v>1255.75</v>
      </c>
      <c r="C238" s="116">
        <v>1228.5</v>
      </c>
      <c r="D238" s="116">
        <v>1175.25</v>
      </c>
      <c r="E238" s="116">
        <v>1175.25</v>
      </c>
      <c r="F238" s="116">
        <v>1228.5</v>
      </c>
      <c r="G238">
        <v>82</v>
      </c>
      <c r="H238" s="116"/>
      <c r="I238" s="116"/>
      <c r="L238" s="170">
        <v>42349</v>
      </c>
      <c r="M238" s="116">
        <v>197.14</v>
      </c>
      <c r="N238" s="116">
        <v>199</v>
      </c>
      <c r="O238" s="116">
        <v>194.21</v>
      </c>
      <c r="P238" s="116">
        <v>199</v>
      </c>
      <c r="Q238" s="116">
        <v>985.7</v>
      </c>
      <c r="R238">
        <v>20208</v>
      </c>
    </row>
    <row r="239" spans="1:18" x14ac:dyDescent="0.25">
      <c r="A239" s="170">
        <v>42356</v>
      </c>
      <c r="B239" s="116">
        <v>1188.25</v>
      </c>
      <c r="C239" s="116">
        <v>1188.25</v>
      </c>
      <c r="D239" s="116">
        <v>1188.25</v>
      </c>
      <c r="E239" s="116">
        <v>1188.25</v>
      </c>
      <c r="F239" s="116">
        <v>1188.25</v>
      </c>
      <c r="G239">
        <v>1</v>
      </c>
      <c r="H239" s="116"/>
      <c r="I239" s="116"/>
      <c r="L239" s="170">
        <v>42352</v>
      </c>
      <c r="M239" s="116">
        <v>196.09</v>
      </c>
      <c r="N239" s="116">
        <v>197.19</v>
      </c>
      <c r="O239" s="116">
        <v>192.01</v>
      </c>
      <c r="P239" s="116">
        <v>192.01</v>
      </c>
      <c r="Q239" s="116">
        <v>980.45</v>
      </c>
      <c r="R239">
        <v>11380</v>
      </c>
    </row>
    <row r="240" spans="1:18" x14ac:dyDescent="0.25">
      <c r="A240" s="170">
        <v>42359</v>
      </c>
      <c r="B240" s="116">
        <v>1240</v>
      </c>
      <c r="C240" s="116">
        <v>1240</v>
      </c>
      <c r="D240" s="116">
        <v>1203</v>
      </c>
      <c r="E240" s="116">
        <v>1203.25</v>
      </c>
      <c r="F240" s="116">
        <v>1240</v>
      </c>
      <c r="G240">
        <v>16</v>
      </c>
      <c r="H240" s="116"/>
      <c r="I240" s="116"/>
      <c r="L240" s="170">
        <v>42353</v>
      </c>
      <c r="M240" s="116">
        <v>198.21</v>
      </c>
      <c r="N240" s="116">
        <v>199.56</v>
      </c>
      <c r="O240" s="116">
        <v>194.01</v>
      </c>
      <c r="P240" s="116">
        <v>195.8</v>
      </c>
      <c r="Q240" s="116">
        <v>991.05</v>
      </c>
      <c r="R240">
        <v>8557</v>
      </c>
    </row>
    <row r="241" spans="1:18" x14ac:dyDescent="0.25">
      <c r="A241" s="170">
        <v>42360</v>
      </c>
      <c r="B241" s="116">
        <v>1211</v>
      </c>
      <c r="C241" s="116">
        <v>1200</v>
      </c>
      <c r="D241" s="116">
        <v>1200</v>
      </c>
      <c r="E241" s="116">
        <v>1207</v>
      </c>
      <c r="F241" s="116">
        <v>1200</v>
      </c>
      <c r="G241">
        <v>446</v>
      </c>
      <c r="H241" s="116"/>
      <c r="I241" s="116"/>
      <c r="L241" s="170">
        <v>42354</v>
      </c>
      <c r="M241" s="116">
        <v>197.25</v>
      </c>
      <c r="N241" s="116">
        <v>203.8</v>
      </c>
      <c r="O241" s="116">
        <v>196.3</v>
      </c>
      <c r="P241" s="116">
        <v>201.57</v>
      </c>
      <c r="Q241" s="116">
        <v>986.25</v>
      </c>
      <c r="R241">
        <v>22694</v>
      </c>
    </row>
    <row r="242" spans="1:18" x14ac:dyDescent="0.25">
      <c r="A242" s="170">
        <v>42361</v>
      </c>
      <c r="B242" s="116">
        <v>1253</v>
      </c>
      <c r="C242" s="116">
        <v>1200</v>
      </c>
      <c r="D242" s="116">
        <v>1184.5</v>
      </c>
      <c r="E242" s="116">
        <v>1253</v>
      </c>
      <c r="F242" s="116">
        <v>1200</v>
      </c>
      <c r="G242">
        <v>258</v>
      </c>
      <c r="H242" s="116"/>
      <c r="I242" s="116"/>
      <c r="L242" s="170">
        <v>42355</v>
      </c>
      <c r="M242" s="116">
        <v>198.5</v>
      </c>
      <c r="N242" s="116">
        <v>200.97</v>
      </c>
      <c r="O242" s="116">
        <v>196.2</v>
      </c>
      <c r="P242" s="116">
        <v>200.4</v>
      </c>
      <c r="Q242" s="116">
        <v>992.5</v>
      </c>
      <c r="R242">
        <v>17082</v>
      </c>
    </row>
    <row r="243" spans="1:18" x14ac:dyDescent="0.25">
      <c r="A243" s="170">
        <v>42362</v>
      </c>
      <c r="B243" s="116">
        <v>1200</v>
      </c>
      <c r="C243" s="116">
        <v>1200</v>
      </c>
      <c r="D243" s="116">
        <v>1199</v>
      </c>
      <c r="E243" s="116">
        <v>1200</v>
      </c>
      <c r="F243" s="116">
        <v>1200</v>
      </c>
      <c r="G243">
        <v>193</v>
      </c>
      <c r="H243" s="116"/>
      <c r="I243" s="116"/>
      <c r="L243" s="170">
        <v>42356</v>
      </c>
      <c r="M243" s="116">
        <v>206.6</v>
      </c>
      <c r="N243" s="116">
        <v>210.87</v>
      </c>
      <c r="O243" s="116">
        <v>198.24</v>
      </c>
      <c r="P243" s="116">
        <v>199</v>
      </c>
      <c r="Q243" s="116">
        <v>1033</v>
      </c>
      <c r="R243">
        <v>77668</v>
      </c>
    </row>
    <row r="244" spans="1:18" x14ac:dyDescent="0.25">
      <c r="A244" s="170">
        <v>42366</v>
      </c>
      <c r="B244" s="116">
        <v>1200</v>
      </c>
      <c r="C244" s="116">
        <v>1198.25</v>
      </c>
      <c r="D244" s="116">
        <v>1190.5</v>
      </c>
      <c r="E244" s="116">
        <v>1200</v>
      </c>
      <c r="F244" s="116">
        <v>1198.25</v>
      </c>
      <c r="G244">
        <v>123</v>
      </c>
      <c r="H244" s="116"/>
      <c r="I244" s="116"/>
      <c r="L244" s="170">
        <v>42359</v>
      </c>
      <c r="M244" s="116">
        <v>209.7</v>
      </c>
      <c r="N244" s="116">
        <v>211</v>
      </c>
      <c r="O244" s="116">
        <v>206.6</v>
      </c>
      <c r="P244" s="116">
        <v>206.6</v>
      </c>
      <c r="Q244" s="116">
        <v>1048.5</v>
      </c>
      <c r="R244">
        <v>36681</v>
      </c>
    </row>
    <row r="245" spans="1:18" x14ac:dyDescent="0.25">
      <c r="A245" s="170">
        <v>42367</v>
      </c>
      <c r="B245" s="116">
        <v>1254</v>
      </c>
      <c r="C245" s="116">
        <v>1200</v>
      </c>
      <c r="D245" s="116">
        <v>1200</v>
      </c>
      <c r="E245" s="116">
        <v>1254</v>
      </c>
      <c r="F245" s="116">
        <v>1200</v>
      </c>
      <c r="G245">
        <v>654</v>
      </c>
      <c r="H245" s="116"/>
      <c r="I245" s="116"/>
      <c r="L245" s="170">
        <v>42360</v>
      </c>
      <c r="M245" s="116">
        <v>214.63</v>
      </c>
      <c r="N245" s="116">
        <v>217.59</v>
      </c>
      <c r="O245" s="116">
        <v>206.2</v>
      </c>
      <c r="P245" s="116">
        <v>207.69</v>
      </c>
      <c r="Q245" s="116">
        <v>1073.1500000000001</v>
      </c>
      <c r="R245">
        <v>63828</v>
      </c>
    </row>
    <row r="246" spans="1:18" x14ac:dyDescent="0.25">
      <c r="A246" s="170">
        <v>42368</v>
      </c>
      <c r="B246" s="116">
        <v>1199</v>
      </c>
      <c r="C246" s="116">
        <v>1191.25</v>
      </c>
      <c r="D246" s="116">
        <v>1190</v>
      </c>
      <c r="E246" s="116">
        <v>1198.75</v>
      </c>
      <c r="F246" s="116">
        <v>1191.25</v>
      </c>
      <c r="G246">
        <v>143</v>
      </c>
      <c r="H246" s="116"/>
      <c r="I246" s="116"/>
      <c r="L246" s="170">
        <v>42361</v>
      </c>
      <c r="M246" s="116">
        <v>219.47</v>
      </c>
      <c r="N246" s="116">
        <v>222.54</v>
      </c>
      <c r="O246" s="116">
        <v>212.2</v>
      </c>
      <c r="P246" s="116">
        <v>212.2</v>
      </c>
      <c r="Q246" s="116">
        <v>1097.3499999999999</v>
      </c>
      <c r="R246">
        <v>85592</v>
      </c>
    </row>
    <row r="247" spans="1:18" x14ac:dyDescent="0.25">
      <c r="A247" s="170">
        <v>42369</v>
      </c>
      <c r="B247" s="116">
        <v>1191.25</v>
      </c>
      <c r="C247" s="116">
        <v>1171.5</v>
      </c>
      <c r="D247" s="116">
        <v>1151</v>
      </c>
      <c r="E247" s="116">
        <v>1191</v>
      </c>
      <c r="F247" s="116">
        <v>1171.5</v>
      </c>
      <c r="G247">
        <v>345</v>
      </c>
      <c r="H247" s="116"/>
      <c r="I247" s="116"/>
      <c r="L247" s="170">
        <v>42362</v>
      </c>
      <c r="M247" s="116">
        <v>220.02</v>
      </c>
      <c r="N247" s="116">
        <v>224</v>
      </c>
      <c r="O247" s="116">
        <v>217.61</v>
      </c>
      <c r="P247" s="116">
        <v>221.39</v>
      </c>
      <c r="Q247" s="116">
        <v>1100.0999999999999</v>
      </c>
      <c r="R247">
        <v>27032</v>
      </c>
    </row>
    <row r="248" spans="1:18" x14ac:dyDescent="0.25">
      <c r="A248" s="170">
        <v>42370</v>
      </c>
      <c r="B248" s="116">
        <v>1200</v>
      </c>
      <c r="C248" s="116">
        <v>1200</v>
      </c>
      <c r="D248" s="116">
        <v>1199</v>
      </c>
      <c r="E248" s="116">
        <v>1199</v>
      </c>
      <c r="F248" s="116">
        <v>1200</v>
      </c>
      <c r="G248">
        <v>331</v>
      </c>
      <c r="H248" s="116"/>
      <c r="I248" s="116"/>
      <c r="L248" s="170">
        <v>42366</v>
      </c>
      <c r="M248" s="116">
        <v>218.44</v>
      </c>
      <c r="N248" s="116">
        <v>221.6</v>
      </c>
      <c r="O248" s="116">
        <v>218.01</v>
      </c>
      <c r="P248" s="116">
        <v>220.2</v>
      </c>
      <c r="Q248" s="116">
        <v>1092.2</v>
      </c>
      <c r="R248">
        <v>21606</v>
      </c>
    </row>
    <row r="249" spans="1:18" x14ac:dyDescent="0.25">
      <c r="A249" s="170">
        <v>42373</v>
      </c>
      <c r="B249" s="116">
        <v>1248</v>
      </c>
      <c r="C249" s="116">
        <v>1239.25</v>
      </c>
      <c r="D249" s="116">
        <v>1190</v>
      </c>
      <c r="E249" s="116">
        <v>1190</v>
      </c>
      <c r="F249" s="116">
        <v>1239.25</v>
      </c>
      <c r="G249">
        <v>1036</v>
      </c>
      <c r="H249" s="116"/>
      <c r="I249" s="116"/>
      <c r="L249" s="170">
        <v>42367</v>
      </c>
      <c r="M249" s="116">
        <v>219.05</v>
      </c>
      <c r="N249" s="116">
        <v>223.53</v>
      </c>
      <c r="O249" s="116">
        <v>216.25</v>
      </c>
      <c r="P249" s="116">
        <v>216.29</v>
      </c>
      <c r="Q249" s="116">
        <v>1095.25</v>
      </c>
      <c r="R249">
        <v>49272</v>
      </c>
    </row>
    <row r="250" spans="1:18" x14ac:dyDescent="0.25">
      <c r="A250" s="170">
        <v>42374</v>
      </c>
      <c r="B250" s="116">
        <v>1252</v>
      </c>
      <c r="C250" s="116">
        <v>1202.25</v>
      </c>
      <c r="D250" s="116">
        <v>1190</v>
      </c>
      <c r="E250" s="116">
        <v>1221.75</v>
      </c>
      <c r="F250" s="116">
        <v>1202.25</v>
      </c>
      <c r="G250">
        <v>717</v>
      </c>
      <c r="H250" s="116"/>
      <c r="I250" s="116"/>
      <c r="L250" s="170">
        <v>42368</v>
      </c>
      <c r="M250" s="116">
        <v>216.98</v>
      </c>
      <c r="N250" s="116">
        <v>221.6</v>
      </c>
      <c r="O250" s="116">
        <v>215.52</v>
      </c>
      <c r="P250" s="116">
        <v>219</v>
      </c>
      <c r="Q250" s="116">
        <v>1084.9000000000001</v>
      </c>
      <c r="R250">
        <v>25365</v>
      </c>
    </row>
    <row r="251" spans="1:18" x14ac:dyDescent="0.25">
      <c r="A251" s="170">
        <v>42375</v>
      </c>
      <c r="B251" s="116">
        <v>1245</v>
      </c>
      <c r="C251" s="116">
        <v>1197.75</v>
      </c>
      <c r="D251" s="116">
        <v>1195.25</v>
      </c>
      <c r="E251" s="116">
        <v>1210.25</v>
      </c>
      <c r="F251" s="116">
        <v>1197.75</v>
      </c>
      <c r="G251">
        <v>476</v>
      </c>
      <c r="H251" s="116"/>
      <c r="I251" s="116"/>
      <c r="L251" s="170">
        <v>42369</v>
      </c>
      <c r="M251" s="116">
        <v>215.74</v>
      </c>
      <c r="N251" s="116">
        <v>221</v>
      </c>
      <c r="O251" s="116">
        <v>215</v>
      </c>
      <c r="P251" s="116">
        <v>221</v>
      </c>
      <c r="Q251" s="116">
        <v>1078.7</v>
      </c>
      <c r="R251">
        <v>15503</v>
      </c>
    </row>
    <row r="252" spans="1:18" x14ac:dyDescent="0.25">
      <c r="A252" s="170">
        <v>42376</v>
      </c>
      <c r="B252" s="116">
        <v>1200</v>
      </c>
      <c r="C252" s="116">
        <v>1174.5</v>
      </c>
      <c r="D252" s="116">
        <v>1172</v>
      </c>
      <c r="E252" s="116">
        <v>1199</v>
      </c>
      <c r="F252" s="116">
        <v>1174.5</v>
      </c>
      <c r="G252">
        <v>280</v>
      </c>
      <c r="H252" s="116"/>
      <c r="I252" s="116"/>
      <c r="L252" s="170">
        <v>42370</v>
      </c>
      <c r="M252" s="116">
        <v>219.43</v>
      </c>
      <c r="N252" s="116">
        <v>221.4</v>
      </c>
      <c r="O252" s="116">
        <v>214.97</v>
      </c>
      <c r="P252" s="116">
        <v>215.2</v>
      </c>
      <c r="Q252" s="116">
        <v>1097.1500000000001</v>
      </c>
      <c r="R252">
        <v>55033</v>
      </c>
    </row>
    <row r="253" spans="1:18" x14ac:dyDescent="0.25">
      <c r="A253" s="170">
        <v>42377</v>
      </c>
      <c r="B253" s="116">
        <v>1195.75</v>
      </c>
      <c r="C253" s="116">
        <v>1180</v>
      </c>
      <c r="D253" s="116">
        <v>1170</v>
      </c>
      <c r="E253" s="116">
        <v>1170</v>
      </c>
      <c r="F253" s="116">
        <v>1180</v>
      </c>
      <c r="G253">
        <v>68</v>
      </c>
      <c r="H253" s="116"/>
      <c r="I253" s="116"/>
      <c r="L253" s="170">
        <v>42373</v>
      </c>
      <c r="M253" s="116">
        <v>214.33</v>
      </c>
      <c r="N253" s="116">
        <v>221</v>
      </c>
      <c r="O253" s="116">
        <v>212.04</v>
      </c>
      <c r="P253" s="116">
        <v>221</v>
      </c>
      <c r="Q253" s="116">
        <v>1071.6500000000001</v>
      </c>
      <c r="R253">
        <v>23941</v>
      </c>
    </row>
    <row r="254" spans="1:18" x14ac:dyDescent="0.25">
      <c r="A254" s="170">
        <v>42380</v>
      </c>
      <c r="B254" s="116">
        <v>1199.25</v>
      </c>
      <c r="C254" s="116">
        <v>1198.75</v>
      </c>
      <c r="D254" s="116">
        <v>1179</v>
      </c>
      <c r="E254" s="116">
        <v>1195</v>
      </c>
      <c r="F254" s="116">
        <v>1198.75</v>
      </c>
      <c r="G254">
        <v>164</v>
      </c>
      <c r="H254" s="116"/>
      <c r="I254" s="116"/>
      <c r="L254" s="170">
        <v>42374</v>
      </c>
      <c r="M254" s="116">
        <v>213.73</v>
      </c>
      <c r="N254" s="116">
        <v>218.89</v>
      </c>
      <c r="O254" s="116">
        <v>212.91</v>
      </c>
      <c r="P254" s="116">
        <v>215.01</v>
      </c>
      <c r="Q254" s="116">
        <v>1068.6500000000001</v>
      </c>
      <c r="R254">
        <v>18020</v>
      </c>
    </row>
    <row r="255" spans="1:18" x14ac:dyDescent="0.25">
      <c r="A255" s="170">
        <v>42381</v>
      </c>
      <c r="B255" s="116">
        <v>1190</v>
      </c>
      <c r="C255" s="116">
        <v>1190</v>
      </c>
      <c r="D255" s="116">
        <v>1190</v>
      </c>
      <c r="E255" s="116">
        <v>1190</v>
      </c>
      <c r="F255" s="116">
        <v>1190</v>
      </c>
      <c r="G255">
        <v>160</v>
      </c>
      <c r="H255" s="116"/>
      <c r="I255" s="116"/>
      <c r="L255" s="170">
        <v>42375</v>
      </c>
      <c r="M255" s="116">
        <v>213.43</v>
      </c>
      <c r="N255" s="116">
        <v>216.29</v>
      </c>
      <c r="O255" s="116">
        <v>211.63</v>
      </c>
      <c r="P255" s="116">
        <v>216.29</v>
      </c>
      <c r="Q255" s="116">
        <v>1067.1500000000001</v>
      </c>
      <c r="R255">
        <v>12732</v>
      </c>
    </row>
    <row r="256" spans="1:18" x14ac:dyDescent="0.25">
      <c r="A256" s="170">
        <v>42382</v>
      </c>
      <c r="B256" s="116">
        <v>1195</v>
      </c>
      <c r="C256" s="116">
        <v>1167</v>
      </c>
      <c r="D256" s="116">
        <v>1141.75</v>
      </c>
      <c r="E256" s="116">
        <v>1175</v>
      </c>
      <c r="F256" s="116">
        <v>1167</v>
      </c>
      <c r="G256">
        <v>93</v>
      </c>
      <c r="H256" s="116"/>
      <c r="I256" s="116"/>
      <c r="L256" s="170">
        <v>42376</v>
      </c>
      <c r="M256" s="116">
        <v>205.02</v>
      </c>
      <c r="N256" s="116">
        <v>213</v>
      </c>
      <c r="O256" s="116">
        <v>204.28</v>
      </c>
      <c r="P256" s="116">
        <v>211.32</v>
      </c>
      <c r="Q256" s="116">
        <v>1025.0999999999999</v>
      </c>
      <c r="R256">
        <v>23279</v>
      </c>
    </row>
    <row r="257" spans="1:18" x14ac:dyDescent="0.25">
      <c r="A257" s="170">
        <v>42383</v>
      </c>
      <c r="B257" s="116">
        <v>1190</v>
      </c>
      <c r="C257" s="116">
        <v>1189</v>
      </c>
      <c r="D257" s="116">
        <v>1160</v>
      </c>
      <c r="E257" s="116">
        <v>1161</v>
      </c>
      <c r="F257" s="116">
        <v>1189</v>
      </c>
      <c r="G257">
        <v>103</v>
      </c>
      <c r="H257" s="116"/>
      <c r="I257" s="116"/>
      <c r="L257" s="170">
        <v>42377</v>
      </c>
      <c r="M257" s="116">
        <v>209.52</v>
      </c>
      <c r="N257" s="116">
        <v>210.19</v>
      </c>
      <c r="O257" s="116">
        <v>207.09</v>
      </c>
      <c r="P257" s="116">
        <v>208</v>
      </c>
      <c r="Q257" s="116">
        <v>1047.5999999999999</v>
      </c>
      <c r="R257">
        <v>12021</v>
      </c>
    </row>
    <row r="258" spans="1:18" x14ac:dyDescent="0.25">
      <c r="A258" s="170">
        <v>42384</v>
      </c>
      <c r="B258" s="116">
        <v>1175</v>
      </c>
      <c r="C258" s="116">
        <v>1175</v>
      </c>
      <c r="D258" s="116">
        <v>1161.5</v>
      </c>
      <c r="E258" s="116">
        <v>1163.25</v>
      </c>
      <c r="F258" s="116">
        <v>1175</v>
      </c>
      <c r="G258">
        <v>18</v>
      </c>
      <c r="H258" s="116"/>
      <c r="I258" s="116"/>
      <c r="L258" s="170">
        <v>42380</v>
      </c>
      <c r="M258" s="116">
        <v>207.83</v>
      </c>
      <c r="N258" s="116">
        <v>212</v>
      </c>
      <c r="O258" s="116">
        <v>203.64</v>
      </c>
      <c r="P258" s="116">
        <v>206.1</v>
      </c>
      <c r="Q258" s="116">
        <v>1039.1500000000001</v>
      </c>
      <c r="R258">
        <v>17174</v>
      </c>
    </row>
    <row r="259" spans="1:18" x14ac:dyDescent="0.25">
      <c r="A259" s="170">
        <v>42387</v>
      </c>
      <c r="B259" s="116">
        <v>1190</v>
      </c>
      <c r="C259" s="116">
        <v>1139</v>
      </c>
      <c r="D259" s="116">
        <v>1138.25</v>
      </c>
      <c r="E259" s="116">
        <v>1190</v>
      </c>
      <c r="F259" s="116">
        <v>1139</v>
      </c>
      <c r="G259">
        <v>145</v>
      </c>
      <c r="H259" s="116"/>
      <c r="I259" s="116"/>
      <c r="L259" s="170">
        <v>42381</v>
      </c>
      <c r="M259" s="116">
        <v>202.56</v>
      </c>
      <c r="N259" s="116">
        <v>207.41</v>
      </c>
      <c r="O259" s="116">
        <v>200.6</v>
      </c>
      <c r="P259" s="116">
        <v>207.4</v>
      </c>
      <c r="Q259" s="116">
        <v>1012.8</v>
      </c>
      <c r="R259">
        <v>26365</v>
      </c>
    </row>
    <row r="260" spans="1:18" x14ac:dyDescent="0.25">
      <c r="A260" s="170">
        <v>42388</v>
      </c>
      <c r="B260" s="116">
        <v>1189</v>
      </c>
      <c r="C260" s="116">
        <v>1125</v>
      </c>
      <c r="D260" s="116">
        <v>1090</v>
      </c>
      <c r="E260" s="116">
        <v>1090</v>
      </c>
      <c r="F260" s="116">
        <v>1125</v>
      </c>
      <c r="G260">
        <v>60</v>
      </c>
      <c r="H260" s="116"/>
      <c r="I260" s="116"/>
      <c r="L260" s="170">
        <v>42382</v>
      </c>
      <c r="M260" s="116">
        <v>197.77</v>
      </c>
      <c r="N260" s="116">
        <v>204</v>
      </c>
      <c r="O260" s="116">
        <v>184.06</v>
      </c>
      <c r="P260" s="116">
        <v>204</v>
      </c>
      <c r="Q260" s="116">
        <v>988.85</v>
      </c>
      <c r="R260">
        <v>42907</v>
      </c>
    </row>
    <row r="261" spans="1:18" x14ac:dyDescent="0.25">
      <c r="A261" s="170">
        <v>42389</v>
      </c>
      <c r="B261" s="116">
        <v>1125</v>
      </c>
      <c r="C261" s="116">
        <v>1091.5</v>
      </c>
      <c r="D261" s="116">
        <v>1091.5</v>
      </c>
      <c r="E261" s="116">
        <v>1125</v>
      </c>
      <c r="F261" s="116">
        <v>1091.5</v>
      </c>
      <c r="G261">
        <v>116</v>
      </c>
      <c r="H261" s="116"/>
      <c r="I261" s="116"/>
      <c r="L261" s="170">
        <v>42383</v>
      </c>
      <c r="M261" s="116">
        <v>191.65</v>
      </c>
      <c r="N261" s="116">
        <v>196.74</v>
      </c>
      <c r="O261" s="116">
        <v>190</v>
      </c>
      <c r="P261" s="116">
        <v>191.44</v>
      </c>
      <c r="Q261" s="116">
        <v>958.25</v>
      </c>
      <c r="R261">
        <v>28583</v>
      </c>
    </row>
    <row r="262" spans="1:18" x14ac:dyDescent="0.25">
      <c r="A262" s="170">
        <v>42390</v>
      </c>
      <c r="B262" s="116">
        <v>1143</v>
      </c>
      <c r="C262" s="116">
        <v>1100.25</v>
      </c>
      <c r="D262" s="116">
        <v>1100</v>
      </c>
      <c r="E262" s="116">
        <v>1143</v>
      </c>
      <c r="F262" s="116">
        <v>1100.25</v>
      </c>
      <c r="G262">
        <v>99</v>
      </c>
      <c r="H262" s="116"/>
      <c r="I262" s="116"/>
      <c r="L262" s="170">
        <v>42384</v>
      </c>
      <c r="M262" s="116">
        <v>190.33</v>
      </c>
      <c r="N262" s="116">
        <v>195</v>
      </c>
      <c r="O262" s="116">
        <v>189.77</v>
      </c>
      <c r="P262" s="116">
        <v>192.95</v>
      </c>
      <c r="Q262" s="116">
        <v>951.65</v>
      </c>
      <c r="R262">
        <v>18551</v>
      </c>
    </row>
    <row r="263" spans="1:18" x14ac:dyDescent="0.25">
      <c r="A263" s="170">
        <v>42391</v>
      </c>
      <c r="B263" s="116">
        <v>1110</v>
      </c>
      <c r="C263" s="116">
        <v>1110</v>
      </c>
      <c r="D263" s="116">
        <v>1051</v>
      </c>
      <c r="E263" s="116">
        <v>1075</v>
      </c>
      <c r="F263" s="116">
        <v>1110</v>
      </c>
      <c r="G263">
        <v>115</v>
      </c>
      <c r="H263" s="116"/>
      <c r="I263" s="116"/>
      <c r="L263" s="170">
        <v>42387</v>
      </c>
      <c r="M263" s="116">
        <v>179.99</v>
      </c>
      <c r="N263" s="116">
        <v>199</v>
      </c>
      <c r="O263" s="116">
        <v>179.6</v>
      </c>
      <c r="P263" s="116">
        <v>190</v>
      </c>
      <c r="Q263" s="116">
        <v>899.95</v>
      </c>
      <c r="R263">
        <v>90639</v>
      </c>
    </row>
    <row r="264" spans="1:18" x14ac:dyDescent="0.25">
      <c r="A264" s="170">
        <v>42394</v>
      </c>
      <c r="B264" s="116">
        <v>1135</v>
      </c>
      <c r="C264" s="116">
        <v>1135</v>
      </c>
      <c r="D264" s="116">
        <v>1135</v>
      </c>
      <c r="E264" s="116">
        <v>1135</v>
      </c>
      <c r="F264" s="116">
        <v>1135</v>
      </c>
      <c r="G264">
        <v>5</v>
      </c>
      <c r="H264" s="116"/>
      <c r="I264" s="116"/>
      <c r="L264" s="170">
        <v>42388</v>
      </c>
      <c r="M264" s="116">
        <v>175.48</v>
      </c>
      <c r="N264" s="116">
        <v>185.2</v>
      </c>
      <c r="O264" s="116">
        <v>174.2</v>
      </c>
      <c r="P264" s="116">
        <v>185.2</v>
      </c>
      <c r="Q264" s="116">
        <v>877.4</v>
      </c>
      <c r="R264">
        <v>40403</v>
      </c>
    </row>
    <row r="265" spans="1:18" x14ac:dyDescent="0.25">
      <c r="A265" s="170">
        <v>42396</v>
      </c>
      <c r="B265" s="116">
        <v>1147.75</v>
      </c>
      <c r="C265" s="116">
        <v>1110</v>
      </c>
      <c r="D265" s="116">
        <v>1110</v>
      </c>
      <c r="E265" s="116">
        <v>1147.75</v>
      </c>
      <c r="F265" s="116">
        <v>1110</v>
      </c>
      <c r="G265">
        <v>53</v>
      </c>
      <c r="H265" s="116"/>
      <c r="I265" s="116"/>
      <c r="L265" s="170">
        <v>42389</v>
      </c>
      <c r="M265" s="116">
        <v>175.45</v>
      </c>
      <c r="N265" s="116">
        <v>179</v>
      </c>
      <c r="O265" s="116">
        <v>169</v>
      </c>
      <c r="P265" s="116">
        <v>175.6</v>
      </c>
      <c r="Q265" s="116">
        <v>877.25</v>
      </c>
      <c r="R265">
        <v>28230</v>
      </c>
    </row>
    <row r="266" spans="1:18" x14ac:dyDescent="0.25">
      <c r="A266" s="170">
        <v>42397</v>
      </c>
      <c r="B266" s="116">
        <v>1110</v>
      </c>
      <c r="C266" s="116">
        <v>1080</v>
      </c>
      <c r="D266" s="116">
        <v>1080</v>
      </c>
      <c r="E266" s="116">
        <v>1110</v>
      </c>
      <c r="F266" s="116">
        <v>1080</v>
      </c>
      <c r="G266">
        <v>48</v>
      </c>
      <c r="H266" s="116"/>
      <c r="I266" s="116"/>
      <c r="L266" s="170">
        <v>42390</v>
      </c>
      <c r="M266" s="116">
        <v>180.16</v>
      </c>
      <c r="N266" s="116">
        <v>183.3</v>
      </c>
      <c r="O266" s="116">
        <v>177.2</v>
      </c>
      <c r="P266" s="116">
        <v>180.51</v>
      </c>
      <c r="Q266" s="116">
        <v>900.8</v>
      </c>
      <c r="R266">
        <v>26535</v>
      </c>
    </row>
    <row r="267" spans="1:18" x14ac:dyDescent="0.25">
      <c r="A267" s="170">
        <v>42398</v>
      </c>
      <c r="B267" s="116">
        <v>1100</v>
      </c>
      <c r="C267" s="116">
        <v>1068.75</v>
      </c>
      <c r="D267" s="116">
        <v>1068.75</v>
      </c>
      <c r="E267" s="116">
        <v>1076.25</v>
      </c>
      <c r="F267" s="116">
        <v>1068.75</v>
      </c>
      <c r="G267">
        <v>102</v>
      </c>
      <c r="H267" s="116"/>
      <c r="I267" s="116"/>
      <c r="L267" s="170">
        <v>42391</v>
      </c>
      <c r="M267" s="116">
        <v>204.44</v>
      </c>
      <c r="N267" s="116">
        <v>211.4</v>
      </c>
      <c r="O267" s="116">
        <v>181.72</v>
      </c>
      <c r="P267" s="116">
        <v>182.4</v>
      </c>
      <c r="Q267" s="116">
        <v>1022.2</v>
      </c>
      <c r="R267">
        <v>559529</v>
      </c>
    </row>
    <row r="268" spans="1:18" x14ac:dyDescent="0.25">
      <c r="A268" s="170">
        <v>42401</v>
      </c>
      <c r="B268" s="116">
        <v>1104.75</v>
      </c>
      <c r="C268" s="116">
        <v>1100</v>
      </c>
      <c r="D268" s="116">
        <v>1098.75</v>
      </c>
      <c r="E268" s="116">
        <v>1098.75</v>
      </c>
      <c r="F268" s="116">
        <v>1100</v>
      </c>
      <c r="G268">
        <v>89</v>
      </c>
      <c r="H268" s="116"/>
      <c r="I268" s="116"/>
      <c r="L268" s="170">
        <v>42394</v>
      </c>
      <c r="M268" s="116">
        <v>206.21</v>
      </c>
      <c r="N268" s="116">
        <v>208.79</v>
      </c>
      <c r="O268" s="116">
        <v>198.24</v>
      </c>
      <c r="P268" s="116">
        <v>204.8</v>
      </c>
      <c r="Q268" s="116">
        <v>1031.05</v>
      </c>
      <c r="R268">
        <v>96532</v>
      </c>
    </row>
    <row r="269" spans="1:18" x14ac:dyDescent="0.25">
      <c r="A269" s="170">
        <v>42402</v>
      </c>
      <c r="B269" s="116">
        <v>1155</v>
      </c>
      <c r="C269" s="116">
        <v>1150</v>
      </c>
      <c r="D269" s="116">
        <v>1129.75</v>
      </c>
      <c r="E269" s="116">
        <v>1129.75</v>
      </c>
      <c r="F269" s="116">
        <v>1150</v>
      </c>
      <c r="G269">
        <v>77</v>
      </c>
      <c r="H269" s="116"/>
      <c r="I269" s="116"/>
      <c r="L269" s="170">
        <v>42396</v>
      </c>
      <c r="M269" s="116">
        <v>204.82</v>
      </c>
      <c r="N269" s="116">
        <v>207.89</v>
      </c>
      <c r="O269" s="116">
        <v>200.42</v>
      </c>
      <c r="P269" s="116">
        <v>200.44</v>
      </c>
      <c r="Q269" s="116">
        <v>1024.0999999999999</v>
      </c>
      <c r="R269">
        <v>56807</v>
      </c>
    </row>
    <row r="270" spans="1:18" x14ac:dyDescent="0.25">
      <c r="A270" s="170">
        <v>42403</v>
      </c>
      <c r="B270" s="116">
        <v>1140</v>
      </c>
      <c r="C270" s="116">
        <v>1110</v>
      </c>
      <c r="D270" s="116">
        <v>1110</v>
      </c>
      <c r="E270" s="116">
        <v>1140</v>
      </c>
      <c r="F270" s="116">
        <v>1110</v>
      </c>
      <c r="G270">
        <v>45</v>
      </c>
      <c r="H270" s="116"/>
      <c r="I270" s="116"/>
      <c r="L270" s="170">
        <v>42397</v>
      </c>
      <c r="M270" s="116">
        <v>210.87</v>
      </c>
      <c r="N270" s="116">
        <v>219</v>
      </c>
      <c r="O270" s="116">
        <v>200.8</v>
      </c>
      <c r="P270" s="116">
        <v>204.81</v>
      </c>
      <c r="Q270" s="116">
        <v>1054.3499999999999</v>
      </c>
      <c r="R270">
        <v>122048</v>
      </c>
    </row>
    <row r="271" spans="1:18" x14ac:dyDescent="0.25">
      <c r="A271" s="170">
        <v>42404</v>
      </c>
      <c r="B271" s="116">
        <v>1111.25</v>
      </c>
      <c r="C271" s="116">
        <v>1102</v>
      </c>
      <c r="D271" s="116">
        <v>1090.25</v>
      </c>
      <c r="E271" s="116">
        <v>1111.25</v>
      </c>
      <c r="F271" s="116">
        <v>1102</v>
      </c>
      <c r="G271">
        <v>54</v>
      </c>
      <c r="H271" s="116"/>
      <c r="I271" s="116"/>
      <c r="L271" s="170">
        <v>42398</v>
      </c>
      <c r="M271" s="116">
        <v>211.96</v>
      </c>
      <c r="N271" s="116">
        <v>219</v>
      </c>
      <c r="O271" s="116">
        <v>208.21</v>
      </c>
      <c r="P271" s="116">
        <v>211</v>
      </c>
      <c r="Q271" s="116">
        <v>1059.8</v>
      </c>
      <c r="R271">
        <v>28219</v>
      </c>
    </row>
    <row r="272" spans="1:18" x14ac:dyDescent="0.25">
      <c r="A272" s="170">
        <v>42405</v>
      </c>
      <c r="B272" s="116">
        <v>1090</v>
      </c>
      <c r="C272" s="116">
        <v>1090</v>
      </c>
      <c r="D272" s="116">
        <v>1070</v>
      </c>
      <c r="E272" s="116">
        <v>1090</v>
      </c>
      <c r="F272" s="116">
        <v>1090</v>
      </c>
      <c r="G272">
        <v>75</v>
      </c>
      <c r="H272" s="116"/>
      <c r="I272" s="116"/>
      <c r="L272" s="170">
        <v>42401</v>
      </c>
      <c r="M272" s="116">
        <v>210.67</v>
      </c>
      <c r="N272" s="116">
        <v>216.4</v>
      </c>
      <c r="O272" s="116">
        <v>208.81</v>
      </c>
      <c r="P272" s="116">
        <v>213</v>
      </c>
      <c r="Q272" s="116">
        <v>1053.3499999999999</v>
      </c>
      <c r="R272">
        <v>19939</v>
      </c>
    </row>
    <row r="273" spans="1:18" x14ac:dyDescent="0.25">
      <c r="A273" s="170">
        <v>42408</v>
      </c>
      <c r="B273" s="116">
        <v>1093</v>
      </c>
      <c r="C273" s="116">
        <v>1091.75</v>
      </c>
      <c r="D273" s="116">
        <v>1090</v>
      </c>
      <c r="E273" s="116">
        <v>1090</v>
      </c>
      <c r="F273" s="116">
        <v>1091.75</v>
      </c>
      <c r="G273">
        <v>40</v>
      </c>
      <c r="H273" s="116"/>
      <c r="I273" s="116"/>
      <c r="L273" s="170">
        <v>42402</v>
      </c>
      <c r="M273" s="116">
        <v>202.66</v>
      </c>
      <c r="N273" s="116">
        <v>212.8</v>
      </c>
      <c r="O273" s="116">
        <v>201</v>
      </c>
      <c r="P273" s="116">
        <v>212.6</v>
      </c>
      <c r="Q273" s="116">
        <v>1013.3</v>
      </c>
      <c r="R273">
        <v>20208</v>
      </c>
    </row>
    <row r="274" spans="1:18" x14ac:dyDescent="0.25">
      <c r="A274" s="170">
        <v>42409</v>
      </c>
      <c r="B274" s="116">
        <v>1099.75</v>
      </c>
      <c r="C274" s="116">
        <v>1099.75</v>
      </c>
      <c r="D274" s="116">
        <v>1070</v>
      </c>
      <c r="E274" s="116">
        <v>1071.5</v>
      </c>
      <c r="F274" s="116">
        <v>1099.75</v>
      </c>
      <c r="G274">
        <v>73</v>
      </c>
      <c r="H274" s="116"/>
      <c r="I274" s="116"/>
      <c r="L274" s="170">
        <v>42403</v>
      </c>
      <c r="M274" s="116">
        <v>201.11</v>
      </c>
      <c r="N274" s="116">
        <v>203.99</v>
      </c>
      <c r="O274" s="116">
        <v>195</v>
      </c>
      <c r="P274" s="116">
        <v>197.2</v>
      </c>
      <c r="Q274" s="116">
        <v>1005.55</v>
      </c>
      <c r="R274">
        <v>26798</v>
      </c>
    </row>
    <row r="275" spans="1:18" x14ac:dyDescent="0.25">
      <c r="A275" s="170">
        <v>42410</v>
      </c>
      <c r="B275" s="116">
        <v>1100</v>
      </c>
      <c r="C275" s="116">
        <v>1048.5</v>
      </c>
      <c r="D275" s="116">
        <v>1045</v>
      </c>
      <c r="E275" s="116">
        <v>1076</v>
      </c>
      <c r="F275" s="116">
        <v>1048.5</v>
      </c>
      <c r="G275">
        <v>160</v>
      </c>
      <c r="H275" s="116"/>
      <c r="I275" s="116"/>
      <c r="L275" s="170">
        <v>42404</v>
      </c>
      <c r="M275" s="116">
        <v>200.49</v>
      </c>
      <c r="N275" s="116">
        <v>206.8</v>
      </c>
      <c r="O275" s="116">
        <v>199.04</v>
      </c>
      <c r="P275" s="116">
        <v>202.4</v>
      </c>
      <c r="Q275" s="116">
        <v>1002.45</v>
      </c>
      <c r="R275">
        <v>26213</v>
      </c>
    </row>
    <row r="276" spans="1:18" x14ac:dyDescent="0.25">
      <c r="A276" s="170">
        <v>42411</v>
      </c>
      <c r="B276" s="116">
        <v>1049.75</v>
      </c>
      <c r="C276" s="116">
        <v>1001.5</v>
      </c>
      <c r="D276" s="116">
        <v>1000.25</v>
      </c>
      <c r="E276" s="116">
        <v>1020.25</v>
      </c>
      <c r="F276" s="116">
        <v>1001.5</v>
      </c>
      <c r="G276">
        <v>159</v>
      </c>
      <c r="H276" s="116"/>
      <c r="I276" s="116"/>
      <c r="L276" s="170">
        <v>42405</v>
      </c>
      <c r="M276" s="116">
        <v>210.28</v>
      </c>
      <c r="N276" s="116">
        <v>211</v>
      </c>
      <c r="O276" s="116">
        <v>198.47</v>
      </c>
      <c r="P276" s="116">
        <v>201.8</v>
      </c>
      <c r="Q276" s="116">
        <v>1051.4000000000001</v>
      </c>
      <c r="R276">
        <v>41351</v>
      </c>
    </row>
    <row r="277" spans="1:18" x14ac:dyDescent="0.25">
      <c r="A277" s="170">
        <v>42412</v>
      </c>
      <c r="B277" s="116">
        <v>1048</v>
      </c>
      <c r="C277" s="116">
        <v>999.5</v>
      </c>
      <c r="D277" s="116">
        <v>954</v>
      </c>
      <c r="E277" s="116">
        <v>981</v>
      </c>
      <c r="F277" s="116">
        <v>999.5</v>
      </c>
      <c r="G277">
        <v>84</v>
      </c>
      <c r="H277" s="116"/>
      <c r="I277" s="116"/>
      <c r="L277" s="170">
        <v>42408</v>
      </c>
      <c r="M277" s="116">
        <v>205.13</v>
      </c>
      <c r="N277" s="116">
        <v>211.8</v>
      </c>
      <c r="O277" s="116">
        <v>203.06</v>
      </c>
      <c r="P277" s="116">
        <v>211.8</v>
      </c>
      <c r="Q277" s="116">
        <v>1025.6500000000001</v>
      </c>
      <c r="R277">
        <v>18312</v>
      </c>
    </row>
    <row r="278" spans="1:18" x14ac:dyDescent="0.25">
      <c r="A278" s="170">
        <v>42415</v>
      </c>
      <c r="B278" s="116">
        <v>1044.75</v>
      </c>
      <c r="C278" s="116">
        <v>1030</v>
      </c>
      <c r="D278" s="116">
        <v>1000</v>
      </c>
      <c r="E278" s="116">
        <v>1044.75</v>
      </c>
      <c r="F278" s="116">
        <v>1030</v>
      </c>
      <c r="G278">
        <v>10</v>
      </c>
      <c r="H278" s="116"/>
      <c r="I278" s="116"/>
      <c r="L278" s="170">
        <v>42409</v>
      </c>
      <c r="M278" s="116">
        <v>199.8</v>
      </c>
      <c r="N278" s="116">
        <v>205.36</v>
      </c>
      <c r="O278" s="116">
        <v>199.21</v>
      </c>
      <c r="P278" s="116">
        <v>201.78</v>
      </c>
      <c r="Q278" s="116">
        <v>999</v>
      </c>
      <c r="R278">
        <v>18599</v>
      </c>
    </row>
    <row r="279" spans="1:18" x14ac:dyDescent="0.25">
      <c r="A279" s="170">
        <v>42417</v>
      </c>
      <c r="B279" s="116">
        <v>1030</v>
      </c>
      <c r="C279" s="116">
        <v>1025.75</v>
      </c>
      <c r="D279" s="116">
        <v>1022.5</v>
      </c>
      <c r="E279" s="116">
        <v>1022.5</v>
      </c>
      <c r="F279" s="116">
        <v>1025.75</v>
      </c>
      <c r="G279">
        <v>33</v>
      </c>
      <c r="H279" s="116"/>
      <c r="I279" s="116"/>
      <c r="L279" s="170">
        <v>42410</v>
      </c>
      <c r="M279" s="116">
        <v>197.64</v>
      </c>
      <c r="N279" s="116">
        <v>199.99</v>
      </c>
      <c r="O279" s="116">
        <v>194.3</v>
      </c>
      <c r="P279" s="116">
        <v>199.74</v>
      </c>
      <c r="Q279" s="116">
        <v>988.2</v>
      </c>
      <c r="R279">
        <v>19796</v>
      </c>
    </row>
    <row r="280" spans="1:18" x14ac:dyDescent="0.25">
      <c r="A280" s="170">
        <v>42418</v>
      </c>
      <c r="B280" s="116">
        <v>1067</v>
      </c>
      <c r="C280" s="116">
        <v>1065</v>
      </c>
      <c r="D280" s="116">
        <v>1001.25</v>
      </c>
      <c r="E280" s="116">
        <v>1001.25</v>
      </c>
      <c r="F280" s="116">
        <v>1065</v>
      </c>
      <c r="G280">
        <v>93</v>
      </c>
      <c r="H280" s="116"/>
      <c r="I280" s="116"/>
      <c r="L280" s="170">
        <v>42411</v>
      </c>
      <c r="M280" s="116">
        <v>187.06</v>
      </c>
      <c r="N280" s="116">
        <v>198.4</v>
      </c>
      <c r="O280" s="116">
        <v>183.9</v>
      </c>
      <c r="P280" s="116">
        <v>197.39</v>
      </c>
      <c r="Q280" s="116">
        <v>935.3</v>
      </c>
      <c r="R280">
        <v>25694</v>
      </c>
    </row>
    <row r="281" spans="1:18" x14ac:dyDescent="0.25">
      <c r="A281" s="170">
        <v>42419</v>
      </c>
      <c r="B281" s="116">
        <v>1045.25</v>
      </c>
      <c r="C281" s="116">
        <v>1012</v>
      </c>
      <c r="D281" s="116">
        <v>1012</v>
      </c>
      <c r="E281" s="116">
        <v>1017</v>
      </c>
      <c r="F281" s="116">
        <v>1012</v>
      </c>
      <c r="G281">
        <v>109</v>
      </c>
      <c r="H281" s="116"/>
      <c r="I281" s="116"/>
      <c r="L281" s="170">
        <v>42412</v>
      </c>
      <c r="M281" s="116">
        <v>173.47</v>
      </c>
      <c r="N281" s="116">
        <v>187</v>
      </c>
      <c r="O281" s="116">
        <v>168</v>
      </c>
      <c r="P281" s="116">
        <v>181.12</v>
      </c>
      <c r="Q281" s="116">
        <v>867.35</v>
      </c>
      <c r="R281">
        <v>122992</v>
      </c>
    </row>
    <row r="282" spans="1:18" x14ac:dyDescent="0.25">
      <c r="A282" s="170">
        <v>42422</v>
      </c>
      <c r="B282" s="116">
        <v>1013</v>
      </c>
      <c r="C282" s="116">
        <v>1013</v>
      </c>
      <c r="D282" s="116">
        <v>1013</v>
      </c>
      <c r="E282" s="116">
        <v>1013</v>
      </c>
      <c r="F282" s="116">
        <v>1013</v>
      </c>
      <c r="G282">
        <v>12</v>
      </c>
      <c r="H282" s="116"/>
      <c r="I282" s="116"/>
      <c r="L282" s="170">
        <v>42415</v>
      </c>
      <c r="M282" s="116">
        <v>186.46</v>
      </c>
      <c r="N282" s="116">
        <v>189.28</v>
      </c>
      <c r="O282" s="116">
        <v>179.79</v>
      </c>
      <c r="P282" s="116">
        <v>179.99</v>
      </c>
      <c r="Q282" s="116">
        <v>932.3</v>
      </c>
      <c r="R282">
        <v>43091</v>
      </c>
    </row>
    <row r="283" spans="1:18" x14ac:dyDescent="0.25">
      <c r="A283" s="170">
        <v>42424</v>
      </c>
      <c r="B283" s="116">
        <v>1051.25</v>
      </c>
      <c r="C283" s="116">
        <v>1000</v>
      </c>
      <c r="D283" s="116">
        <v>1000</v>
      </c>
      <c r="E283" s="116">
        <v>1051.25</v>
      </c>
      <c r="F283" s="116">
        <v>1000</v>
      </c>
      <c r="G283">
        <v>212</v>
      </c>
      <c r="H283" s="116"/>
      <c r="I283" s="116"/>
      <c r="L283" s="170">
        <v>42416</v>
      </c>
      <c r="M283" s="116">
        <v>187.26</v>
      </c>
      <c r="N283" s="116">
        <v>193.5</v>
      </c>
      <c r="O283" s="116">
        <v>185.02</v>
      </c>
      <c r="P283" s="116">
        <v>190.03</v>
      </c>
      <c r="Q283" s="116">
        <v>936.3</v>
      </c>
      <c r="R283">
        <v>40911</v>
      </c>
    </row>
    <row r="284" spans="1:18" x14ac:dyDescent="0.25">
      <c r="A284" s="170">
        <v>42425</v>
      </c>
      <c r="B284" s="116">
        <v>1040.5</v>
      </c>
      <c r="C284" s="116">
        <v>999</v>
      </c>
      <c r="D284" s="116">
        <v>998</v>
      </c>
      <c r="E284" s="116">
        <v>1040.5</v>
      </c>
      <c r="F284" s="116">
        <v>999</v>
      </c>
      <c r="G284">
        <v>28</v>
      </c>
      <c r="H284" s="116"/>
      <c r="I284" s="116"/>
      <c r="L284" s="170">
        <v>42417</v>
      </c>
      <c r="M284" s="116">
        <v>185.97</v>
      </c>
      <c r="N284" s="116">
        <v>189.78</v>
      </c>
      <c r="O284" s="116">
        <v>183.31</v>
      </c>
      <c r="P284" s="116">
        <v>187.31</v>
      </c>
      <c r="Q284" s="116">
        <v>929.85</v>
      </c>
      <c r="R284">
        <v>27754</v>
      </c>
    </row>
    <row r="285" spans="1:18" x14ac:dyDescent="0.25">
      <c r="A285" s="170">
        <v>42426</v>
      </c>
      <c r="B285" s="116">
        <v>1005</v>
      </c>
      <c r="C285" s="116">
        <v>992</v>
      </c>
      <c r="D285" s="116">
        <v>992</v>
      </c>
      <c r="E285" s="116">
        <v>1005</v>
      </c>
      <c r="F285" s="116">
        <v>992</v>
      </c>
      <c r="G285">
        <v>165</v>
      </c>
      <c r="H285" s="116"/>
      <c r="I285" s="116"/>
      <c r="L285" s="170">
        <v>42418</v>
      </c>
      <c r="M285" s="116">
        <v>187.35</v>
      </c>
      <c r="N285" s="116">
        <v>193</v>
      </c>
      <c r="O285" s="116">
        <v>186.25</v>
      </c>
      <c r="P285" s="116">
        <v>189</v>
      </c>
      <c r="Q285" s="116">
        <v>936.75</v>
      </c>
      <c r="R285">
        <v>22739</v>
      </c>
    </row>
    <row r="286" spans="1:18" x14ac:dyDescent="0.25">
      <c r="A286" s="170">
        <v>42429</v>
      </c>
      <c r="B286" s="116">
        <v>1010</v>
      </c>
      <c r="C286" s="116">
        <v>991.25</v>
      </c>
      <c r="D286" s="116">
        <v>991.25</v>
      </c>
      <c r="E286" s="116">
        <v>1009</v>
      </c>
      <c r="F286" s="116">
        <v>991.25</v>
      </c>
      <c r="G286">
        <v>75</v>
      </c>
      <c r="H286" s="116"/>
      <c r="I286" s="116"/>
      <c r="L286" s="170">
        <v>42419</v>
      </c>
      <c r="M286" s="116">
        <v>189.63</v>
      </c>
      <c r="N286" s="116">
        <v>190.96</v>
      </c>
      <c r="O286" s="116">
        <v>184.22</v>
      </c>
      <c r="P286" s="116">
        <v>188</v>
      </c>
      <c r="Q286" s="116">
        <v>948.15</v>
      </c>
      <c r="R286">
        <v>15965</v>
      </c>
    </row>
    <row r="287" spans="1:18" x14ac:dyDescent="0.25">
      <c r="A287" s="170">
        <v>42430</v>
      </c>
      <c r="B287" s="116">
        <v>1005</v>
      </c>
      <c r="C287" s="116">
        <v>1005</v>
      </c>
      <c r="D287" s="116">
        <v>999</v>
      </c>
      <c r="E287" s="116">
        <v>1000</v>
      </c>
      <c r="F287" s="116">
        <v>1005</v>
      </c>
      <c r="G287">
        <v>215</v>
      </c>
      <c r="H287" s="116"/>
      <c r="I287" s="116"/>
      <c r="L287" s="170">
        <v>42422</v>
      </c>
      <c r="M287" s="116">
        <v>192.84</v>
      </c>
      <c r="N287" s="116">
        <v>194.6</v>
      </c>
      <c r="O287" s="116">
        <v>190</v>
      </c>
      <c r="P287" s="116">
        <v>191</v>
      </c>
      <c r="Q287" s="116">
        <v>964.2</v>
      </c>
      <c r="R287">
        <v>25868</v>
      </c>
    </row>
    <row r="288" spans="1:18" x14ac:dyDescent="0.25">
      <c r="A288" s="170">
        <v>42431</v>
      </c>
      <c r="B288" s="116">
        <v>1019.25</v>
      </c>
      <c r="C288" s="116">
        <v>1019.25</v>
      </c>
      <c r="D288" s="116">
        <v>1009.5</v>
      </c>
      <c r="E288" s="116">
        <v>1009.5</v>
      </c>
      <c r="F288" s="116">
        <v>1019.25</v>
      </c>
      <c r="G288">
        <v>372</v>
      </c>
      <c r="H288" s="116"/>
      <c r="I288" s="116"/>
      <c r="L288" s="170">
        <v>42423</v>
      </c>
      <c r="M288" s="116">
        <v>186.88</v>
      </c>
      <c r="N288" s="116">
        <v>193.79</v>
      </c>
      <c r="O288" s="116">
        <v>183.6</v>
      </c>
      <c r="P288" s="116">
        <v>193.79</v>
      </c>
      <c r="Q288" s="116">
        <v>934.4</v>
      </c>
      <c r="R288">
        <v>17715</v>
      </c>
    </row>
    <row r="289" spans="1:18" x14ac:dyDescent="0.25">
      <c r="A289" s="170">
        <v>42432</v>
      </c>
      <c r="B289" s="116">
        <v>1018</v>
      </c>
      <c r="C289" s="116">
        <v>1000</v>
      </c>
      <c r="D289" s="116">
        <v>991.25</v>
      </c>
      <c r="E289" s="116">
        <v>1001.25</v>
      </c>
      <c r="F289" s="116">
        <v>1000</v>
      </c>
      <c r="G289">
        <v>576</v>
      </c>
      <c r="H289" s="116"/>
      <c r="I289" s="116"/>
      <c r="L289" s="170">
        <v>42424</v>
      </c>
      <c r="M289" s="116">
        <v>184.98</v>
      </c>
      <c r="N289" s="116">
        <v>188.79</v>
      </c>
      <c r="O289" s="116">
        <v>183.95</v>
      </c>
      <c r="P289" s="116">
        <v>186.07</v>
      </c>
      <c r="Q289" s="116">
        <v>924.9</v>
      </c>
      <c r="R289">
        <v>13903</v>
      </c>
    </row>
    <row r="290" spans="1:18" x14ac:dyDescent="0.25">
      <c r="A290" s="170">
        <v>42433</v>
      </c>
      <c r="B290" s="116">
        <v>1000</v>
      </c>
      <c r="C290" s="116">
        <v>1000</v>
      </c>
      <c r="D290" s="116">
        <v>993.75</v>
      </c>
      <c r="E290" s="116">
        <v>999</v>
      </c>
      <c r="F290" s="116">
        <v>1000</v>
      </c>
      <c r="G290">
        <v>81</v>
      </c>
      <c r="H290" s="116"/>
      <c r="I290" s="116"/>
      <c r="L290" s="170">
        <v>42425</v>
      </c>
      <c r="M290" s="116">
        <v>188.29</v>
      </c>
      <c r="N290" s="116">
        <v>189.18</v>
      </c>
      <c r="O290" s="116">
        <v>186.99</v>
      </c>
      <c r="P290" s="116">
        <v>186.99</v>
      </c>
      <c r="Q290" s="116">
        <v>941.45</v>
      </c>
      <c r="R290">
        <v>10361</v>
      </c>
    </row>
    <row r="291" spans="1:18" x14ac:dyDescent="0.25">
      <c r="A291" s="170">
        <v>42437</v>
      </c>
      <c r="B291" s="116">
        <v>1010</v>
      </c>
      <c r="C291" s="116">
        <v>999.25</v>
      </c>
      <c r="D291" s="116">
        <v>996</v>
      </c>
      <c r="E291" s="116">
        <v>1010</v>
      </c>
      <c r="F291" s="116">
        <v>999.25</v>
      </c>
      <c r="G291">
        <v>440</v>
      </c>
      <c r="H291" s="116"/>
      <c r="I291" s="116"/>
      <c r="L291" s="170">
        <v>42426</v>
      </c>
      <c r="M291" s="116">
        <v>191.14</v>
      </c>
      <c r="N291" s="116">
        <v>193.8</v>
      </c>
      <c r="O291" s="116">
        <v>185.3</v>
      </c>
      <c r="P291" s="116">
        <v>189.99</v>
      </c>
      <c r="Q291" s="116">
        <v>955.7</v>
      </c>
      <c r="R291">
        <v>17659</v>
      </c>
    </row>
    <row r="292" spans="1:18" x14ac:dyDescent="0.25">
      <c r="A292" s="170">
        <v>42438</v>
      </c>
      <c r="B292" s="116">
        <v>1000</v>
      </c>
      <c r="C292" s="116">
        <v>1000</v>
      </c>
      <c r="D292" s="116">
        <v>991.5</v>
      </c>
      <c r="E292" s="116">
        <v>1000</v>
      </c>
      <c r="F292" s="116">
        <v>1000</v>
      </c>
      <c r="G292">
        <v>32</v>
      </c>
      <c r="H292" s="116"/>
      <c r="I292" s="116"/>
      <c r="L292" s="170">
        <v>42429</v>
      </c>
      <c r="M292" s="116">
        <v>188.76</v>
      </c>
      <c r="N292" s="116">
        <v>196</v>
      </c>
      <c r="O292" s="116">
        <v>182</v>
      </c>
      <c r="P292" s="116">
        <v>194.8</v>
      </c>
      <c r="Q292" s="116">
        <v>943.8</v>
      </c>
      <c r="R292">
        <v>43400</v>
      </c>
    </row>
    <row r="293" spans="1:18" x14ac:dyDescent="0.25">
      <c r="A293" s="170">
        <v>42439</v>
      </c>
      <c r="B293" s="116">
        <v>1005</v>
      </c>
      <c r="C293" s="116">
        <v>1005</v>
      </c>
      <c r="D293" s="116">
        <v>997.25</v>
      </c>
      <c r="E293" s="116">
        <v>1000</v>
      </c>
      <c r="F293" s="116">
        <v>1005</v>
      </c>
      <c r="G293">
        <v>291</v>
      </c>
      <c r="H293" s="116"/>
      <c r="I293" s="116"/>
      <c r="L293" s="170">
        <v>42430</v>
      </c>
      <c r="M293" s="116">
        <v>198.96</v>
      </c>
      <c r="N293" s="116">
        <v>204.4</v>
      </c>
      <c r="O293" s="116">
        <v>189</v>
      </c>
      <c r="P293" s="116">
        <v>193.95</v>
      </c>
      <c r="Q293" s="116">
        <v>994.8</v>
      </c>
      <c r="R293">
        <v>31005</v>
      </c>
    </row>
    <row r="294" spans="1:18" x14ac:dyDescent="0.25">
      <c r="A294" s="170">
        <v>42440</v>
      </c>
      <c r="B294" s="116">
        <v>1045</v>
      </c>
      <c r="C294" s="116">
        <v>1000</v>
      </c>
      <c r="D294" s="116">
        <v>1000</v>
      </c>
      <c r="E294" s="116">
        <v>1045</v>
      </c>
      <c r="F294" s="116">
        <v>1000</v>
      </c>
      <c r="G294">
        <v>35</v>
      </c>
      <c r="H294" s="116"/>
      <c r="I294" s="116"/>
      <c r="L294" s="170">
        <v>42431</v>
      </c>
      <c r="M294" s="116">
        <v>204.56</v>
      </c>
      <c r="N294" s="116">
        <v>210</v>
      </c>
      <c r="O294" s="116">
        <v>200.2</v>
      </c>
      <c r="P294" s="116">
        <v>202.6</v>
      </c>
      <c r="Q294" s="116">
        <v>1022.8</v>
      </c>
      <c r="R294">
        <v>48311</v>
      </c>
    </row>
    <row r="295" spans="1:18" x14ac:dyDescent="0.25">
      <c r="A295" s="170">
        <v>42443</v>
      </c>
      <c r="B295" s="116">
        <v>1000</v>
      </c>
      <c r="C295" s="116">
        <v>986.25</v>
      </c>
      <c r="D295" s="116">
        <v>984</v>
      </c>
      <c r="E295" s="116">
        <v>1000</v>
      </c>
      <c r="F295" s="116">
        <v>986.25</v>
      </c>
      <c r="G295">
        <v>67</v>
      </c>
      <c r="H295" s="116"/>
      <c r="I295" s="116"/>
      <c r="L295" s="170">
        <v>42432</v>
      </c>
      <c r="M295" s="116">
        <v>203.42</v>
      </c>
      <c r="N295" s="116">
        <v>204.8</v>
      </c>
      <c r="O295" s="116">
        <v>200.4</v>
      </c>
      <c r="P295" s="116">
        <v>204.8</v>
      </c>
      <c r="Q295" s="116">
        <v>1017.1</v>
      </c>
      <c r="R295">
        <v>17149</v>
      </c>
    </row>
    <row r="296" spans="1:18" x14ac:dyDescent="0.25">
      <c r="A296" s="170">
        <v>42444</v>
      </c>
      <c r="B296" s="116">
        <v>1029</v>
      </c>
      <c r="C296" s="116">
        <v>999.75</v>
      </c>
      <c r="D296" s="116">
        <v>999</v>
      </c>
      <c r="E296" s="116">
        <v>1021.75</v>
      </c>
      <c r="F296" s="116">
        <v>999.75</v>
      </c>
      <c r="G296">
        <v>98</v>
      </c>
      <c r="H296" s="116"/>
      <c r="I296" s="116"/>
      <c r="L296" s="170">
        <v>42433</v>
      </c>
      <c r="M296" s="116">
        <v>203.11</v>
      </c>
      <c r="N296" s="116">
        <v>205.76</v>
      </c>
      <c r="O296" s="116">
        <v>201</v>
      </c>
      <c r="P296" s="116">
        <v>205.76</v>
      </c>
      <c r="Q296" s="116">
        <v>1015.55</v>
      </c>
      <c r="R296">
        <v>12664</v>
      </c>
    </row>
    <row r="297" spans="1:18" x14ac:dyDescent="0.25">
      <c r="A297" s="170">
        <v>42445</v>
      </c>
      <c r="B297" s="116">
        <v>1034.25</v>
      </c>
      <c r="C297" s="116">
        <v>1005</v>
      </c>
      <c r="D297" s="116">
        <v>1005</v>
      </c>
      <c r="E297" s="116">
        <v>1034.25</v>
      </c>
      <c r="F297" s="116">
        <v>1005</v>
      </c>
      <c r="G297">
        <v>110</v>
      </c>
      <c r="H297" s="116"/>
      <c r="I297" s="116"/>
      <c r="L297" s="170">
        <v>42437</v>
      </c>
      <c r="M297" s="116">
        <v>204.68</v>
      </c>
      <c r="N297" s="116">
        <v>206.07</v>
      </c>
      <c r="O297" s="116">
        <v>201.62</v>
      </c>
      <c r="P297" s="116">
        <v>201.62</v>
      </c>
      <c r="Q297" s="116">
        <v>1023.4</v>
      </c>
      <c r="R297">
        <v>13428</v>
      </c>
    </row>
    <row r="298" spans="1:18" x14ac:dyDescent="0.25">
      <c r="A298" s="170">
        <v>42446</v>
      </c>
      <c r="B298" s="116">
        <v>1001</v>
      </c>
      <c r="C298" s="116">
        <v>1000.5</v>
      </c>
      <c r="D298" s="116">
        <v>1000.5</v>
      </c>
      <c r="E298" s="116">
        <v>1001</v>
      </c>
      <c r="F298" s="116">
        <v>1000.5</v>
      </c>
      <c r="G298">
        <v>4</v>
      </c>
      <c r="H298" s="116"/>
      <c r="I298" s="116"/>
      <c r="L298" s="170">
        <v>42438</v>
      </c>
      <c r="M298" s="116">
        <v>203.71</v>
      </c>
      <c r="N298" s="116">
        <v>205.68</v>
      </c>
      <c r="O298" s="116">
        <v>202.2</v>
      </c>
      <c r="P298" s="116">
        <v>204.68</v>
      </c>
      <c r="Q298" s="116">
        <v>1018.55</v>
      </c>
      <c r="R298">
        <v>18294</v>
      </c>
    </row>
    <row r="299" spans="1:18" x14ac:dyDescent="0.25">
      <c r="A299" s="170">
        <v>42447</v>
      </c>
      <c r="B299" s="116">
        <v>1003</v>
      </c>
      <c r="C299" s="116">
        <v>1002</v>
      </c>
      <c r="D299" s="116">
        <v>991.5</v>
      </c>
      <c r="E299" s="116">
        <v>1003</v>
      </c>
      <c r="F299" s="116">
        <v>1002</v>
      </c>
      <c r="G299">
        <v>281</v>
      </c>
      <c r="H299" s="116"/>
      <c r="I299" s="116"/>
      <c r="L299" s="170">
        <v>42439</v>
      </c>
      <c r="M299" s="116">
        <v>202.81</v>
      </c>
      <c r="N299" s="116">
        <v>207.39</v>
      </c>
      <c r="O299" s="116">
        <v>201.85</v>
      </c>
      <c r="P299" s="116">
        <v>205.59</v>
      </c>
      <c r="Q299" s="116">
        <v>1014.05</v>
      </c>
      <c r="R299">
        <v>17637</v>
      </c>
    </row>
    <row r="300" spans="1:18" x14ac:dyDescent="0.25">
      <c r="A300" s="170">
        <v>42450</v>
      </c>
      <c r="B300" s="116">
        <v>1005</v>
      </c>
      <c r="C300" s="116">
        <v>1005</v>
      </c>
      <c r="D300" s="116">
        <v>1005</v>
      </c>
      <c r="E300" s="116">
        <v>1005</v>
      </c>
      <c r="F300" s="116">
        <v>1005</v>
      </c>
      <c r="G300">
        <v>22</v>
      </c>
      <c r="H300" s="116"/>
      <c r="I300" s="116"/>
      <c r="L300" s="170">
        <v>42440</v>
      </c>
      <c r="M300" s="116">
        <v>201.9</v>
      </c>
      <c r="N300" s="116">
        <v>205.25</v>
      </c>
      <c r="O300" s="116">
        <v>200.8</v>
      </c>
      <c r="P300" s="116">
        <v>202.8</v>
      </c>
      <c r="Q300" s="116">
        <v>1009.5</v>
      </c>
      <c r="R300">
        <v>13944</v>
      </c>
    </row>
    <row r="301" spans="1:18" x14ac:dyDescent="0.25">
      <c r="A301" s="170">
        <v>42451</v>
      </c>
      <c r="B301" s="116">
        <v>1006</v>
      </c>
      <c r="C301" s="116">
        <v>997</v>
      </c>
      <c r="D301" s="116">
        <v>987.75</v>
      </c>
      <c r="E301" s="116">
        <v>1006</v>
      </c>
      <c r="F301" s="116">
        <v>997</v>
      </c>
      <c r="G301">
        <v>130</v>
      </c>
      <c r="H301" s="116"/>
      <c r="I301" s="116"/>
      <c r="L301" s="170">
        <v>42443</v>
      </c>
      <c r="M301" s="116">
        <v>207.25</v>
      </c>
      <c r="N301" s="116">
        <v>210.3</v>
      </c>
      <c r="O301" s="116">
        <v>203.19</v>
      </c>
      <c r="P301" s="116">
        <v>204.9</v>
      </c>
      <c r="Q301" s="116">
        <v>1036.25</v>
      </c>
      <c r="R301">
        <v>34681</v>
      </c>
    </row>
    <row r="302" spans="1:18" x14ac:dyDescent="0.25">
      <c r="A302" s="170">
        <v>42452</v>
      </c>
      <c r="B302" s="116">
        <v>1015</v>
      </c>
      <c r="C302" s="116">
        <v>1006.25</v>
      </c>
      <c r="D302" s="116">
        <v>1000</v>
      </c>
      <c r="E302" s="116">
        <v>1000</v>
      </c>
      <c r="F302" s="116">
        <v>1006.25</v>
      </c>
      <c r="G302">
        <v>159</v>
      </c>
      <c r="H302" s="116"/>
      <c r="I302" s="116"/>
      <c r="L302" s="170">
        <v>42444</v>
      </c>
      <c r="M302" s="116">
        <v>205.69</v>
      </c>
      <c r="N302" s="116">
        <v>208.4</v>
      </c>
      <c r="O302" s="116">
        <v>203</v>
      </c>
      <c r="P302" s="116">
        <v>206.44</v>
      </c>
      <c r="Q302" s="116">
        <v>1028.45</v>
      </c>
      <c r="R302">
        <v>18882</v>
      </c>
    </row>
    <row r="303" spans="1:18" x14ac:dyDescent="0.25">
      <c r="A303" s="170">
        <v>42457</v>
      </c>
      <c r="B303" s="116">
        <v>1040</v>
      </c>
      <c r="C303" s="116">
        <v>998</v>
      </c>
      <c r="D303" s="116">
        <v>982.75</v>
      </c>
      <c r="E303" s="116">
        <v>1001</v>
      </c>
      <c r="F303" s="116">
        <v>998</v>
      </c>
      <c r="G303">
        <v>100</v>
      </c>
      <c r="H303" s="116"/>
      <c r="I303" s="116"/>
      <c r="L303" s="170">
        <v>42445</v>
      </c>
      <c r="M303" s="116">
        <v>207.28</v>
      </c>
      <c r="N303" s="116">
        <v>208.6</v>
      </c>
      <c r="O303" s="116">
        <v>203.4</v>
      </c>
      <c r="P303" s="116">
        <v>206.39</v>
      </c>
      <c r="Q303" s="116">
        <v>1036.4000000000001</v>
      </c>
      <c r="R303">
        <v>12046</v>
      </c>
    </row>
    <row r="304" spans="1:18" x14ac:dyDescent="0.25">
      <c r="A304" s="170">
        <v>42458</v>
      </c>
      <c r="B304" s="116">
        <v>1020.5</v>
      </c>
      <c r="C304" s="116">
        <v>994.25</v>
      </c>
      <c r="D304" s="116">
        <v>990.5</v>
      </c>
      <c r="E304" s="116">
        <v>1020.5</v>
      </c>
      <c r="F304" s="116">
        <v>994.25</v>
      </c>
      <c r="G304">
        <v>67</v>
      </c>
      <c r="H304" s="116"/>
      <c r="I304" s="116"/>
      <c r="L304" s="170">
        <v>42446</v>
      </c>
      <c r="M304" s="116">
        <v>203.64</v>
      </c>
      <c r="N304" s="116">
        <v>208.6</v>
      </c>
      <c r="O304" s="116">
        <v>202.25</v>
      </c>
      <c r="P304" s="116">
        <v>203.6</v>
      </c>
      <c r="Q304" s="116">
        <v>1018.2</v>
      </c>
      <c r="R304">
        <v>23010</v>
      </c>
    </row>
    <row r="305" spans="1:18" x14ac:dyDescent="0.25">
      <c r="A305" s="170">
        <v>42459</v>
      </c>
      <c r="B305" s="116">
        <v>1000</v>
      </c>
      <c r="C305" s="116">
        <v>1000</v>
      </c>
      <c r="D305" s="116">
        <v>1000</v>
      </c>
      <c r="E305" s="116">
        <v>1000</v>
      </c>
      <c r="F305" s="116">
        <v>1000</v>
      </c>
      <c r="G305">
        <v>23</v>
      </c>
      <c r="H305" s="116"/>
      <c r="I305" s="116"/>
      <c r="L305" s="170">
        <v>42447</v>
      </c>
      <c r="M305" s="116">
        <v>204.73</v>
      </c>
      <c r="N305" s="116">
        <v>206.2</v>
      </c>
      <c r="O305" s="116">
        <v>202.8</v>
      </c>
      <c r="P305" s="116">
        <v>205.59</v>
      </c>
      <c r="Q305" s="116">
        <v>1023.65</v>
      </c>
      <c r="R305">
        <v>8825</v>
      </c>
    </row>
    <row r="306" spans="1:18" x14ac:dyDescent="0.25">
      <c r="A306" s="170">
        <v>42460</v>
      </c>
      <c r="B306" s="116">
        <v>1020</v>
      </c>
      <c r="C306" s="116">
        <v>996</v>
      </c>
      <c r="D306" s="116">
        <v>996</v>
      </c>
      <c r="E306" s="116">
        <v>1020</v>
      </c>
      <c r="F306" s="116">
        <v>996</v>
      </c>
      <c r="G306">
        <v>53</v>
      </c>
      <c r="H306" s="116"/>
      <c r="I306" s="116"/>
      <c r="L306" s="170">
        <v>42450</v>
      </c>
      <c r="M306" s="116">
        <v>206.5</v>
      </c>
      <c r="N306" s="116">
        <v>207.6</v>
      </c>
      <c r="O306" s="116">
        <v>204.01</v>
      </c>
      <c r="P306" s="116">
        <v>205.8</v>
      </c>
      <c r="Q306" s="116">
        <v>1032.5</v>
      </c>
      <c r="R306">
        <v>28526</v>
      </c>
    </row>
    <row r="307" spans="1:18" x14ac:dyDescent="0.25">
      <c r="A307" s="170">
        <v>42461</v>
      </c>
      <c r="B307" s="116">
        <v>1045.75</v>
      </c>
      <c r="C307" s="116">
        <v>1045.75</v>
      </c>
      <c r="D307" s="116">
        <v>1034.25</v>
      </c>
      <c r="E307" s="116">
        <v>1034.25</v>
      </c>
      <c r="F307" s="116">
        <v>1045.75</v>
      </c>
      <c r="G307">
        <v>116</v>
      </c>
      <c r="H307" s="116"/>
      <c r="I307" s="116"/>
      <c r="L307" s="170">
        <v>42451</v>
      </c>
      <c r="M307" s="116">
        <v>206.14</v>
      </c>
      <c r="N307" s="116">
        <v>207.98</v>
      </c>
      <c r="O307" s="116">
        <v>204</v>
      </c>
      <c r="P307" s="116">
        <v>207.2</v>
      </c>
      <c r="Q307" s="116">
        <v>1030.7</v>
      </c>
      <c r="R307">
        <v>17351</v>
      </c>
    </row>
    <row r="308" spans="1:18" x14ac:dyDescent="0.25">
      <c r="A308" s="170">
        <v>42464</v>
      </c>
      <c r="B308" s="116">
        <v>1082</v>
      </c>
      <c r="C308" s="116">
        <v>1080.5</v>
      </c>
      <c r="D308" s="116">
        <v>1050</v>
      </c>
      <c r="E308" s="116">
        <v>1050</v>
      </c>
      <c r="F308" s="116">
        <v>1080.5</v>
      </c>
      <c r="G308">
        <v>52</v>
      </c>
      <c r="H308" s="116"/>
      <c r="I308" s="116"/>
      <c r="L308" s="170">
        <v>42452</v>
      </c>
      <c r="M308" s="116">
        <v>209.52</v>
      </c>
      <c r="N308" s="116">
        <v>211.8</v>
      </c>
      <c r="O308" s="116">
        <v>205</v>
      </c>
      <c r="P308" s="116">
        <v>207.57</v>
      </c>
      <c r="Q308" s="116">
        <v>1047.5999999999999</v>
      </c>
      <c r="R308">
        <v>40871</v>
      </c>
    </row>
    <row r="309" spans="1:18" x14ac:dyDescent="0.25">
      <c r="A309" s="170">
        <v>42465</v>
      </c>
      <c r="B309" s="116">
        <v>1087.75</v>
      </c>
      <c r="C309" s="116">
        <v>1036.25</v>
      </c>
      <c r="D309" s="116">
        <v>1032.75</v>
      </c>
      <c r="E309" s="116">
        <v>1087.75</v>
      </c>
      <c r="F309" s="116">
        <v>1036.25</v>
      </c>
      <c r="G309">
        <v>51</v>
      </c>
      <c r="H309" s="116"/>
      <c r="I309" s="116"/>
      <c r="L309" s="170">
        <v>42457</v>
      </c>
      <c r="M309" s="116">
        <v>210.22</v>
      </c>
      <c r="N309" s="116">
        <v>212.4</v>
      </c>
      <c r="O309" s="116">
        <v>206</v>
      </c>
      <c r="P309" s="116">
        <v>208.27</v>
      </c>
      <c r="Q309" s="116">
        <v>1051.0999999999999</v>
      </c>
      <c r="R309">
        <v>28564</v>
      </c>
    </row>
    <row r="310" spans="1:18" x14ac:dyDescent="0.25">
      <c r="A310" s="170">
        <v>42466</v>
      </c>
      <c r="B310" s="116">
        <v>1069.75</v>
      </c>
      <c r="C310" s="116">
        <v>1050</v>
      </c>
      <c r="D310" s="116">
        <v>1010.75</v>
      </c>
      <c r="E310" s="116">
        <v>1010.75</v>
      </c>
      <c r="F310" s="116">
        <v>1050</v>
      </c>
      <c r="G310">
        <v>56</v>
      </c>
      <c r="H310" s="116"/>
      <c r="I310" s="116"/>
      <c r="L310" s="170">
        <v>42458</v>
      </c>
      <c r="M310" s="116">
        <v>224</v>
      </c>
      <c r="N310" s="116">
        <v>225.99</v>
      </c>
      <c r="O310" s="116">
        <v>207.4</v>
      </c>
      <c r="P310" s="116">
        <v>208</v>
      </c>
      <c r="Q310" s="116">
        <v>1120</v>
      </c>
      <c r="R310">
        <v>124946</v>
      </c>
    </row>
    <row r="311" spans="1:18" x14ac:dyDescent="0.25">
      <c r="A311" s="170">
        <v>42467</v>
      </c>
      <c r="B311" s="116">
        <v>1025</v>
      </c>
      <c r="C311" s="116">
        <v>1025</v>
      </c>
      <c r="D311" s="116">
        <v>1025</v>
      </c>
      <c r="E311" s="116">
        <v>1025</v>
      </c>
      <c r="F311" s="116">
        <v>1025</v>
      </c>
      <c r="G311">
        <v>5</v>
      </c>
      <c r="H311" s="116"/>
      <c r="I311" s="116"/>
      <c r="L311" s="170">
        <v>42459</v>
      </c>
      <c r="M311" s="116">
        <v>229.17</v>
      </c>
      <c r="N311" s="116">
        <v>231.77</v>
      </c>
      <c r="O311" s="116">
        <v>218.99</v>
      </c>
      <c r="P311" s="116">
        <v>225</v>
      </c>
      <c r="Q311" s="116">
        <v>1145.8499999999999</v>
      </c>
      <c r="R311">
        <v>78766</v>
      </c>
    </row>
    <row r="312" spans="1:18" x14ac:dyDescent="0.25">
      <c r="A312" s="170">
        <v>42468</v>
      </c>
      <c r="B312" s="116">
        <v>1066.75</v>
      </c>
      <c r="C312" s="116">
        <v>1050.5</v>
      </c>
      <c r="D312" s="116">
        <v>1011.75</v>
      </c>
      <c r="E312" s="116">
        <v>1011.75</v>
      </c>
      <c r="F312" s="116">
        <v>1050.5</v>
      </c>
      <c r="G312">
        <v>15</v>
      </c>
      <c r="H312" s="116"/>
      <c r="I312" s="116"/>
      <c r="L312" s="170">
        <v>42460</v>
      </c>
      <c r="M312" s="116">
        <v>230.94</v>
      </c>
      <c r="N312" s="116">
        <v>234.18</v>
      </c>
      <c r="O312" s="116">
        <v>221.2</v>
      </c>
      <c r="P312" s="116">
        <v>229.23000000000002</v>
      </c>
      <c r="Q312" s="116">
        <v>1154.7</v>
      </c>
      <c r="R312">
        <v>65621</v>
      </c>
    </row>
    <row r="313" spans="1:18" x14ac:dyDescent="0.25">
      <c r="A313" s="170">
        <v>42471</v>
      </c>
      <c r="B313" s="116">
        <v>1059.75</v>
      </c>
      <c r="C313" s="116">
        <v>1036.25</v>
      </c>
      <c r="D313" s="116">
        <v>1031</v>
      </c>
      <c r="E313" s="116">
        <v>1031.5</v>
      </c>
      <c r="F313" s="116">
        <v>1036.25</v>
      </c>
      <c r="G313">
        <v>33</v>
      </c>
      <c r="H313" s="116"/>
      <c r="I313" s="116"/>
      <c r="L313" s="170">
        <v>42461</v>
      </c>
      <c r="M313" s="116">
        <v>236.95</v>
      </c>
      <c r="N313" s="116">
        <v>238</v>
      </c>
      <c r="O313" s="116">
        <v>229.2</v>
      </c>
      <c r="P313" s="116">
        <v>231.6</v>
      </c>
      <c r="Q313" s="116">
        <v>1184.75</v>
      </c>
      <c r="R313">
        <v>23935</v>
      </c>
    </row>
    <row r="314" spans="1:18" x14ac:dyDescent="0.25">
      <c r="A314" s="170">
        <v>42473</v>
      </c>
      <c r="B314" s="116">
        <v>1057.75</v>
      </c>
      <c r="C314" s="116">
        <v>1051</v>
      </c>
      <c r="D314" s="116">
        <v>1031.75</v>
      </c>
      <c r="E314" s="116">
        <v>1036.25</v>
      </c>
      <c r="F314" s="116">
        <v>1051</v>
      </c>
      <c r="G314">
        <v>60</v>
      </c>
      <c r="H314" s="116"/>
      <c r="I314" s="116"/>
      <c r="L314" s="170">
        <v>42464</v>
      </c>
      <c r="M314" s="116">
        <v>237.57</v>
      </c>
      <c r="N314" s="116">
        <v>240</v>
      </c>
      <c r="O314" s="116">
        <v>234.2</v>
      </c>
      <c r="P314" s="116">
        <v>240</v>
      </c>
      <c r="Q314" s="116">
        <v>1187.8499999999999</v>
      </c>
      <c r="R314">
        <v>22326</v>
      </c>
    </row>
    <row r="315" spans="1:18" x14ac:dyDescent="0.25">
      <c r="A315" s="170">
        <v>42478</v>
      </c>
      <c r="B315" s="116">
        <v>1056.5</v>
      </c>
      <c r="C315" s="116">
        <v>1048.5</v>
      </c>
      <c r="D315" s="116">
        <v>1048.5</v>
      </c>
      <c r="E315" s="116">
        <v>1056.5</v>
      </c>
      <c r="F315" s="116">
        <v>1048.5</v>
      </c>
      <c r="G315">
        <v>15</v>
      </c>
      <c r="H315" s="116"/>
      <c r="I315" s="116"/>
      <c r="L315" s="170">
        <v>42465</v>
      </c>
      <c r="M315" s="116">
        <v>229.85999999999999</v>
      </c>
      <c r="N315" s="116">
        <v>238.6</v>
      </c>
      <c r="O315" s="116">
        <v>228</v>
      </c>
      <c r="P315" s="116">
        <v>238.6</v>
      </c>
      <c r="Q315" s="116">
        <v>1149.3</v>
      </c>
      <c r="R315">
        <v>20942</v>
      </c>
    </row>
    <row r="316" spans="1:18" x14ac:dyDescent="0.25">
      <c r="A316" s="170">
        <v>42480</v>
      </c>
      <c r="B316" s="116">
        <v>1057.75</v>
      </c>
      <c r="C316" s="116">
        <v>1041</v>
      </c>
      <c r="D316" s="116">
        <v>998</v>
      </c>
      <c r="E316" s="116">
        <v>1005</v>
      </c>
      <c r="F316" s="116">
        <v>1041</v>
      </c>
      <c r="G316">
        <v>52</v>
      </c>
      <c r="H316" s="116"/>
      <c r="I316" s="116"/>
      <c r="L316" s="170">
        <v>42466</v>
      </c>
      <c r="M316" s="116">
        <v>234.56</v>
      </c>
      <c r="N316" s="116">
        <v>236</v>
      </c>
      <c r="O316" s="116">
        <v>227.68</v>
      </c>
      <c r="P316" s="116">
        <v>230</v>
      </c>
      <c r="Q316" s="116">
        <v>1172.8</v>
      </c>
      <c r="R316">
        <v>17624</v>
      </c>
    </row>
    <row r="317" spans="1:18" x14ac:dyDescent="0.25">
      <c r="A317" s="170">
        <v>42481</v>
      </c>
      <c r="B317" s="116">
        <v>1054</v>
      </c>
      <c r="C317" s="116">
        <v>1040</v>
      </c>
      <c r="D317" s="116">
        <v>1025.25</v>
      </c>
      <c r="E317" s="116">
        <v>1054</v>
      </c>
      <c r="F317" s="116">
        <v>1040</v>
      </c>
      <c r="G317">
        <v>91</v>
      </c>
      <c r="H317" s="116"/>
      <c r="I317" s="116"/>
      <c r="L317" s="170">
        <v>42467</v>
      </c>
      <c r="M317" s="116">
        <v>231.56</v>
      </c>
      <c r="N317" s="116">
        <v>237</v>
      </c>
      <c r="O317" s="116">
        <v>228.8</v>
      </c>
      <c r="P317" s="116">
        <v>235</v>
      </c>
      <c r="Q317" s="116">
        <v>1157.8</v>
      </c>
      <c r="R317">
        <v>17385</v>
      </c>
    </row>
    <row r="318" spans="1:18" x14ac:dyDescent="0.25">
      <c r="A318" s="170">
        <v>42482</v>
      </c>
      <c r="B318" s="116">
        <v>1036</v>
      </c>
      <c r="C318" s="116">
        <v>1025</v>
      </c>
      <c r="D318" s="116">
        <v>1025</v>
      </c>
      <c r="E318" s="116">
        <v>1036</v>
      </c>
      <c r="F318" s="116">
        <v>1025</v>
      </c>
      <c r="G318">
        <v>160</v>
      </c>
      <c r="H318" s="116"/>
      <c r="I318" s="116"/>
      <c r="L318" s="170">
        <v>42468</v>
      </c>
      <c r="M318" s="116">
        <v>230.42</v>
      </c>
      <c r="N318" s="116">
        <v>233</v>
      </c>
      <c r="O318" s="116">
        <v>229.01</v>
      </c>
      <c r="P318" s="116">
        <v>233</v>
      </c>
      <c r="Q318" s="116">
        <v>1152.0999999999999</v>
      </c>
      <c r="R318">
        <v>7645</v>
      </c>
    </row>
    <row r="319" spans="1:18" x14ac:dyDescent="0.25">
      <c r="A319" s="170">
        <v>42486</v>
      </c>
      <c r="B319" s="116">
        <v>1053.75</v>
      </c>
      <c r="C319" s="116">
        <v>1022.75</v>
      </c>
      <c r="D319" s="116">
        <v>1022.75</v>
      </c>
      <c r="E319" s="116">
        <v>1053.75</v>
      </c>
      <c r="F319" s="116">
        <v>1022.75</v>
      </c>
      <c r="G319">
        <v>11</v>
      </c>
      <c r="H319" s="116"/>
      <c r="I319" s="116"/>
      <c r="L319" s="170">
        <v>42471</v>
      </c>
      <c r="M319" s="116">
        <v>235.79000000000002</v>
      </c>
      <c r="N319" s="116">
        <v>237.6</v>
      </c>
      <c r="O319" s="116">
        <v>229.79000000000002</v>
      </c>
      <c r="P319" s="116">
        <v>232.95</v>
      </c>
      <c r="Q319" s="116">
        <v>1178.95</v>
      </c>
      <c r="R319">
        <v>8300</v>
      </c>
    </row>
    <row r="320" spans="1:18" x14ac:dyDescent="0.25">
      <c r="A320" s="170">
        <v>42487</v>
      </c>
      <c r="B320" s="116">
        <v>1054</v>
      </c>
      <c r="C320" s="116">
        <v>1040</v>
      </c>
      <c r="D320" s="116">
        <v>1040</v>
      </c>
      <c r="E320" s="116">
        <v>1040</v>
      </c>
      <c r="F320" s="116">
        <v>1040</v>
      </c>
      <c r="G320">
        <v>156</v>
      </c>
      <c r="H320" s="116"/>
      <c r="I320" s="116"/>
      <c r="L320" s="170">
        <v>42472</v>
      </c>
      <c r="M320" s="116">
        <v>244.15</v>
      </c>
      <c r="N320" s="116">
        <v>245.6</v>
      </c>
      <c r="O320" s="116">
        <v>236</v>
      </c>
      <c r="P320" s="116">
        <v>238</v>
      </c>
      <c r="Q320" s="116">
        <v>1220.75</v>
      </c>
      <c r="R320">
        <v>46534</v>
      </c>
    </row>
    <row r="321" spans="1:18" x14ac:dyDescent="0.25">
      <c r="A321" s="170">
        <v>42488</v>
      </c>
      <c r="B321" s="116">
        <v>1054</v>
      </c>
      <c r="C321" s="116">
        <v>1041.25</v>
      </c>
      <c r="D321" s="116">
        <v>1041.25</v>
      </c>
      <c r="E321" s="116">
        <v>1053.75</v>
      </c>
      <c r="F321" s="116">
        <v>1041.25</v>
      </c>
      <c r="G321">
        <v>181</v>
      </c>
      <c r="H321" s="116"/>
      <c r="I321" s="116"/>
      <c r="L321" s="170">
        <v>42473</v>
      </c>
      <c r="M321" s="116">
        <v>261.75</v>
      </c>
      <c r="N321" s="116">
        <v>263.78000000000003</v>
      </c>
      <c r="O321" s="116">
        <v>244.2</v>
      </c>
      <c r="P321" s="116">
        <v>244.2</v>
      </c>
      <c r="Q321" s="116">
        <v>1308.75</v>
      </c>
      <c r="R321">
        <v>120758</v>
      </c>
    </row>
    <row r="322" spans="1:18" x14ac:dyDescent="0.25">
      <c r="A322" s="170">
        <v>42489</v>
      </c>
      <c r="B322" s="116">
        <v>1069.25</v>
      </c>
      <c r="C322" s="116">
        <v>1050</v>
      </c>
      <c r="D322" s="116">
        <v>1050</v>
      </c>
      <c r="E322" s="116">
        <v>1069.25</v>
      </c>
      <c r="F322" s="116">
        <v>1050</v>
      </c>
      <c r="G322">
        <v>12</v>
      </c>
      <c r="H322" s="116"/>
      <c r="I322" s="116"/>
      <c r="L322" s="170">
        <v>42478</v>
      </c>
      <c r="M322" s="116">
        <v>248.73000000000002</v>
      </c>
      <c r="N322" s="116">
        <v>264.95999999999998</v>
      </c>
      <c r="O322" s="116">
        <v>246.46999999999997</v>
      </c>
      <c r="P322" s="116">
        <v>256.02</v>
      </c>
      <c r="Q322" s="116">
        <v>1243.6500000000001</v>
      </c>
      <c r="R322">
        <v>63846</v>
      </c>
    </row>
    <row r="323" spans="1:18" x14ac:dyDescent="0.25">
      <c r="A323" s="170">
        <v>42492</v>
      </c>
      <c r="B323" s="116">
        <v>1050.75</v>
      </c>
      <c r="C323" s="116">
        <v>1048.75</v>
      </c>
      <c r="D323" s="116">
        <v>1035</v>
      </c>
      <c r="E323" s="116">
        <v>1050.5</v>
      </c>
      <c r="F323" s="116">
        <v>1048.75</v>
      </c>
      <c r="G323">
        <v>97</v>
      </c>
      <c r="H323" s="116"/>
      <c r="I323" s="116"/>
      <c r="L323" s="170">
        <v>42480</v>
      </c>
      <c r="M323" s="116">
        <v>245.61999999999998</v>
      </c>
      <c r="N323" s="116">
        <v>252.4</v>
      </c>
      <c r="O323" s="116">
        <v>242.6</v>
      </c>
      <c r="P323" s="116">
        <v>252.4</v>
      </c>
      <c r="Q323" s="116">
        <v>1228.0999999999999</v>
      </c>
      <c r="R323">
        <v>40433</v>
      </c>
    </row>
    <row r="324" spans="1:18" x14ac:dyDescent="0.25">
      <c r="A324" s="170">
        <v>42493</v>
      </c>
      <c r="B324" s="116">
        <v>1079</v>
      </c>
      <c r="C324" s="116">
        <v>1070</v>
      </c>
      <c r="D324" s="116">
        <v>1070</v>
      </c>
      <c r="E324" s="116">
        <v>1071.5</v>
      </c>
      <c r="F324" s="116">
        <v>1070</v>
      </c>
      <c r="G324">
        <v>77</v>
      </c>
      <c r="H324" s="116"/>
      <c r="I324" s="116"/>
      <c r="L324" s="170">
        <v>42481</v>
      </c>
      <c r="M324" s="116">
        <v>239.75</v>
      </c>
      <c r="N324" s="116">
        <v>249.6</v>
      </c>
      <c r="O324" s="116">
        <v>237.43</v>
      </c>
      <c r="P324" s="116">
        <v>245.61999999999998</v>
      </c>
      <c r="Q324" s="116">
        <v>1198.75</v>
      </c>
      <c r="R324">
        <v>25341</v>
      </c>
    </row>
    <row r="325" spans="1:18" x14ac:dyDescent="0.25">
      <c r="A325" s="170">
        <v>42494</v>
      </c>
      <c r="B325" s="116">
        <v>1100</v>
      </c>
      <c r="C325" s="116">
        <v>1051</v>
      </c>
      <c r="D325" s="116">
        <v>1050</v>
      </c>
      <c r="E325" s="116">
        <v>1100</v>
      </c>
      <c r="F325" s="116">
        <v>1051</v>
      </c>
      <c r="G325">
        <v>297</v>
      </c>
      <c r="H325" s="116"/>
      <c r="I325" s="116"/>
      <c r="L325" s="170">
        <v>42482</v>
      </c>
      <c r="M325" s="116">
        <v>243.24</v>
      </c>
      <c r="N325" s="116">
        <v>246</v>
      </c>
      <c r="O325" s="116">
        <v>238.05</v>
      </c>
      <c r="P325" s="116">
        <v>239.75</v>
      </c>
      <c r="Q325" s="116">
        <v>1216.2</v>
      </c>
      <c r="R325">
        <v>19325</v>
      </c>
    </row>
    <row r="326" spans="1:18" x14ac:dyDescent="0.25">
      <c r="A326" s="170">
        <v>42495</v>
      </c>
      <c r="B326" s="116">
        <v>1094.5</v>
      </c>
      <c r="C326" s="116">
        <v>1032.75</v>
      </c>
      <c r="D326" s="116">
        <v>1022</v>
      </c>
      <c r="E326" s="116">
        <v>1094.5</v>
      </c>
      <c r="F326" s="116">
        <v>1032.75</v>
      </c>
      <c r="G326">
        <v>221</v>
      </c>
      <c r="H326" s="116"/>
      <c r="I326" s="116"/>
      <c r="L326" s="170">
        <v>42485</v>
      </c>
      <c r="M326" s="116">
        <v>244.61999999999998</v>
      </c>
      <c r="N326" s="116">
        <v>248.65</v>
      </c>
      <c r="O326" s="116">
        <v>241.82</v>
      </c>
      <c r="P326" s="116">
        <v>241.82</v>
      </c>
      <c r="Q326" s="116">
        <v>1223.0999999999999</v>
      </c>
      <c r="R326">
        <v>30775</v>
      </c>
    </row>
    <row r="327" spans="1:18" x14ac:dyDescent="0.25">
      <c r="A327" s="170">
        <v>42496</v>
      </c>
      <c r="B327" s="116">
        <v>1025.5</v>
      </c>
      <c r="C327" s="116">
        <v>1012.25</v>
      </c>
      <c r="D327" s="116">
        <v>1010</v>
      </c>
      <c r="E327" s="116">
        <v>1025.25</v>
      </c>
      <c r="F327" s="116">
        <v>1012.25</v>
      </c>
      <c r="G327">
        <v>742</v>
      </c>
      <c r="H327" s="116"/>
      <c r="I327" s="116"/>
      <c r="L327" s="170">
        <v>42486</v>
      </c>
      <c r="M327" s="116">
        <v>244.4</v>
      </c>
      <c r="N327" s="116">
        <v>247.8</v>
      </c>
      <c r="O327" s="116">
        <v>242</v>
      </c>
      <c r="P327" s="116">
        <v>244.4</v>
      </c>
      <c r="Q327" s="116">
        <v>1222</v>
      </c>
      <c r="R327">
        <v>26968</v>
      </c>
    </row>
    <row r="328" spans="1:18" x14ac:dyDescent="0.25">
      <c r="A328" s="170">
        <v>42499</v>
      </c>
      <c r="B328" s="116">
        <v>1038</v>
      </c>
      <c r="C328" s="116">
        <v>1020</v>
      </c>
      <c r="D328" s="116">
        <v>1019.25</v>
      </c>
      <c r="E328" s="116">
        <v>1023</v>
      </c>
      <c r="F328" s="116">
        <v>1020</v>
      </c>
      <c r="G328">
        <v>196</v>
      </c>
      <c r="H328" s="116"/>
      <c r="I328" s="116"/>
      <c r="L328" s="170">
        <v>42487</v>
      </c>
      <c r="M328" s="116">
        <v>245.21999999999997</v>
      </c>
      <c r="N328" s="116">
        <v>247.76999999999998</v>
      </c>
      <c r="O328" s="116">
        <v>242.3</v>
      </c>
      <c r="P328" s="116">
        <v>247.35999999999999</v>
      </c>
      <c r="Q328" s="116">
        <v>1226.0999999999999</v>
      </c>
      <c r="R328">
        <v>20072</v>
      </c>
    </row>
    <row r="329" spans="1:18" x14ac:dyDescent="0.25">
      <c r="A329" s="170">
        <v>42500</v>
      </c>
      <c r="B329" s="116">
        <v>1030</v>
      </c>
      <c r="C329" s="116">
        <v>1020</v>
      </c>
      <c r="D329" s="116">
        <v>1020</v>
      </c>
      <c r="E329" s="116">
        <v>1025</v>
      </c>
      <c r="F329" s="116">
        <v>1020</v>
      </c>
      <c r="G329">
        <v>144</v>
      </c>
      <c r="H329" s="116"/>
      <c r="I329" s="116"/>
      <c r="L329" s="170">
        <v>42488</v>
      </c>
      <c r="M329" s="116">
        <v>236.84</v>
      </c>
      <c r="N329" s="116">
        <v>250.23000000000002</v>
      </c>
      <c r="O329" s="116">
        <v>227.32</v>
      </c>
      <c r="P329" s="116">
        <v>246.66</v>
      </c>
      <c r="Q329" s="116">
        <v>1184.2</v>
      </c>
      <c r="R329">
        <v>67748</v>
      </c>
    </row>
    <row r="330" spans="1:18" x14ac:dyDescent="0.25">
      <c r="A330" s="170">
        <v>42501</v>
      </c>
      <c r="B330" s="116">
        <v>1015</v>
      </c>
      <c r="C330" s="116">
        <v>1015</v>
      </c>
      <c r="D330" s="116">
        <v>1004.5</v>
      </c>
      <c r="E330" s="116">
        <v>1014</v>
      </c>
      <c r="F330" s="116">
        <v>1015</v>
      </c>
      <c r="G330">
        <v>113</v>
      </c>
      <c r="H330" s="116"/>
      <c r="I330" s="116"/>
      <c r="L330" s="170">
        <v>42489</v>
      </c>
      <c r="M330" s="116">
        <v>240.43</v>
      </c>
      <c r="N330" s="116">
        <v>253.6</v>
      </c>
      <c r="O330" s="116">
        <v>238</v>
      </c>
      <c r="P330" s="116">
        <v>252.07</v>
      </c>
      <c r="Q330" s="116">
        <v>1202.1500000000001</v>
      </c>
      <c r="R330">
        <v>220750</v>
      </c>
    </row>
    <row r="331" spans="1:18" x14ac:dyDescent="0.25">
      <c r="A331" s="170">
        <v>42502</v>
      </c>
      <c r="B331" s="116">
        <v>1050</v>
      </c>
      <c r="C331" s="116">
        <v>1024.5</v>
      </c>
      <c r="D331" s="116">
        <v>1009</v>
      </c>
      <c r="E331" s="116">
        <v>1050</v>
      </c>
      <c r="F331" s="116">
        <v>1024.5</v>
      </c>
      <c r="G331">
        <v>163</v>
      </c>
      <c r="H331" s="116"/>
      <c r="I331" s="116"/>
      <c r="L331" s="170">
        <v>42492</v>
      </c>
      <c r="M331" s="116">
        <v>246.26</v>
      </c>
      <c r="N331" s="116">
        <v>247.55</v>
      </c>
      <c r="O331" s="116">
        <v>234</v>
      </c>
      <c r="P331" s="116">
        <v>240.4</v>
      </c>
      <c r="Q331" s="116">
        <v>1231.3</v>
      </c>
      <c r="R331">
        <v>64378</v>
      </c>
    </row>
    <row r="332" spans="1:18" x14ac:dyDescent="0.25">
      <c r="A332" s="170">
        <v>42503</v>
      </c>
      <c r="B332" s="116">
        <v>1025</v>
      </c>
      <c r="C332" s="116">
        <v>1011</v>
      </c>
      <c r="D332" s="116">
        <v>1011</v>
      </c>
      <c r="E332" s="116">
        <v>1025</v>
      </c>
      <c r="F332" s="116">
        <v>1011</v>
      </c>
      <c r="G332">
        <v>210</v>
      </c>
      <c r="H332" s="116"/>
      <c r="I332" s="116"/>
      <c r="L332" s="170">
        <v>42493</v>
      </c>
      <c r="M332" s="116">
        <v>254.13000000000002</v>
      </c>
      <c r="N332" s="116">
        <v>257.12</v>
      </c>
      <c r="O332" s="116">
        <v>245.01</v>
      </c>
      <c r="P332" s="116">
        <v>246.58</v>
      </c>
      <c r="Q332" s="116">
        <v>1270.6500000000001</v>
      </c>
      <c r="R332">
        <v>123126</v>
      </c>
    </row>
    <row r="333" spans="1:18" x14ac:dyDescent="0.25">
      <c r="A333" s="170">
        <v>42506</v>
      </c>
      <c r="B333" s="116">
        <v>1061.5</v>
      </c>
      <c r="C333" s="116">
        <v>1015.25</v>
      </c>
      <c r="D333" s="116">
        <v>1012</v>
      </c>
      <c r="E333" s="116">
        <v>1061.5</v>
      </c>
      <c r="F333" s="116">
        <v>1015.25</v>
      </c>
      <c r="G333">
        <v>62</v>
      </c>
      <c r="H333" s="116"/>
      <c r="I333" s="116"/>
      <c r="L333" s="170">
        <v>42494</v>
      </c>
      <c r="M333" s="116">
        <v>246.85999999999999</v>
      </c>
      <c r="N333" s="116">
        <v>259.2</v>
      </c>
      <c r="O333" s="116">
        <v>244.99</v>
      </c>
      <c r="P333" s="116">
        <v>254.19</v>
      </c>
      <c r="Q333" s="116">
        <v>1234.3</v>
      </c>
      <c r="R333">
        <v>69466</v>
      </c>
    </row>
    <row r="334" spans="1:18" x14ac:dyDescent="0.25">
      <c r="A334" s="170">
        <v>42507</v>
      </c>
      <c r="B334" s="116">
        <v>1048</v>
      </c>
      <c r="C334" s="116">
        <v>1045</v>
      </c>
      <c r="D334" s="116">
        <v>1000</v>
      </c>
      <c r="E334" s="116">
        <v>1000</v>
      </c>
      <c r="F334" s="116">
        <v>1045</v>
      </c>
      <c r="G334">
        <v>125</v>
      </c>
      <c r="H334" s="116"/>
      <c r="I334" s="116"/>
      <c r="L334" s="170">
        <v>42495</v>
      </c>
      <c r="M334" s="116">
        <v>237.85</v>
      </c>
      <c r="N334" s="116">
        <v>247.8</v>
      </c>
      <c r="O334" s="116">
        <v>236.8</v>
      </c>
      <c r="P334" s="116">
        <v>247.8</v>
      </c>
      <c r="Q334" s="116">
        <v>1189.25</v>
      </c>
      <c r="R334">
        <v>101723</v>
      </c>
    </row>
    <row r="335" spans="1:18" x14ac:dyDescent="0.25">
      <c r="A335" s="170">
        <v>42508</v>
      </c>
      <c r="B335" s="116">
        <v>1045.5</v>
      </c>
      <c r="C335" s="116">
        <v>1045.5</v>
      </c>
      <c r="D335" s="116">
        <v>1014.75</v>
      </c>
      <c r="E335" s="116">
        <v>1014.75</v>
      </c>
      <c r="F335" s="116">
        <v>1045.5</v>
      </c>
      <c r="G335">
        <v>8</v>
      </c>
      <c r="H335" s="116"/>
      <c r="I335" s="116"/>
      <c r="L335" s="170">
        <v>42496</v>
      </c>
      <c r="M335" s="116">
        <v>235.95</v>
      </c>
      <c r="N335" s="116">
        <v>240</v>
      </c>
      <c r="O335" s="116">
        <v>234</v>
      </c>
      <c r="P335" s="116">
        <v>236</v>
      </c>
      <c r="Q335" s="116">
        <v>1179.75</v>
      </c>
      <c r="R335">
        <v>52755</v>
      </c>
    </row>
    <row r="336" spans="1:18" x14ac:dyDescent="0.25">
      <c r="A336" s="170">
        <v>42509</v>
      </c>
      <c r="B336" s="116">
        <v>1044</v>
      </c>
      <c r="C336" s="116">
        <v>1023.25</v>
      </c>
      <c r="D336" s="116">
        <v>1023.25</v>
      </c>
      <c r="E336" s="116">
        <v>1023.5</v>
      </c>
      <c r="F336" s="116">
        <v>1023.25</v>
      </c>
      <c r="G336">
        <v>10</v>
      </c>
      <c r="H336" s="116"/>
      <c r="I336" s="116"/>
      <c r="L336" s="170">
        <v>42499</v>
      </c>
      <c r="M336" s="116">
        <v>235.99</v>
      </c>
      <c r="N336" s="116">
        <v>239.95</v>
      </c>
      <c r="O336" s="116">
        <v>234.45</v>
      </c>
      <c r="P336" s="116">
        <v>236.55</v>
      </c>
      <c r="Q336" s="116">
        <v>1179.95</v>
      </c>
      <c r="R336">
        <v>52306</v>
      </c>
    </row>
    <row r="337" spans="1:18" x14ac:dyDescent="0.25">
      <c r="A337" s="170">
        <v>42510</v>
      </c>
      <c r="B337" s="116">
        <v>1059.75</v>
      </c>
      <c r="C337" s="116">
        <v>1052.25</v>
      </c>
      <c r="D337" s="116">
        <v>1016</v>
      </c>
      <c r="E337" s="116">
        <v>1023</v>
      </c>
      <c r="F337" s="116">
        <v>1052.25</v>
      </c>
      <c r="G337">
        <v>145</v>
      </c>
      <c r="H337" s="116"/>
      <c r="I337" s="116"/>
      <c r="L337" s="170">
        <v>42500</v>
      </c>
      <c r="M337" s="116">
        <v>235.42</v>
      </c>
      <c r="N337" s="116">
        <v>238.6</v>
      </c>
      <c r="O337" s="116">
        <v>234.45</v>
      </c>
      <c r="P337" s="116">
        <v>237.8</v>
      </c>
      <c r="Q337" s="116">
        <v>1177.0999999999999</v>
      </c>
      <c r="R337">
        <v>40617</v>
      </c>
    </row>
    <row r="338" spans="1:18" x14ac:dyDescent="0.25">
      <c r="A338" s="170">
        <v>42513</v>
      </c>
      <c r="B338" s="116">
        <v>1045</v>
      </c>
      <c r="C338" s="116">
        <v>1040</v>
      </c>
      <c r="D338" s="116">
        <v>1005.25</v>
      </c>
      <c r="E338" s="116">
        <v>1005.25</v>
      </c>
      <c r="F338" s="116">
        <v>1040</v>
      </c>
      <c r="G338">
        <v>165</v>
      </c>
      <c r="H338" s="116"/>
      <c r="I338" s="116"/>
      <c r="L338" s="170">
        <v>42501</v>
      </c>
      <c r="M338" s="116">
        <v>233.79000000000002</v>
      </c>
      <c r="N338" s="116">
        <v>238</v>
      </c>
      <c r="O338" s="116">
        <v>232</v>
      </c>
      <c r="P338" s="116">
        <v>235</v>
      </c>
      <c r="Q338" s="116">
        <v>1168.95</v>
      </c>
      <c r="R338">
        <v>37445</v>
      </c>
    </row>
    <row r="339" spans="1:18" x14ac:dyDescent="0.25">
      <c r="A339" s="170">
        <v>42514</v>
      </c>
      <c r="B339" s="116">
        <v>1051.8</v>
      </c>
      <c r="C339" s="116">
        <v>1034</v>
      </c>
      <c r="D339" s="116">
        <v>1026</v>
      </c>
      <c r="E339" s="116">
        <v>1040</v>
      </c>
      <c r="F339" s="116">
        <v>1034</v>
      </c>
      <c r="G339">
        <v>222</v>
      </c>
      <c r="H339" s="116"/>
      <c r="I339" s="116"/>
      <c r="L339" s="170">
        <v>42502</v>
      </c>
      <c r="M339" s="116">
        <v>237.75</v>
      </c>
      <c r="N339" s="116">
        <v>239.4</v>
      </c>
      <c r="O339" s="116">
        <v>231.53000000000003</v>
      </c>
      <c r="P339" s="116">
        <v>235.38000000000002</v>
      </c>
      <c r="Q339" s="116">
        <v>1188.75</v>
      </c>
      <c r="R339">
        <v>32544</v>
      </c>
    </row>
    <row r="340" spans="1:18" x14ac:dyDescent="0.25">
      <c r="A340" s="170">
        <v>42515</v>
      </c>
      <c r="B340" s="116">
        <v>1050</v>
      </c>
      <c r="C340" s="116">
        <v>1050</v>
      </c>
      <c r="D340" s="116">
        <v>1032</v>
      </c>
      <c r="E340" s="116">
        <v>1032</v>
      </c>
      <c r="F340" s="116">
        <v>1050</v>
      </c>
      <c r="G340">
        <v>288</v>
      </c>
      <c r="H340" s="116"/>
      <c r="I340" s="116"/>
      <c r="L340" s="170">
        <v>42503</v>
      </c>
      <c r="M340" s="116">
        <v>244.20999999999998</v>
      </c>
      <c r="N340" s="116">
        <v>245.2</v>
      </c>
      <c r="O340" s="116">
        <v>236.2</v>
      </c>
      <c r="P340" s="116">
        <v>237.38000000000002</v>
      </c>
      <c r="Q340" s="116">
        <v>1221.05</v>
      </c>
      <c r="R340">
        <v>36602</v>
      </c>
    </row>
    <row r="341" spans="1:18" x14ac:dyDescent="0.25">
      <c r="A341" s="170">
        <v>42516</v>
      </c>
      <c r="B341" s="116">
        <v>1080.5</v>
      </c>
      <c r="C341" s="116">
        <v>1032.05</v>
      </c>
      <c r="D341" s="116">
        <v>1027.5</v>
      </c>
      <c r="E341" s="116">
        <v>1027.75</v>
      </c>
      <c r="F341" s="116">
        <v>1032.05</v>
      </c>
      <c r="G341">
        <v>110</v>
      </c>
      <c r="H341" s="116"/>
      <c r="I341" s="116"/>
      <c r="L341" s="170">
        <v>42506</v>
      </c>
      <c r="M341" s="116">
        <v>243.3</v>
      </c>
      <c r="N341" s="116">
        <v>246.55</v>
      </c>
      <c r="O341" s="116">
        <v>240.4</v>
      </c>
      <c r="P341" s="116">
        <v>245</v>
      </c>
      <c r="Q341" s="116">
        <v>1216.5</v>
      </c>
      <c r="R341">
        <v>23600</v>
      </c>
    </row>
    <row r="342" spans="1:18" x14ac:dyDescent="0.25">
      <c r="A342" s="170">
        <v>42520</v>
      </c>
      <c r="B342" s="116">
        <v>1078</v>
      </c>
      <c r="C342" s="116">
        <v>1049</v>
      </c>
      <c r="D342" s="116">
        <v>1001</v>
      </c>
      <c r="E342" s="116">
        <v>1051</v>
      </c>
      <c r="F342" s="116">
        <v>1049</v>
      </c>
      <c r="G342">
        <v>192</v>
      </c>
      <c r="H342" s="116"/>
      <c r="I342" s="116"/>
      <c r="L342" s="170">
        <v>42507</v>
      </c>
      <c r="M342" s="116">
        <v>243.69</v>
      </c>
      <c r="N342" s="116">
        <v>251</v>
      </c>
      <c r="O342" s="116">
        <v>240.69</v>
      </c>
      <c r="P342" s="116">
        <v>243.35999999999999</v>
      </c>
      <c r="Q342" s="116">
        <v>1218.45</v>
      </c>
      <c r="R342">
        <v>26998</v>
      </c>
    </row>
    <row r="343" spans="1:18" x14ac:dyDescent="0.25">
      <c r="A343" s="170">
        <v>42521</v>
      </c>
      <c r="B343" s="116">
        <v>1060</v>
      </c>
      <c r="C343" s="116">
        <v>1060</v>
      </c>
      <c r="D343" s="116">
        <v>1023</v>
      </c>
      <c r="E343" s="116">
        <v>1025</v>
      </c>
      <c r="F343" s="116">
        <v>1060</v>
      </c>
      <c r="G343">
        <v>11</v>
      </c>
      <c r="H343" s="116"/>
      <c r="I343" s="116"/>
      <c r="L343" s="170">
        <v>42508</v>
      </c>
      <c r="M343" s="116">
        <v>243.59</v>
      </c>
      <c r="N343" s="116">
        <v>246.17</v>
      </c>
      <c r="O343" s="116">
        <v>239</v>
      </c>
      <c r="P343" s="116">
        <v>246.17</v>
      </c>
      <c r="Q343" s="116">
        <v>1217.95</v>
      </c>
      <c r="R343">
        <v>22288</v>
      </c>
    </row>
    <row r="344" spans="1:18" x14ac:dyDescent="0.25">
      <c r="A344" s="170">
        <v>42522</v>
      </c>
      <c r="B344" s="116">
        <v>1049.95</v>
      </c>
      <c r="C344" s="116">
        <v>1044.75</v>
      </c>
      <c r="D344" s="116">
        <v>1007.05</v>
      </c>
      <c r="E344" s="116">
        <v>1021</v>
      </c>
      <c r="F344" s="116">
        <v>1044.75</v>
      </c>
      <c r="G344">
        <v>63</v>
      </c>
      <c r="H344" s="116"/>
      <c r="I344" s="116"/>
      <c r="L344" s="170">
        <v>42509</v>
      </c>
      <c r="M344" s="116">
        <v>240.76</v>
      </c>
      <c r="N344" s="116">
        <v>246</v>
      </c>
      <c r="O344" s="116">
        <v>240</v>
      </c>
      <c r="P344" s="116">
        <v>246</v>
      </c>
      <c r="Q344" s="116">
        <v>1203.8</v>
      </c>
      <c r="R344">
        <v>16347</v>
      </c>
    </row>
    <row r="345" spans="1:18" x14ac:dyDescent="0.25">
      <c r="A345" s="170">
        <v>42523</v>
      </c>
      <c r="B345" s="116">
        <v>1047</v>
      </c>
      <c r="C345" s="116">
        <v>1044</v>
      </c>
      <c r="D345" s="116">
        <v>1030</v>
      </c>
      <c r="E345" s="116">
        <v>1030.25</v>
      </c>
      <c r="F345" s="116">
        <v>1044</v>
      </c>
      <c r="G345">
        <v>89</v>
      </c>
      <c r="H345" s="116"/>
      <c r="I345" s="116"/>
      <c r="L345" s="170">
        <v>42510</v>
      </c>
      <c r="M345" s="116">
        <v>237.14000000000001</v>
      </c>
      <c r="N345" s="116">
        <v>240.54000000000002</v>
      </c>
      <c r="O345" s="116">
        <v>236</v>
      </c>
      <c r="P345" s="116">
        <v>238.01999999999998</v>
      </c>
      <c r="Q345" s="116">
        <v>1185.7</v>
      </c>
      <c r="R345">
        <v>16544</v>
      </c>
    </row>
    <row r="346" spans="1:18" x14ac:dyDescent="0.25">
      <c r="A346" s="170">
        <v>42524</v>
      </c>
      <c r="B346" s="116">
        <v>1049</v>
      </c>
      <c r="C346" s="116">
        <v>1020</v>
      </c>
      <c r="D346" s="116">
        <v>1001</v>
      </c>
      <c r="E346" s="116">
        <v>1049</v>
      </c>
      <c r="F346" s="116">
        <v>1020</v>
      </c>
      <c r="G346">
        <v>230</v>
      </c>
      <c r="H346" s="116"/>
      <c r="I346" s="116"/>
      <c r="L346" s="170">
        <v>42513</v>
      </c>
      <c r="M346" s="116">
        <v>233.28000000000003</v>
      </c>
      <c r="N346" s="116">
        <v>240.71999999999997</v>
      </c>
      <c r="O346" s="116">
        <v>232.16</v>
      </c>
      <c r="P346" s="116">
        <v>239</v>
      </c>
      <c r="Q346" s="116">
        <v>1166.4000000000001</v>
      </c>
      <c r="R346">
        <v>16957</v>
      </c>
    </row>
    <row r="347" spans="1:18" x14ac:dyDescent="0.25">
      <c r="A347" s="170">
        <v>42527</v>
      </c>
      <c r="B347" s="116">
        <v>1049.9000000000001</v>
      </c>
      <c r="C347" s="116">
        <v>1030</v>
      </c>
      <c r="D347" s="116">
        <v>1030</v>
      </c>
      <c r="E347" s="116">
        <v>1030</v>
      </c>
      <c r="F347" s="116">
        <v>1030</v>
      </c>
      <c r="G347">
        <v>112</v>
      </c>
      <c r="H347" s="116"/>
      <c r="I347" s="116"/>
      <c r="L347" s="170">
        <v>42514</v>
      </c>
      <c r="M347" s="116">
        <v>227.13000000000002</v>
      </c>
      <c r="N347" s="116">
        <v>236.38000000000002</v>
      </c>
      <c r="O347" s="116">
        <v>226.8</v>
      </c>
      <c r="P347" s="116">
        <v>236.38000000000002</v>
      </c>
      <c r="Q347" s="116">
        <v>1135.6500000000001</v>
      </c>
      <c r="R347">
        <v>22126</v>
      </c>
    </row>
    <row r="348" spans="1:18" x14ac:dyDescent="0.25">
      <c r="A348" s="170">
        <v>42528</v>
      </c>
      <c r="B348" s="116">
        <v>1039</v>
      </c>
      <c r="C348" s="116">
        <v>1039</v>
      </c>
      <c r="D348" s="116">
        <v>1013.05</v>
      </c>
      <c r="E348" s="116">
        <v>1013.05</v>
      </c>
      <c r="F348" s="116">
        <v>1039</v>
      </c>
      <c r="G348">
        <v>91</v>
      </c>
      <c r="H348" s="116"/>
      <c r="I348" s="116"/>
      <c r="L348" s="170">
        <v>42515</v>
      </c>
      <c r="M348" s="116">
        <v>228.61999999999998</v>
      </c>
      <c r="N348" s="116">
        <v>232.98000000000002</v>
      </c>
      <c r="O348" s="116">
        <v>227</v>
      </c>
      <c r="P348" s="116">
        <v>229.98000000000002</v>
      </c>
      <c r="Q348" s="116">
        <v>1143.0999999999999</v>
      </c>
      <c r="R348">
        <v>19688</v>
      </c>
    </row>
    <row r="349" spans="1:18" x14ac:dyDescent="0.25">
      <c r="A349" s="170">
        <v>42529</v>
      </c>
      <c r="B349" s="116">
        <v>1040</v>
      </c>
      <c r="C349" s="116">
        <v>1039.95</v>
      </c>
      <c r="D349" s="116">
        <v>1030</v>
      </c>
      <c r="E349" s="116">
        <v>1030</v>
      </c>
      <c r="F349" s="116">
        <v>1039.95</v>
      </c>
      <c r="G349">
        <v>178</v>
      </c>
      <c r="H349" s="116"/>
      <c r="I349" s="116"/>
      <c r="L349" s="170">
        <v>42516</v>
      </c>
      <c r="M349" s="116">
        <v>233.76999999999998</v>
      </c>
      <c r="N349" s="116">
        <v>236.8</v>
      </c>
      <c r="O349" s="116">
        <v>226.35999999999999</v>
      </c>
      <c r="P349" s="116">
        <v>229.6</v>
      </c>
      <c r="Q349" s="116">
        <v>1168.8499999999999</v>
      </c>
      <c r="R349">
        <v>36972</v>
      </c>
    </row>
    <row r="350" spans="1:18" x14ac:dyDescent="0.25">
      <c r="A350" s="170">
        <v>42530</v>
      </c>
      <c r="B350" s="116">
        <v>1063.9000000000001</v>
      </c>
      <c r="C350" s="116">
        <v>1063.9000000000001</v>
      </c>
      <c r="D350" s="116">
        <v>1040</v>
      </c>
      <c r="E350" s="116">
        <v>1040.05</v>
      </c>
      <c r="F350" s="116">
        <v>1063.9000000000001</v>
      </c>
      <c r="G350">
        <v>116</v>
      </c>
      <c r="H350" s="116"/>
      <c r="I350" s="116"/>
      <c r="L350" s="170">
        <v>42517</v>
      </c>
      <c r="M350" s="116">
        <v>234.48000000000002</v>
      </c>
      <c r="N350" s="116">
        <v>239.6</v>
      </c>
      <c r="O350" s="116">
        <v>233.82</v>
      </c>
      <c r="P350" s="116">
        <v>233.98000000000002</v>
      </c>
      <c r="Q350" s="116">
        <v>1172.4000000000001</v>
      </c>
      <c r="R350">
        <v>31630</v>
      </c>
    </row>
    <row r="351" spans="1:18" x14ac:dyDescent="0.25">
      <c r="A351" s="170">
        <v>42531</v>
      </c>
      <c r="B351" s="116">
        <v>1060</v>
      </c>
      <c r="C351" s="116">
        <v>1058.5</v>
      </c>
      <c r="D351" s="116">
        <v>1049</v>
      </c>
      <c r="E351" s="116">
        <v>1059</v>
      </c>
      <c r="F351" s="116">
        <v>1058.5</v>
      </c>
      <c r="G351">
        <v>71</v>
      </c>
      <c r="H351" s="116"/>
      <c r="I351" s="116"/>
      <c r="L351" s="170">
        <v>42520</v>
      </c>
      <c r="M351" s="116">
        <v>235.10999999999999</v>
      </c>
      <c r="N351" s="116">
        <v>237.8</v>
      </c>
      <c r="O351" s="116">
        <v>232.32</v>
      </c>
      <c r="P351" s="116">
        <v>237.8</v>
      </c>
      <c r="Q351" s="116">
        <v>1175.55</v>
      </c>
      <c r="R351">
        <v>14655</v>
      </c>
    </row>
    <row r="352" spans="1:18" x14ac:dyDescent="0.25">
      <c r="A352" s="170">
        <v>42534</v>
      </c>
      <c r="B352" s="116">
        <v>1054.95</v>
      </c>
      <c r="C352" s="116">
        <v>1031.95</v>
      </c>
      <c r="D352" s="116">
        <v>1025</v>
      </c>
      <c r="E352" s="116">
        <v>1048.05</v>
      </c>
      <c r="F352" s="116">
        <v>1031.95</v>
      </c>
      <c r="G352">
        <v>185</v>
      </c>
      <c r="H352" s="116"/>
      <c r="I352" s="116"/>
      <c r="L352" s="170">
        <v>42521</v>
      </c>
      <c r="M352" s="116">
        <v>241.79000000000002</v>
      </c>
      <c r="N352" s="116">
        <v>244.8</v>
      </c>
      <c r="O352" s="116">
        <v>231.6</v>
      </c>
      <c r="P352" s="116">
        <v>235.98000000000002</v>
      </c>
      <c r="Q352" s="116">
        <v>1208.95</v>
      </c>
      <c r="R352">
        <v>77079</v>
      </c>
    </row>
    <row r="353" spans="1:18" x14ac:dyDescent="0.25">
      <c r="A353" s="170">
        <v>42535</v>
      </c>
      <c r="B353" s="116">
        <v>1066</v>
      </c>
      <c r="C353" s="116">
        <v>1032.05</v>
      </c>
      <c r="D353" s="116">
        <v>1022.15</v>
      </c>
      <c r="E353" s="116">
        <v>1022.15</v>
      </c>
      <c r="F353" s="116">
        <v>1032.05</v>
      </c>
      <c r="G353">
        <v>164</v>
      </c>
      <c r="H353" s="116"/>
      <c r="I353" s="116"/>
      <c r="L353" s="170">
        <v>42522</v>
      </c>
      <c r="M353" s="116">
        <v>241.73000000000002</v>
      </c>
      <c r="N353" s="116">
        <v>251.4</v>
      </c>
      <c r="O353" s="116">
        <v>239.45999999999998</v>
      </c>
      <c r="P353" s="116">
        <v>242.6</v>
      </c>
      <c r="Q353" s="116">
        <v>1208.6500000000001</v>
      </c>
      <c r="R353">
        <v>61383</v>
      </c>
    </row>
    <row r="354" spans="1:18" x14ac:dyDescent="0.25">
      <c r="A354" s="170">
        <v>42536</v>
      </c>
      <c r="B354" s="116">
        <v>1059.5</v>
      </c>
      <c r="C354" s="116">
        <v>1043.7</v>
      </c>
      <c r="D354" s="116">
        <v>1028.2</v>
      </c>
      <c r="E354" s="116">
        <v>1048.75</v>
      </c>
      <c r="F354" s="116">
        <v>1043.7</v>
      </c>
      <c r="G354">
        <v>285</v>
      </c>
      <c r="H354" s="116"/>
      <c r="I354" s="116"/>
      <c r="L354" s="170">
        <v>42523</v>
      </c>
      <c r="M354" s="116">
        <v>239.59</v>
      </c>
      <c r="N354" s="116">
        <v>244.98000000000002</v>
      </c>
      <c r="O354" s="116">
        <v>235.98000000000002</v>
      </c>
      <c r="P354" s="116">
        <v>242.59</v>
      </c>
      <c r="Q354" s="116">
        <v>1197.95</v>
      </c>
      <c r="R354">
        <v>23213</v>
      </c>
    </row>
    <row r="355" spans="1:18" x14ac:dyDescent="0.25">
      <c r="A355" s="170">
        <v>42537</v>
      </c>
      <c r="B355" s="116">
        <v>1049.95</v>
      </c>
      <c r="C355" s="116">
        <v>1049.95</v>
      </c>
      <c r="D355" s="116">
        <v>1027.4000000000001</v>
      </c>
      <c r="E355" s="116">
        <v>1030.05</v>
      </c>
      <c r="F355" s="116">
        <v>1049.95</v>
      </c>
      <c r="G355">
        <v>66</v>
      </c>
      <c r="H355" s="116"/>
      <c r="I355" s="116"/>
      <c r="L355" s="170">
        <v>42524</v>
      </c>
      <c r="M355" s="116">
        <v>243.51999999999998</v>
      </c>
      <c r="N355" s="116">
        <v>249.6</v>
      </c>
      <c r="O355" s="116">
        <v>239.6</v>
      </c>
      <c r="P355" s="116">
        <v>239.6</v>
      </c>
      <c r="Q355" s="116">
        <v>1217.5999999999999</v>
      </c>
      <c r="R355">
        <v>31904</v>
      </c>
    </row>
    <row r="356" spans="1:18" x14ac:dyDescent="0.25">
      <c r="A356" s="170">
        <v>42538</v>
      </c>
      <c r="B356" s="116">
        <v>1040</v>
      </c>
      <c r="C356" s="116">
        <v>1033</v>
      </c>
      <c r="D356" s="116">
        <v>1030.5</v>
      </c>
      <c r="E356" s="116">
        <v>1040</v>
      </c>
      <c r="F356" s="116">
        <v>1033</v>
      </c>
      <c r="G356">
        <v>69</v>
      </c>
      <c r="H356" s="116"/>
      <c r="I356" s="116"/>
      <c r="L356" s="170">
        <v>42527</v>
      </c>
      <c r="M356" s="116">
        <v>247.61999999999998</v>
      </c>
      <c r="N356" s="116">
        <v>252.2</v>
      </c>
      <c r="O356" s="116">
        <v>243.35999999999999</v>
      </c>
      <c r="P356" s="116">
        <v>243.4</v>
      </c>
      <c r="Q356" s="116">
        <v>1238.0999999999999</v>
      </c>
      <c r="R356">
        <v>62301</v>
      </c>
    </row>
    <row r="357" spans="1:18" x14ac:dyDescent="0.25">
      <c r="A357" s="170">
        <v>42541</v>
      </c>
      <c r="B357" s="116">
        <v>1056</v>
      </c>
      <c r="C357" s="116">
        <v>1035.9000000000001</v>
      </c>
      <c r="D357" s="116">
        <v>1031.05</v>
      </c>
      <c r="E357" s="116">
        <v>1040</v>
      </c>
      <c r="F357" s="116">
        <v>1035.9000000000001</v>
      </c>
      <c r="G357">
        <v>133</v>
      </c>
      <c r="H357" s="116"/>
      <c r="I357" s="116"/>
      <c r="L357" s="170">
        <v>42528</v>
      </c>
      <c r="M357" s="116">
        <v>242.8</v>
      </c>
      <c r="N357" s="116">
        <v>251.01</v>
      </c>
      <c r="O357" s="116">
        <v>241.8</v>
      </c>
      <c r="P357" s="116">
        <v>248.45</v>
      </c>
      <c r="Q357" s="116">
        <v>1214</v>
      </c>
      <c r="R357">
        <v>30193</v>
      </c>
    </row>
    <row r="358" spans="1:18" x14ac:dyDescent="0.25">
      <c r="A358" s="170">
        <v>42542</v>
      </c>
      <c r="B358" s="116">
        <v>1064.95</v>
      </c>
      <c r="C358" s="116">
        <v>1064.95</v>
      </c>
      <c r="D358" s="116">
        <v>1042</v>
      </c>
      <c r="E358" s="116">
        <v>1053.4000000000001</v>
      </c>
      <c r="F358" s="116">
        <v>1064.95</v>
      </c>
      <c r="G358">
        <v>70</v>
      </c>
      <c r="H358" s="116"/>
      <c r="I358" s="116"/>
      <c r="L358" s="170">
        <v>42529</v>
      </c>
      <c r="M358" s="116">
        <v>242.8</v>
      </c>
      <c r="N358" s="116">
        <v>245.66</v>
      </c>
      <c r="O358" s="116">
        <v>241.2</v>
      </c>
      <c r="P358" s="116">
        <v>243.06</v>
      </c>
      <c r="Q358" s="116">
        <v>1214</v>
      </c>
      <c r="R358">
        <v>21323</v>
      </c>
    </row>
    <row r="359" spans="1:18" x14ac:dyDescent="0.25">
      <c r="A359" s="170">
        <v>42543</v>
      </c>
      <c r="B359" s="116">
        <v>1100</v>
      </c>
      <c r="C359" s="116">
        <v>1085</v>
      </c>
      <c r="D359" s="116">
        <v>1064.95</v>
      </c>
      <c r="E359" s="116">
        <v>1064.95</v>
      </c>
      <c r="F359" s="116">
        <v>1085</v>
      </c>
      <c r="G359">
        <v>184</v>
      </c>
      <c r="H359" s="116"/>
      <c r="I359" s="116"/>
      <c r="L359" s="170">
        <v>42530</v>
      </c>
      <c r="M359" s="116">
        <v>240.55</v>
      </c>
      <c r="N359" s="116">
        <v>245.8</v>
      </c>
      <c r="O359" s="116">
        <v>239.45999999999998</v>
      </c>
      <c r="P359" s="116">
        <v>245.8</v>
      </c>
      <c r="Q359" s="116">
        <v>1202.75</v>
      </c>
      <c r="R359">
        <v>17417</v>
      </c>
    </row>
    <row r="360" spans="1:18" x14ac:dyDescent="0.25">
      <c r="A360" s="170">
        <v>42544</v>
      </c>
      <c r="B360" s="116">
        <v>1092</v>
      </c>
      <c r="C360" s="116">
        <v>1046.5999999999999</v>
      </c>
      <c r="D360" s="116">
        <v>1035</v>
      </c>
      <c r="E360" s="116">
        <v>1092</v>
      </c>
      <c r="F360" s="116">
        <v>1046.5999999999999</v>
      </c>
      <c r="G360">
        <v>106</v>
      </c>
      <c r="H360" s="116"/>
      <c r="I360" s="116"/>
      <c r="L360" s="170">
        <v>42531</v>
      </c>
      <c r="M360" s="116">
        <v>234.95999999999998</v>
      </c>
      <c r="N360" s="116">
        <v>240</v>
      </c>
      <c r="O360" s="116">
        <v>233.6</v>
      </c>
      <c r="P360" s="116">
        <v>239.99</v>
      </c>
      <c r="Q360" s="116">
        <v>1174.8</v>
      </c>
      <c r="R360">
        <v>32932</v>
      </c>
    </row>
    <row r="361" spans="1:18" x14ac:dyDescent="0.25">
      <c r="A361" s="170">
        <v>42545</v>
      </c>
      <c r="B361" s="116">
        <v>1079.95</v>
      </c>
      <c r="C361" s="116">
        <v>1030.0999999999999</v>
      </c>
      <c r="D361" s="116">
        <v>1020</v>
      </c>
      <c r="E361" s="116">
        <v>1079.95</v>
      </c>
      <c r="F361" s="116">
        <v>1030.0999999999999</v>
      </c>
      <c r="G361">
        <v>79</v>
      </c>
      <c r="H361" s="116"/>
      <c r="I361" s="116"/>
      <c r="L361" s="170">
        <v>42534</v>
      </c>
      <c r="M361" s="116">
        <v>236.43</v>
      </c>
      <c r="N361" s="116">
        <v>237.6</v>
      </c>
      <c r="O361" s="116">
        <v>231.63000000000002</v>
      </c>
      <c r="P361" s="116">
        <v>233.92</v>
      </c>
      <c r="Q361" s="116">
        <v>1182.1500000000001</v>
      </c>
      <c r="R361">
        <v>13268</v>
      </c>
    </row>
    <row r="362" spans="1:18" x14ac:dyDescent="0.25">
      <c r="A362" s="170">
        <v>42548</v>
      </c>
      <c r="B362" s="116">
        <v>1036</v>
      </c>
      <c r="C362" s="116">
        <v>1033.0999999999999</v>
      </c>
      <c r="D362" s="116">
        <v>1032</v>
      </c>
      <c r="E362" s="116">
        <v>1036</v>
      </c>
      <c r="F362" s="116">
        <v>1033.0999999999999</v>
      </c>
      <c r="G362">
        <v>204</v>
      </c>
      <c r="H362" s="116"/>
      <c r="I362" s="116"/>
      <c r="L362" s="170">
        <v>42535</v>
      </c>
      <c r="M362" s="116">
        <v>235.53000000000003</v>
      </c>
      <c r="N362" s="116">
        <v>238.5</v>
      </c>
      <c r="O362" s="116">
        <v>234.48000000000002</v>
      </c>
      <c r="P362" s="116">
        <v>236.68</v>
      </c>
      <c r="Q362" s="116">
        <v>1177.6500000000001</v>
      </c>
      <c r="R362">
        <v>12082</v>
      </c>
    </row>
    <row r="363" spans="1:18" x14ac:dyDescent="0.25">
      <c r="A363" s="170">
        <v>42549</v>
      </c>
      <c r="B363" s="116">
        <v>1060</v>
      </c>
      <c r="C363" s="116">
        <v>1040</v>
      </c>
      <c r="D363" s="116">
        <v>1040</v>
      </c>
      <c r="E363" s="116">
        <v>1060</v>
      </c>
      <c r="F363" s="116">
        <v>1040</v>
      </c>
      <c r="G363">
        <v>46</v>
      </c>
      <c r="H363" s="116"/>
      <c r="I363" s="116"/>
      <c r="L363" s="170">
        <v>42536</v>
      </c>
      <c r="M363" s="116">
        <v>236.1</v>
      </c>
      <c r="N363" s="116">
        <v>241</v>
      </c>
      <c r="O363" s="116">
        <v>235</v>
      </c>
      <c r="P363" s="116">
        <v>237.6</v>
      </c>
      <c r="Q363" s="116">
        <v>1180.5</v>
      </c>
      <c r="R363">
        <v>16170</v>
      </c>
    </row>
    <row r="364" spans="1:18" x14ac:dyDescent="0.25">
      <c r="A364" s="170">
        <v>42550</v>
      </c>
      <c r="B364" s="116">
        <v>1064.95</v>
      </c>
      <c r="C364" s="116">
        <v>1050</v>
      </c>
      <c r="D364" s="116">
        <v>1050</v>
      </c>
      <c r="E364" s="116">
        <v>1064.95</v>
      </c>
      <c r="F364" s="116">
        <v>1050</v>
      </c>
      <c r="G364">
        <v>115</v>
      </c>
      <c r="H364" s="116"/>
      <c r="I364" s="116"/>
      <c r="L364" s="170">
        <v>42537</v>
      </c>
      <c r="M364" s="116">
        <v>235.69</v>
      </c>
      <c r="N364" s="116">
        <v>239.01</v>
      </c>
      <c r="O364" s="116">
        <v>234.66</v>
      </c>
      <c r="P364" s="116">
        <v>236.36999999999998</v>
      </c>
      <c r="Q364" s="116">
        <v>1178.45</v>
      </c>
      <c r="R364">
        <v>14444</v>
      </c>
    </row>
    <row r="365" spans="1:18" x14ac:dyDescent="0.25">
      <c r="A365" s="170">
        <v>42551</v>
      </c>
      <c r="B365" s="116">
        <v>1080</v>
      </c>
      <c r="C365" s="116">
        <v>1060</v>
      </c>
      <c r="D365" s="116">
        <v>1046</v>
      </c>
      <c r="E365" s="116">
        <v>1065</v>
      </c>
      <c r="F365" s="116">
        <v>1060</v>
      </c>
      <c r="G365">
        <v>314</v>
      </c>
      <c r="H365" s="116"/>
      <c r="I365" s="116"/>
      <c r="L365" s="170">
        <v>42538</v>
      </c>
      <c r="M365" s="116">
        <v>231.94</v>
      </c>
      <c r="N365" s="116">
        <v>237.60999999999999</v>
      </c>
      <c r="O365" s="116">
        <v>230.36999999999998</v>
      </c>
      <c r="P365" s="116">
        <v>237.55</v>
      </c>
      <c r="Q365" s="116">
        <v>1159.7</v>
      </c>
      <c r="R365">
        <v>15265</v>
      </c>
    </row>
    <row r="366" spans="1:18" x14ac:dyDescent="0.25">
      <c r="A366" s="170">
        <v>42552</v>
      </c>
      <c r="B366" s="116">
        <v>1113</v>
      </c>
      <c r="C366" s="116">
        <v>1104.7</v>
      </c>
      <c r="D366" s="116">
        <v>1060</v>
      </c>
      <c r="E366" s="116">
        <v>1100</v>
      </c>
      <c r="F366" s="116">
        <v>1104.7</v>
      </c>
      <c r="G366">
        <v>701</v>
      </c>
      <c r="H366" s="116"/>
      <c r="I366" s="116"/>
      <c r="L366" s="170">
        <v>42541</v>
      </c>
      <c r="M366" s="116">
        <v>231.19</v>
      </c>
      <c r="N366" s="116">
        <v>233.2</v>
      </c>
      <c r="O366" s="116">
        <v>229.11999999999998</v>
      </c>
      <c r="P366" s="116">
        <v>229.98000000000002</v>
      </c>
      <c r="Q366" s="116">
        <v>1155.95</v>
      </c>
      <c r="R366">
        <v>20170</v>
      </c>
    </row>
    <row r="367" spans="1:18" x14ac:dyDescent="0.25">
      <c r="A367" s="170">
        <v>42555</v>
      </c>
      <c r="B367" s="116">
        <v>1129.95</v>
      </c>
      <c r="C367" s="116">
        <v>1119</v>
      </c>
      <c r="D367" s="116">
        <v>1065.05</v>
      </c>
      <c r="E367" s="116">
        <v>1065.05</v>
      </c>
      <c r="F367" s="116">
        <v>1119</v>
      </c>
      <c r="G367">
        <v>337</v>
      </c>
      <c r="H367" s="116"/>
      <c r="I367" s="116"/>
      <c r="L367" s="170">
        <v>42542</v>
      </c>
      <c r="M367" s="116">
        <v>229.01999999999998</v>
      </c>
      <c r="N367" s="116">
        <v>232.81</v>
      </c>
      <c r="O367" s="116">
        <v>228.2</v>
      </c>
      <c r="P367" s="116">
        <v>232.81</v>
      </c>
      <c r="Q367" s="116">
        <v>1145.0999999999999</v>
      </c>
      <c r="R367">
        <v>19580</v>
      </c>
    </row>
    <row r="368" spans="1:18" x14ac:dyDescent="0.25">
      <c r="A368" s="170">
        <v>42556</v>
      </c>
      <c r="B368" s="116">
        <v>1144.25</v>
      </c>
      <c r="C368" s="116">
        <v>1103</v>
      </c>
      <c r="D368" s="116">
        <v>1092.0999999999999</v>
      </c>
      <c r="E368" s="116">
        <v>1144.25</v>
      </c>
      <c r="F368" s="116">
        <v>1103</v>
      </c>
      <c r="G368">
        <v>66</v>
      </c>
      <c r="H368" s="116"/>
      <c r="I368" s="116"/>
      <c r="L368" s="170">
        <v>42543</v>
      </c>
      <c r="M368" s="116">
        <v>224.55</v>
      </c>
      <c r="N368" s="116">
        <v>231.8</v>
      </c>
      <c r="O368" s="116">
        <v>223.6</v>
      </c>
      <c r="P368" s="116">
        <v>231.8</v>
      </c>
      <c r="Q368" s="116">
        <v>1122.75</v>
      </c>
      <c r="R368">
        <v>24850</v>
      </c>
    </row>
    <row r="369" spans="1:18" x14ac:dyDescent="0.25">
      <c r="A369" s="170">
        <v>42558</v>
      </c>
      <c r="B369" s="116">
        <v>1133.95</v>
      </c>
      <c r="C369" s="116">
        <v>1133.95</v>
      </c>
      <c r="D369" s="116">
        <v>1082.2</v>
      </c>
      <c r="E369" s="116">
        <v>1120</v>
      </c>
      <c r="F369" s="116">
        <v>1133.95</v>
      </c>
      <c r="G369">
        <v>34</v>
      </c>
      <c r="H369" s="116"/>
      <c r="I369" s="116"/>
      <c r="L369" s="170">
        <v>42544</v>
      </c>
      <c r="M369" s="116">
        <v>230.55</v>
      </c>
      <c r="N369" s="116">
        <v>232.19</v>
      </c>
      <c r="O369" s="116">
        <v>221.3</v>
      </c>
      <c r="P369" s="116">
        <v>224.55</v>
      </c>
      <c r="Q369" s="116">
        <v>1152.75</v>
      </c>
      <c r="R369">
        <v>21203</v>
      </c>
    </row>
    <row r="370" spans="1:18" x14ac:dyDescent="0.25">
      <c r="A370" s="170">
        <v>42559</v>
      </c>
      <c r="B370" s="116">
        <v>1144.5</v>
      </c>
      <c r="C370" s="116">
        <v>1135</v>
      </c>
      <c r="D370" s="116">
        <v>1116.5</v>
      </c>
      <c r="E370" s="116">
        <v>1138.95</v>
      </c>
      <c r="F370" s="116">
        <v>1135</v>
      </c>
      <c r="G370">
        <v>127</v>
      </c>
      <c r="H370" s="116"/>
      <c r="I370" s="116"/>
      <c r="L370" s="170">
        <v>42545</v>
      </c>
      <c r="M370" s="116">
        <v>233.14000000000001</v>
      </c>
      <c r="N370" s="116">
        <v>234.04000000000002</v>
      </c>
      <c r="O370" s="116">
        <v>216.4</v>
      </c>
      <c r="P370" s="116">
        <v>227.14000000000001</v>
      </c>
      <c r="Q370" s="116">
        <v>1165.7</v>
      </c>
      <c r="R370">
        <v>34130</v>
      </c>
    </row>
    <row r="371" spans="1:18" x14ac:dyDescent="0.25">
      <c r="A371" s="170">
        <v>42562</v>
      </c>
      <c r="B371" s="116">
        <v>1149.75</v>
      </c>
      <c r="C371" s="116">
        <v>1120</v>
      </c>
      <c r="D371" s="116">
        <v>1115</v>
      </c>
      <c r="E371" s="116">
        <v>1135</v>
      </c>
      <c r="F371" s="116">
        <v>1120</v>
      </c>
      <c r="G371">
        <v>237</v>
      </c>
      <c r="H371" s="116"/>
      <c r="I371" s="116"/>
      <c r="L371" s="170">
        <v>42548</v>
      </c>
      <c r="M371" s="116">
        <v>233.42</v>
      </c>
      <c r="N371" s="116">
        <v>236</v>
      </c>
      <c r="O371" s="116">
        <v>229.28000000000003</v>
      </c>
      <c r="P371" s="116">
        <v>229.28000000000003</v>
      </c>
      <c r="Q371" s="116">
        <v>1167.0999999999999</v>
      </c>
      <c r="R371">
        <v>20324</v>
      </c>
    </row>
    <row r="372" spans="1:18" x14ac:dyDescent="0.25">
      <c r="A372" s="170">
        <v>42563</v>
      </c>
      <c r="B372" s="116">
        <v>1138.95</v>
      </c>
      <c r="C372" s="116">
        <v>1115.45</v>
      </c>
      <c r="D372" s="116">
        <v>1114</v>
      </c>
      <c r="E372" s="116">
        <v>1138.95</v>
      </c>
      <c r="F372" s="116">
        <v>1115.45</v>
      </c>
      <c r="G372">
        <v>84</v>
      </c>
      <c r="H372" s="116"/>
      <c r="I372" s="116"/>
      <c r="L372" s="170">
        <v>42549</v>
      </c>
      <c r="M372" s="116">
        <v>234.21999999999997</v>
      </c>
      <c r="N372" s="116">
        <v>236.8</v>
      </c>
      <c r="O372" s="116">
        <v>231.5</v>
      </c>
      <c r="P372" s="116">
        <v>234.75</v>
      </c>
      <c r="Q372" s="116">
        <v>1171.0999999999999</v>
      </c>
      <c r="R372">
        <v>40802</v>
      </c>
    </row>
    <row r="373" spans="1:18" x14ac:dyDescent="0.25">
      <c r="A373" s="170">
        <v>42564</v>
      </c>
      <c r="B373" s="116">
        <v>1114</v>
      </c>
      <c r="C373" s="116">
        <v>1103.95</v>
      </c>
      <c r="D373" s="116">
        <v>1080</v>
      </c>
      <c r="E373" s="116">
        <v>1114</v>
      </c>
      <c r="F373" s="116">
        <v>1103.95</v>
      </c>
      <c r="G373">
        <v>387</v>
      </c>
      <c r="H373" s="116"/>
      <c r="I373" s="116"/>
      <c r="L373" s="170">
        <v>42550</v>
      </c>
      <c r="M373" s="116">
        <v>244.2</v>
      </c>
      <c r="N373" s="116">
        <v>245.32</v>
      </c>
      <c r="O373" s="116">
        <v>233.4</v>
      </c>
      <c r="P373" s="116">
        <v>234.21999999999997</v>
      </c>
      <c r="Q373" s="116">
        <v>1221</v>
      </c>
      <c r="R373">
        <v>64242</v>
      </c>
    </row>
    <row r="374" spans="1:18" x14ac:dyDescent="0.25">
      <c r="A374" s="170">
        <v>42565</v>
      </c>
      <c r="B374" s="116">
        <v>1110</v>
      </c>
      <c r="C374" s="116">
        <v>1107.95</v>
      </c>
      <c r="D374" s="116">
        <v>1088</v>
      </c>
      <c r="E374" s="116">
        <v>1100</v>
      </c>
      <c r="F374" s="116">
        <v>1107.95</v>
      </c>
      <c r="G374">
        <v>68</v>
      </c>
      <c r="H374" s="116"/>
      <c r="I374" s="116"/>
      <c r="L374" s="170">
        <v>42551</v>
      </c>
      <c r="M374" s="116">
        <v>244.45</v>
      </c>
      <c r="N374" s="116">
        <v>246.8</v>
      </c>
      <c r="O374" s="116">
        <v>242</v>
      </c>
      <c r="P374" s="116">
        <v>244.4</v>
      </c>
      <c r="Q374" s="116">
        <v>1222.25</v>
      </c>
      <c r="R374">
        <v>73943</v>
      </c>
    </row>
    <row r="375" spans="1:18" x14ac:dyDescent="0.25">
      <c r="A375" s="170">
        <v>42566</v>
      </c>
      <c r="B375" s="116">
        <v>1100</v>
      </c>
      <c r="C375" s="116">
        <v>1084.4000000000001</v>
      </c>
      <c r="D375" s="116">
        <v>1084.4000000000001</v>
      </c>
      <c r="E375" s="116">
        <v>1100</v>
      </c>
      <c r="F375" s="116">
        <v>1084.4000000000001</v>
      </c>
      <c r="G375">
        <v>112</v>
      </c>
      <c r="H375" s="116"/>
      <c r="I375" s="116"/>
      <c r="L375" s="170">
        <v>42552</v>
      </c>
      <c r="M375" s="116">
        <v>243.85</v>
      </c>
      <c r="N375" s="116">
        <v>246.79000000000002</v>
      </c>
      <c r="O375" s="116">
        <v>242.2</v>
      </c>
      <c r="P375" s="116">
        <v>245.99</v>
      </c>
      <c r="Q375" s="116">
        <v>1219.25</v>
      </c>
      <c r="R375">
        <v>49432</v>
      </c>
    </row>
    <row r="376" spans="1:18" x14ac:dyDescent="0.25">
      <c r="A376" s="170">
        <v>42569</v>
      </c>
      <c r="B376" s="116">
        <v>1114.95</v>
      </c>
      <c r="C376" s="116">
        <v>1101</v>
      </c>
      <c r="D376" s="116">
        <v>1100</v>
      </c>
      <c r="E376" s="116">
        <v>1114.95</v>
      </c>
      <c r="F376" s="116">
        <v>1101</v>
      </c>
      <c r="G376">
        <v>24</v>
      </c>
      <c r="H376" s="116"/>
      <c r="I376" s="116"/>
      <c r="L376" s="170">
        <v>42555</v>
      </c>
      <c r="M376" s="116">
        <v>242.51999999999998</v>
      </c>
      <c r="N376" s="116">
        <v>247.76</v>
      </c>
      <c r="O376" s="116">
        <v>241.25</v>
      </c>
      <c r="P376" s="116">
        <v>244</v>
      </c>
      <c r="Q376" s="116">
        <v>1212.5999999999999</v>
      </c>
      <c r="R376">
        <v>20915</v>
      </c>
    </row>
    <row r="377" spans="1:18" x14ac:dyDescent="0.25">
      <c r="A377" s="170">
        <v>42570</v>
      </c>
      <c r="B377" s="116">
        <v>1129.95</v>
      </c>
      <c r="C377" s="116">
        <v>1099.55</v>
      </c>
      <c r="D377" s="116">
        <v>1082.1500000000001</v>
      </c>
      <c r="E377" s="116">
        <v>1129.95</v>
      </c>
      <c r="F377" s="116">
        <v>1099.55</v>
      </c>
      <c r="G377">
        <v>68</v>
      </c>
      <c r="H377" s="116"/>
      <c r="I377" s="116"/>
      <c r="L377" s="170">
        <v>42556</v>
      </c>
      <c r="M377" s="116">
        <v>237.9</v>
      </c>
      <c r="N377" s="116">
        <v>242.3</v>
      </c>
      <c r="O377" s="116">
        <v>237</v>
      </c>
      <c r="P377" s="116">
        <v>240</v>
      </c>
      <c r="Q377" s="116">
        <v>1189.5</v>
      </c>
      <c r="R377">
        <v>17158</v>
      </c>
    </row>
    <row r="378" spans="1:18" x14ac:dyDescent="0.25">
      <c r="A378" s="170">
        <v>42571</v>
      </c>
      <c r="B378" s="116">
        <v>1124.95</v>
      </c>
      <c r="C378" s="116">
        <v>1102.5999999999999</v>
      </c>
      <c r="D378" s="116">
        <v>1101.05</v>
      </c>
      <c r="E378" s="116">
        <v>1124.95</v>
      </c>
      <c r="F378" s="116">
        <v>1102.5999999999999</v>
      </c>
      <c r="G378">
        <v>33</v>
      </c>
      <c r="H378" s="116"/>
      <c r="I378" s="116"/>
      <c r="L378" s="170">
        <v>42558</v>
      </c>
      <c r="M378" s="116">
        <v>241.55</v>
      </c>
      <c r="N378" s="116">
        <v>244.19</v>
      </c>
      <c r="O378" s="116">
        <v>238.2</v>
      </c>
      <c r="P378" s="116">
        <v>238.2</v>
      </c>
      <c r="Q378" s="116">
        <v>1207.75</v>
      </c>
      <c r="R378">
        <v>23219</v>
      </c>
    </row>
    <row r="379" spans="1:18" x14ac:dyDescent="0.25">
      <c r="A379" s="170">
        <v>42572</v>
      </c>
      <c r="B379" s="116">
        <v>1111.5</v>
      </c>
      <c r="C379" s="116">
        <v>1111</v>
      </c>
      <c r="D379" s="116">
        <v>1077.8</v>
      </c>
      <c r="E379" s="116">
        <v>1102.1500000000001</v>
      </c>
      <c r="F379" s="116">
        <v>1111</v>
      </c>
      <c r="G379">
        <v>155</v>
      </c>
      <c r="H379" s="116"/>
      <c r="I379" s="116"/>
      <c r="L379" s="170">
        <v>42559</v>
      </c>
      <c r="M379" s="116">
        <v>243.3</v>
      </c>
      <c r="N379" s="116">
        <v>244.8</v>
      </c>
      <c r="O379" s="116">
        <v>240</v>
      </c>
      <c r="P379" s="116">
        <v>241</v>
      </c>
      <c r="Q379" s="116">
        <v>1216.5</v>
      </c>
      <c r="R379">
        <v>18941</v>
      </c>
    </row>
    <row r="380" spans="1:18" x14ac:dyDescent="0.25">
      <c r="A380" s="170">
        <v>42573</v>
      </c>
      <c r="B380" s="116">
        <v>1127.75</v>
      </c>
      <c r="C380" s="116">
        <v>1084.5</v>
      </c>
      <c r="D380" s="116">
        <v>1081.55</v>
      </c>
      <c r="E380" s="116">
        <v>1110.9000000000001</v>
      </c>
      <c r="F380" s="116">
        <v>1084.5</v>
      </c>
      <c r="G380">
        <v>52</v>
      </c>
      <c r="H380" s="116"/>
      <c r="I380" s="116"/>
      <c r="L380" s="170">
        <v>42562</v>
      </c>
      <c r="M380" s="116">
        <v>243.60999999999999</v>
      </c>
      <c r="N380" s="116">
        <v>246</v>
      </c>
      <c r="O380" s="116">
        <v>242.39000000000001</v>
      </c>
      <c r="P380" s="116">
        <v>244.01</v>
      </c>
      <c r="Q380" s="116">
        <v>1218.05</v>
      </c>
      <c r="R380">
        <v>140220</v>
      </c>
    </row>
    <row r="381" spans="1:18" x14ac:dyDescent="0.25">
      <c r="A381" s="170">
        <v>42576</v>
      </c>
      <c r="B381" s="116">
        <v>1138.7</v>
      </c>
      <c r="C381" s="116">
        <v>1136.0999999999999</v>
      </c>
      <c r="D381" s="116">
        <v>1084</v>
      </c>
      <c r="E381" s="116">
        <v>1086.2</v>
      </c>
      <c r="F381" s="116">
        <v>1136.0999999999999</v>
      </c>
      <c r="G381">
        <v>810</v>
      </c>
      <c r="H381" s="116"/>
      <c r="I381" s="116"/>
      <c r="L381" s="170">
        <v>42563</v>
      </c>
      <c r="M381" s="116">
        <v>244.45999999999998</v>
      </c>
      <c r="N381" s="116">
        <v>246</v>
      </c>
      <c r="O381" s="116">
        <v>243.8</v>
      </c>
      <c r="P381" s="116">
        <v>245</v>
      </c>
      <c r="Q381" s="116">
        <v>1222.3</v>
      </c>
      <c r="R381">
        <v>29936</v>
      </c>
    </row>
    <row r="382" spans="1:18" x14ac:dyDescent="0.25">
      <c r="A382" s="170">
        <v>42577</v>
      </c>
      <c r="B382" s="116">
        <v>1135</v>
      </c>
      <c r="C382" s="116">
        <v>1106.5999999999999</v>
      </c>
      <c r="D382" s="116">
        <v>1100</v>
      </c>
      <c r="E382" s="116">
        <v>1135</v>
      </c>
      <c r="F382" s="116">
        <v>1106.5999999999999</v>
      </c>
      <c r="G382">
        <v>592</v>
      </c>
      <c r="H382" s="116"/>
      <c r="I382" s="116"/>
      <c r="L382" s="170">
        <v>42564</v>
      </c>
      <c r="M382" s="116">
        <v>243.71999999999997</v>
      </c>
      <c r="N382" s="116">
        <v>245.95999999999998</v>
      </c>
      <c r="O382" s="116">
        <v>240.01</v>
      </c>
      <c r="P382" s="116">
        <v>245.95999999999998</v>
      </c>
      <c r="Q382" s="116">
        <v>1218.5999999999999</v>
      </c>
      <c r="R382">
        <v>26511</v>
      </c>
    </row>
    <row r="383" spans="1:18" x14ac:dyDescent="0.25">
      <c r="A383" s="170">
        <v>42578</v>
      </c>
      <c r="B383" s="116">
        <v>1125</v>
      </c>
      <c r="C383" s="116">
        <v>1125</v>
      </c>
      <c r="D383" s="116">
        <v>1115</v>
      </c>
      <c r="E383" s="116">
        <v>1115</v>
      </c>
      <c r="F383" s="116">
        <v>1125</v>
      </c>
      <c r="G383">
        <v>219</v>
      </c>
      <c r="H383" s="116"/>
      <c r="I383" s="116"/>
      <c r="L383" s="170">
        <v>42565</v>
      </c>
      <c r="M383" s="116">
        <v>246.51999999999998</v>
      </c>
      <c r="N383" s="116">
        <v>255.45999999999998</v>
      </c>
      <c r="O383" s="116">
        <v>243</v>
      </c>
      <c r="P383" s="116">
        <v>245.01999999999998</v>
      </c>
      <c r="Q383" s="116">
        <v>1232.5999999999999</v>
      </c>
      <c r="R383">
        <v>281509</v>
      </c>
    </row>
    <row r="384" spans="1:18" x14ac:dyDescent="0.25">
      <c r="A384" s="170">
        <v>42579</v>
      </c>
      <c r="B384" s="116">
        <v>1103.5</v>
      </c>
      <c r="C384" s="116">
        <v>1093.9000000000001</v>
      </c>
      <c r="D384" s="116">
        <v>1090</v>
      </c>
      <c r="E384" s="116">
        <v>1102.6500000000001</v>
      </c>
      <c r="F384" s="116">
        <v>1093.9000000000001</v>
      </c>
      <c r="G384">
        <v>591</v>
      </c>
      <c r="H384" s="116"/>
      <c r="I384" s="116"/>
      <c r="L384" s="170">
        <v>42566</v>
      </c>
      <c r="M384" s="116">
        <v>251.29000000000002</v>
      </c>
      <c r="N384" s="116">
        <v>252</v>
      </c>
      <c r="O384" s="116">
        <v>247.18</v>
      </c>
      <c r="P384" s="116">
        <v>249.2</v>
      </c>
      <c r="Q384" s="116">
        <v>1256.45</v>
      </c>
      <c r="R384">
        <v>98764</v>
      </c>
    </row>
    <row r="385" spans="1:18" x14ac:dyDescent="0.25">
      <c r="A385" s="170">
        <v>42580</v>
      </c>
      <c r="B385" s="116">
        <v>1113.9000000000001</v>
      </c>
      <c r="C385" s="116">
        <v>1097.4000000000001</v>
      </c>
      <c r="D385" s="116">
        <v>1081.2</v>
      </c>
      <c r="E385" s="116">
        <v>1081.2</v>
      </c>
      <c r="F385" s="116">
        <v>1097.4000000000001</v>
      </c>
      <c r="G385">
        <v>148</v>
      </c>
      <c r="H385" s="116"/>
      <c r="I385" s="116"/>
      <c r="L385" s="170">
        <v>42569</v>
      </c>
      <c r="M385" s="116">
        <v>249.3</v>
      </c>
      <c r="N385" s="116">
        <v>252.99</v>
      </c>
      <c r="O385" s="116">
        <v>247.42</v>
      </c>
      <c r="P385" s="116">
        <v>252</v>
      </c>
      <c r="Q385" s="116">
        <v>1246.5</v>
      </c>
      <c r="R385">
        <v>47294</v>
      </c>
    </row>
    <row r="386" spans="1:18" x14ac:dyDescent="0.25">
      <c r="A386" s="170">
        <v>42583</v>
      </c>
      <c r="B386" s="116">
        <v>1113.95</v>
      </c>
      <c r="C386" s="116">
        <v>1113.95</v>
      </c>
      <c r="D386" s="116">
        <v>1091</v>
      </c>
      <c r="E386" s="116">
        <v>1110</v>
      </c>
      <c r="F386" s="116">
        <v>1113.95</v>
      </c>
      <c r="G386">
        <v>188</v>
      </c>
      <c r="H386" s="116"/>
      <c r="I386" s="116"/>
      <c r="L386" s="170">
        <v>42570</v>
      </c>
      <c r="M386" s="116">
        <v>248.93</v>
      </c>
      <c r="N386" s="116">
        <v>251.6</v>
      </c>
      <c r="O386" s="116">
        <v>246.89000000000001</v>
      </c>
      <c r="P386" s="116">
        <v>248.8</v>
      </c>
      <c r="Q386" s="116">
        <v>1244.6500000000001</v>
      </c>
      <c r="R386">
        <v>24280</v>
      </c>
    </row>
    <row r="387" spans="1:18" x14ac:dyDescent="0.25">
      <c r="A387" s="170">
        <v>42584</v>
      </c>
      <c r="B387" s="116">
        <v>1110</v>
      </c>
      <c r="C387" s="116">
        <v>1083</v>
      </c>
      <c r="D387" s="116">
        <v>1082</v>
      </c>
      <c r="E387" s="116">
        <v>1110</v>
      </c>
      <c r="F387" s="116">
        <v>1083</v>
      </c>
      <c r="G387">
        <v>71</v>
      </c>
      <c r="H387" s="116"/>
      <c r="I387" s="116"/>
      <c r="L387" s="170">
        <v>42571</v>
      </c>
      <c r="M387" s="116">
        <v>253.9</v>
      </c>
      <c r="N387" s="116">
        <v>255.71999999999997</v>
      </c>
      <c r="O387" s="116">
        <v>249.2</v>
      </c>
      <c r="P387" s="116">
        <v>250.8</v>
      </c>
      <c r="Q387" s="116">
        <v>1269.5</v>
      </c>
      <c r="R387">
        <v>140305</v>
      </c>
    </row>
    <row r="388" spans="1:18" x14ac:dyDescent="0.25">
      <c r="A388" s="170">
        <v>42585</v>
      </c>
      <c r="B388" s="116">
        <v>1125</v>
      </c>
      <c r="C388" s="116">
        <v>1056.05</v>
      </c>
      <c r="D388" s="116">
        <v>1056.05</v>
      </c>
      <c r="E388" s="116">
        <v>1080</v>
      </c>
      <c r="F388" s="116">
        <v>1056.05</v>
      </c>
      <c r="G388">
        <v>51</v>
      </c>
      <c r="H388" s="116"/>
      <c r="I388" s="116"/>
      <c r="L388" s="170">
        <v>42572</v>
      </c>
      <c r="M388" s="116">
        <v>254.25</v>
      </c>
      <c r="N388" s="116">
        <v>256.8</v>
      </c>
      <c r="O388" s="116">
        <v>252.78000000000003</v>
      </c>
      <c r="P388" s="116">
        <v>254.4</v>
      </c>
      <c r="Q388" s="116">
        <v>1271.25</v>
      </c>
      <c r="R388">
        <v>56246</v>
      </c>
    </row>
    <row r="389" spans="1:18" x14ac:dyDescent="0.25">
      <c r="A389" s="170">
        <v>42586</v>
      </c>
      <c r="B389" s="116">
        <v>1066.0999999999999</v>
      </c>
      <c r="C389" s="116">
        <v>1066.0999999999999</v>
      </c>
      <c r="D389" s="116">
        <v>1065.5</v>
      </c>
      <c r="E389" s="116">
        <v>1065.55</v>
      </c>
      <c r="F389" s="116">
        <v>1066.0999999999999</v>
      </c>
      <c r="G389">
        <v>42</v>
      </c>
      <c r="H389" s="116"/>
      <c r="I389" s="116"/>
      <c r="L389" s="170">
        <v>42573</v>
      </c>
      <c r="M389" s="116">
        <v>255.91</v>
      </c>
      <c r="N389" s="116">
        <v>256.2</v>
      </c>
      <c r="O389" s="116">
        <v>252.13000000000002</v>
      </c>
      <c r="P389" s="116">
        <v>255</v>
      </c>
      <c r="Q389" s="116">
        <v>1279.55</v>
      </c>
      <c r="R389">
        <v>25719</v>
      </c>
    </row>
    <row r="390" spans="1:18" x14ac:dyDescent="0.25">
      <c r="A390" s="170">
        <v>42587</v>
      </c>
      <c r="B390" s="116">
        <v>1098.95</v>
      </c>
      <c r="C390" s="116">
        <v>1085.9000000000001</v>
      </c>
      <c r="D390" s="116">
        <v>1041.0999999999999</v>
      </c>
      <c r="E390" s="116">
        <v>1098.95</v>
      </c>
      <c r="F390" s="116">
        <v>1085.9000000000001</v>
      </c>
      <c r="G390">
        <v>522</v>
      </c>
      <c r="H390" s="116"/>
      <c r="I390" s="116"/>
      <c r="L390" s="170">
        <v>42576</v>
      </c>
      <c r="M390" s="116">
        <v>258.20999999999998</v>
      </c>
      <c r="N390" s="116">
        <v>260</v>
      </c>
      <c r="O390" s="116">
        <v>253.01999999999998</v>
      </c>
      <c r="P390" s="116">
        <v>255.9</v>
      </c>
      <c r="Q390" s="116">
        <v>1291.05</v>
      </c>
      <c r="R390">
        <v>55315</v>
      </c>
    </row>
    <row r="391" spans="1:18" x14ac:dyDescent="0.25">
      <c r="A391" s="170">
        <v>42590</v>
      </c>
      <c r="B391" s="116">
        <v>1085.9000000000001</v>
      </c>
      <c r="C391" s="116">
        <v>1060.0999999999999</v>
      </c>
      <c r="D391" s="116">
        <v>1060</v>
      </c>
      <c r="E391" s="116">
        <v>1085.9000000000001</v>
      </c>
      <c r="F391" s="116">
        <v>1060.0999999999999</v>
      </c>
      <c r="G391">
        <v>76</v>
      </c>
      <c r="H391" s="116"/>
      <c r="I391" s="116"/>
      <c r="L391" s="170">
        <v>42577</v>
      </c>
      <c r="M391" s="116">
        <v>259.36</v>
      </c>
      <c r="N391" s="116">
        <v>264</v>
      </c>
      <c r="O391" s="116">
        <v>256.73</v>
      </c>
      <c r="P391" s="116">
        <v>259</v>
      </c>
      <c r="Q391" s="116">
        <v>1296.8</v>
      </c>
      <c r="R391">
        <v>87609</v>
      </c>
    </row>
    <row r="392" spans="1:18" x14ac:dyDescent="0.25">
      <c r="A392" s="170">
        <v>42591</v>
      </c>
      <c r="B392" s="116">
        <v>1086.7</v>
      </c>
      <c r="C392" s="116">
        <v>1086.7</v>
      </c>
      <c r="D392" s="116">
        <v>1086.7</v>
      </c>
      <c r="E392" s="116">
        <v>1086.7</v>
      </c>
      <c r="F392" s="116">
        <v>1086.7</v>
      </c>
      <c r="G392">
        <v>10</v>
      </c>
      <c r="H392" s="116"/>
      <c r="I392" s="116"/>
      <c r="L392" s="170">
        <v>42578</v>
      </c>
      <c r="M392" s="116">
        <v>260.41999999999996</v>
      </c>
      <c r="N392" s="116">
        <v>263.60000000000002</v>
      </c>
      <c r="O392" s="116">
        <v>258.2</v>
      </c>
      <c r="P392" s="116">
        <v>260</v>
      </c>
      <c r="Q392" s="116">
        <v>1302.0999999999999</v>
      </c>
      <c r="R392">
        <v>28988</v>
      </c>
    </row>
    <row r="393" spans="1:18" x14ac:dyDescent="0.25">
      <c r="A393" s="170">
        <v>42592</v>
      </c>
      <c r="B393" s="116">
        <v>1078.95</v>
      </c>
      <c r="C393" s="116">
        <v>1059.4000000000001</v>
      </c>
      <c r="D393" s="116">
        <v>1051.05</v>
      </c>
      <c r="E393" s="116">
        <v>1055.05</v>
      </c>
      <c r="F393" s="116">
        <v>1059.4000000000001</v>
      </c>
      <c r="G393">
        <v>25</v>
      </c>
      <c r="H393" s="116"/>
      <c r="I393" s="116"/>
      <c r="L393" s="170">
        <v>42579</v>
      </c>
      <c r="M393" s="116">
        <v>264.61</v>
      </c>
      <c r="N393" s="116">
        <v>266.52</v>
      </c>
      <c r="O393" s="116">
        <v>260.39999999999998</v>
      </c>
      <c r="P393" s="116">
        <v>261</v>
      </c>
      <c r="Q393" s="116">
        <v>1323.05</v>
      </c>
      <c r="R393">
        <v>106948</v>
      </c>
    </row>
    <row r="394" spans="1:18" x14ac:dyDescent="0.25">
      <c r="A394" s="170">
        <v>42593</v>
      </c>
      <c r="B394" s="116">
        <v>1060</v>
      </c>
      <c r="C394" s="116">
        <v>1055</v>
      </c>
      <c r="D394" s="116">
        <v>1050</v>
      </c>
      <c r="E394" s="116">
        <v>1060</v>
      </c>
      <c r="F394" s="116">
        <v>1055</v>
      </c>
      <c r="G394">
        <v>67</v>
      </c>
      <c r="H394" s="116"/>
      <c r="I394" s="116"/>
      <c r="L394" s="170">
        <v>42580</v>
      </c>
      <c r="M394" s="116">
        <v>267.38</v>
      </c>
      <c r="N394" s="116">
        <v>271</v>
      </c>
      <c r="O394" s="116">
        <v>265.62</v>
      </c>
      <c r="P394" s="116">
        <v>265.8</v>
      </c>
      <c r="Q394" s="116">
        <v>1336.9</v>
      </c>
      <c r="R394">
        <v>53726</v>
      </c>
    </row>
    <row r="395" spans="1:18" x14ac:dyDescent="0.25">
      <c r="A395" s="170">
        <v>42594</v>
      </c>
      <c r="B395" s="116">
        <v>1047.05</v>
      </c>
      <c r="C395" s="116">
        <v>1046.25</v>
      </c>
      <c r="D395" s="116">
        <v>1040.0999999999999</v>
      </c>
      <c r="E395" s="116">
        <v>1040.0999999999999</v>
      </c>
      <c r="F395" s="116">
        <v>1046.25</v>
      </c>
      <c r="G395">
        <v>7</v>
      </c>
      <c r="H395" s="116"/>
      <c r="I395" s="116"/>
      <c r="L395" s="170">
        <v>42583</v>
      </c>
      <c r="M395" s="116">
        <v>276.40999999999997</v>
      </c>
      <c r="N395" s="116">
        <v>282.91999999999996</v>
      </c>
      <c r="O395" s="116">
        <v>263.38</v>
      </c>
      <c r="P395" s="116">
        <v>269.98</v>
      </c>
      <c r="Q395" s="116">
        <v>1382.05</v>
      </c>
      <c r="R395">
        <v>84693</v>
      </c>
    </row>
    <row r="396" spans="1:18" x14ac:dyDescent="0.25">
      <c r="A396" s="170">
        <v>42598</v>
      </c>
      <c r="B396" s="116">
        <v>1063.9000000000001</v>
      </c>
      <c r="C396" s="116">
        <v>1060.95</v>
      </c>
      <c r="D396" s="116">
        <v>1035</v>
      </c>
      <c r="E396" s="116">
        <v>1055</v>
      </c>
      <c r="F396" s="116">
        <v>1060.95</v>
      </c>
      <c r="G396">
        <v>147</v>
      </c>
      <c r="H396" s="116"/>
      <c r="I396" s="116"/>
      <c r="L396" s="170">
        <v>42584</v>
      </c>
      <c r="M396" s="116">
        <v>281</v>
      </c>
      <c r="N396" s="116">
        <v>286</v>
      </c>
      <c r="O396" s="116">
        <v>278.02</v>
      </c>
      <c r="P396" s="116">
        <v>284.60000000000002</v>
      </c>
      <c r="Q396" s="116">
        <v>1405</v>
      </c>
      <c r="R396">
        <v>197273</v>
      </c>
    </row>
    <row r="397" spans="1:18" x14ac:dyDescent="0.25">
      <c r="A397" s="170">
        <v>42599</v>
      </c>
      <c r="B397" s="116">
        <v>1079</v>
      </c>
      <c r="C397" s="116">
        <v>1076</v>
      </c>
      <c r="D397" s="116">
        <v>1050</v>
      </c>
      <c r="E397" s="116">
        <v>1050</v>
      </c>
      <c r="F397" s="116">
        <v>1076</v>
      </c>
      <c r="G397">
        <v>9</v>
      </c>
      <c r="H397" s="116"/>
      <c r="I397" s="116"/>
      <c r="L397" s="170">
        <v>42585</v>
      </c>
      <c r="M397" s="116">
        <v>277.76</v>
      </c>
      <c r="N397" s="116">
        <v>281</v>
      </c>
      <c r="O397" s="116">
        <v>270.10000000000002</v>
      </c>
      <c r="P397" s="116">
        <v>280.99</v>
      </c>
      <c r="Q397" s="116">
        <v>1388.8</v>
      </c>
      <c r="R397">
        <v>45146</v>
      </c>
    </row>
    <row r="398" spans="1:18" x14ac:dyDescent="0.25">
      <c r="A398" s="170">
        <v>42600</v>
      </c>
      <c r="B398" s="116">
        <v>1079</v>
      </c>
      <c r="C398" s="116">
        <v>1078.5999999999999</v>
      </c>
      <c r="D398" s="116">
        <v>1040</v>
      </c>
      <c r="E398" s="116">
        <v>1040.05</v>
      </c>
      <c r="F398" s="116">
        <v>1078.5999999999999</v>
      </c>
      <c r="G398">
        <v>33</v>
      </c>
      <c r="H398" s="116"/>
      <c r="I398" s="116"/>
      <c r="L398" s="170">
        <v>42586</v>
      </c>
      <c r="M398" s="116">
        <v>275.29000000000002</v>
      </c>
      <c r="N398" s="116">
        <v>278.60000000000002</v>
      </c>
      <c r="O398" s="116">
        <v>272.01</v>
      </c>
      <c r="P398" s="116">
        <v>278.60000000000002</v>
      </c>
      <c r="Q398" s="116">
        <v>1376.45</v>
      </c>
      <c r="R398">
        <v>22804</v>
      </c>
    </row>
    <row r="399" spans="1:18" x14ac:dyDescent="0.25">
      <c r="A399" s="170">
        <v>42601</v>
      </c>
      <c r="B399" s="116">
        <v>1069.5</v>
      </c>
      <c r="C399" s="116">
        <v>1061.8</v>
      </c>
      <c r="D399" s="116">
        <v>1025</v>
      </c>
      <c r="E399" s="116">
        <v>1035.45</v>
      </c>
      <c r="F399" s="116">
        <v>1061.8</v>
      </c>
      <c r="G399">
        <v>399</v>
      </c>
      <c r="H399" s="116"/>
      <c r="I399" s="116"/>
      <c r="L399" s="170">
        <v>42587</v>
      </c>
      <c r="M399" s="116">
        <v>284.29000000000002</v>
      </c>
      <c r="N399" s="116">
        <v>286</v>
      </c>
      <c r="O399" s="116">
        <v>275.2</v>
      </c>
      <c r="P399" s="116">
        <v>275.2</v>
      </c>
      <c r="Q399" s="116">
        <v>1421.45</v>
      </c>
      <c r="R399">
        <v>35706</v>
      </c>
    </row>
    <row r="400" spans="1:18" x14ac:dyDescent="0.25">
      <c r="A400" s="170">
        <v>42604</v>
      </c>
      <c r="B400" s="116">
        <v>1090</v>
      </c>
      <c r="C400" s="116">
        <v>1081.3</v>
      </c>
      <c r="D400" s="116">
        <v>1080.95</v>
      </c>
      <c r="E400" s="116">
        <v>1089.9000000000001</v>
      </c>
      <c r="F400" s="116">
        <v>1081.3</v>
      </c>
      <c r="G400">
        <v>170</v>
      </c>
      <c r="H400" s="116"/>
      <c r="I400" s="116"/>
      <c r="L400" s="170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70">
        <v>42605</v>
      </c>
      <c r="B401" s="116">
        <v>1100</v>
      </c>
      <c r="C401" s="116">
        <v>1052.0999999999999</v>
      </c>
      <c r="D401" s="116">
        <v>1051</v>
      </c>
      <c r="E401" s="116">
        <v>1093</v>
      </c>
      <c r="F401" s="116">
        <v>1052.0999999999999</v>
      </c>
      <c r="G401">
        <v>120</v>
      </c>
      <c r="H401" s="116"/>
      <c r="I401" s="116"/>
      <c r="L401" s="170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70">
        <v>42606</v>
      </c>
      <c r="B402" s="116">
        <v>1086</v>
      </c>
      <c r="C402" s="116">
        <v>1050</v>
      </c>
      <c r="D402" s="116">
        <v>1050</v>
      </c>
      <c r="E402" s="116">
        <v>1053.25</v>
      </c>
      <c r="F402" s="116">
        <v>1050</v>
      </c>
      <c r="G402">
        <v>143</v>
      </c>
      <c r="H402" s="116"/>
      <c r="I402" s="116"/>
      <c r="L402" s="170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70">
        <v>42607</v>
      </c>
      <c r="B403" s="116">
        <v>1065</v>
      </c>
      <c r="C403" s="116">
        <v>1060</v>
      </c>
      <c r="D403" s="116">
        <v>1052</v>
      </c>
      <c r="E403" s="116">
        <v>1052</v>
      </c>
      <c r="F403" s="116">
        <v>1060</v>
      </c>
      <c r="G403">
        <v>116</v>
      </c>
      <c r="H403" s="116"/>
      <c r="I403" s="116"/>
      <c r="L403" s="170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70">
        <v>42608</v>
      </c>
      <c r="B404" s="116">
        <v>1052.9000000000001</v>
      </c>
      <c r="C404" s="116">
        <v>1051.7</v>
      </c>
      <c r="D404" s="116">
        <v>1030</v>
      </c>
      <c r="E404" s="116">
        <v>1050.05</v>
      </c>
      <c r="F404" s="116">
        <v>1051.7</v>
      </c>
      <c r="G404">
        <v>146</v>
      </c>
      <c r="H404" s="116"/>
      <c r="I404" s="116"/>
      <c r="L404" s="170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70">
        <v>42611</v>
      </c>
      <c r="B405" s="116">
        <v>1080</v>
      </c>
      <c r="C405" s="116">
        <v>1050.05</v>
      </c>
      <c r="D405" s="116">
        <v>1050</v>
      </c>
      <c r="E405" s="116">
        <v>1078.4000000000001</v>
      </c>
      <c r="F405" s="116">
        <v>1050.05</v>
      </c>
      <c r="G405">
        <v>407</v>
      </c>
      <c r="H405" s="116"/>
      <c r="I405" s="116"/>
      <c r="L405" s="170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70">
        <v>42612</v>
      </c>
      <c r="B406" s="116">
        <v>1088</v>
      </c>
      <c r="C406" s="116">
        <v>1065</v>
      </c>
      <c r="D406" s="116">
        <v>1050</v>
      </c>
      <c r="E406" s="116">
        <v>1066</v>
      </c>
      <c r="F406" s="116">
        <v>1065</v>
      </c>
      <c r="G406">
        <v>201</v>
      </c>
      <c r="H406" s="116"/>
      <c r="I406" s="116"/>
      <c r="L406" s="170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70">
        <v>42613</v>
      </c>
      <c r="B407" s="116">
        <v>1088.95</v>
      </c>
      <c r="C407" s="116">
        <v>1087.95</v>
      </c>
      <c r="D407" s="116">
        <v>1087.95</v>
      </c>
      <c r="E407" s="116">
        <v>1088.95</v>
      </c>
      <c r="F407" s="116">
        <v>1087.95</v>
      </c>
      <c r="G407">
        <v>6</v>
      </c>
      <c r="H407" s="116"/>
      <c r="I407" s="116"/>
      <c r="L407" s="170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70">
        <v>42614</v>
      </c>
      <c r="B408" s="116">
        <v>1090</v>
      </c>
      <c r="C408" s="116">
        <v>1084.95</v>
      </c>
      <c r="D408" s="116">
        <v>1060</v>
      </c>
      <c r="E408" s="116">
        <v>1075</v>
      </c>
      <c r="F408" s="116">
        <v>1084.95</v>
      </c>
      <c r="G408">
        <v>126</v>
      </c>
      <c r="H408" s="116"/>
      <c r="I408" s="116"/>
      <c r="L408" s="170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70">
        <v>42619</v>
      </c>
      <c r="B409" s="116">
        <v>1079.9000000000001</v>
      </c>
      <c r="C409" s="116">
        <v>1070</v>
      </c>
      <c r="D409" s="116">
        <v>1049.5999999999999</v>
      </c>
      <c r="E409" s="116">
        <v>1049.5999999999999</v>
      </c>
      <c r="F409" s="116">
        <v>1070</v>
      </c>
      <c r="G409">
        <v>443</v>
      </c>
      <c r="H409" s="116"/>
      <c r="I409" s="116"/>
      <c r="L409" s="170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70">
        <v>42620</v>
      </c>
      <c r="B410" s="116">
        <v>1074.55</v>
      </c>
      <c r="C410" s="116">
        <v>1061.05</v>
      </c>
      <c r="D410" s="116">
        <v>1055</v>
      </c>
      <c r="E410" s="116">
        <v>1074.55</v>
      </c>
      <c r="F410" s="116">
        <v>1061.05</v>
      </c>
      <c r="G410">
        <v>19</v>
      </c>
      <c r="H410" s="116"/>
      <c r="I410" s="116"/>
      <c r="L410" s="170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70">
        <v>42621</v>
      </c>
      <c r="B411" s="116">
        <v>1070</v>
      </c>
      <c r="C411" s="116">
        <v>1069.05</v>
      </c>
      <c r="D411" s="116">
        <v>1052</v>
      </c>
      <c r="E411" s="116">
        <v>1052.55</v>
      </c>
      <c r="F411" s="116">
        <v>1069.05</v>
      </c>
      <c r="G411">
        <v>225</v>
      </c>
      <c r="H411" s="116"/>
      <c r="I411" s="116"/>
      <c r="L411" s="170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70">
        <v>42622</v>
      </c>
      <c r="B412" s="116">
        <v>1090</v>
      </c>
      <c r="C412" s="116">
        <v>1078.1500000000001</v>
      </c>
      <c r="D412" s="116">
        <v>1060</v>
      </c>
      <c r="E412" s="116">
        <v>1060</v>
      </c>
      <c r="F412" s="116">
        <v>1078.1500000000001</v>
      </c>
      <c r="G412">
        <v>181</v>
      </c>
      <c r="H412" s="116"/>
      <c r="I412" s="116"/>
      <c r="L412" s="170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70">
        <v>42625</v>
      </c>
      <c r="B413" s="116">
        <v>1078</v>
      </c>
      <c r="C413" s="116">
        <v>1052</v>
      </c>
      <c r="D413" s="116">
        <v>1051.3499999999999</v>
      </c>
      <c r="E413" s="116">
        <v>1078</v>
      </c>
      <c r="F413" s="116">
        <v>1052</v>
      </c>
      <c r="G413">
        <v>306</v>
      </c>
      <c r="H413" s="116"/>
      <c r="I413" s="116"/>
      <c r="L413" s="170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70">
        <v>42627</v>
      </c>
      <c r="B414" s="116">
        <v>1078.8</v>
      </c>
      <c r="C414" s="116">
        <v>1060</v>
      </c>
      <c r="D414" s="116">
        <v>1051.0999999999999</v>
      </c>
      <c r="E414" s="116">
        <v>1060</v>
      </c>
      <c r="F414" s="116">
        <v>1060</v>
      </c>
      <c r="G414">
        <v>112</v>
      </c>
      <c r="H414" s="116"/>
      <c r="I414" s="116"/>
      <c r="L414" s="170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70">
        <v>42628</v>
      </c>
      <c r="B415" s="116">
        <v>1089.8</v>
      </c>
      <c r="C415" s="116">
        <v>1086.25</v>
      </c>
      <c r="D415" s="116">
        <v>1078</v>
      </c>
      <c r="E415" s="116">
        <v>1089.8</v>
      </c>
      <c r="F415" s="116">
        <v>1086.25</v>
      </c>
      <c r="G415">
        <v>115</v>
      </c>
      <c r="H415" s="116"/>
      <c r="I415" s="116"/>
      <c r="L415" s="170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70">
        <v>42629</v>
      </c>
      <c r="B416" s="116">
        <v>1085.8</v>
      </c>
      <c r="C416" s="116">
        <v>1085.8</v>
      </c>
      <c r="D416" s="116">
        <v>1061.45</v>
      </c>
      <c r="E416" s="116">
        <v>1062.05</v>
      </c>
      <c r="F416" s="116">
        <v>1085.8</v>
      </c>
      <c r="G416">
        <v>52</v>
      </c>
      <c r="H416" s="116"/>
      <c r="I416" s="116"/>
      <c r="L416" s="170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70">
        <v>42632</v>
      </c>
      <c r="B417" s="116">
        <v>1135</v>
      </c>
      <c r="C417" s="116">
        <v>1133</v>
      </c>
      <c r="D417" s="116">
        <v>1088</v>
      </c>
      <c r="E417" s="116">
        <v>1088</v>
      </c>
      <c r="F417" s="116">
        <v>1133</v>
      </c>
      <c r="G417">
        <v>642</v>
      </c>
      <c r="H417" s="116"/>
      <c r="I417" s="116"/>
      <c r="L417" s="170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70">
        <v>42633</v>
      </c>
      <c r="B418" s="116">
        <v>1165.9000000000001</v>
      </c>
      <c r="C418" s="116">
        <v>1100.05</v>
      </c>
      <c r="D418" s="116">
        <v>1100</v>
      </c>
      <c r="E418" s="116">
        <v>1165.9000000000001</v>
      </c>
      <c r="F418" s="116">
        <v>1100.05</v>
      </c>
      <c r="G418">
        <v>293</v>
      </c>
      <c r="H418" s="116"/>
      <c r="I418" s="116"/>
      <c r="L418" s="170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70">
        <v>42634</v>
      </c>
      <c r="B419" s="116">
        <v>1142</v>
      </c>
      <c r="C419" s="116">
        <v>1130</v>
      </c>
      <c r="D419" s="116">
        <v>1090</v>
      </c>
      <c r="E419" s="116">
        <v>1090</v>
      </c>
      <c r="F419" s="116">
        <v>1130</v>
      </c>
      <c r="G419">
        <v>36</v>
      </c>
      <c r="H419" s="116"/>
      <c r="I419" s="116"/>
      <c r="L419" s="170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70">
        <v>42635</v>
      </c>
      <c r="B420" s="116">
        <v>1139</v>
      </c>
      <c r="C420" s="116">
        <v>1132</v>
      </c>
      <c r="D420" s="116">
        <v>1130</v>
      </c>
      <c r="E420" s="116">
        <v>1139</v>
      </c>
      <c r="F420" s="116">
        <v>1132</v>
      </c>
      <c r="G420">
        <v>48</v>
      </c>
      <c r="H420" s="116"/>
      <c r="I420" s="116"/>
      <c r="L420" s="170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70">
        <v>42636</v>
      </c>
      <c r="B421" s="116">
        <v>1140</v>
      </c>
      <c r="C421" s="116">
        <v>1100.05</v>
      </c>
      <c r="D421" s="116">
        <v>1100</v>
      </c>
      <c r="E421" s="116">
        <v>1100.05</v>
      </c>
      <c r="F421" s="116">
        <v>1100.05</v>
      </c>
      <c r="G421">
        <v>256</v>
      </c>
      <c r="H421" s="116"/>
      <c r="I421" s="116"/>
      <c r="L421" s="170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70">
        <v>42639</v>
      </c>
      <c r="B422" s="116">
        <v>1139.95</v>
      </c>
      <c r="C422" s="116">
        <v>1100</v>
      </c>
      <c r="D422" s="116">
        <v>1080.05</v>
      </c>
      <c r="E422" s="116">
        <v>1080.05</v>
      </c>
      <c r="F422" s="116">
        <v>1100</v>
      </c>
      <c r="G422">
        <v>78</v>
      </c>
      <c r="H422" s="116"/>
      <c r="I422" s="116"/>
      <c r="L422" s="170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70">
        <v>42640</v>
      </c>
      <c r="B423" s="116">
        <v>1100</v>
      </c>
      <c r="C423" s="116">
        <v>1100</v>
      </c>
      <c r="D423" s="116">
        <v>1100</v>
      </c>
      <c r="E423" s="116">
        <v>1100</v>
      </c>
      <c r="F423" s="116">
        <v>1100</v>
      </c>
      <c r="G423">
        <v>55</v>
      </c>
      <c r="H423" s="116"/>
      <c r="I423" s="116"/>
      <c r="L423" s="170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70">
        <v>42641</v>
      </c>
      <c r="B424" s="116">
        <v>1120</v>
      </c>
      <c r="C424" s="116">
        <v>1115.75</v>
      </c>
      <c r="D424" s="116">
        <v>1095</v>
      </c>
      <c r="E424" s="116">
        <v>1119.95</v>
      </c>
      <c r="F424" s="116">
        <v>1115.75</v>
      </c>
      <c r="G424">
        <v>77</v>
      </c>
      <c r="H424" s="116"/>
      <c r="I424" s="116"/>
      <c r="L424" s="170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70">
        <v>42642</v>
      </c>
      <c r="B425" s="116">
        <v>1142.95</v>
      </c>
      <c r="C425" s="116">
        <v>1075.4000000000001</v>
      </c>
      <c r="D425" s="116">
        <v>1075</v>
      </c>
      <c r="E425" s="116">
        <v>1100</v>
      </c>
      <c r="F425" s="116">
        <v>1075.4000000000001</v>
      </c>
      <c r="G425">
        <v>542</v>
      </c>
      <c r="H425" s="116"/>
      <c r="I425" s="116"/>
      <c r="L425" s="170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70">
        <v>42643</v>
      </c>
      <c r="B426" s="116">
        <v>1105</v>
      </c>
      <c r="C426" s="116">
        <v>1105</v>
      </c>
      <c r="D426" s="116">
        <v>1100</v>
      </c>
      <c r="E426" s="116">
        <v>1100</v>
      </c>
      <c r="F426" s="116">
        <v>1105</v>
      </c>
      <c r="G426">
        <v>35</v>
      </c>
      <c r="H426" s="116"/>
      <c r="I426" s="116"/>
      <c r="L426" s="170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70">
        <v>42646</v>
      </c>
      <c r="B427" s="116">
        <v>1110</v>
      </c>
      <c r="C427" s="116">
        <v>1100</v>
      </c>
      <c r="D427" s="116">
        <v>1090</v>
      </c>
      <c r="E427" s="116">
        <v>1106</v>
      </c>
      <c r="F427" s="116">
        <v>1100</v>
      </c>
      <c r="G427">
        <v>175</v>
      </c>
      <c r="H427" s="116"/>
      <c r="I427" s="116"/>
      <c r="L427" s="170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70">
        <v>42647</v>
      </c>
      <c r="B428" s="116">
        <v>1128.45</v>
      </c>
      <c r="C428" s="116">
        <v>1128.45</v>
      </c>
      <c r="D428" s="116">
        <v>1128.45</v>
      </c>
      <c r="E428" s="116">
        <v>1128.45</v>
      </c>
      <c r="F428" s="116">
        <v>1128.45</v>
      </c>
      <c r="G428">
        <v>1</v>
      </c>
      <c r="H428" s="116"/>
      <c r="I428" s="116"/>
      <c r="L428" s="170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70">
        <v>42648</v>
      </c>
      <c r="B429" s="116">
        <v>1127.95</v>
      </c>
      <c r="C429" s="116">
        <v>1105</v>
      </c>
      <c r="D429" s="116">
        <v>1097</v>
      </c>
      <c r="E429" s="116">
        <v>1127.95</v>
      </c>
      <c r="F429" s="116">
        <v>1105</v>
      </c>
      <c r="G429">
        <v>119</v>
      </c>
      <c r="H429" s="116"/>
      <c r="I429" s="116"/>
      <c r="L429" s="170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70">
        <v>42649</v>
      </c>
      <c r="B430" s="116">
        <v>1116</v>
      </c>
      <c r="C430" s="116">
        <v>1100</v>
      </c>
      <c r="D430" s="116">
        <v>1100</v>
      </c>
      <c r="E430" s="116">
        <v>1108</v>
      </c>
      <c r="F430" s="116">
        <v>1100</v>
      </c>
      <c r="G430">
        <v>127</v>
      </c>
      <c r="H430" s="116"/>
      <c r="I430" s="116"/>
      <c r="L430" s="170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70">
        <v>42650</v>
      </c>
      <c r="B431" s="116">
        <v>1102</v>
      </c>
      <c r="C431" s="116">
        <v>1101.95</v>
      </c>
      <c r="D431" s="116">
        <v>1090</v>
      </c>
      <c r="E431" s="116">
        <v>1091.05</v>
      </c>
      <c r="F431" s="116">
        <v>1101.95</v>
      </c>
      <c r="G431">
        <v>262</v>
      </c>
      <c r="H431" s="116"/>
      <c r="I431" s="116"/>
      <c r="L431" s="170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70">
        <v>42653</v>
      </c>
      <c r="B432" s="116">
        <v>1130</v>
      </c>
      <c r="C432" s="116">
        <v>1101.8499999999999</v>
      </c>
      <c r="D432" s="116">
        <v>1100</v>
      </c>
      <c r="E432" s="116">
        <v>1100</v>
      </c>
      <c r="F432" s="116">
        <v>1101.8499999999999</v>
      </c>
      <c r="G432">
        <v>160</v>
      </c>
      <c r="H432" s="116"/>
      <c r="I432" s="116"/>
      <c r="L432" s="170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70">
        <v>42656</v>
      </c>
      <c r="B433" s="116">
        <v>1108.95</v>
      </c>
      <c r="C433" s="116">
        <v>1080.2</v>
      </c>
      <c r="D433" s="116">
        <v>1072.25</v>
      </c>
      <c r="E433" s="116">
        <v>1090.6500000000001</v>
      </c>
      <c r="F433" s="116">
        <v>1080.2</v>
      </c>
      <c r="G433">
        <v>202</v>
      </c>
      <c r="H433" s="116"/>
      <c r="I433" s="116"/>
      <c r="L433" s="170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70">
        <v>42657</v>
      </c>
      <c r="B434" s="116">
        <v>1092</v>
      </c>
      <c r="C434" s="116">
        <v>1092</v>
      </c>
      <c r="D434" s="116">
        <v>1092</v>
      </c>
      <c r="E434" s="116">
        <v>1092</v>
      </c>
      <c r="F434" s="116">
        <v>1092</v>
      </c>
      <c r="G434">
        <v>29</v>
      </c>
      <c r="H434" s="116"/>
      <c r="I434" s="116"/>
      <c r="L434" s="170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70">
        <v>42660</v>
      </c>
      <c r="B435" s="116">
        <v>1100</v>
      </c>
      <c r="C435" s="116">
        <v>1100</v>
      </c>
      <c r="D435" s="116">
        <v>1100</v>
      </c>
      <c r="E435" s="116">
        <v>1100</v>
      </c>
      <c r="F435" s="116">
        <v>1100</v>
      </c>
      <c r="G435">
        <v>20</v>
      </c>
      <c r="H435" s="116"/>
      <c r="I435" s="116"/>
      <c r="L435" s="170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70">
        <v>42661</v>
      </c>
      <c r="B436" s="116">
        <v>1110</v>
      </c>
      <c r="C436" s="116">
        <v>1100</v>
      </c>
      <c r="D436" s="116">
        <v>1095.05</v>
      </c>
      <c r="E436" s="116">
        <v>1100</v>
      </c>
      <c r="F436" s="116">
        <v>1100</v>
      </c>
      <c r="G436">
        <v>178</v>
      </c>
      <c r="H436" s="116"/>
      <c r="I436" s="116"/>
      <c r="L436" s="170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70">
        <v>42662</v>
      </c>
      <c r="B437" s="116">
        <v>1100</v>
      </c>
      <c r="C437" s="116">
        <v>1095</v>
      </c>
      <c r="D437" s="116">
        <v>1095</v>
      </c>
      <c r="E437" s="116">
        <v>1100</v>
      </c>
      <c r="F437" s="116">
        <v>1095</v>
      </c>
      <c r="G437">
        <v>219</v>
      </c>
      <c r="H437" s="116"/>
      <c r="I437" s="116"/>
      <c r="L437" s="170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70">
        <v>42663</v>
      </c>
      <c r="B438" s="116">
        <v>1120</v>
      </c>
      <c r="C438" s="116">
        <v>1100</v>
      </c>
      <c r="D438" s="116">
        <v>1097</v>
      </c>
      <c r="E438" s="116">
        <v>1100</v>
      </c>
      <c r="F438" s="116">
        <v>1100</v>
      </c>
      <c r="G438">
        <v>323</v>
      </c>
      <c r="H438" s="116"/>
      <c r="I438" s="116"/>
      <c r="L438" s="170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70">
        <v>42664</v>
      </c>
      <c r="B439" s="116">
        <v>1137.95</v>
      </c>
      <c r="C439" s="116">
        <v>1100.2</v>
      </c>
      <c r="D439" s="116">
        <v>1100</v>
      </c>
      <c r="E439" s="116">
        <v>1137.95</v>
      </c>
      <c r="F439" s="116">
        <v>1100.2</v>
      </c>
      <c r="G439">
        <v>350</v>
      </c>
      <c r="H439" s="116"/>
      <c r="I439" s="116"/>
      <c r="L439" s="170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70">
        <v>42667</v>
      </c>
      <c r="B440" s="116">
        <v>1128.7</v>
      </c>
      <c r="C440" s="116">
        <v>1120</v>
      </c>
      <c r="D440" s="116">
        <v>1100</v>
      </c>
      <c r="E440" s="116">
        <v>1128.7</v>
      </c>
      <c r="F440" s="116">
        <v>1120</v>
      </c>
      <c r="G440">
        <v>56</v>
      </c>
      <c r="H440" s="116"/>
      <c r="I440" s="116"/>
      <c r="L440" s="170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70">
        <v>42668</v>
      </c>
      <c r="B441" s="116">
        <v>1125</v>
      </c>
      <c r="C441" s="116">
        <v>1101.5</v>
      </c>
      <c r="D441" s="116">
        <v>1079</v>
      </c>
      <c r="E441" s="116">
        <v>1125</v>
      </c>
      <c r="F441" s="116">
        <v>1101.5</v>
      </c>
      <c r="G441">
        <v>387</v>
      </c>
      <c r="H441" s="116"/>
      <c r="I441" s="116"/>
      <c r="L441" s="170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70">
        <v>42669</v>
      </c>
      <c r="B442" s="116">
        <v>1115.5</v>
      </c>
      <c r="C442" s="116">
        <v>1100</v>
      </c>
      <c r="D442" s="116">
        <v>1095</v>
      </c>
      <c r="E442" s="116">
        <v>1115.5</v>
      </c>
      <c r="F442" s="116">
        <v>1100</v>
      </c>
      <c r="G442">
        <v>17</v>
      </c>
      <c r="H442" s="116"/>
      <c r="I442" s="116"/>
      <c r="L442" s="170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70">
        <v>42670</v>
      </c>
      <c r="B443" s="116">
        <v>1114.5</v>
      </c>
      <c r="C443" s="116">
        <v>1085</v>
      </c>
      <c r="D443" s="116">
        <v>1075.0999999999999</v>
      </c>
      <c r="E443" s="116">
        <v>1075.0999999999999</v>
      </c>
      <c r="F443" s="116">
        <v>1085</v>
      </c>
      <c r="G443">
        <v>770</v>
      </c>
      <c r="H443" s="116"/>
      <c r="I443" s="116"/>
      <c r="L443" s="170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70">
        <v>42671</v>
      </c>
      <c r="B444" s="116">
        <v>1119</v>
      </c>
      <c r="C444" s="116">
        <v>1119</v>
      </c>
      <c r="D444" s="116">
        <v>1065.05</v>
      </c>
      <c r="E444" s="116">
        <v>1065.05</v>
      </c>
      <c r="F444" s="116">
        <v>1119</v>
      </c>
      <c r="G444">
        <v>246</v>
      </c>
      <c r="H444" s="116"/>
      <c r="I444" s="116"/>
      <c r="L444" s="170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70">
        <v>42673</v>
      </c>
      <c r="B445" s="116">
        <v>1174</v>
      </c>
      <c r="C445" s="116">
        <v>1144.3</v>
      </c>
      <c r="D445" s="116">
        <v>1120</v>
      </c>
      <c r="E445" s="116">
        <v>1120</v>
      </c>
      <c r="F445" s="116">
        <v>1144.3</v>
      </c>
      <c r="G445">
        <v>952</v>
      </c>
      <c r="H445" s="116"/>
      <c r="I445" s="116"/>
      <c r="L445" s="170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70">
        <v>42675</v>
      </c>
      <c r="B446" s="116">
        <v>1150</v>
      </c>
      <c r="C446" s="116">
        <v>1140</v>
      </c>
      <c r="D446" s="116">
        <v>1111</v>
      </c>
      <c r="E446" s="116">
        <v>1144.3</v>
      </c>
      <c r="F446" s="116">
        <v>1140</v>
      </c>
      <c r="G446">
        <v>439</v>
      </c>
      <c r="H446" s="116"/>
      <c r="I446" s="116"/>
      <c r="L446" s="170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70">
        <v>42676</v>
      </c>
      <c r="B447" s="116">
        <v>1145</v>
      </c>
      <c r="C447" s="116">
        <v>1140</v>
      </c>
      <c r="D447" s="116">
        <v>1106</v>
      </c>
      <c r="E447" s="116">
        <v>1106</v>
      </c>
      <c r="F447" s="116">
        <v>1140</v>
      </c>
      <c r="G447">
        <v>660</v>
      </c>
      <c r="H447" s="116"/>
      <c r="I447" s="116"/>
      <c r="L447" s="170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70">
        <v>42677</v>
      </c>
      <c r="B448" s="116">
        <v>1196</v>
      </c>
      <c r="C448" s="116">
        <v>1130</v>
      </c>
      <c r="D448" s="116">
        <v>1108.3</v>
      </c>
      <c r="E448" s="116">
        <v>1196</v>
      </c>
      <c r="F448" s="116">
        <v>1130</v>
      </c>
      <c r="G448">
        <v>146</v>
      </c>
      <c r="H448" s="116"/>
      <c r="I448" s="116"/>
      <c r="L448" s="170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70">
        <v>42678</v>
      </c>
      <c r="B449" s="116">
        <v>1119</v>
      </c>
      <c r="C449" s="116">
        <v>1095</v>
      </c>
      <c r="D449" s="116">
        <v>1095</v>
      </c>
      <c r="E449" s="116">
        <v>1119</v>
      </c>
      <c r="F449" s="116">
        <v>1095</v>
      </c>
      <c r="G449">
        <v>374</v>
      </c>
      <c r="H449" s="116"/>
      <c r="I449" s="116"/>
      <c r="L449" s="170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70">
        <v>42681</v>
      </c>
      <c r="B450" s="116">
        <v>1129.5</v>
      </c>
      <c r="C450" s="116">
        <v>1101.0999999999999</v>
      </c>
      <c r="D450" s="116">
        <v>1080.05</v>
      </c>
      <c r="E450" s="116">
        <v>1080.05</v>
      </c>
      <c r="F450" s="116">
        <v>1101.0999999999999</v>
      </c>
      <c r="G450">
        <v>487</v>
      </c>
      <c r="H450" s="116"/>
      <c r="I450" s="116"/>
      <c r="L450" s="170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70">
        <v>42682</v>
      </c>
      <c r="B451" s="116">
        <v>1131.95</v>
      </c>
      <c r="C451" s="116">
        <v>1131.95</v>
      </c>
      <c r="D451" s="116">
        <v>1114.95</v>
      </c>
      <c r="E451" s="116">
        <v>1124.95</v>
      </c>
      <c r="F451" s="116">
        <v>1131.95</v>
      </c>
      <c r="G451">
        <v>54</v>
      </c>
      <c r="H451" s="116"/>
      <c r="I451" s="116"/>
      <c r="L451" s="170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70">
        <v>42683</v>
      </c>
      <c r="B452" s="116">
        <v>1110</v>
      </c>
      <c r="C452" s="116">
        <v>1100</v>
      </c>
      <c r="D452" s="116">
        <v>1090</v>
      </c>
      <c r="E452" s="116">
        <v>1090</v>
      </c>
      <c r="F452" s="116">
        <v>1100</v>
      </c>
      <c r="G452">
        <v>222</v>
      </c>
      <c r="H452" s="116"/>
      <c r="I452" s="116"/>
      <c r="L452" s="170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70">
        <v>42684</v>
      </c>
      <c r="B453" s="116">
        <v>1130</v>
      </c>
      <c r="C453" s="116">
        <v>1111</v>
      </c>
      <c r="D453" s="116">
        <v>1111</v>
      </c>
      <c r="E453" s="116">
        <v>1129.95</v>
      </c>
      <c r="F453" s="116">
        <v>1111</v>
      </c>
      <c r="G453">
        <v>150</v>
      </c>
      <c r="H453" s="116"/>
      <c r="I453" s="116"/>
      <c r="L453" s="170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70">
        <v>42685</v>
      </c>
      <c r="B454" s="116">
        <v>1118.9000000000001</v>
      </c>
      <c r="C454" s="116">
        <v>1082</v>
      </c>
      <c r="D454" s="116">
        <v>1055.45</v>
      </c>
      <c r="E454" s="116">
        <v>1100</v>
      </c>
      <c r="F454" s="116">
        <v>1082</v>
      </c>
      <c r="G454">
        <v>223</v>
      </c>
      <c r="H454" s="116"/>
      <c r="I454" s="116"/>
      <c r="L454" s="170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70">
        <v>42689</v>
      </c>
      <c r="B455" s="116">
        <v>1075</v>
      </c>
      <c r="C455" s="116">
        <v>1075</v>
      </c>
      <c r="D455" s="116">
        <v>1050</v>
      </c>
      <c r="E455" s="116">
        <v>1075</v>
      </c>
      <c r="F455" s="116">
        <v>1075</v>
      </c>
      <c r="G455">
        <v>396</v>
      </c>
      <c r="H455" s="116"/>
      <c r="I455" s="116"/>
      <c r="L455" s="170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70">
        <v>42690</v>
      </c>
      <c r="B456" s="116">
        <v>1066</v>
      </c>
      <c r="C456" s="116">
        <v>1066</v>
      </c>
      <c r="D456" s="116">
        <v>1066</v>
      </c>
      <c r="E456" s="116">
        <v>1066</v>
      </c>
      <c r="F456" s="116">
        <v>1066</v>
      </c>
      <c r="G456">
        <v>20</v>
      </c>
      <c r="H456" s="116"/>
      <c r="I456" s="116"/>
      <c r="L456" s="170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70">
        <v>42691</v>
      </c>
      <c r="B457" s="116">
        <v>1066</v>
      </c>
      <c r="C457" s="116">
        <v>1025</v>
      </c>
      <c r="D457" s="116">
        <v>1015</v>
      </c>
      <c r="E457" s="116">
        <v>1066</v>
      </c>
      <c r="F457" s="116">
        <v>1025</v>
      </c>
      <c r="G457">
        <v>1000</v>
      </c>
      <c r="H457" s="116"/>
      <c r="I457" s="116"/>
      <c r="L457" s="170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70">
        <v>42692</v>
      </c>
      <c r="B458" s="116">
        <v>1059.2</v>
      </c>
      <c r="C458" s="116">
        <v>1040</v>
      </c>
      <c r="D458" s="116">
        <v>1019.05</v>
      </c>
      <c r="E458" s="116">
        <v>1019.05</v>
      </c>
      <c r="F458" s="116">
        <v>1040</v>
      </c>
      <c r="G458">
        <v>37</v>
      </c>
      <c r="H458" s="116"/>
      <c r="I458" s="116"/>
      <c r="L458" s="170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70">
        <v>42695</v>
      </c>
      <c r="B459" s="116">
        <v>1020</v>
      </c>
      <c r="C459" s="116">
        <v>1011.35</v>
      </c>
      <c r="D459" s="116">
        <v>1010</v>
      </c>
      <c r="E459" s="116">
        <v>1015</v>
      </c>
      <c r="F459" s="116">
        <v>1011.35</v>
      </c>
      <c r="G459">
        <v>382</v>
      </c>
      <c r="H459" s="116"/>
      <c r="I459" s="116"/>
      <c r="L459" s="170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70">
        <v>42696</v>
      </c>
      <c r="B460" s="116">
        <v>1048</v>
      </c>
      <c r="C460" s="116">
        <v>1030</v>
      </c>
      <c r="D460" s="116">
        <v>1010</v>
      </c>
      <c r="E460" s="116">
        <v>1048</v>
      </c>
      <c r="F460" s="116">
        <v>1030</v>
      </c>
      <c r="G460">
        <v>96</v>
      </c>
      <c r="H460" s="116"/>
      <c r="I460" s="116"/>
      <c r="L460" s="170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70">
        <v>42697</v>
      </c>
      <c r="B461" s="116">
        <v>1053.95</v>
      </c>
      <c r="C461" s="116">
        <v>1037.25</v>
      </c>
      <c r="D461" s="116">
        <v>1012.05</v>
      </c>
      <c r="E461" s="116">
        <v>1012.05</v>
      </c>
      <c r="F461" s="116">
        <v>1037.25</v>
      </c>
      <c r="G461">
        <v>89</v>
      </c>
      <c r="H461" s="116"/>
      <c r="I461" s="116"/>
      <c r="L461" s="170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70">
        <v>42698</v>
      </c>
      <c r="B462" s="116">
        <v>1049.95</v>
      </c>
      <c r="C462" s="116">
        <v>1041</v>
      </c>
      <c r="D462" s="116">
        <v>1024.5</v>
      </c>
      <c r="E462" s="116">
        <v>1035</v>
      </c>
      <c r="F462" s="116">
        <v>1041</v>
      </c>
      <c r="G462">
        <v>74</v>
      </c>
      <c r="H462" s="116"/>
      <c r="I462" s="116"/>
      <c r="L462" s="170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70">
        <v>42702</v>
      </c>
      <c r="B463" s="116">
        <v>1041.05</v>
      </c>
      <c r="C463" s="116">
        <v>1041</v>
      </c>
      <c r="D463" s="116">
        <v>1041</v>
      </c>
      <c r="E463" s="116">
        <v>1041.05</v>
      </c>
      <c r="F463" s="116">
        <v>1041</v>
      </c>
      <c r="G463">
        <v>25</v>
      </c>
      <c r="H463" s="116"/>
      <c r="I463" s="116"/>
      <c r="L463" s="170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70">
        <v>42703</v>
      </c>
      <c r="B464" s="116">
        <v>1093.05</v>
      </c>
      <c r="C464" s="116">
        <v>1051</v>
      </c>
      <c r="D464" s="116">
        <v>1042</v>
      </c>
      <c r="E464" s="116">
        <v>1093.05</v>
      </c>
      <c r="F464" s="116">
        <v>1051</v>
      </c>
      <c r="G464">
        <v>51</v>
      </c>
      <c r="H464" s="116"/>
      <c r="I464" s="116"/>
      <c r="L464" s="170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70">
        <v>42705</v>
      </c>
      <c r="B465" s="116">
        <v>1075</v>
      </c>
      <c r="C465" s="116">
        <v>1074.9000000000001</v>
      </c>
      <c r="D465" s="116">
        <v>1061</v>
      </c>
      <c r="E465" s="116">
        <v>1061</v>
      </c>
      <c r="F465" s="116">
        <v>1074.9000000000001</v>
      </c>
      <c r="G465">
        <v>76</v>
      </c>
      <c r="H465" s="116"/>
      <c r="I465" s="116"/>
      <c r="L465" s="170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70">
        <v>42706</v>
      </c>
      <c r="B466" s="116">
        <v>1075</v>
      </c>
      <c r="C466" s="116">
        <v>1075</v>
      </c>
      <c r="D466" s="116">
        <v>1075</v>
      </c>
      <c r="E466" s="116">
        <v>1075</v>
      </c>
      <c r="F466" s="116">
        <v>1075</v>
      </c>
      <c r="G466">
        <v>10</v>
      </c>
      <c r="H466" s="116"/>
      <c r="I466" s="116"/>
      <c r="L466" s="170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70">
        <v>42709</v>
      </c>
      <c r="B467" s="116">
        <v>1119.8499999999999</v>
      </c>
      <c r="C467" s="116">
        <v>1065</v>
      </c>
      <c r="D467" s="116">
        <v>1062</v>
      </c>
      <c r="E467" s="116">
        <v>1119.8499999999999</v>
      </c>
      <c r="F467" s="116">
        <v>1065</v>
      </c>
      <c r="G467">
        <v>116</v>
      </c>
      <c r="H467" s="116"/>
      <c r="I467" s="116"/>
      <c r="L467" s="170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70">
        <v>42710</v>
      </c>
      <c r="B468" s="116">
        <v>1085</v>
      </c>
      <c r="C468" s="116">
        <v>1085</v>
      </c>
      <c r="D468" s="116">
        <v>1066</v>
      </c>
      <c r="E468" s="116">
        <v>1069</v>
      </c>
      <c r="F468" s="116">
        <v>1085</v>
      </c>
      <c r="G468">
        <v>54</v>
      </c>
      <c r="H468" s="116"/>
      <c r="I468" s="116"/>
      <c r="L468" s="170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70">
        <v>42711</v>
      </c>
      <c r="B469" s="116">
        <v>1080</v>
      </c>
      <c r="C469" s="116">
        <v>1079.8</v>
      </c>
      <c r="D469" s="116">
        <v>1079.5</v>
      </c>
      <c r="E469" s="116">
        <v>1080</v>
      </c>
      <c r="F469" s="116">
        <v>1079.8</v>
      </c>
      <c r="G469">
        <v>57</v>
      </c>
      <c r="H469" s="116"/>
      <c r="I469" s="116"/>
      <c r="L469" s="170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70">
        <v>42712</v>
      </c>
      <c r="B470" s="116">
        <v>1104</v>
      </c>
      <c r="C470" s="116">
        <v>1104</v>
      </c>
      <c r="D470" s="116">
        <v>1060</v>
      </c>
      <c r="E470" s="116">
        <v>1076</v>
      </c>
      <c r="F470" s="116">
        <v>1104</v>
      </c>
      <c r="G470">
        <v>51</v>
      </c>
      <c r="H470" s="116"/>
      <c r="I470" s="116"/>
      <c r="L470" s="170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70">
        <v>42713</v>
      </c>
      <c r="B471" s="116">
        <v>1108</v>
      </c>
      <c r="C471" s="116">
        <v>1106.5</v>
      </c>
      <c r="D471" s="116">
        <v>1090</v>
      </c>
      <c r="E471" s="116">
        <v>1090</v>
      </c>
      <c r="F471" s="116">
        <v>1106.5</v>
      </c>
      <c r="G471">
        <v>8</v>
      </c>
      <c r="H471" s="116"/>
      <c r="I471" s="116"/>
      <c r="L471" s="170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70">
        <v>42718</v>
      </c>
      <c r="B472" s="116">
        <v>1100</v>
      </c>
      <c r="C472" s="116">
        <v>1100</v>
      </c>
      <c r="D472" s="116">
        <v>1092</v>
      </c>
      <c r="E472" s="116">
        <v>1092</v>
      </c>
      <c r="F472" s="116">
        <v>1100</v>
      </c>
      <c r="G472">
        <v>5</v>
      </c>
      <c r="H472" s="116"/>
      <c r="I472" s="116"/>
      <c r="L472" s="170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70">
        <v>42719</v>
      </c>
      <c r="B473" s="116">
        <v>1090</v>
      </c>
      <c r="C473" s="116">
        <v>1090</v>
      </c>
      <c r="D473" s="116">
        <v>1080</v>
      </c>
      <c r="E473" s="116">
        <v>1080</v>
      </c>
      <c r="F473" s="116">
        <v>1090</v>
      </c>
      <c r="G473">
        <v>3</v>
      </c>
      <c r="H473" s="116"/>
      <c r="I473" s="116"/>
      <c r="L473" s="170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70">
        <v>42720</v>
      </c>
      <c r="B474" s="116">
        <v>1144.45</v>
      </c>
      <c r="C474" s="116">
        <v>1080</v>
      </c>
      <c r="D474" s="116">
        <v>1050</v>
      </c>
      <c r="E474" s="116">
        <v>1065</v>
      </c>
      <c r="F474" s="116">
        <v>1080</v>
      </c>
      <c r="G474">
        <v>97</v>
      </c>
      <c r="H474" s="116"/>
      <c r="I474" s="116"/>
      <c r="L474" s="170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70">
        <v>42725</v>
      </c>
      <c r="B475" s="116">
        <v>1070.5</v>
      </c>
      <c r="C475" s="116">
        <v>1070.3499999999999</v>
      </c>
      <c r="D475" s="116">
        <v>1070.0999999999999</v>
      </c>
      <c r="E475" s="116">
        <v>1070.5</v>
      </c>
      <c r="F475" s="116">
        <v>1070.3499999999999</v>
      </c>
      <c r="G475">
        <v>19</v>
      </c>
      <c r="H475" s="116"/>
      <c r="I475" s="116"/>
      <c r="L475" s="170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70">
        <v>42726</v>
      </c>
      <c r="B476" s="116">
        <v>1054.05</v>
      </c>
      <c r="C476" s="116">
        <v>1054.05</v>
      </c>
      <c r="D476" s="116">
        <v>1054.05</v>
      </c>
      <c r="E476" s="116">
        <v>1054.05</v>
      </c>
      <c r="F476" s="116">
        <v>1054.05</v>
      </c>
      <c r="G476">
        <v>5</v>
      </c>
      <c r="H476" s="116"/>
      <c r="I476" s="116"/>
      <c r="L476" s="170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70">
        <v>42727</v>
      </c>
      <c r="B477" s="116">
        <v>1061</v>
      </c>
      <c r="C477" s="116">
        <v>1060</v>
      </c>
      <c r="D477" s="116">
        <v>1060</v>
      </c>
      <c r="E477" s="116">
        <v>1061</v>
      </c>
      <c r="F477" s="116">
        <v>1060</v>
      </c>
      <c r="G477">
        <v>79</v>
      </c>
      <c r="H477" s="116"/>
      <c r="I477" s="116"/>
      <c r="L477" s="170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70">
        <v>42730</v>
      </c>
      <c r="B478" s="116">
        <v>1060</v>
      </c>
      <c r="C478" s="116">
        <v>1060</v>
      </c>
      <c r="D478" s="116">
        <v>1060</v>
      </c>
      <c r="E478" s="116">
        <v>1060</v>
      </c>
      <c r="F478" s="116">
        <v>1060</v>
      </c>
      <c r="G478">
        <v>1</v>
      </c>
      <c r="H478" s="116"/>
      <c r="I478" s="116"/>
      <c r="L478" s="170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70">
        <v>42731</v>
      </c>
      <c r="B479" s="116">
        <v>1079</v>
      </c>
      <c r="C479" s="116">
        <v>1079</v>
      </c>
      <c r="D479" s="116">
        <v>1040</v>
      </c>
      <c r="E479" s="116">
        <v>1040</v>
      </c>
      <c r="F479" s="116">
        <v>1079</v>
      </c>
      <c r="G479">
        <v>3</v>
      </c>
      <c r="H479" s="116"/>
      <c r="I479" s="116"/>
      <c r="L479" s="170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70">
        <v>42732</v>
      </c>
      <c r="B480" s="116">
        <v>1095.95</v>
      </c>
      <c r="C480" s="116">
        <v>1081.5</v>
      </c>
      <c r="D480" s="116">
        <v>1051</v>
      </c>
      <c r="E480" s="116">
        <v>1095.95</v>
      </c>
      <c r="F480" s="116">
        <v>1081.5</v>
      </c>
      <c r="G480">
        <v>30</v>
      </c>
      <c r="H480" s="116"/>
      <c r="I480" s="116"/>
      <c r="L480" s="170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70">
        <v>42733</v>
      </c>
      <c r="B481" s="116">
        <v>1051</v>
      </c>
      <c r="C481" s="116">
        <v>1050.2</v>
      </c>
      <c r="D481" s="116">
        <v>1050</v>
      </c>
      <c r="E481" s="116">
        <v>1051</v>
      </c>
      <c r="F481" s="116">
        <v>1050.2</v>
      </c>
      <c r="G481">
        <v>141</v>
      </c>
      <c r="H481" s="116"/>
      <c r="I481" s="116"/>
      <c r="L481" s="170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70">
        <v>42734</v>
      </c>
      <c r="B482" s="116">
        <v>1074.8</v>
      </c>
      <c r="C482" s="116">
        <v>1070</v>
      </c>
      <c r="D482" s="116">
        <v>1069</v>
      </c>
      <c r="E482" s="116">
        <v>1069</v>
      </c>
      <c r="F482" s="116">
        <v>1070</v>
      </c>
      <c r="G482">
        <v>682</v>
      </c>
      <c r="H482" s="116"/>
      <c r="I482" s="116"/>
      <c r="L482" s="170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70">
        <v>42738</v>
      </c>
      <c r="B483" s="116">
        <v>1111</v>
      </c>
      <c r="C483" s="116">
        <v>1091</v>
      </c>
      <c r="D483" s="116">
        <v>1090</v>
      </c>
      <c r="E483" s="116">
        <v>1111</v>
      </c>
      <c r="F483" s="116">
        <v>1091</v>
      </c>
      <c r="G483">
        <v>147</v>
      </c>
      <c r="H483" s="116"/>
      <c r="I483" s="116"/>
      <c r="L483" s="170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70">
        <v>42739</v>
      </c>
      <c r="B484" s="116">
        <v>1099</v>
      </c>
      <c r="C484" s="116">
        <v>1090</v>
      </c>
      <c r="D484" s="116">
        <v>1090</v>
      </c>
      <c r="E484" s="116">
        <v>1091</v>
      </c>
      <c r="F484" s="116">
        <v>1090</v>
      </c>
      <c r="G484">
        <v>202</v>
      </c>
      <c r="H484" s="116"/>
      <c r="I484" s="116"/>
      <c r="L484" s="170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70">
        <v>42740</v>
      </c>
      <c r="B485" s="116">
        <v>1090</v>
      </c>
      <c r="C485" s="116">
        <v>1090</v>
      </c>
      <c r="D485" s="116">
        <v>1090</v>
      </c>
      <c r="E485" s="116">
        <v>1090</v>
      </c>
      <c r="F485" s="116">
        <v>1090</v>
      </c>
      <c r="G485">
        <v>120</v>
      </c>
      <c r="H485" s="116"/>
      <c r="I485" s="116"/>
      <c r="L485" s="170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70">
        <v>42741</v>
      </c>
      <c r="B486" s="116">
        <v>1095</v>
      </c>
      <c r="C486" s="116">
        <v>1093.5</v>
      </c>
      <c r="D486" s="116">
        <v>1063.5</v>
      </c>
      <c r="E486" s="116">
        <v>1064.2</v>
      </c>
      <c r="F486" s="116">
        <v>1093.5</v>
      </c>
      <c r="G486">
        <v>87</v>
      </c>
      <c r="H486" s="116"/>
      <c r="I486" s="116"/>
      <c r="L486" s="170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70">
        <v>42744</v>
      </c>
      <c r="B487" s="116">
        <v>1129.9000000000001</v>
      </c>
      <c r="C487" s="116">
        <v>1129.9000000000001</v>
      </c>
      <c r="D487" s="116">
        <v>1094.95</v>
      </c>
      <c r="E487" s="116">
        <v>1095</v>
      </c>
      <c r="F487" s="116">
        <v>1129.9000000000001</v>
      </c>
      <c r="G487">
        <v>103</v>
      </c>
      <c r="H487" s="116"/>
      <c r="I487" s="116"/>
      <c r="L487" s="170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70">
        <v>42745</v>
      </c>
      <c r="B488" s="116">
        <v>1129.7</v>
      </c>
      <c r="C488" s="116">
        <v>1110.25</v>
      </c>
      <c r="D488" s="116">
        <v>1101.0999999999999</v>
      </c>
      <c r="E488" s="116">
        <v>1124</v>
      </c>
      <c r="F488" s="116">
        <v>1110.25</v>
      </c>
      <c r="G488">
        <v>108</v>
      </c>
      <c r="H488" s="116"/>
      <c r="I488" s="116"/>
      <c r="L488" s="170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70">
        <v>42746</v>
      </c>
      <c r="B489" s="116">
        <v>1130</v>
      </c>
      <c r="C489" s="116">
        <v>1111</v>
      </c>
      <c r="D489" s="116">
        <v>1101</v>
      </c>
      <c r="E489" s="116">
        <v>1111</v>
      </c>
      <c r="F489" s="116">
        <v>1111</v>
      </c>
      <c r="G489">
        <v>348</v>
      </c>
      <c r="H489" s="116"/>
      <c r="I489" s="116"/>
      <c r="L489" s="170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70">
        <v>42747</v>
      </c>
      <c r="B490" s="116">
        <v>1134.8</v>
      </c>
      <c r="C490" s="116">
        <v>1120.4000000000001</v>
      </c>
      <c r="D490" s="116">
        <v>1115</v>
      </c>
      <c r="E490" s="116">
        <v>1115</v>
      </c>
      <c r="F490" s="116">
        <v>1120.4000000000001</v>
      </c>
      <c r="G490">
        <v>68</v>
      </c>
      <c r="H490" s="116"/>
      <c r="I490" s="116"/>
      <c r="L490" s="170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70">
        <v>42748</v>
      </c>
      <c r="B491" s="116">
        <v>1137</v>
      </c>
      <c r="C491" s="116">
        <v>1122.95</v>
      </c>
      <c r="D491" s="116">
        <v>1101</v>
      </c>
      <c r="E491" s="116">
        <v>1115</v>
      </c>
      <c r="F491" s="116">
        <v>1122.95</v>
      </c>
      <c r="G491">
        <v>342</v>
      </c>
      <c r="H491" s="116"/>
      <c r="I491" s="116"/>
      <c r="L491" s="170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70">
        <v>42751</v>
      </c>
      <c r="B492" s="116">
        <v>1122.0999999999999</v>
      </c>
      <c r="C492" s="116">
        <v>1122.0999999999999</v>
      </c>
      <c r="D492" s="116">
        <v>1115</v>
      </c>
      <c r="E492" s="116">
        <v>1122</v>
      </c>
      <c r="F492" s="116">
        <v>1122.0999999999999</v>
      </c>
      <c r="G492">
        <v>118</v>
      </c>
      <c r="H492" s="116"/>
      <c r="I492" s="116"/>
      <c r="L492" s="170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70">
        <v>42752</v>
      </c>
      <c r="B493" s="116">
        <v>1145.75</v>
      </c>
      <c r="C493" s="116">
        <v>1145.75</v>
      </c>
      <c r="D493" s="116">
        <v>1123.0999999999999</v>
      </c>
      <c r="E493" s="116">
        <v>1123.0999999999999</v>
      </c>
      <c r="F493" s="116">
        <v>1145.75</v>
      </c>
      <c r="G493">
        <v>36</v>
      </c>
      <c r="H493" s="116"/>
      <c r="I493" s="116"/>
      <c r="L493" s="170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70">
        <v>42753</v>
      </c>
      <c r="B494" s="116">
        <v>1149.9000000000001</v>
      </c>
      <c r="C494" s="116">
        <v>1147.5999999999999</v>
      </c>
      <c r="D494" s="116">
        <v>1120</v>
      </c>
      <c r="E494" s="116">
        <v>1120.05</v>
      </c>
      <c r="F494" s="116">
        <v>1147.5999999999999</v>
      </c>
      <c r="G494">
        <v>683</v>
      </c>
      <c r="H494" s="116"/>
      <c r="I494" s="116"/>
      <c r="L494" s="170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70">
        <v>42754</v>
      </c>
      <c r="B495" s="116">
        <v>1125.0999999999999</v>
      </c>
      <c r="C495" s="116">
        <v>1124.95</v>
      </c>
      <c r="D495" s="116">
        <v>1123.5</v>
      </c>
      <c r="E495" s="116">
        <v>1123.5</v>
      </c>
      <c r="F495" s="116">
        <v>1124.95</v>
      </c>
      <c r="G495">
        <v>25</v>
      </c>
      <c r="H495" s="116"/>
      <c r="I495" s="116"/>
      <c r="L495" s="170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70">
        <v>42755</v>
      </c>
      <c r="B496" s="116">
        <v>1139</v>
      </c>
      <c r="C496" s="116">
        <v>1126</v>
      </c>
      <c r="D496" s="116">
        <v>1120</v>
      </c>
      <c r="E496" s="116">
        <v>1120</v>
      </c>
      <c r="F496" s="116">
        <v>1126</v>
      </c>
      <c r="G496">
        <v>296</v>
      </c>
      <c r="H496" s="116"/>
      <c r="I496" s="116"/>
      <c r="L496" s="170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70">
        <v>42758</v>
      </c>
      <c r="B497" s="116">
        <v>1134.95</v>
      </c>
      <c r="C497" s="116">
        <v>1117.9000000000001</v>
      </c>
      <c r="D497" s="116">
        <v>1107</v>
      </c>
      <c r="E497" s="116">
        <v>1129.95</v>
      </c>
      <c r="F497" s="116">
        <v>1117.9000000000001</v>
      </c>
      <c r="G497">
        <v>50</v>
      </c>
      <c r="H497" s="116"/>
      <c r="I497" s="116"/>
      <c r="L497" s="170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70">
        <v>42760</v>
      </c>
      <c r="B498" s="116">
        <v>1140</v>
      </c>
      <c r="C498" s="116">
        <v>1125.8</v>
      </c>
      <c r="D498" s="116">
        <v>1101</v>
      </c>
      <c r="E498" s="116">
        <v>1140</v>
      </c>
      <c r="F498" s="116">
        <v>1125.8</v>
      </c>
      <c r="G498">
        <v>170</v>
      </c>
      <c r="H498" s="116"/>
      <c r="I498" s="116"/>
      <c r="L498" s="170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70">
        <v>42762</v>
      </c>
      <c r="B499" s="116">
        <v>1150</v>
      </c>
      <c r="C499" s="116">
        <v>1120.55</v>
      </c>
      <c r="D499" s="116">
        <v>1120</v>
      </c>
      <c r="E499" s="116">
        <v>1150</v>
      </c>
      <c r="F499" s="116">
        <v>1120.55</v>
      </c>
      <c r="G499">
        <v>404</v>
      </c>
      <c r="H499" s="116"/>
      <c r="I499" s="116"/>
      <c r="L499" s="170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70">
        <v>42765</v>
      </c>
      <c r="B500" s="116">
        <v>1145.55</v>
      </c>
      <c r="C500" s="116">
        <v>1120</v>
      </c>
      <c r="D500" s="116">
        <v>1111.05</v>
      </c>
      <c r="E500" s="116">
        <v>1111.05</v>
      </c>
      <c r="F500" s="116">
        <v>1120</v>
      </c>
      <c r="G500">
        <v>281</v>
      </c>
      <c r="H500" s="116"/>
      <c r="I500" s="116"/>
      <c r="L500" s="170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70">
        <v>42766</v>
      </c>
      <c r="B501" s="116">
        <v>1129</v>
      </c>
      <c r="C501" s="116">
        <v>1120</v>
      </c>
      <c r="D501" s="116">
        <v>1114.05</v>
      </c>
      <c r="E501" s="116">
        <v>1114.05</v>
      </c>
      <c r="F501" s="116">
        <v>1120</v>
      </c>
      <c r="G501">
        <v>142</v>
      </c>
      <c r="H501" s="116"/>
      <c r="I501" s="116"/>
      <c r="L501" s="170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70">
        <v>42768</v>
      </c>
      <c r="B502" s="116">
        <v>1120</v>
      </c>
      <c r="C502" s="116">
        <v>1120</v>
      </c>
      <c r="D502" s="116">
        <v>1120</v>
      </c>
      <c r="E502" s="116">
        <v>1120</v>
      </c>
      <c r="F502" s="116">
        <v>1120</v>
      </c>
      <c r="G502">
        <v>62</v>
      </c>
      <c r="H502" s="116"/>
      <c r="I502" s="116"/>
      <c r="L502" s="170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70">
        <v>42769</v>
      </c>
      <c r="B503" s="116">
        <v>1158</v>
      </c>
      <c r="C503" s="116">
        <v>1102</v>
      </c>
      <c r="D503" s="116">
        <v>1072.05</v>
      </c>
      <c r="E503" s="116">
        <v>1072.05</v>
      </c>
      <c r="F503" s="116">
        <v>1102</v>
      </c>
      <c r="G503">
        <v>55</v>
      </c>
      <c r="H503" s="116"/>
      <c r="I503" s="116"/>
      <c r="L503" s="170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70">
        <v>42772</v>
      </c>
      <c r="B504" s="116">
        <v>1107</v>
      </c>
      <c r="C504" s="116">
        <v>1105.0999999999999</v>
      </c>
      <c r="D504" s="116">
        <v>1103.2</v>
      </c>
      <c r="E504" s="116">
        <v>1103.2</v>
      </c>
      <c r="F504" s="116">
        <v>1105.0999999999999</v>
      </c>
      <c r="G504">
        <v>59</v>
      </c>
      <c r="H504" s="116"/>
      <c r="I504" s="116"/>
      <c r="L504" s="170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70">
        <v>42773</v>
      </c>
      <c r="B505" s="116">
        <v>1125</v>
      </c>
      <c r="C505" s="116">
        <v>1108.6500000000001</v>
      </c>
      <c r="D505" s="116">
        <v>1100</v>
      </c>
      <c r="E505" s="116">
        <v>1100</v>
      </c>
      <c r="F505" s="116">
        <v>1108.6500000000001</v>
      </c>
      <c r="G505">
        <v>36</v>
      </c>
      <c r="H505" s="116"/>
      <c r="I505" s="116"/>
      <c r="L505" s="170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70">
        <v>42774</v>
      </c>
      <c r="B506" s="116">
        <v>1124</v>
      </c>
      <c r="C506" s="116">
        <v>1122.8499999999999</v>
      </c>
      <c r="D506" s="116">
        <v>1105</v>
      </c>
      <c r="E506" s="116">
        <v>1111</v>
      </c>
      <c r="F506" s="116">
        <v>1122.8499999999999</v>
      </c>
      <c r="G506">
        <v>1052</v>
      </c>
      <c r="H506" s="116"/>
      <c r="I506" s="116"/>
      <c r="L506" s="170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70">
        <v>42775</v>
      </c>
      <c r="B507" s="116">
        <v>1126</v>
      </c>
      <c r="C507" s="116">
        <v>1123</v>
      </c>
      <c r="D507" s="116">
        <v>1070</v>
      </c>
      <c r="E507" s="116">
        <v>1070</v>
      </c>
      <c r="F507" s="116">
        <v>1123</v>
      </c>
      <c r="G507">
        <v>73</v>
      </c>
      <c r="H507" s="116"/>
      <c r="I507" s="116"/>
      <c r="L507" s="170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70">
        <v>42776</v>
      </c>
      <c r="B508" s="116">
        <v>1117</v>
      </c>
      <c r="C508" s="116">
        <v>1117</v>
      </c>
      <c r="D508" s="116">
        <v>1111.0999999999999</v>
      </c>
      <c r="E508" s="116">
        <v>1111.0999999999999</v>
      </c>
      <c r="F508" s="116">
        <v>1117</v>
      </c>
      <c r="G508">
        <v>20</v>
      </c>
      <c r="H508" s="116"/>
      <c r="I508" s="116"/>
      <c r="L508" s="170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70">
        <v>42779</v>
      </c>
      <c r="B509" s="116">
        <v>1120</v>
      </c>
      <c r="C509" s="116">
        <v>1120</v>
      </c>
      <c r="D509" s="116">
        <v>1120</v>
      </c>
      <c r="E509" s="116">
        <v>1120</v>
      </c>
      <c r="F509" s="116">
        <v>1120</v>
      </c>
      <c r="G509">
        <v>20</v>
      </c>
      <c r="H509" s="116"/>
      <c r="I509" s="116"/>
      <c r="L509" s="170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70">
        <v>42780</v>
      </c>
      <c r="B510" s="116">
        <v>1137.95</v>
      </c>
      <c r="C510" s="116">
        <v>1133.1500000000001</v>
      </c>
      <c r="D510" s="116">
        <v>1116.05</v>
      </c>
      <c r="E510" s="116">
        <v>1120</v>
      </c>
      <c r="F510" s="116">
        <v>1133.1500000000001</v>
      </c>
      <c r="G510">
        <v>91</v>
      </c>
      <c r="H510" s="116"/>
      <c r="I510" s="116"/>
      <c r="L510" s="170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70">
        <v>42781</v>
      </c>
      <c r="B511" s="116">
        <v>1120</v>
      </c>
      <c r="C511" s="116">
        <v>1105.3</v>
      </c>
      <c r="D511" s="116">
        <v>1102</v>
      </c>
      <c r="E511" s="116">
        <v>1102</v>
      </c>
      <c r="F511" s="116">
        <v>1105.3</v>
      </c>
      <c r="G511">
        <v>175</v>
      </c>
      <c r="H511" s="116"/>
      <c r="I511" s="116"/>
      <c r="L511" s="170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70">
        <v>42782</v>
      </c>
      <c r="B512" s="116">
        <v>1120</v>
      </c>
      <c r="C512" s="116">
        <v>1115</v>
      </c>
      <c r="D512" s="116">
        <v>1105.05</v>
      </c>
      <c r="E512" s="116">
        <v>1120</v>
      </c>
      <c r="F512" s="116">
        <v>1115</v>
      </c>
      <c r="G512">
        <v>76</v>
      </c>
      <c r="H512" s="116"/>
      <c r="I512" s="116"/>
      <c r="L512" s="170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70">
        <v>42783</v>
      </c>
      <c r="B513" s="116">
        <v>1125</v>
      </c>
      <c r="C513" s="116">
        <v>1125</v>
      </c>
      <c r="D513" s="116">
        <v>1115</v>
      </c>
      <c r="E513" s="116">
        <v>1120</v>
      </c>
      <c r="F513" s="116">
        <v>1125</v>
      </c>
      <c r="G513">
        <v>157</v>
      </c>
      <c r="H513" s="116"/>
      <c r="I513" s="116"/>
      <c r="L513" s="170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70">
        <v>42786</v>
      </c>
      <c r="B514" s="116">
        <v>1130</v>
      </c>
      <c r="C514" s="116">
        <v>1119</v>
      </c>
      <c r="D514" s="116">
        <v>1118.0999999999999</v>
      </c>
      <c r="E514" s="116">
        <v>1125</v>
      </c>
      <c r="F514" s="116">
        <v>1119</v>
      </c>
      <c r="G514">
        <v>191</v>
      </c>
      <c r="H514" s="116"/>
      <c r="I514" s="116"/>
      <c r="L514" s="170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70">
        <v>42787</v>
      </c>
      <c r="B515" s="116">
        <v>1148</v>
      </c>
      <c r="C515" s="116">
        <v>1147.0999999999999</v>
      </c>
      <c r="D515" s="116">
        <v>1120</v>
      </c>
      <c r="E515" s="116">
        <v>1121</v>
      </c>
      <c r="F515" s="116">
        <v>1147.0999999999999</v>
      </c>
      <c r="G515">
        <v>813</v>
      </c>
      <c r="H515" s="116"/>
      <c r="I515" s="116"/>
      <c r="L515" s="170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70">
        <v>42788</v>
      </c>
      <c r="B516" s="116">
        <v>1148</v>
      </c>
      <c r="C516" s="116">
        <v>1133</v>
      </c>
      <c r="D516" s="116">
        <v>1127</v>
      </c>
      <c r="E516" s="116">
        <v>1128</v>
      </c>
      <c r="F516" s="116">
        <v>1133</v>
      </c>
      <c r="G516">
        <v>121</v>
      </c>
      <c r="H516" s="116"/>
      <c r="I516" s="116"/>
      <c r="L516" s="170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70">
        <v>42789</v>
      </c>
      <c r="B517" s="116">
        <v>1140</v>
      </c>
      <c r="C517" s="116">
        <v>1140</v>
      </c>
      <c r="D517" s="116">
        <v>1124</v>
      </c>
      <c r="E517" s="116">
        <v>1124</v>
      </c>
      <c r="F517" s="116">
        <v>1140</v>
      </c>
      <c r="G517">
        <v>134</v>
      </c>
      <c r="H517" s="116"/>
      <c r="I517" s="116"/>
      <c r="L517" s="170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70">
        <v>42793</v>
      </c>
      <c r="B518" s="116">
        <v>1147.9000000000001</v>
      </c>
      <c r="C518" s="116">
        <v>1125.05</v>
      </c>
      <c r="D518" s="116">
        <v>1125.05</v>
      </c>
      <c r="E518" s="116">
        <v>1147.9000000000001</v>
      </c>
      <c r="F518" s="116">
        <v>1125.05</v>
      </c>
      <c r="G518">
        <v>6</v>
      </c>
      <c r="H518" s="116"/>
      <c r="I518" s="116"/>
      <c r="L518" s="170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70">
        <v>42794</v>
      </c>
      <c r="B519" s="116">
        <v>1149.5</v>
      </c>
      <c r="C519" s="116">
        <v>1131</v>
      </c>
      <c r="D519" s="116">
        <v>1120</v>
      </c>
      <c r="E519" s="116">
        <v>1121.05</v>
      </c>
      <c r="F519" s="116">
        <v>1131</v>
      </c>
      <c r="G519">
        <v>106</v>
      </c>
      <c r="H519" s="116"/>
      <c r="I519" s="116"/>
      <c r="L519" s="170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70">
        <v>42795</v>
      </c>
      <c r="B520" s="116">
        <v>1148</v>
      </c>
      <c r="C520" s="116">
        <v>1127.5</v>
      </c>
      <c r="D520" s="116">
        <v>1124</v>
      </c>
      <c r="E520" s="116">
        <v>1131</v>
      </c>
      <c r="F520" s="116">
        <v>1127.5</v>
      </c>
      <c r="G520">
        <v>296</v>
      </c>
      <c r="H520" s="116"/>
      <c r="I520" s="116"/>
      <c r="L520" s="170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70">
        <v>42796</v>
      </c>
      <c r="B521" s="116">
        <v>1169</v>
      </c>
      <c r="C521" s="116">
        <v>1169</v>
      </c>
      <c r="D521" s="116">
        <v>1120</v>
      </c>
      <c r="E521" s="116">
        <v>1127</v>
      </c>
      <c r="F521" s="116">
        <v>1169</v>
      </c>
      <c r="G521">
        <v>64</v>
      </c>
      <c r="H521" s="116"/>
      <c r="I521" s="116"/>
      <c r="L521" s="170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70">
        <v>42797</v>
      </c>
      <c r="B522" s="116">
        <v>1167</v>
      </c>
      <c r="C522" s="116">
        <v>1167</v>
      </c>
      <c r="D522" s="116">
        <v>1167</v>
      </c>
      <c r="E522" s="116">
        <v>1167</v>
      </c>
      <c r="F522" s="116">
        <v>1167</v>
      </c>
      <c r="G522">
        <v>40</v>
      </c>
      <c r="H522" s="116"/>
      <c r="I522" s="116"/>
      <c r="L522" s="170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70">
        <v>42800</v>
      </c>
      <c r="B523" s="116">
        <v>1184.1500000000001</v>
      </c>
      <c r="C523" s="116">
        <v>1157.7</v>
      </c>
      <c r="D523" s="116">
        <v>1132</v>
      </c>
      <c r="E523" s="116">
        <v>1132.05</v>
      </c>
      <c r="F523" s="116">
        <v>1157.7</v>
      </c>
      <c r="G523">
        <v>182</v>
      </c>
      <c r="H523" s="116"/>
      <c r="I523" s="116"/>
      <c r="L523" s="170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70">
        <v>42801</v>
      </c>
      <c r="B524" s="116">
        <v>1184</v>
      </c>
      <c r="C524" s="116">
        <v>1155</v>
      </c>
      <c r="D524" s="116">
        <v>1155</v>
      </c>
      <c r="E524" s="116">
        <v>1155</v>
      </c>
      <c r="F524" s="116">
        <v>1155</v>
      </c>
      <c r="G524">
        <v>146</v>
      </c>
      <c r="H524" s="116"/>
      <c r="I524" s="116"/>
      <c r="L524" s="170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70">
        <v>42802</v>
      </c>
      <c r="B525" s="116">
        <v>1155</v>
      </c>
      <c r="C525" s="116">
        <v>1132.05</v>
      </c>
      <c r="D525" s="116">
        <v>1125</v>
      </c>
      <c r="E525" s="116">
        <v>1125</v>
      </c>
      <c r="F525" s="116">
        <v>1132.05</v>
      </c>
      <c r="G525">
        <v>156</v>
      </c>
      <c r="H525" s="116"/>
      <c r="I525" s="116"/>
      <c r="L525" s="170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70">
        <v>42803</v>
      </c>
      <c r="B526" s="116">
        <v>1149.8</v>
      </c>
      <c r="C526" s="116">
        <v>1134.5999999999999</v>
      </c>
      <c r="D526" s="116">
        <v>1133</v>
      </c>
      <c r="E526" s="116">
        <v>1135</v>
      </c>
      <c r="F526" s="116">
        <v>1134.5999999999999</v>
      </c>
      <c r="G526">
        <v>80</v>
      </c>
      <c r="H526" s="116"/>
      <c r="I526" s="116"/>
      <c r="L526" s="170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70">
        <v>42804</v>
      </c>
      <c r="B527" s="116">
        <v>1155</v>
      </c>
      <c r="C527" s="116">
        <v>1137</v>
      </c>
      <c r="D527" s="116">
        <v>1137</v>
      </c>
      <c r="E527" s="116">
        <v>1137.5</v>
      </c>
      <c r="F527" s="116">
        <v>1137</v>
      </c>
      <c r="G527">
        <v>24</v>
      </c>
      <c r="H527" s="116"/>
      <c r="I527" s="116"/>
      <c r="L527" s="170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70">
        <v>42808</v>
      </c>
      <c r="B528" s="116">
        <v>1164.95</v>
      </c>
      <c r="C528" s="116">
        <v>1136</v>
      </c>
      <c r="D528" s="116">
        <v>1136</v>
      </c>
      <c r="E528" s="116">
        <v>1146</v>
      </c>
      <c r="F528" s="116">
        <v>1136</v>
      </c>
      <c r="G528">
        <v>120</v>
      </c>
      <c r="H528" s="116"/>
      <c r="I528" s="116"/>
      <c r="L528" s="170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70">
        <v>42809</v>
      </c>
      <c r="B529" s="116">
        <v>1170</v>
      </c>
      <c r="C529" s="116">
        <v>1137.05</v>
      </c>
      <c r="D529" s="116">
        <v>1135</v>
      </c>
      <c r="E529" s="116">
        <v>1170</v>
      </c>
      <c r="F529" s="116">
        <v>1137.05</v>
      </c>
      <c r="G529">
        <v>126</v>
      </c>
      <c r="H529" s="116"/>
      <c r="I529" s="116"/>
      <c r="L529" s="170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70">
        <v>42810</v>
      </c>
      <c r="B530" s="116">
        <v>1193.9000000000001</v>
      </c>
      <c r="C530" s="116">
        <v>1193</v>
      </c>
      <c r="D530" s="116">
        <v>1152.5999999999999</v>
      </c>
      <c r="E530" s="116">
        <v>1189.0999999999999</v>
      </c>
      <c r="F530" s="116">
        <v>1193</v>
      </c>
      <c r="G530">
        <v>588</v>
      </c>
      <c r="H530" s="116"/>
      <c r="I530" s="116"/>
      <c r="L530" s="170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70">
        <v>42811</v>
      </c>
      <c r="B531" s="116">
        <v>1235.0999999999999</v>
      </c>
      <c r="C531" s="116">
        <v>1216.05</v>
      </c>
      <c r="D531" s="116">
        <v>1181.3</v>
      </c>
      <c r="E531" s="116">
        <v>1231.7</v>
      </c>
      <c r="F531" s="116">
        <v>1216.05</v>
      </c>
      <c r="G531">
        <v>214</v>
      </c>
      <c r="H531" s="116"/>
      <c r="I531" s="116"/>
      <c r="L531" s="170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70">
        <v>42814</v>
      </c>
      <c r="B532" s="116">
        <v>1252</v>
      </c>
      <c r="C532" s="116">
        <v>1185</v>
      </c>
      <c r="D532" s="116">
        <v>1175</v>
      </c>
      <c r="E532" s="116">
        <v>1252</v>
      </c>
      <c r="F532" s="116">
        <v>1185</v>
      </c>
      <c r="G532">
        <v>112</v>
      </c>
      <c r="H532" s="116"/>
      <c r="I532" s="116"/>
      <c r="L532" s="170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70">
        <v>42815</v>
      </c>
      <c r="B533" s="116">
        <v>1240.5</v>
      </c>
      <c r="C533" s="116">
        <v>1208.9000000000001</v>
      </c>
      <c r="D533" s="116">
        <v>1175</v>
      </c>
      <c r="E533" s="116">
        <v>1175</v>
      </c>
      <c r="F533" s="116">
        <v>1208.9000000000001</v>
      </c>
      <c r="G533">
        <v>703</v>
      </c>
      <c r="H533" s="116"/>
      <c r="I533" s="116"/>
      <c r="L533" s="170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70">
        <v>42816</v>
      </c>
      <c r="B534" s="116">
        <v>1250</v>
      </c>
      <c r="C534" s="116">
        <v>1228</v>
      </c>
      <c r="D534" s="116">
        <v>1200</v>
      </c>
      <c r="E534" s="116">
        <v>1244</v>
      </c>
      <c r="F534" s="116">
        <v>1228</v>
      </c>
      <c r="G534">
        <v>99</v>
      </c>
      <c r="H534" s="116"/>
      <c r="I534" s="116"/>
      <c r="L534" s="170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70">
        <v>42817</v>
      </c>
      <c r="B535" s="116">
        <v>1250</v>
      </c>
      <c r="C535" s="116">
        <v>1236.95</v>
      </c>
      <c r="D535" s="116">
        <v>1220.05</v>
      </c>
      <c r="E535" s="116">
        <v>1228</v>
      </c>
      <c r="F535" s="116">
        <v>1236.95</v>
      </c>
      <c r="G535">
        <v>143</v>
      </c>
      <c r="H535" s="116"/>
      <c r="I535" s="116"/>
      <c r="L535" s="170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70">
        <v>42818</v>
      </c>
      <c r="B536" s="116">
        <v>1278.45</v>
      </c>
      <c r="C536" s="116">
        <v>1256.0999999999999</v>
      </c>
      <c r="D536" s="116">
        <v>1220</v>
      </c>
      <c r="E536" s="116">
        <v>1278.45</v>
      </c>
      <c r="F536" s="116">
        <v>1256.0999999999999</v>
      </c>
      <c r="G536">
        <v>385</v>
      </c>
      <c r="H536" s="116"/>
      <c r="I536" s="116"/>
      <c r="L536" s="170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70">
        <v>42821</v>
      </c>
      <c r="B537" s="116">
        <v>1254.8</v>
      </c>
      <c r="C537" s="116">
        <v>1235</v>
      </c>
      <c r="D537" s="116">
        <v>1232.55</v>
      </c>
      <c r="E537" s="116">
        <v>1240</v>
      </c>
      <c r="F537" s="116">
        <v>1235</v>
      </c>
      <c r="G537">
        <v>327</v>
      </c>
      <c r="H537" s="116"/>
      <c r="I537" s="116"/>
      <c r="L537" s="170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70">
        <v>42822</v>
      </c>
      <c r="B538" s="116">
        <v>1278.5</v>
      </c>
      <c r="C538" s="116">
        <v>1255</v>
      </c>
      <c r="D538" s="116">
        <v>1241</v>
      </c>
      <c r="E538" s="116">
        <v>1278.5</v>
      </c>
      <c r="F538" s="116">
        <v>1255</v>
      </c>
      <c r="G538">
        <v>1053</v>
      </c>
      <c r="H538" s="116"/>
      <c r="I538" s="116"/>
      <c r="L538" s="170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70">
        <v>42823</v>
      </c>
      <c r="B539" s="116">
        <v>1248</v>
      </c>
      <c r="C539" s="116">
        <v>1246.3499999999999</v>
      </c>
      <c r="D539" s="116">
        <v>1230</v>
      </c>
      <c r="E539" s="116">
        <v>1230</v>
      </c>
      <c r="F539" s="116">
        <v>1246.3499999999999</v>
      </c>
      <c r="G539">
        <v>914</v>
      </c>
      <c r="H539" s="116"/>
      <c r="I539" s="116"/>
      <c r="L539" s="170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70">
        <v>42824</v>
      </c>
      <c r="B540" s="116">
        <v>1254</v>
      </c>
      <c r="C540" s="116">
        <v>1230</v>
      </c>
      <c r="D540" s="116">
        <v>1210</v>
      </c>
      <c r="E540" s="116">
        <v>1254</v>
      </c>
      <c r="F540" s="116">
        <v>1230</v>
      </c>
      <c r="G540">
        <v>207</v>
      </c>
      <c r="H540" s="116"/>
      <c r="I540" s="116"/>
      <c r="L540" s="170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70">
        <v>42825</v>
      </c>
      <c r="B541" s="116">
        <v>1278.5</v>
      </c>
      <c r="C541" s="116">
        <v>1252</v>
      </c>
      <c r="D541" s="116">
        <v>1174</v>
      </c>
      <c r="E541" s="116">
        <v>1174</v>
      </c>
      <c r="F541" s="116">
        <v>1252</v>
      </c>
      <c r="G541">
        <v>65</v>
      </c>
      <c r="H541" s="116"/>
      <c r="I541" s="116"/>
      <c r="L541" s="170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70">
        <v>42828</v>
      </c>
      <c r="B542" s="116">
        <v>1247</v>
      </c>
      <c r="C542" s="116">
        <v>1245.75</v>
      </c>
      <c r="D542" s="116">
        <v>1211.05</v>
      </c>
      <c r="E542" s="116">
        <v>1211.05</v>
      </c>
      <c r="F542" s="116">
        <v>1245.75</v>
      </c>
      <c r="G542">
        <v>98</v>
      </c>
      <c r="H542" s="116"/>
      <c r="I542" s="116"/>
      <c r="L542" s="170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70">
        <v>42830</v>
      </c>
      <c r="B543" s="116">
        <v>1286.9000000000001</v>
      </c>
      <c r="C543" s="116">
        <v>1277.95</v>
      </c>
      <c r="D543" s="116">
        <v>1227</v>
      </c>
      <c r="E543" s="116">
        <v>1278.5</v>
      </c>
      <c r="F543" s="116">
        <v>1277.95</v>
      </c>
      <c r="G543">
        <v>497</v>
      </c>
      <c r="H543" s="116"/>
      <c r="I543" s="116"/>
      <c r="L543" s="170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70">
        <v>42831</v>
      </c>
      <c r="B544" s="116">
        <v>1270.95</v>
      </c>
      <c r="C544" s="116">
        <v>1270.95</v>
      </c>
      <c r="D544" s="116">
        <v>1270.95</v>
      </c>
      <c r="E544" s="116">
        <v>1270.95</v>
      </c>
      <c r="F544" s="116">
        <v>1270.95</v>
      </c>
      <c r="G544">
        <v>2</v>
      </c>
      <c r="H544" s="116"/>
      <c r="I544" s="116"/>
      <c r="L544" s="170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70">
        <v>42832</v>
      </c>
      <c r="B545" s="116">
        <v>1326</v>
      </c>
      <c r="C545" s="116">
        <v>1300.4000000000001</v>
      </c>
      <c r="D545" s="116">
        <v>1253.3</v>
      </c>
      <c r="E545" s="116">
        <v>1326</v>
      </c>
      <c r="F545" s="116">
        <v>1300.4000000000001</v>
      </c>
      <c r="G545">
        <v>311</v>
      </c>
      <c r="H545" s="116"/>
      <c r="I545" s="116"/>
      <c r="L545" s="170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70">
        <v>42835</v>
      </c>
      <c r="B546" s="116">
        <v>1301</v>
      </c>
      <c r="C546" s="116">
        <v>1291.5999999999999</v>
      </c>
      <c r="D546" s="116">
        <v>1270</v>
      </c>
      <c r="E546" s="116">
        <v>1271.05</v>
      </c>
      <c r="F546" s="116">
        <v>1291.5999999999999</v>
      </c>
      <c r="G546">
        <v>235</v>
      </c>
      <c r="H546" s="116"/>
      <c r="I546" s="116"/>
      <c r="L546" s="170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70">
        <v>42836</v>
      </c>
      <c r="B547" s="116">
        <v>1356.15</v>
      </c>
      <c r="C547" s="116">
        <v>1356.15</v>
      </c>
      <c r="D547" s="116">
        <v>1300</v>
      </c>
      <c r="E547" s="116">
        <v>1323.8</v>
      </c>
      <c r="F547" s="116">
        <v>1356.15</v>
      </c>
      <c r="G547">
        <v>773</v>
      </c>
      <c r="H547" s="116"/>
      <c r="I547" s="116"/>
      <c r="L547" s="170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70">
        <v>42837</v>
      </c>
      <c r="B548" s="116">
        <v>1372.6</v>
      </c>
      <c r="C548" s="116">
        <v>1353.55</v>
      </c>
      <c r="D548" s="116">
        <v>1321.1</v>
      </c>
      <c r="E548" s="116">
        <v>1372.6</v>
      </c>
      <c r="F548" s="116">
        <v>1353.55</v>
      </c>
      <c r="G548">
        <v>427</v>
      </c>
      <c r="H548" s="116"/>
      <c r="I548" s="116"/>
      <c r="L548" s="170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70">
        <v>42838</v>
      </c>
      <c r="B549" s="116">
        <v>1358.95</v>
      </c>
      <c r="C549" s="116">
        <v>1303.3</v>
      </c>
      <c r="D549" s="116">
        <v>1300</v>
      </c>
      <c r="E549" s="116">
        <v>1358.95</v>
      </c>
      <c r="F549" s="116">
        <v>1303.3</v>
      </c>
      <c r="G549">
        <v>651</v>
      </c>
      <c r="H549" s="116"/>
      <c r="I549" s="116"/>
      <c r="L549" s="170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70">
        <v>42842</v>
      </c>
      <c r="B550" s="116">
        <v>1329.9</v>
      </c>
      <c r="C550" s="116">
        <v>1291.9000000000001</v>
      </c>
      <c r="D550" s="116">
        <v>1290</v>
      </c>
      <c r="E550" s="116">
        <v>1307.05</v>
      </c>
      <c r="F550" s="116">
        <v>1291.9000000000001</v>
      </c>
      <c r="G550">
        <v>308</v>
      </c>
      <c r="H550" s="116"/>
      <c r="I550" s="116"/>
      <c r="L550" s="170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70">
        <v>42843</v>
      </c>
      <c r="B551" s="116">
        <v>1349.9</v>
      </c>
      <c r="C551" s="116">
        <v>1325</v>
      </c>
      <c r="D551" s="116">
        <v>1304.95</v>
      </c>
      <c r="E551" s="116">
        <v>1304.95</v>
      </c>
      <c r="F551" s="116">
        <v>1325</v>
      </c>
      <c r="G551">
        <v>290</v>
      </c>
      <c r="H551" s="116"/>
      <c r="I551" s="116"/>
      <c r="L551" s="170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70">
        <v>42844</v>
      </c>
      <c r="B552" s="116">
        <v>1334.95</v>
      </c>
      <c r="C552" s="116">
        <v>1306.0999999999999</v>
      </c>
      <c r="D552" s="116">
        <v>1306.0999999999999</v>
      </c>
      <c r="E552" s="116">
        <v>1313.05</v>
      </c>
      <c r="F552" s="116">
        <v>1306.0999999999999</v>
      </c>
      <c r="G552">
        <v>381</v>
      </c>
      <c r="H552" s="116"/>
      <c r="I552" s="116"/>
      <c r="L552" s="170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70">
        <v>42845</v>
      </c>
      <c r="B553" s="116">
        <v>1314</v>
      </c>
      <c r="C553" s="116">
        <v>1301</v>
      </c>
      <c r="D553" s="116">
        <v>1301</v>
      </c>
      <c r="E553" s="116">
        <v>1310</v>
      </c>
      <c r="F553" s="116">
        <v>1301</v>
      </c>
      <c r="G553">
        <v>248</v>
      </c>
      <c r="H553" s="116"/>
      <c r="I553" s="116"/>
      <c r="L553" s="170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70">
        <v>42846</v>
      </c>
      <c r="B554" s="116">
        <v>1313</v>
      </c>
      <c r="C554" s="116">
        <v>1297</v>
      </c>
      <c r="D554" s="116">
        <v>1271.0999999999999</v>
      </c>
      <c r="E554" s="116">
        <v>1302.05</v>
      </c>
      <c r="F554" s="116">
        <v>1297</v>
      </c>
      <c r="G554">
        <v>490</v>
      </c>
      <c r="H554" s="116"/>
      <c r="I554" s="116"/>
      <c r="L554" s="170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70">
        <v>42849</v>
      </c>
      <c r="B555" s="116">
        <v>1320</v>
      </c>
      <c r="C555" s="116">
        <v>1301.0999999999999</v>
      </c>
      <c r="D555" s="116">
        <v>1300</v>
      </c>
      <c r="E555" s="116">
        <v>1300</v>
      </c>
      <c r="F555" s="116">
        <v>1301.0999999999999</v>
      </c>
      <c r="G555">
        <v>194</v>
      </c>
      <c r="H555" s="116"/>
      <c r="I555" s="116"/>
      <c r="L555" s="170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70">
        <v>42850</v>
      </c>
      <c r="B556" s="116">
        <v>1324.9</v>
      </c>
      <c r="C556" s="116">
        <v>1319.05</v>
      </c>
      <c r="D556" s="116">
        <v>1299.05</v>
      </c>
      <c r="E556" s="116">
        <v>1324.8</v>
      </c>
      <c r="F556" s="116">
        <v>1319.05</v>
      </c>
      <c r="G556">
        <v>122</v>
      </c>
      <c r="H556" s="116"/>
      <c r="I556" s="116"/>
      <c r="L556" s="170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70">
        <v>42851</v>
      </c>
      <c r="B557" s="116">
        <v>1320</v>
      </c>
      <c r="C557" s="116">
        <v>1319.4</v>
      </c>
      <c r="D557" s="116">
        <v>1305</v>
      </c>
      <c r="E557" s="116">
        <v>1319</v>
      </c>
      <c r="F557" s="116">
        <v>1319.4</v>
      </c>
      <c r="G557">
        <v>96</v>
      </c>
      <c r="H557" s="116"/>
      <c r="I557" s="116"/>
      <c r="L557" s="170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70">
        <v>42852</v>
      </c>
      <c r="B558" s="116">
        <v>1324</v>
      </c>
      <c r="C558" s="116">
        <v>1323</v>
      </c>
      <c r="D558" s="116">
        <v>1302.05</v>
      </c>
      <c r="E558" s="116">
        <v>1310</v>
      </c>
      <c r="F558" s="116">
        <v>1323</v>
      </c>
      <c r="G558">
        <v>134</v>
      </c>
      <c r="H558" s="116"/>
      <c r="I558" s="116"/>
      <c r="L558" s="170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70">
        <v>42853</v>
      </c>
      <c r="B559" s="116">
        <v>1338.95</v>
      </c>
      <c r="C559" s="116">
        <v>1338.95</v>
      </c>
      <c r="D559" s="116">
        <v>1302.5</v>
      </c>
      <c r="E559" s="116">
        <v>1305.05</v>
      </c>
      <c r="F559" s="116">
        <v>1338.95</v>
      </c>
      <c r="G559">
        <v>87</v>
      </c>
      <c r="H559" s="116"/>
      <c r="I559" s="116"/>
      <c r="L559" s="170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70">
        <v>42857</v>
      </c>
      <c r="B560" s="116">
        <v>1345.2</v>
      </c>
      <c r="C560" s="116">
        <v>1344.25</v>
      </c>
      <c r="D560" s="116">
        <v>1303.1500000000001</v>
      </c>
      <c r="E560" s="116">
        <v>1335</v>
      </c>
      <c r="F560" s="116">
        <v>1344.25</v>
      </c>
      <c r="G560">
        <v>152</v>
      </c>
      <c r="H560" s="116"/>
      <c r="I560" s="116"/>
      <c r="L560" s="170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70">
        <v>42858</v>
      </c>
      <c r="B561" s="116">
        <v>1375</v>
      </c>
      <c r="C561" s="116">
        <v>1359</v>
      </c>
      <c r="D561" s="116">
        <v>1323.05</v>
      </c>
      <c r="E561" s="116">
        <v>1364.95</v>
      </c>
      <c r="F561" s="116">
        <v>1359</v>
      </c>
      <c r="G561">
        <v>160</v>
      </c>
      <c r="H561" s="116"/>
      <c r="I561" s="116"/>
      <c r="L561" s="170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70">
        <v>42859</v>
      </c>
      <c r="B562" s="116">
        <v>1385</v>
      </c>
      <c r="C562" s="116">
        <v>1332</v>
      </c>
      <c r="D562" s="116">
        <v>1323.5</v>
      </c>
      <c r="E562" s="116">
        <v>1385</v>
      </c>
      <c r="F562" s="116">
        <v>1332</v>
      </c>
      <c r="G562">
        <v>85</v>
      </c>
      <c r="H562" s="116"/>
      <c r="I562" s="116"/>
      <c r="L562" s="170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70">
        <v>42860</v>
      </c>
      <c r="B563" s="116">
        <v>1387.9</v>
      </c>
      <c r="C563" s="116">
        <v>1356</v>
      </c>
      <c r="D563" s="116">
        <v>1330</v>
      </c>
      <c r="E563" s="116">
        <v>1387.9</v>
      </c>
      <c r="F563" s="116">
        <v>1356</v>
      </c>
      <c r="G563">
        <v>103</v>
      </c>
      <c r="H563" s="116"/>
      <c r="I563" s="116"/>
      <c r="L563" s="170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70">
        <v>42863</v>
      </c>
      <c r="B564" s="116">
        <v>1387</v>
      </c>
      <c r="C564" s="116">
        <v>1362</v>
      </c>
      <c r="D564" s="116">
        <v>1336</v>
      </c>
      <c r="E564" s="116">
        <v>1387</v>
      </c>
      <c r="F564" s="116">
        <v>1362</v>
      </c>
      <c r="G564">
        <v>67</v>
      </c>
      <c r="H564" s="116"/>
      <c r="I564" s="116"/>
      <c r="L564" s="170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70">
        <v>42864</v>
      </c>
      <c r="B565" s="116">
        <v>1385</v>
      </c>
      <c r="C565" s="116">
        <v>1312.25</v>
      </c>
      <c r="D565" s="116">
        <v>1302.95</v>
      </c>
      <c r="E565" s="116">
        <v>1385</v>
      </c>
      <c r="F565" s="116">
        <v>1312.25</v>
      </c>
      <c r="G565">
        <v>312</v>
      </c>
      <c r="H565" s="116"/>
      <c r="I565" s="116"/>
      <c r="L565" s="170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70">
        <v>42865</v>
      </c>
      <c r="B566" s="116">
        <v>1343</v>
      </c>
      <c r="C566" s="116">
        <v>1282.05</v>
      </c>
      <c r="D566" s="116">
        <v>1275</v>
      </c>
      <c r="E566" s="116">
        <v>1315.05</v>
      </c>
      <c r="F566" s="116">
        <v>1282.05</v>
      </c>
      <c r="G566">
        <v>370</v>
      </c>
      <c r="H566" s="116"/>
      <c r="I566" s="116"/>
      <c r="L566" s="170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70">
        <v>42866</v>
      </c>
      <c r="B567" s="116">
        <v>1304.95</v>
      </c>
      <c r="C567" s="116">
        <v>1285</v>
      </c>
      <c r="D567" s="116">
        <v>1270</v>
      </c>
      <c r="E567" s="116">
        <v>1270</v>
      </c>
      <c r="F567" s="116">
        <v>1285</v>
      </c>
      <c r="G567">
        <v>359</v>
      </c>
      <c r="H567" s="116"/>
      <c r="I567" s="116"/>
      <c r="L567" s="170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70">
        <v>42867</v>
      </c>
      <c r="B568" s="116">
        <v>1293.95</v>
      </c>
      <c r="C568" s="116">
        <v>1293.95</v>
      </c>
      <c r="D568" s="116">
        <v>1242</v>
      </c>
      <c r="E568" s="116">
        <v>1242</v>
      </c>
      <c r="F568" s="116">
        <v>1293.95</v>
      </c>
      <c r="G568">
        <v>339</v>
      </c>
      <c r="H568" s="116"/>
      <c r="I568" s="116"/>
      <c r="L568" s="170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70">
        <v>42870</v>
      </c>
      <c r="B569" s="116">
        <v>1296.8499999999999</v>
      </c>
      <c r="C569" s="116">
        <v>1290.05</v>
      </c>
      <c r="D569" s="116">
        <v>1286</v>
      </c>
      <c r="E569" s="116">
        <v>1292.95</v>
      </c>
      <c r="F569" s="116">
        <v>1290.05</v>
      </c>
      <c r="G569">
        <v>177</v>
      </c>
      <c r="H569" s="116"/>
      <c r="I569" s="116"/>
      <c r="L569" s="170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70">
        <v>42872</v>
      </c>
      <c r="B570" s="116">
        <v>1275</v>
      </c>
      <c r="C570" s="116">
        <v>1270</v>
      </c>
      <c r="D570" s="116">
        <v>1256.5</v>
      </c>
      <c r="E570" s="116">
        <v>1275</v>
      </c>
      <c r="F570" s="116">
        <v>1270</v>
      </c>
      <c r="G570">
        <v>48</v>
      </c>
      <c r="H570" s="116"/>
      <c r="I570" s="116"/>
      <c r="L570" s="170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70">
        <v>42873</v>
      </c>
      <c r="B571" s="116">
        <v>1288.8</v>
      </c>
      <c r="C571" s="116">
        <v>1288.8</v>
      </c>
      <c r="D571" s="116">
        <v>1288.8</v>
      </c>
      <c r="E571" s="116">
        <v>1288.8</v>
      </c>
      <c r="F571" s="116">
        <v>1288.8</v>
      </c>
      <c r="G571">
        <v>9</v>
      </c>
      <c r="H571" s="116"/>
      <c r="I571" s="116"/>
      <c r="L571" s="170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70">
        <v>42874</v>
      </c>
      <c r="B572" s="116">
        <v>1290</v>
      </c>
      <c r="C572" s="116">
        <v>1255.8</v>
      </c>
      <c r="D572" s="116">
        <v>1255</v>
      </c>
      <c r="E572" s="116">
        <v>1288.8</v>
      </c>
      <c r="F572" s="116">
        <v>1255.8</v>
      </c>
      <c r="G572">
        <v>7</v>
      </c>
      <c r="H572" s="116"/>
      <c r="I572" s="116"/>
      <c r="L572" s="170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70">
        <v>42877</v>
      </c>
      <c r="B573" s="116">
        <v>1297.8</v>
      </c>
      <c r="C573" s="116">
        <v>1297.8</v>
      </c>
      <c r="D573" s="116">
        <v>1261</v>
      </c>
      <c r="E573" s="116">
        <v>1290</v>
      </c>
      <c r="F573" s="116">
        <v>1297.8</v>
      </c>
      <c r="G573">
        <v>35</v>
      </c>
      <c r="H573" s="116"/>
      <c r="I573" s="116"/>
      <c r="L573" s="170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70">
        <v>42878</v>
      </c>
      <c r="B574" s="116">
        <v>1277</v>
      </c>
      <c r="C574" s="116">
        <v>1277</v>
      </c>
      <c r="D574" s="116">
        <v>1250</v>
      </c>
      <c r="E574" s="116">
        <v>1277</v>
      </c>
      <c r="F574" s="116">
        <v>1277</v>
      </c>
      <c r="G574">
        <v>13</v>
      </c>
      <c r="H574" s="116"/>
      <c r="I574" s="116"/>
      <c r="L574" s="170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70">
        <v>42879</v>
      </c>
      <c r="B575" s="116">
        <v>1225.05</v>
      </c>
      <c r="C575" s="116">
        <v>1221</v>
      </c>
      <c r="D575" s="116">
        <v>1221</v>
      </c>
      <c r="E575" s="116">
        <v>1225.05</v>
      </c>
      <c r="F575" s="116">
        <v>1221</v>
      </c>
      <c r="G575">
        <v>35</v>
      </c>
      <c r="H575" s="116"/>
      <c r="I575" s="116"/>
      <c r="L575" s="170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70">
        <v>42880</v>
      </c>
      <c r="B576" s="116">
        <v>1228</v>
      </c>
      <c r="C576" s="116">
        <v>1203.0999999999999</v>
      </c>
      <c r="D576" s="116">
        <v>1203.0999999999999</v>
      </c>
      <c r="E576" s="116">
        <v>1226.5999999999999</v>
      </c>
      <c r="F576" s="116">
        <v>1203.0999999999999</v>
      </c>
      <c r="G576">
        <v>35</v>
      </c>
      <c r="H576" s="116"/>
      <c r="I576" s="116"/>
      <c r="L576" s="170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70">
        <v>42881</v>
      </c>
      <c r="B577" s="116">
        <v>1220</v>
      </c>
      <c r="C577" s="116">
        <v>1210.8</v>
      </c>
      <c r="D577" s="116">
        <v>1193.05</v>
      </c>
      <c r="E577" s="116">
        <v>1201</v>
      </c>
      <c r="F577" s="116">
        <v>1210.8</v>
      </c>
      <c r="G577">
        <v>172</v>
      </c>
      <c r="H577" s="116"/>
      <c r="I577" s="116"/>
      <c r="L577" s="170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70">
        <v>42884</v>
      </c>
      <c r="B578" s="116">
        <v>1250</v>
      </c>
      <c r="C578" s="116">
        <v>1207.05</v>
      </c>
      <c r="D578" s="116">
        <v>1202</v>
      </c>
      <c r="E578" s="116">
        <v>1202</v>
      </c>
      <c r="F578" s="116">
        <v>1207.05</v>
      </c>
      <c r="G578">
        <v>55</v>
      </c>
      <c r="H578" s="116"/>
      <c r="I578" s="116"/>
      <c r="L578" s="170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70">
        <v>42885</v>
      </c>
      <c r="B579" s="116">
        <v>1261.95</v>
      </c>
      <c r="C579" s="116">
        <v>1210</v>
      </c>
      <c r="D579" s="116">
        <v>1201.05</v>
      </c>
      <c r="E579" s="116">
        <v>1210.05</v>
      </c>
      <c r="F579" s="116">
        <v>1210</v>
      </c>
      <c r="G579">
        <v>55</v>
      </c>
      <c r="H579" s="116"/>
      <c r="I579" s="116"/>
      <c r="L579" s="170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70">
        <v>42886</v>
      </c>
      <c r="B580" s="116">
        <v>1220</v>
      </c>
      <c r="C580" s="116">
        <v>1220</v>
      </c>
      <c r="D580" s="116">
        <v>1200</v>
      </c>
      <c r="E580" s="116">
        <v>1219.95</v>
      </c>
      <c r="F580" s="116">
        <v>1220</v>
      </c>
      <c r="G580">
        <v>44</v>
      </c>
      <c r="H580" s="116"/>
      <c r="I580" s="116"/>
      <c r="L580" s="170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70">
        <v>42887</v>
      </c>
      <c r="B581" s="116">
        <v>1239.8</v>
      </c>
      <c r="C581" s="116">
        <v>1239.8</v>
      </c>
      <c r="D581" s="116">
        <v>1167.05</v>
      </c>
      <c r="E581" s="116">
        <v>1167.05</v>
      </c>
      <c r="F581" s="116">
        <v>1239.8</v>
      </c>
      <c r="G581">
        <v>12</v>
      </c>
      <c r="H581" s="116"/>
      <c r="I581" s="116"/>
      <c r="L581" s="170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70">
        <v>42888</v>
      </c>
      <c r="B582" s="116">
        <v>1269</v>
      </c>
      <c r="C582" s="116">
        <v>1225</v>
      </c>
      <c r="D582" s="116">
        <v>1225</v>
      </c>
      <c r="E582" s="116">
        <v>1269</v>
      </c>
      <c r="F582" s="116">
        <v>1225</v>
      </c>
      <c r="G582">
        <v>5</v>
      </c>
      <c r="H582" s="116"/>
      <c r="I582" s="116"/>
      <c r="L582" s="170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70">
        <v>42891</v>
      </c>
      <c r="B583" s="116">
        <v>1240</v>
      </c>
      <c r="C583" s="116">
        <v>1201</v>
      </c>
      <c r="D583" s="116">
        <v>1200</v>
      </c>
      <c r="E583" s="116">
        <v>1240</v>
      </c>
      <c r="F583" s="116">
        <v>1201</v>
      </c>
      <c r="G583">
        <v>7</v>
      </c>
      <c r="H583" s="116"/>
      <c r="I583" s="116"/>
      <c r="L583" s="170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70">
        <v>42892</v>
      </c>
      <c r="B584" s="116">
        <v>1257</v>
      </c>
      <c r="C584" s="116">
        <v>1256.25</v>
      </c>
      <c r="D584" s="116">
        <v>1250</v>
      </c>
      <c r="E584" s="116">
        <v>1250</v>
      </c>
      <c r="F584" s="116">
        <v>1256.25</v>
      </c>
      <c r="G584">
        <v>137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42893</v>
      </c>
      <c r="B585" s="116">
        <v>1296</v>
      </c>
      <c r="C585" s="116">
        <v>1249.9000000000001</v>
      </c>
      <c r="D585" s="116">
        <v>1209.05</v>
      </c>
      <c r="E585" s="116">
        <v>1209.05</v>
      </c>
      <c r="F585" s="116">
        <v>1249.9000000000001</v>
      </c>
      <c r="G585">
        <v>45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42894</v>
      </c>
      <c r="B586" s="116">
        <v>1260</v>
      </c>
      <c r="C586" s="116">
        <v>1250</v>
      </c>
      <c r="D586" s="116">
        <v>1214.05</v>
      </c>
      <c r="E586" s="116">
        <v>1214.05</v>
      </c>
      <c r="F586" s="116">
        <v>1250</v>
      </c>
      <c r="G586">
        <v>85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42895</v>
      </c>
      <c r="B587" s="116">
        <v>1252.7</v>
      </c>
      <c r="C587" s="116">
        <v>1225</v>
      </c>
      <c r="D587" s="116">
        <v>1215</v>
      </c>
      <c r="E587" s="116">
        <v>1250</v>
      </c>
      <c r="F587" s="116">
        <v>1225</v>
      </c>
      <c r="G587">
        <v>352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42898</v>
      </c>
      <c r="B588" s="116">
        <v>1283.8</v>
      </c>
      <c r="C588" s="116">
        <v>1234.95</v>
      </c>
      <c r="D588" s="116">
        <v>1220</v>
      </c>
      <c r="E588" s="116">
        <v>1227</v>
      </c>
      <c r="F588" s="116">
        <v>1234.95</v>
      </c>
      <c r="G588">
        <v>98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42899</v>
      </c>
      <c r="B589" s="116">
        <v>1217</v>
      </c>
      <c r="C589" s="116">
        <v>1217</v>
      </c>
      <c r="D589" s="116">
        <v>1211.5999999999999</v>
      </c>
      <c r="E589" s="116">
        <v>1211.5999999999999</v>
      </c>
      <c r="F589" s="116">
        <v>1217</v>
      </c>
      <c r="G589">
        <v>4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42900</v>
      </c>
      <c r="B590" s="116">
        <v>1227</v>
      </c>
      <c r="C590" s="116">
        <v>1227</v>
      </c>
      <c r="D590" s="116">
        <v>1225</v>
      </c>
      <c r="E590" s="116">
        <v>1225</v>
      </c>
      <c r="F590" s="116">
        <v>1227</v>
      </c>
      <c r="G590">
        <v>33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42901</v>
      </c>
      <c r="B591" s="116">
        <v>1245</v>
      </c>
      <c r="C591" s="116">
        <v>1220</v>
      </c>
      <c r="D591" s="116">
        <v>1220</v>
      </c>
      <c r="E591" s="116">
        <v>1245</v>
      </c>
      <c r="F591" s="116">
        <v>1220</v>
      </c>
      <c r="G591">
        <v>32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42902</v>
      </c>
      <c r="B592" s="116">
        <v>1268</v>
      </c>
      <c r="C592" s="116">
        <v>1243</v>
      </c>
      <c r="D592" s="116">
        <v>1240</v>
      </c>
      <c r="E592" s="116">
        <v>1240</v>
      </c>
      <c r="F592" s="116">
        <v>1243</v>
      </c>
      <c r="G592">
        <v>43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42905</v>
      </c>
      <c r="B593" s="116">
        <v>1220</v>
      </c>
      <c r="C593" s="116">
        <v>1206.05</v>
      </c>
      <c r="D593" s="116">
        <v>1191</v>
      </c>
      <c r="E593" s="116">
        <v>1191</v>
      </c>
      <c r="F593" s="116">
        <v>1206.05</v>
      </c>
      <c r="G593">
        <v>30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42906</v>
      </c>
      <c r="B594" s="116">
        <v>1229</v>
      </c>
      <c r="C594" s="116">
        <v>1200</v>
      </c>
      <c r="D594" s="116">
        <v>1192</v>
      </c>
      <c r="E594" s="116">
        <v>1193.05</v>
      </c>
      <c r="F594" s="116">
        <v>1200</v>
      </c>
      <c r="G594">
        <v>89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42907</v>
      </c>
      <c r="B595" s="116">
        <v>1253.9000000000001</v>
      </c>
      <c r="C595" s="116">
        <v>1212</v>
      </c>
      <c r="D595" s="116">
        <v>1212</v>
      </c>
      <c r="E595" s="116">
        <v>1253.9000000000001</v>
      </c>
      <c r="F595" s="116">
        <v>1212</v>
      </c>
      <c r="G595">
        <v>17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42908</v>
      </c>
      <c r="B596" s="116">
        <v>1260</v>
      </c>
      <c r="C596" s="116">
        <v>1225.2</v>
      </c>
      <c r="D596" s="116">
        <v>1225.2</v>
      </c>
      <c r="E596" s="116">
        <v>1249.95</v>
      </c>
      <c r="F596" s="116">
        <v>1225.2</v>
      </c>
      <c r="G596">
        <v>138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42909</v>
      </c>
      <c r="B597" s="116">
        <v>1220</v>
      </c>
      <c r="C597" s="116">
        <v>1205.55</v>
      </c>
      <c r="D597" s="116">
        <v>1205.25</v>
      </c>
      <c r="E597" s="116">
        <v>1212</v>
      </c>
      <c r="F597" s="116">
        <v>1205.55</v>
      </c>
      <c r="G597">
        <v>67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42913</v>
      </c>
      <c r="B598" s="116">
        <v>1245.9000000000001</v>
      </c>
      <c r="C598" s="116">
        <v>1201</v>
      </c>
      <c r="D598" s="116">
        <v>1191</v>
      </c>
      <c r="E598" s="116">
        <v>1191</v>
      </c>
      <c r="F598" s="116">
        <v>1201</v>
      </c>
      <c r="G598">
        <v>61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42914</v>
      </c>
      <c r="B599" s="116">
        <v>1240</v>
      </c>
      <c r="C599" s="116">
        <v>1225</v>
      </c>
      <c r="D599" s="116">
        <v>1205</v>
      </c>
      <c r="E599" s="116">
        <v>1211</v>
      </c>
      <c r="F599" s="116">
        <v>1225</v>
      </c>
      <c r="G599">
        <v>47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42919</v>
      </c>
      <c r="B600" s="116">
        <v>1220</v>
      </c>
      <c r="C600" s="116">
        <v>1205.05</v>
      </c>
      <c r="D600" s="116">
        <v>1205.05</v>
      </c>
      <c r="E600" s="116">
        <v>1220</v>
      </c>
      <c r="F600" s="116">
        <v>1205.05</v>
      </c>
      <c r="G600">
        <v>50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42920</v>
      </c>
      <c r="B601" s="116">
        <v>1258</v>
      </c>
      <c r="C601" s="116">
        <v>1212.0999999999999</v>
      </c>
      <c r="D601" s="116">
        <v>1207</v>
      </c>
      <c r="E601" s="116">
        <v>1258</v>
      </c>
      <c r="F601" s="116">
        <v>1212.0999999999999</v>
      </c>
      <c r="G601">
        <v>21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42921</v>
      </c>
      <c r="B602" s="116">
        <v>1264</v>
      </c>
      <c r="C602" s="116">
        <v>1264</v>
      </c>
      <c r="D602" s="116">
        <v>1263.95</v>
      </c>
      <c r="E602" s="116">
        <v>1263.95</v>
      </c>
      <c r="F602" s="116">
        <v>1264</v>
      </c>
      <c r="G602">
        <v>20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42922</v>
      </c>
      <c r="B603" s="116">
        <v>1250</v>
      </c>
      <c r="C603" s="116">
        <v>1250</v>
      </c>
      <c r="D603" s="116">
        <v>1209.3499999999999</v>
      </c>
      <c r="E603" s="116">
        <v>1209.3499999999999</v>
      </c>
      <c r="F603" s="116">
        <v>1250</v>
      </c>
      <c r="G603">
        <v>10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42923</v>
      </c>
      <c r="B604" s="116">
        <v>1213</v>
      </c>
      <c r="C604" s="116">
        <v>1213</v>
      </c>
      <c r="D604" s="116">
        <v>1213</v>
      </c>
      <c r="E604" s="116">
        <v>1213</v>
      </c>
      <c r="F604" s="116">
        <v>1213</v>
      </c>
      <c r="G604">
        <v>2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42926</v>
      </c>
      <c r="B605" s="116">
        <v>1221</v>
      </c>
      <c r="C605" s="116">
        <v>1213.3</v>
      </c>
      <c r="D605" s="116">
        <v>1213</v>
      </c>
      <c r="E605" s="116">
        <v>1221</v>
      </c>
      <c r="F605" s="116">
        <v>1213.3</v>
      </c>
      <c r="G605">
        <v>161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42927</v>
      </c>
      <c r="B606" s="116">
        <v>1248.8</v>
      </c>
      <c r="C606" s="116">
        <v>1227.8</v>
      </c>
      <c r="D606" s="116">
        <v>1210</v>
      </c>
      <c r="E606" s="116">
        <v>1210</v>
      </c>
      <c r="F606" s="116">
        <v>1227.8</v>
      </c>
      <c r="G606">
        <v>152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42928</v>
      </c>
      <c r="B607" s="116">
        <v>1250</v>
      </c>
      <c r="C607" s="116">
        <v>1226.9000000000001</v>
      </c>
      <c r="D607" s="116">
        <v>1210.4000000000001</v>
      </c>
      <c r="E607" s="116">
        <v>1230</v>
      </c>
      <c r="F607" s="116">
        <v>1226.9000000000001</v>
      </c>
      <c r="G607">
        <v>113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42929</v>
      </c>
      <c r="B608" s="116">
        <v>1250</v>
      </c>
      <c r="C608" s="116">
        <v>1250</v>
      </c>
      <c r="D608" s="116">
        <v>1221</v>
      </c>
      <c r="E608" s="116">
        <v>1221</v>
      </c>
      <c r="F608" s="116">
        <v>1250</v>
      </c>
      <c r="G608">
        <v>45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42930</v>
      </c>
      <c r="B609" s="116">
        <v>1261.4000000000001</v>
      </c>
      <c r="C609" s="116">
        <v>1224</v>
      </c>
      <c r="D609" s="116">
        <v>1220.0999999999999</v>
      </c>
      <c r="E609" s="116">
        <v>1220.0999999999999</v>
      </c>
      <c r="F609" s="116">
        <v>1224</v>
      </c>
      <c r="G609">
        <v>57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42933</v>
      </c>
      <c r="B610" s="116">
        <v>1240</v>
      </c>
      <c r="C610" s="116">
        <v>1240</v>
      </c>
      <c r="D610" s="116">
        <v>1240</v>
      </c>
      <c r="E610" s="116">
        <v>1240</v>
      </c>
      <c r="F610" s="116">
        <v>1240</v>
      </c>
      <c r="G610">
        <v>117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42934</v>
      </c>
      <c r="B611" s="116">
        <v>1252</v>
      </c>
      <c r="C611" s="116">
        <v>1235</v>
      </c>
      <c r="D611" s="116">
        <v>1230</v>
      </c>
      <c r="E611" s="116">
        <v>1252</v>
      </c>
      <c r="F611" s="116">
        <v>1235</v>
      </c>
      <c r="G611">
        <v>137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42935</v>
      </c>
      <c r="B612" s="116">
        <v>1283.5999999999999</v>
      </c>
      <c r="C612" s="116">
        <v>1245.5999999999999</v>
      </c>
      <c r="D612" s="116">
        <v>1234</v>
      </c>
      <c r="E612" s="116">
        <v>1235</v>
      </c>
      <c r="F612" s="116">
        <v>1245.5999999999999</v>
      </c>
      <c r="G612">
        <v>80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42936</v>
      </c>
      <c r="B613" s="116">
        <v>1282</v>
      </c>
      <c r="C613" s="116">
        <v>1259</v>
      </c>
      <c r="D613" s="116">
        <v>1251</v>
      </c>
      <c r="E613" s="116">
        <v>1282</v>
      </c>
      <c r="F613" s="116">
        <v>1259</v>
      </c>
      <c r="G613">
        <v>139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42937</v>
      </c>
      <c r="B614" s="116">
        <v>1303.9000000000001</v>
      </c>
      <c r="C614" s="116">
        <v>1260</v>
      </c>
      <c r="D614" s="116">
        <v>1260</v>
      </c>
      <c r="E614" s="116">
        <v>1261</v>
      </c>
      <c r="F614" s="116">
        <v>1260</v>
      </c>
      <c r="G614">
        <v>66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42940</v>
      </c>
      <c r="B615" s="116">
        <v>1299</v>
      </c>
      <c r="C615" s="116">
        <v>1270.05</v>
      </c>
      <c r="D615" s="116">
        <v>1239</v>
      </c>
      <c r="E615" s="116">
        <v>1280</v>
      </c>
      <c r="F615" s="116">
        <v>1270.05</v>
      </c>
      <c r="G615">
        <v>478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42941</v>
      </c>
      <c r="B616" s="116">
        <v>1255</v>
      </c>
      <c r="C616" s="116">
        <v>1230.45</v>
      </c>
      <c r="D616" s="116">
        <v>1210</v>
      </c>
      <c r="E616" s="116">
        <v>1232</v>
      </c>
      <c r="F616" s="116">
        <v>1230.45</v>
      </c>
      <c r="G616">
        <v>883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42942</v>
      </c>
      <c r="B617" s="116">
        <v>1243.8499999999999</v>
      </c>
      <c r="C617" s="116">
        <v>1211</v>
      </c>
      <c r="D617" s="116">
        <v>1210</v>
      </c>
      <c r="E617" s="116">
        <v>1243.8499999999999</v>
      </c>
      <c r="F617" s="116">
        <v>1211</v>
      </c>
      <c r="G617">
        <v>14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42943</v>
      </c>
      <c r="B618" s="116">
        <v>1215</v>
      </c>
      <c r="C618" s="116">
        <v>1202.7</v>
      </c>
      <c r="D618" s="116">
        <v>1202.0999999999999</v>
      </c>
      <c r="E618" s="116">
        <v>1211</v>
      </c>
      <c r="F618" s="116">
        <v>1202.7</v>
      </c>
      <c r="G618">
        <v>46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42944</v>
      </c>
      <c r="B619" s="116">
        <v>1172.1500000000001</v>
      </c>
      <c r="C619" s="116">
        <v>1172.0999999999999</v>
      </c>
      <c r="D619" s="116">
        <v>1172.0999999999999</v>
      </c>
      <c r="E619" s="116">
        <v>1172.1500000000001</v>
      </c>
      <c r="F619" s="116">
        <v>1172.0999999999999</v>
      </c>
      <c r="G619">
        <v>10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42947</v>
      </c>
      <c r="B620" s="116">
        <v>1202</v>
      </c>
      <c r="C620" s="116">
        <v>1164</v>
      </c>
      <c r="D620" s="116">
        <v>1161</v>
      </c>
      <c r="E620" s="116">
        <v>1202</v>
      </c>
      <c r="F620" s="116">
        <v>1164</v>
      </c>
      <c r="G620">
        <v>122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42948</v>
      </c>
      <c r="B621" s="116">
        <v>1218.4000000000001</v>
      </c>
      <c r="C621" s="116">
        <v>1207</v>
      </c>
      <c r="D621" s="116">
        <v>1196</v>
      </c>
      <c r="E621" s="116">
        <v>1216.95</v>
      </c>
      <c r="F621" s="116">
        <v>1207</v>
      </c>
      <c r="G621">
        <v>77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42949</v>
      </c>
      <c r="B622" s="116">
        <v>1208.5</v>
      </c>
      <c r="C622" s="116">
        <v>1195</v>
      </c>
      <c r="D622" s="116">
        <v>1195</v>
      </c>
      <c r="E622" s="116">
        <v>1208.5</v>
      </c>
      <c r="F622" s="116">
        <v>1195</v>
      </c>
      <c r="G622">
        <v>2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42950</v>
      </c>
      <c r="B623" s="116">
        <v>1181.0999999999999</v>
      </c>
      <c r="C623" s="116">
        <v>1174.75</v>
      </c>
      <c r="D623" s="116">
        <v>1171</v>
      </c>
      <c r="E623" s="116">
        <v>1181.0999999999999</v>
      </c>
      <c r="F623" s="116">
        <v>1174.75</v>
      </c>
      <c r="G623">
        <v>70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42951</v>
      </c>
      <c r="B624" s="116">
        <v>1170</v>
      </c>
      <c r="C624" s="116">
        <v>1170</v>
      </c>
      <c r="D624" s="116">
        <v>1170</v>
      </c>
      <c r="E624" s="116">
        <v>1170</v>
      </c>
      <c r="F624" s="116">
        <v>1170</v>
      </c>
      <c r="G624">
        <v>9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42954</v>
      </c>
      <c r="B625" s="116">
        <v>1192</v>
      </c>
      <c r="C625" s="116">
        <v>1170</v>
      </c>
      <c r="D625" s="116">
        <v>1120</v>
      </c>
      <c r="E625" s="116">
        <v>1120.0999999999999</v>
      </c>
      <c r="F625" s="116">
        <v>1170</v>
      </c>
      <c r="G625">
        <v>144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42955</v>
      </c>
      <c r="B626" s="116">
        <v>1175</v>
      </c>
      <c r="C626" s="116">
        <v>1165</v>
      </c>
      <c r="D626" s="116">
        <v>1155</v>
      </c>
      <c r="E626" s="116">
        <v>1155</v>
      </c>
      <c r="F626" s="116">
        <v>1165</v>
      </c>
      <c r="G626">
        <v>35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42956</v>
      </c>
      <c r="B627" s="116">
        <v>1180</v>
      </c>
      <c r="C627" s="116">
        <v>1180</v>
      </c>
      <c r="D627" s="116">
        <v>1116.2</v>
      </c>
      <c r="E627" s="116">
        <v>1116.2</v>
      </c>
      <c r="F627" s="116">
        <v>1180</v>
      </c>
      <c r="G627">
        <v>25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42957</v>
      </c>
      <c r="B628" s="116">
        <v>1176.75</v>
      </c>
      <c r="C628" s="116">
        <v>1130</v>
      </c>
      <c r="D628" s="116">
        <v>1121.05</v>
      </c>
      <c r="E628" s="116">
        <v>1121.05</v>
      </c>
      <c r="F628" s="116">
        <v>1130</v>
      </c>
      <c r="G628">
        <v>40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42958</v>
      </c>
      <c r="B629" s="116">
        <v>1140</v>
      </c>
      <c r="C629" s="116">
        <v>1125.9000000000001</v>
      </c>
      <c r="D629" s="116">
        <v>1100.0999999999999</v>
      </c>
      <c r="E629" s="116">
        <v>1120</v>
      </c>
      <c r="F629" s="116">
        <v>1125.9000000000001</v>
      </c>
      <c r="G629">
        <v>173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42961</v>
      </c>
      <c r="B630" s="116">
        <v>1150</v>
      </c>
      <c r="C630" s="116">
        <v>1140</v>
      </c>
      <c r="D630" s="116">
        <v>1101</v>
      </c>
      <c r="E630" s="116">
        <v>1101</v>
      </c>
      <c r="F630" s="116">
        <v>1140</v>
      </c>
      <c r="G630">
        <v>107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42963</v>
      </c>
      <c r="B631" s="116">
        <v>1160</v>
      </c>
      <c r="C631" s="116">
        <v>1132.2</v>
      </c>
      <c r="D631" s="116">
        <v>1120</v>
      </c>
      <c r="E631" s="116">
        <v>1160</v>
      </c>
      <c r="F631" s="116">
        <v>1132.2</v>
      </c>
      <c r="G631">
        <v>64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42964</v>
      </c>
      <c r="B632" s="116">
        <v>1140</v>
      </c>
      <c r="C632" s="116">
        <v>1125</v>
      </c>
      <c r="D632" s="116">
        <v>1101</v>
      </c>
      <c r="E632" s="116">
        <v>1139.95</v>
      </c>
      <c r="F632" s="116">
        <v>1125</v>
      </c>
      <c r="G632">
        <v>55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42965</v>
      </c>
      <c r="B633" s="116">
        <v>1125</v>
      </c>
      <c r="C633" s="116">
        <v>1106</v>
      </c>
      <c r="D633" s="116">
        <v>1106</v>
      </c>
      <c r="E633" s="116">
        <v>1110</v>
      </c>
      <c r="F633" s="116">
        <v>1106</v>
      </c>
      <c r="G633">
        <v>110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42968</v>
      </c>
      <c r="B634" s="116">
        <v>1146.95</v>
      </c>
      <c r="C634" s="116">
        <v>1101.3499999999999</v>
      </c>
      <c r="D634" s="116">
        <v>1058</v>
      </c>
      <c r="E634" s="116">
        <v>1146.95</v>
      </c>
      <c r="F634" s="116">
        <v>1101.3499999999999</v>
      </c>
      <c r="G634">
        <v>72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42969</v>
      </c>
      <c r="B635" s="116">
        <v>1141</v>
      </c>
      <c r="C635" s="116">
        <v>1100</v>
      </c>
      <c r="D635" s="116">
        <v>1100</v>
      </c>
      <c r="E635" s="116">
        <v>1141</v>
      </c>
      <c r="F635" s="116">
        <v>1100</v>
      </c>
      <c r="G635">
        <v>99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42970</v>
      </c>
      <c r="B636" s="116">
        <v>1126</v>
      </c>
      <c r="C636" s="116">
        <v>1100.7</v>
      </c>
      <c r="D636" s="116">
        <v>1095</v>
      </c>
      <c r="E636" s="116">
        <v>1100</v>
      </c>
      <c r="F636" s="116">
        <v>1100.7</v>
      </c>
      <c r="G636">
        <v>85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42971</v>
      </c>
      <c r="B637" s="116">
        <v>1130</v>
      </c>
      <c r="C637" s="116">
        <v>1109.45</v>
      </c>
      <c r="D637" s="116">
        <v>1050</v>
      </c>
      <c r="E637" s="116">
        <v>1065</v>
      </c>
      <c r="F637" s="116">
        <v>1109.45</v>
      </c>
      <c r="G637">
        <v>99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42975</v>
      </c>
      <c r="B638" s="116">
        <v>1108</v>
      </c>
      <c r="C638" s="116">
        <v>1108</v>
      </c>
      <c r="D638" s="116">
        <v>1100</v>
      </c>
      <c r="E638" s="116">
        <v>1101.05</v>
      </c>
      <c r="F638" s="116">
        <v>1108</v>
      </c>
      <c r="G638">
        <v>25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42976</v>
      </c>
      <c r="B639" s="116">
        <v>1110</v>
      </c>
      <c r="C639" s="116">
        <v>1110</v>
      </c>
      <c r="D639" s="116">
        <v>1075</v>
      </c>
      <c r="E639" s="116">
        <v>1100</v>
      </c>
      <c r="F639" s="116">
        <v>1110</v>
      </c>
      <c r="G639">
        <v>187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42977</v>
      </c>
      <c r="B640" s="116">
        <v>1105</v>
      </c>
      <c r="C640" s="116">
        <v>1087</v>
      </c>
      <c r="D640" s="116">
        <v>1087</v>
      </c>
      <c r="E640" s="116">
        <v>1105</v>
      </c>
      <c r="F640" s="116">
        <v>1087</v>
      </c>
      <c r="G640">
        <v>35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42978</v>
      </c>
      <c r="B641" s="116">
        <v>1136</v>
      </c>
      <c r="C641" s="116">
        <v>1105</v>
      </c>
      <c r="D641" s="116">
        <v>1090.05</v>
      </c>
      <c r="E641" s="116">
        <v>1100</v>
      </c>
      <c r="F641" s="116">
        <v>1105</v>
      </c>
      <c r="G641">
        <v>126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42979</v>
      </c>
      <c r="B642" s="116">
        <v>1139.8</v>
      </c>
      <c r="C642" s="116">
        <v>1139.8</v>
      </c>
      <c r="D642" s="116">
        <v>1139.8</v>
      </c>
      <c r="E642" s="116">
        <v>1139.8</v>
      </c>
      <c r="F642" s="116">
        <v>1139.8</v>
      </c>
      <c r="G642">
        <v>2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42982</v>
      </c>
      <c r="B643" s="116">
        <v>1141</v>
      </c>
      <c r="C643" s="116">
        <v>1112</v>
      </c>
      <c r="D643" s="116">
        <v>1112</v>
      </c>
      <c r="E643" s="116">
        <v>1141</v>
      </c>
      <c r="F643" s="116">
        <v>1112</v>
      </c>
      <c r="G643">
        <v>21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42983</v>
      </c>
      <c r="B644" s="116">
        <v>1147.95</v>
      </c>
      <c r="C644" s="116">
        <v>1139.95</v>
      </c>
      <c r="D644" s="116">
        <v>1105</v>
      </c>
      <c r="E644" s="116">
        <v>1147.95</v>
      </c>
      <c r="F644" s="116">
        <v>1139.95</v>
      </c>
      <c r="G644">
        <v>44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42986</v>
      </c>
      <c r="B645" s="116">
        <v>1136</v>
      </c>
      <c r="C645" s="116">
        <v>1112</v>
      </c>
      <c r="D645" s="116">
        <v>1111</v>
      </c>
      <c r="E645" s="116">
        <v>1111</v>
      </c>
      <c r="F645" s="116">
        <v>1112</v>
      </c>
      <c r="G645">
        <v>21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42989</v>
      </c>
      <c r="B646" s="116">
        <v>1146</v>
      </c>
      <c r="C646" s="116">
        <v>1100</v>
      </c>
      <c r="D646" s="116">
        <v>1100</v>
      </c>
      <c r="E646" s="116">
        <v>1112</v>
      </c>
      <c r="F646" s="116">
        <v>1100</v>
      </c>
      <c r="G646">
        <v>205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42990</v>
      </c>
      <c r="B647" s="116">
        <v>1101.05</v>
      </c>
      <c r="C647" s="116">
        <v>1095</v>
      </c>
      <c r="D647" s="116">
        <v>1090</v>
      </c>
      <c r="E647" s="116">
        <v>1101.05</v>
      </c>
      <c r="F647" s="116">
        <v>1095</v>
      </c>
      <c r="G647">
        <v>170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42991</v>
      </c>
      <c r="B648" s="116">
        <v>1119.7</v>
      </c>
      <c r="C648" s="116">
        <v>1114.7</v>
      </c>
      <c r="D648" s="116">
        <v>1090</v>
      </c>
      <c r="E648" s="116">
        <v>1090</v>
      </c>
      <c r="F648" s="116">
        <v>1114.7</v>
      </c>
      <c r="G648">
        <v>48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42992</v>
      </c>
      <c r="B649" s="116">
        <v>1101</v>
      </c>
      <c r="C649" s="116">
        <v>1096</v>
      </c>
      <c r="D649" s="116">
        <v>1095</v>
      </c>
      <c r="E649" s="116">
        <v>1101</v>
      </c>
      <c r="F649" s="116">
        <v>1096</v>
      </c>
      <c r="G649">
        <v>130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42993</v>
      </c>
      <c r="B650" s="116">
        <v>1139.95</v>
      </c>
      <c r="C650" s="116">
        <v>1121</v>
      </c>
      <c r="D650" s="116">
        <v>1095.2</v>
      </c>
      <c r="E650" s="116">
        <v>1139.95</v>
      </c>
      <c r="F650" s="116">
        <v>1121</v>
      </c>
      <c r="G650">
        <v>137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42996</v>
      </c>
      <c r="B651" s="116">
        <v>1126</v>
      </c>
      <c r="C651" s="116">
        <v>1126</v>
      </c>
      <c r="D651" s="116">
        <v>1100</v>
      </c>
      <c r="E651" s="116">
        <v>1100</v>
      </c>
      <c r="F651" s="116">
        <v>1126</v>
      </c>
      <c r="G651">
        <v>96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42997</v>
      </c>
      <c r="B652" s="116">
        <v>1105.0999999999999</v>
      </c>
      <c r="C652" s="116">
        <v>1105</v>
      </c>
      <c r="D652" s="116">
        <v>1098.2</v>
      </c>
      <c r="E652" s="116">
        <v>1101</v>
      </c>
      <c r="F652" s="116">
        <v>1105</v>
      </c>
      <c r="G652">
        <v>280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42998</v>
      </c>
      <c r="B653" s="116">
        <v>1137</v>
      </c>
      <c r="C653" s="116">
        <v>1101.45</v>
      </c>
      <c r="D653" s="116">
        <v>1101</v>
      </c>
      <c r="E653" s="116">
        <v>1105</v>
      </c>
      <c r="F653" s="116">
        <v>1101.45</v>
      </c>
      <c r="G653">
        <v>71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42999</v>
      </c>
      <c r="B654" s="116">
        <v>1124.9000000000001</v>
      </c>
      <c r="C654" s="116">
        <v>1123.95</v>
      </c>
      <c r="D654" s="116">
        <v>1123.95</v>
      </c>
      <c r="E654" s="116">
        <v>1124.9000000000001</v>
      </c>
      <c r="F654" s="116">
        <v>1123.95</v>
      </c>
      <c r="G654">
        <v>8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43000</v>
      </c>
      <c r="B655" s="116">
        <v>1180</v>
      </c>
      <c r="C655" s="116">
        <v>1104</v>
      </c>
      <c r="D655" s="116">
        <v>1103</v>
      </c>
      <c r="E655" s="116">
        <v>1139</v>
      </c>
      <c r="F655" s="116">
        <v>1104</v>
      </c>
      <c r="G655">
        <v>739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43003</v>
      </c>
      <c r="B656" s="116">
        <v>1110</v>
      </c>
      <c r="C656" s="116">
        <v>1102.3</v>
      </c>
      <c r="D656" s="116">
        <v>1100</v>
      </c>
      <c r="E656" s="116">
        <v>1110</v>
      </c>
      <c r="F656" s="116">
        <v>1102.3</v>
      </c>
      <c r="G656">
        <v>12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43004</v>
      </c>
      <c r="B657" s="116">
        <v>1124.4000000000001</v>
      </c>
      <c r="C657" s="116">
        <v>1124.4000000000001</v>
      </c>
      <c r="D657" s="116">
        <v>1050</v>
      </c>
      <c r="E657" s="116">
        <v>1050</v>
      </c>
      <c r="F657" s="116">
        <v>1124.4000000000001</v>
      </c>
      <c r="G657">
        <v>17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43005</v>
      </c>
      <c r="B658" s="116">
        <v>1105</v>
      </c>
      <c r="C658" s="116">
        <v>1105</v>
      </c>
      <c r="D658" s="116">
        <v>1101</v>
      </c>
      <c r="E658" s="116">
        <v>1101</v>
      </c>
      <c r="F658" s="116">
        <v>1105</v>
      </c>
      <c r="G658">
        <v>10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43006</v>
      </c>
      <c r="B659" s="116">
        <v>1105</v>
      </c>
      <c r="C659" s="116">
        <v>1105</v>
      </c>
      <c r="D659" s="116">
        <v>1055.05</v>
      </c>
      <c r="E659" s="116">
        <v>1055.05</v>
      </c>
      <c r="F659" s="116">
        <v>1105</v>
      </c>
      <c r="G659">
        <v>100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43007</v>
      </c>
      <c r="B660" s="116">
        <v>1156.75</v>
      </c>
      <c r="C660" s="116">
        <v>1149.5</v>
      </c>
      <c r="D660" s="116">
        <v>1100</v>
      </c>
      <c r="E660" s="116">
        <v>1100</v>
      </c>
      <c r="F660" s="116">
        <v>1149.5</v>
      </c>
      <c r="G660">
        <v>86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43011</v>
      </c>
      <c r="B661" s="116">
        <v>1149.8</v>
      </c>
      <c r="C661" s="116">
        <v>1109.8499999999999</v>
      </c>
      <c r="D661" s="116">
        <v>1108.95</v>
      </c>
      <c r="E661" s="116">
        <v>1149</v>
      </c>
      <c r="F661" s="116">
        <v>1109.8499999999999</v>
      </c>
      <c r="G661">
        <v>19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43012</v>
      </c>
      <c r="B662" s="116">
        <v>1146.6500000000001</v>
      </c>
      <c r="C662" s="116">
        <v>1109</v>
      </c>
      <c r="D662" s="116">
        <v>1095.05</v>
      </c>
      <c r="E662" s="116">
        <v>1111.05</v>
      </c>
      <c r="F662" s="116">
        <v>1109</v>
      </c>
      <c r="G662">
        <v>279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43013</v>
      </c>
      <c r="B663" s="116">
        <v>1114.95</v>
      </c>
      <c r="C663" s="116">
        <v>1104.1500000000001</v>
      </c>
      <c r="D663" s="116">
        <v>1102</v>
      </c>
      <c r="E663" s="116">
        <v>1102</v>
      </c>
      <c r="F663" s="116">
        <v>1104.1500000000001</v>
      </c>
      <c r="G663">
        <v>168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43014</v>
      </c>
      <c r="B664" s="116">
        <v>1102.0999999999999</v>
      </c>
      <c r="C664" s="116">
        <v>1102.0999999999999</v>
      </c>
      <c r="D664" s="116">
        <v>1102.0999999999999</v>
      </c>
      <c r="E664" s="116">
        <v>1102.0999999999999</v>
      </c>
      <c r="F664" s="116">
        <v>1102.0999999999999</v>
      </c>
      <c r="G664">
        <v>25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43017</v>
      </c>
      <c r="B665" s="116">
        <v>1124.8</v>
      </c>
      <c r="C665" s="116">
        <v>1115</v>
      </c>
      <c r="D665" s="116">
        <v>1103.05</v>
      </c>
      <c r="E665" s="116">
        <v>1105</v>
      </c>
      <c r="F665" s="116">
        <v>1115</v>
      </c>
      <c r="G665">
        <v>36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43018</v>
      </c>
      <c r="B666" s="116">
        <v>1115</v>
      </c>
      <c r="C666" s="116">
        <v>1115</v>
      </c>
      <c r="D666" s="116">
        <v>1103</v>
      </c>
      <c r="E666" s="116">
        <v>1103.05</v>
      </c>
      <c r="F666" s="116">
        <v>1115</v>
      </c>
      <c r="G666">
        <v>35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43019</v>
      </c>
      <c r="B667" s="116">
        <v>1110</v>
      </c>
      <c r="C667" s="116">
        <v>1110</v>
      </c>
      <c r="D667" s="116">
        <v>1110</v>
      </c>
      <c r="E667" s="116">
        <v>1110</v>
      </c>
      <c r="F667" s="116">
        <v>1110</v>
      </c>
      <c r="G667">
        <v>50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43020</v>
      </c>
      <c r="B668" s="116">
        <v>1110</v>
      </c>
      <c r="C668" s="116">
        <v>1105</v>
      </c>
      <c r="D668" s="116">
        <v>1102</v>
      </c>
      <c r="E668" s="116">
        <v>1110</v>
      </c>
      <c r="F668" s="116">
        <v>1105</v>
      </c>
      <c r="G668">
        <v>100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43021</v>
      </c>
      <c r="B669" s="116">
        <v>1116</v>
      </c>
      <c r="C669" s="116">
        <v>1111</v>
      </c>
      <c r="D669" s="116">
        <v>1105</v>
      </c>
      <c r="E669" s="116">
        <v>1105</v>
      </c>
      <c r="F669" s="116">
        <v>1111</v>
      </c>
      <c r="G669">
        <v>60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43024</v>
      </c>
      <c r="B670" s="116">
        <v>1116</v>
      </c>
      <c r="C670" s="116">
        <v>1116</v>
      </c>
      <c r="D670" s="116">
        <v>1105</v>
      </c>
      <c r="E670" s="116">
        <v>1105</v>
      </c>
      <c r="F670" s="116">
        <v>1116</v>
      </c>
      <c r="G670">
        <v>165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43025</v>
      </c>
      <c r="B671" s="116">
        <v>1118</v>
      </c>
      <c r="C671" s="116">
        <v>1110</v>
      </c>
      <c r="D671" s="116">
        <v>1107</v>
      </c>
      <c r="E671" s="116">
        <v>1108</v>
      </c>
      <c r="F671" s="116">
        <v>1110</v>
      </c>
      <c r="G671">
        <v>95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43026</v>
      </c>
      <c r="B672" s="116">
        <v>1111</v>
      </c>
      <c r="C672" s="116">
        <v>1111</v>
      </c>
      <c r="D672" s="116">
        <v>1111</v>
      </c>
      <c r="E672" s="116">
        <v>1111</v>
      </c>
      <c r="F672" s="116">
        <v>1111</v>
      </c>
      <c r="G672">
        <v>79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43027</v>
      </c>
      <c r="B673" s="116">
        <v>1165</v>
      </c>
      <c r="C673" s="116">
        <v>1162.1500000000001</v>
      </c>
      <c r="D673" s="116">
        <v>1111</v>
      </c>
      <c r="E673" s="116">
        <v>1164.95</v>
      </c>
      <c r="F673" s="116">
        <v>1162.1500000000001</v>
      </c>
      <c r="G673">
        <v>215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43031</v>
      </c>
      <c r="B674" s="116">
        <v>1121.2</v>
      </c>
      <c r="C674" s="116">
        <v>1121</v>
      </c>
      <c r="D674" s="116">
        <v>1121</v>
      </c>
      <c r="E674" s="116">
        <v>1121.2</v>
      </c>
      <c r="F674" s="116">
        <v>1121</v>
      </c>
      <c r="G674">
        <v>39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43032</v>
      </c>
      <c r="B675" s="116">
        <v>1130</v>
      </c>
      <c r="C675" s="116">
        <v>1120.5</v>
      </c>
      <c r="D675" s="116">
        <v>1120</v>
      </c>
      <c r="E675" s="116">
        <v>1121.2</v>
      </c>
      <c r="F675" s="116">
        <v>1120.5</v>
      </c>
      <c r="G675">
        <v>120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43033</v>
      </c>
      <c r="B676" s="116">
        <v>1120</v>
      </c>
      <c r="C676" s="116">
        <v>1115.4000000000001</v>
      </c>
      <c r="D676" s="116">
        <v>1111</v>
      </c>
      <c r="E676" s="116">
        <v>1120</v>
      </c>
      <c r="F676" s="116">
        <v>1115.4000000000001</v>
      </c>
      <c r="G676">
        <v>69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43034</v>
      </c>
      <c r="B677" s="116">
        <v>1120.5</v>
      </c>
      <c r="C677" s="116">
        <v>1115</v>
      </c>
      <c r="D677" s="116">
        <v>1111.25</v>
      </c>
      <c r="E677" s="116">
        <v>1120.5</v>
      </c>
      <c r="F677" s="116">
        <v>1115</v>
      </c>
      <c r="G677">
        <v>52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43035</v>
      </c>
      <c r="B678" s="116">
        <v>1169.75</v>
      </c>
      <c r="C678" s="116">
        <v>1131.6500000000001</v>
      </c>
      <c r="D678" s="116">
        <v>1129</v>
      </c>
      <c r="E678" s="116">
        <v>1165</v>
      </c>
      <c r="F678" s="116">
        <v>1131.6500000000001</v>
      </c>
      <c r="G678">
        <v>95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43038</v>
      </c>
      <c r="B679" s="116">
        <v>1135</v>
      </c>
      <c r="C679" s="116">
        <v>1113</v>
      </c>
      <c r="D679" s="116">
        <v>1110.25</v>
      </c>
      <c r="E679" s="116">
        <v>1111</v>
      </c>
      <c r="F679" s="116">
        <v>1113</v>
      </c>
      <c r="G679">
        <v>252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43039</v>
      </c>
      <c r="B680" s="116">
        <v>1159</v>
      </c>
      <c r="C680" s="116">
        <v>1129.55</v>
      </c>
      <c r="D680" s="116">
        <v>1116</v>
      </c>
      <c r="E680" s="116">
        <v>1159</v>
      </c>
      <c r="F680" s="116">
        <v>1129.55</v>
      </c>
      <c r="G680">
        <v>232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43040</v>
      </c>
      <c r="B681" s="116">
        <v>1164.4000000000001</v>
      </c>
      <c r="C681" s="116">
        <v>1116.7</v>
      </c>
      <c r="D681" s="116">
        <v>1111</v>
      </c>
      <c r="E681" s="116">
        <v>1145</v>
      </c>
      <c r="F681" s="116">
        <v>1116.7</v>
      </c>
      <c r="G681">
        <v>170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43041</v>
      </c>
      <c r="B682" s="116">
        <v>1134.5</v>
      </c>
      <c r="C682" s="116">
        <v>1134.5</v>
      </c>
      <c r="D682" s="116">
        <v>1117</v>
      </c>
      <c r="E682" s="116">
        <v>1118</v>
      </c>
      <c r="F682" s="116">
        <v>1134.5</v>
      </c>
      <c r="G682">
        <v>46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43042</v>
      </c>
      <c r="B683" s="116">
        <v>1129.8499999999999</v>
      </c>
      <c r="C683" s="116">
        <v>1106.45</v>
      </c>
      <c r="D683" s="116">
        <v>1100</v>
      </c>
      <c r="E683" s="116">
        <v>1100.05</v>
      </c>
      <c r="F683" s="116">
        <v>1106.45</v>
      </c>
      <c r="G683">
        <v>84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43045</v>
      </c>
      <c r="B684" s="116">
        <v>1119.7</v>
      </c>
      <c r="C684" s="116">
        <v>1110</v>
      </c>
      <c r="D684" s="116">
        <v>1099</v>
      </c>
      <c r="E684" s="116">
        <v>1099.05</v>
      </c>
      <c r="F684" s="116">
        <v>1110</v>
      </c>
      <c r="G684">
        <v>95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43046</v>
      </c>
      <c r="B685" s="116">
        <v>1128</v>
      </c>
      <c r="C685" s="116">
        <v>1125.8499999999999</v>
      </c>
      <c r="D685" s="116">
        <v>1100</v>
      </c>
      <c r="E685" s="116">
        <v>1128</v>
      </c>
      <c r="F685" s="116">
        <v>1125.8499999999999</v>
      </c>
      <c r="G685">
        <v>109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43047</v>
      </c>
      <c r="B686" s="116">
        <v>1115</v>
      </c>
      <c r="C686" s="116">
        <v>1093</v>
      </c>
      <c r="D686" s="116">
        <v>1093</v>
      </c>
      <c r="E686" s="116">
        <v>1115</v>
      </c>
      <c r="F686" s="116">
        <v>1093</v>
      </c>
      <c r="G686">
        <v>27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43048</v>
      </c>
      <c r="B687" s="116">
        <v>1092</v>
      </c>
      <c r="C687" s="116">
        <v>1087.75</v>
      </c>
      <c r="D687" s="116">
        <v>1084.05</v>
      </c>
      <c r="E687" s="116">
        <v>1084.05</v>
      </c>
      <c r="F687" s="116">
        <v>1087.75</v>
      </c>
      <c r="G687">
        <v>108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43049</v>
      </c>
      <c r="B688" s="116">
        <v>1100</v>
      </c>
      <c r="C688" s="116">
        <v>1100</v>
      </c>
      <c r="D688" s="116">
        <v>1087.75</v>
      </c>
      <c r="E688" s="116">
        <v>1087.8</v>
      </c>
      <c r="F688" s="116">
        <v>1100</v>
      </c>
      <c r="G688">
        <v>61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43052</v>
      </c>
      <c r="B689" s="116">
        <v>1142</v>
      </c>
      <c r="C689" s="116">
        <v>1101</v>
      </c>
      <c r="D689" s="116">
        <v>1101</v>
      </c>
      <c r="E689" s="116">
        <v>1142</v>
      </c>
      <c r="F689" s="116">
        <v>1101</v>
      </c>
      <c r="G689">
        <v>9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43053</v>
      </c>
      <c r="B690" s="116">
        <v>1101</v>
      </c>
      <c r="C690" s="116">
        <v>1100</v>
      </c>
      <c r="D690" s="116">
        <v>1100</v>
      </c>
      <c r="E690" s="116">
        <v>1101</v>
      </c>
      <c r="F690" s="116">
        <v>1100</v>
      </c>
      <c r="G690">
        <v>11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43054</v>
      </c>
      <c r="B691" s="116">
        <v>1149.95</v>
      </c>
      <c r="C691" s="116">
        <v>1095</v>
      </c>
      <c r="D691" s="116">
        <v>1095</v>
      </c>
      <c r="E691" s="116">
        <v>1149.95</v>
      </c>
      <c r="F691" s="116">
        <v>1095</v>
      </c>
      <c r="G691">
        <v>22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43056</v>
      </c>
      <c r="B692" s="116">
        <v>1115</v>
      </c>
      <c r="C692" s="116">
        <v>1106</v>
      </c>
      <c r="D692" s="116">
        <v>1097</v>
      </c>
      <c r="E692" s="116">
        <v>1097</v>
      </c>
      <c r="F692" s="116">
        <v>1106</v>
      </c>
      <c r="G692">
        <v>55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43059</v>
      </c>
      <c r="B693" s="116">
        <v>1110</v>
      </c>
      <c r="C693" s="116">
        <v>1100</v>
      </c>
      <c r="D693" s="116">
        <v>1100</v>
      </c>
      <c r="E693" s="116">
        <v>1110</v>
      </c>
      <c r="F693" s="116">
        <v>1100</v>
      </c>
      <c r="G693">
        <v>30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43060</v>
      </c>
      <c r="B694" s="116">
        <v>1125</v>
      </c>
      <c r="C694" s="116">
        <v>1080.8</v>
      </c>
      <c r="D694" s="116">
        <v>1075</v>
      </c>
      <c r="E694" s="116">
        <v>1120</v>
      </c>
      <c r="F694" s="116">
        <v>1080.8</v>
      </c>
      <c r="G694">
        <v>2050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43061</v>
      </c>
      <c r="B695" s="116">
        <v>1127</v>
      </c>
      <c r="C695" s="116">
        <v>1127</v>
      </c>
      <c r="D695" s="116">
        <v>1082</v>
      </c>
      <c r="E695" s="116">
        <v>1082</v>
      </c>
      <c r="F695" s="116">
        <v>1127</v>
      </c>
      <c r="G695">
        <v>11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43062</v>
      </c>
      <c r="B696" s="116">
        <v>1128</v>
      </c>
      <c r="C696" s="116">
        <v>1100</v>
      </c>
      <c r="D696" s="116">
        <v>1095</v>
      </c>
      <c r="E696" s="116">
        <v>1127</v>
      </c>
      <c r="F696" s="116">
        <v>1100</v>
      </c>
      <c r="G696">
        <v>65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43063</v>
      </c>
      <c r="B697" s="116">
        <v>1119</v>
      </c>
      <c r="C697" s="116">
        <v>1101.05</v>
      </c>
      <c r="D697" s="116">
        <v>1100</v>
      </c>
      <c r="E697" s="116">
        <v>1100</v>
      </c>
      <c r="F697" s="116">
        <v>1101.05</v>
      </c>
      <c r="G697">
        <v>43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43066</v>
      </c>
      <c r="B698" s="116">
        <v>1140</v>
      </c>
      <c r="C698" s="116">
        <v>1140</v>
      </c>
      <c r="D698" s="116">
        <v>1140</v>
      </c>
      <c r="E698" s="116">
        <v>1140</v>
      </c>
      <c r="F698" s="116">
        <v>1140</v>
      </c>
      <c r="G698">
        <v>11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43067</v>
      </c>
      <c r="B699" s="116">
        <v>1130</v>
      </c>
      <c r="C699" s="116">
        <v>1104.6500000000001</v>
      </c>
      <c r="D699" s="116">
        <v>1096.05</v>
      </c>
      <c r="E699" s="116">
        <v>1096.05</v>
      </c>
      <c r="F699" s="116">
        <v>1104.6500000000001</v>
      </c>
      <c r="G699">
        <v>40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43068</v>
      </c>
      <c r="B700" s="116">
        <v>1140</v>
      </c>
      <c r="C700" s="116">
        <v>1131.75</v>
      </c>
      <c r="D700" s="116">
        <v>1070.25</v>
      </c>
      <c r="E700" s="116">
        <v>1070.25</v>
      </c>
      <c r="F700" s="116">
        <v>1131.75</v>
      </c>
      <c r="G700">
        <v>379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43069</v>
      </c>
      <c r="B701" s="116">
        <v>1105</v>
      </c>
      <c r="C701" s="116">
        <v>1105</v>
      </c>
      <c r="D701" s="116">
        <v>1100</v>
      </c>
      <c r="E701" s="116">
        <v>1100</v>
      </c>
      <c r="F701" s="116">
        <v>1105</v>
      </c>
      <c r="G701">
        <v>141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43070</v>
      </c>
      <c r="B702" s="116">
        <v>1115</v>
      </c>
      <c r="C702" s="116">
        <v>1105.0999999999999</v>
      </c>
      <c r="D702" s="116">
        <v>1105</v>
      </c>
      <c r="E702" s="116">
        <v>1105.55</v>
      </c>
      <c r="F702" s="116">
        <v>1105.0999999999999</v>
      </c>
      <c r="G702">
        <v>222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43073</v>
      </c>
      <c r="B703" s="116">
        <v>1135</v>
      </c>
      <c r="C703" s="116">
        <v>1135</v>
      </c>
      <c r="D703" s="116">
        <v>1135</v>
      </c>
      <c r="E703" s="116">
        <v>1135</v>
      </c>
      <c r="F703" s="116">
        <v>1135</v>
      </c>
      <c r="G703">
        <v>1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43074</v>
      </c>
      <c r="B704" s="116">
        <v>1110</v>
      </c>
      <c r="C704" s="116">
        <v>1110</v>
      </c>
      <c r="D704" s="116">
        <v>1081</v>
      </c>
      <c r="E704" s="116">
        <v>1081</v>
      </c>
      <c r="F704" s="116">
        <v>1110</v>
      </c>
      <c r="G704">
        <v>26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43075</v>
      </c>
      <c r="B705" s="116">
        <v>1091.05</v>
      </c>
      <c r="C705" s="116">
        <v>1090</v>
      </c>
      <c r="D705" s="116">
        <v>1090</v>
      </c>
      <c r="E705" s="116">
        <v>1091.05</v>
      </c>
      <c r="F705" s="116">
        <v>1090</v>
      </c>
      <c r="G705">
        <v>100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43076</v>
      </c>
      <c r="B706" s="116">
        <v>1100</v>
      </c>
      <c r="C706" s="116">
        <v>1090</v>
      </c>
      <c r="D706" s="116">
        <v>1076.05</v>
      </c>
      <c r="E706" s="116">
        <v>1076.05</v>
      </c>
      <c r="F706" s="116">
        <v>1090</v>
      </c>
      <c r="G706">
        <v>168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43077</v>
      </c>
      <c r="B707" s="116">
        <v>1082.0999999999999</v>
      </c>
      <c r="C707" s="116">
        <v>1082</v>
      </c>
      <c r="D707" s="116">
        <v>1075</v>
      </c>
      <c r="E707" s="116">
        <v>1075.2</v>
      </c>
      <c r="F707" s="116">
        <v>1082</v>
      </c>
      <c r="G707">
        <v>125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43080</v>
      </c>
      <c r="B708" s="116">
        <v>1091.25</v>
      </c>
      <c r="C708" s="116">
        <v>1090</v>
      </c>
      <c r="D708" s="116">
        <v>1090</v>
      </c>
      <c r="E708" s="116">
        <v>1091.25</v>
      </c>
      <c r="F708" s="116">
        <v>1090</v>
      </c>
      <c r="G708">
        <v>40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43081</v>
      </c>
      <c r="B709" s="116">
        <v>1101</v>
      </c>
      <c r="C709" s="116">
        <v>1100.95</v>
      </c>
      <c r="D709" s="116">
        <v>1091</v>
      </c>
      <c r="E709" s="116">
        <v>1091.05</v>
      </c>
      <c r="F709" s="116">
        <v>1100.95</v>
      </c>
      <c r="G709">
        <v>111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43082</v>
      </c>
      <c r="B710" s="116">
        <v>1120</v>
      </c>
      <c r="C710" s="116">
        <v>1100</v>
      </c>
      <c r="D710" s="116">
        <v>1062</v>
      </c>
      <c r="E710" s="116">
        <v>1062</v>
      </c>
      <c r="F710" s="116">
        <v>1100</v>
      </c>
      <c r="G710">
        <v>78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43083</v>
      </c>
      <c r="B711" s="116">
        <v>1118.8</v>
      </c>
      <c r="C711" s="116">
        <v>1080</v>
      </c>
      <c r="D711" s="116">
        <v>1060.2</v>
      </c>
      <c r="E711" s="116">
        <v>1100</v>
      </c>
      <c r="F711" s="116">
        <v>1080</v>
      </c>
      <c r="G711">
        <v>160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43084</v>
      </c>
      <c r="B712" s="116">
        <v>1111</v>
      </c>
      <c r="C712" s="116">
        <v>1087</v>
      </c>
      <c r="D712" s="116">
        <v>1087</v>
      </c>
      <c r="E712" s="116">
        <v>1090.05</v>
      </c>
      <c r="F712" s="116">
        <v>1087</v>
      </c>
      <c r="G712">
        <v>41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43087</v>
      </c>
      <c r="B713" s="116">
        <v>1119</v>
      </c>
      <c r="C713" s="116">
        <v>1119</v>
      </c>
      <c r="D713" s="116">
        <v>1080</v>
      </c>
      <c r="E713" s="116">
        <v>1085.25</v>
      </c>
      <c r="F713" s="116">
        <v>1119</v>
      </c>
      <c r="G713">
        <v>220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43088</v>
      </c>
      <c r="B714" s="116">
        <v>1105</v>
      </c>
      <c r="C714" s="116">
        <v>1105</v>
      </c>
      <c r="D714" s="116">
        <v>1100</v>
      </c>
      <c r="E714" s="116">
        <v>1100</v>
      </c>
      <c r="F714" s="116">
        <v>1105</v>
      </c>
      <c r="G714">
        <v>2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43089</v>
      </c>
      <c r="B715" s="116">
        <v>1143.5999999999999</v>
      </c>
      <c r="C715" s="116">
        <v>1101</v>
      </c>
      <c r="D715" s="116">
        <v>1086</v>
      </c>
      <c r="E715" s="116">
        <v>1143.5999999999999</v>
      </c>
      <c r="F715" s="116">
        <v>1101</v>
      </c>
      <c r="G715">
        <v>120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43090</v>
      </c>
      <c r="B716" s="116">
        <v>1115</v>
      </c>
      <c r="C716" s="116">
        <v>1077.4000000000001</v>
      </c>
      <c r="D716" s="116">
        <v>1070</v>
      </c>
      <c r="E716" s="116">
        <v>1093.05</v>
      </c>
      <c r="F716" s="116">
        <v>1077.4000000000001</v>
      </c>
      <c r="G716">
        <v>630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43091</v>
      </c>
      <c r="B717" s="116">
        <v>1110</v>
      </c>
      <c r="C717" s="116">
        <v>1082.1500000000001</v>
      </c>
      <c r="D717" s="116">
        <v>1080</v>
      </c>
      <c r="E717" s="116">
        <v>1110</v>
      </c>
      <c r="F717" s="116">
        <v>1082.1500000000001</v>
      </c>
      <c r="G717">
        <v>667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43095</v>
      </c>
      <c r="B718" s="116">
        <v>1134.8</v>
      </c>
      <c r="C718" s="116">
        <v>1128.8</v>
      </c>
      <c r="D718" s="116">
        <v>1085.3499999999999</v>
      </c>
      <c r="E718" s="116">
        <v>1100</v>
      </c>
      <c r="F718" s="116">
        <v>1128.8</v>
      </c>
      <c r="G718">
        <v>44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43096</v>
      </c>
      <c r="B719" s="116">
        <v>1130</v>
      </c>
      <c r="C719" s="116">
        <v>1109.05</v>
      </c>
      <c r="D719" s="116">
        <v>1090</v>
      </c>
      <c r="E719" s="116">
        <v>1129.95</v>
      </c>
      <c r="F719" s="116">
        <v>1109.05</v>
      </c>
      <c r="G719">
        <v>367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43097</v>
      </c>
      <c r="B720" s="116">
        <v>1128.0999999999999</v>
      </c>
      <c r="C720" s="116">
        <v>1086.0999999999999</v>
      </c>
      <c r="D720" s="116">
        <v>1080</v>
      </c>
      <c r="E720" s="116">
        <v>1100</v>
      </c>
      <c r="F720" s="116">
        <v>1086.0999999999999</v>
      </c>
      <c r="G720">
        <v>185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43098</v>
      </c>
      <c r="B721" s="116">
        <v>1100</v>
      </c>
      <c r="C721" s="116">
        <v>1090.3499999999999</v>
      </c>
      <c r="D721" s="116">
        <v>1086</v>
      </c>
      <c r="E721" s="116">
        <v>1087.0999999999999</v>
      </c>
      <c r="F721" s="116">
        <v>1090.3499999999999</v>
      </c>
      <c r="G721">
        <v>644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43101</v>
      </c>
      <c r="B722" s="116">
        <v>1119</v>
      </c>
      <c r="C722" s="116">
        <v>1119</v>
      </c>
      <c r="D722" s="116">
        <v>1050</v>
      </c>
      <c r="E722" s="116">
        <v>1050</v>
      </c>
      <c r="F722" s="116">
        <v>1119</v>
      </c>
      <c r="G722">
        <v>43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43102</v>
      </c>
      <c r="B723" s="116">
        <v>1118.95</v>
      </c>
      <c r="C723" s="116">
        <v>1118.95</v>
      </c>
      <c r="D723" s="116">
        <v>1085</v>
      </c>
      <c r="E723" s="116">
        <v>1100</v>
      </c>
      <c r="F723" s="116">
        <v>1118.95</v>
      </c>
      <c r="G723">
        <v>82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43103</v>
      </c>
      <c r="B724" s="116">
        <v>1117.95</v>
      </c>
      <c r="C724" s="116">
        <v>1109.75</v>
      </c>
      <c r="D724" s="116">
        <v>1100</v>
      </c>
      <c r="E724" s="116">
        <v>1117.95</v>
      </c>
      <c r="F724" s="116">
        <v>1109.75</v>
      </c>
      <c r="G724">
        <v>244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43104</v>
      </c>
      <c r="B725" s="116">
        <v>1120</v>
      </c>
      <c r="C725" s="116">
        <v>1092</v>
      </c>
      <c r="D725" s="116">
        <v>1082</v>
      </c>
      <c r="E725" s="116">
        <v>1082</v>
      </c>
      <c r="F725" s="116">
        <v>1092</v>
      </c>
      <c r="G725">
        <v>157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43105</v>
      </c>
      <c r="B726" s="116">
        <v>1146.5999999999999</v>
      </c>
      <c r="C726" s="116">
        <v>1146.5999999999999</v>
      </c>
      <c r="D726" s="116">
        <v>1134.95</v>
      </c>
      <c r="E726" s="116">
        <v>1134.95</v>
      </c>
      <c r="F726" s="116">
        <v>1146.5999999999999</v>
      </c>
      <c r="G726">
        <v>269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43108</v>
      </c>
      <c r="B727" s="116">
        <v>1203.9000000000001</v>
      </c>
      <c r="C727" s="116">
        <v>1184.1500000000001</v>
      </c>
      <c r="D727" s="116">
        <v>1090</v>
      </c>
      <c r="E727" s="116">
        <v>1090</v>
      </c>
      <c r="F727" s="116">
        <v>1184.1500000000001</v>
      </c>
      <c r="G727">
        <v>380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43109</v>
      </c>
      <c r="B728" s="116">
        <v>1180</v>
      </c>
      <c r="C728" s="116">
        <v>1154.8</v>
      </c>
      <c r="D728" s="116">
        <v>1154</v>
      </c>
      <c r="E728" s="116">
        <v>1180</v>
      </c>
      <c r="F728" s="116">
        <v>1154.8</v>
      </c>
      <c r="G728">
        <v>143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43110</v>
      </c>
      <c r="B729" s="116">
        <v>1185</v>
      </c>
      <c r="C729" s="116">
        <v>1142</v>
      </c>
      <c r="D729" s="116">
        <v>1140</v>
      </c>
      <c r="E729" s="116">
        <v>1140.05</v>
      </c>
      <c r="F729" s="116">
        <v>1142</v>
      </c>
      <c r="G729">
        <v>106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43111</v>
      </c>
      <c r="B730" s="116">
        <v>1179</v>
      </c>
      <c r="C730" s="116">
        <v>1173.9000000000001</v>
      </c>
      <c r="D730" s="116">
        <v>1135</v>
      </c>
      <c r="E730" s="116">
        <v>1142.05</v>
      </c>
      <c r="F730" s="116">
        <v>1173.9000000000001</v>
      </c>
      <c r="G730">
        <v>243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43112</v>
      </c>
      <c r="B731" s="116">
        <v>1197.95</v>
      </c>
      <c r="C731" s="116">
        <v>1160</v>
      </c>
      <c r="D731" s="116">
        <v>1142.05</v>
      </c>
      <c r="E731" s="116">
        <v>1169</v>
      </c>
      <c r="F731" s="116">
        <v>1160</v>
      </c>
      <c r="G731">
        <v>459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43115</v>
      </c>
      <c r="B732" s="116">
        <v>1136.5999999999999</v>
      </c>
      <c r="C732" s="116">
        <v>1136.5999999999999</v>
      </c>
      <c r="D732" s="116">
        <v>1122.1500000000001</v>
      </c>
      <c r="E732" s="116">
        <v>1122.25</v>
      </c>
      <c r="F732" s="116">
        <v>1136.5999999999999</v>
      </c>
      <c r="G732">
        <v>83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43116</v>
      </c>
      <c r="B733" s="116">
        <v>1174.8499999999999</v>
      </c>
      <c r="C733" s="116">
        <v>1165.25</v>
      </c>
      <c r="D733" s="116">
        <v>1126.05</v>
      </c>
      <c r="E733" s="116">
        <v>1126.05</v>
      </c>
      <c r="F733" s="116">
        <v>1165.25</v>
      </c>
      <c r="G733">
        <v>49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43117</v>
      </c>
      <c r="B734" s="116">
        <v>1125.6500000000001</v>
      </c>
      <c r="C734" s="116">
        <v>1125.6500000000001</v>
      </c>
      <c r="D734" s="116">
        <v>1125.6500000000001</v>
      </c>
      <c r="E734" s="116">
        <v>1125.6500000000001</v>
      </c>
      <c r="F734" s="116">
        <v>1125.6500000000001</v>
      </c>
      <c r="G734">
        <v>3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43118</v>
      </c>
      <c r="B735" s="116">
        <v>1150</v>
      </c>
      <c r="C735" s="116">
        <v>1125.5</v>
      </c>
      <c r="D735" s="116">
        <v>1105.05</v>
      </c>
      <c r="E735" s="116">
        <v>1105.05</v>
      </c>
      <c r="F735" s="116">
        <v>1125.5</v>
      </c>
      <c r="G735">
        <v>206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43119</v>
      </c>
      <c r="B736" s="116">
        <v>1149</v>
      </c>
      <c r="C736" s="116">
        <v>1119</v>
      </c>
      <c r="D736" s="116">
        <v>1107</v>
      </c>
      <c r="E736" s="116">
        <v>1110.05</v>
      </c>
      <c r="F736" s="116">
        <v>1119</v>
      </c>
      <c r="G736">
        <v>248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43122</v>
      </c>
      <c r="B737" s="116">
        <v>1159.45</v>
      </c>
      <c r="C737" s="116">
        <v>1159.45</v>
      </c>
      <c r="D737" s="116">
        <v>1119</v>
      </c>
      <c r="E737" s="116">
        <v>1121</v>
      </c>
      <c r="F737" s="116">
        <v>1159.45</v>
      </c>
      <c r="G737">
        <v>100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43123</v>
      </c>
      <c r="B738" s="116">
        <v>1217.4000000000001</v>
      </c>
      <c r="C738" s="116">
        <v>1217.4000000000001</v>
      </c>
      <c r="D738" s="116">
        <v>1160</v>
      </c>
      <c r="E738" s="116">
        <v>1160</v>
      </c>
      <c r="F738" s="116">
        <v>1217.4000000000001</v>
      </c>
      <c r="G738">
        <v>394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43124</v>
      </c>
      <c r="B739" s="116">
        <v>1278.25</v>
      </c>
      <c r="C739" s="116">
        <v>1278.25</v>
      </c>
      <c r="D739" s="116">
        <v>1250</v>
      </c>
      <c r="E739" s="116">
        <v>1278.25</v>
      </c>
      <c r="F739" s="116">
        <v>1278.25</v>
      </c>
      <c r="G739">
        <v>886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43125</v>
      </c>
      <c r="B740" s="116">
        <v>1293.8</v>
      </c>
      <c r="C740" s="116">
        <v>1288.75</v>
      </c>
      <c r="D740" s="116">
        <v>1278.25</v>
      </c>
      <c r="E740" s="116">
        <v>1278.25</v>
      </c>
      <c r="F740" s="116">
        <v>1288.75</v>
      </c>
      <c r="G740">
        <v>1091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43129</v>
      </c>
      <c r="B741" s="116">
        <v>1291</v>
      </c>
      <c r="C741" s="116">
        <v>1227.05</v>
      </c>
      <c r="D741" s="116">
        <v>1226</v>
      </c>
      <c r="E741" s="116">
        <v>1288</v>
      </c>
      <c r="F741" s="116">
        <v>1227.05</v>
      </c>
      <c r="G741">
        <v>176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43130</v>
      </c>
      <c r="B742" s="116">
        <v>1230</v>
      </c>
      <c r="C742" s="116">
        <v>1196</v>
      </c>
      <c r="D742" s="116">
        <v>1190</v>
      </c>
      <c r="E742" s="116">
        <v>1230</v>
      </c>
      <c r="F742" s="116">
        <v>1196</v>
      </c>
      <c r="G742">
        <v>59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43131</v>
      </c>
      <c r="B743" s="116">
        <v>1170</v>
      </c>
      <c r="C743" s="116">
        <v>1170</v>
      </c>
      <c r="D743" s="116">
        <v>1139.05</v>
      </c>
      <c r="E743" s="116">
        <v>1139.05</v>
      </c>
      <c r="F743" s="116">
        <v>1170</v>
      </c>
      <c r="G743">
        <v>102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43132</v>
      </c>
      <c r="B744" s="116">
        <v>1170</v>
      </c>
      <c r="C744" s="116">
        <v>1116.2</v>
      </c>
      <c r="D744" s="116">
        <v>1115</v>
      </c>
      <c r="E744" s="116">
        <v>1170</v>
      </c>
      <c r="F744" s="116">
        <v>1116.2</v>
      </c>
      <c r="G744">
        <v>16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43133</v>
      </c>
      <c r="B745" s="116">
        <v>1097</v>
      </c>
      <c r="C745" s="116">
        <v>1080</v>
      </c>
      <c r="D745" s="116">
        <v>1078</v>
      </c>
      <c r="E745" s="116">
        <v>1097</v>
      </c>
      <c r="F745" s="116">
        <v>1080</v>
      </c>
      <c r="G745">
        <v>144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43137</v>
      </c>
      <c r="B746" s="116">
        <v>1080</v>
      </c>
      <c r="C746" s="116">
        <v>1060</v>
      </c>
      <c r="D746" s="116">
        <v>1050</v>
      </c>
      <c r="E746" s="116">
        <v>1080</v>
      </c>
      <c r="F746" s="116">
        <v>1060</v>
      </c>
      <c r="G746">
        <v>386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43138</v>
      </c>
      <c r="B747" s="116">
        <v>1113</v>
      </c>
      <c r="C747" s="116">
        <v>1062</v>
      </c>
      <c r="D747" s="116">
        <v>1056.05</v>
      </c>
      <c r="E747" s="116">
        <v>1058</v>
      </c>
      <c r="F747" s="116">
        <v>1062</v>
      </c>
      <c r="G747">
        <v>100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43139</v>
      </c>
      <c r="B748" s="116">
        <v>1071.05</v>
      </c>
      <c r="C748" s="116">
        <v>1062</v>
      </c>
      <c r="D748" s="116">
        <v>1062</v>
      </c>
      <c r="E748" s="116">
        <v>1071.05</v>
      </c>
      <c r="F748" s="116">
        <v>1062</v>
      </c>
      <c r="G748">
        <v>20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43140</v>
      </c>
      <c r="B749" s="116">
        <v>1065</v>
      </c>
      <c r="C749" s="116">
        <v>1051</v>
      </c>
      <c r="D749" s="116">
        <v>1050</v>
      </c>
      <c r="E749" s="116">
        <v>1065</v>
      </c>
      <c r="F749" s="116">
        <v>1051</v>
      </c>
      <c r="G749">
        <v>125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43143</v>
      </c>
      <c r="B750" s="116">
        <v>1103</v>
      </c>
      <c r="C750" s="116">
        <v>1095</v>
      </c>
      <c r="D750" s="116">
        <v>1050</v>
      </c>
      <c r="E750" s="116">
        <v>1053.1500000000001</v>
      </c>
      <c r="F750" s="116">
        <v>1095</v>
      </c>
      <c r="G750">
        <v>251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43145</v>
      </c>
      <c r="B751" s="116">
        <v>1109</v>
      </c>
      <c r="C751" s="116">
        <v>1102.55</v>
      </c>
      <c r="D751" s="116">
        <v>1094.95</v>
      </c>
      <c r="E751" s="116">
        <v>1094.95</v>
      </c>
      <c r="F751" s="116">
        <v>1102.55</v>
      </c>
      <c r="G751">
        <v>50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43146</v>
      </c>
      <c r="B752" s="116">
        <v>1147.75</v>
      </c>
      <c r="C752" s="116">
        <v>1101.25</v>
      </c>
      <c r="D752" s="116">
        <v>1101</v>
      </c>
      <c r="E752" s="116">
        <v>1147.75</v>
      </c>
      <c r="F752" s="116">
        <v>1101.25</v>
      </c>
      <c r="G752">
        <v>30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43147</v>
      </c>
      <c r="B753" s="116">
        <v>1120</v>
      </c>
      <c r="C753" s="116">
        <v>1114.2</v>
      </c>
      <c r="D753" s="116">
        <v>1105.0999999999999</v>
      </c>
      <c r="E753" s="116">
        <v>1110</v>
      </c>
      <c r="F753" s="116">
        <v>1114.2</v>
      </c>
      <c r="G753">
        <v>422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43150</v>
      </c>
      <c r="B754" s="116">
        <v>1100</v>
      </c>
      <c r="C754" s="116">
        <v>1072</v>
      </c>
      <c r="D754" s="116">
        <v>1072</v>
      </c>
      <c r="E754" s="116">
        <v>1100</v>
      </c>
      <c r="F754" s="116">
        <v>1072</v>
      </c>
      <c r="G754">
        <v>126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43151</v>
      </c>
      <c r="B755" s="116">
        <v>1100</v>
      </c>
      <c r="C755" s="116">
        <v>1090</v>
      </c>
      <c r="D755" s="116">
        <v>1078.05</v>
      </c>
      <c r="E755" s="116">
        <v>1078.05</v>
      </c>
      <c r="F755" s="116">
        <v>1090</v>
      </c>
      <c r="G755">
        <v>55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43152</v>
      </c>
      <c r="B756" s="116">
        <v>1125</v>
      </c>
      <c r="C756" s="116">
        <v>1100</v>
      </c>
      <c r="D756" s="116">
        <v>1100</v>
      </c>
      <c r="E756" s="116">
        <v>1125</v>
      </c>
      <c r="F756" s="116">
        <v>1100</v>
      </c>
      <c r="G756">
        <v>116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43153</v>
      </c>
      <c r="B757" s="116">
        <v>1120</v>
      </c>
      <c r="C757" s="116">
        <v>1100.95</v>
      </c>
      <c r="D757" s="116">
        <v>1090.1500000000001</v>
      </c>
      <c r="E757" s="116">
        <v>1120</v>
      </c>
      <c r="F757" s="116">
        <v>1100.95</v>
      </c>
      <c r="G757">
        <v>30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43154</v>
      </c>
      <c r="B758" s="116">
        <v>1101.0999999999999</v>
      </c>
      <c r="C758" s="116">
        <v>1101.0999999999999</v>
      </c>
      <c r="D758" s="116">
        <v>1101.0999999999999</v>
      </c>
      <c r="E758" s="116">
        <v>1101.0999999999999</v>
      </c>
      <c r="F758" s="116">
        <v>1101.0999999999999</v>
      </c>
      <c r="G758">
        <v>1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43157</v>
      </c>
      <c r="B759" s="116">
        <v>1156</v>
      </c>
      <c r="C759" s="116">
        <v>1132</v>
      </c>
      <c r="D759" s="116">
        <v>1130.5</v>
      </c>
      <c r="E759" s="116">
        <v>1140</v>
      </c>
      <c r="F759" s="116">
        <v>1132</v>
      </c>
      <c r="G759">
        <v>208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43158</v>
      </c>
      <c r="B760" s="116">
        <v>1188</v>
      </c>
      <c r="C760" s="116">
        <v>1144.8</v>
      </c>
      <c r="D760" s="116">
        <v>1135</v>
      </c>
      <c r="E760" s="116">
        <v>1139.95</v>
      </c>
      <c r="F760" s="116">
        <v>1144.8</v>
      </c>
      <c r="G760">
        <v>108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43159</v>
      </c>
      <c r="B761" s="116">
        <v>1202</v>
      </c>
      <c r="C761" s="116">
        <v>1180</v>
      </c>
      <c r="D761" s="116">
        <v>1150</v>
      </c>
      <c r="E761" s="116">
        <v>1150</v>
      </c>
      <c r="F761" s="116">
        <v>1180</v>
      </c>
      <c r="G761">
        <v>241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43160</v>
      </c>
      <c r="B762" s="116">
        <v>1239</v>
      </c>
      <c r="C762" s="116">
        <v>1239</v>
      </c>
      <c r="D762" s="116">
        <v>1121</v>
      </c>
      <c r="E762" s="116">
        <v>1121</v>
      </c>
      <c r="F762" s="116">
        <v>1239</v>
      </c>
      <c r="G762">
        <v>730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43164</v>
      </c>
      <c r="B763" s="116">
        <v>1300.95</v>
      </c>
      <c r="C763" s="116">
        <v>1300.95</v>
      </c>
      <c r="D763" s="116">
        <v>1235</v>
      </c>
      <c r="E763" s="116">
        <v>1250</v>
      </c>
      <c r="F763" s="116">
        <v>1300.95</v>
      </c>
      <c r="G763">
        <v>711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43165</v>
      </c>
      <c r="B764" s="116">
        <v>1340</v>
      </c>
      <c r="C764" s="116">
        <v>1300.7</v>
      </c>
      <c r="D764" s="116">
        <v>1300</v>
      </c>
      <c r="E764" s="116">
        <v>1318</v>
      </c>
      <c r="F764" s="116">
        <v>1300.7</v>
      </c>
      <c r="G764">
        <v>618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43166</v>
      </c>
      <c r="B765" s="116">
        <v>1308</v>
      </c>
      <c r="C765" s="116">
        <v>1302.5</v>
      </c>
      <c r="D765" s="116">
        <v>1280</v>
      </c>
      <c r="E765" s="116">
        <v>1300</v>
      </c>
      <c r="F765" s="116">
        <v>1302.5</v>
      </c>
      <c r="G765">
        <v>1153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43167</v>
      </c>
      <c r="B766" s="116">
        <v>1303.8499999999999</v>
      </c>
      <c r="C766" s="116">
        <v>1255.0999999999999</v>
      </c>
      <c r="D766" s="116">
        <v>1255.0999999999999</v>
      </c>
      <c r="E766" s="116">
        <v>1280.05</v>
      </c>
      <c r="F766" s="116">
        <v>1255.0999999999999</v>
      </c>
      <c r="G766">
        <v>238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43168</v>
      </c>
      <c r="B767" s="116">
        <v>1308</v>
      </c>
      <c r="C767" s="116">
        <v>1301.75</v>
      </c>
      <c r="D767" s="116">
        <v>1280</v>
      </c>
      <c r="E767" s="116">
        <v>1280</v>
      </c>
      <c r="F767" s="116">
        <v>1301.75</v>
      </c>
      <c r="G767">
        <v>497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43171</v>
      </c>
      <c r="B768" s="116">
        <v>1314</v>
      </c>
      <c r="C768" s="116">
        <v>1310</v>
      </c>
      <c r="D768" s="116">
        <v>1300</v>
      </c>
      <c r="E768" s="116">
        <v>1300</v>
      </c>
      <c r="F768" s="116">
        <v>1310</v>
      </c>
      <c r="G768">
        <v>153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43172</v>
      </c>
      <c r="B769" s="116">
        <v>1300</v>
      </c>
      <c r="C769" s="116">
        <v>1280.7</v>
      </c>
      <c r="D769" s="116">
        <v>1280</v>
      </c>
      <c r="E769" s="116">
        <v>1300</v>
      </c>
      <c r="F769" s="116">
        <v>1280.7</v>
      </c>
      <c r="G769">
        <v>36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43173</v>
      </c>
      <c r="B770" s="116">
        <v>1300</v>
      </c>
      <c r="C770" s="116">
        <v>1300</v>
      </c>
      <c r="D770" s="116">
        <v>1300</v>
      </c>
      <c r="E770" s="116">
        <v>1300</v>
      </c>
      <c r="F770" s="116">
        <v>1300</v>
      </c>
      <c r="G770">
        <v>6002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43174</v>
      </c>
      <c r="B771" s="116">
        <v>1285</v>
      </c>
      <c r="C771" s="116">
        <v>1240.0999999999999</v>
      </c>
      <c r="D771" s="116">
        <v>1235.5</v>
      </c>
      <c r="E771" s="116">
        <v>1285</v>
      </c>
      <c r="F771" s="116">
        <v>1240.0999999999999</v>
      </c>
      <c r="G771">
        <v>173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43175</v>
      </c>
      <c r="B772" s="116">
        <v>1301.5</v>
      </c>
      <c r="C772" s="116">
        <v>1231</v>
      </c>
      <c r="D772" s="116">
        <v>1230.2</v>
      </c>
      <c r="E772" s="116">
        <v>1301.5</v>
      </c>
      <c r="F772" s="116">
        <v>1231</v>
      </c>
      <c r="G772">
        <v>26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43178</v>
      </c>
      <c r="B773" s="116">
        <v>1285</v>
      </c>
      <c r="C773" s="116">
        <v>1250</v>
      </c>
      <c r="D773" s="116">
        <v>1192.2</v>
      </c>
      <c r="E773" s="116">
        <v>1278</v>
      </c>
      <c r="F773" s="116">
        <v>1250</v>
      </c>
      <c r="G773">
        <v>27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43179</v>
      </c>
      <c r="B774" s="116">
        <v>1203.05</v>
      </c>
      <c r="C774" s="116">
        <v>1188.1500000000001</v>
      </c>
      <c r="D774" s="116">
        <v>1188</v>
      </c>
      <c r="E774" s="116">
        <v>1203.05</v>
      </c>
      <c r="F774" s="116">
        <v>1188.1500000000001</v>
      </c>
      <c r="G774">
        <v>84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43180</v>
      </c>
      <c r="B775" s="116">
        <v>1190</v>
      </c>
      <c r="C775" s="116">
        <v>1190</v>
      </c>
      <c r="D775" s="116">
        <v>1189.5</v>
      </c>
      <c r="E775" s="116">
        <v>1190</v>
      </c>
      <c r="F775" s="116">
        <v>1190</v>
      </c>
      <c r="G775">
        <v>72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43181</v>
      </c>
      <c r="B776" s="116">
        <v>1185</v>
      </c>
      <c r="C776" s="116">
        <v>1185</v>
      </c>
      <c r="D776" s="116">
        <v>1185</v>
      </c>
      <c r="E776" s="116">
        <v>1185</v>
      </c>
      <c r="F776" s="116">
        <v>1185</v>
      </c>
      <c r="G776">
        <v>52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43182</v>
      </c>
      <c r="B777" s="116">
        <v>1137</v>
      </c>
      <c r="C777" s="116">
        <v>1135</v>
      </c>
      <c r="D777" s="116">
        <v>1134</v>
      </c>
      <c r="E777" s="116">
        <v>1134</v>
      </c>
      <c r="F777" s="116">
        <v>1135</v>
      </c>
      <c r="G777">
        <v>255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43185</v>
      </c>
      <c r="B778" s="116">
        <v>1191.75</v>
      </c>
      <c r="C778" s="116">
        <v>1124.8499999999999</v>
      </c>
      <c r="D778" s="116">
        <v>1110.05</v>
      </c>
      <c r="E778" s="116">
        <v>1191.75</v>
      </c>
      <c r="F778" s="116">
        <v>1124.8499999999999</v>
      </c>
      <c r="G778">
        <v>202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43186</v>
      </c>
      <c r="B779" s="116">
        <v>1150</v>
      </c>
      <c r="C779" s="116">
        <v>1150</v>
      </c>
      <c r="D779" s="116">
        <v>1126.5</v>
      </c>
      <c r="E779" s="116">
        <v>1126.5</v>
      </c>
      <c r="F779" s="116">
        <v>1150</v>
      </c>
      <c r="G779">
        <v>35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43187</v>
      </c>
      <c r="B780" s="116">
        <v>1170</v>
      </c>
      <c r="C780" s="116">
        <v>1150</v>
      </c>
      <c r="D780" s="116">
        <v>1150</v>
      </c>
      <c r="E780" s="116">
        <v>1169.9000000000001</v>
      </c>
      <c r="F780" s="116">
        <v>1150</v>
      </c>
      <c r="G780">
        <v>135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43193</v>
      </c>
      <c r="B781" s="116">
        <v>1206</v>
      </c>
      <c r="C781" s="116">
        <v>1204.95</v>
      </c>
      <c r="D781" s="116">
        <v>1154.95</v>
      </c>
      <c r="E781" s="116">
        <v>1206</v>
      </c>
      <c r="F781" s="116">
        <v>1204.95</v>
      </c>
      <c r="G781">
        <v>12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43194</v>
      </c>
      <c r="B782" s="116">
        <v>1204</v>
      </c>
      <c r="C782" s="116">
        <v>1151</v>
      </c>
      <c r="D782" s="116">
        <v>1151</v>
      </c>
      <c r="E782" s="116">
        <v>1203.45</v>
      </c>
      <c r="F782" s="116">
        <v>1151</v>
      </c>
      <c r="G782">
        <v>31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43195</v>
      </c>
      <c r="B783" s="116">
        <v>1207.75</v>
      </c>
      <c r="C783" s="116">
        <v>1199</v>
      </c>
      <c r="D783" s="116">
        <v>1150</v>
      </c>
      <c r="E783" s="116">
        <v>1150</v>
      </c>
      <c r="F783" s="116">
        <v>1199</v>
      </c>
      <c r="G783">
        <v>21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43196</v>
      </c>
      <c r="B784" s="116">
        <v>1219</v>
      </c>
      <c r="C784" s="116">
        <v>1150.0999999999999</v>
      </c>
      <c r="D784" s="116">
        <v>1150</v>
      </c>
      <c r="E784" s="116">
        <v>1199</v>
      </c>
      <c r="F784" s="116">
        <v>1150.0999999999999</v>
      </c>
      <c r="G784">
        <v>9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43199</v>
      </c>
      <c r="B785" s="116">
        <v>1207</v>
      </c>
      <c r="C785" s="116">
        <v>1185</v>
      </c>
      <c r="D785" s="116">
        <v>1161.3499999999999</v>
      </c>
      <c r="E785" s="116">
        <v>1161.3499999999999</v>
      </c>
      <c r="F785" s="116">
        <v>1185</v>
      </c>
      <c r="G785">
        <v>120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43200</v>
      </c>
      <c r="B786" s="116">
        <v>1221</v>
      </c>
      <c r="C786" s="116">
        <v>1218.75</v>
      </c>
      <c r="D786" s="116">
        <v>1191.25</v>
      </c>
      <c r="E786" s="116">
        <v>1220</v>
      </c>
      <c r="F786" s="116">
        <v>1218.75</v>
      </c>
      <c r="G786">
        <v>69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43202</v>
      </c>
      <c r="B787" s="116">
        <v>1225</v>
      </c>
      <c r="C787" s="116">
        <v>1171</v>
      </c>
      <c r="D787" s="116">
        <v>1170.05</v>
      </c>
      <c r="E787" s="116">
        <v>1170.05</v>
      </c>
      <c r="F787" s="116">
        <v>1171</v>
      </c>
      <c r="G787">
        <v>64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43203</v>
      </c>
      <c r="B788" s="116">
        <v>1199</v>
      </c>
      <c r="C788" s="116">
        <v>1185.2</v>
      </c>
      <c r="D788" s="116">
        <v>1181</v>
      </c>
      <c r="E788" s="116">
        <v>1181</v>
      </c>
      <c r="F788" s="116">
        <v>1185.2</v>
      </c>
      <c r="G788">
        <v>97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43206</v>
      </c>
      <c r="B789" s="116">
        <v>1238.75</v>
      </c>
      <c r="C789" s="116">
        <v>1199</v>
      </c>
      <c r="D789" s="116">
        <v>1185.05</v>
      </c>
      <c r="E789" s="116">
        <v>1185.05</v>
      </c>
      <c r="F789" s="116">
        <v>1199</v>
      </c>
      <c r="G789">
        <v>7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43207</v>
      </c>
      <c r="B790" s="116">
        <v>1250</v>
      </c>
      <c r="C790" s="116">
        <v>1245.95</v>
      </c>
      <c r="D790" s="116">
        <v>1215</v>
      </c>
      <c r="E790" s="116">
        <v>1250</v>
      </c>
      <c r="F790" s="116">
        <v>1245.95</v>
      </c>
      <c r="G790">
        <v>106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43208</v>
      </c>
      <c r="B791" s="116">
        <v>1308.2</v>
      </c>
      <c r="C791" s="116">
        <v>1308.2</v>
      </c>
      <c r="D791" s="116">
        <v>1250</v>
      </c>
      <c r="E791" s="116">
        <v>1250</v>
      </c>
      <c r="F791" s="116">
        <v>1308.2</v>
      </c>
      <c r="G791">
        <v>349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43209</v>
      </c>
      <c r="B792" s="116">
        <v>1329.5</v>
      </c>
      <c r="C792" s="116">
        <v>1329.5</v>
      </c>
      <c r="D792" s="116">
        <v>1286</v>
      </c>
      <c r="E792" s="116">
        <v>1310</v>
      </c>
      <c r="F792" s="116">
        <v>1329.5</v>
      </c>
      <c r="G792">
        <v>60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43210</v>
      </c>
      <c r="B793" s="116">
        <v>1316</v>
      </c>
      <c r="C793" s="116">
        <v>1268.45</v>
      </c>
      <c r="D793" s="116">
        <v>1267.0999999999999</v>
      </c>
      <c r="E793" s="116">
        <v>1271.55</v>
      </c>
      <c r="F793" s="116">
        <v>1268.45</v>
      </c>
      <c r="G793">
        <v>66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43213</v>
      </c>
      <c r="B794" s="116">
        <v>1266.1500000000001</v>
      </c>
      <c r="C794" s="116">
        <v>1266.1500000000001</v>
      </c>
      <c r="D794" s="116">
        <v>1266.1500000000001</v>
      </c>
      <c r="E794" s="116">
        <v>1266.1500000000001</v>
      </c>
      <c r="F794" s="116">
        <v>1266.1500000000001</v>
      </c>
      <c r="G794">
        <v>10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43214</v>
      </c>
      <c r="B795" s="116">
        <v>1325</v>
      </c>
      <c r="C795" s="116">
        <v>1310</v>
      </c>
      <c r="D795" s="116">
        <v>1273.5</v>
      </c>
      <c r="E795" s="116">
        <v>1299</v>
      </c>
      <c r="F795" s="116">
        <v>1310</v>
      </c>
      <c r="G795">
        <v>170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43215</v>
      </c>
      <c r="B796" s="116">
        <v>1325</v>
      </c>
      <c r="C796" s="116">
        <v>1273.45</v>
      </c>
      <c r="D796" s="116">
        <v>1273</v>
      </c>
      <c r="E796" s="116">
        <v>1297</v>
      </c>
      <c r="F796" s="116">
        <v>1273.45</v>
      </c>
      <c r="G796">
        <v>202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43216</v>
      </c>
      <c r="B797" s="116">
        <v>1272.05</v>
      </c>
      <c r="C797" s="116">
        <v>1261</v>
      </c>
      <c r="D797" s="116">
        <v>1260</v>
      </c>
      <c r="E797" s="116">
        <v>1272.05</v>
      </c>
      <c r="F797" s="116">
        <v>1261</v>
      </c>
      <c r="G797">
        <v>88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43217</v>
      </c>
      <c r="B798" s="116">
        <v>1299</v>
      </c>
      <c r="C798" s="116">
        <v>1283.9000000000001</v>
      </c>
      <c r="D798" s="116">
        <v>1201.95</v>
      </c>
      <c r="E798" s="116">
        <v>1251</v>
      </c>
      <c r="F798" s="116">
        <v>1283.9000000000001</v>
      </c>
      <c r="G798">
        <v>162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43220</v>
      </c>
      <c r="B799" s="116">
        <v>1311.95</v>
      </c>
      <c r="C799" s="116">
        <v>1311.95</v>
      </c>
      <c r="D799" s="116">
        <v>1311.95</v>
      </c>
      <c r="E799" s="116">
        <v>1311.95</v>
      </c>
      <c r="F799" s="116">
        <v>1311.95</v>
      </c>
      <c r="G799">
        <v>2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43222</v>
      </c>
      <c r="B800" s="116">
        <v>1310.95</v>
      </c>
      <c r="C800" s="116">
        <v>1300</v>
      </c>
      <c r="D800" s="116">
        <v>1251.05</v>
      </c>
      <c r="E800" s="116">
        <v>1251.05</v>
      </c>
      <c r="F800" s="116">
        <v>1300</v>
      </c>
      <c r="G800">
        <v>8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43224</v>
      </c>
      <c r="B801" s="116">
        <v>1237.75</v>
      </c>
      <c r="C801" s="116">
        <v>1235.2</v>
      </c>
      <c r="D801" s="116">
        <v>1235.2</v>
      </c>
      <c r="E801" s="116">
        <v>1237.75</v>
      </c>
      <c r="F801" s="116">
        <v>1235.2</v>
      </c>
      <c r="G801">
        <v>100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43227</v>
      </c>
      <c r="B802" s="116">
        <v>1223</v>
      </c>
      <c r="C802" s="116">
        <v>1223</v>
      </c>
      <c r="D802" s="116">
        <v>1223</v>
      </c>
      <c r="E802" s="116">
        <v>1223</v>
      </c>
      <c r="F802" s="116">
        <v>1223</v>
      </c>
      <c r="G802">
        <v>2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43228</v>
      </c>
      <c r="B803" s="116">
        <v>1284</v>
      </c>
      <c r="C803" s="116">
        <v>1283.5</v>
      </c>
      <c r="D803" s="116">
        <v>1211</v>
      </c>
      <c r="E803" s="116">
        <v>1211</v>
      </c>
      <c r="F803" s="116">
        <v>1283.5</v>
      </c>
      <c r="G803">
        <v>180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43229</v>
      </c>
      <c r="B804" s="116">
        <v>1283.75</v>
      </c>
      <c r="C804" s="116">
        <v>1250</v>
      </c>
      <c r="D804" s="116">
        <v>1220.5999999999999</v>
      </c>
      <c r="E804" s="116">
        <v>1283.75</v>
      </c>
      <c r="F804" s="116">
        <v>1250</v>
      </c>
      <c r="G804">
        <v>36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43230</v>
      </c>
      <c r="B805" s="116">
        <v>1312.5</v>
      </c>
      <c r="C805" s="116">
        <v>1312.5</v>
      </c>
      <c r="D805" s="116">
        <v>1239.95</v>
      </c>
      <c r="E805" s="116">
        <v>1250</v>
      </c>
      <c r="F805" s="116">
        <v>1312.5</v>
      </c>
      <c r="G805">
        <v>389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43231</v>
      </c>
      <c r="B806" s="116">
        <v>1378.1</v>
      </c>
      <c r="C806" s="116">
        <v>1378.1</v>
      </c>
      <c r="D806" s="116">
        <v>1378.1</v>
      </c>
      <c r="E806" s="116">
        <v>1378.1</v>
      </c>
      <c r="F806" s="116">
        <v>1378.1</v>
      </c>
      <c r="G806">
        <v>507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43234</v>
      </c>
      <c r="B807" s="116">
        <v>1447</v>
      </c>
      <c r="C807" s="116">
        <v>1447</v>
      </c>
      <c r="D807" s="116">
        <v>1447</v>
      </c>
      <c r="E807" s="116">
        <v>1447</v>
      </c>
      <c r="F807" s="116">
        <v>1447</v>
      </c>
      <c r="G807">
        <v>598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43235</v>
      </c>
      <c r="B808" s="116">
        <v>1519.35</v>
      </c>
      <c r="C808" s="116">
        <v>1450</v>
      </c>
      <c r="D808" s="116">
        <v>1400</v>
      </c>
      <c r="E808" s="116">
        <v>1519.35</v>
      </c>
      <c r="F808" s="116">
        <v>1450</v>
      </c>
      <c r="G808">
        <v>3428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43236</v>
      </c>
      <c r="B809" s="116">
        <v>1470</v>
      </c>
      <c r="C809" s="116">
        <v>1378</v>
      </c>
      <c r="D809" s="116">
        <v>1377.5</v>
      </c>
      <c r="E809" s="116">
        <v>1469.95</v>
      </c>
      <c r="F809" s="116">
        <v>1378</v>
      </c>
      <c r="G809">
        <v>360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43237</v>
      </c>
      <c r="B810" s="116">
        <v>1446.9</v>
      </c>
      <c r="C810" s="116">
        <v>1446.85</v>
      </c>
      <c r="D810" s="116">
        <v>1436.15</v>
      </c>
      <c r="E810" s="116">
        <v>1436.15</v>
      </c>
      <c r="F810" s="116">
        <v>1446.85</v>
      </c>
      <c r="G810">
        <v>250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43238</v>
      </c>
      <c r="B811" s="116">
        <v>1449.75</v>
      </c>
      <c r="C811" s="116">
        <v>1402.75</v>
      </c>
      <c r="D811" s="116">
        <v>1400</v>
      </c>
      <c r="E811" s="116">
        <v>1420</v>
      </c>
      <c r="F811" s="116">
        <v>1402.75</v>
      </c>
      <c r="G811">
        <v>95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43241</v>
      </c>
      <c r="B812" s="116">
        <v>1380.05</v>
      </c>
      <c r="C812" s="116">
        <v>1380</v>
      </c>
      <c r="D812" s="116">
        <v>1375</v>
      </c>
      <c r="E812" s="116">
        <v>1375</v>
      </c>
      <c r="F812" s="116">
        <v>1380</v>
      </c>
      <c r="G812">
        <v>18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43242</v>
      </c>
      <c r="B813" s="116">
        <v>1397.8</v>
      </c>
      <c r="C813" s="116">
        <v>1350.05</v>
      </c>
      <c r="D813" s="116">
        <v>1321</v>
      </c>
      <c r="E813" s="116">
        <v>1321</v>
      </c>
      <c r="F813" s="116">
        <v>1350.05</v>
      </c>
      <c r="G813">
        <v>55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43243</v>
      </c>
      <c r="B814" s="116">
        <v>1390</v>
      </c>
      <c r="C814" s="116">
        <v>1325</v>
      </c>
      <c r="D814" s="116">
        <v>1306</v>
      </c>
      <c r="E814" s="116">
        <v>1306</v>
      </c>
      <c r="F814" s="116">
        <v>1325</v>
      </c>
      <c r="G814">
        <v>465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43244</v>
      </c>
      <c r="B815" s="116">
        <v>1380</v>
      </c>
      <c r="C815" s="116">
        <v>1380</v>
      </c>
      <c r="D815" s="116">
        <v>1350</v>
      </c>
      <c r="E815" s="116">
        <v>1350</v>
      </c>
      <c r="F815" s="116">
        <v>1380</v>
      </c>
      <c r="G815">
        <v>151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43245</v>
      </c>
      <c r="B816" s="116">
        <v>1414.8</v>
      </c>
      <c r="C816" s="116">
        <v>1354.15</v>
      </c>
      <c r="D816" s="116">
        <v>1350</v>
      </c>
      <c r="E816" s="116">
        <v>1414.8</v>
      </c>
      <c r="F816" s="116">
        <v>1354.15</v>
      </c>
      <c r="G816">
        <v>169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43248</v>
      </c>
      <c r="B817" s="116">
        <v>1385</v>
      </c>
      <c r="C817" s="116">
        <v>1384.95</v>
      </c>
      <c r="D817" s="116">
        <v>1331.05</v>
      </c>
      <c r="E817" s="116">
        <v>1331.05</v>
      </c>
      <c r="F817" s="116">
        <v>1384.95</v>
      </c>
      <c r="G817">
        <v>37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43249</v>
      </c>
      <c r="B818" s="116">
        <v>1360</v>
      </c>
      <c r="C818" s="116">
        <v>1360</v>
      </c>
      <c r="D818" s="116">
        <v>1359</v>
      </c>
      <c r="E818" s="116">
        <v>1360</v>
      </c>
      <c r="F818" s="116">
        <v>1360</v>
      </c>
      <c r="G818">
        <v>84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43250</v>
      </c>
      <c r="B819" s="116">
        <v>1359.8</v>
      </c>
      <c r="C819" s="116">
        <v>1359.8</v>
      </c>
      <c r="D819" s="116">
        <v>1358</v>
      </c>
      <c r="E819" s="116">
        <v>1358</v>
      </c>
      <c r="F819" s="116">
        <v>1359.8</v>
      </c>
      <c r="G819">
        <v>158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43251</v>
      </c>
      <c r="B820" s="116">
        <v>1395</v>
      </c>
      <c r="C820" s="116">
        <v>1355</v>
      </c>
      <c r="D820" s="116">
        <v>1354.7</v>
      </c>
      <c r="E820" s="116">
        <v>1354.7</v>
      </c>
      <c r="F820" s="116">
        <v>1355</v>
      </c>
      <c r="G820">
        <v>140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43252</v>
      </c>
      <c r="B821" s="116">
        <v>1379.8</v>
      </c>
      <c r="C821" s="116">
        <v>1350</v>
      </c>
      <c r="D821" s="116">
        <v>1313.95</v>
      </c>
      <c r="E821" s="116">
        <v>1379.8</v>
      </c>
      <c r="F821" s="116">
        <v>1350</v>
      </c>
      <c r="G821">
        <v>26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43255</v>
      </c>
      <c r="B822" s="116">
        <v>1350</v>
      </c>
      <c r="C822" s="116">
        <v>1311.3</v>
      </c>
      <c r="D822" s="116">
        <v>1311</v>
      </c>
      <c r="E822" s="116">
        <v>1311.05</v>
      </c>
      <c r="F822" s="116">
        <v>1311.3</v>
      </c>
      <c r="G822">
        <v>134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43256</v>
      </c>
      <c r="B823" s="116">
        <v>1324</v>
      </c>
      <c r="C823" s="116">
        <v>1289.95</v>
      </c>
      <c r="D823" s="116">
        <v>1245.75</v>
      </c>
      <c r="E823" s="116">
        <v>1280.95</v>
      </c>
      <c r="F823" s="116">
        <v>1289.95</v>
      </c>
      <c r="G823">
        <v>184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43257</v>
      </c>
      <c r="B824" s="116">
        <v>1320</v>
      </c>
      <c r="C824" s="116">
        <v>1311.35</v>
      </c>
      <c r="D824" s="116">
        <v>1269</v>
      </c>
      <c r="E824" s="116">
        <v>1269</v>
      </c>
      <c r="F824" s="116">
        <v>1311.35</v>
      </c>
      <c r="G824">
        <v>135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43258</v>
      </c>
      <c r="B825" s="116">
        <v>1322</v>
      </c>
      <c r="C825" s="116">
        <v>1321.8</v>
      </c>
      <c r="D825" s="116">
        <v>1252.1500000000001</v>
      </c>
      <c r="E825" s="116">
        <v>1252.1500000000001</v>
      </c>
      <c r="F825" s="116">
        <v>1321.8</v>
      </c>
      <c r="G825">
        <v>148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43259</v>
      </c>
      <c r="B826" s="116">
        <v>1328.2</v>
      </c>
      <c r="C826" s="116">
        <v>1328.2</v>
      </c>
      <c r="D826" s="116">
        <v>1263.9000000000001</v>
      </c>
      <c r="E826" s="116">
        <v>1295</v>
      </c>
      <c r="F826" s="116">
        <v>1328.2</v>
      </c>
      <c r="G826">
        <v>37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43262</v>
      </c>
      <c r="B827" s="116">
        <v>1349.6</v>
      </c>
      <c r="C827" s="116">
        <v>1345.75</v>
      </c>
      <c r="D827" s="116">
        <v>1339</v>
      </c>
      <c r="E827" s="116">
        <v>1339</v>
      </c>
      <c r="F827" s="116">
        <v>1345.75</v>
      </c>
      <c r="G827">
        <v>60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43263</v>
      </c>
      <c r="B828" s="116">
        <v>1317</v>
      </c>
      <c r="C828" s="116">
        <v>1314</v>
      </c>
      <c r="D828" s="116">
        <v>1314</v>
      </c>
      <c r="E828" s="116">
        <v>1317</v>
      </c>
      <c r="F828" s="116">
        <v>1314</v>
      </c>
      <c r="G828">
        <v>50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43264</v>
      </c>
      <c r="B829" s="116">
        <v>1346</v>
      </c>
      <c r="C829" s="116">
        <v>1331.55</v>
      </c>
      <c r="D829" s="116">
        <v>1315</v>
      </c>
      <c r="E829" s="116">
        <v>1315.05</v>
      </c>
      <c r="F829" s="116">
        <v>1331.55</v>
      </c>
      <c r="G829">
        <v>69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43265</v>
      </c>
      <c r="B830" s="116">
        <v>1360</v>
      </c>
      <c r="C830" s="116">
        <v>1349.8</v>
      </c>
      <c r="D830" s="116">
        <v>1342</v>
      </c>
      <c r="E830" s="116">
        <v>1360</v>
      </c>
      <c r="F830" s="116">
        <v>1349.8</v>
      </c>
      <c r="G830">
        <v>48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43266</v>
      </c>
      <c r="B831" s="116">
        <v>1360</v>
      </c>
      <c r="C831" s="116">
        <v>1360</v>
      </c>
      <c r="D831" s="116">
        <v>1340</v>
      </c>
      <c r="E831" s="116">
        <v>1341</v>
      </c>
      <c r="F831" s="116">
        <v>1360</v>
      </c>
      <c r="G831">
        <v>17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43269</v>
      </c>
      <c r="B832" s="116">
        <v>1359.95</v>
      </c>
      <c r="C832" s="116">
        <v>1359.95</v>
      </c>
      <c r="D832" s="116">
        <v>1359.95</v>
      </c>
      <c r="E832" s="116">
        <v>1359.95</v>
      </c>
      <c r="F832" s="116">
        <v>1359.95</v>
      </c>
      <c r="G832">
        <v>10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43270</v>
      </c>
      <c r="B833" s="116">
        <v>1360</v>
      </c>
      <c r="C833" s="116">
        <v>1347.75</v>
      </c>
      <c r="D833" s="116">
        <v>1335</v>
      </c>
      <c r="E833" s="116">
        <v>1350.55</v>
      </c>
      <c r="F833" s="116">
        <v>1347.75</v>
      </c>
      <c r="G833">
        <v>122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43271</v>
      </c>
      <c r="B834" s="116">
        <v>1350</v>
      </c>
      <c r="C834" s="116">
        <v>1350</v>
      </c>
      <c r="D834" s="116">
        <v>1325.05</v>
      </c>
      <c r="E834" s="116">
        <v>1325.05</v>
      </c>
      <c r="F834" s="116">
        <v>1350</v>
      </c>
      <c r="G834">
        <v>25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43272</v>
      </c>
      <c r="B835" s="116">
        <v>1345.05</v>
      </c>
      <c r="C835" s="116">
        <v>1300</v>
      </c>
      <c r="D835" s="116">
        <v>1292</v>
      </c>
      <c r="E835" s="116">
        <v>1345.05</v>
      </c>
      <c r="F835" s="116">
        <v>1300</v>
      </c>
      <c r="G835">
        <v>340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43273</v>
      </c>
      <c r="B836" s="116">
        <v>1355</v>
      </c>
      <c r="C836" s="116">
        <v>1282</v>
      </c>
      <c r="D836" s="116">
        <v>1281.05</v>
      </c>
      <c r="E836" s="116">
        <v>1310</v>
      </c>
      <c r="F836" s="116">
        <v>1282</v>
      </c>
      <c r="G836">
        <v>167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43276</v>
      </c>
      <c r="B837" s="116">
        <v>1310</v>
      </c>
      <c r="C837" s="116">
        <v>1310</v>
      </c>
      <c r="D837" s="116">
        <v>1310</v>
      </c>
      <c r="E837" s="116">
        <v>1310</v>
      </c>
      <c r="F837" s="116">
        <v>1310</v>
      </c>
      <c r="G837">
        <v>2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43277</v>
      </c>
      <c r="B838" s="116">
        <v>1311</v>
      </c>
      <c r="C838" s="116">
        <v>1310</v>
      </c>
      <c r="D838" s="116">
        <v>1310</v>
      </c>
      <c r="E838" s="116">
        <v>1310</v>
      </c>
      <c r="F838" s="116">
        <v>1310</v>
      </c>
      <c r="G838">
        <v>86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43278</v>
      </c>
      <c r="B839" s="116">
        <v>1290.05</v>
      </c>
      <c r="C839" s="116">
        <v>1270</v>
      </c>
      <c r="D839" s="116">
        <v>1270</v>
      </c>
      <c r="E839" s="116">
        <v>1275</v>
      </c>
      <c r="F839" s="116">
        <v>1270</v>
      </c>
      <c r="G839">
        <v>69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43279</v>
      </c>
      <c r="B840" s="116">
        <v>1270.05</v>
      </c>
      <c r="C840" s="116">
        <v>1255.25</v>
      </c>
      <c r="D840" s="116">
        <v>1250.05</v>
      </c>
      <c r="E840" s="116">
        <v>1270.05</v>
      </c>
      <c r="F840" s="116">
        <v>1255.25</v>
      </c>
      <c r="G840">
        <v>60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43283</v>
      </c>
      <c r="B841" s="116">
        <v>1280</v>
      </c>
      <c r="C841" s="116">
        <v>1280</v>
      </c>
      <c r="D841" s="116">
        <v>1246.8499999999999</v>
      </c>
      <c r="E841" s="116">
        <v>1246.8499999999999</v>
      </c>
      <c r="F841" s="116">
        <v>1280</v>
      </c>
      <c r="G841">
        <v>35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43284</v>
      </c>
      <c r="B842" s="116">
        <v>1320</v>
      </c>
      <c r="C842" s="116">
        <v>1319.35</v>
      </c>
      <c r="D842" s="116">
        <v>1305</v>
      </c>
      <c r="E842" s="116">
        <v>1305</v>
      </c>
      <c r="F842" s="116">
        <v>1319.35</v>
      </c>
      <c r="G842">
        <v>39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43285</v>
      </c>
      <c r="B843" s="116">
        <v>1319</v>
      </c>
      <c r="C843" s="116">
        <v>1318.95</v>
      </c>
      <c r="D843" s="116">
        <v>1281</v>
      </c>
      <c r="E843" s="116">
        <v>1281</v>
      </c>
      <c r="F843" s="116">
        <v>1318.95</v>
      </c>
      <c r="G843">
        <v>47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43286</v>
      </c>
      <c r="B844" s="116">
        <v>1313</v>
      </c>
      <c r="C844" s="116">
        <v>1313</v>
      </c>
      <c r="D844" s="116">
        <v>1313</v>
      </c>
      <c r="E844" s="116">
        <v>1313</v>
      </c>
      <c r="F844" s="116">
        <v>1313</v>
      </c>
      <c r="G844">
        <v>4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43287</v>
      </c>
      <c r="B845" s="116">
        <v>1349</v>
      </c>
      <c r="C845" s="116">
        <v>1346.75</v>
      </c>
      <c r="D845" s="116">
        <v>1320</v>
      </c>
      <c r="E845" s="116">
        <v>1348.95</v>
      </c>
      <c r="F845" s="116">
        <v>1346.75</v>
      </c>
      <c r="G845">
        <v>139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43290</v>
      </c>
      <c r="B846" s="116">
        <v>1350</v>
      </c>
      <c r="C846" s="116">
        <v>1340</v>
      </c>
      <c r="D846" s="116">
        <v>1300</v>
      </c>
      <c r="E846" s="116">
        <v>1330</v>
      </c>
      <c r="F846" s="116">
        <v>1340</v>
      </c>
      <c r="G846">
        <v>107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43291</v>
      </c>
      <c r="B847" s="116">
        <v>1329</v>
      </c>
      <c r="C847" s="116">
        <v>1310</v>
      </c>
      <c r="D847" s="116">
        <v>1310</v>
      </c>
      <c r="E847" s="116">
        <v>1329</v>
      </c>
      <c r="F847" s="116">
        <v>1310</v>
      </c>
      <c r="G847">
        <v>212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43292</v>
      </c>
      <c r="B848" s="116">
        <v>1325</v>
      </c>
      <c r="C848" s="116">
        <v>1300</v>
      </c>
      <c r="D848" s="116">
        <v>1300</v>
      </c>
      <c r="E848" s="116">
        <v>1325</v>
      </c>
      <c r="F848" s="116">
        <v>1300</v>
      </c>
      <c r="G848">
        <v>51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43293</v>
      </c>
      <c r="B849" s="116">
        <v>1310</v>
      </c>
      <c r="C849" s="116">
        <v>1310</v>
      </c>
      <c r="D849" s="116">
        <v>1274</v>
      </c>
      <c r="E849" s="116">
        <v>1274</v>
      </c>
      <c r="F849" s="116">
        <v>1310</v>
      </c>
      <c r="G849">
        <v>56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43294</v>
      </c>
      <c r="B850" s="116">
        <v>1350</v>
      </c>
      <c r="C850" s="116">
        <v>1300</v>
      </c>
      <c r="D850" s="116">
        <v>1270.05</v>
      </c>
      <c r="E850" s="116">
        <v>1350</v>
      </c>
      <c r="F850" s="116">
        <v>1300</v>
      </c>
      <c r="G850">
        <v>50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43297</v>
      </c>
      <c r="B851" s="116">
        <v>1272</v>
      </c>
      <c r="C851" s="116">
        <v>1272</v>
      </c>
      <c r="D851" s="116">
        <v>1272</v>
      </c>
      <c r="E851" s="116">
        <v>1272</v>
      </c>
      <c r="F851" s="116">
        <v>1272</v>
      </c>
      <c r="G851">
        <v>1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43298</v>
      </c>
      <c r="B852" s="116">
        <v>1319.5</v>
      </c>
      <c r="C852" s="116">
        <v>1300</v>
      </c>
      <c r="D852" s="116">
        <v>1299.95</v>
      </c>
      <c r="E852" s="116">
        <v>1319.5</v>
      </c>
      <c r="F852" s="116">
        <v>1300</v>
      </c>
      <c r="G852">
        <v>16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43300</v>
      </c>
      <c r="B853" s="116">
        <v>1292.25</v>
      </c>
      <c r="C853" s="116">
        <v>1292.25</v>
      </c>
      <c r="D853" s="116">
        <v>1255</v>
      </c>
      <c r="E853" s="116">
        <v>1256</v>
      </c>
      <c r="F853" s="116">
        <v>1292.25</v>
      </c>
      <c r="G853">
        <v>60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43301</v>
      </c>
      <c r="B854" s="116">
        <v>1229.5999999999999</v>
      </c>
      <c r="C854" s="116">
        <v>1229.5999999999999</v>
      </c>
      <c r="D854" s="116">
        <v>1229.5999999999999</v>
      </c>
      <c r="E854" s="116">
        <v>1229.5999999999999</v>
      </c>
      <c r="F854" s="116">
        <v>1229.5999999999999</v>
      </c>
      <c r="G854">
        <v>10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43304</v>
      </c>
      <c r="B855" s="116">
        <v>1291.05</v>
      </c>
      <c r="C855" s="116">
        <v>1291.05</v>
      </c>
      <c r="D855" s="116">
        <v>1230</v>
      </c>
      <c r="E855" s="116">
        <v>1230</v>
      </c>
      <c r="F855" s="116">
        <v>1291.05</v>
      </c>
      <c r="G855">
        <v>295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43305</v>
      </c>
      <c r="B856" s="116">
        <v>1340</v>
      </c>
      <c r="C856" s="116">
        <v>1339.95</v>
      </c>
      <c r="D856" s="116">
        <v>1330</v>
      </c>
      <c r="E856" s="116">
        <v>1330</v>
      </c>
      <c r="F856" s="116">
        <v>1339.95</v>
      </c>
      <c r="G856">
        <v>96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43306</v>
      </c>
      <c r="B857" s="116">
        <v>1390</v>
      </c>
      <c r="C857" s="116">
        <v>1300</v>
      </c>
      <c r="D857" s="116">
        <v>1300</v>
      </c>
      <c r="E857" s="116">
        <v>1390</v>
      </c>
      <c r="F857" s="116">
        <v>1300</v>
      </c>
      <c r="G857">
        <v>56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43307</v>
      </c>
      <c r="B858" s="116">
        <v>1310</v>
      </c>
      <c r="C858" s="116">
        <v>1302</v>
      </c>
      <c r="D858" s="116">
        <v>1270</v>
      </c>
      <c r="E858" s="116">
        <v>1271.05</v>
      </c>
      <c r="F858" s="116">
        <v>1302</v>
      </c>
      <c r="G858">
        <v>187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43308</v>
      </c>
      <c r="B859" s="116">
        <v>1305</v>
      </c>
      <c r="C859" s="116">
        <v>1302</v>
      </c>
      <c r="D859" s="116">
        <v>1266</v>
      </c>
      <c r="E859" s="116">
        <v>1305</v>
      </c>
      <c r="F859" s="116">
        <v>1302</v>
      </c>
      <c r="G859">
        <v>56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43311</v>
      </c>
      <c r="B860" s="116">
        <v>1325</v>
      </c>
      <c r="C860" s="116">
        <v>1302</v>
      </c>
      <c r="D860" s="116">
        <v>1299</v>
      </c>
      <c r="E860" s="116">
        <v>1325</v>
      </c>
      <c r="F860" s="116">
        <v>1302</v>
      </c>
      <c r="G860">
        <v>63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43312</v>
      </c>
      <c r="B861" s="116">
        <v>1346.15</v>
      </c>
      <c r="C861" s="116">
        <v>1300.05</v>
      </c>
      <c r="D861" s="116">
        <v>1300</v>
      </c>
      <c r="E861" s="116">
        <v>1305</v>
      </c>
      <c r="F861" s="116">
        <v>1300.05</v>
      </c>
      <c r="G861">
        <v>49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43313</v>
      </c>
      <c r="B862" s="116">
        <v>1301.0999999999999</v>
      </c>
      <c r="C862" s="116">
        <v>1301.0999999999999</v>
      </c>
      <c r="D862" s="116">
        <v>1301</v>
      </c>
      <c r="E862" s="116">
        <v>1301</v>
      </c>
      <c r="F862" s="116">
        <v>1301.0999999999999</v>
      </c>
      <c r="G862">
        <v>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43314</v>
      </c>
      <c r="B863" s="116">
        <v>1343</v>
      </c>
      <c r="C863" s="116">
        <v>1306</v>
      </c>
      <c r="D863" s="116">
        <v>1302</v>
      </c>
      <c r="E863" s="116">
        <v>1302</v>
      </c>
      <c r="F863" s="116">
        <v>1306</v>
      </c>
      <c r="G863">
        <v>157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43315</v>
      </c>
      <c r="B864" s="116">
        <v>1344</v>
      </c>
      <c r="C864" s="116">
        <v>1341</v>
      </c>
      <c r="D864" s="116">
        <v>1278.25</v>
      </c>
      <c r="E864" s="116">
        <v>1278.25</v>
      </c>
      <c r="F864" s="116">
        <v>1341</v>
      </c>
      <c r="G864">
        <v>496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43318</v>
      </c>
      <c r="B865" s="116">
        <v>1390</v>
      </c>
      <c r="C865" s="116">
        <v>1344.45</v>
      </c>
      <c r="D865" s="116">
        <v>1335</v>
      </c>
      <c r="E865" s="116">
        <v>1370</v>
      </c>
      <c r="F865" s="116">
        <v>1344.45</v>
      </c>
      <c r="G865">
        <v>289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43319</v>
      </c>
      <c r="B866" s="116">
        <v>1370</v>
      </c>
      <c r="C866" s="116">
        <v>1355</v>
      </c>
      <c r="D866" s="116">
        <v>1320</v>
      </c>
      <c r="E866" s="116">
        <v>1335</v>
      </c>
      <c r="F866" s="116">
        <v>1355</v>
      </c>
      <c r="G866">
        <v>99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43320</v>
      </c>
      <c r="B867" s="116">
        <v>1340</v>
      </c>
      <c r="C867" s="116">
        <v>1302.25</v>
      </c>
      <c r="D867" s="116">
        <v>1300</v>
      </c>
      <c r="E867" s="116">
        <v>1340</v>
      </c>
      <c r="F867" s="116">
        <v>1302.25</v>
      </c>
      <c r="G867">
        <v>218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43321</v>
      </c>
      <c r="B868" s="116">
        <v>1320</v>
      </c>
      <c r="C868" s="116">
        <v>1310</v>
      </c>
      <c r="D868" s="116">
        <v>1302</v>
      </c>
      <c r="E868" s="116">
        <v>1319.95</v>
      </c>
      <c r="F868" s="116">
        <v>1310</v>
      </c>
      <c r="G868">
        <v>92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43322</v>
      </c>
      <c r="B869" s="116">
        <v>1330</v>
      </c>
      <c r="C869" s="116">
        <v>1308.8499999999999</v>
      </c>
      <c r="D869" s="116">
        <v>1301.05</v>
      </c>
      <c r="E869" s="116">
        <v>1310</v>
      </c>
      <c r="F869" s="116">
        <v>1308.8499999999999</v>
      </c>
      <c r="G869">
        <v>155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43325</v>
      </c>
      <c r="B870" s="116">
        <v>1320</v>
      </c>
      <c r="C870" s="116">
        <v>1305</v>
      </c>
      <c r="D870" s="116">
        <v>1290.05</v>
      </c>
      <c r="E870" s="116">
        <v>1290.05</v>
      </c>
      <c r="F870" s="116">
        <v>1305</v>
      </c>
      <c r="G870">
        <v>127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43326</v>
      </c>
      <c r="B871" s="116">
        <v>1324.8</v>
      </c>
      <c r="C871" s="116">
        <v>1260.95</v>
      </c>
      <c r="D871" s="116">
        <v>1260.95</v>
      </c>
      <c r="E871" s="116">
        <v>1324.8</v>
      </c>
      <c r="F871" s="116">
        <v>1260.95</v>
      </c>
      <c r="G871">
        <v>67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43328</v>
      </c>
      <c r="B872" s="116">
        <v>1285</v>
      </c>
      <c r="C872" s="116">
        <v>1270.45</v>
      </c>
      <c r="D872" s="116">
        <v>1267</v>
      </c>
      <c r="E872" s="116">
        <v>1267.25</v>
      </c>
      <c r="F872" s="116">
        <v>1270.45</v>
      </c>
      <c r="G872">
        <v>276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43329</v>
      </c>
      <c r="B873" s="116">
        <v>1300</v>
      </c>
      <c r="C873" s="116">
        <v>1300</v>
      </c>
      <c r="D873" s="116">
        <v>1299.8499999999999</v>
      </c>
      <c r="E873" s="116">
        <v>1299.8499999999999</v>
      </c>
      <c r="F873" s="116">
        <v>1300</v>
      </c>
      <c r="G873">
        <v>41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43332</v>
      </c>
      <c r="B874" s="116">
        <v>1319</v>
      </c>
      <c r="C874" s="116">
        <v>1301.0999999999999</v>
      </c>
      <c r="D874" s="116">
        <v>1301.0999999999999</v>
      </c>
      <c r="E874" s="116">
        <v>1301.25</v>
      </c>
      <c r="F874" s="116">
        <v>1301.0999999999999</v>
      </c>
      <c r="G874">
        <v>106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43333</v>
      </c>
      <c r="B875" s="116">
        <v>1300</v>
      </c>
      <c r="C875" s="116">
        <v>1300</v>
      </c>
      <c r="D875" s="116">
        <v>1287.05</v>
      </c>
      <c r="E875" s="116">
        <v>1287.05</v>
      </c>
      <c r="F875" s="116">
        <v>1300</v>
      </c>
      <c r="G875">
        <v>170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43335</v>
      </c>
      <c r="B876" s="116">
        <v>1317.85</v>
      </c>
      <c r="C876" s="116">
        <v>1299.8499999999999</v>
      </c>
      <c r="D876" s="116">
        <v>1256.3499999999999</v>
      </c>
      <c r="E876" s="116">
        <v>1295</v>
      </c>
      <c r="F876" s="116">
        <v>1299.8499999999999</v>
      </c>
      <c r="G876">
        <v>35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43336</v>
      </c>
      <c r="B877" s="116">
        <v>1300</v>
      </c>
      <c r="C877" s="116">
        <v>1280</v>
      </c>
      <c r="D877" s="116">
        <v>1280</v>
      </c>
      <c r="E877" s="116">
        <v>1299</v>
      </c>
      <c r="F877" s="116">
        <v>1280</v>
      </c>
      <c r="G877">
        <v>103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43339</v>
      </c>
      <c r="B878" s="116">
        <v>1311</v>
      </c>
      <c r="C878" s="116">
        <v>1299</v>
      </c>
      <c r="D878" s="116">
        <v>1299</v>
      </c>
      <c r="E878" s="116">
        <v>1310</v>
      </c>
      <c r="F878" s="116">
        <v>1299</v>
      </c>
      <c r="G878">
        <v>1192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43340</v>
      </c>
      <c r="B879" s="116">
        <v>1280</v>
      </c>
      <c r="C879" s="116">
        <v>1280</v>
      </c>
      <c r="D879" s="116">
        <v>1271.2</v>
      </c>
      <c r="E879" s="116">
        <v>1271.2</v>
      </c>
      <c r="F879" s="116">
        <v>1280</v>
      </c>
      <c r="G879">
        <v>6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43341</v>
      </c>
      <c r="B880" s="116">
        <v>1324.8</v>
      </c>
      <c r="C880" s="116">
        <v>1324.8</v>
      </c>
      <c r="D880" s="116">
        <v>1324.8</v>
      </c>
      <c r="E880" s="116">
        <v>1324.8</v>
      </c>
      <c r="F880" s="116">
        <v>1324.8</v>
      </c>
      <c r="G880">
        <v>1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43342</v>
      </c>
      <c r="B881" s="116">
        <v>1335</v>
      </c>
      <c r="C881" s="116">
        <v>1310.6500000000001</v>
      </c>
      <c r="D881" s="116">
        <v>1305</v>
      </c>
      <c r="E881" s="116">
        <v>1305</v>
      </c>
      <c r="F881" s="116">
        <v>1310.6500000000001</v>
      </c>
      <c r="G881">
        <v>91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43343</v>
      </c>
      <c r="B882" s="116">
        <v>1300</v>
      </c>
      <c r="C882" s="116">
        <v>1300</v>
      </c>
      <c r="D882" s="116">
        <v>1265.0999999999999</v>
      </c>
      <c r="E882" s="116">
        <v>1285</v>
      </c>
      <c r="F882" s="116">
        <v>1300</v>
      </c>
      <c r="G882">
        <v>86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43346</v>
      </c>
      <c r="B883" s="116">
        <v>1300</v>
      </c>
      <c r="C883" s="116">
        <v>1300</v>
      </c>
      <c r="D883" s="116">
        <v>1272.2</v>
      </c>
      <c r="E883" s="116">
        <v>1272.2</v>
      </c>
      <c r="F883" s="116">
        <v>1300</v>
      </c>
      <c r="G883">
        <v>56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43348</v>
      </c>
      <c r="B884" s="116">
        <v>1295</v>
      </c>
      <c r="C884" s="116">
        <v>1282</v>
      </c>
      <c r="D884" s="116">
        <v>1280</v>
      </c>
      <c r="E884" s="116">
        <v>1285</v>
      </c>
      <c r="F884" s="116">
        <v>1282</v>
      </c>
      <c r="G884">
        <v>34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43349</v>
      </c>
      <c r="B885" s="116">
        <v>1303.9000000000001</v>
      </c>
      <c r="C885" s="116">
        <v>1301.2</v>
      </c>
      <c r="D885" s="116">
        <v>1280</v>
      </c>
      <c r="E885" s="116">
        <v>1280</v>
      </c>
      <c r="F885" s="116">
        <v>1301.2</v>
      </c>
      <c r="G885">
        <v>105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43350</v>
      </c>
      <c r="B886" s="116">
        <v>1281.5</v>
      </c>
      <c r="C886" s="116">
        <v>1281</v>
      </c>
      <c r="D886" s="116">
        <v>1281</v>
      </c>
      <c r="E886" s="116">
        <v>1281</v>
      </c>
      <c r="F886" s="116">
        <v>1281</v>
      </c>
      <c r="G886">
        <v>51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43353</v>
      </c>
      <c r="B887" s="116">
        <v>1300</v>
      </c>
      <c r="C887" s="116">
        <v>1285</v>
      </c>
      <c r="D887" s="116">
        <v>1285</v>
      </c>
      <c r="E887" s="116">
        <v>1287</v>
      </c>
      <c r="F887" s="116">
        <v>1285</v>
      </c>
      <c r="G887">
        <v>315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43354</v>
      </c>
      <c r="B888" s="116">
        <v>1299.9000000000001</v>
      </c>
      <c r="C888" s="116">
        <v>1290</v>
      </c>
      <c r="D888" s="116">
        <v>1290</v>
      </c>
      <c r="E888" s="116">
        <v>1299.9000000000001</v>
      </c>
      <c r="F888" s="116">
        <v>1290</v>
      </c>
      <c r="G888">
        <v>26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43355</v>
      </c>
      <c r="B889" s="116">
        <v>1309.9000000000001</v>
      </c>
      <c r="C889" s="116">
        <v>1294.95</v>
      </c>
      <c r="D889" s="116">
        <v>1280</v>
      </c>
      <c r="E889" s="116">
        <v>1290</v>
      </c>
      <c r="F889" s="116">
        <v>1294.95</v>
      </c>
      <c r="G889">
        <v>32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43357</v>
      </c>
      <c r="B890" s="116">
        <v>1276.1500000000001</v>
      </c>
      <c r="C890" s="116">
        <v>1275.25</v>
      </c>
      <c r="D890" s="116">
        <v>1275.2</v>
      </c>
      <c r="E890" s="116">
        <v>1276.1500000000001</v>
      </c>
      <c r="F890" s="116">
        <v>1275.25</v>
      </c>
      <c r="G890">
        <v>40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43360</v>
      </c>
      <c r="B891" s="116">
        <v>1304.9000000000001</v>
      </c>
      <c r="C891" s="116">
        <v>1304.9000000000001</v>
      </c>
      <c r="D891" s="116">
        <v>1304.9000000000001</v>
      </c>
      <c r="E891" s="116">
        <v>1304.9000000000001</v>
      </c>
      <c r="F891" s="116">
        <v>1304.9000000000001</v>
      </c>
      <c r="G891">
        <v>2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43361</v>
      </c>
      <c r="B892" s="116">
        <v>1337</v>
      </c>
      <c r="C892" s="116">
        <v>1337</v>
      </c>
      <c r="D892" s="116">
        <v>1336.8</v>
      </c>
      <c r="E892" s="116">
        <v>1336.8</v>
      </c>
      <c r="F892" s="116">
        <v>1337</v>
      </c>
      <c r="G892">
        <v>50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43362</v>
      </c>
      <c r="B893" s="116">
        <v>1335.7</v>
      </c>
      <c r="C893" s="116">
        <v>1277.05</v>
      </c>
      <c r="D893" s="116">
        <v>1275.05</v>
      </c>
      <c r="E893" s="116">
        <v>1335.7</v>
      </c>
      <c r="F893" s="116">
        <v>1277.05</v>
      </c>
      <c r="G893">
        <v>30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43364</v>
      </c>
      <c r="B894" s="116">
        <v>1300</v>
      </c>
      <c r="C894" s="116">
        <v>1299.75</v>
      </c>
      <c r="D894" s="116">
        <v>1269.0999999999999</v>
      </c>
      <c r="E894" s="116">
        <v>1290</v>
      </c>
      <c r="F894" s="116">
        <v>1299.75</v>
      </c>
      <c r="G894">
        <v>317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43367</v>
      </c>
      <c r="B895" s="116">
        <v>1287</v>
      </c>
      <c r="C895" s="116">
        <v>1280</v>
      </c>
      <c r="D895" s="116">
        <v>1280</v>
      </c>
      <c r="E895" s="116">
        <v>1287</v>
      </c>
      <c r="F895" s="116">
        <v>1280</v>
      </c>
      <c r="G895">
        <v>275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43368</v>
      </c>
      <c r="B896" s="116">
        <v>1274.95</v>
      </c>
      <c r="C896" s="116">
        <v>1255.0999999999999</v>
      </c>
      <c r="D896" s="116">
        <v>1221</v>
      </c>
      <c r="E896" s="116">
        <v>1231.2</v>
      </c>
      <c r="F896" s="116">
        <v>1255.0999999999999</v>
      </c>
      <c r="G896">
        <v>210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43370</v>
      </c>
      <c r="B897" s="116">
        <v>1269.95</v>
      </c>
      <c r="C897" s="116">
        <v>1226</v>
      </c>
      <c r="D897" s="116">
        <v>1225.05</v>
      </c>
      <c r="E897" s="116">
        <v>1269.95</v>
      </c>
      <c r="F897" s="116">
        <v>1226</v>
      </c>
      <c r="G897">
        <v>69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43371</v>
      </c>
      <c r="B898" s="116">
        <v>1215.05</v>
      </c>
      <c r="C898" s="116">
        <v>1213</v>
      </c>
      <c r="D898" s="116">
        <v>1213</v>
      </c>
      <c r="E898" s="116">
        <v>1215.05</v>
      </c>
      <c r="F898" s="116">
        <v>1213</v>
      </c>
      <c r="G898">
        <v>11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43374</v>
      </c>
      <c r="B899" s="116">
        <v>1200</v>
      </c>
      <c r="C899" s="116">
        <v>1200</v>
      </c>
      <c r="D899" s="116">
        <v>1200</v>
      </c>
      <c r="E899" s="116">
        <v>1200</v>
      </c>
      <c r="F899" s="116">
        <v>1200</v>
      </c>
      <c r="G899">
        <v>10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43376</v>
      </c>
      <c r="B900" s="116">
        <v>1220</v>
      </c>
      <c r="C900" s="116">
        <v>1220</v>
      </c>
      <c r="D900" s="116">
        <v>1220</v>
      </c>
      <c r="E900" s="116">
        <v>1220</v>
      </c>
      <c r="F900" s="116">
        <v>1220</v>
      </c>
      <c r="G900">
        <v>106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43377</v>
      </c>
      <c r="B901" s="116">
        <v>1276</v>
      </c>
      <c r="C901" s="116">
        <v>1260.5999999999999</v>
      </c>
      <c r="D901" s="116">
        <v>1260.5999999999999</v>
      </c>
      <c r="E901" s="116">
        <v>1276</v>
      </c>
      <c r="F901" s="116">
        <v>1260.5999999999999</v>
      </c>
      <c r="G901">
        <v>3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43378</v>
      </c>
      <c r="B902" s="116">
        <v>1211.0999999999999</v>
      </c>
      <c r="C902" s="116">
        <v>1200</v>
      </c>
      <c r="D902" s="116">
        <v>1200</v>
      </c>
      <c r="E902" s="116">
        <v>1211.0999999999999</v>
      </c>
      <c r="F902" s="116">
        <v>1200</v>
      </c>
      <c r="G902">
        <v>39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43381</v>
      </c>
      <c r="B903" s="116">
        <v>1249.95</v>
      </c>
      <c r="C903" s="116">
        <v>1200</v>
      </c>
      <c r="D903" s="116">
        <v>1140.3499999999999</v>
      </c>
      <c r="E903" s="116">
        <v>1140.3499999999999</v>
      </c>
      <c r="F903" s="116">
        <v>1200</v>
      </c>
      <c r="G903">
        <v>41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43382</v>
      </c>
      <c r="B904" s="116">
        <v>1200</v>
      </c>
      <c r="C904" s="116">
        <v>1200</v>
      </c>
      <c r="D904" s="116">
        <v>1200</v>
      </c>
      <c r="E904" s="116">
        <v>1200</v>
      </c>
      <c r="F904" s="116">
        <v>1200</v>
      </c>
      <c r="G904">
        <v>5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43383</v>
      </c>
      <c r="B905" s="116">
        <v>1200</v>
      </c>
      <c r="C905" s="116">
        <v>1150.3</v>
      </c>
      <c r="D905" s="116">
        <v>1141.45</v>
      </c>
      <c r="E905" s="116">
        <v>1200</v>
      </c>
      <c r="F905" s="116">
        <v>1150.3</v>
      </c>
      <c r="G905">
        <v>38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43384</v>
      </c>
      <c r="B906" s="116">
        <v>1200</v>
      </c>
      <c r="C906" s="116">
        <v>1200</v>
      </c>
      <c r="D906" s="116">
        <v>1170</v>
      </c>
      <c r="E906" s="116">
        <v>1170</v>
      </c>
      <c r="F906" s="116">
        <v>1200</v>
      </c>
      <c r="G906">
        <v>71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43385</v>
      </c>
      <c r="B907" s="116">
        <v>1260</v>
      </c>
      <c r="C907" s="116">
        <v>1260</v>
      </c>
      <c r="D907" s="116">
        <v>1199.95</v>
      </c>
      <c r="E907" s="116">
        <v>1199.95</v>
      </c>
      <c r="F907" s="116">
        <v>1260</v>
      </c>
      <c r="G907">
        <v>374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43388</v>
      </c>
      <c r="B908" s="116">
        <v>1323</v>
      </c>
      <c r="C908" s="116">
        <v>1321.4</v>
      </c>
      <c r="D908" s="116">
        <v>1260.3499999999999</v>
      </c>
      <c r="E908" s="116">
        <v>1316.95</v>
      </c>
      <c r="F908" s="116">
        <v>1321.4</v>
      </c>
      <c r="G908">
        <v>69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43389</v>
      </c>
      <c r="B909" s="116">
        <v>1380</v>
      </c>
      <c r="C909" s="116">
        <v>1360</v>
      </c>
      <c r="D909" s="116">
        <v>1325</v>
      </c>
      <c r="E909" s="116">
        <v>1325</v>
      </c>
      <c r="F909" s="116">
        <v>1360</v>
      </c>
      <c r="G909">
        <v>463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43390</v>
      </c>
      <c r="B910" s="116">
        <v>1344</v>
      </c>
      <c r="C910" s="116">
        <v>1300.05</v>
      </c>
      <c r="D910" s="116">
        <v>1292</v>
      </c>
      <c r="E910" s="116">
        <v>1292</v>
      </c>
      <c r="F910" s="116">
        <v>1300.05</v>
      </c>
      <c r="G910">
        <v>56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43395</v>
      </c>
      <c r="B911" s="116">
        <v>1300</v>
      </c>
      <c r="C911" s="116">
        <v>1240.1500000000001</v>
      </c>
      <c r="D911" s="116">
        <v>1240.1500000000001</v>
      </c>
      <c r="E911" s="116">
        <v>1300</v>
      </c>
      <c r="F911" s="116">
        <v>1240.1500000000001</v>
      </c>
      <c r="G911">
        <v>86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43396</v>
      </c>
      <c r="B912" s="116">
        <v>1299.4000000000001</v>
      </c>
      <c r="C912" s="116">
        <v>1299.4000000000001</v>
      </c>
      <c r="D912" s="116">
        <v>1299.4000000000001</v>
      </c>
      <c r="E912" s="116">
        <v>1299.4000000000001</v>
      </c>
      <c r="F912" s="116">
        <v>1299.4000000000001</v>
      </c>
      <c r="G912">
        <v>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43397</v>
      </c>
      <c r="B913" s="116">
        <v>1343.95</v>
      </c>
      <c r="C913" s="116">
        <v>1327.25</v>
      </c>
      <c r="D913" s="116">
        <v>1289.95</v>
      </c>
      <c r="E913" s="116">
        <v>1289.95</v>
      </c>
      <c r="F913" s="116">
        <v>1327.25</v>
      </c>
      <c r="G913">
        <v>224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43398</v>
      </c>
      <c r="B914" s="116">
        <v>1330</v>
      </c>
      <c r="C914" s="116">
        <v>1314.05</v>
      </c>
      <c r="D914" s="116">
        <v>1280</v>
      </c>
      <c r="E914" s="116">
        <v>1281</v>
      </c>
      <c r="F914" s="116">
        <v>1314.05</v>
      </c>
      <c r="G914">
        <v>128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43399</v>
      </c>
      <c r="B915" s="116">
        <v>1354</v>
      </c>
      <c r="C915" s="116">
        <v>1329.65</v>
      </c>
      <c r="D915" s="116">
        <v>1248.3499999999999</v>
      </c>
      <c r="E915" s="116">
        <v>1253.05</v>
      </c>
      <c r="F915" s="116">
        <v>1329.65</v>
      </c>
      <c r="G915">
        <v>407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43402</v>
      </c>
      <c r="B916" s="116">
        <v>1349.95</v>
      </c>
      <c r="C916" s="116">
        <v>1296.45</v>
      </c>
      <c r="D916" s="116">
        <v>1266.2</v>
      </c>
      <c r="E916" s="116">
        <v>1349.95</v>
      </c>
      <c r="F916" s="116">
        <v>1296.45</v>
      </c>
      <c r="G916">
        <v>110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43403</v>
      </c>
      <c r="B917" s="116">
        <v>1330.4</v>
      </c>
      <c r="C917" s="116">
        <v>1250.0999999999999</v>
      </c>
      <c r="D917" s="116">
        <v>1245</v>
      </c>
      <c r="E917" s="116">
        <v>1330.4</v>
      </c>
      <c r="F917" s="116">
        <v>1250.0999999999999</v>
      </c>
      <c r="G917">
        <v>35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43404</v>
      </c>
      <c r="B918" s="116">
        <v>1262</v>
      </c>
      <c r="C918" s="116">
        <v>1262</v>
      </c>
      <c r="D918" s="116">
        <v>1260</v>
      </c>
      <c r="E918" s="116">
        <v>1261</v>
      </c>
      <c r="F918" s="116">
        <v>1262</v>
      </c>
      <c r="G918">
        <v>30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43405</v>
      </c>
      <c r="B919" s="116">
        <v>1251.05</v>
      </c>
      <c r="C919" s="116">
        <v>1250.0999999999999</v>
      </c>
      <c r="D919" s="116">
        <v>1250.05</v>
      </c>
      <c r="E919" s="116">
        <v>1250.05</v>
      </c>
      <c r="F919" s="116">
        <v>1250.0999999999999</v>
      </c>
      <c r="G919">
        <v>22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43406</v>
      </c>
      <c r="B920" s="116">
        <v>1299</v>
      </c>
      <c r="C920" s="116">
        <v>1242.55</v>
      </c>
      <c r="D920" s="116">
        <v>1212</v>
      </c>
      <c r="E920" s="116">
        <v>1212.95</v>
      </c>
      <c r="F920" s="116">
        <v>1242.55</v>
      </c>
      <c r="G920">
        <v>174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43409</v>
      </c>
      <c r="B921" s="116">
        <v>1270</v>
      </c>
      <c r="C921" s="116">
        <v>1248.8</v>
      </c>
      <c r="D921" s="116">
        <v>1243</v>
      </c>
      <c r="E921" s="116">
        <v>1243.05</v>
      </c>
      <c r="F921" s="116">
        <v>1248.8</v>
      </c>
      <c r="G921">
        <v>132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43410</v>
      </c>
      <c r="B922" s="116">
        <v>1245</v>
      </c>
      <c r="C922" s="116">
        <v>1245</v>
      </c>
      <c r="D922" s="116">
        <v>1227</v>
      </c>
      <c r="E922" s="116">
        <v>1230.1500000000001</v>
      </c>
      <c r="F922" s="116">
        <v>1245</v>
      </c>
      <c r="G922">
        <v>49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43411</v>
      </c>
      <c r="B923" s="116">
        <v>1299.95</v>
      </c>
      <c r="C923" s="116">
        <v>1299.95</v>
      </c>
      <c r="D923" s="116">
        <v>1275</v>
      </c>
      <c r="E923" s="116">
        <v>1275</v>
      </c>
      <c r="F923" s="116">
        <v>1299.95</v>
      </c>
      <c r="G923">
        <v>65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43413</v>
      </c>
      <c r="B924" s="116">
        <v>1299.95</v>
      </c>
      <c r="C924" s="116">
        <v>1298.95</v>
      </c>
      <c r="D924" s="116">
        <v>1243</v>
      </c>
      <c r="E924" s="116">
        <v>1299.95</v>
      </c>
      <c r="F924" s="116">
        <v>1298.95</v>
      </c>
      <c r="G924">
        <v>38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43416</v>
      </c>
      <c r="B925" s="116">
        <v>1297.5</v>
      </c>
      <c r="C925" s="116">
        <v>1261.95</v>
      </c>
      <c r="D925" s="116">
        <v>1250.05</v>
      </c>
      <c r="E925" s="116">
        <v>1250.0999999999999</v>
      </c>
      <c r="F925" s="116">
        <v>1261.95</v>
      </c>
      <c r="G925">
        <v>4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43417</v>
      </c>
      <c r="B926" s="116">
        <v>1304.95</v>
      </c>
      <c r="C926" s="116">
        <v>1231</v>
      </c>
      <c r="D926" s="116">
        <v>1231</v>
      </c>
      <c r="E926" s="116">
        <v>1265</v>
      </c>
      <c r="F926" s="116">
        <v>1231</v>
      </c>
      <c r="G926">
        <v>58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43418</v>
      </c>
      <c r="B927" s="116">
        <v>1250</v>
      </c>
      <c r="C927" s="116">
        <v>1250</v>
      </c>
      <c r="D927" s="116">
        <v>1230</v>
      </c>
      <c r="E927" s="116">
        <v>1231.05</v>
      </c>
      <c r="F927" s="116">
        <v>1250</v>
      </c>
      <c r="G927">
        <v>35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43419</v>
      </c>
      <c r="B928" s="116">
        <v>1300</v>
      </c>
      <c r="C928" s="116">
        <v>1288</v>
      </c>
      <c r="D928" s="116">
        <v>1260</v>
      </c>
      <c r="E928" s="116">
        <v>1275</v>
      </c>
      <c r="F928" s="116">
        <v>1288</v>
      </c>
      <c r="G928">
        <v>40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43420</v>
      </c>
      <c r="B929" s="116">
        <v>1265</v>
      </c>
      <c r="C929" s="116">
        <v>1250</v>
      </c>
      <c r="D929" s="116">
        <v>1250</v>
      </c>
      <c r="E929" s="116">
        <v>1265</v>
      </c>
      <c r="F929" s="116">
        <v>1250</v>
      </c>
      <c r="G929">
        <v>53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43423</v>
      </c>
      <c r="B930" s="116">
        <v>1298.5</v>
      </c>
      <c r="C930" s="116">
        <v>1298.5</v>
      </c>
      <c r="D930" s="116">
        <v>1298.5</v>
      </c>
      <c r="E930" s="116">
        <v>1298.5</v>
      </c>
      <c r="F930" s="116">
        <v>1298.5</v>
      </c>
      <c r="G930">
        <v>3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43424</v>
      </c>
      <c r="B931" s="116">
        <v>1297.4000000000001</v>
      </c>
      <c r="C931" s="116">
        <v>1250</v>
      </c>
      <c r="D931" s="116">
        <v>1250</v>
      </c>
      <c r="E931" s="116">
        <v>1297.4000000000001</v>
      </c>
      <c r="F931" s="116">
        <v>1250</v>
      </c>
      <c r="G931">
        <v>35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43425</v>
      </c>
      <c r="B932" s="116">
        <v>1250</v>
      </c>
      <c r="C932" s="116">
        <v>1235</v>
      </c>
      <c r="D932" s="116">
        <v>1220</v>
      </c>
      <c r="E932" s="116">
        <v>1221.2</v>
      </c>
      <c r="F932" s="116">
        <v>1235</v>
      </c>
      <c r="G932">
        <v>158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43426</v>
      </c>
      <c r="B933" s="116">
        <v>1294.95</v>
      </c>
      <c r="C933" s="116">
        <v>1294.95</v>
      </c>
      <c r="D933" s="116">
        <v>1250</v>
      </c>
      <c r="E933" s="116">
        <v>1250</v>
      </c>
      <c r="F933" s="116">
        <v>1294.95</v>
      </c>
      <c r="G933">
        <v>159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43430</v>
      </c>
      <c r="B934" s="116">
        <v>1299</v>
      </c>
      <c r="C934" s="116">
        <v>1256</v>
      </c>
      <c r="D934" s="116">
        <v>1256</v>
      </c>
      <c r="E934" s="116">
        <v>1298.95</v>
      </c>
      <c r="F934" s="116">
        <v>1256</v>
      </c>
      <c r="G934">
        <v>68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43431</v>
      </c>
      <c r="B935" s="116">
        <v>1299.5</v>
      </c>
      <c r="C935" s="116">
        <v>1271</v>
      </c>
      <c r="D935" s="116">
        <v>1270</v>
      </c>
      <c r="E935" s="116">
        <v>1297.95</v>
      </c>
      <c r="F935" s="116">
        <v>1271</v>
      </c>
      <c r="G935">
        <v>51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43432</v>
      </c>
      <c r="B936" s="116">
        <v>1309.8</v>
      </c>
      <c r="C936" s="116">
        <v>1270</v>
      </c>
      <c r="D936" s="116">
        <v>1270</v>
      </c>
      <c r="E936" s="116">
        <v>1309.8</v>
      </c>
      <c r="F936" s="116">
        <v>1270</v>
      </c>
      <c r="G936">
        <v>21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43433</v>
      </c>
      <c r="B937" s="116">
        <v>1270.05</v>
      </c>
      <c r="C937" s="116">
        <v>1263.5</v>
      </c>
      <c r="D937" s="116">
        <v>1256.05</v>
      </c>
      <c r="E937" s="116">
        <v>1270</v>
      </c>
      <c r="F937" s="116">
        <v>1263.5</v>
      </c>
      <c r="G937">
        <v>26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43434</v>
      </c>
      <c r="B938" s="116">
        <v>1290</v>
      </c>
      <c r="C938" s="116">
        <v>1250</v>
      </c>
      <c r="D938" s="116">
        <v>1250</v>
      </c>
      <c r="E938" s="116">
        <v>1251</v>
      </c>
      <c r="F938" s="116">
        <v>1250</v>
      </c>
      <c r="G938">
        <v>119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43437</v>
      </c>
      <c r="B939" s="116">
        <v>1290</v>
      </c>
      <c r="C939" s="116">
        <v>1290</v>
      </c>
      <c r="D939" s="116">
        <v>1275</v>
      </c>
      <c r="E939" s="116">
        <v>1289.7</v>
      </c>
      <c r="F939" s="116">
        <v>1290</v>
      </c>
      <c r="G939">
        <v>79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43438</v>
      </c>
      <c r="B940" s="116">
        <v>1310</v>
      </c>
      <c r="C940" s="116">
        <v>1275</v>
      </c>
      <c r="D940" s="116">
        <v>1275</v>
      </c>
      <c r="E940" s="116">
        <v>1310</v>
      </c>
      <c r="F940" s="116">
        <v>1275</v>
      </c>
      <c r="G940">
        <v>37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43439</v>
      </c>
      <c r="B941" s="116">
        <v>1298</v>
      </c>
      <c r="C941" s="116">
        <v>1298</v>
      </c>
      <c r="D941" s="116">
        <v>1298</v>
      </c>
      <c r="E941" s="116">
        <v>1298</v>
      </c>
      <c r="F941" s="116">
        <v>1298</v>
      </c>
      <c r="G941">
        <v>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43440</v>
      </c>
      <c r="B942" s="116">
        <v>1290</v>
      </c>
      <c r="C942" s="116">
        <v>1290</v>
      </c>
      <c r="D942" s="116">
        <v>1251</v>
      </c>
      <c r="E942" s="116">
        <v>1251.2</v>
      </c>
      <c r="F942" s="116">
        <v>1290</v>
      </c>
      <c r="G942">
        <v>41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43441</v>
      </c>
      <c r="B943" s="116">
        <v>1253</v>
      </c>
      <c r="C943" s="116">
        <v>1252.3</v>
      </c>
      <c r="D943" s="116">
        <v>1251</v>
      </c>
      <c r="E943" s="116">
        <v>1251</v>
      </c>
      <c r="F943" s="116">
        <v>1252.3</v>
      </c>
      <c r="G943">
        <v>55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43444</v>
      </c>
      <c r="B944" s="116">
        <v>1314.9</v>
      </c>
      <c r="C944" s="116">
        <v>1310.9</v>
      </c>
      <c r="D944" s="116">
        <v>1256.0999999999999</v>
      </c>
      <c r="E944" s="116">
        <v>1300</v>
      </c>
      <c r="F944" s="116">
        <v>1310.9</v>
      </c>
      <c r="G944">
        <v>434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43445</v>
      </c>
      <c r="B945" s="116">
        <v>1300</v>
      </c>
      <c r="C945" s="116">
        <v>1300</v>
      </c>
      <c r="D945" s="116">
        <v>1299.05</v>
      </c>
      <c r="E945" s="116">
        <v>1299.8499999999999</v>
      </c>
      <c r="F945" s="116">
        <v>1300</v>
      </c>
      <c r="G945">
        <v>47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43446</v>
      </c>
      <c r="B946" s="116">
        <v>1325</v>
      </c>
      <c r="C946" s="116">
        <v>1319.85</v>
      </c>
      <c r="D946" s="116">
        <v>1301</v>
      </c>
      <c r="E946" s="116">
        <v>1320</v>
      </c>
      <c r="F946" s="116">
        <v>1319.85</v>
      </c>
      <c r="G946">
        <v>143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43447</v>
      </c>
      <c r="B947" s="116">
        <v>1338.9</v>
      </c>
      <c r="C947" s="116">
        <v>1330</v>
      </c>
      <c r="D947" s="116">
        <v>1271.05</v>
      </c>
      <c r="E947" s="116">
        <v>1271.05</v>
      </c>
      <c r="F947" s="116">
        <v>1330</v>
      </c>
      <c r="G947">
        <v>52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43448</v>
      </c>
      <c r="B948" s="116">
        <v>1347.35</v>
      </c>
      <c r="C948" s="116">
        <v>1315</v>
      </c>
      <c r="D948" s="116">
        <v>1282.05</v>
      </c>
      <c r="E948" s="116">
        <v>1347.35</v>
      </c>
      <c r="F948" s="116">
        <v>1315</v>
      </c>
      <c r="G948">
        <v>62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43451</v>
      </c>
      <c r="B949" s="116">
        <v>1349.7</v>
      </c>
      <c r="C949" s="116">
        <v>1349.7</v>
      </c>
      <c r="D949" s="116">
        <v>1282.5</v>
      </c>
      <c r="E949" s="116">
        <v>1345</v>
      </c>
      <c r="F949" s="116">
        <v>1349.7</v>
      </c>
      <c r="G949">
        <v>148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43452</v>
      </c>
      <c r="B950" s="116">
        <v>1321</v>
      </c>
      <c r="C950" s="116">
        <v>1320</v>
      </c>
      <c r="D950" s="116">
        <v>1300.05</v>
      </c>
      <c r="E950" s="116">
        <v>1300.05</v>
      </c>
      <c r="F950" s="116">
        <v>1320</v>
      </c>
      <c r="G950">
        <v>65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43453</v>
      </c>
      <c r="B951" s="116">
        <v>1325</v>
      </c>
      <c r="C951" s="116">
        <v>1296</v>
      </c>
      <c r="D951" s="116">
        <v>1296</v>
      </c>
      <c r="E951" s="116">
        <v>1325</v>
      </c>
      <c r="F951" s="116">
        <v>1296</v>
      </c>
      <c r="G951">
        <v>242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43454</v>
      </c>
      <c r="B952" s="116">
        <v>1339.95</v>
      </c>
      <c r="C952" s="116">
        <v>1306.8</v>
      </c>
      <c r="D952" s="116">
        <v>1280.05</v>
      </c>
      <c r="E952" s="116">
        <v>1315</v>
      </c>
      <c r="F952" s="116">
        <v>1306.8</v>
      </c>
      <c r="G952">
        <v>33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43455</v>
      </c>
      <c r="B953" s="116">
        <v>1317.4</v>
      </c>
      <c r="C953" s="116">
        <v>1315.15</v>
      </c>
      <c r="D953" s="116">
        <v>1270</v>
      </c>
      <c r="E953" s="116">
        <v>1272.05</v>
      </c>
      <c r="F953" s="116">
        <v>1315.15</v>
      </c>
      <c r="G953">
        <v>66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43458</v>
      </c>
      <c r="B954" s="116">
        <v>1309.95</v>
      </c>
      <c r="C954" s="116">
        <v>1281</v>
      </c>
      <c r="D954" s="116">
        <v>1281</v>
      </c>
      <c r="E954" s="116">
        <v>1308.9000000000001</v>
      </c>
      <c r="F954" s="116">
        <v>1281</v>
      </c>
      <c r="G954">
        <v>169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43460</v>
      </c>
      <c r="B955" s="116">
        <v>1299</v>
      </c>
      <c r="C955" s="116">
        <v>1299</v>
      </c>
      <c r="D955" s="116">
        <v>1251.2</v>
      </c>
      <c r="E955" s="116">
        <v>1251.2</v>
      </c>
      <c r="F955" s="116">
        <v>1299</v>
      </c>
      <c r="G955">
        <v>58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43461</v>
      </c>
      <c r="B956" s="116">
        <v>1309.8499999999999</v>
      </c>
      <c r="C956" s="116">
        <v>1301</v>
      </c>
      <c r="D956" s="116">
        <v>1300</v>
      </c>
      <c r="E956" s="116">
        <v>1300</v>
      </c>
      <c r="F956" s="116">
        <v>1301</v>
      </c>
      <c r="G956">
        <v>92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43462</v>
      </c>
      <c r="B957" s="116">
        <v>1323.85</v>
      </c>
      <c r="C957" s="116">
        <v>1259.75</v>
      </c>
      <c r="D957" s="116">
        <v>1250</v>
      </c>
      <c r="E957" s="116">
        <v>1323.85</v>
      </c>
      <c r="F957" s="116">
        <v>1259.75</v>
      </c>
      <c r="G957">
        <v>303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43465</v>
      </c>
      <c r="B958" s="116">
        <v>1311.8</v>
      </c>
      <c r="C958" s="116">
        <v>1291.6500000000001</v>
      </c>
      <c r="D958" s="116">
        <v>1290</v>
      </c>
      <c r="E958" s="116">
        <v>1290</v>
      </c>
      <c r="F958" s="116">
        <v>1291.6500000000001</v>
      </c>
      <c r="G958">
        <v>28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43466</v>
      </c>
      <c r="B959" s="116">
        <v>1319</v>
      </c>
      <c r="C959" s="116">
        <v>1310</v>
      </c>
      <c r="D959" s="116">
        <v>1300</v>
      </c>
      <c r="E959" s="116">
        <v>1312</v>
      </c>
      <c r="F959" s="116">
        <v>1310</v>
      </c>
      <c r="G959">
        <v>44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43467</v>
      </c>
      <c r="B960" s="116">
        <v>1310.0999999999999</v>
      </c>
      <c r="C960" s="116">
        <v>1310</v>
      </c>
      <c r="D960" s="116">
        <v>1310</v>
      </c>
      <c r="E960" s="116">
        <v>1310</v>
      </c>
      <c r="F960" s="116">
        <v>1310</v>
      </c>
      <c r="G960">
        <v>102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43468</v>
      </c>
      <c r="B961" s="116">
        <v>1305</v>
      </c>
      <c r="C961" s="116">
        <v>1305</v>
      </c>
      <c r="D961" s="116">
        <v>1255</v>
      </c>
      <c r="E961" s="116">
        <v>1256.45</v>
      </c>
      <c r="F961" s="116">
        <v>1305</v>
      </c>
      <c r="G961">
        <v>81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43469</v>
      </c>
      <c r="B962" s="116">
        <v>1326</v>
      </c>
      <c r="C962" s="116">
        <v>1300</v>
      </c>
      <c r="D962" s="116">
        <v>1263</v>
      </c>
      <c r="E962" s="116">
        <v>1326</v>
      </c>
      <c r="F962" s="116">
        <v>1300</v>
      </c>
      <c r="G962">
        <v>12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43472</v>
      </c>
      <c r="B963" s="116">
        <v>1300</v>
      </c>
      <c r="C963" s="116">
        <v>1299.9000000000001</v>
      </c>
      <c r="D963" s="116">
        <v>1299.8499999999999</v>
      </c>
      <c r="E963" s="116">
        <v>1299.8499999999999</v>
      </c>
      <c r="F963" s="116">
        <v>1299.9000000000001</v>
      </c>
      <c r="G963">
        <v>45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43473</v>
      </c>
      <c r="B964" s="116">
        <v>1325</v>
      </c>
      <c r="C964" s="116">
        <v>1266</v>
      </c>
      <c r="D964" s="116">
        <v>1266</v>
      </c>
      <c r="E964" s="116">
        <v>1299.9000000000001</v>
      </c>
      <c r="F964" s="116">
        <v>1266</v>
      </c>
      <c r="G964">
        <v>261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43474</v>
      </c>
      <c r="B965" s="116">
        <v>1309.95</v>
      </c>
      <c r="C965" s="116">
        <v>1270</v>
      </c>
      <c r="D965" s="116">
        <v>1270</v>
      </c>
      <c r="E965" s="116">
        <v>1309.95</v>
      </c>
      <c r="F965" s="116">
        <v>1270</v>
      </c>
      <c r="G965">
        <v>51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43476</v>
      </c>
      <c r="B966" s="116">
        <v>1324.95</v>
      </c>
      <c r="C966" s="116">
        <v>1307.5</v>
      </c>
      <c r="D966" s="116">
        <v>1255</v>
      </c>
      <c r="E966" s="116">
        <v>1255</v>
      </c>
      <c r="F966" s="116">
        <v>1307.5</v>
      </c>
      <c r="G966">
        <v>324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43479</v>
      </c>
      <c r="B967" s="116">
        <v>1300</v>
      </c>
      <c r="C967" s="116">
        <v>1300</v>
      </c>
      <c r="D967" s="116">
        <v>1300</v>
      </c>
      <c r="E967" s="116">
        <v>1300</v>
      </c>
      <c r="F967" s="116">
        <v>1300</v>
      </c>
      <c r="G967">
        <v>10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43480</v>
      </c>
      <c r="B968" s="116">
        <v>1310</v>
      </c>
      <c r="C968" s="116">
        <v>1310</v>
      </c>
      <c r="D968" s="116">
        <v>1309.95</v>
      </c>
      <c r="E968" s="116">
        <v>1309.95</v>
      </c>
      <c r="F968" s="116">
        <v>1310</v>
      </c>
      <c r="G968">
        <v>20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43481</v>
      </c>
      <c r="B969" s="116">
        <v>1305</v>
      </c>
      <c r="C969" s="116">
        <v>1305</v>
      </c>
      <c r="D969" s="116">
        <v>1282.1500000000001</v>
      </c>
      <c r="E969" s="116">
        <v>1282.3</v>
      </c>
      <c r="F969" s="116">
        <v>1305</v>
      </c>
      <c r="G969">
        <v>59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43482</v>
      </c>
      <c r="B970" s="116">
        <v>1300</v>
      </c>
      <c r="C970" s="116">
        <v>1299.5999999999999</v>
      </c>
      <c r="D970" s="116">
        <v>1298.5</v>
      </c>
      <c r="E970" s="116">
        <v>1300</v>
      </c>
      <c r="F970" s="116">
        <v>1299.5999999999999</v>
      </c>
      <c r="G970">
        <v>142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43483</v>
      </c>
      <c r="B971" s="116">
        <v>1320</v>
      </c>
      <c r="C971" s="116">
        <v>1320</v>
      </c>
      <c r="D971" s="116">
        <v>1275</v>
      </c>
      <c r="E971" s="116">
        <v>1276</v>
      </c>
      <c r="F971" s="116">
        <v>1320</v>
      </c>
      <c r="G971">
        <v>285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43486</v>
      </c>
      <c r="B972" s="116">
        <v>1361.5</v>
      </c>
      <c r="C972" s="116">
        <v>1340</v>
      </c>
      <c r="D972" s="116">
        <v>1300</v>
      </c>
      <c r="E972" s="116">
        <v>1300</v>
      </c>
      <c r="F972" s="116">
        <v>1340</v>
      </c>
      <c r="G972">
        <v>230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43487</v>
      </c>
      <c r="B973" s="116">
        <v>1370</v>
      </c>
      <c r="C973" s="116">
        <v>1350</v>
      </c>
      <c r="D973" s="116">
        <v>1348</v>
      </c>
      <c r="E973" s="116">
        <v>1348</v>
      </c>
      <c r="F973" s="116">
        <v>1350</v>
      </c>
      <c r="G973">
        <v>229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43488</v>
      </c>
      <c r="B974" s="116">
        <v>1385</v>
      </c>
      <c r="C974" s="116">
        <v>1378</v>
      </c>
      <c r="D974" s="116">
        <v>1360</v>
      </c>
      <c r="E974" s="116">
        <v>1377.9</v>
      </c>
      <c r="F974" s="116">
        <v>1378</v>
      </c>
      <c r="G974">
        <v>182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43489</v>
      </c>
      <c r="B975" s="116">
        <v>1386</v>
      </c>
      <c r="C975" s="116">
        <v>1386</v>
      </c>
      <c r="D975" s="116">
        <v>1365</v>
      </c>
      <c r="E975" s="116">
        <v>1377.95</v>
      </c>
      <c r="F975" s="116">
        <v>1386</v>
      </c>
      <c r="G975">
        <v>128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43490</v>
      </c>
      <c r="B976" s="116">
        <v>1455.3</v>
      </c>
      <c r="C976" s="116">
        <v>1453.35</v>
      </c>
      <c r="D976" s="116">
        <v>1336</v>
      </c>
      <c r="E976" s="116">
        <v>1336</v>
      </c>
      <c r="F976" s="116">
        <v>1453.35</v>
      </c>
      <c r="G976">
        <v>848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43493</v>
      </c>
      <c r="B977" s="116">
        <v>1524.9</v>
      </c>
      <c r="C977" s="116">
        <v>1386.9</v>
      </c>
      <c r="D977" s="116">
        <v>1380.7</v>
      </c>
      <c r="E977" s="116">
        <v>1524.9</v>
      </c>
      <c r="F977" s="116">
        <v>1386.9</v>
      </c>
      <c r="G977">
        <v>201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43494</v>
      </c>
      <c r="B978" s="116">
        <v>1400</v>
      </c>
      <c r="C978" s="116">
        <v>1326.6</v>
      </c>
      <c r="D978" s="116">
        <v>1326.6</v>
      </c>
      <c r="E978" s="116">
        <v>1400</v>
      </c>
      <c r="F978" s="116">
        <v>1326.6</v>
      </c>
      <c r="G978">
        <v>12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43495</v>
      </c>
      <c r="B979" s="116">
        <v>1343</v>
      </c>
      <c r="C979" s="116">
        <v>1342.8</v>
      </c>
      <c r="D979" s="116">
        <v>1270</v>
      </c>
      <c r="E979" s="116">
        <v>1270.3</v>
      </c>
      <c r="F979" s="116">
        <v>1342.8</v>
      </c>
      <c r="G979">
        <v>61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43496</v>
      </c>
      <c r="B980" s="116">
        <v>1400</v>
      </c>
      <c r="C980" s="116">
        <v>1312.6</v>
      </c>
      <c r="D980" s="116">
        <v>1303.5999999999999</v>
      </c>
      <c r="E980" s="116">
        <v>1303.5999999999999</v>
      </c>
      <c r="F980" s="116">
        <v>1312.6</v>
      </c>
      <c r="G980">
        <v>223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43497</v>
      </c>
      <c r="B981" s="116">
        <v>1377</v>
      </c>
      <c r="C981" s="116">
        <v>1373.95</v>
      </c>
      <c r="D981" s="116">
        <v>1310.05</v>
      </c>
      <c r="E981" s="116">
        <v>1349.95</v>
      </c>
      <c r="F981" s="116">
        <v>1373.95</v>
      </c>
      <c r="G981">
        <v>75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43500</v>
      </c>
      <c r="B982" s="116">
        <v>1417.9</v>
      </c>
      <c r="C982" s="116">
        <v>1387.8</v>
      </c>
      <c r="D982" s="116">
        <v>1376</v>
      </c>
      <c r="E982" s="116">
        <v>1380</v>
      </c>
      <c r="F982" s="116">
        <v>1387.8</v>
      </c>
      <c r="G982">
        <v>124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43501</v>
      </c>
      <c r="B983" s="116">
        <v>1390</v>
      </c>
      <c r="C983" s="116">
        <v>1390</v>
      </c>
      <c r="D983" s="116">
        <v>1390</v>
      </c>
      <c r="E983" s="116">
        <v>1390</v>
      </c>
      <c r="F983" s="116">
        <v>1390</v>
      </c>
      <c r="G983">
        <v>55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43502</v>
      </c>
      <c r="B984" s="116">
        <v>1389</v>
      </c>
      <c r="C984" s="116">
        <v>1389</v>
      </c>
      <c r="D984" s="116">
        <v>1385</v>
      </c>
      <c r="E984" s="116">
        <v>1385</v>
      </c>
      <c r="F984" s="116">
        <v>1389</v>
      </c>
      <c r="G984">
        <v>13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43503</v>
      </c>
      <c r="B985" s="116">
        <v>1390</v>
      </c>
      <c r="C985" s="116">
        <v>1385.15</v>
      </c>
      <c r="D985" s="116">
        <v>1385</v>
      </c>
      <c r="E985" s="116">
        <v>1385</v>
      </c>
      <c r="F985" s="116">
        <v>1385.15</v>
      </c>
      <c r="G985">
        <v>53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43504</v>
      </c>
      <c r="B986" s="116">
        <v>1390</v>
      </c>
      <c r="C986" s="116">
        <v>1382.5</v>
      </c>
      <c r="D986" s="116">
        <v>1362.3</v>
      </c>
      <c r="E986" s="116">
        <v>1362.35</v>
      </c>
      <c r="F986" s="116">
        <v>1382.5</v>
      </c>
      <c r="G986">
        <v>43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43507</v>
      </c>
      <c r="B987" s="116">
        <v>1399</v>
      </c>
      <c r="C987" s="116">
        <v>1390</v>
      </c>
      <c r="D987" s="116">
        <v>1390</v>
      </c>
      <c r="E987" s="116">
        <v>1398.9</v>
      </c>
      <c r="F987" s="116">
        <v>1390</v>
      </c>
      <c r="G987">
        <v>170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43508</v>
      </c>
      <c r="B988" s="116">
        <v>1399</v>
      </c>
      <c r="C988" s="116">
        <v>1399</v>
      </c>
      <c r="D988" s="116">
        <v>1399</v>
      </c>
      <c r="E988" s="116">
        <v>1399</v>
      </c>
      <c r="F988" s="116">
        <v>1399</v>
      </c>
      <c r="G988">
        <v>228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43509</v>
      </c>
      <c r="B989" s="116">
        <v>1397.95</v>
      </c>
      <c r="C989" s="116">
        <v>1397.95</v>
      </c>
      <c r="D989" s="116">
        <v>1360.45</v>
      </c>
      <c r="E989" s="116">
        <v>1360.45</v>
      </c>
      <c r="F989" s="116">
        <v>1397.95</v>
      </c>
      <c r="G989">
        <v>135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43510</v>
      </c>
      <c r="B990" s="116">
        <v>1380.1</v>
      </c>
      <c r="C990" s="116">
        <v>1375</v>
      </c>
      <c r="D990" s="116">
        <v>1375</v>
      </c>
      <c r="E990" s="116">
        <v>1380.1</v>
      </c>
      <c r="F990" s="116">
        <v>1375</v>
      </c>
      <c r="G990">
        <v>145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43514</v>
      </c>
      <c r="B991" s="116">
        <v>1355</v>
      </c>
      <c r="C991" s="116">
        <v>1318.05</v>
      </c>
      <c r="D991" s="116">
        <v>1310.4000000000001</v>
      </c>
      <c r="E991" s="116">
        <v>1331</v>
      </c>
      <c r="F991" s="116">
        <v>1318.05</v>
      </c>
      <c r="G991">
        <v>106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43515</v>
      </c>
      <c r="B992" s="116">
        <v>1350</v>
      </c>
      <c r="C992" s="116">
        <v>1350</v>
      </c>
      <c r="D992" s="116">
        <v>1325</v>
      </c>
      <c r="E992" s="116">
        <v>1325</v>
      </c>
      <c r="F992" s="116">
        <v>1350</v>
      </c>
      <c r="G992">
        <v>35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43516</v>
      </c>
      <c r="B993" s="116">
        <v>1312.7</v>
      </c>
      <c r="C993" s="116">
        <v>1312.6</v>
      </c>
      <c r="D993" s="116">
        <v>1312.5</v>
      </c>
      <c r="E993" s="116">
        <v>1312.7</v>
      </c>
      <c r="F993" s="116">
        <v>1312.6</v>
      </c>
      <c r="G993">
        <v>10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43518</v>
      </c>
      <c r="B994" s="116">
        <v>1360.95</v>
      </c>
      <c r="C994" s="116">
        <v>1345</v>
      </c>
      <c r="D994" s="116">
        <v>1345</v>
      </c>
      <c r="E994" s="116">
        <v>1350</v>
      </c>
      <c r="F994" s="116">
        <v>1345</v>
      </c>
      <c r="G994">
        <v>104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43521</v>
      </c>
      <c r="B995" s="116">
        <v>1380</v>
      </c>
      <c r="C995" s="116">
        <v>1370</v>
      </c>
      <c r="D995" s="116">
        <v>1350</v>
      </c>
      <c r="E995" s="116">
        <v>1350.05</v>
      </c>
      <c r="F995" s="116">
        <v>1370</v>
      </c>
      <c r="G995">
        <v>205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43522</v>
      </c>
      <c r="B996" s="116">
        <v>1366</v>
      </c>
      <c r="C996" s="116">
        <v>1340</v>
      </c>
      <c r="D996" s="116">
        <v>1311.2</v>
      </c>
      <c r="E996" s="116">
        <v>1311.2</v>
      </c>
      <c r="F996" s="116">
        <v>1340</v>
      </c>
      <c r="G996">
        <v>105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43523</v>
      </c>
      <c r="B997" s="116">
        <v>1330</v>
      </c>
      <c r="C997" s="116">
        <v>1325</v>
      </c>
      <c r="D997" s="116">
        <v>1312.2</v>
      </c>
      <c r="E997" s="116">
        <v>1312.2</v>
      </c>
      <c r="F997" s="116">
        <v>1325</v>
      </c>
      <c r="G997">
        <v>85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43524</v>
      </c>
      <c r="B998" s="116">
        <v>1350</v>
      </c>
      <c r="C998" s="116">
        <v>1350</v>
      </c>
      <c r="D998" s="116">
        <v>1325</v>
      </c>
      <c r="E998" s="116">
        <v>1325.05</v>
      </c>
      <c r="F998" s="116">
        <v>1350</v>
      </c>
      <c r="G998">
        <v>37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43525</v>
      </c>
      <c r="B999" s="116">
        <v>1360</v>
      </c>
      <c r="C999" s="116">
        <v>1360</v>
      </c>
      <c r="D999" s="116">
        <v>1360</v>
      </c>
      <c r="E999" s="116">
        <v>1360</v>
      </c>
      <c r="F999" s="116">
        <v>1360</v>
      </c>
      <c r="G999">
        <v>5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43529</v>
      </c>
      <c r="B1000" s="116">
        <v>1378</v>
      </c>
      <c r="C1000" s="116">
        <v>1331</v>
      </c>
      <c r="D1000" s="116">
        <v>1301.3499999999999</v>
      </c>
      <c r="E1000" s="116">
        <v>1320.05</v>
      </c>
      <c r="F1000" s="116">
        <v>1331</v>
      </c>
      <c r="G1000">
        <v>62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43530</v>
      </c>
      <c r="B1001" s="116">
        <v>1340</v>
      </c>
      <c r="C1001" s="116">
        <v>1340</v>
      </c>
      <c r="D1001" s="116">
        <v>1331</v>
      </c>
      <c r="E1001" s="116">
        <v>1331.05</v>
      </c>
      <c r="F1001" s="116">
        <v>1340</v>
      </c>
      <c r="G1001">
        <v>36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43531</v>
      </c>
      <c r="B1002" s="116">
        <v>1360</v>
      </c>
      <c r="C1002" s="116">
        <v>1360</v>
      </c>
      <c r="D1002" s="116">
        <v>1340</v>
      </c>
      <c r="E1002" s="116">
        <v>1340</v>
      </c>
      <c r="F1002" s="116">
        <v>1360</v>
      </c>
      <c r="G1002">
        <v>56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43532</v>
      </c>
      <c r="B1003" s="116">
        <v>1369.95</v>
      </c>
      <c r="C1003" s="116">
        <v>1326.05</v>
      </c>
      <c r="D1003" s="116">
        <v>1326.05</v>
      </c>
      <c r="E1003" s="116">
        <v>1369</v>
      </c>
      <c r="F1003" s="116">
        <v>1326.05</v>
      </c>
      <c r="G1003">
        <v>6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43535</v>
      </c>
      <c r="B1004" s="116">
        <v>1390</v>
      </c>
      <c r="C1004" s="116">
        <v>1380</v>
      </c>
      <c r="D1004" s="116">
        <v>1332</v>
      </c>
      <c r="E1004" s="116">
        <v>1332.05</v>
      </c>
      <c r="F1004" s="116">
        <v>1380</v>
      </c>
      <c r="G1004">
        <v>970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43536</v>
      </c>
      <c r="B1005" s="116">
        <v>1449</v>
      </c>
      <c r="C1005" s="116">
        <v>1440.75</v>
      </c>
      <c r="D1005" s="116">
        <v>1375</v>
      </c>
      <c r="E1005" s="116">
        <v>1375</v>
      </c>
      <c r="F1005" s="116">
        <v>1440.75</v>
      </c>
      <c r="G1005">
        <v>353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43537</v>
      </c>
      <c r="B1006" s="116">
        <v>1467</v>
      </c>
      <c r="C1006" s="116">
        <v>1419.6</v>
      </c>
      <c r="D1006" s="116">
        <v>1370.3</v>
      </c>
      <c r="E1006" s="116">
        <v>1370.3</v>
      </c>
      <c r="F1006" s="116">
        <v>1419.6</v>
      </c>
      <c r="G1006">
        <v>254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43538</v>
      </c>
      <c r="B1007" s="116">
        <v>1430</v>
      </c>
      <c r="C1007" s="116">
        <v>1430</v>
      </c>
      <c r="D1007" s="116">
        <v>1400</v>
      </c>
      <c r="E1007" s="116">
        <v>1400</v>
      </c>
      <c r="F1007" s="116">
        <v>1430</v>
      </c>
      <c r="G1007">
        <v>40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43539</v>
      </c>
      <c r="B1008" s="116">
        <v>1450</v>
      </c>
      <c r="C1008" s="116">
        <v>1446.5</v>
      </c>
      <c r="D1008" s="116">
        <v>1385.6</v>
      </c>
      <c r="E1008" s="116">
        <v>1385.6</v>
      </c>
      <c r="F1008" s="116">
        <v>1446.5</v>
      </c>
      <c r="G1008">
        <v>41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43542</v>
      </c>
      <c r="B1009" s="116">
        <v>1455</v>
      </c>
      <c r="C1009" s="116">
        <v>1455</v>
      </c>
      <c r="D1009" s="116">
        <v>1406</v>
      </c>
      <c r="E1009" s="116">
        <v>1449</v>
      </c>
      <c r="F1009" s="116">
        <v>1455</v>
      </c>
      <c r="G1009">
        <v>186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43543</v>
      </c>
      <c r="B1010" s="116">
        <v>1455</v>
      </c>
      <c r="C1010" s="116">
        <v>1455</v>
      </c>
      <c r="D1010" s="116">
        <v>1385.25</v>
      </c>
      <c r="E1010" s="116">
        <v>1385.25</v>
      </c>
      <c r="F1010" s="116">
        <v>1455</v>
      </c>
      <c r="G1010">
        <v>337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43544</v>
      </c>
      <c r="B1011" s="116">
        <v>1525</v>
      </c>
      <c r="C1011" s="116">
        <v>1513.45</v>
      </c>
      <c r="D1011" s="116">
        <v>1456</v>
      </c>
      <c r="E1011" s="116">
        <v>1483</v>
      </c>
      <c r="F1011" s="116">
        <v>1513.45</v>
      </c>
      <c r="G1011">
        <v>664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43546</v>
      </c>
      <c r="B1012" s="116">
        <v>1548</v>
      </c>
      <c r="C1012" s="116">
        <v>1533.15</v>
      </c>
      <c r="D1012" s="116">
        <v>1499</v>
      </c>
      <c r="E1012" s="116">
        <v>1499</v>
      </c>
      <c r="F1012" s="116">
        <v>1533.15</v>
      </c>
      <c r="G1012">
        <v>215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43549</v>
      </c>
      <c r="B1013" s="116">
        <v>1540</v>
      </c>
      <c r="C1013" s="116">
        <v>1518</v>
      </c>
      <c r="D1013" s="116">
        <v>1471.05</v>
      </c>
      <c r="E1013" s="116">
        <v>1471.05</v>
      </c>
      <c r="F1013" s="116">
        <v>1518</v>
      </c>
      <c r="G1013">
        <v>197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43550</v>
      </c>
      <c r="B1014" s="116">
        <v>1518</v>
      </c>
      <c r="C1014" s="116">
        <v>1477.05</v>
      </c>
      <c r="D1014" s="116">
        <v>1460.05</v>
      </c>
      <c r="E1014" s="116">
        <v>1518</v>
      </c>
      <c r="F1014" s="116">
        <v>1477.05</v>
      </c>
      <c r="G1014">
        <v>170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43551</v>
      </c>
      <c r="B1015" s="116">
        <v>1550.9</v>
      </c>
      <c r="C1015" s="116">
        <v>1550.9</v>
      </c>
      <c r="D1015" s="116">
        <v>1514.95</v>
      </c>
      <c r="E1015" s="116">
        <v>1514.95</v>
      </c>
      <c r="F1015" s="116">
        <v>1550.9</v>
      </c>
      <c r="G1015">
        <v>418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43552</v>
      </c>
      <c r="B1016" s="116">
        <v>1605</v>
      </c>
      <c r="C1016" s="116">
        <v>1598.55</v>
      </c>
      <c r="D1016" s="116">
        <v>1510</v>
      </c>
      <c r="E1016" s="116">
        <v>1584.9</v>
      </c>
      <c r="F1016" s="116">
        <v>1598.55</v>
      </c>
      <c r="G1016">
        <v>391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43553</v>
      </c>
      <c r="B1017" s="116">
        <v>1569</v>
      </c>
      <c r="C1017" s="116">
        <v>1565.85</v>
      </c>
      <c r="D1017" s="116">
        <v>1518.65</v>
      </c>
      <c r="E1017" s="116">
        <v>1569</v>
      </c>
      <c r="F1017" s="116">
        <v>1565.85</v>
      </c>
      <c r="G1017">
        <v>474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43556</v>
      </c>
      <c r="B1018" s="116">
        <v>1620</v>
      </c>
      <c r="C1018" s="116">
        <v>1530</v>
      </c>
      <c r="D1018" s="116">
        <v>1530</v>
      </c>
      <c r="E1018" s="116">
        <v>1585</v>
      </c>
      <c r="F1018" s="116">
        <v>1530</v>
      </c>
      <c r="G1018">
        <v>81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43557</v>
      </c>
      <c r="B1019" s="116">
        <v>1555</v>
      </c>
      <c r="C1019" s="116">
        <v>1555</v>
      </c>
      <c r="D1019" s="116">
        <v>1527</v>
      </c>
      <c r="E1019" s="116">
        <v>1530</v>
      </c>
      <c r="F1019" s="116">
        <v>1555</v>
      </c>
      <c r="G1019">
        <v>106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43558</v>
      </c>
      <c r="B1020" s="116">
        <v>1600</v>
      </c>
      <c r="C1020" s="116">
        <v>1560</v>
      </c>
      <c r="D1020" s="116">
        <v>1505.25</v>
      </c>
      <c r="E1020" s="116">
        <v>1505.25</v>
      </c>
      <c r="F1020" s="116">
        <v>1560</v>
      </c>
      <c r="G1020">
        <v>116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43559</v>
      </c>
      <c r="B1021" s="116">
        <v>1599</v>
      </c>
      <c r="C1021" s="116">
        <v>1550</v>
      </c>
      <c r="D1021" s="116">
        <v>1521.8</v>
      </c>
      <c r="E1021" s="116">
        <v>1570</v>
      </c>
      <c r="F1021" s="116">
        <v>1550</v>
      </c>
      <c r="G1021">
        <v>53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43560</v>
      </c>
      <c r="B1022" s="116">
        <v>1627.5</v>
      </c>
      <c r="C1022" s="116">
        <v>1609.9</v>
      </c>
      <c r="D1022" s="116">
        <v>1550</v>
      </c>
      <c r="E1022" s="116">
        <v>1550</v>
      </c>
      <c r="F1022" s="116">
        <v>1609.9</v>
      </c>
      <c r="G1022">
        <v>84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43563</v>
      </c>
      <c r="B1023" s="116">
        <v>1600</v>
      </c>
      <c r="C1023" s="116">
        <v>1595</v>
      </c>
      <c r="D1023" s="116">
        <v>1595</v>
      </c>
      <c r="E1023" s="116">
        <v>1600</v>
      </c>
      <c r="F1023" s="116">
        <v>1595</v>
      </c>
      <c r="G1023">
        <v>42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43564</v>
      </c>
      <c r="B1024" s="116">
        <v>1599</v>
      </c>
      <c r="C1024" s="116">
        <v>1563.1</v>
      </c>
      <c r="D1024" s="116">
        <v>1561.15</v>
      </c>
      <c r="E1024" s="116">
        <v>1599</v>
      </c>
      <c r="F1024" s="116">
        <v>1563.1</v>
      </c>
      <c r="G1024">
        <v>32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43565</v>
      </c>
      <c r="B1025" s="116">
        <v>1567</v>
      </c>
      <c r="C1025" s="116">
        <v>1566.05</v>
      </c>
      <c r="D1025" s="116">
        <v>1562.05</v>
      </c>
      <c r="E1025" s="116">
        <v>1567</v>
      </c>
      <c r="F1025" s="116">
        <v>1566.05</v>
      </c>
      <c r="G1025">
        <v>11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43566</v>
      </c>
      <c r="B1026" s="116">
        <v>1563.05</v>
      </c>
      <c r="C1026" s="116">
        <v>1563</v>
      </c>
      <c r="D1026" s="116">
        <v>1550</v>
      </c>
      <c r="E1026" s="116">
        <v>1563.05</v>
      </c>
      <c r="F1026" s="116">
        <v>1563</v>
      </c>
      <c r="G1026">
        <v>133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43567</v>
      </c>
      <c r="B1027" s="116">
        <v>1641.15</v>
      </c>
      <c r="C1027" s="116">
        <v>1576.15</v>
      </c>
      <c r="D1027" s="116">
        <v>1575</v>
      </c>
      <c r="E1027" s="116">
        <v>1641.15</v>
      </c>
      <c r="F1027" s="116">
        <v>1576.15</v>
      </c>
      <c r="G1027">
        <v>47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43570</v>
      </c>
      <c r="B1028" s="116">
        <v>1599.9</v>
      </c>
      <c r="C1028" s="116">
        <v>1589.65</v>
      </c>
      <c r="D1028" s="116">
        <v>1570</v>
      </c>
      <c r="E1028" s="116">
        <v>1570</v>
      </c>
      <c r="F1028" s="116">
        <v>1589.65</v>
      </c>
      <c r="G1028">
        <v>30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43571</v>
      </c>
      <c r="B1029" s="116">
        <v>1589</v>
      </c>
      <c r="C1029" s="116">
        <v>1557.85</v>
      </c>
      <c r="D1029" s="116">
        <v>1550</v>
      </c>
      <c r="E1029" s="116">
        <v>1589</v>
      </c>
      <c r="F1029" s="116">
        <v>1557.85</v>
      </c>
      <c r="G1029">
        <v>195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43573</v>
      </c>
      <c r="B1030" s="116">
        <v>1599</v>
      </c>
      <c r="C1030" s="116">
        <v>1553.35</v>
      </c>
      <c r="D1030" s="116">
        <v>1500</v>
      </c>
      <c r="E1030" s="116">
        <v>1550.05</v>
      </c>
      <c r="F1030" s="116">
        <v>1553.35</v>
      </c>
      <c r="G1030">
        <v>360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43577</v>
      </c>
      <c r="B1031" s="116">
        <v>1598</v>
      </c>
      <c r="C1031" s="116">
        <v>1585.2</v>
      </c>
      <c r="D1031" s="116">
        <v>1493.95</v>
      </c>
      <c r="E1031" s="116">
        <v>1530</v>
      </c>
      <c r="F1031" s="116">
        <v>1585.2</v>
      </c>
      <c r="G1031">
        <v>128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43578</v>
      </c>
      <c r="B1032" s="116">
        <v>1599</v>
      </c>
      <c r="C1032" s="116">
        <v>1597.7</v>
      </c>
      <c r="D1032" s="116">
        <v>1545.05</v>
      </c>
      <c r="E1032" s="116">
        <v>1595.85</v>
      </c>
      <c r="F1032" s="116">
        <v>1597.7</v>
      </c>
      <c r="G1032">
        <v>178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43579</v>
      </c>
      <c r="B1033" s="116">
        <v>1650.95</v>
      </c>
      <c r="C1033" s="116">
        <v>1623.8</v>
      </c>
      <c r="D1033" s="116">
        <v>1580</v>
      </c>
      <c r="E1033" s="116">
        <v>1595</v>
      </c>
      <c r="F1033" s="116">
        <v>1623.8</v>
      </c>
      <c r="G1033">
        <v>241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43580</v>
      </c>
      <c r="B1034" s="116">
        <v>1617.9</v>
      </c>
      <c r="C1034" s="116">
        <v>1610</v>
      </c>
      <c r="D1034" s="116">
        <v>1550</v>
      </c>
      <c r="E1034" s="116">
        <v>1617.9</v>
      </c>
      <c r="F1034" s="116">
        <v>1610</v>
      </c>
      <c r="G1034">
        <v>553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43581</v>
      </c>
      <c r="B1035" s="116">
        <v>1585</v>
      </c>
      <c r="C1035" s="116">
        <v>1567.9</v>
      </c>
      <c r="D1035" s="116">
        <v>1561</v>
      </c>
      <c r="E1035" s="116">
        <v>1575.05</v>
      </c>
      <c r="F1035" s="116">
        <v>1567.9</v>
      </c>
      <c r="G1035">
        <v>166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43585</v>
      </c>
      <c r="B1036" s="116">
        <v>1594.95</v>
      </c>
      <c r="C1036" s="116">
        <v>1550</v>
      </c>
      <c r="D1036" s="116">
        <v>1525</v>
      </c>
      <c r="E1036" s="116">
        <v>1550</v>
      </c>
      <c r="F1036" s="116">
        <v>1550</v>
      </c>
      <c r="G1036">
        <v>145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43587</v>
      </c>
      <c r="B1037" s="116">
        <v>1500</v>
      </c>
      <c r="C1037" s="116">
        <v>1488</v>
      </c>
      <c r="D1037" s="116">
        <v>1474.05</v>
      </c>
      <c r="E1037" s="116">
        <v>1500</v>
      </c>
      <c r="F1037" s="116">
        <v>1488</v>
      </c>
      <c r="G1037">
        <v>167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43588</v>
      </c>
      <c r="B1038" s="116">
        <v>1500.15</v>
      </c>
      <c r="C1038" s="116">
        <v>1500.15</v>
      </c>
      <c r="D1038" s="116">
        <v>1476.05</v>
      </c>
      <c r="E1038" s="116">
        <v>1500</v>
      </c>
      <c r="F1038" s="116">
        <v>1500.15</v>
      </c>
      <c r="G1038">
        <v>41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43591</v>
      </c>
      <c r="B1039" s="116">
        <v>1498.8</v>
      </c>
      <c r="C1039" s="116">
        <v>1495</v>
      </c>
      <c r="D1039" s="116">
        <v>1475</v>
      </c>
      <c r="E1039" s="116">
        <v>1475</v>
      </c>
      <c r="F1039" s="116">
        <v>1495</v>
      </c>
      <c r="G1039">
        <v>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43592</v>
      </c>
      <c r="B1040" s="116">
        <v>1500</v>
      </c>
      <c r="C1040" s="116">
        <v>1497</v>
      </c>
      <c r="D1040" s="116">
        <v>1490</v>
      </c>
      <c r="E1040" s="116">
        <v>1500</v>
      </c>
      <c r="F1040" s="116">
        <v>1497</v>
      </c>
      <c r="G1040">
        <v>60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43593</v>
      </c>
      <c r="B1041" s="116">
        <v>1489</v>
      </c>
      <c r="C1041" s="116">
        <v>1432.9</v>
      </c>
      <c r="D1041" s="116">
        <v>1430.05</v>
      </c>
      <c r="E1041" s="116">
        <v>1489</v>
      </c>
      <c r="F1041" s="116">
        <v>1432.9</v>
      </c>
      <c r="G1041">
        <v>55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43594</v>
      </c>
      <c r="B1042" s="116">
        <v>1499.9</v>
      </c>
      <c r="C1042" s="116">
        <v>1485</v>
      </c>
      <c r="D1042" s="116">
        <v>1475</v>
      </c>
      <c r="E1042" s="116">
        <v>1499.9</v>
      </c>
      <c r="F1042" s="116">
        <v>1485</v>
      </c>
      <c r="G1042">
        <v>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43595</v>
      </c>
      <c r="B1043" s="116">
        <v>1436.25</v>
      </c>
      <c r="C1043" s="116">
        <v>1436</v>
      </c>
      <c r="D1043" s="116">
        <v>1435</v>
      </c>
      <c r="E1043" s="116">
        <v>1436.25</v>
      </c>
      <c r="F1043" s="116">
        <v>1436</v>
      </c>
      <c r="G1043">
        <v>130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43598</v>
      </c>
      <c r="B1044" s="116">
        <v>1450</v>
      </c>
      <c r="C1044" s="116">
        <v>1450</v>
      </c>
      <c r="D1044" s="116">
        <v>1364.5</v>
      </c>
      <c r="E1044" s="116">
        <v>1436</v>
      </c>
      <c r="F1044" s="116">
        <v>1450</v>
      </c>
      <c r="G1044">
        <v>43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43599</v>
      </c>
      <c r="B1045" s="116">
        <v>1497.95</v>
      </c>
      <c r="C1045" s="116">
        <v>1385</v>
      </c>
      <c r="D1045" s="116">
        <v>1377.5</v>
      </c>
      <c r="E1045" s="116">
        <v>1400</v>
      </c>
      <c r="F1045" s="116">
        <v>1385</v>
      </c>
      <c r="G1045">
        <v>165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43600</v>
      </c>
      <c r="B1046" s="116">
        <v>1366.15</v>
      </c>
      <c r="C1046" s="116">
        <v>1364.2</v>
      </c>
      <c r="D1046" s="116">
        <v>1364.2</v>
      </c>
      <c r="E1046" s="116">
        <v>1366.15</v>
      </c>
      <c r="F1046" s="116">
        <v>1364.2</v>
      </c>
      <c r="G1046">
        <v>12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43601</v>
      </c>
      <c r="B1047" s="116">
        <v>1426.95</v>
      </c>
      <c r="C1047" s="116">
        <v>1426</v>
      </c>
      <c r="D1047" s="116">
        <v>1325</v>
      </c>
      <c r="E1047" s="116">
        <v>1325</v>
      </c>
      <c r="F1047" s="116">
        <v>1426</v>
      </c>
      <c r="G1047">
        <v>58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43605</v>
      </c>
      <c r="B1048" s="116">
        <v>1433.25</v>
      </c>
      <c r="C1048" s="116">
        <v>1428</v>
      </c>
      <c r="D1048" s="116">
        <v>1415</v>
      </c>
      <c r="E1048" s="116">
        <v>1415</v>
      </c>
      <c r="F1048" s="116">
        <v>1428</v>
      </c>
      <c r="G1048">
        <v>39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43606</v>
      </c>
      <c r="B1049" s="116">
        <v>1420</v>
      </c>
      <c r="C1049" s="116">
        <v>1420</v>
      </c>
      <c r="D1049" s="116">
        <v>1419</v>
      </c>
      <c r="E1049" s="116">
        <v>1419</v>
      </c>
      <c r="F1049" s="116">
        <v>1420</v>
      </c>
      <c r="G1049">
        <v>62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43607</v>
      </c>
      <c r="B1050" s="116">
        <v>1420</v>
      </c>
      <c r="C1050" s="116">
        <v>1379.2</v>
      </c>
      <c r="D1050" s="116">
        <v>1378</v>
      </c>
      <c r="E1050" s="116">
        <v>1420</v>
      </c>
      <c r="F1050" s="116">
        <v>1379.2</v>
      </c>
      <c r="G1050">
        <v>220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43608</v>
      </c>
      <c r="B1051" s="116">
        <v>1448.15</v>
      </c>
      <c r="C1051" s="116">
        <v>1448.15</v>
      </c>
      <c r="D1051" s="116">
        <v>1382</v>
      </c>
      <c r="E1051" s="116">
        <v>1382</v>
      </c>
      <c r="F1051" s="116">
        <v>1448.15</v>
      </c>
      <c r="G1051">
        <v>31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43609</v>
      </c>
      <c r="B1052" s="116">
        <v>1520.55</v>
      </c>
      <c r="C1052" s="116">
        <v>1516.6</v>
      </c>
      <c r="D1052" s="116">
        <v>1511</v>
      </c>
      <c r="E1052" s="116">
        <v>1517.95</v>
      </c>
      <c r="F1052" s="116">
        <v>1516.6</v>
      </c>
      <c r="G1052">
        <v>290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43612</v>
      </c>
      <c r="B1053" s="116">
        <v>1592.4</v>
      </c>
      <c r="C1053" s="116">
        <v>1589.75</v>
      </c>
      <c r="D1053" s="116">
        <v>1520</v>
      </c>
      <c r="E1053" s="116">
        <v>1520</v>
      </c>
      <c r="F1053" s="116">
        <v>1589.75</v>
      </c>
      <c r="G1053">
        <v>102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43613</v>
      </c>
      <c r="B1054" s="116">
        <v>1668</v>
      </c>
      <c r="C1054" s="116">
        <v>1582.3</v>
      </c>
      <c r="D1054" s="116">
        <v>1519.3</v>
      </c>
      <c r="E1054" s="116">
        <v>1668</v>
      </c>
      <c r="F1054" s="116">
        <v>1582.3</v>
      </c>
      <c r="G1054">
        <v>141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43614</v>
      </c>
      <c r="B1055" s="116">
        <v>1661</v>
      </c>
      <c r="C1055" s="116">
        <v>1549.55</v>
      </c>
      <c r="D1055" s="116">
        <v>1545</v>
      </c>
      <c r="E1055" s="116">
        <v>1650.95</v>
      </c>
      <c r="F1055" s="116">
        <v>1549.55</v>
      </c>
      <c r="G1055">
        <v>178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43615</v>
      </c>
      <c r="B1056" s="116">
        <v>1595.05</v>
      </c>
      <c r="C1056" s="116">
        <v>1552.35</v>
      </c>
      <c r="D1056" s="116">
        <v>1530</v>
      </c>
      <c r="E1056" s="116">
        <v>1594.85</v>
      </c>
      <c r="F1056" s="116">
        <v>1552.35</v>
      </c>
      <c r="G1056">
        <v>374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43616</v>
      </c>
      <c r="B1057" s="116">
        <v>1620</v>
      </c>
      <c r="C1057" s="116">
        <v>1555</v>
      </c>
      <c r="D1057" s="116">
        <v>1530.45</v>
      </c>
      <c r="E1057" s="116">
        <v>1620</v>
      </c>
      <c r="F1057" s="116">
        <v>1555</v>
      </c>
      <c r="G1057">
        <v>92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43619</v>
      </c>
      <c r="B1058" s="116">
        <v>1599.8</v>
      </c>
      <c r="C1058" s="116">
        <v>1569.25</v>
      </c>
      <c r="D1058" s="116">
        <v>1555</v>
      </c>
      <c r="E1058" s="116">
        <v>1555</v>
      </c>
      <c r="F1058" s="116">
        <v>1569.25</v>
      </c>
      <c r="G1058">
        <v>110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43620</v>
      </c>
      <c r="B1059" s="116">
        <v>1594.95</v>
      </c>
      <c r="C1059" s="116">
        <v>1524.5</v>
      </c>
      <c r="D1059" s="116">
        <v>1521</v>
      </c>
      <c r="E1059" s="116">
        <v>1560</v>
      </c>
      <c r="F1059" s="116">
        <v>1524.5</v>
      </c>
      <c r="G1059">
        <v>85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43622</v>
      </c>
      <c r="B1060" s="116">
        <v>1599</v>
      </c>
      <c r="C1060" s="116">
        <v>1557</v>
      </c>
      <c r="D1060" s="116">
        <v>1521</v>
      </c>
      <c r="E1060" s="116">
        <v>1590</v>
      </c>
      <c r="F1060" s="116">
        <v>1557</v>
      </c>
      <c r="G1060">
        <v>151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43623</v>
      </c>
      <c r="B1061" s="116">
        <v>1582</v>
      </c>
      <c r="C1061" s="116">
        <v>1522</v>
      </c>
      <c r="D1061" s="116">
        <v>1515</v>
      </c>
      <c r="E1061" s="116">
        <v>1582</v>
      </c>
      <c r="F1061" s="116">
        <v>1522</v>
      </c>
      <c r="G1061">
        <v>114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43626</v>
      </c>
      <c r="B1062" s="116">
        <v>1598</v>
      </c>
      <c r="C1062" s="116">
        <v>1564.95</v>
      </c>
      <c r="D1062" s="116">
        <v>1510.2</v>
      </c>
      <c r="E1062" s="116">
        <v>1540</v>
      </c>
      <c r="F1062" s="116">
        <v>1564.95</v>
      </c>
      <c r="G1062">
        <v>19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43627</v>
      </c>
      <c r="B1063" s="116">
        <v>1628.75</v>
      </c>
      <c r="C1063" s="116">
        <v>1525.05</v>
      </c>
      <c r="D1063" s="116">
        <v>1520.6</v>
      </c>
      <c r="E1063" s="116">
        <v>1628.75</v>
      </c>
      <c r="F1063" s="116">
        <v>1525.05</v>
      </c>
      <c r="G1063">
        <v>111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43628</v>
      </c>
      <c r="B1064" s="116">
        <v>1580</v>
      </c>
      <c r="C1064" s="116">
        <v>1530</v>
      </c>
      <c r="D1064" s="116">
        <v>1485.85</v>
      </c>
      <c r="E1064" s="116">
        <v>1485.85</v>
      </c>
      <c r="F1064" s="116">
        <v>1530</v>
      </c>
      <c r="G1064">
        <v>33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43629</v>
      </c>
      <c r="B1065" s="116">
        <v>1584.7</v>
      </c>
      <c r="C1065" s="116">
        <v>1536.45</v>
      </c>
      <c r="D1065" s="116">
        <v>1515</v>
      </c>
      <c r="E1065" s="116">
        <v>1560</v>
      </c>
      <c r="F1065" s="116">
        <v>1536.45</v>
      </c>
      <c r="G1065">
        <v>77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43630</v>
      </c>
      <c r="B1066" s="116">
        <v>1530</v>
      </c>
      <c r="C1066" s="116">
        <v>1529</v>
      </c>
      <c r="D1066" s="116">
        <v>1517.25</v>
      </c>
      <c r="E1066" s="116">
        <v>1530</v>
      </c>
      <c r="F1066" s="116">
        <v>1529</v>
      </c>
      <c r="G1066">
        <v>46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43633</v>
      </c>
      <c r="B1067" s="116">
        <v>1605</v>
      </c>
      <c r="C1067" s="116">
        <v>1500</v>
      </c>
      <c r="D1067" s="116">
        <v>1476</v>
      </c>
      <c r="E1067" s="116">
        <v>1520</v>
      </c>
      <c r="F1067" s="116">
        <v>1500</v>
      </c>
      <c r="G1067">
        <v>148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43634</v>
      </c>
      <c r="B1068" s="116">
        <v>1507</v>
      </c>
      <c r="C1068" s="116">
        <v>1470</v>
      </c>
      <c r="D1068" s="116">
        <v>1460</v>
      </c>
      <c r="E1068" s="116">
        <v>1507</v>
      </c>
      <c r="F1068" s="116">
        <v>1470</v>
      </c>
      <c r="G1068">
        <v>60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43635</v>
      </c>
      <c r="B1069" s="116">
        <v>1500</v>
      </c>
      <c r="C1069" s="116">
        <v>1436.9</v>
      </c>
      <c r="D1069" s="116">
        <v>1430.15</v>
      </c>
      <c r="E1069" s="116">
        <v>1450.05</v>
      </c>
      <c r="F1069" s="116">
        <v>1436.9</v>
      </c>
      <c r="G1069">
        <v>77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43636</v>
      </c>
      <c r="B1070" s="116">
        <v>1469.7</v>
      </c>
      <c r="C1070" s="116">
        <v>1419.4</v>
      </c>
      <c r="D1070" s="116">
        <v>1384.3</v>
      </c>
      <c r="E1070" s="116">
        <v>1405.1</v>
      </c>
      <c r="F1070" s="116">
        <v>1419.4</v>
      </c>
      <c r="G1070">
        <v>235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43637</v>
      </c>
      <c r="B1071" s="116">
        <v>1420</v>
      </c>
      <c r="C1071" s="116">
        <v>1400.85</v>
      </c>
      <c r="D1071" s="116">
        <v>1400</v>
      </c>
      <c r="E1071" s="116">
        <v>1405.05</v>
      </c>
      <c r="F1071" s="116">
        <v>1400.85</v>
      </c>
      <c r="G1071">
        <v>121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43640</v>
      </c>
      <c r="B1072" s="116">
        <v>1450</v>
      </c>
      <c r="C1072" s="116">
        <v>1399.3</v>
      </c>
      <c r="D1072" s="116">
        <v>1398</v>
      </c>
      <c r="E1072" s="116">
        <v>1431.15</v>
      </c>
      <c r="F1072" s="116">
        <v>1399.3</v>
      </c>
      <c r="G1072">
        <v>127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43641</v>
      </c>
      <c r="B1073" s="116">
        <v>1429.75</v>
      </c>
      <c r="C1073" s="116">
        <v>1415.5</v>
      </c>
      <c r="D1073" s="116">
        <v>1400</v>
      </c>
      <c r="E1073" s="116">
        <v>1400.05</v>
      </c>
      <c r="F1073" s="116">
        <v>1415.5</v>
      </c>
      <c r="G1073">
        <v>38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43642</v>
      </c>
      <c r="B1074" s="116">
        <v>1448</v>
      </c>
      <c r="C1074" s="116">
        <v>1407.25</v>
      </c>
      <c r="D1074" s="116">
        <v>1405</v>
      </c>
      <c r="E1074" s="116">
        <v>1448</v>
      </c>
      <c r="F1074" s="116">
        <v>1407.25</v>
      </c>
      <c r="G1074">
        <v>51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43643</v>
      </c>
      <c r="B1075" s="116">
        <v>1447.85</v>
      </c>
      <c r="C1075" s="116">
        <v>1438</v>
      </c>
      <c r="D1075" s="116">
        <v>1405</v>
      </c>
      <c r="E1075" s="116">
        <v>1447.85</v>
      </c>
      <c r="F1075" s="116">
        <v>1438</v>
      </c>
      <c r="G1075">
        <v>21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43644</v>
      </c>
      <c r="B1076" s="116">
        <v>1443</v>
      </c>
      <c r="C1076" s="116">
        <v>1441.65</v>
      </c>
      <c r="D1076" s="116">
        <v>1410</v>
      </c>
      <c r="E1076" s="116">
        <v>1410</v>
      </c>
      <c r="F1076" s="116">
        <v>1441.65</v>
      </c>
      <c r="G1076">
        <v>15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43647</v>
      </c>
      <c r="B1077" s="116">
        <v>1486.9</v>
      </c>
      <c r="C1077" s="116">
        <v>1485</v>
      </c>
      <c r="D1077" s="116">
        <v>1430</v>
      </c>
      <c r="E1077" s="116">
        <v>1430</v>
      </c>
      <c r="F1077" s="116">
        <v>1485</v>
      </c>
      <c r="G1077">
        <v>46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43649</v>
      </c>
      <c r="B1078" s="116">
        <v>1483.95</v>
      </c>
      <c r="C1078" s="116">
        <v>1473.45</v>
      </c>
      <c r="D1078" s="116">
        <v>1431</v>
      </c>
      <c r="E1078" s="116">
        <v>1483.95</v>
      </c>
      <c r="F1078" s="116">
        <v>1473.45</v>
      </c>
      <c r="G1078">
        <v>44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43650</v>
      </c>
      <c r="B1079" s="116">
        <v>1484.85</v>
      </c>
      <c r="C1079" s="116">
        <v>1483.6</v>
      </c>
      <c r="D1079" s="116">
        <v>1421.05</v>
      </c>
      <c r="E1079" s="116">
        <v>1484.85</v>
      </c>
      <c r="F1079" s="116">
        <v>1483.6</v>
      </c>
      <c r="G1079">
        <v>101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43651</v>
      </c>
      <c r="B1080" s="116">
        <v>1483.5</v>
      </c>
      <c r="C1080" s="116">
        <v>1481</v>
      </c>
      <c r="D1080" s="116">
        <v>1425.15</v>
      </c>
      <c r="E1080" s="116">
        <v>1445.5</v>
      </c>
      <c r="F1080" s="116">
        <v>1481</v>
      </c>
      <c r="G1080">
        <v>78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43654</v>
      </c>
      <c r="B1081" s="116">
        <v>1483.85</v>
      </c>
      <c r="C1081" s="116">
        <v>1481</v>
      </c>
      <c r="D1081" s="116">
        <v>1432.05</v>
      </c>
      <c r="E1081" s="116">
        <v>1460</v>
      </c>
      <c r="F1081" s="116">
        <v>1481</v>
      </c>
      <c r="G1081">
        <v>33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43655</v>
      </c>
      <c r="B1082" s="116">
        <v>1478.8</v>
      </c>
      <c r="C1082" s="116">
        <v>1452.95</v>
      </c>
      <c r="D1082" s="116">
        <v>1432.05</v>
      </c>
      <c r="E1082" s="116">
        <v>1433.05</v>
      </c>
      <c r="F1082" s="116">
        <v>1452.95</v>
      </c>
      <c r="G1082">
        <v>47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43656</v>
      </c>
      <c r="B1083" s="116">
        <v>1469</v>
      </c>
      <c r="C1083" s="116">
        <v>1464.5</v>
      </c>
      <c r="D1083" s="116">
        <v>1435</v>
      </c>
      <c r="E1083" s="116">
        <v>1469</v>
      </c>
      <c r="F1083" s="116">
        <v>1464.5</v>
      </c>
      <c r="G1083">
        <v>32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43657</v>
      </c>
      <c r="B1084" s="116">
        <v>1450</v>
      </c>
      <c r="C1084" s="116">
        <v>1450</v>
      </c>
      <c r="D1084" s="116">
        <v>1435</v>
      </c>
      <c r="E1084" s="116">
        <v>1449</v>
      </c>
      <c r="F1084" s="116">
        <v>1450</v>
      </c>
      <c r="G1084">
        <v>54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43658</v>
      </c>
      <c r="B1085" s="116">
        <v>1483.8</v>
      </c>
      <c r="C1085" s="116">
        <v>1438</v>
      </c>
      <c r="D1085" s="116">
        <v>1425</v>
      </c>
      <c r="E1085" s="116">
        <v>1483.8</v>
      </c>
      <c r="F1085" s="116">
        <v>1438</v>
      </c>
      <c r="G1085">
        <v>38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43661</v>
      </c>
      <c r="B1086" s="116">
        <v>1474.8</v>
      </c>
      <c r="C1086" s="116">
        <v>1432</v>
      </c>
      <c r="D1086" s="116">
        <v>1430.05</v>
      </c>
      <c r="E1086" s="116">
        <v>1430.05</v>
      </c>
      <c r="F1086" s="116">
        <v>1432</v>
      </c>
      <c r="G1086">
        <v>12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43662</v>
      </c>
      <c r="B1087" s="116">
        <v>1450</v>
      </c>
      <c r="C1087" s="116">
        <v>1448.75</v>
      </c>
      <c r="D1087" s="116">
        <v>1432</v>
      </c>
      <c r="E1087" s="116">
        <v>1450</v>
      </c>
      <c r="F1087" s="116">
        <v>1448.75</v>
      </c>
      <c r="G1087">
        <v>48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43663</v>
      </c>
      <c r="B1088" s="116">
        <v>1458</v>
      </c>
      <c r="C1088" s="116">
        <v>1458</v>
      </c>
      <c r="D1088" s="116">
        <v>1427.05</v>
      </c>
      <c r="E1088" s="116">
        <v>1449.95</v>
      </c>
      <c r="F1088" s="116">
        <v>1458</v>
      </c>
      <c r="G1088">
        <v>13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43664</v>
      </c>
      <c r="B1089" s="116">
        <v>1463.85</v>
      </c>
      <c r="C1089" s="116">
        <v>1463.85</v>
      </c>
      <c r="D1089" s="116">
        <v>1459</v>
      </c>
      <c r="E1089" s="116">
        <v>1459</v>
      </c>
      <c r="F1089" s="116">
        <v>1463.85</v>
      </c>
      <c r="G1089">
        <v>13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43665</v>
      </c>
      <c r="B1090" s="116">
        <v>1445</v>
      </c>
      <c r="C1090" s="116">
        <v>1443.4</v>
      </c>
      <c r="D1090" s="116">
        <v>1395.15</v>
      </c>
      <c r="E1090" s="116">
        <v>1440</v>
      </c>
      <c r="F1090" s="116">
        <v>1443.4</v>
      </c>
      <c r="G1090">
        <v>101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43668</v>
      </c>
      <c r="B1091" s="116">
        <v>1444.95</v>
      </c>
      <c r="C1091" s="116">
        <v>1410</v>
      </c>
      <c r="D1091" s="116">
        <v>1371.75</v>
      </c>
      <c r="E1091" s="116">
        <v>1420</v>
      </c>
      <c r="F1091" s="116">
        <v>1410</v>
      </c>
      <c r="G1091">
        <v>210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43669</v>
      </c>
      <c r="B1092" s="116">
        <v>1444.3</v>
      </c>
      <c r="C1092" s="116">
        <v>1444.3</v>
      </c>
      <c r="D1092" s="116">
        <v>1444.3</v>
      </c>
      <c r="E1092" s="116">
        <v>1444.3</v>
      </c>
      <c r="F1092" s="116">
        <v>1444.3</v>
      </c>
      <c r="G1092">
        <v>10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43670</v>
      </c>
      <c r="B1093" s="116">
        <v>1433.95</v>
      </c>
      <c r="C1093" s="116">
        <v>1433.95</v>
      </c>
      <c r="D1093" s="116">
        <v>1401</v>
      </c>
      <c r="E1093" s="116">
        <v>1401</v>
      </c>
      <c r="F1093" s="116">
        <v>1433.95</v>
      </c>
      <c r="G1093">
        <v>5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43671</v>
      </c>
      <c r="B1094" s="116">
        <v>1390</v>
      </c>
      <c r="C1094" s="116">
        <v>1382.15</v>
      </c>
      <c r="D1094" s="116">
        <v>1382.15</v>
      </c>
      <c r="E1094" s="116">
        <v>1383</v>
      </c>
      <c r="F1094" s="116">
        <v>1382.15</v>
      </c>
      <c r="G1094">
        <v>45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43672</v>
      </c>
      <c r="B1095" s="116">
        <v>1380</v>
      </c>
      <c r="C1095" s="116">
        <v>1338.85</v>
      </c>
      <c r="D1095" s="116">
        <v>1330.15</v>
      </c>
      <c r="E1095" s="116">
        <v>1330.15</v>
      </c>
      <c r="F1095" s="116">
        <v>1338.85</v>
      </c>
      <c r="G1095">
        <v>82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43675</v>
      </c>
      <c r="B1096" s="116">
        <v>1398.85</v>
      </c>
      <c r="C1096" s="116">
        <v>1286.25</v>
      </c>
      <c r="D1096" s="116">
        <v>1281</v>
      </c>
      <c r="E1096" s="116">
        <v>1281.3499999999999</v>
      </c>
      <c r="F1096" s="116">
        <v>1286.25</v>
      </c>
      <c r="G1096">
        <v>87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43676</v>
      </c>
      <c r="B1097" s="116">
        <v>1350</v>
      </c>
      <c r="C1097" s="116">
        <v>1340.5</v>
      </c>
      <c r="D1097" s="116">
        <v>1340</v>
      </c>
      <c r="E1097" s="116">
        <v>1349.95</v>
      </c>
      <c r="F1097" s="116">
        <v>1340.5</v>
      </c>
      <c r="G1097">
        <v>77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43677</v>
      </c>
      <c r="B1098" s="116">
        <v>1347</v>
      </c>
      <c r="C1098" s="116">
        <v>1347</v>
      </c>
      <c r="D1098" s="116">
        <v>1290</v>
      </c>
      <c r="E1098" s="116">
        <v>1290</v>
      </c>
      <c r="F1098" s="116">
        <v>1347</v>
      </c>
      <c r="G1098">
        <v>3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43678</v>
      </c>
      <c r="B1099" s="116">
        <v>1399.95</v>
      </c>
      <c r="C1099" s="116">
        <v>1361</v>
      </c>
      <c r="D1099" s="116">
        <v>1361</v>
      </c>
      <c r="E1099" s="116">
        <v>1399.95</v>
      </c>
      <c r="F1099" s="116">
        <v>1361</v>
      </c>
      <c r="G1099">
        <v>21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43679</v>
      </c>
      <c r="B1100" s="116">
        <v>1380</v>
      </c>
      <c r="C1100" s="116">
        <v>1335</v>
      </c>
      <c r="D1100" s="116">
        <v>1335</v>
      </c>
      <c r="E1100" s="116">
        <v>1365</v>
      </c>
      <c r="F1100" s="116">
        <v>1335</v>
      </c>
      <c r="G1100">
        <v>66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43682</v>
      </c>
      <c r="B1101" s="116">
        <v>1387.9</v>
      </c>
      <c r="C1101" s="116">
        <v>1385</v>
      </c>
      <c r="D1101" s="116">
        <v>1385</v>
      </c>
      <c r="E1101" s="116">
        <v>1387.9</v>
      </c>
      <c r="F1101" s="116">
        <v>1385</v>
      </c>
      <c r="G1101">
        <v>35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43683</v>
      </c>
      <c r="B1102" s="116">
        <v>1380</v>
      </c>
      <c r="C1102" s="116">
        <v>1356.35</v>
      </c>
      <c r="D1102" s="116">
        <v>1320</v>
      </c>
      <c r="E1102" s="116">
        <v>1380</v>
      </c>
      <c r="F1102" s="116">
        <v>1356.35</v>
      </c>
      <c r="G1102">
        <v>117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43684</v>
      </c>
      <c r="B1103" s="116">
        <v>1397</v>
      </c>
      <c r="C1103" s="116">
        <v>1350</v>
      </c>
      <c r="D1103" s="116">
        <v>1350</v>
      </c>
      <c r="E1103" s="116">
        <v>1397</v>
      </c>
      <c r="F1103" s="116">
        <v>1350</v>
      </c>
      <c r="G1103">
        <v>34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43685</v>
      </c>
      <c r="B1104" s="116">
        <v>1416.7</v>
      </c>
      <c r="C1104" s="116">
        <v>1390.6</v>
      </c>
      <c r="D1104" s="116">
        <v>1305.05</v>
      </c>
      <c r="E1104" s="116">
        <v>1305.05</v>
      </c>
      <c r="F1104" s="116">
        <v>1390.6</v>
      </c>
      <c r="G1104">
        <v>121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43686</v>
      </c>
      <c r="B1105" s="116">
        <v>1331</v>
      </c>
      <c r="C1105" s="116">
        <v>1331</v>
      </c>
      <c r="D1105" s="116">
        <v>1331</v>
      </c>
      <c r="E1105" s="116">
        <v>1331</v>
      </c>
      <c r="F1105" s="116">
        <v>1331</v>
      </c>
      <c r="G1105">
        <v>175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43690</v>
      </c>
      <c r="B1106" s="116">
        <v>1389</v>
      </c>
      <c r="C1106" s="116">
        <v>1300.05</v>
      </c>
      <c r="D1106" s="116">
        <v>1281.05</v>
      </c>
      <c r="E1106" s="116">
        <v>1281.05</v>
      </c>
      <c r="F1106" s="116">
        <v>1300.05</v>
      </c>
      <c r="G1106">
        <v>114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43691</v>
      </c>
      <c r="B1107" s="116">
        <v>1360.4</v>
      </c>
      <c r="C1107" s="116">
        <v>1314</v>
      </c>
      <c r="D1107" s="116">
        <v>1314</v>
      </c>
      <c r="E1107" s="116">
        <v>1324.95</v>
      </c>
      <c r="F1107" s="116">
        <v>1314</v>
      </c>
      <c r="G1107">
        <v>27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43693</v>
      </c>
      <c r="B1108" s="116">
        <v>1364.25</v>
      </c>
      <c r="C1108" s="116">
        <v>1329</v>
      </c>
      <c r="D1108" s="116">
        <v>1307.6500000000001</v>
      </c>
      <c r="E1108" s="116">
        <v>1325</v>
      </c>
      <c r="F1108" s="116">
        <v>1329</v>
      </c>
      <c r="G1108">
        <v>113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43696</v>
      </c>
      <c r="B1109" s="116">
        <v>1350</v>
      </c>
      <c r="C1109" s="116">
        <v>1350</v>
      </c>
      <c r="D1109" s="116">
        <v>1314.45</v>
      </c>
      <c r="E1109" s="116">
        <v>1314.45</v>
      </c>
      <c r="F1109" s="116">
        <v>1350</v>
      </c>
      <c r="G1109">
        <v>34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43697</v>
      </c>
      <c r="B1110" s="116">
        <v>1379.9</v>
      </c>
      <c r="C1110" s="116">
        <v>1332.65</v>
      </c>
      <c r="D1110" s="116">
        <v>1317.65</v>
      </c>
      <c r="E1110" s="116">
        <v>1350</v>
      </c>
      <c r="F1110" s="116">
        <v>1332.65</v>
      </c>
      <c r="G1110">
        <v>69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43698</v>
      </c>
      <c r="B1111" s="116">
        <v>1350</v>
      </c>
      <c r="C1111" s="116">
        <v>1306.05</v>
      </c>
      <c r="D1111" s="116">
        <v>1303</v>
      </c>
      <c r="E1111" s="116">
        <v>1350</v>
      </c>
      <c r="F1111" s="116">
        <v>1306.05</v>
      </c>
      <c r="G1111">
        <v>109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43699</v>
      </c>
      <c r="B1112" s="116">
        <v>1310</v>
      </c>
      <c r="C1112" s="116">
        <v>1305</v>
      </c>
      <c r="D1112" s="116">
        <v>1305</v>
      </c>
      <c r="E1112" s="116">
        <v>1310</v>
      </c>
      <c r="F1112" s="116">
        <v>1305</v>
      </c>
      <c r="G1112">
        <v>36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43700</v>
      </c>
      <c r="B1113" s="116">
        <v>1319.95</v>
      </c>
      <c r="C1113" s="116">
        <v>1314.1</v>
      </c>
      <c r="D1113" s="116">
        <v>1300</v>
      </c>
      <c r="E1113" s="116">
        <v>1300</v>
      </c>
      <c r="F1113" s="116">
        <v>1314.1</v>
      </c>
      <c r="G1113">
        <v>145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43703</v>
      </c>
      <c r="B1114" s="116">
        <v>1334.95</v>
      </c>
      <c r="C1114" s="116">
        <v>1305.0999999999999</v>
      </c>
      <c r="D1114" s="116">
        <v>1300</v>
      </c>
      <c r="E1114" s="116">
        <v>1300</v>
      </c>
      <c r="F1114" s="116">
        <v>1305.0999999999999</v>
      </c>
      <c r="G1114">
        <v>47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43704</v>
      </c>
      <c r="B1115" s="116">
        <v>1345.85</v>
      </c>
      <c r="C1115" s="116">
        <v>1345.85</v>
      </c>
      <c r="D1115" s="116">
        <v>1300</v>
      </c>
      <c r="E1115" s="116">
        <v>1345.85</v>
      </c>
      <c r="F1115" s="116">
        <v>1345.85</v>
      </c>
      <c r="G1115">
        <v>34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43705</v>
      </c>
      <c r="B1116" s="116">
        <v>1305.0999999999999</v>
      </c>
      <c r="C1116" s="116">
        <v>1281</v>
      </c>
      <c r="D1116" s="116">
        <v>1281</v>
      </c>
      <c r="E1116" s="116">
        <v>1305.0999999999999</v>
      </c>
      <c r="F1116" s="116">
        <v>1281</v>
      </c>
      <c r="G1116">
        <v>61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43706</v>
      </c>
      <c r="B1117" s="116">
        <v>1284.1500000000001</v>
      </c>
      <c r="C1117" s="116">
        <v>1278.25</v>
      </c>
      <c r="D1117" s="116">
        <v>1278.25</v>
      </c>
      <c r="E1117" s="116">
        <v>1284.1500000000001</v>
      </c>
      <c r="F1117" s="116">
        <v>1278.25</v>
      </c>
      <c r="G1117">
        <v>345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43707</v>
      </c>
      <c r="B1118" s="116">
        <v>1312</v>
      </c>
      <c r="C1118" s="116">
        <v>1273.05</v>
      </c>
      <c r="D1118" s="116">
        <v>1269.05</v>
      </c>
      <c r="E1118" s="116">
        <v>1300</v>
      </c>
      <c r="F1118" s="116">
        <v>1273.05</v>
      </c>
      <c r="G1118">
        <v>78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43711</v>
      </c>
      <c r="B1119" s="116">
        <v>1335.9</v>
      </c>
      <c r="C1119" s="116">
        <v>1327</v>
      </c>
      <c r="D1119" s="116">
        <v>1275</v>
      </c>
      <c r="E1119" s="116">
        <v>1275</v>
      </c>
      <c r="F1119" s="116">
        <v>1327</v>
      </c>
      <c r="G1119">
        <v>97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43712</v>
      </c>
      <c r="B1120" s="116">
        <v>1389</v>
      </c>
      <c r="C1120" s="116">
        <v>1356.15</v>
      </c>
      <c r="D1120" s="116">
        <v>1327</v>
      </c>
      <c r="E1120" s="116">
        <v>1327</v>
      </c>
      <c r="F1120" s="116">
        <v>1356.15</v>
      </c>
      <c r="G1120">
        <v>41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43713</v>
      </c>
      <c r="B1121" s="116">
        <v>1400</v>
      </c>
      <c r="C1121" s="116">
        <v>1400</v>
      </c>
      <c r="D1121" s="116">
        <v>1399</v>
      </c>
      <c r="E1121" s="116">
        <v>1399</v>
      </c>
      <c r="F1121" s="116">
        <v>1400</v>
      </c>
      <c r="G1121">
        <v>5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43714</v>
      </c>
      <c r="B1122" s="116">
        <v>1369.95</v>
      </c>
      <c r="C1122" s="116">
        <v>1365</v>
      </c>
      <c r="D1122" s="116">
        <v>1330.15</v>
      </c>
      <c r="E1122" s="116">
        <v>1330.15</v>
      </c>
      <c r="F1122" s="116">
        <v>1365</v>
      </c>
      <c r="G1122">
        <v>28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43717</v>
      </c>
      <c r="B1123" s="116">
        <v>1360</v>
      </c>
      <c r="C1123" s="116">
        <v>1335</v>
      </c>
      <c r="D1123" s="116">
        <v>1335</v>
      </c>
      <c r="E1123" s="116">
        <v>1360</v>
      </c>
      <c r="F1123" s="116">
        <v>1335</v>
      </c>
      <c r="G1123">
        <v>118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43719</v>
      </c>
      <c r="B1124" s="116">
        <v>1367.85</v>
      </c>
      <c r="C1124" s="116">
        <v>1350</v>
      </c>
      <c r="D1124" s="116">
        <v>1335</v>
      </c>
      <c r="E1124" s="116">
        <v>1335</v>
      </c>
      <c r="F1124" s="116">
        <v>1350</v>
      </c>
      <c r="G1124">
        <v>86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43720</v>
      </c>
      <c r="B1125" s="116">
        <v>1305</v>
      </c>
      <c r="C1125" s="116">
        <v>1305</v>
      </c>
      <c r="D1125" s="116">
        <v>1300</v>
      </c>
      <c r="E1125" s="116">
        <v>1300</v>
      </c>
      <c r="F1125" s="116">
        <v>1305</v>
      </c>
      <c r="G1125">
        <v>9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43721</v>
      </c>
      <c r="B1126" s="116">
        <v>1350</v>
      </c>
      <c r="C1126" s="116">
        <v>1306.05</v>
      </c>
      <c r="D1126" s="116">
        <v>1306.05</v>
      </c>
      <c r="E1126" s="116">
        <v>1321.25</v>
      </c>
      <c r="F1126" s="116">
        <v>1306.05</v>
      </c>
      <c r="G1126">
        <v>70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43724</v>
      </c>
      <c r="B1127" s="116">
        <v>1331</v>
      </c>
      <c r="C1127" s="116">
        <v>1324.95</v>
      </c>
      <c r="D1127" s="116">
        <v>1306</v>
      </c>
      <c r="E1127" s="116">
        <v>1306</v>
      </c>
      <c r="F1127" s="116">
        <v>1324.95</v>
      </c>
      <c r="G1127">
        <v>178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43725</v>
      </c>
      <c r="B1128" s="116">
        <v>1379.75</v>
      </c>
      <c r="C1128" s="116">
        <v>1350.95</v>
      </c>
      <c r="D1128" s="116">
        <v>1325</v>
      </c>
      <c r="E1128" s="116">
        <v>1375</v>
      </c>
      <c r="F1128" s="116">
        <v>1350.95</v>
      </c>
      <c r="G1128">
        <v>38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43726</v>
      </c>
      <c r="B1129" s="116">
        <v>1347.35</v>
      </c>
      <c r="C1129" s="116">
        <v>1321.35</v>
      </c>
      <c r="D1129" s="116">
        <v>1292</v>
      </c>
      <c r="E1129" s="116">
        <v>1296.45</v>
      </c>
      <c r="F1129" s="116">
        <v>1321.35</v>
      </c>
      <c r="G1129">
        <v>183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43727</v>
      </c>
      <c r="B1130" s="116">
        <v>1309.9000000000001</v>
      </c>
      <c r="C1130" s="116">
        <v>1292.45</v>
      </c>
      <c r="D1130" s="116">
        <v>1290</v>
      </c>
      <c r="E1130" s="116">
        <v>1307.55</v>
      </c>
      <c r="F1130" s="116">
        <v>1292.45</v>
      </c>
      <c r="G1130">
        <v>139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43728</v>
      </c>
      <c r="B1131" s="116">
        <v>1348.9</v>
      </c>
      <c r="C1131" s="116">
        <v>1318</v>
      </c>
      <c r="D1131" s="116">
        <v>1301.5</v>
      </c>
      <c r="E1131" s="116">
        <v>1324</v>
      </c>
      <c r="F1131" s="116">
        <v>1318</v>
      </c>
      <c r="G1131">
        <v>148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43731</v>
      </c>
      <c r="B1132" s="116">
        <v>1368.25</v>
      </c>
      <c r="C1132" s="116">
        <v>1362</v>
      </c>
      <c r="D1132" s="116">
        <v>1318.5</v>
      </c>
      <c r="E1132" s="116">
        <v>1318.5</v>
      </c>
      <c r="F1132" s="116">
        <v>1362</v>
      </c>
      <c r="G1132">
        <v>278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43732</v>
      </c>
      <c r="B1133" s="116">
        <v>1395</v>
      </c>
      <c r="C1133" s="116">
        <v>1359.95</v>
      </c>
      <c r="D1133" s="116">
        <v>1342.7</v>
      </c>
      <c r="E1133" s="116">
        <v>1395</v>
      </c>
      <c r="F1133" s="116">
        <v>1359.95</v>
      </c>
      <c r="G1133">
        <v>226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43733</v>
      </c>
      <c r="B1134" s="116">
        <v>1359.65</v>
      </c>
      <c r="C1134" s="116">
        <v>1318.5</v>
      </c>
      <c r="D1134" s="116">
        <v>1316</v>
      </c>
      <c r="E1134" s="116">
        <v>1350</v>
      </c>
      <c r="F1134" s="116">
        <v>1318.5</v>
      </c>
      <c r="G1134">
        <v>84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43734</v>
      </c>
      <c r="B1135" s="116">
        <v>1375.8</v>
      </c>
      <c r="C1135" s="116">
        <v>1321</v>
      </c>
      <c r="D1135" s="116">
        <v>1303.25</v>
      </c>
      <c r="E1135" s="116">
        <v>1303.25</v>
      </c>
      <c r="F1135" s="116">
        <v>1321</v>
      </c>
      <c r="G1135">
        <v>38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43735</v>
      </c>
      <c r="B1136" s="116">
        <v>1321</v>
      </c>
      <c r="C1136" s="116">
        <v>1308.5</v>
      </c>
      <c r="D1136" s="116">
        <v>1307.5999999999999</v>
      </c>
      <c r="E1136" s="116">
        <v>1321</v>
      </c>
      <c r="F1136" s="116">
        <v>1308.5</v>
      </c>
      <c r="G1136">
        <v>47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43738</v>
      </c>
      <c r="B1137" s="116">
        <v>1364.25</v>
      </c>
      <c r="C1137" s="116">
        <v>1364.25</v>
      </c>
      <c r="D1137" s="116">
        <v>1307</v>
      </c>
      <c r="E1137" s="116">
        <v>1307</v>
      </c>
      <c r="F1137" s="116">
        <v>1364.25</v>
      </c>
      <c r="G1137">
        <v>11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43739</v>
      </c>
      <c r="B1138" s="116">
        <v>1364</v>
      </c>
      <c r="C1138" s="116">
        <v>1355.25</v>
      </c>
      <c r="D1138" s="116">
        <v>1302.25</v>
      </c>
      <c r="E1138" s="116">
        <v>1302.25</v>
      </c>
      <c r="F1138" s="116">
        <v>1355.25</v>
      </c>
      <c r="G1138">
        <v>37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43741</v>
      </c>
      <c r="B1139" s="116">
        <v>1398.9</v>
      </c>
      <c r="C1139" s="116">
        <v>1312.05</v>
      </c>
      <c r="D1139" s="116">
        <v>1305.4000000000001</v>
      </c>
      <c r="E1139" s="116">
        <v>1311.05</v>
      </c>
      <c r="F1139" s="116">
        <v>1312.05</v>
      </c>
      <c r="G1139">
        <v>103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43742</v>
      </c>
      <c r="B1140" s="116">
        <v>1364.9</v>
      </c>
      <c r="C1140" s="116">
        <v>1336.8</v>
      </c>
      <c r="D1140" s="116">
        <v>1300</v>
      </c>
      <c r="E1140" s="116">
        <v>1308.05</v>
      </c>
      <c r="F1140" s="116">
        <v>1336.8</v>
      </c>
      <c r="G1140">
        <v>135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43745</v>
      </c>
      <c r="B1141" s="116">
        <v>1306</v>
      </c>
      <c r="C1141" s="116">
        <v>1306</v>
      </c>
      <c r="D1141" s="116">
        <v>1306</v>
      </c>
      <c r="E1141" s="116">
        <v>1306</v>
      </c>
      <c r="F1141" s="116">
        <v>1306</v>
      </c>
      <c r="G1141">
        <v>500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43747</v>
      </c>
      <c r="B1142" s="116">
        <v>1319.95</v>
      </c>
      <c r="C1142" s="116">
        <v>1311.65</v>
      </c>
      <c r="D1142" s="116">
        <v>1301.5</v>
      </c>
      <c r="E1142" s="116">
        <v>1301.5</v>
      </c>
      <c r="F1142" s="116">
        <v>1311.65</v>
      </c>
      <c r="G1142">
        <v>70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43748</v>
      </c>
      <c r="B1143" s="116">
        <v>1353.8</v>
      </c>
      <c r="C1143" s="116">
        <v>1315.3</v>
      </c>
      <c r="D1143" s="116">
        <v>1310</v>
      </c>
      <c r="E1143" s="116">
        <v>1310</v>
      </c>
      <c r="F1143" s="116">
        <v>1315.3</v>
      </c>
      <c r="G1143">
        <v>20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43749</v>
      </c>
      <c r="B1144" s="116">
        <v>1345.9</v>
      </c>
      <c r="C1144" s="116">
        <v>1305.9000000000001</v>
      </c>
      <c r="D1144" s="116">
        <v>1305.5</v>
      </c>
      <c r="E1144" s="116">
        <v>1345.9</v>
      </c>
      <c r="F1144" s="116">
        <v>1305.9000000000001</v>
      </c>
      <c r="G1144">
        <v>19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43752</v>
      </c>
      <c r="B1145" s="116">
        <v>1353.7</v>
      </c>
      <c r="C1145" s="116">
        <v>1353.6</v>
      </c>
      <c r="D1145" s="116">
        <v>1300</v>
      </c>
      <c r="E1145" s="116">
        <v>1305</v>
      </c>
      <c r="F1145" s="116">
        <v>1353.6</v>
      </c>
      <c r="G1145">
        <v>138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43753</v>
      </c>
      <c r="B1146" s="116">
        <v>1344.5</v>
      </c>
      <c r="C1146" s="116">
        <v>1344.45</v>
      </c>
      <c r="D1146" s="116">
        <v>1305.3</v>
      </c>
      <c r="E1146" s="116">
        <v>1305.3</v>
      </c>
      <c r="F1146" s="116">
        <v>1344.45</v>
      </c>
      <c r="G1146">
        <v>14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43754</v>
      </c>
      <c r="B1147" s="116">
        <v>1306.55</v>
      </c>
      <c r="C1147" s="116">
        <v>1306.5</v>
      </c>
      <c r="D1147" s="116">
        <v>1306.5</v>
      </c>
      <c r="E1147" s="116">
        <v>1306.55</v>
      </c>
      <c r="F1147" s="116">
        <v>1306.5</v>
      </c>
      <c r="G1147">
        <v>25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43755</v>
      </c>
      <c r="B1148" s="116">
        <v>1355.15</v>
      </c>
      <c r="C1148" s="116">
        <v>1320</v>
      </c>
      <c r="D1148" s="116">
        <v>1318</v>
      </c>
      <c r="E1148" s="116">
        <v>1355.15</v>
      </c>
      <c r="F1148" s="116">
        <v>1320</v>
      </c>
      <c r="G1148">
        <v>43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43756</v>
      </c>
      <c r="B1149" s="116">
        <v>1338.95</v>
      </c>
      <c r="C1149" s="116">
        <v>1334.95</v>
      </c>
      <c r="D1149" s="116">
        <v>1306.5</v>
      </c>
      <c r="E1149" s="116">
        <v>1321</v>
      </c>
      <c r="F1149" s="116">
        <v>1334.95</v>
      </c>
      <c r="G1149">
        <v>99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43760</v>
      </c>
      <c r="B1150" s="116">
        <v>1369</v>
      </c>
      <c r="C1150" s="116">
        <v>1369</v>
      </c>
      <c r="D1150" s="116">
        <v>1300</v>
      </c>
      <c r="E1150" s="116">
        <v>1329</v>
      </c>
      <c r="F1150" s="116">
        <v>1369</v>
      </c>
      <c r="G1150">
        <v>152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43761</v>
      </c>
      <c r="B1151" s="116">
        <v>1330</v>
      </c>
      <c r="C1151" s="116">
        <v>1330</v>
      </c>
      <c r="D1151" s="116">
        <v>1304.1500000000001</v>
      </c>
      <c r="E1151" s="116">
        <v>1304.2</v>
      </c>
      <c r="F1151" s="116">
        <v>1330</v>
      </c>
      <c r="G1151">
        <v>40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43762</v>
      </c>
      <c r="B1152" s="116">
        <v>1346.2</v>
      </c>
      <c r="C1152" s="116">
        <v>1309</v>
      </c>
      <c r="D1152" s="116">
        <v>1308</v>
      </c>
      <c r="E1152" s="116">
        <v>1346.2</v>
      </c>
      <c r="F1152" s="116">
        <v>1309</v>
      </c>
      <c r="G1152">
        <v>12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43763</v>
      </c>
      <c r="B1153" s="116">
        <v>1367.95</v>
      </c>
      <c r="C1153" s="116">
        <v>1312</v>
      </c>
      <c r="D1153" s="116">
        <v>1312</v>
      </c>
      <c r="E1153" s="116">
        <v>1367.95</v>
      </c>
      <c r="F1153" s="116">
        <v>1312</v>
      </c>
      <c r="G1153">
        <v>11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43765</v>
      </c>
      <c r="B1154" s="116">
        <v>1350</v>
      </c>
      <c r="C1154" s="116">
        <v>1350</v>
      </c>
      <c r="D1154" s="116">
        <v>1312</v>
      </c>
      <c r="E1154" s="116">
        <v>1312</v>
      </c>
      <c r="F1154" s="116">
        <v>1350</v>
      </c>
      <c r="G1154">
        <v>32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43767</v>
      </c>
      <c r="B1155" s="116">
        <v>1368.8</v>
      </c>
      <c r="C1155" s="116">
        <v>1322.85</v>
      </c>
      <c r="D1155" s="116">
        <v>1320.35</v>
      </c>
      <c r="E1155" s="116">
        <v>1359.95</v>
      </c>
      <c r="F1155" s="116">
        <v>1322.85</v>
      </c>
      <c r="G1155">
        <v>148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43768</v>
      </c>
      <c r="B1156" s="116">
        <v>1365.8</v>
      </c>
      <c r="C1156" s="116">
        <v>1346.85</v>
      </c>
      <c r="D1156" s="116">
        <v>1305.0999999999999</v>
      </c>
      <c r="E1156" s="116">
        <v>1323</v>
      </c>
      <c r="F1156" s="116">
        <v>1346.85</v>
      </c>
      <c r="G1156">
        <v>155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43769</v>
      </c>
      <c r="B1157" s="116">
        <v>1386</v>
      </c>
      <c r="C1157" s="116">
        <v>1380</v>
      </c>
      <c r="D1157" s="116">
        <v>1365</v>
      </c>
      <c r="E1157" s="116">
        <v>1365</v>
      </c>
      <c r="F1157" s="116">
        <v>1380</v>
      </c>
      <c r="G1157">
        <v>57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43770</v>
      </c>
      <c r="B1158" s="116">
        <v>1420</v>
      </c>
      <c r="C1158" s="116">
        <v>1420</v>
      </c>
      <c r="D1158" s="116">
        <v>1312.05</v>
      </c>
      <c r="E1158" s="116">
        <v>1312.2</v>
      </c>
      <c r="F1158" s="116">
        <v>1420</v>
      </c>
      <c r="G1158">
        <v>92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43773</v>
      </c>
      <c r="B1159" s="116">
        <v>1449.6</v>
      </c>
      <c r="C1159" s="116">
        <v>1417.5</v>
      </c>
      <c r="D1159" s="116">
        <v>1397.95</v>
      </c>
      <c r="E1159" s="116">
        <v>1397.95</v>
      </c>
      <c r="F1159" s="116">
        <v>1417.5</v>
      </c>
      <c r="G1159">
        <v>160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43774</v>
      </c>
      <c r="B1160" s="116">
        <v>1442</v>
      </c>
      <c r="C1160" s="116">
        <v>1442</v>
      </c>
      <c r="D1160" s="116">
        <v>1434.95</v>
      </c>
      <c r="E1160" s="116">
        <v>1435.55</v>
      </c>
      <c r="F1160" s="116">
        <v>1442</v>
      </c>
      <c r="G1160">
        <v>211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43775</v>
      </c>
      <c r="B1161" s="116">
        <v>1449</v>
      </c>
      <c r="C1161" s="116">
        <v>1403.8</v>
      </c>
      <c r="D1161" s="116">
        <v>1401.6</v>
      </c>
      <c r="E1161" s="116">
        <v>1448.9</v>
      </c>
      <c r="F1161" s="116">
        <v>1403.8</v>
      </c>
      <c r="G1161">
        <v>196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43776</v>
      </c>
      <c r="B1162" s="116">
        <v>1455</v>
      </c>
      <c r="C1162" s="116">
        <v>1361.3</v>
      </c>
      <c r="D1162" s="116">
        <v>1360.1</v>
      </c>
      <c r="E1162" s="116">
        <v>1419.9</v>
      </c>
      <c r="F1162" s="116">
        <v>1361.3</v>
      </c>
      <c r="G1162">
        <v>112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43777</v>
      </c>
      <c r="B1163" s="116">
        <v>1414.55</v>
      </c>
      <c r="C1163" s="116">
        <v>1317</v>
      </c>
      <c r="D1163" s="116">
        <v>1315</v>
      </c>
      <c r="E1163" s="116">
        <v>1414.55</v>
      </c>
      <c r="F1163" s="116">
        <v>1317</v>
      </c>
      <c r="G1163">
        <v>213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43780</v>
      </c>
      <c r="B1164" s="116">
        <v>1382.1</v>
      </c>
      <c r="C1164" s="116">
        <v>1324.75</v>
      </c>
      <c r="D1164" s="116">
        <v>1303.1500000000001</v>
      </c>
      <c r="E1164" s="116">
        <v>1310</v>
      </c>
      <c r="F1164" s="116">
        <v>1324.75</v>
      </c>
      <c r="G1164">
        <v>188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43782</v>
      </c>
      <c r="B1165" s="116">
        <v>1381.6</v>
      </c>
      <c r="C1165" s="116">
        <v>1340</v>
      </c>
      <c r="D1165" s="116">
        <v>1325</v>
      </c>
      <c r="E1165" s="116">
        <v>1325</v>
      </c>
      <c r="F1165" s="116">
        <v>1340</v>
      </c>
      <c r="G1165">
        <v>82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43783</v>
      </c>
      <c r="B1166" s="116">
        <v>1307.0999999999999</v>
      </c>
      <c r="C1166" s="116">
        <v>1307.0999999999999</v>
      </c>
      <c r="D1166" s="116">
        <v>1307.0999999999999</v>
      </c>
      <c r="E1166" s="116">
        <v>1307.0999999999999</v>
      </c>
      <c r="F1166" s="116">
        <v>1307.0999999999999</v>
      </c>
      <c r="G1166">
        <v>1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43784</v>
      </c>
      <c r="B1167" s="116">
        <v>1350</v>
      </c>
      <c r="C1167" s="116">
        <v>1310</v>
      </c>
      <c r="D1167" s="116">
        <v>1307</v>
      </c>
      <c r="E1167" s="116">
        <v>1350</v>
      </c>
      <c r="F1167" s="116">
        <v>1310</v>
      </c>
      <c r="G1167">
        <v>107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43787</v>
      </c>
      <c r="B1168" s="116">
        <v>1375</v>
      </c>
      <c r="C1168" s="116">
        <v>1364</v>
      </c>
      <c r="D1168" s="116">
        <v>1320</v>
      </c>
      <c r="E1168" s="116">
        <v>1375</v>
      </c>
      <c r="F1168" s="116">
        <v>1364</v>
      </c>
      <c r="G1168">
        <v>70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43788</v>
      </c>
      <c r="B1169" s="116">
        <v>1369.2</v>
      </c>
      <c r="C1169" s="116">
        <v>1360.9</v>
      </c>
      <c r="D1169" s="116">
        <v>1325.05</v>
      </c>
      <c r="E1169" s="116">
        <v>1369.2</v>
      </c>
      <c r="F1169" s="116">
        <v>1360.9</v>
      </c>
      <c r="G1169">
        <v>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43789</v>
      </c>
      <c r="B1170" s="116">
        <v>1390</v>
      </c>
      <c r="C1170" s="116">
        <v>1356.2</v>
      </c>
      <c r="D1170" s="116">
        <v>1330.8</v>
      </c>
      <c r="E1170" s="116">
        <v>1369.95</v>
      </c>
      <c r="F1170" s="116">
        <v>1356.2</v>
      </c>
      <c r="G1170">
        <v>25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43790</v>
      </c>
      <c r="B1171" s="116">
        <v>1419.95</v>
      </c>
      <c r="C1171" s="116">
        <v>1373.8</v>
      </c>
      <c r="D1171" s="116">
        <v>1329.25</v>
      </c>
      <c r="E1171" s="116">
        <v>1419.95</v>
      </c>
      <c r="F1171" s="116">
        <v>1373.8</v>
      </c>
      <c r="G1171">
        <v>100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43791</v>
      </c>
      <c r="B1172" s="116">
        <v>1397</v>
      </c>
      <c r="C1172" s="116">
        <v>1345.05</v>
      </c>
      <c r="D1172" s="116">
        <v>1330.5</v>
      </c>
      <c r="E1172" s="116">
        <v>1397</v>
      </c>
      <c r="F1172" s="116">
        <v>1345.05</v>
      </c>
      <c r="G1172">
        <v>48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43794</v>
      </c>
      <c r="B1173" s="116">
        <v>1369.95</v>
      </c>
      <c r="C1173" s="116">
        <v>1369.45</v>
      </c>
      <c r="D1173" s="116">
        <v>1312.25</v>
      </c>
      <c r="E1173" s="116">
        <v>1312.25</v>
      </c>
      <c r="F1173" s="116">
        <v>1369.45</v>
      </c>
      <c r="G1173">
        <v>66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43795</v>
      </c>
      <c r="B1174" s="116">
        <v>1379.85</v>
      </c>
      <c r="C1174" s="116">
        <v>1369.9</v>
      </c>
      <c r="D1174" s="116">
        <v>1369.9</v>
      </c>
      <c r="E1174" s="116">
        <v>1379.85</v>
      </c>
      <c r="F1174" s="116">
        <v>1369.9</v>
      </c>
      <c r="G1174">
        <v>20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43796</v>
      </c>
      <c r="B1175" s="116">
        <v>1359.95</v>
      </c>
      <c r="C1175" s="116">
        <v>1322.25</v>
      </c>
      <c r="D1175" s="116">
        <v>1322.25</v>
      </c>
      <c r="E1175" s="116">
        <v>1355</v>
      </c>
      <c r="F1175" s="116">
        <v>1322.25</v>
      </c>
      <c r="G1175">
        <v>60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43797</v>
      </c>
      <c r="B1176" s="116">
        <v>1369.85</v>
      </c>
      <c r="C1176" s="116">
        <v>1315</v>
      </c>
      <c r="D1176" s="116">
        <v>1315</v>
      </c>
      <c r="E1176" s="116">
        <v>1360</v>
      </c>
      <c r="F1176" s="116">
        <v>1315</v>
      </c>
      <c r="G1176">
        <v>55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43801</v>
      </c>
      <c r="B1177" s="116">
        <v>1380.75</v>
      </c>
      <c r="C1177" s="116">
        <v>1380.75</v>
      </c>
      <c r="D1177" s="116">
        <v>1340</v>
      </c>
      <c r="E1177" s="116">
        <v>1380.75</v>
      </c>
      <c r="F1177" s="116">
        <v>1380.75</v>
      </c>
      <c r="G1177">
        <v>129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43802</v>
      </c>
      <c r="B1178" s="116">
        <v>1445.2</v>
      </c>
      <c r="C1178" s="116">
        <v>1412</v>
      </c>
      <c r="D1178" s="116">
        <v>1350.05</v>
      </c>
      <c r="E1178" s="116">
        <v>1385</v>
      </c>
      <c r="F1178" s="116">
        <v>1412</v>
      </c>
      <c r="G1178">
        <v>261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43803</v>
      </c>
      <c r="B1179" s="116">
        <v>1482</v>
      </c>
      <c r="C1179" s="116">
        <v>1445.35</v>
      </c>
      <c r="D1179" s="116">
        <v>1416.25</v>
      </c>
      <c r="E1179" s="116">
        <v>1454.55</v>
      </c>
      <c r="F1179" s="116">
        <v>1445.35</v>
      </c>
      <c r="G1179">
        <v>1056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43804</v>
      </c>
      <c r="B1180" s="116">
        <v>1508.15</v>
      </c>
      <c r="C1180" s="116">
        <v>1476.75</v>
      </c>
      <c r="D1180" s="116">
        <v>1395</v>
      </c>
      <c r="E1180" s="116">
        <v>1470</v>
      </c>
      <c r="F1180" s="116">
        <v>1476.75</v>
      </c>
      <c r="G1180">
        <v>103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43805</v>
      </c>
      <c r="B1181" s="116">
        <v>1489.85</v>
      </c>
      <c r="C1181" s="116">
        <v>1488</v>
      </c>
      <c r="D1181" s="116">
        <v>1420</v>
      </c>
      <c r="E1181" s="116">
        <v>1489.85</v>
      </c>
      <c r="F1181" s="116">
        <v>1488</v>
      </c>
      <c r="G1181">
        <v>54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43808</v>
      </c>
      <c r="B1182" s="116">
        <v>1489.75</v>
      </c>
      <c r="C1182" s="116">
        <v>1468.7</v>
      </c>
      <c r="D1182" s="116">
        <v>1420.05</v>
      </c>
      <c r="E1182" s="116">
        <v>1420.05</v>
      </c>
      <c r="F1182" s="116">
        <v>1468.7</v>
      </c>
      <c r="G1182">
        <v>36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43809</v>
      </c>
      <c r="B1183" s="116">
        <v>1498</v>
      </c>
      <c r="C1183" s="116">
        <v>1458.7</v>
      </c>
      <c r="D1183" s="116">
        <v>1435</v>
      </c>
      <c r="E1183" s="116">
        <v>1435</v>
      </c>
      <c r="F1183" s="116">
        <v>1458.7</v>
      </c>
      <c r="G1183">
        <v>99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43810</v>
      </c>
      <c r="B1184" s="116">
        <v>1497.95</v>
      </c>
      <c r="C1184" s="116">
        <v>1480</v>
      </c>
      <c r="D1184" s="116">
        <v>1427.25</v>
      </c>
      <c r="E1184" s="116">
        <v>1479</v>
      </c>
      <c r="F1184" s="116">
        <v>1480</v>
      </c>
      <c r="G1184">
        <v>117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43811</v>
      </c>
      <c r="B1185" s="116">
        <v>1459.9</v>
      </c>
      <c r="C1185" s="116">
        <v>1439.95</v>
      </c>
      <c r="D1185" s="116">
        <v>1406</v>
      </c>
      <c r="E1185" s="116">
        <v>1459.9</v>
      </c>
      <c r="F1185" s="116">
        <v>1439.95</v>
      </c>
      <c r="G1185">
        <v>278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43812</v>
      </c>
      <c r="B1186" s="116">
        <v>1448</v>
      </c>
      <c r="C1186" s="116">
        <v>1448</v>
      </c>
      <c r="D1186" s="116">
        <v>1406</v>
      </c>
      <c r="E1186" s="116">
        <v>1447.95</v>
      </c>
      <c r="F1186" s="116">
        <v>1448</v>
      </c>
      <c r="G1186">
        <v>129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43815</v>
      </c>
      <c r="B1187" s="116">
        <v>1512.05</v>
      </c>
      <c r="C1187" s="116">
        <v>1452.5</v>
      </c>
      <c r="D1187" s="116">
        <v>1382.25</v>
      </c>
      <c r="E1187" s="116">
        <v>1512.05</v>
      </c>
      <c r="F1187" s="116">
        <v>1452.5</v>
      </c>
      <c r="G1187">
        <v>51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43816</v>
      </c>
      <c r="B1188" s="116">
        <v>1474.95</v>
      </c>
      <c r="C1188" s="116">
        <v>1474.95</v>
      </c>
      <c r="D1188" s="116">
        <v>1405.25</v>
      </c>
      <c r="E1188" s="116">
        <v>1453</v>
      </c>
      <c r="F1188" s="116">
        <v>1474.95</v>
      </c>
      <c r="G1188">
        <v>73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43817</v>
      </c>
      <c r="B1189" s="116">
        <v>1456</v>
      </c>
      <c r="C1189" s="116">
        <v>1430</v>
      </c>
      <c r="D1189" s="116">
        <v>1405</v>
      </c>
      <c r="E1189" s="116">
        <v>1406.05</v>
      </c>
      <c r="F1189" s="116">
        <v>1430</v>
      </c>
      <c r="G1189">
        <v>60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43818</v>
      </c>
      <c r="B1190" s="116">
        <v>1477.05</v>
      </c>
      <c r="C1190" s="116">
        <v>1398.85</v>
      </c>
      <c r="D1190" s="116">
        <v>1391</v>
      </c>
      <c r="E1190" s="116">
        <v>1406.65</v>
      </c>
      <c r="F1190" s="116">
        <v>1398.85</v>
      </c>
      <c r="G1190">
        <v>71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43819</v>
      </c>
      <c r="B1191" s="116">
        <v>1465.9</v>
      </c>
      <c r="C1191" s="116">
        <v>1425.65</v>
      </c>
      <c r="D1191" s="116">
        <v>1400.25</v>
      </c>
      <c r="E1191" s="116">
        <v>1455.9</v>
      </c>
      <c r="F1191" s="116">
        <v>1425.65</v>
      </c>
      <c r="G1191">
        <v>40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43822</v>
      </c>
      <c r="B1192" s="116">
        <v>1454.2</v>
      </c>
      <c r="C1192" s="116">
        <v>1425</v>
      </c>
      <c r="D1192" s="116">
        <v>1425</v>
      </c>
      <c r="E1192" s="116">
        <v>1425</v>
      </c>
      <c r="F1192" s="116">
        <v>1425</v>
      </c>
      <c r="G1192">
        <v>95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43823</v>
      </c>
      <c r="B1193" s="116">
        <v>1435</v>
      </c>
      <c r="C1193" s="116">
        <v>1435</v>
      </c>
      <c r="D1193" s="116">
        <v>1400</v>
      </c>
      <c r="E1193" s="116">
        <v>1400</v>
      </c>
      <c r="F1193" s="116">
        <v>1435</v>
      </c>
      <c r="G1193">
        <v>9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43825</v>
      </c>
      <c r="B1194" s="116">
        <v>1444.35</v>
      </c>
      <c r="C1194" s="116">
        <v>1410</v>
      </c>
      <c r="D1194" s="116">
        <v>1373.75</v>
      </c>
      <c r="E1194" s="116">
        <v>1424.95</v>
      </c>
      <c r="F1194" s="116">
        <v>1410</v>
      </c>
      <c r="G1194">
        <v>96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43826</v>
      </c>
      <c r="B1195" s="116">
        <v>1450</v>
      </c>
      <c r="C1195" s="116">
        <v>1430</v>
      </c>
      <c r="D1195" s="116">
        <v>1400</v>
      </c>
      <c r="E1195" s="116">
        <v>1400</v>
      </c>
      <c r="F1195" s="116">
        <v>1430</v>
      </c>
      <c r="G1195">
        <v>53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43829</v>
      </c>
      <c r="B1196" s="116">
        <v>1430</v>
      </c>
      <c r="C1196" s="116">
        <v>1400</v>
      </c>
      <c r="D1196" s="116">
        <v>1400</v>
      </c>
      <c r="E1196" s="116">
        <v>1430</v>
      </c>
      <c r="F1196" s="116">
        <v>1400</v>
      </c>
      <c r="G1196">
        <v>18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43830</v>
      </c>
      <c r="B1197" s="116">
        <v>1429</v>
      </c>
      <c r="C1197" s="116">
        <v>1429</v>
      </c>
      <c r="D1197" s="116">
        <v>1428.45</v>
      </c>
      <c r="E1197" s="116">
        <v>1428.45</v>
      </c>
      <c r="F1197" s="116">
        <v>1429</v>
      </c>
      <c r="G1197">
        <v>28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43831</v>
      </c>
      <c r="B1198" s="116">
        <v>1468</v>
      </c>
      <c r="C1198" s="116">
        <v>1429</v>
      </c>
      <c r="D1198" s="116">
        <v>1425</v>
      </c>
      <c r="E1198" s="116">
        <v>1425</v>
      </c>
      <c r="F1198" s="116">
        <v>1429</v>
      </c>
      <c r="G1198">
        <v>63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43832</v>
      </c>
      <c r="B1199" s="116">
        <v>1477</v>
      </c>
      <c r="C1199" s="116">
        <v>1450</v>
      </c>
      <c r="D1199" s="116">
        <v>1449</v>
      </c>
      <c r="E1199" s="116">
        <v>1449</v>
      </c>
      <c r="F1199" s="116">
        <v>1450</v>
      </c>
      <c r="G1199">
        <v>99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43833</v>
      </c>
      <c r="B1200" s="116">
        <v>1407</v>
      </c>
      <c r="C1200" s="116">
        <v>1407</v>
      </c>
      <c r="D1200" s="116">
        <v>1407</v>
      </c>
      <c r="E1200" s="116">
        <v>1407</v>
      </c>
      <c r="F1200" s="116">
        <v>1407</v>
      </c>
      <c r="G1200">
        <v>5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43836</v>
      </c>
      <c r="B1201" s="116">
        <v>1475</v>
      </c>
      <c r="C1201" s="116">
        <v>1410</v>
      </c>
      <c r="D1201" s="116">
        <v>1410</v>
      </c>
      <c r="E1201" s="116">
        <v>1475</v>
      </c>
      <c r="F1201" s="116">
        <v>1410</v>
      </c>
      <c r="G1201">
        <v>64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43837</v>
      </c>
      <c r="B1202" s="116">
        <v>1475</v>
      </c>
      <c r="C1202" s="116">
        <v>1448</v>
      </c>
      <c r="D1202" s="116">
        <v>1448</v>
      </c>
      <c r="E1202" s="116">
        <v>1474</v>
      </c>
      <c r="F1202" s="116">
        <v>1448</v>
      </c>
      <c r="G1202">
        <v>8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43838</v>
      </c>
      <c r="B1203" s="116">
        <v>1490</v>
      </c>
      <c r="C1203" s="116">
        <v>1450</v>
      </c>
      <c r="D1203" s="116">
        <v>1385</v>
      </c>
      <c r="E1203" s="116">
        <v>1450</v>
      </c>
      <c r="F1203" s="116">
        <v>1450</v>
      </c>
      <c r="G1203">
        <v>27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43839</v>
      </c>
      <c r="B1204" s="116">
        <v>1477.95</v>
      </c>
      <c r="C1204" s="116">
        <v>1477.95</v>
      </c>
      <c r="D1204" s="116">
        <v>1477.95</v>
      </c>
      <c r="E1204" s="116">
        <v>1477.95</v>
      </c>
      <c r="F1204" s="116">
        <v>1477.95</v>
      </c>
      <c r="G1204">
        <v>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43840</v>
      </c>
      <c r="B1205" s="116">
        <v>1479</v>
      </c>
      <c r="C1205" s="116">
        <v>1460</v>
      </c>
      <c r="D1205" s="116">
        <v>1460</v>
      </c>
      <c r="E1205" s="116">
        <v>1479</v>
      </c>
      <c r="F1205" s="116">
        <v>1460</v>
      </c>
      <c r="G1205">
        <v>56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43843</v>
      </c>
      <c r="B1206" s="116">
        <v>1425</v>
      </c>
      <c r="C1206" s="116">
        <v>1400</v>
      </c>
      <c r="D1206" s="116">
        <v>1395</v>
      </c>
      <c r="E1206" s="116">
        <v>1425</v>
      </c>
      <c r="F1206" s="116">
        <v>1400</v>
      </c>
      <c r="G1206">
        <v>326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43844</v>
      </c>
      <c r="B1207" s="116">
        <v>1447.95</v>
      </c>
      <c r="C1207" s="116">
        <v>1422</v>
      </c>
      <c r="D1207" s="116">
        <v>1330</v>
      </c>
      <c r="E1207" s="116">
        <v>1400</v>
      </c>
      <c r="F1207" s="116">
        <v>1422</v>
      </c>
      <c r="G1207">
        <v>496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43845</v>
      </c>
      <c r="B1208" s="116">
        <v>1434</v>
      </c>
      <c r="C1208" s="116">
        <v>1361.1</v>
      </c>
      <c r="D1208" s="116">
        <v>1361.1</v>
      </c>
      <c r="E1208" s="116">
        <v>1430.95</v>
      </c>
      <c r="F1208" s="116">
        <v>1361.1</v>
      </c>
      <c r="G1208">
        <v>35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43846</v>
      </c>
      <c r="B1209" s="116">
        <v>1425</v>
      </c>
      <c r="C1209" s="116">
        <v>1377.55</v>
      </c>
      <c r="D1209" s="116">
        <v>1364.25</v>
      </c>
      <c r="E1209" s="116">
        <v>1400.7</v>
      </c>
      <c r="F1209" s="116">
        <v>1377.55</v>
      </c>
      <c r="G1209">
        <v>115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43847</v>
      </c>
      <c r="B1210" s="116">
        <v>1423</v>
      </c>
      <c r="C1210" s="116">
        <v>1387.9</v>
      </c>
      <c r="D1210" s="116">
        <v>1375</v>
      </c>
      <c r="E1210" s="116">
        <v>1423</v>
      </c>
      <c r="F1210" s="116">
        <v>1387.9</v>
      </c>
      <c r="G1210">
        <v>50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43850</v>
      </c>
      <c r="B1211" s="116">
        <v>1439</v>
      </c>
      <c r="C1211" s="116">
        <v>1380</v>
      </c>
      <c r="D1211" s="116">
        <v>1380</v>
      </c>
      <c r="E1211" s="116">
        <v>1424.85</v>
      </c>
      <c r="F1211" s="116">
        <v>1380</v>
      </c>
      <c r="G1211">
        <v>21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43851</v>
      </c>
      <c r="B1212" s="116">
        <v>1443</v>
      </c>
      <c r="C1212" s="116">
        <v>1373.55</v>
      </c>
      <c r="D1212" s="116">
        <v>1350.7</v>
      </c>
      <c r="E1212" s="116">
        <v>1350.7</v>
      </c>
      <c r="F1212" s="116">
        <v>1373.55</v>
      </c>
      <c r="G1212">
        <v>63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43852</v>
      </c>
      <c r="B1213" s="116">
        <v>1435</v>
      </c>
      <c r="C1213" s="116">
        <v>1400</v>
      </c>
      <c r="D1213" s="116">
        <v>1372</v>
      </c>
      <c r="E1213" s="116">
        <v>1435</v>
      </c>
      <c r="F1213" s="116">
        <v>1400</v>
      </c>
      <c r="G1213">
        <v>131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43853</v>
      </c>
      <c r="B1214" s="116">
        <v>1454.25</v>
      </c>
      <c r="C1214" s="116">
        <v>1438</v>
      </c>
      <c r="D1214" s="116">
        <v>1360.25</v>
      </c>
      <c r="E1214" s="116">
        <v>1454.2</v>
      </c>
      <c r="F1214" s="116">
        <v>1438</v>
      </c>
      <c r="G1214">
        <v>161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43854</v>
      </c>
      <c r="B1215" s="116">
        <v>1451</v>
      </c>
      <c r="C1215" s="116">
        <v>1447.8</v>
      </c>
      <c r="D1215" s="116">
        <v>1438</v>
      </c>
      <c r="E1215" s="116">
        <v>1438</v>
      </c>
      <c r="F1215" s="116">
        <v>1447.8</v>
      </c>
      <c r="G1215">
        <v>46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43857</v>
      </c>
      <c r="B1216" s="116">
        <v>1454.95</v>
      </c>
      <c r="C1216" s="116">
        <v>1388.3</v>
      </c>
      <c r="D1216" s="116">
        <v>1387.15</v>
      </c>
      <c r="E1216" s="116">
        <v>1447.8</v>
      </c>
      <c r="F1216" s="116">
        <v>1388.3</v>
      </c>
      <c r="G1216">
        <v>69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43858</v>
      </c>
      <c r="B1217" s="116">
        <v>1447.85</v>
      </c>
      <c r="C1217" s="116">
        <v>1447.85</v>
      </c>
      <c r="D1217" s="116">
        <v>1350.05</v>
      </c>
      <c r="E1217" s="116">
        <v>1440</v>
      </c>
      <c r="F1217" s="116">
        <v>1447.85</v>
      </c>
      <c r="G1217">
        <v>62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43859</v>
      </c>
      <c r="B1218" s="116">
        <v>1520.2</v>
      </c>
      <c r="C1218" s="116">
        <v>1520.2</v>
      </c>
      <c r="D1218" s="116">
        <v>1517.25</v>
      </c>
      <c r="E1218" s="116">
        <v>1517.25</v>
      </c>
      <c r="F1218" s="116">
        <v>1520.2</v>
      </c>
      <c r="G1218">
        <v>533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43860</v>
      </c>
      <c r="B1219" s="116">
        <v>1574</v>
      </c>
      <c r="C1219" s="116">
        <v>1526.35</v>
      </c>
      <c r="D1219" s="116">
        <v>1525.05</v>
      </c>
      <c r="E1219" s="116">
        <v>1570</v>
      </c>
      <c r="F1219" s="116">
        <v>1526.35</v>
      </c>
      <c r="G1219">
        <v>525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43861</v>
      </c>
      <c r="B1220" s="116">
        <v>1602.6</v>
      </c>
      <c r="C1220" s="116">
        <v>1582.75</v>
      </c>
      <c r="D1220" s="116">
        <v>1490</v>
      </c>
      <c r="E1220" s="116">
        <v>1530</v>
      </c>
      <c r="F1220" s="116">
        <v>1582.75</v>
      </c>
      <c r="G1220">
        <v>394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43862</v>
      </c>
      <c r="B1221" s="116">
        <v>1660</v>
      </c>
      <c r="C1221" s="116">
        <v>1599</v>
      </c>
      <c r="D1221" s="116">
        <v>1523.05</v>
      </c>
      <c r="E1221" s="116">
        <v>1602</v>
      </c>
      <c r="F1221" s="116">
        <v>1599</v>
      </c>
      <c r="G1221">
        <v>79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43864</v>
      </c>
      <c r="B1222" s="116">
        <v>1670</v>
      </c>
      <c r="C1222" s="116">
        <v>1619.9</v>
      </c>
      <c r="D1222" s="116">
        <v>1521.1</v>
      </c>
      <c r="E1222" s="116">
        <v>1670</v>
      </c>
      <c r="F1222" s="116">
        <v>1619.9</v>
      </c>
      <c r="G1222">
        <v>33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43865</v>
      </c>
      <c r="B1223" s="116">
        <v>1640</v>
      </c>
      <c r="C1223" s="116">
        <v>1554.1</v>
      </c>
      <c r="D1223" s="116">
        <v>1540.15</v>
      </c>
      <c r="E1223" s="116">
        <v>1545</v>
      </c>
      <c r="F1223" s="116">
        <v>1554.1</v>
      </c>
      <c r="G1223">
        <v>72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43866</v>
      </c>
      <c r="B1224" s="116">
        <v>1619.95</v>
      </c>
      <c r="C1224" s="116">
        <v>1599</v>
      </c>
      <c r="D1224" s="116">
        <v>1555</v>
      </c>
      <c r="E1224" s="116">
        <v>1610.95</v>
      </c>
      <c r="F1224" s="116">
        <v>1599</v>
      </c>
      <c r="G1224">
        <v>116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43867</v>
      </c>
      <c r="B1225" s="116">
        <v>1678.95</v>
      </c>
      <c r="C1225" s="116">
        <v>1678.95</v>
      </c>
      <c r="D1225" s="116">
        <v>1551.05</v>
      </c>
      <c r="E1225" s="116">
        <v>1551.05</v>
      </c>
      <c r="F1225" s="116">
        <v>1678.95</v>
      </c>
      <c r="G1225">
        <v>1049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43868</v>
      </c>
      <c r="B1226" s="116">
        <v>1755</v>
      </c>
      <c r="C1226" s="116">
        <v>1742.35</v>
      </c>
      <c r="D1226" s="116">
        <v>1611.15</v>
      </c>
      <c r="E1226" s="116">
        <v>1690</v>
      </c>
      <c r="F1226" s="116">
        <v>1742.35</v>
      </c>
      <c r="G1226">
        <v>479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43871</v>
      </c>
      <c r="B1227" s="116">
        <v>1740</v>
      </c>
      <c r="C1227" s="116">
        <v>1719.65</v>
      </c>
      <c r="D1227" s="116">
        <v>1655.4</v>
      </c>
      <c r="E1227" s="116">
        <v>1730</v>
      </c>
      <c r="F1227" s="116">
        <v>1719.65</v>
      </c>
      <c r="G1227">
        <v>68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43872</v>
      </c>
      <c r="B1228" s="116">
        <v>1746.3</v>
      </c>
      <c r="C1228" s="116">
        <v>1720</v>
      </c>
      <c r="D1228" s="116">
        <v>1666</v>
      </c>
      <c r="E1228" s="116">
        <v>1746.25</v>
      </c>
      <c r="F1228" s="116">
        <v>1720</v>
      </c>
      <c r="G1228">
        <v>127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43873</v>
      </c>
      <c r="B1229" s="116">
        <v>1803</v>
      </c>
      <c r="C1229" s="116">
        <v>1758.8</v>
      </c>
      <c r="D1229" s="116">
        <v>1662.15</v>
      </c>
      <c r="E1229" s="116">
        <v>1803</v>
      </c>
      <c r="F1229" s="116">
        <v>1758.8</v>
      </c>
      <c r="G1229">
        <v>96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43874</v>
      </c>
      <c r="B1230" s="116">
        <v>1771</v>
      </c>
      <c r="C1230" s="116">
        <v>1700</v>
      </c>
      <c r="D1230" s="116">
        <v>1671</v>
      </c>
      <c r="E1230" s="116">
        <v>1771</v>
      </c>
      <c r="F1230" s="116">
        <v>1700</v>
      </c>
      <c r="G1230">
        <v>324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43875</v>
      </c>
      <c r="B1231" s="116">
        <v>1745</v>
      </c>
      <c r="C1231" s="116">
        <v>1735.95</v>
      </c>
      <c r="D1231" s="116">
        <v>1675</v>
      </c>
      <c r="E1231" s="116">
        <v>1700</v>
      </c>
      <c r="F1231" s="116">
        <v>1735.95</v>
      </c>
      <c r="G1231">
        <v>271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43878</v>
      </c>
      <c r="B1232" s="116">
        <v>1735.25</v>
      </c>
      <c r="C1232" s="116">
        <v>1658.55</v>
      </c>
      <c r="D1232" s="116">
        <v>1650</v>
      </c>
      <c r="E1232" s="116">
        <v>1651</v>
      </c>
      <c r="F1232" s="116">
        <v>1658.55</v>
      </c>
      <c r="G1232">
        <v>195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43879</v>
      </c>
      <c r="B1233" s="116">
        <v>1739</v>
      </c>
      <c r="C1233" s="116">
        <v>1709.95</v>
      </c>
      <c r="D1233" s="116">
        <v>1577</v>
      </c>
      <c r="E1233" s="116">
        <v>1739</v>
      </c>
      <c r="F1233" s="116">
        <v>1709.95</v>
      </c>
      <c r="G1233">
        <v>63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43880</v>
      </c>
      <c r="B1234" s="116">
        <v>1780.95</v>
      </c>
      <c r="C1234" s="116">
        <v>1637</v>
      </c>
      <c r="D1234" s="116">
        <v>1626</v>
      </c>
      <c r="E1234" s="116">
        <v>1780.95</v>
      </c>
      <c r="F1234" s="116">
        <v>1637</v>
      </c>
      <c r="G1234">
        <v>36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43881</v>
      </c>
      <c r="B1235" s="116">
        <v>1708.7</v>
      </c>
      <c r="C1235" s="116">
        <v>1675</v>
      </c>
      <c r="D1235" s="116">
        <v>1625</v>
      </c>
      <c r="E1235" s="116">
        <v>1625</v>
      </c>
      <c r="F1235" s="116">
        <v>1675</v>
      </c>
      <c r="G1235">
        <v>92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43885</v>
      </c>
      <c r="B1236" s="116">
        <v>1675</v>
      </c>
      <c r="C1236" s="116">
        <v>1615</v>
      </c>
      <c r="D1236" s="116">
        <v>1615</v>
      </c>
      <c r="E1236" s="116">
        <v>1675</v>
      </c>
      <c r="F1236" s="116">
        <v>1615</v>
      </c>
      <c r="G1236">
        <v>70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43886</v>
      </c>
      <c r="B1237" s="116">
        <v>1645</v>
      </c>
      <c r="C1237" s="116">
        <v>1643.9</v>
      </c>
      <c r="D1237" s="116">
        <v>1605.5</v>
      </c>
      <c r="E1237" s="116">
        <v>1625</v>
      </c>
      <c r="F1237" s="116">
        <v>1643.9</v>
      </c>
      <c r="G1237">
        <v>196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43887</v>
      </c>
      <c r="B1238" s="116">
        <v>1686</v>
      </c>
      <c r="C1238" s="116">
        <v>1625.05</v>
      </c>
      <c r="D1238" s="116">
        <v>1625.05</v>
      </c>
      <c r="E1238" s="116">
        <v>1686</v>
      </c>
      <c r="F1238" s="116">
        <v>1625.05</v>
      </c>
      <c r="G1238">
        <v>126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43888</v>
      </c>
      <c r="B1239" s="116">
        <v>1699</v>
      </c>
      <c r="C1239" s="116">
        <v>1644.95</v>
      </c>
      <c r="D1239" s="116">
        <v>1544.25</v>
      </c>
      <c r="E1239" s="116">
        <v>1544.25</v>
      </c>
      <c r="F1239" s="116">
        <v>1644.95</v>
      </c>
      <c r="G1239">
        <v>126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43889</v>
      </c>
      <c r="B1240" s="116">
        <v>1698.95</v>
      </c>
      <c r="C1240" s="116">
        <v>1637.4</v>
      </c>
      <c r="D1240" s="116">
        <v>1565</v>
      </c>
      <c r="E1240" s="116">
        <v>1670.9</v>
      </c>
      <c r="F1240" s="116">
        <v>1637.4</v>
      </c>
      <c r="G1240">
        <v>351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43892</v>
      </c>
      <c r="B1241" s="116">
        <v>1648</v>
      </c>
      <c r="C1241" s="116">
        <v>1627.25</v>
      </c>
      <c r="D1241" s="116">
        <v>1580.25</v>
      </c>
      <c r="E1241" s="116">
        <v>1648</v>
      </c>
      <c r="F1241" s="116">
        <v>1627.25</v>
      </c>
      <c r="G1241">
        <v>30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43893</v>
      </c>
      <c r="B1242" s="116">
        <v>1644</v>
      </c>
      <c r="C1242" s="116">
        <v>1639</v>
      </c>
      <c r="D1242" s="116">
        <v>1626</v>
      </c>
      <c r="E1242" s="116">
        <v>1626</v>
      </c>
      <c r="F1242" s="116">
        <v>1639</v>
      </c>
      <c r="G1242">
        <v>40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43894</v>
      </c>
      <c r="B1243" s="116">
        <v>1673.95</v>
      </c>
      <c r="C1243" s="116">
        <v>1638.5</v>
      </c>
      <c r="D1243" s="116">
        <v>1565.05</v>
      </c>
      <c r="E1243" s="116">
        <v>1673.95</v>
      </c>
      <c r="F1243" s="116">
        <v>1638.5</v>
      </c>
      <c r="G1243">
        <v>110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43895</v>
      </c>
      <c r="B1244" s="116">
        <v>1657.85</v>
      </c>
      <c r="C1244" s="116">
        <v>1637</v>
      </c>
      <c r="D1244" s="116">
        <v>1637</v>
      </c>
      <c r="E1244" s="116">
        <v>1657.85</v>
      </c>
      <c r="F1244" s="116">
        <v>1637</v>
      </c>
      <c r="G1244">
        <v>17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43896</v>
      </c>
      <c r="B1245" s="116">
        <v>1643</v>
      </c>
      <c r="C1245" s="116">
        <v>1612</v>
      </c>
      <c r="D1245" s="116">
        <v>1556.6</v>
      </c>
      <c r="E1245" s="116">
        <v>1558</v>
      </c>
      <c r="F1245" s="116">
        <v>1612</v>
      </c>
      <c r="G1245">
        <v>66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43899</v>
      </c>
      <c r="B1246" s="116">
        <v>1675</v>
      </c>
      <c r="C1246" s="116">
        <v>1531.6</v>
      </c>
      <c r="D1246" s="116">
        <v>1531.4</v>
      </c>
      <c r="E1246" s="116">
        <v>1675</v>
      </c>
      <c r="F1246" s="116">
        <v>1531.6</v>
      </c>
      <c r="G1246">
        <v>62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43901</v>
      </c>
      <c r="B1247" s="116">
        <v>1575</v>
      </c>
      <c r="C1247" s="116">
        <v>1507.5</v>
      </c>
      <c r="D1247" s="116">
        <v>1505</v>
      </c>
      <c r="E1247" s="116">
        <v>1575</v>
      </c>
      <c r="F1247" s="116">
        <v>1507.5</v>
      </c>
      <c r="G1247">
        <v>14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43902</v>
      </c>
      <c r="B1248" s="116">
        <v>1499.95</v>
      </c>
      <c r="C1248" s="116">
        <v>1465.95</v>
      </c>
      <c r="D1248" s="116">
        <v>1432.15</v>
      </c>
      <c r="E1248" s="116">
        <v>1499.95</v>
      </c>
      <c r="F1248" s="116">
        <v>1465.95</v>
      </c>
      <c r="G1248">
        <v>63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43903</v>
      </c>
      <c r="B1249" s="116">
        <v>1464.95</v>
      </c>
      <c r="C1249" s="116">
        <v>1400</v>
      </c>
      <c r="D1249" s="116">
        <v>1392.7</v>
      </c>
      <c r="E1249" s="116">
        <v>1435</v>
      </c>
      <c r="F1249" s="116">
        <v>1400</v>
      </c>
      <c r="G1249">
        <v>68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43906</v>
      </c>
      <c r="B1250" s="116">
        <v>1390.9</v>
      </c>
      <c r="C1250" s="116">
        <v>1344</v>
      </c>
      <c r="D1250" s="116">
        <v>1330</v>
      </c>
      <c r="E1250" s="116">
        <v>1331</v>
      </c>
      <c r="F1250" s="116">
        <v>1344</v>
      </c>
      <c r="G1250">
        <v>147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43907</v>
      </c>
      <c r="B1251" s="116">
        <v>1349.95</v>
      </c>
      <c r="C1251" s="116">
        <v>1292.5</v>
      </c>
      <c r="D1251" s="116">
        <v>1280</v>
      </c>
      <c r="E1251" s="116">
        <v>1349.95</v>
      </c>
      <c r="F1251" s="116">
        <v>1292.5</v>
      </c>
      <c r="G1251">
        <v>246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43908</v>
      </c>
      <c r="B1252" s="116">
        <v>1355</v>
      </c>
      <c r="C1252" s="116">
        <v>1355</v>
      </c>
      <c r="D1252" s="116">
        <v>1290</v>
      </c>
      <c r="E1252" s="116">
        <v>1300.95</v>
      </c>
      <c r="F1252" s="116">
        <v>1355</v>
      </c>
      <c r="G1252">
        <v>52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43909</v>
      </c>
      <c r="B1253" s="116">
        <v>1345</v>
      </c>
      <c r="C1253" s="116">
        <v>1290</v>
      </c>
      <c r="D1253" s="116">
        <v>1287.25</v>
      </c>
      <c r="E1253" s="116">
        <v>1287.25</v>
      </c>
      <c r="F1253" s="116">
        <v>1290</v>
      </c>
      <c r="G1253">
        <v>196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43910</v>
      </c>
      <c r="B1254" s="116">
        <v>1347.95</v>
      </c>
      <c r="C1254" s="116">
        <v>1344.95</v>
      </c>
      <c r="D1254" s="116">
        <v>1226.0999999999999</v>
      </c>
      <c r="E1254" s="116">
        <v>1290</v>
      </c>
      <c r="F1254" s="116">
        <v>1344.95</v>
      </c>
      <c r="G1254">
        <v>14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43913</v>
      </c>
      <c r="B1255" s="116">
        <v>1313.85</v>
      </c>
      <c r="C1255" s="116">
        <v>1310</v>
      </c>
      <c r="D1255" s="116">
        <v>1310</v>
      </c>
      <c r="E1255" s="116">
        <v>1313.85</v>
      </c>
      <c r="F1255" s="116">
        <v>1310</v>
      </c>
      <c r="G1255">
        <v>6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43914</v>
      </c>
      <c r="B1256" s="116">
        <v>1334.5</v>
      </c>
      <c r="C1256" s="116">
        <v>1334.25</v>
      </c>
      <c r="D1256" s="116">
        <v>1244.5</v>
      </c>
      <c r="E1256" s="116">
        <v>1310</v>
      </c>
      <c r="F1256" s="116">
        <v>1334.25</v>
      </c>
      <c r="G1256">
        <v>450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43915</v>
      </c>
      <c r="B1257" s="116">
        <v>1344.55</v>
      </c>
      <c r="C1257" s="116">
        <v>1344.35</v>
      </c>
      <c r="D1257" s="116">
        <v>1267.55</v>
      </c>
      <c r="E1257" s="116">
        <v>1268.25</v>
      </c>
      <c r="F1257" s="116">
        <v>1344.35</v>
      </c>
      <c r="G1257">
        <v>43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43916</v>
      </c>
      <c r="B1258" s="116">
        <v>1408</v>
      </c>
      <c r="C1258" s="116">
        <v>1280</v>
      </c>
      <c r="D1258" s="116">
        <v>1280</v>
      </c>
      <c r="E1258" s="116">
        <v>1280</v>
      </c>
      <c r="F1258" s="116">
        <v>1280</v>
      </c>
      <c r="G1258">
        <v>162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43917</v>
      </c>
      <c r="B1259" s="116">
        <v>1344</v>
      </c>
      <c r="C1259" s="116">
        <v>1344</v>
      </c>
      <c r="D1259" s="116">
        <v>1339</v>
      </c>
      <c r="E1259" s="116">
        <v>1339</v>
      </c>
      <c r="F1259" s="116">
        <v>1344</v>
      </c>
      <c r="G1259">
        <v>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43920</v>
      </c>
      <c r="B1260" s="116">
        <v>1339.95</v>
      </c>
      <c r="C1260" s="116">
        <v>1283.05</v>
      </c>
      <c r="D1260" s="116">
        <v>1276.8</v>
      </c>
      <c r="E1260" s="116">
        <v>1280</v>
      </c>
      <c r="F1260" s="116">
        <v>1283.05</v>
      </c>
      <c r="G1260">
        <v>153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43921</v>
      </c>
      <c r="B1261" s="116">
        <v>1346.25</v>
      </c>
      <c r="C1261" s="116">
        <v>1293.0999999999999</v>
      </c>
      <c r="D1261" s="116">
        <v>1283</v>
      </c>
      <c r="E1261" s="116">
        <v>1283</v>
      </c>
      <c r="F1261" s="116">
        <v>1293.0999999999999</v>
      </c>
      <c r="G1261">
        <v>51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43922</v>
      </c>
      <c r="B1262" s="116">
        <v>1339.9</v>
      </c>
      <c r="C1262" s="116">
        <v>1236.0999999999999</v>
      </c>
      <c r="D1262" s="116">
        <v>1233</v>
      </c>
      <c r="E1262" s="116">
        <v>1233.05</v>
      </c>
      <c r="F1262" s="116">
        <v>1236.0999999999999</v>
      </c>
      <c r="G1262">
        <v>105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43924</v>
      </c>
      <c r="B1263" s="116">
        <v>1297.75</v>
      </c>
      <c r="C1263" s="116">
        <v>1231.7</v>
      </c>
      <c r="D1263" s="116">
        <v>1228.45</v>
      </c>
      <c r="E1263" s="116">
        <v>1297.75</v>
      </c>
      <c r="F1263" s="116">
        <v>1231.7</v>
      </c>
      <c r="G1263">
        <v>24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43928</v>
      </c>
      <c r="B1264" s="116">
        <v>1292.25</v>
      </c>
      <c r="C1264" s="116">
        <v>1270</v>
      </c>
      <c r="D1264" s="116">
        <v>1228</v>
      </c>
      <c r="E1264" s="116">
        <v>1230</v>
      </c>
      <c r="F1264" s="116">
        <v>1270</v>
      </c>
      <c r="G1264">
        <v>71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43929</v>
      </c>
      <c r="B1265" s="116">
        <v>1319.1</v>
      </c>
      <c r="C1265" s="116">
        <v>1317.9</v>
      </c>
      <c r="D1265" s="116">
        <v>1230</v>
      </c>
      <c r="E1265" s="116">
        <v>1230</v>
      </c>
      <c r="F1265" s="116">
        <v>1317.9</v>
      </c>
      <c r="G1265">
        <v>46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43930</v>
      </c>
      <c r="B1266" s="116">
        <v>1348.45</v>
      </c>
      <c r="C1266" s="116">
        <v>1301.25</v>
      </c>
      <c r="D1266" s="116">
        <v>1289.9000000000001</v>
      </c>
      <c r="E1266" s="116">
        <v>1290</v>
      </c>
      <c r="F1266" s="116">
        <v>1301.25</v>
      </c>
      <c r="G1266">
        <v>148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43934</v>
      </c>
      <c r="B1267" s="116">
        <v>1275</v>
      </c>
      <c r="C1267" s="116">
        <v>1275</v>
      </c>
      <c r="D1267" s="116">
        <v>1275</v>
      </c>
      <c r="E1267" s="116">
        <v>1275</v>
      </c>
      <c r="F1267" s="116">
        <v>1275</v>
      </c>
      <c r="G1267">
        <v>4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43936</v>
      </c>
      <c r="B1268" s="116">
        <v>1338.7</v>
      </c>
      <c r="C1268" s="116">
        <v>1334.45</v>
      </c>
      <c r="D1268" s="116">
        <v>1226.05</v>
      </c>
      <c r="E1268" s="116">
        <v>1338.7</v>
      </c>
      <c r="F1268" s="116">
        <v>1334.45</v>
      </c>
      <c r="G1268">
        <v>45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43937</v>
      </c>
      <c r="B1269" s="116">
        <v>1379</v>
      </c>
      <c r="C1269" s="116">
        <v>1379</v>
      </c>
      <c r="D1269" s="116">
        <v>1267.75</v>
      </c>
      <c r="E1269" s="116">
        <v>1267.75</v>
      </c>
      <c r="F1269" s="116">
        <v>1379</v>
      </c>
      <c r="G1269">
        <v>16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43938</v>
      </c>
      <c r="B1270" s="116">
        <v>1377.75</v>
      </c>
      <c r="C1270" s="116">
        <v>1318.65</v>
      </c>
      <c r="D1270" s="116">
        <v>1310.05</v>
      </c>
      <c r="E1270" s="116">
        <v>1350</v>
      </c>
      <c r="F1270" s="116">
        <v>1318.65</v>
      </c>
      <c r="G1270">
        <v>187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43941</v>
      </c>
      <c r="B1271" s="116">
        <v>1301.25</v>
      </c>
      <c r="C1271" s="116">
        <v>1295</v>
      </c>
      <c r="D1271" s="116">
        <v>1290</v>
      </c>
      <c r="E1271" s="116">
        <v>1300</v>
      </c>
      <c r="F1271" s="116">
        <v>1295</v>
      </c>
      <c r="G1271">
        <v>85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43942</v>
      </c>
      <c r="B1272" s="116">
        <v>1326.95</v>
      </c>
      <c r="C1272" s="116">
        <v>1268.1500000000001</v>
      </c>
      <c r="D1272" s="116">
        <v>1260</v>
      </c>
      <c r="E1272" s="116">
        <v>1270.05</v>
      </c>
      <c r="F1272" s="116">
        <v>1268.1500000000001</v>
      </c>
      <c r="G1272">
        <v>121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43943</v>
      </c>
      <c r="B1273" s="116">
        <v>1314.75</v>
      </c>
      <c r="C1273" s="116">
        <v>1254.3499999999999</v>
      </c>
      <c r="D1273" s="116">
        <v>1254</v>
      </c>
      <c r="E1273" s="116">
        <v>1314.75</v>
      </c>
      <c r="F1273" s="116">
        <v>1254.3499999999999</v>
      </c>
      <c r="G1273">
        <v>42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43944</v>
      </c>
      <c r="B1274" s="116">
        <v>1309</v>
      </c>
      <c r="C1274" s="116">
        <v>1309</v>
      </c>
      <c r="D1274" s="116">
        <v>1200</v>
      </c>
      <c r="E1274" s="116">
        <v>1263.05</v>
      </c>
      <c r="F1274" s="116">
        <v>1309</v>
      </c>
      <c r="G1274">
        <v>159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43945</v>
      </c>
      <c r="B1275" s="116">
        <v>1308</v>
      </c>
      <c r="C1275" s="116">
        <v>1246.25</v>
      </c>
      <c r="D1275" s="116">
        <v>1246.25</v>
      </c>
      <c r="E1275" s="116">
        <v>1307.8499999999999</v>
      </c>
      <c r="F1275" s="116">
        <v>1246.25</v>
      </c>
      <c r="G1275">
        <v>76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43948</v>
      </c>
      <c r="B1276" s="116">
        <v>1303.8</v>
      </c>
      <c r="C1276" s="116">
        <v>1303.75</v>
      </c>
      <c r="D1276" s="116">
        <v>1246</v>
      </c>
      <c r="E1276" s="116">
        <v>1250</v>
      </c>
      <c r="F1276" s="116">
        <v>1303.75</v>
      </c>
      <c r="G1276">
        <v>14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43949</v>
      </c>
      <c r="B1277" s="116">
        <v>1335</v>
      </c>
      <c r="C1277" s="116">
        <v>1308.3</v>
      </c>
      <c r="D1277" s="116">
        <v>1243</v>
      </c>
      <c r="E1277" s="116">
        <v>1310</v>
      </c>
      <c r="F1277" s="116">
        <v>1308.3</v>
      </c>
      <c r="G1277">
        <v>19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43950</v>
      </c>
      <c r="B1278" s="116">
        <v>1299</v>
      </c>
      <c r="C1278" s="116">
        <v>1299</v>
      </c>
      <c r="D1278" s="116">
        <v>1245</v>
      </c>
      <c r="E1278" s="116">
        <v>1246.05</v>
      </c>
      <c r="F1278" s="116">
        <v>1299</v>
      </c>
      <c r="G1278">
        <v>85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43951</v>
      </c>
      <c r="B1279" s="116">
        <v>1300.8499999999999</v>
      </c>
      <c r="C1279" s="116">
        <v>1250.5999999999999</v>
      </c>
      <c r="D1279" s="116">
        <v>1250.05</v>
      </c>
      <c r="E1279" s="116">
        <v>1299</v>
      </c>
      <c r="F1279" s="116">
        <v>1250.5999999999999</v>
      </c>
      <c r="G1279">
        <v>71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43955</v>
      </c>
      <c r="B1280" s="116">
        <v>1265</v>
      </c>
      <c r="C1280" s="116">
        <v>1265</v>
      </c>
      <c r="D1280" s="116">
        <v>1241.0999999999999</v>
      </c>
      <c r="E1280" s="116">
        <v>1241.3</v>
      </c>
      <c r="F1280" s="116">
        <v>1265</v>
      </c>
      <c r="G1280">
        <v>25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43956</v>
      </c>
      <c r="B1281" s="116">
        <v>1250</v>
      </c>
      <c r="C1281" s="116">
        <v>1250</v>
      </c>
      <c r="D1281" s="116">
        <v>1249.9000000000001</v>
      </c>
      <c r="E1281" s="116">
        <v>1250</v>
      </c>
      <c r="F1281" s="116">
        <v>1250</v>
      </c>
      <c r="G1281">
        <v>85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43957</v>
      </c>
      <c r="B1282" s="116">
        <v>1245</v>
      </c>
      <c r="C1282" s="116">
        <v>1245</v>
      </c>
      <c r="D1282" s="116">
        <v>1245</v>
      </c>
      <c r="E1282" s="116">
        <v>1245</v>
      </c>
      <c r="F1282" s="116">
        <v>1245</v>
      </c>
      <c r="G1282">
        <v>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43958</v>
      </c>
      <c r="B1283" s="116">
        <v>1229.25</v>
      </c>
      <c r="C1283" s="116">
        <v>1208.6500000000001</v>
      </c>
      <c r="D1283" s="116">
        <v>1200</v>
      </c>
      <c r="E1283" s="116">
        <v>1200</v>
      </c>
      <c r="F1283" s="116">
        <v>1208.6500000000001</v>
      </c>
      <c r="G1283">
        <v>56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43959</v>
      </c>
      <c r="B1284" s="116">
        <v>1248.05</v>
      </c>
      <c r="C1284" s="116">
        <v>1210</v>
      </c>
      <c r="D1284" s="116">
        <v>1210</v>
      </c>
      <c r="E1284" s="116">
        <v>1248.05</v>
      </c>
      <c r="F1284" s="116">
        <v>1210</v>
      </c>
      <c r="G1284">
        <v>5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43962</v>
      </c>
      <c r="B1285" s="116">
        <v>1209.9000000000001</v>
      </c>
      <c r="C1285" s="116">
        <v>1183</v>
      </c>
      <c r="D1285" s="116">
        <v>1176</v>
      </c>
      <c r="E1285" s="116">
        <v>1176</v>
      </c>
      <c r="F1285" s="116">
        <v>1183</v>
      </c>
      <c r="G1285">
        <v>79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43963</v>
      </c>
      <c r="B1286" s="116">
        <v>1229.25</v>
      </c>
      <c r="C1286" s="116">
        <v>1180.95</v>
      </c>
      <c r="D1286" s="116">
        <v>1180</v>
      </c>
      <c r="E1286" s="116">
        <v>1190</v>
      </c>
      <c r="F1286" s="116">
        <v>1180.95</v>
      </c>
      <c r="G1286">
        <v>46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43964</v>
      </c>
      <c r="B1287" s="116">
        <v>1200</v>
      </c>
      <c r="C1287" s="116">
        <v>1191.55</v>
      </c>
      <c r="D1287" s="116">
        <v>1190</v>
      </c>
      <c r="E1287" s="116">
        <v>1196</v>
      </c>
      <c r="F1287" s="116">
        <v>1191.55</v>
      </c>
      <c r="G1287">
        <v>51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43965</v>
      </c>
      <c r="B1288" s="116">
        <v>1205.0999999999999</v>
      </c>
      <c r="C1288" s="116">
        <v>1205.0999999999999</v>
      </c>
      <c r="D1288" s="116">
        <v>1201</v>
      </c>
      <c r="E1288" s="116">
        <v>1201</v>
      </c>
      <c r="F1288" s="116">
        <v>1205.0999999999999</v>
      </c>
      <c r="G1288">
        <v>21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43966</v>
      </c>
      <c r="B1289" s="116">
        <v>1249.95</v>
      </c>
      <c r="C1289" s="116">
        <v>1181</v>
      </c>
      <c r="D1289" s="116">
        <v>1181</v>
      </c>
      <c r="E1289" s="116">
        <v>1204.95</v>
      </c>
      <c r="F1289" s="116">
        <v>1181</v>
      </c>
      <c r="G1289">
        <v>35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43969</v>
      </c>
      <c r="B1290" s="116">
        <v>1176</v>
      </c>
      <c r="C1290" s="116">
        <v>1174.8</v>
      </c>
      <c r="D1290" s="116">
        <v>1152.45</v>
      </c>
      <c r="E1290" s="116">
        <v>1176</v>
      </c>
      <c r="F1290" s="116">
        <v>1174.8</v>
      </c>
      <c r="G1290">
        <v>52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43970</v>
      </c>
      <c r="B1291" s="116">
        <v>1174</v>
      </c>
      <c r="C1291" s="116">
        <v>1174</v>
      </c>
      <c r="D1291" s="116">
        <v>1131.3499999999999</v>
      </c>
      <c r="E1291" s="116">
        <v>1150</v>
      </c>
      <c r="F1291" s="116">
        <v>1174</v>
      </c>
      <c r="G1291">
        <v>47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43971</v>
      </c>
      <c r="B1292" s="116">
        <v>1154</v>
      </c>
      <c r="C1292" s="116">
        <v>1150</v>
      </c>
      <c r="D1292" s="116">
        <v>1150</v>
      </c>
      <c r="E1292" s="116">
        <v>1154</v>
      </c>
      <c r="F1292" s="116">
        <v>1150</v>
      </c>
      <c r="G1292">
        <v>21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43972</v>
      </c>
      <c r="B1293" s="116">
        <v>1199</v>
      </c>
      <c r="C1293" s="116">
        <v>1199</v>
      </c>
      <c r="D1293" s="116">
        <v>1199</v>
      </c>
      <c r="E1293" s="116">
        <v>1199</v>
      </c>
      <c r="F1293" s="116">
        <v>1199</v>
      </c>
      <c r="G1293">
        <v>10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43973</v>
      </c>
      <c r="B1294" s="116">
        <v>1200</v>
      </c>
      <c r="C1294" s="116">
        <v>1150</v>
      </c>
      <c r="D1294" s="116">
        <v>1150</v>
      </c>
      <c r="E1294" s="116">
        <v>1195</v>
      </c>
      <c r="F1294" s="116">
        <v>1150</v>
      </c>
      <c r="G1294">
        <v>52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43977</v>
      </c>
      <c r="B1295" s="116">
        <v>1170</v>
      </c>
      <c r="C1295" s="116">
        <v>1170</v>
      </c>
      <c r="D1295" s="116">
        <v>1170</v>
      </c>
      <c r="E1295" s="116">
        <v>1170</v>
      </c>
      <c r="F1295" s="116">
        <v>1170</v>
      </c>
      <c r="G1295">
        <v>2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43978</v>
      </c>
      <c r="B1296" s="116">
        <v>1228.1500000000001</v>
      </c>
      <c r="C1296" s="116">
        <v>1228.1500000000001</v>
      </c>
      <c r="D1296" s="116">
        <v>1200</v>
      </c>
      <c r="E1296" s="116">
        <v>1200</v>
      </c>
      <c r="F1296" s="116">
        <v>1228.1500000000001</v>
      </c>
      <c r="G1296">
        <v>5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43979</v>
      </c>
      <c r="B1297" s="116">
        <v>1228</v>
      </c>
      <c r="C1297" s="116">
        <v>1200</v>
      </c>
      <c r="D1297" s="116">
        <v>1177</v>
      </c>
      <c r="E1297" s="116">
        <v>1228</v>
      </c>
      <c r="F1297" s="116">
        <v>1200</v>
      </c>
      <c r="G1297">
        <v>74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43980</v>
      </c>
      <c r="B1298" s="116">
        <v>1258.95</v>
      </c>
      <c r="C1298" s="116">
        <v>1258.95</v>
      </c>
      <c r="D1298" s="116">
        <v>1258.95</v>
      </c>
      <c r="E1298" s="116">
        <v>1258.95</v>
      </c>
      <c r="F1298" s="116">
        <v>1258.95</v>
      </c>
      <c r="G1298">
        <v>11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43983</v>
      </c>
      <c r="B1299" s="116">
        <v>1321.85</v>
      </c>
      <c r="C1299" s="116">
        <v>1319.8</v>
      </c>
      <c r="D1299" s="116">
        <v>1199.75</v>
      </c>
      <c r="E1299" s="116">
        <v>1258.95</v>
      </c>
      <c r="F1299" s="116">
        <v>1319.8</v>
      </c>
      <c r="G1299">
        <v>234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43984</v>
      </c>
      <c r="B1300" s="116">
        <v>1330</v>
      </c>
      <c r="C1300" s="116">
        <v>1319.25</v>
      </c>
      <c r="D1300" s="116">
        <v>1255.05</v>
      </c>
      <c r="E1300" s="116">
        <v>1330</v>
      </c>
      <c r="F1300" s="116">
        <v>1319.25</v>
      </c>
      <c r="G1300">
        <v>18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43985</v>
      </c>
      <c r="B1301" s="116">
        <v>1350</v>
      </c>
      <c r="C1301" s="116">
        <v>1291</v>
      </c>
      <c r="D1301" s="116">
        <v>1255.0999999999999</v>
      </c>
      <c r="E1301" s="116">
        <v>1319.25</v>
      </c>
      <c r="F1301" s="116">
        <v>1291</v>
      </c>
      <c r="G1301">
        <v>52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43986</v>
      </c>
      <c r="B1302" s="116">
        <v>1300</v>
      </c>
      <c r="C1302" s="116">
        <v>1298.95</v>
      </c>
      <c r="D1302" s="116">
        <v>1252</v>
      </c>
      <c r="E1302" s="116">
        <v>1300</v>
      </c>
      <c r="F1302" s="116">
        <v>1298.95</v>
      </c>
      <c r="G1302">
        <v>18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43987</v>
      </c>
      <c r="B1303" s="116">
        <v>1349.95</v>
      </c>
      <c r="C1303" s="116">
        <v>1327.85</v>
      </c>
      <c r="D1303" s="116">
        <v>1260.05</v>
      </c>
      <c r="E1303" s="116">
        <v>1260.05</v>
      </c>
      <c r="F1303" s="116">
        <v>1327.85</v>
      </c>
      <c r="G1303">
        <v>58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43990</v>
      </c>
      <c r="B1304" s="116">
        <v>1350</v>
      </c>
      <c r="C1304" s="116">
        <v>1272.1500000000001</v>
      </c>
      <c r="D1304" s="116">
        <v>1272.1500000000001</v>
      </c>
      <c r="E1304" s="116">
        <v>1350</v>
      </c>
      <c r="F1304" s="116">
        <v>1272.1500000000001</v>
      </c>
      <c r="G1304">
        <v>64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43991</v>
      </c>
      <c r="B1305" s="116">
        <v>1323.75</v>
      </c>
      <c r="C1305" s="116">
        <v>1303.4000000000001</v>
      </c>
      <c r="D1305" s="116">
        <v>1300</v>
      </c>
      <c r="E1305" s="116">
        <v>1300</v>
      </c>
      <c r="F1305" s="116">
        <v>1303.4000000000001</v>
      </c>
      <c r="G1305">
        <v>7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43992</v>
      </c>
      <c r="B1306" s="116">
        <v>1302</v>
      </c>
      <c r="C1306" s="116">
        <v>1280.6500000000001</v>
      </c>
      <c r="D1306" s="116">
        <v>1275</v>
      </c>
      <c r="E1306" s="116">
        <v>1302</v>
      </c>
      <c r="F1306" s="116">
        <v>1280.6500000000001</v>
      </c>
      <c r="G1306">
        <v>74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43993</v>
      </c>
      <c r="B1307" s="116">
        <v>1343.9</v>
      </c>
      <c r="C1307" s="116">
        <v>1298</v>
      </c>
      <c r="D1307" s="116">
        <v>1281</v>
      </c>
      <c r="E1307" s="116">
        <v>1343.9</v>
      </c>
      <c r="F1307" s="116">
        <v>1298</v>
      </c>
      <c r="G1307">
        <v>19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43994</v>
      </c>
      <c r="B1308" s="116">
        <v>1269</v>
      </c>
      <c r="C1308" s="116">
        <v>1269</v>
      </c>
      <c r="D1308" s="116">
        <v>1252</v>
      </c>
      <c r="E1308" s="116">
        <v>1252</v>
      </c>
      <c r="F1308" s="116">
        <v>1269</v>
      </c>
      <c r="G1308">
        <v>101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43997</v>
      </c>
      <c r="B1309" s="116">
        <v>1278.95</v>
      </c>
      <c r="C1309" s="116">
        <v>1278.95</v>
      </c>
      <c r="D1309" s="116">
        <v>1260</v>
      </c>
      <c r="E1309" s="116">
        <v>1269</v>
      </c>
      <c r="F1309" s="116">
        <v>1278.95</v>
      </c>
      <c r="G1309">
        <v>32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43998</v>
      </c>
      <c r="B1310" s="116">
        <v>1328.8</v>
      </c>
      <c r="C1310" s="116">
        <v>1260</v>
      </c>
      <c r="D1310" s="116">
        <v>1260</v>
      </c>
      <c r="E1310" s="116">
        <v>1300</v>
      </c>
      <c r="F1310" s="116">
        <v>1260</v>
      </c>
      <c r="G1310">
        <v>150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43999</v>
      </c>
      <c r="B1311" s="116">
        <v>1288.6500000000001</v>
      </c>
      <c r="C1311" s="116">
        <v>1260.0999999999999</v>
      </c>
      <c r="D1311" s="116">
        <v>1260.0999999999999</v>
      </c>
      <c r="E1311" s="116">
        <v>1265</v>
      </c>
      <c r="F1311" s="116">
        <v>1260.0999999999999</v>
      </c>
      <c r="G1311">
        <v>17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44000</v>
      </c>
      <c r="B1312" s="116">
        <v>1305</v>
      </c>
      <c r="C1312" s="116">
        <v>1261.0999999999999</v>
      </c>
      <c r="D1312" s="116">
        <v>1260.5</v>
      </c>
      <c r="E1312" s="116">
        <v>1260.5999999999999</v>
      </c>
      <c r="F1312" s="116">
        <v>1261.0999999999999</v>
      </c>
      <c r="G1312">
        <v>62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44001</v>
      </c>
      <c r="B1313" s="116">
        <v>1300</v>
      </c>
      <c r="C1313" s="116">
        <v>1295.6500000000001</v>
      </c>
      <c r="D1313" s="116">
        <v>1275.05</v>
      </c>
      <c r="E1313" s="116">
        <v>1299.95</v>
      </c>
      <c r="F1313" s="116">
        <v>1295.6500000000001</v>
      </c>
      <c r="G1313">
        <v>84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44004</v>
      </c>
      <c r="B1314" s="116">
        <v>1319.2</v>
      </c>
      <c r="C1314" s="116">
        <v>1309</v>
      </c>
      <c r="D1314" s="116">
        <v>1231</v>
      </c>
      <c r="E1314" s="116">
        <v>1231</v>
      </c>
      <c r="F1314" s="116">
        <v>1309</v>
      </c>
      <c r="G1314">
        <v>38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44005</v>
      </c>
      <c r="B1315" s="116">
        <v>1313.95</v>
      </c>
      <c r="C1315" s="116">
        <v>1280</v>
      </c>
      <c r="D1315" s="116">
        <v>1280</v>
      </c>
      <c r="E1315" s="116">
        <v>1313.95</v>
      </c>
      <c r="F1315" s="116">
        <v>1280</v>
      </c>
      <c r="G1315">
        <v>52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44006</v>
      </c>
      <c r="B1316" s="116">
        <v>1315</v>
      </c>
      <c r="C1316" s="116">
        <v>1266</v>
      </c>
      <c r="D1316" s="116">
        <v>1266</v>
      </c>
      <c r="E1316" s="116">
        <v>1313</v>
      </c>
      <c r="F1316" s="116">
        <v>1266</v>
      </c>
      <c r="G1316">
        <v>11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44007</v>
      </c>
      <c r="B1317" s="116">
        <v>1315</v>
      </c>
      <c r="C1317" s="116">
        <v>1315</v>
      </c>
      <c r="D1317" s="116">
        <v>1261.05</v>
      </c>
      <c r="E1317" s="116">
        <v>1261.05</v>
      </c>
      <c r="F1317" s="116">
        <v>1315</v>
      </c>
      <c r="G1317">
        <v>15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44008</v>
      </c>
      <c r="B1318" s="116">
        <v>1313.95</v>
      </c>
      <c r="C1318" s="116">
        <v>1309.95</v>
      </c>
      <c r="D1318" s="116">
        <v>1251.2</v>
      </c>
      <c r="E1318" s="116">
        <v>1313.95</v>
      </c>
      <c r="F1318" s="116">
        <v>1309.95</v>
      </c>
      <c r="G1318">
        <v>69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44011</v>
      </c>
      <c r="B1319" s="116">
        <v>1280</v>
      </c>
      <c r="C1319" s="116">
        <v>1280</v>
      </c>
      <c r="D1319" s="116">
        <v>1250</v>
      </c>
      <c r="E1319" s="116">
        <v>1250</v>
      </c>
      <c r="F1319" s="116">
        <v>1280</v>
      </c>
      <c r="G1319">
        <v>33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44012</v>
      </c>
      <c r="B1320" s="116">
        <v>1308.0999999999999</v>
      </c>
      <c r="C1320" s="116">
        <v>1275</v>
      </c>
      <c r="D1320" s="116">
        <v>1262</v>
      </c>
      <c r="E1320" s="116">
        <v>1280</v>
      </c>
      <c r="F1320" s="116">
        <v>1275</v>
      </c>
      <c r="G1320">
        <v>68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44013</v>
      </c>
      <c r="B1321" s="116">
        <v>1305</v>
      </c>
      <c r="C1321" s="116">
        <v>1261</v>
      </c>
      <c r="D1321" s="116">
        <v>1261</v>
      </c>
      <c r="E1321" s="116">
        <v>1265.05</v>
      </c>
      <c r="F1321" s="116">
        <v>1261</v>
      </c>
      <c r="G1321">
        <v>150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44014</v>
      </c>
      <c r="B1322" s="116">
        <v>1261</v>
      </c>
      <c r="C1322" s="116">
        <v>1255</v>
      </c>
      <c r="D1322" s="116">
        <v>1255</v>
      </c>
      <c r="E1322" s="116">
        <v>1261</v>
      </c>
      <c r="F1322" s="116">
        <v>1255</v>
      </c>
      <c r="G1322">
        <v>39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44015</v>
      </c>
      <c r="B1323" s="116">
        <v>1280</v>
      </c>
      <c r="C1323" s="116">
        <v>1230</v>
      </c>
      <c r="D1323" s="116">
        <v>1230</v>
      </c>
      <c r="E1323" s="116">
        <v>1280</v>
      </c>
      <c r="F1323" s="116">
        <v>1230</v>
      </c>
      <c r="G1323">
        <v>292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44018</v>
      </c>
      <c r="B1324" s="116">
        <v>1287.95</v>
      </c>
      <c r="C1324" s="116">
        <v>1224</v>
      </c>
      <c r="D1324" s="116">
        <v>1221.0999999999999</v>
      </c>
      <c r="E1324" s="116">
        <v>1287.95</v>
      </c>
      <c r="F1324" s="116">
        <v>1224</v>
      </c>
      <c r="G1324">
        <v>42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44019</v>
      </c>
      <c r="B1325" s="116">
        <v>1248.5</v>
      </c>
      <c r="C1325" s="116">
        <v>1239.3499999999999</v>
      </c>
      <c r="D1325" s="116">
        <v>1235</v>
      </c>
      <c r="E1325" s="116">
        <v>1248.5</v>
      </c>
      <c r="F1325" s="116">
        <v>1239.3499999999999</v>
      </c>
      <c r="G1325">
        <v>53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44020</v>
      </c>
      <c r="B1326" s="116">
        <v>1288.8499999999999</v>
      </c>
      <c r="C1326" s="116">
        <v>1250</v>
      </c>
      <c r="D1326" s="116">
        <v>1244</v>
      </c>
      <c r="E1326" s="116">
        <v>1288.8499999999999</v>
      </c>
      <c r="F1326" s="116">
        <v>1250</v>
      </c>
      <c r="G1326">
        <v>26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44021</v>
      </c>
      <c r="B1327" s="116">
        <v>1274.05</v>
      </c>
      <c r="C1327" s="116">
        <v>1242.7</v>
      </c>
      <c r="D1327" s="116">
        <v>1240</v>
      </c>
      <c r="E1327" s="116">
        <v>1274.05</v>
      </c>
      <c r="F1327" s="116">
        <v>1242.7</v>
      </c>
      <c r="G1327">
        <v>77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44022</v>
      </c>
      <c r="B1328" s="116">
        <v>1264.8</v>
      </c>
      <c r="C1328" s="116">
        <v>1244.9000000000001</v>
      </c>
      <c r="D1328" s="116">
        <v>1235</v>
      </c>
      <c r="E1328" s="116">
        <v>1250</v>
      </c>
      <c r="F1328" s="116">
        <v>1244.9000000000001</v>
      </c>
      <c r="G1328">
        <v>93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44025</v>
      </c>
      <c r="B1329" s="116">
        <v>1268.8499999999999</v>
      </c>
      <c r="C1329" s="116">
        <v>1213.9000000000001</v>
      </c>
      <c r="D1329" s="116">
        <v>1200</v>
      </c>
      <c r="E1329" s="116">
        <v>1268.8499999999999</v>
      </c>
      <c r="F1329" s="116">
        <v>1213.9000000000001</v>
      </c>
      <c r="G1329">
        <v>141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44026</v>
      </c>
      <c r="B1330" s="116">
        <v>1274.55</v>
      </c>
      <c r="C1330" s="116">
        <v>1274.55</v>
      </c>
      <c r="D1330" s="116">
        <v>1268.95</v>
      </c>
      <c r="E1330" s="116">
        <v>1273</v>
      </c>
      <c r="F1330" s="116">
        <v>1274.55</v>
      </c>
      <c r="G1330">
        <v>158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44027</v>
      </c>
      <c r="B1331" s="116">
        <v>1338</v>
      </c>
      <c r="C1331" s="116">
        <v>1240.05</v>
      </c>
      <c r="D1331" s="116">
        <v>1211.4000000000001</v>
      </c>
      <c r="E1331" s="116">
        <v>1338</v>
      </c>
      <c r="F1331" s="116">
        <v>1240.05</v>
      </c>
      <c r="G1331">
        <v>56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44028</v>
      </c>
      <c r="B1332" s="116">
        <v>1302</v>
      </c>
      <c r="C1332" s="116">
        <v>1288.6500000000001</v>
      </c>
      <c r="D1332" s="116">
        <v>1215</v>
      </c>
      <c r="E1332" s="116">
        <v>1302</v>
      </c>
      <c r="F1332" s="116">
        <v>1288.6500000000001</v>
      </c>
      <c r="G1332">
        <v>5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44032</v>
      </c>
      <c r="B1333" s="116">
        <v>1226.05</v>
      </c>
      <c r="C1333" s="116">
        <v>1226</v>
      </c>
      <c r="D1333" s="116">
        <v>1224.75</v>
      </c>
      <c r="E1333" s="116">
        <v>1224.75</v>
      </c>
      <c r="F1333" s="116">
        <v>1226</v>
      </c>
      <c r="G1333">
        <v>20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44033</v>
      </c>
      <c r="B1334" s="116">
        <v>1260.5</v>
      </c>
      <c r="C1334" s="116">
        <v>1231</v>
      </c>
      <c r="D1334" s="116">
        <v>1231</v>
      </c>
      <c r="E1334" s="116">
        <v>1260.5</v>
      </c>
      <c r="F1334" s="116">
        <v>1231</v>
      </c>
      <c r="G1334">
        <v>31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44034</v>
      </c>
      <c r="B1335" s="116">
        <v>1244.8499999999999</v>
      </c>
      <c r="C1335" s="116">
        <v>1244.8499999999999</v>
      </c>
      <c r="D1335" s="116">
        <v>1192.8</v>
      </c>
      <c r="E1335" s="116">
        <v>1225.05</v>
      </c>
      <c r="F1335" s="116">
        <v>1244.8499999999999</v>
      </c>
      <c r="G1335">
        <v>274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44035</v>
      </c>
      <c r="B1336" s="116">
        <v>1283</v>
      </c>
      <c r="C1336" s="116">
        <v>1229.25</v>
      </c>
      <c r="D1336" s="116">
        <v>1218.2</v>
      </c>
      <c r="E1336" s="116">
        <v>1283</v>
      </c>
      <c r="F1336" s="116">
        <v>1229.25</v>
      </c>
      <c r="G1336">
        <v>24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44036</v>
      </c>
      <c r="B1337" s="116">
        <v>1248.95</v>
      </c>
      <c r="C1337" s="116">
        <v>1248.95</v>
      </c>
      <c r="D1337" s="116">
        <v>1220</v>
      </c>
      <c r="E1337" s="116">
        <v>1221.05</v>
      </c>
      <c r="F1337" s="116">
        <v>1248.95</v>
      </c>
      <c r="G1337">
        <v>35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44039</v>
      </c>
      <c r="B1338" s="116">
        <v>1265</v>
      </c>
      <c r="C1338" s="116">
        <v>1201.8</v>
      </c>
      <c r="D1338" s="116">
        <v>1200</v>
      </c>
      <c r="E1338" s="116">
        <v>1210.1500000000001</v>
      </c>
      <c r="F1338" s="116">
        <v>1201.8</v>
      </c>
      <c r="G1338">
        <v>181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44040</v>
      </c>
      <c r="B1339" s="116">
        <v>1259.95</v>
      </c>
      <c r="C1339" s="116">
        <v>1217.45</v>
      </c>
      <c r="D1339" s="116">
        <v>1200</v>
      </c>
      <c r="E1339" s="116">
        <v>1259.95</v>
      </c>
      <c r="F1339" s="116">
        <v>1217.45</v>
      </c>
      <c r="G1339">
        <v>207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44041</v>
      </c>
      <c r="B1340" s="116">
        <v>1276.9000000000001</v>
      </c>
      <c r="C1340" s="116">
        <v>1211.55</v>
      </c>
      <c r="D1340" s="116">
        <v>1210</v>
      </c>
      <c r="E1340" s="116">
        <v>1276.9000000000001</v>
      </c>
      <c r="F1340" s="116">
        <v>1211.55</v>
      </c>
      <c r="G1340">
        <v>226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44042</v>
      </c>
      <c r="B1341" s="116">
        <v>1209.8</v>
      </c>
      <c r="C1341" s="116">
        <v>1190.3</v>
      </c>
      <c r="D1341" s="116">
        <v>1166.3499999999999</v>
      </c>
      <c r="E1341" s="116">
        <v>1189</v>
      </c>
      <c r="F1341" s="116">
        <v>1190.3</v>
      </c>
      <c r="G1341">
        <v>327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44043</v>
      </c>
      <c r="B1342" s="116">
        <v>1205</v>
      </c>
      <c r="C1342" s="116">
        <v>1186</v>
      </c>
      <c r="D1342" s="116">
        <v>1186</v>
      </c>
      <c r="E1342" s="116">
        <v>1205</v>
      </c>
      <c r="F1342" s="116">
        <v>1186</v>
      </c>
      <c r="G1342">
        <v>184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44046</v>
      </c>
      <c r="B1343" s="116">
        <v>1244.8499999999999</v>
      </c>
      <c r="C1343" s="116">
        <v>1185</v>
      </c>
      <c r="D1343" s="116">
        <v>1180</v>
      </c>
      <c r="E1343" s="116">
        <v>1244.8499999999999</v>
      </c>
      <c r="F1343" s="116">
        <v>1185</v>
      </c>
      <c r="G1343">
        <v>55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44047</v>
      </c>
      <c r="B1344" s="116">
        <v>1243.5999999999999</v>
      </c>
      <c r="C1344" s="116">
        <v>1185.3499999999999</v>
      </c>
      <c r="D1344" s="116">
        <v>1185.3499999999999</v>
      </c>
      <c r="E1344" s="116">
        <v>1243.5999999999999</v>
      </c>
      <c r="F1344" s="116">
        <v>1185.3499999999999</v>
      </c>
      <c r="G1344">
        <v>6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44048</v>
      </c>
      <c r="B1345" s="116">
        <v>1244</v>
      </c>
      <c r="C1345" s="116">
        <v>1203</v>
      </c>
      <c r="D1345" s="116">
        <v>1191</v>
      </c>
      <c r="E1345" s="116">
        <v>1242.7</v>
      </c>
      <c r="F1345" s="116">
        <v>1203</v>
      </c>
      <c r="G1345">
        <v>86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44049</v>
      </c>
      <c r="B1346" s="116">
        <v>1225</v>
      </c>
      <c r="C1346" s="116">
        <v>1186.2</v>
      </c>
      <c r="D1346" s="116">
        <v>1186.2</v>
      </c>
      <c r="E1346" s="116">
        <v>1225</v>
      </c>
      <c r="F1346" s="116">
        <v>1186.2</v>
      </c>
      <c r="G1346">
        <v>68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44050</v>
      </c>
      <c r="B1347" s="116">
        <v>1225</v>
      </c>
      <c r="C1347" s="116">
        <v>1200.4000000000001</v>
      </c>
      <c r="D1347" s="116">
        <v>1200</v>
      </c>
      <c r="E1347" s="116">
        <v>1200</v>
      </c>
      <c r="F1347" s="116">
        <v>1200.4000000000001</v>
      </c>
      <c r="G1347">
        <v>50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44053</v>
      </c>
      <c r="B1348" s="116">
        <v>1260.4000000000001</v>
      </c>
      <c r="C1348" s="116">
        <v>1260.4000000000001</v>
      </c>
      <c r="D1348" s="116">
        <v>1220.25</v>
      </c>
      <c r="E1348" s="116">
        <v>1251.95</v>
      </c>
      <c r="F1348" s="116">
        <v>1260.4000000000001</v>
      </c>
      <c r="G1348">
        <v>201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44054</v>
      </c>
      <c r="B1349" s="116">
        <v>1312.95</v>
      </c>
      <c r="C1349" s="116">
        <v>1283.1500000000001</v>
      </c>
      <c r="D1349" s="116">
        <v>1205.0999999999999</v>
      </c>
      <c r="E1349" s="116">
        <v>1312.95</v>
      </c>
      <c r="F1349" s="116">
        <v>1283.1500000000001</v>
      </c>
      <c r="G1349">
        <v>81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44055</v>
      </c>
      <c r="B1350" s="116">
        <v>1276.8</v>
      </c>
      <c r="C1350" s="116">
        <v>1250</v>
      </c>
      <c r="D1350" s="116">
        <v>1221.5</v>
      </c>
      <c r="E1350" s="116">
        <v>1222.0999999999999</v>
      </c>
      <c r="F1350" s="116">
        <v>1250</v>
      </c>
      <c r="G1350">
        <v>58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44056</v>
      </c>
      <c r="B1351" s="116">
        <v>1299.25</v>
      </c>
      <c r="C1351" s="116">
        <v>1253</v>
      </c>
      <c r="D1351" s="116">
        <v>1250</v>
      </c>
      <c r="E1351" s="116">
        <v>1299.25</v>
      </c>
      <c r="F1351" s="116">
        <v>1253</v>
      </c>
      <c r="G1351">
        <v>551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44057</v>
      </c>
      <c r="B1352" s="116">
        <v>1269.5</v>
      </c>
      <c r="C1352" s="116">
        <v>1250</v>
      </c>
      <c r="D1352" s="116">
        <v>1215</v>
      </c>
      <c r="E1352" s="116">
        <v>1252</v>
      </c>
      <c r="F1352" s="116">
        <v>1250</v>
      </c>
      <c r="G1352">
        <v>88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44060</v>
      </c>
      <c r="B1353" s="116">
        <v>1264.95</v>
      </c>
      <c r="C1353" s="116">
        <v>1253.55</v>
      </c>
      <c r="D1353" s="116">
        <v>1235</v>
      </c>
      <c r="E1353" s="116">
        <v>1250.05</v>
      </c>
      <c r="F1353" s="116">
        <v>1253.55</v>
      </c>
      <c r="G1353">
        <v>87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44062</v>
      </c>
      <c r="B1354" s="116">
        <v>1315.95</v>
      </c>
      <c r="C1354" s="116">
        <v>1273.4000000000001</v>
      </c>
      <c r="D1354" s="116">
        <v>1240.05</v>
      </c>
      <c r="E1354" s="116">
        <v>1315.95</v>
      </c>
      <c r="F1354" s="116">
        <v>1273.4000000000001</v>
      </c>
      <c r="G1354">
        <v>93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44063</v>
      </c>
      <c r="B1355" s="116">
        <v>1284.5</v>
      </c>
      <c r="C1355" s="116">
        <v>1266.0999999999999</v>
      </c>
      <c r="D1355" s="116">
        <v>1211</v>
      </c>
      <c r="E1355" s="116">
        <v>1240</v>
      </c>
      <c r="F1355" s="116">
        <v>1266.0999999999999</v>
      </c>
      <c r="G1355">
        <v>139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44064</v>
      </c>
      <c r="B1356" s="116">
        <v>1297.95</v>
      </c>
      <c r="C1356" s="116">
        <v>1285.05</v>
      </c>
      <c r="D1356" s="116">
        <v>1211.4000000000001</v>
      </c>
      <c r="E1356" s="116">
        <v>1297.95</v>
      </c>
      <c r="F1356" s="116">
        <v>1285.05</v>
      </c>
      <c r="G1356">
        <v>624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44067</v>
      </c>
      <c r="B1357" s="116">
        <v>1340</v>
      </c>
      <c r="C1357" s="116">
        <v>1261.05</v>
      </c>
      <c r="D1357" s="116">
        <v>1221</v>
      </c>
      <c r="E1357" s="116">
        <v>1340</v>
      </c>
      <c r="F1357" s="116">
        <v>1261.05</v>
      </c>
      <c r="G1357">
        <v>361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44068</v>
      </c>
      <c r="B1358" s="116">
        <v>1320.8</v>
      </c>
      <c r="C1358" s="116">
        <v>1292.6500000000001</v>
      </c>
      <c r="D1358" s="116">
        <v>1240</v>
      </c>
      <c r="E1358" s="116">
        <v>1320.8</v>
      </c>
      <c r="F1358" s="116">
        <v>1292.6500000000001</v>
      </c>
      <c r="G1358">
        <v>247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44069</v>
      </c>
      <c r="B1359" s="116">
        <v>1335.25</v>
      </c>
      <c r="C1359" s="116">
        <v>1305</v>
      </c>
      <c r="D1359" s="116">
        <v>1257.75</v>
      </c>
      <c r="E1359" s="116">
        <v>1335.25</v>
      </c>
      <c r="F1359" s="116">
        <v>1305</v>
      </c>
      <c r="G1359">
        <v>58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44070</v>
      </c>
      <c r="B1360" s="116">
        <v>1310</v>
      </c>
      <c r="C1360" s="116">
        <v>1260.05</v>
      </c>
      <c r="D1360" s="116">
        <v>1245.45</v>
      </c>
      <c r="E1360" s="116">
        <v>1245.45</v>
      </c>
      <c r="F1360" s="116">
        <v>1260.05</v>
      </c>
      <c r="G1360">
        <v>118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44071</v>
      </c>
      <c r="B1361" s="116">
        <v>1318.9</v>
      </c>
      <c r="C1361" s="116">
        <v>1265</v>
      </c>
      <c r="D1361" s="116">
        <v>1261</v>
      </c>
      <c r="E1361" s="116">
        <v>1318.9</v>
      </c>
      <c r="F1361" s="116">
        <v>1265</v>
      </c>
      <c r="G1361">
        <v>446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44074</v>
      </c>
      <c r="B1362" s="116">
        <v>1262</v>
      </c>
      <c r="C1362" s="116">
        <v>1260</v>
      </c>
      <c r="D1362" s="116">
        <v>1247</v>
      </c>
      <c r="E1362" s="116">
        <v>1261.05</v>
      </c>
      <c r="F1362" s="116">
        <v>1260</v>
      </c>
      <c r="G1362">
        <v>103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44075</v>
      </c>
      <c r="B1363" s="116">
        <v>1245.0999999999999</v>
      </c>
      <c r="C1363" s="116">
        <v>1240</v>
      </c>
      <c r="D1363" s="116">
        <v>1240</v>
      </c>
      <c r="E1363" s="116">
        <v>1245.05</v>
      </c>
      <c r="F1363" s="116">
        <v>1240</v>
      </c>
      <c r="G1363">
        <v>60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44076</v>
      </c>
      <c r="B1364" s="116">
        <v>1280</v>
      </c>
      <c r="C1364" s="116">
        <v>1270</v>
      </c>
      <c r="D1364" s="116">
        <v>1240</v>
      </c>
      <c r="E1364" s="116">
        <v>1240</v>
      </c>
      <c r="F1364" s="116">
        <v>1270</v>
      </c>
      <c r="G1364">
        <v>80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44077</v>
      </c>
      <c r="B1365" s="116">
        <v>1295.95</v>
      </c>
      <c r="C1365" s="116">
        <v>1278</v>
      </c>
      <c r="D1365" s="116">
        <v>1265</v>
      </c>
      <c r="E1365" s="116">
        <v>1265</v>
      </c>
      <c r="F1365" s="116">
        <v>1278</v>
      </c>
      <c r="G1365">
        <v>29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44078</v>
      </c>
      <c r="B1366" s="116">
        <v>1266</v>
      </c>
      <c r="C1366" s="116">
        <v>1265.75</v>
      </c>
      <c r="D1366" s="116">
        <v>1217.3499999999999</v>
      </c>
      <c r="E1366" s="116">
        <v>1217.3499999999999</v>
      </c>
      <c r="F1366" s="116">
        <v>1265.75</v>
      </c>
      <c r="G1366">
        <v>29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44081</v>
      </c>
      <c r="B1367" s="116">
        <v>1287.55</v>
      </c>
      <c r="C1367" s="116">
        <v>1225</v>
      </c>
      <c r="D1367" s="116">
        <v>1225</v>
      </c>
      <c r="E1367" s="116">
        <v>1287.55</v>
      </c>
      <c r="F1367" s="116">
        <v>1225</v>
      </c>
      <c r="G1367">
        <v>72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44082</v>
      </c>
      <c r="B1368" s="116">
        <v>1269.75</v>
      </c>
      <c r="C1368" s="116">
        <v>1222</v>
      </c>
      <c r="D1368" s="116">
        <v>1222</v>
      </c>
      <c r="E1368" s="116">
        <v>1269.75</v>
      </c>
      <c r="F1368" s="116">
        <v>1222</v>
      </c>
      <c r="G1368">
        <v>116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44083</v>
      </c>
      <c r="B1369" s="116">
        <v>1260</v>
      </c>
      <c r="C1369" s="116">
        <v>1259.95</v>
      </c>
      <c r="D1369" s="116">
        <v>1222.25</v>
      </c>
      <c r="E1369" s="116">
        <v>1222.3</v>
      </c>
      <c r="F1369" s="116">
        <v>1259.95</v>
      </c>
      <c r="G1369">
        <v>39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44084</v>
      </c>
      <c r="B1370" s="116">
        <v>1293.8</v>
      </c>
      <c r="C1370" s="116">
        <v>1236</v>
      </c>
      <c r="D1370" s="116">
        <v>1236</v>
      </c>
      <c r="E1370" s="116">
        <v>1293.8</v>
      </c>
      <c r="F1370" s="116">
        <v>1236</v>
      </c>
      <c r="G1370">
        <v>79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44085</v>
      </c>
      <c r="B1371" s="116">
        <v>1292.95</v>
      </c>
      <c r="C1371" s="116">
        <v>1292.95</v>
      </c>
      <c r="D1371" s="116">
        <v>1292.95</v>
      </c>
      <c r="E1371" s="116">
        <v>1292.95</v>
      </c>
      <c r="F1371" s="116">
        <v>1292.95</v>
      </c>
      <c r="G1371">
        <v>1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44088</v>
      </c>
      <c r="B1372" s="116">
        <v>1291</v>
      </c>
      <c r="C1372" s="116">
        <v>1272</v>
      </c>
      <c r="D1372" s="116">
        <v>1230.2</v>
      </c>
      <c r="E1372" s="116">
        <v>1291</v>
      </c>
      <c r="F1372" s="116">
        <v>1272</v>
      </c>
      <c r="G1372">
        <v>32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44089</v>
      </c>
      <c r="B1373" s="116">
        <v>1291.8499999999999</v>
      </c>
      <c r="C1373" s="116">
        <v>1258.45</v>
      </c>
      <c r="D1373" s="116">
        <v>1250</v>
      </c>
      <c r="E1373" s="116">
        <v>1255</v>
      </c>
      <c r="F1373" s="116">
        <v>1258.45</v>
      </c>
      <c r="G1373">
        <v>104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44090</v>
      </c>
      <c r="B1374" s="116">
        <v>1298</v>
      </c>
      <c r="C1374" s="116">
        <v>1253.05</v>
      </c>
      <c r="D1374" s="116">
        <v>1215.3</v>
      </c>
      <c r="E1374" s="116">
        <v>1290.95</v>
      </c>
      <c r="F1374" s="116">
        <v>1253.05</v>
      </c>
      <c r="G1374">
        <v>92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44091</v>
      </c>
      <c r="B1375" s="116">
        <v>1240</v>
      </c>
      <c r="C1375" s="116">
        <v>1232.25</v>
      </c>
      <c r="D1375" s="116">
        <v>1220</v>
      </c>
      <c r="E1375" s="116">
        <v>1240</v>
      </c>
      <c r="F1375" s="116">
        <v>1232.25</v>
      </c>
      <c r="G1375">
        <v>47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44092</v>
      </c>
      <c r="B1376" s="116">
        <v>1259.95</v>
      </c>
      <c r="C1376" s="116">
        <v>1259.95</v>
      </c>
      <c r="D1376" s="116">
        <v>1259.95</v>
      </c>
      <c r="E1376" s="116">
        <v>1259.95</v>
      </c>
      <c r="F1376" s="116">
        <v>1259.95</v>
      </c>
      <c r="G1376">
        <v>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44095</v>
      </c>
      <c r="B1377" s="116">
        <v>1249.95</v>
      </c>
      <c r="C1377" s="116">
        <v>1240</v>
      </c>
      <c r="D1377" s="116">
        <v>1240</v>
      </c>
      <c r="E1377" s="116">
        <v>1249.95</v>
      </c>
      <c r="F1377" s="116">
        <v>1240</v>
      </c>
      <c r="G1377">
        <v>29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44097</v>
      </c>
      <c r="B1378" s="116">
        <v>1240</v>
      </c>
      <c r="C1378" s="116">
        <v>1178</v>
      </c>
      <c r="D1378" s="116">
        <v>1178</v>
      </c>
      <c r="E1378" s="116">
        <v>1220</v>
      </c>
      <c r="F1378" s="116">
        <v>1178</v>
      </c>
      <c r="G1378">
        <v>92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44098</v>
      </c>
      <c r="B1379" s="116">
        <v>1205</v>
      </c>
      <c r="C1379" s="116">
        <v>1205</v>
      </c>
      <c r="D1379" s="116">
        <v>1200</v>
      </c>
      <c r="E1379" s="116">
        <v>1200</v>
      </c>
      <c r="F1379" s="116">
        <v>1205</v>
      </c>
      <c r="G1379">
        <v>23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44099</v>
      </c>
      <c r="B1380" s="116">
        <v>1264.9000000000001</v>
      </c>
      <c r="C1380" s="116">
        <v>1264.8</v>
      </c>
      <c r="D1380" s="116">
        <v>1145</v>
      </c>
      <c r="E1380" s="116">
        <v>1225.05</v>
      </c>
      <c r="F1380" s="116">
        <v>1264.8</v>
      </c>
      <c r="G1380">
        <v>57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44102</v>
      </c>
      <c r="B1381" s="116">
        <v>1270</v>
      </c>
      <c r="C1381" s="116">
        <v>1270</v>
      </c>
      <c r="D1381" s="116">
        <v>1225.05</v>
      </c>
      <c r="E1381" s="116">
        <v>1264.8</v>
      </c>
      <c r="F1381" s="116">
        <v>1270</v>
      </c>
      <c r="G1381">
        <v>26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44103</v>
      </c>
      <c r="B1382" s="116">
        <v>1270</v>
      </c>
      <c r="C1382" s="116">
        <v>1269.9000000000001</v>
      </c>
      <c r="D1382" s="116">
        <v>1215</v>
      </c>
      <c r="E1382" s="116">
        <v>1269.95</v>
      </c>
      <c r="F1382" s="116">
        <v>1269.9000000000001</v>
      </c>
      <c r="G1382">
        <v>120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44104</v>
      </c>
      <c r="B1383" s="116">
        <v>1270</v>
      </c>
      <c r="C1383" s="116">
        <v>1270</v>
      </c>
      <c r="D1383" s="116">
        <v>1208.1500000000001</v>
      </c>
      <c r="E1383" s="116">
        <v>1269.9000000000001</v>
      </c>
      <c r="F1383" s="116">
        <v>1270</v>
      </c>
      <c r="G1383">
        <v>119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44105</v>
      </c>
      <c r="B1384" s="116">
        <v>1270</v>
      </c>
      <c r="C1384" s="116">
        <v>1224.5999999999999</v>
      </c>
      <c r="D1384" s="116">
        <v>1220</v>
      </c>
      <c r="E1384" s="116">
        <v>1270</v>
      </c>
      <c r="F1384" s="116">
        <v>1224.5999999999999</v>
      </c>
      <c r="G1384">
        <v>266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44109</v>
      </c>
      <c r="B1385" s="116">
        <v>1200</v>
      </c>
      <c r="C1385" s="116">
        <v>1200</v>
      </c>
      <c r="D1385" s="116">
        <v>1170</v>
      </c>
      <c r="E1385" s="116">
        <v>1200</v>
      </c>
      <c r="F1385" s="116">
        <v>1200</v>
      </c>
      <c r="G1385">
        <v>125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44110</v>
      </c>
      <c r="B1386" s="116">
        <v>1237.8</v>
      </c>
      <c r="C1386" s="116">
        <v>1210.25</v>
      </c>
      <c r="D1386" s="116">
        <v>1200.05</v>
      </c>
      <c r="E1386" s="116">
        <v>1237.8</v>
      </c>
      <c r="F1386" s="116">
        <v>1210.25</v>
      </c>
      <c r="G1386">
        <v>8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44111</v>
      </c>
      <c r="B1387" s="116">
        <v>1234</v>
      </c>
      <c r="C1387" s="116">
        <v>1208.6500000000001</v>
      </c>
      <c r="D1387" s="116">
        <v>1172</v>
      </c>
      <c r="E1387" s="116">
        <v>1190.05</v>
      </c>
      <c r="F1387" s="116">
        <v>1208.6500000000001</v>
      </c>
      <c r="G1387">
        <v>75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44112</v>
      </c>
      <c r="B1388" s="116">
        <v>1229.7</v>
      </c>
      <c r="C1388" s="116">
        <v>1210</v>
      </c>
      <c r="D1388" s="116">
        <v>1180</v>
      </c>
      <c r="E1388" s="116">
        <v>1190.0999999999999</v>
      </c>
      <c r="F1388" s="116">
        <v>1210</v>
      </c>
      <c r="G1388">
        <v>117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44113</v>
      </c>
      <c r="B1389" s="116">
        <v>1205</v>
      </c>
      <c r="C1389" s="116">
        <v>1205</v>
      </c>
      <c r="D1389" s="116">
        <v>1185</v>
      </c>
      <c r="E1389" s="116">
        <v>1205</v>
      </c>
      <c r="F1389" s="116">
        <v>1205</v>
      </c>
      <c r="G1389">
        <v>26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44116</v>
      </c>
      <c r="B1390" s="116">
        <v>1222.7</v>
      </c>
      <c r="C1390" s="116">
        <v>1181</v>
      </c>
      <c r="D1390" s="116">
        <v>1150.05</v>
      </c>
      <c r="E1390" s="116">
        <v>1150.05</v>
      </c>
      <c r="F1390" s="116">
        <v>1181</v>
      </c>
      <c r="G1390">
        <v>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44117</v>
      </c>
      <c r="B1391" s="116">
        <v>1228.95</v>
      </c>
      <c r="C1391" s="116">
        <v>1180</v>
      </c>
      <c r="D1391" s="116">
        <v>1165</v>
      </c>
      <c r="E1391" s="116">
        <v>1165</v>
      </c>
      <c r="F1391" s="116">
        <v>1180</v>
      </c>
      <c r="G1391">
        <v>35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44118</v>
      </c>
      <c r="B1392" s="116">
        <v>1222.75</v>
      </c>
      <c r="C1392" s="116">
        <v>1200</v>
      </c>
      <c r="D1392" s="116">
        <v>1170.05</v>
      </c>
      <c r="E1392" s="116">
        <v>1180.05</v>
      </c>
      <c r="F1392" s="116">
        <v>1200</v>
      </c>
      <c r="G1392">
        <v>39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44119</v>
      </c>
      <c r="B1393" s="116">
        <v>1229.95</v>
      </c>
      <c r="C1393" s="116">
        <v>1190</v>
      </c>
      <c r="D1393" s="116">
        <v>1190</v>
      </c>
      <c r="E1393" s="116">
        <v>1229.95</v>
      </c>
      <c r="F1393" s="116">
        <v>1190</v>
      </c>
      <c r="G1393">
        <v>9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44120</v>
      </c>
      <c r="B1394" s="116">
        <v>1200</v>
      </c>
      <c r="C1394" s="116">
        <v>1170</v>
      </c>
      <c r="D1394" s="116">
        <v>1170</v>
      </c>
      <c r="E1394" s="116">
        <v>1170.05</v>
      </c>
      <c r="F1394" s="116">
        <v>1170</v>
      </c>
      <c r="G1394">
        <v>52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44123</v>
      </c>
      <c r="B1395" s="116">
        <v>1210</v>
      </c>
      <c r="C1395" s="116">
        <v>1165</v>
      </c>
      <c r="D1395" s="116">
        <v>1160</v>
      </c>
      <c r="E1395" s="116">
        <v>1169</v>
      </c>
      <c r="F1395" s="116">
        <v>1165</v>
      </c>
      <c r="G1395">
        <v>156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44124</v>
      </c>
      <c r="B1396" s="116">
        <v>1217.7</v>
      </c>
      <c r="C1396" s="116">
        <v>1217.7</v>
      </c>
      <c r="D1396" s="116">
        <v>1166</v>
      </c>
      <c r="E1396" s="116">
        <v>1166.1500000000001</v>
      </c>
      <c r="F1396" s="116">
        <v>1217.7</v>
      </c>
      <c r="G1396">
        <v>20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44126</v>
      </c>
      <c r="B1397" s="116">
        <v>1216.95</v>
      </c>
      <c r="C1397" s="116">
        <v>1216.95</v>
      </c>
      <c r="D1397" s="116">
        <v>1216.95</v>
      </c>
      <c r="E1397" s="116">
        <v>1216.95</v>
      </c>
      <c r="F1397" s="116">
        <v>1216.95</v>
      </c>
      <c r="G1397">
        <v>1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44127</v>
      </c>
      <c r="B1398" s="116">
        <v>1228.9000000000001</v>
      </c>
      <c r="C1398" s="116">
        <v>1227.95</v>
      </c>
      <c r="D1398" s="116">
        <v>1177</v>
      </c>
      <c r="E1398" s="116">
        <v>1177</v>
      </c>
      <c r="F1398" s="116">
        <v>1227.95</v>
      </c>
      <c r="G1398">
        <v>21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44130</v>
      </c>
      <c r="B1399" s="116">
        <v>1224.5999999999999</v>
      </c>
      <c r="C1399" s="116">
        <v>1224.5999999999999</v>
      </c>
      <c r="D1399" s="116">
        <v>1176.75</v>
      </c>
      <c r="E1399" s="116">
        <v>1200</v>
      </c>
      <c r="F1399" s="116">
        <v>1224.5999999999999</v>
      </c>
      <c r="G1399">
        <v>19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44131</v>
      </c>
      <c r="B1400" s="116">
        <v>1223.8</v>
      </c>
      <c r="C1400" s="116">
        <v>1200</v>
      </c>
      <c r="D1400" s="116">
        <v>1200</v>
      </c>
      <c r="E1400" s="116">
        <v>1223.8</v>
      </c>
      <c r="F1400" s="116">
        <v>1200</v>
      </c>
      <c r="G1400">
        <v>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44132</v>
      </c>
      <c r="B1401" s="116">
        <v>1200</v>
      </c>
      <c r="C1401" s="116">
        <v>1200</v>
      </c>
      <c r="D1401" s="116">
        <v>1200</v>
      </c>
      <c r="E1401" s="116">
        <v>1200</v>
      </c>
      <c r="F1401" s="116">
        <v>1200</v>
      </c>
      <c r="G1401">
        <v>2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44133</v>
      </c>
      <c r="B1402" s="116">
        <v>1228.8</v>
      </c>
      <c r="C1402" s="116">
        <v>1169.05</v>
      </c>
      <c r="D1402" s="116">
        <v>1166.7</v>
      </c>
      <c r="E1402" s="116">
        <v>1186</v>
      </c>
      <c r="F1402" s="116">
        <v>1169.05</v>
      </c>
      <c r="G1402">
        <v>64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44134</v>
      </c>
      <c r="B1403" s="116">
        <v>1226.8499999999999</v>
      </c>
      <c r="C1403" s="116">
        <v>1171.2</v>
      </c>
      <c r="D1403" s="116">
        <v>1171.2</v>
      </c>
      <c r="E1403" s="116">
        <v>1226.8499999999999</v>
      </c>
      <c r="F1403" s="116">
        <v>1171.2</v>
      </c>
      <c r="G1403">
        <v>2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44137</v>
      </c>
      <c r="B1404" s="116">
        <v>1175</v>
      </c>
      <c r="C1404" s="116">
        <v>1175</v>
      </c>
      <c r="D1404" s="116">
        <v>1175</v>
      </c>
      <c r="E1404" s="116">
        <v>1175</v>
      </c>
      <c r="F1404" s="116">
        <v>1175</v>
      </c>
      <c r="G1404">
        <v>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44138</v>
      </c>
      <c r="B1405" s="116">
        <v>1177</v>
      </c>
      <c r="C1405" s="116">
        <v>1166.7</v>
      </c>
      <c r="D1405" s="116">
        <v>1166.7</v>
      </c>
      <c r="E1405" s="116">
        <v>1177</v>
      </c>
      <c r="F1405" s="116">
        <v>1166.7</v>
      </c>
      <c r="G1405">
        <v>28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44139</v>
      </c>
      <c r="B1406" s="116">
        <v>1209</v>
      </c>
      <c r="C1406" s="116">
        <v>1202.7</v>
      </c>
      <c r="D1406" s="116">
        <v>1175</v>
      </c>
      <c r="E1406" s="116">
        <v>1176</v>
      </c>
      <c r="F1406" s="116">
        <v>1202.7</v>
      </c>
      <c r="G1406">
        <v>13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44140</v>
      </c>
      <c r="B1407" s="116">
        <v>1225.8</v>
      </c>
      <c r="C1407" s="116">
        <v>1180</v>
      </c>
      <c r="D1407" s="116">
        <v>1166.6500000000001</v>
      </c>
      <c r="E1407" s="116">
        <v>1166.6500000000001</v>
      </c>
      <c r="F1407" s="116">
        <v>1180</v>
      </c>
      <c r="G1407">
        <v>10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44141</v>
      </c>
      <c r="B1408" s="116">
        <v>1239</v>
      </c>
      <c r="C1408" s="116">
        <v>1230</v>
      </c>
      <c r="D1408" s="116">
        <v>1185</v>
      </c>
      <c r="E1408" s="116">
        <v>1218.3499999999999</v>
      </c>
      <c r="F1408" s="116">
        <v>1230</v>
      </c>
      <c r="G1408">
        <v>174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44144</v>
      </c>
      <c r="B1409" s="116">
        <v>1230</v>
      </c>
      <c r="C1409" s="116">
        <v>1200</v>
      </c>
      <c r="D1409" s="116">
        <v>1170</v>
      </c>
      <c r="E1409" s="116">
        <v>1230</v>
      </c>
      <c r="F1409" s="116">
        <v>1200</v>
      </c>
      <c r="G1409">
        <v>68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44145</v>
      </c>
      <c r="B1410" s="116">
        <v>1234.2</v>
      </c>
      <c r="C1410" s="116">
        <v>1234.2</v>
      </c>
      <c r="D1410" s="116">
        <v>1151.05</v>
      </c>
      <c r="E1410" s="116">
        <v>1200</v>
      </c>
      <c r="F1410" s="116">
        <v>1234.2</v>
      </c>
      <c r="G1410">
        <v>40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44146</v>
      </c>
      <c r="B1411" s="116">
        <v>1230</v>
      </c>
      <c r="C1411" s="116">
        <v>1229.5</v>
      </c>
      <c r="D1411" s="116">
        <v>1180</v>
      </c>
      <c r="E1411" s="116">
        <v>1230</v>
      </c>
      <c r="F1411" s="116">
        <v>1229.5</v>
      </c>
      <c r="G1411">
        <v>16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44147</v>
      </c>
      <c r="B1412" s="116">
        <v>1260.0999999999999</v>
      </c>
      <c r="C1412" s="116">
        <v>1181.0999999999999</v>
      </c>
      <c r="D1412" s="116">
        <v>1181</v>
      </c>
      <c r="E1412" s="116">
        <v>1259.95</v>
      </c>
      <c r="F1412" s="116">
        <v>1181.0999999999999</v>
      </c>
      <c r="G1412">
        <v>46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44149</v>
      </c>
      <c r="B1413" s="116">
        <v>1239.9000000000001</v>
      </c>
      <c r="C1413" s="116">
        <v>1235.6500000000001</v>
      </c>
      <c r="D1413" s="116">
        <v>1220</v>
      </c>
      <c r="E1413" s="116">
        <v>1239.9000000000001</v>
      </c>
      <c r="F1413" s="116">
        <v>1235.6500000000001</v>
      </c>
      <c r="G1413">
        <v>14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44152</v>
      </c>
      <c r="B1414" s="116">
        <v>1245</v>
      </c>
      <c r="C1414" s="116">
        <v>1240.4000000000001</v>
      </c>
      <c r="D1414" s="116">
        <v>1174.0999999999999</v>
      </c>
      <c r="E1414" s="116">
        <v>1220</v>
      </c>
      <c r="F1414" s="116">
        <v>1240.4000000000001</v>
      </c>
      <c r="G1414">
        <v>87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44153</v>
      </c>
      <c r="B1415" s="116">
        <v>1240</v>
      </c>
      <c r="C1415" s="116">
        <v>1239</v>
      </c>
      <c r="D1415" s="116">
        <v>1201</v>
      </c>
      <c r="E1415" s="116">
        <v>1201</v>
      </c>
      <c r="F1415" s="116">
        <v>1239</v>
      </c>
      <c r="G1415">
        <v>48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44154</v>
      </c>
      <c r="B1416" s="116">
        <v>1265</v>
      </c>
      <c r="C1416" s="116">
        <v>1248.6500000000001</v>
      </c>
      <c r="D1416" s="116">
        <v>1184.3499999999999</v>
      </c>
      <c r="E1416" s="116">
        <v>1205.05</v>
      </c>
      <c r="F1416" s="116">
        <v>1248.6500000000001</v>
      </c>
      <c r="G1416">
        <v>123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44155</v>
      </c>
      <c r="B1417" s="116">
        <v>1287.4000000000001</v>
      </c>
      <c r="C1417" s="116">
        <v>1264.95</v>
      </c>
      <c r="D1417" s="116">
        <v>1191</v>
      </c>
      <c r="E1417" s="116">
        <v>1191</v>
      </c>
      <c r="F1417" s="116">
        <v>1264.95</v>
      </c>
      <c r="G1417">
        <v>48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44158</v>
      </c>
      <c r="B1418" s="116">
        <v>1263</v>
      </c>
      <c r="C1418" s="116">
        <v>1260.9000000000001</v>
      </c>
      <c r="D1418" s="116">
        <v>1201.75</v>
      </c>
      <c r="E1418" s="116">
        <v>1263</v>
      </c>
      <c r="F1418" s="116">
        <v>1260.9000000000001</v>
      </c>
      <c r="G1418">
        <v>117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44159</v>
      </c>
      <c r="B1419" s="116">
        <v>1259.95</v>
      </c>
      <c r="C1419" s="116">
        <v>1255</v>
      </c>
      <c r="D1419" s="116">
        <v>1199</v>
      </c>
      <c r="E1419" s="116">
        <v>1199</v>
      </c>
      <c r="F1419" s="116">
        <v>1255</v>
      </c>
      <c r="G1419">
        <v>159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44160</v>
      </c>
      <c r="B1420" s="116">
        <v>1253</v>
      </c>
      <c r="C1420" s="116">
        <v>1235</v>
      </c>
      <c r="D1420" s="116">
        <v>1206.0999999999999</v>
      </c>
      <c r="E1420" s="116">
        <v>1211</v>
      </c>
      <c r="F1420" s="116">
        <v>1235</v>
      </c>
      <c r="G1420">
        <v>200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44161</v>
      </c>
      <c r="B1421" s="116">
        <v>1259.9000000000001</v>
      </c>
      <c r="C1421" s="116">
        <v>1251.5999999999999</v>
      </c>
      <c r="D1421" s="116">
        <v>1225</v>
      </c>
      <c r="E1421" s="116">
        <v>1225.05</v>
      </c>
      <c r="F1421" s="116">
        <v>1251.5999999999999</v>
      </c>
      <c r="G1421">
        <v>81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44162</v>
      </c>
      <c r="B1422" s="116">
        <v>1262.8499999999999</v>
      </c>
      <c r="C1422" s="116">
        <v>1228.55</v>
      </c>
      <c r="D1422" s="116">
        <v>1203.45</v>
      </c>
      <c r="E1422" s="116">
        <v>1203.45</v>
      </c>
      <c r="F1422" s="116">
        <v>1228.55</v>
      </c>
      <c r="G1422">
        <v>184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44166</v>
      </c>
      <c r="B1423" s="116">
        <v>1265</v>
      </c>
      <c r="C1423" s="116">
        <v>1234.7</v>
      </c>
      <c r="D1423" s="116">
        <v>1229</v>
      </c>
      <c r="E1423" s="116">
        <v>1265</v>
      </c>
      <c r="F1423" s="116">
        <v>1234.7</v>
      </c>
      <c r="G1423">
        <v>635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44167</v>
      </c>
      <c r="B1424" s="116">
        <v>1284</v>
      </c>
      <c r="C1424" s="116">
        <v>1239</v>
      </c>
      <c r="D1424" s="116">
        <v>1229</v>
      </c>
      <c r="E1424" s="116">
        <v>1275</v>
      </c>
      <c r="F1424" s="116">
        <v>1239</v>
      </c>
      <c r="G1424">
        <v>51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44168</v>
      </c>
      <c r="B1425" s="116">
        <v>1230.1500000000001</v>
      </c>
      <c r="C1425" s="116">
        <v>1230.05</v>
      </c>
      <c r="D1425" s="116">
        <v>1230.05</v>
      </c>
      <c r="E1425" s="116">
        <v>1230.1500000000001</v>
      </c>
      <c r="F1425" s="116">
        <v>1230.05</v>
      </c>
      <c r="G1425">
        <v>8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44169</v>
      </c>
      <c r="B1426" s="116">
        <v>1281.95</v>
      </c>
      <c r="C1426" s="116">
        <v>1278</v>
      </c>
      <c r="D1426" s="116">
        <v>1215</v>
      </c>
      <c r="E1426" s="116">
        <v>1281.95</v>
      </c>
      <c r="F1426" s="116">
        <v>1278</v>
      </c>
      <c r="G1426">
        <v>397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44172</v>
      </c>
      <c r="B1427" s="116">
        <v>1295</v>
      </c>
      <c r="C1427" s="116">
        <v>1289.5</v>
      </c>
      <c r="D1427" s="116">
        <v>1280</v>
      </c>
      <c r="E1427" s="116">
        <v>1295</v>
      </c>
      <c r="F1427" s="116">
        <v>1289.5</v>
      </c>
      <c r="G1427">
        <v>84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44173</v>
      </c>
      <c r="B1428" s="116">
        <v>1296.95</v>
      </c>
      <c r="C1428" s="116">
        <v>1261</v>
      </c>
      <c r="D1428" s="116">
        <v>1226.6500000000001</v>
      </c>
      <c r="E1428" s="116">
        <v>1296.95</v>
      </c>
      <c r="F1428" s="116">
        <v>1261</v>
      </c>
      <c r="G1428">
        <v>31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44174</v>
      </c>
      <c r="B1429" s="116">
        <v>1289</v>
      </c>
      <c r="C1429" s="116">
        <v>1264.55</v>
      </c>
      <c r="D1429" s="116">
        <v>1251</v>
      </c>
      <c r="E1429" s="116">
        <v>1279.95</v>
      </c>
      <c r="F1429" s="116">
        <v>1264.55</v>
      </c>
      <c r="G1429">
        <v>125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44175</v>
      </c>
      <c r="B1430" s="116">
        <v>1280</v>
      </c>
      <c r="C1430" s="116">
        <v>1250</v>
      </c>
      <c r="D1430" s="116">
        <v>1240</v>
      </c>
      <c r="E1430" s="116">
        <v>1240.2</v>
      </c>
      <c r="F1430" s="116">
        <v>1250</v>
      </c>
      <c r="G1430">
        <v>270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44176</v>
      </c>
      <c r="B1431" s="116">
        <v>1297.95</v>
      </c>
      <c r="C1431" s="116">
        <v>1282.45</v>
      </c>
      <c r="D1431" s="116">
        <v>1241</v>
      </c>
      <c r="E1431" s="116">
        <v>1297.95</v>
      </c>
      <c r="F1431" s="116">
        <v>1282.45</v>
      </c>
      <c r="G1431">
        <v>14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44179</v>
      </c>
      <c r="B1432" s="116">
        <v>1291</v>
      </c>
      <c r="C1432" s="116">
        <v>1266.4000000000001</v>
      </c>
      <c r="D1432" s="116">
        <v>1220</v>
      </c>
      <c r="E1432" s="116">
        <v>1220</v>
      </c>
      <c r="F1432" s="116">
        <v>1266.4000000000001</v>
      </c>
      <c r="G1432">
        <v>482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44180</v>
      </c>
      <c r="B1433" s="116">
        <v>1288.4000000000001</v>
      </c>
      <c r="C1433" s="116">
        <v>1244.0999999999999</v>
      </c>
      <c r="D1433" s="116">
        <v>1244.0999999999999</v>
      </c>
      <c r="E1433" s="116">
        <v>1252</v>
      </c>
      <c r="F1433" s="116">
        <v>1244.0999999999999</v>
      </c>
      <c r="G1433">
        <v>31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44181</v>
      </c>
      <c r="B1434" s="116">
        <v>1290.4000000000001</v>
      </c>
      <c r="C1434" s="116">
        <v>1286.9000000000001</v>
      </c>
      <c r="D1434" s="116">
        <v>1235</v>
      </c>
      <c r="E1434" s="116">
        <v>1290.4000000000001</v>
      </c>
      <c r="F1434" s="116">
        <v>1286.9000000000001</v>
      </c>
      <c r="G1434">
        <v>114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44182</v>
      </c>
      <c r="B1435" s="116">
        <v>1283.95</v>
      </c>
      <c r="C1435" s="116">
        <v>1283</v>
      </c>
      <c r="D1435" s="116">
        <v>1240</v>
      </c>
      <c r="E1435" s="116">
        <v>1240.2</v>
      </c>
      <c r="F1435" s="116">
        <v>1283</v>
      </c>
      <c r="G1435">
        <v>147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44183</v>
      </c>
      <c r="B1436" s="116">
        <v>1283</v>
      </c>
      <c r="C1436" s="116">
        <v>1283</v>
      </c>
      <c r="D1436" s="116">
        <v>1283</v>
      </c>
      <c r="E1436" s="116">
        <v>1283</v>
      </c>
      <c r="F1436" s="116">
        <v>1283</v>
      </c>
      <c r="G1436">
        <v>1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44186</v>
      </c>
      <c r="B1437" s="116">
        <v>1250.0999999999999</v>
      </c>
      <c r="C1437" s="116">
        <v>1240</v>
      </c>
      <c r="D1437" s="116">
        <v>1228.1500000000001</v>
      </c>
      <c r="E1437" s="116">
        <v>1228.1500000000001</v>
      </c>
      <c r="F1437" s="116">
        <v>1240</v>
      </c>
      <c r="G1437">
        <v>239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44187</v>
      </c>
      <c r="B1438" s="116">
        <v>1258</v>
      </c>
      <c r="C1438" s="116">
        <v>1240</v>
      </c>
      <c r="D1438" s="116">
        <v>1235</v>
      </c>
      <c r="E1438" s="116">
        <v>1239</v>
      </c>
      <c r="F1438" s="116">
        <v>1240</v>
      </c>
      <c r="G1438">
        <v>128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44188</v>
      </c>
      <c r="B1439" s="116">
        <v>1239</v>
      </c>
      <c r="C1439" s="116">
        <v>1235</v>
      </c>
      <c r="D1439" s="116">
        <v>1230.2</v>
      </c>
      <c r="E1439" s="116">
        <v>1230.2</v>
      </c>
      <c r="F1439" s="116">
        <v>1235</v>
      </c>
      <c r="G1439">
        <v>36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44189</v>
      </c>
      <c r="B1440" s="116">
        <v>1288</v>
      </c>
      <c r="C1440" s="116">
        <v>1250</v>
      </c>
      <c r="D1440" s="116">
        <v>1231.1500000000001</v>
      </c>
      <c r="E1440" s="116">
        <v>1231.2</v>
      </c>
      <c r="F1440" s="116">
        <v>1250</v>
      </c>
      <c r="G1440">
        <v>112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44193</v>
      </c>
      <c r="B1441" s="116">
        <v>1299</v>
      </c>
      <c r="C1441" s="116">
        <v>1246.5999999999999</v>
      </c>
      <c r="D1441" s="116">
        <v>1239</v>
      </c>
      <c r="E1441" s="116">
        <v>1299</v>
      </c>
      <c r="F1441" s="116">
        <v>1246.5999999999999</v>
      </c>
      <c r="G1441">
        <v>280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44194</v>
      </c>
      <c r="B1442" s="116">
        <v>1250.05</v>
      </c>
      <c r="C1442" s="116">
        <v>1250</v>
      </c>
      <c r="D1442" s="116">
        <v>1240.05</v>
      </c>
      <c r="E1442" s="116">
        <v>1240.05</v>
      </c>
      <c r="F1442" s="116">
        <v>1250</v>
      </c>
      <c r="G1442">
        <v>57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44195</v>
      </c>
      <c r="B1443" s="116">
        <v>1280</v>
      </c>
      <c r="C1443" s="116">
        <v>1280</v>
      </c>
      <c r="D1443" s="116">
        <v>1240.05</v>
      </c>
      <c r="E1443" s="116">
        <v>1240.4000000000001</v>
      </c>
      <c r="F1443" s="116">
        <v>1280</v>
      </c>
      <c r="G1443">
        <v>30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44196</v>
      </c>
      <c r="B1444" s="116">
        <v>1299</v>
      </c>
      <c r="C1444" s="116">
        <v>1282.95</v>
      </c>
      <c r="D1444" s="116">
        <v>1242.8</v>
      </c>
      <c r="E1444" s="116">
        <v>1242.8</v>
      </c>
      <c r="F1444" s="116">
        <v>1282.95</v>
      </c>
      <c r="G1444">
        <v>115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44197</v>
      </c>
      <c r="B1445" s="116">
        <v>1260.05</v>
      </c>
      <c r="C1445" s="116">
        <v>1260</v>
      </c>
      <c r="D1445" s="116">
        <v>1260</v>
      </c>
      <c r="E1445" s="116">
        <v>1260.05</v>
      </c>
      <c r="F1445" s="116">
        <v>1260</v>
      </c>
      <c r="G1445">
        <v>221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44200</v>
      </c>
      <c r="B1446" s="116">
        <v>1289.45</v>
      </c>
      <c r="C1446" s="116">
        <v>1267.75</v>
      </c>
      <c r="D1446" s="116">
        <v>1245.1500000000001</v>
      </c>
      <c r="E1446" s="116">
        <v>1261</v>
      </c>
      <c r="F1446" s="116">
        <v>1267.75</v>
      </c>
      <c r="G1446">
        <v>70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44201</v>
      </c>
      <c r="B1447" s="116">
        <v>1294.75</v>
      </c>
      <c r="C1447" s="116">
        <v>1286.8</v>
      </c>
      <c r="D1447" s="116">
        <v>1244.0999999999999</v>
      </c>
      <c r="E1447" s="116">
        <v>1245</v>
      </c>
      <c r="F1447" s="116">
        <v>1286.8</v>
      </c>
      <c r="G1447">
        <v>171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44202</v>
      </c>
      <c r="B1448" s="116">
        <v>1290.95</v>
      </c>
      <c r="C1448" s="116">
        <v>1288.95</v>
      </c>
      <c r="D1448" s="116">
        <v>1240</v>
      </c>
      <c r="E1448" s="116">
        <v>1290.9000000000001</v>
      </c>
      <c r="F1448" s="116">
        <v>1288.95</v>
      </c>
      <c r="G1448">
        <v>115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44203</v>
      </c>
      <c r="B1449" s="116">
        <v>1290.9000000000001</v>
      </c>
      <c r="C1449" s="116">
        <v>1286</v>
      </c>
      <c r="D1449" s="116">
        <v>1265</v>
      </c>
      <c r="E1449" s="116">
        <v>1286.9000000000001</v>
      </c>
      <c r="F1449" s="116">
        <v>1286</v>
      </c>
      <c r="G1449">
        <v>117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44204</v>
      </c>
      <c r="B1450" s="116">
        <v>1275</v>
      </c>
      <c r="C1450" s="116">
        <v>1265</v>
      </c>
      <c r="D1450" s="116">
        <v>1265</v>
      </c>
      <c r="E1450" s="116">
        <v>1275</v>
      </c>
      <c r="F1450" s="116">
        <v>1265</v>
      </c>
      <c r="G1450">
        <v>11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44207</v>
      </c>
      <c r="B1451" s="116">
        <v>1280</v>
      </c>
      <c r="C1451" s="116">
        <v>1256.5999999999999</v>
      </c>
      <c r="D1451" s="116">
        <v>1220</v>
      </c>
      <c r="E1451" s="116">
        <v>1241.05</v>
      </c>
      <c r="F1451" s="116">
        <v>1256.5999999999999</v>
      </c>
      <c r="G1451">
        <v>195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44208</v>
      </c>
      <c r="B1452" s="116">
        <v>1285</v>
      </c>
      <c r="C1452" s="116">
        <v>1255</v>
      </c>
      <c r="D1452" s="116">
        <v>1250</v>
      </c>
      <c r="E1452" s="116">
        <v>1251</v>
      </c>
      <c r="F1452" s="116">
        <v>1255</v>
      </c>
      <c r="G1452">
        <v>296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44209</v>
      </c>
      <c r="B1453" s="116">
        <v>1283.2</v>
      </c>
      <c r="C1453" s="116">
        <v>1282.25</v>
      </c>
      <c r="D1453" s="116">
        <v>1241</v>
      </c>
      <c r="E1453" s="116">
        <v>1283.2</v>
      </c>
      <c r="F1453" s="116">
        <v>1282.25</v>
      </c>
      <c r="G1453">
        <v>25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44210</v>
      </c>
      <c r="B1454" s="116">
        <v>1274.2</v>
      </c>
      <c r="C1454" s="116">
        <v>1263.0999999999999</v>
      </c>
      <c r="D1454" s="116">
        <v>1218.45</v>
      </c>
      <c r="E1454" s="116">
        <v>1240</v>
      </c>
      <c r="F1454" s="116">
        <v>1263.0999999999999</v>
      </c>
      <c r="G1454">
        <v>189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44211</v>
      </c>
      <c r="B1455" s="116">
        <v>1275</v>
      </c>
      <c r="C1455" s="116">
        <v>1272.6500000000001</v>
      </c>
      <c r="D1455" s="116">
        <v>1222</v>
      </c>
      <c r="E1455" s="116">
        <v>1275</v>
      </c>
      <c r="F1455" s="116">
        <v>1272.6500000000001</v>
      </c>
      <c r="G1455">
        <v>87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44214</v>
      </c>
      <c r="B1456" s="116">
        <v>1277.9000000000001</v>
      </c>
      <c r="C1456" s="116">
        <v>1221.7</v>
      </c>
      <c r="D1456" s="116">
        <v>1209.05</v>
      </c>
      <c r="E1456" s="116">
        <v>1219</v>
      </c>
      <c r="F1456" s="116">
        <v>1221.7</v>
      </c>
      <c r="G1456">
        <v>267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44215</v>
      </c>
      <c r="B1457" s="116">
        <v>1273.55</v>
      </c>
      <c r="C1457" s="116">
        <v>1255</v>
      </c>
      <c r="D1457" s="116">
        <v>1215</v>
      </c>
      <c r="E1457" s="116">
        <v>1273.5</v>
      </c>
      <c r="F1457" s="116">
        <v>1255</v>
      </c>
      <c r="G1457">
        <v>250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44216</v>
      </c>
      <c r="B1458" s="116">
        <v>1283.25</v>
      </c>
      <c r="C1458" s="116">
        <v>1270</v>
      </c>
      <c r="D1458" s="116">
        <v>1250</v>
      </c>
      <c r="E1458" s="116">
        <v>1254</v>
      </c>
      <c r="F1458" s="116">
        <v>1270</v>
      </c>
      <c r="G1458">
        <v>244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44217</v>
      </c>
      <c r="B1459" s="116">
        <v>1300</v>
      </c>
      <c r="C1459" s="116">
        <v>1293.8499999999999</v>
      </c>
      <c r="D1459" s="116">
        <v>1270</v>
      </c>
      <c r="E1459" s="116">
        <v>1270</v>
      </c>
      <c r="F1459" s="116">
        <v>1293.8499999999999</v>
      </c>
      <c r="G1459">
        <v>684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44218</v>
      </c>
      <c r="B1460" s="116">
        <v>1293</v>
      </c>
      <c r="C1460" s="116">
        <v>1286</v>
      </c>
      <c r="D1460" s="116">
        <v>1281</v>
      </c>
      <c r="E1460" s="116">
        <v>1293</v>
      </c>
      <c r="F1460" s="116">
        <v>1286</v>
      </c>
      <c r="G1460">
        <v>70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44221</v>
      </c>
      <c r="B1461" s="116">
        <v>1300</v>
      </c>
      <c r="C1461" s="116">
        <v>1260.75</v>
      </c>
      <c r="D1461" s="116">
        <v>1260.75</v>
      </c>
      <c r="E1461" s="116">
        <v>1286</v>
      </c>
      <c r="F1461" s="116">
        <v>1260.75</v>
      </c>
      <c r="G1461">
        <v>53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44223</v>
      </c>
      <c r="B1462" s="116">
        <v>1313</v>
      </c>
      <c r="C1462" s="116">
        <v>1313</v>
      </c>
      <c r="D1462" s="116">
        <v>1240.2</v>
      </c>
      <c r="E1462" s="116">
        <v>1242.0999999999999</v>
      </c>
      <c r="F1462" s="116">
        <v>1313</v>
      </c>
      <c r="G1462">
        <v>221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44224</v>
      </c>
      <c r="B1463" s="116">
        <v>1325</v>
      </c>
      <c r="C1463" s="116">
        <v>1290.1500000000001</v>
      </c>
      <c r="D1463" s="116">
        <v>1250.8</v>
      </c>
      <c r="E1463" s="116">
        <v>1325</v>
      </c>
      <c r="F1463" s="116">
        <v>1290.1500000000001</v>
      </c>
      <c r="G1463">
        <v>71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44225</v>
      </c>
      <c r="B1464" s="116">
        <v>1290.1500000000001</v>
      </c>
      <c r="C1464" s="116">
        <v>1290.1500000000001</v>
      </c>
      <c r="D1464" s="116">
        <v>1290.1500000000001</v>
      </c>
      <c r="E1464" s="116">
        <v>1290.1500000000001</v>
      </c>
      <c r="F1464" s="116">
        <v>1290.1500000000001</v>
      </c>
      <c r="G1464">
        <v>9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44228</v>
      </c>
      <c r="B1465" s="116">
        <v>1324.95</v>
      </c>
      <c r="C1465" s="116">
        <v>1301.25</v>
      </c>
      <c r="D1465" s="116">
        <v>1301.25</v>
      </c>
      <c r="E1465" s="116">
        <v>1301.25</v>
      </c>
      <c r="F1465" s="116">
        <v>1301.25</v>
      </c>
      <c r="G1465">
        <v>36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44229</v>
      </c>
      <c r="B1466" s="116">
        <v>1326.95</v>
      </c>
      <c r="C1466" s="116">
        <v>1280</v>
      </c>
      <c r="D1466" s="116">
        <v>1240.0999999999999</v>
      </c>
      <c r="E1466" s="116">
        <v>1240.0999999999999</v>
      </c>
      <c r="F1466" s="116">
        <v>1280</v>
      </c>
      <c r="G1466">
        <v>112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44230</v>
      </c>
      <c r="B1467" s="116">
        <v>1325</v>
      </c>
      <c r="C1467" s="116">
        <v>1325</v>
      </c>
      <c r="D1467" s="116">
        <v>1282.05</v>
      </c>
      <c r="E1467" s="116">
        <v>1300</v>
      </c>
      <c r="F1467" s="116">
        <v>1325</v>
      </c>
      <c r="G1467">
        <v>163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44231</v>
      </c>
      <c r="B1468" s="116">
        <v>1345</v>
      </c>
      <c r="C1468" s="116">
        <v>1300.05</v>
      </c>
      <c r="D1468" s="116">
        <v>1300</v>
      </c>
      <c r="E1468" s="116">
        <v>1340</v>
      </c>
      <c r="F1468" s="116">
        <v>1300.05</v>
      </c>
      <c r="G1468">
        <v>126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44232</v>
      </c>
      <c r="B1469" s="116">
        <v>1347.85</v>
      </c>
      <c r="C1469" s="116">
        <v>1300</v>
      </c>
      <c r="D1469" s="116">
        <v>1240.05</v>
      </c>
      <c r="E1469" s="116">
        <v>1240.05</v>
      </c>
      <c r="F1469" s="116">
        <v>1300</v>
      </c>
      <c r="G1469">
        <v>266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44235</v>
      </c>
      <c r="B1470" s="116">
        <v>1345</v>
      </c>
      <c r="C1470" s="116">
        <v>1312.35</v>
      </c>
      <c r="D1470" s="116">
        <v>1250.1500000000001</v>
      </c>
      <c r="E1470" s="116">
        <v>1270.05</v>
      </c>
      <c r="F1470" s="116">
        <v>1312.35</v>
      </c>
      <c r="G1470">
        <v>69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44236</v>
      </c>
      <c r="B1471" s="116">
        <v>1336</v>
      </c>
      <c r="C1471" s="116">
        <v>1289.55</v>
      </c>
      <c r="D1471" s="116">
        <v>1285</v>
      </c>
      <c r="E1471" s="116">
        <v>1325</v>
      </c>
      <c r="F1471" s="116">
        <v>1289.55</v>
      </c>
      <c r="G1471">
        <v>76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44237</v>
      </c>
      <c r="B1472" s="116">
        <v>1314.85</v>
      </c>
      <c r="C1472" s="116">
        <v>1306.3</v>
      </c>
      <c r="D1472" s="116">
        <v>1255.3499999999999</v>
      </c>
      <c r="E1472" s="116">
        <v>1290</v>
      </c>
      <c r="F1472" s="116">
        <v>1306.3</v>
      </c>
      <c r="G1472">
        <v>25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44238</v>
      </c>
      <c r="B1473" s="116">
        <v>1324.75</v>
      </c>
      <c r="C1473" s="116">
        <v>1270</v>
      </c>
      <c r="D1473" s="116">
        <v>1243.05</v>
      </c>
      <c r="E1473" s="116">
        <v>1243.05</v>
      </c>
      <c r="F1473" s="116">
        <v>1270</v>
      </c>
      <c r="G1473">
        <v>59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44239</v>
      </c>
      <c r="B1474" s="116">
        <v>1322.75</v>
      </c>
      <c r="C1474" s="116">
        <v>1260</v>
      </c>
      <c r="D1474" s="116">
        <v>1257</v>
      </c>
      <c r="E1474" s="116">
        <v>1322.7</v>
      </c>
      <c r="F1474" s="116">
        <v>1260</v>
      </c>
      <c r="G1474">
        <v>31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44242</v>
      </c>
      <c r="B1475" s="116">
        <v>1310</v>
      </c>
      <c r="C1475" s="116">
        <v>1310</v>
      </c>
      <c r="D1475" s="116">
        <v>1252.3499999999999</v>
      </c>
      <c r="E1475" s="116">
        <v>1252.3499999999999</v>
      </c>
      <c r="F1475" s="116">
        <v>1310</v>
      </c>
      <c r="G1475">
        <v>140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44243</v>
      </c>
      <c r="B1476" s="116">
        <v>1310</v>
      </c>
      <c r="C1476" s="116">
        <v>1300</v>
      </c>
      <c r="D1476" s="116">
        <v>1253.05</v>
      </c>
      <c r="E1476" s="116">
        <v>1253.0999999999999</v>
      </c>
      <c r="F1476" s="116">
        <v>1300</v>
      </c>
      <c r="G1476">
        <v>139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44244</v>
      </c>
      <c r="B1477" s="116">
        <v>1319.95</v>
      </c>
      <c r="C1477" s="116">
        <v>1310</v>
      </c>
      <c r="D1477" s="116">
        <v>1275</v>
      </c>
      <c r="E1477" s="116">
        <v>1319.95</v>
      </c>
      <c r="F1477" s="116">
        <v>1310</v>
      </c>
      <c r="G1477">
        <v>128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44245</v>
      </c>
      <c r="B1478" s="116">
        <v>1300</v>
      </c>
      <c r="C1478" s="116">
        <v>1300</v>
      </c>
      <c r="D1478" s="116">
        <v>1252.3499999999999</v>
      </c>
      <c r="E1478" s="116">
        <v>1275.5</v>
      </c>
      <c r="F1478" s="116">
        <v>1300</v>
      </c>
      <c r="G1478">
        <v>206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44246</v>
      </c>
      <c r="B1479" s="116">
        <v>1320</v>
      </c>
      <c r="C1479" s="116">
        <v>1283.8499999999999</v>
      </c>
      <c r="D1479" s="116">
        <v>1261</v>
      </c>
      <c r="E1479" s="116">
        <v>1309.95</v>
      </c>
      <c r="F1479" s="116">
        <v>1283.8499999999999</v>
      </c>
      <c r="G1479">
        <v>98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44249</v>
      </c>
      <c r="B1480" s="116">
        <v>1299.95</v>
      </c>
      <c r="C1480" s="116">
        <v>1274.3</v>
      </c>
      <c r="D1480" s="116">
        <v>1255.05</v>
      </c>
      <c r="E1480" s="116">
        <v>1255.05</v>
      </c>
      <c r="F1480" s="116">
        <v>1274.3</v>
      </c>
      <c r="G1480">
        <v>11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44250</v>
      </c>
      <c r="B1481" s="116">
        <v>1305</v>
      </c>
      <c r="C1481" s="116">
        <v>1305</v>
      </c>
      <c r="D1481" s="116">
        <v>1300</v>
      </c>
      <c r="E1481" s="116">
        <v>1300</v>
      </c>
      <c r="F1481" s="116">
        <v>1305</v>
      </c>
      <c r="G1481">
        <v>120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44251</v>
      </c>
      <c r="B1482" s="116">
        <v>1319.95</v>
      </c>
      <c r="C1482" s="116">
        <v>1298.75</v>
      </c>
      <c r="D1482" s="116">
        <v>1243</v>
      </c>
      <c r="E1482" s="116">
        <v>1319.95</v>
      </c>
      <c r="F1482" s="116">
        <v>1298.75</v>
      </c>
      <c r="G1482">
        <v>25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44252</v>
      </c>
      <c r="B1483" s="116">
        <v>1307</v>
      </c>
      <c r="C1483" s="116">
        <v>1305.95</v>
      </c>
      <c r="D1483" s="116">
        <v>1253</v>
      </c>
      <c r="E1483" s="116">
        <v>1306.95</v>
      </c>
      <c r="F1483" s="116">
        <v>1305.95</v>
      </c>
      <c r="G1483">
        <v>124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44253</v>
      </c>
      <c r="B1484" s="116">
        <v>1297.8499999999999</v>
      </c>
      <c r="C1484" s="116">
        <v>1297.8499999999999</v>
      </c>
      <c r="D1484" s="116">
        <v>1253.3</v>
      </c>
      <c r="E1484" s="116">
        <v>1255.1500000000001</v>
      </c>
      <c r="F1484" s="116">
        <v>1297.8499999999999</v>
      </c>
      <c r="G1484">
        <v>55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44257</v>
      </c>
      <c r="B1485" s="116">
        <v>1319.2</v>
      </c>
      <c r="C1485" s="116">
        <v>1295</v>
      </c>
      <c r="D1485" s="116">
        <v>1295</v>
      </c>
      <c r="E1485" s="116">
        <v>1319.2</v>
      </c>
      <c r="F1485" s="116">
        <v>1295</v>
      </c>
      <c r="G1485">
        <v>66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44258</v>
      </c>
      <c r="B1486" s="116">
        <v>1319</v>
      </c>
      <c r="C1486" s="116">
        <v>1300</v>
      </c>
      <c r="D1486" s="116">
        <v>1300</v>
      </c>
      <c r="E1486" s="116">
        <v>1319</v>
      </c>
      <c r="F1486" s="116">
        <v>1300</v>
      </c>
      <c r="G1486">
        <v>25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44259</v>
      </c>
      <c r="B1487" s="116">
        <v>1325</v>
      </c>
      <c r="C1487" s="116">
        <v>1292.75</v>
      </c>
      <c r="D1487" s="116">
        <v>1261.7</v>
      </c>
      <c r="E1487" s="116">
        <v>1261.7</v>
      </c>
      <c r="F1487" s="116">
        <v>1292.75</v>
      </c>
      <c r="G1487">
        <v>148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44260</v>
      </c>
      <c r="B1488" s="116">
        <v>1320</v>
      </c>
      <c r="C1488" s="116">
        <v>1320</v>
      </c>
      <c r="D1488" s="116">
        <v>1308</v>
      </c>
      <c r="E1488" s="116">
        <v>1308</v>
      </c>
      <c r="F1488" s="116">
        <v>1320</v>
      </c>
      <c r="G1488">
        <v>60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44263</v>
      </c>
      <c r="B1489" s="116">
        <v>1346.4</v>
      </c>
      <c r="C1489" s="116">
        <v>1339.75</v>
      </c>
      <c r="D1489" s="116">
        <v>1265.5999999999999</v>
      </c>
      <c r="E1489" s="116">
        <v>1346.4</v>
      </c>
      <c r="F1489" s="116">
        <v>1339.75</v>
      </c>
      <c r="G1489">
        <v>102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44264</v>
      </c>
      <c r="B1490" s="116">
        <v>1349</v>
      </c>
      <c r="C1490" s="116">
        <v>1303.8</v>
      </c>
      <c r="D1490" s="116">
        <v>1286.3499999999999</v>
      </c>
      <c r="E1490" s="116">
        <v>1338.95</v>
      </c>
      <c r="F1490" s="116">
        <v>1303.8</v>
      </c>
      <c r="G1490">
        <v>63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44265</v>
      </c>
      <c r="B1491" s="116">
        <v>1300</v>
      </c>
      <c r="C1491" s="116">
        <v>1300</v>
      </c>
      <c r="D1491" s="116">
        <v>1300</v>
      </c>
      <c r="E1491" s="116">
        <v>1300</v>
      </c>
      <c r="F1491" s="116">
        <v>1300</v>
      </c>
      <c r="G1491">
        <v>21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44267</v>
      </c>
      <c r="B1492" s="116">
        <v>1330</v>
      </c>
      <c r="C1492" s="116">
        <v>1276.05</v>
      </c>
      <c r="D1492" s="116">
        <v>1274.05</v>
      </c>
      <c r="E1492" s="116">
        <v>1274.05</v>
      </c>
      <c r="F1492" s="116">
        <v>1276.05</v>
      </c>
      <c r="G1492">
        <v>23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44270</v>
      </c>
      <c r="B1493" s="116">
        <v>1315</v>
      </c>
      <c r="C1493" s="116">
        <v>1302.25</v>
      </c>
      <c r="D1493" s="116">
        <v>1266</v>
      </c>
      <c r="E1493" s="116">
        <v>1315</v>
      </c>
      <c r="F1493" s="116">
        <v>1302.25</v>
      </c>
      <c r="G1493">
        <v>40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44271</v>
      </c>
      <c r="B1494" s="116">
        <v>1305</v>
      </c>
      <c r="C1494" s="116">
        <v>1300</v>
      </c>
      <c r="D1494" s="116">
        <v>1300</v>
      </c>
      <c r="E1494" s="116">
        <v>1300</v>
      </c>
      <c r="F1494" s="116">
        <v>1300</v>
      </c>
      <c r="G1494">
        <v>212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44272</v>
      </c>
      <c r="B1495" s="116">
        <v>1300</v>
      </c>
      <c r="C1495" s="116">
        <v>1260.0999999999999</v>
      </c>
      <c r="D1495" s="116">
        <v>1255</v>
      </c>
      <c r="E1495" s="116">
        <v>1300</v>
      </c>
      <c r="F1495" s="116">
        <v>1260.0999999999999</v>
      </c>
      <c r="G1495">
        <v>130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44273</v>
      </c>
      <c r="B1496" s="116">
        <v>1299.95</v>
      </c>
      <c r="C1496" s="116">
        <v>1299.7</v>
      </c>
      <c r="D1496" s="116">
        <v>1230</v>
      </c>
      <c r="E1496" s="116">
        <v>1260</v>
      </c>
      <c r="F1496" s="116">
        <v>1299.7</v>
      </c>
      <c r="G1496">
        <v>114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44274</v>
      </c>
      <c r="B1497" s="116">
        <v>1300</v>
      </c>
      <c r="C1497" s="116">
        <v>1300</v>
      </c>
      <c r="D1497" s="116">
        <v>1242.2</v>
      </c>
      <c r="E1497" s="116">
        <v>1242.2</v>
      </c>
      <c r="F1497" s="116">
        <v>1300</v>
      </c>
      <c r="G1497">
        <v>372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44277</v>
      </c>
      <c r="B1498" s="116">
        <v>1299.95</v>
      </c>
      <c r="C1498" s="116">
        <v>1299.95</v>
      </c>
      <c r="D1498" s="116">
        <v>1266.05</v>
      </c>
      <c r="E1498" s="116">
        <v>1268.0999999999999</v>
      </c>
      <c r="F1498" s="116">
        <v>1299.95</v>
      </c>
      <c r="G1498">
        <v>30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44278</v>
      </c>
      <c r="B1499" s="116">
        <v>1266</v>
      </c>
      <c r="C1499" s="116">
        <v>1255.0999999999999</v>
      </c>
      <c r="D1499" s="116">
        <v>1255.0999999999999</v>
      </c>
      <c r="E1499" s="116">
        <v>1266</v>
      </c>
      <c r="F1499" s="116">
        <v>1255.0999999999999</v>
      </c>
      <c r="G1499">
        <v>10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44279</v>
      </c>
      <c r="B1500" s="116">
        <v>1297.95</v>
      </c>
      <c r="C1500" s="116">
        <v>1254.75</v>
      </c>
      <c r="D1500" s="116">
        <v>1251</v>
      </c>
      <c r="E1500" s="116">
        <v>1255.05</v>
      </c>
      <c r="F1500" s="116">
        <v>1254.75</v>
      </c>
      <c r="G1500">
        <v>86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44280</v>
      </c>
      <c r="B1501" s="116">
        <v>1317.45</v>
      </c>
      <c r="C1501" s="116">
        <v>1295.8499999999999</v>
      </c>
      <c r="D1501" s="116">
        <v>1295</v>
      </c>
      <c r="E1501" s="116">
        <v>1298.55</v>
      </c>
      <c r="F1501" s="116">
        <v>1295.8499999999999</v>
      </c>
      <c r="G1501">
        <v>201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44281</v>
      </c>
      <c r="B1502" s="116">
        <v>1312</v>
      </c>
      <c r="C1502" s="116">
        <v>1246.0999999999999</v>
      </c>
      <c r="D1502" s="116">
        <v>1246.0999999999999</v>
      </c>
      <c r="E1502" s="116">
        <v>1312</v>
      </c>
      <c r="F1502" s="116">
        <v>1246.0999999999999</v>
      </c>
      <c r="G1502">
        <v>70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44285</v>
      </c>
      <c r="B1503" s="116">
        <v>1301.25</v>
      </c>
      <c r="C1503" s="116">
        <v>1260.0999999999999</v>
      </c>
      <c r="D1503" s="116">
        <v>1256.05</v>
      </c>
      <c r="E1503" s="116">
        <v>1256.05</v>
      </c>
      <c r="F1503" s="116">
        <v>1260.0999999999999</v>
      </c>
      <c r="G1503">
        <v>71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44286</v>
      </c>
      <c r="B1504" s="116">
        <v>1300</v>
      </c>
      <c r="C1504" s="116">
        <v>1279.4000000000001</v>
      </c>
      <c r="D1504" s="116">
        <v>1260.2</v>
      </c>
      <c r="E1504" s="116">
        <v>1260.2</v>
      </c>
      <c r="F1504" s="116">
        <v>1279.4000000000001</v>
      </c>
      <c r="G1504">
        <v>34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44287</v>
      </c>
      <c r="B1505" s="116">
        <v>1299</v>
      </c>
      <c r="C1505" s="116">
        <v>1299</v>
      </c>
      <c r="D1505" s="116">
        <v>1243.0999999999999</v>
      </c>
      <c r="E1505" s="116">
        <v>1261.5999999999999</v>
      </c>
      <c r="F1505" s="116">
        <v>1299</v>
      </c>
      <c r="G1505">
        <v>126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44291</v>
      </c>
      <c r="B1506" s="116">
        <v>1298.45</v>
      </c>
      <c r="C1506" s="116">
        <v>1298.45</v>
      </c>
      <c r="D1506" s="116">
        <v>1251.0999999999999</v>
      </c>
      <c r="E1506" s="116">
        <v>1251.0999999999999</v>
      </c>
      <c r="F1506" s="116">
        <v>1298.45</v>
      </c>
      <c r="G1506">
        <v>7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44292</v>
      </c>
      <c r="B1507" s="116">
        <v>1301.25</v>
      </c>
      <c r="C1507" s="116">
        <v>1300.3</v>
      </c>
      <c r="D1507" s="116">
        <v>1299.9000000000001</v>
      </c>
      <c r="E1507" s="116">
        <v>1299.9000000000001</v>
      </c>
      <c r="F1507" s="116">
        <v>1300.3</v>
      </c>
      <c r="G1507">
        <v>232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44293</v>
      </c>
      <c r="B1508" s="116">
        <v>1299</v>
      </c>
      <c r="C1508" s="116">
        <v>1279</v>
      </c>
      <c r="D1508" s="116">
        <v>1248.7</v>
      </c>
      <c r="E1508" s="116">
        <v>1248.7</v>
      </c>
      <c r="F1508" s="116">
        <v>1279</v>
      </c>
      <c r="G1508">
        <v>51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44294</v>
      </c>
      <c r="B1509" s="116">
        <v>1301.95</v>
      </c>
      <c r="C1509" s="116">
        <v>1300</v>
      </c>
      <c r="D1509" s="116">
        <v>1298.95</v>
      </c>
      <c r="E1509" s="116">
        <v>1301.95</v>
      </c>
      <c r="F1509" s="116">
        <v>1300</v>
      </c>
      <c r="G1509">
        <v>293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44295</v>
      </c>
      <c r="B1510" s="116">
        <v>1300</v>
      </c>
      <c r="C1510" s="116">
        <v>1300</v>
      </c>
      <c r="D1510" s="116">
        <v>1260.05</v>
      </c>
      <c r="E1510" s="116">
        <v>1260.0999999999999</v>
      </c>
      <c r="F1510" s="116">
        <v>1300</v>
      </c>
      <c r="G1510">
        <v>126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44298</v>
      </c>
      <c r="B1511" s="116">
        <v>1299.8</v>
      </c>
      <c r="C1511" s="116">
        <v>1275</v>
      </c>
      <c r="D1511" s="116">
        <v>1249.05</v>
      </c>
      <c r="E1511" s="116">
        <v>1250.05</v>
      </c>
      <c r="F1511" s="116">
        <v>1275</v>
      </c>
      <c r="G1511">
        <v>28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44299</v>
      </c>
      <c r="B1512" s="116">
        <v>1299.95</v>
      </c>
      <c r="C1512" s="116">
        <v>1275</v>
      </c>
      <c r="D1512" s="116">
        <v>1249.0999999999999</v>
      </c>
      <c r="E1512" s="116">
        <v>1299.95</v>
      </c>
      <c r="F1512" s="116">
        <v>1275</v>
      </c>
      <c r="G1512">
        <v>470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44301</v>
      </c>
      <c r="B1513" s="116">
        <v>1275</v>
      </c>
      <c r="C1513" s="116">
        <v>1270</v>
      </c>
      <c r="D1513" s="116">
        <v>1270</v>
      </c>
      <c r="E1513" s="116">
        <v>1275</v>
      </c>
      <c r="F1513" s="116">
        <v>1270</v>
      </c>
      <c r="G1513">
        <v>49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44302</v>
      </c>
      <c r="B1514" s="116">
        <v>1260</v>
      </c>
      <c r="C1514" s="116">
        <v>1260</v>
      </c>
      <c r="D1514" s="116">
        <v>1247</v>
      </c>
      <c r="E1514" s="116">
        <v>1249.0999999999999</v>
      </c>
      <c r="F1514" s="116">
        <v>1260</v>
      </c>
      <c r="G1514">
        <v>175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44305</v>
      </c>
      <c r="B1515" s="116">
        <v>1298.95</v>
      </c>
      <c r="C1515" s="116">
        <v>1212.9000000000001</v>
      </c>
      <c r="D1515" s="116">
        <v>1200</v>
      </c>
      <c r="E1515" s="116">
        <v>1247.05</v>
      </c>
      <c r="F1515" s="116">
        <v>1212.9000000000001</v>
      </c>
      <c r="G1515">
        <v>221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44306</v>
      </c>
      <c r="B1516" s="116">
        <v>1246.7</v>
      </c>
      <c r="C1516" s="116">
        <v>1244.5999999999999</v>
      </c>
      <c r="D1516" s="116">
        <v>1163.1500000000001</v>
      </c>
      <c r="E1516" s="116">
        <v>1202.25</v>
      </c>
      <c r="F1516" s="116">
        <v>1244.5999999999999</v>
      </c>
      <c r="G1516">
        <v>695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44308</v>
      </c>
      <c r="B1517" s="116">
        <v>1250</v>
      </c>
      <c r="C1517" s="116">
        <v>1250</v>
      </c>
      <c r="D1517" s="116">
        <v>1199</v>
      </c>
      <c r="E1517" s="116">
        <v>1200</v>
      </c>
      <c r="F1517" s="116">
        <v>1250</v>
      </c>
      <c r="G1517">
        <v>149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44309</v>
      </c>
      <c r="B1518" s="116">
        <v>1273.95</v>
      </c>
      <c r="C1518" s="116">
        <v>1259.05</v>
      </c>
      <c r="D1518" s="116">
        <v>1190</v>
      </c>
      <c r="E1518" s="116">
        <v>1190</v>
      </c>
      <c r="F1518" s="116">
        <v>1259.05</v>
      </c>
      <c r="G1518">
        <v>19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44312</v>
      </c>
      <c r="B1519" s="116">
        <v>1266.95</v>
      </c>
      <c r="C1519" s="116">
        <v>1264.95</v>
      </c>
      <c r="D1519" s="116">
        <v>1203.9000000000001</v>
      </c>
      <c r="E1519" s="116">
        <v>1266.95</v>
      </c>
      <c r="F1519" s="116">
        <v>1264.95</v>
      </c>
      <c r="G1519">
        <v>9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44313</v>
      </c>
      <c r="B1520" s="116">
        <v>1259.95</v>
      </c>
      <c r="C1520" s="116">
        <v>1259.95</v>
      </c>
      <c r="D1520" s="116">
        <v>1202.45</v>
      </c>
      <c r="E1520" s="116">
        <v>1210</v>
      </c>
      <c r="F1520" s="116">
        <v>1259.95</v>
      </c>
      <c r="G1520">
        <v>135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44314</v>
      </c>
      <c r="B1521" s="116">
        <v>1283.0999999999999</v>
      </c>
      <c r="C1521" s="116">
        <v>1275</v>
      </c>
      <c r="D1521" s="116">
        <v>1211.2</v>
      </c>
      <c r="E1521" s="116">
        <v>1259.95</v>
      </c>
      <c r="F1521" s="116">
        <v>1275</v>
      </c>
      <c r="G1521">
        <v>273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44315</v>
      </c>
      <c r="B1522" s="116">
        <v>1274.95</v>
      </c>
      <c r="C1522" s="116">
        <v>1264.95</v>
      </c>
      <c r="D1522" s="116">
        <v>1220.25</v>
      </c>
      <c r="E1522" s="116">
        <v>1274.95</v>
      </c>
      <c r="F1522" s="116">
        <v>1264.95</v>
      </c>
      <c r="G1522">
        <v>49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44316</v>
      </c>
      <c r="B1523" s="116">
        <v>1270</v>
      </c>
      <c r="C1523" s="116">
        <v>1215.05</v>
      </c>
      <c r="D1523" s="116">
        <v>1215.05</v>
      </c>
      <c r="E1523" s="116">
        <v>1269.8499999999999</v>
      </c>
      <c r="F1523" s="116">
        <v>1215.05</v>
      </c>
      <c r="G1523">
        <v>18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44319</v>
      </c>
      <c r="B1524" s="116">
        <v>1256.2</v>
      </c>
      <c r="C1524" s="116">
        <v>1256.2</v>
      </c>
      <c r="D1524" s="116">
        <v>1200.0999999999999</v>
      </c>
      <c r="E1524" s="116">
        <v>1215</v>
      </c>
      <c r="F1524" s="116">
        <v>1256.2</v>
      </c>
      <c r="G1524">
        <v>171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44320</v>
      </c>
      <c r="B1525" s="116">
        <v>1249.95</v>
      </c>
      <c r="C1525" s="116">
        <v>1239.95</v>
      </c>
      <c r="D1525" s="116">
        <v>1193.4000000000001</v>
      </c>
      <c r="E1525" s="116">
        <v>1215</v>
      </c>
      <c r="F1525" s="116">
        <v>1239.95</v>
      </c>
      <c r="G1525">
        <v>249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44322</v>
      </c>
      <c r="B1526" s="116">
        <v>1240</v>
      </c>
      <c r="C1526" s="116">
        <v>1239.45</v>
      </c>
      <c r="D1526" s="116">
        <v>1195.05</v>
      </c>
      <c r="E1526" s="116">
        <v>1230</v>
      </c>
      <c r="F1526" s="116">
        <v>1239.45</v>
      </c>
      <c r="G1526">
        <v>41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44323</v>
      </c>
      <c r="B1527" s="116">
        <v>1274.95</v>
      </c>
      <c r="C1527" s="116">
        <v>1225</v>
      </c>
      <c r="D1527" s="116">
        <v>1193.3</v>
      </c>
      <c r="E1527" s="116">
        <v>1193.3</v>
      </c>
      <c r="F1527" s="116">
        <v>1225</v>
      </c>
      <c r="G1527">
        <v>138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44326</v>
      </c>
      <c r="B1528" s="116">
        <v>1225</v>
      </c>
      <c r="C1528" s="116">
        <v>1225</v>
      </c>
      <c r="D1528" s="116">
        <v>1225</v>
      </c>
      <c r="E1528" s="116">
        <v>1225</v>
      </c>
      <c r="F1528" s="116">
        <v>1225</v>
      </c>
      <c r="G1528">
        <v>162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44327</v>
      </c>
      <c r="B1529" s="116">
        <v>1225</v>
      </c>
      <c r="C1529" s="116">
        <v>1225</v>
      </c>
      <c r="D1529" s="116">
        <v>1212</v>
      </c>
      <c r="E1529" s="116">
        <v>1215.25</v>
      </c>
      <c r="F1529" s="116">
        <v>1225</v>
      </c>
      <c r="G1529">
        <v>253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44328</v>
      </c>
      <c r="B1530" s="116">
        <v>1225</v>
      </c>
      <c r="C1530" s="116">
        <v>1225</v>
      </c>
      <c r="D1530" s="116">
        <v>1225</v>
      </c>
      <c r="E1530" s="116">
        <v>1225</v>
      </c>
      <c r="F1530" s="116">
        <v>1225</v>
      </c>
      <c r="G1530">
        <v>62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44330</v>
      </c>
      <c r="B1531" s="116">
        <v>1227</v>
      </c>
      <c r="C1531" s="116">
        <v>1225</v>
      </c>
      <c r="D1531" s="116">
        <v>1190</v>
      </c>
      <c r="E1531" s="116">
        <v>1227</v>
      </c>
      <c r="F1531" s="116">
        <v>1225</v>
      </c>
      <c r="G1531">
        <v>66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44333</v>
      </c>
      <c r="B1532" s="116">
        <v>1224</v>
      </c>
      <c r="C1532" s="116">
        <v>1224</v>
      </c>
      <c r="D1532" s="116">
        <v>1224</v>
      </c>
      <c r="E1532" s="116">
        <v>1224</v>
      </c>
      <c r="F1532" s="116">
        <v>1224</v>
      </c>
      <c r="G1532">
        <v>10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44334</v>
      </c>
      <c r="B1533" s="116">
        <v>1225</v>
      </c>
      <c r="C1533" s="116">
        <v>1225</v>
      </c>
      <c r="D1533" s="116">
        <v>1225</v>
      </c>
      <c r="E1533" s="116">
        <v>1225</v>
      </c>
      <c r="F1533" s="116">
        <v>1225</v>
      </c>
      <c r="G1533">
        <v>96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44335</v>
      </c>
      <c r="B1534" s="116">
        <v>1240</v>
      </c>
      <c r="C1534" s="116">
        <v>1225</v>
      </c>
      <c r="D1534" s="116">
        <v>1190</v>
      </c>
      <c r="E1534" s="116">
        <v>1225</v>
      </c>
      <c r="F1534" s="116">
        <v>1225</v>
      </c>
      <c r="G1534">
        <v>84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44336</v>
      </c>
      <c r="B1535" s="116">
        <v>1250</v>
      </c>
      <c r="C1535" s="116">
        <v>1225</v>
      </c>
      <c r="D1535" s="116">
        <v>1225</v>
      </c>
      <c r="E1535" s="116">
        <v>1238.2</v>
      </c>
      <c r="F1535" s="116">
        <v>1225</v>
      </c>
      <c r="G1535">
        <v>108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44337</v>
      </c>
      <c r="B1536" s="116">
        <v>1286.25</v>
      </c>
      <c r="C1536" s="116">
        <v>1286</v>
      </c>
      <c r="D1536" s="116">
        <v>1228</v>
      </c>
      <c r="E1536" s="116">
        <v>1228</v>
      </c>
      <c r="F1536" s="116">
        <v>1286</v>
      </c>
      <c r="G1536">
        <v>419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44340</v>
      </c>
      <c r="B1537" s="116">
        <v>1350</v>
      </c>
      <c r="C1537" s="116">
        <v>1343</v>
      </c>
      <c r="D1537" s="116">
        <v>1298.9000000000001</v>
      </c>
      <c r="E1537" s="116">
        <v>1298.9000000000001</v>
      </c>
      <c r="F1537" s="116">
        <v>1343</v>
      </c>
      <c r="G1537">
        <v>744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44341</v>
      </c>
      <c r="B1538" s="116">
        <v>1380</v>
      </c>
      <c r="C1538" s="116">
        <v>1367.3</v>
      </c>
      <c r="D1538" s="116">
        <v>1325</v>
      </c>
      <c r="E1538" s="116">
        <v>1350.3</v>
      </c>
      <c r="F1538" s="116">
        <v>1367.3</v>
      </c>
      <c r="G1538">
        <v>229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44342</v>
      </c>
      <c r="B1539" s="116">
        <v>1383.2</v>
      </c>
      <c r="C1539" s="116">
        <v>1352</v>
      </c>
      <c r="D1539" s="116">
        <v>1333</v>
      </c>
      <c r="E1539" s="116">
        <v>1333</v>
      </c>
      <c r="F1539" s="116">
        <v>1352</v>
      </c>
      <c r="G1539">
        <v>83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44343</v>
      </c>
      <c r="B1540" s="116">
        <v>1397</v>
      </c>
      <c r="C1540" s="116">
        <v>1361</v>
      </c>
      <c r="D1540" s="116">
        <v>1292.5999999999999</v>
      </c>
      <c r="E1540" s="116">
        <v>1360</v>
      </c>
      <c r="F1540" s="116">
        <v>1361</v>
      </c>
      <c r="G1540">
        <v>196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44344</v>
      </c>
      <c r="B1541" s="116">
        <v>1361</v>
      </c>
      <c r="C1541" s="116">
        <v>1350</v>
      </c>
      <c r="D1541" s="116">
        <v>1340.1</v>
      </c>
      <c r="E1541" s="116">
        <v>1361</v>
      </c>
      <c r="F1541" s="116">
        <v>1350</v>
      </c>
      <c r="G1541">
        <v>28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44347</v>
      </c>
      <c r="B1542" s="116">
        <v>1325</v>
      </c>
      <c r="C1542" s="116">
        <v>1325</v>
      </c>
      <c r="D1542" s="116">
        <v>1310.4000000000001</v>
      </c>
      <c r="E1542" s="116">
        <v>1310.4000000000001</v>
      </c>
      <c r="F1542" s="116">
        <v>1325</v>
      </c>
      <c r="G1542">
        <v>28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44348</v>
      </c>
      <c r="B1543" s="116">
        <v>1390.95</v>
      </c>
      <c r="C1543" s="116">
        <v>1350.65</v>
      </c>
      <c r="D1543" s="116">
        <v>1319.25</v>
      </c>
      <c r="E1543" s="116">
        <v>1390.95</v>
      </c>
      <c r="F1543" s="116">
        <v>1350.65</v>
      </c>
      <c r="G1543">
        <v>107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44349</v>
      </c>
      <c r="B1544" s="116">
        <v>1360</v>
      </c>
      <c r="C1544" s="116">
        <v>1350</v>
      </c>
      <c r="D1544" s="116">
        <v>1283.1500000000001</v>
      </c>
      <c r="E1544" s="116">
        <v>1326.05</v>
      </c>
      <c r="F1544" s="116">
        <v>1350</v>
      </c>
      <c r="G1544">
        <v>418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44350</v>
      </c>
      <c r="B1545" s="116">
        <v>1379</v>
      </c>
      <c r="C1545" s="116">
        <v>1379</v>
      </c>
      <c r="D1545" s="116">
        <v>1350</v>
      </c>
      <c r="E1545" s="116">
        <v>1350</v>
      </c>
      <c r="F1545" s="116">
        <v>1379</v>
      </c>
      <c r="G1545">
        <v>238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44351</v>
      </c>
      <c r="B1546" s="116">
        <v>1422</v>
      </c>
      <c r="C1546" s="116">
        <v>1399.45</v>
      </c>
      <c r="D1546" s="116">
        <v>1350</v>
      </c>
      <c r="E1546" s="116">
        <v>1422</v>
      </c>
      <c r="F1546" s="116">
        <v>1399.45</v>
      </c>
      <c r="G1546">
        <v>174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44354</v>
      </c>
      <c r="B1547" s="116">
        <v>1411</v>
      </c>
      <c r="C1547" s="116">
        <v>1398.55</v>
      </c>
      <c r="D1547" s="116">
        <v>1330</v>
      </c>
      <c r="E1547" s="116">
        <v>1410.95</v>
      </c>
      <c r="F1547" s="116">
        <v>1398.55</v>
      </c>
      <c r="G1547">
        <v>133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44355</v>
      </c>
      <c r="B1548" s="116">
        <v>1538.4</v>
      </c>
      <c r="C1548" s="116">
        <v>1445.55</v>
      </c>
      <c r="D1548" s="116">
        <v>1364.3</v>
      </c>
      <c r="E1548" s="116">
        <v>1396.95</v>
      </c>
      <c r="F1548" s="116">
        <v>1445.55</v>
      </c>
      <c r="G1548">
        <v>1009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44356</v>
      </c>
      <c r="B1549" s="116">
        <v>1519</v>
      </c>
      <c r="C1549" s="116">
        <v>1480</v>
      </c>
      <c r="D1549" s="116">
        <v>1446</v>
      </c>
      <c r="E1549" s="116">
        <v>1446</v>
      </c>
      <c r="F1549" s="116">
        <v>1480</v>
      </c>
      <c r="G1549">
        <v>539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44357</v>
      </c>
      <c r="B1550" s="116">
        <v>1480</v>
      </c>
      <c r="C1550" s="116">
        <v>1451</v>
      </c>
      <c r="D1550" s="116">
        <v>1440.5</v>
      </c>
      <c r="E1550" s="116">
        <v>1480</v>
      </c>
      <c r="F1550" s="116">
        <v>1451</v>
      </c>
      <c r="G1550">
        <v>129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44358</v>
      </c>
      <c r="B1551" s="116">
        <v>1493.95</v>
      </c>
      <c r="C1551" s="116">
        <v>1466</v>
      </c>
      <c r="D1551" s="116">
        <v>1455</v>
      </c>
      <c r="E1551" s="116">
        <v>1493.95</v>
      </c>
      <c r="F1551" s="116">
        <v>1466</v>
      </c>
      <c r="G1551">
        <v>78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44361</v>
      </c>
      <c r="B1552" s="116">
        <v>1506.8</v>
      </c>
      <c r="C1552" s="116">
        <v>1451.5</v>
      </c>
      <c r="D1552" s="116">
        <v>1445.25</v>
      </c>
      <c r="E1552" s="116">
        <v>1506.8</v>
      </c>
      <c r="F1552" s="116">
        <v>1451.5</v>
      </c>
      <c r="G1552">
        <v>79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44362</v>
      </c>
      <c r="B1553" s="116">
        <v>1525</v>
      </c>
      <c r="C1553" s="116">
        <v>1516.4</v>
      </c>
      <c r="D1553" s="116">
        <v>1460.25</v>
      </c>
      <c r="E1553" s="116">
        <v>1460.25</v>
      </c>
      <c r="F1553" s="116">
        <v>1516.4</v>
      </c>
      <c r="G1553">
        <v>430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44363</v>
      </c>
      <c r="B1554" s="116">
        <v>1668</v>
      </c>
      <c r="C1554" s="116">
        <v>1636.75</v>
      </c>
      <c r="D1554" s="116">
        <v>1460</v>
      </c>
      <c r="E1554" s="116">
        <v>1524.95</v>
      </c>
      <c r="F1554" s="116">
        <v>1636.75</v>
      </c>
      <c r="G1554">
        <v>1731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44364</v>
      </c>
      <c r="B1555" s="116">
        <v>1800.4</v>
      </c>
      <c r="C1555" s="116">
        <v>1586</v>
      </c>
      <c r="D1555" s="116">
        <v>1583</v>
      </c>
      <c r="E1555" s="116">
        <v>1636</v>
      </c>
      <c r="F1555" s="116">
        <v>1586</v>
      </c>
      <c r="G1555">
        <v>1515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44365</v>
      </c>
      <c r="B1556" s="116">
        <v>1655</v>
      </c>
      <c r="C1556" s="116">
        <v>1551.3</v>
      </c>
      <c r="D1556" s="116">
        <v>1430.05</v>
      </c>
      <c r="E1556" s="116">
        <v>1510</v>
      </c>
      <c r="F1556" s="116">
        <v>1551.3</v>
      </c>
      <c r="G1556">
        <v>1105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44368</v>
      </c>
      <c r="B1557" s="116">
        <v>1627</v>
      </c>
      <c r="C1557" s="116">
        <v>1492.15</v>
      </c>
      <c r="D1557" s="116">
        <v>1476</v>
      </c>
      <c r="E1557" s="116">
        <v>1598.95</v>
      </c>
      <c r="F1557" s="116">
        <v>1492.15</v>
      </c>
      <c r="G1557">
        <v>1205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44369</v>
      </c>
      <c r="B1558" s="116">
        <v>1589.25</v>
      </c>
      <c r="C1558" s="116">
        <v>1540</v>
      </c>
      <c r="D1558" s="116">
        <v>1498.05</v>
      </c>
      <c r="E1558" s="116">
        <v>1524</v>
      </c>
      <c r="F1558" s="116">
        <v>1540</v>
      </c>
      <c r="G1558">
        <v>146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44370</v>
      </c>
      <c r="B1559" s="116">
        <v>1575</v>
      </c>
      <c r="C1559" s="116">
        <v>1530.35</v>
      </c>
      <c r="D1559" s="116">
        <v>1530.25</v>
      </c>
      <c r="E1559" s="116">
        <v>1545.4</v>
      </c>
      <c r="F1559" s="116">
        <v>1530.35</v>
      </c>
      <c r="G1559">
        <v>97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44371</v>
      </c>
      <c r="B1560" s="116">
        <v>1600</v>
      </c>
      <c r="C1560" s="116">
        <v>1543</v>
      </c>
      <c r="D1560" s="116">
        <v>1531</v>
      </c>
      <c r="E1560" s="116">
        <v>1598.95</v>
      </c>
      <c r="F1560" s="116">
        <v>1543</v>
      </c>
      <c r="G1560">
        <v>325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44372</v>
      </c>
      <c r="B1561" s="116">
        <v>1598.05</v>
      </c>
      <c r="C1561" s="116">
        <v>1550</v>
      </c>
      <c r="D1561" s="116">
        <v>1534.25</v>
      </c>
      <c r="E1561" s="116">
        <v>1543</v>
      </c>
      <c r="F1561" s="116">
        <v>1550</v>
      </c>
      <c r="G1561">
        <v>219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44375</v>
      </c>
      <c r="B1562" s="116">
        <v>1555.05</v>
      </c>
      <c r="C1562" s="116">
        <v>1544.25</v>
      </c>
      <c r="D1562" s="116">
        <v>1544.25</v>
      </c>
      <c r="E1562" s="116">
        <v>1555.05</v>
      </c>
      <c r="F1562" s="116">
        <v>1544.25</v>
      </c>
      <c r="G1562">
        <v>91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44376</v>
      </c>
      <c r="B1563" s="116">
        <v>1599.4</v>
      </c>
      <c r="C1563" s="116">
        <v>1565</v>
      </c>
      <c r="D1563" s="116">
        <v>1535.55</v>
      </c>
      <c r="E1563" s="116">
        <v>1595.95</v>
      </c>
      <c r="F1563" s="116">
        <v>1565</v>
      </c>
      <c r="G1563">
        <v>93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44377</v>
      </c>
      <c r="B1564" s="116">
        <v>1589.2</v>
      </c>
      <c r="C1564" s="116">
        <v>1589.2</v>
      </c>
      <c r="D1564" s="116">
        <v>1565</v>
      </c>
      <c r="E1564" s="116">
        <v>1565</v>
      </c>
      <c r="F1564" s="116">
        <v>1589.2</v>
      </c>
      <c r="G1564">
        <v>16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44378</v>
      </c>
      <c r="B1565" s="116">
        <v>1578.95</v>
      </c>
      <c r="C1565" s="116">
        <v>1578.95</v>
      </c>
      <c r="D1565" s="116">
        <v>1540</v>
      </c>
      <c r="E1565" s="116">
        <v>1575</v>
      </c>
      <c r="F1565" s="116">
        <v>1578.95</v>
      </c>
      <c r="G1565">
        <v>30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44379</v>
      </c>
      <c r="B1566" s="116">
        <v>1555</v>
      </c>
      <c r="C1566" s="116">
        <v>1541</v>
      </c>
      <c r="D1566" s="116">
        <v>1525</v>
      </c>
      <c r="E1566" s="116">
        <v>1555</v>
      </c>
      <c r="F1566" s="116">
        <v>1541</v>
      </c>
      <c r="G1566">
        <v>68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44382</v>
      </c>
      <c r="B1567" s="116">
        <v>1568.85</v>
      </c>
      <c r="C1567" s="116">
        <v>1556.05</v>
      </c>
      <c r="D1567" s="116">
        <v>1510</v>
      </c>
      <c r="E1567" s="116">
        <v>1544.25</v>
      </c>
      <c r="F1567" s="116">
        <v>1556.05</v>
      </c>
      <c r="G1567">
        <v>218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44383</v>
      </c>
      <c r="B1568" s="116">
        <v>1560</v>
      </c>
      <c r="C1568" s="116">
        <v>1559.95</v>
      </c>
      <c r="D1568" s="116">
        <v>1530</v>
      </c>
      <c r="E1568" s="116">
        <v>1540</v>
      </c>
      <c r="F1568" s="116">
        <v>1559.95</v>
      </c>
      <c r="G1568">
        <v>71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44384</v>
      </c>
      <c r="B1569" s="116">
        <v>1578</v>
      </c>
      <c r="C1569" s="116">
        <v>1575</v>
      </c>
      <c r="D1569" s="116">
        <v>1540</v>
      </c>
      <c r="E1569" s="116">
        <v>1540</v>
      </c>
      <c r="F1569" s="116">
        <v>1575</v>
      </c>
      <c r="G1569">
        <v>254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44385</v>
      </c>
      <c r="B1570" s="116">
        <v>1622</v>
      </c>
      <c r="C1570" s="116">
        <v>1571.25</v>
      </c>
      <c r="D1570" s="116">
        <v>1571.25</v>
      </c>
      <c r="E1570" s="116">
        <v>1575</v>
      </c>
      <c r="F1570" s="116">
        <v>1571.25</v>
      </c>
      <c r="G1570">
        <v>33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44386</v>
      </c>
      <c r="B1571" s="116">
        <v>1605</v>
      </c>
      <c r="C1571" s="116">
        <v>1605</v>
      </c>
      <c r="D1571" s="116">
        <v>1570</v>
      </c>
      <c r="E1571" s="116">
        <v>1570</v>
      </c>
      <c r="F1571" s="116">
        <v>1605</v>
      </c>
      <c r="G1571">
        <v>24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44389</v>
      </c>
      <c r="B1572" s="116">
        <v>1604.9</v>
      </c>
      <c r="C1572" s="116">
        <v>1577</v>
      </c>
      <c r="D1572" s="116">
        <v>1541.05</v>
      </c>
      <c r="E1572" s="116">
        <v>1541.05</v>
      </c>
      <c r="F1572" s="116">
        <v>1577</v>
      </c>
      <c r="G1572">
        <v>172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44390</v>
      </c>
      <c r="B1573" s="116">
        <v>1670</v>
      </c>
      <c r="C1573" s="116">
        <v>1668.6</v>
      </c>
      <c r="D1573" s="116">
        <v>1574.7</v>
      </c>
      <c r="E1573" s="116">
        <v>1574.7</v>
      </c>
      <c r="F1573" s="116">
        <v>1668.6</v>
      </c>
      <c r="G1573">
        <v>1010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44391</v>
      </c>
      <c r="B1574" s="116">
        <v>1734.7</v>
      </c>
      <c r="C1574" s="116">
        <v>1731.35</v>
      </c>
      <c r="D1574" s="116">
        <v>1630</v>
      </c>
      <c r="E1574" s="116">
        <v>1699</v>
      </c>
      <c r="F1574" s="116">
        <v>1731.35</v>
      </c>
      <c r="G1574">
        <v>441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44392</v>
      </c>
      <c r="B1575" s="116">
        <v>1760</v>
      </c>
      <c r="C1575" s="116">
        <v>1635.9</v>
      </c>
      <c r="D1575" s="116">
        <v>1620</v>
      </c>
      <c r="E1575" s="116">
        <v>1734.7</v>
      </c>
      <c r="F1575" s="116">
        <v>1635.9</v>
      </c>
      <c r="G1575">
        <v>345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44393</v>
      </c>
      <c r="B1576" s="116">
        <v>1799.45</v>
      </c>
      <c r="C1576" s="116">
        <v>1759.95</v>
      </c>
      <c r="D1576" s="116">
        <v>1685.05</v>
      </c>
      <c r="E1576" s="116">
        <v>1718</v>
      </c>
      <c r="F1576" s="116">
        <v>1759.95</v>
      </c>
      <c r="G1576">
        <v>555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44396</v>
      </c>
      <c r="B1577" s="116">
        <v>1835.4</v>
      </c>
      <c r="C1577" s="116">
        <v>1737.55</v>
      </c>
      <c r="D1577" s="116">
        <v>1700</v>
      </c>
      <c r="E1577" s="116">
        <v>1835.4</v>
      </c>
      <c r="F1577" s="116">
        <v>1737.55</v>
      </c>
      <c r="G1577">
        <v>439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44397</v>
      </c>
      <c r="B1578" s="116">
        <v>1750</v>
      </c>
      <c r="C1578" s="116">
        <v>1665.8</v>
      </c>
      <c r="D1578" s="116">
        <v>1655</v>
      </c>
      <c r="E1578" s="116">
        <v>1744.2</v>
      </c>
      <c r="F1578" s="116">
        <v>1665.8</v>
      </c>
      <c r="G1578">
        <v>300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44399</v>
      </c>
      <c r="B1579" s="116">
        <v>1718</v>
      </c>
      <c r="C1579" s="116">
        <v>1705.65</v>
      </c>
      <c r="D1579" s="116">
        <v>1670</v>
      </c>
      <c r="E1579" s="116">
        <v>1697</v>
      </c>
      <c r="F1579" s="116">
        <v>1705.65</v>
      </c>
      <c r="G1579">
        <v>96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44400</v>
      </c>
      <c r="B1580" s="116">
        <v>1684</v>
      </c>
      <c r="C1580" s="116">
        <v>1681.95</v>
      </c>
      <c r="D1580" s="116">
        <v>1630</v>
      </c>
      <c r="E1580" s="116">
        <v>1630</v>
      </c>
      <c r="F1580" s="116">
        <v>1681.95</v>
      </c>
      <c r="G1580">
        <v>134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44403</v>
      </c>
      <c r="B1581" s="116">
        <v>1699.85</v>
      </c>
      <c r="C1581" s="116">
        <v>1680</v>
      </c>
      <c r="D1581" s="116">
        <v>1631.3</v>
      </c>
      <c r="E1581" s="116">
        <v>1690</v>
      </c>
      <c r="F1581" s="116">
        <v>1680</v>
      </c>
      <c r="G1581">
        <v>143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44404</v>
      </c>
      <c r="B1582" s="116">
        <v>1685</v>
      </c>
      <c r="C1582" s="116">
        <v>1685</v>
      </c>
      <c r="D1582" s="116">
        <v>1632</v>
      </c>
      <c r="E1582" s="116">
        <v>1636.05</v>
      </c>
      <c r="F1582" s="116">
        <v>1685</v>
      </c>
      <c r="G1582">
        <v>137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44405</v>
      </c>
      <c r="B1583" s="116">
        <v>1690.1</v>
      </c>
      <c r="C1583" s="116">
        <v>1670.15</v>
      </c>
      <c r="D1583" s="116">
        <v>1630</v>
      </c>
      <c r="E1583" s="116">
        <v>1643.3</v>
      </c>
      <c r="F1583" s="116">
        <v>1670.15</v>
      </c>
      <c r="G1583">
        <v>723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44406</v>
      </c>
      <c r="B1584" s="116">
        <v>1670</v>
      </c>
      <c r="C1584" s="116">
        <v>1652</v>
      </c>
      <c r="D1584" s="116">
        <v>1652</v>
      </c>
      <c r="E1584" s="116">
        <v>1670</v>
      </c>
      <c r="F1584" s="116">
        <v>1652</v>
      </c>
      <c r="G1584">
        <v>51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44407</v>
      </c>
      <c r="B1585" s="116">
        <v>1665</v>
      </c>
      <c r="C1585" s="116">
        <v>1665</v>
      </c>
      <c r="D1585" s="116">
        <v>1643.5</v>
      </c>
      <c r="E1585" s="116">
        <v>1643.8</v>
      </c>
      <c r="F1585" s="116">
        <v>1665</v>
      </c>
      <c r="G1585">
        <v>253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44410</v>
      </c>
      <c r="B1586" s="116">
        <v>1775</v>
      </c>
      <c r="C1586" s="116">
        <v>1673.85</v>
      </c>
      <c r="D1586" s="116">
        <v>1653.45</v>
      </c>
      <c r="E1586" s="116">
        <v>1775</v>
      </c>
      <c r="F1586" s="116">
        <v>1673.85</v>
      </c>
      <c r="G1586">
        <v>282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44411</v>
      </c>
      <c r="B1587" s="116">
        <v>1673.85</v>
      </c>
      <c r="C1587" s="116">
        <v>1651.45</v>
      </c>
      <c r="D1587" s="116">
        <v>1650</v>
      </c>
      <c r="E1587" s="116">
        <v>1673.85</v>
      </c>
      <c r="F1587" s="116">
        <v>1651.45</v>
      </c>
      <c r="G1587">
        <v>31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44412</v>
      </c>
      <c r="B1588" s="116">
        <v>1699.8</v>
      </c>
      <c r="C1588" s="116">
        <v>1650</v>
      </c>
      <c r="D1588" s="116">
        <v>1650</v>
      </c>
      <c r="E1588" s="116">
        <v>1699.8</v>
      </c>
      <c r="F1588" s="116">
        <v>1650</v>
      </c>
      <c r="G1588">
        <v>63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44413</v>
      </c>
      <c r="B1589" s="116">
        <v>1699.85</v>
      </c>
      <c r="C1589" s="116">
        <v>1680</v>
      </c>
      <c r="D1589" s="116">
        <v>1608.35</v>
      </c>
      <c r="E1589" s="116">
        <v>1608.35</v>
      </c>
      <c r="F1589" s="116">
        <v>1680</v>
      </c>
      <c r="G1589">
        <v>87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44414</v>
      </c>
      <c r="B1590" s="116">
        <v>1680</v>
      </c>
      <c r="C1590" s="116">
        <v>1655.15</v>
      </c>
      <c r="D1590" s="116">
        <v>1645.05</v>
      </c>
      <c r="E1590" s="116">
        <v>1680</v>
      </c>
      <c r="F1590" s="116">
        <v>1655.15</v>
      </c>
      <c r="G1590">
        <v>68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44417</v>
      </c>
      <c r="B1591" s="116">
        <v>1674.3</v>
      </c>
      <c r="C1591" s="116">
        <v>1674.3</v>
      </c>
      <c r="D1591" s="116">
        <v>1634.25</v>
      </c>
      <c r="E1591" s="116">
        <v>1634.25</v>
      </c>
      <c r="F1591" s="116">
        <v>1674.3</v>
      </c>
      <c r="G1591">
        <v>77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44418</v>
      </c>
      <c r="B1592" s="116">
        <v>1635</v>
      </c>
      <c r="C1592" s="116">
        <v>1630</v>
      </c>
      <c r="D1592" s="116">
        <v>1630</v>
      </c>
      <c r="E1592" s="116">
        <v>1635</v>
      </c>
      <c r="F1592" s="116">
        <v>1630</v>
      </c>
      <c r="G1592">
        <v>93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44419</v>
      </c>
      <c r="B1593" s="116">
        <v>1630</v>
      </c>
      <c r="C1593" s="116">
        <v>1630</v>
      </c>
      <c r="D1593" s="116">
        <v>1590</v>
      </c>
      <c r="E1593" s="116">
        <v>1596.05</v>
      </c>
      <c r="F1593" s="116">
        <v>1630</v>
      </c>
      <c r="G1593">
        <v>104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44420</v>
      </c>
      <c r="B1594" s="116">
        <v>1664</v>
      </c>
      <c r="C1594" s="116">
        <v>1642</v>
      </c>
      <c r="D1594" s="116">
        <v>1603.6</v>
      </c>
      <c r="E1594" s="116">
        <v>1654.95</v>
      </c>
      <c r="F1594" s="116">
        <v>1642</v>
      </c>
      <c r="G1594">
        <v>67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44421</v>
      </c>
      <c r="B1595" s="116">
        <v>1659.8</v>
      </c>
      <c r="C1595" s="116">
        <v>1647.85</v>
      </c>
      <c r="D1595" s="116">
        <v>1611.6</v>
      </c>
      <c r="E1595" s="116">
        <v>1611.6</v>
      </c>
      <c r="F1595" s="116">
        <v>1647.85</v>
      </c>
      <c r="G1595">
        <v>216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44425</v>
      </c>
      <c r="B1596" s="116">
        <v>1650</v>
      </c>
      <c r="C1596" s="116">
        <v>1618.9</v>
      </c>
      <c r="D1596" s="116">
        <v>1595</v>
      </c>
      <c r="E1596" s="116">
        <v>1650</v>
      </c>
      <c r="F1596" s="116">
        <v>1618.9</v>
      </c>
      <c r="G1596">
        <v>193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44426</v>
      </c>
      <c r="B1597" s="116">
        <v>1622.6</v>
      </c>
      <c r="C1597" s="116">
        <v>1611.8</v>
      </c>
      <c r="D1597" s="116">
        <v>1589.25</v>
      </c>
      <c r="E1597" s="116">
        <v>1605</v>
      </c>
      <c r="F1597" s="116">
        <v>1611.8</v>
      </c>
      <c r="G1597">
        <v>319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44428</v>
      </c>
      <c r="B1598" s="116">
        <v>1619.95</v>
      </c>
      <c r="C1598" s="116">
        <v>1588.55</v>
      </c>
      <c r="D1598" s="116">
        <v>1565</v>
      </c>
      <c r="E1598" s="116">
        <v>1590.05</v>
      </c>
      <c r="F1598" s="116">
        <v>1588.55</v>
      </c>
      <c r="G1598">
        <v>70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44431</v>
      </c>
      <c r="B1599" s="116">
        <v>1603</v>
      </c>
      <c r="C1599" s="116">
        <v>1549.45</v>
      </c>
      <c r="D1599" s="116">
        <v>1547</v>
      </c>
      <c r="E1599" s="116">
        <v>1547.25</v>
      </c>
      <c r="F1599" s="116">
        <v>1549.45</v>
      </c>
      <c r="G1599">
        <v>31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44432</v>
      </c>
      <c r="B1600" s="116">
        <v>1598.95</v>
      </c>
      <c r="C1600" s="116">
        <v>1563.15</v>
      </c>
      <c r="D1600" s="116">
        <v>1545</v>
      </c>
      <c r="E1600" s="116">
        <v>1577</v>
      </c>
      <c r="F1600" s="116">
        <v>1563.15</v>
      </c>
      <c r="G1600">
        <v>116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44433</v>
      </c>
      <c r="B1601" s="116">
        <v>1593</v>
      </c>
      <c r="C1601" s="116">
        <v>1555</v>
      </c>
      <c r="D1601" s="116">
        <v>1550</v>
      </c>
      <c r="E1601" s="116">
        <v>1592.95</v>
      </c>
      <c r="F1601" s="116">
        <v>1555</v>
      </c>
      <c r="G1601">
        <v>756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44434</v>
      </c>
      <c r="B1602" s="116">
        <v>1569.95</v>
      </c>
      <c r="C1602" s="116">
        <v>1559.95</v>
      </c>
      <c r="D1602" s="116">
        <v>1554.5</v>
      </c>
      <c r="E1602" s="116">
        <v>1569.95</v>
      </c>
      <c r="F1602" s="116">
        <v>1559.95</v>
      </c>
      <c r="G1602">
        <v>12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44435</v>
      </c>
      <c r="B1603" s="116">
        <v>1574</v>
      </c>
      <c r="C1603" s="116">
        <v>1564.95</v>
      </c>
      <c r="D1603" s="116">
        <v>1545</v>
      </c>
      <c r="E1603" s="116">
        <v>1574</v>
      </c>
      <c r="F1603" s="116">
        <v>1564.95</v>
      </c>
      <c r="G1603">
        <v>299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44438</v>
      </c>
      <c r="B1604" s="116">
        <v>1579</v>
      </c>
      <c r="C1604" s="116">
        <v>1578.5</v>
      </c>
      <c r="D1604" s="116">
        <v>1562</v>
      </c>
      <c r="E1604" s="116">
        <v>1575</v>
      </c>
      <c r="F1604" s="116">
        <v>1578.5</v>
      </c>
      <c r="G1604">
        <v>92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44439</v>
      </c>
      <c r="B1605" s="116">
        <v>1592</v>
      </c>
      <c r="C1605" s="116">
        <v>1543.6</v>
      </c>
      <c r="D1605" s="116">
        <v>1541.5</v>
      </c>
      <c r="E1605" s="116">
        <v>1592</v>
      </c>
      <c r="F1605" s="116">
        <v>1543.6</v>
      </c>
      <c r="G1605">
        <v>114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44440</v>
      </c>
      <c r="B1606" s="116">
        <v>1565</v>
      </c>
      <c r="C1606" s="116">
        <v>1565</v>
      </c>
      <c r="D1606" s="116">
        <v>1550</v>
      </c>
      <c r="E1606" s="116">
        <v>1551</v>
      </c>
      <c r="F1606" s="116">
        <v>1565</v>
      </c>
      <c r="G1606">
        <v>21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44441</v>
      </c>
      <c r="B1607" s="116">
        <v>1576.95</v>
      </c>
      <c r="C1607" s="116">
        <v>1567</v>
      </c>
      <c r="D1607" s="116">
        <v>1535.6</v>
      </c>
      <c r="E1607" s="116">
        <v>1576.9</v>
      </c>
      <c r="F1607" s="116">
        <v>1567</v>
      </c>
      <c r="G1607">
        <v>50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44442</v>
      </c>
      <c r="B1608" s="116">
        <v>1559.95</v>
      </c>
      <c r="C1608" s="116">
        <v>1559.95</v>
      </c>
      <c r="D1608" s="116">
        <v>1535.25</v>
      </c>
      <c r="E1608" s="116">
        <v>1550</v>
      </c>
      <c r="F1608" s="116">
        <v>1559.95</v>
      </c>
      <c r="G1608">
        <v>26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44445</v>
      </c>
      <c r="B1609" s="116">
        <v>1571.95</v>
      </c>
      <c r="C1609" s="116">
        <v>1552.95</v>
      </c>
      <c r="D1609" s="116">
        <v>1533</v>
      </c>
      <c r="E1609" s="116">
        <v>1571.95</v>
      </c>
      <c r="F1609" s="116">
        <v>1552.95</v>
      </c>
      <c r="G1609">
        <v>94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44446</v>
      </c>
      <c r="B1610" s="116">
        <v>1554.6</v>
      </c>
      <c r="C1610" s="116">
        <v>1535.5</v>
      </c>
      <c r="D1610" s="116">
        <v>1532</v>
      </c>
      <c r="E1610" s="116">
        <v>1533</v>
      </c>
      <c r="F1610" s="116">
        <v>1535.5</v>
      </c>
      <c r="G1610">
        <v>18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44447</v>
      </c>
      <c r="B1611" s="116">
        <v>1554</v>
      </c>
      <c r="C1611" s="116">
        <v>1553</v>
      </c>
      <c r="D1611" s="116">
        <v>1511</v>
      </c>
      <c r="E1611" s="116">
        <v>1540</v>
      </c>
      <c r="F1611" s="116">
        <v>1553</v>
      </c>
      <c r="G1611">
        <v>163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44448</v>
      </c>
      <c r="B1612" s="116">
        <v>1650</v>
      </c>
      <c r="C1612" s="116">
        <v>1539.45</v>
      </c>
      <c r="D1612" s="116">
        <v>1537</v>
      </c>
      <c r="E1612" s="116">
        <v>1650</v>
      </c>
      <c r="F1612" s="116">
        <v>1539.45</v>
      </c>
      <c r="G1612">
        <v>35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44452</v>
      </c>
      <c r="B1613" s="116">
        <v>1576.8</v>
      </c>
      <c r="C1613" s="116">
        <v>1563.85</v>
      </c>
      <c r="D1613" s="116">
        <v>1514</v>
      </c>
      <c r="E1613" s="116">
        <v>1537.05</v>
      </c>
      <c r="F1613" s="116">
        <v>1563.85</v>
      </c>
      <c r="G1613">
        <v>82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44453</v>
      </c>
      <c r="B1614" s="116">
        <v>1563</v>
      </c>
      <c r="C1614" s="116">
        <v>1535</v>
      </c>
      <c r="D1614" s="116">
        <v>1535</v>
      </c>
      <c r="E1614" s="116">
        <v>1562</v>
      </c>
      <c r="F1614" s="116">
        <v>1535</v>
      </c>
      <c r="G1614">
        <v>80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44454</v>
      </c>
      <c r="B1615" s="116">
        <v>1570.75</v>
      </c>
      <c r="C1615" s="116">
        <v>1560.9</v>
      </c>
      <c r="D1615" s="116">
        <v>1525.05</v>
      </c>
      <c r="E1615" s="116">
        <v>1570.75</v>
      </c>
      <c r="F1615" s="116">
        <v>1560.9</v>
      </c>
      <c r="G1615">
        <v>211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44455</v>
      </c>
      <c r="B1616" s="116">
        <v>1562</v>
      </c>
      <c r="C1616" s="116">
        <v>1561</v>
      </c>
      <c r="D1616" s="116">
        <v>1560</v>
      </c>
      <c r="E1616" s="116">
        <v>1562</v>
      </c>
      <c r="F1616" s="116">
        <v>1561</v>
      </c>
      <c r="G1616">
        <v>290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44456</v>
      </c>
      <c r="B1617" s="116">
        <v>1568.55</v>
      </c>
      <c r="C1617" s="116">
        <v>1559.4</v>
      </c>
      <c r="D1617" s="116">
        <v>1525.25</v>
      </c>
      <c r="E1617" s="116">
        <v>1525.25</v>
      </c>
      <c r="F1617" s="116">
        <v>1559.4</v>
      </c>
      <c r="G1617">
        <v>41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44459</v>
      </c>
      <c r="B1618" s="116">
        <v>1585</v>
      </c>
      <c r="C1618" s="116">
        <v>1582.55</v>
      </c>
      <c r="D1618" s="116">
        <v>1552.1</v>
      </c>
      <c r="E1618" s="116">
        <v>1559</v>
      </c>
      <c r="F1618" s="116">
        <v>1582.55</v>
      </c>
      <c r="G1618">
        <v>813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44460</v>
      </c>
      <c r="B1619" s="116">
        <v>1580.45</v>
      </c>
      <c r="C1619" s="116">
        <v>1572</v>
      </c>
      <c r="D1619" s="116">
        <v>1566</v>
      </c>
      <c r="E1619" s="116">
        <v>1580.45</v>
      </c>
      <c r="F1619" s="116">
        <v>1572</v>
      </c>
      <c r="G1619">
        <v>10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44461</v>
      </c>
      <c r="B1620" s="116">
        <v>1598.25</v>
      </c>
      <c r="C1620" s="116">
        <v>1569.6</v>
      </c>
      <c r="D1620" s="116">
        <v>1554.35</v>
      </c>
      <c r="E1620" s="116">
        <v>1571.25</v>
      </c>
      <c r="F1620" s="116">
        <v>1569.6</v>
      </c>
      <c r="G1620">
        <v>85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44462</v>
      </c>
      <c r="B1621" s="116">
        <v>1640</v>
      </c>
      <c r="C1621" s="116">
        <v>1607.8</v>
      </c>
      <c r="D1621" s="116">
        <v>1580.3</v>
      </c>
      <c r="E1621" s="116">
        <v>1584</v>
      </c>
      <c r="F1621" s="116">
        <v>1607.8</v>
      </c>
      <c r="G1621">
        <v>198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44463</v>
      </c>
      <c r="B1622" s="116">
        <v>1695</v>
      </c>
      <c r="C1622" s="116">
        <v>1600</v>
      </c>
      <c r="D1622" s="116">
        <v>1593</v>
      </c>
      <c r="E1622" s="116">
        <v>1611</v>
      </c>
      <c r="F1622" s="116">
        <v>1600</v>
      </c>
      <c r="G1622">
        <v>330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44466</v>
      </c>
      <c r="B1623" s="116">
        <v>1720</v>
      </c>
      <c r="C1623" s="116">
        <v>1700</v>
      </c>
      <c r="D1623" s="116">
        <v>1610.15</v>
      </c>
      <c r="E1623" s="116">
        <v>1626.85</v>
      </c>
      <c r="F1623" s="116">
        <v>1700</v>
      </c>
      <c r="G1623">
        <v>380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44467</v>
      </c>
      <c r="B1624" s="116">
        <v>1753.95</v>
      </c>
      <c r="C1624" s="116">
        <v>1627.2</v>
      </c>
      <c r="D1624" s="116">
        <v>1601</v>
      </c>
      <c r="E1624" s="116">
        <v>1719</v>
      </c>
      <c r="F1624" s="116">
        <v>1627.2</v>
      </c>
      <c r="G1624">
        <v>261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44468</v>
      </c>
      <c r="B1625" s="116">
        <v>1665</v>
      </c>
      <c r="C1625" s="116">
        <v>1635</v>
      </c>
      <c r="D1625" s="116">
        <v>1634</v>
      </c>
      <c r="E1625" s="116">
        <v>1658.95</v>
      </c>
      <c r="F1625" s="116">
        <v>1635</v>
      </c>
      <c r="G1625">
        <v>126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44469</v>
      </c>
      <c r="B1626" s="116">
        <v>1669</v>
      </c>
      <c r="C1626" s="116">
        <v>1625.25</v>
      </c>
      <c r="D1626" s="116">
        <v>1555.05</v>
      </c>
      <c r="E1626" s="116">
        <v>1555.05</v>
      </c>
      <c r="F1626" s="116">
        <v>1625.25</v>
      </c>
      <c r="G1626">
        <v>53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44470</v>
      </c>
      <c r="B1627" s="116">
        <v>1650</v>
      </c>
      <c r="C1627" s="116">
        <v>1650</v>
      </c>
      <c r="D1627" s="116">
        <v>1601.05</v>
      </c>
      <c r="E1627" s="116">
        <v>1601.05</v>
      </c>
      <c r="F1627" s="116">
        <v>1650</v>
      </c>
      <c r="G1627">
        <v>23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44473</v>
      </c>
      <c r="B1628" s="116">
        <v>1657.95</v>
      </c>
      <c r="C1628" s="116">
        <v>1647.9</v>
      </c>
      <c r="D1628" s="116">
        <v>1601</v>
      </c>
      <c r="E1628" s="116">
        <v>1601</v>
      </c>
      <c r="F1628" s="116">
        <v>1647.9</v>
      </c>
      <c r="G1628">
        <v>80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44474</v>
      </c>
      <c r="B1629" s="116">
        <v>1649.8</v>
      </c>
      <c r="C1629" s="116">
        <v>1621.15</v>
      </c>
      <c r="D1629" s="116">
        <v>1617.25</v>
      </c>
      <c r="E1629" s="116">
        <v>1649.8</v>
      </c>
      <c r="F1629" s="116">
        <v>1621.15</v>
      </c>
      <c r="G1629">
        <v>30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44475</v>
      </c>
      <c r="B1630" s="116">
        <v>1670</v>
      </c>
      <c r="C1630" s="116">
        <v>1631</v>
      </c>
      <c r="D1630" s="116">
        <v>1630</v>
      </c>
      <c r="E1630" s="116">
        <v>1649.75</v>
      </c>
      <c r="F1630" s="116">
        <v>1631</v>
      </c>
      <c r="G1630">
        <v>60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44476</v>
      </c>
      <c r="B1631" s="116">
        <v>1672</v>
      </c>
      <c r="C1631" s="116">
        <v>1669</v>
      </c>
      <c r="D1631" s="116">
        <v>1660</v>
      </c>
      <c r="E1631" s="116">
        <v>1665</v>
      </c>
      <c r="F1631" s="116">
        <v>1669</v>
      </c>
      <c r="G1631">
        <v>37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44477</v>
      </c>
      <c r="B1632" s="116">
        <v>1692</v>
      </c>
      <c r="C1632" s="116">
        <v>1677</v>
      </c>
      <c r="D1632" s="116">
        <v>1624.25</v>
      </c>
      <c r="E1632" s="116">
        <v>1692</v>
      </c>
      <c r="F1632" s="116">
        <v>1677</v>
      </c>
      <c r="G1632">
        <v>69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44480</v>
      </c>
      <c r="B1633" s="116">
        <v>2000</v>
      </c>
      <c r="C1633" s="116">
        <v>1898.4</v>
      </c>
      <c r="D1633" s="116">
        <v>1617.05</v>
      </c>
      <c r="E1633" s="116">
        <v>1672</v>
      </c>
      <c r="F1633" s="116">
        <v>1898.4</v>
      </c>
      <c r="G1633">
        <v>1376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44481</v>
      </c>
      <c r="B1634" s="116">
        <v>2000</v>
      </c>
      <c r="C1634" s="116">
        <v>1861.35</v>
      </c>
      <c r="D1634" s="116">
        <v>1704</v>
      </c>
      <c r="E1634" s="116">
        <v>2000</v>
      </c>
      <c r="F1634" s="116">
        <v>1861.35</v>
      </c>
      <c r="G1634">
        <v>443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44482</v>
      </c>
      <c r="B1635" s="116">
        <v>1935</v>
      </c>
      <c r="C1635" s="116">
        <v>1897.25</v>
      </c>
      <c r="D1635" s="116">
        <v>1800</v>
      </c>
      <c r="E1635" s="116">
        <v>1881</v>
      </c>
      <c r="F1635" s="116">
        <v>1897.25</v>
      </c>
      <c r="G1635">
        <v>1601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44483</v>
      </c>
      <c r="B1636" s="116">
        <v>1949.2</v>
      </c>
      <c r="C1636" s="116">
        <v>1894</v>
      </c>
      <c r="D1636" s="116">
        <v>1765</v>
      </c>
      <c r="E1636" s="116">
        <v>1949.2</v>
      </c>
      <c r="F1636" s="116">
        <v>1894</v>
      </c>
      <c r="G1636">
        <v>412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44487</v>
      </c>
      <c r="B1637" s="116">
        <v>2223</v>
      </c>
      <c r="C1637" s="116">
        <v>1960.45</v>
      </c>
      <c r="D1637" s="116">
        <v>1900</v>
      </c>
      <c r="E1637" s="116">
        <v>2223</v>
      </c>
      <c r="F1637" s="116">
        <v>1960.45</v>
      </c>
      <c r="G1637">
        <v>2636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44488</v>
      </c>
      <c r="B1638" s="116">
        <v>2145</v>
      </c>
      <c r="C1638" s="116">
        <v>1931.95</v>
      </c>
      <c r="D1638" s="116">
        <v>1910</v>
      </c>
      <c r="E1638" s="116">
        <v>2050</v>
      </c>
      <c r="F1638" s="116">
        <v>1931.95</v>
      </c>
      <c r="G1638">
        <v>977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44489</v>
      </c>
      <c r="B1639" s="116">
        <v>1950</v>
      </c>
      <c r="C1639" s="116">
        <v>1917</v>
      </c>
      <c r="D1639" s="116">
        <v>1830.05</v>
      </c>
      <c r="E1639" s="116">
        <v>1950</v>
      </c>
      <c r="F1639" s="116">
        <v>1917</v>
      </c>
      <c r="G1639">
        <v>217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44490</v>
      </c>
      <c r="B1640" s="116">
        <v>1920</v>
      </c>
      <c r="C1640" s="116">
        <v>1910.15</v>
      </c>
      <c r="D1640" s="116">
        <v>1861.5</v>
      </c>
      <c r="E1640" s="116">
        <v>1871.5</v>
      </c>
      <c r="F1640" s="116">
        <v>1910.15</v>
      </c>
      <c r="G1640">
        <v>163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44491</v>
      </c>
      <c r="B1641" s="116">
        <v>1945</v>
      </c>
      <c r="C1641" s="116">
        <v>1898.65</v>
      </c>
      <c r="D1641" s="116">
        <v>1891</v>
      </c>
      <c r="E1641" s="116">
        <v>1901</v>
      </c>
      <c r="F1641" s="116">
        <v>1898.65</v>
      </c>
      <c r="G1641">
        <v>343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44494</v>
      </c>
      <c r="B1642" s="116">
        <v>1950</v>
      </c>
      <c r="C1642" s="116">
        <v>1884</v>
      </c>
      <c r="D1642" s="116">
        <v>1805.05</v>
      </c>
      <c r="E1642" s="116">
        <v>1925</v>
      </c>
      <c r="F1642" s="116">
        <v>1884</v>
      </c>
      <c r="G1642">
        <v>355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44495</v>
      </c>
      <c r="B1643" s="116">
        <v>1907</v>
      </c>
      <c r="C1643" s="116">
        <v>1893.1</v>
      </c>
      <c r="D1643" s="116">
        <v>1830</v>
      </c>
      <c r="E1643" s="116">
        <v>1832.25</v>
      </c>
      <c r="F1643" s="116">
        <v>1893.1</v>
      </c>
      <c r="G1643">
        <v>344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44496</v>
      </c>
      <c r="B1644" s="116">
        <v>1944</v>
      </c>
      <c r="C1644" s="116">
        <v>1899.5</v>
      </c>
      <c r="D1644" s="116">
        <v>1880.05</v>
      </c>
      <c r="E1644" s="116">
        <v>1944</v>
      </c>
      <c r="F1644" s="116">
        <v>1899.5</v>
      </c>
      <c r="G1644">
        <v>112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44497</v>
      </c>
      <c r="B1645" s="116">
        <v>1900</v>
      </c>
      <c r="C1645" s="116">
        <v>1895</v>
      </c>
      <c r="D1645" s="116">
        <v>1853.5</v>
      </c>
      <c r="E1645" s="116">
        <v>1900</v>
      </c>
      <c r="F1645" s="116">
        <v>1895</v>
      </c>
      <c r="G1645">
        <v>26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44498</v>
      </c>
      <c r="B1646" s="116">
        <v>1894.7</v>
      </c>
      <c r="C1646" s="116">
        <v>1833.5</v>
      </c>
      <c r="D1646" s="116">
        <v>1782</v>
      </c>
      <c r="E1646" s="116">
        <v>1850.05</v>
      </c>
      <c r="F1646" s="116">
        <v>1833.5</v>
      </c>
      <c r="G1646">
        <v>304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44501</v>
      </c>
      <c r="B1647" s="116">
        <v>1872</v>
      </c>
      <c r="C1647" s="116">
        <v>1763</v>
      </c>
      <c r="D1647" s="116">
        <v>1763</v>
      </c>
      <c r="E1647" s="116">
        <v>1833.5</v>
      </c>
      <c r="F1647" s="116">
        <v>1763</v>
      </c>
      <c r="G1647">
        <v>205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44502</v>
      </c>
      <c r="B1648" s="116">
        <v>1814.95</v>
      </c>
      <c r="C1648" s="116">
        <v>1706.95</v>
      </c>
      <c r="D1648" s="116">
        <v>1671</v>
      </c>
      <c r="E1648" s="116">
        <v>1810</v>
      </c>
      <c r="F1648" s="116">
        <v>1706.95</v>
      </c>
      <c r="G1648">
        <v>340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44503</v>
      </c>
      <c r="B1649" s="116">
        <v>1730</v>
      </c>
      <c r="C1649" s="116">
        <v>1691.85</v>
      </c>
      <c r="D1649" s="116">
        <v>1660</v>
      </c>
      <c r="E1649" s="116">
        <v>1660</v>
      </c>
      <c r="F1649" s="116">
        <v>1691.85</v>
      </c>
      <c r="G1649">
        <v>126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44504</v>
      </c>
      <c r="B1650" s="116">
        <v>1787.2</v>
      </c>
      <c r="C1650" s="116">
        <v>1690.1</v>
      </c>
      <c r="D1650" s="116">
        <v>1667</v>
      </c>
      <c r="E1650" s="116">
        <v>1692</v>
      </c>
      <c r="F1650" s="116">
        <v>1690.1</v>
      </c>
      <c r="G1650">
        <v>122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44508</v>
      </c>
      <c r="B1651" s="116">
        <v>1795.1</v>
      </c>
      <c r="C1651" s="116">
        <v>1750.8</v>
      </c>
      <c r="D1651" s="116">
        <v>1747</v>
      </c>
      <c r="E1651" s="116">
        <v>1795.1</v>
      </c>
      <c r="F1651" s="116">
        <v>1750.8</v>
      </c>
      <c r="G1651">
        <v>45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44509</v>
      </c>
      <c r="B1652" s="116">
        <v>1759.8</v>
      </c>
      <c r="C1652" s="116">
        <v>1707.3</v>
      </c>
      <c r="D1652" s="116">
        <v>1704.1</v>
      </c>
      <c r="E1652" s="116">
        <v>1751.9</v>
      </c>
      <c r="F1652" s="116">
        <v>1707.3</v>
      </c>
      <c r="G1652">
        <v>147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44510</v>
      </c>
      <c r="B1653" s="116">
        <v>1758.55</v>
      </c>
      <c r="C1653" s="116">
        <v>1676.5</v>
      </c>
      <c r="D1653" s="116">
        <v>1660.05</v>
      </c>
      <c r="E1653" s="116">
        <v>1758.55</v>
      </c>
      <c r="F1653" s="116">
        <v>1676.5</v>
      </c>
      <c r="G1653">
        <v>1121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44511</v>
      </c>
      <c r="B1654" s="116">
        <v>1688.25</v>
      </c>
      <c r="C1654" s="116">
        <v>1670.95</v>
      </c>
      <c r="D1654" s="116">
        <v>1661</v>
      </c>
      <c r="E1654" s="116">
        <v>1661</v>
      </c>
      <c r="F1654" s="116">
        <v>1670.95</v>
      </c>
      <c r="G1654">
        <v>478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44512</v>
      </c>
      <c r="B1655" s="116">
        <v>1824</v>
      </c>
      <c r="C1655" s="116">
        <v>1746.25</v>
      </c>
      <c r="D1655" s="116">
        <v>1675</v>
      </c>
      <c r="E1655" s="116">
        <v>1675</v>
      </c>
      <c r="F1655" s="116">
        <v>1746.25</v>
      </c>
      <c r="G1655">
        <v>288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44515</v>
      </c>
      <c r="B1656" s="116">
        <v>1749.7</v>
      </c>
      <c r="C1656" s="116">
        <v>1727.5</v>
      </c>
      <c r="D1656" s="116">
        <v>1698.05</v>
      </c>
      <c r="E1656" s="116">
        <v>1749.7</v>
      </c>
      <c r="F1656" s="116">
        <v>1727.5</v>
      </c>
      <c r="G1656">
        <v>44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44516</v>
      </c>
      <c r="B1657" s="116">
        <v>1733.95</v>
      </c>
      <c r="C1657" s="116">
        <v>1697.4</v>
      </c>
      <c r="D1657" s="116">
        <v>1675</v>
      </c>
      <c r="E1657" s="116">
        <v>1700</v>
      </c>
      <c r="F1657" s="116">
        <v>1697.4</v>
      </c>
      <c r="G1657">
        <v>134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44517</v>
      </c>
      <c r="B1658" s="116">
        <v>1724.95</v>
      </c>
      <c r="C1658" s="116">
        <v>1680.1</v>
      </c>
      <c r="D1658" s="116">
        <v>1680.05</v>
      </c>
      <c r="E1658" s="116">
        <v>1722</v>
      </c>
      <c r="F1658" s="116">
        <v>1680.1</v>
      </c>
      <c r="G1658">
        <v>47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44518</v>
      </c>
      <c r="B1659" s="116">
        <v>1710</v>
      </c>
      <c r="C1659" s="116">
        <v>1667</v>
      </c>
      <c r="D1659" s="116">
        <v>1662</v>
      </c>
      <c r="E1659" s="116">
        <v>1710</v>
      </c>
      <c r="F1659" s="116">
        <v>1667</v>
      </c>
      <c r="G1659">
        <v>32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44522</v>
      </c>
      <c r="B1660" s="116">
        <v>1669</v>
      </c>
      <c r="C1660" s="116">
        <v>1574.45</v>
      </c>
      <c r="D1660" s="116">
        <v>1560</v>
      </c>
      <c r="E1660" s="116">
        <v>1667</v>
      </c>
      <c r="F1660" s="116">
        <v>1574.45</v>
      </c>
      <c r="G1660">
        <v>204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44523</v>
      </c>
      <c r="B1661" s="116">
        <v>1670</v>
      </c>
      <c r="C1661" s="116">
        <v>1658</v>
      </c>
      <c r="D1661" s="116">
        <v>1575</v>
      </c>
      <c r="E1661" s="116">
        <v>1575</v>
      </c>
      <c r="F1661" s="116">
        <v>1658</v>
      </c>
      <c r="G1661">
        <v>69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44524</v>
      </c>
      <c r="B1662" s="116">
        <v>1699</v>
      </c>
      <c r="C1662" s="116">
        <v>1698.7</v>
      </c>
      <c r="D1662" s="116">
        <v>1650</v>
      </c>
      <c r="E1662" s="116">
        <v>1670</v>
      </c>
      <c r="F1662" s="116">
        <v>1698.7</v>
      </c>
      <c r="G1662">
        <v>82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44525</v>
      </c>
      <c r="B1663" s="116">
        <v>1699.95</v>
      </c>
      <c r="C1663" s="116">
        <v>1698.95</v>
      </c>
      <c r="D1663" s="116">
        <v>1656.05</v>
      </c>
      <c r="E1663" s="116">
        <v>1699</v>
      </c>
      <c r="F1663" s="116">
        <v>1698.95</v>
      </c>
      <c r="G1663">
        <v>44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44526</v>
      </c>
      <c r="B1664" s="116">
        <v>1688.15</v>
      </c>
      <c r="C1664" s="116">
        <v>1685</v>
      </c>
      <c r="D1664" s="116">
        <v>1616.3</v>
      </c>
      <c r="E1664" s="116">
        <v>1617.5</v>
      </c>
      <c r="F1664" s="116">
        <v>1685</v>
      </c>
      <c r="G1664">
        <v>49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44529</v>
      </c>
      <c r="B1665" s="116">
        <v>1675.9</v>
      </c>
      <c r="C1665" s="116">
        <v>1599.5</v>
      </c>
      <c r="D1665" s="116">
        <v>1503</v>
      </c>
      <c r="E1665" s="116">
        <v>1605.05</v>
      </c>
      <c r="F1665" s="116">
        <v>1599.5</v>
      </c>
      <c r="G1665">
        <v>125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44530</v>
      </c>
      <c r="B1666" s="116">
        <v>1682</v>
      </c>
      <c r="C1666" s="116">
        <v>1649</v>
      </c>
      <c r="D1666" s="116">
        <v>1579</v>
      </c>
      <c r="E1666" s="116">
        <v>1636.95</v>
      </c>
      <c r="F1666" s="116">
        <v>1649</v>
      </c>
      <c r="G1666">
        <v>75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44531</v>
      </c>
      <c r="B1667" s="116">
        <v>1652.2</v>
      </c>
      <c r="C1667" s="116">
        <v>1648.6</v>
      </c>
      <c r="D1667" s="116">
        <v>1629.75</v>
      </c>
      <c r="E1667" s="116">
        <v>1639</v>
      </c>
      <c r="F1667" s="116">
        <v>1648.6</v>
      </c>
      <c r="G1667">
        <v>17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44532</v>
      </c>
      <c r="B1668" s="116">
        <v>1650</v>
      </c>
      <c r="C1668" s="116">
        <v>1600</v>
      </c>
      <c r="D1668" s="116">
        <v>1585</v>
      </c>
      <c r="E1668" s="116">
        <v>1650</v>
      </c>
      <c r="F1668" s="116">
        <v>1600</v>
      </c>
      <c r="G1668">
        <v>94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44533</v>
      </c>
      <c r="B1669" s="116">
        <v>1647.75</v>
      </c>
      <c r="C1669" s="116">
        <v>1646.7</v>
      </c>
      <c r="D1669" s="116">
        <v>1575.2</v>
      </c>
      <c r="E1669" s="116">
        <v>1575.2</v>
      </c>
      <c r="F1669" s="116">
        <v>1646.7</v>
      </c>
      <c r="G1669">
        <v>52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44536</v>
      </c>
      <c r="B1670" s="116">
        <v>1645</v>
      </c>
      <c r="C1670" s="116">
        <v>1564.1</v>
      </c>
      <c r="D1670" s="116">
        <v>1560</v>
      </c>
      <c r="E1670" s="116">
        <v>1645</v>
      </c>
      <c r="F1670" s="116">
        <v>1564.1</v>
      </c>
      <c r="G1670">
        <v>178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44537</v>
      </c>
      <c r="B1671" s="116">
        <v>1647.95</v>
      </c>
      <c r="C1671" s="116">
        <v>1594.35</v>
      </c>
      <c r="D1671" s="116">
        <v>1543</v>
      </c>
      <c r="E1671" s="116">
        <v>1647.95</v>
      </c>
      <c r="F1671" s="116">
        <v>1594.35</v>
      </c>
      <c r="G1671">
        <v>248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44538</v>
      </c>
      <c r="B1672" s="116">
        <v>1648.95</v>
      </c>
      <c r="C1672" s="116">
        <v>1590.2</v>
      </c>
      <c r="D1672" s="116">
        <v>1556</v>
      </c>
      <c r="E1672" s="116">
        <v>1648.95</v>
      </c>
      <c r="F1672" s="116">
        <v>1590.2</v>
      </c>
      <c r="G1672">
        <v>162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44539</v>
      </c>
      <c r="B1673" s="116">
        <v>1697.4</v>
      </c>
      <c r="C1673" s="116">
        <v>1610.15</v>
      </c>
      <c r="D1673" s="116">
        <v>1596</v>
      </c>
      <c r="E1673" s="116">
        <v>1596</v>
      </c>
      <c r="F1673" s="116">
        <v>1610.15</v>
      </c>
      <c r="G1673">
        <v>150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44540</v>
      </c>
      <c r="B1674" s="116">
        <v>1611</v>
      </c>
      <c r="C1674" s="116">
        <v>1611</v>
      </c>
      <c r="D1674" s="116">
        <v>1611</v>
      </c>
      <c r="E1674" s="116">
        <v>1611</v>
      </c>
      <c r="F1674" s="116">
        <v>1611</v>
      </c>
      <c r="G1674">
        <v>2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44543</v>
      </c>
      <c r="B1675" s="116">
        <v>1655</v>
      </c>
      <c r="C1675" s="116">
        <v>1643.7</v>
      </c>
      <c r="D1675" s="116">
        <v>1626.05</v>
      </c>
      <c r="E1675" s="116">
        <v>1643.25</v>
      </c>
      <c r="F1675" s="116">
        <v>1643.7</v>
      </c>
      <c r="G1675">
        <v>131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44544</v>
      </c>
      <c r="B1676" s="116">
        <v>1648.95</v>
      </c>
      <c r="C1676" s="116">
        <v>1611.2</v>
      </c>
      <c r="D1676" s="116">
        <v>1605</v>
      </c>
      <c r="E1676" s="116">
        <v>1610</v>
      </c>
      <c r="F1676" s="116">
        <v>1611.2</v>
      </c>
      <c r="G1676">
        <v>50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44545</v>
      </c>
      <c r="B1677" s="116">
        <v>1660</v>
      </c>
      <c r="C1677" s="116">
        <v>1629</v>
      </c>
      <c r="D1677" s="116">
        <v>1629</v>
      </c>
      <c r="E1677" s="116">
        <v>1660</v>
      </c>
      <c r="F1677" s="116">
        <v>1629</v>
      </c>
      <c r="G1677">
        <v>52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44546</v>
      </c>
      <c r="B1678" s="116">
        <v>1697</v>
      </c>
      <c r="C1678" s="116">
        <v>1645.5</v>
      </c>
      <c r="D1678" s="116">
        <v>1625</v>
      </c>
      <c r="E1678" s="116">
        <v>1697</v>
      </c>
      <c r="F1678" s="116">
        <v>1645.5</v>
      </c>
      <c r="G1678">
        <v>146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44547</v>
      </c>
      <c r="B1679" s="116">
        <v>1639.95</v>
      </c>
      <c r="C1679" s="116">
        <v>1639.9</v>
      </c>
      <c r="D1679" s="116">
        <v>1602.5</v>
      </c>
      <c r="E1679" s="116">
        <v>1611.05</v>
      </c>
      <c r="F1679" s="116">
        <v>1639.9</v>
      </c>
      <c r="G1679">
        <v>66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44550</v>
      </c>
      <c r="B1680" s="116">
        <v>1650</v>
      </c>
      <c r="C1680" s="116">
        <v>1639</v>
      </c>
      <c r="D1680" s="116">
        <v>1600</v>
      </c>
      <c r="E1680" s="116">
        <v>1600</v>
      </c>
      <c r="F1680" s="116">
        <v>1639</v>
      </c>
      <c r="G1680">
        <v>477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44551</v>
      </c>
      <c r="B1681" s="116">
        <v>1720.95</v>
      </c>
      <c r="C1681" s="116">
        <v>1719</v>
      </c>
      <c r="D1681" s="116">
        <v>1612.05</v>
      </c>
      <c r="E1681" s="116">
        <v>1650</v>
      </c>
      <c r="F1681" s="116">
        <v>1719</v>
      </c>
      <c r="G1681">
        <v>313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44552</v>
      </c>
      <c r="B1682" s="116">
        <v>1738</v>
      </c>
      <c r="C1682" s="116">
        <v>1704.35</v>
      </c>
      <c r="D1682" s="116">
        <v>1683</v>
      </c>
      <c r="E1682" s="116">
        <v>1719</v>
      </c>
      <c r="F1682" s="116">
        <v>1704.35</v>
      </c>
      <c r="G1682">
        <v>128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44553</v>
      </c>
      <c r="B1683" s="116">
        <v>1787.25</v>
      </c>
      <c r="C1683" s="116">
        <v>1745</v>
      </c>
      <c r="D1683" s="116">
        <v>1701.05</v>
      </c>
      <c r="E1683" s="116">
        <v>1723.95</v>
      </c>
      <c r="F1683" s="116">
        <v>1745</v>
      </c>
      <c r="G1683">
        <v>280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44554</v>
      </c>
      <c r="B1684" s="116">
        <v>1793</v>
      </c>
      <c r="C1684" s="116">
        <v>1775</v>
      </c>
      <c r="D1684" s="116">
        <v>1721.15</v>
      </c>
      <c r="E1684" s="116">
        <v>1755</v>
      </c>
      <c r="F1684" s="116">
        <v>1775</v>
      </c>
      <c r="G1684">
        <v>84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44557</v>
      </c>
      <c r="B1685" s="116">
        <v>1800</v>
      </c>
      <c r="C1685" s="116">
        <v>1750</v>
      </c>
      <c r="D1685" s="116">
        <v>1750</v>
      </c>
      <c r="E1685" s="116">
        <v>1799.95</v>
      </c>
      <c r="F1685" s="116">
        <v>1750</v>
      </c>
      <c r="G1685">
        <v>161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44558</v>
      </c>
      <c r="B1686" s="116">
        <v>1790.9</v>
      </c>
      <c r="C1686" s="116">
        <v>1730</v>
      </c>
      <c r="D1686" s="116">
        <v>1730</v>
      </c>
      <c r="E1686" s="116">
        <v>1772</v>
      </c>
      <c r="F1686" s="116">
        <v>1730</v>
      </c>
      <c r="G1686">
        <v>74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44559</v>
      </c>
      <c r="B1687" s="116">
        <v>1799.85</v>
      </c>
      <c r="C1687" s="116">
        <v>1789</v>
      </c>
      <c r="D1687" s="116">
        <v>1760</v>
      </c>
      <c r="E1687" s="116">
        <v>1799.8</v>
      </c>
      <c r="F1687" s="116">
        <v>1789</v>
      </c>
      <c r="G1687">
        <v>145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44560</v>
      </c>
      <c r="B1688" s="116">
        <v>1798.9</v>
      </c>
      <c r="C1688" s="116">
        <v>1776.85</v>
      </c>
      <c r="D1688" s="116">
        <v>1760.25</v>
      </c>
      <c r="E1688" s="116">
        <v>1760.3</v>
      </c>
      <c r="F1688" s="116">
        <v>1776.85</v>
      </c>
      <c r="G1688">
        <v>91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44561</v>
      </c>
      <c r="B1689" s="116">
        <v>1797.95</v>
      </c>
      <c r="C1689" s="116">
        <v>1795.9</v>
      </c>
      <c r="D1689" s="116">
        <v>1759</v>
      </c>
      <c r="E1689" s="116">
        <v>1759</v>
      </c>
      <c r="F1689" s="116">
        <v>1795.9</v>
      </c>
      <c r="G1689">
        <v>173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44564</v>
      </c>
      <c r="B1690" s="116">
        <v>1825</v>
      </c>
      <c r="C1690" s="116">
        <v>1800.7</v>
      </c>
      <c r="D1690" s="116">
        <v>1760</v>
      </c>
      <c r="E1690" s="116">
        <v>1799</v>
      </c>
      <c r="F1690" s="116">
        <v>1800.7</v>
      </c>
      <c r="G1690">
        <v>306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44565</v>
      </c>
      <c r="B1691" s="116">
        <v>1845</v>
      </c>
      <c r="C1691" s="116">
        <v>1784.95</v>
      </c>
      <c r="D1691" s="116">
        <v>1780</v>
      </c>
      <c r="E1691" s="116">
        <v>1781.05</v>
      </c>
      <c r="F1691" s="116">
        <v>1784.95</v>
      </c>
      <c r="G1691">
        <v>613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44566</v>
      </c>
      <c r="B1692" s="116">
        <v>1835.95</v>
      </c>
      <c r="C1692" s="116">
        <v>1757.2</v>
      </c>
      <c r="D1692" s="116">
        <v>1720.15</v>
      </c>
      <c r="E1692" s="116">
        <v>1835.95</v>
      </c>
      <c r="F1692" s="116">
        <v>1757.2</v>
      </c>
      <c r="G1692">
        <v>177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44567</v>
      </c>
      <c r="B1693" s="116">
        <v>1808.95</v>
      </c>
      <c r="C1693" s="116">
        <v>1770</v>
      </c>
      <c r="D1693" s="116">
        <v>1738</v>
      </c>
      <c r="E1693" s="116">
        <v>1775</v>
      </c>
      <c r="F1693" s="116">
        <v>1770</v>
      </c>
      <c r="G1693">
        <v>78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44568</v>
      </c>
      <c r="B1694" s="116">
        <v>1766</v>
      </c>
      <c r="C1694" s="116">
        <v>1751</v>
      </c>
      <c r="D1694" s="116">
        <v>1733.25</v>
      </c>
      <c r="E1694" s="116">
        <v>1750</v>
      </c>
      <c r="F1694" s="116">
        <v>1751</v>
      </c>
      <c r="G1694">
        <v>191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44571</v>
      </c>
      <c r="B1695" s="116">
        <v>1800</v>
      </c>
      <c r="C1695" s="116">
        <v>1710.05</v>
      </c>
      <c r="D1695" s="116">
        <v>1650</v>
      </c>
      <c r="E1695" s="116">
        <v>1800</v>
      </c>
      <c r="F1695" s="116">
        <v>1710.05</v>
      </c>
      <c r="G1695">
        <v>469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44572</v>
      </c>
      <c r="B1696" s="116">
        <v>1718.75</v>
      </c>
      <c r="C1696" s="116">
        <v>1710</v>
      </c>
      <c r="D1696" s="116">
        <v>1663.05</v>
      </c>
      <c r="E1696" s="116">
        <v>1710</v>
      </c>
      <c r="F1696" s="116">
        <v>1710</v>
      </c>
      <c r="G1696">
        <v>138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44573</v>
      </c>
      <c r="B1697" s="116">
        <v>1800</v>
      </c>
      <c r="C1697" s="116">
        <v>1791.05</v>
      </c>
      <c r="D1697" s="116">
        <v>1748.95</v>
      </c>
      <c r="E1697" s="116">
        <v>1748.95</v>
      </c>
      <c r="F1697" s="116">
        <v>1791.05</v>
      </c>
      <c r="G1697">
        <v>301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44574</v>
      </c>
      <c r="B1698" s="116">
        <v>1805</v>
      </c>
      <c r="C1698" s="116">
        <v>1788.6</v>
      </c>
      <c r="D1698" s="116">
        <v>1744</v>
      </c>
      <c r="E1698" s="116">
        <v>1785</v>
      </c>
      <c r="F1698" s="116">
        <v>1788.6</v>
      </c>
      <c r="G1698">
        <v>102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44575</v>
      </c>
      <c r="B1699" s="116">
        <v>1872</v>
      </c>
      <c r="C1699" s="116">
        <v>1856.35</v>
      </c>
      <c r="D1699" s="116">
        <v>1742.25</v>
      </c>
      <c r="E1699" s="116">
        <v>1793.75</v>
      </c>
      <c r="F1699" s="116">
        <v>1856.35</v>
      </c>
      <c r="G1699">
        <v>833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44578</v>
      </c>
      <c r="B1700" s="116">
        <v>1872</v>
      </c>
      <c r="C1700" s="116">
        <v>1844.1</v>
      </c>
      <c r="D1700" s="116">
        <v>1752.1</v>
      </c>
      <c r="E1700" s="116">
        <v>1752.1</v>
      </c>
      <c r="F1700" s="116">
        <v>1844.1</v>
      </c>
      <c r="G1700">
        <v>170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44579</v>
      </c>
      <c r="B1701" s="116">
        <v>1822</v>
      </c>
      <c r="C1701" s="116">
        <v>1801.15</v>
      </c>
      <c r="D1701" s="116">
        <v>1761.05</v>
      </c>
      <c r="E1701" s="116">
        <v>1800</v>
      </c>
      <c r="F1701" s="116">
        <v>1801.15</v>
      </c>
      <c r="G1701">
        <v>87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44580</v>
      </c>
      <c r="B1702" s="116">
        <v>1844.95</v>
      </c>
      <c r="C1702" s="116">
        <v>1810</v>
      </c>
      <c r="D1702" s="116">
        <v>1755</v>
      </c>
      <c r="E1702" s="116">
        <v>1801</v>
      </c>
      <c r="F1702" s="116">
        <v>1810</v>
      </c>
      <c r="G1702">
        <v>77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44581</v>
      </c>
      <c r="B1703" s="116">
        <v>1824.9</v>
      </c>
      <c r="C1703" s="116">
        <v>1823.95</v>
      </c>
      <c r="D1703" s="116">
        <v>1780</v>
      </c>
      <c r="E1703" s="116">
        <v>1824.9</v>
      </c>
      <c r="F1703" s="116">
        <v>1823.95</v>
      </c>
      <c r="G1703">
        <v>159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44582</v>
      </c>
      <c r="B1704" s="116">
        <v>1826.95</v>
      </c>
      <c r="C1704" s="116">
        <v>1768.55</v>
      </c>
      <c r="D1704" s="116">
        <v>1750</v>
      </c>
      <c r="E1704" s="116">
        <v>1755</v>
      </c>
      <c r="F1704" s="116">
        <v>1768.55</v>
      </c>
      <c r="G1704">
        <v>105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44585</v>
      </c>
      <c r="B1705" s="116">
        <v>1797</v>
      </c>
      <c r="C1705" s="116">
        <v>1738.95</v>
      </c>
      <c r="D1705" s="116">
        <v>1660.6</v>
      </c>
      <c r="E1705" s="116">
        <v>1797</v>
      </c>
      <c r="F1705" s="116">
        <v>1738.95</v>
      </c>
      <c r="G1705">
        <v>155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44586</v>
      </c>
      <c r="B1706" s="116">
        <v>1795.9</v>
      </c>
      <c r="C1706" s="116">
        <v>1717.5</v>
      </c>
      <c r="D1706" s="116">
        <v>1706.3</v>
      </c>
      <c r="E1706" s="116">
        <v>1795.9</v>
      </c>
      <c r="F1706" s="116">
        <v>1717.5</v>
      </c>
      <c r="G1706">
        <v>145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44588</v>
      </c>
      <c r="B1707" s="116">
        <v>1793.95</v>
      </c>
      <c r="C1707" s="116">
        <v>1691.05</v>
      </c>
      <c r="D1707" s="116">
        <v>1680.3</v>
      </c>
      <c r="E1707" s="116">
        <v>1720</v>
      </c>
      <c r="F1707" s="116">
        <v>1691.05</v>
      </c>
      <c r="G1707">
        <v>134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44589</v>
      </c>
      <c r="B1708" s="116">
        <v>1779.95</v>
      </c>
      <c r="C1708" s="116">
        <v>1737.6</v>
      </c>
      <c r="D1708" s="116">
        <v>1706.25</v>
      </c>
      <c r="E1708" s="116">
        <v>1738.95</v>
      </c>
      <c r="F1708" s="116">
        <v>1737.6</v>
      </c>
      <c r="G1708">
        <v>119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44592</v>
      </c>
      <c r="B1709" s="116">
        <v>2074.8000000000002</v>
      </c>
      <c r="C1709" s="116">
        <v>2019.75</v>
      </c>
      <c r="D1709" s="116">
        <v>1750</v>
      </c>
      <c r="E1709" s="116">
        <v>1750</v>
      </c>
      <c r="F1709" s="116">
        <v>2019.75</v>
      </c>
      <c r="G1709">
        <v>2427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44593</v>
      </c>
      <c r="B1710" s="116">
        <v>2250</v>
      </c>
      <c r="C1710" s="116">
        <v>2072.6999999999998</v>
      </c>
      <c r="D1710" s="116">
        <v>1953.1</v>
      </c>
      <c r="E1710" s="116">
        <v>2045</v>
      </c>
      <c r="F1710" s="116">
        <v>2072.6999999999998</v>
      </c>
      <c r="G1710">
        <v>933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44594</v>
      </c>
      <c r="B1711" s="116">
        <v>2126.4499999999998</v>
      </c>
      <c r="C1711" s="116">
        <v>2033.35</v>
      </c>
      <c r="D1711" s="116">
        <v>2001</v>
      </c>
      <c r="E1711" s="116">
        <v>2126</v>
      </c>
      <c r="F1711" s="116">
        <v>2033.35</v>
      </c>
      <c r="G1711">
        <v>365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44595</v>
      </c>
      <c r="B1712" s="116">
        <v>2125</v>
      </c>
      <c r="C1712" s="116">
        <v>2018.7</v>
      </c>
      <c r="D1712" s="116">
        <v>1990</v>
      </c>
      <c r="E1712" s="116">
        <v>2117.9499999999998</v>
      </c>
      <c r="F1712" s="116">
        <v>2018.7</v>
      </c>
      <c r="G1712">
        <v>243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44596</v>
      </c>
      <c r="B1713" s="116">
        <v>2022</v>
      </c>
      <c r="C1713" s="116">
        <v>1968.8</v>
      </c>
      <c r="D1713" s="116">
        <v>1930.3</v>
      </c>
      <c r="E1713" s="116">
        <v>2000</v>
      </c>
      <c r="F1713" s="116">
        <v>1968.8</v>
      </c>
      <c r="G1713">
        <v>127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44599</v>
      </c>
      <c r="B1714" s="116">
        <v>1926.05</v>
      </c>
      <c r="C1714" s="116">
        <v>1883.9</v>
      </c>
      <c r="D1714" s="116">
        <v>1861.2</v>
      </c>
      <c r="E1714" s="116">
        <v>1926.05</v>
      </c>
      <c r="F1714" s="116">
        <v>1883.9</v>
      </c>
      <c r="G1714">
        <v>234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44600</v>
      </c>
      <c r="B1715" s="116">
        <v>1928.95</v>
      </c>
      <c r="C1715" s="116">
        <v>1919</v>
      </c>
      <c r="D1715" s="116">
        <v>1862.5</v>
      </c>
      <c r="E1715" s="116">
        <v>1907.95</v>
      </c>
      <c r="F1715" s="116">
        <v>1919</v>
      </c>
      <c r="G1715">
        <v>47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44601</v>
      </c>
      <c r="B1716" s="116">
        <v>1999</v>
      </c>
      <c r="C1716" s="116">
        <v>1885.25</v>
      </c>
      <c r="D1716" s="116">
        <v>1875</v>
      </c>
      <c r="E1716" s="116">
        <v>1978</v>
      </c>
      <c r="F1716" s="116">
        <v>1885.25</v>
      </c>
      <c r="G1716">
        <v>97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44602</v>
      </c>
      <c r="B1717" s="116">
        <v>1969.5</v>
      </c>
      <c r="C1717" s="116">
        <v>1948.35</v>
      </c>
      <c r="D1717" s="116">
        <v>1870.15</v>
      </c>
      <c r="E1717" s="116">
        <v>1920</v>
      </c>
      <c r="F1717" s="116">
        <v>1948.35</v>
      </c>
      <c r="G1717">
        <v>77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44603</v>
      </c>
      <c r="B1718" s="116">
        <v>1959.4</v>
      </c>
      <c r="C1718" s="116">
        <v>1874.5</v>
      </c>
      <c r="D1718" s="116">
        <v>1850</v>
      </c>
      <c r="E1718" s="116">
        <v>1959.35</v>
      </c>
      <c r="F1718" s="116">
        <v>1874.5</v>
      </c>
      <c r="G1718">
        <v>610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44606</v>
      </c>
      <c r="B1719" s="116">
        <v>1858.95</v>
      </c>
      <c r="C1719" s="116">
        <v>1767.15</v>
      </c>
      <c r="D1719" s="116">
        <v>1715.05</v>
      </c>
      <c r="E1719" s="116">
        <v>1805.35</v>
      </c>
      <c r="F1719" s="116">
        <v>1767.15</v>
      </c>
      <c r="G1719">
        <v>1797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44607</v>
      </c>
      <c r="B1720" s="116">
        <v>1841.2</v>
      </c>
      <c r="C1720" s="116">
        <v>1796.3</v>
      </c>
      <c r="D1720" s="116">
        <v>1732.1</v>
      </c>
      <c r="E1720" s="116">
        <v>1799.7</v>
      </c>
      <c r="F1720" s="116">
        <v>1796.3</v>
      </c>
      <c r="G1720">
        <v>231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44608</v>
      </c>
      <c r="B1721" s="116">
        <v>1840</v>
      </c>
      <c r="C1721" s="116">
        <v>1788</v>
      </c>
      <c r="D1721" s="116">
        <v>1781</v>
      </c>
      <c r="E1721" s="116">
        <v>1839</v>
      </c>
      <c r="F1721" s="116">
        <v>1788</v>
      </c>
      <c r="G1721">
        <v>35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44609</v>
      </c>
      <c r="B1722" s="116">
        <v>1878.75</v>
      </c>
      <c r="C1722" s="116">
        <v>1770.9</v>
      </c>
      <c r="D1722" s="116">
        <v>1762.1</v>
      </c>
      <c r="E1722" s="116">
        <v>1786.05</v>
      </c>
      <c r="F1722" s="116">
        <v>1770.9</v>
      </c>
      <c r="G1722">
        <v>325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44610</v>
      </c>
      <c r="B1723" s="116">
        <v>2040</v>
      </c>
      <c r="C1723" s="116">
        <v>1924.75</v>
      </c>
      <c r="D1723" s="116">
        <v>1750</v>
      </c>
      <c r="E1723" s="116">
        <v>1800</v>
      </c>
      <c r="F1723" s="116">
        <v>1924.75</v>
      </c>
      <c r="G1723">
        <v>334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44613</v>
      </c>
      <c r="B1724" s="116">
        <v>2040</v>
      </c>
      <c r="C1724" s="116">
        <v>1961.1</v>
      </c>
      <c r="D1724" s="116">
        <v>1860</v>
      </c>
      <c r="E1724" s="116">
        <v>1881</v>
      </c>
      <c r="F1724" s="116">
        <v>1961.1</v>
      </c>
      <c r="G1724">
        <v>3223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44614</v>
      </c>
      <c r="B1725" s="116">
        <v>1934</v>
      </c>
      <c r="C1725" s="116">
        <v>1797</v>
      </c>
      <c r="D1725" s="116">
        <v>1780</v>
      </c>
      <c r="E1725" s="116">
        <v>1920</v>
      </c>
      <c r="F1725" s="116">
        <v>1797</v>
      </c>
      <c r="G1725">
        <v>622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44615</v>
      </c>
      <c r="B1726" s="116">
        <v>1850</v>
      </c>
      <c r="C1726" s="116">
        <v>1809.35</v>
      </c>
      <c r="D1726" s="116">
        <v>1800</v>
      </c>
      <c r="E1726" s="116">
        <v>1849.95</v>
      </c>
      <c r="F1726" s="116">
        <v>1809.35</v>
      </c>
      <c r="G1726">
        <v>162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44616</v>
      </c>
      <c r="B1727" s="116">
        <v>1818</v>
      </c>
      <c r="C1727" s="116">
        <v>1772.8</v>
      </c>
      <c r="D1727" s="116">
        <v>1691</v>
      </c>
      <c r="E1727" s="116">
        <v>1789</v>
      </c>
      <c r="F1727" s="116">
        <v>1772.8</v>
      </c>
      <c r="G1727">
        <v>401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44617</v>
      </c>
      <c r="B1728" s="116">
        <v>1799.95</v>
      </c>
      <c r="C1728" s="116">
        <v>1770.85</v>
      </c>
      <c r="D1728" s="116">
        <v>1725</v>
      </c>
      <c r="E1728" s="116">
        <v>1725</v>
      </c>
      <c r="F1728" s="116">
        <v>1770.85</v>
      </c>
      <c r="G1728">
        <v>155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44620</v>
      </c>
      <c r="B1729" s="116">
        <v>1819</v>
      </c>
      <c r="C1729" s="116">
        <v>1790</v>
      </c>
      <c r="D1729" s="116">
        <v>1733.25</v>
      </c>
      <c r="E1729" s="116">
        <v>1819</v>
      </c>
      <c r="F1729" s="116">
        <v>1790</v>
      </c>
      <c r="G1729">
        <v>49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44622</v>
      </c>
      <c r="B1730" s="116">
        <v>1797.95</v>
      </c>
      <c r="C1730" s="116">
        <v>1797.2</v>
      </c>
      <c r="D1730" s="116">
        <v>1760.25</v>
      </c>
      <c r="E1730" s="116">
        <v>1772</v>
      </c>
      <c r="F1730" s="116">
        <v>1797.2</v>
      </c>
      <c r="G1730">
        <v>109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44623</v>
      </c>
      <c r="B1731" s="116">
        <v>2050</v>
      </c>
      <c r="C1731" s="116">
        <v>1945.55</v>
      </c>
      <c r="D1731" s="116">
        <v>1797</v>
      </c>
      <c r="E1731" s="116">
        <v>1797</v>
      </c>
      <c r="F1731" s="116">
        <v>1945.55</v>
      </c>
      <c r="G1731">
        <v>1793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44624</v>
      </c>
      <c r="B1732" s="116">
        <v>1949</v>
      </c>
      <c r="C1732" s="116">
        <v>1877.05</v>
      </c>
      <c r="D1732" s="116">
        <v>1877</v>
      </c>
      <c r="E1732" s="116">
        <v>1900.05</v>
      </c>
      <c r="F1732" s="116">
        <v>1877.05</v>
      </c>
      <c r="G1732">
        <v>84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44627</v>
      </c>
      <c r="B1733" s="116">
        <v>1850</v>
      </c>
      <c r="C1733" s="116">
        <v>1787.1</v>
      </c>
      <c r="D1733" s="116">
        <v>1700</v>
      </c>
      <c r="E1733" s="116">
        <v>1700</v>
      </c>
      <c r="F1733" s="116">
        <v>1787.1</v>
      </c>
      <c r="G1733">
        <v>98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44628</v>
      </c>
      <c r="B1734" s="116">
        <v>1820</v>
      </c>
      <c r="C1734" s="116">
        <v>1813.85</v>
      </c>
      <c r="D1734" s="116">
        <v>1792</v>
      </c>
      <c r="E1734" s="116">
        <v>1800.05</v>
      </c>
      <c r="F1734" s="116">
        <v>1813.85</v>
      </c>
      <c r="G1734">
        <v>122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44629</v>
      </c>
      <c r="B1735" s="116">
        <v>1938</v>
      </c>
      <c r="C1735" s="116">
        <v>1885</v>
      </c>
      <c r="D1735" s="116">
        <v>1850.25</v>
      </c>
      <c r="E1735" s="116">
        <v>1937.75</v>
      </c>
      <c r="F1735" s="116">
        <v>1885</v>
      </c>
      <c r="G1735">
        <v>348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44630</v>
      </c>
      <c r="B1736" s="116">
        <v>2030</v>
      </c>
      <c r="C1736" s="116">
        <v>1974.2</v>
      </c>
      <c r="D1736" s="116">
        <v>1910</v>
      </c>
      <c r="E1736" s="116">
        <v>1935</v>
      </c>
      <c r="F1736" s="116">
        <v>1974.2</v>
      </c>
      <c r="G1736">
        <v>901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44631</v>
      </c>
      <c r="B1737" s="116">
        <v>1997.95</v>
      </c>
      <c r="C1737" s="116">
        <v>1906.05</v>
      </c>
      <c r="D1737" s="116">
        <v>1861</v>
      </c>
      <c r="E1737" s="116">
        <v>1861</v>
      </c>
      <c r="F1737" s="116">
        <v>1906.05</v>
      </c>
      <c r="G1737">
        <v>293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44634</v>
      </c>
      <c r="B1738" s="116">
        <v>2043.85</v>
      </c>
      <c r="C1738" s="116">
        <v>2001.65</v>
      </c>
      <c r="D1738" s="116">
        <v>1950</v>
      </c>
      <c r="E1738" s="116">
        <v>1999.95</v>
      </c>
      <c r="F1738" s="116">
        <v>2001.65</v>
      </c>
      <c r="G1738">
        <v>825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44635</v>
      </c>
      <c r="B1739" s="116">
        <v>1997.95</v>
      </c>
      <c r="C1739" s="116">
        <v>1894.65</v>
      </c>
      <c r="D1739" s="116">
        <v>1850</v>
      </c>
      <c r="E1739" s="116">
        <v>1955</v>
      </c>
      <c r="F1739" s="116">
        <v>1894.65</v>
      </c>
      <c r="G1739">
        <v>573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44636</v>
      </c>
      <c r="B1740" s="116">
        <v>1957.95</v>
      </c>
      <c r="C1740" s="116">
        <v>1950</v>
      </c>
      <c r="D1740" s="116">
        <v>1910</v>
      </c>
      <c r="E1740" s="116">
        <v>1930</v>
      </c>
      <c r="F1740" s="116">
        <v>1950</v>
      </c>
      <c r="G1740">
        <v>447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44637</v>
      </c>
      <c r="B1741" s="116">
        <v>1984.95</v>
      </c>
      <c r="C1741" s="116">
        <v>1982.95</v>
      </c>
      <c r="D1741" s="116">
        <v>1882.4</v>
      </c>
      <c r="E1741" s="116">
        <v>1882.6</v>
      </c>
      <c r="F1741" s="116">
        <v>1982.95</v>
      </c>
      <c r="G1741">
        <v>18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44641</v>
      </c>
      <c r="B1742" s="116">
        <v>2071</v>
      </c>
      <c r="C1742" s="116">
        <v>1999.7</v>
      </c>
      <c r="D1742" s="116">
        <v>1901</v>
      </c>
      <c r="E1742" s="116">
        <v>2071</v>
      </c>
      <c r="F1742" s="116">
        <v>1999.7</v>
      </c>
      <c r="G1742">
        <v>255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44642</v>
      </c>
      <c r="B1743" s="116">
        <v>2000</v>
      </c>
      <c r="C1743" s="116">
        <v>1959.6</v>
      </c>
      <c r="D1743" s="116">
        <v>1920</v>
      </c>
      <c r="E1743" s="116">
        <v>1979.8</v>
      </c>
      <c r="F1743" s="116">
        <v>1959.6</v>
      </c>
      <c r="G1743">
        <v>239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44643</v>
      </c>
      <c r="B1744" s="116">
        <v>2030</v>
      </c>
      <c r="C1744" s="116">
        <v>2007.05</v>
      </c>
      <c r="D1744" s="116">
        <v>1950</v>
      </c>
      <c r="E1744" s="116">
        <v>1960</v>
      </c>
      <c r="F1744" s="116">
        <v>2007.05</v>
      </c>
      <c r="G1744">
        <v>744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44644</v>
      </c>
      <c r="B1745" s="116">
        <v>2040</v>
      </c>
      <c r="C1745" s="116">
        <v>2037.4</v>
      </c>
      <c r="D1745" s="116">
        <v>2000</v>
      </c>
      <c r="E1745" s="116">
        <v>2040</v>
      </c>
      <c r="F1745" s="116">
        <v>2037.4</v>
      </c>
      <c r="G1745">
        <v>190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44645</v>
      </c>
      <c r="B1746" s="116">
        <v>2049.9499999999998</v>
      </c>
      <c r="C1746" s="116">
        <v>1970.8</v>
      </c>
      <c r="D1746" s="116">
        <v>1950</v>
      </c>
      <c r="E1746" s="116">
        <v>1952.1</v>
      </c>
      <c r="F1746" s="116">
        <v>1970.8</v>
      </c>
      <c r="G1746">
        <v>460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44648</v>
      </c>
      <c r="B1747" s="116">
        <v>2040</v>
      </c>
      <c r="C1747" s="116">
        <v>2020</v>
      </c>
      <c r="D1747" s="116">
        <v>2001</v>
      </c>
      <c r="E1747" s="116">
        <v>2037</v>
      </c>
      <c r="F1747" s="116">
        <v>2020</v>
      </c>
      <c r="G1747">
        <v>886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44649</v>
      </c>
      <c r="B1748" s="116">
        <v>2070</v>
      </c>
      <c r="C1748" s="116">
        <v>1997.85</v>
      </c>
      <c r="D1748" s="116">
        <v>1970.05</v>
      </c>
      <c r="E1748" s="116">
        <v>2040</v>
      </c>
      <c r="F1748" s="116">
        <v>1997.85</v>
      </c>
      <c r="G1748">
        <v>139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44650</v>
      </c>
      <c r="B1749" s="116">
        <v>2075</v>
      </c>
      <c r="C1749" s="116">
        <v>2041.05</v>
      </c>
      <c r="D1749" s="116">
        <v>2041.05</v>
      </c>
      <c r="E1749" s="116">
        <v>2045</v>
      </c>
      <c r="F1749" s="116">
        <v>2041.05</v>
      </c>
      <c r="G1749">
        <v>176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44651</v>
      </c>
      <c r="B1750" s="116">
        <v>2100</v>
      </c>
      <c r="C1750" s="116">
        <v>2039.95</v>
      </c>
      <c r="D1750" s="116">
        <v>2039.25</v>
      </c>
      <c r="E1750" s="116">
        <v>2080</v>
      </c>
      <c r="F1750" s="116">
        <v>2039.95</v>
      </c>
      <c r="G1750">
        <v>354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44652</v>
      </c>
      <c r="B1751" s="116">
        <v>2097.75</v>
      </c>
      <c r="C1751" s="116">
        <v>2094.9499999999998</v>
      </c>
      <c r="D1751" s="116">
        <v>1999.15</v>
      </c>
      <c r="E1751" s="116">
        <v>1999.15</v>
      </c>
      <c r="F1751" s="116">
        <v>2094.9499999999998</v>
      </c>
      <c r="G1751">
        <v>262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44655</v>
      </c>
      <c r="B1752" s="116">
        <v>2150</v>
      </c>
      <c r="C1752" s="116">
        <v>2148.1</v>
      </c>
      <c r="D1752" s="116">
        <v>2095</v>
      </c>
      <c r="E1752" s="116">
        <v>2097.8000000000002</v>
      </c>
      <c r="F1752" s="116">
        <v>2148.1</v>
      </c>
      <c r="G1752">
        <v>1292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44656</v>
      </c>
      <c r="B1753" s="116">
        <v>2200</v>
      </c>
      <c r="C1753" s="116">
        <v>2194.1999999999998</v>
      </c>
      <c r="D1753" s="116">
        <v>2110</v>
      </c>
      <c r="E1753" s="116">
        <v>2146</v>
      </c>
      <c r="F1753" s="116">
        <v>2194.1999999999998</v>
      </c>
      <c r="G1753">
        <v>2652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44657</v>
      </c>
      <c r="B1754" s="116">
        <v>2345</v>
      </c>
      <c r="C1754" s="116">
        <v>2332.4</v>
      </c>
      <c r="D1754" s="116">
        <v>2111</v>
      </c>
      <c r="E1754" s="116">
        <v>2135.0500000000002</v>
      </c>
      <c r="F1754" s="116">
        <v>2332.4</v>
      </c>
      <c r="G1754">
        <v>1930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44658</v>
      </c>
      <c r="B1755" s="116">
        <v>2345</v>
      </c>
      <c r="C1755" s="116">
        <v>2341.15</v>
      </c>
      <c r="D1755" s="116">
        <v>2250</v>
      </c>
      <c r="E1755" s="116">
        <v>2344</v>
      </c>
      <c r="F1755" s="116">
        <v>2341.15</v>
      </c>
      <c r="G1755">
        <v>791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44659</v>
      </c>
      <c r="B1756" s="116">
        <v>2430</v>
      </c>
      <c r="C1756" s="116">
        <v>2393.25</v>
      </c>
      <c r="D1756" s="116">
        <v>2201</v>
      </c>
      <c r="E1756" s="116">
        <v>2250</v>
      </c>
      <c r="F1756" s="116">
        <v>2393.25</v>
      </c>
      <c r="G1756">
        <v>1618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44662</v>
      </c>
      <c r="B1757" s="116">
        <v>2445</v>
      </c>
      <c r="C1757" s="116">
        <v>2335.0500000000002</v>
      </c>
      <c r="D1757" s="116">
        <v>2303</v>
      </c>
      <c r="E1757" s="116">
        <v>2445</v>
      </c>
      <c r="F1757" s="116">
        <v>2335.0500000000002</v>
      </c>
      <c r="G1757">
        <v>345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44663</v>
      </c>
      <c r="B1758" s="116">
        <v>2593</v>
      </c>
      <c r="C1758" s="116">
        <v>2506.9499999999998</v>
      </c>
      <c r="D1758" s="116">
        <v>2300</v>
      </c>
      <c r="E1758" s="116">
        <v>2335.1</v>
      </c>
      <c r="F1758" s="116">
        <v>2506.9499999999998</v>
      </c>
      <c r="G1758">
        <v>1504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44664</v>
      </c>
      <c r="B1759" s="116">
        <v>2629</v>
      </c>
      <c r="C1759" s="116">
        <v>2572.5</v>
      </c>
      <c r="D1759" s="116">
        <v>2500</v>
      </c>
      <c r="E1759" s="116">
        <v>2591</v>
      </c>
      <c r="F1759" s="116">
        <v>2572.5</v>
      </c>
      <c r="G1759">
        <v>1060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44669</v>
      </c>
      <c r="B1760" s="116">
        <v>2555</v>
      </c>
      <c r="C1760" s="116">
        <v>2433.6999999999998</v>
      </c>
      <c r="D1760" s="116">
        <v>2370</v>
      </c>
      <c r="E1760" s="116">
        <v>2500.0500000000002</v>
      </c>
      <c r="F1760" s="116">
        <v>2433.6999999999998</v>
      </c>
      <c r="G1760">
        <v>516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44670</v>
      </c>
      <c r="B1761" s="116">
        <v>2549</v>
      </c>
      <c r="C1761" s="116">
        <v>2370.85</v>
      </c>
      <c r="D1761" s="116">
        <v>2261</v>
      </c>
      <c r="E1761" s="116">
        <v>2499</v>
      </c>
      <c r="F1761" s="116">
        <v>2370.85</v>
      </c>
      <c r="G1761">
        <v>441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44671</v>
      </c>
      <c r="B1762" s="116">
        <v>2500</v>
      </c>
      <c r="C1762" s="116">
        <v>2420.35</v>
      </c>
      <c r="D1762" s="116">
        <v>2357.4</v>
      </c>
      <c r="E1762" s="116">
        <v>2357.4</v>
      </c>
      <c r="F1762" s="116">
        <v>2420.35</v>
      </c>
      <c r="G1762">
        <v>769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44672</v>
      </c>
      <c r="B1763" s="116">
        <v>2498.85</v>
      </c>
      <c r="C1763" s="116">
        <v>2357.5</v>
      </c>
      <c r="D1763" s="116">
        <v>2330</v>
      </c>
      <c r="E1763" s="116">
        <v>2489.9499999999998</v>
      </c>
      <c r="F1763" s="116">
        <v>2357.5</v>
      </c>
      <c r="G1763">
        <v>435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44673</v>
      </c>
      <c r="B1764" s="116">
        <v>2388</v>
      </c>
      <c r="C1764" s="116">
        <v>2195.15</v>
      </c>
      <c r="D1764" s="116">
        <v>2151.0500000000002</v>
      </c>
      <c r="E1764" s="116">
        <v>2388</v>
      </c>
      <c r="F1764" s="116">
        <v>2195.15</v>
      </c>
      <c r="G1764">
        <v>704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44676</v>
      </c>
      <c r="B1765" s="116">
        <v>2196</v>
      </c>
      <c r="C1765" s="116">
        <v>2076.0500000000002</v>
      </c>
      <c r="D1765" s="116">
        <v>2050</v>
      </c>
      <c r="E1765" s="116">
        <v>2196</v>
      </c>
      <c r="F1765" s="116">
        <v>2076.0500000000002</v>
      </c>
      <c r="G1765">
        <v>378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44677</v>
      </c>
      <c r="B1766" s="116">
        <v>2190</v>
      </c>
      <c r="C1766" s="116">
        <v>2163.9499999999998</v>
      </c>
      <c r="D1766" s="116">
        <v>2129.6</v>
      </c>
      <c r="E1766" s="116">
        <v>2129.6</v>
      </c>
      <c r="F1766" s="116">
        <v>2163.9499999999998</v>
      </c>
      <c r="G1766">
        <v>60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44678</v>
      </c>
      <c r="B1767" s="116">
        <v>2160</v>
      </c>
      <c r="C1767" s="116">
        <v>2031.65</v>
      </c>
      <c r="D1767" s="116">
        <v>2005</v>
      </c>
      <c r="E1767" s="116">
        <v>2160</v>
      </c>
      <c r="F1767" s="116">
        <v>2031.65</v>
      </c>
      <c r="G1767">
        <v>707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44679</v>
      </c>
      <c r="B1768" s="116">
        <v>2148</v>
      </c>
      <c r="C1768" s="116">
        <v>2081.8000000000002</v>
      </c>
      <c r="D1768" s="116">
        <v>2030</v>
      </c>
      <c r="E1768" s="116">
        <v>2049</v>
      </c>
      <c r="F1768" s="116">
        <v>2081.8000000000002</v>
      </c>
      <c r="G1768">
        <v>149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44680</v>
      </c>
      <c r="B1769" s="116">
        <v>2099.9499999999998</v>
      </c>
      <c r="C1769" s="116">
        <v>2059.8000000000002</v>
      </c>
      <c r="D1769" s="116">
        <v>2050.1</v>
      </c>
      <c r="E1769" s="116">
        <v>2052</v>
      </c>
      <c r="F1769" s="116">
        <v>2059.8000000000002</v>
      </c>
      <c r="G1769">
        <v>159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44683</v>
      </c>
      <c r="B1770" s="116">
        <v>2150</v>
      </c>
      <c r="C1770" s="116">
        <v>2142.9499999999998</v>
      </c>
      <c r="D1770" s="116">
        <v>2050</v>
      </c>
      <c r="E1770" s="116">
        <v>2115</v>
      </c>
      <c r="F1770" s="116">
        <v>2142.9499999999998</v>
      </c>
      <c r="G1770">
        <v>106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44685</v>
      </c>
      <c r="B1771" s="116">
        <v>2138</v>
      </c>
      <c r="C1771" s="116">
        <v>2063</v>
      </c>
      <c r="D1771" s="116">
        <v>2056.0500000000002</v>
      </c>
      <c r="E1771" s="116">
        <v>2071</v>
      </c>
      <c r="F1771" s="116">
        <v>2063</v>
      </c>
      <c r="G1771">
        <v>86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44686</v>
      </c>
      <c r="B1772" s="116">
        <v>2138</v>
      </c>
      <c r="C1772" s="116">
        <v>2051</v>
      </c>
      <c r="D1772" s="116">
        <v>2045</v>
      </c>
      <c r="E1772" s="116">
        <v>2137.9499999999998</v>
      </c>
      <c r="F1772" s="116">
        <v>2051</v>
      </c>
      <c r="G1772">
        <v>336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44687</v>
      </c>
      <c r="B1773" s="116">
        <v>2120</v>
      </c>
      <c r="C1773" s="116">
        <v>2051</v>
      </c>
      <c r="D1773" s="116">
        <v>2041</v>
      </c>
      <c r="E1773" s="116">
        <v>2120</v>
      </c>
      <c r="F1773" s="116">
        <v>2051</v>
      </c>
      <c r="G1773">
        <v>361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44690</v>
      </c>
      <c r="B1774" s="116">
        <v>2100</v>
      </c>
      <c r="C1774" s="116">
        <v>2100</v>
      </c>
      <c r="D1774" s="116">
        <v>2026</v>
      </c>
      <c r="E1774" s="116">
        <v>2027.05</v>
      </c>
      <c r="F1774" s="116">
        <v>2100</v>
      </c>
      <c r="G1774">
        <v>139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44691</v>
      </c>
      <c r="B1775" s="116">
        <v>2094.9499999999998</v>
      </c>
      <c r="C1775" s="116">
        <v>2050.9</v>
      </c>
      <c r="D1775" s="116">
        <v>1960</v>
      </c>
      <c r="E1775" s="116">
        <v>2088</v>
      </c>
      <c r="F1775" s="116">
        <v>2050.9</v>
      </c>
      <c r="G1775">
        <v>631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44692</v>
      </c>
      <c r="B1776" s="116">
        <v>2059.9</v>
      </c>
      <c r="C1776" s="116">
        <v>2009</v>
      </c>
      <c r="D1776" s="116">
        <v>1981.2</v>
      </c>
      <c r="E1776" s="116">
        <v>2059.9</v>
      </c>
      <c r="F1776" s="116">
        <v>2009</v>
      </c>
      <c r="G1776">
        <v>40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44693</v>
      </c>
      <c r="B1777" s="116">
        <v>2037.95</v>
      </c>
      <c r="C1777" s="116">
        <v>1974.25</v>
      </c>
      <c r="D1777" s="116">
        <v>1950</v>
      </c>
      <c r="E1777" s="116">
        <v>1980</v>
      </c>
      <c r="F1777" s="116">
        <v>1974.25</v>
      </c>
      <c r="G1777">
        <v>190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44694</v>
      </c>
      <c r="B1778" s="116">
        <v>2040</v>
      </c>
      <c r="C1778" s="116">
        <v>2009</v>
      </c>
      <c r="D1778" s="116">
        <v>2009</v>
      </c>
      <c r="E1778" s="116">
        <v>2039</v>
      </c>
      <c r="F1778" s="116">
        <v>2009</v>
      </c>
      <c r="G1778">
        <v>18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44697</v>
      </c>
      <c r="B1779" s="116">
        <v>2048.9499999999998</v>
      </c>
      <c r="C1779" s="116">
        <v>2006.65</v>
      </c>
      <c r="D1779" s="116">
        <v>1998</v>
      </c>
      <c r="E1779" s="116">
        <v>2048.9499999999998</v>
      </c>
      <c r="F1779" s="116">
        <v>2006.65</v>
      </c>
      <c r="G1779">
        <v>64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44698</v>
      </c>
      <c r="B1780" s="116">
        <v>2050</v>
      </c>
      <c r="C1780" s="116">
        <v>2050</v>
      </c>
      <c r="D1780" s="116">
        <v>2011</v>
      </c>
      <c r="E1780" s="116">
        <v>2011</v>
      </c>
      <c r="F1780" s="116">
        <v>2050</v>
      </c>
      <c r="G1780">
        <v>143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44699</v>
      </c>
      <c r="B1781" s="116">
        <v>2013</v>
      </c>
      <c r="C1781" s="116">
        <v>2013</v>
      </c>
      <c r="D1781" s="116">
        <v>1980</v>
      </c>
      <c r="E1781" s="116">
        <v>1989</v>
      </c>
      <c r="F1781" s="116">
        <v>2013</v>
      </c>
      <c r="G1781">
        <v>34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44700</v>
      </c>
      <c r="B1782" s="116">
        <v>2017.95</v>
      </c>
      <c r="C1782" s="116">
        <v>2017.95</v>
      </c>
      <c r="D1782" s="116">
        <v>1956.35</v>
      </c>
      <c r="E1782" s="116">
        <v>2001</v>
      </c>
      <c r="F1782" s="116">
        <v>2017.95</v>
      </c>
      <c r="G1782">
        <v>17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44701</v>
      </c>
      <c r="B1783" s="116">
        <v>2017.95</v>
      </c>
      <c r="C1783" s="116">
        <v>2017.95</v>
      </c>
      <c r="D1783" s="116">
        <v>2017.95</v>
      </c>
      <c r="E1783" s="116">
        <v>2017.95</v>
      </c>
      <c r="F1783" s="116">
        <v>2017.95</v>
      </c>
      <c r="G1783">
        <v>3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44704</v>
      </c>
      <c r="B1784" s="116">
        <v>1990</v>
      </c>
      <c r="C1784" s="116">
        <v>1971.8</v>
      </c>
      <c r="D1784" s="116">
        <v>1966</v>
      </c>
      <c r="E1784" s="116">
        <v>1980</v>
      </c>
      <c r="F1784" s="116">
        <v>1971.8</v>
      </c>
      <c r="G1784">
        <v>33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44705</v>
      </c>
      <c r="B1785" s="116">
        <v>1999</v>
      </c>
      <c r="C1785" s="116">
        <v>1956.1</v>
      </c>
      <c r="D1785" s="116">
        <v>1902</v>
      </c>
      <c r="E1785" s="116">
        <v>1902.05</v>
      </c>
      <c r="F1785" s="116">
        <v>1956.1</v>
      </c>
      <c r="G1785">
        <v>98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44706</v>
      </c>
      <c r="B1786" s="116">
        <v>2049.25</v>
      </c>
      <c r="C1786" s="116">
        <v>1925</v>
      </c>
      <c r="D1786" s="116">
        <v>1919</v>
      </c>
      <c r="E1786" s="116">
        <v>2049.25</v>
      </c>
      <c r="F1786" s="116">
        <v>1925</v>
      </c>
      <c r="G1786">
        <v>92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44707</v>
      </c>
      <c r="B1787" s="116">
        <v>1970</v>
      </c>
      <c r="C1787" s="116">
        <v>1729.3</v>
      </c>
      <c r="D1787" s="116">
        <v>1600</v>
      </c>
      <c r="E1787" s="116">
        <v>1970</v>
      </c>
      <c r="F1787" s="116">
        <v>1729.3</v>
      </c>
      <c r="G1787">
        <v>1728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44708</v>
      </c>
      <c r="B1788" s="116">
        <v>1797</v>
      </c>
      <c r="C1788" s="116">
        <v>1783.9</v>
      </c>
      <c r="D1788" s="116">
        <v>1729</v>
      </c>
      <c r="E1788" s="116">
        <v>1729</v>
      </c>
      <c r="F1788" s="116">
        <v>1783.9</v>
      </c>
      <c r="G1788">
        <v>223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44711</v>
      </c>
      <c r="B1789" s="116">
        <v>1840</v>
      </c>
      <c r="C1789" s="116">
        <v>1830</v>
      </c>
      <c r="D1789" s="116">
        <v>1783.9</v>
      </c>
      <c r="E1789" s="116">
        <v>1783.9</v>
      </c>
      <c r="F1789" s="116">
        <v>1830</v>
      </c>
      <c r="G1789">
        <v>152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44712</v>
      </c>
      <c r="B1790" s="116">
        <v>1880</v>
      </c>
      <c r="C1790" s="116">
        <v>1817.6</v>
      </c>
      <c r="D1790" s="116">
        <v>1756.65</v>
      </c>
      <c r="E1790" s="116">
        <v>1880</v>
      </c>
      <c r="F1790" s="116">
        <v>1817.6</v>
      </c>
      <c r="G1790">
        <v>258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44713</v>
      </c>
      <c r="B1791" s="116">
        <v>1985</v>
      </c>
      <c r="C1791" s="116">
        <v>1900</v>
      </c>
      <c r="D1791" s="116">
        <v>1849.95</v>
      </c>
      <c r="E1791" s="116">
        <v>1849.95</v>
      </c>
      <c r="F1791" s="116">
        <v>1900</v>
      </c>
      <c r="G1791">
        <v>149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44714</v>
      </c>
      <c r="B1792" s="116">
        <v>1987.25</v>
      </c>
      <c r="C1792" s="116">
        <v>1860.6</v>
      </c>
      <c r="D1792" s="116">
        <v>1841.25</v>
      </c>
      <c r="E1792" s="116">
        <v>1901</v>
      </c>
      <c r="F1792" s="116">
        <v>1860.6</v>
      </c>
      <c r="G1792">
        <v>107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44715</v>
      </c>
      <c r="B1793" s="116">
        <v>2000</v>
      </c>
      <c r="C1793" s="116">
        <v>1920.35</v>
      </c>
      <c r="D1793" s="116">
        <v>1872.3</v>
      </c>
      <c r="E1793" s="116">
        <v>1945</v>
      </c>
      <c r="F1793" s="116">
        <v>1920.35</v>
      </c>
      <c r="G1793">
        <v>575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44718</v>
      </c>
      <c r="B1794" s="116">
        <v>1949</v>
      </c>
      <c r="C1794" s="116">
        <v>1918.45</v>
      </c>
      <c r="D1794" s="116">
        <v>1813</v>
      </c>
      <c r="E1794" s="116">
        <v>1949</v>
      </c>
      <c r="F1794" s="116">
        <v>1918.45</v>
      </c>
      <c r="G1794">
        <v>32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44719</v>
      </c>
      <c r="B1795" s="116">
        <v>1900</v>
      </c>
      <c r="C1795" s="116">
        <v>1826.6</v>
      </c>
      <c r="D1795" s="116">
        <v>1820.1</v>
      </c>
      <c r="E1795" s="116">
        <v>1900</v>
      </c>
      <c r="F1795" s="116">
        <v>1826.6</v>
      </c>
      <c r="G1795">
        <v>286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44720</v>
      </c>
      <c r="B1796" s="116">
        <v>1879.95</v>
      </c>
      <c r="C1796" s="116">
        <v>1840</v>
      </c>
      <c r="D1796" s="116">
        <v>1806</v>
      </c>
      <c r="E1796" s="116">
        <v>1879.95</v>
      </c>
      <c r="F1796" s="116">
        <v>1840</v>
      </c>
      <c r="G1796">
        <v>39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44721</v>
      </c>
      <c r="B1797" s="116">
        <v>1896</v>
      </c>
      <c r="C1797" s="116">
        <v>1835.2</v>
      </c>
      <c r="D1797" s="116">
        <v>1825</v>
      </c>
      <c r="E1797" s="116">
        <v>1840.05</v>
      </c>
      <c r="F1797" s="116">
        <v>1835.2</v>
      </c>
      <c r="G1797">
        <v>34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44722</v>
      </c>
      <c r="B1798" s="116">
        <v>1849</v>
      </c>
      <c r="C1798" s="116">
        <v>1811.05</v>
      </c>
      <c r="D1798" s="116">
        <v>1796</v>
      </c>
      <c r="E1798" s="116">
        <v>1796</v>
      </c>
      <c r="F1798" s="116">
        <v>1811.05</v>
      </c>
      <c r="G1798">
        <v>20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44725</v>
      </c>
      <c r="B1799" s="116">
        <v>1835</v>
      </c>
      <c r="C1799" s="116">
        <v>1785.55</v>
      </c>
      <c r="D1799" s="116">
        <v>1781.05</v>
      </c>
      <c r="E1799" s="116">
        <v>1804.05</v>
      </c>
      <c r="F1799" s="116">
        <v>1785.55</v>
      </c>
      <c r="G1799">
        <v>116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44726</v>
      </c>
      <c r="B1800" s="116">
        <v>1848</v>
      </c>
      <c r="C1800" s="116">
        <v>1814</v>
      </c>
      <c r="D1800" s="116">
        <v>1785</v>
      </c>
      <c r="E1800" s="116">
        <v>1785.05</v>
      </c>
      <c r="F1800" s="116">
        <v>1814</v>
      </c>
      <c r="G1800">
        <v>38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44727</v>
      </c>
      <c r="B1801" s="116">
        <v>1825</v>
      </c>
      <c r="C1801" s="116">
        <v>1790.2</v>
      </c>
      <c r="D1801" s="116">
        <v>1782.25</v>
      </c>
      <c r="E1801" s="116">
        <v>1783.05</v>
      </c>
      <c r="F1801" s="116">
        <v>1790.2</v>
      </c>
      <c r="G1801">
        <v>29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44728</v>
      </c>
      <c r="B1802" s="116">
        <v>1838.95</v>
      </c>
      <c r="C1802" s="116">
        <v>1700.15</v>
      </c>
      <c r="D1802" s="116">
        <v>1700</v>
      </c>
      <c r="E1802" s="116">
        <v>1838.95</v>
      </c>
      <c r="F1802" s="116">
        <v>1700.15</v>
      </c>
      <c r="G1802">
        <v>187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44729</v>
      </c>
      <c r="B1803" s="116">
        <v>1723</v>
      </c>
      <c r="C1803" s="116">
        <v>1707.65</v>
      </c>
      <c r="D1803" s="116">
        <v>1680</v>
      </c>
      <c r="E1803" s="116">
        <v>1700</v>
      </c>
      <c r="F1803" s="116">
        <v>1707.65</v>
      </c>
      <c r="G1803">
        <v>60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44732</v>
      </c>
      <c r="B1804" s="116">
        <v>1711</v>
      </c>
      <c r="C1804" s="116">
        <v>1711</v>
      </c>
      <c r="D1804" s="116">
        <v>1601.5</v>
      </c>
      <c r="E1804" s="116">
        <v>1700.5</v>
      </c>
      <c r="F1804" s="116">
        <v>1711</v>
      </c>
      <c r="G1804">
        <v>92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44733</v>
      </c>
      <c r="B1805" s="116">
        <v>1730</v>
      </c>
      <c r="C1805" s="116">
        <v>1691.4</v>
      </c>
      <c r="D1805" s="116">
        <v>1600</v>
      </c>
      <c r="E1805" s="116">
        <v>1651</v>
      </c>
      <c r="F1805" s="116">
        <v>1691.4</v>
      </c>
      <c r="G1805">
        <v>117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44734</v>
      </c>
      <c r="B1806" s="116">
        <v>1728</v>
      </c>
      <c r="C1806" s="116">
        <v>1711.4</v>
      </c>
      <c r="D1806" s="116">
        <v>1700</v>
      </c>
      <c r="E1806" s="116">
        <v>1700</v>
      </c>
      <c r="F1806" s="116">
        <v>1711.4</v>
      </c>
      <c r="G1806">
        <v>40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44735</v>
      </c>
      <c r="B1807" s="116">
        <v>1746.95</v>
      </c>
      <c r="C1807" s="116">
        <v>1711</v>
      </c>
      <c r="D1807" s="116">
        <v>1711</v>
      </c>
      <c r="E1807" s="116">
        <v>1746.95</v>
      </c>
      <c r="F1807" s="116">
        <v>1711</v>
      </c>
      <c r="G1807">
        <v>15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44736</v>
      </c>
      <c r="B1808" s="116">
        <v>1749</v>
      </c>
      <c r="C1808" s="116">
        <v>1748.9</v>
      </c>
      <c r="D1808" s="116">
        <v>1682</v>
      </c>
      <c r="E1808" s="116">
        <v>1748.95</v>
      </c>
      <c r="F1808" s="116">
        <v>1748.9</v>
      </c>
      <c r="G1808">
        <v>38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44739</v>
      </c>
      <c r="B1809" s="116">
        <v>1798.95</v>
      </c>
      <c r="C1809" s="116">
        <v>1798.65</v>
      </c>
      <c r="D1809" s="116">
        <v>1791.85</v>
      </c>
      <c r="E1809" s="116">
        <v>1798.95</v>
      </c>
      <c r="F1809" s="116">
        <v>1798.65</v>
      </c>
      <c r="G1809">
        <v>62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44741</v>
      </c>
      <c r="B1810" s="116">
        <v>1850</v>
      </c>
      <c r="C1810" s="116">
        <v>1810</v>
      </c>
      <c r="D1810" s="116">
        <v>1800</v>
      </c>
      <c r="E1810" s="116">
        <v>1800</v>
      </c>
      <c r="F1810" s="116">
        <v>1810</v>
      </c>
      <c r="G1810">
        <v>34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44742</v>
      </c>
      <c r="B1811" s="116">
        <v>1883.8</v>
      </c>
      <c r="C1811" s="116">
        <v>1874.95</v>
      </c>
      <c r="D1811" s="116">
        <v>1874.95</v>
      </c>
      <c r="E1811" s="116">
        <v>1883.8</v>
      </c>
      <c r="F1811" s="116">
        <v>1874.95</v>
      </c>
      <c r="G1811">
        <v>4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44743</v>
      </c>
      <c r="B1812" s="116">
        <v>1873</v>
      </c>
      <c r="C1812" s="116">
        <v>1807.55</v>
      </c>
      <c r="D1812" s="116">
        <v>1762</v>
      </c>
      <c r="E1812" s="116">
        <v>1873</v>
      </c>
      <c r="F1812" s="116">
        <v>1807.55</v>
      </c>
      <c r="G1812">
        <v>73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44746</v>
      </c>
      <c r="B1813" s="116">
        <v>1838.95</v>
      </c>
      <c r="C1813" s="116">
        <v>1829.95</v>
      </c>
      <c r="D1813" s="116">
        <v>1771.05</v>
      </c>
      <c r="E1813" s="116">
        <v>1838.95</v>
      </c>
      <c r="F1813" s="116">
        <v>1829.95</v>
      </c>
      <c r="G1813">
        <v>12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44747</v>
      </c>
      <c r="B1814" s="116">
        <v>1829.95</v>
      </c>
      <c r="C1814" s="116">
        <v>1825</v>
      </c>
      <c r="D1814" s="116">
        <v>1801</v>
      </c>
      <c r="E1814" s="116">
        <v>1829.7</v>
      </c>
      <c r="F1814" s="116">
        <v>1825</v>
      </c>
      <c r="G1814">
        <v>23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44748</v>
      </c>
      <c r="B1815" s="116">
        <v>1825</v>
      </c>
      <c r="C1815" s="116">
        <v>1825</v>
      </c>
      <c r="D1815" s="116">
        <v>1825</v>
      </c>
      <c r="E1815" s="116">
        <v>1825</v>
      </c>
      <c r="F1815" s="116">
        <v>1825</v>
      </c>
      <c r="G1815">
        <v>5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44749</v>
      </c>
      <c r="B1816" s="116">
        <v>2160</v>
      </c>
      <c r="C1816" s="116">
        <v>1900.05</v>
      </c>
      <c r="D1816" s="116">
        <v>1825</v>
      </c>
      <c r="E1816" s="116">
        <v>1825</v>
      </c>
      <c r="F1816" s="116">
        <v>1900.05</v>
      </c>
      <c r="G1816">
        <v>411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44750</v>
      </c>
      <c r="B1817" s="116">
        <v>2070</v>
      </c>
      <c r="C1817" s="116">
        <v>1942.95</v>
      </c>
      <c r="D1817" s="116">
        <v>1905</v>
      </c>
      <c r="E1817" s="116">
        <v>2050</v>
      </c>
      <c r="F1817" s="116">
        <v>1942.95</v>
      </c>
      <c r="G1817">
        <v>235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44753</v>
      </c>
      <c r="B1818" s="116">
        <v>1974.95</v>
      </c>
      <c r="C1818" s="116">
        <v>1974.95</v>
      </c>
      <c r="D1818" s="116">
        <v>1924</v>
      </c>
      <c r="E1818" s="116">
        <v>1924</v>
      </c>
      <c r="F1818" s="116">
        <v>1974.95</v>
      </c>
      <c r="G1818">
        <v>52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44754</v>
      </c>
      <c r="B1819" s="116">
        <v>1989.95</v>
      </c>
      <c r="C1819" s="116">
        <v>1989.95</v>
      </c>
      <c r="D1819" s="116">
        <v>1950</v>
      </c>
      <c r="E1819" s="116">
        <v>1950</v>
      </c>
      <c r="F1819" s="116">
        <v>1989.95</v>
      </c>
      <c r="G1819">
        <v>9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44755</v>
      </c>
      <c r="B1820" s="116">
        <v>1984.95</v>
      </c>
      <c r="C1820" s="116">
        <v>1960.55</v>
      </c>
      <c r="D1820" s="116">
        <v>1941.25</v>
      </c>
      <c r="E1820" s="116">
        <v>1984.95</v>
      </c>
      <c r="F1820" s="116">
        <v>1960.55</v>
      </c>
      <c r="G1820">
        <v>39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44756</v>
      </c>
      <c r="B1821" s="116">
        <v>1970</v>
      </c>
      <c r="C1821" s="116">
        <v>1970</v>
      </c>
      <c r="D1821" s="116">
        <v>1942</v>
      </c>
      <c r="E1821" s="116">
        <v>1942</v>
      </c>
      <c r="F1821" s="116">
        <v>1970</v>
      </c>
      <c r="G1821">
        <v>24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44757</v>
      </c>
      <c r="B1822" s="116">
        <v>1970</v>
      </c>
      <c r="C1822" s="116">
        <v>1964.95</v>
      </c>
      <c r="D1822" s="116">
        <v>1904.05</v>
      </c>
      <c r="E1822" s="116">
        <v>1970</v>
      </c>
      <c r="F1822" s="116">
        <v>1964.95</v>
      </c>
      <c r="G1822">
        <v>20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44760</v>
      </c>
      <c r="B1823" s="116">
        <v>2000</v>
      </c>
      <c r="C1823" s="116">
        <v>1969.65</v>
      </c>
      <c r="D1823" s="116">
        <v>1923.1</v>
      </c>
      <c r="E1823" s="116">
        <v>1923.1</v>
      </c>
      <c r="F1823" s="116">
        <v>1969.65</v>
      </c>
      <c r="G1823">
        <v>53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44761</v>
      </c>
      <c r="B1824" s="116">
        <v>2069</v>
      </c>
      <c r="C1824" s="116">
        <v>1980</v>
      </c>
      <c r="D1824" s="116">
        <v>1955.2</v>
      </c>
      <c r="E1824" s="116">
        <v>1969.65</v>
      </c>
      <c r="F1824" s="116">
        <v>1980</v>
      </c>
      <c r="G1824">
        <v>160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44762</v>
      </c>
      <c r="B1825" s="116">
        <v>2093.6999999999998</v>
      </c>
      <c r="C1825" s="116">
        <v>2016.25</v>
      </c>
      <c r="D1825" s="116">
        <v>1980</v>
      </c>
      <c r="E1825" s="116">
        <v>2093.6999999999998</v>
      </c>
      <c r="F1825" s="116">
        <v>2016.25</v>
      </c>
      <c r="G1825">
        <v>212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44763</v>
      </c>
      <c r="B1826" s="116">
        <v>2419.5</v>
      </c>
      <c r="C1826" s="116">
        <v>2235.75</v>
      </c>
      <c r="D1826" s="116">
        <v>2210</v>
      </c>
      <c r="E1826" s="116">
        <v>2210</v>
      </c>
      <c r="F1826" s="116">
        <v>2235.75</v>
      </c>
      <c r="G1826">
        <v>4980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44764</v>
      </c>
      <c r="B1827" s="116">
        <v>2298</v>
      </c>
      <c r="C1827" s="116">
        <v>2138.85</v>
      </c>
      <c r="D1827" s="116">
        <v>2125</v>
      </c>
      <c r="E1827" s="116">
        <v>2296</v>
      </c>
      <c r="F1827" s="116">
        <v>2138.85</v>
      </c>
      <c r="G1827">
        <v>378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44767</v>
      </c>
      <c r="B1828" s="116">
        <v>2399.9</v>
      </c>
      <c r="C1828" s="116">
        <v>2261.15</v>
      </c>
      <c r="D1828" s="116">
        <v>2070.8000000000002</v>
      </c>
      <c r="E1828" s="116">
        <v>2240</v>
      </c>
      <c r="F1828" s="116">
        <v>2261.15</v>
      </c>
      <c r="G1828">
        <v>399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44768</v>
      </c>
      <c r="B1829" s="116">
        <v>2395</v>
      </c>
      <c r="C1829" s="116">
        <v>2205.25</v>
      </c>
      <c r="D1829" s="116">
        <v>2190</v>
      </c>
      <c r="E1829" s="116">
        <v>2350</v>
      </c>
      <c r="F1829" s="116">
        <v>2205.25</v>
      </c>
      <c r="G1829">
        <v>322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44769</v>
      </c>
      <c r="B1830" s="116">
        <v>2189.9499999999998</v>
      </c>
      <c r="C1830" s="116">
        <v>2155.1999999999998</v>
      </c>
      <c r="D1830" s="116">
        <v>2102.25</v>
      </c>
      <c r="E1830" s="116">
        <v>2150.8000000000002</v>
      </c>
      <c r="F1830" s="116">
        <v>2155.1999999999998</v>
      </c>
      <c r="G1830">
        <v>141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44770</v>
      </c>
      <c r="B1831" s="116">
        <v>2243</v>
      </c>
      <c r="C1831" s="116">
        <v>2128.85</v>
      </c>
      <c r="D1831" s="116">
        <v>2122</v>
      </c>
      <c r="E1831" s="116">
        <v>2242</v>
      </c>
      <c r="F1831" s="116">
        <v>2128.85</v>
      </c>
      <c r="G1831">
        <v>207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44771</v>
      </c>
      <c r="B1832" s="116">
        <v>2238.9499999999998</v>
      </c>
      <c r="C1832" s="116">
        <v>2169.3000000000002</v>
      </c>
      <c r="D1832" s="116">
        <v>2154.15</v>
      </c>
      <c r="E1832" s="116">
        <v>2171.4499999999998</v>
      </c>
      <c r="F1832" s="116">
        <v>2169.3000000000002</v>
      </c>
      <c r="G1832">
        <v>47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44774</v>
      </c>
      <c r="B1833" s="116">
        <v>2226.9499999999998</v>
      </c>
      <c r="C1833" s="116">
        <v>2200</v>
      </c>
      <c r="D1833" s="116">
        <v>1812.35</v>
      </c>
      <c r="E1833" s="116">
        <v>2174.25</v>
      </c>
      <c r="F1833" s="116">
        <v>2200</v>
      </c>
      <c r="G1833">
        <v>475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44775</v>
      </c>
      <c r="B1834" s="116">
        <v>2275</v>
      </c>
      <c r="C1834" s="116">
        <v>2192.9</v>
      </c>
      <c r="D1834" s="116">
        <v>2156.3000000000002</v>
      </c>
      <c r="E1834" s="116">
        <v>2194.9499999999998</v>
      </c>
      <c r="F1834" s="116">
        <v>2192.9</v>
      </c>
      <c r="G1834">
        <v>192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44776</v>
      </c>
      <c r="B1835" s="116">
        <v>2252</v>
      </c>
      <c r="C1835" s="116">
        <v>2207.15</v>
      </c>
      <c r="D1835" s="116">
        <v>2113</v>
      </c>
      <c r="E1835" s="116">
        <v>2113</v>
      </c>
      <c r="F1835" s="116">
        <v>2207.15</v>
      </c>
      <c r="G1835">
        <v>80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44777</v>
      </c>
      <c r="B1836" s="116">
        <v>2265</v>
      </c>
      <c r="C1836" s="116">
        <v>2198</v>
      </c>
      <c r="D1836" s="116">
        <v>2191</v>
      </c>
      <c r="E1836" s="116">
        <v>2265</v>
      </c>
      <c r="F1836" s="116">
        <v>2198</v>
      </c>
      <c r="G1836">
        <v>102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44778</v>
      </c>
      <c r="B1837" s="116">
        <v>2219</v>
      </c>
      <c r="C1837" s="116">
        <v>2211.1999999999998</v>
      </c>
      <c r="D1837" s="116">
        <v>2135.0500000000002</v>
      </c>
      <c r="E1837" s="116">
        <v>2207</v>
      </c>
      <c r="F1837" s="116">
        <v>2211.1999999999998</v>
      </c>
      <c r="G1837">
        <v>257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44781</v>
      </c>
      <c r="B1838" s="116">
        <v>2300</v>
      </c>
      <c r="C1838" s="116">
        <v>2273.1999999999998</v>
      </c>
      <c r="D1838" s="116">
        <v>2240</v>
      </c>
      <c r="E1838" s="116">
        <v>2269</v>
      </c>
      <c r="F1838" s="116">
        <v>2273.1999999999998</v>
      </c>
      <c r="G1838">
        <v>398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44783</v>
      </c>
      <c r="B1839" s="116">
        <v>2298.9499999999998</v>
      </c>
      <c r="C1839" s="116">
        <v>2249.6</v>
      </c>
      <c r="D1839" s="116">
        <v>2218</v>
      </c>
      <c r="E1839" s="116">
        <v>2218</v>
      </c>
      <c r="F1839" s="116">
        <v>2249.6</v>
      </c>
      <c r="G1839">
        <v>59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44784</v>
      </c>
      <c r="B1840" s="116">
        <v>2300</v>
      </c>
      <c r="C1840" s="116">
        <v>2266</v>
      </c>
      <c r="D1840" s="116">
        <v>2222.0500000000002</v>
      </c>
      <c r="E1840" s="116">
        <v>2222.0500000000002</v>
      </c>
      <c r="F1840" s="116">
        <v>2266</v>
      </c>
      <c r="G1840">
        <v>199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44785</v>
      </c>
      <c r="B1841" s="116">
        <v>2266</v>
      </c>
      <c r="C1841" s="116">
        <v>2232</v>
      </c>
      <c r="D1841" s="116">
        <v>2150</v>
      </c>
      <c r="E1841" s="116">
        <v>2265</v>
      </c>
      <c r="F1841" s="116">
        <v>2232</v>
      </c>
      <c r="G1841">
        <v>161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44789</v>
      </c>
      <c r="B1842" s="116">
        <v>2294.9499999999998</v>
      </c>
      <c r="C1842" s="116">
        <v>2235.6</v>
      </c>
      <c r="D1842" s="116">
        <v>2225</v>
      </c>
      <c r="E1842" s="116">
        <v>2225</v>
      </c>
      <c r="F1842" s="116">
        <v>2235.6</v>
      </c>
      <c r="G1842">
        <v>144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44790</v>
      </c>
      <c r="B1843" s="116">
        <v>2290</v>
      </c>
      <c r="C1843" s="116">
        <v>2278.85</v>
      </c>
      <c r="D1843" s="116">
        <v>2222</v>
      </c>
      <c r="E1843" s="116">
        <v>2287</v>
      </c>
      <c r="F1843" s="116">
        <v>2278.85</v>
      </c>
      <c r="G1843">
        <v>123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44791</v>
      </c>
      <c r="B1844" s="116">
        <v>2280</v>
      </c>
      <c r="C1844" s="116">
        <v>2229.6999999999998</v>
      </c>
      <c r="D1844" s="116">
        <v>2220</v>
      </c>
      <c r="E1844" s="116">
        <v>2222.0500000000002</v>
      </c>
      <c r="F1844" s="116">
        <v>2229.6999999999998</v>
      </c>
      <c r="G1844">
        <v>109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44792</v>
      </c>
      <c r="B1845" s="116">
        <v>2309.9499999999998</v>
      </c>
      <c r="C1845" s="116">
        <v>2231.6999999999998</v>
      </c>
      <c r="D1845" s="116">
        <v>2220.0500000000002</v>
      </c>
      <c r="E1845" s="116">
        <v>2250</v>
      </c>
      <c r="F1845" s="116">
        <v>2231.6999999999998</v>
      </c>
      <c r="G1845">
        <v>223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44795</v>
      </c>
      <c r="B1846" s="116">
        <v>2299.8000000000002</v>
      </c>
      <c r="C1846" s="116">
        <v>2215.35</v>
      </c>
      <c r="D1846" s="116">
        <v>2150</v>
      </c>
      <c r="E1846" s="116">
        <v>2235</v>
      </c>
      <c r="F1846" s="116">
        <v>2215.35</v>
      </c>
      <c r="G1846">
        <v>157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44796</v>
      </c>
      <c r="B1847" s="116">
        <v>2230.5</v>
      </c>
      <c r="C1847" s="116">
        <v>2229.9499999999998</v>
      </c>
      <c r="D1847" s="116">
        <v>2175.0500000000002</v>
      </c>
      <c r="E1847" s="116">
        <v>2175.0500000000002</v>
      </c>
      <c r="F1847" s="116">
        <v>2229.9499999999998</v>
      </c>
      <c r="G1847">
        <v>40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44797</v>
      </c>
      <c r="B1848" s="116">
        <v>2250</v>
      </c>
      <c r="C1848" s="116">
        <v>2249.8000000000002</v>
      </c>
      <c r="D1848" s="116">
        <v>2200</v>
      </c>
      <c r="E1848" s="116">
        <v>2200</v>
      </c>
      <c r="F1848" s="116">
        <v>2249.8000000000002</v>
      </c>
      <c r="G1848">
        <v>39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44798</v>
      </c>
      <c r="B1849" s="116">
        <v>2327.6999999999998</v>
      </c>
      <c r="C1849" s="116">
        <v>2280.9499999999998</v>
      </c>
      <c r="D1849" s="116">
        <v>2249</v>
      </c>
      <c r="E1849" s="116">
        <v>2282.9</v>
      </c>
      <c r="F1849" s="116">
        <v>2280.9499999999998</v>
      </c>
      <c r="G1849">
        <v>146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44799</v>
      </c>
      <c r="B1850" s="116">
        <v>2298.6999999999998</v>
      </c>
      <c r="C1850" s="116">
        <v>2250</v>
      </c>
      <c r="D1850" s="116">
        <v>2229.6999999999998</v>
      </c>
      <c r="E1850" s="116">
        <v>2298.6</v>
      </c>
      <c r="F1850" s="116">
        <v>2250</v>
      </c>
      <c r="G1850">
        <v>101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44802</v>
      </c>
      <c r="B1851" s="116">
        <v>2335</v>
      </c>
      <c r="C1851" s="116">
        <v>2250</v>
      </c>
      <c r="D1851" s="116">
        <v>2171</v>
      </c>
      <c r="E1851" s="116">
        <v>2171</v>
      </c>
      <c r="F1851" s="116">
        <v>2250</v>
      </c>
      <c r="G1851">
        <v>175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44803</v>
      </c>
      <c r="B1852" s="116">
        <v>2300.25</v>
      </c>
      <c r="C1852" s="116">
        <v>2294.9499999999998</v>
      </c>
      <c r="D1852" s="116">
        <v>2261</v>
      </c>
      <c r="E1852" s="116">
        <v>2280</v>
      </c>
      <c r="F1852" s="116">
        <v>2294.9499999999998</v>
      </c>
      <c r="G1852">
        <v>226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44805</v>
      </c>
      <c r="B1853" s="116">
        <v>2311</v>
      </c>
      <c r="C1853" s="116">
        <v>2301.75</v>
      </c>
      <c r="D1853" s="116">
        <v>2221</v>
      </c>
      <c r="E1853" s="116">
        <v>2221.1</v>
      </c>
      <c r="F1853" s="116">
        <v>2301.75</v>
      </c>
      <c r="G1853">
        <v>451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44806</v>
      </c>
      <c r="B1854" s="116">
        <v>2491.9499999999998</v>
      </c>
      <c r="C1854" s="116">
        <v>2429.1999999999998</v>
      </c>
      <c r="D1854" s="116">
        <v>2251</v>
      </c>
      <c r="E1854" s="116">
        <v>2255</v>
      </c>
      <c r="F1854" s="116">
        <v>2429.1999999999998</v>
      </c>
      <c r="G1854">
        <v>615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44809</v>
      </c>
      <c r="B1855" s="116">
        <v>2440</v>
      </c>
      <c r="C1855" s="116">
        <v>2317.3000000000002</v>
      </c>
      <c r="D1855" s="116">
        <v>2276</v>
      </c>
      <c r="E1855" s="116">
        <v>2330.1</v>
      </c>
      <c r="F1855" s="116">
        <v>2317.3000000000002</v>
      </c>
      <c r="G1855">
        <v>311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44810</v>
      </c>
      <c r="B1856" s="116">
        <v>2364</v>
      </c>
      <c r="C1856" s="116">
        <v>2305.65</v>
      </c>
      <c r="D1856" s="116">
        <v>2290</v>
      </c>
      <c r="E1856" s="116">
        <v>2349.9499999999998</v>
      </c>
      <c r="F1856" s="116">
        <v>2305.65</v>
      </c>
      <c r="G1856">
        <v>760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44811</v>
      </c>
      <c r="B1857" s="116">
        <v>2357</v>
      </c>
      <c r="C1857" s="116">
        <v>2339.4499999999998</v>
      </c>
      <c r="D1857" s="116">
        <v>2305</v>
      </c>
      <c r="E1857" s="116">
        <v>2307</v>
      </c>
      <c r="F1857" s="116">
        <v>2339.4499999999998</v>
      </c>
      <c r="G1857">
        <v>24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44812</v>
      </c>
      <c r="B1858" s="116">
        <v>2418.85</v>
      </c>
      <c r="C1858" s="116">
        <v>2397.15</v>
      </c>
      <c r="D1858" s="116">
        <v>2359</v>
      </c>
      <c r="E1858" s="116">
        <v>2360</v>
      </c>
      <c r="F1858" s="116">
        <v>2397.15</v>
      </c>
      <c r="G1858">
        <v>561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44813</v>
      </c>
      <c r="B1859" s="116">
        <v>2450</v>
      </c>
      <c r="C1859" s="116">
        <v>2422.35</v>
      </c>
      <c r="D1859" s="116">
        <v>2382.15</v>
      </c>
      <c r="E1859" s="116">
        <v>2382.1999999999998</v>
      </c>
      <c r="F1859" s="116">
        <v>2422.35</v>
      </c>
      <c r="G1859">
        <v>185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44816</v>
      </c>
      <c r="B1860" s="116">
        <v>2513</v>
      </c>
      <c r="C1860" s="116">
        <v>2467</v>
      </c>
      <c r="D1860" s="116">
        <v>2392.5</v>
      </c>
      <c r="E1860" s="116">
        <v>2393</v>
      </c>
      <c r="F1860" s="116">
        <v>2467</v>
      </c>
      <c r="G1860">
        <v>530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44817</v>
      </c>
      <c r="B1861" s="116">
        <v>2490</v>
      </c>
      <c r="C1861" s="116">
        <v>2397.5500000000002</v>
      </c>
      <c r="D1861" s="116">
        <v>2390</v>
      </c>
      <c r="E1861" s="116">
        <v>2399.9499999999998</v>
      </c>
      <c r="F1861" s="116">
        <v>2397.5500000000002</v>
      </c>
      <c r="G1861">
        <v>182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44818</v>
      </c>
      <c r="B1862" s="116">
        <v>2875</v>
      </c>
      <c r="C1862" s="116">
        <v>2557.4499999999998</v>
      </c>
      <c r="D1862" s="116">
        <v>2350</v>
      </c>
      <c r="E1862" s="116">
        <v>2350</v>
      </c>
      <c r="F1862" s="116">
        <v>2557.4499999999998</v>
      </c>
      <c r="G1862">
        <v>878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44819</v>
      </c>
      <c r="B1863" s="116">
        <v>2633</v>
      </c>
      <c r="C1863" s="116">
        <v>2590.4</v>
      </c>
      <c r="D1863" s="116">
        <v>2462</v>
      </c>
      <c r="E1863" s="116">
        <v>2599</v>
      </c>
      <c r="F1863" s="116">
        <v>2590.4</v>
      </c>
      <c r="G1863">
        <v>497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44820</v>
      </c>
      <c r="B1864" s="116">
        <v>2650</v>
      </c>
      <c r="C1864" s="116">
        <v>2617.4</v>
      </c>
      <c r="D1864" s="116">
        <v>2500</v>
      </c>
      <c r="E1864" s="116">
        <v>2619</v>
      </c>
      <c r="F1864" s="116">
        <v>2617.4</v>
      </c>
      <c r="G1864">
        <v>398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44823</v>
      </c>
      <c r="B1865" s="116">
        <v>2839.95</v>
      </c>
      <c r="C1865" s="116">
        <v>2793.9</v>
      </c>
      <c r="D1865" s="116">
        <v>2644</v>
      </c>
      <c r="E1865" s="116">
        <v>2644</v>
      </c>
      <c r="F1865" s="116">
        <v>2793.9</v>
      </c>
      <c r="G1865">
        <v>664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44824</v>
      </c>
      <c r="B1866" s="116">
        <v>2957</v>
      </c>
      <c r="C1866" s="116">
        <v>2842.35</v>
      </c>
      <c r="D1866" s="116">
        <v>2769.25</v>
      </c>
      <c r="E1866" s="116">
        <v>2841</v>
      </c>
      <c r="F1866" s="116">
        <v>2842.35</v>
      </c>
      <c r="G1866">
        <v>498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44825</v>
      </c>
      <c r="B1867" s="116">
        <v>2870</v>
      </c>
      <c r="C1867" s="116">
        <v>2762.75</v>
      </c>
      <c r="D1867" s="116">
        <v>2621.1</v>
      </c>
      <c r="E1867" s="116">
        <v>2870</v>
      </c>
      <c r="F1867" s="116">
        <v>2762.75</v>
      </c>
      <c r="G1867">
        <v>637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44826</v>
      </c>
      <c r="B1868" s="116">
        <v>2885</v>
      </c>
      <c r="C1868" s="116">
        <v>2724.3</v>
      </c>
      <c r="D1868" s="116">
        <v>2699</v>
      </c>
      <c r="E1868" s="116">
        <v>2884.75</v>
      </c>
      <c r="F1868" s="116">
        <v>2724.3</v>
      </c>
      <c r="G1868">
        <v>287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44827</v>
      </c>
      <c r="B1869" s="116">
        <v>2894</v>
      </c>
      <c r="C1869" s="116">
        <v>2778.3</v>
      </c>
      <c r="D1869" s="116">
        <v>2741.25</v>
      </c>
      <c r="E1869" s="116">
        <v>2780</v>
      </c>
      <c r="F1869" s="116">
        <v>2778.3</v>
      </c>
      <c r="G1869">
        <v>154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44830</v>
      </c>
      <c r="B1870" s="116">
        <v>2782</v>
      </c>
      <c r="C1870" s="116">
        <v>2750</v>
      </c>
      <c r="D1870" s="116">
        <v>2600.1999999999998</v>
      </c>
      <c r="E1870" s="116">
        <v>2600.1999999999998</v>
      </c>
      <c r="F1870" s="116">
        <v>2750</v>
      </c>
      <c r="G1870">
        <v>192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44831</v>
      </c>
      <c r="B1871" s="116">
        <v>2800</v>
      </c>
      <c r="C1871" s="116">
        <v>2755.7</v>
      </c>
      <c r="D1871" s="116">
        <v>2653.2</v>
      </c>
      <c r="E1871" s="116">
        <v>2800</v>
      </c>
      <c r="F1871" s="116">
        <v>2755.7</v>
      </c>
      <c r="G1871">
        <v>110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44832</v>
      </c>
      <c r="B1872" s="116">
        <v>2775</v>
      </c>
      <c r="C1872" s="116">
        <v>2766.1</v>
      </c>
      <c r="D1872" s="116">
        <v>2618.1999999999998</v>
      </c>
      <c r="E1872" s="116">
        <v>2700</v>
      </c>
      <c r="F1872" s="116">
        <v>2766.1</v>
      </c>
      <c r="G1872">
        <v>88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44833</v>
      </c>
      <c r="B1873" s="116">
        <v>2790</v>
      </c>
      <c r="C1873" s="116">
        <v>2704.85</v>
      </c>
      <c r="D1873" s="116">
        <v>2681.6</v>
      </c>
      <c r="E1873" s="116">
        <v>2790</v>
      </c>
      <c r="F1873" s="116">
        <v>2704.85</v>
      </c>
      <c r="G1873">
        <v>142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44834</v>
      </c>
      <c r="B1874" s="116">
        <v>2684.8</v>
      </c>
      <c r="C1874" s="116">
        <v>2663.5</v>
      </c>
      <c r="D1874" s="116">
        <v>2461</v>
      </c>
      <c r="E1874" s="116">
        <v>2650.05</v>
      </c>
      <c r="F1874" s="116">
        <v>2663.5</v>
      </c>
      <c r="G1874">
        <v>232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44837</v>
      </c>
      <c r="B1875" s="116">
        <v>2650</v>
      </c>
      <c r="C1875" s="116">
        <v>2619.75</v>
      </c>
      <c r="D1875" s="116">
        <v>2600</v>
      </c>
      <c r="E1875" s="116">
        <v>2607</v>
      </c>
      <c r="F1875" s="116">
        <v>2619.75</v>
      </c>
      <c r="G1875">
        <v>161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44838</v>
      </c>
      <c r="B1876" s="116">
        <v>2649</v>
      </c>
      <c r="C1876" s="116">
        <v>2621</v>
      </c>
      <c r="D1876" s="116">
        <v>2618</v>
      </c>
      <c r="E1876" s="116">
        <v>2618</v>
      </c>
      <c r="F1876" s="116">
        <v>2621</v>
      </c>
      <c r="G1876">
        <v>66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44840</v>
      </c>
      <c r="B1877" s="116">
        <v>2719.95</v>
      </c>
      <c r="C1877" s="116">
        <v>2699.9</v>
      </c>
      <c r="D1877" s="116">
        <v>2571.8000000000002</v>
      </c>
      <c r="E1877" s="116">
        <v>2719.95</v>
      </c>
      <c r="F1877" s="116">
        <v>2699.9</v>
      </c>
      <c r="G1877">
        <v>133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44841</v>
      </c>
      <c r="B1878" s="116">
        <v>2836</v>
      </c>
      <c r="C1878" s="116">
        <v>2694.1</v>
      </c>
      <c r="D1878" s="116">
        <v>2601.1999999999998</v>
      </c>
      <c r="E1878" s="116">
        <v>2750</v>
      </c>
      <c r="F1878" s="116">
        <v>2694.1</v>
      </c>
      <c r="G1878">
        <v>183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44844</v>
      </c>
      <c r="B1879" s="116">
        <v>2711.05</v>
      </c>
      <c r="C1879" s="116">
        <v>2699.95</v>
      </c>
      <c r="D1879" s="116">
        <v>2600</v>
      </c>
      <c r="E1879" s="116">
        <v>2700</v>
      </c>
      <c r="F1879" s="116">
        <v>2699.95</v>
      </c>
      <c r="G1879">
        <v>242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44845</v>
      </c>
      <c r="B1880" s="116">
        <v>2800</v>
      </c>
      <c r="C1880" s="116">
        <v>2769.15</v>
      </c>
      <c r="D1880" s="116">
        <v>2701</v>
      </c>
      <c r="E1880" s="116">
        <v>2748</v>
      </c>
      <c r="F1880" s="116">
        <v>2769.15</v>
      </c>
      <c r="G1880">
        <v>175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44846</v>
      </c>
      <c r="B1881" s="116">
        <v>2770</v>
      </c>
      <c r="C1881" s="116">
        <v>2763</v>
      </c>
      <c r="D1881" s="116">
        <v>2688.5</v>
      </c>
      <c r="E1881" s="116">
        <v>2770</v>
      </c>
      <c r="F1881" s="116">
        <v>2763</v>
      </c>
      <c r="G1881">
        <v>111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44847</v>
      </c>
      <c r="B1882" s="116">
        <v>2770</v>
      </c>
      <c r="C1882" s="116">
        <v>2735</v>
      </c>
      <c r="D1882" s="116">
        <v>2679.55</v>
      </c>
      <c r="E1882" s="116">
        <v>2770</v>
      </c>
      <c r="F1882" s="116">
        <v>2735</v>
      </c>
      <c r="G1882">
        <v>102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44848</v>
      </c>
      <c r="B1883" s="116">
        <v>2809</v>
      </c>
      <c r="C1883" s="116">
        <v>2794.45</v>
      </c>
      <c r="D1883" s="116">
        <v>2661.2</v>
      </c>
      <c r="E1883" s="116">
        <v>2661.2</v>
      </c>
      <c r="F1883" s="116">
        <v>2794.45</v>
      </c>
      <c r="G1883">
        <v>123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44851</v>
      </c>
      <c r="B1884" s="116">
        <v>2860</v>
      </c>
      <c r="C1884" s="116">
        <v>2771.9</v>
      </c>
      <c r="D1884" s="116">
        <v>2692.5</v>
      </c>
      <c r="E1884" s="116">
        <v>2860</v>
      </c>
      <c r="F1884" s="116">
        <v>2771.9</v>
      </c>
      <c r="G1884">
        <v>90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44852</v>
      </c>
      <c r="B1885" s="116">
        <v>2805</v>
      </c>
      <c r="C1885" s="116">
        <v>2780</v>
      </c>
      <c r="D1885" s="116">
        <v>2712.3</v>
      </c>
      <c r="E1885" s="116">
        <v>2712.3</v>
      </c>
      <c r="F1885" s="116">
        <v>2780</v>
      </c>
      <c r="G1885">
        <v>123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44853</v>
      </c>
      <c r="B1886" s="116">
        <v>2814.45</v>
      </c>
      <c r="C1886" s="116">
        <v>2780</v>
      </c>
      <c r="D1886" s="116">
        <v>2780</v>
      </c>
      <c r="E1886" s="116">
        <v>2814.45</v>
      </c>
      <c r="F1886" s="116">
        <v>2780</v>
      </c>
      <c r="G1886">
        <v>21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44854</v>
      </c>
      <c r="B1887" s="116">
        <v>2779</v>
      </c>
      <c r="C1887" s="116">
        <v>2719.15</v>
      </c>
      <c r="D1887" s="116">
        <v>2706</v>
      </c>
      <c r="E1887" s="116">
        <v>2706</v>
      </c>
      <c r="F1887" s="116">
        <v>2719.15</v>
      </c>
      <c r="G1887">
        <v>183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44855</v>
      </c>
      <c r="B1888" s="116">
        <v>2845</v>
      </c>
      <c r="C1888" s="116">
        <v>2780</v>
      </c>
      <c r="D1888" s="116">
        <v>2730</v>
      </c>
      <c r="E1888" s="116">
        <v>2845</v>
      </c>
      <c r="F1888" s="116">
        <v>2780</v>
      </c>
      <c r="G1888">
        <v>99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44858</v>
      </c>
      <c r="B1889" s="116">
        <v>2835.7</v>
      </c>
      <c r="C1889" s="116">
        <v>2781.85</v>
      </c>
      <c r="D1889" s="116">
        <v>2677</v>
      </c>
      <c r="E1889" s="116">
        <v>2835.7</v>
      </c>
      <c r="F1889" s="116">
        <v>2781.85</v>
      </c>
      <c r="G1889">
        <v>57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44859</v>
      </c>
      <c r="B1890" s="116">
        <v>2787.45</v>
      </c>
      <c r="C1890" s="116">
        <v>2715.1</v>
      </c>
      <c r="D1890" s="116">
        <v>2715.1</v>
      </c>
      <c r="E1890" s="116">
        <v>2786</v>
      </c>
      <c r="F1890" s="116">
        <v>2715.1</v>
      </c>
      <c r="G1890">
        <v>11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44861</v>
      </c>
      <c r="B1891" s="116">
        <v>2830</v>
      </c>
      <c r="C1891" s="116">
        <v>2715</v>
      </c>
      <c r="D1891" s="116">
        <v>2715</v>
      </c>
      <c r="E1891" s="116">
        <v>2830</v>
      </c>
      <c r="F1891" s="116">
        <v>2715</v>
      </c>
      <c r="G1891">
        <v>280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44862</v>
      </c>
      <c r="B1892" s="116">
        <v>2844.85</v>
      </c>
      <c r="C1892" s="116">
        <v>2793.6</v>
      </c>
      <c r="D1892" s="116">
        <v>2701</v>
      </c>
      <c r="E1892" s="116">
        <v>2844.85</v>
      </c>
      <c r="F1892" s="116">
        <v>2793.6</v>
      </c>
      <c r="G1892">
        <v>334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44865</v>
      </c>
      <c r="B1893" s="116">
        <v>2829</v>
      </c>
      <c r="C1893" s="116">
        <v>2763</v>
      </c>
      <c r="D1893" s="116">
        <v>2699</v>
      </c>
      <c r="E1893" s="116">
        <v>2740.05</v>
      </c>
      <c r="F1893" s="116">
        <v>2763</v>
      </c>
      <c r="G1893">
        <v>400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44866</v>
      </c>
      <c r="B1894" s="116">
        <v>2850</v>
      </c>
      <c r="C1894" s="116">
        <v>2713.1</v>
      </c>
      <c r="D1894" s="116">
        <v>2695</v>
      </c>
      <c r="E1894" s="116">
        <v>2768</v>
      </c>
      <c r="F1894" s="116">
        <v>2713.1</v>
      </c>
      <c r="G1894">
        <v>565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44867</v>
      </c>
      <c r="B1895" s="116">
        <v>2755</v>
      </c>
      <c r="C1895" s="116">
        <v>2692</v>
      </c>
      <c r="D1895" s="116">
        <v>2690</v>
      </c>
      <c r="E1895" s="116">
        <v>2714.25</v>
      </c>
      <c r="F1895" s="116">
        <v>2692</v>
      </c>
      <c r="G1895">
        <v>203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44868</v>
      </c>
      <c r="B1896" s="116">
        <v>2753</v>
      </c>
      <c r="C1896" s="116">
        <v>2717</v>
      </c>
      <c r="D1896" s="116">
        <v>2690</v>
      </c>
      <c r="E1896" s="116">
        <v>2691</v>
      </c>
      <c r="F1896" s="116">
        <v>2717</v>
      </c>
      <c r="G1896">
        <v>82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44869</v>
      </c>
      <c r="B1897" s="116">
        <v>2729.9</v>
      </c>
      <c r="C1897" s="116">
        <v>2666.05</v>
      </c>
      <c r="D1897" s="116">
        <v>2620</v>
      </c>
      <c r="E1897" s="116">
        <v>2700</v>
      </c>
      <c r="F1897" s="116">
        <v>2666.05</v>
      </c>
      <c r="G1897">
        <v>236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44872</v>
      </c>
      <c r="B1898" s="116">
        <v>2800</v>
      </c>
      <c r="C1898" s="116">
        <v>2794.95</v>
      </c>
      <c r="D1898" s="116">
        <v>2729</v>
      </c>
      <c r="E1898" s="116">
        <v>2757.25</v>
      </c>
      <c r="F1898" s="116">
        <v>2794.95</v>
      </c>
      <c r="G1898">
        <v>174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44874</v>
      </c>
      <c r="B1899" s="116">
        <v>2850</v>
      </c>
      <c r="C1899" s="116">
        <v>2839.6</v>
      </c>
      <c r="D1899" s="116">
        <v>2740</v>
      </c>
      <c r="E1899" s="116">
        <v>2799.95</v>
      </c>
      <c r="F1899" s="116">
        <v>2839.6</v>
      </c>
      <c r="G1899">
        <v>258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44875</v>
      </c>
      <c r="B1900" s="116">
        <v>2799</v>
      </c>
      <c r="C1900" s="116">
        <v>2768.9</v>
      </c>
      <c r="D1900" s="116">
        <v>2751</v>
      </c>
      <c r="E1900" s="116">
        <v>2796.95</v>
      </c>
      <c r="F1900" s="116">
        <v>2768.9</v>
      </c>
      <c r="G1900">
        <v>24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44876</v>
      </c>
      <c r="B1901" s="116">
        <v>2800</v>
      </c>
      <c r="C1901" s="116">
        <v>2790</v>
      </c>
      <c r="D1901" s="116">
        <v>2751</v>
      </c>
      <c r="E1901" s="116">
        <v>2800</v>
      </c>
      <c r="F1901" s="116">
        <v>2790</v>
      </c>
      <c r="G1901">
        <v>205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44879</v>
      </c>
      <c r="B1902" s="116">
        <v>2769.95</v>
      </c>
      <c r="C1902" s="116">
        <v>2691.05</v>
      </c>
      <c r="D1902" s="116">
        <v>2620</v>
      </c>
      <c r="E1902" s="116">
        <v>2752</v>
      </c>
      <c r="F1902" s="116">
        <v>2691.05</v>
      </c>
      <c r="G1902">
        <v>135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44880</v>
      </c>
      <c r="B1903" s="116">
        <v>2705</v>
      </c>
      <c r="C1903" s="116">
        <v>2704.95</v>
      </c>
      <c r="D1903" s="116">
        <v>2700</v>
      </c>
      <c r="E1903" s="116">
        <v>2705</v>
      </c>
      <c r="F1903" s="116">
        <v>2704.95</v>
      </c>
      <c r="G1903">
        <v>63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44881</v>
      </c>
      <c r="B1904" s="116">
        <v>2699.8</v>
      </c>
      <c r="C1904" s="116">
        <v>2665</v>
      </c>
      <c r="D1904" s="116">
        <v>2660</v>
      </c>
      <c r="E1904" s="116">
        <v>2699.75</v>
      </c>
      <c r="F1904" s="116">
        <v>2665</v>
      </c>
      <c r="G1904">
        <v>94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44882</v>
      </c>
      <c r="B1905" s="116">
        <v>2669.8</v>
      </c>
      <c r="C1905" s="116">
        <v>2669</v>
      </c>
      <c r="D1905" s="116">
        <v>2570</v>
      </c>
      <c r="E1905" s="116">
        <v>2665.1</v>
      </c>
      <c r="F1905" s="116">
        <v>2669</v>
      </c>
      <c r="G1905">
        <v>120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44883</v>
      </c>
      <c r="B1906" s="116">
        <v>2685</v>
      </c>
      <c r="C1906" s="116">
        <v>2684.5</v>
      </c>
      <c r="D1906" s="116">
        <v>2675</v>
      </c>
      <c r="E1906" s="116">
        <v>2675.05</v>
      </c>
      <c r="F1906" s="116">
        <v>2684.5</v>
      </c>
      <c r="G1906">
        <v>346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44886</v>
      </c>
      <c r="B1907" s="116">
        <v>2725</v>
      </c>
      <c r="C1907" s="116">
        <v>2708.7</v>
      </c>
      <c r="D1907" s="116">
        <v>2600</v>
      </c>
      <c r="E1907" s="116">
        <v>2600.0500000000002</v>
      </c>
      <c r="F1907" s="116">
        <v>2708.7</v>
      </c>
      <c r="G1907">
        <v>452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44887</v>
      </c>
      <c r="B1908" s="116">
        <v>2725</v>
      </c>
      <c r="C1908" s="116">
        <v>2724.3</v>
      </c>
      <c r="D1908" s="116">
        <v>2676</v>
      </c>
      <c r="E1908" s="116">
        <v>2724.95</v>
      </c>
      <c r="F1908" s="116">
        <v>2724.3</v>
      </c>
      <c r="G1908">
        <v>193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44888</v>
      </c>
      <c r="B1909" s="116">
        <v>2800</v>
      </c>
      <c r="C1909" s="116">
        <v>2774.35</v>
      </c>
      <c r="D1909" s="116">
        <v>2742</v>
      </c>
      <c r="E1909" s="116">
        <v>2786.25</v>
      </c>
      <c r="F1909" s="116">
        <v>2774.35</v>
      </c>
      <c r="G1909">
        <v>353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44889</v>
      </c>
      <c r="B1910" s="116">
        <v>2840</v>
      </c>
      <c r="C1910" s="116">
        <v>2788.2</v>
      </c>
      <c r="D1910" s="116">
        <v>2760.15</v>
      </c>
      <c r="E1910" s="116">
        <v>2775</v>
      </c>
      <c r="F1910" s="116">
        <v>2788.2</v>
      </c>
      <c r="G1910">
        <v>235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44890</v>
      </c>
      <c r="B1911" s="116">
        <v>2779.7</v>
      </c>
      <c r="C1911" s="116">
        <v>2707.05</v>
      </c>
      <c r="D1911" s="116">
        <v>2402</v>
      </c>
      <c r="E1911" s="116">
        <v>2733</v>
      </c>
      <c r="F1911" s="116">
        <v>2707.05</v>
      </c>
      <c r="G1911">
        <v>276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44893</v>
      </c>
      <c r="B1912" s="116">
        <v>3248</v>
      </c>
      <c r="C1912" s="116">
        <v>2939.35</v>
      </c>
      <c r="D1912" s="116">
        <v>2681</v>
      </c>
      <c r="E1912" s="116">
        <v>2717</v>
      </c>
      <c r="F1912" s="116">
        <v>2939.35</v>
      </c>
      <c r="G1912">
        <v>443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44894</v>
      </c>
      <c r="B1913" s="116">
        <v>3050</v>
      </c>
      <c r="C1913" s="116">
        <v>2980.35</v>
      </c>
      <c r="D1913" s="116">
        <v>2870</v>
      </c>
      <c r="E1913" s="116">
        <v>3050</v>
      </c>
      <c r="F1913" s="116">
        <v>2980.35</v>
      </c>
      <c r="G1913">
        <v>401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44895</v>
      </c>
      <c r="B1914" s="116">
        <v>2980.35</v>
      </c>
      <c r="C1914" s="116">
        <v>2980</v>
      </c>
      <c r="D1914" s="116">
        <v>2858.5</v>
      </c>
      <c r="E1914" s="116">
        <v>2980.35</v>
      </c>
      <c r="F1914" s="116">
        <v>2980</v>
      </c>
      <c r="G1914">
        <v>110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44896</v>
      </c>
      <c r="B1915" s="116">
        <v>3025</v>
      </c>
      <c r="C1915" s="116">
        <v>2950.2</v>
      </c>
      <c r="D1915" s="116">
        <v>2935.6</v>
      </c>
      <c r="E1915" s="116">
        <v>2980</v>
      </c>
      <c r="F1915" s="116">
        <v>2950.2</v>
      </c>
      <c r="G1915">
        <v>38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44897</v>
      </c>
      <c r="B1916" s="116">
        <v>3045</v>
      </c>
      <c r="C1916" s="116">
        <v>2920</v>
      </c>
      <c r="D1916" s="116">
        <v>2899</v>
      </c>
      <c r="E1916" s="116">
        <v>2899</v>
      </c>
      <c r="F1916" s="116">
        <v>2920</v>
      </c>
      <c r="G1916">
        <v>197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44900</v>
      </c>
      <c r="B1917" s="116">
        <v>3040</v>
      </c>
      <c r="C1917" s="116">
        <v>3019.3</v>
      </c>
      <c r="D1917" s="116">
        <v>2975</v>
      </c>
      <c r="E1917" s="116">
        <v>3000</v>
      </c>
      <c r="F1917" s="116">
        <v>3019.3</v>
      </c>
      <c r="G1917">
        <v>2126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44901</v>
      </c>
      <c r="B1918" s="116">
        <v>3065.95</v>
      </c>
      <c r="C1918" s="116">
        <v>2955</v>
      </c>
      <c r="D1918" s="116">
        <v>2955</v>
      </c>
      <c r="E1918" s="116">
        <v>3000</v>
      </c>
      <c r="F1918" s="116">
        <v>2955</v>
      </c>
      <c r="G1918">
        <v>67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44902</v>
      </c>
      <c r="B1919" s="116">
        <v>3050</v>
      </c>
      <c r="C1919" s="116">
        <v>2931.55</v>
      </c>
      <c r="D1919" s="116">
        <v>2925</v>
      </c>
      <c r="E1919" s="116">
        <v>2957.25</v>
      </c>
      <c r="F1919" s="116">
        <v>2931.55</v>
      </c>
      <c r="G1919">
        <v>124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44903</v>
      </c>
      <c r="B1920" s="116">
        <v>3049.9</v>
      </c>
      <c r="C1920" s="116">
        <v>2940.05</v>
      </c>
      <c r="D1920" s="116">
        <v>2940.05</v>
      </c>
      <c r="E1920" s="116">
        <v>3045</v>
      </c>
      <c r="F1920" s="116">
        <v>2940.05</v>
      </c>
      <c r="G1920">
        <v>53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44904</v>
      </c>
      <c r="B1921" s="116">
        <v>3025</v>
      </c>
      <c r="C1921" s="116">
        <v>2998</v>
      </c>
      <c r="D1921" s="116">
        <v>2955</v>
      </c>
      <c r="E1921" s="116">
        <v>2975</v>
      </c>
      <c r="F1921" s="116">
        <v>2998</v>
      </c>
      <c r="G1921">
        <v>82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44907</v>
      </c>
      <c r="B1922" s="116">
        <v>2990</v>
      </c>
      <c r="C1922" s="116">
        <v>2867.75</v>
      </c>
      <c r="D1922" s="116">
        <v>2811</v>
      </c>
      <c r="E1922" s="116">
        <v>2990</v>
      </c>
      <c r="F1922" s="116">
        <v>2867.75</v>
      </c>
      <c r="G1922">
        <v>557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44908</v>
      </c>
      <c r="B1923" s="116">
        <v>2964.9</v>
      </c>
      <c r="C1923" s="116">
        <v>2911.95</v>
      </c>
      <c r="D1923" s="116">
        <v>2861.25</v>
      </c>
      <c r="E1923" s="116">
        <v>2875</v>
      </c>
      <c r="F1923" s="116">
        <v>2911.95</v>
      </c>
      <c r="G1923">
        <v>99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44909</v>
      </c>
      <c r="B1924" s="116">
        <v>3002</v>
      </c>
      <c r="C1924" s="116">
        <v>2899.75</v>
      </c>
      <c r="D1924" s="116">
        <v>2861</v>
      </c>
      <c r="E1924" s="116">
        <v>3002</v>
      </c>
      <c r="F1924" s="116">
        <v>2899.75</v>
      </c>
      <c r="G1924">
        <v>183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44910</v>
      </c>
      <c r="B1925" s="116">
        <v>2949</v>
      </c>
      <c r="C1925" s="116">
        <v>2924.6</v>
      </c>
      <c r="D1925" s="116">
        <v>2811</v>
      </c>
      <c r="E1925" s="116">
        <v>2866</v>
      </c>
      <c r="F1925" s="116">
        <v>2924.6</v>
      </c>
      <c r="G1925">
        <v>115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44911</v>
      </c>
      <c r="B1926" s="116">
        <v>2918</v>
      </c>
      <c r="C1926" s="116">
        <v>2897</v>
      </c>
      <c r="D1926" s="116">
        <v>2852</v>
      </c>
      <c r="E1926" s="116">
        <v>2918</v>
      </c>
      <c r="F1926" s="116">
        <v>2897</v>
      </c>
      <c r="G1926">
        <v>77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44914</v>
      </c>
      <c r="B1927" s="116">
        <v>2960</v>
      </c>
      <c r="C1927" s="116">
        <v>2754.75</v>
      </c>
      <c r="D1927" s="116">
        <v>2750</v>
      </c>
      <c r="E1927" s="116">
        <v>2890</v>
      </c>
      <c r="F1927" s="116">
        <v>2754.75</v>
      </c>
      <c r="G1927">
        <v>561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44915</v>
      </c>
      <c r="B1928" s="116">
        <v>3100</v>
      </c>
      <c r="C1928" s="116">
        <v>2855</v>
      </c>
      <c r="D1928" s="116">
        <v>2791</v>
      </c>
      <c r="E1928" s="116">
        <v>2898</v>
      </c>
      <c r="F1928" s="116">
        <v>2855</v>
      </c>
      <c r="G1928">
        <v>168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44916</v>
      </c>
      <c r="B1929" s="116">
        <v>2936</v>
      </c>
      <c r="C1929" s="116">
        <v>2816.8</v>
      </c>
      <c r="D1929" s="116">
        <v>2807</v>
      </c>
      <c r="E1929" s="116">
        <v>2855</v>
      </c>
      <c r="F1929" s="116">
        <v>2816.8</v>
      </c>
      <c r="G1929">
        <v>423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44917</v>
      </c>
      <c r="B1930" s="116">
        <v>2820</v>
      </c>
      <c r="C1930" s="116">
        <v>2759.2</v>
      </c>
      <c r="D1930" s="116">
        <v>2700</v>
      </c>
      <c r="E1930" s="116">
        <v>2813.3</v>
      </c>
      <c r="F1930" s="116">
        <v>2759.2</v>
      </c>
      <c r="G1930">
        <v>205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44918</v>
      </c>
      <c r="B1931" s="116">
        <v>2703</v>
      </c>
      <c r="C1931" s="116">
        <v>2575.15</v>
      </c>
      <c r="D1931" s="116">
        <v>2528</v>
      </c>
      <c r="E1931" s="116">
        <v>2703</v>
      </c>
      <c r="F1931" s="116">
        <v>2575.15</v>
      </c>
      <c r="G1931">
        <v>393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44921</v>
      </c>
      <c r="B1932" s="116">
        <v>2735</v>
      </c>
      <c r="C1932" s="116">
        <v>2674.05</v>
      </c>
      <c r="D1932" s="116">
        <v>2651</v>
      </c>
      <c r="E1932" s="116">
        <v>2735</v>
      </c>
      <c r="F1932" s="116">
        <v>2674.05</v>
      </c>
      <c r="G1932">
        <v>62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44922</v>
      </c>
      <c r="B1933" s="116">
        <v>2790</v>
      </c>
      <c r="C1933" s="116">
        <v>2758.55</v>
      </c>
      <c r="D1933" s="116">
        <v>2705</v>
      </c>
      <c r="E1933" s="116">
        <v>2749.95</v>
      </c>
      <c r="F1933" s="116">
        <v>2758.55</v>
      </c>
      <c r="G1933">
        <v>166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44923</v>
      </c>
      <c r="B1934" s="116">
        <v>2800</v>
      </c>
      <c r="C1934" s="116">
        <v>2796.35</v>
      </c>
      <c r="D1934" s="116">
        <v>2750</v>
      </c>
      <c r="E1934" s="116">
        <v>2750</v>
      </c>
      <c r="F1934" s="116">
        <v>2796.35</v>
      </c>
      <c r="G1934">
        <v>41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44924</v>
      </c>
      <c r="B1935" s="116">
        <v>2838</v>
      </c>
      <c r="C1935" s="116">
        <v>2608.1</v>
      </c>
      <c r="D1935" s="116">
        <v>2600.0500000000002</v>
      </c>
      <c r="E1935" s="116">
        <v>2760</v>
      </c>
      <c r="F1935" s="116">
        <v>2608.1</v>
      </c>
      <c r="G1935">
        <v>436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44925</v>
      </c>
      <c r="B1936" s="116">
        <v>2748</v>
      </c>
      <c r="C1936" s="116">
        <v>2690</v>
      </c>
      <c r="D1936" s="116">
        <v>2674</v>
      </c>
      <c r="E1936" s="116">
        <v>2700</v>
      </c>
      <c r="F1936" s="116">
        <v>2690</v>
      </c>
      <c r="G1936">
        <v>186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44928</v>
      </c>
      <c r="B1937" s="116">
        <v>2774.95</v>
      </c>
      <c r="C1937" s="116">
        <v>2697.75</v>
      </c>
      <c r="D1937" s="116">
        <v>2600</v>
      </c>
      <c r="E1937" s="116">
        <v>2774.95</v>
      </c>
      <c r="F1937" s="116">
        <v>2697.75</v>
      </c>
      <c r="G1937">
        <v>234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44929</v>
      </c>
      <c r="B1938" s="116">
        <v>2725</v>
      </c>
      <c r="C1938" s="116">
        <v>2725</v>
      </c>
      <c r="D1938" s="116">
        <v>2700</v>
      </c>
      <c r="E1938" s="116">
        <v>2725</v>
      </c>
      <c r="F1938" s="116">
        <v>2725</v>
      </c>
      <c r="G1938">
        <v>69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44930</v>
      </c>
      <c r="B1939" s="116">
        <v>2831.25</v>
      </c>
      <c r="C1939" s="116">
        <v>2765</v>
      </c>
      <c r="D1939" s="116">
        <v>2740</v>
      </c>
      <c r="E1939" s="116">
        <v>2740</v>
      </c>
      <c r="F1939" s="116">
        <v>2765</v>
      </c>
      <c r="G1939">
        <v>172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44931</v>
      </c>
      <c r="B1940" s="116">
        <v>2800</v>
      </c>
      <c r="C1940" s="116">
        <v>2800</v>
      </c>
      <c r="D1940" s="116">
        <v>2701</v>
      </c>
      <c r="E1940" s="116">
        <v>2780</v>
      </c>
      <c r="F1940" s="116">
        <v>2800</v>
      </c>
      <c r="G1940">
        <v>217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44932</v>
      </c>
      <c r="B1941" s="116">
        <v>2849.25</v>
      </c>
      <c r="C1941" s="116">
        <v>2775</v>
      </c>
      <c r="D1941" s="116">
        <v>2760.2</v>
      </c>
      <c r="E1941" s="116">
        <v>2845</v>
      </c>
      <c r="F1941" s="116">
        <v>2775</v>
      </c>
      <c r="G1941">
        <v>40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44935</v>
      </c>
      <c r="B1942" s="116">
        <v>2845</v>
      </c>
      <c r="C1942" s="116">
        <v>2822.3</v>
      </c>
      <c r="D1942" s="116">
        <v>2795</v>
      </c>
      <c r="E1942" s="116">
        <v>2845</v>
      </c>
      <c r="F1942" s="116">
        <v>2822.3</v>
      </c>
      <c r="G1942">
        <v>71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44936</v>
      </c>
      <c r="B1943" s="116">
        <v>3000</v>
      </c>
      <c r="C1943" s="116">
        <v>2933.3</v>
      </c>
      <c r="D1943" s="116">
        <v>2700</v>
      </c>
      <c r="E1943" s="116">
        <v>2725.55</v>
      </c>
      <c r="F1943" s="116">
        <v>2933.3</v>
      </c>
      <c r="G1943">
        <v>207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44937</v>
      </c>
      <c r="B1944" s="116">
        <v>2930</v>
      </c>
      <c r="C1944" s="116">
        <v>2867.6</v>
      </c>
      <c r="D1944" s="116">
        <v>2867.25</v>
      </c>
      <c r="E1944" s="116">
        <v>2930</v>
      </c>
      <c r="F1944" s="116">
        <v>2867.6</v>
      </c>
      <c r="G1944">
        <v>45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44938</v>
      </c>
      <c r="B1945" s="116">
        <v>2904</v>
      </c>
      <c r="C1945" s="116">
        <v>2879.5</v>
      </c>
      <c r="D1945" s="116">
        <v>2867.25</v>
      </c>
      <c r="E1945" s="116">
        <v>2868</v>
      </c>
      <c r="F1945" s="116">
        <v>2879.5</v>
      </c>
      <c r="G1945">
        <v>23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44939</v>
      </c>
      <c r="B1946" s="116">
        <v>3059.95</v>
      </c>
      <c r="C1946" s="116">
        <v>3006.9</v>
      </c>
      <c r="D1946" s="116">
        <v>2850</v>
      </c>
      <c r="E1946" s="116">
        <v>2879.5</v>
      </c>
      <c r="F1946" s="116">
        <v>3006.9</v>
      </c>
      <c r="G1946">
        <v>193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44942</v>
      </c>
      <c r="B1947" s="116">
        <v>3020</v>
      </c>
      <c r="C1947" s="116">
        <v>2938.4</v>
      </c>
      <c r="D1947" s="116">
        <v>2815</v>
      </c>
      <c r="E1947" s="116">
        <v>3006.9</v>
      </c>
      <c r="F1947" s="116">
        <v>2938.4</v>
      </c>
      <c r="G1947">
        <v>538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44943</v>
      </c>
      <c r="B1948" s="116">
        <v>3030</v>
      </c>
      <c r="C1948" s="116">
        <v>2947</v>
      </c>
      <c r="D1948" s="116">
        <v>2902</v>
      </c>
      <c r="E1948" s="116">
        <v>2930</v>
      </c>
      <c r="F1948" s="116">
        <v>2947</v>
      </c>
      <c r="G1948">
        <v>79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44944</v>
      </c>
      <c r="B1949" s="116">
        <v>3000</v>
      </c>
      <c r="C1949" s="116">
        <v>2969.45</v>
      </c>
      <c r="D1949" s="116">
        <v>2937</v>
      </c>
      <c r="E1949" s="116">
        <v>2996</v>
      </c>
      <c r="F1949" s="116">
        <v>2969.45</v>
      </c>
      <c r="G1949">
        <v>27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44945</v>
      </c>
      <c r="B1950" s="116">
        <v>3030</v>
      </c>
      <c r="C1950" s="116">
        <v>3018.95</v>
      </c>
      <c r="D1950" s="116">
        <v>2975</v>
      </c>
      <c r="E1950" s="116">
        <v>2995</v>
      </c>
      <c r="F1950" s="116">
        <v>3018.95</v>
      </c>
      <c r="G1950">
        <v>92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44946</v>
      </c>
      <c r="B1951" s="116">
        <v>3049.95</v>
      </c>
      <c r="C1951" s="116">
        <v>2974.25</v>
      </c>
      <c r="D1951" s="116">
        <v>2932</v>
      </c>
      <c r="E1951" s="116">
        <v>3030</v>
      </c>
      <c r="F1951" s="116">
        <v>2974.25</v>
      </c>
      <c r="G1951">
        <v>37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44949</v>
      </c>
      <c r="B1952" s="116">
        <v>2999.8</v>
      </c>
      <c r="C1952" s="116">
        <v>2897.35</v>
      </c>
      <c r="D1952" s="116">
        <v>2851</v>
      </c>
      <c r="E1952" s="116">
        <v>2953</v>
      </c>
      <c r="F1952" s="116">
        <v>2897.35</v>
      </c>
      <c r="G1952">
        <v>174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44950</v>
      </c>
      <c r="B1953" s="116">
        <v>2998</v>
      </c>
      <c r="C1953" s="116">
        <v>2956.75</v>
      </c>
      <c r="D1953" s="116">
        <v>2900</v>
      </c>
      <c r="E1953" s="116">
        <v>2905</v>
      </c>
      <c r="F1953" s="116">
        <v>2956.75</v>
      </c>
      <c r="G1953">
        <v>204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44951</v>
      </c>
      <c r="B1954" s="116">
        <v>3019.95</v>
      </c>
      <c r="C1954" s="116">
        <v>3000.15</v>
      </c>
      <c r="D1954" s="116">
        <v>2911</v>
      </c>
      <c r="E1954" s="116">
        <v>3000</v>
      </c>
      <c r="F1954" s="116">
        <v>3000.15</v>
      </c>
      <c r="G1954">
        <v>141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44953</v>
      </c>
      <c r="B1955" s="116">
        <v>3600.15</v>
      </c>
      <c r="C1955" s="116">
        <v>3169.8</v>
      </c>
      <c r="D1955" s="116">
        <v>3113.25</v>
      </c>
      <c r="E1955" s="116">
        <v>3300</v>
      </c>
      <c r="F1955" s="116">
        <v>3169.8</v>
      </c>
      <c r="G1955">
        <v>4708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44956</v>
      </c>
      <c r="B1956" s="116">
        <v>3450</v>
      </c>
      <c r="C1956" s="116">
        <v>3433.25</v>
      </c>
      <c r="D1956" s="116">
        <v>3170</v>
      </c>
      <c r="E1956" s="116">
        <v>3170</v>
      </c>
      <c r="F1956" s="116">
        <v>3433.25</v>
      </c>
      <c r="G1956">
        <v>741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44957</v>
      </c>
      <c r="B1957" s="116">
        <v>3575</v>
      </c>
      <c r="C1957" s="116">
        <v>3443.55</v>
      </c>
      <c r="D1957" s="116">
        <v>3330</v>
      </c>
      <c r="E1957" s="116">
        <v>3433.25</v>
      </c>
      <c r="F1957" s="116">
        <v>3443.55</v>
      </c>
      <c r="G1957">
        <v>231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44958</v>
      </c>
      <c r="B1958" s="116">
        <v>3634.95</v>
      </c>
      <c r="C1958" s="116">
        <v>3492.1</v>
      </c>
      <c r="D1958" s="116">
        <v>3380</v>
      </c>
      <c r="E1958" s="116">
        <v>3529</v>
      </c>
      <c r="F1958" s="116">
        <v>3492.1</v>
      </c>
      <c r="G1958">
        <v>589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44959</v>
      </c>
      <c r="B1959" s="116">
        <v>3520</v>
      </c>
      <c r="C1959" s="116">
        <v>3399.65</v>
      </c>
      <c r="D1959" s="116">
        <v>3295</v>
      </c>
      <c r="E1959" s="116">
        <v>3492.2</v>
      </c>
      <c r="F1959" s="116">
        <v>3399.65</v>
      </c>
      <c r="G1959">
        <v>226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44960</v>
      </c>
      <c r="B1960" s="116">
        <v>3548</v>
      </c>
      <c r="C1960" s="116">
        <v>3441.2</v>
      </c>
      <c r="D1960" s="116">
        <v>3376</v>
      </c>
      <c r="E1960" s="116">
        <v>3500</v>
      </c>
      <c r="F1960" s="116">
        <v>3441.2</v>
      </c>
      <c r="G1960">
        <v>147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44963</v>
      </c>
      <c r="B1961" s="116">
        <v>3699</v>
      </c>
      <c r="C1961" s="116">
        <v>3455.1</v>
      </c>
      <c r="D1961" s="116">
        <v>3360.1</v>
      </c>
      <c r="E1961" s="116">
        <v>3699</v>
      </c>
      <c r="F1961" s="116">
        <v>3455.1</v>
      </c>
      <c r="G1961">
        <v>346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44964</v>
      </c>
      <c r="B1962" s="116">
        <v>3573</v>
      </c>
      <c r="C1962" s="116">
        <v>3545</v>
      </c>
      <c r="D1962" s="116">
        <v>3470</v>
      </c>
      <c r="E1962" s="116">
        <v>3550</v>
      </c>
      <c r="F1962" s="116">
        <v>3545</v>
      </c>
      <c r="G1962">
        <v>156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44965</v>
      </c>
      <c r="B1963" s="116">
        <v>3600</v>
      </c>
      <c r="C1963" s="116">
        <v>3490.45</v>
      </c>
      <c r="D1963" s="116">
        <v>3479.25</v>
      </c>
      <c r="E1963" s="116">
        <v>3545</v>
      </c>
      <c r="F1963" s="116">
        <v>3490.45</v>
      </c>
      <c r="G1963">
        <v>487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44966</v>
      </c>
      <c r="B1964" s="116">
        <v>3596</v>
      </c>
      <c r="C1964" s="116">
        <v>3420.85</v>
      </c>
      <c r="D1964" s="116">
        <v>3350</v>
      </c>
      <c r="E1964" s="116">
        <v>3490</v>
      </c>
      <c r="F1964" s="116">
        <v>3420.85</v>
      </c>
      <c r="G1964">
        <v>258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44967</v>
      </c>
      <c r="B1965" s="116">
        <v>3500</v>
      </c>
      <c r="C1965" s="116">
        <v>3376.45</v>
      </c>
      <c r="D1965" s="116">
        <v>3301</v>
      </c>
      <c r="E1965" s="116">
        <v>3500</v>
      </c>
      <c r="F1965" s="116">
        <v>3376.45</v>
      </c>
      <c r="G1965">
        <v>376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44970</v>
      </c>
      <c r="B1966" s="116">
        <v>3470</v>
      </c>
      <c r="C1966" s="116">
        <v>3371</v>
      </c>
      <c r="D1966" s="116">
        <v>3263.25</v>
      </c>
      <c r="E1966" s="116">
        <v>3263.25</v>
      </c>
      <c r="F1966" s="116">
        <v>3371</v>
      </c>
      <c r="G1966">
        <v>63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44971</v>
      </c>
      <c r="B1967" s="116">
        <v>3349</v>
      </c>
      <c r="C1967" s="116">
        <v>3321.6</v>
      </c>
      <c r="D1967" s="116">
        <v>3276.2</v>
      </c>
      <c r="E1967" s="116">
        <v>3286</v>
      </c>
      <c r="F1967" s="116">
        <v>3321.6</v>
      </c>
      <c r="G1967">
        <v>360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44972</v>
      </c>
      <c r="B1968" s="116">
        <v>3398</v>
      </c>
      <c r="C1968" s="116">
        <v>3313.25</v>
      </c>
      <c r="D1968" s="116">
        <v>3303</v>
      </c>
      <c r="E1968" s="116">
        <v>3398</v>
      </c>
      <c r="F1968" s="116">
        <v>3313.25</v>
      </c>
      <c r="G1968">
        <v>125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44973</v>
      </c>
      <c r="B1969" s="116">
        <v>3376</v>
      </c>
      <c r="C1969" s="116">
        <v>3375.25</v>
      </c>
      <c r="D1969" s="116">
        <v>3310</v>
      </c>
      <c r="E1969" s="116">
        <v>3313.25</v>
      </c>
      <c r="F1969" s="116">
        <v>3375.25</v>
      </c>
      <c r="G1969">
        <v>71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44974</v>
      </c>
      <c r="B1970" s="116">
        <v>3384.65</v>
      </c>
      <c r="C1970" s="116">
        <v>3315.05</v>
      </c>
      <c r="D1970" s="116">
        <v>3276</v>
      </c>
      <c r="E1970" s="116">
        <v>3298</v>
      </c>
      <c r="F1970" s="116">
        <v>3315.05</v>
      </c>
      <c r="G1970">
        <v>63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44977</v>
      </c>
      <c r="B1971" s="116">
        <v>3343</v>
      </c>
      <c r="C1971" s="116">
        <v>3324.2</v>
      </c>
      <c r="D1971" s="116">
        <v>3281</v>
      </c>
      <c r="E1971" s="116">
        <v>3313</v>
      </c>
      <c r="F1971" s="116">
        <v>3324.2</v>
      </c>
      <c r="G1971">
        <v>77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44978</v>
      </c>
      <c r="B1972" s="116">
        <v>3366.9</v>
      </c>
      <c r="C1972" s="116">
        <v>3322.6</v>
      </c>
      <c r="D1972" s="116">
        <v>3250</v>
      </c>
      <c r="E1972" s="116">
        <v>3250</v>
      </c>
      <c r="F1972" s="116">
        <v>3322.6</v>
      </c>
      <c r="G1972">
        <v>101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44979</v>
      </c>
      <c r="B1973" s="116">
        <v>3370</v>
      </c>
      <c r="C1973" s="116">
        <v>3328.1</v>
      </c>
      <c r="D1973" s="116">
        <v>3270</v>
      </c>
      <c r="E1973" s="116">
        <v>3299</v>
      </c>
      <c r="F1973" s="116">
        <v>3328.1</v>
      </c>
      <c r="G1973">
        <v>23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44980</v>
      </c>
      <c r="B1974" s="116">
        <v>3365</v>
      </c>
      <c r="C1974" s="116">
        <v>3365</v>
      </c>
      <c r="D1974" s="116">
        <v>3261</v>
      </c>
      <c r="E1974" s="116">
        <v>3261</v>
      </c>
      <c r="F1974" s="116">
        <v>3365</v>
      </c>
      <c r="G1974">
        <v>43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44981</v>
      </c>
      <c r="B1975" s="116">
        <v>3440</v>
      </c>
      <c r="C1975" s="116">
        <v>3313</v>
      </c>
      <c r="D1975" s="116">
        <v>3312.75</v>
      </c>
      <c r="E1975" s="116">
        <v>3437.15</v>
      </c>
      <c r="F1975" s="116">
        <v>3313</v>
      </c>
      <c r="G1975">
        <v>42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44984</v>
      </c>
      <c r="B1976" s="116">
        <v>3387</v>
      </c>
      <c r="C1976" s="116">
        <v>3360</v>
      </c>
      <c r="D1976" s="116">
        <v>3254.25</v>
      </c>
      <c r="E1976" s="116">
        <v>3301</v>
      </c>
      <c r="F1976" s="116">
        <v>3360</v>
      </c>
      <c r="G1976">
        <v>72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44985</v>
      </c>
      <c r="B1977" s="116">
        <v>3485</v>
      </c>
      <c r="C1977" s="116">
        <v>3349.35</v>
      </c>
      <c r="D1977" s="116">
        <v>3325</v>
      </c>
      <c r="E1977" s="116">
        <v>3485</v>
      </c>
      <c r="F1977" s="116">
        <v>3349.35</v>
      </c>
      <c r="G1977">
        <v>98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44986</v>
      </c>
      <c r="B1978" s="116">
        <v>3423.95</v>
      </c>
      <c r="C1978" s="116">
        <v>3348.6</v>
      </c>
      <c r="D1978" s="116">
        <v>3280.1</v>
      </c>
      <c r="E1978" s="116">
        <v>3280.1</v>
      </c>
      <c r="F1978" s="116">
        <v>3348.6</v>
      </c>
      <c r="G1978">
        <v>81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44987</v>
      </c>
      <c r="B1979" s="116">
        <v>3390</v>
      </c>
      <c r="C1979" s="116">
        <v>3371</v>
      </c>
      <c r="D1979" s="116">
        <v>3280.2</v>
      </c>
      <c r="E1979" s="116">
        <v>3280.2</v>
      </c>
      <c r="F1979" s="116">
        <v>3371</v>
      </c>
      <c r="G1979">
        <v>52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44988</v>
      </c>
      <c r="B1980" s="116">
        <v>3372</v>
      </c>
      <c r="C1980" s="116">
        <v>3285.5</v>
      </c>
      <c r="D1980" s="116">
        <v>3280</v>
      </c>
      <c r="E1980" s="116">
        <v>3372</v>
      </c>
      <c r="F1980" s="116">
        <v>3285.5</v>
      </c>
      <c r="G1980">
        <v>239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44991</v>
      </c>
      <c r="B1981" s="116">
        <v>3295</v>
      </c>
      <c r="C1981" s="116">
        <v>3287</v>
      </c>
      <c r="D1981" s="116">
        <v>3253.55</v>
      </c>
      <c r="E1981" s="116">
        <v>3285</v>
      </c>
      <c r="F1981" s="116">
        <v>3287</v>
      </c>
      <c r="G1981">
        <v>270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44993</v>
      </c>
      <c r="B1982" s="116">
        <v>3449.95</v>
      </c>
      <c r="C1982" s="116">
        <v>3306.55</v>
      </c>
      <c r="D1982" s="116">
        <v>3251.05</v>
      </c>
      <c r="E1982" s="116">
        <v>3251.05</v>
      </c>
      <c r="F1982" s="116">
        <v>3306.55</v>
      </c>
      <c r="G1982">
        <v>246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44994</v>
      </c>
      <c r="B1983" s="116">
        <v>3365.95</v>
      </c>
      <c r="C1983" s="116">
        <v>3213</v>
      </c>
      <c r="D1983" s="116">
        <v>3183</v>
      </c>
      <c r="E1983" s="116">
        <v>3365.95</v>
      </c>
      <c r="F1983" s="116">
        <v>3213</v>
      </c>
      <c r="G1983">
        <v>337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44995</v>
      </c>
      <c r="B1984" s="116">
        <v>3249</v>
      </c>
      <c r="C1984" s="116">
        <v>3159.15</v>
      </c>
      <c r="D1984" s="116">
        <v>3150</v>
      </c>
      <c r="E1984" s="116">
        <v>3214</v>
      </c>
      <c r="F1984" s="116">
        <v>3159.15</v>
      </c>
      <c r="G1984">
        <v>661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44998</v>
      </c>
      <c r="B1985" s="116">
        <v>3289</v>
      </c>
      <c r="C1985" s="116">
        <v>3215.4</v>
      </c>
      <c r="D1985" s="116">
        <v>3159.15</v>
      </c>
      <c r="E1985" s="116">
        <v>3229.95</v>
      </c>
      <c r="F1985" s="116">
        <v>3215.4</v>
      </c>
      <c r="G1985">
        <v>240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44999</v>
      </c>
      <c r="B1986" s="116">
        <v>3348.95</v>
      </c>
      <c r="C1986" s="116">
        <v>3328.15</v>
      </c>
      <c r="D1986" s="116">
        <v>3216</v>
      </c>
      <c r="E1986" s="116">
        <v>3217</v>
      </c>
      <c r="F1986" s="116">
        <v>3328.15</v>
      </c>
      <c r="G1986">
        <v>179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45000</v>
      </c>
      <c r="B1987" s="116">
        <v>3420</v>
      </c>
      <c r="C1987" s="116">
        <v>3285.85</v>
      </c>
      <c r="D1987" s="116">
        <v>3256</v>
      </c>
      <c r="E1987" s="116">
        <v>3398</v>
      </c>
      <c r="F1987" s="116">
        <v>3285.85</v>
      </c>
      <c r="G1987">
        <v>231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45001</v>
      </c>
      <c r="B1988" s="116">
        <v>3330</v>
      </c>
      <c r="C1988" s="116">
        <v>3236.4</v>
      </c>
      <c r="D1988" s="116">
        <v>3212.5</v>
      </c>
      <c r="E1988" s="116">
        <v>3212.5</v>
      </c>
      <c r="F1988" s="116">
        <v>3236.4</v>
      </c>
      <c r="G1988">
        <v>59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45002</v>
      </c>
      <c r="B1989" s="116">
        <v>3295</v>
      </c>
      <c r="C1989" s="116">
        <v>3219.8</v>
      </c>
      <c r="D1989" s="116">
        <v>3206</v>
      </c>
      <c r="E1989" s="116">
        <v>3236.4</v>
      </c>
      <c r="F1989" s="116">
        <v>3219.8</v>
      </c>
      <c r="G1989">
        <v>59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45005</v>
      </c>
      <c r="B1990" s="116">
        <v>3319.4</v>
      </c>
      <c r="C1990" s="116">
        <v>3219.35</v>
      </c>
      <c r="D1990" s="116">
        <v>3161</v>
      </c>
      <c r="E1990" s="116">
        <v>3201</v>
      </c>
      <c r="F1990" s="116">
        <v>3219.35</v>
      </c>
      <c r="G1990">
        <v>38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45006</v>
      </c>
      <c r="B1991" s="116">
        <v>3308.25</v>
      </c>
      <c r="C1991" s="116">
        <v>3290.1</v>
      </c>
      <c r="D1991" s="116">
        <v>3183</v>
      </c>
      <c r="E1991" s="116">
        <v>3183</v>
      </c>
      <c r="F1991" s="116">
        <v>3290.1</v>
      </c>
      <c r="G1991">
        <v>123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45007</v>
      </c>
      <c r="B1992" s="116">
        <v>3390</v>
      </c>
      <c r="C1992" s="116">
        <v>3271</v>
      </c>
      <c r="D1992" s="116">
        <v>3206</v>
      </c>
      <c r="E1992" s="116">
        <v>3328.6</v>
      </c>
      <c r="F1992" s="116">
        <v>3271</v>
      </c>
      <c r="G1992">
        <v>43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45008</v>
      </c>
      <c r="B1993" s="116">
        <v>3364</v>
      </c>
      <c r="C1993" s="116">
        <v>3256.05</v>
      </c>
      <c r="D1993" s="116">
        <v>3256</v>
      </c>
      <c r="E1993" s="116">
        <v>3364</v>
      </c>
      <c r="F1993" s="116">
        <v>3256.05</v>
      </c>
      <c r="G1993">
        <v>73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45009</v>
      </c>
      <c r="B1994" s="116">
        <v>3310</v>
      </c>
      <c r="C1994" s="116">
        <v>3207.45</v>
      </c>
      <c r="D1994" s="116">
        <v>3182</v>
      </c>
      <c r="E1994" s="116">
        <v>3195</v>
      </c>
      <c r="F1994" s="116">
        <v>3207.45</v>
      </c>
      <c r="G1994">
        <v>70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45012</v>
      </c>
      <c r="B1995" s="116">
        <v>3335</v>
      </c>
      <c r="C1995" s="116">
        <v>3181.05</v>
      </c>
      <c r="D1995" s="116">
        <v>3175</v>
      </c>
      <c r="E1995" s="116">
        <v>3202.95</v>
      </c>
      <c r="F1995" s="116">
        <v>3181.05</v>
      </c>
      <c r="G1995">
        <v>72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45013</v>
      </c>
      <c r="B1996" s="116">
        <v>3249.9</v>
      </c>
      <c r="C1996" s="116">
        <v>3127.25</v>
      </c>
      <c r="D1996" s="116">
        <v>3050</v>
      </c>
      <c r="E1996" s="116">
        <v>3181</v>
      </c>
      <c r="F1996" s="116">
        <v>3127.25</v>
      </c>
      <c r="G1996">
        <v>446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45014</v>
      </c>
      <c r="B1997" s="116">
        <v>3187.75</v>
      </c>
      <c r="C1997" s="116">
        <v>3185.05</v>
      </c>
      <c r="D1997" s="116">
        <v>3100.25</v>
      </c>
      <c r="E1997" s="116">
        <v>3127</v>
      </c>
      <c r="F1997" s="116">
        <v>3185.05</v>
      </c>
      <c r="G1997">
        <v>187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45016</v>
      </c>
      <c r="B1998" s="116">
        <v>3330</v>
      </c>
      <c r="C1998" s="116">
        <v>3247.55</v>
      </c>
      <c r="D1998" s="116">
        <v>3111</v>
      </c>
      <c r="E1998" s="116">
        <v>3111</v>
      </c>
      <c r="F1998" s="116">
        <v>3247.55</v>
      </c>
      <c r="G1998">
        <v>169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45019</v>
      </c>
      <c r="B1999" s="116">
        <v>3276</v>
      </c>
      <c r="C1999" s="116">
        <v>3262.45</v>
      </c>
      <c r="D1999" s="116">
        <v>3150</v>
      </c>
      <c r="E1999" s="116">
        <v>3276</v>
      </c>
      <c r="F1999" s="116">
        <v>3262.45</v>
      </c>
      <c r="G1999">
        <v>144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45021</v>
      </c>
      <c r="B2000" s="116">
        <v>3300.05</v>
      </c>
      <c r="C2000" s="116">
        <v>3280</v>
      </c>
      <c r="D2000" s="116">
        <v>3265</v>
      </c>
      <c r="E2000" s="116">
        <v>3265</v>
      </c>
      <c r="F2000" s="116">
        <v>3280</v>
      </c>
      <c r="G2000">
        <v>145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45022</v>
      </c>
      <c r="B2001" s="116">
        <v>3300</v>
      </c>
      <c r="C2001" s="116">
        <v>3260</v>
      </c>
      <c r="D2001" s="116">
        <v>3209.25</v>
      </c>
      <c r="E2001" s="116">
        <v>3280</v>
      </c>
      <c r="F2001" s="116">
        <v>3260</v>
      </c>
      <c r="G2001">
        <v>51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45026</v>
      </c>
      <c r="B2002" s="116">
        <v>3362.25</v>
      </c>
      <c r="C2002" s="116">
        <v>3278.45</v>
      </c>
      <c r="D2002" s="116">
        <v>3245</v>
      </c>
      <c r="E2002" s="116">
        <v>3250</v>
      </c>
      <c r="F2002" s="116">
        <v>3278.45</v>
      </c>
      <c r="G2002">
        <v>103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45027</v>
      </c>
      <c r="B2003" s="116">
        <v>3330</v>
      </c>
      <c r="C2003" s="116">
        <v>3294.75</v>
      </c>
      <c r="D2003" s="116">
        <v>3250</v>
      </c>
      <c r="E2003" s="116">
        <v>3250</v>
      </c>
      <c r="F2003" s="116">
        <v>3294.75</v>
      </c>
      <c r="G2003">
        <v>149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45028</v>
      </c>
      <c r="B2004" s="116">
        <v>3303</v>
      </c>
      <c r="C2004" s="116">
        <v>3270</v>
      </c>
      <c r="D2004" s="116">
        <v>3212</v>
      </c>
      <c r="E2004" s="116">
        <v>3303</v>
      </c>
      <c r="F2004" s="116">
        <v>3270</v>
      </c>
      <c r="G2004">
        <v>62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45029</v>
      </c>
      <c r="B2005" s="116">
        <v>3330</v>
      </c>
      <c r="C2005" s="116">
        <v>3250</v>
      </c>
      <c r="D2005" s="116">
        <v>3216</v>
      </c>
      <c r="E2005" s="116">
        <v>3330</v>
      </c>
      <c r="F2005" s="116">
        <v>3250</v>
      </c>
      <c r="G2005">
        <v>148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45033</v>
      </c>
      <c r="B2006" s="116">
        <v>3751</v>
      </c>
      <c r="C2006" s="116">
        <v>3710.35</v>
      </c>
      <c r="D2006" s="116">
        <v>3202.35</v>
      </c>
      <c r="E2006" s="116">
        <v>3202.35</v>
      </c>
      <c r="F2006" s="116">
        <v>3710.35</v>
      </c>
      <c r="G2006">
        <v>2058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45034</v>
      </c>
      <c r="B2007" s="116">
        <v>3900</v>
      </c>
      <c r="C2007" s="116">
        <v>3771.25</v>
      </c>
      <c r="D2007" s="116">
        <v>3530</v>
      </c>
      <c r="E2007" s="116">
        <v>3785.25</v>
      </c>
      <c r="F2007" s="116">
        <v>3771.25</v>
      </c>
      <c r="G2007">
        <v>1279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45035</v>
      </c>
      <c r="B2008" s="116">
        <v>3925</v>
      </c>
      <c r="C2008" s="116">
        <v>3723.35</v>
      </c>
      <c r="D2008" s="116">
        <v>3670</v>
      </c>
      <c r="E2008" s="116">
        <v>3670</v>
      </c>
      <c r="F2008" s="116">
        <v>3723.35</v>
      </c>
      <c r="G2008">
        <v>676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45036</v>
      </c>
      <c r="B2009" s="116">
        <v>3900</v>
      </c>
      <c r="C2009" s="116">
        <v>3620.75</v>
      </c>
      <c r="D2009" s="116">
        <v>3415</v>
      </c>
      <c r="E2009" s="116">
        <v>3840</v>
      </c>
      <c r="F2009" s="116">
        <v>3620.75</v>
      </c>
      <c r="G2009">
        <v>1517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45037</v>
      </c>
      <c r="B2010" s="116">
        <v>3780</v>
      </c>
      <c r="C2010" s="116">
        <v>3602.15</v>
      </c>
      <c r="D2010" s="116">
        <v>3601</v>
      </c>
      <c r="E2010" s="116">
        <v>3780</v>
      </c>
      <c r="F2010" s="116">
        <v>3602.15</v>
      </c>
      <c r="G2010">
        <v>295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45040</v>
      </c>
      <c r="B2011" s="116">
        <v>3800</v>
      </c>
      <c r="C2011" s="116">
        <v>3673.1</v>
      </c>
      <c r="D2011" s="116">
        <v>3550</v>
      </c>
      <c r="E2011" s="116">
        <v>3602.1</v>
      </c>
      <c r="F2011" s="116">
        <v>3673.1</v>
      </c>
      <c r="G2011">
        <v>404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45041</v>
      </c>
      <c r="B2012" s="116">
        <v>3787</v>
      </c>
      <c r="C2012" s="116">
        <v>3695.15</v>
      </c>
      <c r="D2012" s="116">
        <v>3652</v>
      </c>
      <c r="E2012" s="116">
        <v>3701</v>
      </c>
      <c r="F2012" s="116">
        <v>3695.15</v>
      </c>
      <c r="G2012">
        <v>478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45042</v>
      </c>
      <c r="B2013" s="116">
        <v>3749.8</v>
      </c>
      <c r="C2013" s="116">
        <v>3749</v>
      </c>
      <c r="D2013" s="116">
        <v>3660.6</v>
      </c>
      <c r="E2013" s="116">
        <v>3737</v>
      </c>
      <c r="F2013" s="116">
        <v>3749</v>
      </c>
      <c r="G2013">
        <v>180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45043</v>
      </c>
      <c r="B2014" s="116">
        <v>3750</v>
      </c>
      <c r="C2014" s="116">
        <v>3692.65</v>
      </c>
      <c r="D2014" s="116">
        <v>3611</v>
      </c>
      <c r="E2014" s="116">
        <v>3740</v>
      </c>
      <c r="F2014" s="116">
        <v>3692.65</v>
      </c>
      <c r="G2014">
        <v>297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45044</v>
      </c>
      <c r="B2015" s="116">
        <v>3799</v>
      </c>
      <c r="C2015" s="116">
        <v>3716.3</v>
      </c>
      <c r="D2015" s="116">
        <v>3600</v>
      </c>
      <c r="E2015" s="116">
        <v>3799</v>
      </c>
      <c r="F2015" s="116">
        <v>3716.3</v>
      </c>
      <c r="G2015">
        <v>800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45048</v>
      </c>
      <c r="B2016" s="116">
        <v>3789</v>
      </c>
      <c r="C2016" s="116">
        <v>3659.45</v>
      </c>
      <c r="D2016" s="116">
        <v>3600</v>
      </c>
      <c r="E2016" s="116">
        <v>3708</v>
      </c>
      <c r="F2016" s="116">
        <v>3659.45</v>
      </c>
      <c r="G2016">
        <v>1010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45049</v>
      </c>
      <c r="B2017" s="116">
        <v>3704.25</v>
      </c>
      <c r="C2017" s="116">
        <v>3632.5</v>
      </c>
      <c r="D2017" s="116">
        <v>3600.05</v>
      </c>
      <c r="E2017" s="116">
        <v>3633.15</v>
      </c>
      <c r="F2017" s="116">
        <v>3632.5</v>
      </c>
      <c r="G2017">
        <v>314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45050</v>
      </c>
      <c r="B2018" s="116">
        <v>3689.9</v>
      </c>
      <c r="C2018" s="116">
        <v>3686.9</v>
      </c>
      <c r="D2018" s="116">
        <v>3627.15</v>
      </c>
      <c r="E2018" s="116">
        <v>3689.9</v>
      </c>
      <c r="F2018" s="116">
        <v>3686.9</v>
      </c>
      <c r="G2018">
        <v>182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45051</v>
      </c>
      <c r="B2019" s="116">
        <v>3718.9</v>
      </c>
      <c r="C2019" s="116">
        <v>3630.05</v>
      </c>
      <c r="D2019" s="116">
        <v>3571</v>
      </c>
      <c r="E2019" s="116">
        <v>3571</v>
      </c>
      <c r="F2019" s="116">
        <v>3630.05</v>
      </c>
      <c r="G2019">
        <v>266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45054</v>
      </c>
      <c r="B2020" s="116">
        <v>3723</v>
      </c>
      <c r="C2020" s="116">
        <v>3695.5</v>
      </c>
      <c r="D2020" s="116">
        <v>3615</v>
      </c>
      <c r="E2020" s="116">
        <v>3677</v>
      </c>
      <c r="F2020" s="116">
        <v>3695.5</v>
      </c>
      <c r="G2020">
        <v>376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45055</v>
      </c>
      <c r="B2021" s="116">
        <v>3779.9</v>
      </c>
      <c r="C2021" s="116">
        <v>3706.5</v>
      </c>
      <c r="D2021" s="116">
        <v>3695.5</v>
      </c>
      <c r="E2021" s="116">
        <v>3695.5</v>
      </c>
      <c r="F2021" s="116">
        <v>3706.5</v>
      </c>
      <c r="G2021">
        <v>520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45056</v>
      </c>
      <c r="B2022" s="116">
        <v>3800</v>
      </c>
      <c r="C2022" s="116">
        <v>3727.55</v>
      </c>
      <c r="D2022" s="116">
        <v>3699</v>
      </c>
      <c r="E2022" s="116">
        <v>3748</v>
      </c>
      <c r="F2022" s="116">
        <v>3727.55</v>
      </c>
      <c r="G2022">
        <v>408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45057</v>
      </c>
      <c r="B2023" s="116">
        <v>3790</v>
      </c>
      <c r="C2023" s="116">
        <v>3710</v>
      </c>
      <c r="D2023" s="116">
        <v>3675</v>
      </c>
      <c r="E2023" s="116">
        <v>3790</v>
      </c>
      <c r="F2023" s="116">
        <v>3710</v>
      </c>
      <c r="G2023">
        <v>70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45058</v>
      </c>
      <c r="B2024" s="116">
        <v>3750</v>
      </c>
      <c r="C2024" s="116">
        <v>3683.9</v>
      </c>
      <c r="D2024" s="116">
        <v>3675</v>
      </c>
      <c r="E2024" s="116">
        <v>3740</v>
      </c>
      <c r="F2024" s="116">
        <v>3683.9</v>
      </c>
      <c r="G2024">
        <v>288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45061</v>
      </c>
      <c r="B2025" s="116">
        <v>3750</v>
      </c>
      <c r="C2025" s="116">
        <v>3735.5</v>
      </c>
      <c r="D2025" s="116">
        <v>3670.15</v>
      </c>
      <c r="E2025" s="116">
        <v>3750</v>
      </c>
      <c r="F2025" s="116">
        <v>3735.5</v>
      </c>
      <c r="G2025">
        <v>200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45062</v>
      </c>
      <c r="B2026" s="116">
        <v>3812.25</v>
      </c>
      <c r="C2026" s="116">
        <v>3795.35</v>
      </c>
      <c r="D2026" s="116">
        <v>3701</v>
      </c>
      <c r="E2026" s="116">
        <v>3793</v>
      </c>
      <c r="F2026" s="116">
        <v>3795.35</v>
      </c>
      <c r="G2026">
        <v>445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45063</v>
      </c>
      <c r="B2027" s="116">
        <v>3850</v>
      </c>
      <c r="C2027" s="116">
        <v>3743.2</v>
      </c>
      <c r="D2027" s="116">
        <v>3686</v>
      </c>
      <c r="E2027" s="116">
        <v>3850</v>
      </c>
      <c r="F2027" s="116">
        <v>3743.2</v>
      </c>
      <c r="G2027">
        <v>204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45064</v>
      </c>
      <c r="B2028" s="116">
        <v>3769.9</v>
      </c>
      <c r="C2028" s="116">
        <v>3731.75</v>
      </c>
      <c r="D2028" s="116">
        <v>3700</v>
      </c>
      <c r="E2028" s="116">
        <v>3704.25</v>
      </c>
      <c r="F2028" s="116">
        <v>3731.75</v>
      </c>
      <c r="G2028">
        <v>60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45065</v>
      </c>
      <c r="B2029" s="116">
        <v>3775.8</v>
      </c>
      <c r="C2029" s="116">
        <v>3735.25</v>
      </c>
      <c r="D2029" s="116">
        <v>3700</v>
      </c>
      <c r="E2029" s="116">
        <v>3710</v>
      </c>
      <c r="F2029" s="116">
        <v>3735.25</v>
      </c>
      <c r="G2029">
        <v>155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45068</v>
      </c>
      <c r="B2030" s="116">
        <v>3880.05</v>
      </c>
      <c r="C2030" s="116">
        <v>3755</v>
      </c>
      <c r="D2030" s="116">
        <v>3715</v>
      </c>
      <c r="E2030" s="116">
        <v>3782.9</v>
      </c>
      <c r="F2030" s="116">
        <v>3755</v>
      </c>
      <c r="G2030">
        <v>199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45069</v>
      </c>
      <c r="B2031" s="116">
        <v>3785</v>
      </c>
      <c r="C2031" s="116">
        <v>3728</v>
      </c>
      <c r="D2031" s="116">
        <v>3728</v>
      </c>
      <c r="E2031" s="116">
        <v>3751</v>
      </c>
      <c r="F2031" s="116">
        <v>3728</v>
      </c>
      <c r="G2031">
        <v>37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45070</v>
      </c>
      <c r="B2032" s="116">
        <v>3790</v>
      </c>
      <c r="C2032" s="116">
        <v>3765</v>
      </c>
      <c r="D2032" s="116">
        <v>3720</v>
      </c>
      <c r="E2032" s="116">
        <v>3790</v>
      </c>
      <c r="F2032" s="116">
        <v>3765</v>
      </c>
      <c r="G2032">
        <v>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45071</v>
      </c>
      <c r="B2033" s="116">
        <v>3865</v>
      </c>
      <c r="C2033" s="116">
        <v>3839.25</v>
      </c>
      <c r="D2033" s="116">
        <v>3700</v>
      </c>
      <c r="E2033" s="116">
        <v>3789</v>
      </c>
      <c r="F2033" s="116">
        <v>3839.25</v>
      </c>
      <c r="G2033">
        <v>232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45072</v>
      </c>
      <c r="B2034" s="116">
        <v>3857.5</v>
      </c>
      <c r="C2034" s="116">
        <v>3773.95</v>
      </c>
      <c r="D2034" s="116">
        <v>3765</v>
      </c>
      <c r="E2034" s="116">
        <v>3848.25</v>
      </c>
      <c r="F2034" s="116">
        <v>3773.95</v>
      </c>
      <c r="G2034">
        <v>165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45075</v>
      </c>
      <c r="B2035" s="116">
        <v>3895</v>
      </c>
      <c r="C2035" s="116">
        <v>3860.65</v>
      </c>
      <c r="D2035" s="116">
        <v>3853</v>
      </c>
      <c r="E2035" s="116">
        <v>3875</v>
      </c>
      <c r="F2035" s="116">
        <v>3860.65</v>
      </c>
      <c r="G2035">
        <v>269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45076</v>
      </c>
      <c r="B2036" s="116">
        <v>3894.9</v>
      </c>
      <c r="C2036" s="116">
        <v>3807.85</v>
      </c>
      <c r="D2036" s="116">
        <v>3735.05</v>
      </c>
      <c r="E2036" s="116">
        <v>3894.9</v>
      </c>
      <c r="F2036" s="116">
        <v>3807.85</v>
      </c>
      <c r="G2036">
        <v>393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45077</v>
      </c>
      <c r="B2037" s="116">
        <v>3800</v>
      </c>
      <c r="C2037" s="116">
        <v>3800</v>
      </c>
      <c r="D2037" s="116">
        <v>3751.9</v>
      </c>
      <c r="E2037" s="116">
        <v>3800</v>
      </c>
      <c r="F2037" s="116">
        <v>3800</v>
      </c>
      <c r="G2037">
        <v>167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45078</v>
      </c>
      <c r="B2038" s="116">
        <v>3845.95</v>
      </c>
      <c r="C2038" s="116">
        <v>3826.4</v>
      </c>
      <c r="D2038" s="116">
        <v>3775</v>
      </c>
      <c r="E2038" s="116">
        <v>3800</v>
      </c>
      <c r="F2038" s="116">
        <v>3826.4</v>
      </c>
      <c r="G2038">
        <v>187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45079</v>
      </c>
      <c r="B2039" s="116">
        <v>3889</v>
      </c>
      <c r="C2039" s="116">
        <v>3831.6</v>
      </c>
      <c r="D2039" s="116">
        <v>3826.4</v>
      </c>
      <c r="E2039" s="116">
        <v>3827</v>
      </c>
      <c r="F2039" s="116">
        <v>3831.6</v>
      </c>
      <c r="G2039">
        <v>105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45082</v>
      </c>
      <c r="B2040" s="116">
        <v>3980</v>
      </c>
      <c r="C2040" s="116">
        <v>3863</v>
      </c>
      <c r="D2040" s="116">
        <v>3750</v>
      </c>
      <c r="E2040" s="116">
        <v>3891</v>
      </c>
      <c r="F2040" s="116">
        <v>3863</v>
      </c>
      <c r="G2040">
        <v>413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45083</v>
      </c>
      <c r="B2041" s="116">
        <v>3983.25</v>
      </c>
      <c r="C2041" s="116">
        <v>3978.5</v>
      </c>
      <c r="D2041" s="116">
        <v>3853</v>
      </c>
      <c r="E2041" s="116">
        <v>3948.5</v>
      </c>
      <c r="F2041" s="116">
        <v>3978.5</v>
      </c>
      <c r="G2041">
        <v>472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45084</v>
      </c>
      <c r="B2042" s="116">
        <v>4000</v>
      </c>
      <c r="C2042" s="116">
        <v>3931.2</v>
      </c>
      <c r="D2042" s="116">
        <v>3910</v>
      </c>
      <c r="E2042" s="116">
        <v>3984.95</v>
      </c>
      <c r="F2042" s="116">
        <v>3931.2</v>
      </c>
      <c r="G2042">
        <v>655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45085</v>
      </c>
      <c r="B2043" s="116">
        <v>4000</v>
      </c>
      <c r="C2043" s="116">
        <v>3864.75</v>
      </c>
      <c r="D2043" s="116">
        <v>3616</v>
      </c>
      <c r="E2043" s="116">
        <v>3999</v>
      </c>
      <c r="F2043" s="116">
        <v>3864.75</v>
      </c>
      <c r="G2043">
        <v>500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45086</v>
      </c>
      <c r="B2044" s="116">
        <v>3983.25</v>
      </c>
      <c r="C2044" s="116">
        <v>3961.55</v>
      </c>
      <c r="D2044" s="116">
        <v>3900</v>
      </c>
      <c r="E2044" s="116">
        <v>3965.25</v>
      </c>
      <c r="F2044" s="116">
        <v>3961.55</v>
      </c>
      <c r="G2044">
        <v>293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45089</v>
      </c>
      <c r="B2045" s="116">
        <v>3994</v>
      </c>
      <c r="C2045" s="116">
        <v>3981</v>
      </c>
      <c r="D2045" s="116">
        <v>3901.25</v>
      </c>
      <c r="E2045" s="116">
        <v>3922</v>
      </c>
      <c r="F2045" s="116">
        <v>3981</v>
      </c>
      <c r="G2045">
        <v>315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45090</v>
      </c>
      <c r="B2046" s="116">
        <v>4046</v>
      </c>
      <c r="C2046" s="116">
        <v>3967.85</v>
      </c>
      <c r="D2046" s="116">
        <v>3946</v>
      </c>
      <c r="E2046" s="116">
        <v>3999</v>
      </c>
      <c r="F2046" s="116">
        <v>3967.85</v>
      </c>
      <c r="G2046">
        <v>476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45091</v>
      </c>
      <c r="B2047" s="116">
        <v>4025</v>
      </c>
      <c r="C2047" s="116">
        <v>3999.55</v>
      </c>
      <c r="D2047" s="116">
        <v>3950</v>
      </c>
      <c r="E2047" s="116">
        <v>4025</v>
      </c>
      <c r="F2047" s="116">
        <v>3999.55</v>
      </c>
      <c r="G2047">
        <v>216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45092</v>
      </c>
      <c r="B2048" s="116">
        <v>4316.25</v>
      </c>
      <c r="C2048" s="116">
        <v>4274.3999999999996</v>
      </c>
      <c r="D2048" s="116">
        <v>3999.55</v>
      </c>
      <c r="E2048" s="116">
        <v>4020</v>
      </c>
      <c r="F2048" s="116">
        <v>4274.3999999999996</v>
      </c>
      <c r="G2048">
        <v>1043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45093</v>
      </c>
      <c r="B2049" s="116">
        <v>4369.45</v>
      </c>
      <c r="C2049" s="116">
        <v>4326.1000000000004</v>
      </c>
      <c r="D2049" s="116">
        <v>4206.05</v>
      </c>
      <c r="E2049" s="116">
        <v>4350</v>
      </c>
      <c r="F2049" s="116">
        <v>4326.1000000000004</v>
      </c>
      <c r="G2049">
        <v>632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45096</v>
      </c>
      <c r="B2050" s="116">
        <v>4437</v>
      </c>
      <c r="C2050" s="116">
        <v>4375.55</v>
      </c>
      <c r="D2050" s="116">
        <v>4270.05</v>
      </c>
      <c r="E2050" s="116">
        <v>4270.05</v>
      </c>
      <c r="F2050" s="116">
        <v>4375.55</v>
      </c>
      <c r="G2050">
        <v>705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45097</v>
      </c>
      <c r="B2051" s="116">
        <v>4439.8999999999996</v>
      </c>
      <c r="C2051" s="116">
        <v>4399.6000000000004</v>
      </c>
      <c r="D2051" s="116">
        <v>4390.2</v>
      </c>
      <c r="E2051" s="116">
        <v>4439.8999999999996</v>
      </c>
      <c r="F2051" s="116">
        <v>4399.6000000000004</v>
      </c>
      <c r="G2051">
        <v>240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45098</v>
      </c>
      <c r="B2052" s="116">
        <v>4440</v>
      </c>
      <c r="C2052" s="116">
        <v>4432.55</v>
      </c>
      <c r="D2052" s="116">
        <v>4339</v>
      </c>
      <c r="E2052" s="116">
        <v>4399.05</v>
      </c>
      <c r="F2052" s="116">
        <v>4432.55</v>
      </c>
      <c r="G2052">
        <v>270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45099</v>
      </c>
      <c r="B2053" s="116">
        <v>4449.95</v>
      </c>
      <c r="C2053" s="116">
        <v>4387.25</v>
      </c>
      <c r="D2053" s="116">
        <v>4339</v>
      </c>
      <c r="E2053" s="116">
        <v>4449.95</v>
      </c>
      <c r="F2053" s="116">
        <v>4387.25</v>
      </c>
      <c r="G2053">
        <v>369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45100</v>
      </c>
      <c r="B2054" s="116">
        <v>4428</v>
      </c>
      <c r="C2054" s="116">
        <v>4306.75</v>
      </c>
      <c r="D2054" s="116">
        <v>4276.1000000000004</v>
      </c>
      <c r="E2054" s="116">
        <v>4365.1000000000004</v>
      </c>
      <c r="F2054" s="116">
        <v>4306.75</v>
      </c>
      <c r="G2054">
        <v>248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45103</v>
      </c>
      <c r="B2055" s="116">
        <v>4380</v>
      </c>
      <c r="C2055" s="116">
        <v>4351.3999999999996</v>
      </c>
      <c r="D2055" s="116">
        <v>4200</v>
      </c>
      <c r="E2055" s="116">
        <v>4310</v>
      </c>
      <c r="F2055" s="116">
        <v>4351.3999999999996</v>
      </c>
      <c r="G2055">
        <v>259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45104</v>
      </c>
      <c r="B2056" s="116">
        <v>4410</v>
      </c>
      <c r="C2056" s="116">
        <v>4399</v>
      </c>
      <c r="D2056" s="116">
        <v>4325.55</v>
      </c>
      <c r="E2056" s="116">
        <v>4409.95</v>
      </c>
      <c r="F2056" s="116">
        <v>4399</v>
      </c>
      <c r="G2056">
        <v>190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45105</v>
      </c>
      <c r="B2057" s="116">
        <v>4449</v>
      </c>
      <c r="C2057" s="116">
        <v>4350.5</v>
      </c>
      <c r="D2057" s="116">
        <v>4330</v>
      </c>
      <c r="E2057" s="116">
        <v>4352.25</v>
      </c>
      <c r="F2057" s="116">
        <v>4350.5</v>
      </c>
      <c r="G2057">
        <v>316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45107</v>
      </c>
      <c r="B2058" s="116">
        <v>4449.95</v>
      </c>
      <c r="C2058" s="116">
        <v>4420.6499999999996</v>
      </c>
      <c r="D2058" s="116">
        <v>4307.25</v>
      </c>
      <c r="E2058" s="116">
        <v>4316.25</v>
      </c>
      <c r="F2058" s="116">
        <v>4420.6499999999996</v>
      </c>
      <c r="G2058">
        <v>257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45110</v>
      </c>
      <c r="B2059" s="116">
        <v>4549.1000000000004</v>
      </c>
      <c r="C2059" s="116">
        <v>4528.6000000000004</v>
      </c>
      <c r="D2059" s="116">
        <v>4439</v>
      </c>
      <c r="E2059" s="116">
        <v>4463</v>
      </c>
      <c r="F2059" s="116">
        <v>4528.6000000000004</v>
      </c>
      <c r="G2059">
        <v>833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45111</v>
      </c>
      <c r="B2060" s="116">
        <v>4595</v>
      </c>
      <c r="C2060" s="116">
        <v>4579.2</v>
      </c>
      <c r="D2060" s="116">
        <v>4514.3999999999996</v>
      </c>
      <c r="E2060" s="116">
        <v>4546</v>
      </c>
      <c r="F2060" s="116">
        <v>4579.2</v>
      </c>
      <c r="G2060">
        <v>599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45112</v>
      </c>
      <c r="B2061" s="116">
        <v>4597.8</v>
      </c>
      <c r="C2061" s="116">
        <v>4548.8</v>
      </c>
      <c r="D2061" s="116">
        <v>4523.25</v>
      </c>
      <c r="E2061" s="116">
        <v>4597.8</v>
      </c>
      <c r="F2061" s="116">
        <v>4548.8</v>
      </c>
      <c r="G2061">
        <v>229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45113</v>
      </c>
      <c r="B2062" s="116">
        <v>4599</v>
      </c>
      <c r="C2062" s="116">
        <v>4557.3</v>
      </c>
      <c r="D2062" s="116">
        <v>4486.1000000000004</v>
      </c>
      <c r="E2062" s="116">
        <v>4590</v>
      </c>
      <c r="F2062" s="116">
        <v>4557.3</v>
      </c>
      <c r="G2062">
        <v>338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45114</v>
      </c>
      <c r="B2063" s="116">
        <v>5299</v>
      </c>
      <c r="C2063" s="116">
        <v>5284.95</v>
      </c>
      <c r="D2063" s="116">
        <v>4503</v>
      </c>
      <c r="E2063" s="116">
        <v>4503</v>
      </c>
      <c r="F2063" s="116">
        <v>5284.95</v>
      </c>
      <c r="G2063">
        <v>5144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45117</v>
      </c>
      <c r="B2064" s="116">
        <v>5862.95</v>
      </c>
      <c r="C2064" s="116">
        <v>5855.9</v>
      </c>
      <c r="D2064" s="116">
        <v>5300</v>
      </c>
      <c r="E2064" s="116">
        <v>5340</v>
      </c>
      <c r="F2064" s="116">
        <v>5855.9</v>
      </c>
      <c r="G2064">
        <v>4209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45118</v>
      </c>
      <c r="B2065" s="116">
        <v>6020</v>
      </c>
      <c r="C2065" s="116">
        <v>5852.3</v>
      </c>
      <c r="D2065" s="116">
        <v>5750</v>
      </c>
      <c r="E2065" s="116">
        <v>5894.5</v>
      </c>
      <c r="F2065" s="116">
        <v>5852.3</v>
      </c>
      <c r="G2065">
        <v>2136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45119</v>
      </c>
      <c r="B2066" s="116">
        <v>6021</v>
      </c>
      <c r="C2066" s="116">
        <v>5408.95</v>
      </c>
      <c r="D2066" s="116">
        <v>5370.45</v>
      </c>
      <c r="E2066" s="116">
        <v>6014.95</v>
      </c>
      <c r="F2066" s="116">
        <v>5408.95</v>
      </c>
      <c r="G2066">
        <v>1780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45120</v>
      </c>
      <c r="B2067" s="116">
        <v>5568</v>
      </c>
      <c r="C2067" s="116">
        <v>4982</v>
      </c>
      <c r="D2067" s="116">
        <v>4900</v>
      </c>
      <c r="E2067" s="116">
        <v>5544.2</v>
      </c>
      <c r="F2067" s="116">
        <v>4982</v>
      </c>
      <c r="G2067">
        <v>2357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45121</v>
      </c>
      <c r="B2068" s="116">
        <v>5315.25</v>
      </c>
      <c r="C2068" s="116">
        <v>5170.1000000000004</v>
      </c>
      <c r="D2068" s="116">
        <v>4980</v>
      </c>
      <c r="E2068" s="116">
        <v>5306.25</v>
      </c>
      <c r="F2068" s="116">
        <v>5170.1000000000004</v>
      </c>
      <c r="G2068">
        <v>2629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45124</v>
      </c>
      <c r="B2069" s="116">
        <v>5365</v>
      </c>
      <c r="C2069" s="116">
        <v>5195.3500000000004</v>
      </c>
      <c r="D2069" s="116">
        <v>5135.25</v>
      </c>
      <c r="E2069" s="116">
        <v>5299.95</v>
      </c>
      <c r="F2069" s="116">
        <v>5195.3500000000004</v>
      </c>
      <c r="G2069">
        <v>1059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45125</v>
      </c>
      <c r="B2070" s="116">
        <v>5242</v>
      </c>
      <c r="C2070" s="116">
        <v>5207</v>
      </c>
      <c r="D2070" s="116">
        <v>5020</v>
      </c>
      <c r="E2070" s="116">
        <v>5150</v>
      </c>
      <c r="F2070" s="116">
        <v>5207</v>
      </c>
      <c r="G2070">
        <v>317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45126</v>
      </c>
      <c r="B2071" s="116">
        <v>5300</v>
      </c>
      <c r="C2071" s="116">
        <v>5296</v>
      </c>
      <c r="D2071" s="116">
        <v>5140</v>
      </c>
      <c r="E2071" s="116">
        <v>5140</v>
      </c>
      <c r="F2071" s="116">
        <v>5296</v>
      </c>
      <c r="G2071">
        <v>248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45127</v>
      </c>
      <c r="B2072" s="116">
        <v>5634.35</v>
      </c>
      <c r="C2072" s="116">
        <v>5518.65</v>
      </c>
      <c r="D2072" s="116">
        <v>5355</v>
      </c>
      <c r="E2072" s="116">
        <v>5400</v>
      </c>
      <c r="F2072" s="116">
        <v>5518.65</v>
      </c>
      <c r="G2072">
        <v>1234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45128</v>
      </c>
      <c r="B2073" s="116">
        <v>5550</v>
      </c>
      <c r="C2073" s="116">
        <v>5501.05</v>
      </c>
      <c r="D2073" s="116">
        <v>5255</v>
      </c>
      <c r="E2073" s="116">
        <v>5518</v>
      </c>
      <c r="F2073" s="116">
        <v>5501.05</v>
      </c>
      <c r="G2073">
        <v>358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45131</v>
      </c>
      <c r="B2074" s="116">
        <v>5599</v>
      </c>
      <c r="C2074" s="116">
        <v>5117.95</v>
      </c>
      <c r="D2074" s="116">
        <v>5000</v>
      </c>
      <c r="E2074" s="116">
        <v>5506</v>
      </c>
      <c r="F2074" s="116">
        <v>5117.95</v>
      </c>
      <c r="G2074">
        <v>786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45132</v>
      </c>
      <c r="B2075" s="116">
        <v>5268.95</v>
      </c>
      <c r="C2075" s="116">
        <v>5143.7</v>
      </c>
      <c r="D2075" s="116">
        <v>5052</v>
      </c>
      <c r="E2075" s="116">
        <v>5117</v>
      </c>
      <c r="F2075" s="116">
        <v>5143.7</v>
      </c>
      <c r="G2075">
        <v>238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45133</v>
      </c>
      <c r="B2076" s="116">
        <v>5249.8</v>
      </c>
      <c r="C2076" s="116">
        <v>5109.8999999999996</v>
      </c>
      <c r="D2076" s="116">
        <v>5000</v>
      </c>
      <c r="E2076" s="116">
        <v>5249.8</v>
      </c>
      <c r="F2076" s="116">
        <v>5109.8999999999996</v>
      </c>
      <c r="G2076">
        <v>387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45134</v>
      </c>
      <c r="B2077" s="116">
        <v>5150</v>
      </c>
      <c r="C2077" s="116">
        <v>5043.5</v>
      </c>
      <c r="D2077" s="116">
        <v>4928.25</v>
      </c>
      <c r="E2077" s="116">
        <v>5000.05</v>
      </c>
      <c r="F2077" s="116">
        <v>5043.5</v>
      </c>
      <c r="G2077">
        <v>354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45135</v>
      </c>
      <c r="B2078" s="116">
        <v>5129.8999999999996</v>
      </c>
      <c r="C2078" s="116">
        <v>5039.6499999999996</v>
      </c>
      <c r="D2078" s="116">
        <v>4950</v>
      </c>
      <c r="E2078" s="116">
        <v>5044.25</v>
      </c>
      <c r="F2078" s="116">
        <v>5039.6499999999996</v>
      </c>
      <c r="G2078">
        <v>177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45138</v>
      </c>
      <c r="B2079" s="116">
        <v>5199</v>
      </c>
      <c r="C2079" s="116">
        <v>4933.2</v>
      </c>
      <c r="D2079" s="116">
        <v>4880</v>
      </c>
      <c r="E2079" s="116">
        <v>4980.2</v>
      </c>
      <c r="F2079" s="116">
        <v>4933.2</v>
      </c>
      <c r="G2079">
        <v>560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45139</v>
      </c>
      <c r="B2080" s="116">
        <v>5069.95</v>
      </c>
      <c r="C2080" s="116">
        <v>5000.8500000000004</v>
      </c>
      <c r="D2080" s="116">
        <v>4700</v>
      </c>
      <c r="E2080" s="116">
        <v>5069.95</v>
      </c>
      <c r="F2080" s="116">
        <v>5000.8500000000004</v>
      </c>
      <c r="G2080">
        <v>381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45140</v>
      </c>
      <c r="B2081" s="116">
        <v>5181</v>
      </c>
      <c r="C2081" s="116">
        <v>5000</v>
      </c>
      <c r="D2081" s="116">
        <v>4950</v>
      </c>
      <c r="E2081" s="116">
        <v>5000</v>
      </c>
      <c r="F2081" s="116">
        <v>5000</v>
      </c>
      <c r="G2081">
        <v>377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45141</v>
      </c>
      <c r="B2082" s="116">
        <v>5049</v>
      </c>
      <c r="C2082" s="116">
        <v>4884.6000000000004</v>
      </c>
      <c r="D2082" s="116">
        <v>4793</v>
      </c>
      <c r="E2082" s="116">
        <v>4800.05</v>
      </c>
      <c r="F2082" s="116">
        <v>4884.6000000000004</v>
      </c>
      <c r="G2082">
        <v>330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45142</v>
      </c>
      <c r="B2083" s="116">
        <v>5049.8999999999996</v>
      </c>
      <c r="C2083" s="116">
        <v>4984.8999999999996</v>
      </c>
      <c r="D2083" s="116">
        <v>4850.05</v>
      </c>
      <c r="E2083" s="116">
        <v>4884</v>
      </c>
      <c r="F2083" s="116">
        <v>4984.8999999999996</v>
      </c>
      <c r="G2083">
        <v>215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45145</v>
      </c>
      <c r="B2084" s="116">
        <v>5099.25</v>
      </c>
      <c r="C2084" s="116">
        <v>5027.3999999999996</v>
      </c>
      <c r="D2084" s="116">
        <v>4860.8500000000004</v>
      </c>
      <c r="E2084" s="116">
        <v>5099.25</v>
      </c>
      <c r="F2084" s="116">
        <v>5027.3999999999996</v>
      </c>
      <c r="G2084">
        <v>391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45146</v>
      </c>
      <c r="B2085" s="116">
        <v>5085</v>
      </c>
      <c r="C2085" s="116">
        <v>4950</v>
      </c>
      <c r="D2085" s="116">
        <v>4910</v>
      </c>
      <c r="E2085" s="116">
        <v>4910</v>
      </c>
      <c r="F2085" s="116">
        <v>4950</v>
      </c>
      <c r="G2085">
        <v>268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45147</v>
      </c>
      <c r="B2086" s="116">
        <v>5150</v>
      </c>
      <c r="C2086" s="116">
        <v>5025</v>
      </c>
      <c r="D2086" s="116">
        <v>4950</v>
      </c>
      <c r="E2086" s="116">
        <v>4950</v>
      </c>
      <c r="F2086" s="116">
        <v>5025</v>
      </c>
      <c r="G2086">
        <v>104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45148</v>
      </c>
      <c r="B2087" s="116">
        <v>5100</v>
      </c>
      <c r="C2087" s="116">
        <v>4992.8500000000004</v>
      </c>
      <c r="D2087" s="116">
        <v>4960.25</v>
      </c>
      <c r="E2087" s="116">
        <v>5099.95</v>
      </c>
      <c r="F2087" s="116">
        <v>4992.8500000000004</v>
      </c>
      <c r="G2087">
        <v>108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45149</v>
      </c>
      <c r="B2088" s="116">
        <v>5138</v>
      </c>
      <c r="C2088" s="116">
        <v>5087.5</v>
      </c>
      <c r="D2088" s="116">
        <v>4995</v>
      </c>
      <c r="E2088" s="116">
        <v>5138</v>
      </c>
      <c r="F2088" s="116">
        <v>5087.5</v>
      </c>
      <c r="G2088">
        <v>177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45152</v>
      </c>
      <c r="B2089" s="116">
        <v>5144.25</v>
      </c>
      <c r="C2089" s="116">
        <v>5048.55</v>
      </c>
      <c r="D2089" s="116">
        <v>4955.3</v>
      </c>
      <c r="E2089" s="116">
        <v>4995.25</v>
      </c>
      <c r="F2089" s="116">
        <v>5048.55</v>
      </c>
      <c r="G2089">
        <v>175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45154</v>
      </c>
      <c r="B2090" s="116">
        <v>5162.25</v>
      </c>
      <c r="C2090" s="116">
        <v>5102.1000000000004</v>
      </c>
      <c r="D2090" s="116">
        <v>5025</v>
      </c>
      <c r="E2090" s="116">
        <v>5160</v>
      </c>
      <c r="F2090" s="116">
        <v>5102.1000000000004</v>
      </c>
      <c r="G2090">
        <v>171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45155</v>
      </c>
      <c r="B2091" s="116">
        <v>5139</v>
      </c>
      <c r="C2091" s="116">
        <v>5105.5</v>
      </c>
      <c r="D2091" s="116">
        <v>4995</v>
      </c>
      <c r="E2091" s="116">
        <v>5099.1000000000004</v>
      </c>
      <c r="F2091" s="116">
        <v>5105.5</v>
      </c>
      <c r="G2091">
        <v>215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45156</v>
      </c>
      <c r="B2092" s="116">
        <v>5400</v>
      </c>
      <c r="C2092" s="116">
        <v>5071.95</v>
      </c>
      <c r="D2092" s="116">
        <v>5001.25</v>
      </c>
      <c r="E2092" s="116">
        <v>5100</v>
      </c>
      <c r="F2092" s="116">
        <v>5071.95</v>
      </c>
      <c r="G2092">
        <v>765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45159</v>
      </c>
      <c r="B2093" s="116">
        <v>5200</v>
      </c>
      <c r="C2093" s="116">
        <v>5041.6000000000004</v>
      </c>
      <c r="D2093" s="116">
        <v>5000.05</v>
      </c>
      <c r="E2093" s="116">
        <v>5071.95</v>
      </c>
      <c r="F2093" s="116">
        <v>5041.6000000000004</v>
      </c>
      <c r="G2093">
        <v>277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45160</v>
      </c>
      <c r="B2094" s="116">
        <v>5178.8999999999996</v>
      </c>
      <c r="C2094" s="116">
        <v>5154.7</v>
      </c>
      <c r="D2094" s="116">
        <v>5051</v>
      </c>
      <c r="E2094" s="116">
        <v>5129.6499999999996</v>
      </c>
      <c r="F2094" s="116">
        <v>5154.7</v>
      </c>
      <c r="G2094">
        <v>1294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45161</v>
      </c>
      <c r="B2095" s="116">
        <v>5250</v>
      </c>
      <c r="C2095" s="116">
        <v>5088.1499999999996</v>
      </c>
      <c r="D2095" s="116">
        <v>5060.05</v>
      </c>
      <c r="E2095" s="116">
        <v>5167</v>
      </c>
      <c r="F2095" s="116">
        <v>5088.1499999999996</v>
      </c>
      <c r="G2095">
        <v>218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45162</v>
      </c>
      <c r="B2096" s="116">
        <v>5175</v>
      </c>
      <c r="C2096" s="116">
        <v>5102</v>
      </c>
      <c r="D2096" s="116">
        <v>5092.3</v>
      </c>
      <c r="E2096" s="116">
        <v>5174</v>
      </c>
      <c r="F2096" s="116">
        <v>5102</v>
      </c>
      <c r="G2096">
        <v>95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45163</v>
      </c>
      <c r="B2097" s="116">
        <v>5380</v>
      </c>
      <c r="C2097" s="116">
        <v>5180.05</v>
      </c>
      <c r="D2097" s="116">
        <v>4439</v>
      </c>
      <c r="E2097" s="116">
        <v>5199</v>
      </c>
      <c r="F2097" s="116">
        <v>5180.05</v>
      </c>
      <c r="G2097">
        <v>607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45166</v>
      </c>
      <c r="B2098" s="116">
        <v>5180</v>
      </c>
      <c r="C2098" s="116">
        <v>5122.45</v>
      </c>
      <c r="D2098" s="116">
        <v>5100.05</v>
      </c>
      <c r="E2098" s="116">
        <v>5179.95</v>
      </c>
      <c r="F2098" s="116">
        <v>5122.45</v>
      </c>
      <c r="G2098">
        <v>239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45167</v>
      </c>
      <c r="B2099" s="116">
        <v>5282.2</v>
      </c>
      <c r="C2099" s="116">
        <v>5250.8</v>
      </c>
      <c r="D2099" s="116">
        <v>5100.2</v>
      </c>
      <c r="E2099" s="116">
        <v>5225.25</v>
      </c>
      <c r="F2099" s="116">
        <v>5250.8</v>
      </c>
      <c r="G2099">
        <v>353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45168</v>
      </c>
      <c r="B2100" s="116">
        <v>5500</v>
      </c>
      <c r="C2100" s="116">
        <v>5423.45</v>
      </c>
      <c r="D2100" s="116">
        <v>5160</v>
      </c>
      <c r="E2100" s="116">
        <v>5378</v>
      </c>
      <c r="F2100" s="116">
        <v>5423.45</v>
      </c>
      <c r="G2100">
        <v>470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45169</v>
      </c>
      <c r="B2101" s="116">
        <v>5649.95</v>
      </c>
      <c r="C2101" s="116">
        <v>5565.9</v>
      </c>
      <c r="D2101" s="116">
        <v>5355</v>
      </c>
      <c r="E2101" s="116">
        <v>5488</v>
      </c>
      <c r="F2101" s="116">
        <v>5565.9</v>
      </c>
      <c r="G2101">
        <v>658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45170</v>
      </c>
      <c r="B2102" s="116">
        <v>5700</v>
      </c>
      <c r="C2102" s="116">
        <v>5629.75</v>
      </c>
      <c r="D2102" s="116">
        <v>5460</v>
      </c>
      <c r="E2102" s="116">
        <v>5600</v>
      </c>
      <c r="F2102" s="116">
        <v>5629.75</v>
      </c>
      <c r="G2102">
        <v>375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45173</v>
      </c>
      <c r="B2103" s="116">
        <v>5700</v>
      </c>
      <c r="C2103" s="116">
        <v>5600.05</v>
      </c>
      <c r="D2103" s="116">
        <v>5560.05</v>
      </c>
      <c r="E2103" s="116">
        <v>5700</v>
      </c>
      <c r="F2103" s="116">
        <v>5600.05</v>
      </c>
      <c r="G2103">
        <v>317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45174</v>
      </c>
      <c r="B2104" s="116">
        <v>5750</v>
      </c>
      <c r="C2104" s="116">
        <v>5653.45</v>
      </c>
      <c r="D2104" s="116">
        <v>5620.05</v>
      </c>
      <c r="E2104" s="116">
        <v>5650</v>
      </c>
      <c r="F2104" s="116">
        <v>5653.45</v>
      </c>
      <c r="G2104">
        <v>384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45175</v>
      </c>
      <c r="B2105" s="116">
        <v>5850</v>
      </c>
      <c r="C2105" s="116">
        <v>5748.2</v>
      </c>
      <c r="D2105" s="116">
        <v>5620.05</v>
      </c>
      <c r="E2105" s="116">
        <v>5621</v>
      </c>
      <c r="F2105" s="116">
        <v>5748.2</v>
      </c>
      <c r="G2105">
        <v>509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45176</v>
      </c>
      <c r="B2106" s="116">
        <v>5949</v>
      </c>
      <c r="C2106" s="116">
        <v>5896.8</v>
      </c>
      <c r="D2106" s="116">
        <v>5800</v>
      </c>
      <c r="E2106" s="116">
        <v>5800</v>
      </c>
      <c r="F2106" s="116">
        <v>5896.8</v>
      </c>
      <c r="G2106">
        <v>538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45177</v>
      </c>
      <c r="B2107" s="116">
        <v>5950</v>
      </c>
      <c r="C2107" s="116">
        <v>5737.6</v>
      </c>
      <c r="D2107" s="116">
        <v>5413</v>
      </c>
      <c r="E2107" s="116">
        <v>5949</v>
      </c>
      <c r="F2107" s="116">
        <v>5737.6</v>
      </c>
      <c r="G2107">
        <v>968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45180</v>
      </c>
      <c r="B2108" s="116">
        <v>5921.95</v>
      </c>
      <c r="C2108" s="116">
        <v>5738.35</v>
      </c>
      <c r="D2108" s="116">
        <v>5667.25</v>
      </c>
      <c r="E2108" s="116">
        <v>5921.95</v>
      </c>
      <c r="F2108" s="116">
        <v>5738.35</v>
      </c>
      <c r="G2108">
        <v>271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45181</v>
      </c>
      <c r="B2109" s="116">
        <v>5767</v>
      </c>
      <c r="C2109" s="116">
        <v>5578</v>
      </c>
      <c r="D2109" s="116">
        <v>5500</v>
      </c>
      <c r="E2109" s="116">
        <v>5767</v>
      </c>
      <c r="F2109" s="116">
        <v>5578</v>
      </c>
      <c r="G2109">
        <v>121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45182</v>
      </c>
      <c r="B2110" s="116">
        <v>5775.25</v>
      </c>
      <c r="C2110" s="116">
        <v>5735</v>
      </c>
      <c r="D2110" s="116">
        <v>5560</v>
      </c>
      <c r="E2110" s="116">
        <v>5775.25</v>
      </c>
      <c r="F2110" s="116">
        <v>5735</v>
      </c>
      <c r="G2110">
        <v>211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45183</v>
      </c>
      <c r="B2111" s="116">
        <v>5899</v>
      </c>
      <c r="C2111" s="116">
        <v>5794.7</v>
      </c>
      <c r="D2111" s="116">
        <v>5781.05</v>
      </c>
      <c r="E2111" s="116">
        <v>5799</v>
      </c>
      <c r="F2111" s="116">
        <v>5794.7</v>
      </c>
      <c r="G2111">
        <v>186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45184</v>
      </c>
      <c r="B2112" s="116">
        <v>5926.9</v>
      </c>
      <c r="C2112" s="116">
        <v>5840.2</v>
      </c>
      <c r="D2112" s="116">
        <v>5800.2</v>
      </c>
      <c r="E2112" s="116">
        <v>5879</v>
      </c>
      <c r="F2112" s="116">
        <v>5840.2</v>
      </c>
      <c r="G2112">
        <v>264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45187</v>
      </c>
      <c r="B2113" s="116">
        <v>5950</v>
      </c>
      <c r="C2113" s="116">
        <v>5808.9</v>
      </c>
      <c r="D2113" s="116">
        <v>5800</v>
      </c>
      <c r="E2113" s="116">
        <v>5898.9</v>
      </c>
      <c r="F2113" s="116">
        <v>5808.9</v>
      </c>
      <c r="G2113">
        <v>288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45189</v>
      </c>
      <c r="B2114" s="116">
        <v>5848</v>
      </c>
      <c r="C2114" s="116">
        <v>5704</v>
      </c>
      <c r="D2114" s="116">
        <v>5700</v>
      </c>
      <c r="E2114" s="116">
        <v>5749</v>
      </c>
      <c r="F2114" s="116">
        <v>5704</v>
      </c>
      <c r="G2114">
        <v>180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45190</v>
      </c>
      <c r="B2115" s="116">
        <v>5793.25</v>
      </c>
      <c r="C2115" s="116">
        <v>5699.95</v>
      </c>
      <c r="D2115" s="116">
        <v>5680.1</v>
      </c>
      <c r="E2115" s="116">
        <v>5750</v>
      </c>
      <c r="F2115" s="116">
        <v>5699.95</v>
      </c>
      <c r="G2115">
        <v>78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45191</v>
      </c>
      <c r="B2116" s="116">
        <v>5800</v>
      </c>
      <c r="C2116" s="116">
        <v>5766.05</v>
      </c>
      <c r="D2116" s="116">
        <v>5640</v>
      </c>
      <c r="E2116" s="116">
        <v>5651.55</v>
      </c>
      <c r="F2116" s="116">
        <v>5766.05</v>
      </c>
      <c r="G2116">
        <v>168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45194</v>
      </c>
      <c r="B2117" s="116">
        <v>5863.9</v>
      </c>
      <c r="C2117" s="116">
        <v>5747.95</v>
      </c>
      <c r="D2117" s="116">
        <v>5710</v>
      </c>
      <c r="E2117" s="116">
        <v>5810</v>
      </c>
      <c r="F2117" s="116">
        <v>5747.95</v>
      </c>
      <c r="G2117">
        <v>187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45195</v>
      </c>
      <c r="B2118" s="116">
        <v>5864.2</v>
      </c>
      <c r="C2118" s="116">
        <v>5752.85</v>
      </c>
      <c r="D2118" s="116">
        <v>5701</v>
      </c>
      <c r="E2118" s="116">
        <v>5864.2</v>
      </c>
      <c r="F2118" s="116">
        <v>5752.85</v>
      </c>
      <c r="G2118">
        <v>200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45196</v>
      </c>
      <c r="B2119" s="116">
        <v>5817.25</v>
      </c>
      <c r="C2119" s="116">
        <v>5769.75</v>
      </c>
      <c r="D2119" s="116">
        <v>5726</v>
      </c>
      <c r="E2119" s="116">
        <v>5775</v>
      </c>
      <c r="F2119" s="116">
        <v>5769.75</v>
      </c>
      <c r="G2119">
        <v>187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45197</v>
      </c>
      <c r="B2120" s="116">
        <v>5900</v>
      </c>
      <c r="C2120" s="116">
        <v>5824.15</v>
      </c>
      <c r="D2120" s="116">
        <v>5766</v>
      </c>
      <c r="E2120" s="116">
        <v>5900</v>
      </c>
      <c r="F2120" s="116">
        <v>5824.15</v>
      </c>
      <c r="G2120">
        <v>60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45198</v>
      </c>
      <c r="B2121" s="116">
        <v>5890</v>
      </c>
      <c r="C2121" s="116">
        <v>5850</v>
      </c>
      <c r="D2121" s="116">
        <v>5707</v>
      </c>
      <c r="E2121" s="116">
        <v>5707</v>
      </c>
      <c r="F2121" s="116">
        <v>5850</v>
      </c>
      <c r="G2121">
        <v>99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45202</v>
      </c>
      <c r="B2122" s="116">
        <v>5942</v>
      </c>
      <c r="C2122" s="116">
        <v>5875.05</v>
      </c>
      <c r="D2122" s="116">
        <v>5710.05</v>
      </c>
      <c r="E2122" s="116">
        <v>5850</v>
      </c>
      <c r="F2122" s="116">
        <v>5875.05</v>
      </c>
      <c r="G2122">
        <v>196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45203</v>
      </c>
      <c r="B2123" s="116">
        <v>5930</v>
      </c>
      <c r="C2123" s="116">
        <v>5864.85</v>
      </c>
      <c r="D2123" s="116">
        <v>5701.05</v>
      </c>
      <c r="E2123" s="116">
        <v>5875</v>
      </c>
      <c r="F2123" s="116">
        <v>5864.85</v>
      </c>
      <c r="G2123">
        <v>148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45204</v>
      </c>
      <c r="B2124" s="116">
        <v>5899.95</v>
      </c>
      <c r="C2124" s="116">
        <v>5800</v>
      </c>
      <c r="D2124" s="116">
        <v>5750</v>
      </c>
      <c r="E2124" s="116">
        <v>5869</v>
      </c>
      <c r="F2124" s="116">
        <v>5800</v>
      </c>
      <c r="G2124">
        <v>137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45205</v>
      </c>
      <c r="B2125" s="116">
        <v>5888.5</v>
      </c>
      <c r="C2125" s="116">
        <v>5829.9</v>
      </c>
      <c r="D2125" s="116">
        <v>5750.05</v>
      </c>
      <c r="E2125" s="116">
        <v>5800</v>
      </c>
      <c r="F2125" s="116">
        <v>5829.9</v>
      </c>
      <c r="G2125">
        <v>131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45208</v>
      </c>
      <c r="B2126" s="116">
        <v>5854.2</v>
      </c>
      <c r="C2126" s="116">
        <v>5750</v>
      </c>
      <c r="D2126" s="116">
        <v>5738.1</v>
      </c>
      <c r="E2126" s="116">
        <v>5854.2</v>
      </c>
      <c r="F2126" s="116">
        <v>5750</v>
      </c>
      <c r="G2126">
        <v>149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45209</v>
      </c>
      <c r="B2127" s="116">
        <v>5884</v>
      </c>
      <c r="C2127" s="116">
        <v>5758.3</v>
      </c>
      <c r="D2127" s="116">
        <v>5725</v>
      </c>
      <c r="E2127" s="116">
        <v>5750</v>
      </c>
      <c r="F2127" s="116">
        <v>5758.3</v>
      </c>
      <c r="G2127">
        <v>240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45210</v>
      </c>
      <c r="B2128" s="116">
        <v>5872</v>
      </c>
      <c r="C2128" s="116">
        <v>5820.65</v>
      </c>
      <c r="D2128" s="116">
        <v>5760</v>
      </c>
      <c r="E2128" s="116">
        <v>5760</v>
      </c>
      <c r="F2128" s="116">
        <v>5820.65</v>
      </c>
      <c r="G2128">
        <v>131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45211</v>
      </c>
      <c r="B2129" s="116">
        <v>5866</v>
      </c>
      <c r="C2129" s="116">
        <v>5858</v>
      </c>
      <c r="D2129" s="116">
        <v>5790</v>
      </c>
      <c r="E2129" s="116">
        <v>5820</v>
      </c>
      <c r="F2129" s="116">
        <v>5858</v>
      </c>
      <c r="G2129">
        <v>108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45212</v>
      </c>
      <c r="B2130" s="116">
        <v>5875</v>
      </c>
      <c r="C2130" s="116">
        <v>5825.5</v>
      </c>
      <c r="D2130" s="116">
        <v>5750</v>
      </c>
      <c r="E2130" s="116">
        <v>5750</v>
      </c>
      <c r="F2130" s="116">
        <v>5825.5</v>
      </c>
      <c r="G2130">
        <v>173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45215</v>
      </c>
      <c r="B2131" s="116">
        <v>5940</v>
      </c>
      <c r="C2131" s="116">
        <v>5864.55</v>
      </c>
      <c r="D2131" s="116">
        <v>5763</v>
      </c>
      <c r="E2131" s="116">
        <v>5940</v>
      </c>
      <c r="F2131" s="116">
        <v>5864.55</v>
      </c>
      <c r="G2131">
        <v>353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45216</v>
      </c>
      <c r="B2132" s="116">
        <v>6589.9</v>
      </c>
      <c r="C2132" s="116">
        <v>6350.1</v>
      </c>
      <c r="D2132" s="116">
        <v>5830</v>
      </c>
      <c r="E2132" s="116">
        <v>5837.25</v>
      </c>
      <c r="F2132" s="116">
        <v>6350.1</v>
      </c>
      <c r="G2132">
        <v>4399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45217</v>
      </c>
      <c r="B2133" s="116">
        <v>6450</v>
      </c>
      <c r="C2133" s="116">
        <v>6300.9</v>
      </c>
      <c r="D2133" s="116">
        <v>6156</v>
      </c>
      <c r="E2133" s="116">
        <v>6450</v>
      </c>
      <c r="F2133" s="116">
        <v>6300.9</v>
      </c>
      <c r="G2133">
        <v>1242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45218</v>
      </c>
      <c r="B2134" s="116">
        <v>6400</v>
      </c>
      <c r="C2134" s="116">
        <v>6358.4</v>
      </c>
      <c r="D2134" s="116">
        <v>6159</v>
      </c>
      <c r="E2134" s="116">
        <v>6340</v>
      </c>
      <c r="F2134" s="116">
        <v>6358.4</v>
      </c>
      <c r="G2134">
        <v>929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45219</v>
      </c>
      <c r="B2135" s="116">
        <v>6400</v>
      </c>
      <c r="C2135" s="116">
        <v>6341.1</v>
      </c>
      <c r="D2135" s="116">
        <v>6283.5</v>
      </c>
      <c r="E2135" s="116">
        <v>6371</v>
      </c>
      <c r="F2135" s="116">
        <v>6341.1</v>
      </c>
      <c r="G2135">
        <v>463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45222</v>
      </c>
      <c r="B2136" s="116">
        <v>6400.15</v>
      </c>
      <c r="C2136" s="116">
        <v>6104.6</v>
      </c>
      <c r="D2136" s="116">
        <v>6059</v>
      </c>
      <c r="E2136" s="116">
        <v>6399.95</v>
      </c>
      <c r="F2136" s="116">
        <v>6104.6</v>
      </c>
      <c r="G2136">
        <v>656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45224</v>
      </c>
      <c r="B2137" s="116">
        <v>6259</v>
      </c>
      <c r="C2137" s="116">
        <v>6163.1</v>
      </c>
      <c r="D2137" s="116">
        <v>6058</v>
      </c>
      <c r="E2137" s="116">
        <v>6250</v>
      </c>
      <c r="F2137" s="116">
        <v>6163.1</v>
      </c>
      <c r="G2137">
        <v>298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45225</v>
      </c>
      <c r="B2138" s="116">
        <v>6174</v>
      </c>
      <c r="C2138" s="116">
        <v>6166.8</v>
      </c>
      <c r="D2138" s="116">
        <v>6017.25</v>
      </c>
      <c r="E2138" s="116">
        <v>6026.45</v>
      </c>
      <c r="F2138" s="116">
        <v>6166.8</v>
      </c>
      <c r="G2138">
        <v>258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45226</v>
      </c>
      <c r="B2139" s="116">
        <v>6380</v>
      </c>
      <c r="C2139" s="116">
        <v>6181</v>
      </c>
      <c r="D2139" s="116">
        <v>6104</v>
      </c>
      <c r="E2139" s="116">
        <v>6258.95</v>
      </c>
      <c r="F2139" s="116">
        <v>6181</v>
      </c>
      <c r="G2139">
        <v>811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45229</v>
      </c>
      <c r="B2140" s="116">
        <v>6335</v>
      </c>
      <c r="C2140" s="116">
        <v>6320.55</v>
      </c>
      <c r="D2140" s="116">
        <v>6170</v>
      </c>
      <c r="E2140" s="116">
        <v>6299.95</v>
      </c>
      <c r="F2140" s="116">
        <v>6320.55</v>
      </c>
      <c r="G2140">
        <v>277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45230</v>
      </c>
      <c r="B2141" s="116">
        <v>6426</v>
      </c>
      <c r="C2141" s="116">
        <v>6341.4</v>
      </c>
      <c r="D2141" s="116">
        <v>6300</v>
      </c>
      <c r="E2141" s="116">
        <v>6426</v>
      </c>
      <c r="F2141" s="116">
        <v>6341.4</v>
      </c>
      <c r="G2141">
        <v>303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45231</v>
      </c>
      <c r="B2142" s="116">
        <v>6421.9</v>
      </c>
      <c r="C2142" s="116">
        <v>6305.25</v>
      </c>
      <c r="D2142" s="116">
        <v>6264.1</v>
      </c>
      <c r="E2142" s="116">
        <v>6421.9</v>
      </c>
      <c r="F2142" s="116">
        <v>6305.25</v>
      </c>
      <c r="G2142">
        <v>123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45232</v>
      </c>
      <c r="B2143" s="116">
        <v>6430</v>
      </c>
      <c r="C2143" s="116">
        <v>6367.05</v>
      </c>
      <c r="D2143" s="116">
        <v>6310</v>
      </c>
      <c r="E2143" s="116">
        <v>6424.7</v>
      </c>
      <c r="F2143" s="116">
        <v>6367.05</v>
      </c>
      <c r="G2143">
        <v>187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45233</v>
      </c>
      <c r="B2144" s="116">
        <v>6395</v>
      </c>
      <c r="C2144" s="116">
        <v>6369.75</v>
      </c>
      <c r="D2144" s="116">
        <v>6320</v>
      </c>
      <c r="E2144" s="116">
        <v>6320</v>
      </c>
      <c r="F2144" s="116">
        <v>6369.75</v>
      </c>
      <c r="G2144">
        <v>157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45236</v>
      </c>
      <c r="B2145" s="116">
        <v>6450</v>
      </c>
      <c r="C2145" s="116">
        <v>6356.55</v>
      </c>
      <c r="D2145" s="116">
        <v>6310.75</v>
      </c>
      <c r="E2145" s="116">
        <v>6426.8</v>
      </c>
      <c r="F2145" s="116">
        <v>6356.55</v>
      </c>
      <c r="G2145">
        <v>158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45237</v>
      </c>
      <c r="B2146" s="116">
        <v>6412</v>
      </c>
      <c r="C2146" s="116">
        <v>6402.9</v>
      </c>
      <c r="D2146" s="116">
        <v>6255.1</v>
      </c>
      <c r="E2146" s="116">
        <v>6261.6</v>
      </c>
      <c r="F2146" s="116">
        <v>6402.9</v>
      </c>
      <c r="G2146">
        <v>228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45238</v>
      </c>
      <c r="B2147" s="116">
        <v>6450</v>
      </c>
      <c r="C2147" s="116">
        <v>6369.9</v>
      </c>
      <c r="D2147" s="116">
        <v>6310</v>
      </c>
      <c r="E2147" s="116">
        <v>6440</v>
      </c>
      <c r="F2147" s="116">
        <v>6369.9</v>
      </c>
      <c r="G2147">
        <v>154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45239</v>
      </c>
      <c r="B2148" s="116">
        <v>6450</v>
      </c>
      <c r="C2148" s="116">
        <v>6366.55</v>
      </c>
      <c r="D2148" s="116">
        <v>6341.3</v>
      </c>
      <c r="E2148" s="116">
        <v>6449.8</v>
      </c>
      <c r="F2148" s="116">
        <v>6366.55</v>
      </c>
      <c r="G2148">
        <v>132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45240</v>
      </c>
      <c r="B2149" s="116">
        <v>6450</v>
      </c>
      <c r="C2149" s="116">
        <v>6427.6</v>
      </c>
      <c r="D2149" s="116">
        <v>6332</v>
      </c>
      <c r="E2149" s="116">
        <v>6363.8</v>
      </c>
      <c r="F2149" s="116">
        <v>6427.6</v>
      </c>
      <c r="G2149">
        <v>207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45242</v>
      </c>
      <c r="B2150" s="116">
        <v>6489</v>
      </c>
      <c r="C2150" s="116">
        <v>6449.25</v>
      </c>
      <c r="D2150" s="116">
        <v>6357.55</v>
      </c>
      <c r="E2150" s="116">
        <v>6489</v>
      </c>
      <c r="F2150" s="116">
        <v>6449.25</v>
      </c>
      <c r="G2150">
        <v>116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45243</v>
      </c>
      <c r="B2151" s="116">
        <v>6510</v>
      </c>
      <c r="C2151" s="116">
        <v>6439.35</v>
      </c>
      <c r="D2151" s="116">
        <v>6340.65</v>
      </c>
      <c r="E2151" s="116">
        <v>6340.65</v>
      </c>
      <c r="F2151" s="116">
        <v>6439.35</v>
      </c>
      <c r="G2151">
        <v>352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45245</v>
      </c>
      <c r="B2152" s="116">
        <v>6525</v>
      </c>
      <c r="C2152" s="116">
        <v>6490.7</v>
      </c>
      <c r="D2152" s="116">
        <v>6400</v>
      </c>
      <c r="E2152" s="116">
        <v>6525</v>
      </c>
      <c r="F2152" s="116">
        <v>6490.7</v>
      </c>
      <c r="G2152">
        <v>417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45246</v>
      </c>
      <c r="B2153" s="116">
        <v>6578</v>
      </c>
      <c r="C2153" s="116">
        <v>6558.5</v>
      </c>
      <c r="D2153" s="116">
        <v>6450.05</v>
      </c>
      <c r="E2153" s="116">
        <v>6578</v>
      </c>
      <c r="F2153" s="116">
        <v>6558.5</v>
      </c>
      <c r="G2153">
        <v>401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45247</v>
      </c>
      <c r="B2154" s="116">
        <v>6700</v>
      </c>
      <c r="C2154" s="116">
        <v>6698.95</v>
      </c>
      <c r="D2154" s="116">
        <v>6450</v>
      </c>
      <c r="E2154" s="116">
        <v>6500.1</v>
      </c>
      <c r="F2154" s="116">
        <v>6698.95</v>
      </c>
      <c r="G2154">
        <v>1220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45250</v>
      </c>
      <c r="B2155" s="116">
        <v>6849</v>
      </c>
      <c r="C2155" s="116">
        <v>6821.5</v>
      </c>
      <c r="D2155" s="116">
        <v>6630.05</v>
      </c>
      <c r="E2155" s="116">
        <v>6700</v>
      </c>
      <c r="F2155" s="116">
        <v>6821.5</v>
      </c>
      <c r="G2155">
        <v>874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45251</v>
      </c>
      <c r="B2156" s="116">
        <v>6990</v>
      </c>
      <c r="C2156" s="116">
        <v>6983.95</v>
      </c>
      <c r="D2156" s="116">
        <v>6835.25</v>
      </c>
      <c r="E2156" s="116">
        <v>6874</v>
      </c>
      <c r="F2156" s="116">
        <v>6983.95</v>
      </c>
      <c r="G2156">
        <v>821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45252</v>
      </c>
      <c r="B2157" s="116">
        <v>7020</v>
      </c>
      <c r="C2157" s="116">
        <v>6997</v>
      </c>
      <c r="D2157" s="116">
        <v>6890</v>
      </c>
      <c r="E2157" s="116">
        <v>6995</v>
      </c>
      <c r="F2157" s="116">
        <v>6997</v>
      </c>
      <c r="G2157">
        <v>402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45253</v>
      </c>
      <c r="B2158" s="116">
        <v>7075</v>
      </c>
      <c r="C2158" s="116">
        <v>6999.35</v>
      </c>
      <c r="D2158" s="116">
        <v>6996</v>
      </c>
      <c r="E2158" s="116">
        <v>7020</v>
      </c>
      <c r="F2158" s="116">
        <v>6999.35</v>
      </c>
      <c r="G2158">
        <v>485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45254</v>
      </c>
      <c r="B2159" s="116">
        <v>7040</v>
      </c>
      <c r="C2159" s="116">
        <v>7003.7</v>
      </c>
      <c r="D2159" s="116">
        <v>6912.5</v>
      </c>
      <c r="E2159" s="116">
        <v>7000</v>
      </c>
      <c r="F2159" s="116">
        <v>7003.7</v>
      </c>
      <c r="G2159">
        <v>362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45258</v>
      </c>
      <c r="B2160" s="116">
        <v>7049</v>
      </c>
      <c r="C2160" s="116">
        <v>7002.4</v>
      </c>
      <c r="D2160" s="116">
        <v>6925</v>
      </c>
      <c r="E2160" s="116">
        <v>7049</v>
      </c>
      <c r="F2160" s="116">
        <v>7002.4</v>
      </c>
      <c r="G2160">
        <v>152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45259</v>
      </c>
      <c r="B2161" s="116">
        <v>7018.75</v>
      </c>
      <c r="C2161" s="116">
        <v>6950.4</v>
      </c>
      <c r="D2161" s="116">
        <v>6921</v>
      </c>
      <c r="E2161" s="116">
        <v>7008.95</v>
      </c>
      <c r="F2161" s="116">
        <v>6950.4</v>
      </c>
      <c r="G2161">
        <v>290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45260</v>
      </c>
      <c r="B2162" s="116">
        <v>7074.95</v>
      </c>
      <c r="C2162" s="116">
        <v>6966</v>
      </c>
      <c r="D2162" s="116">
        <v>6930</v>
      </c>
      <c r="E2162" s="116">
        <v>7074.95</v>
      </c>
      <c r="F2162" s="116">
        <v>6966</v>
      </c>
      <c r="G2162">
        <v>129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45261</v>
      </c>
      <c r="B2163" s="116">
        <v>7100</v>
      </c>
      <c r="C2163" s="116">
        <v>6984.3</v>
      </c>
      <c r="D2163" s="116">
        <v>6941.4</v>
      </c>
      <c r="E2163" s="116">
        <v>7050</v>
      </c>
      <c r="F2163" s="116">
        <v>6984.3</v>
      </c>
      <c r="G2163">
        <v>330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45264</v>
      </c>
      <c r="B2164" s="116">
        <v>7103</v>
      </c>
      <c r="C2164" s="116">
        <v>7044.7</v>
      </c>
      <c r="D2164" s="116">
        <v>6950.25</v>
      </c>
      <c r="E2164" s="116">
        <v>7090</v>
      </c>
      <c r="F2164" s="116">
        <v>7044.7</v>
      </c>
      <c r="G2164">
        <v>238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45265</v>
      </c>
      <c r="B2165" s="116">
        <v>7148</v>
      </c>
      <c r="C2165" s="116">
        <v>6991.25</v>
      </c>
      <c r="D2165" s="116">
        <v>6820.2</v>
      </c>
      <c r="E2165" s="116">
        <v>7103</v>
      </c>
      <c r="F2165" s="116">
        <v>6991.25</v>
      </c>
      <c r="G2165">
        <v>191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45266</v>
      </c>
      <c r="B2166" s="116">
        <v>7174</v>
      </c>
      <c r="C2166" s="116">
        <v>7140.25</v>
      </c>
      <c r="D2166" s="116">
        <v>7004.55</v>
      </c>
      <c r="E2166" s="116">
        <v>7125</v>
      </c>
      <c r="F2166" s="116">
        <v>7140.25</v>
      </c>
      <c r="G2166">
        <v>432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45267</v>
      </c>
      <c r="B2167" s="116">
        <v>7223</v>
      </c>
      <c r="C2167" s="116">
        <v>7212.7</v>
      </c>
      <c r="D2167" s="116">
        <v>7100.25</v>
      </c>
      <c r="E2167" s="116">
        <v>7170</v>
      </c>
      <c r="F2167" s="116">
        <v>7212.7</v>
      </c>
      <c r="G2167">
        <v>415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45268</v>
      </c>
      <c r="B2168" s="116">
        <v>7265</v>
      </c>
      <c r="C2168" s="116">
        <v>7243.4</v>
      </c>
      <c r="D2168" s="116">
        <v>7110.2</v>
      </c>
      <c r="E2168" s="116">
        <v>7240</v>
      </c>
      <c r="F2168" s="116">
        <v>7243.4</v>
      </c>
      <c r="G2168">
        <v>386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45271</v>
      </c>
      <c r="B2169" s="116">
        <v>7549</v>
      </c>
      <c r="C2169" s="116">
        <v>7529.55</v>
      </c>
      <c r="D2169" s="116">
        <v>7274</v>
      </c>
      <c r="E2169" s="116">
        <v>7275.95</v>
      </c>
      <c r="F2169" s="116">
        <v>7529.55</v>
      </c>
      <c r="G2169">
        <v>1345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45272</v>
      </c>
      <c r="B2170" s="116">
        <v>8903</v>
      </c>
      <c r="C2170" s="116">
        <v>8355.9500000000007</v>
      </c>
      <c r="D2170" s="116">
        <v>7575</v>
      </c>
      <c r="E2170" s="116">
        <v>7599</v>
      </c>
      <c r="F2170" s="116">
        <v>8355.9500000000007</v>
      </c>
      <c r="G2170">
        <v>2902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45273</v>
      </c>
      <c r="B2171" s="116">
        <v>8590</v>
      </c>
      <c r="C2171" s="116">
        <v>8055.45</v>
      </c>
      <c r="D2171" s="116">
        <v>7705</v>
      </c>
      <c r="E2171" s="116">
        <v>8444</v>
      </c>
      <c r="F2171" s="116">
        <v>8055.45</v>
      </c>
      <c r="G2171">
        <v>995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45274</v>
      </c>
      <c r="B2172" s="116">
        <v>8745</v>
      </c>
      <c r="C2172" s="116">
        <v>8535.1</v>
      </c>
      <c r="D2172" s="116">
        <v>8216.6</v>
      </c>
      <c r="E2172" s="116">
        <v>8222.25</v>
      </c>
      <c r="F2172" s="116">
        <v>8535.1</v>
      </c>
      <c r="G2172">
        <v>1012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45275</v>
      </c>
      <c r="B2173" s="116">
        <v>8840</v>
      </c>
      <c r="C2173" s="116">
        <v>8718.85</v>
      </c>
      <c r="D2173" s="116">
        <v>8600.15</v>
      </c>
      <c r="E2173" s="116">
        <v>8690</v>
      </c>
      <c r="F2173" s="116">
        <v>8718.85</v>
      </c>
      <c r="G2173">
        <v>863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45278</v>
      </c>
      <c r="B2174" s="116">
        <v>8899</v>
      </c>
      <c r="C2174" s="116">
        <v>8793.5</v>
      </c>
      <c r="D2174" s="116">
        <v>8718</v>
      </c>
      <c r="E2174" s="116">
        <v>8880</v>
      </c>
      <c r="F2174" s="116">
        <v>8793.5</v>
      </c>
      <c r="G2174">
        <v>606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45279</v>
      </c>
      <c r="B2175" s="116">
        <v>8898</v>
      </c>
      <c r="C2175" s="116">
        <v>8202.9</v>
      </c>
      <c r="D2175" s="116">
        <v>8105.6</v>
      </c>
      <c r="E2175" s="116">
        <v>8898</v>
      </c>
      <c r="F2175" s="116">
        <v>8202.9</v>
      </c>
      <c r="G2175">
        <v>829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45280</v>
      </c>
      <c r="B2176" s="116">
        <v>8799</v>
      </c>
      <c r="C2176" s="116">
        <v>7999.95</v>
      </c>
      <c r="D2176" s="116">
        <v>7850</v>
      </c>
      <c r="E2176" s="116">
        <v>8230</v>
      </c>
      <c r="F2176" s="116">
        <v>7999.95</v>
      </c>
      <c r="G2176">
        <v>1018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45281</v>
      </c>
      <c r="B2177" s="116">
        <v>8799</v>
      </c>
      <c r="C2177" s="116">
        <v>8299.15</v>
      </c>
      <c r="D2177" s="116">
        <v>7549.25</v>
      </c>
      <c r="E2177" s="116">
        <v>7549.25</v>
      </c>
      <c r="F2177" s="116">
        <v>8299.15</v>
      </c>
      <c r="G2177">
        <v>1075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45282</v>
      </c>
      <c r="B2178" s="116">
        <v>8635</v>
      </c>
      <c r="C2178" s="116">
        <v>8549.6</v>
      </c>
      <c r="D2178" s="116">
        <v>8402.25</v>
      </c>
      <c r="E2178" s="116">
        <v>8590</v>
      </c>
      <c r="F2178" s="116">
        <v>8549.6</v>
      </c>
      <c r="G2178">
        <v>605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45286</v>
      </c>
      <c r="B2179" s="116">
        <v>8940</v>
      </c>
      <c r="C2179" s="116">
        <v>8821.85</v>
      </c>
      <c r="D2179" s="116">
        <v>8609.25</v>
      </c>
      <c r="E2179" s="116">
        <v>8700</v>
      </c>
      <c r="F2179" s="116">
        <v>8821.85</v>
      </c>
      <c r="G2179">
        <v>773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45287</v>
      </c>
      <c r="B2180" s="116">
        <v>8940</v>
      </c>
      <c r="C2180" s="116">
        <v>8820.9500000000007</v>
      </c>
      <c r="D2180" s="116">
        <v>8335.7999999999993</v>
      </c>
      <c r="E2180" s="116">
        <v>8923.9500000000007</v>
      </c>
      <c r="F2180" s="116">
        <v>8820.9500000000007</v>
      </c>
      <c r="G2180">
        <v>692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45288</v>
      </c>
      <c r="B2181" s="116">
        <v>8949</v>
      </c>
      <c r="C2181" s="116">
        <v>8891.65</v>
      </c>
      <c r="D2181" s="116">
        <v>8762.25</v>
      </c>
      <c r="E2181" s="116">
        <v>8910</v>
      </c>
      <c r="F2181" s="116">
        <v>8891.65</v>
      </c>
      <c r="G2181">
        <v>584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45289</v>
      </c>
      <c r="B2182" s="116">
        <v>9050</v>
      </c>
      <c r="C2182" s="116">
        <v>8961.1</v>
      </c>
      <c r="D2182" s="116">
        <v>8900</v>
      </c>
      <c r="E2182" s="116">
        <v>8950</v>
      </c>
      <c r="F2182" s="116">
        <v>8961.1</v>
      </c>
      <c r="G2182">
        <v>1070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45292</v>
      </c>
      <c r="B2183" s="116">
        <v>9313</v>
      </c>
      <c r="C2183" s="116">
        <v>9268.2999999999993</v>
      </c>
      <c r="D2183" s="116">
        <v>9048</v>
      </c>
      <c r="E2183" s="116">
        <v>9122.25</v>
      </c>
      <c r="F2183" s="116">
        <v>9268.2999999999993</v>
      </c>
      <c r="G2183">
        <v>1143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45293</v>
      </c>
      <c r="B2184" s="116">
        <v>9369</v>
      </c>
      <c r="C2184" s="116">
        <v>9357.1</v>
      </c>
      <c r="D2184" s="116">
        <v>9235</v>
      </c>
      <c r="E2184" s="116">
        <v>9340</v>
      </c>
      <c r="F2184" s="116">
        <v>9357.1</v>
      </c>
      <c r="G2184">
        <v>890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45294</v>
      </c>
      <c r="B2185" s="116">
        <v>9440</v>
      </c>
      <c r="C2185" s="116">
        <v>9404.4500000000007</v>
      </c>
      <c r="D2185" s="116">
        <v>9300</v>
      </c>
      <c r="E2185" s="116">
        <v>9370</v>
      </c>
      <c r="F2185" s="116">
        <v>9404.4500000000007</v>
      </c>
      <c r="G2185">
        <v>595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45295</v>
      </c>
      <c r="B2186" s="116">
        <v>9550</v>
      </c>
      <c r="C2186" s="116">
        <v>9537.65</v>
      </c>
      <c r="D2186" s="116">
        <v>9446.25</v>
      </c>
      <c r="E2186" s="116">
        <v>9550</v>
      </c>
      <c r="F2186" s="116">
        <v>9537.65</v>
      </c>
      <c r="G2186">
        <v>935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45296</v>
      </c>
      <c r="B2187" s="116">
        <v>9598</v>
      </c>
      <c r="C2187" s="116">
        <v>9577.4</v>
      </c>
      <c r="D2187" s="116">
        <v>9406.1</v>
      </c>
      <c r="E2187" s="116">
        <v>9550</v>
      </c>
      <c r="F2187" s="116">
        <v>9577.4</v>
      </c>
      <c r="G2187">
        <v>610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45299</v>
      </c>
      <c r="B2188" s="116">
        <v>9634</v>
      </c>
      <c r="C2188" s="116">
        <v>9606.9</v>
      </c>
      <c r="D2188" s="116">
        <v>9518.25</v>
      </c>
      <c r="E2188" s="116">
        <v>9599</v>
      </c>
      <c r="F2188" s="116">
        <v>9606.9</v>
      </c>
      <c r="G2188">
        <v>432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45300</v>
      </c>
      <c r="B2189" s="116">
        <v>9658.7999999999993</v>
      </c>
      <c r="C2189" s="116">
        <v>9591.15</v>
      </c>
      <c r="D2189" s="116">
        <v>9555</v>
      </c>
      <c r="E2189" s="116">
        <v>9630</v>
      </c>
      <c r="F2189" s="116">
        <v>9591.15</v>
      </c>
      <c r="G2189">
        <v>591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45301</v>
      </c>
      <c r="B2190" s="116">
        <v>9670</v>
      </c>
      <c r="C2190" s="116">
        <v>9629.7000000000007</v>
      </c>
      <c r="D2190" s="116">
        <v>9600</v>
      </c>
      <c r="E2190" s="116">
        <v>9600</v>
      </c>
      <c r="F2190" s="116">
        <v>9629.7000000000007</v>
      </c>
      <c r="G2190">
        <v>500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45302</v>
      </c>
      <c r="B2191" s="116">
        <v>9724.4</v>
      </c>
      <c r="C2191" s="116">
        <v>9670</v>
      </c>
      <c r="D2191" s="116">
        <v>9640</v>
      </c>
      <c r="E2191" s="116">
        <v>9683</v>
      </c>
      <c r="F2191" s="116">
        <v>9670</v>
      </c>
      <c r="G2191">
        <v>439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45303</v>
      </c>
      <c r="B2192" s="116">
        <v>9774</v>
      </c>
      <c r="C2192" s="116">
        <v>9754.9500000000007</v>
      </c>
      <c r="D2192" s="116">
        <v>9623</v>
      </c>
      <c r="E2192" s="116">
        <v>9657.25</v>
      </c>
      <c r="F2192" s="116">
        <v>9754.9500000000007</v>
      </c>
      <c r="G2192">
        <v>479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45306</v>
      </c>
      <c r="B2193" s="116">
        <v>9795.7999999999993</v>
      </c>
      <c r="C2193" s="116">
        <v>9509.65</v>
      </c>
      <c r="D2193" s="116">
        <v>9232.1</v>
      </c>
      <c r="E2193" s="116">
        <v>9775</v>
      </c>
      <c r="F2193" s="116">
        <v>9509.65</v>
      </c>
      <c r="G2193">
        <v>765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45307</v>
      </c>
      <c r="B2194" s="116">
        <v>9710</v>
      </c>
      <c r="C2194" s="116">
        <v>8938.15</v>
      </c>
      <c r="D2194" s="116">
        <v>8460.7999999999993</v>
      </c>
      <c r="E2194" s="116">
        <v>9475</v>
      </c>
      <c r="F2194" s="116">
        <v>8938.15</v>
      </c>
      <c r="G2194">
        <v>1351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45308</v>
      </c>
      <c r="B2195" s="116">
        <v>9389</v>
      </c>
      <c r="C2195" s="116">
        <v>9016.9500000000007</v>
      </c>
      <c r="D2195" s="116">
        <v>8605</v>
      </c>
      <c r="E2195" s="116">
        <v>9116.9500000000007</v>
      </c>
      <c r="F2195" s="116">
        <v>9016.9500000000007</v>
      </c>
      <c r="G2195">
        <v>434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45309</v>
      </c>
      <c r="B2196" s="116">
        <v>9500</v>
      </c>
      <c r="C2196" s="116">
        <v>8931.5</v>
      </c>
      <c r="D2196" s="116">
        <v>8800</v>
      </c>
      <c r="E2196" s="116">
        <v>9250</v>
      </c>
      <c r="F2196" s="116">
        <v>8931.5</v>
      </c>
      <c r="G2196">
        <v>723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45310</v>
      </c>
      <c r="B2197" s="116">
        <v>9425</v>
      </c>
      <c r="C2197" s="116">
        <v>9291.5</v>
      </c>
      <c r="D2197" s="116">
        <v>8900.1</v>
      </c>
      <c r="E2197" s="116">
        <v>9100</v>
      </c>
      <c r="F2197" s="116">
        <v>9291.5</v>
      </c>
      <c r="G2197">
        <v>638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45311</v>
      </c>
      <c r="B2198" s="116">
        <v>9599.2000000000007</v>
      </c>
      <c r="C2198" s="116">
        <v>9507.1</v>
      </c>
      <c r="D2198" s="116">
        <v>9300</v>
      </c>
      <c r="E2198" s="116">
        <v>9450</v>
      </c>
      <c r="F2198" s="116">
        <v>9507.1</v>
      </c>
      <c r="G2198">
        <v>506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45314</v>
      </c>
      <c r="B2199" s="116">
        <v>9705.5499999999993</v>
      </c>
      <c r="C2199" s="116">
        <v>9316.5</v>
      </c>
      <c r="D2199" s="116">
        <v>9025</v>
      </c>
      <c r="E2199" s="116">
        <v>9705.5499999999993</v>
      </c>
      <c r="F2199" s="116">
        <v>9316.5</v>
      </c>
      <c r="G2199">
        <v>661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45315</v>
      </c>
      <c r="B2200" s="116">
        <v>9965</v>
      </c>
      <c r="C2200" s="116">
        <v>9809.6</v>
      </c>
      <c r="D2200" s="116">
        <v>9410</v>
      </c>
      <c r="E2200" s="116">
        <v>9410</v>
      </c>
      <c r="F2200" s="116">
        <v>9809.6</v>
      </c>
      <c r="G2200">
        <v>2016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45316</v>
      </c>
      <c r="B2201" s="116">
        <v>9999.9</v>
      </c>
      <c r="C2201" s="116">
        <v>9655.0499999999993</v>
      </c>
      <c r="D2201" s="116">
        <v>9199</v>
      </c>
      <c r="E2201" s="116">
        <v>9989.9500000000007</v>
      </c>
      <c r="F2201" s="116">
        <v>9655.0499999999993</v>
      </c>
      <c r="G2201">
        <v>806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45320</v>
      </c>
      <c r="B2202" s="116">
        <v>10044.9</v>
      </c>
      <c r="C2202" s="116">
        <v>9921.85</v>
      </c>
      <c r="D2202" s="116">
        <v>9640</v>
      </c>
      <c r="E2202" s="116">
        <v>9701</v>
      </c>
      <c r="F2202" s="116">
        <v>9921.85</v>
      </c>
      <c r="G2202">
        <v>1373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45321</v>
      </c>
      <c r="B2203" s="116">
        <v>10039.9</v>
      </c>
      <c r="C2203" s="116">
        <v>9834.4</v>
      </c>
      <c r="D2203" s="116">
        <v>9800.0499999999993</v>
      </c>
      <c r="E2203" s="116">
        <v>9950</v>
      </c>
      <c r="F2203" s="116">
        <v>9834.4</v>
      </c>
      <c r="G2203">
        <v>415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45322</v>
      </c>
      <c r="B2204" s="116">
        <v>9995.25</v>
      </c>
      <c r="C2204" s="116">
        <v>9895.2000000000007</v>
      </c>
      <c r="D2204" s="116">
        <v>9816</v>
      </c>
      <c r="E2204" s="116">
        <v>9995.25</v>
      </c>
      <c r="F2204" s="116">
        <v>9895.2000000000007</v>
      </c>
      <c r="G2204">
        <v>319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45323</v>
      </c>
      <c r="B2205" s="116">
        <v>10051</v>
      </c>
      <c r="C2205" s="116">
        <v>9865.1</v>
      </c>
      <c r="D2205" s="116">
        <v>9800.1</v>
      </c>
      <c r="E2205" s="116">
        <v>10049</v>
      </c>
      <c r="F2205" s="116">
        <v>9865.1</v>
      </c>
      <c r="G2205">
        <v>293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45324</v>
      </c>
      <c r="B2206" s="116">
        <v>10022</v>
      </c>
      <c r="C2206" s="116">
        <v>9942.2000000000007</v>
      </c>
      <c r="D2206" s="116">
        <v>9800</v>
      </c>
      <c r="E2206" s="116">
        <v>10022</v>
      </c>
      <c r="F2206" s="116">
        <v>9942.2000000000007</v>
      </c>
      <c r="G2206">
        <v>588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45327</v>
      </c>
      <c r="B2207" s="116">
        <v>10021.9</v>
      </c>
      <c r="C2207" s="116">
        <v>9825.4</v>
      </c>
      <c r="D2207" s="116">
        <v>9750</v>
      </c>
      <c r="E2207" s="116">
        <v>9900.4</v>
      </c>
      <c r="F2207" s="116">
        <v>9825.4</v>
      </c>
      <c r="G2207">
        <v>625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45328</v>
      </c>
      <c r="B2208" s="116">
        <v>9997.5</v>
      </c>
      <c r="C2208" s="116">
        <v>9529.75</v>
      </c>
      <c r="D2208" s="116">
        <v>9400.0499999999993</v>
      </c>
      <c r="E2208" s="116">
        <v>9813</v>
      </c>
      <c r="F2208" s="116">
        <v>9529.75</v>
      </c>
      <c r="G2208">
        <v>981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45329</v>
      </c>
      <c r="B2209" s="116">
        <v>9850</v>
      </c>
      <c r="C2209" s="116">
        <v>9410.85</v>
      </c>
      <c r="D2209" s="116">
        <v>9016</v>
      </c>
      <c r="E2209" s="116">
        <v>9850</v>
      </c>
      <c r="F2209" s="116">
        <v>9410.85</v>
      </c>
      <c r="G2209">
        <v>711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45330</v>
      </c>
      <c r="B2210" s="116">
        <v>9600</v>
      </c>
      <c r="C2210" s="116">
        <v>9420.85</v>
      </c>
      <c r="D2210" s="116">
        <v>9300</v>
      </c>
      <c r="E2210" s="116">
        <v>9436</v>
      </c>
      <c r="F2210" s="116">
        <v>9420.85</v>
      </c>
      <c r="G2210">
        <v>346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45331</v>
      </c>
      <c r="B2211" s="116">
        <v>9629.9500000000007</v>
      </c>
      <c r="C2211" s="116">
        <v>9379.85</v>
      </c>
      <c r="D2211" s="116">
        <v>8888.7999999999993</v>
      </c>
      <c r="E2211" s="116">
        <v>9629.9500000000007</v>
      </c>
      <c r="F2211" s="116">
        <v>9379.85</v>
      </c>
      <c r="G2211">
        <v>404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45334</v>
      </c>
      <c r="B2212" s="116">
        <v>9799.9</v>
      </c>
      <c r="C2212" s="116">
        <v>9471.85</v>
      </c>
      <c r="D2212" s="116">
        <v>9379.85</v>
      </c>
      <c r="E2212" s="116">
        <v>9500</v>
      </c>
      <c r="F2212" s="116">
        <v>9471.85</v>
      </c>
      <c r="G2212">
        <v>495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45335</v>
      </c>
      <c r="B2213" s="116">
        <v>9645.25</v>
      </c>
      <c r="C2213" s="116">
        <v>9121.2000000000007</v>
      </c>
      <c r="D2213" s="116">
        <v>8744.35</v>
      </c>
      <c r="E2213" s="116">
        <v>9472</v>
      </c>
      <c r="F2213" s="116">
        <v>9121.2000000000007</v>
      </c>
      <c r="G2213">
        <v>843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45336</v>
      </c>
      <c r="B2214" s="116">
        <v>9300</v>
      </c>
      <c r="C2214" s="116">
        <v>9177.1</v>
      </c>
      <c r="D2214" s="116">
        <v>9001</v>
      </c>
      <c r="E2214" s="116">
        <v>9131.5</v>
      </c>
      <c r="F2214" s="116">
        <v>9177.1</v>
      </c>
      <c r="G2214">
        <v>326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45337</v>
      </c>
      <c r="B2215" s="116">
        <v>9480</v>
      </c>
      <c r="C2215" s="116">
        <v>9215.9</v>
      </c>
      <c r="D2215" s="116">
        <v>9145</v>
      </c>
      <c r="E2215" s="116">
        <v>9145</v>
      </c>
      <c r="F2215" s="116">
        <v>9215.9</v>
      </c>
      <c r="G2215">
        <v>360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45338</v>
      </c>
      <c r="B2216" s="116">
        <v>9389</v>
      </c>
      <c r="C2216" s="116">
        <v>9148.1</v>
      </c>
      <c r="D2216" s="116">
        <v>9000</v>
      </c>
      <c r="E2216" s="116">
        <v>9388</v>
      </c>
      <c r="F2216" s="116">
        <v>9148.1</v>
      </c>
      <c r="G2216">
        <v>326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45341</v>
      </c>
      <c r="B2217" s="116">
        <v>9480</v>
      </c>
      <c r="C2217" s="116">
        <v>9094.5499999999993</v>
      </c>
      <c r="D2217" s="116">
        <v>9050</v>
      </c>
      <c r="E2217" s="116">
        <v>9480</v>
      </c>
      <c r="F2217" s="116">
        <v>9094.5499999999993</v>
      </c>
      <c r="G2217">
        <v>640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45342</v>
      </c>
      <c r="B2218" s="116">
        <v>9399</v>
      </c>
      <c r="C2218" s="116">
        <v>9075.9</v>
      </c>
      <c r="D2218" s="116">
        <v>9047</v>
      </c>
      <c r="E2218" s="116">
        <v>9165</v>
      </c>
      <c r="F2218" s="116">
        <v>9075.9</v>
      </c>
      <c r="G2218">
        <v>553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45343</v>
      </c>
      <c r="B2219" s="116">
        <v>9365.25</v>
      </c>
      <c r="C2219" s="116">
        <v>9230</v>
      </c>
      <c r="D2219" s="116">
        <v>9150</v>
      </c>
      <c r="E2219" s="116">
        <v>9284.2000000000007</v>
      </c>
      <c r="F2219" s="116">
        <v>9230</v>
      </c>
      <c r="G2219">
        <v>425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45344</v>
      </c>
      <c r="B2220" s="116">
        <v>9347.25</v>
      </c>
      <c r="C2220" s="116">
        <v>9241.7000000000007</v>
      </c>
      <c r="D2220" s="116">
        <v>9191.25</v>
      </c>
      <c r="E2220" s="116">
        <v>9236</v>
      </c>
      <c r="F2220" s="116">
        <v>9241.7000000000007</v>
      </c>
      <c r="G2220">
        <v>252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45345</v>
      </c>
      <c r="B2221" s="116">
        <v>9387</v>
      </c>
      <c r="C2221" s="116">
        <v>9331.6</v>
      </c>
      <c r="D2221" s="116">
        <v>9249.9500000000007</v>
      </c>
      <c r="E2221" s="116">
        <v>9255</v>
      </c>
      <c r="F2221" s="116">
        <v>9331.6</v>
      </c>
      <c r="G2221">
        <v>207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45348</v>
      </c>
      <c r="B2222" s="116">
        <v>9513</v>
      </c>
      <c r="C2222" s="116">
        <v>9367.5499999999993</v>
      </c>
      <c r="D2222" s="116">
        <v>9111</v>
      </c>
      <c r="E2222" s="116">
        <v>9349.6</v>
      </c>
      <c r="F2222" s="116">
        <v>9367.5499999999993</v>
      </c>
      <c r="G2222">
        <v>456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45349</v>
      </c>
      <c r="B2223" s="116">
        <v>9550</v>
      </c>
      <c r="C2223" s="116">
        <v>9151.75</v>
      </c>
      <c r="D2223" s="116">
        <v>9100</v>
      </c>
      <c r="E2223" s="116">
        <v>9386.9500000000007</v>
      </c>
      <c r="F2223" s="116">
        <v>9151.75</v>
      </c>
      <c r="G2223">
        <v>547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45350</v>
      </c>
      <c r="B2224" s="116">
        <v>9319.9500000000007</v>
      </c>
      <c r="C2224" s="116">
        <v>9121.2999999999993</v>
      </c>
      <c r="D2224" s="116">
        <v>9060</v>
      </c>
      <c r="E2224" s="116">
        <v>9183.25</v>
      </c>
      <c r="F2224" s="116">
        <v>9121.2999999999993</v>
      </c>
      <c r="G2224">
        <v>313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45351</v>
      </c>
      <c r="B2225" s="116">
        <v>9243.5</v>
      </c>
      <c r="C2225" s="116">
        <v>9026.6</v>
      </c>
      <c r="D2225" s="116">
        <v>8999</v>
      </c>
      <c r="E2225" s="116">
        <v>9190</v>
      </c>
      <c r="F2225" s="116">
        <v>9026.6</v>
      </c>
      <c r="G2225">
        <v>280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45352</v>
      </c>
      <c r="B2226" s="116">
        <v>9158</v>
      </c>
      <c r="C2226" s="116">
        <v>9131.7000000000007</v>
      </c>
      <c r="D2226" s="116">
        <v>7740.4</v>
      </c>
      <c r="E2226" s="116">
        <v>9022</v>
      </c>
      <c r="F2226" s="116">
        <v>9131.7000000000007</v>
      </c>
      <c r="G2226">
        <v>1461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45353</v>
      </c>
      <c r="B2227" s="116">
        <v>9588.25</v>
      </c>
      <c r="C2227" s="116">
        <v>9425.5499999999993</v>
      </c>
      <c r="D2227" s="116">
        <v>9050</v>
      </c>
      <c r="E2227" s="116">
        <v>9477</v>
      </c>
      <c r="F2227" s="116">
        <v>9425.5499999999993</v>
      </c>
      <c r="G2227">
        <v>209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45355</v>
      </c>
      <c r="B2228" s="116">
        <v>9500</v>
      </c>
      <c r="C2228" s="116">
        <v>9295.1</v>
      </c>
      <c r="D2228" s="116">
        <v>9227.5</v>
      </c>
      <c r="E2228" s="116">
        <v>9495.25</v>
      </c>
      <c r="F2228" s="116">
        <v>9295.1</v>
      </c>
      <c r="G2228">
        <v>420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45356</v>
      </c>
      <c r="B2229" s="116">
        <v>9475</v>
      </c>
      <c r="C2229" s="116">
        <v>8902.65</v>
      </c>
      <c r="D2229" s="116">
        <v>8404.7000000000007</v>
      </c>
      <c r="E2229" s="116">
        <v>9475</v>
      </c>
      <c r="F2229" s="116">
        <v>8902.65</v>
      </c>
      <c r="G2229">
        <v>1309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45357</v>
      </c>
      <c r="B2230" s="116">
        <v>9145</v>
      </c>
      <c r="C2230" s="116">
        <v>9075</v>
      </c>
      <c r="D2230" s="116">
        <v>8850</v>
      </c>
      <c r="E2230" s="116">
        <v>9125.25</v>
      </c>
      <c r="F2230" s="116">
        <v>9075</v>
      </c>
      <c r="G2230">
        <v>406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45358</v>
      </c>
      <c r="B2231" s="116">
        <v>9278</v>
      </c>
      <c r="C2231" s="116">
        <v>9129.25</v>
      </c>
      <c r="D2231" s="116">
        <v>8888.7999999999993</v>
      </c>
      <c r="E2231" s="116">
        <v>9278</v>
      </c>
      <c r="F2231" s="116">
        <v>9129.25</v>
      </c>
      <c r="G2231">
        <v>373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45362</v>
      </c>
      <c r="B2232" s="116">
        <v>9185.25</v>
      </c>
      <c r="C2232" s="116">
        <v>9017.6</v>
      </c>
      <c r="D2232" s="116">
        <v>9000</v>
      </c>
      <c r="E2232" s="116">
        <v>9075</v>
      </c>
      <c r="F2232" s="116">
        <v>9017.6</v>
      </c>
      <c r="G2232">
        <v>262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45363</v>
      </c>
      <c r="B2233" s="116">
        <v>8951</v>
      </c>
      <c r="C2233" s="116">
        <v>8830.5499999999993</v>
      </c>
      <c r="D2233" s="116">
        <v>8650.2000000000007</v>
      </c>
      <c r="E2233" s="116">
        <v>8951</v>
      </c>
      <c r="F2233" s="116">
        <v>8830.5499999999993</v>
      </c>
      <c r="G2233">
        <v>514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45364</v>
      </c>
      <c r="B2234" s="116">
        <v>8849.9500000000007</v>
      </c>
      <c r="C2234" s="116">
        <v>8471.15</v>
      </c>
      <c r="D2234" s="116">
        <v>8250.0499999999993</v>
      </c>
      <c r="E2234" s="116">
        <v>8614</v>
      </c>
      <c r="F2234" s="116">
        <v>8471.15</v>
      </c>
      <c r="G2234">
        <v>488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45365</v>
      </c>
      <c r="B2235" s="116">
        <v>9500</v>
      </c>
      <c r="C2235" s="116">
        <v>8911.4500000000007</v>
      </c>
      <c r="D2235" s="116">
        <v>8135</v>
      </c>
      <c r="E2235" s="116">
        <v>8328.0499999999993</v>
      </c>
      <c r="F2235" s="116">
        <v>8911.4500000000007</v>
      </c>
      <c r="G2235">
        <v>549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45366</v>
      </c>
      <c r="B2236" s="116">
        <v>9090</v>
      </c>
      <c r="C2236" s="116">
        <v>8826.15</v>
      </c>
      <c r="D2236" s="116">
        <v>8757</v>
      </c>
      <c r="E2236" s="116">
        <v>8970</v>
      </c>
      <c r="F2236" s="116">
        <v>8826.15</v>
      </c>
      <c r="G2236">
        <v>527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45369</v>
      </c>
      <c r="B2237" s="116">
        <v>9040</v>
      </c>
      <c r="C2237" s="116">
        <v>8877.9</v>
      </c>
      <c r="D2237" s="116">
        <v>8730.2000000000007</v>
      </c>
      <c r="E2237" s="116">
        <v>9040</v>
      </c>
      <c r="F2237" s="116">
        <v>8877.9</v>
      </c>
      <c r="G2237">
        <v>187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45370</v>
      </c>
      <c r="B2238" s="116">
        <v>8900</v>
      </c>
      <c r="C2238" s="116">
        <v>8816.9500000000007</v>
      </c>
      <c r="D2238" s="116">
        <v>8707.4500000000007</v>
      </c>
      <c r="E2238" s="116">
        <v>8877</v>
      </c>
      <c r="F2238" s="116">
        <v>8816.9500000000007</v>
      </c>
      <c r="G2238">
        <v>206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45371</v>
      </c>
      <c r="B2239" s="116">
        <v>8942</v>
      </c>
      <c r="C2239" s="116">
        <v>8748.0499999999993</v>
      </c>
      <c r="D2239" s="116">
        <v>8700</v>
      </c>
      <c r="E2239" s="116">
        <v>8823</v>
      </c>
      <c r="F2239" s="116">
        <v>8748.0499999999993</v>
      </c>
      <c r="G2239">
        <v>122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45372</v>
      </c>
      <c r="B2240" s="116">
        <v>8900</v>
      </c>
      <c r="C2240" s="116">
        <v>8840.6</v>
      </c>
      <c r="D2240" s="116">
        <v>8560.2000000000007</v>
      </c>
      <c r="E2240" s="116">
        <v>8900</v>
      </c>
      <c r="F2240" s="116">
        <v>8840.6</v>
      </c>
      <c r="G2240">
        <v>193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45373</v>
      </c>
      <c r="B2241" s="116">
        <v>8897</v>
      </c>
      <c r="C2241" s="116">
        <v>8715.15</v>
      </c>
      <c r="D2241" s="116">
        <v>8651</v>
      </c>
      <c r="E2241" s="116">
        <v>8825.25</v>
      </c>
      <c r="F2241" s="116">
        <v>8715.15</v>
      </c>
      <c r="G2241">
        <v>165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45377</v>
      </c>
      <c r="B2242" s="116">
        <v>8944.9500000000007</v>
      </c>
      <c r="C2242" s="116">
        <v>8715.6</v>
      </c>
      <c r="D2242" s="116">
        <v>8663.25</v>
      </c>
      <c r="E2242" s="116">
        <v>8944.9500000000007</v>
      </c>
      <c r="F2242" s="116">
        <v>8715.6</v>
      </c>
      <c r="G2242">
        <v>267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45378</v>
      </c>
      <c r="B2243" s="116">
        <v>8900</v>
      </c>
      <c r="C2243" s="116">
        <v>8737.2999999999993</v>
      </c>
      <c r="D2243" s="116">
        <v>8700</v>
      </c>
      <c r="E2243" s="116">
        <v>8900</v>
      </c>
      <c r="F2243" s="116">
        <v>8737.2999999999993</v>
      </c>
      <c r="G2243">
        <v>212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45379</v>
      </c>
      <c r="B2244" s="116">
        <v>8880</v>
      </c>
      <c r="C2244" s="116">
        <v>8685.9500000000007</v>
      </c>
      <c r="D2244" s="116">
        <v>8600</v>
      </c>
      <c r="E2244" s="116">
        <v>8750</v>
      </c>
      <c r="F2244" s="116">
        <v>8685.9500000000007</v>
      </c>
      <c r="G2244">
        <v>285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45383</v>
      </c>
      <c r="B2245" s="116">
        <v>8857.85</v>
      </c>
      <c r="C2245" s="116">
        <v>8843.9500000000007</v>
      </c>
      <c r="D2245" s="116">
        <v>8610</v>
      </c>
      <c r="E2245" s="116">
        <v>8750</v>
      </c>
      <c r="F2245" s="116">
        <v>8843.9500000000007</v>
      </c>
      <c r="G2245">
        <v>268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45384</v>
      </c>
      <c r="B2246" s="116">
        <v>8900</v>
      </c>
      <c r="C2246" s="116">
        <v>8883.15</v>
      </c>
      <c r="D2246" s="116">
        <v>8700</v>
      </c>
      <c r="E2246" s="116">
        <v>8843.9</v>
      </c>
      <c r="F2246" s="116">
        <v>8883.15</v>
      </c>
      <c r="G2246">
        <v>323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45385</v>
      </c>
      <c r="B2247" s="116">
        <v>8988</v>
      </c>
      <c r="C2247" s="116">
        <v>8906.5</v>
      </c>
      <c r="D2247" s="116">
        <v>8841.4</v>
      </c>
      <c r="E2247" s="116">
        <v>8920</v>
      </c>
      <c r="F2247" s="116">
        <v>8906.5</v>
      </c>
      <c r="G2247">
        <v>241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45386</v>
      </c>
      <c r="B2248" s="116">
        <v>9196</v>
      </c>
      <c r="C2248" s="116">
        <v>9150.7000000000007</v>
      </c>
      <c r="D2248" s="116">
        <v>8950.0499999999993</v>
      </c>
      <c r="E2248" s="116">
        <v>9129.2000000000007</v>
      </c>
      <c r="F2248" s="116">
        <v>9150.7000000000007</v>
      </c>
      <c r="G2248">
        <v>275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45387</v>
      </c>
      <c r="B2249" s="116">
        <v>9470</v>
      </c>
      <c r="C2249" s="116">
        <v>9220.0499999999993</v>
      </c>
      <c r="D2249" s="116">
        <v>9197</v>
      </c>
      <c r="E2249" s="116">
        <v>9200</v>
      </c>
      <c r="F2249" s="116">
        <v>9220.0499999999993</v>
      </c>
      <c r="G2249">
        <v>473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45390</v>
      </c>
      <c r="B2250" s="116">
        <v>9350</v>
      </c>
      <c r="C2250" s="116">
        <v>9088.4</v>
      </c>
      <c r="D2250" s="116">
        <v>9000.1</v>
      </c>
      <c r="E2250" s="116">
        <v>9220.0499999999993</v>
      </c>
      <c r="F2250" s="116">
        <v>9088.4</v>
      </c>
      <c r="G2250">
        <v>233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45391</v>
      </c>
      <c r="B2251" s="116">
        <v>9195</v>
      </c>
      <c r="C2251" s="116">
        <v>8990</v>
      </c>
      <c r="D2251" s="116">
        <v>8800</v>
      </c>
      <c r="E2251" s="116">
        <v>9088.4</v>
      </c>
      <c r="F2251" s="116">
        <v>8990</v>
      </c>
      <c r="G2251">
        <v>267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45392</v>
      </c>
      <c r="B2252" s="116">
        <v>8999</v>
      </c>
      <c r="C2252" s="116">
        <v>8656.7999999999993</v>
      </c>
      <c r="D2252" s="116">
        <v>8001</v>
      </c>
      <c r="E2252" s="116">
        <v>8990</v>
      </c>
      <c r="F2252" s="116">
        <v>8656.7999999999993</v>
      </c>
      <c r="G2252">
        <v>1832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45394</v>
      </c>
      <c r="B2253" s="116">
        <v>8898</v>
      </c>
      <c r="C2253" s="116">
        <v>8791.9500000000007</v>
      </c>
      <c r="D2253" s="116">
        <v>8656.7999999999993</v>
      </c>
      <c r="E2253" s="116">
        <v>8680</v>
      </c>
      <c r="F2253" s="116">
        <v>8791.9500000000007</v>
      </c>
      <c r="G2253">
        <v>334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45397</v>
      </c>
      <c r="B2254" s="116">
        <v>8700</v>
      </c>
      <c r="C2254" s="116">
        <v>8579.35</v>
      </c>
      <c r="D2254" s="116">
        <v>8250.6</v>
      </c>
      <c r="E2254" s="116">
        <v>8250.6</v>
      </c>
      <c r="F2254" s="116">
        <v>8579.35</v>
      </c>
      <c r="G2254">
        <v>547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45398</v>
      </c>
      <c r="B2255" s="116">
        <v>8698.9500000000007</v>
      </c>
      <c r="C2255" s="116">
        <v>8578.5499999999993</v>
      </c>
      <c r="D2255" s="116">
        <v>8451</v>
      </c>
      <c r="E2255" s="116">
        <v>8451</v>
      </c>
      <c r="F2255" s="116">
        <v>8578.5499999999993</v>
      </c>
      <c r="G2255">
        <v>382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45400</v>
      </c>
      <c r="B2256" s="116">
        <v>9064.9500000000007</v>
      </c>
      <c r="C2256" s="116">
        <v>8849.7000000000007</v>
      </c>
      <c r="D2256" s="116">
        <v>8729</v>
      </c>
      <c r="E2256" s="116">
        <v>8729</v>
      </c>
      <c r="F2256" s="116">
        <v>8849.7000000000007</v>
      </c>
      <c r="G2256">
        <v>813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45401</v>
      </c>
      <c r="B2257" s="116">
        <v>9200</v>
      </c>
      <c r="C2257" s="116">
        <v>8961.9500000000007</v>
      </c>
      <c r="D2257" s="116">
        <v>8452</v>
      </c>
      <c r="E2257" s="116">
        <v>8847.9500000000007</v>
      </c>
      <c r="F2257" s="116">
        <v>8961.9500000000007</v>
      </c>
      <c r="G2257">
        <v>2682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45404</v>
      </c>
      <c r="B2258" s="116">
        <v>9555.25</v>
      </c>
      <c r="C2258" s="116">
        <v>9252.4</v>
      </c>
      <c r="D2258" s="116">
        <v>9200</v>
      </c>
      <c r="E2258" s="116">
        <v>9488</v>
      </c>
      <c r="F2258" s="116">
        <v>9252.4</v>
      </c>
      <c r="G2258">
        <v>1907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45405</v>
      </c>
      <c r="B2259" s="116">
        <v>9420</v>
      </c>
      <c r="C2259" s="116">
        <v>9218.4</v>
      </c>
      <c r="D2259" s="116">
        <v>9159</v>
      </c>
      <c r="E2259" s="116">
        <v>9419</v>
      </c>
      <c r="F2259" s="116">
        <v>9218.4</v>
      </c>
      <c r="G2259">
        <v>667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45406</v>
      </c>
      <c r="B2260" s="116">
        <v>9370</v>
      </c>
      <c r="C2260" s="116">
        <v>9134.75</v>
      </c>
      <c r="D2260" s="116">
        <v>9000</v>
      </c>
      <c r="E2260" s="116">
        <v>9290</v>
      </c>
      <c r="F2260" s="116">
        <v>9134.75</v>
      </c>
      <c r="G2260">
        <v>819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45407</v>
      </c>
      <c r="B2261" s="116">
        <v>9350</v>
      </c>
      <c r="C2261" s="116">
        <v>9150.9500000000007</v>
      </c>
      <c r="D2261" s="116">
        <v>9051</v>
      </c>
      <c r="E2261" s="116">
        <v>9288</v>
      </c>
      <c r="F2261" s="116">
        <v>9150.9500000000007</v>
      </c>
      <c r="G2261">
        <v>713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45408</v>
      </c>
      <c r="B2262" s="116">
        <v>9400</v>
      </c>
      <c r="C2262" s="116">
        <v>9136.6</v>
      </c>
      <c r="D2262" s="116">
        <v>9100</v>
      </c>
      <c r="E2262" s="116">
        <v>9275.25</v>
      </c>
      <c r="F2262" s="116">
        <v>9136.6</v>
      </c>
      <c r="G2262">
        <v>533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45411</v>
      </c>
      <c r="B2263" s="116">
        <v>9650</v>
      </c>
      <c r="C2263" s="116">
        <v>9355.65</v>
      </c>
      <c r="D2263" s="116">
        <v>9140</v>
      </c>
      <c r="E2263" s="116">
        <v>9239.25</v>
      </c>
      <c r="F2263" s="116">
        <v>9355.65</v>
      </c>
      <c r="G2263">
        <v>1336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45412</v>
      </c>
      <c r="B2264" s="116">
        <v>9545.4</v>
      </c>
      <c r="C2264" s="116">
        <v>9309.4500000000007</v>
      </c>
      <c r="D2264" s="116">
        <v>9299</v>
      </c>
      <c r="E2264" s="116">
        <v>9545.4</v>
      </c>
      <c r="F2264" s="116">
        <v>9309.4500000000007</v>
      </c>
      <c r="G2264">
        <v>406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45414</v>
      </c>
      <c r="B2265" s="116">
        <v>9487.7999999999993</v>
      </c>
      <c r="C2265" s="116">
        <v>9352.35</v>
      </c>
      <c r="D2265" s="116">
        <v>9180.1</v>
      </c>
      <c r="E2265" s="116">
        <v>9340</v>
      </c>
      <c r="F2265" s="116">
        <v>9352.35</v>
      </c>
      <c r="G2265">
        <v>404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45415</v>
      </c>
      <c r="B2266" s="116">
        <v>9900</v>
      </c>
      <c r="C2266" s="116">
        <v>9508.4500000000007</v>
      </c>
      <c r="D2266" s="116">
        <v>9350</v>
      </c>
      <c r="E2266" s="116">
        <v>9900</v>
      </c>
      <c r="F2266" s="116">
        <v>9508.4500000000007</v>
      </c>
      <c r="G2266">
        <v>808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45418</v>
      </c>
      <c r="B2267" s="116">
        <v>9790</v>
      </c>
      <c r="C2267" s="116">
        <v>9123</v>
      </c>
      <c r="D2267" s="116">
        <v>9055.5499999999993</v>
      </c>
      <c r="E2267" s="116">
        <v>9790</v>
      </c>
      <c r="F2267" s="116">
        <v>9123</v>
      </c>
      <c r="G2267">
        <v>1113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45419</v>
      </c>
      <c r="B2268" s="116">
        <v>9399</v>
      </c>
      <c r="C2268" s="116">
        <v>9096.6</v>
      </c>
      <c r="D2268" s="116">
        <v>9002</v>
      </c>
      <c r="E2268" s="116">
        <v>9170</v>
      </c>
      <c r="F2268" s="116">
        <v>9096.6</v>
      </c>
      <c r="G2268">
        <v>466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45420</v>
      </c>
      <c r="B2269" s="116">
        <v>9292</v>
      </c>
      <c r="C2269" s="116">
        <v>9135.4</v>
      </c>
      <c r="D2269" s="116">
        <v>9002.0499999999993</v>
      </c>
      <c r="E2269" s="116">
        <v>9100</v>
      </c>
      <c r="F2269" s="116">
        <v>9135.4</v>
      </c>
      <c r="G2269">
        <v>525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45421</v>
      </c>
      <c r="B2270" s="116">
        <v>9239</v>
      </c>
      <c r="C2270" s="116">
        <v>9057.75</v>
      </c>
      <c r="D2270" s="116">
        <v>9003</v>
      </c>
      <c r="E2270" s="116">
        <v>9239</v>
      </c>
      <c r="F2270" s="116">
        <v>9057.75</v>
      </c>
      <c r="G2270">
        <v>193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45422</v>
      </c>
      <c r="B2271" s="116">
        <v>9305</v>
      </c>
      <c r="C2271" s="116">
        <v>9140.9500000000007</v>
      </c>
      <c r="D2271" s="116">
        <v>9010</v>
      </c>
      <c r="E2271" s="116">
        <v>9075</v>
      </c>
      <c r="F2271" s="116">
        <v>9140.9500000000007</v>
      </c>
      <c r="G2271">
        <v>348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45425</v>
      </c>
      <c r="B2272" s="116">
        <v>9232.25</v>
      </c>
      <c r="C2272" s="116">
        <v>9146.0499999999993</v>
      </c>
      <c r="D2272" s="116">
        <v>8715.6</v>
      </c>
      <c r="E2272" s="116">
        <v>9150</v>
      </c>
      <c r="F2272" s="116">
        <v>9146.0499999999993</v>
      </c>
      <c r="G2272">
        <v>305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45426</v>
      </c>
      <c r="B2273" s="116">
        <v>9299</v>
      </c>
      <c r="C2273" s="116">
        <v>9170.5</v>
      </c>
      <c r="D2273" s="116">
        <v>9141</v>
      </c>
      <c r="E2273" s="116">
        <v>9280</v>
      </c>
      <c r="F2273" s="116">
        <v>9170.5</v>
      </c>
      <c r="G2273">
        <v>160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45427</v>
      </c>
      <c r="B2274" s="116">
        <v>9191</v>
      </c>
      <c r="C2274" s="116">
        <v>9019.7000000000007</v>
      </c>
      <c r="D2274" s="116">
        <v>8950</v>
      </c>
      <c r="E2274" s="116">
        <v>9141</v>
      </c>
      <c r="F2274" s="116">
        <v>9019.7000000000007</v>
      </c>
      <c r="G2274">
        <v>501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45428</v>
      </c>
      <c r="B2275" s="116">
        <v>9187.9500000000007</v>
      </c>
      <c r="C2275" s="116">
        <v>9009.2000000000007</v>
      </c>
      <c r="D2275" s="116">
        <v>9000</v>
      </c>
      <c r="E2275" s="116">
        <v>9187.9500000000007</v>
      </c>
      <c r="F2275" s="116">
        <v>9009.2000000000007</v>
      </c>
      <c r="G2275">
        <v>138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45429</v>
      </c>
      <c r="B2276" s="116">
        <v>9149.25</v>
      </c>
      <c r="C2276" s="116">
        <v>9088.75</v>
      </c>
      <c r="D2276" s="116">
        <v>8900</v>
      </c>
      <c r="E2276" s="116">
        <v>9011</v>
      </c>
      <c r="F2276" s="116">
        <v>9088.75</v>
      </c>
      <c r="G2276">
        <v>274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45430</v>
      </c>
      <c r="B2277" s="116">
        <v>9235</v>
      </c>
      <c r="C2277" s="116">
        <v>9005.2000000000007</v>
      </c>
      <c r="D2277" s="116">
        <v>8991</v>
      </c>
      <c r="E2277" s="116">
        <v>9134.9500000000007</v>
      </c>
      <c r="F2277" s="116">
        <v>9005.2000000000007</v>
      </c>
      <c r="G2277">
        <v>110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45433</v>
      </c>
      <c r="B2278" s="116">
        <v>9179.9500000000007</v>
      </c>
      <c r="C2278" s="116">
        <v>8924.7000000000007</v>
      </c>
      <c r="D2278" s="116">
        <v>8600.0499999999993</v>
      </c>
      <c r="E2278" s="116">
        <v>9007</v>
      </c>
      <c r="F2278" s="116">
        <v>8924.7000000000007</v>
      </c>
      <c r="G2278">
        <v>679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45434</v>
      </c>
      <c r="B2279" s="116">
        <v>9100</v>
      </c>
      <c r="C2279" s="116">
        <v>8965.4500000000007</v>
      </c>
      <c r="D2279" s="116">
        <v>8942.2000000000007</v>
      </c>
      <c r="E2279" s="116">
        <v>9100</v>
      </c>
      <c r="F2279" s="116">
        <v>8965.4500000000007</v>
      </c>
      <c r="G2279">
        <v>148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45435</v>
      </c>
      <c r="B2280" s="116">
        <v>9000</v>
      </c>
      <c r="C2280" s="116">
        <v>8943.5499999999993</v>
      </c>
      <c r="D2280" s="116">
        <v>8852.2000000000007</v>
      </c>
      <c r="E2280" s="116">
        <v>8900</v>
      </c>
      <c r="F2280" s="116">
        <v>8943.5499999999993</v>
      </c>
      <c r="G2280">
        <v>235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45436</v>
      </c>
      <c r="B2281" s="116">
        <v>9125</v>
      </c>
      <c r="C2281" s="116">
        <v>8875.25</v>
      </c>
      <c r="D2281" s="116">
        <v>8861.25</v>
      </c>
      <c r="E2281" s="116">
        <v>9122</v>
      </c>
      <c r="F2281" s="116">
        <v>8875.25</v>
      </c>
      <c r="G2281">
        <v>390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45439</v>
      </c>
      <c r="B2282" s="116">
        <v>9057.9500000000007</v>
      </c>
      <c r="C2282" s="116">
        <v>8930.65</v>
      </c>
      <c r="D2282" s="116">
        <v>8821.0499999999993</v>
      </c>
      <c r="E2282" s="116">
        <v>9057.9500000000007</v>
      </c>
      <c r="F2282" s="116">
        <v>8930.65</v>
      </c>
      <c r="G2282">
        <v>302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45440</v>
      </c>
      <c r="B2283" s="116">
        <v>9039</v>
      </c>
      <c r="C2283" s="116">
        <v>8818.2000000000007</v>
      </c>
      <c r="D2283" s="116">
        <v>8800</v>
      </c>
      <c r="E2283" s="116">
        <v>8982</v>
      </c>
      <c r="F2283" s="116">
        <v>8818.2000000000007</v>
      </c>
      <c r="G2283">
        <v>499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45441</v>
      </c>
      <c r="B2284" s="116">
        <v>8899</v>
      </c>
      <c r="C2284" s="116">
        <v>8789</v>
      </c>
      <c r="D2284" s="116">
        <v>8755</v>
      </c>
      <c r="E2284" s="116">
        <v>8815.0499999999993</v>
      </c>
      <c r="F2284" s="116">
        <v>8789</v>
      </c>
      <c r="G2284">
        <v>151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45442</v>
      </c>
      <c r="B2285" s="116">
        <v>8800</v>
      </c>
      <c r="C2285" s="116">
        <v>8757.5499999999993</v>
      </c>
      <c r="D2285" s="116">
        <v>8738</v>
      </c>
      <c r="E2285" s="116">
        <v>8789</v>
      </c>
      <c r="F2285" s="116">
        <v>8757.5499999999993</v>
      </c>
      <c r="G2285">
        <v>249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45443</v>
      </c>
      <c r="B2286" s="116">
        <v>8770</v>
      </c>
      <c r="C2286" s="116">
        <v>8640.5</v>
      </c>
      <c r="D2286" s="116">
        <v>8581</v>
      </c>
      <c r="E2286" s="116">
        <v>8758</v>
      </c>
      <c r="F2286" s="116">
        <v>8640.5</v>
      </c>
      <c r="G2286">
        <v>281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45446</v>
      </c>
      <c r="B2287" s="116">
        <v>8888.25</v>
      </c>
      <c r="C2287" s="116">
        <v>8594.85</v>
      </c>
      <c r="D2287" s="116">
        <v>8410</v>
      </c>
      <c r="E2287" s="116">
        <v>8750</v>
      </c>
      <c r="F2287" s="116">
        <v>8594.85</v>
      </c>
      <c r="G2287">
        <v>546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45447</v>
      </c>
      <c r="B2288" s="116">
        <v>8789</v>
      </c>
      <c r="C2288" s="116">
        <v>8531.5</v>
      </c>
      <c r="D2288" s="116">
        <v>8100</v>
      </c>
      <c r="E2288" s="116">
        <v>8590</v>
      </c>
      <c r="F2288" s="116">
        <v>8531.5</v>
      </c>
      <c r="G2288">
        <v>1034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45448</v>
      </c>
      <c r="B2289" s="116">
        <v>8650</v>
      </c>
      <c r="C2289" s="116">
        <v>8298.35</v>
      </c>
      <c r="D2289" s="116">
        <v>8220</v>
      </c>
      <c r="E2289" s="116">
        <v>8600</v>
      </c>
      <c r="F2289" s="116">
        <v>8298.35</v>
      </c>
      <c r="G2289">
        <v>442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45449</v>
      </c>
      <c r="B2290" s="116">
        <v>8785</v>
      </c>
      <c r="C2290" s="116">
        <v>8718.5499999999993</v>
      </c>
      <c r="D2290" s="116">
        <v>8311.0499999999993</v>
      </c>
      <c r="E2290" s="116">
        <v>8382</v>
      </c>
      <c r="F2290" s="116">
        <v>8718.5499999999993</v>
      </c>
      <c r="G2290">
        <v>447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45450</v>
      </c>
      <c r="B2291" s="116">
        <v>8780</v>
      </c>
      <c r="C2291" s="116">
        <v>8695.4500000000007</v>
      </c>
      <c r="D2291" s="116">
        <v>8630</v>
      </c>
      <c r="E2291" s="116">
        <v>8718</v>
      </c>
      <c r="F2291" s="116">
        <v>8695.4500000000007</v>
      </c>
      <c r="G2291">
        <v>161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45453</v>
      </c>
      <c r="B2292" s="116">
        <v>8833.25</v>
      </c>
      <c r="C2292" s="116">
        <v>8790.25</v>
      </c>
      <c r="D2292" s="116">
        <v>8707.25</v>
      </c>
      <c r="E2292" s="116">
        <v>8833.25</v>
      </c>
      <c r="F2292" s="116">
        <v>8790.25</v>
      </c>
      <c r="G2292">
        <v>165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45454</v>
      </c>
      <c r="B2293" s="116">
        <v>8968.9500000000007</v>
      </c>
      <c r="C2293" s="116">
        <v>8874.6</v>
      </c>
      <c r="D2293" s="116">
        <v>8800</v>
      </c>
      <c r="E2293" s="116">
        <v>8968.9500000000007</v>
      </c>
      <c r="F2293" s="116">
        <v>8874.6</v>
      </c>
      <c r="G2293">
        <v>359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45455</v>
      </c>
      <c r="B2294" s="116">
        <v>9400</v>
      </c>
      <c r="C2294" s="116">
        <v>8900</v>
      </c>
      <c r="D2294" s="116">
        <v>8865.2999999999993</v>
      </c>
      <c r="E2294" s="116">
        <v>9000</v>
      </c>
      <c r="F2294" s="116">
        <v>8900</v>
      </c>
      <c r="G2294">
        <v>536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45456</v>
      </c>
      <c r="B2295" s="116">
        <v>9050</v>
      </c>
      <c r="C2295" s="116">
        <v>8779.35</v>
      </c>
      <c r="D2295" s="116">
        <v>8666.65</v>
      </c>
      <c r="E2295" s="116">
        <v>9050</v>
      </c>
      <c r="F2295" s="116">
        <v>8779.35</v>
      </c>
      <c r="G2295">
        <v>284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45457</v>
      </c>
      <c r="B2296" s="116">
        <v>9300</v>
      </c>
      <c r="C2296" s="116">
        <v>8956.4500000000007</v>
      </c>
      <c r="D2296" s="116">
        <v>8912.0499999999993</v>
      </c>
      <c r="E2296" s="116">
        <v>9250</v>
      </c>
      <c r="F2296" s="116">
        <v>8956.4500000000007</v>
      </c>
      <c r="G2296">
        <v>683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45461</v>
      </c>
      <c r="B2297" s="116">
        <v>9093.9500000000007</v>
      </c>
      <c r="C2297" s="116">
        <v>8913.9500000000007</v>
      </c>
      <c r="D2297" s="116">
        <v>8825.25</v>
      </c>
      <c r="E2297" s="116">
        <v>8975</v>
      </c>
      <c r="F2297" s="116">
        <v>8913.9500000000007</v>
      </c>
      <c r="G2297">
        <v>397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45462</v>
      </c>
      <c r="B2298" s="116">
        <v>8970</v>
      </c>
      <c r="C2298" s="116">
        <v>8942.7000000000007</v>
      </c>
      <c r="D2298" s="116">
        <v>8625</v>
      </c>
      <c r="E2298" s="116">
        <v>8866</v>
      </c>
      <c r="F2298" s="116">
        <v>8942.7000000000007</v>
      </c>
      <c r="G2298">
        <v>453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45463</v>
      </c>
      <c r="B2299" s="116">
        <v>8999.9500000000007</v>
      </c>
      <c r="C2299" s="116">
        <v>8847.2000000000007</v>
      </c>
      <c r="D2299" s="116">
        <v>8650</v>
      </c>
      <c r="E2299" s="116">
        <v>8999.9500000000007</v>
      </c>
      <c r="F2299" s="116">
        <v>8847.2000000000007</v>
      </c>
      <c r="G2299">
        <v>471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45464</v>
      </c>
      <c r="B2300" s="116">
        <v>8898</v>
      </c>
      <c r="C2300" s="116">
        <v>8672.5499999999993</v>
      </c>
      <c r="D2300" s="116">
        <v>8500</v>
      </c>
      <c r="E2300" s="116">
        <v>8895.0499999999993</v>
      </c>
      <c r="F2300" s="116">
        <v>8672.5499999999993</v>
      </c>
      <c r="G2300">
        <v>744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45467</v>
      </c>
      <c r="B2301" s="116">
        <v>8678.4500000000007</v>
      </c>
      <c r="C2301" s="116">
        <v>8582.15</v>
      </c>
      <c r="D2301" s="116">
        <v>8412</v>
      </c>
      <c r="E2301" s="116">
        <v>8630</v>
      </c>
      <c r="F2301" s="116">
        <v>8582.15</v>
      </c>
      <c r="G2301">
        <v>523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45468</v>
      </c>
      <c r="B2302" s="116">
        <v>8843</v>
      </c>
      <c r="C2302" s="116">
        <v>8691.75</v>
      </c>
      <c r="D2302" s="116">
        <v>8532.7999999999993</v>
      </c>
      <c r="E2302" s="116">
        <v>8843</v>
      </c>
      <c r="F2302" s="116">
        <v>8691.75</v>
      </c>
      <c r="G2302">
        <v>249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45469</v>
      </c>
      <c r="B2303" s="116">
        <v>8838</v>
      </c>
      <c r="C2303" s="116">
        <v>8776.2000000000007</v>
      </c>
      <c r="D2303" s="116">
        <v>8520.15</v>
      </c>
      <c r="E2303" s="116">
        <v>8635.0499999999993</v>
      </c>
      <c r="F2303" s="116">
        <v>8776.2000000000007</v>
      </c>
      <c r="G2303">
        <v>287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45470</v>
      </c>
      <c r="B2304" s="116">
        <v>8870</v>
      </c>
      <c r="C2304" s="116">
        <v>8620.25</v>
      </c>
      <c r="D2304" s="116">
        <v>8510.2000000000007</v>
      </c>
      <c r="E2304" s="116">
        <v>8709.0499999999993</v>
      </c>
      <c r="F2304" s="116">
        <v>8620.25</v>
      </c>
      <c r="G2304">
        <v>326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45471</v>
      </c>
      <c r="B2305" s="116">
        <v>8749.9500000000007</v>
      </c>
      <c r="C2305" s="116">
        <v>8656</v>
      </c>
      <c r="D2305" s="116">
        <v>8565.0499999999993</v>
      </c>
      <c r="E2305" s="116">
        <v>8570.1</v>
      </c>
      <c r="F2305" s="116">
        <v>8656</v>
      </c>
      <c r="G2305">
        <v>135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45474</v>
      </c>
      <c r="B2306" s="116">
        <v>8995</v>
      </c>
      <c r="C2306" s="116">
        <v>8862.15</v>
      </c>
      <c r="D2306" s="116">
        <v>8654.9500000000007</v>
      </c>
      <c r="E2306" s="116">
        <v>8654.9500000000007</v>
      </c>
      <c r="F2306" s="116">
        <v>8862.15</v>
      </c>
      <c r="G2306">
        <v>556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45475</v>
      </c>
      <c r="B2307" s="116">
        <v>8948.9500000000007</v>
      </c>
      <c r="C2307" s="116">
        <v>8787.7999999999993</v>
      </c>
      <c r="D2307" s="116">
        <v>8612.0499999999993</v>
      </c>
      <c r="E2307" s="116">
        <v>8684.9500000000007</v>
      </c>
      <c r="F2307" s="116">
        <v>8787.7999999999993</v>
      </c>
      <c r="G2307">
        <v>231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45476</v>
      </c>
      <c r="B2308" s="116">
        <v>8849</v>
      </c>
      <c r="C2308" s="116">
        <v>8726.25</v>
      </c>
      <c r="D2308" s="116">
        <v>8551.5499999999993</v>
      </c>
      <c r="E2308" s="116">
        <v>8750</v>
      </c>
      <c r="F2308" s="116">
        <v>8726.25</v>
      </c>
      <c r="G2308">
        <v>332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45477</v>
      </c>
      <c r="B2309" s="116">
        <v>8909</v>
      </c>
      <c r="C2309" s="116">
        <v>8750.4500000000007</v>
      </c>
      <c r="D2309" s="116">
        <v>8642</v>
      </c>
      <c r="E2309" s="116">
        <v>8650</v>
      </c>
      <c r="F2309" s="116">
        <v>8750.4500000000007</v>
      </c>
      <c r="G2309">
        <v>424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45478</v>
      </c>
      <c r="B2310" s="116">
        <v>8874.25</v>
      </c>
      <c r="C2310" s="116">
        <v>8743.5499999999993</v>
      </c>
      <c r="D2310" s="116">
        <v>8625.2999999999993</v>
      </c>
      <c r="E2310" s="116">
        <v>8765</v>
      </c>
      <c r="F2310" s="116">
        <v>8743.5499999999993</v>
      </c>
      <c r="G2310">
        <v>188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45481</v>
      </c>
      <c r="B2311" s="116">
        <v>8908.9500000000007</v>
      </c>
      <c r="C2311" s="116">
        <v>8734.15</v>
      </c>
      <c r="D2311" s="116">
        <v>8640.0499999999993</v>
      </c>
      <c r="E2311" s="116">
        <v>8765.4500000000007</v>
      </c>
      <c r="F2311" s="116">
        <v>8734.15</v>
      </c>
      <c r="G2311">
        <v>236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45482</v>
      </c>
      <c r="B2312" s="116">
        <v>8899.7999999999993</v>
      </c>
      <c r="C2312" s="116">
        <v>8827.6</v>
      </c>
      <c r="D2312" s="116">
        <v>8700.0499999999993</v>
      </c>
      <c r="E2312" s="116">
        <v>8850</v>
      </c>
      <c r="F2312" s="116">
        <v>8827.6</v>
      </c>
      <c r="G2312">
        <v>351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45483</v>
      </c>
      <c r="B2313" s="116">
        <v>8827</v>
      </c>
      <c r="C2313" s="116">
        <v>8810</v>
      </c>
      <c r="D2313" s="116">
        <v>8650</v>
      </c>
      <c r="E2313" s="116">
        <v>8827</v>
      </c>
      <c r="F2313" s="116">
        <v>8810</v>
      </c>
      <c r="G2313">
        <v>145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45484</v>
      </c>
      <c r="B2314" s="116">
        <v>8888.25</v>
      </c>
      <c r="C2314" s="116">
        <v>8688.15</v>
      </c>
      <c r="D2314" s="116">
        <v>8651.0499999999993</v>
      </c>
      <c r="E2314" s="116">
        <v>8888.25</v>
      </c>
      <c r="F2314" s="116">
        <v>8688.15</v>
      </c>
      <c r="G2314">
        <v>189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45485</v>
      </c>
      <c r="B2315" s="116">
        <v>8801</v>
      </c>
      <c r="C2315" s="116">
        <v>8632.9</v>
      </c>
      <c r="D2315" s="116">
        <v>8613.25</v>
      </c>
      <c r="E2315" s="116">
        <v>8687.2000000000007</v>
      </c>
      <c r="F2315" s="116">
        <v>8632.9</v>
      </c>
      <c r="G2315">
        <v>337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45488</v>
      </c>
      <c r="B2316" s="116">
        <v>8738</v>
      </c>
      <c r="C2316" s="116">
        <v>8596.2000000000007</v>
      </c>
      <c r="D2316" s="116">
        <v>8565</v>
      </c>
      <c r="E2316" s="116">
        <v>8609</v>
      </c>
      <c r="F2316" s="116">
        <v>8596.2000000000007</v>
      </c>
      <c r="G2316">
        <v>705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45489</v>
      </c>
      <c r="B2317" s="116">
        <v>8551</v>
      </c>
      <c r="C2317" s="116">
        <v>8442.7999999999993</v>
      </c>
      <c r="D2317" s="116">
        <v>8350.0499999999993</v>
      </c>
      <c r="E2317" s="116">
        <v>8551</v>
      </c>
      <c r="F2317" s="116">
        <v>8442.7999999999993</v>
      </c>
      <c r="G2317">
        <v>1045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45491</v>
      </c>
      <c r="B2318" s="116">
        <v>8539.9500000000007</v>
      </c>
      <c r="C2318" s="116">
        <v>8256.15</v>
      </c>
      <c r="D2318" s="116">
        <v>8055.5</v>
      </c>
      <c r="E2318" s="116">
        <v>8442.7999999999993</v>
      </c>
      <c r="F2318" s="116">
        <v>8256.15</v>
      </c>
      <c r="G2318">
        <v>1193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45492</v>
      </c>
      <c r="B2319" s="116">
        <v>8255.9500000000007</v>
      </c>
      <c r="C2319" s="116">
        <v>8101</v>
      </c>
      <c r="D2319" s="116">
        <v>8000</v>
      </c>
      <c r="E2319" s="116">
        <v>8255.9500000000007</v>
      </c>
      <c r="F2319" s="116">
        <v>8101</v>
      </c>
      <c r="G2319">
        <v>605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45495</v>
      </c>
      <c r="B2320" s="116">
        <v>8259.7000000000007</v>
      </c>
      <c r="C2320" s="116">
        <v>8099.5</v>
      </c>
      <c r="D2320" s="116">
        <v>8061.05</v>
      </c>
      <c r="E2320" s="116">
        <v>8259.7000000000007</v>
      </c>
      <c r="F2320" s="116">
        <v>8099.5</v>
      </c>
      <c r="G2320">
        <v>183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45496</v>
      </c>
      <c r="B2321" s="116">
        <v>8220</v>
      </c>
      <c r="C2321" s="116">
        <v>8103.8</v>
      </c>
      <c r="D2321" s="116">
        <v>8000</v>
      </c>
      <c r="E2321" s="116">
        <v>8100</v>
      </c>
      <c r="F2321" s="116">
        <v>8103.8</v>
      </c>
      <c r="G2321">
        <v>243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45497</v>
      </c>
      <c r="B2322" s="116">
        <v>8102</v>
      </c>
      <c r="C2322" s="116">
        <v>8032.4</v>
      </c>
      <c r="D2322" s="116">
        <v>7996</v>
      </c>
      <c r="E2322" s="116">
        <v>8101.95</v>
      </c>
      <c r="F2322" s="116">
        <v>8032.4</v>
      </c>
      <c r="G2322">
        <v>319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45498</v>
      </c>
      <c r="B2323" s="116">
        <v>8249.25</v>
      </c>
      <c r="C2323" s="116">
        <v>8037.6</v>
      </c>
      <c r="D2323" s="116">
        <v>7900</v>
      </c>
      <c r="E2323" s="116">
        <v>8249.25</v>
      </c>
      <c r="F2323" s="116">
        <v>8037.6</v>
      </c>
      <c r="G2323">
        <v>206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45499</v>
      </c>
      <c r="B2324" s="116">
        <v>8198</v>
      </c>
      <c r="C2324" s="116">
        <v>8014.3</v>
      </c>
      <c r="D2324" s="116">
        <v>7915</v>
      </c>
      <c r="E2324" s="116">
        <v>8198</v>
      </c>
      <c r="F2324" s="116">
        <v>8014.3</v>
      </c>
      <c r="G2324">
        <v>317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45502</v>
      </c>
      <c r="B2325" s="116">
        <v>8200</v>
      </c>
      <c r="C2325" s="116">
        <v>8027.3</v>
      </c>
      <c r="D2325" s="116">
        <v>8000</v>
      </c>
      <c r="E2325" s="116">
        <v>8200</v>
      </c>
      <c r="F2325" s="116">
        <v>8027.3</v>
      </c>
      <c r="G2325">
        <v>229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45503</v>
      </c>
      <c r="B2326" s="116">
        <v>8179.15</v>
      </c>
      <c r="C2326" s="116">
        <v>8043.1</v>
      </c>
      <c r="D2326" s="116">
        <v>7975.05</v>
      </c>
      <c r="E2326" s="116">
        <v>8179.15</v>
      </c>
      <c r="F2326" s="116">
        <v>8043.1</v>
      </c>
      <c r="G2326">
        <v>211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45504</v>
      </c>
      <c r="B2327" s="116">
        <v>8042</v>
      </c>
      <c r="C2327" s="116">
        <v>8039.05</v>
      </c>
      <c r="D2327" s="116">
        <v>7970.05</v>
      </c>
      <c r="E2327" s="116">
        <v>8041.95</v>
      </c>
      <c r="F2327" s="116">
        <v>8039.05</v>
      </c>
      <c r="G2327">
        <v>264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45505</v>
      </c>
      <c r="B2328" s="116">
        <v>8209</v>
      </c>
      <c r="C2328" s="116">
        <v>8161.4</v>
      </c>
      <c r="D2328" s="116">
        <v>7923</v>
      </c>
      <c r="E2328" s="116">
        <v>8039.05</v>
      </c>
      <c r="F2328" s="116">
        <v>8161.4</v>
      </c>
      <c r="G2328">
        <v>433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45506</v>
      </c>
      <c r="B2329" s="116">
        <v>8147.95</v>
      </c>
      <c r="C2329" s="116">
        <v>8058.15</v>
      </c>
      <c r="D2329" s="116">
        <v>7992.1</v>
      </c>
      <c r="E2329" s="116">
        <v>8147.95</v>
      </c>
      <c r="F2329" s="116">
        <v>8058.15</v>
      </c>
      <c r="G2329">
        <v>304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45509</v>
      </c>
      <c r="B2330" s="116">
        <v>8044.95</v>
      </c>
      <c r="C2330" s="116">
        <v>7912.75</v>
      </c>
      <c r="D2330" s="116">
        <v>7522.35</v>
      </c>
      <c r="E2330" s="116">
        <v>7960</v>
      </c>
      <c r="F2330" s="116">
        <v>7912.75</v>
      </c>
      <c r="G2330">
        <v>395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45510</v>
      </c>
      <c r="B2331" s="116">
        <v>8099.95</v>
      </c>
      <c r="C2331" s="116">
        <v>7626.15</v>
      </c>
      <c r="D2331" s="116">
        <v>7581.1</v>
      </c>
      <c r="E2331" s="116">
        <v>8042.2</v>
      </c>
      <c r="F2331" s="116">
        <v>7626.15</v>
      </c>
      <c r="G2331">
        <v>515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45511</v>
      </c>
      <c r="B2332" s="116">
        <v>7999.55</v>
      </c>
      <c r="C2332" s="116">
        <v>7804.5</v>
      </c>
      <c r="D2332" s="116">
        <v>7700</v>
      </c>
      <c r="E2332" s="116">
        <v>7849.25</v>
      </c>
      <c r="F2332" s="116">
        <v>7804.5</v>
      </c>
      <c r="G2332">
        <v>352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45512</v>
      </c>
      <c r="B2333" s="116">
        <v>7900</v>
      </c>
      <c r="C2333" s="116">
        <v>7695.65</v>
      </c>
      <c r="D2333" s="116">
        <v>7649</v>
      </c>
      <c r="E2333" s="116">
        <v>7899.95</v>
      </c>
      <c r="F2333" s="116">
        <v>7695.65</v>
      </c>
      <c r="G2333">
        <v>301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45513</v>
      </c>
      <c r="B2334" s="116">
        <v>7793.95</v>
      </c>
      <c r="C2334" s="116">
        <v>7714</v>
      </c>
      <c r="D2334" s="116">
        <v>7400</v>
      </c>
      <c r="E2334" s="116">
        <v>7793.95</v>
      </c>
      <c r="F2334" s="116">
        <v>7714</v>
      </c>
      <c r="G2334">
        <v>1036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45516</v>
      </c>
      <c r="B2335" s="116">
        <v>7749.85</v>
      </c>
      <c r="C2335" s="116">
        <v>7547.3</v>
      </c>
      <c r="D2335" s="116">
        <v>7531.2</v>
      </c>
      <c r="E2335" s="116">
        <v>7585.2</v>
      </c>
      <c r="F2335" s="116">
        <v>7547.3</v>
      </c>
      <c r="G2335">
        <v>266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45517</v>
      </c>
      <c r="B2336" s="116">
        <v>7888</v>
      </c>
      <c r="C2336" s="116">
        <v>7734.5</v>
      </c>
      <c r="D2336" s="116">
        <v>7500</v>
      </c>
      <c r="E2336" s="116">
        <v>7690.05</v>
      </c>
      <c r="F2336" s="116">
        <v>7734.5</v>
      </c>
      <c r="G2336">
        <v>241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45518</v>
      </c>
      <c r="B2337" s="116">
        <v>7952.95</v>
      </c>
      <c r="C2337" s="116">
        <v>7580.85</v>
      </c>
      <c r="D2337" s="116">
        <v>7501</v>
      </c>
      <c r="E2337" s="116">
        <v>7952.95</v>
      </c>
      <c r="F2337" s="116">
        <v>7580.85</v>
      </c>
      <c r="G2337">
        <v>220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45520</v>
      </c>
      <c r="B2338" s="116">
        <v>7999.6</v>
      </c>
      <c r="C2338" s="116">
        <v>7972.2</v>
      </c>
      <c r="D2338" s="116">
        <v>7501.65</v>
      </c>
      <c r="E2338" s="116">
        <v>7801.95</v>
      </c>
      <c r="F2338" s="116">
        <v>7972.2</v>
      </c>
      <c r="G2338">
        <v>630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45523</v>
      </c>
      <c r="B2339" s="116">
        <v>8099.95</v>
      </c>
      <c r="C2339" s="116">
        <v>7858.95</v>
      </c>
      <c r="D2339" s="116">
        <v>7655.7</v>
      </c>
      <c r="E2339" s="116">
        <v>8099.9</v>
      </c>
      <c r="F2339" s="116">
        <v>7858.95</v>
      </c>
      <c r="G2339">
        <v>285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45524</v>
      </c>
      <c r="B2340" s="116">
        <v>7998.5</v>
      </c>
      <c r="C2340" s="116">
        <v>7911.35</v>
      </c>
      <c r="D2340" s="116">
        <v>7850.05</v>
      </c>
      <c r="E2340" s="116">
        <v>7998.5</v>
      </c>
      <c r="F2340" s="116">
        <v>7911.35</v>
      </c>
      <c r="G2340">
        <v>143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45525</v>
      </c>
      <c r="B2341" s="116">
        <v>8048.55</v>
      </c>
      <c r="C2341" s="116">
        <v>7986.55</v>
      </c>
      <c r="D2341" s="116">
        <v>7915.25</v>
      </c>
      <c r="E2341" s="116">
        <v>7998.5</v>
      </c>
      <c r="F2341" s="116">
        <v>7986.55</v>
      </c>
      <c r="G2341">
        <v>258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45526</v>
      </c>
      <c r="B2342" s="116">
        <v>8047</v>
      </c>
      <c r="C2342" s="116">
        <v>7980.35</v>
      </c>
      <c r="D2342" s="116">
        <v>7800</v>
      </c>
      <c r="E2342" s="116">
        <v>7986.55</v>
      </c>
      <c r="F2342" s="116">
        <v>7980.35</v>
      </c>
      <c r="G2342">
        <v>320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45527</v>
      </c>
      <c r="B2343" s="116">
        <v>8086</v>
      </c>
      <c r="C2343" s="116">
        <v>7852.35</v>
      </c>
      <c r="D2343" s="116">
        <v>7800</v>
      </c>
      <c r="E2343" s="116">
        <v>8085.95</v>
      </c>
      <c r="F2343" s="116">
        <v>7852.35</v>
      </c>
      <c r="G2343">
        <v>252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45530</v>
      </c>
      <c r="B2344" s="116">
        <v>7979.3</v>
      </c>
      <c r="C2344" s="116">
        <v>7887.95</v>
      </c>
      <c r="D2344" s="116">
        <v>7850</v>
      </c>
      <c r="E2344" s="116">
        <v>7979.3</v>
      </c>
      <c r="F2344" s="116">
        <v>7887.95</v>
      </c>
      <c r="G2344">
        <v>138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45531</v>
      </c>
      <c r="B2345" s="116">
        <v>7979.2</v>
      </c>
      <c r="C2345" s="116">
        <v>7764.6</v>
      </c>
      <c r="D2345" s="116">
        <v>7741.75</v>
      </c>
      <c r="E2345" s="116">
        <v>7835.05</v>
      </c>
      <c r="F2345" s="116">
        <v>7764.6</v>
      </c>
      <c r="G2345">
        <v>244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45532</v>
      </c>
      <c r="B2346" s="116">
        <v>7928</v>
      </c>
      <c r="C2346" s="116">
        <v>7819.7</v>
      </c>
      <c r="D2346" s="116">
        <v>7778</v>
      </c>
      <c r="E2346" s="116">
        <v>7925.5</v>
      </c>
      <c r="F2346" s="116">
        <v>7819.7</v>
      </c>
      <c r="G2346">
        <v>204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45533</v>
      </c>
      <c r="B2347" s="116">
        <v>7900</v>
      </c>
      <c r="C2347" s="116">
        <v>7794.8</v>
      </c>
      <c r="D2347" s="116">
        <v>7750</v>
      </c>
      <c r="E2347" s="116">
        <v>7849.95</v>
      </c>
      <c r="F2347" s="116">
        <v>7794.8</v>
      </c>
      <c r="G2347">
        <v>149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45534</v>
      </c>
      <c r="B2348" s="116">
        <v>8000</v>
      </c>
      <c r="C2348" s="116">
        <v>7935.85</v>
      </c>
      <c r="D2348" s="116">
        <v>7715</v>
      </c>
      <c r="E2348" s="116">
        <v>7887.95</v>
      </c>
      <c r="F2348" s="116">
        <v>7935.85</v>
      </c>
      <c r="G2348">
        <v>416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45537</v>
      </c>
      <c r="B2349" s="116">
        <v>8092.95</v>
      </c>
      <c r="C2349" s="116">
        <v>7934.2</v>
      </c>
      <c r="D2349" s="116">
        <v>7802</v>
      </c>
      <c r="E2349" s="116">
        <v>8092.95</v>
      </c>
      <c r="F2349" s="116">
        <v>7934.2</v>
      </c>
      <c r="G2349">
        <v>220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45538</v>
      </c>
      <c r="B2350" s="116">
        <v>7932.95</v>
      </c>
      <c r="C2350" s="116">
        <v>7770.35</v>
      </c>
      <c r="D2350" s="116">
        <v>7600.15</v>
      </c>
      <c r="E2350" s="116">
        <v>7932.95</v>
      </c>
      <c r="F2350" s="116">
        <v>7770.35</v>
      </c>
      <c r="G2350">
        <v>308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45539</v>
      </c>
      <c r="B2351" s="116">
        <v>7922.55</v>
      </c>
      <c r="C2351" s="116">
        <v>7886.4</v>
      </c>
      <c r="D2351" s="116">
        <v>7631.2</v>
      </c>
      <c r="E2351" s="116">
        <v>7690</v>
      </c>
      <c r="F2351" s="116">
        <v>7886.4</v>
      </c>
      <c r="G2351">
        <v>246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45540</v>
      </c>
      <c r="B2352" s="116">
        <v>7949.95</v>
      </c>
      <c r="C2352" s="116">
        <v>7805.25</v>
      </c>
      <c r="D2352" s="116">
        <v>7651.15</v>
      </c>
      <c r="E2352" s="116">
        <v>7900</v>
      </c>
      <c r="F2352" s="116">
        <v>7805.25</v>
      </c>
      <c r="G2352">
        <v>182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45541</v>
      </c>
      <c r="B2353" s="116">
        <v>8050</v>
      </c>
      <c r="C2353" s="116">
        <v>7931.7</v>
      </c>
      <c r="D2353" s="116">
        <v>7849.95</v>
      </c>
      <c r="E2353" s="116">
        <v>7899.95</v>
      </c>
      <c r="F2353" s="116">
        <v>7931.7</v>
      </c>
      <c r="G2353">
        <v>459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45544</v>
      </c>
      <c r="B2354" s="116">
        <v>8069.95</v>
      </c>
      <c r="C2354" s="116">
        <v>8045.1</v>
      </c>
      <c r="D2354" s="116">
        <v>7821</v>
      </c>
      <c r="E2354" s="116">
        <v>7931.75</v>
      </c>
      <c r="F2354" s="116">
        <v>8045.1</v>
      </c>
      <c r="G2354">
        <v>591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45545</v>
      </c>
      <c r="B2355" s="116">
        <v>8250</v>
      </c>
      <c r="C2355" s="116">
        <v>8211.85</v>
      </c>
      <c r="D2355" s="116">
        <v>8046</v>
      </c>
      <c r="E2355" s="116">
        <v>8046</v>
      </c>
      <c r="F2355" s="116">
        <v>8211.85</v>
      </c>
      <c r="G2355">
        <v>417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45546</v>
      </c>
      <c r="B2356" s="116">
        <v>8310</v>
      </c>
      <c r="C2356" s="116">
        <v>8180</v>
      </c>
      <c r="D2356" s="116">
        <v>8100</v>
      </c>
      <c r="E2356" s="116">
        <v>8279.9500000000007</v>
      </c>
      <c r="F2356" s="116">
        <v>8180</v>
      </c>
      <c r="G2356">
        <v>171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45547</v>
      </c>
      <c r="B2357" s="116">
        <v>8300</v>
      </c>
      <c r="C2357" s="116">
        <v>7859.6</v>
      </c>
      <c r="D2357" s="116">
        <v>7621.25</v>
      </c>
      <c r="E2357" s="116">
        <v>8246.9500000000007</v>
      </c>
      <c r="F2357" s="116">
        <v>7859.6</v>
      </c>
      <c r="G2357">
        <v>571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45548</v>
      </c>
      <c r="B2358" s="116">
        <v>8000</v>
      </c>
      <c r="C2358" s="116">
        <v>7982.35</v>
      </c>
      <c r="D2358" s="116">
        <v>7880</v>
      </c>
      <c r="E2358" s="116">
        <v>7900.05</v>
      </c>
      <c r="F2358" s="116">
        <v>7982.35</v>
      </c>
      <c r="G2358">
        <v>267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45551</v>
      </c>
      <c r="B2359" s="116">
        <v>8448</v>
      </c>
      <c r="C2359" s="116">
        <v>8369.2999999999993</v>
      </c>
      <c r="D2359" s="116">
        <v>7930</v>
      </c>
      <c r="E2359" s="116">
        <v>7982.35</v>
      </c>
      <c r="F2359" s="116">
        <v>8369.2999999999993</v>
      </c>
      <c r="G2359">
        <v>799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45552</v>
      </c>
      <c r="B2360" s="116">
        <v>8369</v>
      </c>
      <c r="C2360" s="116">
        <v>8276.65</v>
      </c>
      <c r="D2360" s="116">
        <v>8090.1</v>
      </c>
      <c r="E2360" s="116">
        <v>8369</v>
      </c>
      <c r="F2360" s="116">
        <v>8276.65</v>
      </c>
      <c r="G2360">
        <v>145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45553</v>
      </c>
      <c r="B2361" s="116">
        <v>8349.9500000000007</v>
      </c>
      <c r="C2361" s="116">
        <v>8116.7</v>
      </c>
      <c r="D2361" s="116">
        <v>8100</v>
      </c>
      <c r="E2361" s="116">
        <v>8288.5499999999993</v>
      </c>
      <c r="F2361" s="116">
        <v>8116.7</v>
      </c>
      <c r="G2361">
        <v>139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45554</v>
      </c>
      <c r="B2362" s="116">
        <v>8199.0499999999993</v>
      </c>
      <c r="C2362" s="116">
        <v>7998.6</v>
      </c>
      <c r="D2362" s="116">
        <v>7951</v>
      </c>
      <c r="E2362" s="116">
        <v>8199</v>
      </c>
      <c r="F2362" s="116">
        <v>7998.6</v>
      </c>
      <c r="G2362">
        <v>198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45555</v>
      </c>
      <c r="B2363" s="116">
        <v>8197.9500000000007</v>
      </c>
      <c r="C2363" s="116">
        <v>8067.05</v>
      </c>
      <c r="D2363" s="116">
        <v>8000</v>
      </c>
      <c r="E2363" s="116">
        <v>8000</v>
      </c>
      <c r="F2363" s="116">
        <v>8067.05</v>
      </c>
      <c r="G2363">
        <v>96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45558</v>
      </c>
      <c r="B2364" s="116">
        <v>8299.9500000000007</v>
      </c>
      <c r="C2364" s="116">
        <v>8038.9</v>
      </c>
      <c r="D2364" s="116">
        <v>7925.95</v>
      </c>
      <c r="E2364" s="116">
        <v>8299.9500000000007</v>
      </c>
      <c r="F2364" s="116">
        <v>8038.9</v>
      </c>
      <c r="G2364">
        <v>278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45559</v>
      </c>
      <c r="B2365" s="116">
        <v>8195.2000000000007</v>
      </c>
      <c r="C2365" s="116">
        <v>8100.5</v>
      </c>
      <c r="D2365" s="116">
        <v>8002</v>
      </c>
      <c r="E2365" s="116">
        <v>8148</v>
      </c>
      <c r="F2365" s="116">
        <v>8100.5</v>
      </c>
      <c r="G2365">
        <v>148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45560</v>
      </c>
      <c r="B2366" s="116">
        <v>8250.0499999999993</v>
      </c>
      <c r="C2366" s="116">
        <v>7982.2</v>
      </c>
      <c r="D2366" s="116">
        <v>7880</v>
      </c>
      <c r="E2366" s="116">
        <v>8179.9</v>
      </c>
      <c r="F2366" s="116">
        <v>7982.2</v>
      </c>
      <c r="G2366">
        <v>381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45561</v>
      </c>
      <c r="B2367" s="116">
        <v>8250</v>
      </c>
      <c r="C2367" s="116">
        <v>8154</v>
      </c>
      <c r="D2367" s="116">
        <v>7985.95</v>
      </c>
      <c r="E2367" s="116">
        <v>7985.95</v>
      </c>
      <c r="F2367" s="116">
        <v>8154</v>
      </c>
      <c r="G2367">
        <v>315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45562</v>
      </c>
      <c r="B2368" s="116">
        <v>8278</v>
      </c>
      <c r="C2368" s="116">
        <v>8136.75</v>
      </c>
      <c r="D2368" s="116">
        <v>7901</v>
      </c>
      <c r="E2368" s="116">
        <v>8199.9500000000007</v>
      </c>
      <c r="F2368" s="116">
        <v>8136.75</v>
      </c>
      <c r="G2368">
        <v>303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45565</v>
      </c>
      <c r="B2369" s="116">
        <v>8200</v>
      </c>
      <c r="C2369" s="116">
        <v>8111.85</v>
      </c>
      <c r="D2369" s="116">
        <v>7961</v>
      </c>
      <c r="E2369" s="116">
        <v>8181.4</v>
      </c>
      <c r="F2369" s="116">
        <v>8111.85</v>
      </c>
      <c r="G2369">
        <v>331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45566</v>
      </c>
      <c r="B2370" s="116">
        <v>8179.9</v>
      </c>
      <c r="C2370" s="116">
        <v>8057.5</v>
      </c>
      <c r="D2370" s="116">
        <v>7990</v>
      </c>
      <c r="E2370" s="116">
        <v>8179.9</v>
      </c>
      <c r="F2370" s="116">
        <v>8057.5</v>
      </c>
      <c r="G2370">
        <v>156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45568</v>
      </c>
      <c r="B2371" s="116">
        <v>8099</v>
      </c>
      <c r="C2371" s="116">
        <v>7996.35</v>
      </c>
      <c r="D2371" s="116">
        <v>7890.15</v>
      </c>
      <c r="E2371" s="116">
        <v>8010.55</v>
      </c>
      <c r="F2371" s="116">
        <v>7996.35</v>
      </c>
      <c r="G2371">
        <v>236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45569</v>
      </c>
      <c r="B2372" s="116">
        <v>8189.9</v>
      </c>
      <c r="C2372" s="116">
        <v>8038.65</v>
      </c>
      <c r="D2372" s="116">
        <v>7810.1</v>
      </c>
      <c r="E2372" s="116">
        <v>7996.35</v>
      </c>
      <c r="F2372" s="116">
        <v>8038.65</v>
      </c>
      <c r="G2372">
        <v>243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45572</v>
      </c>
      <c r="B2373" s="116">
        <v>8180</v>
      </c>
      <c r="C2373" s="116">
        <v>7975</v>
      </c>
      <c r="D2373" s="116">
        <v>7951.1</v>
      </c>
      <c r="E2373" s="116">
        <v>8038.65</v>
      </c>
      <c r="F2373" s="116">
        <v>7975</v>
      </c>
      <c r="G2373">
        <v>252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45573</v>
      </c>
      <c r="B2374" s="116">
        <v>8518.7000000000007</v>
      </c>
      <c r="C2374" s="116">
        <v>8290.2000000000007</v>
      </c>
      <c r="D2374" s="116">
        <v>7953</v>
      </c>
      <c r="E2374" s="116">
        <v>8099.95</v>
      </c>
      <c r="F2374" s="116">
        <v>8290.2000000000007</v>
      </c>
      <c r="G2374">
        <v>792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45574</v>
      </c>
      <c r="B2375" s="116">
        <v>8427.75</v>
      </c>
      <c r="C2375" s="116">
        <v>8318.5499999999993</v>
      </c>
      <c r="D2375" s="116">
        <v>8141.25</v>
      </c>
      <c r="E2375" s="116">
        <v>8427.75</v>
      </c>
      <c r="F2375" s="116">
        <v>8318.5499999999993</v>
      </c>
      <c r="G2375">
        <v>215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45575</v>
      </c>
      <c r="B2376" s="116">
        <v>8492.7999999999993</v>
      </c>
      <c r="C2376" s="116">
        <v>8256</v>
      </c>
      <c r="D2376" s="116">
        <v>8144.55</v>
      </c>
      <c r="E2376" s="116">
        <v>8492.7999999999993</v>
      </c>
      <c r="F2376" s="116">
        <v>8256</v>
      </c>
      <c r="G2376">
        <v>145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45576</v>
      </c>
      <c r="B2377" s="116">
        <v>9200</v>
      </c>
      <c r="C2377" s="116">
        <v>8932.15</v>
      </c>
      <c r="D2377" s="116">
        <v>8205.25</v>
      </c>
      <c r="E2377" s="116">
        <v>8350</v>
      </c>
      <c r="F2377" s="116">
        <v>8932.15</v>
      </c>
      <c r="G2377">
        <v>6046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45579</v>
      </c>
      <c r="B2378" s="116">
        <v>9300</v>
      </c>
      <c r="C2378" s="116">
        <v>9238.15</v>
      </c>
      <c r="D2378" s="116">
        <v>8976.25</v>
      </c>
      <c r="E2378" s="116">
        <v>8976.25</v>
      </c>
      <c r="F2378" s="116">
        <v>9238.15</v>
      </c>
      <c r="G2378">
        <v>2884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45580</v>
      </c>
      <c r="B2379" s="116">
        <v>9350</v>
      </c>
      <c r="C2379" s="116">
        <v>9229.5499999999993</v>
      </c>
      <c r="D2379" s="116">
        <v>9100</v>
      </c>
      <c r="E2379" s="116">
        <v>9300</v>
      </c>
      <c r="F2379" s="116">
        <v>9229.5499999999993</v>
      </c>
      <c r="G2379">
        <v>1303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45581</v>
      </c>
      <c r="B2380" s="116">
        <v>9240</v>
      </c>
      <c r="C2380" s="116">
        <v>9097.4500000000007</v>
      </c>
      <c r="D2380" s="116">
        <v>9000</v>
      </c>
      <c r="E2380" s="116">
        <v>9224.9</v>
      </c>
      <c r="F2380" s="116">
        <v>9097.4500000000007</v>
      </c>
      <c r="G2380">
        <v>326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45582</v>
      </c>
      <c r="B2381" s="116">
        <v>9250</v>
      </c>
      <c r="C2381" s="116">
        <v>9145.85</v>
      </c>
      <c r="D2381" s="116">
        <v>8840</v>
      </c>
      <c r="E2381" s="116">
        <v>9040</v>
      </c>
      <c r="F2381" s="116">
        <v>9145.85</v>
      </c>
      <c r="G2381">
        <v>731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45583</v>
      </c>
      <c r="B2382" s="116">
        <v>9250</v>
      </c>
      <c r="C2382" s="116">
        <v>9055.4500000000007</v>
      </c>
      <c r="D2382" s="116">
        <v>8888.85</v>
      </c>
      <c r="E2382" s="116">
        <v>9250</v>
      </c>
      <c r="F2382" s="116">
        <v>9055.4500000000007</v>
      </c>
      <c r="G2382">
        <v>390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45586</v>
      </c>
      <c r="B2383" s="116">
        <v>8995</v>
      </c>
      <c r="C2383" s="116">
        <v>8597.5</v>
      </c>
      <c r="D2383" s="116">
        <v>8550.1</v>
      </c>
      <c r="E2383" s="116">
        <v>8871</v>
      </c>
      <c r="F2383" s="116">
        <v>8597.5</v>
      </c>
      <c r="G2383">
        <v>731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45587</v>
      </c>
      <c r="B2384" s="116">
        <v>8739.9500000000007</v>
      </c>
      <c r="C2384" s="116">
        <v>8526.9500000000007</v>
      </c>
      <c r="D2384" s="116">
        <v>8503.0499999999993</v>
      </c>
      <c r="E2384" s="116">
        <v>8597.5499999999993</v>
      </c>
      <c r="F2384" s="116">
        <v>8526.9500000000007</v>
      </c>
      <c r="G2384">
        <v>176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45588</v>
      </c>
      <c r="B2385" s="116">
        <v>8550</v>
      </c>
      <c r="C2385" s="116">
        <v>8442.1</v>
      </c>
      <c r="D2385" s="116">
        <v>8188.7</v>
      </c>
      <c r="E2385" s="116">
        <v>8444.5499999999993</v>
      </c>
      <c r="F2385" s="116">
        <v>8442.1</v>
      </c>
      <c r="G2385">
        <v>215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45589</v>
      </c>
      <c r="B2386" s="116">
        <v>8500</v>
      </c>
      <c r="C2386" s="116">
        <v>8398.35</v>
      </c>
      <c r="D2386" s="116">
        <v>8305.2999999999993</v>
      </c>
      <c r="E2386" s="116">
        <v>8400.0499999999993</v>
      </c>
      <c r="F2386" s="116">
        <v>8398.35</v>
      </c>
      <c r="G2386">
        <v>143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45590</v>
      </c>
      <c r="B2387" s="116">
        <v>8376.9500000000007</v>
      </c>
      <c r="C2387" s="116">
        <v>8014.25</v>
      </c>
      <c r="D2387" s="116">
        <v>7855</v>
      </c>
      <c r="E2387" s="116">
        <v>8291.15</v>
      </c>
      <c r="F2387" s="116">
        <v>8014.25</v>
      </c>
      <c r="G2387">
        <v>811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45593</v>
      </c>
      <c r="B2388" s="116">
        <v>8150</v>
      </c>
      <c r="C2388" s="116">
        <v>8009.2</v>
      </c>
      <c r="D2388" s="116">
        <v>7950.05</v>
      </c>
      <c r="E2388" s="116">
        <v>7970</v>
      </c>
      <c r="F2388" s="116">
        <v>8009.2</v>
      </c>
      <c r="G2388">
        <v>111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45594</v>
      </c>
      <c r="B2389" s="116">
        <v>8210</v>
      </c>
      <c r="C2389" s="116">
        <v>8120.2</v>
      </c>
      <c r="D2389" s="116">
        <v>7950</v>
      </c>
      <c r="E2389" s="116">
        <v>8000.2</v>
      </c>
      <c r="F2389" s="116">
        <v>8120.2</v>
      </c>
      <c r="G2389">
        <v>164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45595</v>
      </c>
      <c r="B2390" s="116">
        <v>8464.0499999999993</v>
      </c>
      <c r="C2390" s="116">
        <v>8278.6</v>
      </c>
      <c r="D2390" s="116">
        <v>7920.15</v>
      </c>
      <c r="E2390" s="116">
        <v>8100</v>
      </c>
      <c r="F2390" s="116">
        <v>8278.6</v>
      </c>
      <c r="G2390">
        <v>191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45596</v>
      </c>
      <c r="B2391" s="116">
        <v>8798</v>
      </c>
      <c r="C2391" s="116">
        <v>8256.4</v>
      </c>
      <c r="D2391" s="116">
        <v>7955</v>
      </c>
      <c r="E2391" s="116">
        <v>8444.2000000000007</v>
      </c>
      <c r="F2391" s="116">
        <v>8256.4</v>
      </c>
      <c r="G2391">
        <v>373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45597</v>
      </c>
      <c r="B2392" s="116">
        <v>8454.5499999999993</v>
      </c>
      <c r="C2392" s="116">
        <v>8372.7999999999993</v>
      </c>
      <c r="D2392" s="116">
        <v>8207</v>
      </c>
      <c r="E2392" s="116">
        <v>8330</v>
      </c>
      <c r="F2392" s="116">
        <v>8372.7999999999993</v>
      </c>
      <c r="G2392">
        <v>74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45600</v>
      </c>
      <c r="B2393" s="116">
        <v>8489.9500000000007</v>
      </c>
      <c r="C2393" s="116">
        <v>8151.75</v>
      </c>
      <c r="D2393" s="116">
        <v>8073.75</v>
      </c>
      <c r="E2393" s="116">
        <v>8250.1</v>
      </c>
      <c r="F2393" s="116">
        <v>8151.75</v>
      </c>
      <c r="G2393">
        <v>246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45601</v>
      </c>
      <c r="B2394" s="116">
        <v>8269</v>
      </c>
      <c r="C2394" s="116">
        <v>8192.5499999999993</v>
      </c>
      <c r="D2394" s="116">
        <v>8117</v>
      </c>
      <c r="E2394" s="116">
        <v>8268.9500000000007</v>
      </c>
      <c r="F2394" s="116">
        <v>8192.5499999999993</v>
      </c>
      <c r="G2394">
        <v>114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45602</v>
      </c>
      <c r="B2395" s="116">
        <v>8400</v>
      </c>
      <c r="C2395" s="116">
        <v>8291.4500000000007</v>
      </c>
      <c r="D2395" s="116">
        <v>8225.0499999999993</v>
      </c>
      <c r="E2395" s="116">
        <v>8249</v>
      </c>
      <c r="F2395" s="116">
        <v>8291.4500000000007</v>
      </c>
      <c r="G2395">
        <v>101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45603</v>
      </c>
      <c r="B2396" s="116">
        <v>8423.5499999999993</v>
      </c>
      <c r="C2396" s="116">
        <v>8274.85</v>
      </c>
      <c r="D2396" s="116">
        <v>8250</v>
      </c>
      <c r="E2396" s="116">
        <v>8291.5</v>
      </c>
      <c r="F2396" s="116">
        <v>8274.85</v>
      </c>
      <c r="G2396">
        <v>112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45604</v>
      </c>
      <c r="B2397" s="116">
        <v>8358</v>
      </c>
      <c r="C2397" s="116">
        <v>8221.65</v>
      </c>
      <c r="D2397" s="116">
        <v>8151</v>
      </c>
      <c r="E2397" s="116">
        <v>8180.05</v>
      </c>
      <c r="F2397" s="116">
        <v>8221.65</v>
      </c>
      <c r="G2397">
        <v>172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45607</v>
      </c>
      <c r="B2398" s="116">
        <v>8340</v>
      </c>
      <c r="C2398" s="116">
        <v>8211.5499999999993</v>
      </c>
      <c r="D2398" s="116">
        <v>8121</v>
      </c>
      <c r="E2398" s="116">
        <v>8121.1</v>
      </c>
      <c r="F2398" s="116">
        <v>8211.5499999999993</v>
      </c>
      <c r="G2398">
        <v>185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45608</v>
      </c>
      <c r="B2399" s="116">
        <v>8399.9500000000007</v>
      </c>
      <c r="C2399" s="116">
        <v>8223.9500000000007</v>
      </c>
      <c r="D2399" s="116">
        <v>8150</v>
      </c>
      <c r="E2399" s="116">
        <v>8399.9500000000007</v>
      </c>
      <c r="F2399" s="116">
        <v>8223.9500000000007</v>
      </c>
      <c r="G2399">
        <v>165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45609</v>
      </c>
      <c r="B2400" s="116">
        <v>8223.9500000000007</v>
      </c>
      <c r="C2400" s="116">
        <v>8091.9</v>
      </c>
      <c r="D2400" s="116">
        <v>7900</v>
      </c>
      <c r="E2400" s="116">
        <v>8223.9</v>
      </c>
      <c r="F2400" s="116">
        <v>8091.9</v>
      </c>
      <c r="G2400">
        <v>243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45610</v>
      </c>
      <c r="B2401" s="116">
        <v>8199</v>
      </c>
      <c r="C2401" s="116">
        <v>8017.65</v>
      </c>
      <c r="D2401" s="116">
        <v>8000.1</v>
      </c>
      <c r="E2401" s="116">
        <v>8090</v>
      </c>
      <c r="F2401" s="116">
        <v>8017.65</v>
      </c>
      <c r="G2401">
        <v>401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45614</v>
      </c>
      <c r="B2402" s="116">
        <v>8144.95</v>
      </c>
      <c r="C2402" s="116">
        <v>8089.2</v>
      </c>
      <c r="D2402" s="116">
        <v>8046.1</v>
      </c>
      <c r="E2402" s="116">
        <v>8046.1</v>
      </c>
      <c r="F2402" s="116">
        <v>8089.2</v>
      </c>
      <c r="G2402">
        <v>62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45615</v>
      </c>
      <c r="B2403" s="116">
        <v>8390.1</v>
      </c>
      <c r="C2403" s="116">
        <v>8144.7</v>
      </c>
      <c r="D2403" s="116">
        <v>8075.25</v>
      </c>
      <c r="E2403" s="116">
        <v>8149</v>
      </c>
      <c r="F2403" s="116">
        <v>8144.7</v>
      </c>
      <c r="G2403">
        <v>246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45617</v>
      </c>
      <c r="B2404" s="116">
        <v>8249.25</v>
      </c>
      <c r="C2404" s="116">
        <v>8146.25</v>
      </c>
      <c r="D2404" s="116">
        <v>8101.05</v>
      </c>
      <c r="E2404" s="116">
        <v>8154</v>
      </c>
      <c r="F2404" s="116">
        <v>8146.25</v>
      </c>
      <c r="G2404">
        <v>160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45618</v>
      </c>
      <c r="B2405" s="116">
        <v>8144.65</v>
      </c>
      <c r="C2405" s="116">
        <v>8121.05</v>
      </c>
      <c r="D2405" s="116">
        <v>8000</v>
      </c>
      <c r="E2405" s="116">
        <v>8102.6</v>
      </c>
      <c r="F2405" s="116">
        <v>8121.05</v>
      </c>
      <c r="G2405">
        <v>130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45621</v>
      </c>
      <c r="B2406" s="116">
        <v>8299.4</v>
      </c>
      <c r="C2406" s="116">
        <v>8100.7</v>
      </c>
      <c r="D2406" s="116">
        <v>8013</v>
      </c>
      <c r="E2406" s="116">
        <v>8130</v>
      </c>
      <c r="F2406" s="116">
        <v>8100.7</v>
      </c>
      <c r="G2406">
        <v>292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45622</v>
      </c>
      <c r="B2407" s="116">
        <v>8150</v>
      </c>
      <c r="C2407" s="116">
        <v>8080.05</v>
      </c>
      <c r="D2407" s="116">
        <v>8070</v>
      </c>
      <c r="E2407" s="116">
        <v>8098.95</v>
      </c>
      <c r="F2407" s="116">
        <v>8080.05</v>
      </c>
      <c r="G2407">
        <v>207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45623</v>
      </c>
      <c r="B2408" s="116">
        <v>8149.6</v>
      </c>
      <c r="C2408" s="116">
        <v>8030.6</v>
      </c>
      <c r="D2408" s="116">
        <v>8001</v>
      </c>
      <c r="E2408" s="116">
        <v>8149.6</v>
      </c>
      <c r="F2408" s="116">
        <v>8030.6</v>
      </c>
      <c r="G2408">
        <v>430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45624</v>
      </c>
      <c r="B2409" s="116">
        <v>8090</v>
      </c>
      <c r="C2409" s="116">
        <v>8067.75</v>
      </c>
      <c r="D2409" s="116">
        <v>8015</v>
      </c>
      <c r="E2409" s="116">
        <v>8015</v>
      </c>
      <c r="F2409" s="116">
        <v>8067.75</v>
      </c>
      <c r="G2409">
        <v>165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45625</v>
      </c>
      <c r="B2410" s="116">
        <v>8120</v>
      </c>
      <c r="C2410" s="116">
        <v>8065.6</v>
      </c>
      <c r="D2410" s="116">
        <v>8040</v>
      </c>
      <c r="E2410" s="116">
        <v>8080</v>
      </c>
      <c r="F2410" s="116">
        <v>8065.6</v>
      </c>
      <c r="G2410">
        <v>74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45628</v>
      </c>
      <c r="B2411" s="116">
        <v>8148</v>
      </c>
      <c r="C2411" s="116">
        <v>8119.25</v>
      </c>
      <c r="D2411" s="116">
        <v>8040</v>
      </c>
      <c r="E2411" s="116">
        <v>8065.65</v>
      </c>
      <c r="F2411" s="116">
        <v>8119.25</v>
      </c>
      <c r="G2411">
        <v>109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45629</v>
      </c>
      <c r="B2412" s="116">
        <v>8199</v>
      </c>
      <c r="C2412" s="116">
        <v>8173.75</v>
      </c>
      <c r="D2412" s="116">
        <v>8071</v>
      </c>
      <c r="E2412" s="116">
        <v>8199</v>
      </c>
      <c r="F2412" s="116">
        <v>8173.75</v>
      </c>
      <c r="G2412">
        <v>155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45630</v>
      </c>
      <c r="B2413" s="116">
        <v>8237.5499999999993</v>
      </c>
      <c r="C2413" s="116">
        <v>8129.35</v>
      </c>
      <c r="D2413" s="116">
        <v>8098</v>
      </c>
      <c r="E2413" s="116">
        <v>8197.5</v>
      </c>
      <c r="F2413" s="116">
        <v>8129.35</v>
      </c>
      <c r="G2413">
        <v>134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45631</v>
      </c>
      <c r="B2414" s="116">
        <v>8195</v>
      </c>
      <c r="C2414" s="116">
        <v>8166.65</v>
      </c>
      <c r="D2414" s="116">
        <v>8040</v>
      </c>
      <c r="E2414" s="116">
        <v>8194.2999999999993</v>
      </c>
      <c r="F2414" s="116">
        <v>8166.65</v>
      </c>
      <c r="G2414">
        <v>161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45632</v>
      </c>
      <c r="B2415" s="116">
        <v>8190.75</v>
      </c>
      <c r="C2415" s="116">
        <v>8131.75</v>
      </c>
      <c r="D2415" s="116">
        <v>8010.2</v>
      </c>
      <c r="E2415" s="116">
        <v>8166.65</v>
      </c>
      <c r="F2415" s="116">
        <v>8131.75</v>
      </c>
      <c r="G2415">
        <v>166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45635</v>
      </c>
      <c r="B2416" s="116">
        <v>8189.9</v>
      </c>
      <c r="C2416" s="116">
        <v>8131.6</v>
      </c>
      <c r="D2416" s="116">
        <v>8042</v>
      </c>
      <c r="E2416" s="116">
        <v>8189.9</v>
      </c>
      <c r="F2416" s="116">
        <v>8131.6</v>
      </c>
      <c r="G2416">
        <v>135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45636</v>
      </c>
      <c r="B2417" s="116">
        <v>8190</v>
      </c>
      <c r="C2417" s="116">
        <v>8175.6</v>
      </c>
      <c r="D2417" s="116">
        <v>8094.95</v>
      </c>
      <c r="E2417" s="116">
        <v>8169.95</v>
      </c>
      <c r="F2417" s="116">
        <v>8175.6</v>
      </c>
      <c r="G2417">
        <v>153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45637</v>
      </c>
      <c r="B2418" s="116">
        <v>8250</v>
      </c>
      <c r="C2418" s="116">
        <v>8198.9</v>
      </c>
      <c r="D2418" s="116">
        <v>8116.95</v>
      </c>
      <c r="E2418" s="116">
        <v>8179.9</v>
      </c>
      <c r="F2418" s="116">
        <v>8198.9</v>
      </c>
      <c r="G2418">
        <v>226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45638</v>
      </c>
      <c r="B2419" s="116">
        <v>8999.9500000000007</v>
      </c>
      <c r="C2419" s="116">
        <v>8539.1</v>
      </c>
      <c r="D2419" s="116">
        <v>8140</v>
      </c>
      <c r="E2419" s="116">
        <v>8198.9500000000007</v>
      </c>
      <c r="F2419" s="116">
        <v>8539.1</v>
      </c>
      <c r="G2419">
        <v>638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45639</v>
      </c>
      <c r="B2420" s="116">
        <v>8700</v>
      </c>
      <c r="C2420" s="116">
        <v>8542.35</v>
      </c>
      <c r="D2420" s="116">
        <v>8315</v>
      </c>
      <c r="E2420" s="116">
        <v>8539.1</v>
      </c>
      <c r="F2420" s="116">
        <v>8542.35</v>
      </c>
      <c r="G2420">
        <v>246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45642</v>
      </c>
      <c r="B2421" s="116">
        <v>8499.9500000000007</v>
      </c>
      <c r="C2421" s="116">
        <v>8298.9</v>
      </c>
      <c r="D2421" s="116">
        <v>8241.85</v>
      </c>
      <c r="E2421" s="116">
        <v>8425.0499999999993</v>
      </c>
      <c r="F2421" s="116">
        <v>8298.9</v>
      </c>
      <c r="G2421">
        <v>300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45643</v>
      </c>
      <c r="B2422" s="116">
        <v>8444.5499999999993</v>
      </c>
      <c r="C2422" s="116">
        <v>8351.9</v>
      </c>
      <c r="D2422" s="116">
        <v>8315.35</v>
      </c>
      <c r="E2422" s="116">
        <v>8360</v>
      </c>
      <c r="F2422" s="116">
        <v>8351.9</v>
      </c>
      <c r="G2422">
        <v>93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45644</v>
      </c>
      <c r="B2423" s="116">
        <v>8599</v>
      </c>
      <c r="C2423" s="116">
        <v>8384.2000000000007</v>
      </c>
      <c r="D2423" s="116">
        <v>8340</v>
      </c>
      <c r="E2423" s="116">
        <v>8599</v>
      </c>
      <c r="F2423" s="116">
        <v>8384.2000000000007</v>
      </c>
      <c r="G2423">
        <v>111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45645</v>
      </c>
      <c r="B2424" s="116">
        <v>8385</v>
      </c>
      <c r="C2424" s="116">
        <v>8315.7999999999993</v>
      </c>
      <c r="D2424" s="116">
        <v>8050</v>
      </c>
      <c r="E2424" s="116">
        <v>8384.2000000000007</v>
      </c>
      <c r="F2424" s="116">
        <v>8315.7999999999993</v>
      </c>
      <c r="G2424">
        <v>207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45646</v>
      </c>
      <c r="B2425" s="116">
        <v>8389</v>
      </c>
      <c r="C2425" s="116">
        <v>8225.9500000000007</v>
      </c>
      <c r="D2425" s="116">
        <v>8201</v>
      </c>
      <c r="E2425" s="116">
        <v>8300.0499999999993</v>
      </c>
      <c r="F2425" s="116">
        <v>8225.9500000000007</v>
      </c>
      <c r="G2425">
        <v>47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45649</v>
      </c>
      <c r="B2426" s="116">
        <v>8300</v>
      </c>
      <c r="C2426" s="116">
        <v>8142.85</v>
      </c>
      <c r="D2426" s="116">
        <v>8022.05</v>
      </c>
      <c r="E2426" s="116">
        <v>8294.9500000000007</v>
      </c>
      <c r="F2426" s="116">
        <v>8142.85</v>
      </c>
      <c r="G2426">
        <v>135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45650</v>
      </c>
      <c r="B2427" s="116">
        <v>8300</v>
      </c>
      <c r="C2427" s="116">
        <v>8254.2999999999993</v>
      </c>
      <c r="D2427" s="116">
        <v>8143</v>
      </c>
      <c r="E2427" s="116">
        <v>8143</v>
      </c>
      <c r="F2427" s="116">
        <v>8254.2999999999993</v>
      </c>
      <c r="G2427">
        <v>64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45652</v>
      </c>
      <c r="B2428" s="116">
        <v>8338</v>
      </c>
      <c r="C2428" s="116">
        <v>8279.6</v>
      </c>
      <c r="D2428" s="116">
        <v>8141.05</v>
      </c>
      <c r="E2428" s="116">
        <v>8280</v>
      </c>
      <c r="F2428" s="116">
        <v>8279.6</v>
      </c>
      <c r="G2428">
        <v>188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45653</v>
      </c>
      <c r="B2429" s="116">
        <v>8341.5</v>
      </c>
      <c r="C2429" s="116">
        <v>8243.9</v>
      </c>
      <c r="D2429" s="116">
        <v>8213.35</v>
      </c>
      <c r="E2429" s="116">
        <v>8269.9</v>
      </c>
      <c r="F2429" s="116">
        <v>8243.9</v>
      </c>
      <c r="G2429">
        <v>121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45656</v>
      </c>
      <c r="B2430" s="116">
        <v>8490</v>
      </c>
      <c r="C2430" s="116">
        <v>8243.9</v>
      </c>
      <c r="D2430" s="116">
        <v>8222.25</v>
      </c>
      <c r="E2430" s="116">
        <v>8490</v>
      </c>
      <c r="F2430" s="116">
        <v>8243.9</v>
      </c>
      <c r="G2430">
        <v>92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45657</v>
      </c>
      <c r="B2431" s="116">
        <v>8499</v>
      </c>
      <c r="C2431" s="116">
        <v>8179.65</v>
      </c>
      <c r="D2431" s="116">
        <v>8111.1</v>
      </c>
      <c r="E2431" s="116">
        <v>8140</v>
      </c>
      <c r="F2431" s="116">
        <v>8179.65</v>
      </c>
      <c r="G2431">
        <v>241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45658</v>
      </c>
      <c r="B2432" s="116">
        <v>8349.9500000000007</v>
      </c>
      <c r="C2432" s="116">
        <v>8309.4</v>
      </c>
      <c r="D2432" s="116">
        <v>8186.1</v>
      </c>
      <c r="E2432" s="116">
        <v>8349.9500000000007</v>
      </c>
      <c r="F2432" s="116">
        <v>8309.4</v>
      </c>
      <c r="G2432">
        <v>84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45659</v>
      </c>
      <c r="B2433" s="116">
        <v>8387</v>
      </c>
      <c r="C2433" s="116">
        <v>8369.75</v>
      </c>
      <c r="D2433" s="116">
        <v>8260</v>
      </c>
      <c r="E2433" s="116">
        <v>8340.0499999999993</v>
      </c>
      <c r="F2433" s="116">
        <v>8369.75</v>
      </c>
      <c r="G2433">
        <v>152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45660</v>
      </c>
      <c r="B2434" s="116">
        <v>8401</v>
      </c>
      <c r="C2434" s="116">
        <v>8397.4500000000007</v>
      </c>
      <c r="D2434" s="116">
        <v>8310</v>
      </c>
      <c r="E2434" s="116">
        <v>8310.0499999999993</v>
      </c>
      <c r="F2434" s="116">
        <v>8397.4500000000007</v>
      </c>
      <c r="G2434">
        <v>114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45663</v>
      </c>
      <c r="B2435" s="116">
        <v>8488.5</v>
      </c>
      <c r="C2435" s="116">
        <v>8206.1</v>
      </c>
      <c r="D2435" s="116">
        <v>8000</v>
      </c>
      <c r="E2435" s="116">
        <v>8450</v>
      </c>
      <c r="F2435" s="116">
        <v>8206.1</v>
      </c>
      <c r="G2435">
        <v>425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45664</v>
      </c>
      <c r="B2436" s="116">
        <v>8350</v>
      </c>
      <c r="C2436" s="116">
        <v>8219.2000000000007</v>
      </c>
      <c r="D2436" s="116">
        <v>8125</v>
      </c>
      <c r="E2436" s="116">
        <v>8265.9500000000007</v>
      </c>
      <c r="F2436" s="116">
        <v>8219.2000000000007</v>
      </c>
      <c r="G2436">
        <v>104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45665</v>
      </c>
      <c r="B2437" s="116">
        <v>8348</v>
      </c>
      <c r="C2437" s="116">
        <v>8200.15</v>
      </c>
      <c r="D2437" s="116">
        <v>8151.2</v>
      </c>
      <c r="E2437" s="116">
        <v>8267.0499999999993</v>
      </c>
      <c r="F2437" s="116">
        <v>8200.15</v>
      </c>
      <c r="G2437">
        <v>64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45666</v>
      </c>
      <c r="B2438" s="116">
        <v>8364.9500000000007</v>
      </c>
      <c r="C2438" s="116">
        <v>8226.9</v>
      </c>
      <c r="D2438" s="116">
        <v>8180</v>
      </c>
      <c r="E2438" s="116">
        <v>8200.2000000000007</v>
      </c>
      <c r="F2438" s="116">
        <v>8226.9</v>
      </c>
      <c r="G2438">
        <v>179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45667</v>
      </c>
      <c r="B2439" s="116">
        <v>8226</v>
      </c>
      <c r="C2439" s="116">
        <v>8136.95</v>
      </c>
      <c r="D2439" s="116">
        <v>8013.35</v>
      </c>
      <c r="E2439" s="116">
        <v>8226</v>
      </c>
      <c r="F2439" s="116">
        <v>8136.95</v>
      </c>
      <c r="G2439">
        <v>217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45670</v>
      </c>
      <c r="B2440" s="116">
        <v>8480</v>
      </c>
      <c r="C2440" s="116">
        <v>8105.45</v>
      </c>
      <c r="D2440" s="116">
        <v>8100</v>
      </c>
      <c r="E2440" s="116">
        <v>8135</v>
      </c>
      <c r="F2440" s="116">
        <v>8105.45</v>
      </c>
      <c r="G2440">
        <v>584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45671</v>
      </c>
      <c r="B2441" s="116">
        <v>8300</v>
      </c>
      <c r="C2441" s="116">
        <v>8270.4</v>
      </c>
      <c r="D2441" s="116">
        <v>8000</v>
      </c>
      <c r="E2441" s="116">
        <v>8117.25</v>
      </c>
      <c r="F2441" s="116">
        <v>8270.4</v>
      </c>
      <c r="G2441">
        <v>602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45672</v>
      </c>
      <c r="B2442" s="116">
        <v>9400</v>
      </c>
      <c r="C2442" s="116">
        <v>9270.0499999999993</v>
      </c>
      <c r="D2442" s="116">
        <v>8969.9500000000007</v>
      </c>
      <c r="E2442" s="116">
        <v>8988</v>
      </c>
      <c r="F2442" s="116">
        <v>9270.0499999999993</v>
      </c>
      <c r="G2442">
        <v>8313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45673</v>
      </c>
      <c r="B2443" s="116">
        <v>10346.950000000001</v>
      </c>
      <c r="C2443" s="116">
        <v>9990.7000000000007</v>
      </c>
      <c r="D2443" s="116">
        <v>9400.25</v>
      </c>
      <c r="E2443" s="116">
        <v>9500</v>
      </c>
      <c r="F2443" s="116">
        <v>9990.7000000000007</v>
      </c>
      <c r="G2443">
        <v>5992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45674</v>
      </c>
      <c r="B2444" s="116">
        <v>10398.950000000001</v>
      </c>
      <c r="C2444" s="116">
        <v>9949.75</v>
      </c>
      <c r="D2444" s="116">
        <v>9413.35</v>
      </c>
      <c r="E2444" s="116">
        <v>10180</v>
      </c>
      <c r="F2444" s="116">
        <v>9949.75</v>
      </c>
      <c r="G2444">
        <v>2992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45677</v>
      </c>
      <c r="B2445" s="116">
        <v>10300</v>
      </c>
      <c r="C2445" s="116">
        <v>10093.6</v>
      </c>
      <c r="D2445" s="116">
        <v>9770</v>
      </c>
      <c r="E2445" s="116">
        <v>9770</v>
      </c>
      <c r="F2445" s="116">
        <v>10093.6</v>
      </c>
      <c r="G2445">
        <v>1422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45678</v>
      </c>
      <c r="B2446" s="116">
        <v>10295.5</v>
      </c>
      <c r="C2446" s="116">
        <v>9877.9</v>
      </c>
      <c r="D2446" s="116">
        <v>9612</v>
      </c>
      <c r="E2446" s="116">
        <v>10295.5</v>
      </c>
      <c r="F2446" s="116">
        <v>9877.9</v>
      </c>
      <c r="G2446">
        <v>1029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45679</v>
      </c>
      <c r="B2447" s="116">
        <v>10058.65</v>
      </c>
      <c r="C2447" s="116">
        <v>9521.65</v>
      </c>
      <c r="D2447" s="116">
        <v>9380.15</v>
      </c>
      <c r="E2447" s="116">
        <v>9890</v>
      </c>
      <c r="F2447" s="116">
        <v>9521.65</v>
      </c>
      <c r="G2447">
        <v>662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45680</v>
      </c>
      <c r="B2448" s="116">
        <v>9887.9500000000007</v>
      </c>
      <c r="C2448" s="116">
        <v>9821.9</v>
      </c>
      <c r="D2448" s="116">
        <v>9400</v>
      </c>
      <c r="E2448" s="116">
        <v>9589.9500000000007</v>
      </c>
      <c r="F2448" s="116">
        <v>9821.9</v>
      </c>
      <c r="G2448">
        <v>1814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45681</v>
      </c>
      <c r="B2449" s="116">
        <v>10200</v>
      </c>
      <c r="C2449" s="116">
        <v>9955.5</v>
      </c>
      <c r="D2449" s="116">
        <v>9673.1</v>
      </c>
      <c r="E2449" s="116">
        <v>9930</v>
      </c>
      <c r="F2449" s="116">
        <v>9955.5</v>
      </c>
      <c r="G2449">
        <v>1167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45684</v>
      </c>
      <c r="B2450" s="116">
        <v>9929.9500000000007</v>
      </c>
      <c r="C2450" s="116">
        <v>9567.1</v>
      </c>
      <c r="D2450" s="116">
        <v>9265.1</v>
      </c>
      <c r="E2450" s="116">
        <v>9929.9500000000007</v>
      </c>
      <c r="F2450" s="116">
        <v>9567.1</v>
      </c>
      <c r="G2450">
        <v>638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45685</v>
      </c>
      <c r="B2451" s="116">
        <v>10990</v>
      </c>
      <c r="C2451" s="116">
        <v>10651.65</v>
      </c>
      <c r="D2451" s="116">
        <v>9102</v>
      </c>
      <c r="E2451" s="116">
        <v>9552.9500000000007</v>
      </c>
      <c r="F2451" s="116">
        <v>10651.65</v>
      </c>
      <c r="G2451">
        <v>4420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45686</v>
      </c>
      <c r="B2452" s="116">
        <v>11200</v>
      </c>
      <c r="C2452" s="116">
        <v>10171.200000000001</v>
      </c>
      <c r="D2452" s="116">
        <v>10022</v>
      </c>
      <c r="E2452" s="116">
        <v>10850</v>
      </c>
      <c r="F2452" s="116">
        <v>10171.200000000001</v>
      </c>
      <c r="G2452">
        <v>3416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45687</v>
      </c>
      <c r="B2453" s="116">
        <v>10595.55</v>
      </c>
      <c r="C2453" s="116">
        <v>10080.65</v>
      </c>
      <c r="D2453" s="116">
        <v>9944.5</v>
      </c>
      <c r="E2453" s="116">
        <v>10171.200000000001</v>
      </c>
      <c r="F2453" s="116">
        <v>10080.65</v>
      </c>
      <c r="G2453">
        <v>898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45688</v>
      </c>
      <c r="B2454" s="116">
        <v>10400.049999999999</v>
      </c>
      <c r="C2454" s="116">
        <v>10225.299999999999</v>
      </c>
      <c r="D2454" s="116">
        <v>10005.1</v>
      </c>
      <c r="E2454" s="116">
        <v>10399</v>
      </c>
      <c r="F2454" s="116">
        <v>10225.299999999999</v>
      </c>
      <c r="G2454">
        <v>850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45689</v>
      </c>
      <c r="B2455" s="116">
        <v>10222.25</v>
      </c>
      <c r="C2455" s="116">
        <v>10201.15</v>
      </c>
      <c r="D2455" s="116">
        <v>10013.549999999999</v>
      </c>
      <c r="E2455" s="116">
        <v>10016.049999999999</v>
      </c>
      <c r="F2455" s="116">
        <v>10201.15</v>
      </c>
      <c r="G2455">
        <v>232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45691</v>
      </c>
      <c r="B2456" s="116">
        <v>10299</v>
      </c>
      <c r="C2456" s="116">
        <v>10083.9</v>
      </c>
      <c r="D2456" s="116">
        <v>9951</v>
      </c>
      <c r="E2456" s="116">
        <v>10200</v>
      </c>
      <c r="F2456" s="116">
        <v>10083.9</v>
      </c>
      <c r="G2456">
        <v>307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45692</v>
      </c>
      <c r="B2457" s="116">
        <v>10902</v>
      </c>
      <c r="C2457" s="116">
        <v>10478.25</v>
      </c>
      <c r="D2457" s="116">
        <v>10081</v>
      </c>
      <c r="E2457" s="116">
        <v>10081</v>
      </c>
      <c r="F2457" s="116">
        <v>10478.25</v>
      </c>
      <c r="G2457">
        <v>688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45693</v>
      </c>
      <c r="B2458" s="116">
        <v>10999</v>
      </c>
      <c r="C2458" s="116">
        <v>10808.25</v>
      </c>
      <c r="D2458" s="116">
        <v>10480</v>
      </c>
      <c r="E2458" s="116">
        <v>10480</v>
      </c>
      <c r="F2458" s="116">
        <v>10808.25</v>
      </c>
      <c r="G2458">
        <v>937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45694</v>
      </c>
      <c r="B2459" s="116">
        <v>11533.55</v>
      </c>
      <c r="C2459" s="116">
        <v>11426.95</v>
      </c>
      <c r="D2459" s="116">
        <v>10705</v>
      </c>
      <c r="E2459" s="116">
        <v>10705</v>
      </c>
      <c r="F2459" s="116">
        <v>11426.95</v>
      </c>
      <c r="G2459">
        <v>2958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45695</v>
      </c>
      <c r="B2460" s="116">
        <v>11800</v>
      </c>
      <c r="C2460" s="116">
        <v>11262.65</v>
      </c>
      <c r="D2460" s="116">
        <v>11152.05</v>
      </c>
      <c r="E2460" s="116">
        <v>11679.9</v>
      </c>
      <c r="F2460" s="116">
        <v>11262.65</v>
      </c>
      <c r="G2460">
        <v>1189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45698</v>
      </c>
      <c r="B2461" s="116">
        <v>11689.95</v>
      </c>
      <c r="C2461" s="116">
        <v>11568.1</v>
      </c>
      <c r="D2461" s="116">
        <v>11001.05</v>
      </c>
      <c r="E2461" s="116">
        <v>11590</v>
      </c>
      <c r="F2461" s="116">
        <v>11568.1</v>
      </c>
      <c r="G2461">
        <v>965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45699</v>
      </c>
      <c r="B2462" s="116">
        <v>11450.05</v>
      </c>
      <c r="C2462" s="116">
        <v>11123.45</v>
      </c>
      <c r="D2462" s="116">
        <v>10975</v>
      </c>
      <c r="E2462" s="116">
        <v>11450</v>
      </c>
      <c r="F2462" s="116">
        <v>11123.45</v>
      </c>
      <c r="G2462">
        <v>980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45700</v>
      </c>
      <c r="B2463" s="116">
        <v>11300</v>
      </c>
      <c r="C2463" s="116">
        <v>10891.35</v>
      </c>
      <c r="D2463" s="116">
        <v>9316.9500000000007</v>
      </c>
      <c r="E2463" s="116">
        <v>11300</v>
      </c>
      <c r="F2463" s="116">
        <v>10891.35</v>
      </c>
      <c r="G2463">
        <v>2580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45701</v>
      </c>
      <c r="B2464" s="116">
        <v>11199.9</v>
      </c>
      <c r="C2464" s="116">
        <v>10933.75</v>
      </c>
      <c r="D2464" s="116">
        <v>10700</v>
      </c>
      <c r="E2464" s="116">
        <v>11111</v>
      </c>
      <c r="F2464" s="116">
        <v>10933.75</v>
      </c>
      <c r="G2464">
        <v>575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45702</v>
      </c>
      <c r="B2465" s="116">
        <v>11001</v>
      </c>
      <c r="C2465" s="116">
        <v>10212.65</v>
      </c>
      <c r="D2465" s="116">
        <v>9990.0499999999993</v>
      </c>
      <c r="E2465" s="116">
        <v>11000</v>
      </c>
      <c r="F2465" s="116">
        <v>10212.65</v>
      </c>
      <c r="G2465">
        <v>1349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45705</v>
      </c>
      <c r="B2466" s="116">
        <v>10500</v>
      </c>
      <c r="C2466" s="116">
        <v>9728.5</v>
      </c>
      <c r="D2466" s="116">
        <v>9612.35</v>
      </c>
      <c r="E2466" s="116">
        <v>10399.950000000001</v>
      </c>
      <c r="F2466" s="116">
        <v>9728.5</v>
      </c>
      <c r="G2466">
        <v>1700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45706</v>
      </c>
      <c r="B2467" s="116">
        <v>10789</v>
      </c>
      <c r="C2467" s="116">
        <v>10507.2</v>
      </c>
      <c r="D2467" s="116">
        <v>9741</v>
      </c>
      <c r="E2467" s="116">
        <v>9923.15</v>
      </c>
      <c r="F2467" s="116">
        <v>10507.2</v>
      </c>
      <c r="G2467">
        <v>1452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45707</v>
      </c>
      <c r="B2468" s="116">
        <v>11550</v>
      </c>
      <c r="C2468" s="116">
        <v>11482.15</v>
      </c>
      <c r="D2468" s="116">
        <v>10440</v>
      </c>
      <c r="E2468" s="116">
        <v>10749.95</v>
      </c>
      <c r="F2468" s="116">
        <v>11482.15</v>
      </c>
      <c r="G2468">
        <v>1437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45708</v>
      </c>
      <c r="B2469" s="116">
        <v>12299.9</v>
      </c>
      <c r="C2469" s="116">
        <v>11776.75</v>
      </c>
      <c r="D2469" s="116">
        <v>11539.55</v>
      </c>
      <c r="E2469" s="116">
        <v>11570.05</v>
      </c>
      <c r="F2469" s="116">
        <v>11776.75</v>
      </c>
      <c r="G2469">
        <v>2250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45709</v>
      </c>
      <c r="B2470" s="116">
        <v>12499.95</v>
      </c>
      <c r="C2470" s="116">
        <v>12015.1</v>
      </c>
      <c r="D2470" s="116">
        <v>11900</v>
      </c>
      <c r="E2470" s="116">
        <v>11900</v>
      </c>
      <c r="F2470" s="116">
        <v>12015.1</v>
      </c>
      <c r="G2470">
        <v>2496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45712</v>
      </c>
      <c r="B2471" s="116">
        <v>12399.95</v>
      </c>
      <c r="C2471" s="116">
        <v>12213.95</v>
      </c>
      <c r="D2471" s="116">
        <v>10611.15</v>
      </c>
      <c r="E2471" s="116">
        <v>11915</v>
      </c>
      <c r="F2471" s="116">
        <v>12213.95</v>
      </c>
      <c r="G2471">
        <v>1947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45713</v>
      </c>
      <c r="B2472" s="116">
        <v>12490</v>
      </c>
      <c r="C2472" s="116">
        <v>11852.2</v>
      </c>
      <c r="D2472" s="116">
        <v>11610</v>
      </c>
      <c r="E2472" s="116">
        <v>12300</v>
      </c>
      <c r="F2472" s="116">
        <v>11852.2</v>
      </c>
      <c r="G2472">
        <v>1099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45715</v>
      </c>
      <c r="B2473" s="116">
        <v>11998.9</v>
      </c>
      <c r="C2473" s="116">
        <v>11456.7</v>
      </c>
      <c r="D2473" s="116">
        <v>11310</v>
      </c>
      <c r="E2473" s="116">
        <v>11861</v>
      </c>
      <c r="F2473" s="116">
        <v>11456.7</v>
      </c>
      <c r="G2473">
        <v>877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45716</v>
      </c>
      <c r="B2474" s="116">
        <v>11499.9</v>
      </c>
      <c r="C2474" s="116">
        <v>10907.95</v>
      </c>
      <c r="D2474" s="116">
        <v>10520.1</v>
      </c>
      <c r="E2474" s="116">
        <v>11200</v>
      </c>
      <c r="F2474" s="116">
        <v>10907.95</v>
      </c>
      <c r="G2474">
        <v>1410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45719</v>
      </c>
      <c r="B2475" s="116">
        <v>11659.15</v>
      </c>
      <c r="C2475" s="116">
        <v>11315</v>
      </c>
      <c r="D2475" s="116">
        <v>10711.95</v>
      </c>
      <c r="E2475" s="116">
        <v>11050</v>
      </c>
      <c r="F2475" s="116">
        <v>11315</v>
      </c>
      <c r="G2475">
        <v>1270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45720</v>
      </c>
      <c r="B2476" s="116">
        <v>11750</v>
      </c>
      <c r="C2476" s="116">
        <v>11691.05</v>
      </c>
      <c r="D2476" s="116">
        <v>11000</v>
      </c>
      <c r="E2476" s="116">
        <v>11295.1</v>
      </c>
      <c r="F2476" s="116">
        <v>11691.05</v>
      </c>
      <c r="G2476">
        <v>917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45721</v>
      </c>
      <c r="B2477" s="116">
        <v>11999</v>
      </c>
      <c r="C2477" s="116">
        <v>11996.55</v>
      </c>
      <c r="D2477" s="116">
        <v>11720</v>
      </c>
      <c r="E2477" s="116">
        <v>11720</v>
      </c>
      <c r="F2477" s="116">
        <v>11996.55</v>
      </c>
      <c r="G2477">
        <v>1110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45722</v>
      </c>
      <c r="B2478" s="116">
        <v>12250</v>
      </c>
      <c r="C2478" s="116">
        <v>11862.8</v>
      </c>
      <c r="D2478" s="116">
        <v>11501.1</v>
      </c>
      <c r="E2478" s="116">
        <v>12189.95</v>
      </c>
      <c r="F2478" s="116">
        <v>11862.8</v>
      </c>
      <c r="G2478">
        <v>1025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45723</v>
      </c>
      <c r="B2479" s="116">
        <v>12065.05</v>
      </c>
      <c r="C2479" s="116">
        <v>11916.65</v>
      </c>
      <c r="D2479" s="116">
        <v>11700.6</v>
      </c>
      <c r="E2479" s="116">
        <v>11862.8</v>
      </c>
      <c r="F2479" s="116">
        <v>11916.65</v>
      </c>
      <c r="G2479">
        <v>354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45726</v>
      </c>
      <c r="B2480" s="116">
        <v>11999.95</v>
      </c>
      <c r="C2480" s="116">
        <v>11795.55</v>
      </c>
      <c r="D2480" s="116">
        <v>11590</v>
      </c>
      <c r="E2480" s="116">
        <v>11916.7</v>
      </c>
      <c r="F2480" s="116">
        <v>11795.55</v>
      </c>
      <c r="G2480">
        <v>618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45727</v>
      </c>
      <c r="B2481" s="116">
        <v>11800</v>
      </c>
      <c r="C2481" s="116">
        <v>11520.4</v>
      </c>
      <c r="D2481" s="116">
        <v>11400</v>
      </c>
      <c r="E2481" s="116">
        <v>11800</v>
      </c>
      <c r="F2481" s="116">
        <v>11520.4</v>
      </c>
      <c r="G2481">
        <v>432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45728</v>
      </c>
      <c r="B2482" s="116">
        <v>11800</v>
      </c>
      <c r="C2482" s="116">
        <v>11062.8</v>
      </c>
      <c r="D2482" s="116">
        <v>10989.95</v>
      </c>
      <c r="E2482" s="116">
        <v>11521</v>
      </c>
      <c r="F2482" s="116">
        <v>11062.8</v>
      </c>
      <c r="G2482">
        <v>876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45729</v>
      </c>
      <c r="B2483" s="116">
        <v>11500</v>
      </c>
      <c r="C2483" s="116">
        <v>11387.75</v>
      </c>
      <c r="D2483" s="116">
        <v>11131</v>
      </c>
      <c r="E2483" s="116">
        <v>11179</v>
      </c>
      <c r="F2483" s="116">
        <v>11387.75</v>
      </c>
      <c r="G2483">
        <v>607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45733</v>
      </c>
      <c r="B2484" s="116">
        <v>11649.85</v>
      </c>
      <c r="C2484" s="116">
        <v>11449.65</v>
      </c>
      <c r="D2484" s="116">
        <v>11301.05</v>
      </c>
      <c r="E2484" s="116">
        <v>11501</v>
      </c>
      <c r="F2484" s="116">
        <v>11449.65</v>
      </c>
      <c r="G2484">
        <v>359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45734</v>
      </c>
      <c r="B2485" s="116">
        <v>11800</v>
      </c>
      <c r="C2485" s="116">
        <v>11126.65</v>
      </c>
      <c r="D2485" s="116">
        <v>11020</v>
      </c>
      <c r="E2485" s="116">
        <v>11599.95</v>
      </c>
      <c r="F2485" s="116">
        <v>11126.65</v>
      </c>
      <c r="G2485">
        <v>1187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45735</v>
      </c>
      <c r="B2486" s="116">
        <v>11450</v>
      </c>
      <c r="C2486" s="116">
        <v>11357.85</v>
      </c>
      <c r="D2486" s="116">
        <v>11200</v>
      </c>
      <c r="E2486" s="116">
        <v>11200</v>
      </c>
      <c r="F2486" s="116">
        <v>11357.85</v>
      </c>
      <c r="G2486">
        <v>262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45736</v>
      </c>
      <c r="B2487" s="116">
        <v>11499</v>
      </c>
      <c r="C2487" s="116">
        <v>11115.75</v>
      </c>
      <c r="D2487" s="116">
        <v>11010</v>
      </c>
      <c r="E2487" s="116">
        <v>11499</v>
      </c>
      <c r="F2487" s="116">
        <v>11115.75</v>
      </c>
      <c r="G2487">
        <v>487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45737</v>
      </c>
      <c r="B2488" s="116">
        <v>11499</v>
      </c>
      <c r="C2488" s="116">
        <v>11099.95</v>
      </c>
      <c r="D2488" s="116">
        <v>10711</v>
      </c>
      <c r="E2488" s="116">
        <v>11100</v>
      </c>
      <c r="F2488" s="116">
        <v>11099.95</v>
      </c>
      <c r="G2488">
        <v>1664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45740</v>
      </c>
      <c r="B2489" s="116">
        <v>11775</v>
      </c>
      <c r="C2489" s="116">
        <v>11552.8</v>
      </c>
      <c r="D2489" s="116">
        <v>11250.05</v>
      </c>
      <c r="E2489" s="116">
        <v>11498</v>
      </c>
      <c r="F2489" s="116">
        <v>11552.8</v>
      </c>
      <c r="G2489">
        <v>1028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45741</v>
      </c>
      <c r="B2490" s="116">
        <v>11749.9</v>
      </c>
      <c r="C2490" s="116">
        <v>11147.3</v>
      </c>
      <c r="D2490" s="116">
        <v>11025</v>
      </c>
      <c r="E2490" s="116">
        <v>11699</v>
      </c>
      <c r="F2490" s="116">
        <v>11147.3</v>
      </c>
      <c r="G2490">
        <v>704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45742</v>
      </c>
      <c r="B2491" s="116">
        <v>11421.85</v>
      </c>
      <c r="C2491" s="116">
        <v>11103.85</v>
      </c>
      <c r="D2491" s="116">
        <v>11015</v>
      </c>
      <c r="E2491" s="116">
        <v>11421.85</v>
      </c>
      <c r="F2491" s="116">
        <v>11103.85</v>
      </c>
      <c r="G2491">
        <v>542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45743</v>
      </c>
      <c r="B2492" s="116">
        <v>11274.95</v>
      </c>
      <c r="C2492" s="116">
        <v>11086.8</v>
      </c>
      <c r="D2492" s="116">
        <v>10859</v>
      </c>
      <c r="E2492" s="116">
        <v>11260</v>
      </c>
      <c r="F2492" s="116">
        <v>11086.8</v>
      </c>
      <c r="G2492">
        <v>725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45744</v>
      </c>
      <c r="B2493" s="116">
        <v>11455</v>
      </c>
      <c r="C2493" s="116">
        <v>11187</v>
      </c>
      <c r="D2493" s="116">
        <v>11130</v>
      </c>
      <c r="E2493" s="116">
        <v>11369.95</v>
      </c>
      <c r="F2493" s="116">
        <v>11187</v>
      </c>
      <c r="G2493">
        <v>271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45748</v>
      </c>
      <c r="B2494" s="116">
        <v>11180</v>
      </c>
      <c r="C2494" s="116">
        <v>11029</v>
      </c>
      <c r="D2494" s="116">
        <v>10801.1</v>
      </c>
      <c r="E2494" s="116">
        <v>11180</v>
      </c>
      <c r="F2494" s="116">
        <v>11029</v>
      </c>
      <c r="G2494">
        <v>449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45749</v>
      </c>
      <c r="B2495" s="116">
        <v>11210</v>
      </c>
      <c r="C2495" s="116">
        <v>11112.95</v>
      </c>
      <c r="D2495" s="116">
        <v>10912.05</v>
      </c>
      <c r="E2495" s="116">
        <v>11010</v>
      </c>
      <c r="F2495" s="116">
        <v>11112.95</v>
      </c>
      <c r="G2495">
        <v>260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45750</v>
      </c>
      <c r="B2496" s="116">
        <v>11400</v>
      </c>
      <c r="C2496" s="116">
        <v>11213.45</v>
      </c>
      <c r="D2496" s="116">
        <v>11001</v>
      </c>
      <c r="E2496" s="116">
        <v>11001</v>
      </c>
      <c r="F2496" s="116">
        <v>11213.45</v>
      </c>
      <c r="G2496">
        <v>741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45751</v>
      </c>
      <c r="B2497" s="116">
        <v>11399</v>
      </c>
      <c r="C2497" s="116">
        <v>11125.3</v>
      </c>
      <c r="D2497" s="116">
        <v>11100</v>
      </c>
      <c r="E2497" s="116">
        <v>11399</v>
      </c>
      <c r="F2497" s="116">
        <v>11125.3</v>
      </c>
      <c r="G2497">
        <v>570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45754</v>
      </c>
      <c r="B2498" s="116">
        <v>10798</v>
      </c>
      <c r="C2498" s="116">
        <v>10486.45</v>
      </c>
      <c r="D2498" s="116">
        <v>10211</v>
      </c>
      <c r="E2498" s="116">
        <v>10211</v>
      </c>
      <c r="F2498" s="116">
        <v>10486.45</v>
      </c>
      <c r="G2498">
        <v>1576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45755</v>
      </c>
      <c r="B2499" s="116">
        <v>11200.05</v>
      </c>
      <c r="C2499" s="116">
        <v>10979.4</v>
      </c>
      <c r="D2499" s="116">
        <v>10704.95</v>
      </c>
      <c r="E2499" s="116">
        <v>10704.95</v>
      </c>
      <c r="F2499" s="116">
        <v>10979.4</v>
      </c>
      <c r="G2499">
        <v>614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45756</v>
      </c>
      <c r="B2500" s="116">
        <v>11000</v>
      </c>
      <c r="C2500" s="116">
        <v>10683.6</v>
      </c>
      <c r="D2500" s="116">
        <v>10599.6</v>
      </c>
      <c r="E2500" s="116">
        <v>10999.95</v>
      </c>
      <c r="F2500" s="116">
        <v>10683.6</v>
      </c>
      <c r="G2500">
        <v>506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45758</v>
      </c>
      <c r="B2501" s="116">
        <v>11250</v>
      </c>
      <c r="C2501" s="116">
        <v>10891.5</v>
      </c>
      <c r="D2501" s="116">
        <v>10701.5</v>
      </c>
      <c r="E2501" s="116">
        <v>10989</v>
      </c>
      <c r="F2501" s="116">
        <v>10891.5</v>
      </c>
      <c r="G2501">
        <v>473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45762</v>
      </c>
      <c r="B2502" s="116">
        <v>11200</v>
      </c>
      <c r="C2502" s="116">
        <v>11001.1</v>
      </c>
      <c r="D2502" s="116">
        <v>10890.25</v>
      </c>
      <c r="E2502" s="116">
        <v>11200</v>
      </c>
      <c r="F2502" s="116">
        <v>11001.1</v>
      </c>
      <c r="G2502">
        <v>420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45763</v>
      </c>
      <c r="B2503" s="116">
        <v>11167.8</v>
      </c>
      <c r="C2503" s="116">
        <v>10998.05</v>
      </c>
      <c r="D2503" s="116">
        <v>10951.05</v>
      </c>
      <c r="E2503" s="116">
        <v>10999.95</v>
      </c>
      <c r="F2503" s="116">
        <v>10998.05</v>
      </c>
      <c r="G2503">
        <v>362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45764</v>
      </c>
      <c r="B2504" s="116">
        <v>11100</v>
      </c>
      <c r="C2504" s="116">
        <v>11015.65</v>
      </c>
      <c r="D2504" s="116">
        <v>10882.05</v>
      </c>
      <c r="E2504" s="116">
        <v>11100</v>
      </c>
      <c r="F2504" s="116">
        <v>11015.65</v>
      </c>
      <c r="G2504">
        <v>619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45768</v>
      </c>
      <c r="B2505" s="116">
        <v>11949.9</v>
      </c>
      <c r="C2505" s="116">
        <v>11750.45</v>
      </c>
      <c r="D2505" s="116">
        <v>10916</v>
      </c>
      <c r="E2505" s="116">
        <v>11100</v>
      </c>
      <c r="F2505" s="116">
        <v>11750.45</v>
      </c>
      <c r="G2505">
        <v>1226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45769</v>
      </c>
      <c r="B2506" s="116">
        <v>11980</v>
      </c>
      <c r="C2506" s="116">
        <v>11841.15</v>
      </c>
      <c r="D2506" s="116">
        <v>11700</v>
      </c>
      <c r="E2506" s="116">
        <v>11750</v>
      </c>
      <c r="F2506" s="116">
        <v>11841.15</v>
      </c>
      <c r="G2506">
        <v>631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45770</v>
      </c>
      <c r="B2507" s="116">
        <v>12000</v>
      </c>
      <c r="C2507" s="116">
        <v>11968.7</v>
      </c>
      <c r="D2507" s="116">
        <v>11905.05</v>
      </c>
      <c r="E2507" s="116">
        <v>12000</v>
      </c>
      <c r="F2507" s="116">
        <v>11968.7</v>
      </c>
      <c r="G2507">
        <v>751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45771</v>
      </c>
      <c r="B2508" s="116">
        <v>11999</v>
      </c>
      <c r="C2508" s="116">
        <v>11952.5</v>
      </c>
      <c r="D2508" s="116">
        <v>11750</v>
      </c>
      <c r="E2508" s="116">
        <v>11960</v>
      </c>
      <c r="F2508" s="116">
        <v>11952.5</v>
      </c>
      <c r="G2508">
        <v>780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45772</v>
      </c>
      <c r="B2509" s="116">
        <v>11999.95</v>
      </c>
      <c r="C2509" s="116">
        <v>11755.6</v>
      </c>
      <c r="D2509" s="116">
        <v>11333.05</v>
      </c>
      <c r="E2509" s="116">
        <v>11999.95</v>
      </c>
      <c r="F2509" s="116">
        <v>11755.6</v>
      </c>
      <c r="G2509">
        <v>1109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45775</v>
      </c>
      <c r="B2510" s="116">
        <v>12000</v>
      </c>
      <c r="C2510" s="116">
        <v>11866.3</v>
      </c>
      <c r="D2510" s="116">
        <v>11600</v>
      </c>
      <c r="E2510" s="116">
        <v>11860</v>
      </c>
      <c r="F2510" s="116">
        <v>11866.3</v>
      </c>
      <c r="G2510">
        <v>3418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45776</v>
      </c>
      <c r="B2511" s="116">
        <v>11850</v>
      </c>
      <c r="C2511" s="116">
        <v>10684.85</v>
      </c>
      <c r="D2511" s="116">
        <v>10500</v>
      </c>
      <c r="E2511" s="116">
        <v>11850</v>
      </c>
      <c r="F2511" s="116">
        <v>10684.85</v>
      </c>
      <c r="G2511">
        <v>5106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45777</v>
      </c>
      <c r="B2512" s="116">
        <v>10779.9</v>
      </c>
      <c r="C2512" s="116">
        <v>10117.799999999999</v>
      </c>
      <c r="D2512" s="116">
        <v>10025</v>
      </c>
      <c r="E2512" s="116">
        <v>10750</v>
      </c>
      <c r="F2512" s="116">
        <v>10117.799999999999</v>
      </c>
      <c r="G2512">
        <v>2234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45779</v>
      </c>
      <c r="B2513" s="116">
        <v>10679</v>
      </c>
      <c r="C2513" s="116">
        <v>10584.4</v>
      </c>
      <c r="D2513" s="116">
        <v>10190</v>
      </c>
      <c r="E2513" s="116">
        <v>10190.25</v>
      </c>
      <c r="F2513" s="116">
        <v>10584.4</v>
      </c>
      <c r="G2513">
        <v>1198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45782</v>
      </c>
      <c r="B2514" s="116">
        <v>10778.95</v>
      </c>
      <c r="C2514" s="116">
        <v>10436.9</v>
      </c>
      <c r="D2514" s="116">
        <v>10230</v>
      </c>
      <c r="E2514" s="116">
        <v>10595</v>
      </c>
      <c r="F2514" s="116">
        <v>10436.9</v>
      </c>
      <c r="G2514">
        <v>486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45783</v>
      </c>
      <c r="B2515" s="116">
        <v>10600</v>
      </c>
      <c r="C2515" s="116">
        <v>10084.85</v>
      </c>
      <c r="D2515" s="116">
        <v>10002.049999999999</v>
      </c>
      <c r="E2515" s="116">
        <v>10488</v>
      </c>
      <c r="F2515" s="116">
        <v>10084.85</v>
      </c>
      <c r="G2515">
        <v>448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45784</v>
      </c>
      <c r="B2516" s="116">
        <v>9953.9500000000007</v>
      </c>
      <c r="C2516" s="116">
        <v>9854.9500000000007</v>
      </c>
      <c r="D2516" s="116">
        <v>9600</v>
      </c>
      <c r="E2516" s="116">
        <v>9600</v>
      </c>
      <c r="F2516" s="116">
        <v>9854.9500000000007</v>
      </c>
      <c r="G2516">
        <v>1523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45785</v>
      </c>
      <c r="B2517" s="116">
        <v>10179.950000000001</v>
      </c>
      <c r="C2517" s="116">
        <v>9989.65</v>
      </c>
      <c r="D2517" s="116">
        <v>9850</v>
      </c>
      <c r="E2517" s="116">
        <v>9850</v>
      </c>
      <c r="F2517" s="116">
        <v>9989.65</v>
      </c>
      <c r="G2517">
        <v>559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45786</v>
      </c>
      <c r="B2518" s="116">
        <v>9860</v>
      </c>
      <c r="C2518" s="116">
        <v>9760.0499999999993</v>
      </c>
      <c r="D2518" s="116">
        <v>9700.0499999999993</v>
      </c>
      <c r="E2518" s="116">
        <v>9751</v>
      </c>
      <c r="F2518" s="116">
        <v>9760.0499999999993</v>
      </c>
      <c r="G2518">
        <v>380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45789</v>
      </c>
      <c r="B2519" s="116">
        <v>10110</v>
      </c>
      <c r="C2519" s="116">
        <v>10083.049999999999</v>
      </c>
      <c r="D2519" s="116">
        <v>9800</v>
      </c>
      <c r="E2519" s="116">
        <v>9800</v>
      </c>
      <c r="F2519" s="116">
        <v>10083.049999999999</v>
      </c>
      <c r="G2519">
        <v>641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45790</v>
      </c>
      <c r="B2520" s="116">
        <v>10279.950000000001</v>
      </c>
      <c r="C2520" s="116">
        <v>10013.9</v>
      </c>
      <c r="D2520" s="116">
        <v>9960.2000000000007</v>
      </c>
      <c r="E2520" s="116">
        <v>10150</v>
      </c>
      <c r="F2520" s="116">
        <v>10013.9</v>
      </c>
      <c r="G2520">
        <v>624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45791</v>
      </c>
      <c r="B2521" s="116">
        <v>10139.85</v>
      </c>
      <c r="C2521" s="116">
        <v>10011.75</v>
      </c>
      <c r="D2521" s="116">
        <v>9950.1</v>
      </c>
      <c r="E2521" s="116">
        <v>10013.950000000001</v>
      </c>
      <c r="F2521" s="116">
        <v>10011.75</v>
      </c>
      <c r="G2521">
        <v>276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45792</v>
      </c>
      <c r="B2522" s="116">
        <v>10095</v>
      </c>
      <c r="C2522" s="116">
        <v>9911.2000000000007</v>
      </c>
      <c r="D2522" s="116">
        <v>9800</v>
      </c>
      <c r="E2522" s="116">
        <v>9950.1</v>
      </c>
      <c r="F2522" s="116">
        <v>9911.2000000000007</v>
      </c>
      <c r="G2522">
        <v>896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45793</v>
      </c>
      <c r="B2523" s="116">
        <v>9900</v>
      </c>
      <c r="C2523" s="116">
        <v>9837.2000000000007</v>
      </c>
      <c r="D2523" s="116">
        <v>9800.0499999999993</v>
      </c>
      <c r="E2523" s="116">
        <v>9900</v>
      </c>
      <c r="F2523" s="116">
        <v>9837.2000000000007</v>
      </c>
      <c r="G2523">
        <v>948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45796</v>
      </c>
      <c r="B2524" s="116">
        <v>9929.9500000000007</v>
      </c>
      <c r="C2524" s="116">
        <v>9888.65</v>
      </c>
      <c r="D2524" s="116">
        <v>9837</v>
      </c>
      <c r="E2524" s="116">
        <v>9837.2000000000007</v>
      </c>
      <c r="F2524" s="116">
        <v>9888.65</v>
      </c>
      <c r="G2524">
        <v>231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45797</v>
      </c>
      <c r="B2525" s="116">
        <v>9998.9500000000007</v>
      </c>
      <c r="C2525" s="116">
        <v>9878.15</v>
      </c>
      <c r="D2525" s="116">
        <v>9818</v>
      </c>
      <c r="E2525" s="116">
        <v>9988</v>
      </c>
      <c r="F2525" s="116">
        <v>9878.15</v>
      </c>
      <c r="G2525">
        <v>304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45798</v>
      </c>
      <c r="B2526" s="116">
        <v>9998</v>
      </c>
      <c r="C2526" s="116">
        <v>9852.5499999999993</v>
      </c>
      <c r="D2526" s="116">
        <v>9821.75</v>
      </c>
      <c r="E2526" s="116">
        <v>9984.9500000000007</v>
      </c>
      <c r="F2526" s="116">
        <v>9852.5499999999993</v>
      </c>
      <c r="G2526">
        <v>252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45799</v>
      </c>
      <c r="B2527" s="116">
        <v>9948</v>
      </c>
      <c r="C2527" s="116">
        <v>9842.9500000000007</v>
      </c>
      <c r="D2527" s="116">
        <v>9788</v>
      </c>
      <c r="E2527" s="116">
        <v>9948</v>
      </c>
      <c r="F2527" s="116">
        <v>9842.9500000000007</v>
      </c>
      <c r="G2527">
        <v>370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45800</v>
      </c>
      <c r="B2528" s="116">
        <v>9859</v>
      </c>
      <c r="C2528" s="116">
        <v>9785.65</v>
      </c>
      <c r="D2528" s="116">
        <v>9751</v>
      </c>
      <c r="E2528" s="116">
        <v>9839</v>
      </c>
      <c r="F2528" s="116">
        <v>9785.65</v>
      </c>
      <c r="G2528">
        <v>238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45803</v>
      </c>
      <c r="B2529" s="116">
        <v>9849.9</v>
      </c>
      <c r="C2529" s="116">
        <v>9800.75</v>
      </c>
      <c r="D2529" s="116">
        <v>9769.9500000000007</v>
      </c>
      <c r="E2529" s="116">
        <v>9785.65</v>
      </c>
      <c r="F2529" s="116">
        <v>9800.75</v>
      </c>
      <c r="G2529">
        <v>296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45804</v>
      </c>
      <c r="B2530" s="116">
        <v>9848</v>
      </c>
      <c r="C2530" s="116">
        <v>9779.25</v>
      </c>
      <c r="D2530" s="116">
        <v>9700</v>
      </c>
      <c r="E2530" s="116">
        <v>9800.7000000000007</v>
      </c>
      <c r="F2530" s="116">
        <v>9779.25</v>
      </c>
      <c r="G2530">
        <v>362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45805</v>
      </c>
      <c r="B2531" s="116">
        <v>9839.9</v>
      </c>
      <c r="C2531" s="116">
        <v>9717.35</v>
      </c>
      <c r="D2531" s="116">
        <v>9700.15</v>
      </c>
      <c r="E2531" s="116">
        <v>9750</v>
      </c>
      <c r="F2531" s="116">
        <v>9717.35</v>
      </c>
      <c r="G2531">
        <v>411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45806</v>
      </c>
      <c r="B2532" s="116">
        <v>9802.9500000000007</v>
      </c>
      <c r="C2532" s="116">
        <v>9718.65</v>
      </c>
      <c r="D2532" s="116">
        <v>9700</v>
      </c>
      <c r="E2532" s="116">
        <v>9799.7999999999993</v>
      </c>
      <c r="F2532" s="116">
        <v>9718.65</v>
      </c>
      <c r="G2532">
        <v>372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45807</v>
      </c>
      <c r="B2533" s="116">
        <v>9920</v>
      </c>
      <c r="C2533" s="116">
        <v>9872.35</v>
      </c>
      <c r="D2533" s="116">
        <v>9700.1</v>
      </c>
      <c r="E2533" s="116">
        <v>9700.1</v>
      </c>
      <c r="F2533" s="116">
        <v>9872.35</v>
      </c>
      <c r="G2533">
        <v>178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45810</v>
      </c>
      <c r="B2534" s="116">
        <v>9999</v>
      </c>
      <c r="C2534" s="116">
        <v>9973.4</v>
      </c>
      <c r="D2534" s="116">
        <v>9751</v>
      </c>
      <c r="E2534" s="116">
        <v>9871.9500000000007</v>
      </c>
      <c r="F2534" s="116">
        <v>9973.4</v>
      </c>
      <c r="G2534">
        <v>260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45811</v>
      </c>
      <c r="B2535" s="116">
        <v>10098.950000000001</v>
      </c>
      <c r="C2535" s="116">
        <v>9867.9500000000007</v>
      </c>
      <c r="D2535" s="116">
        <v>9812</v>
      </c>
      <c r="E2535" s="116">
        <v>10070</v>
      </c>
      <c r="F2535" s="116">
        <v>9867.9500000000007</v>
      </c>
      <c r="G2535">
        <v>237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45812</v>
      </c>
      <c r="B2536" s="116">
        <v>9980</v>
      </c>
      <c r="C2536" s="116">
        <v>9786.2000000000007</v>
      </c>
      <c r="D2536" s="116">
        <v>9750</v>
      </c>
      <c r="E2536" s="116">
        <v>9967.9500000000007</v>
      </c>
      <c r="F2536" s="116">
        <v>9786.2000000000007</v>
      </c>
      <c r="G2536">
        <v>321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45813</v>
      </c>
      <c r="B2537" s="116">
        <v>9899.9500000000007</v>
      </c>
      <c r="C2537" s="116">
        <v>9828.0499999999993</v>
      </c>
      <c r="D2537" s="116">
        <v>9755</v>
      </c>
      <c r="E2537" s="116">
        <v>9755</v>
      </c>
      <c r="F2537" s="116">
        <v>9828.0499999999993</v>
      </c>
      <c r="G2537">
        <v>138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45814</v>
      </c>
      <c r="B2538" s="116">
        <v>10180</v>
      </c>
      <c r="C2538" s="116">
        <v>9974.4</v>
      </c>
      <c r="D2538" s="116">
        <v>9810</v>
      </c>
      <c r="E2538" s="116">
        <v>9828.5499999999993</v>
      </c>
      <c r="F2538" s="116">
        <v>9974.4</v>
      </c>
      <c r="G2538">
        <v>233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45817</v>
      </c>
      <c r="B2539" s="116">
        <v>10129.950000000001</v>
      </c>
      <c r="C2539" s="116">
        <v>10007.450000000001</v>
      </c>
      <c r="D2539" s="116">
        <v>9980</v>
      </c>
      <c r="E2539" s="116">
        <v>10129.950000000001</v>
      </c>
      <c r="F2539" s="116">
        <v>10007.450000000001</v>
      </c>
      <c r="G2539">
        <v>271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45818</v>
      </c>
      <c r="B2540" s="116">
        <v>10199</v>
      </c>
      <c r="C2540" s="116">
        <v>10068.049999999999</v>
      </c>
      <c r="D2540" s="116">
        <v>10001.299999999999</v>
      </c>
      <c r="E2540" s="116">
        <v>10099</v>
      </c>
      <c r="F2540" s="116">
        <v>10068.049999999999</v>
      </c>
      <c r="G2540">
        <v>269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45819</v>
      </c>
      <c r="B2541" s="116">
        <v>10189.950000000001</v>
      </c>
      <c r="C2541" s="116">
        <v>9956.65</v>
      </c>
      <c r="D2541" s="116">
        <v>9911</v>
      </c>
      <c r="E2541" s="116">
        <v>10189.950000000001</v>
      </c>
      <c r="F2541" s="116">
        <v>9956.65</v>
      </c>
      <c r="G2541">
        <v>217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45820</v>
      </c>
      <c r="B2542" s="116">
        <v>10048</v>
      </c>
      <c r="C2542" s="116">
        <v>9907.4</v>
      </c>
      <c r="D2542" s="116">
        <v>9822.25</v>
      </c>
      <c r="E2542" s="116">
        <v>10048</v>
      </c>
      <c r="F2542" s="116">
        <v>9907.4</v>
      </c>
      <c r="G2542">
        <v>284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45821</v>
      </c>
      <c r="B2543" s="116">
        <v>9970</v>
      </c>
      <c r="C2543" s="116">
        <v>9899.9500000000007</v>
      </c>
      <c r="D2543" s="116">
        <v>9651</v>
      </c>
      <c r="E2543" s="116">
        <v>9699</v>
      </c>
      <c r="F2543" s="116">
        <v>9899.9500000000007</v>
      </c>
      <c r="G2543">
        <v>249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45824</v>
      </c>
      <c r="B2544" s="116">
        <v>9979.9500000000007</v>
      </c>
      <c r="C2544" s="116">
        <v>9841.75</v>
      </c>
      <c r="D2544" s="116">
        <v>9800</v>
      </c>
      <c r="E2544" s="116">
        <v>9800</v>
      </c>
      <c r="F2544" s="116">
        <v>9841.75</v>
      </c>
      <c r="G2544">
        <v>231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45825</v>
      </c>
      <c r="B2545" s="116">
        <v>9900</v>
      </c>
      <c r="C2545" s="116">
        <v>9799</v>
      </c>
      <c r="D2545" s="116">
        <v>9730</v>
      </c>
      <c r="E2545" s="116">
        <v>9900</v>
      </c>
      <c r="F2545" s="116">
        <v>9799</v>
      </c>
      <c r="G2545">
        <v>174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45826</v>
      </c>
      <c r="B2546" s="116">
        <v>9854.7000000000007</v>
      </c>
      <c r="C2546" s="116">
        <v>9750.25</v>
      </c>
      <c r="D2546" s="116">
        <v>9723</v>
      </c>
      <c r="E2546" s="116">
        <v>9730.15</v>
      </c>
      <c r="F2546" s="116">
        <v>9750.25</v>
      </c>
      <c r="G2546">
        <v>107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45827</v>
      </c>
      <c r="B2547" s="116">
        <v>9830.9</v>
      </c>
      <c r="C2547" s="116">
        <v>9721.9</v>
      </c>
      <c r="D2547" s="116">
        <v>9711.1</v>
      </c>
      <c r="E2547" s="116">
        <v>9750.25</v>
      </c>
      <c r="F2547" s="116">
        <v>9721.9</v>
      </c>
      <c r="G2547">
        <v>164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45828</v>
      </c>
      <c r="B2548" s="116">
        <v>9788</v>
      </c>
      <c r="C2548" s="116">
        <v>9770.4</v>
      </c>
      <c r="D2548" s="116">
        <v>9730</v>
      </c>
      <c r="E2548" s="116">
        <v>9750</v>
      </c>
      <c r="F2548" s="116">
        <v>9770.4</v>
      </c>
      <c r="G2548">
        <v>1017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45831</v>
      </c>
      <c r="B2549" s="116">
        <v>9867</v>
      </c>
      <c r="C2549" s="116">
        <v>9756.25</v>
      </c>
      <c r="D2549" s="116">
        <v>9751.1</v>
      </c>
      <c r="E2549" s="116">
        <v>9867</v>
      </c>
      <c r="F2549" s="116">
        <v>9756.25</v>
      </c>
      <c r="G2549">
        <v>262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45832</v>
      </c>
      <c r="B2550" s="116">
        <v>9877</v>
      </c>
      <c r="C2550" s="116">
        <v>9850.9500000000007</v>
      </c>
      <c r="D2550" s="116">
        <v>9766.0499999999993</v>
      </c>
      <c r="E2550" s="116">
        <v>9849.9</v>
      </c>
      <c r="F2550" s="116">
        <v>9850.9500000000007</v>
      </c>
      <c r="G2550">
        <v>126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45833</v>
      </c>
      <c r="B2551" s="116">
        <v>10069.9</v>
      </c>
      <c r="C2551" s="116">
        <v>9962.85</v>
      </c>
      <c r="D2551" s="116">
        <v>9755</v>
      </c>
      <c r="E2551" s="116">
        <v>9851</v>
      </c>
      <c r="F2551" s="116">
        <v>9962.85</v>
      </c>
      <c r="G2551">
        <v>662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45834</v>
      </c>
      <c r="B2552" s="116">
        <v>9995</v>
      </c>
      <c r="C2552" s="116">
        <v>9961</v>
      </c>
      <c r="D2552" s="116">
        <v>9851</v>
      </c>
      <c r="E2552" s="116">
        <v>9995</v>
      </c>
      <c r="F2552" s="116">
        <v>9961</v>
      </c>
      <c r="G2552">
        <v>126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45835</v>
      </c>
      <c r="B2553" s="116">
        <v>10000</v>
      </c>
      <c r="C2553" s="116">
        <v>9910.1</v>
      </c>
      <c r="D2553" s="116">
        <v>9852.1</v>
      </c>
      <c r="E2553" s="116">
        <v>9999.9500000000007</v>
      </c>
      <c r="F2553" s="116">
        <v>9910.1</v>
      </c>
      <c r="G2553">
        <v>780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45838</v>
      </c>
      <c r="B2554" s="116">
        <v>9986.5499999999993</v>
      </c>
      <c r="C2554" s="116">
        <v>9905.9</v>
      </c>
      <c r="D2554" s="116">
        <v>9855.1</v>
      </c>
      <c r="E2554" s="116">
        <v>9859.4500000000007</v>
      </c>
      <c r="F2554" s="116">
        <v>9905.9</v>
      </c>
      <c r="G2554">
        <v>327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45839</v>
      </c>
      <c r="B2555" s="116">
        <v>9979.9500000000007</v>
      </c>
      <c r="C2555" s="116">
        <v>9894.75</v>
      </c>
      <c r="D2555" s="116">
        <v>9850</v>
      </c>
      <c r="E2555" s="116">
        <v>9979.9500000000007</v>
      </c>
      <c r="F2555" s="116">
        <v>9894.75</v>
      </c>
      <c r="G2555">
        <v>443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45840</v>
      </c>
      <c r="B2556" s="116">
        <v>9947.9500000000007</v>
      </c>
      <c r="C2556" s="116">
        <v>9872.2000000000007</v>
      </c>
      <c r="D2556" s="116">
        <v>9860.4</v>
      </c>
      <c r="E2556" s="116">
        <v>9894.7999999999993</v>
      </c>
      <c r="F2556" s="116">
        <v>9872.2000000000007</v>
      </c>
      <c r="G2556">
        <v>45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45841</v>
      </c>
      <c r="B2557" s="116">
        <v>9971.9500000000007</v>
      </c>
      <c r="C2557" s="116">
        <v>9898.25</v>
      </c>
      <c r="D2557" s="116">
        <v>9873.0499999999993</v>
      </c>
      <c r="E2557" s="116">
        <v>9971.9500000000007</v>
      </c>
      <c r="F2557" s="116">
        <v>9898.25</v>
      </c>
      <c r="G2557">
        <v>165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45842</v>
      </c>
      <c r="B2558" s="116">
        <v>9949.9500000000007</v>
      </c>
      <c r="C2558" s="116">
        <v>9873.25</v>
      </c>
      <c r="D2558" s="116">
        <v>9860.1</v>
      </c>
      <c r="E2558" s="116">
        <v>9949.9500000000007</v>
      </c>
      <c r="F2558" s="116">
        <v>9873.25</v>
      </c>
      <c r="G2558">
        <v>460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45845</v>
      </c>
      <c r="B2559" s="116">
        <v>9922.65</v>
      </c>
      <c r="C2559" s="116">
        <v>9862.2999999999993</v>
      </c>
      <c r="D2559" s="116">
        <v>9854</v>
      </c>
      <c r="E2559" s="116">
        <v>9922.65</v>
      </c>
      <c r="F2559" s="116">
        <v>9862.2999999999993</v>
      </c>
      <c r="G2559">
        <v>110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45846</v>
      </c>
      <c r="B2560" s="116">
        <v>9935</v>
      </c>
      <c r="C2560" s="116">
        <v>9911.9500000000007</v>
      </c>
      <c r="D2560" s="116">
        <v>9855.1</v>
      </c>
      <c r="E2560" s="116">
        <v>9855.15</v>
      </c>
      <c r="F2560" s="116">
        <v>9911.9500000000007</v>
      </c>
      <c r="G2560">
        <v>245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45847</v>
      </c>
      <c r="B2561" s="116">
        <v>9949.9500000000007</v>
      </c>
      <c r="C2561" s="116">
        <v>9924.0499999999993</v>
      </c>
      <c r="D2561" s="116">
        <v>9880.25</v>
      </c>
      <c r="E2561" s="116">
        <v>9911.9500000000007</v>
      </c>
      <c r="F2561" s="116">
        <v>9924.0499999999993</v>
      </c>
      <c r="G2561">
        <v>149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45848</v>
      </c>
      <c r="B2562" s="116">
        <v>9949.9</v>
      </c>
      <c r="C2562" s="116">
        <v>9878.75</v>
      </c>
      <c r="D2562" s="116">
        <v>9858.1</v>
      </c>
      <c r="E2562" s="116">
        <v>9949.7999999999993</v>
      </c>
      <c r="F2562" s="116">
        <v>9878.75</v>
      </c>
      <c r="G2562">
        <v>315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45849</v>
      </c>
      <c r="B2563" s="116">
        <v>10087.5</v>
      </c>
      <c r="C2563" s="116">
        <v>9909.4500000000007</v>
      </c>
      <c r="D2563" s="116">
        <v>9857.6</v>
      </c>
      <c r="E2563" s="116">
        <v>9858.1</v>
      </c>
      <c r="F2563" s="116">
        <v>9909.4500000000007</v>
      </c>
      <c r="G2563">
        <v>648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45852</v>
      </c>
      <c r="B2564" s="116">
        <v>10050</v>
      </c>
      <c r="C2564" s="116">
        <v>9991.4500000000007</v>
      </c>
      <c r="D2564" s="116">
        <v>9872.25</v>
      </c>
      <c r="E2564" s="116">
        <v>9909.4500000000007</v>
      </c>
      <c r="F2564" s="116">
        <v>9991.4500000000007</v>
      </c>
      <c r="G2564">
        <v>621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45853</v>
      </c>
      <c r="B2565" s="116">
        <v>10000</v>
      </c>
      <c r="C2565" s="116">
        <v>9908.7999999999993</v>
      </c>
      <c r="D2565" s="116">
        <v>9875.15</v>
      </c>
      <c r="E2565" s="116">
        <v>10000</v>
      </c>
      <c r="F2565" s="116">
        <v>9908.7999999999993</v>
      </c>
      <c r="G2565">
        <v>833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45854</v>
      </c>
      <c r="B2566" s="116">
        <v>9948.9500000000007</v>
      </c>
      <c r="C2566" s="116">
        <v>9909.85</v>
      </c>
      <c r="D2566" s="116">
        <v>9880.0499999999993</v>
      </c>
      <c r="E2566" s="116">
        <v>9880.0499999999993</v>
      </c>
      <c r="F2566" s="116">
        <v>9909.85</v>
      </c>
      <c r="G2566">
        <v>340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45855</v>
      </c>
      <c r="B2567" s="116">
        <v>9919.7000000000007</v>
      </c>
      <c r="C2567" s="116">
        <v>9894.35</v>
      </c>
      <c r="D2567" s="116">
        <v>9850</v>
      </c>
      <c r="E2567" s="116">
        <v>9919.7000000000007</v>
      </c>
      <c r="F2567" s="116">
        <v>9894.35</v>
      </c>
      <c r="G2567">
        <v>370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45856</v>
      </c>
      <c r="B2568" s="116">
        <v>10100</v>
      </c>
      <c r="C2568" s="116">
        <v>9912.65</v>
      </c>
      <c r="D2568" s="116">
        <v>9856</v>
      </c>
      <c r="E2568" s="116">
        <v>9861</v>
      </c>
      <c r="F2568" s="116">
        <v>9912.65</v>
      </c>
      <c r="G2568">
        <v>348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45859</v>
      </c>
      <c r="B2569" s="116">
        <v>9997.9500000000007</v>
      </c>
      <c r="C2569" s="116">
        <v>9892.75</v>
      </c>
      <c r="D2569" s="116">
        <v>9870.5</v>
      </c>
      <c r="E2569" s="116">
        <v>9962.2000000000007</v>
      </c>
      <c r="F2569" s="116">
        <v>9892.75</v>
      </c>
      <c r="G2569">
        <v>172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45860</v>
      </c>
      <c r="B2570" s="116">
        <v>9905</v>
      </c>
      <c r="C2570" s="116">
        <v>9804.65</v>
      </c>
      <c r="D2570" s="116">
        <v>9705.1</v>
      </c>
      <c r="E2570" s="116">
        <v>9892.7999999999993</v>
      </c>
      <c r="F2570" s="116">
        <v>9804.65</v>
      </c>
      <c r="G2570">
        <v>509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45861</v>
      </c>
      <c r="B2571" s="116">
        <v>9897.9500000000007</v>
      </c>
      <c r="C2571" s="116">
        <v>9805.9</v>
      </c>
      <c r="D2571" s="116">
        <v>9761</v>
      </c>
      <c r="E2571" s="116">
        <v>9805.0499999999993</v>
      </c>
      <c r="F2571" s="116">
        <v>9805.9</v>
      </c>
      <c r="G2571">
        <v>191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45862</v>
      </c>
      <c r="B2572" s="116">
        <v>9879.85</v>
      </c>
      <c r="C2572" s="116">
        <v>9717.4500000000007</v>
      </c>
      <c r="D2572" s="116">
        <v>9711.1</v>
      </c>
      <c r="E2572" s="116">
        <v>9803.9</v>
      </c>
      <c r="F2572" s="116">
        <v>9717.4500000000007</v>
      </c>
      <c r="G2572">
        <v>392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45863</v>
      </c>
      <c r="B2573" s="116">
        <v>9779.9500000000007</v>
      </c>
      <c r="C2573" s="116">
        <v>9698.7000000000007</v>
      </c>
      <c r="D2573" s="116">
        <v>9665</v>
      </c>
      <c r="E2573" s="116">
        <v>9718.5499999999993</v>
      </c>
      <c r="F2573" s="116">
        <v>9698.7000000000007</v>
      </c>
      <c r="G2573">
        <v>153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45866</v>
      </c>
      <c r="B2574" s="116">
        <v>9650</v>
      </c>
      <c r="C2574" s="116">
        <v>9507.0499999999993</v>
      </c>
      <c r="D2574" s="116">
        <v>9501.1</v>
      </c>
      <c r="E2574" s="116">
        <v>9650</v>
      </c>
      <c r="F2574" s="116">
        <v>9507.0499999999993</v>
      </c>
      <c r="G2574">
        <v>328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45867</v>
      </c>
      <c r="B2575" s="116">
        <v>9600</v>
      </c>
      <c r="C2575" s="116">
        <v>9542</v>
      </c>
      <c r="D2575" s="116">
        <v>9490</v>
      </c>
      <c r="E2575" s="116">
        <v>9500.0499999999993</v>
      </c>
      <c r="F2575" s="116">
        <v>9542</v>
      </c>
      <c r="G2575">
        <v>171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45868</v>
      </c>
      <c r="B2576" s="116">
        <v>9550.9</v>
      </c>
      <c r="C2576" s="116">
        <v>9513.4500000000007</v>
      </c>
      <c r="D2576" s="116">
        <v>9454.4500000000007</v>
      </c>
      <c r="E2576" s="116">
        <v>9550</v>
      </c>
      <c r="F2576" s="116">
        <v>9513.4500000000007</v>
      </c>
      <c r="G2576">
        <v>123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45869</v>
      </c>
      <c r="B2577" s="116">
        <v>9576.2000000000007</v>
      </c>
      <c r="C2577" s="116">
        <v>9474.2000000000007</v>
      </c>
      <c r="D2577" s="116">
        <v>9401.1</v>
      </c>
      <c r="E2577" s="116">
        <v>9576.2000000000007</v>
      </c>
      <c r="F2577" s="116">
        <v>9474.2000000000007</v>
      </c>
      <c r="G2577">
        <v>110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45870</v>
      </c>
      <c r="B2578" s="116">
        <v>9600</v>
      </c>
      <c r="C2578" s="116">
        <v>9467.5499999999993</v>
      </c>
      <c r="D2578" s="116">
        <v>9451</v>
      </c>
      <c r="E2578" s="116">
        <v>9600</v>
      </c>
      <c r="F2578" s="116">
        <v>9467.5499999999993</v>
      </c>
      <c r="G2578">
        <v>138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45873</v>
      </c>
      <c r="B2579" s="116">
        <v>9500</v>
      </c>
      <c r="C2579" s="116">
        <v>9415.7000000000007</v>
      </c>
      <c r="D2579" s="116">
        <v>9407.0499999999993</v>
      </c>
      <c r="E2579" s="116">
        <v>9500</v>
      </c>
      <c r="F2579" s="116">
        <v>9415.7000000000007</v>
      </c>
      <c r="G2579">
        <v>191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45874</v>
      </c>
      <c r="B2580" s="116">
        <v>9499.9500000000007</v>
      </c>
      <c r="C2580" s="116">
        <v>9449.9500000000007</v>
      </c>
      <c r="D2580" s="116">
        <v>9402</v>
      </c>
      <c r="E2580" s="116">
        <v>9499.9500000000007</v>
      </c>
      <c r="F2580" s="116">
        <v>9449.9500000000007</v>
      </c>
      <c r="G2580">
        <v>127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45875</v>
      </c>
      <c r="B2581" s="116">
        <v>9499.9500000000007</v>
      </c>
      <c r="C2581" s="116">
        <v>9379.2999999999993</v>
      </c>
      <c r="D2581" s="116">
        <v>9350</v>
      </c>
      <c r="E2581" s="116">
        <v>9449.9500000000007</v>
      </c>
      <c r="F2581" s="116">
        <v>9379.2999999999993</v>
      </c>
      <c r="G2581">
        <v>131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45876</v>
      </c>
      <c r="B2582" s="116">
        <v>9487.85</v>
      </c>
      <c r="C2582" s="116">
        <v>9323.2000000000007</v>
      </c>
      <c r="D2582" s="116">
        <v>8999.9500000000007</v>
      </c>
      <c r="E2582" s="116">
        <v>9370</v>
      </c>
      <c r="F2582" s="116">
        <v>9323.2000000000007</v>
      </c>
      <c r="G2582">
        <v>265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45877</v>
      </c>
      <c r="B2583" s="116">
        <v>9352</v>
      </c>
      <c r="C2583" s="116">
        <v>9251.7000000000007</v>
      </c>
      <c r="D2583" s="116">
        <v>9200.5499999999993</v>
      </c>
      <c r="E2583" s="116">
        <v>9352</v>
      </c>
      <c r="F2583" s="116">
        <v>9251.7000000000007</v>
      </c>
      <c r="G2583">
        <v>57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45880</v>
      </c>
      <c r="B2584" s="116">
        <v>9335.9500000000007</v>
      </c>
      <c r="C2584" s="116">
        <v>9200.15</v>
      </c>
      <c r="D2584" s="116">
        <v>9024.1</v>
      </c>
      <c r="E2584" s="116">
        <v>9335.9</v>
      </c>
      <c r="F2584" s="116">
        <v>9200.15</v>
      </c>
      <c r="G2584">
        <v>617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45881</v>
      </c>
      <c r="B2585" s="116">
        <v>9443.9500000000007</v>
      </c>
      <c r="C2585" s="116">
        <v>9299</v>
      </c>
      <c r="D2585" s="116">
        <v>9246.2000000000007</v>
      </c>
      <c r="E2585" s="116">
        <v>9246.2000000000007</v>
      </c>
      <c r="F2585" s="116">
        <v>9299</v>
      </c>
      <c r="G2585">
        <v>121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45882</v>
      </c>
      <c r="B2586" s="116">
        <v>9384</v>
      </c>
      <c r="C2586" s="116">
        <v>9268.6</v>
      </c>
      <c r="D2586" s="116">
        <v>9210</v>
      </c>
      <c r="E2586" s="116">
        <v>9384</v>
      </c>
      <c r="F2586" s="116">
        <v>9268.6</v>
      </c>
      <c r="G2586">
        <v>80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45883</v>
      </c>
      <c r="B2587" s="116">
        <v>9323.7999999999993</v>
      </c>
      <c r="C2587" s="116">
        <v>9252.4500000000007</v>
      </c>
      <c r="D2587" s="116">
        <v>9151.0499999999993</v>
      </c>
      <c r="E2587" s="116">
        <v>9225.5</v>
      </c>
      <c r="F2587" s="116">
        <v>9252.4500000000007</v>
      </c>
      <c r="G2587">
        <v>99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45887</v>
      </c>
      <c r="B2588" s="116">
        <v>9389.9500000000007</v>
      </c>
      <c r="C2588" s="116">
        <v>9225.7999999999993</v>
      </c>
      <c r="D2588" s="116">
        <v>9050</v>
      </c>
      <c r="E2588" s="116">
        <v>9252.9</v>
      </c>
      <c r="F2588" s="116">
        <v>9225.7999999999993</v>
      </c>
      <c r="G2588">
        <v>184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45888</v>
      </c>
      <c r="B2589" s="116">
        <v>9388.7999999999993</v>
      </c>
      <c r="C2589" s="116">
        <v>9236</v>
      </c>
      <c r="D2589" s="116">
        <v>9226</v>
      </c>
      <c r="E2589" s="116">
        <v>9340</v>
      </c>
      <c r="F2589" s="116">
        <v>9236</v>
      </c>
      <c r="G2589">
        <v>307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45889</v>
      </c>
      <c r="B2590" s="116">
        <v>9348.9500000000007</v>
      </c>
      <c r="C2590" s="116">
        <v>9264.9</v>
      </c>
      <c r="D2590" s="116">
        <v>9200</v>
      </c>
      <c r="E2590" s="116">
        <v>9236.0499999999993</v>
      </c>
      <c r="F2590" s="116">
        <v>9264.9</v>
      </c>
      <c r="G2590">
        <v>757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45890</v>
      </c>
      <c r="B2591" s="116">
        <v>9334</v>
      </c>
      <c r="C2591" s="116">
        <v>9268</v>
      </c>
      <c r="D2591" s="116">
        <v>9246</v>
      </c>
      <c r="E2591" s="116">
        <v>9319</v>
      </c>
      <c r="F2591" s="116">
        <v>9268</v>
      </c>
      <c r="G2591">
        <v>66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45891</v>
      </c>
      <c r="B2592" s="116">
        <v>9417</v>
      </c>
      <c r="C2592" s="116">
        <v>9371.9500000000007</v>
      </c>
      <c r="D2592" s="116">
        <v>9206.6</v>
      </c>
      <c r="E2592" s="116">
        <v>9300.0499999999993</v>
      </c>
      <c r="F2592" s="116">
        <v>9371.9500000000007</v>
      </c>
      <c r="G2592">
        <v>383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45894</v>
      </c>
      <c r="B2593" s="116">
        <v>9447.85</v>
      </c>
      <c r="C2593" s="116">
        <v>9342.85</v>
      </c>
      <c r="D2593" s="116">
        <v>9278.0499999999993</v>
      </c>
      <c r="E2593" s="116">
        <v>9371.9</v>
      </c>
      <c r="F2593" s="116">
        <v>9342.85</v>
      </c>
      <c r="G2593">
        <v>191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45895</v>
      </c>
      <c r="B2594" s="116">
        <v>9349.1</v>
      </c>
      <c r="C2594" s="116">
        <v>9236.1</v>
      </c>
      <c r="D2594" s="116">
        <v>9200</v>
      </c>
      <c r="E2594" s="116">
        <v>9260</v>
      </c>
      <c r="F2594" s="116">
        <v>9236.1</v>
      </c>
      <c r="G2594">
        <v>199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45897</v>
      </c>
      <c r="B2595" s="116">
        <v>9255.0499999999993</v>
      </c>
      <c r="C2595" s="116">
        <v>9201.0499999999993</v>
      </c>
      <c r="D2595" s="116">
        <v>9200</v>
      </c>
      <c r="E2595" s="116">
        <v>9255.0499999999993</v>
      </c>
      <c r="F2595" s="116">
        <v>9201.0499999999993</v>
      </c>
      <c r="G2595">
        <v>243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45898</v>
      </c>
      <c r="B2596" s="116">
        <v>9293.0499999999993</v>
      </c>
      <c r="C2596" s="116">
        <v>9220.1</v>
      </c>
      <c r="D2596" s="116">
        <v>9200</v>
      </c>
      <c r="E2596" s="116">
        <v>9200.0499999999993</v>
      </c>
      <c r="F2596" s="116">
        <v>9220.1</v>
      </c>
      <c r="G2596">
        <v>173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45901</v>
      </c>
      <c r="B2597" s="116">
        <v>9339</v>
      </c>
      <c r="C2597" s="116">
        <v>9300.4500000000007</v>
      </c>
      <c r="D2597" s="116">
        <v>9250</v>
      </c>
      <c r="E2597" s="116">
        <v>9339</v>
      </c>
      <c r="F2597" s="116">
        <v>9300.4500000000007</v>
      </c>
      <c r="G2597">
        <v>154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45902</v>
      </c>
      <c r="B2598" s="116">
        <v>9434.9500000000007</v>
      </c>
      <c r="C2598" s="116">
        <v>9341.25</v>
      </c>
      <c r="D2598" s="116">
        <v>9238.9500000000007</v>
      </c>
      <c r="E2598" s="116">
        <v>9434.9500000000007</v>
      </c>
      <c r="F2598" s="116">
        <v>9341.25</v>
      </c>
      <c r="G2598">
        <v>461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45903</v>
      </c>
      <c r="B2599" s="116">
        <v>9407.9500000000007</v>
      </c>
      <c r="C2599" s="116">
        <v>9389.9500000000007</v>
      </c>
      <c r="D2599" s="116">
        <v>9300</v>
      </c>
      <c r="E2599" s="116">
        <v>9398.9500000000007</v>
      </c>
      <c r="F2599" s="116">
        <v>9389.9500000000007</v>
      </c>
      <c r="G2599">
        <v>78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45904</v>
      </c>
      <c r="B2600" s="116">
        <v>9488.9500000000007</v>
      </c>
      <c r="C2600" s="116">
        <v>9328.15</v>
      </c>
      <c r="D2600" s="116">
        <v>9305</v>
      </c>
      <c r="E2600" s="116">
        <v>9305</v>
      </c>
      <c r="F2600" s="116">
        <v>9328.15</v>
      </c>
      <c r="G2600">
        <v>117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45905</v>
      </c>
      <c r="B2601" s="116">
        <v>9438.85</v>
      </c>
      <c r="C2601" s="116">
        <v>9318.75</v>
      </c>
      <c r="D2601" s="116">
        <v>9300.0499999999993</v>
      </c>
      <c r="E2601" s="116">
        <v>9328.2000000000007</v>
      </c>
      <c r="F2601" s="116">
        <v>9318.75</v>
      </c>
      <c r="G2601">
        <v>178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45908</v>
      </c>
      <c r="B2602" s="116">
        <v>9444</v>
      </c>
      <c r="C2602" s="116">
        <v>9334.65</v>
      </c>
      <c r="D2602" s="116">
        <v>9300</v>
      </c>
      <c r="E2602" s="116">
        <v>9305</v>
      </c>
      <c r="F2602" s="116">
        <v>9334.65</v>
      </c>
      <c r="G2602">
        <v>472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45909</v>
      </c>
      <c r="B2603" s="116">
        <v>9465</v>
      </c>
      <c r="C2603" s="116">
        <v>9336.15</v>
      </c>
      <c r="D2603" s="116">
        <v>9310.5</v>
      </c>
      <c r="E2603" s="116">
        <v>9419</v>
      </c>
      <c r="F2603" s="116">
        <v>9336.15</v>
      </c>
      <c r="G2603">
        <v>89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45910</v>
      </c>
      <c r="B2604" s="116">
        <v>9450</v>
      </c>
      <c r="C2604" s="116">
        <v>9399.75</v>
      </c>
      <c r="D2604" s="116">
        <v>9300</v>
      </c>
      <c r="E2604" s="116">
        <v>9408.9500000000007</v>
      </c>
      <c r="F2604" s="116">
        <v>9399.75</v>
      </c>
      <c r="G2604">
        <v>275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45911</v>
      </c>
      <c r="B2605" s="116">
        <v>9445.85</v>
      </c>
      <c r="C2605" s="116">
        <v>9364.1</v>
      </c>
      <c r="D2605" s="116">
        <v>9342.25</v>
      </c>
      <c r="E2605" s="116">
        <v>9401.0499999999993</v>
      </c>
      <c r="F2605" s="116">
        <v>9364.1</v>
      </c>
      <c r="G2605">
        <v>98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45912</v>
      </c>
      <c r="B2606" s="116">
        <v>9457</v>
      </c>
      <c r="C2606" s="116">
        <v>9407.6</v>
      </c>
      <c r="D2606" s="116">
        <v>9335.4500000000007</v>
      </c>
      <c r="E2606" s="116">
        <v>9419.9500000000007</v>
      </c>
      <c r="F2606" s="116">
        <v>9407.6</v>
      </c>
      <c r="G2606">
        <v>192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45915</v>
      </c>
      <c r="B2607" s="116">
        <v>10860</v>
      </c>
      <c r="C2607" s="116">
        <v>9986.35</v>
      </c>
      <c r="D2607" s="116">
        <v>9350</v>
      </c>
      <c r="E2607" s="116">
        <v>9355.5499999999993</v>
      </c>
      <c r="F2607" s="116">
        <v>9986.35</v>
      </c>
      <c r="G2607">
        <v>1224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45916</v>
      </c>
      <c r="B2608" s="116">
        <v>10295</v>
      </c>
      <c r="C2608" s="116">
        <v>10122.1</v>
      </c>
      <c r="D2608" s="116">
        <v>10000</v>
      </c>
      <c r="E2608" s="116">
        <v>10077</v>
      </c>
      <c r="F2608" s="116">
        <v>10122.1</v>
      </c>
      <c r="G2608">
        <v>246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45917</v>
      </c>
      <c r="B2609" s="116">
        <v>10249.950000000001</v>
      </c>
      <c r="C2609" s="116">
        <v>10125.15</v>
      </c>
      <c r="D2609" s="116">
        <v>9999</v>
      </c>
      <c r="E2609" s="116">
        <v>10249.950000000001</v>
      </c>
      <c r="F2609" s="116">
        <v>10125.15</v>
      </c>
      <c r="G2609">
        <v>296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45918</v>
      </c>
      <c r="B2610" s="116">
        <v>10130</v>
      </c>
      <c r="C2610" s="116">
        <v>10031.35</v>
      </c>
      <c r="D2610" s="116">
        <v>9999.0499999999993</v>
      </c>
      <c r="E2610" s="116">
        <v>10130</v>
      </c>
      <c r="F2610" s="116">
        <v>10031.35</v>
      </c>
      <c r="G2610">
        <v>371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45919</v>
      </c>
      <c r="B2611" s="116">
        <v>10000</v>
      </c>
      <c r="C2611" s="116">
        <v>9552.4500000000007</v>
      </c>
      <c r="D2611" s="116">
        <v>9300</v>
      </c>
      <c r="E2611" s="116">
        <v>9999</v>
      </c>
      <c r="F2611" s="116">
        <v>9552.4500000000007</v>
      </c>
      <c r="G2611">
        <v>1010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45922</v>
      </c>
      <c r="B2612" s="116">
        <v>9729.9500000000007</v>
      </c>
      <c r="C2612" s="116">
        <v>9409.7999999999993</v>
      </c>
      <c r="D2612" s="116">
        <v>9310</v>
      </c>
      <c r="E2612" s="116">
        <v>9635.35</v>
      </c>
      <c r="F2612" s="116">
        <v>9409.7999999999993</v>
      </c>
      <c r="G2612">
        <v>356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45923</v>
      </c>
      <c r="B2613" s="116">
        <v>9576.9500000000007</v>
      </c>
      <c r="C2613" s="116">
        <v>9421.15</v>
      </c>
      <c r="D2613" s="116">
        <v>9300</v>
      </c>
      <c r="E2613" s="116">
        <v>9479.9</v>
      </c>
      <c r="F2613" s="116">
        <v>9421.15</v>
      </c>
      <c r="G2613">
        <v>245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45924</v>
      </c>
      <c r="B2614" s="116">
        <v>9684</v>
      </c>
      <c r="C2614" s="116">
        <v>9390.2000000000007</v>
      </c>
      <c r="D2614" s="116">
        <v>9321.2000000000007</v>
      </c>
      <c r="E2614" s="116">
        <v>9321.2000000000007</v>
      </c>
      <c r="F2614" s="116">
        <v>9390.2000000000007</v>
      </c>
      <c r="G2614">
        <v>451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45925</v>
      </c>
      <c r="B2615" s="116">
        <v>9690.2000000000007</v>
      </c>
      <c r="C2615" s="116">
        <v>9430.0499999999993</v>
      </c>
      <c r="D2615" s="116">
        <v>9312.2000000000007</v>
      </c>
      <c r="E2615" s="116">
        <v>9390.2000000000007</v>
      </c>
      <c r="F2615" s="116">
        <v>9430.0499999999993</v>
      </c>
      <c r="G2615">
        <v>298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45926</v>
      </c>
      <c r="B2616" s="116">
        <v>9470</v>
      </c>
      <c r="C2616" s="116">
        <v>9401.4500000000007</v>
      </c>
      <c r="D2616" s="116">
        <v>9366.15</v>
      </c>
      <c r="E2616" s="116">
        <v>9430</v>
      </c>
      <c r="F2616" s="116">
        <v>9401.4500000000007</v>
      </c>
      <c r="G2616">
        <v>101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45929</v>
      </c>
      <c r="B2617" s="116">
        <v>9580</v>
      </c>
      <c r="C2617" s="116">
        <v>9386.5499999999993</v>
      </c>
      <c r="D2617" s="116">
        <v>9331</v>
      </c>
      <c r="E2617" s="116">
        <v>9449.9</v>
      </c>
      <c r="F2617" s="116">
        <v>9386.5499999999993</v>
      </c>
      <c r="G2617">
        <v>349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45930</v>
      </c>
      <c r="B2618" s="116">
        <v>9650</v>
      </c>
      <c r="C2618" s="116">
        <v>9561.2999999999993</v>
      </c>
      <c r="D2618" s="116">
        <v>9380</v>
      </c>
      <c r="E2618" s="116">
        <v>9389.0499999999993</v>
      </c>
      <c r="F2618" s="116">
        <v>9561.2999999999993</v>
      </c>
      <c r="G2618">
        <v>220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45931</v>
      </c>
      <c r="B2619" s="116">
        <v>9600</v>
      </c>
      <c r="C2619" s="116">
        <v>9487.85</v>
      </c>
      <c r="D2619" s="116">
        <v>9420</v>
      </c>
      <c r="E2619" s="116">
        <v>9464.0499999999993</v>
      </c>
      <c r="F2619" s="116">
        <v>9487.85</v>
      </c>
      <c r="G2619">
        <v>103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45933</v>
      </c>
      <c r="B2620" s="116">
        <v>9664</v>
      </c>
      <c r="C2620" s="116">
        <v>9543.6</v>
      </c>
      <c r="D2620" s="116">
        <v>9459.4</v>
      </c>
      <c r="E2620" s="116">
        <v>9487.85</v>
      </c>
      <c r="F2620" s="116">
        <v>9543.6</v>
      </c>
      <c r="G2620">
        <v>708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45936</v>
      </c>
      <c r="B2621" s="116">
        <v>9800</v>
      </c>
      <c r="C2621" s="116">
        <v>9635.65</v>
      </c>
      <c r="D2621" s="116">
        <v>9342</v>
      </c>
      <c r="E2621" s="116">
        <v>9549</v>
      </c>
      <c r="F2621" s="116">
        <v>9635.65</v>
      </c>
      <c r="G2621">
        <v>740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45937</v>
      </c>
      <c r="B2622" s="116">
        <v>9801</v>
      </c>
      <c r="C2622" s="116">
        <v>9536.9</v>
      </c>
      <c r="D2622" s="116">
        <v>9512</v>
      </c>
      <c r="E2622" s="116">
        <v>9699</v>
      </c>
      <c r="F2622" s="116">
        <v>9536.9</v>
      </c>
      <c r="G2622">
        <v>539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45938</v>
      </c>
      <c r="B2623" s="116">
        <v>9650.0499999999993</v>
      </c>
      <c r="C2623" s="116">
        <v>9522.65</v>
      </c>
      <c r="D2623" s="116">
        <v>9451</v>
      </c>
      <c r="E2623" s="116">
        <v>9563.9500000000007</v>
      </c>
      <c r="F2623" s="116">
        <v>9522.65</v>
      </c>
      <c r="G2623">
        <v>337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45939</v>
      </c>
      <c r="B2624" s="116">
        <v>9612.5499999999993</v>
      </c>
      <c r="C2624" s="116">
        <v>9466.5</v>
      </c>
      <c r="D2624" s="116">
        <v>9311</v>
      </c>
      <c r="E2624" s="116">
        <v>9522.6</v>
      </c>
      <c r="F2624" s="116">
        <v>9466.5</v>
      </c>
      <c r="G2624">
        <v>731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45940</v>
      </c>
      <c r="B2625" s="116">
        <v>9597.35</v>
      </c>
      <c r="C2625" s="116">
        <v>9374.35</v>
      </c>
      <c r="D2625" s="116">
        <v>9357</v>
      </c>
      <c r="E2625" s="116">
        <v>9597.35</v>
      </c>
      <c r="F2625" s="116">
        <v>9374.35</v>
      </c>
      <c r="G2625">
        <v>296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45943</v>
      </c>
      <c r="B2626" s="116">
        <v>9695</v>
      </c>
      <c r="C2626" s="116">
        <v>9434.4</v>
      </c>
      <c r="D2626" s="116">
        <v>9371</v>
      </c>
      <c r="E2626" s="116">
        <v>9695</v>
      </c>
      <c r="F2626" s="116">
        <v>9434.4</v>
      </c>
      <c r="G2626">
        <v>481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45944</v>
      </c>
      <c r="B2627" s="116">
        <v>9532.85</v>
      </c>
      <c r="C2627" s="116">
        <v>9447.4500000000007</v>
      </c>
      <c r="D2627" s="116">
        <v>9411.0499999999993</v>
      </c>
      <c r="E2627" s="116">
        <v>9450</v>
      </c>
      <c r="F2627" s="116">
        <v>9447.4500000000007</v>
      </c>
      <c r="G2627">
        <v>734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45945</v>
      </c>
      <c r="B2628" s="116">
        <v>9490</v>
      </c>
      <c r="C2628" s="116">
        <v>9420</v>
      </c>
      <c r="D2628" s="116">
        <v>9400</v>
      </c>
      <c r="E2628" s="116">
        <v>9440</v>
      </c>
      <c r="F2628" s="116">
        <v>9420</v>
      </c>
      <c r="G2628">
        <v>145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45946</v>
      </c>
      <c r="B2629" s="116">
        <v>9508</v>
      </c>
      <c r="C2629" s="116">
        <v>9411.15</v>
      </c>
      <c r="D2629" s="116">
        <v>9411</v>
      </c>
      <c r="E2629" s="116">
        <v>9425</v>
      </c>
      <c r="F2629" s="116">
        <v>9411.15</v>
      </c>
      <c r="G2629">
        <v>203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45947</v>
      </c>
      <c r="B2630" s="116">
        <v>9486.85</v>
      </c>
      <c r="C2630" s="116">
        <v>9450.1</v>
      </c>
      <c r="D2630" s="116">
        <v>9340</v>
      </c>
      <c r="E2630" s="116">
        <v>9340</v>
      </c>
      <c r="F2630" s="116">
        <v>9450.1</v>
      </c>
      <c r="G2630">
        <v>174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45950</v>
      </c>
      <c r="B2631" s="116">
        <v>9497.9500000000007</v>
      </c>
      <c r="C2631" s="116">
        <v>9455.7000000000007</v>
      </c>
      <c r="D2631" s="116">
        <v>9411.15</v>
      </c>
      <c r="E2631" s="116">
        <v>9411.25</v>
      </c>
      <c r="F2631" s="116">
        <v>9455.7000000000007</v>
      </c>
      <c r="G2631">
        <v>198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45951</v>
      </c>
      <c r="B2632" s="116">
        <v>9650</v>
      </c>
      <c r="C2632" s="116">
        <v>9547.5</v>
      </c>
      <c r="D2632" s="116">
        <v>9441</v>
      </c>
      <c r="E2632" s="116">
        <v>9499.9500000000007</v>
      </c>
      <c r="F2632" s="116">
        <v>9547.5</v>
      </c>
      <c r="G2632">
        <v>632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45953</v>
      </c>
      <c r="B2633" s="116">
        <v>9639.9500000000007</v>
      </c>
      <c r="C2633" s="116">
        <v>9526.25</v>
      </c>
      <c r="D2633" s="116">
        <v>9500.5499999999993</v>
      </c>
      <c r="E2633" s="116">
        <v>9529.5</v>
      </c>
      <c r="F2633" s="116">
        <v>9526.25</v>
      </c>
      <c r="G2633">
        <v>203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45954</v>
      </c>
      <c r="B2634" s="116">
        <v>9632.75</v>
      </c>
      <c r="C2634" s="116">
        <v>9486.65</v>
      </c>
      <c r="D2634" s="116">
        <v>9432.1</v>
      </c>
      <c r="E2634" s="116">
        <v>9500.0499999999993</v>
      </c>
      <c r="F2634" s="116">
        <v>9486.65</v>
      </c>
      <c r="G2634">
        <v>148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45957</v>
      </c>
      <c r="B2635" s="116">
        <v>9518.9500000000007</v>
      </c>
      <c r="C2635" s="116">
        <v>9467.75</v>
      </c>
      <c r="D2635" s="116">
        <v>9422</v>
      </c>
      <c r="E2635" s="116">
        <v>9452.2999999999993</v>
      </c>
      <c r="F2635" s="116">
        <v>9467.75</v>
      </c>
      <c r="G2635">
        <v>237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45958</v>
      </c>
      <c r="B2636" s="116">
        <v>9527.9</v>
      </c>
      <c r="C2636" s="116">
        <v>9421.4500000000007</v>
      </c>
      <c r="D2636" s="116">
        <v>9402</v>
      </c>
      <c r="E2636" s="116">
        <v>9468.0499999999993</v>
      </c>
      <c r="F2636" s="116">
        <v>9421.4500000000007</v>
      </c>
      <c r="G2636">
        <v>84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45959</v>
      </c>
      <c r="B2637" s="116">
        <v>9494.85</v>
      </c>
      <c r="C2637" s="116">
        <v>9471.9500000000007</v>
      </c>
      <c r="D2637" s="116">
        <v>9405.1</v>
      </c>
      <c r="E2637" s="116">
        <v>9410.9500000000007</v>
      </c>
      <c r="F2637" s="116">
        <v>9471.9500000000007</v>
      </c>
      <c r="G2637">
        <v>116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45960</v>
      </c>
      <c r="B2638" s="116">
        <v>9471</v>
      </c>
      <c r="C2638" s="116">
        <v>9412.9500000000007</v>
      </c>
      <c r="D2638" s="116">
        <v>9400</v>
      </c>
      <c r="E2638" s="116">
        <v>9470.9500000000007</v>
      </c>
      <c r="F2638" s="116">
        <v>9412.9500000000007</v>
      </c>
      <c r="G2638">
        <v>209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45961</v>
      </c>
      <c r="B2639" s="116">
        <v>9459.9500000000007</v>
      </c>
      <c r="C2639" s="116">
        <v>9340.5499999999993</v>
      </c>
      <c r="D2639" s="116">
        <v>9300</v>
      </c>
      <c r="E2639" s="116">
        <v>9412.9500000000007</v>
      </c>
      <c r="F2639" s="116">
        <v>9340.5499999999993</v>
      </c>
      <c r="G2639">
        <v>938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45964</v>
      </c>
      <c r="B2640" s="116">
        <v>9439.9</v>
      </c>
      <c r="C2640" s="116">
        <v>9361.5499999999993</v>
      </c>
      <c r="D2640" s="116">
        <v>9301.15</v>
      </c>
      <c r="E2640" s="116">
        <v>9301.15</v>
      </c>
      <c r="F2640" s="116">
        <v>9361.5499999999993</v>
      </c>
      <c r="G2640">
        <v>183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45965</v>
      </c>
      <c r="B2641" s="116">
        <v>9440.9500000000007</v>
      </c>
      <c r="C2641" s="116">
        <v>9353</v>
      </c>
      <c r="D2641" s="116">
        <v>9300.1</v>
      </c>
      <c r="E2641" s="116">
        <v>9300.1</v>
      </c>
      <c r="F2641" s="116">
        <v>9353</v>
      </c>
      <c r="G2641">
        <v>130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45967</v>
      </c>
      <c r="B2642" s="116">
        <v>9411</v>
      </c>
      <c r="C2642" s="116">
        <v>9352.6</v>
      </c>
      <c r="D2642" s="116">
        <v>9310.2000000000007</v>
      </c>
      <c r="E2642" s="116">
        <v>9310.2000000000007</v>
      </c>
      <c r="F2642" s="116">
        <v>9352.6</v>
      </c>
      <c r="G2642">
        <v>586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45968</v>
      </c>
      <c r="B2643" s="116">
        <v>9433.2000000000007</v>
      </c>
      <c r="C2643" s="116">
        <v>9329.1</v>
      </c>
      <c r="D2643" s="116">
        <v>9300</v>
      </c>
      <c r="E2643" s="116">
        <v>9352.6</v>
      </c>
      <c r="F2643" s="116">
        <v>9329.1</v>
      </c>
      <c r="G2643">
        <v>217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45971</v>
      </c>
      <c r="B2644" s="116">
        <v>9430</v>
      </c>
      <c r="C2644" s="116">
        <v>9350</v>
      </c>
      <c r="D2644" s="116">
        <v>9324.0499999999993</v>
      </c>
      <c r="E2644" s="116">
        <v>9430</v>
      </c>
      <c r="F2644" s="116">
        <v>9350</v>
      </c>
      <c r="G2644">
        <v>926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45972</v>
      </c>
      <c r="B2645" s="116">
        <v>9395.9500000000007</v>
      </c>
      <c r="C2645" s="116">
        <v>9375.9500000000007</v>
      </c>
      <c r="D2645" s="116">
        <v>9350</v>
      </c>
      <c r="E2645" s="116">
        <v>9350</v>
      </c>
      <c r="F2645" s="116">
        <v>9375.9500000000007</v>
      </c>
      <c r="G2645">
        <v>203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45973</v>
      </c>
      <c r="B2646" s="116">
        <v>9409.9</v>
      </c>
      <c r="C2646" s="116">
        <v>9350</v>
      </c>
      <c r="D2646" s="116">
        <v>9350</v>
      </c>
      <c r="E2646" s="116">
        <v>9353.0499999999993</v>
      </c>
      <c r="F2646" s="116">
        <v>9350</v>
      </c>
      <c r="G2646">
        <v>155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45974</v>
      </c>
      <c r="B2647" s="116">
        <v>9394.9500000000007</v>
      </c>
      <c r="C2647" s="116">
        <v>9352.0499999999993</v>
      </c>
      <c r="D2647" s="116">
        <v>9350.5</v>
      </c>
      <c r="E2647" s="116">
        <v>9350.5</v>
      </c>
      <c r="F2647" s="116">
        <v>9352.0499999999993</v>
      </c>
      <c r="G2647">
        <v>109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45975</v>
      </c>
      <c r="B2648" s="116">
        <v>9351.85</v>
      </c>
      <c r="C2648" s="116">
        <v>9337.7999999999993</v>
      </c>
      <c r="D2648" s="116">
        <v>9306.9500000000007</v>
      </c>
      <c r="E2648" s="116">
        <v>9351.85</v>
      </c>
      <c r="F2648" s="116">
        <v>9337.7999999999993</v>
      </c>
      <c r="G2648">
        <v>166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45978</v>
      </c>
      <c r="B2649" s="116">
        <v>9337.2999999999993</v>
      </c>
      <c r="C2649" s="116">
        <v>9303</v>
      </c>
      <c r="D2649" s="116">
        <v>9300</v>
      </c>
      <c r="E2649" s="116">
        <v>9300</v>
      </c>
      <c r="F2649" s="116">
        <v>9303</v>
      </c>
      <c r="G2649">
        <v>58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45979</v>
      </c>
      <c r="B2650" s="116">
        <v>9376.7000000000007</v>
      </c>
      <c r="C2650" s="116">
        <v>9305</v>
      </c>
      <c r="D2650" s="116">
        <v>9300</v>
      </c>
      <c r="E2650" s="116">
        <v>9300</v>
      </c>
      <c r="F2650" s="116">
        <v>9305</v>
      </c>
      <c r="G2650">
        <v>70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45980</v>
      </c>
      <c r="B2651" s="116">
        <v>9332.5499999999993</v>
      </c>
      <c r="C2651" s="116">
        <v>9301.25</v>
      </c>
      <c r="D2651" s="116">
        <v>9301</v>
      </c>
      <c r="E2651" s="116">
        <v>9301.15</v>
      </c>
      <c r="F2651" s="116">
        <v>9301.25</v>
      </c>
      <c r="G2651">
        <v>122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45981</v>
      </c>
      <c r="B2652" s="116">
        <v>9380</v>
      </c>
      <c r="C2652" s="116">
        <v>9311</v>
      </c>
      <c r="D2652" s="116">
        <v>9300</v>
      </c>
      <c r="E2652" s="116">
        <v>9380</v>
      </c>
      <c r="F2652" s="116">
        <v>9311</v>
      </c>
      <c r="G2652">
        <v>308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45982</v>
      </c>
      <c r="B2653" s="116">
        <v>9390</v>
      </c>
      <c r="C2653" s="116">
        <v>9302.2999999999993</v>
      </c>
      <c r="D2653" s="116">
        <v>9300</v>
      </c>
      <c r="E2653" s="116">
        <v>9303.0499999999993</v>
      </c>
      <c r="F2653" s="116">
        <v>9302.2999999999993</v>
      </c>
      <c r="G2653">
        <v>750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45985</v>
      </c>
      <c r="B2654" s="116">
        <v>9356.4500000000007</v>
      </c>
      <c r="C2654" s="116">
        <v>9311.2000000000007</v>
      </c>
      <c r="D2654" s="116">
        <v>9299.9500000000007</v>
      </c>
      <c r="E2654" s="116">
        <v>9299.9500000000007</v>
      </c>
      <c r="F2654" s="116">
        <v>9311.2000000000007</v>
      </c>
      <c r="G2654">
        <v>229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45986</v>
      </c>
      <c r="B2655" s="116">
        <v>9320</v>
      </c>
      <c r="C2655" s="116">
        <v>9300.85</v>
      </c>
      <c r="D2655" s="116">
        <v>9300</v>
      </c>
      <c r="E2655" s="116">
        <v>9300.0499999999993</v>
      </c>
      <c r="F2655" s="116">
        <v>9300.85</v>
      </c>
      <c r="G2655">
        <v>161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45987</v>
      </c>
      <c r="B2656" s="116">
        <v>9389.9500000000007</v>
      </c>
      <c r="C2656" s="116">
        <v>9304.6</v>
      </c>
      <c r="D2656" s="116">
        <v>9300.0499999999993</v>
      </c>
      <c r="E2656" s="116">
        <v>9330.0499999999993</v>
      </c>
      <c r="F2656" s="116">
        <v>9304.6</v>
      </c>
      <c r="G2656">
        <v>88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45988</v>
      </c>
      <c r="B2657" s="116">
        <v>9343.75</v>
      </c>
      <c r="C2657" s="116">
        <v>9304.75</v>
      </c>
      <c r="D2657" s="116">
        <v>9301.1</v>
      </c>
      <c r="E2657" s="116">
        <v>9310</v>
      </c>
      <c r="F2657" s="116">
        <v>9304.75</v>
      </c>
      <c r="G2657">
        <v>94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45989</v>
      </c>
      <c r="B2658" s="116">
        <v>9359.9500000000007</v>
      </c>
      <c r="C2658" s="116">
        <v>9351.6</v>
      </c>
      <c r="D2658" s="116">
        <v>9300</v>
      </c>
      <c r="E2658" s="116">
        <v>9304.7999999999993</v>
      </c>
      <c r="F2658" s="116">
        <v>9351.6</v>
      </c>
      <c r="G2658">
        <v>195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45992</v>
      </c>
      <c r="B2659" s="116">
        <v>9350.9500000000007</v>
      </c>
      <c r="C2659" s="116">
        <v>9349.9500000000007</v>
      </c>
      <c r="D2659" s="116">
        <v>9302.25</v>
      </c>
      <c r="E2659" s="116">
        <v>9350.9500000000007</v>
      </c>
      <c r="F2659" s="116">
        <v>9349.9500000000007</v>
      </c>
      <c r="G2659">
        <v>191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45993</v>
      </c>
      <c r="B2660" s="116">
        <v>9387.25</v>
      </c>
      <c r="C2660" s="116">
        <v>9301.7999999999993</v>
      </c>
      <c r="D2660" s="116">
        <v>9300</v>
      </c>
      <c r="E2660" s="116">
        <v>9340.0499999999993</v>
      </c>
      <c r="F2660" s="116">
        <v>9301.7999999999993</v>
      </c>
      <c r="G2660">
        <v>173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45994</v>
      </c>
      <c r="B2661" s="116">
        <v>9383.9500000000007</v>
      </c>
      <c r="C2661" s="116">
        <v>9300.25</v>
      </c>
      <c r="D2661" s="116">
        <v>9300</v>
      </c>
      <c r="E2661" s="116">
        <v>9300</v>
      </c>
      <c r="F2661" s="116">
        <v>9300.25</v>
      </c>
      <c r="G2661">
        <v>449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45995</v>
      </c>
      <c r="B2662" s="116">
        <v>9350.9500000000007</v>
      </c>
      <c r="C2662" s="116">
        <v>9305.5499999999993</v>
      </c>
      <c r="D2662" s="116">
        <v>9300</v>
      </c>
      <c r="E2662" s="116">
        <v>9301</v>
      </c>
      <c r="F2662" s="116">
        <v>9305.5499999999993</v>
      </c>
      <c r="G2662">
        <v>222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45996</v>
      </c>
      <c r="B2663" s="116">
        <v>9387.9500000000007</v>
      </c>
      <c r="C2663" s="116">
        <v>9304.15</v>
      </c>
      <c r="D2663" s="116">
        <v>9300.0499999999993</v>
      </c>
      <c r="E2663" s="116">
        <v>9327.0499999999993</v>
      </c>
      <c r="F2663" s="116">
        <v>9304.15</v>
      </c>
      <c r="G2663">
        <v>146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45999</v>
      </c>
      <c r="B2664" s="116">
        <v>9400.0499999999993</v>
      </c>
      <c r="C2664" s="116">
        <v>9281.35</v>
      </c>
      <c r="D2664" s="116">
        <v>9111</v>
      </c>
      <c r="E2664" s="116">
        <v>9399.9500000000007</v>
      </c>
      <c r="F2664" s="116">
        <v>9281.35</v>
      </c>
      <c r="G2664">
        <v>594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46000</v>
      </c>
      <c r="B2665" s="116">
        <v>9600</v>
      </c>
      <c r="C2665" s="116">
        <v>9398.4500000000007</v>
      </c>
      <c r="D2665" s="116">
        <v>9329</v>
      </c>
      <c r="E2665" s="116">
        <v>9329</v>
      </c>
      <c r="F2665" s="116">
        <v>9398.4500000000007</v>
      </c>
      <c r="G2665">
        <v>366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46001</v>
      </c>
      <c r="B2666" s="116">
        <v>9453</v>
      </c>
      <c r="C2666" s="116">
        <v>9387.0499999999993</v>
      </c>
      <c r="D2666" s="116">
        <v>9300</v>
      </c>
      <c r="E2666" s="116">
        <v>9350.9500000000007</v>
      </c>
      <c r="F2666" s="116">
        <v>9387.0499999999993</v>
      </c>
      <c r="G2666">
        <v>352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46002</v>
      </c>
      <c r="B2667" s="116">
        <v>9373.9500000000007</v>
      </c>
      <c r="C2667" s="116">
        <v>9305.4</v>
      </c>
      <c r="D2667" s="116">
        <v>9300</v>
      </c>
      <c r="E2667" s="116">
        <v>9373.9500000000007</v>
      </c>
      <c r="F2667" s="116">
        <v>9305.4</v>
      </c>
      <c r="G2667">
        <v>122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46003</v>
      </c>
      <c r="B2668" s="116">
        <v>9330</v>
      </c>
      <c r="C2668" s="116">
        <v>9327.65</v>
      </c>
      <c r="D2668" s="116">
        <v>9300</v>
      </c>
      <c r="E2668" s="116">
        <v>9308</v>
      </c>
      <c r="F2668" s="116">
        <v>9327.65</v>
      </c>
      <c r="G2668">
        <v>170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46006</v>
      </c>
      <c r="B2669" s="116">
        <v>9376.9500000000007</v>
      </c>
      <c r="C2669" s="116">
        <v>9301.25</v>
      </c>
      <c r="D2669" s="116">
        <v>9301</v>
      </c>
      <c r="E2669" s="116">
        <v>9303</v>
      </c>
      <c r="F2669" s="116">
        <v>9301.25</v>
      </c>
      <c r="G2669">
        <v>75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46007</v>
      </c>
      <c r="B2670" s="116">
        <v>9339.9</v>
      </c>
      <c r="C2670" s="116">
        <v>9300.1</v>
      </c>
      <c r="D2670" s="116">
        <v>9000</v>
      </c>
      <c r="E2670" s="116">
        <v>9339.9</v>
      </c>
      <c r="F2670" s="116">
        <v>9300.1</v>
      </c>
      <c r="G2670">
        <v>477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46008</v>
      </c>
      <c r="B2671" s="116">
        <v>9850</v>
      </c>
      <c r="C2671" s="116">
        <v>9453.35</v>
      </c>
      <c r="D2671" s="116">
        <v>9300</v>
      </c>
      <c r="E2671" s="116">
        <v>9300.0499999999993</v>
      </c>
      <c r="F2671" s="116">
        <v>9453.35</v>
      </c>
      <c r="G2671">
        <v>621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46009</v>
      </c>
      <c r="B2672" s="116">
        <v>9589</v>
      </c>
      <c r="C2672" s="116">
        <v>9402.7000000000007</v>
      </c>
      <c r="D2672" s="116">
        <v>9400</v>
      </c>
      <c r="E2672" s="116">
        <v>9453.2000000000007</v>
      </c>
      <c r="F2672" s="116">
        <v>9402.7000000000007</v>
      </c>
      <c r="G2672">
        <v>822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46010</v>
      </c>
      <c r="B2673" s="116">
        <v>9550</v>
      </c>
      <c r="C2673" s="116">
        <v>9485.65</v>
      </c>
      <c r="D2673" s="116">
        <v>9401</v>
      </c>
      <c r="E2673" s="116">
        <v>9404</v>
      </c>
      <c r="F2673" s="116">
        <v>9485.65</v>
      </c>
      <c r="G2673">
        <v>817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46013</v>
      </c>
      <c r="B2674" s="116">
        <v>9570.0499999999993</v>
      </c>
      <c r="C2674" s="116">
        <v>9460</v>
      </c>
      <c r="D2674" s="116">
        <v>9419.25</v>
      </c>
      <c r="E2674" s="116">
        <v>9479.9500000000007</v>
      </c>
      <c r="F2674" s="116">
        <v>9460</v>
      </c>
      <c r="G2674">
        <v>226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46014</v>
      </c>
      <c r="B2675" s="116">
        <v>9542.9</v>
      </c>
      <c r="C2675" s="116">
        <v>9463.0499999999993</v>
      </c>
      <c r="D2675" s="116">
        <v>9423.0499999999993</v>
      </c>
      <c r="E2675" s="116">
        <v>9430</v>
      </c>
      <c r="F2675" s="116">
        <v>9463.0499999999993</v>
      </c>
      <c r="G2675">
        <v>209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46015</v>
      </c>
      <c r="B2676" s="116">
        <v>9539.75</v>
      </c>
      <c r="C2676" s="116">
        <v>9474.7000000000007</v>
      </c>
      <c r="D2676" s="116">
        <v>9440</v>
      </c>
      <c r="E2676" s="116">
        <v>9498.0499999999993</v>
      </c>
      <c r="F2676" s="116">
        <v>9474.7000000000007</v>
      </c>
      <c r="G2676">
        <v>114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46017</v>
      </c>
      <c r="B2677" s="116">
        <v>9700</v>
      </c>
      <c r="C2677" s="116">
        <v>9561.5</v>
      </c>
      <c r="D2677" s="116">
        <v>9401</v>
      </c>
      <c r="E2677" s="116">
        <v>9479.9</v>
      </c>
      <c r="F2677" s="116">
        <v>9561.5</v>
      </c>
      <c r="G2677">
        <v>374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46020</v>
      </c>
      <c r="B2678" s="116">
        <v>9615</v>
      </c>
      <c r="C2678" s="116">
        <v>9484</v>
      </c>
      <c r="D2678" s="116">
        <v>9410</v>
      </c>
      <c r="E2678" s="116">
        <v>9600</v>
      </c>
      <c r="F2678" s="116">
        <v>9484</v>
      </c>
      <c r="G2678">
        <v>85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46021</v>
      </c>
      <c r="B2679" s="116">
        <v>9626.9500000000007</v>
      </c>
      <c r="C2679" s="116">
        <v>9507.2000000000007</v>
      </c>
      <c r="D2679" s="116">
        <v>9402.0499999999993</v>
      </c>
      <c r="E2679" s="116">
        <v>9626.9500000000007</v>
      </c>
      <c r="F2679" s="116">
        <v>9507.2000000000007</v>
      </c>
      <c r="G2679">
        <v>86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46022</v>
      </c>
      <c r="B2680" s="116">
        <v>9586.9</v>
      </c>
      <c r="C2680" s="116">
        <v>9564.25</v>
      </c>
      <c r="D2680" s="116">
        <v>9490</v>
      </c>
      <c r="E2680" s="116">
        <v>9586.9</v>
      </c>
      <c r="F2680" s="116">
        <v>9564.25</v>
      </c>
      <c r="G2680">
        <v>442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46023</v>
      </c>
      <c r="B2681" s="116">
        <v>9666</v>
      </c>
      <c r="C2681" s="116">
        <v>9590.65</v>
      </c>
      <c r="D2681" s="116">
        <v>9500.25</v>
      </c>
      <c r="E2681" s="116">
        <v>9563.9500000000007</v>
      </c>
      <c r="F2681" s="116">
        <v>9590.65</v>
      </c>
      <c r="G2681">
        <v>112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46024</v>
      </c>
      <c r="B2682" s="116">
        <v>9624</v>
      </c>
      <c r="C2682" s="116">
        <v>9492</v>
      </c>
      <c r="D2682" s="116">
        <v>9301</v>
      </c>
      <c r="E2682" s="116">
        <v>9501.0499999999993</v>
      </c>
      <c r="F2682" s="116">
        <v>9492</v>
      </c>
      <c r="G2682">
        <v>210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46027</v>
      </c>
      <c r="B2683" s="116">
        <v>9633</v>
      </c>
      <c r="C2683" s="116">
        <v>9508.4500000000007</v>
      </c>
      <c r="D2683" s="116">
        <v>9470.0499999999993</v>
      </c>
      <c r="E2683" s="116">
        <v>9470.0499999999993</v>
      </c>
      <c r="F2683" s="116">
        <v>9508.4500000000007</v>
      </c>
      <c r="G2683">
        <v>781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46028</v>
      </c>
      <c r="B2684" s="116">
        <v>9700.15</v>
      </c>
      <c r="C2684" s="116">
        <v>9600</v>
      </c>
      <c r="D2684" s="116">
        <v>9560.1</v>
      </c>
      <c r="E2684" s="116">
        <v>9659.9500000000007</v>
      </c>
      <c r="F2684" s="116">
        <v>9600</v>
      </c>
      <c r="G2684">
        <v>937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46029</v>
      </c>
      <c r="B2685" s="116">
        <v>9650</v>
      </c>
      <c r="C2685" s="116">
        <v>9633.2000000000007</v>
      </c>
      <c r="D2685" s="116">
        <v>9500.0499999999993</v>
      </c>
      <c r="E2685" s="116">
        <v>9500.0499999999993</v>
      </c>
      <c r="F2685" s="116">
        <v>9633.2000000000007</v>
      </c>
      <c r="G2685">
        <v>129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46030</v>
      </c>
      <c r="B2686" s="116">
        <v>9776.9500000000007</v>
      </c>
      <c r="C2686" s="116">
        <v>9513.25</v>
      </c>
      <c r="D2686" s="116">
        <v>9502</v>
      </c>
      <c r="E2686" s="116">
        <v>9776.9500000000007</v>
      </c>
      <c r="F2686" s="116">
        <v>9513.25</v>
      </c>
      <c r="G2686">
        <v>390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46031</v>
      </c>
      <c r="B2687" s="116">
        <v>9528.0499999999993</v>
      </c>
      <c r="C2687" s="116">
        <v>9475</v>
      </c>
      <c r="D2687" s="116">
        <v>9432</v>
      </c>
      <c r="E2687" s="116">
        <v>9500</v>
      </c>
      <c r="F2687" s="116">
        <v>9475</v>
      </c>
      <c r="G2687">
        <v>176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46034</v>
      </c>
      <c r="B2688" s="116">
        <v>9556.7999999999993</v>
      </c>
      <c r="C2688" s="116">
        <v>9551.25</v>
      </c>
      <c r="D2688" s="116">
        <v>9380.0499999999993</v>
      </c>
      <c r="E2688" s="116">
        <v>9475</v>
      </c>
      <c r="F2688" s="116">
        <v>9551.25</v>
      </c>
      <c r="G2688">
        <v>247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46035</v>
      </c>
      <c r="B2689" s="116">
        <v>9606</v>
      </c>
      <c r="C2689" s="116">
        <v>9559.65</v>
      </c>
      <c r="D2689" s="116">
        <v>9512.4500000000007</v>
      </c>
      <c r="E2689" s="116">
        <v>9600</v>
      </c>
      <c r="F2689" s="116">
        <v>9559.65</v>
      </c>
      <c r="G2689">
        <v>373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46036</v>
      </c>
      <c r="B2690" s="116">
        <v>9705</v>
      </c>
      <c r="C2690" s="116">
        <v>9650.5499999999993</v>
      </c>
      <c r="D2690" s="116">
        <v>9450</v>
      </c>
      <c r="E2690" s="116">
        <v>9580.0499999999993</v>
      </c>
      <c r="F2690" s="116">
        <v>9650.5499999999993</v>
      </c>
      <c r="G2690">
        <v>268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46038</v>
      </c>
      <c r="B2691" s="116">
        <v>9890</v>
      </c>
      <c r="C2691" s="116">
        <v>9564.75</v>
      </c>
      <c r="D2691" s="116">
        <v>9500</v>
      </c>
      <c r="E2691" s="116">
        <v>9890</v>
      </c>
      <c r="F2691" s="116">
        <v>9564.75</v>
      </c>
      <c r="G2691">
        <v>1137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46041</v>
      </c>
      <c r="B2692" s="116">
        <v>9564.75</v>
      </c>
      <c r="C2692" s="116">
        <v>9503.75</v>
      </c>
      <c r="D2692" s="116">
        <v>9501</v>
      </c>
      <c r="E2692" s="116">
        <v>9564.75</v>
      </c>
      <c r="F2692" s="116">
        <v>9503.75</v>
      </c>
      <c r="G2692">
        <v>199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46042</v>
      </c>
      <c r="B2693" s="116">
        <v>9597.9</v>
      </c>
      <c r="C2693" s="116">
        <v>9501.4500000000007</v>
      </c>
      <c r="D2693" s="116">
        <v>9500</v>
      </c>
      <c r="E2693" s="116">
        <v>9501.0499999999993</v>
      </c>
      <c r="F2693" s="116">
        <v>9501.4500000000007</v>
      </c>
      <c r="G2693">
        <v>470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46043</v>
      </c>
      <c r="B2694" s="116">
        <v>9609.15</v>
      </c>
      <c r="C2694" s="116">
        <v>9501.2999999999993</v>
      </c>
      <c r="D2694" s="116">
        <v>9484.2999999999993</v>
      </c>
      <c r="E2694" s="116">
        <v>9501.0499999999993</v>
      </c>
      <c r="F2694" s="116">
        <v>9501.2999999999993</v>
      </c>
      <c r="G2694">
        <v>773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46044</v>
      </c>
      <c r="B2695" s="116">
        <v>9558.5</v>
      </c>
      <c r="C2695" s="116">
        <v>9506.15</v>
      </c>
      <c r="D2695" s="116">
        <v>9501</v>
      </c>
      <c r="E2695" s="116">
        <v>9510</v>
      </c>
      <c r="F2695" s="116">
        <v>9506.15</v>
      </c>
      <c r="G2695">
        <v>232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46045</v>
      </c>
      <c r="B2696" s="116">
        <v>9594.9500000000007</v>
      </c>
      <c r="C2696" s="116">
        <v>9505.65</v>
      </c>
      <c r="D2696" s="116">
        <v>9501</v>
      </c>
      <c r="E2696" s="116">
        <v>9515</v>
      </c>
      <c r="F2696" s="116">
        <v>9505.65</v>
      </c>
      <c r="G2696">
        <v>157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46049</v>
      </c>
      <c r="B2697" s="116">
        <v>9526.9500000000007</v>
      </c>
      <c r="C2697" s="116">
        <v>9477.9</v>
      </c>
      <c r="D2697" s="116">
        <v>9380.15</v>
      </c>
      <c r="E2697" s="116">
        <v>9504.0499999999993</v>
      </c>
      <c r="F2697" s="116">
        <v>9477.9</v>
      </c>
      <c r="G2697">
        <v>381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46050</v>
      </c>
      <c r="B2698" s="116">
        <v>9660</v>
      </c>
      <c r="C2698" s="116">
        <v>9501.2999999999993</v>
      </c>
      <c r="D2698" s="116">
        <v>9375</v>
      </c>
      <c r="E2698" s="116">
        <v>9445.1</v>
      </c>
      <c r="F2698" s="116">
        <v>9501.2999999999993</v>
      </c>
      <c r="G2698">
        <v>469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46051</v>
      </c>
      <c r="B2699" s="116">
        <v>9570</v>
      </c>
      <c r="C2699" s="116">
        <v>9512.25</v>
      </c>
      <c r="D2699" s="116">
        <v>9405</v>
      </c>
      <c r="E2699" s="116">
        <v>9405</v>
      </c>
      <c r="F2699" s="116">
        <v>9512.25</v>
      </c>
      <c r="G2699">
        <v>404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46052</v>
      </c>
      <c r="B2700" s="116">
        <v>9620</v>
      </c>
      <c r="C2700" s="116">
        <v>9517.7999999999993</v>
      </c>
      <c r="D2700" s="116">
        <v>9449.9500000000007</v>
      </c>
      <c r="E2700" s="116">
        <v>9512.25</v>
      </c>
      <c r="F2700" s="116">
        <v>9517.7999999999993</v>
      </c>
      <c r="G2700">
        <v>906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46054</v>
      </c>
      <c r="B2701" s="116">
        <v>9599</v>
      </c>
      <c r="C2701" s="116">
        <v>9490.5</v>
      </c>
      <c r="D2701" s="116">
        <v>9401</v>
      </c>
      <c r="E2701" s="116">
        <v>9517.75</v>
      </c>
      <c r="F2701" s="116">
        <v>9490.5</v>
      </c>
      <c r="G2701">
        <v>442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46055</v>
      </c>
      <c r="B2702" s="116">
        <v>9797.9</v>
      </c>
      <c r="C2702" s="116">
        <v>9537.7000000000007</v>
      </c>
      <c r="D2702" s="116">
        <v>9499.9500000000007</v>
      </c>
      <c r="E2702" s="116">
        <v>9797.9</v>
      </c>
      <c r="F2702" s="116">
        <v>9537.7000000000007</v>
      </c>
      <c r="G2702">
        <v>731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46056</v>
      </c>
      <c r="B2703" s="116">
        <v>9774</v>
      </c>
      <c r="C2703" s="116">
        <v>9491.1</v>
      </c>
      <c r="D2703" s="116">
        <v>9426</v>
      </c>
      <c r="E2703" s="116">
        <v>9774</v>
      </c>
      <c r="F2703" s="116">
        <v>9491.1</v>
      </c>
      <c r="G2703">
        <v>398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46057</v>
      </c>
      <c r="B2704" s="116">
        <v>9777</v>
      </c>
      <c r="C2704" s="116">
        <v>9520.35</v>
      </c>
      <c r="D2704" s="116">
        <v>9500</v>
      </c>
      <c r="E2704" s="116">
        <v>9500</v>
      </c>
      <c r="F2704" s="116">
        <v>9520.35</v>
      </c>
      <c r="G2704">
        <v>503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46058</v>
      </c>
      <c r="B2705" s="116">
        <v>9578.0499999999993</v>
      </c>
      <c r="C2705" s="116">
        <v>9521</v>
      </c>
      <c r="D2705" s="116">
        <v>9521</v>
      </c>
      <c r="E2705" s="116">
        <v>9577</v>
      </c>
      <c r="F2705" s="116">
        <v>9521</v>
      </c>
      <c r="G2705">
        <v>89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46059</v>
      </c>
      <c r="B2706" s="116">
        <v>9577</v>
      </c>
      <c r="C2706" s="116">
        <v>9520.25</v>
      </c>
      <c r="D2706" s="116">
        <v>9362.15</v>
      </c>
      <c r="E2706" s="116">
        <v>9520.9500000000007</v>
      </c>
      <c r="F2706" s="116">
        <v>9520.25</v>
      </c>
      <c r="G2706">
        <v>206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46062</v>
      </c>
      <c r="B2707" s="116">
        <v>9725</v>
      </c>
      <c r="C2707" s="116">
        <v>9541.4500000000007</v>
      </c>
      <c r="D2707" s="116">
        <v>9511.1</v>
      </c>
      <c r="E2707" s="116">
        <v>9725</v>
      </c>
      <c r="F2707" s="116">
        <v>9541.4500000000007</v>
      </c>
      <c r="G2707">
        <v>156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46063</v>
      </c>
      <c r="B2708" s="116">
        <v>9679</v>
      </c>
      <c r="C2708" s="116">
        <v>9524.9500000000007</v>
      </c>
      <c r="D2708" s="116">
        <v>9504</v>
      </c>
      <c r="E2708" s="116">
        <v>9679</v>
      </c>
      <c r="F2708" s="116">
        <v>9524.9500000000007</v>
      </c>
      <c r="G2708">
        <v>101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46064</v>
      </c>
      <c r="B2709">
        <v>9597.9500000000007</v>
      </c>
      <c r="C2709">
        <v>9507.2999999999993</v>
      </c>
      <c r="D2709">
        <v>9502.1</v>
      </c>
      <c r="E2709">
        <v>9525</v>
      </c>
      <c r="F2709">
        <v>9507.2999999999993</v>
      </c>
      <c r="G2709">
        <v>66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46065</v>
      </c>
      <c r="B2710">
        <v>9633.7999999999993</v>
      </c>
      <c r="C2710">
        <v>9536.5499999999993</v>
      </c>
      <c r="D2710">
        <v>9455.1</v>
      </c>
      <c r="E2710">
        <v>9455.1</v>
      </c>
      <c r="F2710">
        <v>9536.5499999999993</v>
      </c>
      <c r="G2710">
        <v>441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46066</v>
      </c>
      <c r="B2711">
        <v>9550</v>
      </c>
      <c r="C2711">
        <v>9529.5</v>
      </c>
      <c r="D2711">
        <v>9500.9500000000007</v>
      </c>
      <c r="E2711">
        <v>9525.0499999999993</v>
      </c>
      <c r="F2711">
        <v>9529.5</v>
      </c>
      <c r="G2711">
        <v>450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46069</v>
      </c>
      <c r="B2712">
        <v>9547.0499999999993</v>
      </c>
      <c r="C2712">
        <v>9501.15</v>
      </c>
      <c r="D2712">
        <v>9500.0499999999993</v>
      </c>
      <c r="E2712">
        <v>9528.9500000000007</v>
      </c>
      <c r="F2712">
        <v>9501.15</v>
      </c>
      <c r="G2712">
        <v>210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46070</v>
      </c>
      <c r="B2713">
        <v>9570</v>
      </c>
      <c r="C2713">
        <v>9511.0499999999993</v>
      </c>
      <c r="D2713">
        <v>9501</v>
      </c>
      <c r="E2713">
        <v>9545.0499999999993</v>
      </c>
      <c r="F2713">
        <v>9511.0499999999993</v>
      </c>
      <c r="G2713">
        <v>84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46071</v>
      </c>
      <c r="B2714">
        <v>9580.0499999999993</v>
      </c>
      <c r="C2714">
        <v>9539.75</v>
      </c>
      <c r="D2714">
        <v>9502</v>
      </c>
      <c r="E2714">
        <v>9515</v>
      </c>
      <c r="F2714">
        <v>9539.75</v>
      </c>
      <c r="G2714">
        <v>172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46072</v>
      </c>
      <c r="B2715">
        <v>9686</v>
      </c>
      <c r="C2715">
        <v>9505.7000000000007</v>
      </c>
      <c r="D2715">
        <v>9503.5</v>
      </c>
      <c r="E2715">
        <v>9598</v>
      </c>
      <c r="F2715">
        <v>9505.7000000000007</v>
      </c>
      <c r="G2715">
        <v>422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46073</v>
      </c>
      <c r="B2716">
        <v>9650</v>
      </c>
      <c r="C2716">
        <v>9502.6</v>
      </c>
      <c r="D2716">
        <v>9501</v>
      </c>
      <c r="E2716">
        <v>9545</v>
      </c>
      <c r="F2716">
        <v>9502.6</v>
      </c>
      <c r="G2716">
        <v>206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46076</v>
      </c>
      <c r="B2717">
        <v>9590.9500000000007</v>
      </c>
      <c r="C2717">
        <v>9503.15</v>
      </c>
      <c r="D2717">
        <v>9500.1</v>
      </c>
      <c r="E2717">
        <v>9590.9500000000007</v>
      </c>
      <c r="F2717">
        <v>9503.15</v>
      </c>
      <c r="G2717">
        <v>142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46077</v>
      </c>
      <c r="B2718">
        <v>9549.9</v>
      </c>
      <c r="C2718">
        <v>9501.25</v>
      </c>
      <c r="D2718">
        <v>9500</v>
      </c>
      <c r="E2718">
        <v>9549.9</v>
      </c>
      <c r="F2718">
        <v>9501.25</v>
      </c>
      <c r="G2718">
        <v>313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46078</v>
      </c>
      <c r="B2719">
        <v>9550.0499999999993</v>
      </c>
      <c r="C2719">
        <v>9510.7000000000007</v>
      </c>
      <c r="D2719">
        <v>9501</v>
      </c>
      <c r="E2719">
        <v>9540.0499999999993</v>
      </c>
      <c r="F2719">
        <v>9510.7000000000007</v>
      </c>
      <c r="G2719">
        <v>502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46079</v>
      </c>
      <c r="B2720">
        <v>9512</v>
      </c>
      <c r="C2720">
        <v>9502</v>
      </c>
      <c r="D2720">
        <v>9501</v>
      </c>
      <c r="E2720">
        <v>9511.0499999999993</v>
      </c>
      <c r="F2720">
        <v>9502</v>
      </c>
      <c r="G2720">
        <v>126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46080</v>
      </c>
      <c r="B2721">
        <v>9598.9500000000007</v>
      </c>
      <c r="C2721">
        <v>9504.5499999999993</v>
      </c>
      <c r="D2721">
        <v>9495.1</v>
      </c>
      <c r="E2721">
        <v>9598.9500000000007</v>
      </c>
      <c r="F2721">
        <v>9504.5499999999993</v>
      </c>
      <c r="G2721">
        <v>256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46083</v>
      </c>
      <c r="B2722">
        <v>9520</v>
      </c>
      <c r="C2722">
        <v>9501</v>
      </c>
      <c r="D2722">
        <v>9310.5</v>
      </c>
      <c r="E2722">
        <v>9310.5</v>
      </c>
      <c r="F2722">
        <v>9501</v>
      </c>
      <c r="G2722">
        <v>339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A2723" s="170">
        <v>46085</v>
      </c>
      <c r="B2723">
        <v>9550</v>
      </c>
      <c r="C2723">
        <v>9501.15</v>
      </c>
      <c r="D2723">
        <v>9350</v>
      </c>
      <c r="E2723">
        <v>9550</v>
      </c>
      <c r="F2723">
        <v>9501.15</v>
      </c>
      <c r="G2723">
        <v>448</v>
      </c>
      <c r="H2723" s="116"/>
      <c r="I2723" s="116"/>
    </row>
    <row r="2724" spans="1:18" x14ac:dyDescent="0.25">
      <c r="A2724" s="170">
        <v>46086</v>
      </c>
      <c r="B2724">
        <v>9519.75</v>
      </c>
      <c r="C2724">
        <v>9501</v>
      </c>
      <c r="D2724">
        <v>9435</v>
      </c>
      <c r="E2724">
        <v>9501.15</v>
      </c>
      <c r="F2724">
        <v>9501</v>
      </c>
      <c r="G2724">
        <v>136</v>
      </c>
      <c r="H2724" s="116"/>
      <c r="I2724" s="116"/>
    </row>
    <row r="2725" spans="1:18" x14ac:dyDescent="0.25">
      <c r="A2725" s="170">
        <v>46087</v>
      </c>
      <c r="B2725">
        <v>9540.0499999999993</v>
      </c>
      <c r="C2725">
        <v>9511.1</v>
      </c>
      <c r="D2725">
        <v>9425.2000000000007</v>
      </c>
      <c r="E2725">
        <v>9501</v>
      </c>
      <c r="F2725">
        <v>9511.1</v>
      </c>
      <c r="G2725">
        <v>115</v>
      </c>
      <c r="H2725" s="116"/>
      <c r="I2725" s="116"/>
    </row>
    <row r="2726" spans="1:18" x14ac:dyDescent="0.25">
      <c r="A2726" s="170">
        <v>46090</v>
      </c>
      <c r="B2726">
        <v>9560.0499999999993</v>
      </c>
      <c r="C2726">
        <v>9503.15</v>
      </c>
      <c r="D2726">
        <v>9301</v>
      </c>
      <c r="E2726">
        <v>9301.15</v>
      </c>
      <c r="F2726">
        <v>9503.15</v>
      </c>
      <c r="G2726">
        <v>668</v>
      </c>
      <c r="H2726" s="116"/>
      <c r="I2726" s="116"/>
    </row>
    <row r="2727" spans="1:18" x14ac:dyDescent="0.25">
      <c r="A2727" s="170">
        <v>46091</v>
      </c>
      <c r="B2727">
        <v>9629</v>
      </c>
      <c r="C2727">
        <v>9501.2999999999993</v>
      </c>
      <c r="D2727">
        <v>9500</v>
      </c>
      <c r="E2727">
        <v>9503.15</v>
      </c>
      <c r="F2727">
        <v>9501.2999999999993</v>
      </c>
      <c r="G2727">
        <v>225</v>
      </c>
      <c r="H2727" s="116"/>
      <c r="I2727" s="116"/>
    </row>
    <row r="2728" spans="1:18" x14ac:dyDescent="0.25">
      <c r="A2728" s="170">
        <v>46092</v>
      </c>
      <c r="B2728">
        <v>9570.0499999999993</v>
      </c>
      <c r="C2728">
        <v>9501</v>
      </c>
      <c r="D2728">
        <v>9501</v>
      </c>
      <c r="E2728">
        <v>9534.9500000000007</v>
      </c>
      <c r="F2728">
        <v>9501</v>
      </c>
      <c r="G2728">
        <v>77</v>
      </c>
      <c r="H2728" s="116"/>
      <c r="I2728" s="116"/>
    </row>
    <row r="2729" spans="1:18" x14ac:dyDescent="0.25">
      <c r="A2729" s="170">
        <v>46093</v>
      </c>
      <c r="B2729">
        <v>9545.0499999999993</v>
      </c>
      <c r="C2729">
        <v>9511.6</v>
      </c>
      <c r="D2729">
        <v>9425.15</v>
      </c>
      <c r="E2729">
        <v>9501</v>
      </c>
      <c r="F2729">
        <v>9511.6</v>
      </c>
      <c r="G2729">
        <v>202</v>
      </c>
      <c r="H2729" s="116"/>
      <c r="I2729" s="116"/>
    </row>
    <row r="2730" spans="1:18" x14ac:dyDescent="0.25">
      <c r="A2730" s="170">
        <v>46094</v>
      </c>
      <c r="B2730">
        <v>9524.9</v>
      </c>
      <c r="C2730">
        <v>9492.7999999999993</v>
      </c>
      <c r="D2730">
        <v>9452</v>
      </c>
      <c r="E2730">
        <v>9501</v>
      </c>
      <c r="F2730">
        <v>9492.7999999999993</v>
      </c>
      <c r="G2730">
        <v>300</v>
      </c>
      <c r="H2730" s="116"/>
      <c r="I2730" s="116"/>
    </row>
    <row r="2731" spans="1:18" x14ac:dyDescent="0.25">
      <c r="A2731" s="170">
        <v>46097</v>
      </c>
      <c r="B2731">
        <v>9501</v>
      </c>
      <c r="C2731">
        <v>9436.85</v>
      </c>
      <c r="D2731">
        <v>9381</v>
      </c>
      <c r="E2731">
        <v>9488.85</v>
      </c>
      <c r="F2731">
        <v>9436.85</v>
      </c>
      <c r="G2731">
        <v>904</v>
      </c>
      <c r="H2731" s="116"/>
      <c r="I2731" s="116"/>
    </row>
    <row r="2732" spans="1:18" x14ac:dyDescent="0.25">
      <c r="A2732" s="170">
        <v>46098</v>
      </c>
      <c r="B2732">
        <v>9594.9500000000007</v>
      </c>
      <c r="C2732">
        <v>9437.6</v>
      </c>
      <c r="D2732">
        <v>9400.1</v>
      </c>
      <c r="E2732">
        <v>9594.9500000000007</v>
      </c>
      <c r="F2732">
        <v>9437.6</v>
      </c>
      <c r="G2732">
        <v>1202</v>
      </c>
      <c r="H2732" s="116"/>
      <c r="I2732" s="116"/>
    </row>
    <row r="2733" spans="1:18" x14ac:dyDescent="0.25">
      <c r="A2733" s="170">
        <v>46099</v>
      </c>
      <c r="B2733">
        <v>9549</v>
      </c>
      <c r="C2733">
        <v>9500.35</v>
      </c>
      <c r="D2733">
        <v>9305</v>
      </c>
      <c r="E2733">
        <v>9498.9</v>
      </c>
      <c r="F2733">
        <v>9500.35</v>
      </c>
      <c r="G2733">
        <v>1120</v>
      </c>
      <c r="H2733" s="116"/>
      <c r="I2733" s="116"/>
    </row>
    <row r="2734" spans="1:18" x14ac:dyDescent="0.25">
      <c r="A2734" s="170">
        <v>46100</v>
      </c>
      <c r="B2734">
        <v>9569</v>
      </c>
      <c r="C2734">
        <v>9501</v>
      </c>
      <c r="D2734">
        <v>9485.0499999999993</v>
      </c>
      <c r="E2734">
        <v>9501.0499999999993</v>
      </c>
      <c r="F2734">
        <v>9501</v>
      </c>
      <c r="G2734">
        <v>286</v>
      </c>
      <c r="H2734" s="116"/>
      <c r="I2734" s="116"/>
    </row>
    <row r="2735" spans="1:18" x14ac:dyDescent="0.25">
      <c r="A2735" s="170">
        <v>46101</v>
      </c>
      <c r="B2735">
        <v>9539.0499999999993</v>
      </c>
      <c r="C2735">
        <v>9505.7000000000007</v>
      </c>
      <c r="D2735">
        <v>9500</v>
      </c>
      <c r="E2735">
        <v>9501</v>
      </c>
      <c r="F2735">
        <v>9505.7000000000007</v>
      </c>
      <c r="G2735">
        <v>180</v>
      </c>
      <c r="H2735" s="116"/>
      <c r="I2735" s="116"/>
    </row>
    <row r="2736" spans="1:18" x14ac:dyDescent="0.25">
      <c r="A2736" s="170">
        <v>46104</v>
      </c>
      <c r="B2736">
        <v>9590</v>
      </c>
      <c r="C2736">
        <v>9498.6</v>
      </c>
      <c r="D2736">
        <v>9445.1</v>
      </c>
      <c r="E2736">
        <v>9445.1</v>
      </c>
      <c r="F2736">
        <v>9498.6</v>
      </c>
      <c r="G2736">
        <v>584</v>
      </c>
      <c r="H2736" s="116"/>
      <c r="I2736" s="116"/>
    </row>
    <row r="2737" spans="1:9" x14ac:dyDescent="0.25">
      <c r="A2737" s="170">
        <v>46105</v>
      </c>
      <c r="B2737">
        <v>9525.0499999999993</v>
      </c>
      <c r="C2737">
        <v>9501.0499999999993</v>
      </c>
      <c r="D2737">
        <v>9409.9500000000007</v>
      </c>
      <c r="E2737">
        <v>9501</v>
      </c>
      <c r="F2737">
        <v>9501.0499999999993</v>
      </c>
      <c r="G2737">
        <v>127</v>
      </c>
      <c r="H2737" s="116"/>
      <c r="I2737" s="116"/>
    </row>
    <row r="2738" spans="1:9" x14ac:dyDescent="0.25">
      <c r="A2738" s="170">
        <v>46106</v>
      </c>
      <c r="B2738">
        <v>9594</v>
      </c>
      <c r="C2738">
        <v>9493.25</v>
      </c>
      <c r="D2738">
        <v>9466.0499999999993</v>
      </c>
      <c r="E2738">
        <v>9593.9500000000007</v>
      </c>
      <c r="F2738">
        <v>9493.25</v>
      </c>
      <c r="G2738">
        <v>132</v>
      </c>
      <c r="H2738" s="116"/>
      <c r="I2738" s="116"/>
    </row>
    <row r="2739" spans="1:9" x14ac:dyDescent="0.25">
      <c r="A2739" s="170">
        <v>46108</v>
      </c>
      <c r="B2739">
        <v>9504.9500000000007</v>
      </c>
      <c r="C2739">
        <v>9490.2999999999993</v>
      </c>
      <c r="D2739">
        <v>9445.7999999999993</v>
      </c>
      <c r="E2739">
        <v>9493.25</v>
      </c>
      <c r="F2739">
        <v>9490.2999999999993</v>
      </c>
      <c r="G2739">
        <v>534</v>
      </c>
      <c r="H2739" s="116"/>
      <c r="I2739" s="116"/>
    </row>
    <row r="2740" spans="1:9" x14ac:dyDescent="0.25">
      <c r="A2740" s="170">
        <v>46111</v>
      </c>
      <c r="B2740">
        <v>9588.5</v>
      </c>
      <c r="C2740">
        <v>9330.4500000000007</v>
      </c>
      <c r="D2740">
        <v>9211.1</v>
      </c>
      <c r="E2740">
        <v>9588.5</v>
      </c>
      <c r="F2740">
        <v>9330.4500000000007</v>
      </c>
      <c r="G2740">
        <v>350</v>
      </c>
      <c r="H2740" s="116"/>
      <c r="I2740" s="116"/>
    </row>
    <row r="2741" spans="1:9" x14ac:dyDescent="0.25">
      <c r="A2741" s="170">
        <v>46113</v>
      </c>
      <c r="B2741">
        <v>9500</v>
      </c>
      <c r="C2741">
        <v>9425.75</v>
      </c>
      <c r="D2741">
        <v>9400</v>
      </c>
      <c r="E2741">
        <v>9400</v>
      </c>
      <c r="F2741">
        <v>9425.75</v>
      </c>
      <c r="G2741">
        <v>311</v>
      </c>
      <c r="H2741" s="116"/>
      <c r="I2741" s="116"/>
    </row>
    <row r="2742" spans="1:9" x14ac:dyDescent="0.25">
      <c r="A2742" s="170">
        <v>46114</v>
      </c>
      <c r="B2742">
        <v>9495</v>
      </c>
      <c r="C2742">
        <v>9453.85</v>
      </c>
      <c r="D2742">
        <v>9402</v>
      </c>
      <c r="E2742">
        <v>9454.0499999999993</v>
      </c>
      <c r="F2742">
        <v>9453.85</v>
      </c>
      <c r="G2742">
        <v>166</v>
      </c>
      <c r="H2742" s="116"/>
      <c r="I2742" s="116"/>
    </row>
    <row r="2743" spans="1:9" x14ac:dyDescent="0.25">
      <c r="A2743" s="170">
        <v>46118</v>
      </c>
      <c r="B2743">
        <v>9570</v>
      </c>
      <c r="C2743">
        <v>9501</v>
      </c>
      <c r="D2743">
        <v>9311.1</v>
      </c>
      <c r="E2743">
        <v>9405.1</v>
      </c>
      <c r="F2743">
        <v>9501</v>
      </c>
      <c r="G2743">
        <v>629</v>
      </c>
      <c r="H2743" s="116"/>
      <c r="I2743" s="116"/>
    </row>
    <row r="2744" spans="1:9" x14ac:dyDescent="0.25">
      <c r="A2744" s="170">
        <v>46119</v>
      </c>
      <c r="B2744">
        <v>9550.0499999999993</v>
      </c>
      <c r="C2744">
        <v>9501.0499999999993</v>
      </c>
      <c r="D2744">
        <v>9500</v>
      </c>
      <c r="E2744">
        <v>9501</v>
      </c>
      <c r="F2744">
        <v>9501.0499999999993</v>
      </c>
      <c r="G2744">
        <v>636</v>
      </c>
      <c r="H2744" s="116"/>
      <c r="I2744" s="116"/>
    </row>
    <row r="2745" spans="1:9" x14ac:dyDescent="0.25">
      <c r="A2745" s="170">
        <v>46120</v>
      </c>
      <c r="B2745">
        <v>9650</v>
      </c>
      <c r="C2745">
        <v>9590.65</v>
      </c>
      <c r="D2745">
        <v>9501.0499999999993</v>
      </c>
      <c r="E2745">
        <v>9501.1</v>
      </c>
      <c r="F2745">
        <v>9590.65</v>
      </c>
      <c r="G2745">
        <v>727</v>
      </c>
      <c r="H2745" s="116"/>
      <c r="I2745" s="116"/>
    </row>
    <row r="2746" spans="1:9" x14ac:dyDescent="0.25">
      <c r="A2746" s="170">
        <v>46121</v>
      </c>
      <c r="B2746">
        <v>9599.9500000000007</v>
      </c>
      <c r="C2746">
        <v>9505.1</v>
      </c>
      <c r="D2746">
        <v>9501</v>
      </c>
      <c r="E2746">
        <v>9570.0499999999993</v>
      </c>
      <c r="F2746">
        <v>9505.1</v>
      </c>
      <c r="G2746">
        <v>337</v>
      </c>
      <c r="H2746" s="116"/>
      <c r="I2746" s="116"/>
    </row>
    <row r="2747" spans="1:9" x14ac:dyDescent="0.25">
      <c r="A2747" s="170">
        <v>46122</v>
      </c>
      <c r="B2747">
        <v>9750</v>
      </c>
      <c r="C2747">
        <v>9645.1</v>
      </c>
      <c r="D2747">
        <v>9483.9500000000007</v>
      </c>
      <c r="E2747">
        <v>9575.0499999999993</v>
      </c>
      <c r="F2747">
        <v>9645.1</v>
      </c>
      <c r="G2747">
        <v>268</v>
      </c>
      <c r="H2747" s="116"/>
      <c r="I2747" s="116"/>
    </row>
    <row r="2748" spans="1:9" x14ac:dyDescent="0.25">
      <c r="A2748" s="170">
        <v>46125</v>
      </c>
      <c r="B2748">
        <v>10700</v>
      </c>
      <c r="C2748">
        <v>10003.75</v>
      </c>
      <c r="D2748">
        <v>9520.0499999999993</v>
      </c>
      <c r="E2748">
        <v>9605</v>
      </c>
      <c r="F2748">
        <v>10003.75</v>
      </c>
      <c r="G2748">
        <v>780</v>
      </c>
      <c r="H2748" s="116"/>
      <c r="I2748" s="116"/>
    </row>
    <row r="2749" spans="1:9" x14ac:dyDescent="0.25">
      <c r="A2749" s="170">
        <v>46127</v>
      </c>
      <c r="B2749">
        <v>10040</v>
      </c>
      <c r="C2749">
        <v>9997.15</v>
      </c>
      <c r="D2749">
        <v>9800.15</v>
      </c>
      <c r="E2749">
        <v>10003.75</v>
      </c>
      <c r="F2749">
        <v>9997.15</v>
      </c>
      <c r="G2749">
        <v>540</v>
      </c>
      <c r="H2749" s="116"/>
      <c r="I2749" s="116"/>
    </row>
    <row r="2750" spans="1:9" x14ac:dyDescent="0.25">
      <c r="A2750" s="170">
        <v>46128</v>
      </c>
      <c r="B2750">
        <v>10020.049999999999</v>
      </c>
      <c r="C2750">
        <v>9917.4500000000007</v>
      </c>
      <c r="D2750">
        <v>9901</v>
      </c>
      <c r="E2750">
        <v>9910.0499999999993</v>
      </c>
      <c r="F2750">
        <v>9917.4500000000007</v>
      </c>
      <c r="G2750">
        <v>476</v>
      </c>
      <c r="H2750" s="116"/>
      <c r="I2750" s="116"/>
    </row>
    <row r="2751" spans="1:9" x14ac:dyDescent="0.25">
      <c r="A2751" s="170">
        <v>46129</v>
      </c>
      <c r="B2751">
        <v>10499</v>
      </c>
      <c r="C2751">
        <v>10137.9</v>
      </c>
      <c r="D2751">
        <v>9849.9500000000007</v>
      </c>
      <c r="E2751">
        <v>10019.950000000001</v>
      </c>
      <c r="F2751">
        <v>10137.9</v>
      </c>
      <c r="G2751">
        <v>717</v>
      </c>
      <c r="H2751" s="116"/>
      <c r="I2751" s="116"/>
    </row>
    <row r="2752" spans="1:9" x14ac:dyDescent="0.25">
      <c r="A2752" s="170">
        <v>46132</v>
      </c>
      <c r="B2752">
        <v>10230.049999999999</v>
      </c>
      <c r="C2752">
        <v>10012.549999999999</v>
      </c>
      <c r="D2752">
        <v>9911</v>
      </c>
      <c r="E2752">
        <v>10105</v>
      </c>
      <c r="F2752">
        <v>10012.549999999999</v>
      </c>
      <c r="G2752">
        <v>298</v>
      </c>
      <c r="H2752" s="116"/>
      <c r="I2752" s="116"/>
    </row>
    <row r="2753" spans="1:9" x14ac:dyDescent="0.25">
      <c r="A2753" s="170">
        <v>46133</v>
      </c>
      <c r="B2753">
        <v>10150</v>
      </c>
      <c r="C2753">
        <v>10010</v>
      </c>
      <c r="D2753">
        <v>9950</v>
      </c>
      <c r="E2753">
        <v>9980.0499999999993</v>
      </c>
      <c r="F2753">
        <v>10010</v>
      </c>
      <c r="G2753">
        <v>240</v>
      </c>
      <c r="H2753" s="116"/>
      <c r="I2753" s="116"/>
    </row>
    <row r="2754" spans="1:9" x14ac:dyDescent="0.25">
      <c r="A2754" s="170">
        <v>46134</v>
      </c>
      <c r="B2754">
        <v>10120</v>
      </c>
      <c r="C2754">
        <v>10008.15</v>
      </c>
      <c r="D2754">
        <v>9950.0499999999993</v>
      </c>
      <c r="E2754">
        <v>9950.0499999999993</v>
      </c>
      <c r="F2754">
        <v>10008.15</v>
      </c>
      <c r="G2754">
        <v>542</v>
      </c>
      <c r="H2754" s="116"/>
      <c r="I2754" s="116"/>
    </row>
    <row r="2755" spans="1:9" x14ac:dyDescent="0.25">
      <c r="A2755" s="170">
        <v>46135</v>
      </c>
      <c r="B2755">
        <v>10022</v>
      </c>
      <c r="C2755">
        <v>10000.200000000001</v>
      </c>
      <c r="D2755">
        <v>9813</v>
      </c>
      <c r="E2755">
        <v>10000.049999999999</v>
      </c>
      <c r="F2755">
        <v>10000.200000000001</v>
      </c>
      <c r="G2755">
        <v>265</v>
      </c>
      <c r="H2755" s="116"/>
      <c r="I2755" s="116"/>
    </row>
    <row r="2756" spans="1:9" x14ac:dyDescent="0.25">
      <c r="A2756" s="170">
        <v>46136</v>
      </c>
      <c r="B2756">
        <v>10120</v>
      </c>
      <c r="C2756">
        <v>10012.200000000001</v>
      </c>
      <c r="D2756">
        <v>9910</v>
      </c>
      <c r="E2756">
        <v>10005.049999999999</v>
      </c>
      <c r="F2756">
        <v>10012.200000000001</v>
      </c>
      <c r="G2756">
        <v>643</v>
      </c>
      <c r="H2756" s="116"/>
      <c r="I2756" s="116"/>
    </row>
    <row r="2757" spans="1:9" x14ac:dyDescent="0.25">
      <c r="A2757" s="170">
        <v>46139</v>
      </c>
      <c r="B2757">
        <v>10090.049999999999</v>
      </c>
      <c r="C2757">
        <v>10010.950000000001</v>
      </c>
      <c r="D2757">
        <v>10000</v>
      </c>
      <c r="E2757">
        <v>10019</v>
      </c>
      <c r="F2757">
        <v>10010.950000000001</v>
      </c>
      <c r="G2757">
        <v>160</v>
      </c>
      <c r="H2757" s="116"/>
      <c r="I2757" s="116"/>
    </row>
    <row r="2758" spans="1:9" x14ac:dyDescent="0.25">
      <c r="A2758" s="170">
        <v>46140</v>
      </c>
      <c r="B2758">
        <v>10130</v>
      </c>
      <c r="C2758">
        <v>10011.25</v>
      </c>
      <c r="D2758">
        <v>10011</v>
      </c>
      <c r="E2758">
        <v>10030.049999999999</v>
      </c>
      <c r="F2758">
        <v>10011.25</v>
      </c>
      <c r="G2758">
        <v>385</v>
      </c>
      <c r="H2758" s="116"/>
      <c r="I2758" s="116"/>
    </row>
    <row r="2759" spans="1:9" x14ac:dyDescent="0.25">
      <c r="A2759" s="170">
        <v>46141</v>
      </c>
      <c r="B2759">
        <v>10100</v>
      </c>
      <c r="C2759">
        <v>10018.65</v>
      </c>
      <c r="D2759">
        <v>10000</v>
      </c>
      <c r="E2759">
        <v>10010.950000000001</v>
      </c>
      <c r="F2759">
        <v>10018.65</v>
      </c>
      <c r="G2759">
        <v>597</v>
      </c>
      <c r="H2759" s="116"/>
      <c r="I2759" s="116"/>
    </row>
    <row r="2760" spans="1:9" x14ac:dyDescent="0.25">
      <c r="H2760" s="116"/>
      <c r="I2760" s="116"/>
    </row>
    <row r="2761" spans="1:9" x14ac:dyDescent="0.25">
      <c r="H2761" s="116"/>
      <c r="I2761" s="116"/>
    </row>
    <row r="2762" spans="1:9" x14ac:dyDescent="0.25">
      <c r="H2762" s="116"/>
      <c r="I2762" s="116"/>
    </row>
    <row r="2763" spans="1:9" x14ac:dyDescent="0.25">
      <c r="H2763" s="116"/>
      <c r="I2763" s="116"/>
    </row>
    <row r="2764" spans="1:9" x14ac:dyDescent="0.25">
      <c r="H2764" s="116"/>
      <c r="I2764" s="116"/>
    </row>
    <row r="2765" spans="1:9" x14ac:dyDescent="0.25">
      <c r="H2765" s="116"/>
      <c r="I2765" s="116"/>
    </row>
    <row r="2766" spans="1:9" x14ac:dyDescent="0.25">
      <c r="H2766" s="116"/>
      <c r="I2766" s="116"/>
    </row>
    <row r="2767" spans="1:9" x14ac:dyDescent="0.25">
      <c r="H2767" s="116"/>
      <c r="I2767" s="116"/>
    </row>
    <row r="2768" spans="1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2026-06-15T15:50:34Z</dcterms:modified>
  <cp:category/>
  <cp:contentStatus/>
</cp:coreProperties>
</file>